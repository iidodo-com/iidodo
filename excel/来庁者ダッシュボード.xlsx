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はじめに" sheetId="1" r:id="rId1"/>
    <sheet name="ダッシュボード" sheetId="2" r:id="rId2"/>
    <sheet name="時間外削減効果" sheetId="3" r:id="rId3"/>
    <sheet name="計算の説明" sheetId="4" r:id="rId4"/>
    <sheet name="市民部" sheetId="5" r:id="rId5"/>
    <sheet name="厚生部" sheetId="6" r:id="rId6"/>
    <sheet name="待ち・対応時間" sheetId="7" r:id="rId7"/>
    <sheet name="ヒートマップ" sheetId="8" r:id="rId8"/>
    <sheet name="カレンダー" sheetId="9" r:id="rId9"/>
    <sheet name="シミュレーター" sheetId="10" r:id="rId10"/>
    <sheet name="業務ランキング" sheetId="11" r:id="rId11"/>
    <sheet name="データ" sheetId="12" r:id="rId12"/>
    <sheet name="取込_市民部" sheetId="13" r:id="rId13"/>
    <sheet name="取込_厚生部" sheetId="14" r:id="rId14"/>
    <sheet name="取込_業務別" sheetId="15" r:id="rId15"/>
    <sheet name="計算" sheetId="16" state="hidden" r:id="rId16"/>
  </sheets>
  <calcPr calcId="124519" fullCalcOnLoad="1"/>
</workbook>
</file>

<file path=xl/sharedStrings.xml><?xml version="1.0" encoding="utf-8"?>
<sst xmlns="http://schemas.openxmlformats.org/spreadsheetml/2006/main" count="4459" uniqueCount="815">
  <si>
    <t>集計データ（他のシートが参照）</t>
  </si>
  <si>
    <t>列は15分ごと（開始時刻）。時間は分、人数は人。3時間超の値は除く。15件未満の時間帯は0とする。</t>
  </si>
  <si>
    <t>① 来庁者数（区×月×15分）</t>
  </si>
  <si>
    <t>キー</t>
  </si>
  <si>
    <t>区</t>
  </si>
  <si>
    <t>月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</si>
  <si>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</si>
  <si>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</si>
  <si>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</si>
  <si>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</si>
  <si>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</si>
  <si>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</si>
  <si>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</si>
  <si>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</si>
  <si>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</si>
  <si>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</si>
  <si>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</si>
  <si>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</si>
  <si>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</si>
  <si>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</si>
  <si>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</si>
  <si>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</si>
  <si>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</si>
  <si>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</si>
  <si>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</si>
  <si>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</si>
  <si>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</si>
  <si>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</si>
  <si>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</si>
  <si>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</si>
  <si>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</si>
  <si>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</si>
  <si>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</si>
  <si>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</si>
  <si>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</si>
  <si>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</si>
  <si>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</si>
  <si>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</si>
  <si>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</si>
  <si>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</si>
  <si>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</si>
  <si>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</si>
  <si>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</si>
  <si>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</si>
  <si>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</si>
  <si>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</si>
  <si>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</si>
  <si>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</si>
  <si>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</si>
  <si>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</si>
  <si>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</si>
  <si>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</si>
  <si>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</si>
  <si>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</si>
  <si>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</si>
  <si>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</si>
  <si>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</si>
  <si>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</si>
  <si>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</si>
  <si>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</si>
  <si>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</si>
  <si>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</si>
  <si>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合計</t>
  </si>
  <si>
    <t>開始(分)</t>
  </si>
  <si>
    <t>全区|全期間</t>
  </si>
  <si>
    <t>全区</t>
  </si>
  <si>
    <t>全期間</t>
  </si>
  <si>
    <t>全区|4月</t>
  </si>
  <si>
    <t>4月</t>
  </si>
  <si>
    <t>全区|5月</t>
  </si>
  <si>
    <t>5月</t>
  </si>
  <si>
    <t>全区|6月</t>
  </si>
  <si>
    <t>6月</t>
  </si>
  <si>
    <t>全区|7月</t>
  </si>
  <si>
    <t>7月</t>
  </si>
  <si>
    <t>全区|8月</t>
  </si>
  <si>
    <t>8月</t>
  </si>
  <si>
    <t>全区|9月</t>
  </si>
  <si>
    <t>9月</t>
  </si>
  <si>
    <t>全区|10月</t>
  </si>
  <si>
    <t>10月</t>
  </si>
  <si>
    <t>全区|11月</t>
  </si>
  <si>
    <t>11月</t>
  </si>
  <si>
    <t>全区|12月</t>
  </si>
  <si>
    <t>12月</t>
  </si>
  <si>
    <t>全区|1月</t>
  </si>
  <si>
    <t>1月</t>
  </si>
  <si>
    <t>全区|2月</t>
  </si>
  <si>
    <t>2月</t>
  </si>
  <si>
    <t>全区|3月</t>
  </si>
  <si>
    <t>3月</t>
  </si>
  <si>
    <t>中区|全期間</t>
  </si>
  <si>
    <t>中区</t>
  </si>
  <si>
    <t>中区|4月</t>
  </si>
  <si>
    <t>中区|5月</t>
  </si>
  <si>
    <t>中区|6月</t>
  </si>
  <si>
    <t>中区|7月</t>
  </si>
  <si>
    <t>中区|8月</t>
  </si>
  <si>
    <t>中区|9月</t>
  </si>
  <si>
    <t>中区|10月</t>
  </si>
  <si>
    <t>中区|11月</t>
  </si>
  <si>
    <t>中区|12月</t>
  </si>
  <si>
    <t>中区|1月</t>
  </si>
  <si>
    <t>中区|2月</t>
  </si>
  <si>
    <t>中区|3月</t>
  </si>
  <si>
    <t>東区|全期間</t>
  </si>
  <si>
    <t>東区</t>
  </si>
  <si>
    <t>東区|4月</t>
  </si>
  <si>
    <t>東区|5月</t>
  </si>
  <si>
    <t>東区|6月</t>
  </si>
  <si>
    <t>東区|7月</t>
  </si>
  <si>
    <t>東区|8月</t>
  </si>
  <si>
    <t>東区|9月</t>
  </si>
  <si>
    <t>東区|10月</t>
  </si>
  <si>
    <t>東区|11月</t>
  </si>
  <si>
    <t>東区|12月</t>
  </si>
  <si>
    <t>東区|1月</t>
  </si>
  <si>
    <t>東区|2月</t>
  </si>
  <si>
    <t>東区|3月</t>
  </si>
  <si>
    <t>南区|全期間</t>
  </si>
  <si>
    <t>南区</t>
  </si>
  <si>
    <t>南区|4月</t>
  </si>
  <si>
    <t>南区|5月</t>
  </si>
  <si>
    <t>南区|6月</t>
  </si>
  <si>
    <t>南区|7月</t>
  </si>
  <si>
    <t>南区|8月</t>
  </si>
  <si>
    <t>南区|9月</t>
  </si>
  <si>
    <t>南区|10月</t>
  </si>
  <si>
    <t>南区|11月</t>
  </si>
  <si>
    <t>南区|12月</t>
  </si>
  <si>
    <t>南区|1月</t>
  </si>
  <si>
    <t>南区|2月</t>
  </si>
  <si>
    <t>南区|3月</t>
  </si>
  <si>
    <t>西区|全期間</t>
  </si>
  <si>
    <t>西区</t>
  </si>
  <si>
    <t>西区|4月</t>
  </si>
  <si>
    <t>西区|5月</t>
  </si>
  <si>
    <t>西区|6月</t>
  </si>
  <si>
    <t>西区|7月</t>
  </si>
  <si>
    <t>西区|8月</t>
  </si>
  <si>
    <t>西区|9月</t>
  </si>
  <si>
    <t>西区|10月</t>
  </si>
  <si>
    <t>西区|11月</t>
  </si>
  <si>
    <t>西区|12月</t>
  </si>
  <si>
    <t>西区|1月</t>
  </si>
  <si>
    <t>西区|2月</t>
  </si>
  <si>
    <t>西区|3月</t>
  </si>
  <si>
    <t>安佐南区|全期間</t>
  </si>
  <si>
    <t>安佐南区</t>
  </si>
  <si>
    <t>安佐南区|4月</t>
  </si>
  <si>
    <t>安佐南区|5月</t>
  </si>
  <si>
    <t>安佐南区|6月</t>
  </si>
  <si>
    <t>安佐南区|7月</t>
  </si>
  <si>
    <t>安佐南区|8月</t>
  </si>
  <si>
    <t>安佐南区|9月</t>
  </si>
  <si>
    <t>安佐南区|10月</t>
  </si>
  <si>
    <t>安佐南区|11月</t>
  </si>
  <si>
    <t>安佐南区|12月</t>
  </si>
  <si>
    <t>安佐南区|1月</t>
  </si>
  <si>
    <t>安佐南区|2月</t>
  </si>
  <si>
    <t>安佐南区|3月</t>
  </si>
  <si>
    <t>安佐北区|全期間</t>
  </si>
  <si>
    <t>安佐北区</t>
  </si>
  <si>
    <t>安佐北区|4月</t>
  </si>
  <si>
    <t>安佐北区|5月</t>
  </si>
  <si>
    <t>安佐北区|6月</t>
  </si>
  <si>
    <t>安佐北区|7月</t>
  </si>
  <si>
    <t>安佐北区|8月</t>
  </si>
  <si>
    <t>安佐北区|9月</t>
  </si>
  <si>
    <t>安佐北区|10月</t>
  </si>
  <si>
    <t>安佐北区|11月</t>
  </si>
  <si>
    <t>安佐北区|12月</t>
  </si>
  <si>
    <t>安佐北区|1月</t>
  </si>
  <si>
    <t>安佐北区|2月</t>
  </si>
  <si>
    <t>安佐北区|3月</t>
  </si>
  <si>
    <t>安芸区|全期間</t>
  </si>
  <si>
    <t>安芸区</t>
  </si>
  <si>
    <t>安芸区|4月</t>
  </si>
  <si>
    <t>安芸区|5月</t>
  </si>
  <si>
    <t>安芸区|6月</t>
  </si>
  <si>
    <t>安芸区|7月</t>
  </si>
  <si>
    <t>安芸区|8月</t>
  </si>
  <si>
    <t>安芸区|9月</t>
  </si>
  <si>
    <t>安芸区|10月</t>
  </si>
  <si>
    <t>安芸区|11月</t>
  </si>
  <si>
    <t>安芸区|12月</t>
  </si>
  <si>
    <t>安芸区|1月</t>
  </si>
  <si>
    <t>安芸区|2月</t>
  </si>
  <si>
    <t>安芸区|3月</t>
  </si>
  <si>
    <t>佐伯区|全期間</t>
  </si>
  <si>
    <t>佐伯区</t>
  </si>
  <si>
    <t>佐伯区|4月</t>
  </si>
  <si>
    <t>佐伯区|5月</t>
  </si>
  <si>
    <t>佐伯区|6月</t>
  </si>
  <si>
    <t>佐伯区|7月</t>
  </si>
  <si>
    <t>佐伯区|8月</t>
  </si>
  <si>
    <t>佐伯区|9月</t>
  </si>
  <si>
    <t>佐伯区|10月</t>
  </si>
  <si>
    <t>佐伯区|11月</t>
  </si>
  <si>
    <t>佐伯区|12月</t>
  </si>
  <si>
    <t>佐伯区|1月</t>
  </si>
  <si>
    <t>佐伯区|2月</t>
  </si>
  <si>
    <t>佐伯区|3月</t>
  </si>
  <si>
    <t>② 平均待ち時間・分（区×月×15分）</t>
  </si>
  <si>
    <t>③ 平均対応時間・分（区×月×15分）</t>
  </si>
  <si>
    <t>④ 平均滞在時間・分（区×月×15分）</t>
  </si>
  <si>
    <t>⑤ 来庁者数（区×曜日×15分）</t>
  </si>
  <si>
    <t>曜日</t>
  </si>
  <si>
    <t>全区|月</t>
  </si>
  <si>
    <t>全区|火</t>
  </si>
  <si>
    <t>火</t>
  </si>
  <si>
    <t>全区|水</t>
  </si>
  <si>
    <t>水</t>
  </si>
  <si>
    <t>全区|木</t>
  </si>
  <si>
    <t>木</t>
  </si>
  <si>
    <t>全区|金</t>
  </si>
  <si>
    <t>金</t>
  </si>
  <si>
    <t>全区|土</t>
  </si>
  <si>
    <t>土</t>
  </si>
  <si>
    <t>全区|日</t>
  </si>
  <si>
    <t>日</t>
  </si>
  <si>
    <t>中区|月</t>
  </si>
  <si>
    <t>中区|火</t>
  </si>
  <si>
    <t>中区|水</t>
  </si>
  <si>
    <t>中区|木</t>
  </si>
  <si>
    <t>中区|金</t>
  </si>
  <si>
    <t>中区|土</t>
  </si>
  <si>
    <t>中区|日</t>
  </si>
  <si>
    <t>東区|月</t>
  </si>
  <si>
    <t>東区|火</t>
  </si>
  <si>
    <t>東区|水</t>
  </si>
  <si>
    <t>東区|木</t>
  </si>
  <si>
    <t>東区|金</t>
  </si>
  <si>
    <t>東区|土</t>
  </si>
  <si>
    <t>東区|日</t>
  </si>
  <si>
    <t>南区|月</t>
  </si>
  <si>
    <t>南区|火</t>
  </si>
  <si>
    <t>南区|水</t>
  </si>
  <si>
    <t>南区|木</t>
  </si>
  <si>
    <t>南区|金</t>
  </si>
  <si>
    <t>南区|土</t>
  </si>
  <si>
    <t>南区|日</t>
  </si>
  <si>
    <t>西区|月</t>
  </si>
  <si>
    <t>西区|火</t>
  </si>
  <si>
    <t>西区|水</t>
  </si>
  <si>
    <t>西区|木</t>
  </si>
  <si>
    <t>西区|金</t>
  </si>
  <si>
    <t>西区|土</t>
  </si>
  <si>
    <t>西区|日</t>
  </si>
  <si>
    <t>安佐南区|月</t>
  </si>
  <si>
    <t>安佐南区|火</t>
  </si>
  <si>
    <t>安佐南区|水</t>
  </si>
  <si>
    <t>安佐南区|木</t>
  </si>
  <si>
    <t>安佐南区|金</t>
  </si>
  <si>
    <t>安佐南区|土</t>
  </si>
  <si>
    <t>安佐南区|日</t>
  </si>
  <si>
    <t>安佐北区|月</t>
  </si>
  <si>
    <t>安佐北区|火</t>
  </si>
  <si>
    <t>安佐北区|水</t>
  </si>
  <si>
    <t>安佐北区|木</t>
  </si>
  <si>
    <t>安佐北区|金</t>
  </si>
  <si>
    <t>安佐北区|土</t>
  </si>
  <si>
    <t>安佐北区|日</t>
  </si>
  <si>
    <t>安芸区|月</t>
  </si>
  <si>
    <t>安芸区|火</t>
  </si>
  <si>
    <t>安芸区|水</t>
  </si>
  <si>
    <t>安芸区|木</t>
  </si>
  <si>
    <t>安芸区|金</t>
  </si>
  <si>
    <t>安芸区|土</t>
  </si>
  <si>
    <t>安芸区|日</t>
  </si>
  <si>
    <t>佐伯区|月</t>
  </si>
  <si>
    <t>佐伯区|火</t>
  </si>
  <si>
    <t>佐伯区|水</t>
  </si>
  <si>
    <t>佐伯区|木</t>
  </si>
  <si>
    <t>佐伯区|金</t>
  </si>
  <si>
    <t>佐伯区|土</t>
  </si>
  <si>
    <t>佐伯区|日</t>
  </si>
  <si>
    <t>⑥ 平均待ち時間・分（区×曜日×15分）</t>
  </si>
  <si>
    <t>⑦ 平均対応時間・分（区×曜日×15分）</t>
  </si>
  <si>
    <t>⑧ 平均滞在時間・分（区×曜日×15分）</t>
  </si>
  <si>
    <t>⑨ 区×月の集計（秒の合計・件数・時間の分布）</t>
  </si>
  <si>
    <t>件数</t>
  </si>
  <si>
    <t>待ち秒合計</t>
  </si>
  <si>
    <t>待ち件数</t>
  </si>
  <si>
    <t>対応秒合計</t>
  </si>
  <si>
    <t>対応件数</t>
  </si>
  <si>
    <t>滞在秒合計</t>
  </si>
  <si>
    <t>滞在件数</t>
  </si>
  <si>
    <t>待ち5分未満</t>
  </si>
  <si>
    <t>待ち5〜10分</t>
  </si>
  <si>
    <t>待ち10〜15分</t>
  </si>
  <si>
    <t>待ち15〜30分</t>
  </si>
  <si>
    <t>待ち30〜60分</t>
  </si>
  <si>
    <t>待ち60分以上</t>
  </si>
  <si>
    <t>対応5分未満</t>
  </si>
  <si>
    <t>対応5〜10分</t>
  </si>
  <si>
    <t>対応10〜15分</t>
  </si>
  <si>
    <t>対応15〜30分</t>
  </si>
  <si>
    <t>対応30〜60分</t>
  </si>
  <si>
    <t>対応60分以上</t>
  </si>
  <si>
    <t>滞在5分未満</t>
  </si>
  <si>
    <t>滞在5〜10分</t>
  </si>
  <si>
    <t>滞在10〜15分</t>
  </si>
  <si>
    <t>滞在15〜30分</t>
  </si>
  <si>
    <t>滞在30〜60分</t>
  </si>
  <si>
    <t>滞在60分以上</t>
  </si>
  <si>
    <t>⑩ 日別（来庁者数 ／ 平均待ち時間 ／ 平均対応時間）</t>
  </si>
  <si>
    <t>日付</t>
  </si>
  <si>
    <t>全区(待ち分)</t>
  </si>
  <si>
    <t>中区(待ち分)</t>
  </si>
  <si>
    <t>東区(待ち分)</t>
  </si>
  <si>
    <t>南区(待ち分)</t>
  </si>
  <si>
    <t>西区(待ち分)</t>
  </si>
  <si>
    <t>安佐南区(待ち分)</t>
  </si>
  <si>
    <t>安佐北区(待ち分)</t>
  </si>
  <si>
    <t>安芸区(待ち分)</t>
  </si>
  <si>
    <t>佐伯区(待ち分)</t>
  </si>
  <si>
    <t>全区(対応分)</t>
  </si>
  <si>
    <t>中区(対応分)</t>
  </si>
  <si>
    <t>東区(対応分)</t>
  </si>
  <si>
    <t>南区(対応分)</t>
  </si>
  <si>
    <t>西区(対応分)</t>
  </si>
  <si>
    <t>安佐南区(対応分)</t>
  </si>
  <si>
    <t>安佐北区(対応分)</t>
  </si>
  <si>
    <t>安芸区(対応分)</t>
  </si>
  <si>
    <t>佐伯区(対応分)</t>
  </si>
  <si>
    <t>⑪ 窓口業務別（区別の件数、平均待ち・対応・滞在）</t>
  </si>
  <si>
    <t>業務名</t>
  </si>
  <si>
    <t>平均待ち(分)</t>
  </si>
  <si>
    <t>平均対応(分)</t>
  </si>
  <si>
    <t>平均滞在(分)</t>
  </si>
  <si>
    <t>証明書の受付</t>
  </si>
  <si>
    <t>マイナンバーカード</t>
  </si>
  <si>
    <t>国民健康保険</t>
  </si>
  <si>
    <t>住所の変更・印鑑登録</t>
  </si>
  <si>
    <t>マイナンバー</t>
  </si>
  <si>
    <t>証明書の交付</t>
  </si>
  <si>
    <t>カード受取・記載変更等</t>
  </si>
  <si>
    <t>住民異動届・印鑑登録</t>
  </si>
  <si>
    <t>ご本人のカードの</t>
  </si>
  <si>
    <t>証明書交付</t>
  </si>
  <si>
    <t>住所の変更</t>
  </si>
  <si>
    <t>国民年金</t>
  </si>
  <si>
    <t>証明申請等</t>
  </si>
  <si>
    <t>個人番号カード（ﾏｲﾅﾝﾊﾞｰ)</t>
  </si>
  <si>
    <t>マイナンバーカード手続</t>
  </si>
  <si>
    <t>戸籍の届出・車臨番</t>
  </si>
  <si>
    <t>戸籍届出・臨時運行許可</t>
  </si>
  <si>
    <t>証明書の発行専用</t>
  </si>
  <si>
    <t>マイナンバーカード受取</t>
  </si>
  <si>
    <t>マイナンバ－カード</t>
  </si>
  <si>
    <t>交付済カード・電子証明の手続</t>
  </si>
  <si>
    <t>戸籍の届出</t>
  </si>
  <si>
    <t>住所の変更など</t>
  </si>
  <si>
    <t>保険年金課</t>
  </si>
  <si>
    <t>高額医療・はりきゅう</t>
  </si>
  <si>
    <t>④ﾏｲﾅﾝﾊﾞｰｶｰﾄﾞ受取・記載変更等</t>
  </si>
  <si>
    <t>戸籍届</t>
  </si>
  <si>
    <t>住所異動届、印鑑届</t>
  </si>
  <si>
    <t>戸籍届出・特別永住者切替</t>
  </si>
  <si>
    <t>印鑑の登録</t>
  </si>
  <si>
    <t>住所の変更・印鑑の登録</t>
  </si>
  <si>
    <t>本人の電子証明・暗証番号</t>
  </si>
  <si>
    <t>市税証明書交付・市税収納</t>
  </si>
  <si>
    <t>印鑑登録</t>
  </si>
  <si>
    <t>戸籍届、特別永住者証明書</t>
  </si>
  <si>
    <t>マイナンバーカードの申請</t>
  </si>
  <si>
    <t>電子証明等（ご本人手続）</t>
  </si>
  <si>
    <t>マイナポータルで</t>
  </si>
  <si>
    <t>自動車臨時運行許可</t>
  </si>
  <si>
    <t>市税の証明・収納/原付標識交付</t>
  </si>
  <si>
    <t>高額療養費・限度額認定証</t>
  </si>
  <si>
    <t>援護事務</t>
  </si>
  <si>
    <t>②援護事務（特別弔慰金など）</t>
  </si>
  <si>
    <t>代理での電子証明・暗証番号</t>
  </si>
  <si>
    <t>ﾏｲﾅﾎﾟｰﾀﾙで予約済住民異動</t>
  </si>
  <si>
    <t>就学事務、住民票に関する相談</t>
  </si>
  <si>
    <t>⑥はり・きゅう施術券</t>
  </si>
  <si>
    <t>電子証明等（代理人手続）</t>
  </si>
  <si>
    <t>就学事務、住民票に関すること</t>
  </si>
  <si>
    <t>④所得申立書</t>
  </si>
  <si>
    <t>計算用シート</t>
  </si>
  <si>
    <t>行番号</t>
  </si>
  <si>
    <t>指標番号</t>
  </si>
  <si>
    <t>指標値</t>
  </si>
  <si>
    <t>時間内</t>
  </si>
  <si>
    <t>時間外</t>
  </si>
  <si>
    <t>来庁者数</t>
  </si>
  <si>
    <t>時刻ラベル</t>
  </si>
  <si>
    <t>終了(分)</t>
  </si>
  <si>
    <t>総数</t>
  </si>
  <si>
    <t>時間外割合</t>
  </si>
  <si>
    <t>ピーク位置</t>
  </si>
  <si>
    <t>ピーク時間帯</t>
  </si>
  <si>
    <t>ピーク人数</t>
  </si>
  <si>
    <t>月番号</t>
  </si>
  <si>
    <t>区の列番号</t>
  </si>
  <si>
    <t>営業日数</t>
  </si>
  <si>
    <t>1日あたり</t>
  </si>
  <si>
    <t>15分以内率(待ち)</t>
  </si>
  <si>
    <t>分布の種類</t>
  </si>
  <si>
    <t>5分未満</t>
  </si>
  <si>
    <t>5〜10分</t>
  </si>
  <si>
    <t>10〜15分</t>
  </si>
  <si>
    <t>15〜30分</t>
  </si>
  <si>
    <t>30〜60分</t>
  </si>
  <si>
    <t>60分以上</t>
  </si>
  <si>
    <t>値</t>
  </si>
  <si>
    <t>ソート用</t>
  </si>
  <si>
    <t>順位の区</t>
  </si>
  <si>
    <t>選択中</t>
  </si>
  <si>
    <t>その他</t>
  </si>
  <si>
    <t>選択月</t>
  </si>
  <si>
    <t>タイトル1</t>
  </si>
  <si>
    <t>タイトル2</t>
  </si>
  <si>
    <t>タイトル3</t>
  </si>
  <si>
    <t>タイトル4</t>
  </si>
  <si>
    <t>単位</t>
  </si>
  <si>
    <t>平均待ち時間</t>
  </si>
  <si>
    <t>平均対応時間</t>
  </si>
  <si>
    <t>平均滞在時間</t>
  </si>
  <si>
    <t>来庁者数集計（令和7年度）</t>
  </si>
  <si>
    <t>番号発券機データ（令和7年4月〜令和8年3月、762,002件）。黄色のセルは選択項目。</t>
  </si>
  <si>
    <t>① 区</t>
  </si>
  <si>
    <t>② 月</t>
  </si>
  <si>
    <t>③ 開始</t>
  </si>
  <si>
    <t>④ 終了</t>
  </si>
  <si>
    <t>⑤ 指標</t>
  </si>
  <si>
    <t>来庁者の合計（人）</t>
  </si>
  <si>
    <t>1日あたり（人）</t>
  </si>
  <si>
    <t>来庁者数最大の15分</t>
  </si>
  <si>
    <t>開庁時間外の割合</t>
  </si>
  <si>
    <t>平均待ち時間（分）</t>
  </si>
  <si>
    <t>15分以内に呼ばれた割合</t>
  </si>
  <si>
    <t>平均対応時間（分）</t>
  </si>
  <si>
    <t>平均滞在時間（分）</t>
  </si>
  <si>
    <t>来庁者数の多い日（上位5日、選択した区）</t>
  </si>
  <si>
    <t>平均待ち時間の長い日（上位5日、選択した区）</t>
  </si>
  <si>
    <t>1位</t>
  </si>
  <si>
    <t>2位</t>
  </si>
  <si>
    <t>3位</t>
  </si>
  <si>
    <t>4位</t>
  </si>
  <si>
    <t>5位</t>
  </si>
  <si>
    <t>注：記録のない区・月がある（中区 12月（14日分のみ）、東区 1月（10日分のみ）、南区 11月（記録なし）、安佐北区 1月（7日分のみ） など）。該当月の人数は少なく表示される。</t>
  </si>
  <si>
    <t>注：開庁時間外＝③〜④の時間帯の前後に発券された件数。待ち＝発券→呼出、対応＝呼出→処理済み、滞在＝発券→処理済み。3時間超の値は平均から除く。</t>
  </si>
  <si>
    <t>③④は開庁時間（案）。⑤は時間帯別・区別・月別グラフの指標。</t>
  </si>
  <si>
    <t>待ち時間・対応時間・滞在時間</t>
  </si>
  <si>
    <t>待ち＝発券→呼出、対応＝呼出→処理済み、滞在＝発券→処理済み（平均・分）</t>
  </si>
  <si>
    <t>区ごとの比較</t>
  </si>
  <si>
    <t>15分以内率</t>
  </si>
  <si>
    <t>30分以内率</t>
  </si>
  <si>
    <t>60分以上待った人</t>
  </si>
  <si>
    <t>待ち＋対応（区別・平均分）</t>
  </si>
  <si>
    <t>待ち時間の分布（区別）</t>
  </si>
  <si>
    <t>注：3時間（180分）を超える値は平均から除く。15分以内率＝待ち時間が15分未満の割合。</t>
  </si>
  <si>
    <t>時間帯別ヒートマップ</t>
  </si>
  <si>
    <t>指標</t>
  </si>
  <si>
    <t>数値は非表示（セルを選択すると数式バーに表示）</t>
  </si>
  <si>
    <t>曜日×時間帯（選択した区）</t>
  </si>
  <si>
    <t>7時</t>
  </si>
  <si>
    <t>8時</t>
  </si>
  <si>
    <t>9時</t>
  </si>
  <si>
    <t>10時</t>
  </si>
  <si>
    <t>11時</t>
  </si>
  <si>
    <t>12時</t>
  </si>
  <si>
    <t>13時</t>
  </si>
  <si>
    <t>14時</t>
  </si>
  <si>
    <t>15時</t>
  </si>
  <si>
    <t>16時</t>
  </si>
  <si>
    <t>17時</t>
  </si>
  <si>
    <t>18時</t>
  </si>
  <si>
    <t>19時</t>
  </si>
  <si>
    <t>20時</t>
  </si>
  <si>
    <t>月×時間帯（選択した区）</t>
  </si>
  <si>
    <t>区別の時間帯分布（各区内で最大の時間帯を最も濃く表示）</t>
  </si>
  <si>
    <t>1年の形</t>
  </si>
  <si>
    <t>凡例</t>
  </si>
  <si>
    <t>小 ← → 大</t>
  </si>
  <si>
    <t>注：平均待ち・対応・滞在は、15件未満の時間帯を0として表示。</t>
  </si>
  <si>
    <t>日別来庁カレンダー</t>
  </si>
  <si>
    <t>注：全区は8区の合計。空白は休庁日または発券なし。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</si>
  <si>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</si>
  <si>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</si>
  <si>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</si>
  <si>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</si>
  <si>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</si>
  <si>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</si>
  <si>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</si>
  <si>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</si>
  <si>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</si>
  <si>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</si>
  <si>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</si>
  <si>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2026年3月</t>
  </si>
  <si>
    <t>開庁時間の比較</t>
  </si>
  <si>
    <t>開庁（開始）</t>
  </si>
  <si>
    <t>閉庁（終了）</t>
  </si>
  <si>
    <t>分に直した値</t>
  </si>
  <si>
    <t>開庁時間内</t>
  </si>
  <si>
    <t>開庁時間外（取りこぼし）</t>
  </si>
  <si>
    <t>時間外の割合</t>
  </si>
  <si>
    <t>開庁時間案の比較（選択した区）</t>
  </si>
  <si>
    <t>案</t>
  </si>
  <si>
    <t>開始</t>
  </si>
  <si>
    <t>終了</t>
  </si>
  <si>
    <t>開庁時間外</t>
  </si>
  <si>
    <t>案A  9:00〜16:30</t>
  </si>
  <si>
    <t>案B  8:45〜16:30</t>
  </si>
  <si>
    <t>案C  8:30〜17:15</t>
  </si>
  <si>
    <t>指定した時間</t>
  </si>
  <si>
    <t>区別の時間外の割合</t>
  </si>
  <si>
    <t>注：案A〜Cは、これまで検討してきた開庁時間案。</t>
  </si>
  <si>
    <t>窓口業務別の集計</t>
  </si>
  <si>
    <t>注：来庁者数は選択した区、平均時間（分）は全区。</t>
  </si>
  <si>
    <t>順位</t>
  </si>
  <si>
    <t>窓口業務</t>
  </si>
  <si>
    <t>割合</t>
  </si>
  <si>
    <t>市民課（市民・保険年金）の発券機データ 取込結果</t>
  </si>
  <si>
    <t>区×年月ごとの15分枠別の発券数と、処理時間（呼出→処理済み）の合計・件数。発券機のCSVから集計した値（マクロ版で取り込み直せる）。</t>
  </si>
  <si>
    <t>取込元</t>
  </si>
  <si>
    <t>初期データ（市民課の発券機CSV、2024年1月〜2025年12月）</t>
  </si>
  <si>
    <t>取込日時</t>
  </si>
  <si>
    <t>発券機CSVから集計済み</t>
  </si>
  <si>
    <t>取込結果</t>
  </si>
  <si>
    <t>ファイル 3,832　重複スキップ 150　取込件数 1,339,669</t>
  </si>
  <si>
    <t>年月</t>
  </si>
  <si>
    <t>発券数</t>
  </si>
  <si>
    <t>処理時間 合計(分)</t>
  </si>
  <si>
    <t>処理時間 件数</t>
  </si>
  <si>
    <t>0:00</t>
  </si>
  <si>
    <t>0:15</t>
  </si>
  <si>
    <t>0:30</t>
  </si>
  <si>
    <t>0:45</t>
  </si>
  <si>
    <t>1:00</t>
  </si>
  <si>
    <t>1:15</t>
  </si>
  <si>
    <t>1:30</t>
  </si>
  <si>
    <t>1:45</t>
  </si>
  <si>
    <t>2:00</t>
  </si>
  <si>
    <t>2:15</t>
  </si>
  <si>
    <t>2:30</t>
  </si>
  <si>
    <t>2:45</t>
  </si>
  <si>
    <t>3:00</t>
  </si>
  <si>
    <t>3:15</t>
  </si>
  <si>
    <t>3:30</t>
  </si>
  <si>
    <t>3:45</t>
  </si>
  <si>
    <t>4:00</t>
  </si>
  <si>
    <t>4:15</t>
  </si>
  <si>
    <t>4:30</t>
  </si>
  <si>
    <t>4:45</t>
  </si>
  <si>
    <t>5:00</t>
  </si>
  <si>
    <t>5:15</t>
  </si>
  <si>
    <t>5:30</t>
  </si>
  <si>
    <t>5:45</t>
  </si>
  <si>
    <t>6:00</t>
  </si>
  <si>
    <t>6:15</t>
  </si>
  <si>
    <t>6:30</t>
  </si>
  <si>
    <t>6:45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</si>
  <si>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</si>
  <si>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</si>
  <si>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</si>
  <si>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</si>
  <si>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</si>
  <si>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</si>
  <si>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</si>
  <si>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</si>
  <si>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</si>
  <si>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</si>
  <si>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</si>
  <si>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</si>
  <si>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厚生部（福祉課等）の発券機データ 取込結果</t>
  </si>
  <si>
    <t>初期データ（厚生部の発券機CSV、令和8年4〜9月）</t>
  </si>
  <si>
    <t>ファイル 809　重複スキップ 22　取込件数 203,959</t>
  </si>
  <si>
    <t>厚生部の業務別 取込結果</t>
  </si>
  <si>
    <t>区分名ごとの15分枠別の発券数と処理時間の合計・件数（全区・全期間）。発券数の多い順に並ぶ。</t>
  </si>
  <si>
    <t>区分名</t>
  </si>
  <si>
    <t>介護保険</t>
  </si>
  <si>
    <t>障害福祉</t>
  </si>
  <si>
    <t>後期高齢者医療・高齢福祉</t>
  </si>
  <si>
    <t>身体・療育手帳</t>
  </si>
  <si>
    <t>児童手当・こども医療</t>
  </si>
  <si>
    <t>精神保健（手帳・医療費）</t>
  </si>
  <si>
    <t>障害福祉サービス</t>
  </si>
  <si>
    <t>保育園等</t>
  </si>
  <si>
    <t>手帳（身体・療育）</t>
  </si>
  <si>
    <t>精神手帳／自立支援医療</t>
  </si>
  <si>
    <t>保育園</t>
  </si>
  <si>
    <t>身体障害者手帳・療育手帳</t>
  </si>
  <si>
    <t>介護保険事業者の方</t>
  </si>
  <si>
    <t>後期高齢者医療保険</t>
  </si>
  <si>
    <t>精神保健（手帳／医療費）</t>
  </si>
  <si>
    <t>自立支援医療・手帳</t>
  </si>
  <si>
    <t>手帳（身体・療育）／難病</t>
  </si>
  <si>
    <t>身体障害者手帳／療育手帳</t>
  </si>
  <si>
    <t>精神保健福祉</t>
  </si>
  <si>
    <t>児童手当、こども医療</t>
  </si>
  <si>
    <t>高齢福祉・後期高齢者医療</t>
  </si>
  <si>
    <t>児童手当・こども医療など</t>
  </si>
  <si>
    <t>後期高齢者医療</t>
  </si>
  <si>
    <t>ひとり親家庭の支援</t>
  </si>
  <si>
    <t>児童手当／こども医療</t>
  </si>
  <si>
    <t>入園相談・申込み</t>
  </si>
  <si>
    <t>ひとり親家庭支援事業</t>
  </si>
  <si>
    <t>その他（在園児の方）</t>
  </si>
  <si>
    <t>高齢者の福祉サービス</t>
  </si>
  <si>
    <t>身体障害者手帳</t>
  </si>
  <si>
    <t>ひとり親関係</t>
  </si>
  <si>
    <t>児童扶養手当・福祉資金等</t>
  </si>
  <si>
    <t>母子健康手帳・子育て相談</t>
  </si>
  <si>
    <t>指定難病／小児慢性</t>
  </si>
  <si>
    <t>地域支えあい課</t>
  </si>
  <si>
    <t>難病</t>
  </si>
  <si>
    <t>母子健康手帳の申請</t>
  </si>
  <si>
    <t>ETC有料道路割引</t>
  </si>
  <si>
    <t>妊産婦・乳幼児の相談</t>
  </si>
  <si>
    <t>被爆者に関する相談・申請</t>
  </si>
  <si>
    <t>高額介護合算療養費</t>
  </si>
  <si>
    <t>保健医療福祉総合相談</t>
  </si>
  <si>
    <t>乳幼児健康診査に関する事</t>
  </si>
  <si>
    <t>予防接種に関すること</t>
  </si>
  <si>
    <t>子どもに関する様々な相談</t>
  </si>
  <si>
    <t>心の健康相談</t>
  </si>
  <si>
    <t>地域団体や</t>
  </si>
  <si>
    <t/>
  </si>
  <si>
    <t>元気じゃ健診／がん健診</t>
  </si>
  <si>
    <t>養護老人ホームや</t>
  </si>
  <si>
    <t>市民部の時間外削減効果</t>
  </si>
  <si>
    <t>削減対象の発券数 × 平均処理時間 ÷ 60 ＝ 削減できる窓口対応時間（時間／年）。発券機のCSVを取り込んで集計する。</t>
  </si>
  <si>
    <t>削減対象の発券時間 開始</t>
  </si>
  <si>
    <t>削減対象の発券時間 終了（これより前）</t>
  </si>
  <si>
    <t>現行の受付終了時刻（15分刻みで集計）</t>
  </si>
  <si>
    <t>集計期間 開始（年月）</t>
  </si>
  <si>
    <t>発券数・平均処理時間とも、この期間で集計</t>
  </si>
  <si>
    <t>集計期間 終了（年月）</t>
  </si>
  <si>
    <t>平均処理時間（分）の指定</t>
  </si>
  <si>
    <t>空欄の場合は実績平均を使用</t>
  </si>
  <si>
    <t>平均処理時間の実績（集計期間）</t>
  </si>
  <si>
    <t>採用する平均処理時間（分）</t>
  </si>
  <si>
    <t>区別</t>
  </si>
  <si>
    <t>削減対象の発券数（件）</t>
  </si>
  <si>
    <t>平均処理時間（分）</t>
  </si>
  <si>
    <t>分</t>
  </si>
  <si>
    <t>削減時間（時間）</t>
  </si>
  <si>
    <t>データのある月数</t>
  </si>
  <si>
    <t>計</t>
  </si>
  <si>
    <t>別添の値</t>
  </si>
  <si>
    <t>区分</t>
  </si>
  <si>
    <t>発券数（件）</t>
  </si>
  <si>
    <t>時間</t>
  </si>
  <si>
    <t>市民部8区役所12ヶ月</t>
  </si>
  <si>
    <t>差（データ−別添）</t>
  </si>
  <si>
    <t>注：別添の発券数（39,988件）は令和7年度の集計。取り込んだCSVの範囲（2024年1月〜2025年12月）では、2025年1〜12月を既定の集計期間としている。</t>
  </si>
  <si>
    <t>注：南区の2025年11月、令和7年度後半など、発券機データのない月がある。「データのある月数」で確認できる。</t>
  </si>
  <si>
    <t>注：取り込んだCSVは、同じ区・同じ日のファイルが複数あるときは最初の1つだけ使う（区をまたいだコピーの混入を防ぐため）。</t>
  </si>
  <si>
    <t>厚生部の時間外削減効果</t>
  </si>
  <si>
    <t>発券機のCSVから、基準時刻以降の発券数を年間に換算し、平均処理時間を掛ける。安芸区のデータがないため、7区の値を×8÷7で8区に換算。</t>
  </si>
  <si>
    <t>基準時刻（これ以降の発券）</t>
  </si>
  <si>
    <t>15分刻みで集計</t>
  </si>
  <si>
    <t>空欄の場合は集計期間の実績平均を使用</t>
  </si>
  <si>
    <t>集計期間（年月〜年月）</t>
  </si>
  <si>
    <t>基準以降の発券数（期間計）</t>
  </si>
  <si>
    <t>月平均（件）</t>
  </si>
  <si>
    <t>年間換算（件）</t>
  </si>
  <si>
    <t>削減時間（時間／年）</t>
  </si>
  <si>
    <t>7区計</t>
  </si>
  <si>
    <t>8区換算（×8÷7）</t>
  </si>
  <si>
    <t>発券数（2ヶ月）</t>
  </si>
  <si>
    <t>12ヶ月換算</t>
  </si>
  <si>
    <t>8区換算</t>
  </si>
  <si>
    <t>厚生部7区役所（安芸区除く）2ヶ月</t>
  </si>
  <si>
    <t>月別の発券数（全時間帯）</t>
  </si>
  <si>
    <t>基準以降</t>
  </si>
  <si>
    <t>業務別（件数の多い15件、取り込んだ全期間・全区）</t>
  </si>
  <si>
    <t>基準以降の発券数</t>
  </si>
  <si>
    <t>注：「全区」フォルダは各区ファイルのコピーのため取り込まない。同じ区・同じ日のファイルが複数あるときは最初の1つだけ使う。東区は8・9月のデータがない。安芸区のデータはない。</t>
  </si>
  <si>
    <t>注：平均処理時間は呼出→処理済み（外れ値は除いていない）。月別の表は集計期間の先頭から最大6か月分を表示する（計算は集計期間の全体）。</t>
  </si>
  <si>
    <t>時間外削減効果（市民部・厚生部）</t>
  </si>
  <si>
    <t>窓口の受付時間を短縮した場合に減らせる、時間外の窓口対応時間の見込み（時間／年）。</t>
  </si>
  <si>
    <t>削減効果</t>
  </si>
  <si>
    <t>削減対象の発券数（年間・件）</t>
  </si>
  <si>
    <t>削減効果（時間／年）</t>
  </si>
  <si>
    <t>別添の値（時間／年）</t>
  </si>
  <si>
    <t>差</t>
  </si>
  <si>
    <t>市民部（8区役所）</t>
  </si>
  <si>
    <t>厚生部（8区役所に換算）</t>
  </si>
  <si>
    <t>時間外勤務の実績との比較（令和7年度、給与課提供）</t>
  </si>
  <si>
    <t>時間外勤務の実績（時間）</t>
  </si>
  <si>
    <t>削減効果（時間）</t>
  </si>
  <si>
    <t>実績に対する割合</t>
  </si>
  <si>
    <t>市民部（市民課・保険年金課）</t>
  </si>
  <si>
    <t>厚生部（地域支えあい課・福祉課）</t>
  </si>
  <si>
    <t>職員ベースの試算（別添「区役所別集計」）</t>
  </si>
  <si>
    <t>年間削減時間（時間）。正規職員数×1日の削減時間×営業日数</t>
  </si>
  <si>
    <t>区別：職員ベースの試算とデータ算出（時間／年）</t>
  </si>
  <si>
    <t>市民課（職員ベース）</t>
  </si>
  <si>
    <t>市民部（データ）</t>
  </si>
  <si>
    <t>福祉課（職員ベース）</t>
  </si>
  <si>
    <t>厚生部（データ）</t>
  </si>
  <si>
    <t>注：厚生部の安芸区は7区計÷7で補完。</t>
  </si>
  <si>
    <t>職員ベースの設定（別添「区役所別集計」の値）</t>
  </si>
  <si>
    <t>市民課の正規職員（人）</t>
  </si>
  <si>
    <t>福祉課の正規職員（人）</t>
  </si>
  <si>
    <t>1人あたり1日の削減時間（時間）</t>
  </si>
  <si>
    <t>年間の営業日数（日）</t>
  </si>
  <si>
    <t>職員ベース 年間削減時間（時間）</t>
  </si>
  <si>
    <t>算出方法</t>
  </si>
  <si>
    <t>(1) 市民部：2025年1〜12月の16:30〜17:15の発券数 × 同期間の平均処理時間（呼出→処理済み）。いずれも発券機のCSVから集計。</t>
  </si>
  <si>
    <t>(2) 厚生部：令和8年4〜9月の16:30以降の発券数を区ごとに月平均×12で年間換算し、期間の平均処理時間を掛ける。安芸区は7区計×8÷7で換算。</t>
  </si>
  <si>
    <t>(3) 平均処理時間・基準時刻・集計期間は、市民部・厚生部シートの黄色のセルで変更できる。</t>
  </si>
  <si>
    <t>計算の説明（どのデータを、どんな条件で、どう計算しているか）</t>
  </si>
  <si>
    <t>数字は、各シートの値をそのまま表示しています。条件を変えると、ここも変わります。</t>
  </si>
  <si>
    <t>1. 何を計算しているか</t>
  </si>
  <si>
    <t>窓口の受付を16:30で終わりにした場合、16:30以降に来た人の対応にかかっていた時間（＝減らせる時間外の窓口対応時間）が、1年でどれくらいになるかを求めています。</t>
  </si>
  <si>
    <t>2. 使っているデータ</t>
  </si>
  <si>
    <t>市民部（市民課）</t>
  </si>
  <si>
    <t>厚生部（福祉課など）</t>
  </si>
  <si>
    <t>項目</t>
  </si>
  <si>
    <t>元のデータ</t>
  </si>
  <si>
    <t>市民課の番号発券機のCSV（1日1ファイル、区ごとのフォルダ）</t>
  </si>
  <si>
    <t>厚生部の番号発券機のCSV（令和8年のR8.○月フォルダ、区ごと）</t>
  </si>
  <si>
    <t>CSVから読む項目</t>
  </si>
  <si>
    <t>発券した時刻、呼び出した時刻、処理が済んだ時刻</t>
  </si>
  <si>
    <t>同左（さらに窓口の業務の種類）</t>
  </si>
  <si>
    <t>データの範囲</t>
  </si>
  <si>
    <t>2024年1月〜2025年12月（計算に使うのは「市民部」シートの集計期間）</t>
  </si>
  <si>
    <t>令和8年4月〜9月</t>
  </si>
  <si>
    <t>ないデータ</t>
  </si>
  <si>
    <t>南区の2025年11月など、記録のない月がある</t>
  </si>
  <si>
    <t>東区の8・9月、安芸区は全期間ない</t>
  </si>
  <si>
    <t>使わないファイル</t>
  </si>
  <si>
    <t>「全区」フォルダ（各区のコピー）。同じ区・同じ日のファイルが重複しているときは1つだけ使う。</t>
  </si>
  <si>
    <t>同左</t>
  </si>
  <si>
    <t>取り込んだ件数（発券）</t>
  </si>
  <si>
    <t>3. 計算の条件</t>
  </si>
  <si>
    <t>市民部</t>
  </si>
  <si>
    <t>厚生部</t>
  </si>
  <si>
    <t>減らす時間帯</t>
  </si>
  <si>
    <t>集計する期間</t>
  </si>
  <si>
    <t>1年分への直し方</t>
  </si>
  <si>
    <t>集計期間が1年分なので、そのまま使う</t>
  </si>
  <si>
    <t>区ごとに「1か月あたりの件数」を出して12倍する。データのない区（安芸区）は、他の7区の合計を8÷7倍して補う</t>
  </si>
  <si>
    <t>1件あたりの処理時間</t>
  </si>
  <si>
    <t>集計期間の平均（呼出から処理済みまで）</t>
  </si>
  <si>
    <t>時刻の細かさ</t>
  </si>
  <si>
    <t>15分ごとにまとめて数える</t>
  </si>
  <si>
    <t>4. 計算の手順</t>
  </si>
  <si>
    <t>内容</t>
  </si>
  <si>
    <t>数値</t>
  </si>
  <si>
    <t>① 対象の人数</t>
  </si>
  <si>
    <t>減らす時間帯に発券した件数（8区の合計）</t>
  </si>
  <si>
    <t>② 平均処理時間（分）</t>
  </si>
  <si>
    <t>1人の対応にかかった時間の平均</t>
  </si>
  <si>
    <t>③ 合計の時間（分）</t>
  </si>
  <si>
    <t>① × ②</t>
  </si>
  <si>
    <t>④ 減らせる時間（時間）</t>
  </si>
  <si>
    <t>③ ÷ 60（分を時間に直す）</t>
  </si>
  <si>
    <t>① 対象の人数（期間計）</t>
  </si>
  <si>
    <t>基準時刻以降に発券した件数（7区の合計）</t>
  </si>
  <si>
    <t>② 1年分に直す</t>
  </si>
  <si>
    <t>区ごとに 件数 ÷ データのある月数 × 12 をして合計</t>
  </si>
  <si>
    <t>③ 8区に換算</t>
  </si>
  <si>
    <t>② × 8 ÷ 7（安芸区の分を補う）</t>
  </si>
  <si>
    <t>④ 平均処理時間（分）</t>
  </si>
  <si>
    <t>⑤ 減らせる時間（時間）</t>
  </si>
  <si>
    <t>③ × ④ ÷ 60</t>
  </si>
  <si>
    <t>合計（時間／年）</t>
  </si>
  <si>
    <t>市民部 ＋ 厚生部。「時間外削減効果」シートの合計と同じ</t>
  </si>
  <si>
    <t>5. 見るときの注意</t>
  </si>
  <si>
    <t>・記録のない月がある区は、その月の人数が少なく出る（市民部の「データのある月数」で確認できる）。</t>
  </si>
  <si>
    <t>・厚生部は半年分のデータを12倍しているので、月による来庁数の違い（繁忙期など）は反映されていない。</t>
  </si>
  <si>
    <t>・処理時間は、呼出から処理済みまでの時間。長く放置された件も除かずに平均している。</t>
  </si>
  <si>
    <t>・別添の値（市民部6,131時間、厚生部10,373時間）とは、期間やデータの範囲が違うため、少し差が出る。</t>
  </si>
  <si>
    <t>→ 時間外削減効果の総括へ</t>
  </si>
  <si>
    <t>来庁者数・窓口時間の集計</t>
  </si>
  <si>
    <t>番号発券機データ（令和7年4月〜令和8年3月、762,002件）を集計。市民部・厚生部の削減効果は、発券機のCSVを取り込んで計算。</t>
  </si>
  <si>
    <t>シート</t>
  </si>
  <si>
    <t>計算の説明</t>
  </si>
  <si>
    <t>どのデータを、どんな条件で、どう計算しているか（初めに読むシート）</t>
  </si>
  <si>
    <t>ダッシュボード</t>
  </si>
  <si>
    <t>区・月・開庁時間・指標を選択して、来庁者数と待ち時間等を表示</t>
  </si>
  <si>
    <t>時間外削減効果</t>
  </si>
  <si>
    <t>市民部・厚生部の時間外削減効果（総括）</t>
  </si>
  <si>
    <t>市民部の削減効果の計算（発券機CSVの取込＋発券数×平均処理時間）</t>
  </si>
  <si>
    <t>厚生部の削減効果の計算（発券機CSVの取込＋発券数×平均処理時間）</t>
  </si>
  <si>
    <t>待ち・対応時間</t>
  </si>
  <si>
    <t>区別の待ち時間・対応時間・滞在時間、待ち時間の分布</t>
  </si>
  <si>
    <t>ヒートマップ</t>
  </si>
  <si>
    <t>曜日×時間、月×時間、区別の時間帯分布</t>
  </si>
  <si>
    <t>カレンダー</t>
  </si>
  <si>
    <t>日別の来庁者数・平均待ち・平均対応</t>
  </si>
  <si>
    <t>シミュレーター</t>
  </si>
  <si>
    <t>開庁時間案ごとの時間外の発券数</t>
  </si>
  <si>
    <t>業務ランキング</t>
  </si>
  <si>
    <t>窓口業務別の件数と平均時間</t>
  </si>
  <si>
    <t>データ</t>
  </si>
  <si>
    <t>集計データ</t>
  </si>
  <si>
    <t>取込_市民部</t>
  </si>
  <si>
    <t>市民部・厚生部のCSV取込結果（取込_市民部／取込_厚生部／取込_業務別）</t>
  </si>
  <si>
    <t>用語</t>
  </si>
  <si>
    <t>発券</t>
  </si>
  <si>
    <t>番号札を取ること。来庁1件として数える。</t>
  </si>
  <si>
    <t>待ち時間</t>
  </si>
  <si>
    <t>発券から呼出まで。</t>
  </si>
  <si>
    <t>対応時間（処理時間）</t>
  </si>
  <si>
    <t>呼出から処理済みまで。</t>
  </si>
  <si>
    <t>滞在時間</t>
  </si>
  <si>
    <t>発券から処理済みまで（待ち＋対応）。</t>
  </si>
  <si>
    <t>指定した開庁時間の前後に発券された件数。</t>
  </si>
  <si>
    <t>注意</t>
  </si>
  <si>
    <t>(1)</t>
  </si>
  <si>
    <t>3時間を超える待ち・対応時間は平均から除く。処理済みの時刻がない件（約5%）は対応・滞在の平均に含まれない。</t>
  </si>
  <si>
    <t>(2)</t>
  </si>
  <si>
    <t>記録のない区・月がある：中区 12月（14日分のみ）、東区 1月（10日分のみ）、南区 11月（記録なし）、安佐北区 1月（7日分のみ）。該当月の人数は少なく表示される。</t>
  </si>
  <si>
    <t>(3)</t>
  </si>
  <si>
    <t>黄色のセルは選択・入力項目。</t>
  </si>
  <si>
    <t>(4)</t>
  </si>
  <si>
    <t>市民部・厚生部の数字は、発券機CSVを集計した取込_○○のシートの値から計算している（このファイルはマクロなし。CSVの取り込み直しはマクロ版で行う）。</t>
  </si>
</sst>
</file>

<file path=xl/styles.xml><?xml version="1.0" encoding="utf-8"?>
<styleSheet xmlns="http://schemas.openxmlformats.org/spreadsheetml/2006/main">
  <numFmts count="15">
    <numFmt numFmtId="164" formatCode="h:mm"/>
    <numFmt numFmtId="165" formatCode="#,##0"/>
    <numFmt numFmtId="166" formatCode="@"/>
    <numFmt numFmtId="167" formatCode="0.0%"/>
    <numFmt numFmtId="168" formatCode="0.0"/>
    <numFmt numFmtId="169" formatCode="yyyy/m/d (aaa)"/>
    <numFmt numFmtId="170" formatCode="0.00"/>
    <numFmt numFmtId="171" formatCode="+0.0%;-0.0%;0.0%"/>
    <numFmt numFmtId="172" formatCode="#,##0.00"/>
    <numFmt numFmtId="173" formatCode="0000&quot;/&quot;00"/>
    <numFmt numFmtId="174" formatCode="+#,##0;-#,##0;0"/>
    <numFmt numFmtId="175" formatCode="#,##0.0"/>
    <numFmt numFmtId="176" formatCode=";;;"/>
    <numFmt numFmtId="177" formatCode="d"/>
    <numFmt numFmtId="178" formatCode="yyyy/mm/dd"/>
  </numFmts>
  <fonts count="23">
    <font>
      <sz val="11"/>
      <color theme="1"/>
      <name val="Calibri"/>
      <family val="2"/>
      <scheme val="minor"/>
    </font>
    <font>
      <b/>
      <sz val="14"/>
      <color theme="1"/>
      <name val="Meiryo UI"/>
      <family val="2"/>
    </font>
    <font>
      <sz val="10"/>
      <color rgb="FF595959"/>
      <name val="Meiryo UI"/>
      <family val="2"/>
    </font>
    <font>
      <b/>
      <sz val="11"/>
      <color theme="1"/>
      <name val="Meiryo UI"/>
      <family val="2"/>
    </font>
    <font>
      <u/>
      <sz val="12"/>
      <color rgb="FF0563C1"/>
      <name val="Meiryo UI"/>
      <family val="2"/>
    </font>
    <font>
      <sz val="10"/>
      <color theme="1"/>
      <name val="Meiryo UI"/>
      <family val="2"/>
    </font>
    <font>
      <b/>
      <sz val="10"/>
      <color theme="1"/>
      <name val="Meiryo UI"/>
      <family val="2"/>
    </font>
    <font>
      <sz val="9"/>
      <color rgb="FF595959"/>
      <name val="Meiryo UI"/>
      <family val="2"/>
    </font>
    <font>
      <b/>
      <sz val="16"/>
      <color theme="1"/>
      <name val="Meiryo UI"/>
      <family val="2"/>
    </font>
    <font>
      <b/>
      <sz val="15"/>
      <color theme="1"/>
      <name val="Meiryo UI"/>
      <family val="2"/>
    </font>
    <font>
      <b/>
      <sz val="9"/>
      <color theme="1"/>
      <name val="Meiryo UI"/>
      <family val="2"/>
    </font>
    <font>
      <sz val="6"/>
      <color rgb="FFFFFFFF"/>
      <name val="Meiryo UI"/>
      <family val="2"/>
    </font>
    <font>
      <sz val="8"/>
      <color theme="1"/>
      <name val="Meiryo UI"/>
      <family val="2"/>
    </font>
    <font>
      <sz val="11"/>
      <color theme="1"/>
      <name val="Meiryo UI"/>
      <family val="2"/>
    </font>
    <font>
      <b/>
      <sz val="9"/>
      <color rgb="FF1F4E79"/>
      <name val="Meiryo UI"/>
      <family val="2"/>
    </font>
    <font>
      <b/>
      <sz val="9"/>
      <color rgb="FFC00000"/>
      <name val="Meiryo UI"/>
      <family val="2"/>
    </font>
    <font>
      <sz val="8"/>
      <color rgb="FF595959"/>
      <name val="Meiryo UI"/>
      <family val="2"/>
    </font>
    <font>
      <sz val="10"/>
      <color rgb="FF44546A"/>
      <name val="Meiryo UI"/>
      <family val="2"/>
    </font>
    <font>
      <b/>
      <sz val="18"/>
      <color rgb="FF44546A"/>
      <name val="Meiryo UI"/>
      <family val="2"/>
    </font>
    <font>
      <b/>
      <sz val="18"/>
      <color rgb="FF4472C4"/>
      <name val="Meiryo UI"/>
      <family val="2"/>
    </font>
    <font>
      <b/>
      <sz val="18"/>
      <color rgb="FFED7D31"/>
      <name val="Meiryo UI"/>
      <family val="2"/>
    </font>
    <font>
      <b/>
      <sz val="18"/>
      <color rgb="FFC00000"/>
      <name val="Meiryo UI"/>
      <family val="2"/>
    </font>
    <font>
      <sz val="9"/>
      <color theme="1"/>
      <name val="Meiryo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CBD9E7"/>
        <bgColor indexed="64"/>
      </patternFill>
    </fill>
    <fill>
      <patternFill patternType="solid">
        <fgColor rgb="FF9DB9D5"/>
        <bgColor indexed="64"/>
      </patternFill>
    </fill>
    <fill>
      <patternFill patternType="solid">
        <fgColor rgb="FF5B8DB8"/>
        <bgColor indexed="64"/>
      </patternFill>
    </fill>
    <fill>
      <patternFill patternType="solid">
        <fgColor rgb="FF1F4E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ck">
        <color rgb="FF44546A"/>
      </top>
      <bottom/>
      <diagonal/>
    </border>
    <border>
      <left/>
      <right/>
      <top style="thick">
        <color rgb="FF4472C4"/>
      </top>
      <bottom/>
      <diagonal/>
    </border>
    <border>
      <left/>
      <right/>
      <top style="thick">
        <color rgb="FFED7D31"/>
      </top>
      <bottom/>
      <diagonal/>
    </border>
    <border>
      <left/>
      <right/>
      <top style="thick">
        <color rgb="FFC00000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 vertical="center"/>
    </xf>
    <xf numFmtId="167" fontId="8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8" fontId="8" fillId="0" borderId="5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170" fontId="5" fillId="0" borderId="2" xfId="0" applyNumberFormat="1" applyFont="1" applyBorder="1" applyAlignment="1">
      <alignment vertical="center"/>
    </xf>
    <xf numFmtId="171" fontId="5" fillId="0" borderId="2" xfId="0" applyNumberFormat="1" applyFont="1" applyBorder="1" applyAlignment="1">
      <alignment vertical="center"/>
    </xf>
    <xf numFmtId="165" fontId="6" fillId="5" borderId="7" xfId="0" applyNumberFormat="1" applyFont="1" applyFill="1" applyBorder="1" applyAlignment="1">
      <alignment vertical="center"/>
    </xf>
    <xf numFmtId="165" fontId="6" fillId="0" borderId="2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7" fontId="6" fillId="0" borderId="2" xfId="0" applyNumberFormat="1" applyFont="1" applyBorder="1" applyAlignment="1">
      <alignment vertical="center"/>
    </xf>
    <xf numFmtId="170" fontId="3" fillId="3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165" fontId="5" fillId="0" borderId="2" xfId="0" applyNumberFormat="1" applyFont="1" applyBorder="1" applyAlignment="1">
      <alignment vertical="top"/>
    </xf>
    <xf numFmtId="172" fontId="5" fillId="0" borderId="2" xfId="0" applyNumberFormat="1" applyFont="1" applyBorder="1" applyAlignment="1">
      <alignment vertical="top"/>
    </xf>
    <xf numFmtId="165" fontId="3" fillId="5" borderId="7" xfId="0" applyNumberFormat="1" applyFont="1" applyFill="1" applyBorder="1" applyAlignment="1">
      <alignment vertical="top"/>
    </xf>
    <xf numFmtId="173" fontId="3" fillId="3" borderId="3" xfId="0" applyNumberFormat="1" applyFont="1" applyFill="1" applyBorder="1" applyAlignment="1">
      <alignment horizontal="center" vertical="center"/>
    </xf>
    <xf numFmtId="170" fontId="6" fillId="0" borderId="2" xfId="0" applyNumberFormat="1" applyFont="1" applyBorder="1" applyAlignment="1">
      <alignment vertical="center"/>
    </xf>
    <xf numFmtId="174" fontId="5" fillId="0" borderId="2" xfId="0" applyNumberFormat="1" applyFont="1" applyBorder="1" applyAlignment="1">
      <alignment vertical="center"/>
    </xf>
    <xf numFmtId="175" fontId="5" fillId="0" borderId="2" xfId="0" applyNumberFormat="1" applyFont="1" applyBorder="1" applyAlignment="1">
      <alignment vertical="center"/>
    </xf>
    <xf numFmtId="173" fontId="6" fillId="4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168" fontId="5" fillId="0" borderId="2" xfId="0" applyNumberFormat="1" applyFont="1" applyBorder="1" applyAlignment="1">
      <alignment vertical="center"/>
    </xf>
    <xf numFmtId="0" fontId="10" fillId="2" borderId="8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176" fontId="12" fillId="0" borderId="8" xfId="0" applyNumberFormat="1" applyFont="1" applyBorder="1" applyAlignment="1">
      <alignment vertical="center"/>
    </xf>
    <xf numFmtId="0" fontId="13" fillId="6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13" fillId="10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77" fontId="16" fillId="0" borderId="0" xfId="0" applyNumberFormat="1" applyFont="1" applyAlignment="1">
      <alignment horizontal="left" vertical="center"/>
    </xf>
    <xf numFmtId="165" fontId="17" fillId="0" borderId="8" xfId="0" applyNumberFormat="1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165" fontId="18" fillId="5" borderId="13" xfId="0" applyNumberFormat="1" applyFont="1" applyFill="1" applyBorder="1" applyAlignment="1">
      <alignment horizontal="center" vertical="center"/>
    </xf>
    <xf numFmtId="165" fontId="19" fillId="5" borderId="13" xfId="0" applyNumberFormat="1" applyFont="1" applyFill="1" applyBorder="1" applyAlignment="1">
      <alignment horizontal="center" vertical="center"/>
    </xf>
    <xf numFmtId="165" fontId="20" fillId="5" borderId="13" xfId="0" applyNumberFormat="1" applyFont="1" applyFill="1" applyBorder="1" applyAlignment="1">
      <alignment horizontal="center" vertical="center"/>
    </xf>
    <xf numFmtId="167" fontId="21" fillId="5" borderId="13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0" borderId="0" xfId="0" applyFont="1" applyAlignment="1">
      <alignment vertical="top" wrapText="1"/>
    </xf>
    <xf numFmtId="178" fontId="5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" fontId="22" fillId="0" borderId="0" xfId="0" applyNumberFormat="1" applyFont="1" applyAlignment="1">
      <alignment vertical="center"/>
    </xf>
    <xf numFmtId="165" fontId="22" fillId="0" borderId="0" xfId="0" applyNumberFormat="1" applyFont="1" applyAlignment="1">
      <alignment vertical="center"/>
    </xf>
    <xf numFmtId="175" fontId="22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ont>
        <color rgb="FFFFFFFF"/>
      </font>
    </dxf>
    <dxf>
      <numFmt numFmtId="168" formatCode="0.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'計算'!$B$70</c:f>
          <c:strCache>
            <c:ptCount val="1"/>
            <c:pt idx="0">
              <c:v>時間帯別（15分ごと）の来庁者数</c:v>
            </c:pt>
          </c:strCache>
        </c:strRef>
      </c:tx>
      <c:layout/>
      <c:txPr>
        <a:bodyPr/>
        <a:lstStyle/>
        <a:p>
          <a:pPr>
            <a:defRPr sz="1100" b="1" baseline="0">
              <a:solidFill>
                <a:srgbClr val="44546A"/>
              </a:solidFill>
              <a:latin typeface="Meiryo UI"/>
            </a:defRPr>
          </a:pPr>
          <a:endParaRPr lang="en-US"/>
        </a:p>
      </c:txPr>
    </c:title>
    <c:plotArea>
      <c:layout/>
      <c:barChart>
        <c:barDir val="col"/>
        <c:grouping val="stacked"/>
        <c:ser>
          <c:idx val="0"/>
          <c:order val="0"/>
          <c:tx>
            <c:v>開庁時間内</c:v>
          </c:tx>
          <c:spPr>
            <a:solidFill>
              <a:srgbClr val="4472C4"/>
            </a:solidFill>
          </c:spPr>
          <c:cat>
            <c:strRef>
              <c:f>計算!$B$4:$BE$4</c:f>
              <c:strCache>
                <c:ptCount val="56"/>
                <c:pt idx="0">
                  <c:v>7:00</c:v>
                </c:pt>
                <c:pt idx="1">
                  <c:v>7:15</c:v>
                </c:pt>
                <c:pt idx="2">
                  <c:v>7:30</c:v>
                </c:pt>
                <c:pt idx="3">
                  <c:v>7:45</c:v>
                </c:pt>
                <c:pt idx="4">
                  <c:v>8:00</c:v>
                </c:pt>
                <c:pt idx="5">
                  <c:v>8:15</c:v>
                </c:pt>
                <c:pt idx="6">
                  <c:v>8:30</c:v>
                </c:pt>
                <c:pt idx="7">
                  <c:v>8:45</c:v>
                </c:pt>
                <c:pt idx="8">
                  <c:v>9:00</c:v>
                </c:pt>
                <c:pt idx="9">
                  <c:v>9:15</c:v>
                </c:pt>
                <c:pt idx="10">
                  <c:v>9:30</c:v>
                </c:pt>
                <c:pt idx="11">
                  <c:v>9:45</c:v>
                </c:pt>
                <c:pt idx="12">
                  <c:v>10:00</c:v>
                </c:pt>
                <c:pt idx="13">
                  <c:v>10:15</c:v>
                </c:pt>
                <c:pt idx="14">
                  <c:v>10:30</c:v>
                </c:pt>
                <c:pt idx="15">
                  <c:v>10:45</c:v>
                </c:pt>
                <c:pt idx="16">
                  <c:v>11:00</c:v>
                </c:pt>
                <c:pt idx="17">
                  <c:v>11:15</c:v>
                </c:pt>
                <c:pt idx="18">
                  <c:v>11:30</c:v>
                </c:pt>
                <c:pt idx="19">
                  <c:v>11:45</c:v>
                </c:pt>
                <c:pt idx="20">
                  <c:v>12:00</c:v>
                </c:pt>
                <c:pt idx="21">
                  <c:v>12:15</c:v>
                </c:pt>
                <c:pt idx="22">
                  <c:v>12:30</c:v>
                </c:pt>
                <c:pt idx="23">
                  <c:v>12:45</c:v>
                </c:pt>
                <c:pt idx="24">
                  <c:v>13:00</c:v>
                </c:pt>
                <c:pt idx="25">
                  <c:v>13:15</c:v>
                </c:pt>
                <c:pt idx="26">
                  <c:v>13:30</c:v>
                </c:pt>
                <c:pt idx="27">
                  <c:v>13:45</c:v>
                </c:pt>
                <c:pt idx="28">
                  <c:v>14:00</c:v>
                </c:pt>
                <c:pt idx="29">
                  <c:v>14:15</c:v>
                </c:pt>
                <c:pt idx="30">
                  <c:v>14:30</c:v>
                </c:pt>
                <c:pt idx="31">
                  <c:v>14:45</c:v>
                </c:pt>
                <c:pt idx="32">
                  <c:v>15:00</c:v>
                </c:pt>
                <c:pt idx="33">
                  <c:v>15:15</c:v>
                </c:pt>
                <c:pt idx="34">
                  <c:v>15:30</c:v>
                </c:pt>
                <c:pt idx="35">
                  <c:v>15:45</c:v>
                </c:pt>
                <c:pt idx="36">
                  <c:v>16:00</c:v>
                </c:pt>
                <c:pt idx="37">
                  <c:v>16:15</c:v>
                </c:pt>
                <c:pt idx="38">
                  <c:v>16:30</c:v>
                </c:pt>
                <c:pt idx="39">
                  <c:v>16:45</c:v>
                </c:pt>
                <c:pt idx="40">
                  <c:v>17:00</c:v>
                </c:pt>
                <c:pt idx="41">
                  <c:v>17:15</c:v>
                </c:pt>
                <c:pt idx="42">
                  <c:v>17:30</c:v>
                </c:pt>
                <c:pt idx="43">
                  <c:v>17:45</c:v>
                </c:pt>
                <c:pt idx="44">
                  <c:v>18:00</c:v>
                </c:pt>
                <c:pt idx="45">
                  <c:v>18:15</c:v>
                </c:pt>
                <c:pt idx="46">
                  <c:v>18:30</c:v>
                </c:pt>
                <c:pt idx="47">
                  <c:v>18:45</c:v>
                </c:pt>
                <c:pt idx="48">
                  <c:v>19:00</c:v>
                </c:pt>
                <c:pt idx="49">
                  <c:v>19:15</c:v>
                </c:pt>
                <c:pt idx="50">
                  <c:v>19:30</c:v>
                </c:pt>
                <c:pt idx="51">
                  <c:v>19:45</c:v>
                </c:pt>
                <c:pt idx="52">
                  <c:v>20:00</c:v>
                </c:pt>
                <c:pt idx="53">
                  <c:v>20:15</c:v>
                </c:pt>
                <c:pt idx="54">
                  <c:v>20:30</c:v>
                </c:pt>
                <c:pt idx="55">
                  <c:v>20:45</c:v>
                </c:pt>
              </c:strCache>
            </c:strRef>
          </c:cat>
          <c:val>
            <c:numRef>
              <c:f>計算!$B$7:$BE$7</c:f>
              <c:numCache>
                <c:formatCode>General</c:formatCode>
                <c:ptCount val="5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18795.0</c:v>
                </c:pt>
                <c:pt idx="9">
                  <c:v>21042.0</c:v>
                </c:pt>
                <c:pt idx="10">
                  <c:v>22530.0</c:v>
                </c:pt>
                <c:pt idx="11">
                  <c:v>23911.0</c:v>
                </c:pt>
                <c:pt idx="12">
                  <c:v>25200.0</c:v>
                </c:pt>
                <c:pt idx="13">
                  <c:v>26206.0</c:v>
                </c:pt>
                <c:pt idx="14">
                  <c:v>26217.0</c:v>
                </c:pt>
                <c:pt idx="15">
                  <c:v>26186.0</c:v>
                </c:pt>
                <c:pt idx="16">
                  <c:v>25985.0</c:v>
                </c:pt>
                <c:pt idx="17">
                  <c:v>24776.0</c:v>
                </c:pt>
                <c:pt idx="18">
                  <c:v>23366.0</c:v>
                </c:pt>
                <c:pt idx="19">
                  <c:v>21302.0</c:v>
                </c:pt>
                <c:pt idx="20">
                  <c:v>20028.0</c:v>
                </c:pt>
                <c:pt idx="21">
                  <c:v>19497.0</c:v>
                </c:pt>
                <c:pt idx="22">
                  <c:v>19397.0</c:v>
                </c:pt>
                <c:pt idx="23">
                  <c:v>19438.0</c:v>
                </c:pt>
                <c:pt idx="24">
                  <c:v>20947.0</c:v>
                </c:pt>
                <c:pt idx="25">
                  <c:v>22841.0</c:v>
                </c:pt>
                <c:pt idx="26">
                  <c:v>23475.0</c:v>
                </c:pt>
                <c:pt idx="27">
                  <c:v>24330.0</c:v>
                </c:pt>
                <c:pt idx="28">
                  <c:v>24146.0</c:v>
                </c:pt>
                <c:pt idx="29">
                  <c:v>24119.0</c:v>
                </c:pt>
                <c:pt idx="30">
                  <c:v>23771.0</c:v>
                </c:pt>
                <c:pt idx="31">
                  <c:v>22927.0</c:v>
                </c:pt>
                <c:pt idx="32">
                  <c:v>22391.0</c:v>
                </c:pt>
                <c:pt idx="33">
                  <c:v>21913.0</c:v>
                </c:pt>
                <c:pt idx="34">
                  <c:v>21830.0</c:v>
                </c:pt>
                <c:pt idx="35">
                  <c:v>20933.0</c:v>
                </c:pt>
                <c:pt idx="36">
                  <c:v>20714.0</c:v>
                </c:pt>
                <c:pt idx="37">
                  <c:v>20176.0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</c:numCache>
            </c:numRef>
          </c:val>
        </c:ser>
        <c:ser>
          <c:idx val="1"/>
          <c:order val="1"/>
          <c:tx>
            <c:v>開庁時間外</c:v>
          </c:tx>
          <c:spPr>
            <a:solidFill>
              <a:srgbClr val="ED7D31"/>
            </a:solidFill>
          </c:spPr>
          <c:cat>
            <c:strRef>
              <c:f>計算!$B$4:$BE$4</c:f>
              <c:strCache>
                <c:ptCount val="56"/>
                <c:pt idx="0">
                  <c:v>7:00</c:v>
                </c:pt>
                <c:pt idx="1">
                  <c:v>7:15</c:v>
                </c:pt>
                <c:pt idx="2">
                  <c:v>7:30</c:v>
                </c:pt>
                <c:pt idx="3">
                  <c:v>7:45</c:v>
                </c:pt>
                <c:pt idx="4">
                  <c:v>8:00</c:v>
                </c:pt>
                <c:pt idx="5">
                  <c:v>8:15</c:v>
                </c:pt>
                <c:pt idx="6">
                  <c:v>8:30</c:v>
                </c:pt>
                <c:pt idx="7">
                  <c:v>8:45</c:v>
                </c:pt>
                <c:pt idx="8">
                  <c:v>9:00</c:v>
                </c:pt>
                <c:pt idx="9">
                  <c:v>9:15</c:v>
                </c:pt>
                <c:pt idx="10">
                  <c:v>9:30</c:v>
                </c:pt>
                <c:pt idx="11">
                  <c:v>9:45</c:v>
                </c:pt>
                <c:pt idx="12">
                  <c:v>10:00</c:v>
                </c:pt>
                <c:pt idx="13">
                  <c:v>10:15</c:v>
                </c:pt>
                <c:pt idx="14">
                  <c:v>10:30</c:v>
                </c:pt>
                <c:pt idx="15">
                  <c:v>10:45</c:v>
                </c:pt>
                <c:pt idx="16">
                  <c:v>11:00</c:v>
                </c:pt>
                <c:pt idx="17">
                  <c:v>11:15</c:v>
                </c:pt>
                <c:pt idx="18">
                  <c:v>11:30</c:v>
                </c:pt>
                <c:pt idx="19">
                  <c:v>11:45</c:v>
                </c:pt>
                <c:pt idx="20">
                  <c:v>12:00</c:v>
                </c:pt>
                <c:pt idx="21">
                  <c:v>12:15</c:v>
                </c:pt>
                <c:pt idx="22">
                  <c:v>12:30</c:v>
                </c:pt>
                <c:pt idx="23">
                  <c:v>12:45</c:v>
                </c:pt>
                <c:pt idx="24">
                  <c:v>13:00</c:v>
                </c:pt>
                <c:pt idx="25">
                  <c:v>13:15</c:v>
                </c:pt>
                <c:pt idx="26">
                  <c:v>13:30</c:v>
                </c:pt>
                <c:pt idx="27">
                  <c:v>13:45</c:v>
                </c:pt>
                <c:pt idx="28">
                  <c:v>14:00</c:v>
                </c:pt>
                <c:pt idx="29">
                  <c:v>14:15</c:v>
                </c:pt>
                <c:pt idx="30">
                  <c:v>14:30</c:v>
                </c:pt>
                <c:pt idx="31">
                  <c:v>14:45</c:v>
                </c:pt>
                <c:pt idx="32">
                  <c:v>15:00</c:v>
                </c:pt>
                <c:pt idx="33">
                  <c:v>15:15</c:v>
                </c:pt>
                <c:pt idx="34">
                  <c:v>15:30</c:v>
                </c:pt>
                <c:pt idx="35">
                  <c:v>15:45</c:v>
                </c:pt>
                <c:pt idx="36">
                  <c:v>16:00</c:v>
                </c:pt>
                <c:pt idx="37">
                  <c:v>16:15</c:v>
                </c:pt>
                <c:pt idx="38">
                  <c:v>16:30</c:v>
                </c:pt>
                <c:pt idx="39">
                  <c:v>16:45</c:v>
                </c:pt>
                <c:pt idx="40">
                  <c:v>17:00</c:v>
                </c:pt>
                <c:pt idx="41">
                  <c:v>17:15</c:v>
                </c:pt>
                <c:pt idx="42">
                  <c:v>17:30</c:v>
                </c:pt>
                <c:pt idx="43">
                  <c:v>17:45</c:v>
                </c:pt>
                <c:pt idx="44">
                  <c:v>18:00</c:v>
                </c:pt>
                <c:pt idx="45">
                  <c:v>18:15</c:v>
                </c:pt>
                <c:pt idx="46">
                  <c:v>18:30</c:v>
                </c:pt>
                <c:pt idx="47">
                  <c:v>18:45</c:v>
                </c:pt>
                <c:pt idx="48">
                  <c:v>19:00</c:v>
                </c:pt>
                <c:pt idx="49">
                  <c:v>19:15</c:v>
                </c:pt>
                <c:pt idx="50">
                  <c:v>19:30</c:v>
                </c:pt>
                <c:pt idx="51">
                  <c:v>19:45</c:v>
                </c:pt>
                <c:pt idx="52">
                  <c:v>20:00</c:v>
                </c:pt>
                <c:pt idx="53">
                  <c:v>20:15</c:v>
                </c:pt>
                <c:pt idx="54">
                  <c:v>20:30</c:v>
                </c:pt>
                <c:pt idx="55">
                  <c:v>20:45</c:v>
                </c:pt>
              </c:strCache>
            </c:strRef>
          </c:cat>
          <c:val>
            <c:numRef>
              <c:f>計算!$B$8:$BE$8</c:f>
              <c:numCache>
                <c:formatCode>General</c:formatCode>
                <c:ptCount val="56"/>
                <c:pt idx="0">
                  <c:v>0.0</c:v>
                </c:pt>
                <c:pt idx="1">
                  <c:v>0.0</c:v>
                </c:pt>
                <c:pt idx="2">
                  <c:v>3.0</c:v>
                </c:pt>
                <c:pt idx="3">
                  <c:v>183.0</c:v>
                </c:pt>
                <c:pt idx="4">
                  <c:v>1610.0</c:v>
                </c:pt>
                <c:pt idx="5">
                  <c:v>6985.0</c:v>
                </c:pt>
                <c:pt idx="6">
                  <c:v>15366.0</c:v>
                </c:pt>
                <c:pt idx="7">
                  <c:v>16427.0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18403.0</c:v>
                </c:pt>
                <c:pt idx="39">
                  <c:v>14050.0</c:v>
                </c:pt>
                <c:pt idx="40">
                  <c:v>7535.0</c:v>
                </c:pt>
                <c:pt idx="41">
                  <c:v>1794.0</c:v>
                </c:pt>
                <c:pt idx="42">
                  <c:v>432.0</c:v>
                </c:pt>
                <c:pt idx="43">
                  <c:v>209.0</c:v>
                </c:pt>
                <c:pt idx="44">
                  <c:v>135.0</c:v>
                </c:pt>
                <c:pt idx="45">
                  <c:v>139.0</c:v>
                </c:pt>
                <c:pt idx="46">
                  <c:v>124.0</c:v>
                </c:pt>
                <c:pt idx="47">
                  <c:v>79.0</c:v>
                </c:pt>
                <c:pt idx="48">
                  <c:v>77.0</c:v>
                </c:pt>
                <c:pt idx="49">
                  <c:v>40.0</c:v>
                </c:pt>
                <c:pt idx="50">
                  <c:v>14.0</c:v>
                </c:pt>
                <c:pt idx="51">
                  <c:v>5.0</c:v>
                </c:pt>
                <c:pt idx="52">
                  <c:v>3.0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</c:numCache>
            </c:numRef>
          </c:val>
        </c:ser>
        <c:gapWidth val="2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C8D1DC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4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6EBF1"/>
              </a:solidFill>
            </a:ln>
          </c:spPr>
        </c:majorGridlines>
        <c:title>
          <c:tx>
            <c:strRef>
              <c:f>'計算'!$B$74</c:f>
              <c:strCache>
                <c:ptCount val="1"/>
                <c:pt idx="0">
                  <c:v>人数（人）</c:v>
                </c:pt>
              </c:strCache>
            </c:strRef>
          </c:tx>
          <c:layout/>
          <c:txPr>
            <a:bodyPr/>
            <a:lstStyle/>
            <a:p>
              <a:pPr>
                <a:defRPr sz="900" b="0" baseline="0">
                  <a:solidFill>
                    <a:srgbClr val="595959"/>
                  </a:solidFill>
                  <a:latin typeface="Meiryo UI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'計算'!$B$73</c:f>
          <c:strCache>
            <c:ptCount val="1"/>
            <c:pt idx="0">
              <c:v>待ち時間の分布（全区／全期間）</c:v>
            </c:pt>
          </c:strCache>
        </c:strRef>
      </c:tx>
      <c:layout/>
      <c:txPr>
        <a:bodyPr/>
        <a:lstStyle/>
        <a:p>
          <a:pPr>
            <a:defRPr sz="1100" b="1" baseline="0">
              <a:solidFill>
                <a:srgbClr val="44546A"/>
              </a:solidFill>
              <a:latin typeface="Meiryo UI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v>割合</c:v>
          </c:tx>
          <c:spPr>
            <a:solidFill>
              <a:srgbClr val="4472C4"/>
            </a:solidFill>
          </c:spPr>
          <c:dPt>
            <c:idx val="0"/>
            <c:spPr>
              <a:solidFill>
                <a:srgbClr val="7FA3C9"/>
              </a:solidFill>
            </c:spPr>
          </c:dPt>
          <c:dPt>
            <c:idx val="1"/>
            <c:spPr>
              <a:solidFill>
                <a:srgbClr val="7FA3C9"/>
              </a:solidFill>
            </c:spPr>
          </c:dPt>
          <c:dPt>
            <c:idx val="2"/>
            <c:spPr>
              <a:solidFill>
                <a:srgbClr val="7FA3C9"/>
              </a:solidFill>
            </c:spPr>
          </c:dPt>
          <c:dPt>
            <c:idx val="3"/>
            <c:spPr>
              <a:solidFill>
                <a:srgbClr val="4472C4"/>
              </a:solidFill>
            </c:spPr>
          </c:dPt>
          <c:dPt>
            <c:idx val="4"/>
            <c:spPr>
              <a:solidFill>
                <a:srgbClr val="8A6A3A"/>
              </a:solidFill>
            </c:spPr>
          </c:dPt>
          <c:dPt>
            <c:idx val="5"/>
            <c:spPr>
              <a:solidFill>
                <a:srgbClr val="ED7D31"/>
              </a:solidFill>
            </c:spPr>
          </c:dPt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44546A"/>
                    </a:solidFill>
                    <a:latin typeface="Meiryo UI"/>
                  </a:defRPr>
                </a:pPr>
                <a:endParaRPr lang="en-US"/>
              </a:p>
            </c:txPr>
            <c:showVal val="1"/>
          </c:dLbls>
          <c:cat>
            <c:strRef>
              <c:f>計算!$A$31:$A$36</c:f>
              <c:strCache>
                <c:ptCount val="6"/>
                <c:pt idx="0">
                  <c:v>5分未満</c:v>
                </c:pt>
                <c:pt idx="1">
                  <c:v>5〜10分</c:v>
                </c:pt>
                <c:pt idx="2">
                  <c:v>10〜15分</c:v>
                </c:pt>
                <c:pt idx="3">
                  <c:v>15〜30分</c:v>
                </c:pt>
                <c:pt idx="4">
                  <c:v>30〜60分</c:v>
                </c:pt>
                <c:pt idx="5">
                  <c:v>60分以上</c:v>
                </c:pt>
              </c:strCache>
            </c:strRef>
          </c:cat>
          <c:val>
            <c:numRef>
              <c:f>計算!$B$31:$B$36</c:f>
              <c:numCache>
                <c:formatCode>General</c:formatCode>
                <c:ptCount val="6"/>
                <c:pt idx="0">
                  <c:v>486037</c:v>
                </c:pt>
                <c:pt idx="1">
                  <c:v>103207</c:v>
                </c:pt>
                <c:pt idx="2">
                  <c:v>55705</c:v>
                </c:pt>
                <c:pt idx="3">
                  <c:v>69466</c:v>
                </c:pt>
                <c:pt idx="4">
                  <c:v>32734</c:v>
                </c:pt>
                <c:pt idx="5">
                  <c:v>12040</c:v>
                </c:pt>
              </c:numCache>
            </c:numRef>
          </c:val>
        </c:ser>
        <c:gapWidth val="4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C8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E6EBF1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'計算'!$B$71</c:f>
          <c:strCache>
            <c:ptCount val="1"/>
            <c:pt idx="0">
              <c:v>区別の来庁者数（全期間）</c:v>
            </c:pt>
          </c:strCache>
        </c:strRef>
      </c:tx>
      <c:layout/>
      <c:txPr>
        <a:bodyPr/>
        <a:lstStyle/>
        <a:p>
          <a:pPr>
            <a:defRPr sz="1100" b="1" baseline="0">
              <a:solidFill>
                <a:srgbClr val="44546A"/>
              </a:solidFill>
              <a:latin typeface="Meiryo UI"/>
            </a:defRPr>
          </a:pPr>
          <a:endParaRPr lang="en-US"/>
        </a:p>
      </c:txPr>
    </c:title>
    <c:plotArea>
      <c:layout/>
      <c:barChart>
        <c:barDir val="bar"/>
        <c:grouping val="stacked"/>
        <c:ser>
          <c:idx val="0"/>
          <c:order val="0"/>
          <c:tx>
            <c:v>選択中の区</c:v>
          </c:tx>
          <c:spPr>
            <a:solidFill>
              <a:srgbClr val="ED7D31"/>
            </a:solidFill>
          </c:spPr>
          <c:cat>
            <c:strRef>
              <c:f>計算!$F$40:$F$47</c:f>
              <c:strCache>
                <c:ptCount val="8"/>
                <c:pt idx="0">
                  <c:v>中区</c:v>
                </c:pt>
                <c:pt idx="1">
                  <c:v>西区</c:v>
                </c:pt>
                <c:pt idx="2">
                  <c:v>南区</c:v>
                </c:pt>
                <c:pt idx="3">
                  <c:v>佐伯区</c:v>
                </c:pt>
                <c:pt idx="4">
                  <c:v>安佐南区</c:v>
                </c:pt>
                <c:pt idx="5">
                  <c:v>東区</c:v>
                </c:pt>
                <c:pt idx="6">
                  <c:v>安佐北区</c:v>
                </c:pt>
                <c:pt idx="7">
                  <c:v>安芸区</c:v>
                </c:pt>
              </c:strCache>
            </c:strRef>
          </c:cat>
          <c:val>
            <c:numRef>
              <c:f>計算!$H$40:$H$47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ほかの区</c:v>
          </c:tx>
          <c:spPr>
            <a:solidFill>
              <a:srgbClr val="44546A"/>
            </a:solidFill>
          </c:spPr>
          <c:cat>
            <c:strRef>
              <c:f>計算!$F$40:$F$47</c:f>
              <c:strCache>
                <c:ptCount val="8"/>
                <c:pt idx="0">
                  <c:v>中区</c:v>
                </c:pt>
                <c:pt idx="1">
                  <c:v>西区</c:v>
                </c:pt>
                <c:pt idx="2">
                  <c:v>南区</c:v>
                </c:pt>
                <c:pt idx="3">
                  <c:v>佐伯区</c:v>
                </c:pt>
                <c:pt idx="4">
                  <c:v>安佐南区</c:v>
                </c:pt>
                <c:pt idx="5">
                  <c:v>東区</c:v>
                </c:pt>
                <c:pt idx="6">
                  <c:v>安佐北区</c:v>
                </c:pt>
                <c:pt idx="7">
                  <c:v>安芸区</c:v>
                </c:pt>
              </c:strCache>
            </c:strRef>
          </c:cat>
          <c:val>
            <c:numRef>
              <c:f>計算!$I$40:$I$47</c:f>
              <c:numCache>
                <c:formatCode>General</c:formatCode>
                <c:ptCount val="8"/>
                <c:pt idx="0">
                  <c:v>143974.0</c:v>
                </c:pt>
                <c:pt idx="1">
                  <c:v>141243.0</c:v>
                </c:pt>
                <c:pt idx="2">
                  <c:v>115887.0</c:v>
                </c:pt>
                <c:pt idx="3">
                  <c:v>104764.0</c:v>
                </c:pt>
                <c:pt idx="4">
                  <c:v>88181.0</c:v>
                </c:pt>
                <c:pt idx="5">
                  <c:v>81818.0</c:v>
                </c:pt>
                <c:pt idx="6">
                  <c:v>48568.0</c:v>
                </c:pt>
                <c:pt idx="7">
                  <c:v>37567.0</c:v>
                </c:pt>
              </c:numCache>
            </c:numRef>
          </c:val>
        </c:ser>
        <c:gapWidth val="40"/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900" b="1" baseline="0">
                <a:solidFill>
                  <a:srgbClr val="44546A"/>
                </a:solidFill>
                <a:latin typeface="Meiryo U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>
          <c:spPr>
            <a:ln>
              <a:solidFill>
                <a:srgbClr val="E6EBF1"/>
              </a:solidFill>
            </a:ln>
          </c:spPr>
        </c:majorGridlines>
        <c:numFmt formatCode="#,##0.#" sourceLinked="0"/>
        <c:tickLblPos val="nextTo"/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'計算'!$B$72</c:f>
          <c:strCache>
            <c:ptCount val="1"/>
            <c:pt idx="0">
              <c:v>月別の来庁者数（全区）</c:v>
            </c:pt>
          </c:strCache>
        </c:strRef>
      </c:tx>
      <c:layout/>
      <c:txPr>
        <a:bodyPr/>
        <a:lstStyle/>
        <a:p>
          <a:pPr>
            <a:defRPr sz="1100" b="1" baseline="0">
              <a:solidFill>
                <a:srgbClr val="44546A"/>
              </a:solidFill>
              <a:latin typeface="Meiryo U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月別</c:v>
          </c:tx>
          <c:spPr>
            <a:ln w="28575">
              <a:solidFill>
                <a:srgbClr val="44546A"/>
              </a:solidFill>
            </a:ln>
          </c:spPr>
          <c:marker>
            <c:symbol val="circle"/>
            <c:size val="5"/>
            <c:spPr>
              <a:solidFill>
                <a:srgbClr val="44546A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計算!$A$50:$A$61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計算!$D$50:$D$61</c:f>
              <c:numCache>
                <c:formatCode>General</c:formatCode>
                <c:ptCount val="12"/>
                <c:pt idx="0">
                  <c:v>69708.0</c:v>
                </c:pt>
                <c:pt idx="1">
                  <c:v>63291.0</c:v>
                </c:pt>
                <c:pt idx="2">
                  <c:v>65022.0</c:v>
                </c:pt>
                <c:pt idx="3">
                  <c:v>68469.0</c:v>
                </c:pt>
                <c:pt idx="4">
                  <c:v>60107.0</c:v>
                </c:pt>
                <c:pt idx="5">
                  <c:v>59672.0</c:v>
                </c:pt>
                <c:pt idx="6">
                  <c:v>66477.0</c:v>
                </c:pt>
                <c:pt idx="7">
                  <c:v>49498.0</c:v>
                </c:pt>
                <c:pt idx="8">
                  <c:v>54884.0</c:v>
                </c:pt>
                <c:pt idx="9">
                  <c:v>48430.0</c:v>
                </c:pt>
                <c:pt idx="10">
                  <c:v>68773.0</c:v>
                </c:pt>
                <c:pt idx="11">
                  <c:v>87671.0</c:v>
                </c:pt>
              </c:numCache>
            </c:numRef>
          </c:val>
        </c:ser>
        <c:ser>
          <c:idx val="1"/>
          <c:order val="1"/>
          <c:tx>
            <c:v>選択月</c:v>
          </c:tx>
          <c:spPr>
            <a:ln>
              <a:noFill/>
            </a:ln>
          </c:spPr>
          <c:marker>
            <c:symbol val="circle"/>
            <c:size val="11"/>
            <c:spPr>
              <a:solidFill>
                <a:srgbClr val="ED7D31"/>
              </a:solidFill>
              <a:ln w="25400">
                <a:solidFill>
                  <a:srgbClr val="FFFFFF"/>
                </a:solidFill>
              </a:ln>
            </c:spPr>
          </c:marker>
          <c:cat>
            <c:strRef>
              <c:f>計算!$A$50:$A$61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計算!$C$50:$C$61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spPr>
          <a:ln>
            <a:solidFill>
              <a:srgbClr val="C8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6EBF1"/>
              </a:solidFill>
            </a:ln>
          </c:spPr>
        </c:majorGridlines>
        <c:numFmt formatCode="#,##0.#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44546A"/>
                </a:solidFill>
                <a:latin typeface="Meiryo UI"/>
              </a:defRPr>
            </a:pPr>
            <a:r>
              <a:rPr lang="en-US" sz="1100" b="1" baseline="0">
                <a:solidFill>
                  <a:srgbClr val="44546A"/>
                </a:solidFill>
                <a:latin typeface="Meiryo UI"/>
              </a:rPr>
              <a:t>開庁時間内外の来庁者数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時間内外</c:v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  <a:latin typeface="Meiryo UI"/>
                  </a:defRPr>
                </a:pPr>
                <a:endParaRPr lang="en-US"/>
              </a:p>
            </c:txPr>
            <c:showPercent val="1"/>
          </c:dLbls>
          <c:cat>
            <c:strRef>
              <c:f>計算!$A$14:$A$15</c:f>
              <c:strCache>
                <c:ptCount val="2"/>
                <c:pt idx="0">
                  <c:v>時間内</c:v>
                </c:pt>
                <c:pt idx="1">
                  <c:v>時間外</c:v>
                </c:pt>
              </c:strCache>
            </c:strRef>
          </c:cat>
          <c:val>
            <c:numRef>
              <c:f>計算!$B$14:$B$15</c:f>
              <c:numCache>
                <c:formatCode>General</c:formatCode>
                <c:ptCount val="2"/>
                <c:pt idx="0">
                  <c:v>678389</c:v>
                </c:pt>
                <c:pt idx="1">
                  <c:v>83613</c:v>
                </c:pt>
              </c:numCache>
            </c:numRef>
          </c:val>
        </c:ser>
        <c:firstSliceAng val="0"/>
        <c:holeSize val="58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595959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44546A"/>
                </a:solidFill>
                <a:latin typeface="Meiryo UI"/>
              </a:defRPr>
            </a:pPr>
            <a:r>
              <a:rPr lang="en-US" sz="1100" b="1" baseline="0">
                <a:solidFill>
                  <a:srgbClr val="44546A"/>
                </a:solidFill>
                <a:latin typeface="Meiryo UI"/>
              </a:rPr>
              <a:t>市民課：職員ベースとデータ（時間／年）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市民課（職員ベース）</c:v>
          </c:tx>
          <c:spPr>
            <a:solidFill>
              <a:srgbClr val="A5A5A5"/>
            </a:solidFill>
          </c:spPr>
          <c:cat>
            <c:strRef>
              <c:f>時間外削減効果!$B$19:$B$26</c:f>
              <c:strCache>
                <c:ptCount val="8"/>
                <c:pt idx="0">
                  <c:v>中区</c:v>
                </c:pt>
                <c:pt idx="1">
                  <c:v>東区</c:v>
                </c:pt>
                <c:pt idx="2">
                  <c:v>南区</c:v>
                </c:pt>
                <c:pt idx="3">
                  <c:v>西区</c:v>
                </c:pt>
                <c:pt idx="4">
                  <c:v>安佐南区</c:v>
                </c:pt>
                <c:pt idx="5">
                  <c:v>安佐北区</c:v>
                </c:pt>
                <c:pt idx="6">
                  <c:v>安芸区</c:v>
                </c:pt>
                <c:pt idx="7">
                  <c:v>佐伯区</c:v>
                </c:pt>
              </c:strCache>
            </c:strRef>
          </c:cat>
          <c:val>
            <c:numRef>
              <c:f>時間外削減効果!$C$19:$C$26</c:f>
              <c:numCache>
                <c:formatCode>General</c:formatCode>
                <c:ptCount val="8"/>
                <c:pt idx="0">
                  <c:v>960.0</c:v>
                </c:pt>
                <c:pt idx="1">
                  <c:v>660.0</c:v>
                </c:pt>
                <c:pt idx="2">
                  <c:v>780.0</c:v>
                </c:pt>
                <c:pt idx="3">
                  <c:v>1020.0</c:v>
                </c:pt>
                <c:pt idx="4">
                  <c:v>660.0</c:v>
                </c:pt>
                <c:pt idx="5">
                  <c:v>540.0</c:v>
                </c:pt>
                <c:pt idx="6">
                  <c:v>360.0</c:v>
                </c:pt>
                <c:pt idx="7">
                  <c:v>660.0</c:v>
                </c:pt>
              </c:numCache>
            </c:numRef>
          </c:val>
        </c:ser>
        <c:ser>
          <c:idx val="1"/>
          <c:order val="1"/>
          <c:tx>
            <c:v>市民部（データ）</c:v>
          </c:tx>
          <c:spPr>
            <a:solidFill>
              <a:srgbClr val="4472C4"/>
            </a:solidFill>
          </c:spPr>
          <c:cat>
            <c:strRef>
              <c:f>時間外削減効果!$B$19:$B$26</c:f>
              <c:strCache>
                <c:ptCount val="8"/>
                <c:pt idx="0">
                  <c:v>中区</c:v>
                </c:pt>
                <c:pt idx="1">
                  <c:v>東区</c:v>
                </c:pt>
                <c:pt idx="2">
                  <c:v>南区</c:v>
                </c:pt>
                <c:pt idx="3">
                  <c:v>西区</c:v>
                </c:pt>
                <c:pt idx="4">
                  <c:v>安佐南区</c:v>
                </c:pt>
                <c:pt idx="5">
                  <c:v>安佐北区</c:v>
                </c:pt>
                <c:pt idx="6">
                  <c:v>安芸区</c:v>
                </c:pt>
                <c:pt idx="7">
                  <c:v>佐伯区</c:v>
                </c:pt>
              </c:strCache>
            </c:strRef>
          </c:cat>
          <c:val>
            <c:numRef>
              <c:f>時間外削減効果!$D$19:$D$26</c:f>
              <c:numCache>
                <c:formatCode>General</c:formatCode>
                <c:ptCount val="8"/>
                <c:pt idx="0">
                  <c:v>1644.552650479378</c:v>
                </c:pt>
                <c:pt idx="1">
                  <c:v>539.410820967694</c:v>
                </c:pt>
                <c:pt idx="2">
                  <c:v>828.4738112678284</c:v>
                </c:pt>
                <c:pt idx="3">
                  <c:v>1165.2803976365929</c:v>
                </c:pt>
                <c:pt idx="4">
                  <c:v>218.67179096818006</c:v>
                </c:pt>
                <c:pt idx="5">
                  <c:v>457.54279565770355</c:v>
                </c:pt>
                <c:pt idx="6">
                  <c:v>271.4651904671459</c:v>
                </c:pt>
                <c:pt idx="7">
                  <c:v>751.1965163490524</c:v>
                </c:pt>
              </c:numCache>
            </c:numRef>
          </c:val>
        </c:ser>
        <c:gapWidth val="60"/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spPr>
          <a:ln>
            <a:solidFill>
              <a:srgbClr val="C8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44546A"/>
                </a:solidFill>
                <a:latin typeface="Meiryo UI"/>
              </a:defRPr>
            </a:pPr>
            <a:r>
              <a:rPr lang="en-US" sz="1100" b="1" baseline="0">
                <a:solidFill>
                  <a:srgbClr val="44546A"/>
                </a:solidFill>
                <a:latin typeface="Meiryo UI"/>
              </a:rPr>
              <a:t>福祉課（厚生部）：職員ベースとデータ（時間／年）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福祉課（職員ベース）</c:v>
          </c:tx>
          <c:spPr>
            <a:solidFill>
              <a:srgbClr val="A5A5A5"/>
            </a:solidFill>
          </c:spPr>
          <c:cat>
            <c:strRef>
              <c:f>時間外削減効果!$B$19:$B$26</c:f>
              <c:strCache>
                <c:ptCount val="8"/>
                <c:pt idx="0">
                  <c:v>中区</c:v>
                </c:pt>
                <c:pt idx="1">
                  <c:v>東区</c:v>
                </c:pt>
                <c:pt idx="2">
                  <c:v>南区</c:v>
                </c:pt>
                <c:pt idx="3">
                  <c:v>西区</c:v>
                </c:pt>
                <c:pt idx="4">
                  <c:v>安佐南区</c:v>
                </c:pt>
                <c:pt idx="5">
                  <c:v>安佐北区</c:v>
                </c:pt>
                <c:pt idx="6">
                  <c:v>安芸区</c:v>
                </c:pt>
                <c:pt idx="7">
                  <c:v>佐伯区</c:v>
                </c:pt>
              </c:strCache>
            </c:strRef>
          </c:cat>
          <c:val>
            <c:numRef>
              <c:f>時間外削減効果!$E$19:$E$26</c:f>
              <c:numCache>
                <c:formatCode>General</c:formatCode>
                <c:ptCount val="8"/>
                <c:pt idx="0">
                  <c:v>1560.0</c:v>
                </c:pt>
                <c:pt idx="1">
                  <c:v>1500.0</c:v>
                </c:pt>
                <c:pt idx="2">
                  <c:v>1680.0</c:v>
                </c:pt>
                <c:pt idx="3">
                  <c:v>1860.0</c:v>
                </c:pt>
                <c:pt idx="4">
                  <c:v>2040.0</c:v>
                </c:pt>
                <c:pt idx="5">
                  <c:v>1680.0</c:v>
                </c:pt>
                <c:pt idx="6">
                  <c:v>1140.0</c:v>
                </c:pt>
                <c:pt idx="7">
                  <c:v>1560.0</c:v>
                </c:pt>
              </c:numCache>
            </c:numRef>
          </c:val>
        </c:ser>
        <c:ser>
          <c:idx val="1"/>
          <c:order val="1"/>
          <c:tx>
            <c:v>厚生部（データ）</c:v>
          </c:tx>
          <c:spPr>
            <a:solidFill>
              <a:srgbClr val="4472C4"/>
            </a:solidFill>
          </c:spPr>
          <c:cat>
            <c:strRef>
              <c:f>時間外削減効果!$B$19:$B$26</c:f>
              <c:strCache>
                <c:ptCount val="8"/>
                <c:pt idx="0">
                  <c:v>中区</c:v>
                </c:pt>
                <c:pt idx="1">
                  <c:v>東区</c:v>
                </c:pt>
                <c:pt idx="2">
                  <c:v>南区</c:v>
                </c:pt>
                <c:pt idx="3">
                  <c:v>西区</c:v>
                </c:pt>
                <c:pt idx="4">
                  <c:v>安佐南区</c:v>
                </c:pt>
                <c:pt idx="5">
                  <c:v>安佐北区</c:v>
                </c:pt>
                <c:pt idx="6">
                  <c:v>安芸区</c:v>
                </c:pt>
                <c:pt idx="7">
                  <c:v>佐伯区</c:v>
                </c:pt>
              </c:strCache>
            </c:strRef>
          </c:cat>
          <c:val>
            <c:numRef>
              <c:f>時間外削減効果!$F$19:$F$26</c:f>
              <c:numCache>
                <c:formatCode>General</c:formatCode>
                <c:ptCount val="8"/>
                <c:pt idx="0">
                  <c:v>986.783736228706</c:v>
                </c:pt>
                <c:pt idx="1">
                  <c:v>711.2888327232241</c:v>
                </c:pt>
                <c:pt idx="2">
                  <c:v>2152.1515581368503</c:v>
                </c:pt>
                <c:pt idx="3">
                  <c:v>2773.234095021996</c:v>
                </c:pt>
                <c:pt idx="4">
                  <c:v>1273.8591777134004</c:v>
                </c:pt>
                <c:pt idx="5">
                  <c:v>728.3548886925903</c:v>
                </c:pt>
                <c:pt idx="6">
                  <c:v>1417.4404343128124</c:v>
                </c:pt>
                <c:pt idx="7">
                  <c:v>1296.41075167292</c:v>
                </c:pt>
              </c:numCache>
            </c:numRef>
          </c:val>
        </c:ser>
        <c:gapWidth val="60"/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spPr>
          <a:ln>
            <a:solidFill>
              <a:srgbClr val="C8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44546A"/>
                </a:solidFill>
                <a:latin typeface="Meiryo UI"/>
              </a:defRPr>
            </a:pPr>
            <a:r>
              <a:rPr lang="en-US" sz="1100" b="1" baseline="0">
                <a:solidFill>
                  <a:srgbClr val="44546A"/>
                </a:solidFill>
                <a:latin typeface="Meiryo UI"/>
              </a:rPr>
              <a:t>区別の削減時間（時間／年）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削減時間（時間）</c:v>
          </c:tx>
          <c:spPr>
            <a:solidFill>
              <a:srgbClr val="4472C4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Meiryo UI"/>
                  </a:defRPr>
                </a:pPr>
                <a:endParaRPr lang="en-US"/>
              </a:p>
            </c:txPr>
            <c:showVal val="1"/>
          </c:dLbls>
          <c:cat>
            <c:strRef>
              <c:f>市民部!$B$14:$B$21</c:f>
              <c:strCache>
                <c:ptCount val="8"/>
                <c:pt idx="0">
                  <c:v>中区</c:v>
                </c:pt>
                <c:pt idx="1">
                  <c:v>東区</c:v>
                </c:pt>
                <c:pt idx="2">
                  <c:v>南区</c:v>
                </c:pt>
                <c:pt idx="3">
                  <c:v>西区</c:v>
                </c:pt>
                <c:pt idx="4">
                  <c:v>安佐南区</c:v>
                </c:pt>
                <c:pt idx="5">
                  <c:v>安佐北区</c:v>
                </c:pt>
                <c:pt idx="6">
                  <c:v>安芸区</c:v>
                </c:pt>
                <c:pt idx="7">
                  <c:v>佐伯区</c:v>
                </c:pt>
              </c:strCache>
            </c:strRef>
          </c:cat>
          <c:val>
            <c:numRef>
              <c:f>市民部!$F$14:$F$21</c:f>
              <c:numCache>
                <c:formatCode>General</c:formatCode>
                <c:ptCount val="8"/>
                <c:pt idx="0">
                  <c:v>1644.552650479378</c:v>
                </c:pt>
                <c:pt idx="1">
                  <c:v>539.410820967694</c:v>
                </c:pt>
                <c:pt idx="2">
                  <c:v>828.4738112678284</c:v>
                </c:pt>
                <c:pt idx="3">
                  <c:v>1165.2803976365929</c:v>
                </c:pt>
                <c:pt idx="4">
                  <c:v>218.67179096818006</c:v>
                </c:pt>
                <c:pt idx="5">
                  <c:v>457.54279565770355</c:v>
                </c:pt>
                <c:pt idx="6">
                  <c:v>271.4651904671459</c:v>
                </c:pt>
                <c:pt idx="7">
                  <c:v>751.1965163490524</c:v>
                </c:pt>
              </c:numCache>
            </c:numRef>
          </c:val>
        </c:ser>
        <c:gapWidth val="50"/>
        <c:axId val="50080001"/>
        <c:axId val="50080002"/>
      </c:barChart>
      <c:catAx>
        <c:axId val="5008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Meiryo UI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t"/>
        <c:majorGridlines/>
        <c:numFmt formatCode="General" sourceLinked="1"/>
        <c:tickLblPos val="nextTo"/>
        <c:spPr>
          <a:ln>
            <a:solidFill>
              <a:srgbClr val="C8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8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44546A"/>
                </a:solidFill>
                <a:latin typeface="Meiryo UI"/>
              </a:defRPr>
            </a:pPr>
            <a:r>
              <a:rPr lang="en-US" sz="1100" b="1" baseline="0">
                <a:solidFill>
                  <a:srgbClr val="44546A"/>
                </a:solidFill>
                <a:latin typeface="Meiryo UI"/>
              </a:rPr>
              <a:t>区別の削減時間（7区・時間／年）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削減時間（時間／年）</c:v>
          </c:tx>
          <c:spPr>
            <a:solidFill>
              <a:srgbClr val="4472C4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Meiryo UI"/>
                  </a:defRPr>
                </a:pPr>
                <a:endParaRPr lang="en-US"/>
              </a:p>
            </c:txPr>
            <c:showVal val="1"/>
          </c:dLbls>
          <c:cat>
            <c:strRef>
              <c:f>厚生部!$B$12:$B$18</c:f>
              <c:strCache>
                <c:ptCount val="7"/>
                <c:pt idx="0">
                  <c:v>中区</c:v>
                </c:pt>
                <c:pt idx="1">
                  <c:v>東区</c:v>
                </c:pt>
                <c:pt idx="2">
                  <c:v>南区</c:v>
                </c:pt>
                <c:pt idx="3">
                  <c:v>西区</c:v>
                </c:pt>
                <c:pt idx="4">
                  <c:v>安佐南区</c:v>
                </c:pt>
                <c:pt idx="5">
                  <c:v>安佐北区</c:v>
                </c:pt>
                <c:pt idx="6">
                  <c:v>佐伯区</c:v>
                </c:pt>
              </c:strCache>
            </c:strRef>
          </c:cat>
          <c:val>
            <c:numRef>
              <c:f>厚生部!$G$12:$G$18</c:f>
              <c:numCache>
                <c:formatCode>General</c:formatCode>
                <c:ptCount val="7"/>
                <c:pt idx="0">
                  <c:v>986.783736228706</c:v>
                </c:pt>
                <c:pt idx="1">
                  <c:v>711.2888327232241</c:v>
                </c:pt>
                <c:pt idx="2">
                  <c:v>2152.1515581368503</c:v>
                </c:pt>
                <c:pt idx="3">
                  <c:v>2773.234095021996</c:v>
                </c:pt>
                <c:pt idx="4">
                  <c:v>1273.8591777134004</c:v>
                </c:pt>
                <c:pt idx="5">
                  <c:v>728.3548886925903</c:v>
                </c:pt>
                <c:pt idx="6">
                  <c:v>1296.41075167292</c:v>
                </c:pt>
              </c:numCache>
            </c:numRef>
          </c:val>
        </c:ser>
        <c:gapWidth val="50"/>
        <c:axId val="50090001"/>
        <c:axId val="50090002"/>
      </c:barChart>
      <c:catAx>
        <c:axId val="5009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Meiryo UI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t"/>
        <c:majorGridlines/>
        <c:numFmt formatCode="General" sourceLinked="1"/>
        <c:tickLblPos val="nextTo"/>
        <c:spPr>
          <a:ln>
            <a:solidFill>
              <a:srgbClr val="C8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09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44546A"/>
                </a:solidFill>
                <a:latin typeface="Meiryo UI"/>
              </a:defRPr>
            </a:pPr>
            <a:r>
              <a:rPr lang="en-US" sz="1100" b="1" baseline="0">
                <a:solidFill>
                  <a:srgbClr val="44546A"/>
                </a:solidFill>
                <a:latin typeface="Meiryo UI"/>
              </a:rPr>
              <a:t>待ち時間＋対応時間（区別・平均）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平均待ち</c:v>
          </c:tx>
          <c:spPr>
            <a:solidFill>
              <a:srgbClr val="7FA3C9"/>
            </a:solidFill>
          </c:spPr>
          <c:cat>
            <c:strRef>
              <c:f>'待ち・対応時間'!$B$7:$B$15</c:f>
              <c:strCache>
                <c:ptCount val="9"/>
                <c:pt idx="0">
                  <c:v>全区</c:v>
                </c:pt>
                <c:pt idx="1">
                  <c:v>中区</c:v>
                </c:pt>
                <c:pt idx="2">
                  <c:v>東区</c:v>
                </c:pt>
                <c:pt idx="3">
                  <c:v>南区</c:v>
                </c:pt>
                <c:pt idx="4">
                  <c:v>西区</c:v>
                </c:pt>
                <c:pt idx="5">
                  <c:v>安佐南区</c:v>
                </c:pt>
                <c:pt idx="6">
                  <c:v>安佐北区</c:v>
                </c:pt>
                <c:pt idx="7">
                  <c:v>安芸区</c:v>
                </c:pt>
                <c:pt idx="8">
                  <c:v>佐伯区</c:v>
                </c:pt>
              </c:strCache>
            </c:strRef>
          </c:cat>
          <c:val>
            <c:numRef>
              <c:f>'待ち・対応時間'!$D$7:$D$15</c:f>
              <c:numCache>
                <c:formatCode>General</c:formatCode>
                <c:ptCount val="9"/>
                <c:pt idx="0">
                  <c:v>7.83873782856882</c:v>
                </c:pt>
                <c:pt idx="1">
                  <c:v>4.527181693104752</c:v>
                </c:pt>
                <c:pt idx="2">
                  <c:v>4.397500142977361</c:v>
                </c:pt>
                <c:pt idx="3">
                  <c:v>14.264510971632623</c:v>
                </c:pt>
                <c:pt idx="4">
                  <c:v>8.704354500320498</c:v>
                </c:pt>
                <c:pt idx="5">
                  <c:v>13.970985430675633</c:v>
                </c:pt>
                <c:pt idx="6">
                  <c:v>3.4987132606120706</c:v>
                </c:pt>
                <c:pt idx="7">
                  <c:v>2.3776665151474634</c:v>
                </c:pt>
                <c:pt idx="8">
                  <c:v>5.662613534563284</c:v>
                </c:pt>
              </c:numCache>
            </c:numRef>
          </c:val>
        </c:ser>
        <c:ser>
          <c:idx val="1"/>
          <c:order val="1"/>
          <c:tx>
            <c:v>平均対応</c:v>
          </c:tx>
          <c:spPr>
            <a:solidFill>
              <a:srgbClr val="44546A"/>
            </a:solidFill>
          </c:spPr>
          <c:dLbls/>
          <c:cat>
            <c:strRef>
              <c:f>'待ち・対応時間'!$B$7:$B$15</c:f>
              <c:strCache>
                <c:ptCount val="9"/>
                <c:pt idx="0">
                  <c:v>全区</c:v>
                </c:pt>
                <c:pt idx="1">
                  <c:v>中区</c:v>
                </c:pt>
                <c:pt idx="2">
                  <c:v>東区</c:v>
                </c:pt>
                <c:pt idx="3">
                  <c:v>南区</c:v>
                </c:pt>
                <c:pt idx="4">
                  <c:v>西区</c:v>
                </c:pt>
                <c:pt idx="5">
                  <c:v>安佐南区</c:v>
                </c:pt>
                <c:pt idx="6">
                  <c:v>安佐北区</c:v>
                </c:pt>
                <c:pt idx="7">
                  <c:v>安芸区</c:v>
                </c:pt>
                <c:pt idx="8">
                  <c:v>佐伯区</c:v>
                </c:pt>
              </c:strCache>
            </c:strRef>
          </c:cat>
          <c:val>
            <c:numRef>
              <c:f>'待ち・対応時間'!$G$7:$G$15</c:f>
              <c:numCache>
                <c:formatCode>General</c:formatCode>
                <c:ptCount val="9"/>
                <c:pt idx="0">
                  <c:v>7.637563638348003</c:v>
                </c:pt>
                <c:pt idx="1">
                  <c:v>7.869896973369933</c:v>
                </c:pt>
                <c:pt idx="2">
                  <c:v>8.644546049696228</c:v>
                </c:pt>
                <c:pt idx="3">
                  <c:v>6.385011319816733</c:v>
                </c:pt>
                <c:pt idx="4">
                  <c:v>6.198752128353887</c:v>
                </c:pt>
                <c:pt idx="5">
                  <c:v>7.242784628103707</c:v>
                </c:pt>
                <c:pt idx="6">
                  <c:v>8.355014336841057</c:v>
                </c:pt>
                <c:pt idx="7">
                  <c:v>14.89485695048979</c:v>
                </c:pt>
                <c:pt idx="8">
                  <c:v>7.198581612441411</c:v>
                </c:pt>
              </c:numCache>
            </c:numRef>
          </c:val>
        </c:ser>
        <c:gapWidth val="45"/>
        <c:overlap val="100"/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900" b="1" baseline="0">
                <a:solidFill>
                  <a:srgbClr val="44546A"/>
                </a:solidFill>
                <a:latin typeface="Meiryo UI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t"/>
        <c:majorGridlines>
          <c:spPr>
            <a:ln>
              <a:solidFill>
                <a:srgbClr val="E6EBF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Meiryo U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Meiryo UI"/>
                  </a:rPr>
                  <a:t>分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1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44546A"/>
                </a:solidFill>
                <a:latin typeface="Meiryo UI"/>
              </a:defRPr>
            </a:pPr>
            <a:r>
              <a:rPr lang="en-US" sz="1100" b="1" baseline="0">
                <a:solidFill>
                  <a:srgbClr val="44546A"/>
                </a:solidFill>
                <a:latin typeface="Meiryo UI"/>
              </a:rPr>
              <a:t>待ち時間の分布（区別）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v>5分未満</c:v>
          </c:tx>
          <c:spPr>
            <a:solidFill>
              <a:srgbClr val="CFE0EF"/>
            </a:solidFill>
          </c:spPr>
          <c:cat>
            <c:strRef>
              <c:f>'待ち・対応時間'!$L$21:$L$29</c:f>
              <c:strCache>
                <c:ptCount val="9"/>
                <c:pt idx="0">
                  <c:v>全区</c:v>
                </c:pt>
                <c:pt idx="1">
                  <c:v>中区</c:v>
                </c:pt>
                <c:pt idx="2">
                  <c:v>東区</c:v>
                </c:pt>
                <c:pt idx="3">
                  <c:v>南区</c:v>
                </c:pt>
                <c:pt idx="4">
                  <c:v>西区</c:v>
                </c:pt>
                <c:pt idx="5">
                  <c:v>安佐南区</c:v>
                </c:pt>
                <c:pt idx="6">
                  <c:v>安佐北区</c:v>
                </c:pt>
                <c:pt idx="7">
                  <c:v>安芸区</c:v>
                </c:pt>
                <c:pt idx="8">
                  <c:v>佐伯区</c:v>
                </c:pt>
              </c:strCache>
            </c:strRef>
          </c:cat>
          <c:val>
            <c:numRef>
              <c:f>'待ち・対応時間'!$M$21:$M$29</c:f>
              <c:numCache>
                <c:formatCode>General</c:formatCode>
                <c:ptCount val="9"/>
                <c:pt idx="0">
                  <c:v>0.6402055351170789</c:v>
                </c:pt>
                <c:pt idx="1">
                  <c:v>0.7455400956364978</c:v>
                </c:pt>
                <c:pt idx="2">
                  <c:v>0.7562685359935293</c:v>
                </c:pt>
                <c:pt idx="3">
                  <c:v>0.5154569367398495</c:v>
                </c:pt>
                <c:pt idx="4">
                  <c:v>0.573715469711269</c:v>
                </c:pt>
                <c:pt idx="5">
                  <c:v>0.4653149444215727</c:v>
                </c:pt>
                <c:pt idx="6">
                  <c:v>0.7646682092389059</c:v>
                </c:pt>
                <c:pt idx="7">
                  <c:v>0.8554239418166261</c:v>
                </c:pt>
                <c:pt idx="8">
                  <c:v>0.6436106621268781</c:v>
                </c:pt>
              </c:numCache>
            </c:numRef>
          </c:val>
        </c:ser>
        <c:ser>
          <c:idx val="1"/>
          <c:order val="1"/>
          <c:tx>
            <c:v>5〜10分</c:v>
          </c:tx>
          <c:spPr>
            <a:solidFill>
              <a:srgbClr val="A9C4DE"/>
            </a:solidFill>
          </c:spPr>
          <c:cat>
            <c:strRef>
              <c:f>'待ち・対応時間'!$L$21:$L$29</c:f>
              <c:strCache>
                <c:ptCount val="9"/>
                <c:pt idx="0">
                  <c:v>全区</c:v>
                </c:pt>
                <c:pt idx="1">
                  <c:v>中区</c:v>
                </c:pt>
                <c:pt idx="2">
                  <c:v>東区</c:v>
                </c:pt>
                <c:pt idx="3">
                  <c:v>南区</c:v>
                </c:pt>
                <c:pt idx="4">
                  <c:v>西区</c:v>
                </c:pt>
                <c:pt idx="5">
                  <c:v>安佐南区</c:v>
                </c:pt>
                <c:pt idx="6">
                  <c:v>安佐北区</c:v>
                </c:pt>
                <c:pt idx="7">
                  <c:v>安芸区</c:v>
                </c:pt>
                <c:pt idx="8">
                  <c:v>佐伯区</c:v>
                </c:pt>
              </c:strCache>
            </c:strRef>
          </c:cat>
          <c:val>
            <c:numRef>
              <c:f>'待ち・対応時間'!$N$21:$N$29</c:f>
              <c:numCache>
                <c:formatCode>General</c:formatCode>
                <c:ptCount val="9"/>
                <c:pt idx="0">
                  <c:v>0.1359437505021806</c:v>
                </c:pt>
                <c:pt idx="1">
                  <c:v>0.12257341528095832</c:v>
                </c:pt>
                <c:pt idx="2">
                  <c:v>0.12522365744258437</c:v>
                </c:pt>
                <c:pt idx="3">
                  <c:v>0.11925410839388494</c:v>
                </c:pt>
                <c:pt idx="4">
                  <c:v>0.15253996750090473</c:v>
                </c:pt>
                <c:pt idx="5">
                  <c:v>0.13677324916518</c:v>
                </c:pt>
                <c:pt idx="6">
                  <c:v>0.14911990744566564</c:v>
                </c:pt>
                <c:pt idx="7">
                  <c:v>0.08559052381079708</c:v>
                </c:pt>
                <c:pt idx="8">
                  <c:v>0.16991688743938713</c:v>
                </c:pt>
              </c:numCache>
            </c:numRef>
          </c:val>
        </c:ser>
        <c:ser>
          <c:idx val="2"/>
          <c:order val="2"/>
          <c:tx>
            <c:v>10〜15分</c:v>
          </c:tx>
          <c:spPr>
            <a:solidFill>
              <a:srgbClr val="7FA3C9"/>
            </a:solidFill>
          </c:spPr>
          <c:cat>
            <c:strRef>
              <c:f>'待ち・対応時間'!$L$21:$L$29</c:f>
              <c:strCache>
                <c:ptCount val="9"/>
                <c:pt idx="0">
                  <c:v>全区</c:v>
                </c:pt>
                <c:pt idx="1">
                  <c:v>中区</c:v>
                </c:pt>
                <c:pt idx="2">
                  <c:v>東区</c:v>
                </c:pt>
                <c:pt idx="3">
                  <c:v>南区</c:v>
                </c:pt>
                <c:pt idx="4">
                  <c:v>西区</c:v>
                </c:pt>
                <c:pt idx="5">
                  <c:v>安佐南区</c:v>
                </c:pt>
                <c:pt idx="6">
                  <c:v>安佐北区</c:v>
                </c:pt>
                <c:pt idx="7">
                  <c:v>安芸区</c:v>
                </c:pt>
                <c:pt idx="8">
                  <c:v>佐伯区</c:v>
                </c:pt>
              </c:strCache>
            </c:strRef>
          </c:cat>
          <c:val>
            <c:numRef>
              <c:f>'待ち・対応時間'!$O$21:$O$29</c:f>
              <c:numCache>
                <c:formatCode>General</c:formatCode>
                <c:ptCount val="9"/>
                <c:pt idx="0">
                  <c:v>0.07337435078748507</c:v>
                </c:pt>
                <c:pt idx="1">
                  <c:v>0.05758375153999819</c:v>
                </c:pt>
                <c:pt idx="2">
                  <c:v>0.059535772935611166</c:v>
                </c:pt>
                <c:pt idx="3">
                  <c:v>0.07713276210815082</c:v>
                </c:pt>
                <c:pt idx="4">
                  <c:v>0.0868605732045669</c:v>
                </c:pt>
                <c:pt idx="5">
                  <c:v>0.09545537715566534</c:v>
                </c:pt>
                <c:pt idx="6">
                  <c:v>0.053962482439467815</c:v>
                </c:pt>
                <c:pt idx="7">
                  <c:v>0.031979464691569294</c:v>
                </c:pt>
                <c:pt idx="8">
                  <c:v>0.08887974980154366</c:v>
                </c:pt>
              </c:numCache>
            </c:numRef>
          </c:val>
        </c:ser>
        <c:ser>
          <c:idx val="3"/>
          <c:order val="3"/>
          <c:tx>
            <c:v>15〜30分</c:v>
          </c:tx>
          <c:spPr>
            <a:solidFill>
              <a:srgbClr val="4F7FB0"/>
            </a:solidFill>
          </c:spPr>
          <c:cat>
            <c:strRef>
              <c:f>'待ち・対応時間'!$L$21:$L$29</c:f>
              <c:strCache>
                <c:ptCount val="9"/>
                <c:pt idx="0">
                  <c:v>全区</c:v>
                </c:pt>
                <c:pt idx="1">
                  <c:v>中区</c:v>
                </c:pt>
                <c:pt idx="2">
                  <c:v>東区</c:v>
                </c:pt>
                <c:pt idx="3">
                  <c:v>南区</c:v>
                </c:pt>
                <c:pt idx="4">
                  <c:v>西区</c:v>
                </c:pt>
                <c:pt idx="5">
                  <c:v>安佐南区</c:v>
                </c:pt>
                <c:pt idx="6">
                  <c:v>安佐北区</c:v>
                </c:pt>
                <c:pt idx="7">
                  <c:v>安芸区</c:v>
                </c:pt>
                <c:pt idx="8">
                  <c:v>佐伯区</c:v>
                </c:pt>
              </c:strCache>
            </c:strRef>
          </c:cat>
          <c:val>
            <c:numRef>
              <c:f>'待ち・対応時間'!$P$21:$P$29</c:f>
              <c:numCache>
                <c:formatCode>General</c:formatCode>
                <c:ptCount val="9"/>
                <c:pt idx="0">
                  <c:v>0.09150027200077977</c:v>
                </c:pt>
                <c:pt idx="1">
                  <c:v>0.057298373344284434</c:v>
                </c:pt>
                <c:pt idx="2">
                  <c:v>0.0408710997818574</c:v>
                </c:pt>
                <c:pt idx="3">
                  <c:v>0.1380837044560773</c:v>
                </c:pt>
                <c:pt idx="4">
                  <c:v>0.11810369907824618</c:v>
                </c:pt>
                <c:pt idx="5">
                  <c:v>0.16433374502538767</c:v>
                </c:pt>
                <c:pt idx="6">
                  <c:v>0.029749607470456987</c:v>
                </c:pt>
                <c:pt idx="7">
                  <c:v>0.021417684964838632</c:v>
                </c:pt>
                <c:pt idx="8">
                  <c:v>0.08357164034928316</c:v>
                </c:pt>
              </c:numCache>
            </c:numRef>
          </c:val>
        </c:ser>
        <c:ser>
          <c:idx val="4"/>
          <c:order val="4"/>
          <c:tx>
            <c:v>30〜60分</c:v>
          </c:tx>
          <c:spPr>
            <a:solidFill>
              <a:srgbClr val="8A6A3A"/>
            </a:solidFill>
          </c:spPr>
          <c:cat>
            <c:strRef>
              <c:f>'待ち・対応時間'!$L$21:$L$29</c:f>
              <c:strCache>
                <c:ptCount val="9"/>
                <c:pt idx="0">
                  <c:v>全区</c:v>
                </c:pt>
                <c:pt idx="1">
                  <c:v>中区</c:v>
                </c:pt>
                <c:pt idx="2">
                  <c:v>東区</c:v>
                </c:pt>
                <c:pt idx="3">
                  <c:v>南区</c:v>
                </c:pt>
                <c:pt idx="4">
                  <c:v>西区</c:v>
                </c:pt>
                <c:pt idx="5">
                  <c:v>安佐南区</c:v>
                </c:pt>
                <c:pt idx="6">
                  <c:v>安佐北区</c:v>
                </c:pt>
                <c:pt idx="7">
                  <c:v>安芸区</c:v>
                </c:pt>
                <c:pt idx="8">
                  <c:v>佐伯区</c:v>
                </c:pt>
              </c:strCache>
            </c:strRef>
          </c:cat>
          <c:val>
            <c:numRef>
              <c:f>'待ち・対応時間'!$Q$21:$Q$29</c:f>
              <c:numCache>
                <c:formatCode>General</c:formatCode>
                <c:ptCount val="9"/>
                <c:pt idx="0">
                  <c:v>0.043117063076519815</c:v>
                </c:pt>
                <c:pt idx="1">
                  <c:v>0.013837362270218348</c:v>
                </c:pt>
                <c:pt idx="2">
                  <c:v>0.01240226476139121</c:v>
                </c:pt>
                <c:pt idx="3">
                  <c:v>0.09907023986248925</c:v>
                </c:pt>
                <c:pt idx="4">
                  <c:v>0.05766815443456541</c:v>
                </c:pt>
                <c:pt idx="5">
                  <c:v>0.09978957961666896</c:v>
                </c:pt>
                <c:pt idx="6">
                  <c:v>0.0021072638624907033</c:v>
                </c:pt>
                <c:pt idx="7">
                  <c:v>0.00398406374501992</c:v>
                </c:pt>
                <c:pt idx="8">
                  <c:v>0.011649148311447345</c:v>
                </c:pt>
              </c:numCache>
            </c:numRef>
          </c:val>
        </c:ser>
        <c:ser>
          <c:idx val="5"/>
          <c:order val="5"/>
          <c:tx>
            <c:v>60分以上</c:v>
          </c:tx>
          <c:spPr>
            <a:solidFill>
              <a:srgbClr val="ED7D31"/>
            </a:solidFill>
          </c:spPr>
          <c:cat>
            <c:strRef>
              <c:f>'待ち・対応時間'!$L$21:$L$29</c:f>
              <c:strCache>
                <c:ptCount val="9"/>
                <c:pt idx="0">
                  <c:v>全区</c:v>
                </c:pt>
                <c:pt idx="1">
                  <c:v>中区</c:v>
                </c:pt>
                <c:pt idx="2">
                  <c:v>東区</c:v>
                </c:pt>
                <c:pt idx="3">
                  <c:v>南区</c:v>
                </c:pt>
                <c:pt idx="4">
                  <c:v>西区</c:v>
                </c:pt>
                <c:pt idx="5">
                  <c:v>安佐南区</c:v>
                </c:pt>
                <c:pt idx="6">
                  <c:v>安佐北区</c:v>
                </c:pt>
                <c:pt idx="7">
                  <c:v>安芸区</c:v>
                </c:pt>
                <c:pt idx="8">
                  <c:v>佐伯区</c:v>
                </c:pt>
              </c:strCache>
            </c:strRef>
          </c:cat>
          <c:val>
            <c:numRef>
              <c:f>'待ち・対応時間'!$R$21:$R$29</c:f>
              <c:numCache>
                <c:formatCode>General</c:formatCode>
                <c:ptCount val="9"/>
                <c:pt idx="0">
                  <c:v>0.01585902851595584</c:v>
                </c:pt>
                <c:pt idx="1">
                  <c:v>0.003167001928042932</c:v>
                </c:pt>
                <c:pt idx="2">
                  <c:v>0.005698669085026593</c:v>
                </c:pt>
                <c:pt idx="3">
                  <c:v>0.05100224843954823</c:v>
                </c:pt>
                <c:pt idx="4">
                  <c:v>0.011112136070447821</c:v>
                </c:pt>
                <c:pt idx="5">
                  <c:v>0.03833310461552537</c:v>
                </c:pt>
                <c:pt idx="6">
                  <c:v>0.0003925295430129741</c:v>
                </c:pt>
                <c:pt idx="7">
                  <c:v>0.0016043209711489612</c:v>
                </c:pt>
                <c:pt idx="8">
                  <c:v>0.002371911971460543</c:v>
                </c:pt>
              </c:numCache>
            </c:numRef>
          </c:val>
        </c:ser>
        <c:gapWidth val="40"/>
        <c:overlap val="100"/>
        <c:axId val="50110001"/>
        <c:axId val="50110002"/>
      </c:barChart>
      <c:catAx>
        <c:axId val="5011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900" b="1" baseline="0">
                <a:solidFill>
                  <a:srgbClr val="44546A"/>
                </a:solidFill>
                <a:latin typeface="Meiryo UI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t"/>
        <c:majorGridlines>
          <c:spPr>
            <a:ln>
              <a:solidFill>
                <a:srgbClr val="E6EBF1"/>
              </a:solidFill>
            </a:ln>
          </c:spPr>
        </c:majorGridlines>
        <c:numFmt formatCode="0%" sourceLinked="1"/>
        <c:tickLblPos val="nextTo"/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44546A"/>
                </a:solidFill>
                <a:latin typeface="Meiryo UI"/>
              </a:defRPr>
            </a:pPr>
            <a:r>
              <a:rPr lang="en-US" sz="1100" b="1" baseline="0">
                <a:solidFill>
                  <a:srgbClr val="44546A"/>
                </a:solidFill>
                <a:latin typeface="Meiryo UI"/>
              </a:rPr>
              <a:t>区別の開庁時間外の割合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時間外の割合</c:v>
          </c:tx>
          <c:spPr>
            <a:solidFill>
              <a:srgbClr val="ED7D31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44546A"/>
                    </a:solidFill>
                    <a:latin typeface="Meiryo UI"/>
                  </a:defRPr>
                </a:pPr>
                <a:endParaRPr lang="en-US"/>
              </a:p>
            </c:txPr>
            <c:showVal val="1"/>
          </c:dLbls>
          <c:cat>
            <c:strRef>
              <c:f>シミュレーター!$B$25:$B$33</c:f>
              <c:strCache>
                <c:ptCount val="9"/>
                <c:pt idx="0">
                  <c:v>全区</c:v>
                </c:pt>
                <c:pt idx="1">
                  <c:v>中区</c:v>
                </c:pt>
                <c:pt idx="2">
                  <c:v>東区</c:v>
                </c:pt>
                <c:pt idx="3">
                  <c:v>南区</c:v>
                </c:pt>
                <c:pt idx="4">
                  <c:v>西区</c:v>
                </c:pt>
                <c:pt idx="5">
                  <c:v>安佐南区</c:v>
                </c:pt>
                <c:pt idx="6">
                  <c:v>安佐北区</c:v>
                </c:pt>
                <c:pt idx="7">
                  <c:v>安芸区</c:v>
                </c:pt>
                <c:pt idx="8">
                  <c:v>佐伯区</c:v>
                </c:pt>
              </c:strCache>
            </c:strRef>
          </c:cat>
          <c:val>
            <c:numRef>
              <c:f>シミュレーター!$F$25:$F$33</c:f>
              <c:numCache>
                <c:formatCode>General</c:formatCode>
                <c:ptCount val="9"/>
                <c:pt idx="0">
                  <c:v>0.10972805845653949</c:v>
                </c:pt>
                <c:pt idx="1">
                  <c:v>0.11106866517565672</c:v>
                </c:pt>
                <c:pt idx="2">
                  <c:v>0.09974577721283825</c:v>
                </c:pt>
                <c:pt idx="3">
                  <c:v>0.11733844175791935</c:v>
                </c:pt>
                <c:pt idx="4">
                  <c:v>0.1167066686490658</c:v>
                </c:pt>
                <c:pt idx="5">
                  <c:v>0.11424229709347819</c:v>
                </c:pt>
                <c:pt idx="6">
                  <c:v>0.10560451325975952</c:v>
                </c:pt>
                <c:pt idx="7">
                  <c:v>0.09428487768520244</c:v>
                </c:pt>
                <c:pt idx="8">
                  <c:v>0.10150433354969264</c:v>
                </c:pt>
              </c:numCache>
            </c:numRef>
          </c:val>
        </c:ser>
        <c:gapWidth val="60"/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spPr>
          <a:ln>
            <a:solidFill>
              <a:srgbClr val="C8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>
          <c:spPr>
            <a:ln>
              <a:solidFill>
                <a:srgbClr val="E6EBF1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12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44546A"/>
                </a:solidFill>
                <a:latin typeface="Meiryo UI"/>
              </a:defRPr>
            </a:pPr>
            <a:r>
              <a:rPr lang="en-US" sz="1100" b="1" baseline="0">
                <a:solidFill>
                  <a:srgbClr val="44546A"/>
                </a:solidFill>
                <a:latin typeface="Meiryo UI"/>
              </a:rPr>
              <a:t>来庁者数の多い業務（上位15）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来庁者数</c:v>
          </c:tx>
          <c:spPr>
            <a:solidFill>
              <a:srgbClr val="4472C4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44546A"/>
                    </a:solidFill>
                    <a:latin typeface="Meiryo UI"/>
                  </a:defRPr>
                </a:pPr>
                <a:endParaRPr lang="en-US"/>
              </a:p>
            </c:txPr>
            <c:showVal val="1"/>
          </c:dLbls>
          <c:cat>
            <c:strRef>
              <c:f>業務ランキング!$C$6:$C$20</c:f>
              <c:strCache>
                <c:ptCount val="15"/>
                <c:pt idx="0">
                  <c:v>証明書の受付</c:v>
                </c:pt>
                <c:pt idx="1">
                  <c:v>マイナンバーカード</c:v>
                </c:pt>
                <c:pt idx="2">
                  <c:v>国民健康保険</c:v>
                </c:pt>
                <c:pt idx="3">
                  <c:v>住所の変更・印鑑登録</c:v>
                </c:pt>
                <c:pt idx="4">
                  <c:v>マイナンバー</c:v>
                </c:pt>
                <c:pt idx="5">
                  <c:v>証明書の交付</c:v>
                </c:pt>
                <c:pt idx="6">
                  <c:v>カード受取・記載変更等</c:v>
                </c:pt>
                <c:pt idx="7">
                  <c:v>住民異動届・印鑑登録</c:v>
                </c:pt>
                <c:pt idx="8">
                  <c:v>ご本人のカードの</c:v>
                </c:pt>
                <c:pt idx="9">
                  <c:v>証明書交付</c:v>
                </c:pt>
                <c:pt idx="10">
                  <c:v>住所の変更</c:v>
                </c:pt>
                <c:pt idx="11">
                  <c:v>国民年金</c:v>
                </c:pt>
                <c:pt idx="12">
                  <c:v>証明申請等</c:v>
                </c:pt>
                <c:pt idx="13">
                  <c:v>個人番号カード（ﾏｲﾅﾝﾊﾞｰ)</c:v>
                </c:pt>
                <c:pt idx="14">
                  <c:v>マイナンバーカード手続</c:v>
                </c:pt>
              </c:strCache>
            </c:strRef>
          </c:cat>
          <c:val>
            <c:numRef>
              <c:f>業務ランキング!$D$6:$D$20</c:f>
              <c:numCache>
                <c:formatCode>General</c:formatCode>
                <c:ptCount val="15"/>
                <c:pt idx="0">
                  <c:v>157636</c:v>
                </c:pt>
                <c:pt idx="1">
                  <c:v>88260</c:v>
                </c:pt>
                <c:pt idx="2">
                  <c:v>75448</c:v>
                </c:pt>
                <c:pt idx="3">
                  <c:v>68732</c:v>
                </c:pt>
                <c:pt idx="4">
                  <c:v>59330</c:v>
                </c:pt>
                <c:pt idx="5">
                  <c:v>27691</c:v>
                </c:pt>
                <c:pt idx="6">
                  <c:v>26186</c:v>
                </c:pt>
                <c:pt idx="7">
                  <c:v>23108</c:v>
                </c:pt>
                <c:pt idx="8">
                  <c:v>20955</c:v>
                </c:pt>
                <c:pt idx="9">
                  <c:v>20814</c:v>
                </c:pt>
                <c:pt idx="10">
                  <c:v>20355</c:v>
                </c:pt>
                <c:pt idx="11">
                  <c:v>15620</c:v>
                </c:pt>
                <c:pt idx="12">
                  <c:v>15081</c:v>
                </c:pt>
                <c:pt idx="13">
                  <c:v>14250</c:v>
                </c:pt>
                <c:pt idx="14">
                  <c:v>13842</c:v>
                </c:pt>
              </c:numCache>
            </c:numRef>
          </c:val>
        </c:ser>
        <c:gapWidth val="35"/>
        <c:axId val="50130001"/>
        <c:axId val="50130002"/>
      </c:barChart>
      <c:catAx>
        <c:axId val="5013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44546A"/>
                </a:solidFill>
                <a:latin typeface="Meiryo UI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t"/>
        <c:majorGridlines/>
        <c:numFmt formatCode="General" sourceLinked="1"/>
        <c:tickLblPos val="nextTo"/>
        <c:spPr>
          <a:ln>
            <a:solidFill>
              <a:srgbClr val="C8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13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44546A"/>
                </a:solidFill>
                <a:latin typeface="Meiryo UI"/>
              </a:defRPr>
            </a:pPr>
            <a:r>
              <a:rPr lang="en-US" sz="1100" b="1" baseline="0">
                <a:solidFill>
                  <a:srgbClr val="44546A"/>
                </a:solidFill>
                <a:latin typeface="Meiryo UI"/>
              </a:rPr>
              <a:t>上位15業務の平均時間（待ち＋対応・分）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平均待ち</c:v>
          </c:tx>
          <c:spPr>
            <a:solidFill>
              <a:srgbClr val="7FA3C9"/>
            </a:solidFill>
          </c:spPr>
          <c:cat>
            <c:strRef>
              <c:f>業務ランキング!$C$6:$C$20</c:f>
              <c:strCache>
                <c:ptCount val="15"/>
                <c:pt idx="0">
                  <c:v>証明書の受付</c:v>
                </c:pt>
                <c:pt idx="1">
                  <c:v>マイナンバーカード</c:v>
                </c:pt>
                <c:pt idx="2">
                  <c:v>国民健康保険</c:v>
                </c:pt>
                <c:pt idx="3">
                  <c:v>住所の変更・印鑑登録</c:v>
                </c:pt>
                <c:pt idx="4">
                  <c:v>マイナンバー</c:v>
                </c:pt>
                <c:pt idx="5">
                  <c:v>証明書の交付</c:v>
                </c:pt>
                <c:pt idx="6">
                  <c:v>カード受取・記載変更等</c:v>
                </c:pt>
                <c:pt idx="7">
                  <c:v>住民異動届・印鑑登録</c:v>
                </c:pt>
                <c:pt idx="8">
                  <c:v>ご本人のカードの</c:v>
                </c:pt>
                <c:pt idx="9">
                  <c:v>証明書交付</c:v>
                </c:pt>
                <c:pt idx="10">
                  <c:v>住所の変更</c:v>
                </c:pt>
                <c:pt idx="11">
                  <c:v>国民年金</c:v>
                </c:pt>
                <c:pt idx="12">
                  <c:v>証明申請等</c:v>
                </c:pt>
                <c:pt idx="13">
                  <c:v>個人番号カード（ﾏｲﾅﾝﾊﾞｰ)</c:v>
                </c:pt>
                <c:pt idx="14">
                  <c:v>マイナンバーカード手続</c:v>
                </c:pt>
              </c:strCache>
            </c:strRef>
          </c:cat>
          <c:val>
            <c:numRef>
              <c:f>業務ランキング!$F$6:$F$20</c:f>
              <c:numCache>
                <c:formatCode>General</c:formatCode>
                <c:ptCount val="15"/>
                <c:pt idx="0">
                  <c:v>3.422377216757649</c:v>
                </c:pt>
                <c:pt idx="1">
                  <c:v>13.90616166887908</c:v>
                </c:pt>
                <c:pt idx="2">
                  <c:v>8.290830419929016</c:v>
                </c:pt>
                <c:pt idx="3">
                  <c:v>10.13740893541932</c:v>
                </c:pt>
                <c:pt idx="4">
                  <c:v>6.874107913303893</c:v>
                </c:pt>
                <c:pt idx="5">
                  <c:v>1.746293019392582</c:v>
                </c:pt>
                <c:pt idx="6">
                  <c:v>13.39234192932187</c:v>
                </c:pt>
                <c:pt idx="7">
                  <c:v>18.9191970412748</c:v>
                </c:pt>
                <c:pt idx="8">
                  <c:v>10.61317376225022</c:v>
                </c:pt>
                <c:pt idx="9">
                  <c:v>3.917306552624413</c:v>
                </c:pt>
                <c:pt idx="10">
                  <c:v>4.381566748566748</c:v>
                </c:pt>
                <c:pt idx="11">
                  <c:v>1.805268137444631</c:v>
                </c:pt>
                <c:pt idx="12">
                  <c:v>3.151643348142254</c:v>
                </c:pt>
                <c:pt idx="13">
                  <c:v>3.763526315789474</c:v>
                </c:pt>
                <c:pt idx="14">
                  <c:v>14.88703462734042</c:v>
                </c:pt>
              </c:numCache>
            </c:numRef>
          </c:val>
        </c:ser>
        <c:ser>
          <c:idx val="1"/>
          <c:order val="1"/>
          <c:tx>
            <c:v>平均対応</c:v>
          </c:tx>
          <c:spPr>
            <a:solidFill>
              <a:srgbClr val="44546A"/>
            </a:solidFill>
          </c:spPr>
          <c:cat>
            <c:strRef>
              <c:f>業務ランキング!$C$6:$C$20</c:f>
              <c:strCache>
                <c:ptCount val="15"/>
                <c:pt idx="0">
                  <c:v>証明書の受付</c:v>
                </c:pt>
                <c:pt idx="1">
                  <c:v>マイナンバーカード</c:v>
                </c:pt>
                <c:pt idx="2">
                  <c:v>国民健康保険</c:v>
                </c:pt>
                <c:pt idx="3">
                  <c:v>住所の変更・印鑑登録</c:v>
                </c:pt>
                <c:pt idx="4">
                  <c:v>マイナンバー</c:v>
                </c:pt>
                <c:pt idx="5">
                  <c:v>証明書の交付</c:v>
                </c:pt>
                <c:pt idx="6">
                  <c:v>カード受取・記載変更等</c:v>
                </c:pt>
                <c:pt idx="7">
                  <c:v>住民異動届・印鑑登録</c:v>
                </c:pt>
                <c:pt idx="8">
                  <c:v>ご本人のカードの</c:v>
                </c:pt>
                <c:pt idx="9">
                  <c:v>証明書交付</c:v>
                </c:pt>
                <c:pt idx="10">
                  <c:v>住所の変更</c:v>
                </c:pt>
                <c:pt idx="11">
                  <c:v>国民年金</c:v>
                </c:pt>
                <c:pt idx="12">
                  <c:v>証明申請等</c:v>
                </c:pt>
                <c:pt idx="13">
                  <c:v>個人番号カード（ﾏｲﾅﾝﾊﾞｰ)</c:v>
                </c:pt>
                <c:pt idx="14">
                  <c:v>マイナンバーカード手続</c:v>
                </c:pt>
              </c:strCache>
            </c:strRef>
          </c:cat>
          <c:val>
            <c:numRef>
              <c:f>業務ランキング!$G$6:$G$20</c:f>
              <c:numCache>
                <c:formatCode>General</c:formatCode>
                <c:ptCount val="15"/>
                <c:pt idx="0">
                  <c:v>4.582953672478223</c:v>
                </c:pt>
                <c:pt idx="1">
                  <c:v>3.127406020901576</c:v>
                </c:pt>
                <c:pt idx="2">
                  <c:v>12.04977653605781</c:v>
                </c:pt>
                <c:pt idx="3">
                  <c:v>4.576071732938617</c:v>
                </c:pt>
                <c:pt idx="4">
                  <c:v>3.380445557835996</c:v>
                </c:pt>
                <c:pt idx="5">
                  <c:v>5.902055703725353</c:v>
                </c:pt>
                <c:pt idx="6">
                  <c:v>6.510249286100178</c:v>
                </c:pt>
                <c:pt idx="7">
                  <c:v>7.338352972212451</c:v>
                </c:pt>
                <c:pt idx="8">
                  <c:v>4.115328932682802</c:v>
                </c:pt>
                <c:pt idx="9">
                  <c:v>3.197300259497446</c:v>
                </c:pt>
                <c:pt idx="10">
                  <c:v>13.91065932946092</c:v>
                </c:pt>
                <c:pt idx="11">
                  <c:v>17.73704560180531</c:v>
                </c:pt>
                <c:pt idx="12">
                  <c:v>9.997503735905447</c:v>
                </c:pt>
                <c:pt idx="13">
                  <c:v>6.875608397905263</c:v>
                </c:pt>
                <c:pt idx="14">
                  <c:v>7.228631762906867</c:v>
                </c:pt>
              </c:numCache>
            </c:numRef>
          </c:val>
        </c:ser>
        <c:gapWidth val="35"/>
        <c:overlap val="100"/>
        <c:axId val="50140001"/>
        <c:axId val="50140002"/>
      </c:barChart>
      <c:catAx>
        <c:axId val="5014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44546A"/>
                </a:solidFill>
                <a:latin typeface="Meiryo UI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t"/>
        <c:majorGridlines/>
        <c:numFmt formatCode="General" sourceLinked="1"/>
        <c:tickLblPos val="nextTo"/>
        <c:spPr>
          <a:ln>
            <a:solidFill>
              <a:srgbClr val="C8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Meiryo UI"/>
              </a:defRPr>
            </a:pPr>
            <a:endParaRPr lang="en-US"/>
          </a:p>
        </c:txPr>
        <c:crossAx val="50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Meiryo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16</xdr:col>
      <xdr:colOff>285750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27</xdr:col>
      <xdr:colOff>171450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9</xdr:col>
      <xdr:colOff>228600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18</xdr:col>
      <xdr:colOff>228600</xdr:colOff>
      <xdr:row>50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35</xdr:row>
      <xdr:rowOff>0</xdr:rowOff>
    </xdr:from>
    <xdr:to>
      <xdr:col>26</xdr:col>
      <xdr:colOff>0</xdr:colOff>
      <xdr:row>50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114300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16</xdr:col>
      <xdr:colOff>114300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15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15</xdr:col>
      <xdr:colOff>533400</xdr:colOff>
      <xdr:row>17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257175</xdr:colOff>
      <xdr:row>34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17</xdr:col>
      <xdr:colOff>600075</xdr:colOff>
      <xdr:row>46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14</xdr:row>
      <xdr:rowOff>0</xdr:rowOff>
    </xdr:from>
    <xdr:to>
      <xdr:col>14</xdr:col>
      <xdr:colOff>438150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18</xdr:col>
      <xdr:colOff>228600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18</xdr:col>
      <xdr:colOff>228600</xdr:colOff>
      <xdr:row>49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4546A"/>
    <pageSetUpPr fitToPage="1"/>
  </sheetPr>
  <dimension ref="B1:C28"/>
  <sheetViews>
    <sheetView showGridLines="0" tabSelected="1" workbookViewId="0"/>
  </sheetViews>
  <sheetFormatPr defaultRowHeight="15"/>
  <cols>
    <col min="1" max="1" width="2.7109375" customWidth="1"/>
    <col min="2" max="2" width="22.7109375" customWidth="1"/>
    <col min="3" max="3" width="90.7109375" customWidth="1"/>
  </cols>
  <sheetData>
    <row r="1" spans="2:3">
      <c r="B1" s="1" t="s">
        <v>771</v>
      </c>
    </row>
    <row r="2" spans="2:3">
      <c r="B2" s="2" t="s">
        <v>772</v>
      </c>
    </row>
    <row r="4" spans="2:3">
      <c r="B4" s="3" t="s">
        <v>773</v>
      </c>
      <c r="C4" s="3"/>
    </row>
    <row r="5" spans="2:3">
      <c r="B5" s="4" t="s">
        <v>774</v>
      </c>
      <c r="C5" s="5" t="s">
        <v>775</v>
      </c>
    </row>
    <row r="6" spans="2:3">
      <c r="B6" s="4" t="s">
        <v>776</v>
      </c>
      <c r="C6" s="5" t="s">
        <v>777</v>
      </c>
    </row>
    <row r="7" spans="2:3">
      <c r="B7" s="4" t="s">
        <v>778</v>
      </c>
      <c r="C7" s="5" t="s">
        <v>779</v>
      </c>
    </row>
    <row r="8" spans="2:3">
      <c r="B8" s="4" t="s">
        <v>732</v>
      </c>
      <c r="C8" s="5" t="s">
        <v>780</v>
      </c>
    </row>
    <row r="9" spans="2:3">
      <c r="B9" s="4" t="s">
        <v>733</v>
      </c>
      <c r="C9" s="5" t="s">
        <v>781</v>
      </c>
    </row>
    <row r="10" spans="2:3">
      <c r="B10" s="4" t="s">
        <v>782</v>
      </c>
      <c r="C10" s="5" t="s">
        <v>783</v>
      </c>
    </row>
    <row r="11" spans="2:3">
      <c r="B11" s="4" t="s">
        <v>784</v>
      </c>
      <c r="C11" s="5" t="s">
        <v>785</v>
      </c>
    </row>
    <row r="12" spans="2:3">
      <c r="B12" s="4" t="s">
        <v>786</v>
      </c>
      <c r="C12" s="5" t="s">
        <v>787</v>
      </c>
    </row>
    <row r="13" spans="2:3">
      <c r="B13" s="4" t="s">
        <v>788</v>
      </c>
      <c r="C13" s="5" t="s">
        <v>789</v>
      </c>
    </row>
    <row r="14" spans="2:3">
      <c r="B14" s="4" t="s">
        <v>790</v>
      </c>
      <c r="C14" s="5" t="s">
        <v>791</v>
      </c>
    </row>
    <row r="15" spans="2:3">
      <c r="B15" s="4" t="s">
        <v>792</v>
      </c>
      <c r="C15" s="5" t="s">
        <v>793</v>
      </c>
    </row>
    <row r="16" spans="2:3">
      <c r="B16" s="4" t="s">
        <v>794</v>
      </c>
      <c r="C16" s="5" t="s">
        <v>795</v>
      </c>
    </row>
    <row r="17" spans="2:3">
      <c r="B17" s="3" t="s">
        <v>796</v>
      </c>
      <c r="C17" s="3"/>
    </row>
    <row r="18" spans="2:3">
      <c r="B18" s="6" t="s">
        <v>797</v>
      </c>
      <c r="C18" s="5" t="s">
        <v>798</v>
      </c>
    </row>
    <row r="19" spans="2:3">
      <c r="B19" s="6" t="s">
        <v>799</v>
      </c>
      <c r="C19" s="5" t="s">
        <v>800</v>
      </c>
    </row>
    <row r="20" spans="2:3">
      <c r="B20" s="6" t="s">
        <v>801</v>
      </c>
      <c r="C20" s="5" t="s">
        <v>802</v>
      </c>
    </row>
    <row r="21" spans="2:3">
      <c r="B21" s="6" t="s">
        <v>803</v>
      </c>
      <c r="C21" s="5" t="s">
        <v>804</v>
      </c>
    </row>
    <row r="22" spans="2:3">
      <c r="B22" s="6" t="s">
        <v>504</v>
      </c>
      <c r="C22" s="5" t="s">
        <v>805</v>
      </c>
    </row>
    <row r="24" spans="2:3">
      <c r="B24" s="3" t="s">
        <v>806</v>
      </c>
      <c r="C24" s="3"/>
    </row>
    <row r="25" spans="2:3">
      <c r="B25" s="5" t="s">
        <v>807</v>
      </c>
      <c r="C25" s="7" t="s">
        <v>808</v>
      </c>
    </row>
    <row r="26" spans="2:3">
      <c r="B26" s="5" t="s">
        <v>809</v>
      </c>
      <c r="C26" s="7" t="s">
        <v>810</v>
      </c>
    </row>
    <row r="27" spans="2:3">
      <c r="B27" s="5" t="s">
        <v>811</v>
      </c>
      <c r="C27" s="7" t="s">
        <v>812</v>
      </c>
    </row>
    <row r="28" spans="2:3">
      <c r="B28" s="5" t="s">
        <v>813</v>
      </c>
      <c r="C28" s="7" t="s">
        <v>814</v>
      </c>
    </row>
  </sheetData>
  <hyperlinks>
    <hyperlink ref="B5" location="'計算の説明'!A1" display="計算の説明"/>
    <hyperlink ref="B6" location="'ダッシュボード'!A1" display="ダッシュボード"/>
    <hyperlink ref="B7" location="'時間外削減効果'!A1" display="時間外削減効果"/>
    <hyperlink ref="B8" location="'市民部'!A1" display="市民部"/>
    <hyperlink ref="B9" location="'厚生部'!A1" display="厚生部"/>
    <hyperlink ref="B10" location="'待ち・対応時間'!A1" display="待ち・対応時間"/>
    <hyperlink ref="B11" location="'ヒートマップ'!A1" display="ヒートマップ"/>
    <hyperlink ref="B12" location="'カレンダー'!A1" display="カレンダー"/>
    <hyperlink ref="B13" location="'シミュレーター'!A1" display="シミュレーター"/>
    <hyperlink ref="B14" location="'業務ランキング'!A1" display="業務ランキング"/>
    <hyperlink ref="B15" location="'データ'!A1" display="データ"/>
    <hyperlink ref="B16" location="'取込_市民部'!A1" display="取込_市民部"/>
  </hyperlink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AA61"/>
  <sheetViews>
    <sheetView showGridLines="0" workbookViewId="0"/>
  </sheetViews>
  <sheetFormatPr defaultRowHeight="15"/>
  <cols>
    <col min="1" max="1" width="2.7109375" customWidth="1"/>
    <col min="2" max="26" width="5.28515625" customWidth="1"/>
    <col min="27" max="27" width="2.7109375" customWidth="1"/>
  </cols>
  <sheetData>
    <row r="1" spans="2:27" ht="36" customHeight="1">
      <c r="B1" s="1" t="s">
        <v>421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7" ht="20" customHeight="1">
      <c r="B2" s="2" t="s">
        <v>422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7" ht="6" customHeight="1"/>
    <row r="4" spans="2:27" ht="28" customHeight="1">
      <c r="B4" s="8" t="s">
        <v>423</v>
      </c>
      <c r="C4" s="8"/>
      <c r="D4" s="9" t="s">
        <v>65</v>
      </c>
      <c r="E4" s="9"/>
      <c r="F4" s="9"/>
      <c r="H4" s="8" t="s">
        <v>424</v>
      </c>
      <c r="I4" s="8"/>
      <c r="J4" s="9" t="s">
        <v>66</v>
      </c>
      <c r="K4" s="9"/>
      <c r="L4" s="9"/>
      <c r="N4" s="8" t="s">
        <v>425</v>
      </c>
      <c r="O4" s="8"/>
      <c r="P4" s="10">
        <v>0.375</v>
      </c>
      <c r="Q4" s="10"/>
      <c r="R4" s="10"/>
      <c r="T4" s="8" t="s">
        <v>426</v>
      </c>
      <c r="U4" s="8"/>
      <c r="V4" s="10">
        <v>0.6875</v>
      </c>
      <c r="W4" s="10"/>
      <c r="X4" s="10"/>
    </row>
    <row r="5" spans="2:27" ht="28" customHeight="1">
      <c r="B5" s="8" t="s">
        <v>427</v>
      </c>
      <c r="C5" s="8"/>
      <c r="D5" s="9" t="s">
        <v>387</v>
      </c>
      <c r="E5" s="9"/>
      <c r="F5" s="9"/>
      <c r="G5" s="9"/>
      <c r="H5" s="9"/>
      <c r="J5" s="11" t="s">
        <v>445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2:27" ht="8" customHeight="1"/>
    <row r="7" spans="2:27" ht="20" customHeight="1">
      <c r="C7" s="12" t="s">
        <v>428</v>
      </c>
      <c r="D7" s="12"/>
      <c r="E7" s="12"/>
      <c r="F7" s="12"/>
      <c r="G7" s="12"/>
      <c r="H7" s="12"/>
      <c r="I7" s="12" t="s">
        <v>429</v>
      </c>
      <c r="J7" s="12"/>
      <c r="K7" s="12"/>
      <c r="L7" s="12"/>
      <c r="M7" s="12"/>
      <c r="N7" s="12"/>
      <c r="O7" s="12" t="s">
        <v>430</v>
      </c>
      <c r="P7" s="12"/>
      <c r="Q7" s="12"/>
      <c r="R7" s="12"/>
      <c r="S7" s="12"/>
      <c r="T7" s="12"/>
      <c r="U7" s="12" t="s">
        <v>431</v>
      </c>
      <c r="V7" s="12"/>
      <c r="W7" s="12"/>
      <c r="X7" s="12"/>
      <c r="Y7" s="12"/>
      <c r="Z7" s="12"/>
      <c r="AA7" s="12"/>
    </row>
    <row r="8" spans="2:27" ht="22" customHeight="1">
      <c r="C8" s="13">
        <f>'計算'!B13</f>
        <v>762002</v>
      </c>
      <c r="D8" s="13"/>
      <c r="E8" s="13"/>
      <c r="F8" s="13"/>
      <c r="G8" s="13"/>
      <c r="H8" s="13"/>
      <c r="I8" s="13">
        <f>'計算'!B24</f>
        <v>2953.4961240310076</v>
      </c>
      <c r="J8" s="13"/>
      <c r="K8" s="13"/>
      <c r="L8" s="13"/>
      <c r="M8" s="13"/>
      <c r="N8" s="13"/>
      <c r="O8" s="14" t="str">
        <f>'計算'!B18</f>
        <v>10:30〜10:45</v>
      </c>
      <c r="P8" s="14"/>
      <c r="Q8" s="14"/>
      <c r="R8" s="14"/>
      <c r="S8" s="14"/>
      <c r="T8" s="14"/>
      <c r="U8" s="15">
        <f>'計算'!B16</f>
        <v>0.10972805845653949</v>
      </c>
      <c r="V8" s="15"/>
      <c r="W8" s="15"/>
      <c r="X8" s="15"/>
      <c r="Y8" s="15"/>
      <c r="Z8" s="15"/>
      <c r="AA8" s="15"/>
    </row>
    <row r="9" spans="2:27" ht="22" customHeight="1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14"/>
      <c r="Q9" s="14"/>
      <c r="R9" s="14"/>
      <c r="S9" s="14"/>
      <c r="T9" s="14"/>
      <c r="U9" s="15"/>
      <c r="V9" s="15"/>
      <c r="W9" s="15"/>
      <c r="X9" s="15"/>
      <c r="Y9" s="15"/>
      <c r="Z9" s="15"/>
      <c r="AA9" s="15"/>
    </row>
    <row r="10" spans="2:27" ht="20" customHeight="1">
      <c r="C10" s="16" t="str">
        <f>'ダッシュボード'!$D$4&amp;" ／ "&amp;'ダッシュボード'!$J$4</f>
        <v>全区 ／ 全期間</v>
      </c>
      <c r="D10" s="16"/>
      <c r="E10" s="16"/>
      <c r="F10" s="16"/>
      <c r="G10" s="16"/>
      <c r="H10" s="16"/>
      <c r="I10" s="16" t="str">
        <f>"営業日 "&amp;'計算'!B23&amp;" 日"</f>
        <v>営業日 258 日</v>
      </c>
      <c r="J10" s="16"/>
      <c r="K10" s="16"/>
      <c r="L10" s="16"/>
      <c r="M10" s="16"/>
      <c r="N10" s="16"/>
      <c r="O10" s="16" t="str">
        <f>"最大 "&amp;TEXT('計算'!B19,"#,##0")&amp;" 人"</f>
        <v>最大 26,217 人</v>
      </c>
      <c r="P10" s="16"/>
      <c r="Q10" s="16"/>
      <c r="R10" s="16"/>
      <c r="S10" s="16"/>
      <c r="T10" s="16"/>
      <c r="U10" s="16" t="str">
        <f>TEXT('計算'!B15,"#,##0")&amp;" 人が時間外"</f>
        <v>83,613 人が時間外</v>
      </c>
      <c r="V10" s="16"/>
      <c r="W10" s="16"/>
      <c r="X10" s="16"/>
      <c r="Y10" s="16"/>
      <c r="Z10" s="16"/>
      <c r="AA10" s="16"/>
    </row>
    <row r="11" spans="2:27" ht="6" customHeight="1"/>
    <row r="12" spans="2:27" ht="20" customHeight="1">
      <c r="C12" s="12" t="s">
        <v>432</v>
      </c>
      <c r="D12" s="12"/>
      <c r="E12" s="12"/>
      <c r="F12" s="12"/>
      <c r="G12" s="12"/>
      <c r="H12" s="12"/>
      <c r="I12" s="12" t="s">
        <v>433</v>
      </c>
      <c r="J12" s="12"/>
      <c r="K12" s="12"/>
      <c r="L12" s="12"/>
      <c r="M12" s="12"/>
      <c r="N12" s="12"/>
      <c r="O12" s="12" t="s">
        <v>434</v>
      </c>
      <c r="P12" s="12"/>
      <c r="Q12" s="12"/>
      <c r="R12" s="12"/>
      <c r="S12" s="12"/>
      <c r="T12" s="12"/>
      <c r="U12" s="12" t="s">
        <v>435</v>
      </c>
      <c r="V12" s="12"/>
      <c r="W12" s="12"/>
      <c r="X12" s="12"/>
      <c r="Y12" s="12"/>
      <c r="Z12" s="12"/>
      <c r="AA12" s="12"/>
    </row>
    <row r="13" spans="2:27" ht="22" customHeight="1">
      <c r="C13" s="17">
        <f>'計算'!B25</f>
        <v>7.83873782856882</v>
      </c>
      <c r="D13" s="17"/>
      <c r="E13" s="17"/>
      <c r="F13" s="17"/>
      <c r="G13" s="17"/>
      <c r="H13" s="17"/>
      <c r="I13" s="15">
        <f>'計算'!B26</f>
        <v>0.8495236364067446</v>
      </c>
      <c r="J13" s="15"/>
      <c r="K13" s="15"/>
      <c r="L13" s="15"/>
      <c r="M13" s="15"/>
      <c r="N13" s="15"/>
      <c r="O13" s="17">
        <f>'計算'!B27</f>
        <v>7.637563638348003</v>
      </c>
      <c r="P13" s="17"/>
      <c r="Q13" s="17"/>
      <c r="R13" s="17"/>
      <c r="S13" s="17"/>
      <c r="T13" s="17"/>
      <c r="U13" s="17">
        <f>'計算'!B28</f>
        <v>15.309631307740862</v>
      </c>
      <c r="V13" s="17"/>
      <c r="W13" s="17"/>
      <c r="X13" s="17"/>
      <c r="Y13" s="17"/>
      <c r="Z13" s="17"/>
      <c r="AA13" s="17"/>
    </row>
    <row r="14" spans="2:27" ht="22" customHeight="1">
      <c r="C14" s="17"/>
      <c r="D14" s="17"/>
      <c r="E14" s="17"/>
      <c r="F14" s="17"/>
      <c r="G14" s="17"/>
      <c r="H14" s="17"/>
      <c r="I14" s="15"/>
      <c r="J14" s="15"/>
      <c r="K14" s="15"/>
      <c r="L14" s="15"/>
      <c r="M14" s="15"/>
      <c r="N14" s="15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2:27" ht="20" customHeight="1">
      <c r="C15" s="16" t="str">
        <f>"発券→呼出"</f>
        <v>発券→呼出</v>
      </c>
      <c r="D15" s="16"/>
      <c r="E15" s="16"/>
      <c r="F15" s="16"/>
      <c r="G15" s="16"/>
      <c r="H15" s="16"/>
      <c r="I15" s="16" t="str">
        <f>"待ち時間15分未満"</f>
        <v>待ち時間15分未満</v>
      </c>
      <c r="J15" s="16"/>
      <c r="K15" s="16"/>
      <c r="L15" s="16"/>
      <c r="M15" s="16"/>
      <c r="N15" s="16"/>
      <c r="O15" s="16" t="str">
        <f>"呼出→処理済み"</f>
        <v>呼出→処理済み</v>
      </c>
      <c r="P15" s="16"/>
      <c r="Q15" s="16"/>
      <c r="R15" s="16"/>
      <c r="S15" s="16"/>
      <c r="T15" s="16"/>
      <c r="U15" s="16" t="str">
        <f>"発券→処理済み"</f>
        <v>発券→処理済み</v>
      </c>
      <c r="V15" s="16"/>
      <c r="W15" s="16"/>
      <c r="X15" s="16"/>
      <c r="Y15" s="16"/>
      <c r="Z15" s="16"/>
      <c r="AA15" s="16"/>
    </row>
    <row r="16" spans="2:27" ht="6" customHeight="1"/>
    <row r="17" ht="26" customHeight="1"/>
    <row r="52" spans="2:26" ht="8" customHeight="1"/>
    <row r="53" spans="2:26" ht="22" customHeight="1">
      <c r="B53" s="3" t="s">
        <v>436</v>
      </c>
      <c r="C53" s="3"/>
      <c r="D53" s="3"/>
      <c r="E53" s="3"/>
      <c r="F53" s="3"/>
      <c r="G53" s="3"/>
      <c r="H53" s="3"/>
      <c r="I53" s="3"/>
      <c r="J53" s="3"/>
      <c r="K53" s="3"/>
      <c r="L53" s="3"/>
      <c r="N53" s="3" t="s">
        <v>437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>
      <c r="B54" s="18" t="s">
        <v>438</v>
      </c>
      <c r="C54" s="18"/>
      <c r="D54" s="19">
        <f>INDEX('データ'!$A$880:$A$1244,MATCH(I54,INDEX('データ'!$B$880:$J$1244,0,'計算'!$B$22),0))</f>
        <v>46104</v>
      </c>
      <c r="E54" s="19"/>
      <c r="F54" s="19"/>
      <c r="G54" s="19"/>
      <c r="H54" s="19"/>
      <c r="I54" s="20">
        <f>LARGE(INDEX('データ'!$B$880:$J$1244,0,'計算'!$B$22),1)</f>
        <v>5392</v>
      </c>
      <c r="J54" s="20"/>
      <c r="K54" s="20"/>
      <c r="L54" s="20"/>
      <c r="N54" s="18" t="s">
        <v>438</v>
      </c>
      <c r="O54" s="18"/>
      <c r="P54" s="19">
        <f>INDEX('データ'!$A$880:$A$1244,MATCH(V54,INDEX('データ'!$L$880:$T$1244,0,'計算'!$B$22),0))</f>
        <v>46032</v>
      </c>
      <c r="Q54" s="19"/>
      <c r="R54" s="19"/>
      <c r="S54" s="19"/>
      <c r="T54" s="19"/>
      <c r="U54" s="19"/>
      <c r="V54" s="21">
        <f>LARGE(INDEX('データ'!$L$880:$T$1244,0,'計算'!$B$22),1)</f>
        <v>168.2</v>
      </c>
      <c r="W54" s="21"/>
      <c r="X54" s="21"/>
      <c r="Y54" s="21"/>
      <c r="Z54" s="21"/>
    </row>
    <row r="55" spans="2:26">
      <c r="B55" s="18" t="s">
        <v>439</v>
      </c>
      <c r="C55" s="18"/>
      <c r="D55" s="19">
        <f>INDEX('データ'!$A$880:$A$1244,MATCH(I55,INDEX('データ'!$B$880:$J$1244,0,'計算'!$B$22),0))</f>
        <v>46111</v>
      </c>
      <c r="E55" s="19"/>
      <c r="F55" s="19"/>
      <c r="G55" s="19"/>
      <c r="H55" s="19"/>
      <c r="I55" s="20">
        <f>LARGE(INDEX('データ'!$B$880:$J$1244,0,'計算'!$B$22),2)</f>
        <v>5319</v>
      </c>
      <c r="J55" s="20"/>
      <c r="K55" s="20"/>
      <c r="L55" s="20"/>
      <c r="N55" s="18" t="s">
        <v>439</v>
      </c>
      <c r="O55" s="18"/>
      <c r="P55" s="19">
        <f>INDEX('データ'!$A$880:$A$1244,MATCH(V55,INDEX('データ'!$L$880:$T$1244,0,'計算'!$B$22),0))</f>
        <v>46005</v>
      </c>
      <c r="Q55" s="19"/>
      <c r="R55" s="19"/>
      <c r="S55" s="19"/>
      <c r="T55" s="19"/>
      <c r="U55" s="19"/>
      <c r="V55" s="21">
        <f>LARGE(INDEX('データ'!$L$880:$T$1244,0,'計算'!$B$22),2)</f>
        <v>98.9</v>
      </c>
      <c r="W55" s="21"/>
      <c r="X55" s="21"/>
      <c r="Y55" s="21"/>
      <c r="Z55" s="21"/>
    </row>
    <row r="56" spans="2:26">
      <c r="B56" s="18" t="s">
        <v>440</v>
      </c>
      <c r="C56" s="18"/>
      <c r="D56" s="19">
        <f>INDEX('データ'!$A$880:$A$1244,MATCH(I56,INDEX('データ'!$B$880:$J$1244,0,'計算'!$B$22),0))</f>
        <v>46090</v>
      </c>
      <c r="E56" s="19"/>
      <c r="F56" s="19"/>
      <c r="G56" s="19"/>
      <c r="H56" s="19"/>
      <c r="I56" s="20">
        <f>LARGE(INDEX('データ'!$B$880:$J$1244,0,'計算'!$B$22),3)</f>
        <v>4814</v>
      </c>
      <c r="J56" s="20"/>
      <c r="K56" s="20"/>
      <c r="L56" s="20"/>
      <c r="N56" s="18" t="s">
        <v>440</v>
      </c>
      <c r="O56" s="18"/>
      <c r="P56" s="19">
        <f>INDEX('データ'!$A$880:$A$1244,MATCH(V56,INDEX('データ'!$L$880:$T$1244,0,'計算'!$B$22),0))</f>
        <v>45998</v>
      </c>
      <c r="Q56" s="19"/>
      <c r="R56" s="19"/>
      <c r="S56" s="19"/>
      <c r="T56" s="19"/>
      <c r="U56" s="19"/>
      <c r="V56" s="21">
        <f>LARGE(INDEX('データ'!$L$880:$T$1244,0,'計算'!$B$22),3)</f>
        <v>58.4</v>
      </c>
      <c r="W56" s="21"/>
      <c r="X56" s="21"/>
      <c r="Y56" s="21"/>
      <c r="Z56" s="21"/>
    </row>
    <row r="57" spans="2:26">
      <c r="B57" s="18" t="s">
        <v>441</v>
      </c>
      <c r="C57" s="18"/>
      <c r="D57" s="19">
        <f>INDEX('データ'!$A$880:$A$1244,MATCH(I57,INDEX('データ'!$B$880:$J$1244,0,'計算'!$B$22),0))</f>
        <v>46097</v>
      </c>
      <c r="E57" s="19"/>
      <c r="F57" s="19"/>
      <c r="G57" s="19"/>
      <c r="H57" s="19"/>
      <c r="I57" s="20">
        <f>LARGE(INDEX('データ'!$B$880:$J$1244,0,'計算'!$B$22),4)</f>
        <v>4720</v>
      </c>
      <c r="J57" s="20"/>
      <c r="K57" s="20"/>
      <c r="L57" s="20"/>
      <c r="N57" s="18" t="s">
        <v>441</v>
      </c>
      <c r="O57" s="18"/>
      <c r="P57" s="19">
        <f>INDEX('データ'!$A$880:$A$1244,MATCH(V57,INDEX('データ'!$L$880:$T$1244,0,'計算'!$B$22),0))</f>
        <v>46039</v>
      </c>
      <c r="Q57" s="19"/>
      <c r="R57" s="19"/>
      <c r="S57" s="19"/>
      <c r="T57" s="19"/>
      <c r="U57" s="19"/>
      <c r="V57" s="21">
        <f>LARGE(INDEX('データ'!$L$880:$T$1244,0,'計算'!$B$22),4)</f>
        <v>48.3</v>
      </c>
      <c r="W57" s="21"/>
      <c r="X57" s="21"/>
      <c r="Y57" s="21"/>
      <c r="Z57" s="21"/>
    </row>
    <row r="58" spans="2:26">
      <c r="B58" s="18" t="s">
        <v>442</v>
      </c>
      <c r="C58" s="18"/>
      <c r="D58" s="19">
        <f>INDEX('データ'!$A$880:$A$1244,MATCH(I58,INDEX('データ'!$B$880:$J$1244,0,'計算'!$B$22),0))</f>
        <v>45881</v>
      </c>
      <c r="E58" s="19"/>
      <c r="F58" s="19"/>
      <c r="G58" s="19"/>
      <c r="H58" s="19"/>
      <c r="I58" s="20">
        <f>LARGE(INDEX('データ'!$B$880:$J$1244,0,'計算'!$B$22),5)</f>
        <v>4680</v>
      </c>
      <c r="J58" s="20"/>
      <c r="K58" s="20"/>
      <c r="L58" s="20"/>
      <c r="N58" s="18" t="s">
        <v>442</v>
      </c>
      <c r="O58" s="18"/>
      <c r="P58" s="19">
        <f>INDEX('データ'!$A$880:$A$1244,MATCH(V58,INDEX('データ'!$L$880:$T$1244,0,'計算'!$B$22),0))</f>
        <v>46034</v>
      </c>
      <c r="Q58" s="19"/>
      <c r="R58" s="19"/>
      <c r="S58" s="19"/>
      <c r="T58" s="19"/>
      <c r="U58" s="19"/>
      <c r="V58" s="21">
        <f>LARGE(INDEX('データ'!$L$880:$T$1244,0,'計算'!$B$22),5)</f>
        <v>34.6</v>
      </c>
      <c r="W58" s="21"/>
      <c r="X58" s="21"/>
      <c r="Y58" s="21"/>
      <c r="Z58" s="21"/>
    </row>
    <row r="60" spans="2:26">
      <c r="B60" s="11" t="s">
        <v>444</v>
      </c>
    </row>
    <row r="61" spans="2:26">
      <c r="B61" s="11" t="s">
        <v>443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</sheetData>
  <mergeCells count="70">
    <mergeCell ref="B1:Z1"/>
    <mergeCell ref="B2:Z2"/>
    <mergeCell ref="B4:C4"/>
    <mergeCell ref="D4:F4"/>
    <mergeCell ref="H4:I4"/>
    <mergeCell ref="J4:L4"/>
    <mergeCell ref="N4:O4"/>
    <mergeCell ref="P4:R4"/>
    <mergeCell ref="T4:U4"/>
    <mergeCell ref="V4:X4"/>
    <mergeCell ref="B5:C5"/>
    <mergeCell ref="D5:H5"/>
    <mergeCell ref="C7:H7"/>
    <mergeCell ref="C8:H9"/>
    <mergeCell ref="C10:H10"/>
    <mergeCell ref="I7:N7"/>
    <mergeCell ref="I8:N9"/>
    <mergeCell ref="I10:N10"/>
    <mergeCell ref="O7:T7"/>
    <mergeCell ref="O8:T9"/>
    <mergeCell ref="O10:T10"/>
    <mergeCell ref="U7:AA7"/>
    <mergeCell ref="U8:AA9"/>
    <mergeCell ref="U10:AA10"/>
    <mergeCell ref="C12:H12"/>
    <mergeCell ref="C13:H14"/>
    <mergeCell ref="C15:H15"/>
    <mergeCell ref="I12:N12"/>
    <mergeCell ref="I13:N14"/>
    <mergeCell ref="I15:N15"/>
    <mergeCell ref="O12:T12"/>
    <mergeCell ref="O13:T14"/>
    <mergeCell ref="O15:T15"/>
    <mergeCell ref="U12:AA12"/>
    <mergeCell ref="U13:AA14"/>
    <mergeCell ref="U15:AA15"/>
    <mergeCell ref="B53:L53"/>
    <mergeCell ref="N53:Z53"/>
    <mergeCell ref="B54:C54"/>
    <mergeCell ref="D54:H54"/>
    <mergeCell ref="I54:L54"/>
    <mergeCell ref="N54:O54"/>
    <mergeCell ref="P54:U54"/>
    <mergeCell ref="V54:Z54"/>
    <mergeCell ref="B55:C55"/>
    <mergeCell ref="D55:H55"/>
    <mergeCell ref="I55:L55"/>
    <mergeCell ref="N55:O55"/>
    <mergeCell ref="P55:U55"/>
    <mergeCell ref="V55:Z55"/>
    <mergeCell ref="B56:C56"/>
    <mergeCell ref="D56:H56"/>
    <mergeCell ref="I56:L56"/>
    <mergeCell ref="N56:O56"/>
    <mergeCell ref="P56:U56"/>
    <mergeCell ref="V56:Z56"/>
    <mergeCell ref="B57:C57"/>
    <mergeCell ref="D57:H57"/>
    <mergeCell ref="I57:L57"/>
    <mergeCell ref="N57:O57"/>
    <mergeCell ref="P57:U57"/>
    <mergeCell ref="V57:Z57"/>
    <mergeCell ref="B58:C58"/>
    <mergeCell ref="D58:H58"/>
    <mergeCell ref="I58:L58"/>
    <mergeCell ref="N58:O58"/>
    <mergeCell ref="P58:U58"/>
    <mergeCell ref="V58:Z58"/>
    <mergeCell ref="B61:Z61"/>
    <mergeCell ref="J5:Z5"/>
  </mergeCells>
  <dataValidations count="5">
    <dataValidation type="list" allowBlank="1" showInputMessage="1" showErrorMessage="1" errorTitle="入力エラー" error="リストから選択してください。" sqref="D4">
      <formula1>'計算'!$A$300:$A$308</formula1>
    </dataValidation>
    <dataValidation type="list" allowBlank="1" showInputMessage="1" showErrorMessage="1" errorTitle="入力エラー" error="リストから選択してください。" sqref="J4">
      <formula1>'計算'!$A$200:$A$212</formula1>
    </dataValidation>
    <dataValidation type="list" allowBlank="1" showInputMessage="1" showErrorMessage="1" errorTitle="入力エラー" error="リストから選択してください。" sqref="P4">
      <formula1>'計算'!$A$220:$A$276</formula1>
    </dataValidation>
    <dataValidation type="list" allowBlank="1" showInputMessage="1" showErrorMessage="1" errorTitle="入力エラー" error="リストから選択してください。" sqref="V4">
      <formula1>'計算'!$A$220:$A$276</formula1>
    </dataValidation>
    <dataValidation type="list" allowBlank="1" showInputMessage="1" showErrorMessage="1" errorTitle="入力エラー" error="リストから選択してください。" sqref="D5">
      <formula1>'計算'!$A$310:$A$313</formula1>
    </dataValidation>
  </dataValidation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  <pageSetUpPr fitToPage="1"/>
  </sheetPr>
  <dimension ref="B1:G52"/>
  <sheetViews>
    <sheetView showGridLines="0" workbookViewId="0"/>
  </sheetViews>
  <sheetFormatPr defaultRowHeight="15"/>
  <cols>
    <col min="1" max="1" width="2.7109375" customWidth="1"/>
    <col min="2" max="2" width="36.7109375" customWidth="1"/>
    <col min="3" max="8" width="16.7109375" customWidth="1"/>
  </cols>
  <sheetData>
    <row r="1" spans="2:7">
      <c r="B1" s="1" t="s">
        <v>674</v>
      </c>
    </row>
    <row r="2" spans="2:7">
      <c r="B2" s="2" t="s">
        <v>675</v>
      </c>
    </row>
    <row r="4" spans="2:7">
      <c r="B4" s="3" t="s">
        <v>676</v>
      </c>
    </row>
    <row r="5" spans="2:7" ht="32" customHeight="1">
      <c r="B5" s="22" t="s">
        <v>644</v>
      </c>
      <c r="C5" s="22" t="s">
        <v>677</v>
      </c>
      <c r="D5" s="22" t="s">
        <v>638</v>
      </c>
      <c r="E5" s="22" t="s">
        <v>678</v>
      </c>
      <c r="F5" s="22" t="s">
        <v>679</v>
      </c>
      <c r="G5" s="22" t="s">
        <v>680</v>
      </c>
    </row>
    <row r="6" spans="2:7">
      <c r="B6" s="23" t="s">
        <v>681</v>
      </c>
      <c r="C6" s="24">
        <f>'市民部'!C22</f>
        <v>38403.0</v>
      </c>
      <c r="D6" s="25">
        <f>'市民部'!D22</f>
        <v>9.181460782428834</v>
      </c>
      <c r="E6" s="24">
        <f>'市民部'!F22</f>
        <v>5876.593973793575</v>
      </c>
      <c r="F6" s="24">
        <f>'市民部'!F26</f>
        <v>6131.493333333333</v>
      </c>
      <c r="G6" s="26">
        <f>E6/F6-1</f>
        <v>-0.04157214983077928</v>
      </c>
    </row>
    <row r="7" spans="2:7">
      <c r="B7" s="23" t="s">
        <v>682</v>
      </c>
      <c r="C7" s="24">
        <f>'厚生部'!F20</f>
        <v>37209.142857142855</v>
      </c>
      <c r="D7" s="25">
        <f>'厚生部'!C7</f>
        <v>18.285059967177997</v>
      </c>
      <c r="E7" s="24">
        <f>'厚生部'!G20</f>
        <v>11339.523474502499</v>
      </c>
      <c r="F7" s="24">
        <f>'厚生部'!H24</f>
        <v>10372.5257</v>
      </c>
      <c r="G7" s="26">
        <f>E7/F7-1</f>
        <v>0.09322683813668431</v>
      </c>
    </row>
    <row r="8" spans="2:7">
      <c r="B8" s="23" t="s">
        <v>62</v>
      </c>
      <c r="E8" s="27">
        <f>E6+E7</f>
        <v>17216.117448296074</v>
      </c>
      <c r="F8" s="28">
        <f>F6+F7</f>
        <v>16504.019033333334</v>
      </c>
      <c r="G8" s="26">
        <f>E8/F8-1</f>
        <v>0.043146970051628486</v>
      </c>
    </row>
    <row r="10" spans="2:7">
      <c r="B10" s="3" t="s">
        <v>683</v>
      </c>
    </row>
    <row r="11" spans="2:7">
      <c r="B11" s="22" t="s">
        <v>644</v>
      </c>
      <c r="C11" s="22" t="s">
        <v>684</v>
      </c>
      <c r="D11" s="22" t="s">
        <v>685</v>
      </c>
      <c r="E11" s="22" t="s">
        <v>686</v>
      </c>
    </row>
    <row r="12" spans="2:7">
      <c r="B12" s="23" t="s">
        <v>687</v>
      </c>
      <c r="C12" s="24">
        <v>38566</v>
      </c>
      <c r="D12" s="24">
        <f>E6</f>
        <v>5876.593973793575</v>
      </c>
      <c r="E12" s="29">
        <f>D12/C12</f>
        <v>0.15237758579561206</v>
      </c>
    </row>
    <row r="13" spans="2:7">
      <c r="B13" s="23" t="s">
        <v>688</v>
      </c>
      <c r="C13" s="24">
        <v>92894</v>
      </c>
      <c r="D13" s="24">
        <f>E7</f>
        <v>11339.523474502499</v>
      </c>
      <c r="E13" s="29">
        <f>D13/C13</f>
        <v>0.12206949291130212</v>
      </c>
    </row>
    <row r="14" spans="2:7">
      <c r="B14" s="23" t="s">
        <v>62</v>
      </c>
      <c r="C14" s="28">
        <f>C12+C13</f>
        <v>131460</v>
      </c>
      <c r="D14" s="28">
        <f>D12+D13</f>
        <v>17216.117448296074</v>
      </c>
      <c r="E14" s="30">
        <f>D14/C14</f>
        <v>0.13096088124369445</v>
      </c>
    </row>
    <row r="15" spans="2:7">
      <c r="B15" s="23" t="s">
        <v>689</v>
      </c>
      <c r="C15" s="24">
        <f>C52</f>
        <v>18660</v>
      </c>
      <c r="D15" s="11" t="s">
        <v>690</v>
      </c>
    </row>
    <row r="17" spans="2:6">
      <c r="B17" s="3" t="s">
        <v>691</v>
      </c>
    </row>
    <row r="18" spans="2:6">
      <c r="B18" s="22" t="s">
        <v>4</v>
      </c>
      <c r="C18" s="22" t="s">
        <v>692</v>
      </c>
      <c r="D18" s="22" t="s">
        <v>693</v>
      </c>
      <c r="E18" s="22" t="s">
        <v>694</v>
      </c>
      <c r="F18" s="22" t="s">
        <v>695</v>
      </c>
    </row>
    <row r="19" spans="2:6">
      <c r="B19" s="23" t="s">
        <v>92</v>
      </c>
      <c r="C19" s="24">
        <f>C40*$C$50*$C$51</f>
        <v>960.0</v>
      </c>
      <c r="D19" s="24">
        <f>'市民部'!F14</f>
        <v>1644.552650479378</v>
      </c>
      <c r="E19" s="24">
        <f>D40*$C$50*$C$51</f>
        <v>1560.0</v>
      </c>
      <c r="F19" s="24">
        <f>'厚生部'!G12</f>
        <v>986.783736228706</v>
      </c>
    </row>
    <row r="20" spans="2:6">
      <c r="B20" s="23" t="s">
        <v>106</v>
      </c>
      <c r="C20" s="24">
        <f>C41*$C$50*$C$51</f>
        <v>660.0</v>
      </c>
      <c r="D20" s="24">
        <f>'市民部'!F15</f>
        <v>539.410820967694</v>
      </c>
      <c r="E20" s="24">
        <f>D41*$C$50*$C$51</f>
        <v>1500.0</v>
      </c>
      <c r="F20" s="24">
        <f>'厚生部'!G13</f>
        <v>711.2888327232241</v>
      </c>
    </row>
    <row r="21" spans="2:6">
      <c r="B21" s="23" t="s">
        <v>120</v>
      </c>
      <c r="C21" s="24">
        <f>C42*$C$50*$C$51</f>
        <v>780.0</v>
      </c>
      <c r="D21" s="24">
        <f>'市民部'!F16</f>
        <v>828.4738112678284</v>
      </c>
      <c r="E21" s="24">
        <f>D42*$C$50*$C$51</f>
        <v>1680.0</v>
      </c>
      <c r="F21" s="24">
        <f>'厚生部'!G14</f>
        <v>2152.1515581368503</v>
      </c>
    </row>
    <row r="22" spans="2:6">
      <c r="B22" s="23" t="s">
        <v>134</v>
      </c>
      <c r="C22" s="24">
        <f>C43*$C$50*$C$51</f>
        <v>1020.0</v>
      </c>
      <c r="D22" s="24">
        <f>'市民部'!F17</f>
        <v>1165.2803976365929</v>
      </c>
      <c r="E22" s="24">
        <f>D43*$C$50*$C$51</f>
        <v>1860.0</v>
      </c>
      <c r="F22" s="24">
        <f>'厚生部'!G15</f>
        <v>2773.234095021996</v>
      </c>
    </row>
    <row r="23" spans="2:6">
      <c r="B23" s="23" t="s">
        <v>148</v>
      </c>
      <c r="C23" s="24">
        <f>C44*$C$50*$C$51</f>
        <v>660.0</v>
      </c>
      <c r="D23" s="24">
        <f>'市民部'!F18</f>
        <v>218.67179096818006</v>
      </c>
      <c r="E23" s="24">
        <f>D44*$C$50*$C$51</f>
        <v>2040.0</v>
      </c>
      <c r="F23" s="24">
        <f>'厚生部'!G16</f>
        <v>1273.8591777134004</v>
      </c>
    </row>
    <row r="24" spans="2:6">
      <c r="B24" s="23" t="s">
        <v>162</v>
      </c>
      <c r="C24" s="24">
        <f>C45*$C$50*$C$51</f>
        <v>540.0</v>
      </c>
      <c r="D24" s="24">
        <f>'市民部'!F19</f>
        <v>457.54279565770355</v>
      </c>
      <c r="E24" s="24">
        <f>D45*$C$50*$C$51</f>
        <v>1680.0</v>
      </c>
      <c r="F24" s="24">
        <f>'厚生部'!G17</f>
        <v>728.3548886925903</v>
      </c>
    </row>
    <row r="25" spans="2:6">
      <c r="B25" s="23" t="s">
        <v>176</v>
      </c>
      <c r="C25" s="24">
        <f>C46*$C$50*$C$51</f>
        <v>360.0</v>
      </c>
      <c r="D25" s="24">
        <f>'市民部'!F20</f>
        <v>271.4651904671459</v>
      </c>
      <c r="E25" s="24">
        <f>D46*$C$50*$C$51</f>
        <v>1140.0</v>
      </c>
      <c r="F25" s="24">
        <f>'厚生部'!G19/7</f>
        <v>1417.4404343128124</v>
      </c>
    </row>
    <row r="26" spans="2:6">
      <c r="B26" s="23" t="s">
        <v>190</v>
      </c>
      <c r="C26" s="24">
        <f>C47*$C$50*$C$51</f>
        <v>660.0</v>
      </c>
      <c r="D26" s="24">
        <f>'市民部'!F21</f>
        <v>751.1965163490524</v>
      </c>
      <c r="E26" s="24">
        <f>D47*$C$50*$C$51</f>
        <v>1560.0</v>
      </c>
      <c r="F26" s="24">
        <f>'厚生部'!G18</f>
        <v>1296.41075167292</v>
      </c>
    </row>
    <row r="27" spans="2:6">
      <c r="B27" s="23" t="s">
        <v>642</v>
      </c>
      <c r="C27" s="28">
        <f>SUM(C19:C26)</f>
        <v>5640</v>
      </c>
      <c r="D27" s="28">
        <f>SUM(D19:D26)</f>
        <v>5876.593973793575</v>
      </c>
      <c r="E27" s="28">
        <f>SUM(E19:E26)</f>
        <v>13020</v>
      </c>
      <c r="F27" s="28">
        <f>SUM(F19:F26)</f>
        <v>11339.523474502499</v>
      </c>
    </row>
    <row r="28" spans="2:6">
      <c r="B28" s="11" t="s">
        <v>696</v>
      </c>
    </row>
    <row r="30" spans="2:6">
      <c r="B30" s="3" t="s">
        <v>703</v>
      </c>
    </row>
    <row r="31" spans="2:6">
      <c r="B31" s="5" t="s">
        <v>704</v>
      </c>
    </row>
    <row r="32" spans="2:6">
      <c r="B32" s="5" t="s">
        <v>705</v>
      </c>
    </row>
    <row r="33" spans="2:4">
      <c r="B33" s="5" t="s">
        <v>706</v>
      </c>
    </row>
    <row r="38" spans="2:4">
      <c r="B38" s="3" t="s">
        <v>697</v>
      </c>
    </row>
    <row r="39" spans="2:4" ht="32" customHeight="1">
      <c r="B39" s="22" t="s">
        <v>4</v>
      </c>
      <c r="C39" s="22" t="s">
        <v>698</v>
      </c>
      <c r="D39" s="22" t="s">
        <v>699</v>
      </c>
    </row>
    <row r="40" spans="2:4">
      <c r="B40" s="23" t="s">
        <v>92</v>
      </c>
      <c r="C40" s="9">
        <v>16</v>
      </c>
      <c r="D40" s="9">
        <v>26</v>
      </c>
    </row>
    <row r="41" spans="2:4">
      <c r="B41" s="23" t="s">
        <v>106</v>
      </c>
      <c r="C41" s="9">
        <v>11</v>
      </c>
      <c r="D41" s="9">
        <v>25</v>
      </c>
    </row>
    <row r="42" spans="2:4">
      <c r="B42" s="23" t="s">
        <v>120</v>
      </c>
      <c r="C42" s="9">
        <v>13</v>
      </c>
      <c r="D42" s="9">
        <v>28</v>
      </c>
    </row>
    <row r="43" spans="2:4">
      <c r="B43" s="23" t="s">
        <v>134</v>
      </c>
      <c r="C43" s="9">
        <v>17</v>
      </c>
      <c r="D43" s="9">
        <v>31</v>
      </c>
    </row>
    <row r="44" spans="2:4">
      <c r="B44" s="23" t="s">
        <v>148</v>
      </c>
      <c r="C44" s="9">
        <v>11</v>
      </c>
      <c r="D44" s="9">
        <v>34</v>
      </c>
    </row>
    <row r="45" spans="2:4">
      <c r="B45" s="23" t="s">
        <v>162</v>
      </c>
      <c r="C45" s="9">
        <v>9</v>
      </c>
      <c r="D45" s="9">
        <v>28</v>
      </c>
    </row>
    <row r="46" spans="2:4">
      <c r="B46" s="23" t="s">
        <v>176</v>
      </c>
      <c r="C46" s="9">
        <v>6</v>
      </c>
      <c r="D46" s="9">
        <v>19</v>
      </c>
    </row>
    <row r="47" spans="2:4">
      <c r="B47" s="23" t="s">
        <v>190</v>
      </c>
      <c r="C47" s="9">
        <v>11</v>
      </c>
      <c r="D47" s="9">
        <v>26</v>
      </c>
    </row>
    <row r="48" spans="2:4">
      <c r="B48" s="23" t="s">
        <v>642</v>
      </c>
      <c r="C48" s="28">
        <f>SUM(C40:C47)</f>
        <v>94</v>
      </c>
      <c r="D48" s="28">
        <f>SUM(D40:D47)</f>
        <v>217</v>
      </c>
    </row>
    <row r="50" spans="2:3">
      <c r="B50" s="23" t="s">
        <v>700</v>
      </c>
      <c r="C50" s="31">
        <v>0.25</v>
      </c>
    </row>
    <row r="51" spans="2:3">
      <c r="B51" s="23" t="s">
        <v>701</v>
      </c>
      <c r="C51" s="9">
        <v>240</v>
      </c>
    </row>
    <row r="52" spans="2:3">
      <c r="B52" s="23" t="s">
        <v>702</v>
      </c>
      <c r="C52" s="28">
        <f>(C48+D48)*C50*C51</f>
        <v>18660</v>
      </c>
    </row>
  </sheetData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  <pageSetUpPr fitToPage="1"/>
  </sheetPr>
  <dimension ref="B1:E47"/>
  <sheetViews>
    <sheetView showGridLines="0" workbookViewId="0"/>
  </sheetViews>
  <sheetFormatPr defaultRowHeight="15"/>
  <cols>
    <col min="1" max="1" width="2.7109375" customWidth="1"/>
    <col min="2" max="2" width="26.7109375" customWidth="1"/>
    <col min="3" max="4" width="46.7109375" customWidth="1"/>
    <col min="5" max="5" width="16.7109375" customWidth="1"/>
  </cols>
  <sheetData>
    <row r="1" spans="2:5">
      <c r="B1" s="1" t="s">
        <v>707</v>
      </c>
    </row>
    <row r="2" spans="2:5">
      <c r="B2" s="2" t="s">
        <v>708</v>
      </c>
    </row>
    <row r="4" spans="2:5">
      <c r="B4" s="3" t="s">
        <v>709</v>
      </c>
      <c r="C4" s="3"/>
      <c r="D4" s="3"/>
      <c r="E4" s="3"/>
    </row>
    <row r="5" spans="2:5" ht="32" customHeight="1">
      <c r="B5" s="32" t="s">
        <v>710</v>
      </c>
      <c r="C5" s="32"/>
      <c r="D5" s="32"/>
      <c r="E5" s="32"/>
    </row>
    <row r="7" spans="2:5">
      <c r="B7" s="3" t="s">
        <v>711</v>
      </c>
      <c r="C7" s="3"/>
      <c r="D7" s="3"/>
      <c r="E7" s="3"/>
    </row>
    <row r="8" spans="2:5">
      <c r="B8" s="22" t="s">
        <v>714</v>
      </c>
      <c r="C8" s="22" t="s">
        <v>712</v>
      </c>
      <c r="D8" s="22" t="s">
        <v>713</v>
      </c>
      <c r="E8" s="22"/>
    </row>
    <row r="9" spans="2:5" ht="44" customHeight="1">
      <c r="B9" s="33" t="s">
        <v>715</v>
      </c>
      <c r="C9" s="34" t="s">
        <v>716</v>
      </c>
      <c r="D9" s="34" t="s">
        <v>717</v>
      </c>
    </row>
    <row r="10" spans="2:5" ht="30" customHeight="1">
      <c r="B10" s="33" t="s">
        <v>718</v>
      </c>
      <c r="C10" s="34" t="s">
        <v>719</v>
      </c>
      <c r="D10" s="34" t="s">
        <v>720</v>
      </c>
    </row>
    <row r="11" spans="2:5" ht="30" customHeight="1">
      <c r="B11" s="33" t="s">
        <v>721</v>
      </c>
      <c r="C11" s="34" t="s">
        <v>722</v>
      </c>
      <c r="D11" s="34" t="s">
        <v>723</v>
      </c>
    </row>
    <row r="12" spans="2:5" ht="30" customHeight="1">
      <c r="B12" s="33" t="s">
        <v>724</v>
      </c>
      <c r="C12" s="34" t="s">
        <v>725</v>
      </c>
      <c r="D12" s="34" t="s">
        <v>726</v>
      </c>
    </row>
    <row r="13" spans="2:5" ht="44" customHeight="1">
      <c r="B13" s="33" t="s">
        <v>727</v>
      </c>
      <c r="C13" s="34" t="s">
        <v>728</v>
      </c>
      <c r="D13" s="34" t="s">
        <v>729</v>
      </c>
    </row>
    <row r="14" spans="2:5">
      <c r="B14" s="33" t="s">
        <v>730</v>
      </c>
      <c r="C14" s="35">
        <f>SUM('取込_市民部'!$C$8:$C$1007)</f>
        <v>1339669</v>
      </c>
      <c r="D14" s="35">
        <f>SUM('取込_厚生部'!$C$8:$C$1007)</f>
        <v>203959</v>
      </c>
    </row>
    <row r="16" spans="2:5">
      <c r="B16" s="3" t="s">
        <v>731</v>
      </c>
      <c r="C16" s="3"/>
      <c r="D16" s="3"/>
      <c r="E16" s="3"/>
    </row>
    <row r="17" spans="2:5">
      <c r="B17" s="22" t="s">
        <v>714</v>
      </c>
      <c r="C17" s="22" t="s">
        <v>732</v>
      </c>
      <c r="D17" s="22" t="s">
        <v>733</v>
      </c>
    </row>
    <row r="18" spans="2:5">
      <c r="B18" s="33" t="s">
        <v>734</v>
      </c>
      <c r="C18" s="34" t="str">
        <f>"発券が "&amp;TEXT('市民部'!C4,"h:mm")&amp;" 〜 "&amp;TEXT('市民部'!C5,"h:mm")&amp;" の人"</f>
        <v>発券が 16:30 〜 17:15 の人</v>
      </c>
      <c r="D18" s="34" t="str">
        <f>"発券が "&amp;TEXT('厚生部'!C4,"h:mm")&amp;" 以降の人"</f>
        <v>発券が 16:30 以降の人</v>
      </c>
    </row>
    <row r="19" spans="2:5">
      <c r="B19" s="33" t="s">
        <v>735</v>
      </c>
      <c r="C19" s="34" t="str">
        <f>LEFT('市民部'!C6,4)&amp;"年"&amp;RIGHT('市民部'!C6,2)&amp;"月 〜 "&amp;LEFT('市民部'!C7,4)&amp;"年"&amp;RIGHT('市民部'!C7,2)&amp;"月"</f>
        <v>2025年01月 〜 2025年12月</v>
      </c>
      <c r="D19" s="34" t="str">
        <f>LEFT('厚生部'!C8,4)&amp;"年"&amp;RIGHT('厚生部'!C8,2)&amp;"月 〜 "&amp;LEFT('厚生部'!D8,4)&amp;"年"&amp;RIGHT('厚生部'!D8,2)&amp;"月"</f>
        <v>2026年04月 〜 2026年09月</v>
      </c>
    </row>
    <row r="20" spans="2:5" ht="44" customHeight="1">
      <c r="B20" s="33" t="s">
        <v>736</v>
      </c>
      <c r="C20" s="34" t="s">
        <v>737</v>
      </c>
      <c r="D20" s="34" t="s">
        <v>738</v>
      </c>
    </row>
    <row r="21" spans="2:5">
      <c r="B21" s="33" t="s">
        <v>739</v>
      </c>
      <c r="C21" s="34" t="s">
        <v>740</v>
      </c>
      <c r="D21" s="34" t="s">
        <v>740</v>
      </c>
    </row>
    <row r="22" spans="2:5">
      <c r="B22" s="33" t="s">
        <v>638</v>
      </c>
      <c r="C22" s="36">
        <f>'市民部'!C10</f>
        <v>9.181460782428834</v>
      </c>
      <c r="D22" s="36">
        <f>'厚生部'!C7</f>
        <v>18.285059967177997</v>
      </c>
    </row>
    <row r="23" spans="2:5">
      <c r="B23" s="33" t="s">
        <v>741</v>
      </c>
      <c r="C23" s="34" t="s">
        <v>742</v>
      </c>
      <c r="D23" s="34" t="s">
        <v>742</v>
      </c>
    </row>
    <row r="25" spans="2:5">
      <c r="B25" s="3" t="s">
        <v>743</v>
      </c>
      <c r="C25" s="3"/>
      <c r="D25" s="3"/>
      <c r="E25" s="3"/>
    </row>
    <row r="26" spans="2:5">
      <c r="B26" s="22" t="s">
        <v>732</v>
      </c>
      <c r="C26" s="22" t="s">
        <v>744</v>
      </c>
      <c r="D26" s="22"/>
      <c r="E26" s="22" t="s">
        <v>745</v>
      </c>
    </row>
    <row r="27" spans="2:5">
      <c r="B27" s="33" t="s">
        <v>746</v>
      </c>
      <c r="C27" s="34" t="s">
        <v>747</v>
      </c>
      <c r="D27" s="34"/>
      <c r="E27" s="35">
        <f>'市民部'!C22</f>
        <v>38403.0</v>
      </c>
    </row>
    <row r="28" spans="2:5">
      <c r="B28" s="33" t="s">
        <v>748</v>
      </c>
      <c r="C28" s="34" t="s">
        <v>749</v>
      </c>
      <c r="D28" s="34"/>
      <c r="E28" s="36">
        <f>'市民部'!D22</f>
        <v>9.181460782428834</v>
      </c>
    </row>
    <row r="29" spans="2:5">
      <c r="B29" s="33" t="s">
        <v>750</v>
      </c>
      <c r="C29" s="34" t="s">
        <v>751</v>
      </c>
      <c r="D29" s="34"/>
      <c r="E29" s="35">
        <f>'市民部'!E22</f>
        <v>352595.6384276145</v>
      </c>
    </row>
    <row r="30" spans="2:5">
      <c r="B30" s="33" t="s">
        <v>752</v>
      </c>
      <c r="C30" s="34" t="s">
        <v>753</v>
      </c>
      <c r="D30" s="34"/>
      <c r="E30" s="37">
        <f>'市民部'!F22</f>
        <v>5876.593973793575</v>
      </c>
    </row>
    <row r="32" spans="2:5">
      <c r="B32" s="22" t="s">
        <v>733</v>
      </c>
      <c r="C32" s="22" t="s">
        <v>744</v>
      </c>
      <c r="D32" s="22"/>
      <c r="E32" s="22" t="s">
        <v>745</v>
      </c>
    </row>
    <row r="33" spans="2:5">
      <c r="B33" s="33" t="s">
        <v>754</v>
      </c>
      <c r="C33" s="34" t="s">
        <v>755</v>
      </c>
      <c r="D33" s="34"/>
      <c r="E33" s="35">
        <f>'厚生部'!D19</f>
        <v>15890</v>
      </c>
    </row>
    <row r="34" spans="2:5">
      <c r="B34" s="33" t="s">
        <v>756</v>
      </c>
      <c r="C34" s="34" t="s">
        <v>757</v>
      </c>
      <c r="D34" s="34"/>
      <c r="E34" s="35">
        <f>'厚生部'!F19</f>
        <v>32558.0</v>
      </c>
    </row>
    <row r="35" spans="2:5">
      <c r="B35" s="33" t="s">
        <v>758</v>
      </c>
      <c r="C35" s="34" t="s">
        <v>759</v>
      </c>
      <c r="D35" s="34"/>
      <c r="E35" s="35">
        <f>'厚生部'!F20</f>
        <v>37209.142857142855</v>
      </c>
    </row>
    <row r="36" spans="2:5">
      <c r="B36" s="33" t="s">
        <v>760</v>
      </c>
      <c r="C36" s="34" t="s">
        <v>749</v>
      </c>
      <c r="D36" s="34"/>
      <c r="E36" s="36">
        <f>'厚生部'!C7</f>
        <v>18.285059967177997</v>
      </c>
    </row>
    <row r="37" spans="2:5">
      <c r="B37" s="33" t="s">
        <v>761</v>
      </c>
      <c r="C37" s="34" t="s">
        <v>762</v>
      </c>
      <c r="D37" s="34"/>
      <c r="E37" s="37">
        <f>'厚生部'!G20</f>
        <v>11339.523474502499</v>
      </c>
    </row>
    <row r="39" spans="2:5">
      <c r="B39" s="33" t="s">
        <v>763</v>
      </c>
      <c r="C39" s="34" t="s">
        <v>764</v>
      </c>
      <c r="D39" s="34"/>
      <c r="E39" s="37">
        <f>'時間外削減効果'!E8</f>
        <v>17216.117448296074</v>
      </c>
    </row>
    <row r="41" spans="2:5">
      <c r="B41" s="3" t="s">
        <v>765</v>
      </c>
      <c r="C41" s="3"/>
      <c r="D41" s="3"/>
      <c r="E41" s="3"/>
    </row>
    <row r="42" spans="2:5" ht="30" customHeight="1">
      <c r="B42" s="32" t="s">
        <v>766</v>
      </c>
      <c r="C42" s="32"/>
      <c r="D42" s="32"/>
      <c r="E42" s="32"/>
    </row>
    <row r="43" spans="2:5" ht="30" customHeight="1">
      <c r="B43" s="32" t="s">
        <v>767</v>
      </c>
      <c r="C43" s="32"/>
      <c r="D43" s="32"/>
      <c r="E43" s="32"/>
    </row>
    <row r="44" spans="2:5" ht="30" customHeight="1">
      <c r="B44" s="32" t="s">
        <v>768</v>
      </c>
      <c r="C44" s="32"/>
      <c r="D44" s="32"/>
      <c r="E44" s="32"/>
    </row>
    <row r="45" spans="2:5" ht="30" customHeight="1">
      <c r="B45" s="32" t="s">
        <v>769</v>
      </c>
      <c r="C45" s="32"/>
      <c r="D45" s="32"/>
      <c r="E45" s="32"/>
    </row>
    <row r="47" spans="2:5">
      <c r="B47" s="4" t="s">
        <v>770</v>
      </c>
    </row>
  </sheetData>
  <mergeCells count="15">
    <mergeCell ref="B5:E5"/>
    <mergeCell ref="C27:D27"/>
    <mergeCell ref="C28:D28"/>
    <mergeCell ref="C29:D29"/>
    <mergeCell ref="C30:D30"/>
    <mergeCell ref="C33:D33"/>
    <mergeCell ref="C34:D34"/>
    <mergeCell ref="C35:D35"/>
    <mergeCell ref="C36:D36"/>
    <mergeCell ref="C37:D37"/>
    <mergeCell ref="C39:D39"/>
    <mergeCell ref="B42:E42"/>
    <mergeCell ref="B43:E43"/>
    <mergeCell ref="B44:E44"/>
    <mergeCell ref="B45:E45"/>
  </mergeCells>
  <hyperlinks>
    <hyperlink ref="B47" location="'時間外削減効果'!A1" display="→ 時間外削減効果の総括へ"/>
  </hyperlinks>
  <pageMargins left="0.7" right="0.7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  <pageSetUpPr fitToPage="1"/>
  </sheetPr>
  <dimension ref="B1:G31"/>
  <sheetViews>
    <sheetView showGridLines="0" workbookViewId="0"/>
  </sheetViews>
  <sheetFormatPr defaultRowHeight="15"/>
  <cols>
    <col min="1" max="1" width="2.7109375" customWidth="1"/>
    <col min="2" max="2" width="34.7109375" customWidth="1"/>
    <col min="3" max="8" width="16.7109375" customWidth="1"/>
  </cols>
  <sheetData>
    <row r="1" spans="2:7">
      <c r="B1" s="1" t="s">
        <v>624</v>
      </c>
    </row>
    <row r="2" spans="2:7">
      <c r="B2" s="2" t="s">
        <v>625</v>
      </c>
    </row>
    <row r="4" spans="2:7">
      <c r="B4" s="23" t="s">
        <v>626</v>
      </c>
      <c r="C4" s="10">
        <v>0.6875</v>
      </c>
    </row>
    <row r="5" spans="2:7">
      <c r="B5" s="23" t="s">
        <v>627</v>
      </c>
      <c r="C5" s="10">
        <v>0.71875</v>
      </c>
      <c r="D5" s="11" t="s">
        <v>628</v>
      </c>
    </row>
    <row r="6" spans="2:7">
      <c r="B6" s="23" t="s">
        <v>629</v>
      </c>
      <c r="C6" s="38">
        <v>202501</v>
      </c>
      <c r="D6" s="11" t="s">
        <v>630</v>
      </c>
    </row>
    <row r="7" spans="2:7">
      <c r="B7" s="23" t="s">
        <v>631</v>
      </c>
      <c r="C7" s="38">
        <v>202512</v>
      </c>
    </row>
    <row r="8" spans="2:7">
      <c r="B8" s="23" t="s">
        <v>632</v>
      </c>
      <c r="C8" s="31"/>
      <c r="D8" s="11" t="s">
        <v>633</v>
      </c>
    </row>
    <row r="9" spans="2:7">
      <c r="B9" s="23" t="s">
        <v>634</v>
      </c>
      <c r="C9" s="25">
        <f>IFERROR(SUMIFS('取込_市民部'!$D$8:$D$1007,'取込_市民部'!$B$8:$B$1007,"&gt;="&amp;C6,'取込_市民部'!$B$8:$B$1007,"&lt;="&amp;C7)/SUMIFS('取込_市民部'!$E$8:$E$1007,'取込_市民部'!$B$8:$B$1007,"&gt;="&amp;C6,'取込_市民部'!$B$8:$B$1007,"&lt;="&amp;C7),0)</f>
        <v>9.181460782428834</v>
      </c>
    </row>
    <row r="10" spans="2:7">
      <c r="B10" s="23" t="s">
        <v>635</v>
      </c>
      <c r="C10" s="39">
        <f>IF(ISNUMBER(C8),C8,C9)</f>
        <v>9.181460782428834</v>
      </c>
    </row>
    <row r="12" spans="2:7">
      <c r="B12" s="3" t="s">
        <v>636</v>
      </c>
    </row>
    <row r="13" spans="2:7" ht="30" customHeight="1">
      <c r="B13" s="22" t="s">
        <v>4</v>
      </c>
      <c r="C13" s="22" t="s">
        <v>637</v>
      </c>
      <c r="D13" s="22" t="s">
        <v>638</v>
      </c>
      <c r="E13" s="22" t="s">
        <v>639</v>
      </c>
      <c r="F13" s="22" t="s">
        <v>640</v>
      </c>
      <c r="G13" s="22" t="s">
        <v>641</v>
      </c>
    </row>
    <row r="14" spans="2:7">
      <c r="B14" s="23" t="s">
        <v>92</v>
      </c>
      <c r="C14" s="24">
        <f>SUMPRODUCT(('取込_市民部'!$A$8:$A$1007=$B14)*('取込_市民部'!$B$8:$B$1007&gt;=$C$6)*('取込_市民部'!$B$8:$B$1007&lt;=$C$7)*('取込_市民部'!$F$6:$CW$6&gt;=ROUND($C$4*1440,0))*('取込_市民部'!$F$6:$CW$6&lt;ROUND($C$5*1440,0))*'取込_市民部'!$F$8:$CW$1007)</f>
        <v>10747.0</v>
      </c>
      <c r="D14" s="25">
        <f>$C$10</f>
        <v>9.181460782428834</v>
      </c>
      <c r="E14" s="24">
        <f>C14*D14</f>
        <v>98673.15902876268</v>
      </c>
      <c r="F14" s="24">
        <f>E14/60</f>
        <v>1644.552650479378</v>
      </c>
      <c r="G14" s="24">
        <f>SUMPRODUCT(('取込_市民部'!$A$8:$A$1007=$B14)*('取込_市民部'!$B$8:$B$1007&gt;=$C$6)*('取込_市民部'!$B$8:$B$1007&lt;=$C$7)*('取込_市民部'!$C$8:$C$1007&gt;0))</f>
        <v>11</v>
      </c>
    </row>
    <row r="15" spans="2:7">
      <c r="B15" s="23" t="s">
        <v>106</v>
      </c>
      <c r="C15" s="24">
        <f>SUMPRODUCT(('取込_市民部'!$A$8:$A$1007=$B15)*('取込_市民部'!$B$8:$B$1007&gt;=$C$6)*('取込_市民部'!$B$8:$B$1007&lt;=$C$7)*('取込_市民部'!$F$6:$CW$6&gt;=ROUND($C$4*1440,0))*('取込_市民部'!$F$6:$CW$6&lt;ROUND($C$5*1440,0))*'取込_市民部'!$F$8:$CW$1007)</f>
        <v>3525.0</v>
      </c>
      <c r="D15" s="25">
        <f>$C$10</f>
        <v>9.181460782428834</v>
      </c>
      <c r="E15" s="24">
        <f>C15*D15</f>
        <v>32364.64925806164</v>
      </c>
      <c r="F15" s="24">
        <f>E15/60</f>
        <v>539.410820967694</v>
      </c>
      <c r="G15" s="24">
        <f>SUMPRODUCT(('取込_市民部'!$A$8:$A$1007=$B15)*('取込_市民部'!$B$8:$B$1007&gt;=$C$6)*('取込_市民部'!$B$8:$B$1007&lt;=$C$7)*('取込_市民部'!$C$8:$C$1007&gt;0))</f>
        <v>12</v>
      </c>
    </row>
    <row r="16" spans="2:7">
      <c r="B16" s="23" t="s">
        <v>120</v>
      </c>
      <c r="C16" s="24">
        <f>SUMPRODUCT(('取込_市民部'!$A$8:$A$1007=$B16)*('取込_市民部'!$B$8:$B$1007&gt;=$C$6)*('取込_市民部'!$B$8:$B$1007&lt;=$C$7)*('取込_市民部'!$F$6:$CW$6&gt;=ROUND($C$4*1440,0))*('取込_市民部'!$F$6:$CW$6&lt;ROUND($C$5*1440,0))*'取込_市民部'!$F$8:$CW$1007)</f>
        <v>5414.0</v>
      </c>
      <c r="D16" s="25">
        <f>$C$10</f>
        <v>9.181460782428834</v>
      </c>
      <c r="E16" s="24">
        <f>C16*D16</f>
        <v>49708.42867606971</v>
      </c>
      <c r="F16" s="24">
        <f>E16/60</f>
        <v>828.4738112678284</v>
      </c>
      <c r="G16" s="24">
        <f>SUMPRODUCT(('取込_市民部'!$A$8:$A$1007=$B16)*('取込_市民部'!$B$8:$B$1007&gt;=$C$6)*('取込_市民部'!$B$8:$B$1007&lt;=$C$7)*('取込_市民部'!$C$8:$C$1007&gt;0))</f>
        <v>10</v>
      </c>
    </row>
    <row r="17" spans="2:7">
      <c r="B17" s="23" t="s">
        <v>134</v>
      </c>
      <c r="C17" s="24">
        <f>SUMPRODUCT(('取込_市民部'!$A$8:$A$1007=$B17)*('取込_市民部'!$B$8:$B$1007&gt;=$C$6)*('取込_市民部'!$B$8:$B$1007&lt;=$C$7)*('取込_市民部'!$F$6:$CW$6&gt;=ROUND($C$4*1440,0))*('取込_市民部'!$F$6:$CW$6&lt;ROUND($C$5*1440,0))*'取込_市民部'!$F$8:$CW$1007)</f>
        <v>7615.0</v>
      </c>
      <c r="D17" s="25">
        <f>$C$10</f>
        <v>9.181460782428834</v>
      </c>
      <c r="E17" s="24">
        <f>C17*D17</f>
        <v>69916.82385819557</v>
      </c>
      <c r="F17" s="24">
        <f>E17/60</f>
        <v>1165.2803976365929</v>
      </c>
      <c r="G17" s="24">
        <f>SUMPRODUCT(('取込_市民部'!$A$8:$A$1007=$B17)*('取込_市民部'!$B$8:$B$1007&gt;=$C$6)*('取込_市民部'!$B$8:$B$1007&lt;=$C$7)*('取込_市民部'!$C$8:$C$1007&gt;0))</f>
        <v>12</v>
      </c>
    </row>
    <row r="18" spans="2:7">
      <c r="B18" s="23" t="s">
        <v>148</v>
      </c>
      <c r="C18" s="24">
        <f>SUMPRODUCT(('取込_市民部'!$A$8:$A$1007=$B18)*('取込_市民部'!$B$8:$B$1007&gt;=$C$6)*('取込_市民部'!$B$8:$B$1007&lt;=$C$7)*('取込_市民部'!$F$6:$CW$6&gt;=ROUND($C$4*1440,0))*('取込_市民部'!$F$6:$CW$6&lt;ROUND($C$5*1440,0))*'取込_市民部'!$F$8:$CW$1007)</f>
        <v>1429.0</v>
      </c>
      <c r="D18" s="25">
        <f>$C$10</f>
        <v>9.181460782428834</v>
      </c>
      <c r="E18" s="24">
        <f>C18*D18</f>
        <v>13120.307458090803</v>
      </c>
      <c r="F18" s="24">
        <f>E18/60</f>
        <v>218.67179096818006</v>
      </c>
      <c r="G18" s="24">
        <f>SUMPRODUCT(('取込_市民部'!$A$8:$A$1007=$B18)*('取込_市民部'!$B$8:$B$1007&gt;=$C$6)*('取込_市民部'!$B$8:$B$1007&lt;=$C$7)*('取込_市民部'!$C$8:$C$1007&gt;0))</f>
        <v>11</v>
      </c>
    </row>
    <row r="19" spans="2:7">
      <c r="B19" s="23" t="s">
        <v>162</v>
      </c>
      <c r="C19" s="24">
        <f>SUMPRODUCT(('取込_市民部'!$A$8:$A$1007=$B19)*('取込_市民部'!$B$8:$B$1007&gt;=$C$6)*('取込_市民部'!$B$8:$B$1007&lt;=$C$7)*('取込_市民部'!$F$6:$CW$6&gt;=ROUND($C$4*1440,0))*('取込_市民部'!$F$6:$CW$6&lt;ROUND($C$5*1440,0))*'取込_市民部'!$F$8:$CW$1007)</f>
        <v>2990.0</v>
      </c>
      <c r="D19" s="25">
        <f>$C$10</f>
        <v>9.181460782428834</v>
      </c>
      <c r="E19" s="24">
        <f>C19*D19</f>
        <v>27452.567739462214</v>
      </c>
      <c r="F19" s="24">
        <f>E19/60</f>
        <v>457.54279565770355</v>
      </c>
      <c r="G19" s="24">
        <f>SUMPRODUCT(('取込_市民部'!$A$8:$A$1007=$B19)*('取込_市民部'!$B$8:$B$1007&gt;=$C$6)*('取込_市民部'!$B$8:$B$1007&lt;=$C$7)*('取込_市民部'!$C$8:$C$1007&gt;0))</f>
        <v>12</v>
      </c>
    </row>
    <row r="20" spans="2:7">
      <c r="B20" s="23" t="s">
        <v>176</v>
      </c>
      <c r="C20" s="24">
        <f>SUMPRODUCT(('取込_市民部'!$A$8:$A$1007=$B20)*('取込_市民部'!$B$8:$B$1007&gt;=$C$6)*('取込_市民部'!$B$8:$B$1007&lt;=$C$7)*('取込_市民部'!$F$6:$CW$6&gt;=ROUND($C$4*1440,0))*('取込_市民部'!$F$6:$CW$6&lt;ROUND($C$5*1440,0))*'取込_市民部'!$F$8:$CW$1007)</f>
        <v>1774.0</v>
      </c>
      <c r="D20" s="25">
        <f>$C$10</f>
        <v>9.181460782428834</v>
      </c>
      <c r="E20" s="24">
        <f>C20*D20</f>
        <v>16287.911428028752</v>
      </c>
      <c r="F20" s="24">
        <f>E20/60</f>
        <v>271.4651904671459</v>
      </c>
      <c r="G20" s="24">
        <f>SUMPRODUCT(('取込_市民部'!$A$8:$A$1007=$B20)*('取込_市民部'!$B$8:$B$1007&gt;=$C$6)*('取込_市民部'!$B$8:$B$1007&lt;=$C$7)*('取込_市民部'!$C$8:$C$1007&gt;0))</f>
        <v>12</v>
      </c>
    </row>
    <row r="21" spans="2:7">
      <c r="B21" s="23" t="s">
        <v>190</v>
      </c>
      <c r="C21" s="24">
        <f>SUMPRODUCT(('取込_市民部'!$A$8:$A$1007=$B21)*('取込_市民部'!$B$8:$B$1007&gt;=$C$6)*('取込_市民部'!$B$8:$B$1007&lt;=$C$7)*('取込_市民部'!$F$6:$CW$6&gt;=ROUND($C$4*1440,0))*('取込_市民部'!$F$6:$CW$6&lt;ROUND($C$5*1440,0))*'取込_市民部'!$F$8:$CW$1007)</f>
        <v>4909.0</v>
      </c>
      <c r="D21" s="25">
        <f>$C$10</f>
        <v>9.181460782428834</v>
      </c>
      <c r="E21" s="24">
        <f>C21*D21</f>
        <v>45071.790980943144</v>
      </c>
      <c r="F21" s="24">
        <f>E21/60</f>
        <v>751.1965163490524</v>
      </c>
      <c r="G21" s="24">
        <f>SUMPRODUCT(('取込_市民部'!$A$8:$A$1007=$B21)*('取込_市民部'!$B$8:$B$1007&gt;=$C$6)*('取込_市民部'!$B$8:$B$1007&lt;=$C$7)*('取込_市民部'!$C$8:$C$1007&gt;0))</f>
        <v>12</v>
      </c>
    </row>
    <row r="22" spans="2:7">
      <c r="B22" s="23" t="s">
        <v>642</v>
      </c>
      <c r="C22" s="28">
        <f>SUM(C14:C21)</f>
        <v>38403.0</v>
      </c>
      <c r="D22" s="39">
        <f>C10</f>
        <v>9.181460782428834</v>
      </c>
      <c r="E22" s="28">
        <f>SUM(E14:E21)</f>
        <v>352595.6384276145</v>
      </c>
      <c r="F22" s="27">
        <f>SUM(F14:F21)</f>
        <v>5876.593973793575</v>
      </c>
    </row>
    <row r="24" spans="2:7">
      <c r="B24" s="3" t="s">
        <v>643</v>
      </c>
    </row>
    <row r="25" spans="2:7">
      <c r="B25" s="22" t="s">
        <v>644</v>
      </c>
      <c r="C25" s="22" t="s">
        <v>645</v>
      </c>
      <c r="D25" s="22" t="s">
        <v>638</v>
      </c>
      <c r="E25" s="22" t="s">
        <v>639</v>
      </c>
      <c r="F25" s="22" t="s">
        <v>646</v>
      </c>
    </row>
    <row r="26" spans="2:7">
      <c r="B26" s="23" t="s">
        <v>647</v>
      </c>
      <c r="C26" s="24">
        <v>39988</v>
      </c>
      <c r="D26" s="25">
        <v>9.199999999999999</v>
      </c>
      <c r="E26" s="24">
        <f>C26*D26</f>
        <v>367889.6</v>
      </c>
      <c r="F26" s="24">
        <f>E26/60</f>
        <v>6131.493333333333</v>
      </c>
    </row>
    <row r="27" spans="2:7">
      <c r="B27" s="23" t="s">
        <v>648</v>
      </c>
      <c r="C27" s="40">
        <f>C22-C26</f>
        <v>-1585.0</v>
      </c>
      <c r="F27" s="26">
        <f>F22/F26-1</f>
        <v>-0.04157214983077928</v>
      </c>
    </row>
    <row r="29" spans="2:7">
      <c r="B29" s="11" t="s">
        <v>649</v>
      </c>
    </row>
    <row r="30" spans="2:7">
      <c r="B30" s="11" t="s">
        <v>650</v>
      </c>
    </row>
    <row r="31" spans="2:7">
      <c r="B31" s="11" t="s">
        <v>651</v>
      </c>
    </row>
  </sheetData>
  <dataValidations count="4">
    <dataValidation type="decimal" allowBlank="1" showInputMessage="1" showErrorMessage="1" error="時刻（例 16:30）を入力してください。" sqref="C4">
      <formula1>0.3</formula1>
      <formula2>0.9</formula2>
    </dataValidation>
    <dataValidation type="decimal" allowBlank="1" showInputMessage="1" showErrorMessage="1" error="時刻（例 16:30）を入力してください。" sqref="C5">
      <formula1>0.3</formula1>
      <formula2>0.9</formula2>
    </dataValidation>
    <dataValidation type="whole" allowBlank="1" showInputMessage="1" showErrorMessage="1" error="年月を6桁で入力してください（例 202501）。" sqref="C6">
      <formula1>202301</formula1>
      <formula2>202812</formula2>
    </dataValidation>
    <dataValidation type="whole" allowBlank="1" showInputMessage="1" showErrorMessage="1" error="年月を6桁で入力してください（例 202501）。" sqref="C7">
      <formula1>202301</formula1>
      <formula2>202812</formula2>
    </dataValidation>
  </dataValidations>
  <pageMargins left="0.7" right="0.7" top="0.75" bottom="0.7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  <pageSetUpPr fitToPage="1"/>
  </sheetPr>
  <dimension ref="B1:H68"/>
  <sheetViews>
    <sheetView showGridLines="0" workbookViewId="0"/>
  </sheetViews>
  <sheetFormatPr defaultRowHeight="15"/>
  <cols>
    <col min="1" max="1" width="2.7109375" customWidth="1"/>
    <col min="2" max="2" width="34.7109375" customWidth="1"/>
    <col min="3" max="8" width="15.7109375" customWidth="1"/>
  </cols>
  <sheetData>
    <row r="1" spans="2:7">
      <c r="B1" s="1" t="s">
        <v>652</v>
      </c>
    </row>
    <row r="2" spans="2:7">
      <c r="B2" s="2" t="s">
        <v>653</v>
      </c>
    </row>
    <row r="4" spans="2:7">
      <c r="B4" s="23" t="s">
        <v>654</v>
      </c>
      <c r="C4" s="10">
        <v>0.6875</v>
      </c>
      <c r="D4" s="11" t="s">
        <v>655</v>
      </c>
    </row>
    <row r="5" spans="2:7">
      <c r="B5" s="23" t="s">
        <v>632</v>
      </c>
      <c r="C5" s="31"/>
      <c r="D5" s="11" t="s">
        <v>656</v>
      </c>
    </row>
    <row r="6" spans="2:7">
      <c r="B6" s="23" t="s">
        <v>634</v>
      </c>
      <c r="C6" s="25">
        <f>IFERROR(SUMIFS('取込_厚生部'!$D$8:$D$1007,'取込_厚生部'!$B$8:$B$1007,"&gt;="&amp;C8,'取込_厚生部'!$B$8:$B$1007,"&lt;="&amp;D8)/SUMIFS('取込_厚生部'!$E$8:$E$1007,'取込_厚生部'!$B$8:$B$1007,"&gt;="&amp;C8,'取込_厚生部'!$B$8:$B$1007,"&lt;="&amp;D8),0)</f>
        <v>18.285059967177997</v>
      </c>
    </row>
    <row r="7" spans="2:7">
      <c r="B7" s="23" t="s">
        <v>635</v>
      </c>
      <c r="C7" s="39">
        <f>IF(ISNUMBER(C5),C5,C6)</f>
        <v>18.285059967177997</v>
      </c>
    </row>
    <row r="8" spans="2:7">
      <c r="B8" s="23" t="s">
        <v>657</v>
      </c>
      <c r="C8" s="38">
        <v>202604</v>
      </c>
      <c r="D8" s="38">
        <v>202609</v>
      </c>
    </row>
    <row r="10" spans="2:7">
      <c r="B10" s="3" t="s">
        <v>636</v>
      </c>
    </row>
    <row r="11" spans="2:7" ht="44" customHeight="1">
      <c r="B11" s="22" t="s">
        <v>4</v>
      </c>
      <c r="C11" s="22" t="s">
        <v>641</v>
      </c>
      <c r="D11" s="22" t="s">
        <v>658</v>
      </c>
      <c r="E11" s="22" t="s">
        <v>659</v>
      </c>
      <c r="F11" s="22" t="s">
        <v>660</v>
      </c>
      <c r="G11" s="22" t="s">
        <v>661</v>
      </c>
    </row>
    <row r="12" spans="2:7">
      <c r="B12" s="23" t="s">
        <v>92</v>
      </c>
      <c r="C12" s="24">
        <f>SUMPRODUCT(('取込_厚生部'!$A$8:$A$1007=$B12)*('取込_厚生部'!$B$8:$B$1007&gt;=$C$8)*('取込_厚生部'!$B$8:$B$1007&lt;=$D$8)*('取込_厚生部'!$C$8:$C$1007&gt;0))</f>
        <v>6</v>
      </c>
      <c r="D12" s="24">
        <f>SUMPRODUCT(('取込_厚生部'!$A$8:$A$1007=$B12)*('取込_厚生部'!$B$8:$B$1007&gt;=$C$8)*('取込_厚生部'!$B$8:$B$1007&lt;=$D$8)*('取込_厚生部'!$F$6:$CW$6&gt;=ROUND($C$4*1440,0))*'取込_厚生部'!$F$8:$CW$1007)</f>
        <v>1619</v>
      </c>
      <c r="E12" s="41">
        <f>IF(C12=0,0,D12/C12)</f>
        <v>269.8333333333333</v>
      </c>
      <c r="F12" s="24">
        <f>E12*12</f>
        <v>3238.0</v>
      </c>
      <c r="G12" s="24">
        <f>F12*$C$7/60</f>
        <v>986.783736228706</v>
      </c>
    </row>
    <row r="13" spans="2:7">
      <c r="B13" s="23" t="s">
        <v>106</v>
      </c>
      <c r="C13" s="24">
        <f>SUMPRODUCT(('取込_厚生部'!$A$8:$A$1007=$B13)*('取込_厚生部'!$B$8:$B$1007&gt;=$C$8)*('取込_厚生部'!$B$8:$B$1007&lt;=$D$8)*('取込_厚生部'!$C$8:$C$1007&gt;0))</f>
        <v>4</v>
      </c>
      <c r="D13" s="24">
        <f>SUMPRODUCT(('取込_厚生部'!$A$8:$A$1007=$B13)*('取込_厚生部'!$B$8:$B$1007&gt;=$C$8)*('取込_厚生部'!$B$8:$B$1007&lt;=$D$8)*('取込_厚生部'!$F$6:$CW$6&gt;=ROUND($C$4*1440,0))*'取込_厚生部'!$F$8:$CW$1007)</f>
        <v>778</v>
      </c>
      <c r="E13" s="41">
        <f>IF(C13=0,0,D13/C13)</f>
        <v>194.5</v>
      </c>
      <c r="F13" s="24">
        <f>E13*12</f>
        <v>2334.0</v>
      </c>
      <c r="G13" s="24">
        <f>F13*$C$7/60</f>
        <v>711.2888327232241</v>
      </c>
    </row>
    <row r="14" spans="2:7">
      <c r="B14" s="23" t="s">
        <v>120</v>
      </c>
      <c r="C14" s="24">
        <f>SUMPRODUCT(('取込_厚生部'!$A$8:$A$1007=$B14)*('取込_厚生部'!$B$8:$B$1007&gt;=$C$8)*('取込_厚生部'!$B$8:$B$1007&lt;=$D$8)*('取込_厚生部'!$C$8:$C$1007&gt;0))</f>
        <v>6</v>
      </c>
      <c r="D14" s="24">
        <f>SUMPRODUCT(('取込_厚生部'!$A$8:$A$1007=$B14)*('取込_厚生部'!$B$8:$B$1007&gt;=$C$8)*('取込_厚生部'!$B$8:$B$1007&lt;=$D$8)*('取込_厚生部'!$F$6:$CW$6&gt;=ROUND($C$4*1440,0))*'取込_厚生部'!$F$8:$CW$1007)</f>
        <v>3531</v>
      </c>
      <c r="E14" s="41">
        <f>IF(C14=0,0,D14/C14)</f>
        <v>588.5</v>
      </c>
      <c r="F14" s="24">
        <f>E14*12</f>
        <v>7062.0</v>
      </c>
      <c r="G14" s="24">
        <f>F14*$C$7/60</f>
        <v>2152.1515581368503</v>
      </c>
    </row>
    <row r="15" spans="2:7">
      <c r="B15" s="23" t="s">
        <v>134</v>
      </c>
      <c r="C15" s="24">
        <f>SUMPRODUCT(('取込_厚生部'!$A$8:$A$1007=$B15)*('取込_厚生部'!$B$8:$B$1007&gt;=$C$8)*('取込_厚生部'!$B$8:$B$1007&lt;=$D$8)*('取込_厚生部'!$C$8:$C$1007&gt;0))</f>
        <v>6</v>
      </c>
      <c r="D15" s="24">
        <f>SUMPRODUCT(('取込_厚生部'!$A$8:$A$1007=$B15)*('取込_厚生部'!$B$8:$B$1007&gt;=$C$8)*('取込_厚生部'!$B$8:$B$1007&lt;=$D$8)*('取込_厚生部'!$F$6:$CW$6&gt;=ROUND($C$4*1440,0))*'取込_厚生部'!$F$8:$CW$1007)</f>
        <v>4550</v>
      </c>
      <c r="E15" s="41">
        <f>IF(C15=0,0,D15/C15)</f>
        <v>758.3333333333334</v>
      </c>
      <c r="F15" s="24">
        <f>E15*12</f>
        <v>9100.0</v>
      </c>
      <c r="G15" s="24">
        <f>F15*$C$7/60</f>
        <v>2773.234095021996</v>
      </c>
    </row>
    <row r="16" spans="2:7">
      <c r="B16" s="23" t="s">
        <v>148</v>
      </c>
      <c r="C16" s="24">
        <f>SUMPRODUCT(('取込_厚生部'!$A$8:$A$1007=$B16)*('取込_厚生部'!$B$8:$B$1007&gt;=$C$8)*('取込_厚生部'!$B$8:$B$1007&lt;=$D$8)*('取込_厚生部'!$C$8:$C$1007&gt;0))</f>
        <v>6</v>
      </c>
      <c r="D16" s="24">
        <f>SUMPRODUCT(('取込_厚生部'!$A$8:$A$1007=$B16)*('取込_厚生部'!$B$8:$B$1007&gt;=$C$8)*('取込_厚生部'!$B$8:$B$1007&lt;=$D$8)*('取込_厚生部'!$F$6:$CW$6&gt;=ROUND($C$4*1440,0))*'取込_厚生部'!$F$8:$CW$1007)</f>
        <v>2090</v>
      </c>
      <c r="E16" s="41">
        <f>IF(C16=0,0,D16/C16)</f>
        <v>348.3333333333333</v>
      </c>
      <c r="F16" s="24">
        <f>E16*12</f>
        <v>4180.0</v>
      </c>
      <c r="G16" s="24">
        <f>F16*$C$7/60</f>
        <v>1273.8591777134004</v>
      </c>
    </row>
    <row r="17" spans="2:8">
      <c r="B17" s="23" t="s">
        <v>162</v>
      </c>
      <c r="C17" s="24">
        <f>SUMPRODUCT(('取込_厚生部'!$A$8:$A$1007=$B17)*('取込_厚生部'!$B$8:$B$1007&gt;=$C$8)*('取込_厚生部'!$B$8:$B$1007&lt;=$D$8)*('取込_厚生部'!$C$8:$C$1007&gt;0))</f>
        <v>6</v>
      </c>
      <c r="D17" s="24">
        <f>SUMPRODUCT(('取込_厚生部'!$A$8:$A$1007=$B17)*('取込_厚生部'!$B$8:$B$1007&gt;=$C$8)*('取込_厚生部'!$B$8:$B$1007&lt;=$D$8)*('取込_厚生部'!$F$6:$CW$6&gt;=ROUND($C$4*1440,0))*'取込_厚生部'!$F$8:$CW$1007)</f>
        <v>1195</v>
      </c>
      <c r="E17" s="41">
        <f>IF(C17=0,0,D17/C17)</f>
        <v>199.16666666666666</v>
      </c>
      <c r="F17" s="24">
        <f>E17*12</f>
        <v>2390.0</v>
      </c>
      <c r="G17" s="24">
        <f>F17*$C$7/60</f>
        <v>728.3548886925903</v>
      </c>
    </row>
    <row r="18" spans="2:8">
      <c r="B18" s="23" t="s">
        <v>190</v>
      </c>
      <c r="C18" s="24">
        <f>SUMPRODUCT(('取込_厚生部'!$A$8:$A$1007=$B18)*('取込_厚生部'!$B$8:$B$1007&gt;=$C$8)*('取込_厚生部'!$B$8:$B$1007&lt;=$D$8)*('取込_厚生部'!$C$8:$C$1007&gt;0))</f>
        <v>6</v>
      </c>
      <c r="D18" s="24">
        <f>SUMPRODUCT(('取込_厚生部'!$A$8:$A$1007=$B18)*('取込_厚生部'!$B$8:$B$1007&gt;=$C$8)*('取込_厚生部'!$B$8:$B$1007&lt;=$D$8)*('取込_厚生部'!$F$6:$CW$6&gt;=ROUND($C$4*1440,0))*'取込_厚生部'!$F$8:$CW$1007)</f>
        <v>2127</v>
      </c>
      <c r="E18" s="41">
        <f>IF(C18=0,0,D18/C18)</f>
        <v>354.5</v>
      </c>
      <c r="F18" s="24">
        <f>E18*12</f>
        <v>4254.0</v>
      </c>
      <c r="G18" s="24">
        <f>F18*$C$7/60</f>
        <v>1296.41075167292</v>
      </c>
    </row>
    <row r="19" spans="2:8">
      <c r="B19" s="23" t="s">
        <v>662</v>
      </c>
      <c r="D19" s="28">
        <f>SUM(D12:D18)</f>
        <v>15890</v>
      </c>
      <c r="F19" s="28">
        <f>SUM(F12:F18)</f>
        <v>32558.0</v>
      </c>
      <c r="G19" s="28">
        <f>SUM(G12:G18)</f>
        <v>9922.083040189687</v>
      </c>
    </row>
    <row r="20" spans="2:8">
      <c r="B20" s="23" t="s">
        <v>663</v>
      </c>
      <c r="F20" s="28">
        <f>F19*8/7</f>
        <v>37209.142857142855</v>
      </c>
      <c r="G20" s="27">
        <f>G19*8/7</f>
        <v>11339.523474502499</v>
      </c>
    </row>
    <row r="22" spans="2:8">
      <c r="B22" s="3" t="s">
        <v>643</v>
      </c>
    </row>
    <row r="23" spans="2:8">
      <c r="B23" s="22" t="s">
        <v>644</v>
      </c>
      <c r="C23" s="22" t="s">
        <v>664</v>
      </c>
      <c r="D23" s="22" t="s">
        <v>638</v>
      </c>
      <c r="E23" s="22" t="s">
        <v>639</v>
      </c>
      <c r="F23" s="22" t="s">
        <v>646</v>
      </c>
      <c r="G23" s="22" t="s">
        <v>665</v>
      </c>
      <c r="H23" s="22" t="s">
        <v>666</v>
      </c>
    </row>
    <row r="24" spans="2:8">
      <c r="B24" s="23" t="s">
        <v>667</v>
      </c>
      <c r="C24" s="24">
        <v>4449</v>
      </c>
      <c r="D24" s="25">
        <v>20.4</v>
      </c>
      <c r="E24" s="24">
        <v>90759.60000000001</v>
      </c>
      <c r="F24" s="24">
        <v>1512.66</v>
      </c>
      <c r="G24" s="24">
        <v>9075.959999999999</v>
      </c>
      <c r="H24" s="24">
        <v>10372.5257</v>
      </c>
    </row>
    <row r="25" spans="2:8">
      <c r="B25" s="23" t="s">
        <v>648</v>
      </c>
      <c r="H25" s="26">
        <f>G20/H24-1</f>
        <v>0.09322683813668431</v>
      </c>
    </row>
    <row r="27" spans="2:8">
      <c r="B27" s="3" t="s">
        <v>668</v>
      </c>
    </row>
    <row r="28" spans="2:8">
      <c r="B28" s="22" t="s">
        <v>4</v>
      </c>
      <c r="C28" s="42">
        <f>$C$8</f>
        <v>202604</v>
      </c>
      <c r="D28" s="42">
        <f>IF(C28="","",IF(IF(MOD(C28,100)=12,C28+89,C28+1)&gt;$D$8,"",IF(MOD(C28,100)=12,C28+89,C28+1)))</f>
        <v>202605</v>
      </c>
      <c r="E28" s="42">
        <f>IF(D28="","",IF(IF(MOD(D28,100)=12,D28+89,D28+1)&gt;$D$8,"",IF(MOD(D28,100)=12,D28+89,D28+1)))</f>
        <v>202606</v>
      </c>
      <c r="F28" s="42">
        <f>IF(E28="","",IF(IF(MOD(E28,100)=12,E28+89,E28+1)&gt;$D$8,"",IF(MOD(E28,100)=12,E28+89,E28+1)))</f>
        <v>202607</v>
      </c>
      <c r="G28" s="42">
        <f>IF(F28="","",IF(IF(MOD(F28,100)=12,F28+89,F28+1)&gt;$D$8,"",IF(MOD(F28,100)=12,F28+89,F28+1)))</f>
        <v>202608</v>
      </c>
      <c r="H28" s="42">
        <f>IF(G28="","",IF(IF(MOD(G28,100)=12,G28+89,G28+1)&gt;$D$8,"",IF(MOD(G28,100)=12,G28+89,G28+1)))</f>
        <v>202609</v>
      </c>
    </row>
    <row r="29" spans="2:8">
      <c r="B29" s="23" t="s">
        <v>92</v>
      </c>
      <c r="C29" s="24">
        <f>IF(C$28="","",SUMIFS('取込_厚生部'!$C$8:$C$1007,'取込_厚生部'!$A$8:$A$1007,$B29,'取込_厚生部'!$B$8:$B$1007,C$28))</f>
        <v>3767</v>
      </c>
      <c r="D29" s="24">
        <f>IF(D$28="","",SUMIFS('取込_厚生部'!$C$8:$C$1007,'取込_厚生部'!$A$8:$A$1007,$B29,'取込_厚生部'!$B$8:$B$1007,D$28))</f>
        <v>3465</v>
      </c>
      <c r="E29" s="24">
        <f>IF(E$28="","",SUMIFS('取込_厚生部'!$C$8:$C$1007,'取込_厚生部'!$A$8:$A$1007,$B29,'取込_厚生部'!$B$8:$B$1007,E$28))</f>
        <v>4777</v>
      </c>
      <c r="F29" s="24">
        <f>IF(F$28="","",SUMIFS('取込_厚生部'!$C$8:$C$1007,'取込_厚生部'!$A$8:$A$1007,$B29,'取込_厚生部'!$B$8:$B$1007,F$28))</f>
        <v>4638</v>
      </c>
      <c r="G29" s="24">
        <f>IF(G$28="","",SUMIFS('取込_厚生部'!$C$8:$C$1007,'取込_厚生部'!$A$8:$A$1007,$B29,'取込_厚生部'!$B$8:$B$1007,G$28))</f>
        <v>5250</v>
      </c>
      <c r="H29" s="24">
        <f>IF(H$28="","",SUMIFS('取込_厚生部'!$C$8:$C$1007,'取込_厚生部'!$A$8:$A$1007,$B29,'取込_厚生部'!$B$8:$B$1007,H$28))</f>
        <v>3938</v>
      </c>
    </row>
    <row r="30" spans="2:8">
      <c r="B30" s="23" t="s">
        <v>106</v>
      </c>
      <c r="C30" s="24">
        <f>IF(C$28="","",SUMIFS('取込_厚生部'!$C$8:$C$1007,'取込_厚生部'!$A$8:$A$1007,$B30,'取込_厚生部'!$B$8:$B$1007,C$28))</f>
        <v>3595</v>
      </c>
      <c r="D30" s="24">
        <f>IF(D$28="","",SUMIFS('取込_厚生部'!$C$8:$C$1007,'取込_厚生部'!$A$8:$A$1007,$B30,'取込_厚生部'!$B$8:$B$1007,D$28))</f>
        <v>3507</v>
      </c>
      <c r="E30" s="24">
        <f>IF(E$28="","",SUMIFS('取込_厚生部'!$C$8:$C$1007,'取込_厚生部'!$A$8:$A$1007,$B30,'取込_厚生部'!$B$8:$B$1007,E$28))</f>
        <v>4559</v>
      </c>
      <c r="F30" s="24">
        <f>IF(F$28="","",SUMIFS('取込_厚生部'!$C$8:$C$1007,'取込_厚生部'!$A$8:$A$1007,$B30,'取込_厚生部'!$B$8:$B$1007,F$28))</f>
        <v>4412</v>
      </c>
      <c r="G30" s="24">
        <f>IF(G$28="","",SUMIFS('取込_厚生部'!$C$8:$C$1007,'取込_厚生部'!$A$8:$A$1007,$B30,'取込_厚生部'!$B$8:$B$1007,G$28))</f>
        <v>0</v>
      </c>
      <c r="H30" s="24">
        <f>IF(H$28="","",SUMIFS('取込_厚生部'!$C$8:$C$1007,'取込_厚生部'!$A$8:$A$1007,$B30,'取込_厚生部'!$B$8:$B$1007,H$28))</f>
        <v>0</v>
      </c>
    </row>
    <row r="31" spans="2:8">
      <c r="B31" s="23" t="s">
        <v>120</v>
      </c>
      <c r="C31" s="24">
        <f>IF(C$28="","",SUMIFS('取込_厚生部'!$C$8:$C$1007,'取込_厚生部'!$A$8:$A$1007,$B31,'取込_厚生部'!$B$8:$B$1007,C$28))</f>
        <v>3624</v>
      </c>
      <c r="D31" s="24">
        <f>IF(D$28="","",SUMIFS('取込_厚生部'!$C$8:$C$1007,'取込_厚生部'!$A$8:$A$1007,$B31,'取込_厚生部'!$B$8:$B$1007,D$28))</f>
        <v>3868</v>
      </c>
      <c r="E31" s="24">
        <f>IF(E$28="","",SUMIFS('取込_厚生部'!$C$8:$C$1007,'取込_厚生部'!$A$8:$A$1007,$B31,'取込_厚生部'!$B$8:$B$1007,E$28))</f>
        <v>5278</v>
      </c>
      <c r="F31" s="24">
        <f>IF(F$28="","",SUMIFS('取込_厚生部'!$C$8:$C$1007,'取込_厚生部'!$A$8:$A$1007,$B31,'取込_厚生部'!$B$8:$B$1007,F$28))</f>
        <v>5466</v>
      </c>
      <c r="G31" s="24">
        <f>IF(G$28="","",SUMIFS('取込_厚生部'!$C$8:$C$1007,'取込_厚生部'!$A$8:$A$1007,$B31,'取込_厚生部'!$B$8:$B$1007,G$28))</f>
        <v>5944</v>
      </c>
      <c r="H31" s="24">
        <f>IF(H$28="","",SUMIFS('取込_厚生部'!$C$8:$C$1007,'取込_厚生部'!$A$8:$A$1007,$B31,'取込_厚生部'!$B$8:$B$1007,H$28))</f>
        <v>4485</v>
      </c>
    </row>
    <row r="32" spans="2:8">
      <c r="B32" s="23" t="s">
        <v>134</v>
      </c>
      <c r="C32" s="24">
        <f>IF(C$28="","",SUMIFS('取込_厚生部'!$C$8:$C$1007,'取込_厚生部'!$A$8:$A$1007,$B32,'取込_厚生部'!$B$8:$B$1007,C$28))</f>
        <v>5370</v>
      </c>
      <c r="D32" s="24">
        <f>IF(D$28="","",SUMIFS('取込_厚生部'!$C$8:$C$1007,'取込_厚生部'!$A$8:$A$1007,$B32,'取込_厚生部'!$B$8:$B$1007,D$28))</f>
        <v>5020</v>
      </c>
      <c r="E32" s="24">
        <f>IF(E$28="","",SUMIFS('取込_厚生部'!$C$8:$C$1007,'取込_厚生部'!$A$8:$A$1007,$B32,'取込_厚生部'!$B$8:$B$1007,E$28))</f>
        <v>6607</v>
      </c>
      <c r="F32" s="24">
        <f>IF(F$28="","",SUMIFS('取込_厚生部'!$C$8:$C$1007,'取込_厚生部'!$A$8:$A$1007,$B32,'取込_厚生部'!$B$8:$B$1007,F$28))</f>
        <v>6636</v>
      </c>
      <c r="G32" s="24">
        <f>IF(G$28="","",SUMIFS('取込_厚生部'!$C$8:$C$1007,'取込_厚生部'!$A$8:$A$1007,$B32,'取込_厚生部'!$B$8:$B$1007,G$28))</f>
        <v>7296</v>
      </c>
      <c r="H32" s="24">
        <f>IF(H$28="","",SUMIFS('取込_厚生部'!$C$8:$C$1007,'取込_厚生部'!$A$8:$A$1007,$B32,'取込_厚生部'!$B$8:$B$1007,H$28))</f>
        <v>5534</v>
      </c>
    </row>
    <row r="33" spans="2:8">
      <c r="B33" s="23" t="s">
        <v>148</v>
      </c>
      <c r="C33" s="24">
        <f>IF(C$28="","",SUMIFS('取込_厚生部'!$C$8:$C$1007,'取込_厚生部'!$A$8:$A$1007,$B33,'取込_厚生部'!$B$8:$B$1007,C$28))</f>
        <v>6558</v>
      </c>
      <c r="D33" s="24">
        <f>IF(D$28="","",SUMIFS('取込_厚生部'!$C$8:$C$1007,'取込_厚生部'!$A$8:$A$1007,$B33,'取込_厚生部'!$B$8:$B$1007,D$28))</f>
        <v>6316</v>
      </c>
      <c r="E33" s="24">
        <f>IF(E$28="","",SUMIFS('取込_厚生部'!$C$8:$C$1007,'取込_厚生部'!$A$8:$A$1007,$B33,'取込_厚生部'!$B$8:$B$1007,E$28))</f>
        <v>8023</v>
      </c>
      <c r="F33" s="24">
        <f>IF(F$28="","",SUMIFS('取込_厚生部'!$C$8:$C$1007,'取込_厚生部'!$A$8:$A$1007,$B33,'取込_厚生部'!$B$8:$B$1007,F$28))</f>
        <v>8089</v>
      </c>
      <c r="G33" s="24">
        <f>IF(G$28="","",SUMIFS('取込_厚生部'!$C$8:$C$1007,'取込_厚生部'!$A$8:$A$1007,$B33,'取込_厚生部'!$B$8:$B$1007,G$28))</f>
        <v>8307</v>
      </c>
      <c r="H33" s="24">
        <f>IF(H$28="","",SUMIFS('取込_厚生部'!$C$8:$C$1007,'取込_厚生部'!$A$8:$A$1007,$B33,'取込_厚生部'!$B$8:$B$1007,H$28))</f>
        <v>6681</v>
      </c>
    </row>
    <row r="34" spans="2:8">
      <c r="B34" s="23" t="s">
        <v>162</v>
      </c>
      <c r="C34" s="24">
        <f>IF(C$28="","",SUMIFS('取込_厚生部'!$C$8:$C$1007,'取込_厚生部'!$A$8:$A$1007,$B34,'取込_厚生部'!$B$8:$B$1007,C$28))</f>
        <v>3284</v>
      </c>
      <c r="D34" s="24">
        <f>IF(D$28="","",SUMIFS('取込_厚生部'!$C$8:$C$1007,'取込_厚生部'!$A$8:$A$1007,$B34,'取込_厚生部'!$B$8:$B$1007,D$28))</f>
        <v>3112</v>
      </c>
      <c r="E34" s="24">
        <f>IF(E$28="","",SUMIFS('取込_厚生部'!$C$8:$C$1007,'取込_厚生部'!$A$8:$A$1007,$B34,'取込_厚生部'!$B$8:$B$1007,E$28))</f>
        <v>4312</v>
      </c>
      <c r="F34" s="24">
        <f>IF(F$28="","",SUMIFS('取込_厚生部'!$C$8:$C$1007,'取込_厚生部'!$A$8:$A$1007,$B34,'取込_厚生部'!$B$8:$B$1007,F$28))</f>
        <v>4192</v>
      </c>
      <c r="G34" s="24">
        <f>IF(G$28="","",SUMIFS('取込_厚生部'!$C$8:$C$1007,'取込_厚生部'!$A$8:$A$1007,$B34,'取込_厚生部'!$B$8:$B$1007,G$28))</f>
        <v>4785</v>
      </c>
      <c r="H34" s="24">
        <f>IF(H$28="","",SUMIFS('取込_厚生部'!$C$8:$C$1007,'取込_厚生部'!$A$8:$A$1007,$B34,'取込_厚生部'!$B$8:$B$1007,H$28))</f>
        <v>3328</v>
      </c>
    </row>
    <row r="35" spans="2:8">
      <c r="B35" s="23" t="s">
        <v>190</v>
      </c>
      <c r="C35" s="24">
        <f>IF(C$28="","",SUMIFS('取込_厚生部'!$C$8:$C$1007,'取込_厚生部'!$A$8:$A$1007,$B35,'取込_厚生部'!$B$8:$B$1007,C$28))</f>
        <v>4240</v>
      </c>
      <c r="D35" s="24">
        <f>IF(D$28="","",SUMIFS('取込_厚生部'!$C$8:$C$1007,'取込_厚生部'!$A$8:$A$1007,$B35,'取込_厚生部'!$B$8:$B$1007,D$28))</f>
        <v>4020</v>
      </c>
      <c r="E35" s="24">
        <f>IF(E$28="","",SUMIFS('取込_厚生部'!$C$8:$C$1007,'取込_厚生部'!$A$8:$A$1007,$B35,'取込_厚生部'!$B$8:$B$1007,E$28))</f>
        <v>5511</v>
      </c>
      <c r="F35" s="24">
        <f>IF(F$28="","",SUMIFS('取込_厚生部'!$C$8:$C$1007,'取込_厚生部'!$A$8:$A$1007,$B35,'取込_厚生部'!$B$8:$B$1007,F$28))</f>
        <v>5217</v>
      </c>
      <c r="G35" s="24">
        <f>IF(G$28="","",SUMIFS('取込_厚生部'!$C$8:$C$1007,'取込_厚生部'!$A$8:$A$1007,$B35,'取込_厚生部'!$B$8:$B$1007,G$28))</f>
        <v>6528</v>
      </c>
      <c r="H35" s="24">
        <f>IF(H$28="","",SUMIFS('取込_厚生部'!$C$8:$C$1007,'取込_厚生部'!$A$8:$A$1007,$B35,'取込_厚生部'!$B$8:$B$1007,H$28))</f>
        <v>4420</v>
      </c>
    </row>
    <row r="36" spans="2:8">
      <c r="B36" s="23" t="s">
        <v>642</v>
      </c>
      <c r="C36" s="28">
        <f>SUM(C29:C35)</f>
        <v>30438</v>
      </c>
      <c r="D36" s="28">
        <f>SUM(D29:D35)</f>
        <v>29308</v>
      </c>
      <c r="E36" s="28">
        <f>SUM(E29:E35)</f>
        <v>39067</v>
      </c>
      <c r="F36" s="28">
        <f>SUM(F29:F35)</f>
        <v>38650</v>
      </c>
      <c r="G36" s="28">
        <f>SUM(G29:G35)</f>
        <v>38110</v>
      </c>
      <c r="H36" s="28">
        <f>SUM(H29:H35)</f>
        <v>28386</v>
      </c>
    </row>
    <row r="38" spans="2:8">
      <c r="B38" s="3" t="s">
        <v>669</v>
      </c>
    </row>
    <row r="39" spans="2:8">
      <c r="B39" s="22" t="s">
        <v>4</v>
      </c>
      <c r="C39" s="42">
        <f>C28</f>
        <v>202604</v>
      </c>
      <c r="D39" s="42">
        <f>D28</f>
        <v>202605</v>
      </c>
      <c r="E39" s="42">
        <f>E28</f>
        <v>202606</v>
      </c>
      <c r="F39" s="42">
        <f>F28</f>
        <v>202607</v>
      </c>
      <c r="G39" s="42">
        <f>G28</f>
        <v>202608</v>
      </c>
      <c r="H39" s="42">
        <f>H28</f>
        <v>202609</v>
      </c>
    </row>
    <row r="40" spans="2:8">
      <c r="B40" s="23" t="s">
        <v>92</v>
      </c>
      <c r="C40" s="24">
        <f>IF(C$39="","",SUMPRODUCT(('取込_厚生部'!$A$8:$A$1007=$B40)*('取込_厚生部'!$B$8:$B$1007=C$39)*('取込_厚生部'!$F$6:$CW$6&gt;=ROUND($C$4*1440,0))*'取込_厚生部'!$F$8:$CW$1007))</f>
        <v>251</v>
      </c>
      <c r="D40" s="24">
        <f>IF(D$39="","",SUMPRODUCT(('取込_厚生部'!$A$8:$A$1007=$B40)*('取込_厚生部'!$B$8:$B$1007=D$39)*('取込_厚生部'!$F$6:$CW$6&gt;=ROUND($C$4*1440,0))*'取込_厚生部'!$F$8:$CW$1007))</f>
        <v>232</v>
      </c>
      <c r="E40" s="24">
        <f>IF(E$39="","",SUMPRODUCT(('取込_厚生部'!$A$8:$A$1007=$B40)*('取込_厚生部'!$B$8:$B$1007=E$39)*('取込_厚生部'!$F$6:$CW$6&gt;=ROUND($C$4*1440,0))*'取込_厚生部'!$F$8:$CW$1007))</f>
        <v>276</v>
      </c>
      <c r="F40" s="24">
        <f>IF(F$39="","",SUMPRODUCT(('取込_厚生部'!$A$8:$A$1007=$B40)*('取込_厚生部'!$B$8:$B$1007=F$39)*('取込_厚生部'!$F$6:$CW$6&gt;=ROUND($C$4*1440,0))*'取込_厚生部'!$F$8:$CW$1007))</f>
        <v>279</v>
      </c>
      <c r="G40" s="24">
        <f>IF(G$39="","",SUMPRODUCT(('取込_厚生部'!$A$8:$A$1007=$B40)*('取込_厚生部'!$B$8:$B$1007=G$39)*('取込_厚生部'!$F$6:$CW$6&gt;=ROUND($C$4*1440,0))*'取込_厚生部'!$F$8:$CW$1007))</f>
        <v>348</v>
      </c>
      <c r="H40" s="24">
        <f>IF(H$39="","",SUMPRODUCT(('取込_厚生部'!$A$8:$A$1007=$B40)*('取込_厚生部'!$B$8:$B$1007=H$39)*('取込_厚生部'!$F$6:$CW$6&gt;=ROUND($C$4*1440,0))*'取込_厚生部'!$F$8:$CW$1007))</f>
        <v>233</v>
      </c>
    </row>
    <row r="41" spans="2:8">
      <c r="B41" s="23" t="s">
        <v>106</v>
      </c>
      <c r="C41" s="24">
        <f>IF(C$39="","",SUMPRODUCT(('取込_厚生部'!$A$8:$A$1007=$B41)*('取込_厚生部'!$B$8:$B$1007=C$39)*('取込_厚生部'!$F$6:$CW$6&gt;=ROUND($C$4*1440,0))*'取込_厚生部'!$F$8:$CW$1007))</f>
        <v>159</v>
      </c>
      <c r="D41" s="24">
        <f>IF(D$39="","",SUMPRODUCT(('取込_厚生部'!$A$8:$A$1007=$B41)*('取込_厚生部'!$B$8:$B$1007=D$39)*('取込_厚生部'!$F$6:$CW$6&gt;=ROUND($C$4*1440,0))*'取込_厚生部'!$F$8:$CW$1007))</f>
        <v>191</v>
      </c>
      <c r="E41" s="24">
        <f>IF(E$39="","",SUMPRODUCT(('取込_厚生部'!$A$8:$A$1007=$B41)*('取込_厚生部'!$B$8:$B$1007=E$39)*('取込_厚生部'!$F$6:$CW$6&gt;=ROUND($C$4*1440,0))*'取込_厚生部'!$F$8:$CW$1007))</f>
        <v>213</v>
      </c>
      <c r="F41" s="24">
        <f>IF(F$39="","",SUMPRODUCT(('取込_厚生部'!$A$8:$A$1007=$B41)*('取込_厚生部'!$B$8:$B$1007=F$39)*('取込_厚生部'!$F$6:$CW$6&gt;=ROUND($C$4*1440,0))*'取込_厚生部'!$F$8:$CW$1007))</f>
        <v>215</v>
      </c>
      <c r="G41" s="24">
        <f>IF(G$39="","",SUMPRODUCT(('取込_厚生部'!$A$8:$A$1007=$B41)*('取込_厚生部'!$B$8:$B$1007=G$39)*('取込_厚生部'!$F$6:$CW$6&gt;=ROUND($C$4*1440,0))*'取込_厚生部'!$F$8:$CW$1007))</f>
        <v>0</v>
      </c>
      <c r="H41" s="24">
        <f>IF(H$39="","",SUMPRODUCT(('取込_厚生部'!$A$8:$A$1007=$B41)*('取込_厚生部'!$B$8:$B$1007=H$39)*('取込_厚生部'!$F$6:$CW$6&gt;=ROUND($C$4*1440,0))*'取込_厚生部'!$F$8:$CW$1007))</f>
        <v>0</v>
      </c>
    </row>
    <row r="42" spans="2:8">
      <c r="B42" s="23" t="s">
        <v>120</v>
      </c>
      <c r="C42" s="24">
        <f>IF(C$39="","",SUMPRODUCT(('取込_厚生部'!$A$8:$A$1007=$B42)*('取込_厚生部'!$B$8:$B$1007=C$39)*('取込_厚生部'!$F$6:$CW$6&gt;=ROUND($C$4*1440,0))*'取込_厚生部'!$F$8:$CW$1007))</f>
        <v>428</v>
      </c>
      <c r="D42" s="24">
        <f>IF(D$39="","",SUMPRODUCT(('取込_厚生部'!$A$8:$A$1007=$B42)*('取込_厚生部'!$B$8:$B$1007=D$39)*('取込_厚生部'!$F$6:$CW$6&gt;=ROUND($C$4*1440,0))*'取込_厚生部'!$F$8:$CW$1007))</f>
        <v>472</v>
      </c>
      <c r="E42" s="24">
        <f>IF(E$39="","",SUMPRODUCT(('取込_厚生部'!$A$8:$A$1007=$B42)*('取込_厚生部'!$B$8:$B$1007=E$39)*('取込_厚生部'!$F$6:$CW$6&gt;=ROUND($C$4*1440,0))*'取込_厚生部'!$F$8:$CW$1007))</f>
        <v>603</v>
      </c>
      <c r="F42" s="24">
        <f>IF(F$39="","",SUMPRODUCT(('取込_厚生部'!$A$8:$A$1007=$B42)*('取込_厚生部'!$B$8:$B$1007=F$39)*('取込_厚生部'!$F$6:$CW$6&gt;=ROUND($C$4*1440,0))*'取込_厚生部'!$F$8:$CW$1007))</f>
        <v>697</v>
      </c>
      <c r="G42" s="24">
        <f>IF(G$39="","",SUMPRODUCT(('取込_厚生部'!$A$8:$A$1007=$B42)*('取込_厚生部'!$B$8:$B$1007=G$39)*('取込_厚生部'!$F$6:$CW$6&gt;=ROUND($C$4*1440,0))*'取込_厚生部'!$F$8:$CW$1007))</f>
        <v>797</v>
      </c>
      <c r="H42" s="24">
        <f>IF(H$39="","",SUMPRODUCT(('取込_厚生部'!$A$8:$A$1007=$B42)*('取込_厚生部'!$B$8:$B$1007=H$39)*('取込_厚生部'!$F$6:$CW$6&gt;=ROUND($C$4*1440,0))*'取込_厚生部'!$F$8:$CW$1007))</f>
        <v>534</v>
      </c>
    </row>
    <row r="43" spans="2:8">
      <c r="B43" s="23" t="s">
        <v>134</v>
      </c>
      <c r="C43" s="24">
        <f>IF(C$39="","",SUMPRODUCT(('取込_厚生部'!$A$8:$A$1007=$B43)*('取込_厚生部'!$B$8:$B$1007=C$39)*('取込_厚生部'!$F$6:$CW$6&gt;=ROUND($C$4*1440,0))*'取込_厚生部'!$F$8:$CW$1007))</f>
        <v>737</v>
      </c>
      <c r="D43" s="24">
        <f>IF(D$39="","",SUMPRODUCT(('取込_厚生部'!$A$8:$A$1007=$B43)*('取込_厚生部'!$B$8:$B$1007=D$39)*('取込_厚生部'!$F$6:$CW$6&gt;=ROUND($C$4*1440,0))*'取込_厚生部'!$F$8:$CW$1007))</f>
        <v>595</v>
      </c>
      <c r="E43" s="24">
        <f>IF(E$39="","",SUMPRODUCT(('取込_厚生部'!$A$8:$A$1007=$B43)*('取込_厚生部'!$B$8:$B$1007=E$39)*('取込_厚生部'!$F$6:$CW$6&gt;=ROUND($C$4*1440,0))*'取込_厚生部'!$F$8:$CW$1007))</f>
        <v>784</v>
      </c>
      <c r="F43" s="24">
        <f>IF(F$39="","",SUMPRODUCT(('取込_厚生部'!$A$8:$A$1007=$B43)*('取込_厚生部'!$B$8:$B$1007=F$39)*('取込_厚生部'!$F$6:$CW$6&gt;=ROUND($C$4*1440,0))*'取込_厚生部'!$F$8:$CW$1007))</f>
        <v>828</v>
      </c>
      <c r="G43" s="24">
        <f>IF(G$39="","",SUMPRODUCT(('取込_厚生部'!$A$8:$A$1007=$B43)*('取込_厚生部'!$B$8:$B$1007=G$39)*('取込_厚生部'!$F$6:$CW$6&gt;=ROUND($C$4*1440,0))*'取込_厚生部'!$F$8:$CW$1007))</f>
        <v>933</v>
      </c>
      <c r="H43" s="24">
        <f>IF(H$39="","",SUMPRODUCT(('取込_厚生部'!$A$8:$A$1007=$B43)*('取込_厚生部'!$B$8:$B$1007=H$39)*('取込_厚生部'!$F$6:$CW$6&gt;=ROUND($C$4*1440,0))*'取込_厚生部'!$F$8:$CW$1007))</f>
        <v>673</v>
      </c>
    </row>
    <row r="44" spans="2:8">
      <c r="B44" s="23" t="s">
        <v>148</v>
      </c>
      <c r="C44" s="24">
        <f>IF(C$39="","",SUMPRODUCT(('取込_厚生部'!$A$8:$A$1007=$B44)*('取込_厚生部'!$B$8:$B$1007=C$39)*('取込_厚生部'!$F$6:$CW$6&gt;=ROUND($C$4*1440,0))*'取込_厚生部'!$F$8:$CW$1007))</f>
        <v>267</v>
      </c>
      <c r="D44" s="24">
        <f>IF(D$39="","",SUMPRODUCT(('取込_厚生部'!$A$8:$A$1007=$B44)*('取込_厚生部'!$B$8:$B$1007=D$39)*('取込_厚生部'!$F$6:$CW$6&gt;=ROUND($C$4*1440,0))*'取込_厚生部'!$F$8:$CW$1007))</f>
        <v>239</v>
      </c>
      <c r="E44" s="24">
        <f>IF(E$39="","",SUMPRODUCT(('取込_厚生部'!$A$8:$A$1007=$B44)*('取込_厚生部'!$B$8:$B$1007=E$39)*('取込_厚生部'!$F$6:$CW$6&gt;=ROUND($C$4*1440,0))*'取込_厚生部'!$F$8:$CW$1007))</f>
        <v>332</v>
      </c>
      <c r="F44" s="24">
        <f>IF(F$39="","",SUMPRODUCT(('取込_厚生部'!$A$8:$A$1007=$B44)*('取込_厚生部'!$B$8:$B$1007=F$39)*('取込_厚生部'!$F$6:$CW$6&gt;=ROUND($C$4*1440,0))*'取込_厚生部'!$F$8:$CW$1007))</f>
        <v>445</v>
      </c>
      <c r="G44" s="24">
        <f>IF(G$39="","",SUMPRODUCT(('取込_厚生部'!$A$8:$A$1007=$B44)*('取込_厚生部'!$B$8:$B$1007=G$39)*('取込_厚生部'!$F$6:$CW$6&gt;=ROUND($C$4*1440,0))*'取込_厚生部'!$F$8:$CW$1007))</f>
        <v>459</v>
      </c>
      <c r="H44" s="24">
        <f>IF(H$39="","",SUMPRODUCT(('取込_厚生部'!$A$8:$A$1007=$B44)*('取込_厚生部'!$B$8:$B$1007=H$39)*('取込_厚生部'!$F$6:$CW$6&gt;=ROUND($C$4*1440,0))*'取込_厚生部'!$F$8:$CW$1007))</f>
        <v>348</v>
      </c>
    </row>
    <row r="45" spans="2:8">
      <c r="B45" s="23" t="s">
        <v>162</v>
      </c>
      <c r="C45" s="24">
        <f>IF(C$39="","",SUMPRODUCT(('取込_厚生部'!$A$8:$A$1007=$B45)*('取込_厚生部'!$B$8:$B$1007=C$39)*('取込_厚生部'!$F$6:$CW$6&gt;=ROUND($C$4*1440,0))*'取込_厚生部'!$F$8:$CW$1007))</f>
        <v>150</v>
      </c>
      <c r="D45" s="24">
        <f>IF(D$39="","",SUMPRODUCT(('取込_厚生部'!$A$8:$A$1007=$B45)*('取込_厚生部'!$B$8:$B$1007=D$39)*('取込_厚生部'!$F$6:$CW$6&gt;=ROUND($C$4*1440,0))*'取込_厚生部'!$F$8:$CW$1007))</f>
        <v>149</v>
      </c>
      <c r="E45" s="24">
        <f>IF(E$39="","",SUMPRODUCT(('取込_厚生部'!$A$8:$A$1007=$B45)*('取込_厚生部'!$B$8:$B$1007=E$39)*('取込_厚生部'!$F$6:$CW$6&gt;=ROUND($C$4*1440,0))*'取込_厚生部'!$F$8:$CW$1007))</f>
        <v>186</v>
      </c>
      <c r="F45" s="24">
        <f>IF(F$39="","",SUMPRODUCT(('取込_厚生部'!$A$8:$A$1007=$B45)*('取込_厚生部'!$B$8:$B$1007=F$39)*('取込_厚生部'!$F$6:$CW$6&gt;=ROUND($C$4*1440,0))*'取込_厚生部'!$F$8:$CW$1007))</f>
        <v>216</v>
      </c>
      <c r="G45" s="24">
        <f>IF(G$39="","",SUMPRODUCT(('取込_厚生部'!$A$8:$A$1007=$B45)*('取込_厚生部'!$B$8:$B$1007=G$39)*('取込_厚生部'!$F$6:$CW$6&gt;=ROUND($C$4*1440,0))*'取込_厚生部'!$F$8:$CW$1007))</f>
        <v>323</v>
      </c>
      <c r="H45" s="24">
        <f>IF(H$39="","",SUMPRODUCT(('取込_厚生部'!$A$8:$A$1007=$B45)*('取込_厚生部'!$B$8:$B$1007=H$39)*('取込_厚生部'!$F$6:$CW$6&gt;=ROUND($C$4*1440,0))*'取込_厚生部'!$F$8:$CW$1007))</f>
        <v>171</v>
      </c>
    </row>
    <row r="46" spans="2:8">
      <c r="B46" s="23" t="s">
        <v>190</v>
      </c>
      <c r="C46" s="24">
        <f>IF(C$39="","",SUMPRODUCT(('取込_厚生部'!$A$8:$A$1007=$B46)*('取込_厚生部'!$B$8:$B$1007=C$39)*('取込_厚生部'!$F$6:$CW$6&gt;=ROUND($C$4*1440,0))*'取込_厚生部'!$F$8:$CW$1007))</f>
        <v>312</v>
      </c>
      <c r="D46" s="24">
        <f>IF(D$39="","",SUMPRODUCT(('取込_厚生部'!$A$8:$A$1007=$B46)*('取込_厚生部'!$B$8:$B$1007=D$39)*('取込_厚生部'!$F$6:$CW$6&gt;=ROUND($C$4*1440,0))*'取込_厚生部'!$F$8:$CW$1007))</f>
        <v>271</v>
      </c>
      <c r="E46" s="24">
        <f>IF(E$39="","",SUMPRODUCT(('取込_厚生部'!$A$8:$A$1007=$B46)*('取込_厚生部'!$B$8:$B$1007=E$39)*('取込_厚生部'!$F$6:$CW$6&gt;=ROUND($C$4*1440,0))*'取込_厚生部'!$F$8:$CW$1007))</f>
        <v>354</v>
      </c>
      <c r="F46" s="24">
        <f>IF(F$39="","",SUMPRODUCT(('取込_厚生部'!$A$8:$A$1007=$B46)*('取込_厚生部'!$B$8:$B$1007=F$39)*('取込_厚生部'!$F$6:$CW$6&gt;=ROUND($C$4*1440,0))*'取込_厚生部'!$F$8:$CW$1007))</f>
        <v>379</v>
      </c>
      <c r="G46" s="24">
        <f>IF(G$39="","",SUMPRODUCT(('取込_厚生部'!$A$8:$A$1007=$B46)*('取込_厚生部'!$B$8:$B$1007=G$39)*('取込_厚生部'!$F$6:$CW$6&gt;=ROUND($C$4*1440,0))*'取込_厚生部'!$F$8:$CW$1007))</f>
        <v>488</v>
      </c>
      <c r="H46" s="24">
        <f>IF(H$39="","",SUMPRODUCT(('取込_厚生部'!$A$8:$A$1007=$B46)*('取込_厚生部'!$B$8:$B$1007=H$39)*('取込_厚生部'!$F$6:$CW$6&gt;=ROUND($C$4*1440,0))*'取込_厚生部'!$F$8:$CW$1007))</f>
        <v>323</v>
      </c>
    </row>
    <row r="47" spans="2:8">
      <c r="B47" s="23" t="s">
        <v>642</v>
      </c>
      <c r="C47" s="28">
        <f>SUM(C40:C46)</f>
        <v>2304</v>
      </c>
      <c r="D47" s="28">
        <f>SUM(D40:D46)</f>
        <v>2149</v>
      </c>
      <c r="E47" s="28">
        <f>SUM(E40:E46)</f>
        <v>2748</v>
      </c>
      <c r="F47" s="28">
        <f>SUM(F40:F46)</f>
        <v>3059</v>
      </c>
      <c r="G47" s="28">
        <f>SUM(G40:G46)</f>
        <v>3348</v>
      </c>
      <c r="H47" s="28">
        <f>SUM(H40:H46)</f>
        <v>2282</v>
      </c>
    </row>
    <row r="49" spans="2:5">
      <c r="B49" s="3" t="s">
        <v>670</v>
      </c>
    </row>
    <row r="50" spans="2:5">
      <c r="B50" s="22" t="s">
        <v>573</v>
      </c>
      <c r="C50" s="22" t="s">
        <v>525</v>
      </c>
      <c r="D50" s="22" t="s">
        <v>671</v>
      </c>
      <c r="E50" s="22" t="s">
        <v>638</v>
      </c>
    </row>
    <row r="51" spans="2:5">
      <c r="B51" s="43" t="str">
        <f>INDEX('取込_業務別'!$A$8:$A$507,1)&amp;""</f>
        <v>介護保険</v>
      </c>
      <c r="C51" s="24">
        <f>INDEX('取込_業務別'!$B$8:$B$507,1)</f>
        <v>34917</v>
      </c>
      <c r="D51" s="24">
        <f>SUMPRODUCT(('取込_業務別'!$E$6:$CV$6&gt;=ROUND($C$4*1440,0))*INDEX('取込_業務別'!$E$8:$CV$507,1,0))</f>
        <v>3289</v>
      </c>
      <c r="E51" s="41">
        <f>IFERROR(INDEX('取込_業務別'!$C$8:$C$507,1)/INDEX('取込_業務別'!$D$8:$D$507,1),0)</f>
        <v>14.90886894906982</v>
      </c>
    </row>
    <row r="52" spans="2:5">
      <c r="B52" s="43" t="str">
        <f>INDEX('取込_業務別'!$A$8:$A$507,2)&amp;""</f>
        <v>障害福祉</v>
      </c>
      <c r="C52" s="24">
        <f>INDEX('取込_業務別'!$B$8:$B$507,2)</f>
        <v>10692</v>
      </c>
      <c r="D52" s="24">
        <f>SUMPRODUCT(('取込_業務別'!$E$6:$CV$6&gt;=ROUND($C$4*1440,0))*INDEX('取込_業務別'!$E$8:$CV$507,2,0))</f>
        <v>512</v>
      </c>
      <c r="E52" s="41">
        <f>IFERROR(INDEX('取込_業務別'!$C$8:$C$507,2)/INDEX('取込_業務別'!$D$8:$D$507,2),0)</f>
        <v>14.517114517298959</v>
      </c>
    </row>
    <row r="53" spans="2:5">
      <c r="B53" s="43" t="str">
        <f>INDEX('取込_業務別'!$A$8:$A$507,3)&amp;""</f>
        <v>その他</v>
      </c>
      <c r="C53" s="24">
        <f>INDEX('取込_業務別'!$B$8:$B$507,3)</f>
        <v>10675</v>
      </c>
      <c r="D53" s="24">
        <f>SUMPRODUCT(('取込_業務別'!$E$6:$CV$6&gt;=ROUND($C$4*1440,0))*INDEX('取込_業務別'!$E$8:$CV$507,3,0))</f>
        <v>516</v>
      </c>
      <c r="E53" s="41">
        <f>IFERROR(INDEX('取込_業務別'!$C$8:$C$507,3)/INDEX('取込_業務別'!$D$8:$D$507,3),0)</f>
        <v>13.359766413534501</v>
      </c>
    </row>
    <row r="54" spans="2:5">
      <c r="B54" s="43" t="str">
        <f>INDEX('取込_業務別'!$A$8:$A$507,4)&amp;""</f>
        <v>後期高齢者医療・高齢福祉</v>
      </c>
      <c r="C54" s="24">
        <f>INDEX('取込_業務別'!$B$8:$B$507,4)</f>
        <v>10188</v>
      </c>
      <c r="D54" s="24">
        <f>SUMPRODUCT(('取込_業務別'!$E$6:$CV$6&gt;=ROUND($C$4*1440,0))*INDEX('取込_業務別'!$E$8:$CV$507,4,0))</f>
        <v>591</v>
      </c>
      <c r="E54" s="41">
        <f>IFERROR(INDEX('取込_業務別'!$C$8:$C$507,4)/INDEX('取込_業務別'!$D$8:$D$507,4),0)</f>
        <v>17.350940102068172</v>
      </c>
    </row>
    <row r="55" spans="2:5">
      <c r="B55" s="43" t="str">
        <f>INDEX('取込_業務別'!$A$8:$A$507,5)&amp;""</f>
        <v>身体・療育手帳</v>
      </c>
      <c r="C55" s="24">
        <f>INDEX('取込_業務別'!$B$8:$B$507,5)</f>
        <v>9895</v>
      </c>
      <c r="D55" s="24">
        <f>SUMPRODUCT(('取込_業務別'!$E$6:$CV$6&gt;=ROUND($C$4*1440,0))*INDEX('取込_業務別'!$E$8:$CV$507,5,0))</f>
        <v>1178</v>
      </c>
      <c r="E55" s="41">
        <f>IFERROR(INDEX('取込_業務別'!$C$8:$C$507,5)/INDEX('取込_業務別'!$D$8:$D$507,5),0)</f>
        <v>17.18077190784433</v>
      </c>
    </row>
    <row r="56" spans="2:5">
      <c r="B56" s="43" t="str">
        <f>INDEX('取込_業務別'!$A$8:$A$507,6)&amp;""</f>
        <v>児童手当・こども医療</v>
      </c>
      <c r="C56" s="24">
        <f>INDEX('取込_業務別'!$B$8:$B$507,6)</f>
        <v>8788</v>
      </c>
      <c r="D56" s="24">
        <f>SUMPRODUCT(('取込_業務別'!$E$6:$CV$6&gt;=ROUND($C$4*1440,0))*INDEX('取込_業務別'!$E$8:$CV$507,6,0))</f>
        <v>831</v>
      </c>
      <c r="E56" s="41">
        <f>IFERROR(INDEX('取込_業務別'!$C$8:$C$507,6)/INDEX('取込_業務別'!$D$8:$D$507,6),0)</f>
        <v>14.729418449721754</v>
      </c>
    </row>
    <row r="57" spans="2:5">
      <c r="B57" s="43" t="str">
        <f>INDEX('取込_業務別'!$A$8:$A$507,7)&amp;""</f>
        <v>精神保健（手帳・医療費）</v>
      </c>
      <c r="C57" s="24">
        <f>INDEX('取込_業務別'!$B$8:$B$507,7)</f>
        <v>8406</v>
      </c>
      <c r="D57" s="24">
        <f>SUMPRODUCT(('取込_業務別'!$E$6:$CV$6&gt;=ROUND($C$4*1440,0))*INDEX('取込_業務別'!$E$8:$CV$507,7,0))</f>
        <v>954</v>
      </c>
      <c r="E57" s="41">
        <f>IFERROR(INDEX('取込_業務別'!$C$8:$C$507,7)/INDEX('取込_業務別'!$D$8:$D$507,7),0)</f>
        <v>17.47018171353402</v>
      </c>
    </row>
    <row r="58" spans="2:5">
      <c r="B58" s="43" t="str">
        <f>INDEX('取込_業務別'!$A$8:$A$507,8)&amp;""</f>
        <v>障害福祉サービス</v>
      </c>
      <c r="C58" s="24">
        <f>INDEX('取込_業務別'!$B$8:$B$507,8)</f>
        <v>7421</v>
      </c>
      <c r="D58" s="24">
        <f>SUMPRODUCT(('取込_業務別'!$E$6:$CV$6&gt;=ROUND($C$4*1440,0))*INDEX('取込_業務別'!$E$8:$CV$507,8,0))</f>
        <v>486</v>
      </c>
      <c r="E58" s="41">
        <f>IFERROR(INDEX('取込_業務別'!$C$8:$C$507,8)/INDEX('取込_業務別'!$D$8:$D$507,8),0)</f>
        <v>13.344721724343938</v>
      </c>
    </row>
    <row r="59" spans="2:5">
      <c r="B59" s="43" t="str">
        <f>INDEX('取込_業務別'!$A$8:$A$507,9)&amp;""</f>
        <v>保育園等</v>
      </c>
      <c r="C59" s="24">
        <f>INDEX('取込_業務別'!$B$8:$B$507,9)</f>
        <v>7331</v>
      </c>
      <c r="D59" s="24">
        <f>SUMPRODUCT(('取込_業務別'!$E$6:$CV$6&gt;=ROUND($C$4*1440,0))*INDEX('取込_業務別'!$E$8:$CV$507,9,0))</f>
        <v>537</v>
      </c>
      <c r="E59" s="41">
        <f>IFERROR(INDEX('取込_業務別'!$C$8:$C$507,9)/INDEX('取込_業務別'!$D$8:$D$507,9),0)</f>
        <v>20.81966464132634</v>
      </c>
    </row>
    <row r="60" spans="2:5">
      <c r="B60" s="43" t="str">
        <f>INDEX('取込_業務別'!$A$8:$A$507,10)&amp;""</f>
        <v>手帳（身体・療育）</v>
      </c>
      <c r="C60" s="24">
        <f>INDEX('取込_業務別'!$B$8:$B$507,10)</f>
        <v>7075</v>
      </c>
      <c r="D60" s="24">
        <f>SUMPRODUCT(('取込_業務別'!$E$6:$CV$6&gt;=ROUND($C$4*1440,0))*INDEX('取込_業務別'!$E$8:$CV$507,10,0))</f>
        <v>817</v>
      </c>
      <c r="E60" s="41">
        <f>IFERROR(INDEX('取込_業務別'!$C$8:$C$507,10)/INDEX('取込_業務別'!$D$8:$D$507,10),0)</f>
        <v>13.619544661041669</v>
      </c>
    </row>
    <row r="61" spans="2:5">
      <c r="B61" s="43" t="str">
        <f>INDEX('取込_業務別'!$A$8:$A$507,11)&amp;""</f>
        <v>精神手帳／自立支援医療</v>
      </c>
      <c r="C61" s="24">
        <f>INDEX('取込_業務別'!$B$8:$B$507,11)</f>
        <v>6578</v>
      </c>
      <c r="D61" s="24">
        <f>SUMPRODUCT(('取込_業務別'!$E$6:$CV$6&gt;=ROUND($C$4*1440,0))*INDEX('取込_業務別'!$E$8:$CV$507,11,0))</f>
        <v>312</v>
      </c>
      <c r="E61" s="41">
        <f>IFERROR(INDEX('取込_業務別'!$C$8:$C$507,11)/INDEX('取込_業務別'!$D$8:$D$507,11),0)</f>
        <v>16.925263406196</v>
      </c>
    </row>
    <row r="62" spans="2:5">
      <c r="B62" s="43" t="str">
        <f>INDEX('取込_業務別'!$A$8:$A$507,12)&amp;""</f>
        <v>保育園</v>
      </c>
      <c r="C62" s="24">
        <f>INDEX('取込_業務別'!$B$8:$B$507,12)</f>
        <v>4761</v>
      </c>
      <c r="D62" s="24">
        <f>SUMPRODUCT(('取込_業務別'!$E$6:$CV$6&gt;=ROUND($C$4*1440,0))*INDEX('取込_業務別'!$E$8:$CV$507,12,0))</f>
        <v>385</v>
      </c>
      <c r="E62" s="41">
        <f>IFERROR(INDEX('取込_業務別'!$C$8:$C$507,12)/INDEX('取込_業務別'!$D$8:$D$507,12),0)</f>
        <v>24.95931654146415</v>
      </c>
    </row>
    <row r="63" spans="2:5">
      <c r="B63" s="43" t="str">
        <f>INDEX('取込_業務別'!$A$8:$A$507,13)&amp;""</f>
        <v>身体障害者手帳・療育手帳</v>
      </c>
      <c r="C63" s="24">
        <f>INDEX('取込_業務別'!$B$8:$B$507,13)</f>
        <v>4737</v>
      </c>
      <c r="D63" s="24">
        <f>SUMPRODUCT(('取込_業務別'!$E$6:$CV$6&gt;=ROUND($C$4*1440,0))*INDEX('取込_業務別'!$E$8:$CV$507,13,0))</f>
        <v>215</v>
      </c>
      <c r="E63" s="41">
        <f>IFERROR(INDEX('取込_業務別'!$C$8:$C$507,13)/INDEX('取込_業務別'!$D$8:$D$507,13),0)</f>
        <v>18.01320487698669</v>
      </c>
    </row>
    <row r="64" spans="2:5">
      <c r="B64" s="43" t="str">
        <f>INDEX('取込_業務別'!$A$8:$A$507,14)&amp;""</f>
        <v>介護保険事業者の方</v>
      </c>
      <c r="C64" s="24">
        <f>INDEX('取込_業務別'!$B$8:$B$507,14)</f>
        <v>4723</v>
      </c>
      <c r="D64" s="24">
        <f>SUMPRODUCT(('取込_業務別'!$E$6:$CV$6&gt;=ROUND($C$4*1440,0))*INDEX('取込_業務別'!$E$8:$CV$507,14,0))</f>
        <v>286</v>
      </c>
      <c r="E64" s="41">
        <f>IFERROR(INDEX('取込_業務別'!$C$8:$C$507,14)/INDEX('取込_業務別'!$D$8:$D$507,14),0)</f>
        <v>23.261710907874207</v>
      </c>
    </row>
    <row r="65" spans="2:5">
      <c r="B65" s="43" t="str">
        <f>INDEX('取込_業務別'!$A$8:$A$507,15)&amp;""</f>
        <v>後期高齢者医療保険</v>
      </c>
      <c r="C65" s="24">
        <f>INDEX('取込_業務別'!$B$8:$B$507,15)</f>
        <v>4699</v>
      </c>
      <c r="D65" s="24">
        <f>SUMPRODUCT(('取込_業務別'!$E$6:$CV$6&gt;=ROUND($C$4*1440,0))*INDEX('取込_業務別'!$E$8:$CV$507,15,0))</f>
        <v>180</v>
      </c>
      <c r="E65" s="41">
        <f>IFERROR(INDEX('取込_業務別'!$C$8:$C$507,15)/INDEX('取込_業務別'!$D$8:$D$507,15),0)</f>
        <v>19.562851139128572</v>
      </c>
    </row>
    <row r="67" spans="2:5">
      <c r="B67" s="11" t="s">
        <v>672</v>
      </c>
    </row>
    <row r="68" spans="2:5">
      <c r="B68" s="11" t="s">
        <v>673</v>
      </c>
    </row>
  </sheetData>
  <dataValidations count="3">
    <dataValidation type="decimal" allowBlank="1" showInputMessage="1" showErrorMessage="1" error="時刻（例 16:30）を入力してください。" sqref="C4">
      <formula1>0.3</formula1>
      <formula2>0.9</formula2>
    </dataValidation>
    <dataValidation type="whole" allowBlank="1" showInputMessage="1" showErrorMessage="1" error="年月を6桁で入力してください（例 202604）。" sqref="C8">
      <formula1>202301</formula1>
      <formula2>202812</formula2>
    </dataValidation>
    <dataValidation type="whole" allowBlank="1" showInputMessage="1" showErrorMessage="1" error="年月を6桁で入力してください（例 202604）。" sqref="D8">
      <formula1>202301</formula1>
      <formula2>202812</formula2>
    </dataValidation>
  </dataValidations>
  <pageMargins left="0.7" right="0.7" top="0.75" bottom="0.75" header="0.3" footer="0.3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2"/>
  <sheetViews>
    <sheetView showGridLines="0" workbookViewId="0"/>
  </sheetViews>
  <sheetFormatPr defaultRowHeight="15" x14ac:dyDescent="0.25"/>
  <cols>
    <col min="1" max="1" width="2.7109375" customWidth="1"/>
    <col min="2" max="2" width="12.7109375" customWidth="1"/>
    <col min="3" max="10" width="13.7109375" customWidth="1"/>
    <col min="11" max="11" width="3.7109375" customWidth="1"/>
    <col min="12" max="12" width="11.7109375" customWidth="1"/>
    <col min="13" max="18" width="10.7109375" customWidth="1"/>
  </cols>
  <sheetData>
    <row r="1" spans="2:20" ht="36" customHeight="1" x14ac:dyDescent="0.25">
      <c r="B1" s="1" t="s">
        <v>446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2:20" x14ac:dyDescent="0.25">
      <c r="B3" s="8" t="s">
        <v>5</v>
      </c>
      <c r="C3" s="9" t="s">
        <v>66</v>
      </c>
      <c r="E3" s="11" t="s">
        <v>447</v>
      </c>
    </row>
    <row r="5" spans="2:20" x14ac:dyDescent="0.25">
      <c r="B5" s="3" t="s">
        <v>448</v>
      </c>
    </row>
    <row r="6" spans="2:20" x14ac:dyDescent="0.25">
      <c r="B6" s="22" t="s">
        <v>4</v>
      </c>
      <c r="C6" s="22" t="s">
        <v>387</v>
      </c>
      <c r="D6" s="22" t="s">
        <v>328</v>
      </c>
      <c r="E6" s="22" t="s">
        <v>449</v>
      </c>
      <c r="F6" s="22" t="s">
        <v>450</v>
      </c>
      <c r="G6" s="22" t="s">
        <v>329</v>
      </c>
      <c r="H6" s="22" t="s">
        <v>330</v>
      </c>
      <c r="I6" s="22" t="s">
        <v>451</v>
      </c>
    </row>
    <row r="7" spans="2:20" x14ac:dyDescent="0.25">
      <c r="B7" s="44" t="s">
        <v>65</v>
      </c>
      <c r="C7" s="24">
        <f>INDEX('データ'!D$759:D$875,MATCH($B7&amp;"|"&amp;$C$3,'データ'!$A$7:$A$123,0))</f>
        <v>762002</v>
      </c>
      <c r="D7" s="45">
        <f>IFERROR(INDEX('データ'!E$759:E$875,MATCH($B7&amp;"|"&amp;$C$3,'データ'!$A$7:$A$123,0))/INDEX('データ'!F$759:F$875,MATCH($B7&amp;"|"&amp;$C$3,'データ'!$A$7:$A$123,0))/60,0)</f>
        <v>7.83873782856882</v>
      </c>
      <c r="E7" s="29">
        <f>IFERROR(SUM(INDEX('データ'!K$759:K$875,MATCH($B7&amp;"|"&amp;$C$3,'データ'!$A$7:$A$123,0)),INDEX('データ'!L$759:L$875,MATCH($B7&amp;"|"&amp;$C$3,'データ'!$A$7:$A$123,0)),INDEX('データ'!M$759:M$875,MATCH($B7&amp;"|"&amp;$C$3,'データ'!$A$7:$A$123,0)))/SUM(INDEX('データ'!K$759:K$875,MATCH($B7&amp;"|"&amp;$C$3,'データ'!$A$7:$A$123,0)),INDEX('データ'!L$759:L$875,MATCH($B7&amp;"|"&amp;$C$3,'データ'!$A$7:$A$123,0)),INDEX('データ'!M$759:M$875,MATCH($B7&amp;"|"&amp;$C$3,'データ'!$A$7:$A$123,0)),INDEX('データ'!N$759:N$875,MATCH($B7&amp;"|"&amp;$C$3,'データ'!$A$7:$A$123,0)),INDEX('データ'!O$759:O$875,MATCH($B7&amp;"|"&amp;$C$3,'データ'!$A$7:$A$123,0)),INDEX('データ'!P$759:P$875,MATCH($B7&amp;"|"&amp;$C$3,'データ'!$A$7:$A$123,0))),0)</f>
        <v>0.8495236364067446</v>
      </c>
      <c r="F7" s="29">
        <f>IFERROR(SUM(INDEX('データ'!K$759:K$875,MATCH($B7&amp;"|"&amp;$C$3,'データ'!$A$7:$A$123,0)),INDEX('データ'!L$759:L$875,MATCH($B7&amp;"|"&amp;$C$3,'データ'!$A$7:$A$123,0)),INDEX('データ'!M$759:M$875,MATCH($B7&amp;"|"&amp;$C$3,'データ'!$A$7:$A$123,0)),INDEX('データ'!N$759:N$875,MATCH($B7&amp;"|"&amp;$C$3,'データ'!$A$7:$A$123,0)))/SUM(INDEX('データ'!K$759:K$875,MATCH($B7&amp;"|"&amp;$C$3,'データ'!$A$7:$A$123,0)),INDEX('データ'!L$759:L$875,MATCH($B7&amp;"|"&amp;$C$3,'データ'!$A$7:$A$123,0)),INDEX('データ'!M$759:M$875,MATCH($B7&amp;"|"&amp;$C$3,'データ'!$A$7:$A$123,0)),INDEX('データ'!N$759:N$875,MATCH($B7&amp;"|"&amp;$C$3,'データ'!$A$7:$A$123,0)),INDEX('データ'!O$759:O$875,MATCH($B7&amp;"|"&amp;$C$3,'データ'!$A$7:$A$123,0)),INDEX('データ'!P$759:P$875,MATCH($B7&amp;"|"&amp;$C$3,'データ'!$A$7:$A$123,0))),0)</f>
        <v>0.9410239084075244</v>
      </c>
      <c r="G7" s="45">
        <f>IFERROR(INDEX('データ'!G$759:G$875,MATCH($B7&amp;"|"&amp;$C$3,'データ'!$A$7:$A$123,0))/INDEX('データ'!H$759:H$875,MATCH($B7&amp;"|"&amp;$C$3,'データ'!$A$7:$A$123,0))/60,0)</f>
        <v>7.637563638348003</v>
      </c>
      <c r="H7" s="45">
        <f>IFERROR(INDEX('データ'!I$759:I$875,MATCH($B7&amp;"|"&amp;$C$3,'データ'!$A$7:$A$123,0))/INDEX('データ'!J$759:J$875,MATCH($B7&amp;"|"&amp;$C$3,'データ'!$A$7:$A$123,0))/60,0)</f>
        <v>15.309631307740862</v>
      </c>
      <c r="I7" s="24">
        <f>INDEX('データ'!P$759:P$875,MATCH($B7&amp;"|"&amp;$C$3,'データ'!$A$7:$A$123,0))</f>
        <v>12040</v>
      </c>
    </row>
    <row r="8" spans="2:20" x14ac:dyDescent="0.25">
      <c r="B8" s="44" t="s">
        <v>92</v>
      </c>
      <c r="C8" s="24">
        <f>INDEX('データ'!D$759:D$875,MATCH($B8&amp;"|"&amp;$C$3,'データ'!$A$7:$A$123,0))</f>
        <v>143974</v>
      </c>
      <c r="D8" s="45">
        <f>IFERROR(INDEX('データ'!E$759:E$875,MATCH($B8&amp;"|"&amp;$C$3,'データ'!$A$7:$A$123,0))/INDEX('データ'!F$759:F$875,MATCH($B8&amp;"|"&amp;$C$3,'データ'!$A$7:$A$123,0))/60,0)</f>
        <v>4.527181693104752</v>
      </c>
      <c r="E8" s="29">
        <f>IFERROR(SUM(INDEX('データ'!K$759:K$875,MATCH($B8&amp;"|"&amp;$C$3,'データ'!$A$7:$A$123,0)),INDEX('データ'!L$759:L$875,MATCH($B8&amp;"|"&amp;$C$3,'データ'!$A$7:$A$123,0)),INDEX('データ'!M$759:M$875,MATCH($B8&amp;"|"&amp;$C$3,'データ'!$A$7:$A$123,0)))/SUM(INDEX('データ'!K$759:K$875,MATCH($B8&amp;"|"&amp;$C$3,'データ'!$A$7:$A$123,0)),INDEX('データ'!L$759:L$875,MATCH($B8&amp;"|"&amp;$C$3,'データ'!$A$7:$A$123,0)),INDEX('データ'!M$759:M$875,MATCH($B8&amp;"|"&amp;$C$3,'データ'!$A$7:$A$123,0)),INDEX('データ'!N$759:N$875,MATCH($B8&amp;"|"&amp;$C$3,'データ'!$A$7:$A$123,0)),INDEX('データ'!O$759:O$875,MATCH($B8&amp;"|"&amp;$C$3,'データ'!$A$7:$A$123,0)),INDEX('データ'!P$759:P$875,MATCH($B8&amp;"|"&amp;$C$3,'データ'!$A$7:$A$123,0))),0)</f>
        <v>0.9256972624574543</v>
      </c>
      <c r="F8" s="29">
        <f>IFERROR(SUM(INDEX('データ'!K$759:K$875,MATCH($B8&amp;"|"&amp;$C$3,'データ'!$A$7:$A$123,0)),INDEX('データ'!L$759:L$875,MATCH($B8&amp;"|"&amp;$C$3,'データ'!$A$7:$A$123,0)),INDEX('データ'!M$759:M$875,MATCH($B8&amp;"|"&amp;$C$3,'データ'!$A$7:$A$123,0)),INDEX('データ'!N$759:N$875,MATCH($B8&amp;"|"&amp;$C$3,'データ'!$A$7:$A$123,0)))/SUM(INDEX('データ'!K$759:K$875,MATCH($B8&amp;"|"&amp;$C$3,'データ'!$A$7:$A$123,0)),INDEX('データ'!L$759:L$875,MATCH($B8&amp;"|"&amp;$C$3,'データ'!$A$7:$A$123,0)),INDEX('データ'!M$759:M$875,MATCH($B8&amp;"|"&amp;$C$3,'データ'!$A$7:$A$123,0)),INDEX('データ'!N$759:N$875,MATCH($B8&amp;"|"&amp;$C$3,'データ'!$A$7:$A$123,0)),INDEX('データ'!O$759:O$875,MATCH($B8&amp;"|"&amp;$C$3,'データ'!$A$7:$A$123,0)),INDEX('データ'!P$759:P$875,MATCH($B8&amp;"|"&amp;$C$3,'データ'!$A$7:$A$123,0))),0)</f>
        <v>0.9829956358017388</v>
      </c>
      <c r="G8" s="45">
        <f>IFERROR(INDEX('データ'!G$759:G$875,MATCH($B8&amp;"|"&amp;$C$3,'データ'!$A$7:$A$123,0))/INDEX('データ'!H$759:H$875,MATCH($B8&amp;"|"&amp;$C$3,'データ'!$A$7:$A$123,0))/60,0)</f>
        <v>7.869896973369933</v>
      </c>
      <c r="H8" s="45">
        <f>IFERROR(INDEX('データ'!I$759:I$875,MATCH($B8&amp;"|"&amp;$C$3,'データ'!$A$7:$A$123,0))/INDEX('データ'!J$759:J$875,MATCH($B8&amp;"|"&amp;$C$3,'データ'!$A$7:$A$123,0))/60,0)</f>
        <v>12.372074447211263</v>
      </c>
      <c r="I8" s="24">
        <f>INDEX('データ'!P$759:P$875,MATCH($B8&amp;"|"&amp;$C$3,'データ'!$A$7:$A$123,0))</f>
        <v>455</v>
      </c>
    </row>
    <row r="9" spans="2:20" x14ac:dyDescent="0.25">
      <c r="B9" s="44" t="s">
        <v>106</v>
      </c>
      <c r="C9" s="24">
        <f>INDEX('データ'!D$759:D$875,MATCH($B9&amp;"|"&amp;$C$3,'データ'!$A$7:$A$123,0))</f>
        <v>81818</v>
      </c>
      <c r="D9" s="45">
        <f>IFERROR(INDEX('データ'!E$759:E$875,MATCH($B9&amp;"|"&amp;$C$3,'データ'!$A$7:$A$123,0))/INDEX('データ'!F$759:F$875,MATCH($B9&amp;"|"&amp;$C$3,'データ'!$A$7:$A$123,0))/60,0)</f>
        <v>4.397500142977361</v>
      </c>
      <c r="E9" s="29">
        <f>IFERROR(SUM(INDEX('データ'!K$759:K$875,MATCH($B9&amp;"|"&amp;$C$3,'データ'!$A$7:$A$123,0)),INDEX('データ'!L$759:L$875,MATCH($B9&amp;"|"&amp;$C$3,'データ'!$A$7:$A$123,0)),INDEX('データ'!M$759:M$875,MATCH($B9&amp;"|"&amp;$C$3,'データ'!$A$7:$A$123,0)))/SUM(INDEX('データ'!K$759:K$875,MATCH($B9&amp;"|"&amp;$C$3,'データ'!$A$7:$A$123,0)),INDEX('データ'!L$759:L$875,MATCH($B9&amp;"|"&amp;$C$3,'データ'!$A$7:$A$123,0)),INDEX('データ'!M$759:M$875,MATCH($B9&amp;"|"&amp;$C$3,'データ'!$A$7:$A$123,0)),INDEX('データ'!N$759:N$875,MATCH($B9&amp;"|"&amp;$C$3,'データ'!$A$7:$A$123,0)),INDEX('データ'!O$759:O$875,MATCH($B9&amp;"|"&amp;$C$3,'データ'!$A$7:$A$123,0)),INDEX('データ'!P$759:P$875,MATCH($B9&amp;"|"&amp;$C$3,'データ'!$A$7:$A$123,0))),0)</f>
        <v>0.9410279663717248</v>
      </c>
      <c r="F9" s="29">
        <f>IFERROR(SUM(INDEX('データ'!K$759:K$875,MATCH($B9&amp;"|"&amp;$C$3,'データ'!$A$7:$A$123,0)),INDEX('データ'!L$759:L$875,MATCH($B9&amp;"|"&amp;$C$3,'データ'!$A$7:$A$123,0)),INDEX('データ'!M$759:M$875,MATCH($B9&amp;"|"&amp;$C$3,'データ'!$A$7:$A$123,0)),INDEX('データ'!N$759:N$875,MATCH($B9&amp;"|"&amp;$C$3,'データ'!$A$7:$A$123,0)))/SUM(INDEX('データ'!K$759:K$875,MATCH($B9&amp;"|"&amp;$C$3,'データ'!$A$7:$A$123,0)),INDEX('データ'!L$759:L$875,MATCH($B9&amp;"|"&amp;$C$3,'データ'!$A$7:$A$123,0)),INDEX('データ'!M$759:M$875,MATCH($B9&amp;"|"&amp;$C$3,'データ'!$A$7:$A$123,0)),INDEX('データ'!N$759:N$875,MATCH($B9&amp;"|"&amp;$C$3,'データ'!$A$7:$A$123,0)),INDEX('データ'!O$759:O$875,MATCH($B9&amp;"|"&amp;$C$3,'データ'!$A$7:$A$123,0)),INDEX('データ'!P$759:P$875,MATCH($B9&amp;"|"&amp;$C$3,'データ'!$A$7:$A$123,0))),0)</f>
        <v>0.9818990661535822</v>
      </c>
      <c r="G9" s="45">
        <f>IFERROR(INDEX('データ'!G$759:G$875,MATCH($B9&amp;"|"&amp;$C$3,'データ'!$A$7:$A$123,0))/INDEX('データ'!H$759:H$875,MATCH($B9&amp;"|"&amp;$C$3,'データ'!$A$7:$A$123,0))/60,0)</f>
        <v>8.644546049696228</v>
      </c>
      <c r="H9" s="45">
        <f>IFERROR(INDEX('データ'!I$759:I$875,MATCH($B9&amp;"|"&amp;$C$3,'データ'!$A$7:$A$123,0))/INDEX('データ'!J$759:J$875,MATCH($B9&amp;"|"&amp;$C$3,'データ'!$A$7:$A$123,0))/60,0)</f>
        <v>13.029043689502748</v>
      </c>
      <c r="I9" s="24">
        <f>INDEX('データ'!P$759:P$875,MATCH($B9&amp;"|"&amp;$C$3,'データ'!$A$7:$A$123,0))</f>
        <v>465</v>
      </c>
    </row>
    <row r="10" spans="2:20" x14ac:dyDescent="0.25">
      <c r="B10" s="44" t="s">
        <v>120</v>
      </c>
      <c r="C10" s="24">
        <f>INDEX('データ'!D$759:D$875,MATCH($B10&amp;"|"&amp;$C$3,'データ'!$A$7:$A$123,0))</f>
        <v>115887</v>
      </c>
      <c r="D10" s="45">
        <f>IFERROR(INDEX('データ'!E$759:E$875,MATCH($B10&amp;"|"&amp;$C$3,'データ'!$A$7:$A$123,0))/INDEX('データ'!F$759:F$875,MATCH($B10&amp;"|"&amp;$C$3,'データ'!$A$7:$A$123,0))/60,0)</f>
        <v>14.264510971632623</v>
      </c>
      <c r="E10" s="29">
        <f>IFERROR(SUM(INDEX('データ'!K$759:K$875,MATCH($B10&amp;"|"&amp;$C$3,'データ'!$A$7:$A$123,0)),INDEX('データ'!L$759:L$875,MATCH($B10&amp;"|"&amp;$C$3,'データ'!$A$7:$A$123,0)),INDEX('データ'!M$759:M$875,MATCH($B10&amp;"|"&amp;$C$3,'データ'!$A$7:$A$123,0)))/SUM(INDEX('データ'!K$759:K$875,MATCH($B10&amp;"|"&amp;$C$3,'データ'!$A$7:$A$123,0)),INDEX('データ'!L$759:L$875,MATCH($B10&amp;"|"&amp;$C$3,'データ'!$A$7:$A$123,0)),INDEX('データ'!M$759:M$875,MATCH($B10&amp;"|"&amp;$C$3,'データ'!$A$7:$A$123,0)),INDEX('データ'!N$759:N$875,MATCH($B10&amp;"|"&amp;$C$3,'データ'!$A$7:$A$123,0)),INDEX('データ'!O$759:O$875,MATCH($B10&amp;"|"&amp;$C$3,'データ'!$A$7:$A$123,0)),INDEX('データ'!P$759:P$875,MATCH($B10&amp;"|"&amp;$C$3,'データ'!$A$7:$A$123,0))),0)</f>
        <v>0.7118438072418852</v>
      </c>
      <c r="F10" s="29">
        <f>IFERROR(SUM(INDEX('データ'!K$759:K$875,MATCH($B10&amp;"|"&amp;$C$3,'データ'!$A$7:$A$123,0)),INDEX('データ'!L$759:L$875,MATCH($B10&amp;"|"&amp;$C$3,'データ'!$A$7:$A$123,0)),INDEX('データ'!M$759:M$875,MATCH($B10&amp;"|"&amp;$C$3,'データ'!$A$7:$A$123,0)),INDEX('データ'!N$759:N$875,MATCH($B10&amp;"|"&amp;$C$3,'データ'!$A$7:$A$123,0)))/SUM(INDEX('データ'!K$759:K$875,MATCH($B10&amp;"|"&amp;$C$3,'データ'!$A$7:$A$123,0)),INDEX('データ'!L$759:L$875,MATCH($B10&amp;"|"&amp;$C$3,'データ'!$A$7:$A$123,0)),INDEX('データ'!M$759:M$875,MATCH($B10&amp;"|"&amp;$C$3,'データ'!$A$7:$A$123,0)),INDEX('データ'!N$759:N$875,MATCH($B10&amp;"|"&amp;$C$3,'データ'!$A$7:$A$123,0)),INDEX('データ'!O$759:O$875,MATCH($B10&amp;"|"&amp;$C$3,'データ'!$A$7:$A$123,0)),INDEX('データ'!P$759:P$875,MATCH($B10&amp;"|"&amp;$C$3,'データ'!$A$7:$A$123,0))),0)</f>
        <v>0.8499275116979625</v>
      </c>
      <c r="G10" s="45">
        <f>IFERROR(INDEX('データ'!G$759:G$875,MATCH($B10&amp;"|"&amp;$C$3,'データ'!$A$7:$A$123,0))/INDEX('データ'!H$759:H$875,MATCH($B10&amp;"|"&amp;$C$3,'データ'!$A$7:$A$123,0))/60,0)</f>
        <v>6.385011319816733</v>
      </c>
      <c r="H10" s="45">
        <f>IFERROR(INDEX('データ'!I$759:I$875,MATCH($B10&amp;"|"&amp;$C$3,'データ'!$A$7:$A$123,0))/INDEX('データ'!J$759:J$875,MATCH($B10&amp;"|"&amp;$C$3,'データ'!$A$7:$A$123,0))/60,0)</f>
        <v>20.46911922121463</v>
      </c>
      <c r="I10" s="24">
        <f>INDEX('データ'!P$759:P$875,MATCH($B10&amp;"|"&amp;$C$3,'データ'!$A$7:$A$123,0))</f>
        <v>5875</v>
      </c>
    </row>
    <row r="11" spans="2:20" x14ac:dyDescent="0.25">
      <c r="B11" s="44" t="s">
        <v>134</v>
      </c>
      <c r="C11" s="24">
        <f>INDEX('データ'!D$759:D$875,MATCH($B11&amp;"|"&amp;$C$3,'データ'!$A$7:$A$123,0))</f>
        <v>141243</v>
      </c>
      <c r="D11" s="45">
        <f>IFERROR(INDEX('データ'!E$759:E$875,MATCH($B11&amp;"|"&amp;$C$3,'データ'!$A$7:$A$123,0))/INDEX('データ'!F$759:F$875,MATCH($B11&amp;"|"&amp;$C$3,'データ'!$A$7:$A$123,0))/60,0)</f>
        <v>8.704354500320498</v>
      </c>
      <c r="E11" s="29">
        <f>IFERROR(SUM(INDEX('データ'!K$759:K$875,MATCH($B11&amp;"|"&amp;$C$3,'データ'!$A$7:$A$123,0)),INDEX('データ'!L$759:L$875,MATCH($B11&amp;"|"&amp;$C$3,'データ'!$A$7:$A$123,0)),INDEX('データ'!M$759:M$875,MATCH($B11&amp;"|"&amp;$C$3,'データ'!$A$7:$A$123,0)))/SUM(INDEX('データ'!K$759:K$875,MATCH($B11&amp;"|"&amp;$C$3,'データ'!$A$7:$A$123,0)),INDEX('データ'!L$759:L$875,MATCH($B11&amp;"|"&amp;$C$3,'データ'!$A$7:$A$123,0)),INDEX('データ'!M$759:M$875,MATCH($B11&amp;"|"&amp;$C$3,'データ'!$A$7:$A$123,0)),INDEX('データ'!N$759:N$875,MATCH($B11&amp;"|"&amp;$C$3,'データ'!$A$7:$A$123,0)),INDEX('データ'!O$759:O$875,MATCH($B11&amp;"|"&amp;$C$3,'データ'!$A$7:$A$123,0)),INDEX('データ'!P$759:P$875,MATCH($B11&amp;"|"&amp;$C$3,'データ'!$A$7:$A$123,0))),0)</f>
        <v>0.8131160104167405</v>
      </c>
      <c r="F11" s="29">
        <f>IFERROR(SUM(INDEX('データ'!K$759:K$875,MATCH($B11&amp;"|"&amp;$C$3,'データ'!$A$7:$A$123,0)),INDEX('データ'!L$759:L$875,MATCH($B11&amp;"|"&amp;$C$3,'データ'!$A$7:$A$123,0)),INDEX('データ'!M$759:M$875,MATCH($B11&amp;"|"&amp;$C$3,'データ'!$A$7:$A$123,0)),INDEX('データ'!N$759:N$875,MATCH($B11&amp;"|"&amp;$C$3,'データ'!$A$7:$A$123,0)))/SUM(INDEX('データ'!K$759:K$875,MATCH($B11&amp;"|"&amp;$C$3,'データ'!$A$7:$A$123,0)),INDEX('データ'!L$759:L$875,MATCH($B11&amp;"|"&amp;$C$3,'データ'!$A$7:$A$123,0)),INDEX('データ'!M$759:M$875,MATCH($B11&amp;"|"&amp;$C$3,'データ'!$A$7:$A$123,0)),INDEX('データ'!N$759:N$875,MATCH($B11&amp;"|"&amp;$C$3,'データ'!$A$7:$A$123,0)),INDEX('データ'!O$759:O$875,MATCH($B11&amp;"|"&amp;$C$3,'データ'!$A$7:$A$123,0)),INDEX('データ'!P$759:P$875,MATCH($B11&amp;"|"&amp;$C$3,'データ'!$A$7:$A$123,0))),0)</f>
        <v>0.9312197094949868</v>
      </c>
      <c r="G11" s="45">
        <f>IFERROR(INDEX('データ'!G$759:G$875,MATCH($B11&amp;"|"&amp;$C$3,'データ'!$A$7:$A$123,0))/INDEX('データ'!H$759:H$875,MATCH($B11&amp;"|"&amp;$C$3,'データ'!$A$7:$A$123,0))/60,0)</f>
        <v>6.198752128353887</v>
      </c>
      <c r="H11" s="45">
        <f>IFERROR(INDEX('データ'!I$759:I$875,MATCH($B11&amp;"|"&amp;$C$3,'データ'!$A$7:$A$123,0))/INDEX('データ'!J$759:J$875,MATCH($B11&amp;"|"&amp;$C$3,'データ'!$A$7:$A$123,0))/60,0)</f>
        <v>14.87341778558672</v>
      </c>
      <c r="I11" s="24">
        <f>INDEX('データ'!P$759:P$875,MATCH($B11&amp;"|"&amp;$C$3,'データ'!$A$7:$A$123,0))</f>
        <v>1566</v>
      </c>
    </row>
    <row r="12" spans="2:20" x14ac:dyDescent="0.25">
      <c r="B12" s="44" t="s">
        <v>148</v>
      </c>
      <c r="C12" s="24">
        <f>INDEX('データ'!D$759:D$875,MATCH($B12&amp;"|"&amp;$C$3,'データ'!$A$7:$A$123,0))</f>
        <v>88181</v>
      </c>
      <c r="D12" s="45">
        <f>IFERROR(INDEX('データ'!E$759:E$875,MATCH($B12&amp;"|"&amp;$C$3,'データ'!$A$7:$A$123,0))/INDEX('データ'!F$759:F$875,MATCH($B12&amp;"|"&amp;$C$3,'データ'!$A$7:$A$123,0))/60,0)</f>
        <v>13.970985430675633</v>
      </c>
      <c r="E12" s="29">
        <f>IFERROR(SUM(INDEX('データ'!K$759:K$875,MATCH($B12&amp;"|"&amp;$C$3,'データ'!$A$7:$A$123,0)),INDEX('データ'!L$759:L$875,MATCH($B12&amp;"|"&amp;$C$3,'データ'!$A$7:$A$123,0)),INDEX('データ'!M$759:M$875,MATCH($B12&amp;"|"&amp;$C$3,'データ'!$A$7:$A$123,0)))/SUM(INDEX('データ'!K$759:K$875,MATCH($B12&amp;"|"&amp;$C$3,'データ'!$A$7:$A$123,0)),INDEX('データ'!L$759:L$875,MATCH($B12&amp;"|"&amp;$C$3,'データ'!$A$7:$A$123,0)),INDEX('データ'!M$759:M$875,MATCH($B12&amp;"|"&amp;$C$3,'データ'!$A$7:$A$123,0)),INDEX('データ'!N$759:N$875,MATCH($B12&amp;"|"&amp;$C$3,'データ'!$A$7:$A$123,0)),INDEX('データ'!O$759:O$875,MATCH($B12&amp;"|"&amp;$C$3,'データ'!$A$7:$A$123,0)),INDEX('データ'!P$759:P$875,MATCH($B12&amp;"|"&amp;$C$3,'データ'!$A$7:$A$123,0))),0)</f>
        <v>0.697543570742418</v>
      </c>
      <c r="F12" s="29">
        <f>IFERROR(SUM(INDEX('データ'!K$759:K$875,MATCH($B12&amp;"|"&amp;$C$3,'データ'!$A$7:$A$123,0)),INDEX('データ'!L$759:L$875,MATCH($B12&amp;"|"&amp;$C$3,'データ'!$A$7:$A$123,0)),INDEX('データ'!M$759:M$875,MATCH($B12&amp;"|"&amp;$C$3,'データ'!$A$7:$A$123,0)),INDEX('データ'!N$759:N$875,MATCH($B12&amp;"|"&amp;$C$3,'データ'!$A$7:$A$123,0)))/SUM(INDEX('データ'!K$759:K$875,MATCH($B12&amp;"|"&amp;$C$3,'データ'!$A$7:$A$123,0)),INDEX('データ'!L$759:L$875,MATCH($B12&amp;"|"&amp;$C$3,'データ'!$A$7:$A$123,0)),INDEX('データ'!M$759:M$875,MATCH($B12&amp;"|"&amp;$C$3,'データ'!$A$7:$A$123,0)),INDEX('データ'!N$759:N$875,MATCH($B12&amp;"|"&amp;$C$3,'データ'!$A$7:$A$123,0)),INDEX('データ'!O$759:O$875,MATCH($B12&amp;"|"&amp;$C$3,'データ'!$A$7:$A$123,0)),INDEX('データ'!P$759:P$875,MATCH($B12&amp;"|"&amp;$C$3,'データ'!$A$7:$A$123,0))),0)</f>
        <v>0.8618773157678057</v>
      </c>
      <c r="G12" s="45">
        <f>IFERROR(INDEX('データ'!G$759:G$875,MATCH($B12&amp;"|"&amp;$C$3,'データ'!$A$7:$A$123,0))/INDEX('データ'!H$759:H$875,MATCH($B12&amp;"|"&amp;$C$3,'データ'!$A$7:$A$123,0))/60,0)</f>
        <v>7.242784628103707</v>
      </c>
      <c r="H12" s="45">
        <f>IFERROR(INDEX('データ'!I$759:I$875,MATCH($B12&amp;"|"&amp;$C$3,'データ'!$A$7:$A$123,0))/INDEX('データ'!J$759:J$875,MATCH($B12&amp;"|"&amp;$C$3,'データ'!$A$7:$A$123,0))/60,0)</f>
        <v>21.021210086277655</v>
      </c>
      <c r="I12" s="24">
        <f>INDEX('データ'!P$759:P$875,MATCH($B12&amp;"|"&amp;$C$3,'データ'!$A$7:$A$123,0))</f>
        <v>3352</v>
      </c>
    </row>
    <row r="13" spans="2:20" x14ac:dyDescent="0.25">
      <c r="B13" s="44" t="s">
        <v>162</v>
      </c>
      <c r="C13" s="24">
        <f>INDEX('データ'!D$759:D$875,MATCH($B13&amp;"|"&amp;$C$3,'データ'!$A$7:$A$123,0))</f>
        <v>48568</v>
      </c>
      <c r="D13" s="45">
        <f>IFERROR(INDEX('データ'!E$759:E$875,MATCH($B13&amp;"|"&amp;$C$3,'データ'!$A$7:$A$123,0))/INDEX('データ'!F$759:F$875,MATCH($B13&amp;"|"&amp;$C$3,'データ'!$A$7:$A$123,0))/60,0)</f>
        <v>3.4987132606120706</v>
      </c>
      <c r="E13" s="29">
        <f>IFERROR(SUM(INDEX('データ'!K$759:K$875,MATCH($B13&amp;"|"&amp;$C$3,'データ'!$A$7:$A$123,0)),INDEX('データ'!L$759:L$875,MATCH($B13&amp;"|"&amp;$C$3,'データ'!$A$7:$A$123,0)),INDEX('データ'!M$759:M$875,MATCH($B13&amp;"|"&amp;$C$3,'データ'!$A$7:$A$123,0)))/SUM(INDEX('データ'!K$759:K$875,MATCH($B13&amp;"|"&amp;$C$3,'データ'!$A$7:$A$123,0)),INDEX('データ'!L$759:L$875,MATCH($B13&amp;"|"&amp;$C$3,'データ'!$A$7:$A$123,0)),INDEX('データ'!M$759:M$875,MATCH($B13&amp;"|"&amp;$C$3,'データ'!$A$7:$A$123,0)),INDEX('データ'!N$759:N$875,MATCH($B13&amp;"|"&amp;$C$3,'データ'!$A$7:$A$123,0)),INDEX('データ'!O$759:O$875,MATCH($B13&amp;"|"&amp;$C$3,'データ'!$A$7:$A$123,0)),INDEX('データ'!P$759:P$875,MATCH($B13&amp;"|"&amp;$C$3,'データ'!$A$7:$A$123,0))),0)</f>
        <v>0.9677505991240394</v>
      </c>
      <c r="F13" s="29">
        <f>IFERROR(SUM(INDEX('データ'!K$759:K$875,MATCH($B13&amp;"|"&amp;$C$3,'データ'!$A$7:$A$123,0)),INDEX('データ'!L$759:L$875,MATCH($B13&amp;"|"&amp;$C$3,'データ'!$A$7:$A$123,0)),INDEX('データ'!M$759:M$875,MATCH($B13&amp;"|"&amp;$C$3,'データ'!$A$7:$A$123,0)),INDEX('データ'!N$759:N$875,MATCH($B13&amp;"|"&amp;$C$3,'データ'!$A$7:$A$123,0)))/SUM(INDEX('データ'!K$759:K$875,MATCH($B13&amp;"|"&amp;$C$3,'データ'!$A$7:$A$123,0)),INDEX('データ'!L$759:L$875,MATCH($B13&amp;"|"&amp;$C$3,'データ'!$A$7:$A$123,0)),INDEX('データ'!M$759:M$875,MATCH($B13&amp;"|"&amp;$C$3,'データ'!$A$7:$A$123,0)),INDEX('データ'!N$759:N$875,MATCH($B13&amp;"|"&amp;$C$3,'データ'!$A$7:$A$123,0)),INDEX('データ'!O$759:O$875,MATCH($B13&amp;"|"&amp;$C$3,'データ'!$A$7:$A$123,0)),INDEX('データ'!P$759:P$875,MATCH($B13&amp;"|"&amp;$C$3,'データ'!$A$7:$A$123,0))),0)</f>
        <v>0.9975002065944963</v>
      </c>
      <c r="G13" s="45">
        <f>IFERROR(INDEX('データ'!G$759:G$875,MATCH($B13&amp;"|"&amp;$C$3,'データ'!$A$7:$A$123,0))/INDEX('データ'!H$759:H$875,MATCH($B13&amp;"|"&amp;$C$3,'データ'!$A$7:$A$123,0))/60,0)</f>
        <v>8.355014336841057</v>
      </c>
      <c r="H13" s="45">
        <f>IFERROR(INDEX('データ'!I$759:I$875,MATCH($B13&amp;"|"&amp;$C$3,'データ'!$A$7:$A$123,0))/INDEX('データ'!J$759:J$875,MATCH($B13&amp;"|"&amp;$C$3,'データ'!$A$7:$A$123,0))/60,0)</f>
        <v>11.859127340024202</v>
      </c>
      <c r="I13" s="24">
        <f>INDEX('データ'!P$759:P$875,MATCH($B13&amp;"|"&amp;$C$3,'データ'!$A$7:$A$123,0))</f>
        <v>19</v>
      </c>
    </row>
    <row r="14" spans="2:20" x14ac:dyDescent="0.25">
      <c r="B14" s="44" t="s">
        <v>176</v>
      </c>
      <c r="C14" s="24">
        <f>INDEX('データ'!D$759:D$875,MATCH($B14&amp;"|"&amp;$C$3,'データ'!$A$7:$A$123,0))</f>
        <v>37567</v>
      </c>
      <c r="D14" s="45">
        <f>IFERROR(INDEX('データ'!E$759:E$875,MATCH($B14&amp;"|"&amp;$C$3,'データ'!$A$7:$A$123,0))/INDEX('データ'!F$759:F$875,MATCH($B14&amp;"|"&amp;$C$3,'データ'!$A$7:$A$123,0))/60,0)</f>
        <v>2.3776665151474634</v>
      </c>
      <c r="E14" s="29">
        <f>IFERROR(SUM(INDEX('データ'!K$759:K$875,MATCH($B14&amp;"|"&amp;$C$3,'データ'!$A$7:$A$123,0)),INDEX('データ'!L$759:L$875,MATCH($B14&amp;"|"&amp;$C$3,'データ'!$A$7:$A$123,0)),INDEX('データ'!M$759:M$875,MATCH($B14&amp;"|"&amp;$C$3,'データ'!$A$7:$A$123,0)))/SUM(INDEX('データ'!K$759:K$875,MATCH($B14&amp;"|"&amp;$C$3,'データ'!$A$7:$A$123,0)),INDEX('データ'!L$759:L$875,MATCH($B14&amp;"|"&amp;$C$3,'データ'!$A$7:$A$123,0)),INDEX('データ'!M$759:M$875,MATCH($B14&amp;"|"&amp;$C$3,'データ'!$A$7:$A$123,0)),INDEX('データ'!N$759:N$875,MATCH($B14&amp;"|"&amp;$C$3,'データ'!$A$7:$A$123,0)),INDEX('データ'!O$759:O$875,MATCH($B14&amp;"|"&amp;$C$3,'データ'!$A$7:$A$123,0)),INDEX('データ'!P$759:P$875,MATCH($B14&amp;"|"&amp;$C$3,'データ'!$A$7:$A$123,0))),0)</f>
        <v>0.9729939303189925</v>
      </c>
      <c r="F14" s="29">
        <f>IFERROR(SUM(INDEX('データ'!K$759:K$875,MATCH($B14&amp;"|"&amp;$C$3,'データ'!$A$7:$A$123,0)),INDEX('データ'!L$759:L$875,MATCH($B14&amp;"|"&amp;$C$3,'データ'!$A$7:$A$123,0)),INDEX('データ'!M$759:M$875,MATCH($B14&amp;"|"&amp;$C$3,'データ'!$A$7:$A$123,0)),INDEX('データ'!N$759:N$875,MATCH($B14&amp;"|"&amp;$C$3,'データ'!$A$7:$A$123,0)))/SUM(INDEX('データ'!K$759:K$875,MATCH($B14&amp;"|"&amp;$C$3,'データ'!$A$7:$A$123,0)),INDEX('データ'!L$759:L$875,MATCH($B14&amp;"|"&amp;$C$3,'データ'!$A$7:$A$123,0)),INDEX('データ'!M$759:M$875,MATCH($B14&amp;"|"&amp;$C$3,'データ'!$A$7:$A$123,0)),INDEX('データ'!N$759:N$875,MATCH($B14&amp;"|"&amp;$C$3,'データ'!$A$7:$A$123,0)),INDEX('データ'!O$759:O$875,MATCH($B14&amp;"|"&amp;$C$3,'データ'!$A$7:$A$123,0)),INDEX('データ'!P$759:P$875,MATCH($B14&amp;"|"&amp;$C$3,'データ'!$A$7:$A$123,0))),0)</f>
        <v>0.9944116152838312</v>
      </c>
      <c r="G14" s="45">
        <f>IFERROR(INDEX('データ'!G$759:G$875,MATCH($B14&amp;"|"&amp;$C$3,'データ'!$A$7:$A$123,0))/INDEX('データ'!H$759:H$875,MATCH($B14&amp;"|"&amp;$C$3,'データ'!$A$7:$A$123,0))/60,0)</f>
        <v>14.89485695048979</v>
      </c>
      <c r="H14" s="45">
        <f>IFERROR(INDEX('データ'!I$759:I$875,MATCH($B14&amp;"|"&amp;$C$3,'データ'!$A$7:$A$123,0))/INDEX('データ'!J$759:J$875,MATCH($B14&amp;"|"&amp;$C$3,'データ'!$A$7:$A$123,0))/60,0)</f>
        <v>17.242039298285565</v>
      </c>
      <c r="I14" s="24">
        <f>INDEX('データ'!P$759:P$875,MATCH($B14&amp;"|"&amp;$C$3,'データ'!$A$7:$A$123,0))</f>
        <v>60</v>
      </c>
    </row>
    <row r="15" spans="2:20" x14ac:dyDescent="0.25">
      <c r="B15" s="44" t="s">
        <v>190</v>
      </c>
      <c r="C15" s="24">
        <f>INDEX('データ'!D$759:D$875,MATCH($B15&amp;"|"&amp;$C$3,'データ'!$A$7:$A$123,0))</f>
        <v>104764</v>
      </c>
      <c r="D15" s="45">
        <f>IFERROR(INDEX('データ'!E$759:E$875,MATCH($B15&amp;"|"&amp;$C$3,'データ'!$A$7:$A$123,0))/INDEX('データ'!F$759:F$875,MATCH($B15&amp;"|"&amp;$C$3,'データ'!$A$7:$A$123,0))/60,0)</f>
        <v>5.662613534563284</v>
      </c>
      <c r="E15" s="29">
        <f>IFERROR(SUM(INDEX('データ'!K$759:K$875,MATCH($B15&amp;"|"&amp;$C$3,'データ'!$A$7:$A$123,0)),INDEX('データ'!L$759:L$875,MATCH($B15&amp;"|"&amp;$C$3,'データ'!$A$7:$A$123,0)),INDEX('データ'!M$759:M$875,MATCH($B15&amp;"|"&amp;$C$3,'データ'!$A$7:$A$123,0)))/SUM(INDEX('データ'!K$759:K$875,MATCH($B15&amp;"|"&amp;$C$3,'データ'!$A$7:$A$123,0)),INDEX('データ'!L$759:L$875,MATCH($B15&amp;"|"&amp;$C$3,'データ'!$A$7:$A$123,0)),INDEX('データ'!M$759:M$875,MATCH($B15&amp;"|"&amp;$C$3,'データ'!$A$7:$A$123,0)),INDEX('データ'!N$759:N$875,MATCH($B15&amp;"|"&amp;$C$3,'データ'!$A$7:$A$123,0)),INDEX('データ'!O$759:O$875,MATCH($B15&amp;"|"&amp;$C$3,'データ'!$A$7:$A$123,0)),INDEX('データ'!P$759:P$875,MATCH($B15&amp;"|"&amp;$C$3,'データ'!$A$7:$A$123,0))),0)</f>
        <v>0.902407299367809</v>
      </c>
      <c r="F15" s="29">
        <f>IFERROR(SUM(INDEX('データ'!K$759:K$875,MATCH($B15&amp;"|"&amp;$C$3,'データ'!$A$7:$A$123,0)),INDEX('データ'!L$759:L$875,MATCH($B15&amp;"|"&amp;$C$3,'データ'!$A$7:$A$123,0)),INDEX('データ'!M$759:M$875,MATCH($B15&amp;"|"&amp;$C$3,'データ'!$A$7:$A$123,0)),INDEX('データ'!N$759:N$875,MATCH($B15&amp;"|"&amp;$C$3,'データ'!$A$7:$A$123,0)))/SUM(INDEX('データ'!K$759:K$875,MATCH($B15&amp;"|"&amp;$C$3,'データ'!$A$7:$A$123,0)),INDEX('データ'!L$759:L$875,MATCH($B15&amp;"|"&amp;$C$3,'データ'!$A$7:$A$123,0)),INDEX('データ'!M$759:M$875,MATCH($B15&amp;"|"&amp;$C$3,'データ'!$A$7:$A$123,0)),INDEX('データ'!N$759:N$875,MATCH($B15&amp;"|"&amp;$C$3,'データ'!$A$7:$A$123,0)),INDEX('データ'!O$759:O$875,MATCH($B15&amp;"|"&amp;$C$3,'データ'!$A$7:$A$123,0)),INDEX('データ'!P$759:P$875,MATCH($B15&amp;"|"&amp;$C$3,'データ'!$A$7:$A$123,0))),0)</f>
        <v>0.9859789397170922</v>
      </c>
      <c r="G15" s="45">
        <f>IFERROR(INDEX('データ'!G$759:G$875,MATCH($B15&amp;"|"&amp;$C$3,'データ'!$A$7:$A$123,0))/INDEX('データ'!H$759:H$875,MATCH($B15&amp;"|"&amp;$C$3,'データ'!$A$7:$A$123,0))/60,0)</f>
        <v>7.198581612441411</v>
      </c>
      <c r="H15" s="45">
        <f>IFERROR(INDEX('データ'!I$759:I$875,MATCH($B15&amp;"|"&amp;$C$3,'データ'!$A$7:$A$123,0))/INDEX('データ'!J$759:J$875,MATCH($B15&amp;"|"&amp;$C$3,'データ'!$A$7:$A$123,0))/60,0)</f>
        <v>12.878106238964097</v>
      </c>
      <c r="I15" s="24">
        <f>INDEX('データ'!P$759:P$875,MATCH($B15&amp;"|"&amp;$C$3,'データ'!$A$7:$A$123,0))</f>
        <v>248</v>
      </c>
    </row>
    <row r="18" spans="2:18" x14ac:dyDescent="0.25">
      <c r="B18" s="3" t="s">
        <v>452</v>
      </c>
      <c r="L18" s="3" t="s">
        <v>453</v>
      </c>
    </row>
    <row r="20" spans="2:18" x14ac:dyDescent="0.25">
      <c r="L20" s="22" t="s">
        <v>4</v>
      </c>
      <c r="M20" s="22" t="s">
        <v>401</v>
      </c>
      <c r="N20" s="22" t="s">
        <v>402</v>
      </c>
      <c r="O20" s="22" t="s">
        <v>403</v>
      </c>
      <c r="P20" s="22" t="s">
        <v>404</v>
      </c>
      <c r="Q20" s="22" t="s">
        <v>405</v>
      </c>
      <c r="R20" s="22" t="s">
        <v>406</v>
      </c>
    </row>
    <row r="21" spans="2:18" x14ac:dyDescent="0.25">
      <c r="L21" s="44" t="s">
        <v>65</v>
      </c>
      <c r="M21" s="29">
        <f>IFERROR(INDEX('データ'!K$759:K$875,MATCH($L21&amp;"|"&amp;$C$3,'データ'!$A$7:$A$123,0))/SUM(INDEX('データ'!K$759:K$875,MATCH($L21&amp;"|"&amp;$C$3,'データ'!$A$7:$A$123,0)),INDEX('データ'!L$759:L$875,MATCH($L21&amp;"|"&amp;$C$3,'データ'!$A$7:$A$123,0)),INDEX('データ'!M$759:M$875,MATCH($L21&amp;"|"&amp;$C$3,'データ'!$A$7:$A$123,0)),INDEX('データ'!N$759:N$875,MATCH($L21&amp;"|"&amp;$C$3,'データ'!$A$7:$A$123,0)),INDEX('データ'!O$759:O$875,MATCH($L21&amp;"|"&amp;$C$3,'データ'!$A$7:$A$123,0)),INDEX('データ'!P$759:P$875,MATCH($L21&amp;"|"&amp;$C$3,'データ'!$A$7:$A$123,0))),0)</f>
        <v>0.6402055351170789</v>
      </c>
      <c r="N21" s="29">
        <f>IFERROR(INDEX('データ'!L$759:L$875,MATCH($L21&amp;"|"&amp;$C$3,'データ'!$A$7:$A$123,0))/SUM(INDEX('データ'!K$759:K$875,MATCH($L21&amp;"|"&amp;$C$3,'データ'!$A$7:$A$123,0)),INDEX('データ'!L$759:L$875,MATCH($L21&amp;"|"&amp;$C$3,'データ'!$A$7:$A$123,0)),INDEX('データ'!M$759:M$875,MATCH($L21&amp;"|"&amp;$C$3,'データ'!$A$7:$A$123,0)),INDEX('データ'!N$759:N$875,MATCH($L21&amp;"|"&amp;$C$3,'データ'!$A$7:$A$123,0)),INDEX('データ'!O$759:O$875,MATCH($L21&amp;"|"&amp;$C$3,'データ'!$A$7:$A$123,0)),INDEX('データ'!P$759:P$875,MATCH($L21&amp;"|"&amp;$C$3,'データ'!$A$7:$A$123,0))),0)</f>
        <v>0.1359437505021806</v>
      </c>
      <c r="O21" s="29">
        <f>IFERROR(INDEX('データ'!M$759:M$875,MATCH($L21&amp;"|"&amp;$C$3,'データ'!$A$7:$A$123,0))/SUM(INDEX('データ'!K$759:K$875,MATCH($L21&amp;"|"&amp;$C$3,'データ'!$A$7:$A$123,0)),INDEX('データ'!L$759:L$875,MATCH($L21&amp;"|"&amp;$C$3,'データ'!$A$7:$A$123,0)),INDEX('データ'!M$759:M$875,MATCH($L21&amp;"|"&amp;$C$3,'データ'!$A$7:$A$123,0)),INDEX('データ'!N$759:N$875,MATCH($L21&amp;"|"&amp;$C$3,'データ'!$A$7:$A$123,0)),INDEX('データ'!O$759:O$875,MATCH($L21&amp;"|"&amp;$C$3,'データ'!$A$7:$A$123,0)),INDEX('データ'!P$759:P$875,MATCH($L21&amp;"|"&amp;$C$3,'データ'!$A$7:$A$123,0))),0)</f>
        <v>0.07337435078748507</v>
      </c>
      <c r="P21" s="29">
        <f>IFERROR(INDEX('データ'!N$759:N$875,MATCH($L21&amp;"|"&amp;$C$3,'データ'!$A$7:$A$123,0))/SUM(INDEX('データ'!K$759:K$875,MATCH($L21&amp;"|"&amp;$C$3,'データ'!$A$7:$A$123,0)),INDEX('データ'!L$759:L$875,MATCH($L21&amp;"|"&amp;$C$3,'データ'!$A$7:$A$123,0)),INDEX('データ'!M$759:M$875,MATCH($L21&amp;"|"&amp;$C$3,'データ'!$A$7:$A$123,0)),INDEX('データ'!N$759:N$875,MATCH($L21&amp;"|"&amp;$C$3,'データ'!$A$7:$A$123,0)),INDEX('データ'!O$759:O$875,MATCH($L21&amp;"|"&amp;$C$3,'データ'!$A$7:$A$123,0)),INDEX('データ'!P$759:P$875,MATCH($L21&amp;"|"&amp;$C$3,'データ'!$A$7:$A$123,0))),0)</f>
        <v>0.09150027200077977</v>
      </c>
      <c r="Q21" s="29">
        <f>IFERROR(INDEX('データ'!O$759:O$875,MATCH($L21&amp;"|"&amp;$C$3,'データ'!$A$7:$A$123,0))/SUM(INDEX('データ'!K$759:K$875,MATCH($L21&amp;"|"&amp;$C$3,'データ'!$A$7:$A$123,0)),INDEX('データ'!L$759:L$875,MATCH($L21&amp;"|"&amp;$C$3,'データ'!$A$7:$A$123,0)),INDEX('データ'!M$759:M$875,MATCH($L21&amp;"|"&amp;$C$3,'データ'!$A$7:$A$123,0)),INDEX('データ'!N$759:N$875,MATCH($L21&amp;"|"&amp;$C$3,'データ'!$A$7:$A$123,0)),INDEX('データ'!O$759:O$875,MATCH($L21&amp;"|"&amp;$C$3,'データ'!$A$7:$A$123,0)),INDEX('データ'!P$759:P$875,MATCH($L21&amp;"|"&amp;$C$3,'データ'!$A$7:$A$123,0))),0)</f>
        <v>0.043117063076519815</v>
      </c>
      <c r="R21" s="29">
        <f>IFERROR(INDEX('データ'!P$759:P$875,MATCH($L21&amp;"|"&amp;$C$3,'データ'!$A$7:$A$123,0))/SUM(INDEX('データ'!K$759:K$875,MATCH($L21&amp;"|"&amp;$C$3,'データ'!$A$7:$A$123,0)),INDEX('データ'!L$759:L$875,MATCH($L21&amp;"|"&amp;$C$3,'データ'!$A$7:$A$123,0)),INDEX('データ'!M$759:M$875,MATCH($L21&amp;"|"&amp;$C$3,'データ'!$A$7:$A$123,0)),INDEX('データ'!N$759:N$875,MATCH($L21&amp;"|"&amp;$C$3,'データ'!$A$7:$A$123,0)),INDEX('データ'!O$759:O$875,MATCH($L21&amp;"|"&amp;$C$3,'データ'!$A$7:$A$123,0)),INDEX('データ'!P$759:P$875,MATCH($L21&amp;"|"&amp;$C$3,'データ'!$A$7:$A$123,0))),0)</f>
        <v>0.01585902851595584</v>
      </c>
    </row>
    <row r="22" spans="2:18" x14ac:dyDescent="0.25">
      <c r="L22" s="44" t="s">
        <v>92</v>
      </c>
      <c r="M22" s="29">
        <f>IFERROR(INDEX('データ'!K$759:K$875,MATCH($L22&amp;"|"&amp;$C$3,'データ'!$A$7:$A$123,0))/SUM(INDEX('データ'!K$759:K$875,MATCH($L22&amp;"|"&amp;$C$3,'データ'!$A$7:$A$123,0)),INDEX('データ'!L$759:L$875,MATCH($L22&amp;"|"&amp;$C$3,'データ'!$A$7:$A$123,0)),INDEX('データ'!M$759:M$875,MATCH($L22&amp;"|"&amp;$C$3,'データ'!$A$7:$A$123,0)),INDEX('データ'!N$759:N$875,MATCH($L22&amp;"|"&amp;$C$3,'データ'!$A$7:$A$123,0)),INDEX('データ'!O$759:O$875,MATCH($L22&amp;"|"&amp;$C$3,'データ'!$A$7:$A$123,0)),INDEX('データ'!P$759:P$875,MATCH($L22&amp;"|"&amp;$C$3,'データ'!$A$7:$A$123,0))),0)</f>
        <v>0.7455400956364978</v>
      </c>
      <c r="N22" s="29">
        <f>IFERROR(INDEX('データ'!L$759:L$875,MATCH($L22&amp;"|"&amp;$C$3,'データ'!$A$7:$A$123,0))/SUM(INDEX('データ'!K$759:K$875,MATCH($L22&amp;"|"&amp;$C$3,'データ'!$A$7:$A$123,0)),INDEX('データ'!L$759:L$875,MATCH($L22&amp;"|"&amp;$C$3,'データ'!$A$7:$A$123,0)),INDEX('データ'!M$759:M$875,MATCH($L22&amp;"|"&amp;$C$3,'データ'!$A$7:$A$123,0)),INDEX('データ'!N$759:N$875,MATCH($L22&amp;"|"&amp;$C$3,'データ'!$A$7:$A$123,0)),INDEX('データ'!O$759:O$875,MATCH($L22&amp;"|"&amp;$C$3,'データ'!$A$7:$A$123,0)),INDEX('データ'!P$759:P$875,MATCH($L22&amp;"|"&amp;$C$3,'データ'!$A$7:$A$123,0))),0)</f>
        <v>0.12257341528095832</v>
      </c>
      <c r="O22" s="29">
        <f>IFERROR(INDEX('データ'!M$759:M$875,MATCH($L22&amp;"|"&amp;$C$3,'データ'!$A$7:$A$123,0))/SUM(INDEX('データ'!K$759:K$875,MATCH($L22&amp;"|"&amp;$C$3,'データ'!$A$7:$A$123,0)),INDEX('データ'!L$759:L$875,MATCH($L22&amp;"|"&amp;$C$3,'データ'!$A$7:$A$123,0)),INDEX('データ'!M$759:M$875,MATCH($L22&amp;"|"&amp;$C$3,'データ'!$A$7:$A$123,0)),INDEX('データ'!N$759:N$875,MATCH($L22&amp;"|"&amp;$C$3,'データ'!$A$7:$A$123,0)),INDEX('データ'!O$759:O$875,MATCH($L22&amp;"|"&amp;$C$3,'データ'!$A$7:$A$123,0)),INDEX('データ'!P$759:P$875,MATCH($L22&amp;"|"&amp;$C$3,'データ'!$A$7:$A$123,0))),0)</f>
        <v>0.05758375153999819</v>
      </c>
      <c r="P22" s="29">
        <f>IFERROR(INDEX('データ'!N$759:N$875,MATCH($L22&amp;"|"&amp;$C$3,'データ'!$A$7:$A$123,0))/SUM(INDEX('データ'!K$759:K$875,MATCH($L22&amp;"|"&amp;$C$3,'データ'!$A$7:$A$123,0)),INDEX('データ'!L$759:L$875,MATCH($L22&amp;"|"&amp;$C$3,'データ'!$A$7:$A$123,0)),INDEX('データ'!M$759:M$875,MATCH($L22&amp;"|"&amp;$C$3,'データ'!$A$7:$A$123,0)),INDEX('データ'!N$759:N$875,MATCH($L22&amp;"|"&amp;$C$3,'データ'!$A$7:$A$123,0)),INDEX('データ'!O$759:O$875,MATCH($L22&amp;"|"&amp;$C$3,'データ'!$A$7:$A$123,0)),INDEX('データ'!P$759:P$875,MATCH($L22&amp;"|"&amp;$C$3,'データ'!$A$7:$A$123,0))),0)</f>
        <v>0.057298373344284434</v>
      </c>
      <c r="Q22" s="29">
        <f>IFERROR(INDEX('データ'!O$759:O$875,MATCH($L22&amp;"|"&amp;$C$3,'データ'!$A$7:$A$123,0))/SUM(INDEX('データ'!K$759:K$875,MATCH($L22&amp;"|"&amp;$C$3,'データ'!$A$7:$A$123,0)),INDEX('データ'!L$759:L$875,MATCH($L22&amp;"|"&amp;$C$3,'データ'!$A$7:$A$123,0)),INDEX('データ'!M$759:M$875,MATCH($L22&amp;"|"&amp;$C$3,'データ'!$A$7:$A$123,0)),INDEX('データ'!N$759:N$875,MATCH($L22&amp;"|"&amp;$C$3,'データ'!$A$7:$A$123,0)),INDEX('データ'!O$759:O$875,MATCH($L22&amp;"|"&amp;$C$3,'データ'!$A$7:$A$123,0)),INDEX('データ'!P$759:P$875,MATCH($L22&amp;"|"&amp;$C$3,'データ'!$A$7:$A$123,0))),0)</f>
        <v>0.013837362270218348</v>
      </c>
      <c r="R22" s="29">
        <f>IFERROR(INDEX('データ'!P$759:P$875,MATCH($L22&amp;"|"&amp;$C$3,'データ'!$A$7:$A$123,0))/SUM(INDEX('データ'!K$759:K$875,MATCH($L22&amp;"|"&amp;$C$3,'データ'!$A$7:$A$123,0)),INDEX('データ'!L$759:L$875,MATCH($L22&amp;"|"&amp;$C$3,'データ'!$A$7:$A$123,0)),INDEX('データ'!M$759:M$875,MATCH($L22&amp;"|"&amp;$C$3,'データ'!$A$7:$A$123,0)),INDEX('データ'!N$759:N$875,MATCH($L22&amp;"|"&amp;$C$3,'データ'!$A$7:$A$123,0)),INDEX('データ'!O$759:O$875,MATCH($L22&amp;"|"&amp;$C$3,'データ'!$A$7:$A$123,0)),INDEX('データ'!P$759:P$875,MATCH($L22&amp;"|"&amp;$C$3,'データ'!$A$7:$A$123,0))),0)</f>
        <v>0.003167001928042932</v>
      </c>
    </row>
    <row r="23" spans="2:18" x14ac:dyDescent="0.25">
      <c r="L23" s="44" t="s">
        <v>106</v>
      </c>
      <c r="M23" s="29">
        <f>IFERROR(INDEX('データ'!K$759:K$875,MATCH($L23&amp;"|"&amp;$C$3,'データ'!$A$7:$A$123,0))/SUM(INDEX('データ'!K$759:K$875,MATCH($L23&amp;"|"&amp;$C$3,'データ'!$A$7:$A$123,0)),INDEX('データ'!L$759:L$875,MATCH($L23&amp;"|"&amp;$C$3,'データ'!$A$7:$A$123,0)),INDEX('データ'!M$759:M$875,MATCH($L23&amp;"|"&amp;$C$3,'データ'!$A$7:$A$123,0)),INDEX('データ'!N$759:N$875,MATCH($L23&amp;"|"&amp;$C$3,'データ'!$A$7:$A$123,0)),INDEX('データ'!O$759:O$875,MATCH($L23&amp;"|"&amp;$C$3,'データ'!$A$7:$A$123,0)),INDEX('データ'!P$759:P$875,MATCH($L23&amp;"|"&amp;$C$3,'データ'!$A$7:$A$123,0))),0)</f>
        <v>0.7562685359935293</v>
      </c>
      <c r="N23" s="29">
        <f>IFERROR(INDEX('データ'!L$759:L$875,MATCH($L23&amp;"|"&amp;$C$3,'データ'!$A$7:$A$123,0))/SUM(INDEX('データ'!K$759:K$875,MATCH($L23&amp;"|"&amp;$C$3,'データ'!$A$7:$A$123,0)),INDEX('データ'!L$759:L$875,MATCH($L23&amp;"|"&amp;$C$3,'データ'!$A$7:$A$123,0)),INDEX('データ'!M$759:M$875,MATCH($L23&amp;"|"&amp;$C$3,'データ'!$A$7:$A$123,0)),INDEX('データ'!N$759:N$875,MATCH($L23&amp;"|"&amp;$C$3,'データ'!$A$7:$A$123,0)),INDEX('データ'!O$759:O$875,MATCH($L23&amp;"|"&amp;$C$3,'データ'!$A$7:$A$123,0)),INDEX('データ'!P$759:P$875,MATCH($L23&amp;"|"&amp;$C$3,'データ'!$A$7:$A$123,0))),0)</f>
        <v>0.12522365744258437</v>
      </c>
      <c r="O23" s="29">
        <f>IFERROR(INDEX('データ'!M$759:M$875,MATCH($L23&amp;"|"&amp;$C$3,'データ'!$A$7:$A$123,0))/SUM(INDEX('データ'!K$759:K$875,MATCH($L23&amp;"|"&amp;$C$3,'データ'!$A$7:$A$123,0)),INDEX('データ'!L$759:L$875,MATCH($L23&amp;"|"&amp;$C$3,'データ'!$A$7:$A$123,0)),INDEX('データ'!M$759:M$875,MATCH($L23&amp;"|"&amp;$C$3,'データ'!$A$7:$A$123,0)),INDEX('データ'!N$759:N$875,MATCH($L23&amp;"|"&amp;$C$3,'データ'!$A$7:$A$123,0)),INDEX('データ'!O$759:O$875,MATCH($L23&amp;"|"&amp;$C$3,'データ'!$A$7:$A$123,0)),INDEX('データ'!P$759:P$875,MATCH($L23&amp;"|"&amp;$C$3,'データ'!$A$7:$A$123,0))),0)</f>
        <v>0.059535772935611166</v>
      </c>
      <c r="P23" s="29">
        <f>IFERROR(INDEX('データ'!N$759:N$875,MATCH($L23&amp;"|"&amp;$C$3,'データ'!$A$7:$A$123,0))/SUM(INDEX('データ'!K$759:K$875,MATCH($L23&amp;"|"&amp;$C$3,'データ'!$A$7:$A$123,0)),INDEX('データ'!L$759:L$875,MATCH($L23&amp;"|"&amp;$C$3,'データ'!$A$7:$A$123,0)),INDEX('データ'!M$759:M$875,MATCH($L23&amp;"|"&amp;$C$3,'データ'!$A$7:$A$123,0)),INDEX('データ'!N$759:N$875,MATCH($L23&amp;"|"&amp;$C$3,'データ'!$A$7:$A$123,0)),INDEX('データ'!O$759:O$875,MATCH($L23&amp;"|"&amp;$C$3,'データ'!$A$7:$A$123,0)),INDEX('データ'!P$759:P$875,MATCH($L23&amp;"|"&amp;$C$3,'データ'!$A$7:$A$123,0))),0)</f>
        <v>0.0408710997818574</v>
      </c>
      <c r="Q23" s="29">
        <f>IFERROR(INDEX('データ'!O$759:O$875,MATCH($L23&amp;"|"&amp;$C$3,'データ'!$A$7:$A$123,0))/SUM(INDEX('データ'!K$759:K$875,MATCH($L23&amp;"|"&amp;$C$3,'データ'!$A$7:$A$123,0)),INDEX('データ'!L$759:L$875,MATCH($L23&amp;"|"&amp;$C$3,'データ'!$A$7:$A$123,0)),INDEX('データ'!M$759:M$875,MATCH($L23&amp;"|"&amp;$C$3,'データ'!$A$7:$A$123,0)),INDEX('データ'!N$759:N$875,MATCH($L23&amp;"|"&amp;$C$3,'データ'!$A$7:$A$123,0)),INDEX('データ'!O$759:O$875,MATCH($L23&amp;"|"&amp;$C$3,'データ'!$A$7:$A$123,0)),INDEX('データ'!P$759:P$875,MATCH($L23&amp;"|"&amp;$C$3,'データ'!$A$7:$A$123,0))),0)</f>
        <v>0.01240226476139121</v>
      </c>
      <c r="R23" s="29">
        <f>IFERROR(INDEX('データ'!P$759:P$875,MATCH($L23&amp;"|"&amp;$C$3,'データ'!$A$7:$A$123,0))/SUM(INDEX('データ'!K$759:K$875,MATCH($L23&amp;"|"&amp;$C$3,'データ'!$A$7:$A$123,0)),INDEX('データ'!L$759:L$875,MATCH($L23&amp;"|"&amp;$C$3,'データ'!$A$7:$A$123,0)),INDEX('データ'!M$759:M$875,MATCH($L23&amp;"|"&amp;$C$3,'データ'!$A$7:$A$123,0)),INDEX('データ'!N$759:N$875,MATCH($L23&amp;"|"&amp;$C$3,'データ'!$A$7:$A$123,0)),INDEX('データ'!O$759:O$875,MATCH($L23&amp;"|"&amp;$C$3,'データ'!$A$7:$A$123,0)),INDEX('データ'!P$759:P$875,MATCH($L23&amp;"|"&amp;$C$3,'データ'!$A$7:$A$123,0))),0)</f>
        <v>0.005698669085026593</v>
      </c>
    </row>
    <row r="24" spans="2:18" x14ac:dyDescent="0.25">
      <c r="L24" s="44" t="s">
        <v>120</v>
      </c>
      <c r="M24" s="29">
        <f>IFERROR(INDEX('データ'!K$759:K$875,MATCH($L24&amp;"|"&amp;$C$3,'データ'!$A$7:$A$123,0))/SUM(INDEX('データ'!K$759:K$875,MATCH($L24&amp;"|"&amp;$C$3,'データ'!$A$7:$A$123,0)),INDEX('データ'!L$759:L$875,MATCH($L24&amp;"|"&amp;$C$3,'データ'!$A$7:$A$123,0)),INDEX('データ'!M$759:M$875,MATCH($L24&amp;"|"&amp;$C$3,'データ'!$A$7:$A$123,0)),INDEX('データ'!N$759:N$875,MATCH($L24&amp;"|"&amp;$C$3,'データ'!$A$7:$A$123,0)),INDEX('データ'!O$759:O$875,MATCH($L24&amp;"|"&amp;$C$3,'データ'!$A$7:$A$123,0)),INDEX('データ'!P$759:P$875,MATCH($L24&amp;"|"&amp;$C$3,'データ'!$A$7:$A$123,0))),0)</f>
        <v>0.5154569367398495</v>
      </c>
      <c r="N24" s="29">
        <f>IFERROR(INDEX('データ'!L$759:L$875,MATCH($L24&amp;"|"&amp;$C$3,'データ'!$A$7:$A$123,0))/SUM(INDEX('データ'!K$759:K$875,MATCH($L24&amp;"|"&amp;$C$3,'データ'!$A$7:$A$123,0)),INDEX('データ'!L$759:L$875,MATCH($L24&amp;"|"&amp;$C$3,'データ'!$A$7:$A$123,0)),INDEX('データ'!M$759:M$875,MATCH($L24&amp;"|"&amp;$C$3,'データ'!$A$7:$A$123,0)),INDEX('データ'!N$759:N$875,MATCH($L24&amp;"|"&amp;$C$3,'データ'!$A$7:$A$123,0)),INDEX('データ'!O$759:O$875,MATCH($L24&amp;"|"&amp;$C$3,'データ'!$A$7:$A$123,0)),INDEX('データ'!P$759:P$875,MATCH($L24&amp;"|"&amp;$C$3,'データ'!$A$7:$A$123,0))),0)</f>
        <v>0.11925410839388494</v>
      </c>
      <c r="O24" s="29">
        <f>IFERROR(INDEX('データ'!M$759:M$875,MATCH($L24&amp;"|"&amp;$C$3,'データ'!$A$7:$A$123,0))/SUM(INDEX('データ'!K$759:K$875,MATCH($L24&amp;"|"&amp;$C$3,'データ'!$A$7:$A$123,0)),INDEX('データ'!L$759:L$875,MATCH($L24&amp;"|"&amp;$C$3,'データ'!$A$7:$A$123,0)),INDEX('データ'!M$759:M$875,MATCH($L24&amp;"|"&amp;$C$3,'データ'!$A$7:$A$123,0)),INDEX('データ'!N$759:N$875,MATCH($L24&amp;"|"&amp;$C$3,'データ'!$A$7:$A$123,0)),INDEX('データ'!O$759:O$875,MATCH($L24&amp;"|"&amp;$C$3,'データ'!$A$7:$A$123,0)),INDEX('データ'!P$759:P$875,MATCH($L24&amp;"|"&amp;$C$3,'データ'!$A$7:$A$123,0))),0)</f>
        <v>0.07713276210815082</v>
      </c>
      <c r="P24" s="29">
        <f>IFERROR(INDEX('データ'!N$759:N$875,MATCH($L24&amp;"|"&amp;$C$3,'データ'!$A$7:$A$123,0))/SUM(INDEX('データ'!K$759:K$875,MATCH($L24&amp;"|"&amp;$C$3,'データ'!$A$7:$A$123,0)),INDEX('データ'!L$759:L$875,MATCH($L24&amp;"|"&amp;$C$3,'データ'!$A$7:$A$123,0)),INDEX('データ'!M$759:M$875,MATCH($L24&amp;"|"&amp;$C$3,'データ'!$A$7:$A$123,0)),INDEX('データ'!N$759:N$875,MATCH($L24&amp;"|"&amp;$C$3,'データ'!$A$7:$A$123,0)),INDEX('データ'!O$759:O$875,MATCH($L24&amp;"|"&amp;$C$3,'データ'!$A$7:$A$123,0)),INDEX('データ'!P$759:P$875,MATCH($L24&amp;"|"&amp;$C$3,'データ'!$A$7:$A$123,0))),0)</f>
        <v>0.1380837044560773</v>
      </c>
      <c r="Q24" s="29">
        <f>IFERROR(INDEX('データ'!O$759:O$875,MATCH($L24&amp;"|"&amp;$C$3,'データ'!$A$7:$A$123,0))/SUM(INDEX('データ'!K$759:K$875,MATCH($L24&amp;"|"&amp;$C$3,'データ'!$A$7:$A$123,0)),INDEX('データ'!L$759:L$875,MATCH($L24&amp;"|"&amp;$C$3,'データ'!$A$7:$A$123,0)),INDEX('データ'!M$759:M$875,MATCH($L24&amp;"|"&amp;$C$3,'データ'!$A$7:$A$123,0)),INDEX('データ'!N$759:N$875,MATCH($L24&amp;"|"&amp;$C$3,'データ'!$A$7:$A$123,0)),INDEX('データ'!O$759:O$875,MATCH($L24&amp;"|"&amp;$C$3,'データ'!$A$7:$A$123,0)),INDEX('データ'!P$759:P$875,MATCH($L24&amp;"|"&amp;$C$3,'データ'!$A$7:$A$123,0))),0)</f>
        <v>0.09907023986248925</v>
      </c>
      <c r="R24" s="29">
        <f>IFERROR(INDEX('データ'!P$759:P$875,MATCH($L24&amp;"|"&amp;$C$3,'データ'!$A$7:$A$123,0))/SUM(INDEX('データ'!K$759:K$875,MATCH($L24&amp;"|"&amp;$C$3,'データ'!$A$7:$A$123,0)),INDEX('データ'!L$759:L$875,MATCH($L24&amp;"|"&amp;$C$3,'データ'!$A$7:$A$123,0)),INDEX('データ'!M$759:M$875,MATCH($L24&amp;"|"&amp;$C$3,'データ'!$A$7:$A$123,0)),INDEX('データ'!N$759:N$875,MATCH($L24&amp;"|"&amp;$C$3,'データ'!$A$7:$A$123,0)),INDEX('データ'!O$759:O$875,MATCH($L24&amp;"|"&amp;$C$3,'データ'!$A$7:$A$123,0)),INDEX('データ'!P$759:P$875,MATCH($L24&amp;"|"&amp;$C$3,'データ'!$A$7:$A$123,0))),0)</f>
        <v>0.05100224843954823</v>
      </c>
    </row>
    <row r="25" spans="2:18" x14ac:dyDescent="0.25">
      <c r="L25" s="44" t="s">
        <v>134</v>
      </c>
      <c r="M25" s="29">
        <f>IFERROR(INDEX('データ'!K$759:K$875,MATCH($L25&amp;"|"&amp;$C$3,'データ'!$A$7:$A$123,0))/SUM(INDEX('データ'!K$759:K$875,MATCH($L25&amp;"|"&amp;$C$3,'データ'!$A$7:$A$123,0)),INDEX('データ'!L$759:L$875,MATCH($L25&amp;"|"&amp;$C$3,'データ'!$A$7:$A$123,0)),INDEX('データ'!M$759:M$875,MATCH($L25&amp;"|"&amp;$C$3,'データ'!$A$7:$A$123,0)),INDEX('データ'!N$759:N$875,MATCH($L25&amp;"|"&amp;$C$3,'データ'!$A$7:$A$123,0)),INDEX('データ'!O$759:O$875,MATCH($L25&amp;"|"&amp;$C$3,'データ'!$A$7:$A$123,0)),INDEX('データ'!P$759:P$875,MATCH($L25&amp;"|"&amp;$C$3,'データ'!$A$7:$A$123,0))),0)</f>
        <v>0.573715469711269</v>
      </c>
      <c r="N25" s="29">
        <f>IFERROR(INDEX('データ'!L$759:L$875,MATCH($L25&amp;"|"&amp;$C$3,'データ'!$A$7:$A$123,0))/SUM(INDEX('データ'!K$759:K$875,MATCH($L25&amp;"|"&amp;$C$3,'データ'!$A$7:$A$123,0)),INDEX('データ'!L$759:L$875,MATCH($L25&amp;"|"&amp;$C$3,'データ'!$A$7:$A$123,0)),INDEX('データ'!M$759:M$875,MATCH($L25&amp;"|"&amp;$C$3,'データ'!$A$7:$A$123,0)),INDEX('データ'!N$759:N$875,MATCH($L25&amp;"|"&amp;$C$3,'データ'!$A$7:$A$123,0)),INDEX('データ'!O$759:O$875,MATCH($L25&amp;"|"&amp;$C$3,'データ'!$A$7:$A$123,0)),INDEX('データ'!P$759:P$875,MATCH($L25&amp;"|"&amp;$C$3,'データ'!$A$7:$A$123,0))),0)</f>
        <v>0.15253996750090473</v>
      </c>
      <c r="O25" s="29">
        <f>IFERROR(INDEX('データ'!M$759:M$875,MATCH($L25&amp;"|"&amp;$C$3,'データ'!$A$7:$A$123,0))/SUM(INDEX('データ'!K$759:K$875,MATCH($L25&amp;"|"&amp;$C$3,'データ'!$A$7:$A$123,0)),INDEX('データ'!L$759:L$875,MATCH($L25&amp;"|"&amp;$C$3,'データ'!$A$7:$A$123,0)),INDEX('データ'!M$759:M$875,MATCH($L25&amp;"|"&amp;$C$3,'データ'!$A$7:$A$123,0)),INDEX('データ'!N$759:N$875,MATCH($L25&amp;"|"&amp;$C$3,'データ'!$A$7:$A$123,0)),INDEX('データ'!O$759:O$875,MATCH($L25&amp;"|"&amp;$C$3,'データ'!$A$7:$A$123,0)),INDEX('データ'!P$759:P$875,MATCH($L25&amp;"|"&amp;$C$3,'データ'!$A$7:$A$123,0))),0)</f>
        <v>0.0868605732045669</v>
      </c>
      <c r="P25" s="29">
        <f>IFERROR(INDEX('データ'!N$759:N$875,MATCH($L25&amp;"|"&amp;$C$3,'データ'!$A$7:$A$123,0))/SUM(INDEX('データ'!K$759:K$875,MATCH($L25&amp;"|"&amp;$C$3,'データ'!$A$7:$A$123,0)),INDEX('データ'!L$759:L$875,MATCH($L25&amp;"|"&amp;$C$3,'データ'!$A$7:$A$123,0)),INDEX('データ'!M$759:M$875,MATCH($L25&amp;"|"&amp;$C$3,'データ'!$A$7:$A$123,0)),INDEX('データ'!N$759:N$875,MATCH($L25&amp;"|"&amp;$C$3,'データ'!$A$7:$A$123,0)),INDEX('データ'!O$759:O$875,MATCH($L25&amp;"|"&amp;$C$3,'データ'!$A$7:$A$123,0)),INDEX('データ'!P$759:P$875,MATCH($L25&amp;"|"&amp;$C$3,'データ'!$A$7:$A$123,0))),0)</f>
        <v>0.11810369907824618</v>
      </c>
      <c r="Q25" s="29">
        <f>IFERROR(INDEX('データ'!O$759:O$875,MATCH($L25&amp;"|"&amp;$C$3,'データ'!$A$7:$A$123,0))/SUM(INDEX('データ'!K$759:K$875,MATCH($L25&amp;"|"&amp;$C$3,'データ'!$A$7:$A$123,0)),INDEX('データ'!L$759:L$875,MATCH($L25&amp;"|"&amp;$C$3,'データ'!$A$7:$A$123,0)),INDEX('データ'!M$759:M$875,MATCH($L25&amp;"|"&amp;$C$3,'データ'!$A$7:$A$123,0)),INDEX('データ'!N$759:N$875,MATCH($L25&amp;"|"&amp;$C$3,'データ'!$A$7:$A$123,0)),INDEX('データ'!O$759:O$875,MATCH($L25&amp;"|"&amp;$C$3,'データ'!$A$7:$A$123,0)),INDEX('データ'!P$759:P$875,MATCH($L25&amp;"|"&amp;$C$3,'データ'!$A$7:$A$123,0))),0)</f>
        <v>0.05766815443456541</v>
      </c>
      <c r="R25" s="29">
        <f>IFERROR(INDEX('データ'!P$759:P$875,MATCH($L25&amp;"|"&amp;$C$3,'データ'!$A$7:$A$123,0))/SUM(INDEX('データ'!K$759:K$875,MATCH($L25&amp;"|"&amp;$C$3,'データ'!$A$7:$A$123,0)),INDEX('データ'!L$759:L$875,MATCH($L25&amp;"|"&amp;$C$3,'データ'!$A$7:$A$123,0)),INDEX('データ'!M$759:M$875,MATCH($L25&amp;"|"&amp;$C$3,'データ'!$A$7:$A$123,0)),INDEX('データ'!N$759:N$875,MATCH($L25&amp;"|"&amp;$C$3,'データ'!$A$7:$A$123,0)),INDEX('データ'!O$759:O$875,MATCH($L25&amp;"|"&amp;$C$3,'データ'!$A$7:$A$123,0)),INDEX('データ'!P$759:P$875,MATCH($L25&amp;"|"&amp;$C$3,'データ'!$A$7:$A$123,0))),0)</f>
        <v>0.011112136070447821</v>
      </c>
    </row>
    <row r="26" spans="2:18" x14ac:dyDescent="0.25">
      <c r="L26" s="44" t="s">
        <v>148</v>
      </c>
      <c r="M26" s="29">
        <f>IFERROR(INDEX('データ'!K$759:K$875,MATCH($L26&amp;"|"&amp;$C$3,'データ'!$A$7:$A$123,0))/SUM(INDEX('データ'!K$759:K$875,MATCH($L26&amp;"|"&amp;$C$3,'データ'!$A$7:$A$123,0)),INDEX('データ'!L$759:L$875,MATCH($L26&amp;"|"&amp;$C$3,'データ'!$A$7:$A$123,0)),INDEX('データ'!M$759:M$875,MATCH($L26&amp;"|"&amp;$C$3,'データ'!$A$7:$A$123,0)),INDEX('データ'!N$759:N$875,MATCH($L26&amp;"|"&amp;$C$3,'データ'!$A$7:$A$123,0)),INDEX('データ'!O$759:O$875,MATCH($L26&amp;"|"&amp;$C$3,'データ'!$A$7:$A$123,0)),INDEX('データ'!P$759:P$875,MATCH($L26&amp;"|"&amp;$C$3,'データ'!$A$7:$A$123,0))),0)</f>
        <v>0.4653149444215727</v>
      </c>
      <c r="N26" s="29">
        <f>IFERROR(INDEX('データ'!L$759:L$875,MATCH($L26&amp;"|"&amp;$C$3,'データ'!$A$7:$A$123,0))/SUM(INDEX('データ'!K$759:K$875,MATCH($L26&amp;"|"&amp;$C$3,'データ'!$A$7:$A$123,0)),INDEX('データ'!L$759:L$875,MATCH($L26&amp;"|"&amp;$C$3,'データ'!$A$7:$A$123,0)),INDEX('データ'!M$759:M$875,MATCH($L26&amp;"|"&amp;$C$3,'データ'!$A$7:$A$123,0)),INDEX('データ'!N$759:N$875,MATCH($L26&amp;"|"&amp;$C$3,'データ'!$A$7:$A$123,0)),INDEX('データ'!O$759:O$875,MATCH($L26&amp;"|"&amp;$C$3,'データ'!$A$7:$A$123,0)),INDEX('データ'!P$759:P$875,MATCH($L26&amp;"|"&amp;$C$3,'データ'!$A$7:$A$123,0))),0)</f>
        <v>0.13677324916518</v>
      </c>
      <c r="O26" s="29">
        <f>IFERROR(INDEX('データ'!M$759:M$875,MATCH($L26&amp;"|"&amp;$C$3,'データ'!$A$7:$A$123,0))/SUM(INDEX('データ'!K$759:K$875,MATCH($L26&amp;"|"&amp;$C$3,'データ'!$A$7:$A$123,0)),INDEX('データ'!L$759:L$875,MATCH($L26&amp;"|"&amp;$C$3,'データ'!$A$7:$A$123,0)),INDEX('データ'!M$759:M$875,MATCH($L26&amp;"|"&amp;$C$3,'データ'!$A$7:$A$123,0)),INDEX('データ'!N$759:N$875,MATCH($L26&amp;"|"&amp;$C$3,'データ'!$A$7:$A$123,0)),INDEX('データ'!O$759:O$875,MATCH($L26&amp;"|"&amp;$C$3,'データ'!$A$7:$A$123,0)),INDEX('データ'!P$759:P$875,MATCH($L26&amp;"|"&amp;$C$3,'データ'!$A$7:$A$123,0))),0)</f>
        <v>0.09545537715566534</v>
      </c>
      <c r="P26" s="29">
        <f>IFERROR(INDEX('データ'!N$759:N$875,MATCH($L26&amp;"|"&amp;$C$3,'データ'!$A$7:$A$123,0))/SUM(INDEX('データ'!K$759:K$875,MATCH($L26&amp;"|"&amp;$C$3,'データ'!$A$7:$A$123,0)),INDEX('データ'!L$759:L$875,MATCH($L26&amp;"|"&amp;$C$3,'データ'!$A$7:$A$123,0)),INDEX('データ'!M$759:M$875,MATCH($L26&amp;"|"&amp;$C$3,'データ'!$A$7:$A$123,0)),INDEX('データ'!N$759:N$875,MATCH($L26&amp;"|"&amp;$C$3,'データ'!$A$7:$A$123,0)),INDEX('データ'!O$759:O$875,MATCH($L26&amp;"|"&amp;$C$3,'データ'!$A$7:$A$123,0)),INDEX('データ'!P$759:P$875,MATCH($L26&amp;"|"&amp;$C$3,'データ'!$A$7:$A$123,0))),0)</f>
        <v>0.16433374502538767</v>
      </c>
      <c r="Q26" s="29">
        <f>IFERROR(INDEX('データ'!O$759:O$875,MATCH($L26&amp;"|"&amp;$C$3,'データ'!$A$7:$A$123,0))/SUM(INDEX('データ'!K$759:K$875,MATCH($L26&amp;"|"&amp;$C$3,'データ'!$A$7:$A$123,0)),INDEX('データ'!L$759:L$875,MATCH($L26&amp;"|"&amp;$C$3,'データ'!$A$7:$A$123,0)),INDEX('データ'!M$759:M$875,MATCH($L26&amp;"|"&amp;$C$3,'データ'!$A$7:$A$123,0)),INDEX('データ'!N$759:N$875,MATCH($L26&amp;"|"&amp;$C$3,'データ'!$A$7:$A$123,0)),INDEX('データ'!O$759:O$875,MATCH($L26&amp;"|"&amp;$C$3,'データ'!$A$7:$A$123,0)),INDEX('データ'!P$759:P$875,MATCH($L26&amp;"|"&amp;$C$3,'データ'!$A$7:$A$123,0))),0)</f>
        <v>0.09978957961666896</v>
      </c>
      <c r="R26" s="29">
        <f>IFERROR(INDEX('データ'!P$759:P$875,MATCH($L26&amp;"|"&amp;$C$3,'データ'!$A$7:$A$123,0))/SUM(INDEX('データ'!K$759:K$875,MATCH($L26&amp;"|"&amp;$C$3,'データ'!$A$7:$A$123,0)),INDEX('データ'!L$759:L$875,MATCH($L26&amp;"|"&amp;$C$3,'データ'!$A$7:$A$123,0)),INDEX('データ'!M$759:M$875,MATCH($L26&amp;"|"&amp;$C$3,'データ'!$A$7:$A$123,0)),INDEX('データ'!N$759:N$875,MATCH($L26&amp;"|"&amp;$C$3,'データ'!$A$7:$A$123,0)),INDEX('データ'!O$759:O$875,MATCH($L26&amp;"|"&amp;$C$3,'データ'!$A$7:$A$123,0)),INDEX('データ'!P$759:P$875,MATCH($L26&amp;"|"&amp;$C$3,'データ'!$A$7:$A$123,0))),0)</f>
        <v>0.03833310461552537</v>
      </c>
    </row>
    <row r="27" spans="2:18" x14ac:dyDescent="0.25">
      <c r="L27" s="44" t="s">
        <v>162</v>
      </c>
      <c r="M27" s="29">
        <f>IFERROR(INDEX('データ'!K$759:K$875,MATCH($L27&amp;"|"&amp;$C$3,'データ'!$A$7:$A$123,0))/SUM(INDEX('データ'!K$759:K$875,MATCH($L27&amp;"|"&amp;$C$3,'データ'!$A$7:$A$123,0)),INDEX('データ'!L$759:L$875,MATCH($L27&amp;"|"&amp;$C$3,'データ'!$A$7:$A$123,0)),INDEX('データ'!M$759:M$875,MATCH($L27&amp;"|"&amp;$C$3,'データ'!$A$7:$A$123,0)),INDEX('データ'!N$759:N$875,MATCH($L27&amp;"|"&amp;$C$3,'データ'!$A$7:$A$123,0)),INDEX('データ'!O$759:O$875,MATCH($L27&amp;"|"&amp;$C$3,'データ'!$A$7:$A$123,0)),INDEX('データ'!P$759:P$875,MATCH($L27&amp;"|"&amp;$C$3,'データ'!$A$7:$A$123,0))),0)</f>
        <v>0.7646682092389059</v>
      </c>
      <c r="N27" s="29">
        <f>IFERROR(INDEX('データ'!L$759:L$875,MATCH($L27&amp;"|"&amp;$C$3,'データ'!$A$7:$A$123,0))/SUM(INDEX('データ'!K$759:K$875,MATCH($L27&amp;"|"&amp;$C$3,'データ'!$A$7:$A$123,0)),INDEX('データ'!L$759:L$875,MATCH($L27&amp;"|"&amp;$C$3,'データ'!$A$7:$A$123,0)),INDEX('データ'!M$759:M$875,MATCH($L27&amp;"|"&amp;$C$3,'データ'!$A$7:$A$123,0)),INDEX('データ'!N$759:N$875,MATCH($L27&amp;"|"&amp;$C$3,'データ'!$A$7:$A$123,0)),INDEX('データ'!O$759:O$875,MATCH($L27&amp;"|"&amp;$C$3,'データ'!$A$7:$A$123,0)),INDEX('データ'!P$759:P$875,MATCH($L27&amp;"|"&amp;$C$3,'データ'!$A$7:$A$123,0))),0)</f>
        <v>0.14911990744566564</v>
      </c>
      <c r="O27" s="29">
        <f>IFERROR(INDEX('データ'!M$759:M$875,MATCH($L27&amp;"|"&amp;$C$3,'データ'!$A$7:$A$123,0))/SUM(INDEX('データ'!K$759:K$875,MATCH($L27&amp;"|"&amp;$C$3,'データ'!$A$7:$A$123,0)),INDEX('データ'!L$759:L$875,MATCH($L27&amp;"|"&amp;$C$3,'データ'!$A$7:$A$123,0)),INDEX('データ'!M$759:M$875,MATCH($L27&amp;"|"&amp;$C$3,'データ'!$A$7:$A$123,0)),INDEX('データ'!N$759:N$875,MATCH($L27&amp;"|"&amp;$C$3,'データ'!$A$7:$A$123,0)),INDEX('データ'!O$759:O$875,MATCH($L27&amp;"|"&amp;$C$3,'データ'!$A$7:$A$123,0)),INDEX('データ'!P$759:P$875,MATCH($L27&amp;"|"&amp;$C$3,'データ'!$A$7:$A$123,0))),0)</f>
        <v>0.053962482439467815</v>
      </c>
      <c r="P27" s="29">
        <f>IFERROR(INDEX('データ'!N$759:N$875,MATCH($L27&amp;"|"&amp;$C$3,'データ'!$A$7:$A$123,0))/SUM(INDEX('データ'!K$759:K$875,MATCH($L27&amp;"|"&amp;$C$3,'データ'!$A$7:$A$123,0)),INDEX('データ'!L$759:L$875,MATCH($L27&amp;"|"&amp;$C$3,'データ'!$A$7:$A$123,0)),INDEX('データ'!M$759:M$875,MATCH($L27&amp;"|"&amp;$C$3,'データ'!$A$7:$A$123,0)),INDEX('データ'!N$759:N$875,MATCH($L27&amp;"|"&amp;$C$3,'データ'!$A$7:$A$123,0)),INDEX('データ'!O$759:O$875,MATCH($L27&amp;"|"&amp;$C$3,'データ'!$A$7:$A$123,0)),INDEX('データ'!P$759:P$875,MATCH($L27&amp;"|"&amp;$C$3,'データ'!$A$7:$A$123,0))),0)</f>
        <v>0.029749607470456987</v>
      </c>
      <c r="Q27" s="29">
        <f>IFERROR(INDEX('データ'!O$759:O$875,MATCH($L27&amp;"|"&amp;$C$3,'データ'!$A$7:$A$123,0))/SUM(INDEX('データ'!K$759:K$875,MATCH($L27&amp;"|"&amp;$C$3,'データ'!$A$7:$A$123,0)),INDEX('データ'!L$759:L$875,MATCH($L27&amp;"|"&amp;$C$3,'データ'!$A$7:$A$123,0)),INDEX('データ'!M$759:M$875,MATCH($L27&amp;"|"&amp;$C$3,'データ'!$A$7:$A$123,0)),INDEX('データ'!N$759:N$875,MATCH($L27&amp;"|"&amp;$C$3,'データ'!$A$7:$A$123,0)),INDEX('データ'!O$759:O$875,MATCH($L27&amp;"|"&amp;$C$3,'データ'!$A$7:$A$123,0)),INDEX('データ'!P$759:P$875,MATCH($L27&amp;"|"&amp;$C$3,'データ'!$A$7:$A$123,0))),0)</f>
        <v>0.0021072638624907033</v>
      </c>
      <c r="R27" s="29">
        <f>IFERROR(INDEX('データ'!P$759:P$875,MATCH($L27&amp;"|"&amp;$C$3,'データ'!$A$7:$A$123,0))/SUM(INDEX('データ'!K$759:K$875,MATCH($L27&amp;"|"&amp;$C$3,'データ'!$A$7:$A$123,0)),INDEX('データ'!L$759:L$875,MATCH($L27&amp;"|"&amp;$C$3,'データ'!$A$7:$A$123,0)),INDEX('データ'!M$759:M$875,MATCH($L27&amp;"|"&amp;$C$3,'データ'!$A$7:$A$123,0)),INDEX('データ'!N$759:N$875,MATCH($L27&amp;"|"&amp;$C$3,'データ'!$A$7:$A$123,0)),INDEX('データ'!O$759:O$875,MATCH($L27&amp;"|"&amp;$C$3,'データ'!$A$7:$A$123,0)),INDEX('データ'!P$759:P$875,MATCH($L27&amp;"|"&amp;$C$3,'データ'!$A$7:$A$123,0))),0)</f>
        <v>0.0003925295430129741</v>
      </c>
    </row>
    <row r="28" spans="2:18" x14ac:dyDescent="0.25">
      <c r="L28" s="44" t="s">
        <v>176</v>
      </c>
      <c r="M28" s="29">
        <f>IFERROR(INDEX('データ'!K$759:K$875,MATCH($L28&amp;"|"&amp;$C$3,'データ'!$A$7:$A$123,0))/SUM(INDEX('データ'!K$759:K$875,MATCH($L28&amp;"|"&amp;$C$3,'データ'!$A$7:$A$123,0)),INDEX('データ'!L$759:L$875,MATCH($L28&amp;"|"&amp;$C$3,'データ'!$A$7:$A$123,0)),INDEX('データ'!M$759:M$875,MATCH($L28&amp;"|"&amp;$C$3,'データ'!$A$7:$A$123,0)),INDEX('データ'!N$759:N$875,MATCH($L28&amp;"|"&amp;$C$3,'データ'!$A$7:$A$123,0)),INDEX('データ'!O$759:O$875,MATCH($L28&amp;"|"&amp;$C$3,'データ'!$A$7:$A$123,0)),INDEX('データ'!P$759:P$875,MATCH($L28&amp;"|"&amp;$C$3,'データ'!$A$7:$A$123,0))),0)</f>
        <v>0.8554239418166261</v>
      </c>
      <c r="N28" s="29">
        <f>IFERROR(INDEX('データ'!L$759:L$875,MATCH($L28&amp;"|"&amp;$C$3,'データ'!$A$7:$A$123,0))/SUM(INDEX('データ'!K$759:K$875,MATCH($L28&amp;"|"&amp;$C$3,'データ'!$A$7:$A$123,0)),INDEX('データ'!L$759:L$875,MATCH($L28&amp;"|"&amp;$C$3,'データ'!$A$7:$A$123,0)),INDEX('データ'!M$759:M$875,MATCH($L28&amp;"|"&amp;$C$3,'データ'!$A$7:$A$123,0)),INDEX('データ'!N$759:N$875,MATCH($L28&amp;"|"&amp;$C$3,'データ'!$A$7:$A$123,0)),INDEX('データ'!O$759:O$875,MATCH($L28&amp;"|"&amp;$C$3,'データ'!$A$7:$A$123,0)),INDEX('データ'!P$759:P$875,MATCH($L28&amp;"|"&amp;$C$3,'データ'!$A$7:$A$123,0))),0)</f>
        <v>0.08559052381079708</v>
      </c>
      <c r="O28" s="29">
        <f>IFERROR(INDEX('データ'!M$759:M$875,MATCH($L28&amp;"|"&amp;$C$3,'データ'!$A$7:$A$123,0))/SUM(INDEX('データ'!K$759:K$875,MATCH($L28&amp;"|"&amp;$C$3,'データ'!$A$7:$A$123,0)),INDEX('データ'!L$759:L$875,MATCH($L28&amp;"|"&amp;$C$3,'データ'!$A$7:$A$123,0)),INDEX('データ'!M$759:M$875,MATCH($L28&amp;"|"&amp;$C$3,'データ'!$A$7:$A$123,0)),INDEX('データ'!N$759:N$875,MATCH($L28&amp;"|"&amp;$C$3,'データ'!$A$7:$A$123,0)),INDEX('データ'!O$759:O$875,MATCH($L28&amp;"|"&amp;$C$3,'データ'!$A$7:$A$123,0)),INDEX('データ'!P$759:P$875,MATCH($L28&amp;"|"&amp;$C$3,'データ'!$A$7:$A$123,0))),0)</f>
        <v>0.031979464691569294</v>
      </c>
      <c r="P28" s="29">
        <f>IFERROR(INDEX('データ'!N$759:N$875,MATCH($L28&amp;"|"&amp;$C$3,'データ'!$A$7:$A$123,0))/SUM(INDEX('データ'!K$759:K$875,MATCH($L28&amp;"|"&amp;$C$3,'データ'!$A$7:$A$123,0)),INDEX('データ'!L$759:L$875,MATCH($L28&amp;"|"&amp;$C$3,'データ'!$A$7:$A$123,0)),INDEX('データ'!M$759:M$875,MATCH($L28&amp;"|"&amp;$C$3,'データ'!$A$7:$A$123,0)),INDEX('データ'!N$759:N$875,MATCH($L28&amp;"|"&amp;$C$3,'データ'!$A$7:$A$123,0)),INDEX('データ'!O$759:O$875,MATCH($L28&amp;"|"&amp;$C$3,'データ'!$A$7:$A$123,0)),INDEX('データ'!P$759:P$875,MATCH($L28&amp;"|"&amp;$C$3,'データ'!$A$7:$A$123,0))),0)</f>
        <v>0.021417684964838632</v>
      </c>
      <c r="Q28" s="29">
        <f>IFERROR(INDEX('データ'!O$759:O$875,MATCH($L28&amp;"|"&amp;$C$3,'データ'!$A$7:$A$123,0))/SUM(INDEX('データ'!K$759:K$875,MATCH($L28&amp;"|"&amp;$C$3,'データ'!$A$7:$A$123,0)),INDEX('データ'!L$759:L$875,MATCH($L28&amp;"|"&amp;$C$3,'データ'!$A$7:$A$123,0)),INDEX('データ'!M$759:M$875,MATCH($L28&amp;"|"&amp;$C$3,'データ'!$A$7:$A$123,0)),INDEX('データ'!N$759:N$875,MATCH($L28&amp;"|"&amp;$C$3,'データ'!$A$7:$A$123,0)),INDEX('データ'!O$759:O$875,MATCH($L28&amp;"|"&amp;$C$3,'データ'!$A$7:$A$123,0)),INDEX('データ'!P$759:P$875,MATCH($L28&amp;"|"&amp;$C$3,'データ'!$A$7:$A$123,0))),0)</f>
        <v>0.00398406374501992</v>
      </c>
      <c r="R28" s="29">
        <f>IFERROR(INDEX('データ'!P$759:P$875,MATCH($L28&amp;"|"&amp;$C$3,'データ'!$A$7:$A$123,0))/SUM(INDEX('データ'!K$759:K$875,MATCH($L28&amp;"|"&amp;$C$3,'データ'!$A$7:$A$123,0)),INDEX('データ'!L$759:L$875,MATCH($L28&amp;"|"&amp;$C$3,'データ'!$A$7:$A$123,0)),INDEX('データ'!M$759:M$875,MATCH($L28&amp;"|"&amp;$C$3,'データ'!$A$7:$A$123,0)),INDEX('データ'!N$759:N$875,MATCH($L28&amp;"|"&amp;$C$3,'データ'!$A$7:$A$123,0)),INDEX('データ'!O$759:O$875,MATCH($L28&amp;"|"&amp;$C$3,'データ'!$A$7:$A$123,0)),INDEX('データ'!P$759:P$875,MATCH($L28&amp;"|"&amp;$C$3,'データ'!$A$7:$A$123,0))),0)</f>
        <v>0.0016043209711489612</v>
      </c>
    </row>
    <row r="29" spans="2:18" x14ac:dyDescent="0.25">
      <c r="L29" s="44" t="s">
        <v>190</v>
      </c>
      <c r="M29" s="29">
        <f>IFERROR(INDEX('データ'!K$759:K$875,MATCH($L29&amp;"|"&amp;$C$3,'データ'!$A$7:$A$123,0))/SUM(INDEX('データ'!K$759:K$875,MATCH($L29&amp;"|"&amp;$C$3,'データ'!$A$7:$A$123,0)),INDEX('データ'!L$759:L$875,MATCH($L29&amp;"|"&amp;$C$3,'データ'!$A$7:$A$123,0)),INDEX('データ'!M$759:M$875,MATCH($L29&amp;"|"&amp;$C$3,'データ'!$A$7:$A$123,0)),INDEX('データ'!N$759:N$875,MATCH($L29&amp;"|"&amp;$C$3,'データ'!$A$7:$A$123,0)),INDEX('データ'!O$759:O$875,MATCH($L29&amp;"|"&amp;$C$3,'データ'!$A$7:$A$123,0)),INDEX('データ'!P$759:P$875,MATCH($L29&amp;"|"&amp;$C$3,'データ'!$A$7:$A$123,0))),0)</f>
        <v>0.6436106621268781</v>
      </c>
      <c r="N29" s="29">
        <f>IFERROR(INDEX('データ'!L$759:L$875,MATCH($L29&amp;"|"&amp;$C$3,'データ'!$A$7:$A$123,0))/SUM(INDEX('データ'!K$759:K$875,MATCH($L29&amp;"|"&amp;$C$3,'データ'!$A$7:$A$123,0)),INDEX('データ'!L$759:L$875,MATCH($L29&amp;"|"&amp;$C$3,'データ'!$A$7:$A$123,0)),INDEX('データ'!M$759:M$875,MATCH($L29&amp;"|"&amp;$C$3,'データ'!$A$7:$A$123,0)),INDEX('データ'!N$759:N$875,MATCH($L29&amp;"|"&amp;$C$3,'データ'!$A$7:$A$123,0)),INDEX('データ'!O$759:O$875,MATCH($L29&amp;"|"&amp;$C$3,'データ'!$A$7:$A$123,0)),INDEX('データ'!P$759:P$875,MATCH($L29&amp;"|"&amp;$C$3,'データ'!$A$7:$A$123,0))),0)</f>
        <v>0.16991688743938713</v>
      </c>
      <c r="O29" s="29">
        <f>IFERROR(INDEX('データ'!M$759:M$875,MATCH($L29&amp;"|"&amp;$C$3,'データ'!$A$7:$A$123,0))/SUM(INDEX('データ'!K$759:K$875,MATCH($L29&amp;"|"&amp;$C$3,'データ'!$A$7:$A$123,0)),INDEX('データ'!L$759:L$875,MATCH($L29&amp;"|"&amp;$C$3,'データ'!$A$7:$A$123,0)),INDEX('データ'!M$759:M$875,MATCH($L29&amp;"|"&amp;$C$3,'データ'!$A$7:$A$123,0)),INDEX('データ'!N$759:N$875,MATCH($L29&amp;"|"&amp;$C$3,'データ'!$A$7:$A$123,0)),INDEX('データ'!O$759:O$875,MATCH($L29&amp;"|"&amp;$C$3,'データ'!$A$7:$A$123,0)),INDEX('データ'!P$759:P$875,MATCH($L29&amp;"|"&amp;$C$3,'データ'!$A$7:$A$123,0))),0)</f>
        <v>0.08887974980154366</v>
      </c>
      <c r="P29" s="29">
        <f>IFERROR(INDEX('データ'!N$759:N$875,MATCH($L29&amp;"|"&amp;$C$3,'データ'!$A$7:$A$123,0))/SUM(INDEX('データ'!K$759:K$875,MATCH($L29&amp;"|"&amp;$C$3,'データ'!$A$7:$A$123,0)),INDEX('データ'!L$759:L$875,MATCH($L29&amp;"|"&amp;$C$3,'データ'!$A$7:$A$123,0)),INDEX('データ'!M$759:M$875,MATCH($L29&amp;"|"&amp;$C$3,'データ'!$A$7:$A$123,0)),INDEX('データ'!N$759:N$875,MATCH($L29&amp;"|"&amp;$C$3,'データ'!$A$7:$A$123,0)),INDEX('データ'!O$759:O$875,MATCH($L29&amp;"|"&amp;$C$3,'データ'!$A$7:$A$123,0)),INDEX('データ'!P$759:P$875,MATCH($L29&amp;"|"&amp;$C$3,'データ'!$A$7:$A$123,0))),0)</f>
        <v>0.08357164034928316</v>
      </c>
      <c r="Q29" s="29">
        <f>IFERROR(INDEX('データ'!O$759:O$875,MATCH($L29&amp;"|"&amp;$C$3,'データ'!$A$7:$A$123,0))/SUM(INDEX('データ'!K$759:K$875,MATCH($L29&amp;"|"&amp;$C$3,'データ'!$A$7:$A$123,0)),INDEX('データ'!L$759:L$875,MATCH($L29&amp;"|"&amp;$C$3,'データ'!$A$7:$A$123,0)),INDEX('データ'!M$759:M$875,MATCH($L29&amp;"|"&amp;$C$3,'データ'!$A$7:$A$123,0)),INDEX('データ'!N$759:N$875,MATCH($L29&amp;"|"&amp;$C$3,'データ'!$A$7:$A$123,0)),INDEX('データ'!O$759:O$875,MATCH($L29&amp;"|"&amp;$C$3,'データ'!$A$7:$A$123,0)),INDEX('データ'!P$759:P$875,MATCH($L29&amp;"|"&amp;$C$3,'データ'!$A$7:$A$123,0))),0)</f>
        <v>0.011649148311447345</v>
      </c>
      <c r="R29" s="29">
        <f>IFERROR(INDEX('データ'!P$759:P$875,MATCH($L29&amp;"|"&amp;$C$3,'データ'!$A$7:$A$123,0))/SUM(INDEX('データ'!K$759:K$875,MATCH($L29&amp;"|"&amp;$C$3,'データ'!$A$7:$A$123,0)),INDEX('データ'!L$759:L$875,MATCH($L29&amp;"|"&amp;$C$3,'データ'!$A$7:$A$123,0)),INDEX('データ'!M$759:M$875,MATCH($L29&amp;"|"&amp;$C$3,'データ'!$A$7:$A$123,0)),INDEX('データ'!N$759:N$875,MATCH($L29&amp;"|"&amp;$C$3,'データ'!$A$7:$A$123,0)),INDEX('データ'!O$759:O$875,MATCH($L29&amp;"|"&amp;$C$3,'データ'!$A$7:$A$123,0)),INDEX('データ'!P$759:P$875,MATCH($L29&amp;"|"&amp;$C$3,'データ'!$A$7:$A$123,0))),0)</f>
        <v>0.002371911971460543</v>
      </c>
    </row>
    <row r="52" spans="2:2" x14ac:dyDescent="0.25">
      <c r="B52" s="11" t="s">
        <v>454</v>
      </c>
    </row>
  </sheetData>
  <mergeCells count="1">
    <mergeCell ref="B1:T1"/>
  </mergeCells>
  <conditionalFormatting sqref="D7:D15">
    <cfRule type="dataBar" priority="1">
      <dataBar>
        <cfvo type="num" val="0"/>
        <cfvo type="max"/>
        <color rgb="FF9DB9D5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E7:F15">
    <cfRule type="colorScale" priority="2">
      <colorScale>
        <cfvo type="min" val="0"/>
        <cfvo type="percentile" val="50"/>
        <cfvo type="max" val="0"/>
        <color rgb="FFF6EAD3"/>
        <color rgb="FFFFFFFF"/>
        <color rgb="FFBFD3E6"/>
      </colorScale>
    </cfRule>
  </conditionalFormatting>
  <conditionalFormatting sqref="G7:H15">
    <cfRule type="dataBar" priority="3">
      <dataBar>
        <cfvo type="num" val="0"/>
        <cfvo type="max"/>
        <color rgb="FF9DB9D5"/>
      </dataBar>
      <extLst>
        <ext xmlns:x14="http://schemas.microsoft.com/office/spreadsheetml/2009/9/main" uri="{B025F937-C7B1-47D3-B67F-A62EFF666E3E}">
          <x14:id>{DA7ABA51-AAAA-BBBB-0007-000000000002}</x14:id>
        </ext>
      </extLst>
    </cfRule>
  </conditionalFormatting>
  <conditionalFormatting sqref="M21:R29">
    <cfRule type="colorScale" priority="4">
      <colorScale>
        <cfvo type="min" val="0"/>
        <cfvo type="max" val="0"/>
        <color rgb="FFFFFFFF"/>
        <color rgb="FF7FA3C9"/>
      </colorScale>
    </cfRule>
  </conditionalFormatting>
  <dataValidations count="1">
    <dataValidation type="list" allowBlank="1" showInputMessage="1" showErrorMessage="1" errorTitle="入力エラー" error="リストから選択してください。" sqref="C3">
      <formula1>'計算'!$A$200:$A$212</formula1>
    </dataValidation>
  </dataValidations>
  <pageMargins left="0.7" right="0.7" top="0.75" bottom="0.75" header="0.3" footer="0.3"/>
  <pageSetup paperSize="9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autoMax"/>
              <x14:borderColor rgb="FF9DB9D5"/>
              <x14:negativeFillColor rgb="FFFF0000"/>
              <x14:negativeBorderColor rgb="FFFF0000"/>
              <x14:axisColor rgb="FF000000"/>
            </x14:dataBar>
          </x14:cfRule>
          <xm:sqref>D7:D15</xm:sqref>
        </x14:conditionalFormatting>
        <x14:conditionalFormatting xmlns:xm="http://schemas.microsoft.com/office/excel/2006/main">
          <x14:cfRule type="dataBar" id="{DA7ABA51-AAAA-BBBB-0007-000000000002}">
            <x14:dataBar minLength="0" maxLength="100" border="1" gradient="0" negativeBarBorderColorSameAsPositive="0">
              <x14:cfvo type="num">
                <xm:f>0</xm:f>
              </x14:cfvo>
              <x14:cfvo type="autoMax"/>
              <x14:borderColor rgb="FF9DB9D5"/>
              <x14:negativeFillColor rgb="FFFF0000"/>
              <x14:negativeBorderColor rgb="FFFF0000"/>
              <x14:axisColor rgb="FF000000"/>
            </x14:dataBar>
          </x14:cfRule>
          <xm:sqref>G7:H15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I43"/>
  <sheetViews>
    <sheetView showGridLines="0" workbookViewId="0">
      <pane xSplit="3" topLeftCell="D1" activePane="topRight" state="frozen"/>
      <selection pane="topRight"/>
    </sheetView>
  </sheetViews>
  <sheetFormatPr defaultRowHeight="15"/>
  <cols>
    <col min="1" max="1" width="2.7109375" hidden="1" customWidth="1"/>
    <col min="2" max="2" width="11.7109375" customWidth="1"/>
    <col min="3" max="3" width="13.7109375" customWidth="1"/>
    <col min="4" max="59" width="3" customWidth="1"/>
    <col min="60" max="60" width="2.7109375" customWidth="1"/>
    <col min="61" max="61" width="3.7109375" hidden="1" customWidth="1"/>
  </cols>
  <sheetData>
    <row r="1" spans="1:59" ht="34" customHeight="1">
      <c r="B1" s="1" t="s">
        <v>455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3" spans="1:59">
      <c r="A3">
        <f>MATCH($H$3,'計算'!$A$310:$A$313,0)</f>
        <v>1</v>
      </c>
      <c r="B3" s="8" t="s">
        <v>4</v>
      </c>
      <c r="C3" s="9" t="s">
        <v>65</v>
      </c>
      <c r="E3" s="8" t="s">
        <v>456</v>
      </c>
      <c r="F3" s="8"/>
      <c r="G3" s="8"/>
      <c r="H3" s="9" t="s">
        <v>387</v>
      </c>
      <c r="I3" s="9"/>
      <c r="J3" s="9"/>
      <c r="K3" s="9"/>
      <c r="L3" s="9"/>
      <c r="M3" s="9"/>
      <c r="N3" s="9"/>
      <c r="P3" s="11" t="s">
        <v>457</v>
      </c>
    </row>
    <row r="5" spans="1:59">
      <c r="B5" s="3" t="s">
        <v>458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9">
      <c r="B6" s="46" t="s">
        <v>207</v>
      </c>
      <c r="C6" s="46"/>
      <c r="D6" s="46" t="s">
        <v>459</v>
      </c>
      <c r="E6" s="46"/>
      <c r="F6" s="46"/>
      <c r="G6" s="46"/>
      <c r="H6" s="46" t="s">
        <v>460</v>
      </c>
      <c r="I6" s="46"/>
      <c r="J6" s="46"/>
      <c r="K6" s="46"/>
      <c r="L6" s="46" t="s">
        <v>461</v>
      </c>
      <c r="M6" s="46"/>
      <c r="N6" s="46"/>
      <c r="O6" s="46"/>
      <c r="P6" s="46" t="s">
        <v>462</v>
      </c>
      <c r="Q6" s="46"/>
      <c r="R6" s="46"/>
      <c r="S6" s="46"/>
      <c r="T6" s="46" t="s">
        <v>463</v>
      </c>
      <c r="U6" s="46"/>
      <c r="V6" s="46"/>
      <c r="W6" s="46"/>
      <c r="X6" s="46" t="s">
        <v>464</v>
      </c>
      <c r="Y6" s="46"/>
      <c r="Z6" s="46"/>
      <c r="AA6" s="46"/>
      <c r="AB6" s="46" t="s">
        <v>465</v>
      </c>
      <c r="AC6" s="46"/>
      <c r="AD6" s="46"/>
      <c r="AE6" s="46"/>
      <c r="AF6" s="46" t="s">
        <v>466</v>
      </c>
      <c r="AG6" s="46"/>
      <c r="AH6" s="46"/>
      <c r="AI6" s="46"/>
      <c r="AJ6" s="46" t="s">
        <v>467</v>
      </c>
      <c r="AK6" s="46"/>
      <c r="AL6" s="46"/>
      <c r="AM6" s="46"/>
      <c r="AN6" s="46" t="s">
        <v>468</v>
      </c>
      <c r="AO6" s="46"/>
      <c r="AP6" s="46"/>
      <c r="AQ6" s="46"/>
      <c r="AR6" s="46" t="s">
        <v>469</v>
      </c>
      <c r="AS6" s="46"/>
      <c r="AT6" s="46"/>
      <c r="AU6" s="46"/>
      <c r="AV6" s="46" t="s">
        <v>470</v>
      </c>
      <c r="AW6" s="46"/>
      <c r="AX6" s="46"/>
      <c r="AY6" s="46"/>
      <c r="AZ6" s="46" t="s">
        <v>471</v>
      </c>
      <c r="BA6" s="46"/>
      <c r="BB6" s="46"/>
      <c r="BC6" s="46"/>
      <c r="BD6" s="46" t="s">
        <v>472</v>
      </c>
      <c r="BE6" s="46"/>
      <c r="BF6" s="46"/>
      <c r="BG6" s="46"/>
    </row>
    <row r="7" spans="1:59" ht="22" customHeight="1">
      <c r="B7" s="44" t="s">
        <v>5</v>
      </c>
      <c r="C7" s="47">
        <f>MATCH($C$3&amp;"|"&amp;$B7,'データ'!$A$491:$A$553,0)</f>
        <v>1</v>
      </c>
      <c r="D7" s="48">
        <f>IFERROR(CHOOSE($A$3,INDEX('データ'!D$491:D$553,$C7),INDEX('データ'!D$558:D$620,$C7),INDEX('データ'!D$625:D$687,$C7),INDEX('データ'!D$692:D$754,$C7)),0)</f>
        <v>0.0</v>
      </c>
      <c r="E7" s="48">
        <f>IFERROR(CHOOSE($A$3,INDEX('データ'!E$491:E$553,$C7),INDEX('データ'!E$558:E$620,$C7),INDEX('データ'!E$625:E$687,$C7),INDEX('データ'!E$692:E$754,$C7)),0)</f>
        <v>0.0</v>
      </c>
      <c r="F7" s="48">
        <f>IFERROR(CHOOSE($A$3,INDEX('データ'!F$491:F$553,$C7),INDEX('データ'!F$558:F$620,$C7),INDEX('データ'!F$625:F$687,$C7),INDEX('データ'!F$692:F$754,$C7)),0)</f>
        <v>0.0</v>
      </c>
      <c r="G7" s="48">
        <f>IFERROR(CHOOSE($A$3,INDEX('データ'!G$491:G$553,$C7),INDEX('データ'!G$558:G$620,$C7),INDEX('データ'!G$625:G$687,$C7),INDEX('データ'!G$692:G$754,$C7)),0)</f>
        <v>43.0</v>
      </c>
      <c r="H7" s="48">
        <f>IFERROR(CHOOSE($A$3,INDEX('データ'!H$491:H$553,$C7),INDEX('データ'!H$558:H$620,$C7),INDEX('データ'!H$625:H$687,$C7),INDEX('データ'!H$692:H$754,$C7)),0)</f>
        <v>314.0</v>
      </c>
      <c r="I7" s="48">
        <f>IFERROR(CHOOSE($A$3,INDEX('データ'!I$491:I$553,$C7),INDEX('データ'!I$558:I$620,$C7),INDEX('データ'!I$625:I$687,$C7),INDEX('データ'!I$692:I$754,$C7)),0)</f>
        <v>1645.0</v>
      </c>
      <c r="J7" s="48">
        <f>IFERROR(CHOOSE($A$3,INDEX('データ'!J$491:J$553,$C7),INDEX('データ'!J$558:J$620,$C7),INDEX('データ'!J$625:J$687,$C7),INDEX('データ'!J$692:J$754,$C7)),0)</f>
        <v>3375.0</v>
      </c>
      <c r="K7" s="48">
        <f>IFERROR(CHOOSE($A$3,INDEX('データ'!K$491:K$553,$C7),INDEX('データ'!K$558:K$620,$C7),INDEX('データ'!K$625:K$687,$C7),INDEX('データ'!K$692:K$754,$C7)),0)</f>
        <v>3651.0</v>
      </c>
      <c r="L7" s="48">
        <f>IFERROR(CHOOSE($A$3,INDEX('データ'!L$491:L$553,$C7),INDEX('データ'!L$558:L$620,$C7),INDEX('データ'!L$625:L$687,$C7),INDEX('データ'!L$692:L$754,$C7)),0)</f>
        <v>4070.0</v>
      </c>
      <c r="M7" s="48">
        <f>IFERROR(CHOOSE($A$3,INDEX('データ'!M$491:M$553,$C7),INDEX('データ'!M$558:M$620,$C7),INDEX('データ'!M$625:M$687,$C7),INDEX('データ'!M$692:M$754,$C7)),0)</f>
        <v>4388.0</v>
      </c>
      <c r="N7" s="48">
        <f>IFERROR(CHOOSE($A$3,INDEX('データ'!N$491:N$553,$C7),INDEX('データ'!N$558:N$620,$C7),INDEX('データ'!N$625:N$687,$C7),INDEX('データ'!N$692:N$754,$C7)),0)</f>
        <v>4651.0</v>
      </c>
      <c r="O7" s="48">
        <f>IFERROR(CHOOSE($A$3,INDEX('データ'!O$491:O$553,$C7),INDEX('データ'!O$558:O$620,$C7),INDEX('データ'!O$625:O$687,$C7),INDEX('データ'!O$692:O$754,$C7)),0)</f>
        <v>5014.0</v>
      </c>
      <c r="P7" s="48">
        <f>IFERROR(CHOOSE($A$3,INDEX('データ'!P$491:P$553,$C7),INDEX('データ'!P$558:P$620,$C7),INDEX('データ'!P$625:P$687,$C7),INDEX('データ'!P$692:P$754,$C7)),0)</f>
        <v>5180.0</v>
      </c>
      <c r="Q7" s="48">
        <f>IFERROR(CHOOSE($A$3,INDEX('データ'!Q$491:Q$553,$C7),INDEX('データ'!Q$558:Q$620,$C7),INDEX('データ'!Q$625:Q$687,$C7),INDEX('データ'!Q$692:Q$754,$C7)),0)</f>
        <v>5358.0</v>
      </c>
      <c r="R7" s="48">
        <f>IFERROR(CHOOSE($A$3,INDEX('データ'!R$491:R$553,$C7),INDEX('データ'!R$558:R$620,$C7),INDEX('データ'!R$625:R$687,$C7),INDEX('データ'!R$692:R$754,$C7)),0)</f>
        <v>5364.0</v>
      </c>
      <c r="S7" s="48">
        <f>IFERROR(CHOOSE($A$3,INDEX('データ'!S$491:S$553,$C7),INDEX('データ'!S$558:S$620,$C7),INDEX('データ'!S$625:S$687,$C7),INDEX('データ'!S$692:S$754,$C7)),0)</f>
        <v>5315.0</v>
      </c>
      <c r="T7" s="48">
        <f>IFERROR(CHOOSE($A$3,INDEX('データ'!T$491:T$553,$C7),INDEX('データ'!T$558:T$620,$C7),INDEX('データ'!T$625:T$687,$C7),INDEX('データ'!T$692:T$754,$C7)),0)</f>
        <v>5315.0</v>
      </c>
      <c r="U7" s="48">
        <f>IFERROR(CHOOSE($A$3,INDEX('データ'!U$491:U$553,$C7),INDEX('データ'!U$558:U$620,$C7),INDEX('データ'!U$625:U$687,$C7),INDEX('データ'!U$692:U$754,$C7)),0)</f>
        <v>5151.0</v>
      </c>
      <c r="V7" s="48">
        <f>IFERROR(CHOOSE($A$3,INDEX('データ'!V$491:V$553,$C7),INDEX('データ'!V$558:V$620,$C7),INDEX('データ'!V$625:V$687,$C7),INDEX('データ'!V$692:V$754,$C7)),0)</f>
        <v>4651.0</v>
      </c>
      <c r="W7" s="48">
        <f>IFERROR(CHOOSE($A$3,INDEX('データ'!W$491:W$553,$C7),INDEX('データ'!W$558:W$620,$C7),INDEX('データ'!W$625:W$687,$C7),INDEX('データ'!W$692:W$754,$C7)),0)</f>
        <v>4340.0</v>
      </c>
      <c r="X7" s="48">
        <f>IFERROR(CHOOSE($A$3,INDEX('データ'!X$491:X$553,$C7),INDEX('データ'!X$558:X$620,$C7),INDEX('データ'!X$625:X$687,$C7),INDEX('データ'!X$692:X$754,$C7)),0)</f>
        <v>4053.0</v>
      </c>
      <c r="Y7" s="48">
        <f>IFERROR(CHOOSE($A$3,INDEX('データ'!Y$491:Y$553,$C7),INDEX('データ'!Y$558:Y$620,$C7),INDEX('データ'!Y$625:Y$687,$C7),INDEX('データ'!Y$692:Y$754,$C7)),0)</f>
        <v>3956.0</v>
      </c>
      <c r="Z7" s="48">
        <f>IFERROR(CHOOSE($A$3,INDEX('データ'!Z$491:Z$553,$C7),INDEX('データ'!Z$558:Z$620,$C7),INDEX('データ'!Z$625:Z$687,$C7),INDEX('データ'!Z$692:Z$754,$C7)),0)</f>
        <v>3912.0</v>
      </c>
      <c r="AA7" s="48">
        <f>IFERROR(CHOOSE($A$3,INDEX('データ'!AA$491:AA$553,$C7),INDEX('データ'!AA$558:AA$620,$C7),INDEX('データ'!AA$625:AA$687,$C7),INDEX('データ'!AA$692:AA$754,$C7)),0)</f>
        <v>3861.0</v>
      </c>
      <c r="AB7" s="48">
        <f>IFERROR(CHOOSE($A$3,INDEX('データ'!AB$491:AB$553,$C7),INDEX('データ'!AB$558:AB$620,$C7),INDEX('データ'!AB$625:AB$687,$C7),INDEX('データ'!AB$692:AB$754,$C7)),0)</f>
        <v>4098.0</v>
      </c>
      <c r="AC7" s="48">
        <f>IFERROR(CHOOSE($A$3,INDEX('データ'!AC$491:AC$553,$C7),INDEX('データ'!AC$558:AC$620,$C7),INDEX('データ'!AC$625:AC$687,$C7),INDEX('データ'!AC$692:AC$754,$C7)),0)</f>
        <v>4396.0</v>
      </c>
      <c r="AD7" s="48">
        <f>IFERROR(CHOOSE($A$3,INDEX('データ'!AD$491:AD$553,$C7),INDEX('データ'!AD$558:AD$620,$C7),INDEX('データ'!AD$625:AD$687,$C7),INDEX('データ'!AD$692:AD$754,$C7)),0)</f>
        <v>4585.0</v>
      </c>
      <c r="AE7" s="48">
        <f>IFERROR(CHOOSE($A$3,INDEX('データ'!AE$491:AE$553,$C7),INDEX('データ'!AE$558:AE$620,$C7),INDEX('データ'!AE$625:AE$687,$C7),INDEX('データ'!AE$692:AE$754,$C7)),0)</f>
        <v>4738.0</v>
      </c>
      <c r="AF7" s="48">
        <f>IFERROR(CHOOSE($A$3,INDEX('データ'!AF$491:AF$553,$C7),INDEX('データ'!AF$558:AF$620,$C7),INDEX('データ'!AF$625:AF$687,$C7),INDEX('データ'!AF$692:AF$754,$C7)),0)</f>
        <v>4644.0</v>
      </c>
      <c r="AG7" s="48">
        <f>IFERROR(CHOOSE($A$3,INDEX('データ'!AG$491:AG$553,$C7),INDEX('データ'!AG$558:AG$620,$C7),INDEX('データ'!AG$625:AG$687,$C7),INDEX('データ'!AG$692:AG$754,$C7)),0)</f>
        <v>4648.0</v>
      </c>
      <c r="AH7" s="48">
        <f>IFERROR(CHOOSE($A$3,INDEX('データ'!AH$491:AH$553,$C7),INDEX('データ'!AH$558:AH$620,$C7),INDEX('データ'!AH$625:AH$687,$C7),INDEX('データ'!AH$692:AH$754,$C7)),0)</f>
        <v>4449.0</v>
      </c>
      <c r="AI7" s="48">
        <f>IFERROR(CHOOSE($A$3,INDEX('データ'!AI$491:AI$553,$C7),INDEX('データ'!AI$558:AI$620,$C7),INDEX('データ'!AI$625:AI$687,$C7),INDEX('データ'!AI$692:AI$754,$C7)),0)</f>
        <v>4363.0</v>
      </c>
      <c r="AJ7" s="48">
        <f>IFERROR(CHOOSE($A$3,INDEX('データ'!AJ$491:AJ$553,$C7),INDEX('データ'!AJ$558:AJ$620,$C7),INDEX('データ'!AJ$625:AJ$687,$C7),INDEX('データ'!AJ$692:AJ$754,$C7)),0)</f>
        <v>4279.0</v>
      </c>
      <c r="AK7" s="48">
        <f>IFERROR(CHOOSE($A$3,INDEX('データ'!AK$491:AK$553,$C7),INDEX('データ'!AK$558:AK$620,$C7),INDEX('データ'!AK$625:AK$687,$C7),INDEX('データ'!AK$692:AK$754,$C7)),0)</f>
        <v>4086.0</v>
      </c>
      <c r="AL7" s="48">
        <f>IFERROR(CHOOSE($A$3,INDEX('データ'!AL$491:AL$553,$C7),INDEX('データ'!AL$558:AL$620,$C7),INDEX('データ'!AL$625:AL$687,$C7),INDEX('データ'!AL$692:AL$754,$C7)),0)</f>
        <v>4051.0</v>
      </c>
      <c r="AM7" s="48">
        <f>IFERROR(CHOOSE($A$3,INDEX('データ'!AM$491:AM$553,$C7),INDEX('データ'!AM$558:AM$620,$C7),INDEX('データ'!AM$625:AM$687,$C7),INDEX('データ'!AM$692:AM$754,$C7)),0)</f>
        <v>3915.0</v>
      </c>
      <c r="AN7" s="48">
        <f>IFERROR(CHOOSE($A$3,INDEX('データ'!AN$491:AN$553,$C7),INDEX('データ'!AN$558:AN$620,$C7),INDEX('データ'!AN$625:AN$687,$C7),INDEX('データ'!AN$692:AN$754,$C7)),0)</f>
        <v>3831.0</v>
      </c>
      <c r="AO7" s="48">
        <f>IFERROR(CHOOSE($A$3,INDEX('データ'!AO$491:AO$553,$C7),INDEX('データ'!AO$558:AO$620,$C7),INDEX('データ'!AO$625:AO$687,$C7),INDEX('データ'!AO$692:AO$754,$C7)),0)</f>
        <v>3812.0</v>
      </c>
      <c r="AP7" s="48">
        <f>IFERROR(CHOOSE($A$3,INDEX('データ'!AP$491:AP$553,$C7),INDEX('データ'!AP$558:AP$620,$C7),INDEX('データ'!AP$625:AP$687,$C7),INDEX('データ'!AP$692:AP$754,$C7)),0)</f>
        <v>3524.0</v>
      </c>
      <c r="AQ7" s="48">
        <f>IFERROR(CHOOSE($A$3,INDEX('データ'!AQ$491:AQ$553,$C7),INDEX('データ'!AQ$558:AQ$620,$C7),INDEX('データ'!AQ$625:AQ$687,$C7),INDEX('データ'!AQ$692:AQ$754,$C7)),0)</f>
        <v>2601.0</v>
      </c>
      <c r="AR7" s="48">
        <f>IFERROR(CHOOSE($A$3,INDEX('データ'!AR$491:AR$553,$C7),INDEX('データ'!AR$558:AR$620,$C7),INDEX('データ'!AR$625:AR$687,$C7),INDEX('データ'!AR$692:AR$754,$C7)),0)</f>
        <v>1421.0</v>
      </c>
      <c r="AS7" s="48">
        <f>IFERROR(CHOOSE($A$3,INDEX('データ'!AS$491:AS$553,$C7),INDEX('データ'!AS$558:AS$620,$C7),INDEX('データ'!AS$625:AS$687,$C7),INDEX('データ'!AS$692:AS$754,$C7)),0)</f>
        <v>314.0</v>
      </c>
      <c r="AT7" s="48">
        <f>IFERROR(CHOOSE($A$3,INDEX('データ'!AT$491:AT$553,$C7),INDEX('データ'!AT$558:AT$620,$C7),INDEX('データ'!AT$625:AT$687,$C7),INDEX('データ'!AT$692:AT$754,$C7)),0)</f>
        <v>75.0</v>
      </c>
      <c r="AU7" s="48">
        <f>IFERROR(CHOOSE($A$3,INDEX('データ'!AU$491:AU$553,$C7),INDEX('データ'!AU$558:AU$620,$C7),INDEX('データ'!AU$625:AU$687,$C7),INDEX('データ'!AU$692:AU$754,$C7)),0)</f>
        <v>20.0</v>
      </c>
      <c r="AV7" s="48">
        <f>IFERROR(CHOOSE($A$3,INDEX('データ'!AV$491:AV$553,$C7),INDEX('データ'!AV$558:AV$620,$C7),INDEX('データ'!AV$625:AV$687,$C7),INDEX('データ'!AV$692:AV$754,$C7)),0)</f>
        <v>6.0</v>
      </c>
      <c r="AW7" s="48">
        <f>IFERROR(CHOOSE($A$3,INDEX('データ'!AW$491:AW$553,$C7),INDEX('データ'!AW$558:AW$620,$C7),INDEX('データ'!AW$625:AW$687,$C7),INDEX('データ'!AW$692:AW$754,$C7)),0)</f>
        <v>14.0</v>
      </c>
      <c r="AX7" s="48">
        <f>IFERROR(CHOOSE($A$3,INDEX('データ'!AX$491:AX$553,$C7),INDEX('データ'!AX$558:AX$620,$C7),INDEX('データ'!AX$625:AX$687,$C7),INDEX('データ'!AX$692:AX$754,$C7)),0)</f>
        <v>17.0</v>
      </c>
      <c r="AY7" s="48">
        <f>IFERROR(CHOOSE($A$3,INDEX('データ'!AY$491:AY$553,$C7),INDEX('データ'!AY$558:AY$620,$C7),INDEX('データ'!AY$625:AY$687,$C7),INDEX('データ'!AY$692:AY$754,$C7)),0)</f>
        <v>5.0</v>
      </c>
      <c r="AZ7" s="48">
        <f>IFERROR(CHOOSE($A$3,INDEX('データ'!AZ$491:AZ$553,$C7),INDEX('データ'!AZ$558:AZ$620,$C7),INDEX('データ'!AZ$625:AZ$687,$C7),INDEX('データ'!AZ$692:AZ$754,$C7)),0)</f>
        <v>3.0</v>
      </c>
      <c r="BA7" s="48">
        <f>IFERROR(CHOOSE($A$3,INDEX('データ'!BA$491:BA$553,$C7),INDEX('データ'!BA$558:BA$620,$C7),INDEX('データ'!BA$625:BA$687,$C7),INDEX('データ'!BA$692:BA$754,$C7)),0)</f>
        <v>3.0</v>
      </c>
      <c r="BB7" s="48">
        <f>IFERROR(CHOOSE($A$3,INDEX('データ'!BB$491:BB$553,$C7),INDEX('データ'!BB$558:BB$620,$C7),INDEX('データ'!BB$625:BB$687,$C7),INDEX('データ'!BB$692:BB$754,$C7)),0)</f>
        <v>0.0</v>
      </c>
      <c r="BC7" s="48">
        <f>IFERROR(CHOOSE($A$3,INDEX('データ'!BC$491:BC$553,$C7),INDEX('データ'!BC$558:BC$620,$C7),INDEX('データ'!BC$625:BC$687,$C7),INDEX('データ'!BC$692:BC$754,$C7)),0)</f>
        <v>0.0</v>
      </c>
      <c r="BD7" s="48">
        <f>IFERROR(CHOOSE($A$3,INDEX('データ'!BD$491:BD$553,$C7),INDEX('データ'!BD$558:BD$620,$C7),INDEX('データ'!BD$625:BD$687,$C7),INDEX('データ'!BD$692:BD$754,$C7)),0)</f>
        <v>0.0</v>
      </c>
      <c r="BE7" s="48">
        <f>IFERROR(CHOOSE($A$3,INDEX('データ'!BE$491:BE$553,$C7),INDEX('データ'!BE$558:BE$620,$C7),INDEX('データ'!BE$625:BE$687,$C7),INDEX('データ'!BE$692:BE$754,$C7)),0)</f>
        <v>0.0</v>
      </c>
      <c r="BF7" s="48">
        <f>IFERROR(CHOOSE($A$3,INDEX('データ'!BF$491:BF$553,$C7),INDEX('データ'!BF$558:BF$620,$C7),INDEX('データ'!BF$625:BF$687,$C7),INDEX('データ'!BF$692:BF$754,$C7)),0)</f>
        <v>0.0</v>
      </c>
      <c r="BG7" s="48">
        <f>IFERROR(CHOOSE($A$3,INDEX('データ'!BG$491:BG$553,$C7),INDEX('データ'!BG$558:BG$620,$C7),INDEX('データ'!BG$625:BG$687,$C7),INDEX('データ'!BG$692:BG$754,$C7)),0)</f>
        <v>0.0</v>
      </c>
    </row>
    <row r="8" spans="1:59" ht="22" customHeight="1">
      <c r="B8" s="44" t="s">
        <v>210</v>
      </c>
      <c r="C8" s="47">
        <f>MATCH($C$3&amp;"|"&amp;$B8,'データ'!$A$491:$A$553,0)</f>
        <v>2</v>
      </c>
      <c r="D8" s="48">
        <f>IFERROR(CHOOSE($A$3,INDEX('データ'!D$491:D$553,$C8),INDEX('データ'!D$558:D$620,$C8),INDEX('データ'!D$625:D$687,$C8),INDEX('データ'!D$692:D$754,$C8)),0)</f>
        <v>0.0</v>
      </c>
      <c r="E8" s="48">
        <f>IFERROR(CHOOSE($A$3,INDEX('データ'!E$491:E$553,$C8),INDEX('データ'!E$558:E$620,$C8),INDEX('データ'!E$625:E$687,$C8),INDEX('データ'!E$692:E$754,$C8)),0)</f>
        <v>0.0</v>
      </c>
      <c r="F8" s="48">
        <f>IFERROR(CHOOSE($A$3,INDEX('データ'!F$491:F$553,$C8),INDEX('データ'!F$558:F$620,$C8),INDEX('データ'!F$625:F$687,$C8),INDEX('データ'!F$692:F$754,$C8)),0)</f>
        <v>2.0</v>
      </c>
      <c r="G8" s="48">
        <f>IFERROR(CHOOSE($A$3,INDEX('データ'!G$491:G$553,$C8),INDEX('データ'!G$558:G$620,$C8),INDEX('データ'!G$625:G$687,$C8),INDEX('データ'!G$692:G$754,$C8)),0)</f>
        <v>33.0</v>
      </c>
      <c r="H8" s="48">
        <f>IFERROR(CHOOSE($A$3,INDEX('データ'!H$491:H$553,$C8),INDEX('データ'!H$558:H$620,$C8),INDEX('データ'!H$625:H$687,$C8),INDEX('データ'!H$692:H$754,$C8)),0)</f>
        <v>344.0</v>
      </c>
      <c r="I8" s="48">
        <f>IFERROR(CHOOSE($A$3,INDEX('データ'!I$491:I$553,$C8),INDEX('データ'!I$558:I$620,$C8),INDEX('データ'!I$625:I$687,$C8),INDEX('データ'!I$692:I$754,$C8)),0)</f>
        <v>1404.0</v>
      </c>
      <c r="J8" s="48">
        <f>IFERROR(CHOOSE($A$3,INDEX('データ'!J$491:J$553,$C8),INDEX('データ'!J$558:J$620,$C8),INDEX('データ'!J$625:J$687,$C8),INDEX('データ'!J$692:J$754,$C8)),0)</f>
        <v>3116.0</v>
      </c>
      <c r="K8" s="48">
        <f>IFERROR(CHOOSE($A$3,INDEX('データ'!K$491:K$553,$C8),INDEX('データ'!K$558:K$620,$C8),INDEX('データ'!K$625:K$687,$C8),INDEX('データ'!K$692:K$754,$C8)),0)</f>
        <v>3250.0</v>
      </c>
      <c r="L8" s="48">
        <f>IFERROR(CHOOSE($A$3,INDEX('データ'!L$491:L$553,$C8),INDEX('データ'!L$558:L$620,$C8),INDEX('データ'!L$625:L$687,$C8),INDEX('データ'!L$692:L$754,$C8)),0)</f>
        <v>3918.0</v>
      </c>
      <c r="M8" s="48">
        <f>IFERROR(CHOOSE($A$3,INDEX('データ'!M$491:M$553,$C8),INDEX('データ'!M$558:M$620,$C8),INDEX('データ'!M$625:M$687,$C8),INDEX('データ'!M$692:M$754,$C8)),0)</f>
        <v>4194.0</v>
      </c>
      <c r="N8" s="48">
        <f>IFERROR(CHOOSE($A$3,INDEX('データ'!N$491:N$553,$C8),INDEX('データ'!N$558:N$620,$C8),INDEX('データ'!N$625:N$687,$C8),INDEX('データ'!N$692:N$754,$C8)),0)</f>
        <v>4543.0</v>
      </c>
      <c r="O8" s="48">
        <f>IFERROR(CHOOSE($A$3,INDEX('データ'!O$491:O$553,$C8),INDEX('データ'!O$558:O$620,$C8),INDEX('データ'!O$625:O$687,$C8),INDEX('データ'!O$692:O$754,$C8)),0)</f>
        <v>4846.0</v>
      </c>
      <c r="P8" s="48">
        <f>IFERROR(CHOOSE($A$3,INDEX('データ'!P$491:P$553,$C8),INDEX('データ'!P$558:P$620,$C8),INDEX('データ'!P$625:P$687,$C8),INDEX('データ'!P$692:P$754,$C8)),0)</f>
        <v>5149.0</v>
      </c>
      <c r="Q8" s="48">
        <f>IFERROR(CHOOSE($A$3,INDEX('データ'!Q$491:Q$553,$C8),INDEX('データ'!Q$558:Q$620,$C8),INDEX('データ'!Q$625:Q$687,$C8),INDEX('データ'!Q$692:Q$754,$C8)),0)</f>
        <v>5340.0</v>
      </c>
      <c r="R8" s="48">
        <f>IFERROR(CHOOSE($A$3,INDEX('データ'!R$491:R$553,$C8),INDEX('データ'!R$558:R$620,$C8),INDEX('データ'!R$625:R$687,$C8),INDEX('データ'!R$692:R$754,$C8)),0)</f>
        <v>5499.0</v>
      </c>
      <c r="S8" s="48">
        <f>IFERROR(CHOOSE($A$3,INDEX('データ'!S$491:S$553,$C8),INDEX('データ'!S$558:S$620,$C8),INDEX('データ'!S$625:S$687,$C8),INDEX('データ'!S$692:S$754,$C8)),0)</f>
        <v>5280.0</v>
      </c>
      <c r="T8" s="48">
        <f>IFERROR(CHOOSE($A$3,INDEX('データ'!T$491:T$553,$C8),INDEX('データ'!T$558:T$620,$C8),INDEX('データ'!T$625:T$687,$C8),INDEX('データ'!T$692:T$754,$C8)),0)</f>
        <v>5310.0</v>
      </c>
      <c r="U8" s="48">
        <f>IFERROR(CHOOSE($A$3,INDEX('データ'!U$491:U$553,$C8),INDEX('データ'!U$558:U$620,$C8),INDEX('データ'!U$625:U$687,$C8),INDEX('データ'!U$692:U$754,$C8)),0)</f>
        <v>4975.0</v>
      </c>
      <c r="V8" s="48">
        <f>IFERROR(CHOOSE($A$3,INDEX('データ'!V$491:V$553,$C8),INDEX('データ'!V$558:V$620,$C8),INDEX('データ'!V$625:V$687,$C8),INDEX('データ'!V$692:V$754,$C8)),0)</f>
        <v>4825.0</v>
      </c>
      <c r="W8" s="48">
        <f>IFERROR(CHOOSE($A$3,INDEX('データ'!W$491:W$553,$C8),INDEX('データ'!W$558:W$620,$C8),INDEX('データ'!W$625:W$687,$C8),INDEX('データ'!W$692:W$754,$C8)),0)</f>
        <v>4335.0</v>
      </c>
      <c r="X8" s="48">
        <f>IFERROR(CHOOSE($A$3,INDEX('データ'!X$491:X$553,$C8),INDEX('データ'!X$558:X$620,$C8),INDEX('データ'!X$625:X$687,$C8),INDEX('データ'!X$692:X$754,$C8)),0)</f>
        <v>4075.0</v>
      </c>
      <c r="Y8" s="48">
        <f>IFERROR(CHOOSE($A$3,INDEX('データ'!Y$491:Y$553,$C8),INDEX('データ'!Y$558:Y$620,$C8),INDEX('データ'!Y$625:Y$687,$C8),INDEX('データ'!Y$692:Y$754,$C8)),0)</f>
        <v>3978.0</v>
      </c>
      <c r="Z8" s="48">
        <f>IFERROR(CHOOSE($A$3,INDEX('データ'!Z$491:Z$553,$C8),INDEX('データ'!Z$558:Z$620,$C8),INDEX('データ'!Z$625:Z$687,$C8),INDEX('データ'!Z$692:Z$754,$C8)),0)</f>
        <v>3974.0</v>
      </c>
      <c r="AA8" s="48">
        <f>IFERROR(CHOOSE($A$3,INDEX('データ'!AA$491:AA$553,$C8),INDEX('データ'!AA$558:AA$620,$C8),INDEX('データ'!AA$625:AA$687,$C8),INDEX('データ'!AA$692:AA$754,$C8)),0)</f>
        <v>3916.0</v>
      </c>
      <c r="AB8" s="48">
        <f>IFERROR(CHOOSE($A$3,INDEX('データ'!AB$491:AB$553,$C8),INDEX('データ'!AB$558:AB$620,$C8),INDEX('データ'!AB$625:AB$687,$C8),INDEX('データ'!AB$692:AB$754,$C8)),0)</f>
        <v>4201.0</v>
      </c>
      <c r="AC8" s="48">
        <f>IFERROR(CHOOSE($A$3,INDEX('データ'!AC$491:AC$553,$C8),INDEX('データ'!AC$558:AC$620,$C8),INDEX('データ'!AC$625:AC$687,$C8),INDEX('データ'!AC$692:AC$754,$C8)),0)</f>
        <v>4699.0</v>
      </c>
      <c r="AD8" s="48">
        <f>IFERROR(CHOOSE($A$3,INDEX('データ'!AD$491:AD$553,$C8),INDEX('データ'!AD$558:AD$620,$C8),INDEX('データ'!AD$625:AD$687,$C8),INDEX('データ'!AD$692:AD$754,$C8)),0)</f>
        <v>4745.0</v>
      </c>
      <c r="AE8" s="48">
        <f>IFERROR(CHOOSE($A$3,INDEX('データ'!AE$491:AE$553,$C8),INDEX('データ'!AE$558:AE$620,$C8),INDEX('データ'!AE$625:AE$687,$C8),INDEX('データ'!AE$692:AE$754,$C8)),0)</f>
        <v>4901.0</v>
      </c>
      <c r="AF8" s="48">
        <f>IFERROR(CHOOSE($A$3,INDEX('データ'!AF$491:AF$553,$C8),INDEX('データ'!AF$558:AF$620,$C8),INDEX('データ'!AF$625:AF$687,$C8),INDEX('データ'!AF$692:AF$754,$C8)),0)</f>
        <v>4930.0</v>
      </c>
      <c r="AG8" s="48">
        <f>IFERROR(CHOOSE($A$3,INDEX('データ'!AG$491:AG$553,$C8),INDEX('データ'!AG$558:AG$620,$C8),INDEX('データ'!AG$625:AG$687,$C8),INDEX('データ'!AG$692:AG$754,$C8)),0)</f>
        <v>4789.0</v>
      </c>
      <c r="AH8" s="48">
        <f>IFERROR(CHOOSE($A$3,INDEX('データ'!AH$491:AH$553,$C8),INDEX('データ'!AH$558:AH$620,$C8),INDEX('データ'!AH$625:AH$687,$C8),INDEX('データ'!AH$692:AH$754,$C8)),0)</f>
        <v>4858.0</v>
      </c>
      <c r="AI8" s="48">
        <f>IFERROR(CHOOSE($A$3,INDEX('データ'!AI$491:AI$553,$C8),INDEX('データ'!AI$558:AI$620,$C8),INDEX('データ'!AI$625:AI$687,$C8),INDEX('データ'!AI$692:AI$754,$C8)),0)</f>
        <v>4526.0</v>
      </c>
      <c r="AJ8" s="48">
        <f>IFERROR(CHOOSE($A$3,INDEX('データ'!AJ$491:AJ$553,$C8),INDEX('データ'!AJ$558:AJ$620,$C8),INDEX('データ'!AJ$625:AJ$687,$C8),INDEX('データ'!AJ$692:AJ$754,$C8)),0)</f>
        <v>4440.0</v>
      </c>
      <c r="AK8" s="48">
        <f>IFERROR(CHOOSE($A$3,INDEX('データ'!AK$491:AK$553,$C8),INDEX('データ'!AK$558:AK$620,$C8),INDEX('データ'!AK$625:AK$687,$C8),INDEX('データ'!AK$692:AK$754,$C8)),0)</f>
        <v>4365.0</v>
      </c>
      <c r="AL8" s="48">
        <f>IFERROR(CHOOSE($A$3,INDEX('データ'!AL$491:AL$553,$C8),INDEX('データ'!AL$558:AL$620,$C8),INDEX('データ'!AL$625:AL$687,$C8),INDEX('データ'!AL$692:AL$754,$C8)),0)</f>
        <v>4284.0</v>
      </c>
      <c r="AM8" s="48">
        <f>IFERROR(CHOOSE($A$3,INDEX('データ'!AM$491:AM$553,$C8),INDEX('データ'!AM$558:AM$620,$C8),INDEX('データ'!AM$625:AM$687,$C8),INDEX('データ'!AM$692:AM$754,$C8)),0)</f>
        <v>4295.0</v>
      </c>
      <c r="AN8" s="48">
        <f>IFERROR(CHOOSE($A$3,INDEX('データ'!AN$491:AN$553,$C8),INDEX('データ'!AN$558:AN$620,$C8),INDEX('データ'!AN$625:AN$687,$C8),INDEX('データ'!AN$692:AN$754,$C8)),0)</f>
        <v>4218.0</v>
      </c>
      <c r="AO8" s="48">
        <f>IFERROR(CHOOSE($A$3,INDEX('データ'!AO$491:AO$553,$C8),INDEX('データ'!AO$558:AO$620,$C8),INDEX('データ'!AO$625:AO$687,$C8),INDEX('データ'!AO$692:AO$754,$C8)),0)</f>
        <v>3982.0</v>
      </c>
      <c r="AP8" s="48">
        <f>IFERROR(CHOOSE($A$3,INDEX('データ'!AP$491:AP$553,$C8),INDEX('データ'!AP$558:AP$620,$C8),INDEX('データ'!AP$625:AP$687,$C8),INDEX('データ'!AP$692:AP$754,$C8)),0)</f>
        <v>3540.0</v>
      </c>
      <c r="AQ8" s="48">
        <f>IFERROR(CHOOSE($A$3,INDEX('データ'!AQ$491:AQ$553,$C8),INDEX('データ'!AQ$558:AQ$620,$C8),INDEX('データ'!AQ$625:AQ$687,$C8),INDEX('データ'!AQ$692:AQ$754,$C8)),0)</f>
        <v>2872.0</v>
      </c>
      <c r="AR8" s="48">
        <f>IFERROR(CHOOSE($A$3,INDEX('データ'!AR$491:AR$553,$C8),INDEX('データ'!AR$558:AR$620,$C8),INDEX('データ'!AR$625:AR$687,$C8),INDEX('データ'!AR$692:AR$754,$C8)),0)</f>
        <v>1482.0</v>
      </c>
      <c r="AS8" s="48">
        <f>IFERROR(CHOOSE($A$3,INDEX('データ'!AS$491:AS$553,$C8),INDEX('データ'!AS$558:AS$620,$C8),INDEX('データ'!AS$625:AS$687,$C8),INDEX('データ'!AS$692:AS$754,$C8)),0)</f>
        <v>334.0</v>
      </c>
      <c r="AT8" s="48">
        <f>IFERROR(CHOOSE($A$3,INDEX('データ'!AT$491:AT$553,$C8),INDEX('データ'!AT$558:AT$620,$C8),INDEX('データ'!AT$625:AT$687,$C8),INDEX('データ'!AT$692:AT$754,$C8)),0)</f>
        <v>88.0</v>
      </c>
      <c r="AU8" s="48">
        <f>IFERROR(CHOOSE($A$3,INDEX('データ'!AU$491:AU$553,$C8),INDEX('データ'!AU$558:AU$620,$C8),INDEX('データ'!AU$625:AU$687,$C8),INDEX('データ'!AU$692:AU$754,$C8)),0)</f>
        <v>43.0</v>
      </c>
      <c r="AV8" s="48">
        <f>IFERROR(CHOOSE($A$3,INDEX('データ'!AV$491:AV$553,$C8),INDEX('データ'!AV$558:AV$620,$C8),INDEX('データ'!AV$625:AV$687,$C8),INDEX('データ'!AV$692:AV$754,$C8)),0)</f>
        <v>26.0</v>
      </c>
      <c r="AW8" s="48">
        <f>IFERROR(CHOOSE($A$3,INDEX('データ'!AW$491:AW$553,$C8),INDEX('データ'!AW$558:AW$620,$C8),INDEX('データ'!AW$625:AW$687,$C8),INDEX('データ'!AW$692:AW$754,$C8)),0)</f>
        <v>33.0</v>
      </c>
      <c r="AX8" s="48">
        <f>IFERROR(CHOOSE($A$3,INDEX('データ'!AX$491:AX$553,$C8),INDEX('データ'!AX$558:AX$620,$C8),INDEX('データ'!AX$625:AX$687,$C8),INDEX('データ'!AX$692:AX$754,$C8)),0)</f>
        <v>19.0</v>
      </c>
      <c r="AY8" s="48">
        <f>IFERROR(CHOOSE($A$3,INDEX('データ'!AY$491:AY$553,$C8),INDEX('データ'!AY$558:AY$620,$C8),INDEX('データ'!AY$625:AY$687,$C8),INDEX('データ'!AY$692:AY$754,$C8)),0)</f>
        <v>8.0</v>
      </c>
      <c r="AZ8" s="48">
        <f>IFERROR(CHOOSE($A$3,INDEX('データ'!AZ$491:AZ$553,$C8),INDEX('データ'!AZ$558:AZ$620,$C8),INDEX('データ'!AZ$625:AZ$687,$C8),INDEX('データ'!AZ$692:AZ$754,$C8)),0)</f>
        <v>11.0</v>
      </c>
      <c r="BA8" s="48">
        <f>IFERROR(CHOOSE($A$3,INDEX('データ'!BA$491:BA$553,$C8),INDEX('データ'!BA$558:BA$620,$C8),INDEX('データ'!BA$625:BA$687,$C8),INDEX('データ'!BA$692:BA$754,$C8)),0)</f>
        <v>0.0</v>
      </c>
      <c r="BB8" s="48">
        <f>IFERROR(CHOOSE($A$3,INDEX('データ'!BB$491:BB$553,$C8),INDEX('データ'!BB$558:BB$620,$C8),INDEX('データ'!BB$625:BB$687,$C8),INDEX('データ'!BB$692:BB$754,$C8)),0)</f>
        <v>0.0</v>
      </c>
      <c r="BC8" s="48">
        <f>IFERROR(CHOOSE($A$3,INDEX('データ'!BC$491:BC$553,$C8),INDEX('データ'!BC$558:BC$620,$C8),INDEX('データ'!BC$625:BC$687,$C8),INDEX('データ'!BC$692:BC$754,$C8)),0)</f>
        <v>1.0</v>
      </c>
      <c r="BD8" s="48">
        <f>IFERROR(CHOOSE($A$3,INDEX('データ'!BD$491:BD$553,$C8),INDEX('データ'!BD$558:BD$620,$C8),INDEX('データ'!BD$625:BD$687,$C8),INDEX('データ'!BD$692:BD$754,$C8)),0)</f>
        <v>2.0</v>
      </c>
      <c r="BE8" s="48">
        <f>IFERROR(CHOOSE($A$3,INDEX('データ'!BE$491:BE$553,$C8),INDEX('データ'!BE$558:BE$620,$C8),INDEX('データ'!BE$625:BE$687,$C8),INDEX('データ'!BE$692:BE$754,$C8)),0)</f>
        <v>0.0</v>
      </c>
      <c r="BF8" s="48">
        <f>IFERROR(CHOOSE($A$3,INDEX('データ'!BF$491:BF$553,$C8),INDEX('データ'!BF$558:BF$620,$C8),INDEX('データ'!BF$625:BF$687,$C8),INDEX('データ'!BF$692:BF$754,$C8)),0)</f>
        <v>0.0</v>
      </c>
      <c r="BG8" s="48">
        <f>IFERROR(CHOOSE($A$3,INDEX('データ'!BG$491:BG$553,$C8),INDEX('データ'!BG$558:BG$620,$C8),INDEX('データ'!BG$625:BG$687,$C8),INDEX('データ'!BG$692:BG$754,$C8)),0)</f>
        <v>0.0</v>
      </c>
    </row>
    <row r="9" spans="1:59" ht="22" customHeight="1">
      <c r="B9" s="44" t="s">
        <v>212</v>
      </c>
      <c r="C9" s="47">
        <f>MATCH($C$3&amp;"|"&amp;$B9,'データ'!$A$491:$A$553,0)</f>
        <v>3</v>
      </c>
      <c r="D9" s="48">
        <f>IFERROR(CHOOSE($A$3,INDEX('データ'!D$491:D$553,$C9),INDEX('データ'!D$558:D$620,$C9),INDEX('データ'!D$625:D$687,$C9),INDEX('データ'!D$692:D$754,$C9)),0)</f>
        <v>0.0</v>
      </c>
      <c r="E9" s="48">
        <f>IFERROR(CHOOSE($A$3,INDEX('データ'!E$491:E$553,$C9),INDEX('データ'!E$558:E$620,$C9),INDEX('データ'!E$625:E$687,$C9),INDEX('データ'!E$692:E$754,$C9)),0)</f>
        <v>0.0</v>
      </c>
      <c r="F9" s="48">
        <f>IFERROR(CHOOSE($A$3,INDEX('データ'!F$491:F$553,$C9),INDEX('データ'!F$558:F$620,$C9),INDEX('データ'!F$625:F$687,$C9),INDEX('データ'!F$692:F$754,$C9)),0)</f>
        <v>0.0</v>
      </c>
      <c r="G9" s="48">
        <f>IFERROR(CHOOSE($A$3,INDEX('データ'!G$491:G$553,$C9),INDEX('データ'!G$558:G$620,$C9),INDEX('データ'!G$625:G$687,$C9),INDEX('データ'!G$692:G$754,$C9)),0)</f>
        <v>24.0</v>
      </c>
      <c r="H9" s="48">
        <f>IFERROR(CHOOSE($A$3,INDEX('データ'!H$491:H$553,$C9),INDEX('データ'!H$558:H$620,$C9),INDEX('データ'!H$625:H$687,$C9),INDEX('データ'!H$692:H$754,$C9)),0)</f>
        <v>287.0</v>
      </c>
      <c r="I9" s="48">
        <f>IFERROR(CHOOSE($A$3,INDEX('データ'!I$491:I$553,$C9),INDEX('データ'!I$558:I$620,$C9),INDEX('データ'!I$625:I$687,$C9),INDEX('データ'!I$692:I$754,$C9)),0)</f>
        <v>1258.0</v>
      </c>
      <c r="J9" s="48">
        <f>IFERROR(CHOOSE($A$3,INDEX('データ'!J$491:J$553,$C9),INDEX('データ'!J$558:J$620,$C9),INDEX('データ'!J$625:J$687,$C9),INDEX('データ'!J$692:J$754,$C9)),0)</f>
        <v>2958.0</v>
      </c>
      <c r="K9" s="48">
        <f>IFERROR(CHOOSE($A$3,INDEX('データ'!K$491:K$553,$C9),INDEX('データ'!K$558:K$620,$C9),INDEX('データ'!K$625:K$687,$C9),INDEX('データ'!K$692:K$754,$C9)),0)</f>
        <v>2987.0</v>
      </c>
      <c r="L9" s="48">
        <f>IFERROR(CHOOSE($A$3,INDEX('データ'!L$491:L$553,$C9),INDEX('データ'!L$558:L$620,$C9),INDEX('データ'!L$625:L$687,$C9),INDEX('データ'!L$692:L$754,$C9)),0)</f>
        <v>3620.0</v>
      </c>
      <c r="M9" s="48">
        <f>IFERROR(CHOOSE($A$3,INDEX('データ'!M$491:M$553,$C9),INDEX('データ'!M$558:M$620,$C9),INDEX('データ'!M$625:M$687,$C9),INDEX('データ'!M$692:M$754,$C9)),0)</f>
        <v>4089.0</v>
      </c>
      <c r="N9" s="48">
        <f>IFERROR(CHOOSE($A$3,INDEX('データ'!N$491:N$553,$C9),INDEX('データ'!N$558:N$620,$C9),INDEX('データ'!N$625:N$687,$C9),INDEX('データ'!N$692:N$754,$C9)),0)</f>
        <v>4421.0</v>
      </c>
      <c r="O9" s="48">
        <f>IFERROR(CHOOSE($A$3,INDEX('データ'!O$491:O$553,$C9),INDEX('データ'!O$558:O$620,$C9),INDEX('データ'!O$625:O$687,$C9),INDEX('データ'!O$692:O$754,$C9)),0)</f>
        <v>4691.0</v>
      </c>
      <c r="P9" s="48">
        <f>IFERROR(CHOOSE($A$3,INDEX('データ'!P$491:P$553,$C9),INDEX('データ'!P$558:P$620,$C9),INDEX('データ'!P$625:P$687,$C9),INDEX('データ'!P$692:P$754,$C9)),0)</f>
        <v>5003.0</v>
      </c>
      <c r="Q9" s="48">
        <f>IFERROR(CHOOSE($A$3,INDEX('データ'!Q$491:Q$553,$C9),INDEX('データ'!Q$558:Q$620,$C9),INDEX('データ'!Q$625:Q$687,$C9),INDEX('データ'!Q$692:Q$754,$C9)),0)</f>
        <v>5211.0</v>
      </c>
      <c r="R9" s="48">
        <f>IFERROR(CHOOSE($A$3,INDEX('データ'!R$491:R$553,$C9),INDEX('データ'!R$558:R$620,$C9),INDEX('データ'!R$625:R$687,$C9),INDEX('データ'!R$692:R$754,$C9)),0)</f>
        <v>5084.0</v>
      </c>
      <c r="S9" s="48">
        <f>IFERROR(CHOOSE($A$3,INDEX('データ'!S$491:S$553,$C9),INDEX('データ'!S$558:S$620,$C9),INDEX('データ'!S$625:S$687,$C9),INDEX('データ'!S$692:S$754,$C9)),0)</f>
        <v>5154.0</v>
      </c>
      <c r="T9" s="48">
        <f>IFERROR(CHOOSE($A$3,INDEX('データ'!T$491:T$553,$C9),INDEX('データ'!T$558:T$620,$C9),INDEX('データ'!T$625:T$687,$C9),INDEX('データ'!T$692:T$754,$C9)),0)</f>
        <v>5161.0</v>
      </c>
      <c r="U9" s="48">
        <f>IFERROR(CHOOSE($A$3,INDEX('データ'!U$491:U$553,$C9),INDEX('データ'!U$558:U$620,$C9),INDEX('データ'!U$625:U$687,$C9),INDEX('データ'!U$692:U$754,$C9)),0)</f>
        <v>4803.0</v>
      </c>
      <c r="V9" s="48">
        <f>IFERROR(CHOOSE($A$3,INDEX('データ'!V$491:V$553,$C9),INDEX('データ'!V$558:V$620,$C9),INDEX('データ'!V$625:V$687,$C9),INDEX('データ'!V$692:V$754,$C9)),0)</f>
        <v>4633.0</v>
      </c>
      <c r="W9" s="48">
        <f>IFERROR(CHOOSE($A$3,INDEX('データ'!W$491:W$553,$C9),INDEX('データ'!W$558:W$620,$C9),INDEX('データ'!W$625:W$687,$C9),INDEX('データ'!W$692:W$754,$C9)),0)</f>
        <v>4194.0</v>
      </c>
      <c r="X9" s="48">
        <f>IFERROR(CHOOSE($A$3,INDEX('データ'!X$491:X$553,$C9),INDEX('データ'!X$558:X$620,$C9),INDEX('データ'!X$625:X$687,$C9),INDEX('データ'!X$692:X$754,$C9)),0)</f>
        <v>4017.0</v>
      </c>
      <c r="Y9" s="48">
        <f>IFERROR(CHOOSE($A$3,INDEX('データ'!Y$491:Y$553,$C9),INDEX('データ'!Y$558:Y$620,$C9),INDEX('データ'!Y$625:Y$687,$C9),INDEX('データ'!Y$692:Y$754,$C9)),0)</f>
        <v>3842.0</v>
      </c>
      <c r="Z9" s="48">
        <f>IFERROR(CHOOSE($A$3,INDEX('データ'!Z$491:Z$553,$C9),INDEX('データ'!Z$558:Z$620,$C9),INDEX('データ'!Z$625:Z$687,$C9),INDEX('データ'!Z$692:Z$754,$C9)),0)</f>
        <v>3892.0</v>
      </c>
      <c r="AA9" s="48">
        <f>IFERROR(CHOOSE($A$3,INDEX('データ'!AA$491:AA$553,$C9),INDEX('データ'!AA$558:AA$620,$C9),INDEX('データ'!AA$625:AA$687,$C9),INDEX('データ'!AA$692:AA$754,$C9)),0)</f>
        <v>3838.0</v>
      </c>
      <c r="AB9" s="48">
        <f>IFERROR(CHOOSE($A$3,INDEX('データ'!AB$491:AB$553,$C9),INDEX('データ'!AB$558:AB$620,$C9),INDEX('データ'!AB$625:AB$687,$C9),INDEX('データ'!AB$692:AB$754,$C9)),0)</f>
        <v>4145.0</v>
      </c>
      <c r="AC9" s="48">
        <f>IFERROR(CHOOSE($A$3,INDEX('データ'!AC$491:AC$553,$C9),INDEX('データ'!AC$558:AC$620,$C9),INDEX('データ'!AC$625:AC$687,$C9),INDEX('データ'!AC$692:AC$754,$C9)),0)</f>
        <v>4477.0</v>
      </c>
      <c r="AD9" s="48">
        <f>IFERROR(CHOOSE($A$3,INDEX('データ'!AD$491:AD$553,$C9),INDEX('データ'!AD$558:AD$620,$C9),INDEX('データ'!AD$625:AD$687,$C9),INDEX('データ'!AD$692:AD$754,$C9)),0)</f>
        <v>4628.0</v>
      </c>
      <c r="AE9" s="48">
        <f>IFERROR(CHOOSE($A$3,INDEX('データ'!AE$491:AE$553,$C9),INDEX('データ'!AE$558:AE$620,$C9),INDEX('データ'!AE$625:AE$687,$C9),INDEX('データ'!AE$692:AE$754,$C9)),0)</f>
        <v>4931.0</v>
      </c>
      <c r="AF9" s="48">
        <f>IFERROR(CHOOSE($A$3,INDEX('データ'!AF$491:AF$553,$C9),INDEX('データ'!AF$558:AF$620,$C9),INDEX('データ'!AF$625:AF$687,$C9),INDEX('データ'!AF$692:AF$754,$C9)),0)</f>
        <v>4800.0</v>
      </c>
      <c r="AG9" s="48">
        <f>IFERROR(CHOOSE($A$3,INDEX('データ'!AG$491:AG$553,$C9),INDEX('データ'!AG$558:AG$620,$C9),INDEX('データ'!AG$625:AG$687,$C9),INDEX('データ'!AG$692:AG$754,$C9)),0)</f>
        <v>4737.0</v>
      </c>
      <c r="AH9" s="48">
        <f>IFERROR(CHOOSE($A$3,INDEX('データ'!AH$491:AH$553,$C9),INDEX('データ'!AH$558:AH$620,$C9),INDEX('データ'!AH$625:AH$687,$C9),INDEX('データ'!AH$692:AH$754,$C9)),0)</f>
        <v>4808.0</v>
      </c>
      <c r="AI9" s="48">
        <f>IFERROR(CHOOSE($A$3,INDEX('データ'!AI$491:AI$553,$C9),INDEX('データ'!AI$558:AI$620,$C9),INDEX('データ'!AI$625:AI$687,$C9),INDEX('データ'!AI$692:AI$754,$C9)),0)</f>
        <v>4575.0</v>
      </c>
      <c r="AJ9" s="48">
        <f>IFERROR(CHOOSE($A$3,INDEX('データ'!AJ$491:AJ$553,$C9),INDEX('データ'!AJ$558:AJ$620,$C9),INDEX('データ'!AJ$625:AJ$687,$C9),INDEX('データ'!AJ$692:AJ$754,$C9)),0)</f>
        <v>4404.0</v>
      </c>
      <c r="AK9" s="48">
        <f>IFERROR(CHOOSE($A$3,INDEX('データ'!AK$491:AK$553,$C9),INDEX('データ'!AK$558:AK$620,$C9),INDEX('データ'!AK$625:AK$687,$C9),INDEX('データ'!AK$692:AK$754,$C9)),0)</f>
        <v>4410.0</v>
      </c>
      <c r="AL9" s="48">
        <f>IFERROR(CHOOSE($A$3,INDEX('データ'!AL$491:AL$553,$C9),INDEX('データ'!AL$558:AL$620,$C9),INDEX('データ'!AL$625:AL$687,$C9),INDEX('データ'!AL$692:AL$754,$C9)),0)</f>
        <v>4405.0</v>
      </c>
      <c r="AM9" s="48">
        <f>IFERROR(CHOOSE($A$3,INDEX('データ'!AM$491:AM$553,$C9),INDEX('データ'!AM$558:AM$620,$C9),INDEX('データ'!AM$625:AM$687,$C9),INDEX('データ'!AM$692:AM$754,$C9)),0)</f>
        <v>4012.0</v>
      </c>
      <c r="AN9" s="48">
        <f>IFERROR(CHOOSE($A$3,INDEX('データ'!AN$491:AN$553,$C9),INDEX('データ'!AN$558:AN$620,$C9),INDEX('データ'!AN$625:AN$687,$C9),INDEX('データ'!AN$692:AN$754,$C9)),0)</f>
        <v>4079.0</v>
      </c>
      <c r="AO9" s="48">
        <f>IFERROR(CHOOSE($A$3,INDEX('データ'!AO$491:AO$553,$C9),INDEX('データ'!AO$558:AO$620,$C9),INDEX('データ'!AO$625:AO$687,$C9),INDEX('データ'!AO$692:AO$754,$C9)),0)</f>
        <v>3928.0</v>
      </c>
      <c r="AP9" s="48">
        <f>IFERROR(CHOOSE($A$3,INDEX('データ'!AP$491:AP$553,$C9),INDEX('データ'!AP$558:AP$620,$C9),INDEX('データ'!AP$625:AP$687,$C9),INDEX('データ'!AP$692:AP$754,$C9)),0)</f>
        <v>3550.0</v>
      </c>
      <c r="AQ9" s="48">
        <f>IFERROR(CHOOSE($A$3,INDEX('データ'!AQ$491:AQ$553,$C9),INDEX('データ'!AQ$558:AQ$620,$C9),INDEX('データ'!AQ$625:AQ$687,$C9),INDEX('データ'!AQ$692:AQ$754,$C9)),0)</f>
        <v>2689.0</v>
      </c>
      <c r="AR9" s="48">
        <f>IFERROR(CHOOSE($A$3,INDEX('データ'!AR$491:AR$553,$C9),INDEX('データ'!AR$558:AR$620,$C9),INDEX('データ'!AR$625:AR$687,$C9),INDEX('データ'!AR$692:AR$754,$C9)),0)</f>
        <v>1448.0</v>
      </c>
      <c r="AS9" s="48">
        <f>IFERROR(CHOOSE($A$3,INDEX('データ'!AS$491:AS$553,$C9),INDEX('データ'!AS$558:AS$620,$C9),INDEX('データ'!AS$625:AS$687,$C9),INDEX('データ'!AS$692:AS$754,$C9)),0)</f>
        <v>309.0</v>
      </c>
      <c r="AT9" s="48">
        <f>IFERROR(CHOOSE($A$3,INDEX('データ'!AT$491:AT$553,$C9),INDEX('データ'!AT$558:AT$620,$C9),INDEX('データ'!AT$625:AT$687,$C9),INDEX('データ'!AT$692:AT$754,$C9)),0)</f>
        <v>60.0</v>
      </c>
      <c r="AU9" s="48">
        <f>IFERROR(CHOOSE($A$3,INDEX('データ'!AU$491:AU$553,$C9),INDEX('データ'!AU$558:AU$620,$C9),INDEX('データ'!AU$625:AU$687,$C9),INDEX('データ'!AU$692:AU$754,$C9)),0)</f>
        <v>16.0</v>
      </c>
      <c r="AV9" s="48">
        <f>IFERROR(CHOOSE($A$3,INDEX('データ'!AV$491:AV$553,$C9),INDEX('データ'!AV$558:AV$620,$C9),INDEX('データ'!AV$625:AV$687,$C9),INDEX('データ'!AV$692:AV$754,$C9)),0)</f>
        <v>7.0</v>
      </c>
      <c r="AW9" s="48">
        <f>IFERROR(CHOOSE($A$3,INDEX('データ'!AW$491:AW$553,$C9),INDEX('データ'!AW$558:AW$620,$C9),INDEX('データ'!AW$625:AW$687,$C9),INDEX('データ'!AW$692:AW$754,$C9)),0)</f>
        <v>6.0</v>
      </c>
      <c r="AX9" s="48">
        <f>IFERROR(CHOOSE($A$3,INDEX('データ'!AX$491:AX$553,$C9),INDEX('データ'!AX$558:AX$620,$C9),INDEX('データ'!AX$625:AX$687,$C9),INDEX('データ'!AX$692:AX$754,$C9)),0)</f>
        <v>8.0</v>
      </c>
      <c r="AY9" s="48">
        <f>IFERROR(CHOOSE($A$3,INDEX('データ'!AY$491:AY$553,$C9),INDEX('データ'!AY$558:AY$620,$C9),INDEX('データ'!AY$625:AY$687,$C9),INDEX('データ'!AY$692:AY$754,$C9)),0)</f>
        <v>3.0</v>
      </c>
      <c r="AZ9" s="48">
        <f>IFERROR(CHOOSE($A$3,INDEX('データ'!AZ$491:AZ$553,$C9),INDEX('データ'!AZ$558:AZ$620,$C9),INDEX('データ'!AZ$625:AZ$687,$C9),INDEX('データ'!AZ$692:AZ$754,$C9)),0)</f>
        <v>0.0</v>
      </c>
      <c r="BA9" s="48">
        <f>IFERROR(CHOOSE($A$3,INDEX('データ'!BA$491:BA$553,$C9),INDEX('データ'!BA$558:BA$620,$C9),INDEX('データ'!BA$625:BA$687,$C9),INDEX('データ'!BA$692:BA$754,$C9)),0)</f>
        <v>0.0</v>
      </c>
      <c r="BB9" s="48">
        <f>IFERROR(CHOOSE($A$3,INDEX('データ'!BB$491:BB$553,$C9),INDEX('データ'!BB$558:BB$620,$C9),INDEX('データ'!BB$625:BB$687,$C9),INDEX('データ'!BB$692:BB$754,$C9)),0)</f>
        <v>0.0</v>
      </c>
      <c r="BC9" s="48">
        <f>IFERROR(CHOOSE($A$3,INDEX('データ'!BC$491:BC$553,$C9),INDEX('データ'!BC$558:BC$620,$C9),INDEX('データ'!BC$625:BC$687,$C9),INDEX('データ'!BC$692:BC$754,$C9)),0)</f>
        <v>0.0</v>
      </c>
      <c r="BD9" s="48">
        <f>IFERROR(CHOOSE($A$3,INDEX('データ'!BD$491:BD$553,$C9),INDEX('データ'!BD$558:BD$620,$C9),INDEX('データ'!BD$625:BD$687,$C9),INDEX('データ'!BD$692:BD$754,$C9)),0)</f>
        <v>0.0</v>
      </c>
      <c r="BE9" s="48">
        <f>IFERROR(CHOOSE($A$3,INDEX('データ'!BE$491:BE$553,$C9),INDEX('データ'!BE$558:BE$620,$C9),INDEX('データ'!BE$625:BE$687,$C9),INDEX('データ'!BE$692:BE$754,$C9)),0)</f>
        <v>0.0</v>
      </c>
      <c r="BF9" s="48">
        <f>IFERROR(CHOOSE($A$3,INDEX('データ'!BF$491:BF$553,$C9),INDEX('データ'!BF$558:BF$620,$C9),INDEX('データ'!BF$625:BF$687,$C9),INDEX('データ'!BF$692:BF$754,$C9)),0)</f>
        <v>0.0</v>
      </c>
      <c r="BG9" s="48">
        <f>IFERROR(CHOOSE($A$3,INDEX('データ'!BG$491:BG$553,$C9),INDEX('データ'!BG$558:BG$620,$C9),INDEX('データ'!BG$625:BG$687,$C9),INDEX('データ'!BG$692:BG$754,$C9)),0)</f>
        <v>0.0</v>
      </c>
    </row>
    <row r="10" spans="1:59" ht="22" customHeight="1">
      <c r="B10" s="44" t="s">
        <v>214</v>
      </c>
      <c r="C10" s="47">
        <f>MATCH($C$3&amp;"|"&amp;$B10,'データ'!$A$491:$A$553,0)</f>
        <v>4</v>
      </c>
      <c r="D10" s="48">
        <f>IFERROR(CHOOSE($A$3,INDEX('データ'!D$491:D$553,$C10),INDEX('データ'!D$558:D$620,$C10),INDEX('データ'!D$625:D$687,$C10),INDEX('データ'!D$692:D$754,$C10)),0)</f>
        <v>0.0</v>
      </c>
      <c r="E10" s="48">
        <f>IFERROR(CHOOSE($A$3,INDEX('データ'!E$491:E$553,$C10),INDEX('データ'!E$558:E$620,$C10),INDEX('データ'!E$625:E$687,$C10),INDEX('データ'!E$692:E$754,$C10)),0)</f>
        <v>0.0</v>
      </c>
      <c r="F10" s="48">
        <f>IFERROR(CHOOSE($A$3,INDEX('データ'!F$491:F$553,$C10),INDEX('データ'!F$558:F$620,$C10),INDEX('データ'!F$625:F$687,$C10),INDEX('データ'!F$692:F$754,$C10)),0)</f>
        <v>0.0</v>
      </c>
      <c r="G10" s="48">
        <f>IFERROR(CHOOSE($A$3,INDEX('データ'!G$491:G$553,$C10),INDEX('データ'!G$558:G$620,$C10),INDEX('データ'!G$625:G$687,$C10),INDEX('データ'!G$692:G$754,$C10)),0)</f>
        <v>36.0</v>
      </c>
      <c r="H10" s="48">
        <f>IFERROR(CHOOSE($A$3,INDEX('データ'!H$491:H$553,$C10),INDEX('データ'!H$558:H$620,$C10),INDEX('データ'!H$625:H$687,$C10),INDEX('データ'!H$692:H$754,$C10)),0)</f>
        <v>266.0</v>
      </c>
      <c r="I10" s="48">
        <f>IFERROR(CHOOSE($A$3,INDEX('データ'!I$491:I$553,$C10),INDEX('データ'!I$558:I$620,$C10),INDEX('データ'!I$625:I$687,$C10),INDEX('データ'!I$692:I$754,$C10)),0)</f>
        <v>1215.0</v>
      </c>
      <c r="J10" s="48">
        <f>IFERROR(CHOOSE($A$3,INDEX('データ'!J$491:J$553,$C10),INDEX('データ'!J$558:J$620,$C10),INDEX('データ'!J$625:J$687,$C10),INDEX('データ'!J$692:J$754,$C10)),0)</f>
        <v>2748.0</v>
      </c>
      <c r="K10" s="48">
        <f>IFERROR(CHOOSE($A$3,INDEX('データ'!K$491:K$553,$C10),INDEX('データ'!K$558:K$620,$C10),INDEX('データ'!K$625:K$687,$C10),INDEX('データ'!K$692:K$754,$C10)),0)</f>
        <v>3056.0</v>
      </c>
      <c r="L10" s="48">
        <f>IFERROR(CHOOSE($A$3,INDEX('データ'!L$491:L$553,$C10),INDEX('データ'!L$558:L$620,$C10),INDEX('データ'!L$625:L$687,$C10),INDEX('データ'!L$692:L$754,$C10)),0)</f>
        <v>3414.0</v>
      </c>
      <c r="M10" s="48">
        <f>IFERROR(CHOOSE($A$3,INDEX('データ'!M$491:M$553,$C10),INDEX('データ'!M$558:M$620,$C10),INDEX('データ'!M$625:M$687,$C10),INDEX('データ'!M$692:M$754,$C10)),0)</f>
        <v>4033.0</v>
      </c>
      <c r="N10" s="48">
        <f>IFERROR(CHOOSE($A$3,INDEX('データ'!N$491:N$553,$C10),INDEX('データ'!N$558:N$620,$C10),INDEX('データ'!N$625:N$687,$C10),INDEX('データ'!N$692:N$754,$C10)),0)</f>
        <v>4356.0</v>
      </c>
      <c r="O10" s="48">
        <f>IFERROR(CHOOSE($A$3,INDEX('データ'!O$491:O$553,$C10),INDEX('データ'!O$558:O$620,$C10),INDEX('データ'!O$625:O$687,$C10),INDEX('データ'!O$692:O$754,$C10)),0)</f>
        <v>4671.0</v>
      </c>
      <c r="P10" s="48">
        <f>IFERROR(CHOOSE($A$3,INDEX('データ'!P$491:P$553,$C10),INDEX('データ'!P$558:P$620,$C10),INDEX('データ'!P$625:P$687,$C10),INDEX('データ'!P$692:P$754,$C10)),0)</f>
        <v>4894.0</v>
      </c>
      <c r="Q10" s="48">
        <f>IFERROR(CHOOSE($A$3,INDEX('データ'!Q$491:Q$553,$C10),INDEX('データ'!Q$558:Q$620,$C10),INDEX('データ'!Q$625:Q$687,$C10),INDEX('データ'!Q$692:Q$754,$C10)),0)</f>
        <v>5092.0</v>
      </c>
      <c r="R10" s="48">
        <f>IFERROR(CHOOSE($A$3,INDEX('データ'!R$491:R$553,$C10),INDEX('データ'!R$558:R$620,$C10),INDEX('データ'!R$625:R$687,$C10),INDEX('データ'!R$692:R$754,$C10)),0)</f>
        <v>4995.0</v>
      </c>
      <c r="S10" s="48">
        <f>IFERROR(CHOOSE($A$3,INDEX('データ'!S$491:S$553,$C10),INDEX('データ'!S$558:S$620,$C10),INDEX('データ'!S$625:S$687,$C10),INDEX('データ'!S$692:S$754,$C10)),0)</f>
        <v>5089.0</v>
      </c>
      <c r="T10" s="48">
        <f>IFERROR(CHOOSE($A$3,INDEX('データ'!T$491:T$553,$C10),INDEX('データ'!T$558:T$620,$C10),INDEX('データ'!T$625:T$687,$C10),INDEX('データ'!T$692:T$754,$C10)),0)</f>
        <v>5119.0</v>
      </c>
      <c r="U10" s="48">
        <f>IFERROR(CHOOSE($A$3,INDEX('データ'!U$491:U$553,$C10),INDEX('データ'!U$558:U$620,$C10),INDEX('データ'!U$625:U$687,$C10),INDEX('データ'!U$692:U$754,$C10)),0)</f>
        <v>4853.0</v>
      </c>
      <c r="V10" s="48">
        <f>IFERROR(CHOOSE($A$3,INDEX('データ'!V$491:V$553,$C10),INDEX('データ'!V$558:V$620,$C10),INDEX('データ'!V$625:V$687,$C10),INDEX('データ'!V$692:V$754,$C10)),0)</f>
        <v>4557.0</v>
      </c>
      <c r="W10" s="48">
        <f>IFERROR(CHOOSE($A$3,INDEX('データ'!W$491:W$553,$C10),INDEX('データ'!W$558:W$620,$C10),INDEX('データ'!W$625:W$687,$C10),INDEX('データ'!W$692:W$754,$C10)),0)</f>
        <v>4132.0</v>
      </c>
      <c r="X10" s="48">
        <f>IFERROR(CHOOSE($A$3,INDEX('データ'!X$491:X$553,$C10),INDEX('データ'!X$558:X$620,$C10),INDEX('データ'!X$625:X$687,$C10),INDEX('データ'!X$692:X$754,$C10)),0)</f>
        <v>3916.0</v>
      </c>
      <c r="Y10" s="48">
        <f>IFERROR(CHOOSE($A$3,INDEX('データ'!Y$491:Y$553,$C10),INDEX('データ'!Y$558:Y$620,$C10),INDEX('データ'!Y$625:Y$687,$C10),INDEX('データ'!Y$692:Y$754,$C10)),0)</f>
        <v>3829.0</v>
      </c>
      <c r="Z10" s="48">
        <f>IFERROR(CHOOSE($A$3,INDEX('データ'!Z$491:Z$553,$C10),INDEX('データ'!Z$558:Z$620,$C10),INDEX('データ'!Z$625:Z$687,$C10),INDEX('データ'!Z$692:Z$754,$C10)),0)</f>
        <v>3775.0</v>
      </c>
      <c r="AA10" s="48">
        <f>IFERROR(CHOOSE($A$3,INDEX('データ'!AA$491:AA$553,$C10),INDEX('データ'!AA$558:AA$620,$C10),INDEX('データ'!AA$625:AA$687,$C10),INDEX('データ'!AA$692:AA$754,$C10)),0)</f>
        <v>3886.0</v>
      </c>
      <c r="AB10" s="48">
        <f>IFERROR(CHOOSE($A$3,INDEX('データ'!AB$491:AB$553,$C10),INDEX('データ'!AB$558:AB$620,$C10),INDEX('データ'!AB$625:AB$687,$C10),INDEX('データ'!AB$692:AB$754,$C10)),0)</f>
        <v>4207.0</v>
      </c>
      <c r="AC10" s="48">
        <f>IFERROR(CHOOSE($A$3,INDEX('データ'!AC$491:AC$553,$C10),INDEX('データ'!AC$558:AC$620,$C10),INDEX('データ'!AC$625:AC$687,$C10),INDEX('データ'!AC$692:AC$754,$C10)),0)</f>
        <v>4642.0</v>
      </c>
      <c r="AD10" s="48">
        <f>IFERROR(CHOOSE($A$3,INDEX('データ'!AD$491:AD$553,$C10),INDEX('データ'!AD$558:AD$620,$C10),INDEX('データ'!AD$625:AD$687,$C10),INDEX('データ'!AD$692:AD$754,$C10)),0)</f>
        <v>4672.0</v>
      </c>
      <c r="AE10" s="48">
        <f>IFERROR(CHOOSE($A$3,INDEX('データ'!AE$491:AE$553,$C10),INDEX('データ'!AE$558:AE$620,$C10),INDEX('データ'!AE$625:AE$687,$C10),INDEX('データ'!AE$692:AE$754,$C10)),0)</f>
        <v>4834.0</v>
      </c>
      <c r="AF10" s="48">
        <f>IFERROR(CHOOSE($A$3,INDEX('データ'!AF$491:AF$553,$C10),INDEX('データ'!AF$558:AF$620,$C10),INDEX('データ'!AF$625:AF$687,$C10),INDEX('データ'!AF$692:AF$754,$C10)),0)</f>
        <v>4917.0</v>
      </c>
      <c r="AG10" s="48">
        <f>IFERROR(CHOOSE($A$3,INDEX('データ'!AG$491:AG$553,$C10),INDEX('データ'!AG$558:AG$620,$C10),INDEX('データ'!AG$625:AG$687,$C10),INDEX('データ'!AG$692:AG$754,$C10)),0)</f>
        <v>4893.0</v>
      </c>
      <c r="AH10" s="48">
        <f>IFERROR(CHOOSE($A$3,INDEX('データ'!AH$491:AH$553,$C10),INDEX('データ'!AH$558:AH$620,$C10),INDEX('データ'!AH$625:AH$687,$C10),INDEX('データ'!AH$692:AH$754,$C10)),0)</f>
        <v>4921.0</v>
      </c>
      <c r="AI10" s="48">
        <f>IFERROR(CHOOSE($A$3,INDEX('データ'!AI$491:AI$553,$C10),INDEX('データ'!AI$558:AI$620,$C10),INDEX('データ'!AI$625:AI$687,$C10),INDEX('データ'!AI$692:AI$754,$C10)),0)</f>
        <v>4766.0</v>
      </c>
      <c r="AJ10" s="48">
        <f>IFERROR(CHOOSE($A$3,INDEX('データ'!AJ$491:AJ$553,$C10),INDEX('データ'!AJ$558:AJ$620,$C10),INDEX('データ'!AJ$625:AJ$687,$C10),INDEX('データ'!AJ$692:AJ$754,$C10)),0)</f>
        <v>4698.0</v>
      </c>
      <c r="AK10" s="48">
        <f>IFERROR(CHOOSE($A$3,INDEX('データ'!AK$491:AK$553,$C10),INDEX('データ'!AK$558:AK$620,$C10),INDEX('データ'!AK$625:AK$687,$C10),INDEX('データ'!AK$692:AK$754,$C10)),0)</f>
        <v>4598.0</v>
      </c>
      <c r="AL10" s="48">
        <f>IFERROR(CHOOSE($A$3,INDEX('データ'!AL$491:AL$553,$C10),INDEX('データ'!AL$558:AL$620,$C10),INDEX('データ'!AL$625:AL$687,$C10),INDEX('データ'!AL$692:AL$754,$C10)),0)</f>
        <v>4462.0</v>
      </c>
      <c r="AM10" s="48">
        <f>IFERROR(CHOOSE($A$3,INDEX('データ'!AM$491:AM$553,$C10),INDEX('データ'!AM$558:AM$620,$C10),INDEX('データ'!AM$625:AM$687,$C10),INDEX('データ'!AM$692:AM$754,$C10)),0)</f>
        <v>4305.0</v>
      </c>
      <c r="AN10" s="48">
        <f>IFERROR(CHOOSE($A$3,INDEX('データ'!AN$491:AN$553,$C10),INDEX('データ'!AN$558:AN$620,$C10),INDEX('データ'!AN$625:AN$687,$C10),INDEX('データ'!AN$692:AN$754,$C10)),0)</f>
        <v>4079.0</v>
      </c>
      <c r="AO10" s="48">
        <f>IFERROR(CHOOSE($A$3,INDEX('データ'!AO$491:AO$553,$C10),INDEX('データ'!AO$558:AO$620,$C10),INDEX('データ'!AO$625:AO$687,$C10),INDEX('データ'!AO$692:AO$754,$C10)),0)</f>
        <v>4044.0</v>
      </c>
      <c r="AP10" s="48">
        <f>IFERROR(CHOOSE($A$3,INDEX('データ'!AP$491:AP$553,$C10),INDEX('データ'!AP$558:AP$620,$C10),INDEX('データ'!AP$625:AP$687,$C10),INDEX('データ'!AP$692:AP$754,$C10)),0)</f>
        <v>3685.0</v>
      </c>
      <c r="AQ10" s="48">
        <f>IFERROR(CHOOSE($A$3,INDEX('データ'!AQ$491:AQ$553,$C10),INDEX('データ'!AQ$558:AQ$620,$C10),INDEX('データ'!AQ$625:AQ$687,$C10),INDEX('データ'!AQ$692:AQ$754,$C10)),0)</f>
        <v>2755.0</v>
      </c>
      <c r="AR10" s="48">
        <f>IFERROR(CHOOSE($A$3,INDEX('データ'!AR$491:AR$553,$C10),INDEX('データ'!AR$558:AR$620,$C10),INDEX('データ'!AR$625:AR$687,$C10),INDEX('データ'!AR$692:AR$754,$C10)),0)</f>
        <v>1481.0</v>
      </c>
      <c r="AS10" s="48">
        <f>IFERROR(CHOOSE($A$3,INDEX('データ'!AS$491:AS$553,$C10),INDEX('データ'!AS$558:AS$620,$C10),INDEX('データ'!AS$625:AS$687,$C10),INDEX('データ'!AS$692:AS$754,$C10)),0)</f>
        <v>364.0</v>
      </c>
      <c r="AT10" s="48">
        <f>IFERROR(CHOOSE($A$3,INDEX('データ'!AT$491:AT$553,$C10),INDEX('データ'!AT$558:AT$620,$C10),INDEX('データ'!AT$625:AT$687,$C10),INDEX('データ'!AT$692:AT$754,$C10)),0)</f>
        <v>92.0</v>
      </c>
      <c r="AU10" s="48">
        <f>IFERROR(CHOOSE($A$3,INDEX('データ'!AU$491:AU$553,$C10),INDEX('データ'!AU$558:AU$620,$C10),INDEX('データ'!AU$625:AU$687,$C10),INDEX('データ'!AU$692:AU$754,$C10)),0)</f>
        <v>66.0</v>
      </c>
      <c r="AV10" s="48">
        <f>IFERROR(CHOOSE($A$3,INDEX('データ'!AV$491:AV$553,$C10),INDEX('データ'!AV$558:AV$620,$C10),INDEX('データ'!AV$625:AV$687,$C10),INDEX('データ'!AV$692:AV$754,$C10)),0)</f>
        <v>71.0</v>
      </c>
      <c r="AW10" s="48">
        <f>IFERROR(CHOOSE($A$3,INDEX('データ'!AW$491:AW$553,$C10),INDEX('データ'!AW$558:AW$620,$C10),INDEX('データ'!AW$625:AW$687,$C10),INDEX('データ'!AW$692:AW$754,$C10)),0)</f>
        <v>74.0</v>
      </c>
      <c r="AX10" s="48">
        <f>IFERROR(CHOOSE($A$3,INDEX('データ'!AX$491:AX$553,$C10),INDEX('データ'!AX$558:AX$620,$C10),INDEX('データ'!AX$625:AX$687,$C10),INDEX('データ'!AX$692:AX$754,$C10)),0)</f>
        <v>72.0</v>
      </c>
      <c r="AY10" s="48">
        <f>IFERROR(CHOOSE($A$3,INDEX('データ'!AY$491:AY$553,$C10),INDEX('データ'!AY$558:AY$620,$C10),INDEX('データ'!AY$625:AY$687,$C10),INDEX('データ'!AY$692:AY$754,$C10)),0)</f>
        <v>57.0</v>
      </c>
      <c r="AZ10" s="48">
        <f>IFERROR(CHOOSE($A$3,INDEX('データ'!AZ$491:AZ$553,$C10),INDEX('データ'!AZ$558:AZ$620,$C10),INDEX('データ'!AZ$625:AZ$687,$C10),INDEX('データ'!AZ$692:AZ$754,$C10)),0)</f>
        <v>63.0</v>
      </c>
      <c r="BA10" s="48">
        <f>IFERROR(CHOOSE($A$3,INDEX('データ'!BA$491:BA$553,$C10),INDEX('データ'!BA$558:BA$620,$C10),INDEX('データ'!BA$625:BA$687,$C10),INDEX('データ'!BA$692:BA$754,$C10)),0)</f>
        <v>37.0</v>
      </c>
      <c r="BB10" s="48">
        <f>IFERROR(CHOOSE($A$3,INDEX('データ'!BB$491:BB$553,$C10),INDEX('データ'!BB$558:BB$620,$C10),INDEX('データ'!BB$625:BB$687,$C10),INDEX('データ'!BB$692:BB$754,$C10)),0)</f>
        <v>14.0</v>
      </c>
      <c r="BC10" s="48">
        <f>IFERROR(CHOOSE($A$3,INDEX('データ'!BC$491:BC$553,$C10),INDEX('データ'!BC$558:BC$620,$C10),INDEX('データ'!BC$625:BC$687,$C10),INDEX('データ'!BC$692:BC$754,$C10)),0)</f>
        <v>4.0</v>
      </c>
      <c r="BD10" s="48">
        <f>IFERROR(CHOOSE($A$3,INDEX('データ'!BD$491:BD$553,$C10),INDEX('データ'!BD$558:BD$620,$C10),INDEX('データ'!BD$625:BD$687,$C10),INDEX('データ'!BD$692:BD$754,$C10)),0)</f>
        <v>1.0</v>
      </c>
      <c r="BE10" s="48">
        <f>IFERROR(CHOOSE($A$3,INDEX('データ'!BE$491:BE$553,$C10),INDEX('データ'!BE$558:BE$620,$C10),INDEX('データ'!BE$625:BE$687,$C10),INDEX('データ'!BE$692:BE$754,$C10)),0)</f>
        <v>0.0</v>
      </c>
      <c r="BF10" s="48">
        <f>IFERROR(CHOOSE($A$3,INDEX('データ'!BF$491:BF$553,$C10),INDEX('データ'!BF$558:BF$620,$C10),INDEX('データ'!BF$625:BF$687,$C10),INDEX('データ'!BF$692:BF$754,$C10)),0)</f>
        <v>0.0</v>
      </c>
      <c r="BG10" s="48">
        <f>IFERROR(CHOOSE($A$3,INDEX('データ'!BG$491:BG$553,$C10),INDEX('データ'!BG$558:BG$620,$C10),INDEX('データ'!BG$625:BG$687,$C10),INDEX('データ'!BG$692:BG$754,$C10)),0)</f>
        <v>0.0</v>
      </c>
    </row>
    <row r="11" spans="1:59" ht="22" customHeight="1">
      <c r="B11" s="44" t="s">
        <v>216</v>
      </c>
      <c r="C11" s="47">
        <f>MATCH($C$3&amp;"|"&amp;$B11,'データ'!$A$491:$A$553,0)</f>
        <v>5</v>
      </c>
      <c r="D11" s="48">
        <f>IFERROR(CHOOSE($A$3,INDEX('データ'!D$491:D$553,$C11),INDEX('データ'!D$558:D$620,$C11),INDEX('データ'!D$625:D$687,$C11),INDEX('データ'!D$692:D$754,$C11)),0)</f>
        <v>0.0</v>
      </c>
      <c r="E11" s="48">
        <f>IFERROR(CHOOSE($A$3,INDEX('データ'!E$491:E$553,$C11),INDEX('データ'!E$558:E$620,$C11),INDEX('データ'!E$625:E$687,$C11),INDEX('データ'!E$692:E$754,$C11)),0)</f>
        <v>0.0</v>
      </c>
      <c r="F11" s="48">
        <f>IFERROR(CHOOSE($A$3,INDEX('データ'!F$491:F$553,$C11),INDEX('データ'!F$558:F$620,$C11),INDEX('データ'!F$625:F$687,$C11),INDEX('データ'!F$692:F$754,$C11)),0)</f>
        <v>1.0</v>
      </c>
      <c r="G11" s="48">
        <f>IFERROR(CHOOSE($A$3,INDEX('データ'!G$491:G$553,$C11),INDEX('データ'!G$558:G$620,$C11),INDEX('データ'!G$625:G$687,$C11),INDEX('データ'!G$692:G$754,$C11)),0)</f>
        <v>37.0</v>
      </c>
      <c r="H11" s="48">
        <f>IFERROR(CHOOSE($A$3,INDEX('データ'!H$491:H$553,$C11),INDEX('データ'!H$558:H$620,$C11),INDEX('データ'!H$625:H$687,$C11),INDEX('データ'!H$692:H$754,$C11)),0)</f>
        <v>315.0</v>
      </c>
      <c r="I11" s="48">
        <f>IFERROR(CHOOSE($A$3,INDEX('データ'!I$491:I$553,$C11),INDEX('データ'!I$558:I$620,$C11),INDEX('データ'!I$625:I$687,$C11),INDEX('データ'!I$692:I$754,$C11)),0)</f>
        <v>1264.0</v>
      </c>
      <c r="J11" s="48">
        <f>IFERROR(CHOOSE($A$3,INDEX('データ'!J$491:J$553,$C11),INDEX('データ'!J$558:J$620,$C11),INDEX('データ'!J$625:J$687,$C11),INDEX('データ'!J$692:J$754,$C11)),0)</f>
        <v>2932.0</v>
      </c>
      <c r="K11" s="48">
        <f>IFERROR(CHOOSE($A$3,INDEX('データ'!K$491:K$553,$C11),INDEX('データ'!K$558:K$620,$C11),INDEX('データ'!K$625:K$687,$C11),INDEX('データ'!K$692:K$754,$C11)),0)</f>
        <v>3282.0</v>
      </c>
      <c r="L11" s="48">
        <f>IFERROR(CHOOSE($A$3,INDEX('データ'!L$491:L$553,$C11),INDEX('データ'!L$558:L$620,$C11),INDEX('データ'!L$625:L$687,$C11),INDEX('データ'!L$692:L$754,$C11)),0)</f>
        <v>3617.0</v>
      </c>
      <c r="M11" s="48">
        <f>IFERROR(CHOOSE($A$3,INDEX('データ'!M$491:M$553,$C11),INDEX('データ'!M$558:M$620,$C11),INDEX('データ'!M$625:M$687,$C11),INDEX('データ'!M$692:M$754,$C11)),0)</f>
        <v>4162.0</v>
      </c>
      <c r="N11" s="48">
        <f>IFERROR(CHOOSE($A$3,INDEX('データ'!N$491:N$553,$C11),INDEX('データ'!N$558:N$620,$C11),INDEX('データ'!N$625:N$687,$C11),INDEX('データ'!N$692:N$754,$C11)),0)</f>
        <v>4403.0</v>
      </c>
      <c r="O11" s="48">
        <f>IFERROR(CHOOSE($A$3,INDEX('データ'!O$491:O$553,$C11),INDEX('データ'!O$558:O$620,$C11),INDEX('データ'!O$625:O$687,$C11),INDEX('データ'!O$692:O$754,$C11)),0)</f>
        <v>4515.0</v>
      </c>
      <c r="P11" s="48">
        <f>IFERROR(CHOOSE($A$3,INDEX('データ'!P$491:P$553,$C11),INDEX('データ'!P$558:P$620,$C11),INDEX('データ'!P$625:P$687,$C11),INDEX('データ'!P$692:P$754,$C11)),0)</f>
        <v>4835.0</v>
      </c>
      <c r="Q11" s="48">
        <f>IFERROR(CHOOSE($A$3,INDEX('データ'!Q$491:Q$553,$C11),INDEX('データ'!Q$558:Q$620,$C11),INDEX('データ'!Q$625:Q$687,$C11),INDEX('データ'!Q$692:Q$754,$C11)),0)</f>
        <v>5048.0</v>
      </c>
      <c r="R11" s="48">
        <f>IFERROR(CHOOSE($A$3,INDEX('データ'!R$491:R$553,$C11),INDEX('データ'!R$558:R$620,$C11),INDEX('データ'!R$625:R$687,$C11),INDEX('データ'!R$692:R$754,$C11)),0)</f>
        <v>5137.0</v>
      </c>
      <c r="S11" s="48">
        <f>IFERROR(CHOOSE($A$3,INDEX('データ'!S$491:S$553,$C11),INDEX('データ'!S$558:S$620,$C11),INDEX('データ'!S$625:S$687,$C11),INDEX('データ'!S$692:S$754,$C11)),0)</f>
        <v>5207.0</v>
      </c>
      <c r="T11" s="48">
        <f>IFERROR(CHOOSE($A$3,INDEX('データ'!T$491:T$553,$C11),INDEX('データ'!T$558:T$620,$C11),INDEX('データ'!T$625:T$687,$C11),INDEX('データ'!T$692:T$754,$C11)),0)</f>
        <v>4933.0</v>
      </c>
      <c r="U11" s="48">
        <f>IFERROR(CHOOSE($A$3,INDEX('データ'!U$491:U$553,$C11),INDEX('データ'!U$558:U$620,$C11),INDEX('データ'!U$625:U$687,$C11),INDEX('データ'!U$692:U$754,$C11)),0)</f>
        <v>4811.0</v>
      </c>
      <c r="V11" s="48">
        <f>IFERROR(CHOOSE($A$3,INDEX('データ'!V$491:V$553,$C11),INDEX('データ'!V$558:V$620,$C11),INDEX('データ'!V$625:V$687,$C11),INDEX('データ'!V$692:V$754,$C11)),0)</f>
        <v>4546.0</v>
      </c>
      <c r="W11" s="48">
        <f>IFERROR(CHOOSE($A$3,INDEX('データ'!W$491:W$553,$C11),INDEX('データ'!W$558:W$620,$C11),INDEX('データ'!W$625:W$687,$C11),INDEX('データ'!W$692:W$754,$C11)),0)</f>
        <v>4233.0</v>
      </c>
      <c r="X11" s="48">
        <f>IFERROR(CHOOSE($A$3,INDEX('データ'!X$491:X$553,$C11),INDEX('データ'!X$558:X$620,$C11),INDEX('データ'!X$625:X$687,$C11),INDEX('データ'!X$692:X$754,$C11)),0)</f>
        <v>3944.0</v>
      </c>
      <c r="Y11" s="48">
        <f>IFERROR(CHOOSE($A$3,INDEX('データ'!Y$491:Y$553,$C11),INDEX('データ'!Y$558:Y$620,$C11),INDEX('データ'!Y$625:Y$687,$C11),INDEX('データ'!Y$692:Y$754,$C11)),0)</f>
        <v>3891.0</v>
      </c>
      <c r="Z11" s="48">
        <f>IFERROR(CHOOSE($A$3,INDEX('データ'!Z$491:Z$553,$C11),INDEX('データ'!Z$558:Z$620,$C11),INDEX('データ'!Z$625:Z$687,$C11),INDEX('データ'!Z$692:Z$754,$C11)),0)</f>
        <v>3844.0</v>
      </c>
      <c r="AA11" s="48">
        <f>IFERROR(CHOOSE($A$3,INDEX('データ'!AA$491:AA$553,$C11),INDEX('データ'!AA$558:AA$620,$C11),INDEX('データ'!AA$625:AA$687,$C11),INDEX('データ'!AA$692:AA$754,$C11)),0)</f>
        <v>3937.0</v>
      </c>
      <c r="AB11" s="48">
        <f>IFERROR(CHOOSE($A$3,INDEX('データ'!AB$491:AB$553,$C11),INDEX('データ'!AB$558:AB$620,$C11),INDEX('データ'!AB$625:AB$687,$C11),INDEX('データ'!AB$692:AB$754,$C11)),0)</f>
        <v>4286.0</v>
      </c>
      <c r="AC11" s="48">
        <f>IFERROR(CHOOSE($A$3,INDEX('データ'!AC$491:AC$553,$C11),INDEX('データ'!AC$558:AC$620,$C11),INDEX('データ'!AC$625:AC$687,$C11),INDEX('データ'!AC$692:AC$754,$C11)),0)</f>
        <v>4619.0</v>
      </c>
      <c r="AD11" s="48">
        <f>IFERROR(CHOOSE($A$3,INDEX('データ'!AD$491:AD$553,$C11),INDEX('データ'!AD$558:AD$620,$C11),INDEX('データ'!AD$625:AD$687,$C11),INDEX('データ'!AD$692:AD$754,$C11)),0)</f>
        <v>4832.0</v>
      </c>
      <c r="AE11" s="48">
        <f>IFERROR(CHOOSE($A$3,INDEX('データ'!AE$491:AE$553,$C11),INDEX('データ'!AE$558:AE$620,$C11),INDEX('データ'!AE$625:AE$687,$C11),INDEX('データ'!AE$692:AE$754,$C11)),0)</f>
        <v>4901.0</v>
      </c>
      <c r="AF11" s="48">
        <f>IFERROR(CHOOSE($A$3,INDEX('データ'!AF$491:AF$553,$C11),INDEX('データ'!AF$558:AF$620,$C11),INDEX('データ'!AF$625:AF$687,$C11),INDEX('データ'!AF$692:AF$754,$C11)),0)</f>
        <v>4850.0</v>
      </c>
      <c r="AG11" s="48">
        <f>IFERROR(CHOOSE($A$3,INDEX('データ'!AG$491:AG$553,$C11),INDEX('データ'!AG$558:AG$620,$C11),INDEX('データ'!AG$625:AG$687,$C11),INDEX('データ'!AG$692:AG$754,$C11)),0)</f>
        <v>5012.0</v>
      </c>
      <c r="AH11" s="48">
        <f>IFERROR(CHOOSE($A$3,INDEX('データ'!AH$491:AH$553,$C11),INDEX('データ'!AH$558:AH$620,$C11),INDEX('データ'!AH$625:AH$687,$C11),INDEX('データ'!AH$692:AH$754,$C11)),0)</f>
        <v>4697.0</v>
      </c>
      <c r="AI11" s="48">
        <f>IFERROR(CHOOSE($A$3,INDEX('データ'!AI$491:AI$553,$C11),INDEX('データ'!AI$558:AI$620,$C11),INDEX('データ'!AI$625:AI$687,$C11),INDEX('データ'!AI$692:AI$754,$C11)),0)</f>
        <v>4696.0</v>
      </c>
      <c r="AJ11" s="48">
        <f>IFERROR(CHOOSE($A$3,INDEX('データ'!AJ$491:AJ$553,$C11),INDEX('データ'!AJ$558:AJ$620,$C11),INDEX('データ'!AJ$625:AJ$687,$C11),INDEX('データ'!AJ$692:AJ$754,$C11)),0)</f>
        <v>4567.0</v>
      </c>
      <c r="AK11" s="48">
        <f>IFERROR(CHOOSE($A$3,INDEX('データ'!AK$491:AK$553,$C11),INDEX('データ'!AK$558:AK$620,$C11),INDEX('データ'!AK$625:AK$687,$C11),INDEX('データ'!AK$692:AK$754,$C11)),0)</f>
        <v>4410.0</v>
      </c>
      <c r="AL11" s="48">
        <f>IFERROR(CHOOSE($A$3,INDEX('データ'!AL$491:AL$553,$C11),INDEX('データ'!AL$558:AL$620,$C11),INDEX('データ'!AL$625:AL$687,$C11),INDEX('データ'!AL$692:AL$754,$C11)),0)</f>
        <v>4580.0</v>
      </c>
      <c r="AM11" s="48">
        <f>IFERROR(CHOOSE($A$3,INDEX('データ'!AM$491:AM$553,$C11),INDEX('データ'!AM$558:AM$620,$C11),INDEX('データ'!AM$625:AM$687,$C11),INDEX('データ'!AM$692:AM$754,$C11)),0)</f>
        <v>4379.0</v>
      </c>
      <c r="AN11" s="48">
        <f>IFERROR(CHOOSE($A$3,INDEX('データ'!AN$491:AN$553,$C11),INDEX('データ'!AN$558:AN$620,$C11),INDEX('データ'!AN$625:AN$687,$C11),INDEX('データ'!AN$692:AN$754,$C11)),0)</f>
        <v>4453.0</v>
      </c>
      <c r="AO11" s="48">
        <f>IFERROR(CHOOSE($A$3,INDEX('データ'!AO$491:AO$553,$C11),INDEX('データ'!AO$558:AO$620,$C11),INDEX('データ'!AO$625:AO$687,$C11),INDEX('データ'!AO$692:AO$754,$C11)),0)</f>
        <v>4384.0</v>
      </c>
      <c r="AP11" s="48">
        <f>IFERROR(CHOOSE($A$3,INDEX('データ'!AP$491:AP$553,$C11),INDEX('データ'!AP$558:AP$620,$C11),INDEX('データ'!AP$625:AP$687,$C11),INDEX('データ'!AP$692:AP$754,$C11)),0)</f>
        <v>4053.0</v>
      </c>
      <c r="AQ11" s="48">
        <f>IFERROR(CHOOSE($A$3,INDEX('データ'!AQ$491:AQ$553,$C11),INDEX('データ'!AQ$558:AQ$620,$C11),INDEX('データ'!AQ$625:AQ$687,$C11),INDEX('データ'!AQ$692:AQ$754,$C11)),0)</f>
        <v>3100.0</v>
      </c>
      <c r="AR11" s="48">
        <f>IFERROR(CHOOSE($A$3,INDEX('データ'!AR$491:AR$553,$C11),INDEX('データ'!AR$558:AR$620,$C11),INDEX('データ'!AR$625:AR$687,$C11),INDEX('データ'!AR$692:AR$754,$C11)),0)</f>
        <v>1624.0</v>
      </c>
      <c r="AS11" s="48">
        <f>IFERROR(CHOOSE($A$3,INDEX('データ'!AS$491:AS$553,$C11),INDEX('データ'!AS$558:AS$620,$C11),INDEX('データ'!AS$625:AS$687,$C11),INDEX('データ'!AS$692:AS$754,$C11)),0)</f>
        <v>439.0</v>
      </c>
      <c r="AT11" s="48">
        <f>IFERROR(CHOOSE($A$3,INDEX('データ'!AT$491:AT$553,$C11),INDEX('データ'!AT$558:AT$620,$C11),INDEX('データ'!AT$625:AT$687,$C11),INDEX('データ'!AT$692:AT$754,$C11)),0)</f>
        <v>101.0</v>
      </c>
      <c r="AU11" s="48">
        <f>IFERROR(CHOOSE($A$3,INDEX('データ'!AU$491:AU$553,$C11),INDEX('データ'!AU$558:AU$620,$C11),INDEX('データ'!AU$625:AU$687,$C11),INDEX('データ'!AU$692:AU$754,$C11)),0)</f>
        <v>30.0</v>
      </c>
      <c r="AV11" s="48">
        <f>IFERROR(CHOOSE($A$3,INDEX('データ'!AV$491:AV$553,$C11),INDEX('データ'!AV$558:AV$620,$C11),INDEX('データ'!AV$625:AV$687,$C11),INDEX('データ'!AV$692:AV$754,$C11)),0)</f>
        <v>13.0</v>
      </c>
      <c r="AW11" s="48">
        <f>IFERROR(CHOOSE($A$3,INDEX('データ'!AW$491:AW$553,$C11),INDEX('データ'!AW$558:AW$620,$C11),INDEX('データ'!AW$625:AW$687,$C11),INDEX('データ'!AW$692:AW$754,$C11)),0)</f>
        <v>12.0</v>
      </c>
      <c r="AX11" s="48">
        <f>IFERROR(CHOOSE($A$3,INDEX('データ'!AX$491:AX$553,$C11),INDEX('データ'!AX$558:AX$620,$C11),INDEX('データ'!AX$625:AX$687,$C11),INDEX('データ'!AX$692:AX$754,$C11)),0)</f>
        <v>8.0</v>
      </c>
      <c r="AY11" s="48">
        <f>IFERROR(CHOOSE($A$3,INDEX('データ'!AY$491:AY$553,$C11),INDEX('データ'!AY$558:AY$620,$C11),INDEX('データ'!AY$625:AY$687,$C11),INDEX('データ'!AY$692:AY$754,$C11)),0)</f>
        <v>6.0</v>
      </c>
      <c r="AZ11" s="48">
        <f>IFERROR(CHOOSE($A$3,INDEX('データ'!AZ$491:AZ$553,$C11),INDEX('データ'!AZ$558:AZ$620,$C11),INDEX('データ'!AZ$625:AZ$687,$C11),INDEX('データ'!AZ$692:AZ$754,$C11)),0)</f>
        <v>0.0</v>
      </c>
      <c r="BA11" s="48">
        <f>IFERROR(CHOOSE($A$3,INDEX('データ'!BA$491:BA$553,$C11),INDEX('データ'!BA$558:BA$620,$C11),INDEX('データ'!BA$625:BA$687,$C11),INDEX('データ'!BA$692:BA$754,$C11)),0)</f>
        <v>0.0</v>
      </c>
      <c r="BB11" s="48">
        <f>IFERROR(CHOOSE($A$3,INDEX('データ'!BB$491:BB$553,$C11),INDEX('データ'!BB$558:BB$620,$C11),INDEX('データ'!BB$625:BB$687,$C11),INDEX('データ'!BB$692:BB$754,$C11)),0)</f>
        <v>0.0</v>
      </c>
      <c r="BC11" s="48">
        <f>IFERROR(CHOOSE($A$3,INDEX('データ'!BC$491:BC$553,$C11),INDEX('データ'!BC$558:BC$620,$C11),INDEX('データ'!BC$625:BC$687,$C11),INDEX('データ'!BC$692:BC$754,$C11)),0)</f>
        <v>0.0</v>
      </c>
      <c r="BD11" s="48">
        <f>IFERROR(CHOOSE($A$3,INDEX('データ'!BD$491:BD$553,$C11),INDEX('データ'!BD$558:BD$620,$C11),INDEX('データ'!BD$625:BD$687,$C11),INDEX('データ'!BD$692:BD$754,$C11)),0)</f>
        <v>0.0</v>
      </c>
      <c r="BE11" s="48">
        <f>IFERROR(CHOOSE($A$3,INDEX('データ'!BE$491:BE$553,$C11),INDEX('データ'!BE$558:BE$620,$C11),INDEX('データ'!BE$625:BE$687,$C11),INDEX('データ'!BE$692:BE$754,$C11)),0)</f>
        <v>0.0</v>
      </c>
      <c r="BF11" s="48">
        <f>IFERROR(CHOOSE($A$3,INDEX('データ'!BF$491:BF$553,$C11),INDEX('データ'!BF$558:BF$620,$C11),INDEX('データ'!BF$625:BF$687,$C11),INDEX('データ'!BF$692:BF$754,$C11)),0)</f>
        <v>0.0</v>
      </c>
      <c r="BG11" s="48">
        <f>IFERROR(CHOOSE($A$3,INDEX('データ'!BG$491:BG$553,$C11),INDEX('データ'!BG$558:BG$620,$C11),INDEX('データ'!BG$625:BG$687,$C11),INDEX('データ'!BG$692:BG$754,$C11)),0)</f>
        <v>0.0</v>
      </c>
    </row>
    <row r="12" spans="1:59" ht="22" customHeight="1">
      <c r="B12" s="44" t="s">
        <v>218</v>
      </c>
      <c r="C12" s="47">
        <f>MATCH($C$3&amp;"|"&amp;$B12,'データ'!$A$491:$A$553,0)</f>
        <v>6</v>
      </c>
      <c r="D12" s="48">
        <f>IFERROR(CHOOSE($A$3,INDEX('データ'!D$491:D$553,$C12),INDEX('データ'!D$558:D$620,$C12),INDEX('データ'!D$625:D$687,$C12),INDEX('データ'!D$692:D$754,$C12)),0)</f>
        <v>0.0</v>
      </c>
      <c r="E12" s="48">
        <f>IFERROR(CHOOSE($A$3,INDEX('データ'!E$491:E$553,$C12),INDEX('データ'!E$558:E$620,$C12),INDEX('データ'!E$625:E$687,$C12),INDEX('データ'!E$692:E$754,$C12)),0)</f>
        <v>0.0</v>
      </c>
      <c r="F12" s="48">
        <f>IFERROR(CHOOSE($A$3,INDEX('データ'!F$491:F$553,$C12),INDEX('データ'!F$558:F$620,$C12),INDEX('データ'!F$625:F$687,$C12),INDEX('データ'!F$692:F$754,$C12)),0)</f>
        <v>0.0</v>
      </c>
      <c r="G12" s="48">
        <f>IFERROR(CHOOSE($A$3,INDEX('データ'!G$491:G$553,$C12),INDEX('データ'!G$558:G$620,$C12),INDEX('データ'!G$625:G$687,$C12),INDEX('データ'!G$692:G$754,$C12)),0)</f>
        <v>0.0</v>
      </c>
      <c r="H12" s="48">
        <f>IFERROR(CHOOSE($A$3,INDEX('データ'!H$491:H$553,$C12),INDEX('データ'!H$558:H$620,$C12),INDEX('データ'!H$625:H$687,$C12),INDEX('データ'!H$692:H$754,$C12)),0)</f>
        <v>1.0</v>
      </c>
      <c r="I12" s="48">
        <f>IFERROR(CHOOSE($A$3,INDEX('データ'!I$491:I$553,$C12),INDEX('データ'!I$558:I$620,$C12),INDEX('データ'!I$625:I$687,$C12),INDEX('データ'!I$692:I$754,$C12)),0)</f>
        <v>10.0</v>
      </c>
      <c r="J12" s="48">
        <f>IFERROR(CHOOSE($A$3,INDEX('データ'!J$491:J$553,$C12),INDEX('データ'!J$558:J$620,$C12),INDEX('データ'!J$625:J$687,$C12),INDEX('データ'!J$692:J$754,$C12)),0)</f>
        <v>19.0</v>
      </c>
      <c r="K12" s="48">
        <f>IFERROR(CHOOSE($A$3,INDEX('データ'!K$491:K$553,$C12),INDEX('データ'!K$558:K$620,$C12),INDEX('データ'!K$625:K$687,$C12),INDEX('データ'!K$692:K$754,$C12)),0)</f>
        <v>11.0</v>
      </c>
      <c r="L12" s="48">
        <f>IFERROR(CHOOSE($A$3,INDEX('データ'!L$491:L$553,$C12),INDEX('データ'!L$558:L$620,$C12),INDEX('データ'!L$625:L$687,$C12),INDEX('データ'!L$692:L$754,$C12)),0)</f>
        <v>10.0</v>
      </c>
      <c r="M12" s="48">
        <f>IFERROR(CHOOSE($A$3,INDEX('データ'!M$491:M$553,$C12),INDEX('データ'!M$558:M$620,$C12),INDEX('データ'!M$625:M$687,$C12),INDEX('データ'!M$692:M$754,$C12)),0)</f>
        <v>12.0</v>
      </c>
      <c r="N12" s="48">
        <f>IFERROR(CHOOSE($A$3,INDEX('データ'!N$491:N$553,$C12),INDEX('データ'!N$558:N$620,$C12),INDEX('データ'!N$625:N$687,$C12),INDEX('データ'!N$692:N$754,$C12)),0)</f>
        <v>14.0</v>
      </c>
      <c r="O12" s="48">
        <f>IFERROR(CHOOSE($A$3,INDEX('データ'!O$491:O$553,$C12),INDEX('データ'!O$558:O$620,$C12),INDEX('データ'!O$625:O$687,$C12),INDEX('データ'!O$692:O$754,$C12)),0)</f>
        <v>10.0</v>
      </c>
      <c r="P12" s="48">
        <f>IFERROR(CHOOSE($A$3,INDEX('データ'!P$491:P$553,$C12),INDEX('データ'!P$558:P$620,$C12),INDEX('データ'!P$625:P$687,$C12),INDEX('データ'!P$692:P$754,$C12)),0)</f>
        <v>9.0</v>
      </c>
      <c r="Q12" s="48">
        <f>IFERROR(CHOOSE($A$3,INDEX('データ'!Q$491:Q$553,$C12),INDEX('データ'!Q$558:Q$620,$C12),INDEX('データ'!Q$625:Q$687,$C12),INDEX('データ'!Q$692:Q$754,$C12)),0)</f>
        <v>8.0</v>
      </c>
      <c r="R12" s="48">
        <f>IFERROR(CHOOSE($A$3,INDEX('データ'!R$491:R$553,$C12),INDEX('データ'!R$558:R$620,$C12),INDEX('データ'!R$625:R$687,$C12),INDEX('データ'!R$692:R$754,$C12)),0)</f>
        <v>6.0</v>
      </c>
      <c r="S12" s="48">
        <f>IFERROR(CHOOSE($A$3,INDEX('データ'!S$491:S$553,$C12),INDEX('データ'!S$558:S$620,$C12),INDEX('データ'!S$625:S$687,$C12),INDEX('データ'!S$692:S$754,$C12)),0)</f>
        <v>11.0</v>
      </c>
      <c r="T12" s="48">
        <f>IFERROR(CHOOSE($A$3,INDEX('データ'!T$491:T$553,$C12),INDEX('データ'!T$558:T$620,$C12),INDEX('データ'!T$625:T$687,$C12),INDEX('データ'!T$692:T$754,$C12)),0)</f>
        <v>8.0</v>
      </c>
      <c r="U12" s="48">
        <f>IFERROR(CHOOSE($A$3,INDEX('データ'!U$491:U$553,$C12),INDEX('データ'!U$558:U$620,$C12),INDEX('データ'!U$625:U$687,$C12),INDEX('データ'!U$692:U$754,$C12)),0)</f>
        <v>12.0</v>
      </c>
      <c r="V12" s="48">
        <f>IFERROR(CHOOSE($A$3,INDEX('データ'!V$491:V$553,$C12),INDEX('データ'!V$558:V$620,$C12),INDEX('データ'!V$625:V$687,$C12),INDEX('データ'!V$692:V$754,$C12)),0)</f>
        <v>6.0</v>
      </c>
      <c r="W12" s="48">
        <f>IFERROR(CHOOSE($A$3,INDEX('データ'!W$491:W$553,$C12),INDEX('データ'!W$558:W$620,$C12),INDEX('データ'!W$625:W$687,$C12),INDEX('データ'!W$692:W$754,$C12)),0)</f>
        <v>13.0</v>
      </c>
      <c r="X12" s="48">
        <f>IFERROR(CHOOSE($A$3,INDEX('データ'!X$491:X$553,$C12),INDEX('データ'!X$558:X$620,$C12),INDEX('データ'!X$625:X$687,$C12),INDEX('データ'!X$692:X$754,$C12)),0)</f>
        <v>1.0</v>
      </c>
      <c r="Y12" s="48">
        <f>IFERROR(CHOOSE($A$3,INDEX('データ'!Y$491:Y$553,$C12),INDEX('データ'!Y$558:Y$620,$C12),INDEX('データ'!Y$625:Y$687,$C12),INDEX('データ'!Y$692:Y$754,$C12)),0)</f>
        <v>0.0</v>
      </c>
      <c r="Z12" s="48">
        <f>IFERROR(CHOOSE($A$3,INDEX('データ'!Z$491:Z$553,$C12),INDEX('データ'!Z$558:Z$620,$C12),INDEX('データ'!Z$625:Z$687,$C12),INDEX('データ'!Z$692:Z$754,$C12)),0)</f>
        <v>0.0</v>
      </c>
      <c r="AA12" s="48">
        <f>IFERROR(CHOOSE($A$3,INDEX('データ'!AA$491:AA$553,$C12),INDEX('データ'!AA$558:AA$620,$C12),INDEX('データ'!AA$625:AA$687,$C12),INDEX('データ'!AA$692:AA$754,$C12)),0)</f>
        <v>0.0</v>
      </c>
      <c r="AB12" s="48">
        <f>IFERROR(CHOOSE($A$3,INDEX('データ'!AB$491:AB$553,$C12),INDEX('データ'!AB$558:AB$620,$C12),INDEX('データ'!AB$625:AB$687,$C12),INDEX('データ'!AB$692:AB$754,$C12)),0)</f>
        <v>0.0</v>
      </c>
      <c r="AC12" s="48">
        <f>IFERROR(CHOOSE($A$3,INDEX('データ'!AC$491:AC$553,$C12),INDEX('データ'!AC$558:AC$620,$C12),INDEX('データ'!AC$625:AC$687,$C12),INDEX('データ'!AC$692:AC$754,$C12)),0)</f>
        <v>0.0</v>
      </c>
      <c r="AD12" s="48">
        <f>IFERROR(CHOOSE($A$3,INDEX('データ'!AD$491:AD$553,$C12),INDEX('データ'!AD$558:AD$620,$C12),INDEX('データ'!AD$625:AD$687,$C12),INDEX('データ'!AD$692:AD$754,$C12)),0)</f>
        <v>0.0</v>
      </c>
      <c r="AE12" s="48">
        <f>IFERROR(CHOOSE($A$3,INDEX('データ'!AE$491:AE$553,$C12),INDEX('データ'!AE$558:AE$620,$C12),INDEX('データ'!AE$625:AE$687,$C12),INDEX('データ'!AE$692:AE$754,$C12)),0)</f>
        <v>0.0</v>
      </c>
      <c r="AF12" s="48">
        <f>IFERROR(CHOOSE($A$3,INDEX('データ'!AF$491:AF$553,$C12),INDEX('データ'!AF$558:AF$620,$C12),INDEX('データ'!AF$625:AF$687,$C12),INDEX('データ'!AF$692:AF$754,$C12)),0)</f>
        <v>0.0</v>
      </c>
      <c r="AG12" s="48">
        <f>IFERROR(CHOOSE($A$3,INDEX('データ'!AG$491:AG$553,$C12),INDEX('データ'!AG$558:AG$620,$C12),INDEX('データ'!AG$625:AG$687,$C12),INDEX('データ'!AG$692:AG$754,$C12)),0)</f>
        <v>0.0</v>
      </c>
      <c r="AH12" s="48">
        <f>IFERROR(CHOOSE($A$3,INDEX('データ'!AH$491:AH$553,$C12),INDEX('データ'!AH$558:AH$620,$C12),INDEX('データ'!AH$625:AH$687,$C12),INDEX('データ'!AH$692:AH$754,$C12)),0)</f>
        <v>0.0</v>
      </c>
      <c r="AI12" s="48">
        <f>IFERROR(CHOOSE($A$3,INDEX('データ'!AI$491:AI$553,$C12),INDEX('データ'!AI$558:AI$620,$C12),INDEX('データ'!AI$625:AI$687,$C12),INDEX('データ'!AI$692:AI$754,$C12)),0)</f>
        <v>0.0</v>
      </c>
      <c r="AJ12" s="48">
        <f>IFERROR(CHOOSE($A$3,INDEX('データ'!AJ$491:AJ$553,$C12),INDEX('データ'!AJ$558:AJ$620,$C12),INDEX('データ'!AJ$625:AJ$687,$C12),INDEX('データ'!AJ$692:AJ$754,$C12)),0)</f>
        <v>0.0</v>
      </c>
      <c r="AK12" s="48">
        <f>IFERROR(CHOOSE($A$3,INDEX('データ'!AK$491:AK$553,$C12),INDEX('データ'!AK$558:AK$620,$C12),INDEX('データ'!AK$625:AK$687,$C12),INDEX('データ'!AK$692:AK$754,$C12)),0)</f>
        <v>0.0</v>
      </c>
      <c r="AL12" s="48">
        <f>IFERROR(CHOOSE($A$3,INDEX('データ'!AL$491:AL$553,$C12),INDEX('データ'!AL$558:AL$620,$C12),INDEX('データ'!AL$625:AL$687,$C12),INDEX('データ'!AL$692:AL$754,$C12)),0)</f>
        <v>3.0</v>
      </c>
      <c r="AM12" s="48">
        <f>IFERROR(CHOOSE($A$3,INDEX('データ'!AM$491:AM$553,$C12),INDEX('データ'!AM$558:AM$620,$C12),INDEX('データ'!AM$625:AM$687,$C12),INDEX('データ'!AM$692:AM$754,$C12)),0)</f>
        <v>3.0</v>
      </c>
      <c r="AN12" s="48">
        <f>IFERROR(CHOOSE($A$3,INDEX('データ'!AN$491:AN$553,$C12),INDEX('データ'!AN$558:AN$620,$C12),INDEX('データ'!AN$625:AN$687,$C12),INDEX('データ'!AN$692:AN$754,$C12)),0)</f>
        <v>31.0</v>
      </c>
      <c r="AO12" s="48">
        <f>IFERROR(CHOOSE($A$3,INDEX('データ'!AO$491:AO$553,$C12),INDEX('データ'!AO$558:AO$620,$C12),INDEX('データ'!AO$625:AO$687,$C12),INDEX('データ'!AO$692:AO$754,$C12)),0)</f>
        <v>8.0</v>
      </c>
      <c r="AP12" s="48">
        <f>IFERROR(CHOOSE($A$3,INDEX('データ'!AP$491:AP$553,$C12),INDEX('データ'!AP$558:AP$620,$C12),INDEX('データ'!AP$625:AP$687,$C12),INDEX('データ'!AP$692:AP$754,$C12)),0)</f>
        <v>10.0</v>
      </c>
      <c r="AQ12" s="48">
        <f>IFERROR(CHOOSE($A$3,INDEX('データ'!AQ$491:AQ$553,$C12),INDEX('データ'!AQ$558:AQ$620,$C12),INDEX('データ'!AQ$625:AQ$687,$C12),INDEX('データ'!AQ$692:AQ$754,$C12)),0)</f>
        <v>19.0</v>
      </c>
      <c r="AR12" s="48">
        <f>IFERROR(CHOOSE($A$3,INDEX('データ'!AR$491:AR$553,$C12),INDEX('データ'!AR$558:AR$620,$C12),INDEX('データ'!AR$625:AR$687,$C12),INDEX('データ'!AR$692:AR$754,$C12)),0)</f>
        <v>40.0</v>
      </c>
      <c r="AS12" s="48">
        <f>IFERROR(CHOOSE($A$3,INDEX('データ'!AS$491:AS$553,$C12),INDEX('データ'!AS$558:AS$620,$C12),INDEX('データ'!AS$625:AS$687,$C12),INDEX('データ'!AS$692:AS$754,$C12)),0)</f>
        <v>10.0</v>
      </c>
      <c r="AT12" s="48">
        <f>IFERROR(CHOOSE($A$3,INDEX('データ'!AT$491:AT$553,$C12),INDEX('データ'!AT$558:AT$620,$C12),INDEX('データ'!AT$625:AT$687,$C12),INDEX('データ'!AT$692:AT$754,$C12)),0)</f>
        <v>4.0</v>
      </c>
      <c r="AU12" s="48">
        <f>IFERROR(CHOOSE($A$3,INDEX('データ'!AU$491:AU$553,$C12),INDEX('データ'!AU$558:AU$620,$C12),INDEX('データ'!AU$625:AU$687,$C12),INDEX('データ'!AU$692:AU$754,$C12)),0)</f>
        <v>18.0</v>
      </c>
      <c r="AV12" s="48">
        <f>IFERROR(CHOOSE($A$3,INDEX('データ'!AV$491:AV$553,$C12),INDEX('データ'!AV$558:AV$620,$C12),INDEX('データ'!AV$625:AV$687,$C12),INDEX('データ'!AV$692:AV$754,$C12)),0)</f>
        <v>10.0</v>
      </c>
      <c r="AW12" s="48">
        <f>IFERROR(CHOOSE($A$3,INDEX('データ'!AW$491:AW$553,$C12),INDEX('データ'!AW$558:AW$620,$C12),INDEX('データ'!AW$625:AW$687,$C12),INDEX('データ'!AW$692:AW$754,$C12)),0)</f>
        <v>0.0</v>
      </c>
      <c r="AX12" s="48">
        <f>IFERROR(CHOOSE($A$3,INDEX('データ'!AX$491:AX$553,$C12),INDEX('データ'!AX$558:AX$620,$C12),INDEX('データ'!AX$625:AX$687,$C12),INDEX('データ'!AX$692:AX$754,$C12)),0)</f>
        <v>0.0</v>
      </c>
      <c r="AY12" s="48">
        <f>IFERROR(CHOOSE($A$3,INDEX('データ'!AY$491:AY$553,$C12),INDEX('データ'!AY$558:AY$620,$C12),INDEX('データ'!AY$625:AY$687,$C12),INDEX('データ'!AY$692:AY$754,$C12)),0)</f>
        <v>0.0</v>
      </c>
      <c r="AZ12" s="48">
        <f>IFERROR(CHOOSE($A$3,INDEX('データ'!AZ$491:AZ$553,$C12),INDEX('データ'!AZ$558:AZ$620,$C12),INDEX('データ'!AZ$625:AZ$687,$C12),INDEX('データ'!AZ$692:AZ$754,$C12)),0)</f>
        <v>0.0</v>
      </c>
      <c r="BA12" s="48">
        <f>IFERROR(CHOOSE($A$3,INDEX('データ'!BA$491:BA$553,$C12),INDEX('データ'!BA$558:BA$620,$C12),INDEX('データ'!BA$625:BA$687,$C12),INDEX('データ'!BA$692:BA$754,$C12)),0)</f>
        <v>0.0</v>
      </c>
      <c r="BB12" s="48">
        <f>IFERROR(CHOOSE($A$3,INDEX('データ'!BB$491:BB$553,$C12),INDEX('データ'!BB$558:BB$620,$C12),INDEX('データ'!BB$625:BB$687,$C12),INDEX('データ'!BB$692:BB$754,$C12)),0)</f>
        <v>0.0</v>
      </c>
      <c r="BC12" s="48">
        <f>IFERROR(CHOOSE($A$3,INDEX('データ'!BC$491:BC$553,$C12),INDEX('データ'!BC$558:BC$620,$C12),INDEX('データ'!BC$625:BC$687,$C12),INDEX('データ'!BC$692:BC$754,$C12)),0)</f>
        <v>0.0</v>
      </c>
      <c r="BD12" s="48">
        <f>IFERROR(CHOOSE($A$3,INDEX('データ'!BD$491:BD$553,$C12),INDEX('データ'!BD$558:BD$620,$C12),INDEX('データ'!BD$625:BD$687,$C12),INDEX('データ'!BD$692:BD$754,$C12)),0)</f>
        <v>0.0</v>
      </c>
      <c r="BE12" s="48">
        <f>IFERROR(CHOOSE($A$3,INDEX('データ'!BE$491:BE$553,$C12),INDEX('データ'!BE$558:BE$620,$C12),INDEX('データ'!BE$625:BE$687,$C12),INDEX('データ'!BE$692:BE$754,$C12)),0)</f>
        <v>0.0</v>
      </c>
      <c r="BF12" s="48">
        <f>IFERROR(CHOOSE($A$3,INDEX('データ'!BF$491:BF$553,$C12),INDEX('データ'!BF$558:BF$620,$C12),INDEX('データ'!BF$625:BF$687,$C12),INDEX('データ'!BF$692:BF$754,$C12)),0)</f>
        <v>0.0</v>
      </c>
      <c r="BG12" s="48">
        <f>IFERROR(CHOOSE($A$3,INDEX('データ'!BG$491:BG$553,$C12),INDEX('データ'!BG$558:BG$620,$C12),INDEX('データ'!BG$625:BG$687,$C12),INDEX('データ'!BG$692:BG$754,$C12)),0)</f>
        <v>0.0</v>
      </c>
    </row>
    <row r="13" spans="1:59" ht="22" customHeight="1">
      <c r="B13" s="44" t="s">
        <v>220</v>
      </c>
      <c r="C13" s="47">
        <f>MATCH($C$3&amp;"|"&amp;$B13,'データ'!$A$491:$A$553,0)</f>
        <v>7</v>
      </c>
      <c r="D13" s="48">
        <f>IFERROR(CHOOSE($A$3,INDEX('データ'!D$491:D$553,$C13),INDEX('データ'!D$558:D$620,$C13),INDEX('データ'!D$625:D$687,$C13),INDEX('データ'!D$692:D$754,$C13)),0)</f>
        <v>0.0</v>
      </c>
      <c r="E13" s="48">
        <f>IFERROR(CHOOSE($A$3,INDEX('データ'!E$491:E$553,$C13),INDEX('データ'!E$558:E$620,$C13),INDEX('データ'!E$625:E$687,$C13),INDEX('データ'!E$692:E$754,$C13)),0)</f>
        <v>0.0</v>
      </c>
      <c r="F13" s="48">
        <f>IFERROR(CHOOSE($A$3,INDEX('データ'!F$491:F$553,$C13),INDEX('データ'!F$558:F$620,$C13),INDEX('データ'!F$625:F$687,$C13),INDEX('データ'!F$692:F$754,$C13)),0)</f>
        <v>0.0</v>
      </c>
      <c r="G13" s="48">
        <f>IFERROR(CHOOSE($A$3,INDEX('データ'!G$491:G$553,$C13),INDEX('データ'!G$558:G$620,$C13),INDEX('データ'!G$625:G$687,$C13),INDEX('データ'!G$692:G$754,$C13)),0)</f>
        <v>10.0</v>
      </c>
      <c r="H13" s="48">
        <f>IFERROR(CHOOSE($A$3,INDEX('データ'!H$491:H$553,$C13),INDEX('データ'!H$558:H$620,$C13),INDEX('データ'!H$625:H$687,$C13),INDEX('データ'!H$692:H$754,$C13)),0)</f>
        <v>83.0</v>
      </c>
      <c r="I13" s="48">
        <f>IFERROR(CHOOSE($A$3,INDEX('データ'!I$491:I$553,$C13),INDEX('データ'!I$558:I$620,$C13),INDEX('データ'!I$625:I$687,$C13),INDEX('データ'!I$692:I$754,$C13)),0)</f>
        <v>189.0</v>
      </c>
      <c r="J13" s="48">
        <f>IFERROR(CHOOSE($A$3,INDEX('データ'!J$491:J$553,$C13),INDEX('データ'!J$558:J$620,$C13),INDEX('データ'!J$625:J$687,$C13),INDEX('データ'!J$692:J$754,$C13)),0)</f>
        <v>218.0</v>
      </c>
      <c r="K13" s="48">
        <f>IFERROR(CHOOSE($A$3,INDEX('データ'!K$491:K$553,$C13),INDEX('データ'!K$558:K$620,$C13),INDEX('データ'!K$625:K$687,$C13),INDEX('データ'!K$692:K$754,$C13)),0)</f>
        <v>190.0</v>
      </c>
      <c r="L13" s="48">
        <f>IFERROR(CHOOSE($A$3,INDEX('データ'!L$491:L$553,$C13),INDEX('データ'!L$558:L$620,$C13),INDEX('データ'!L$625:L$687,$C13),INDEX('データ'!L$692:L$754,$C13)),0)</f>
        <v>146.0</v>
      </c>
      <c r="M13" s="48">
        <f>IFERROR(CHOOSE($A$3,INDEX('データ'!M$491:M$553,$C13),INDEX('データ'!M$558:M$620,$C13),INDEX('データ'!M$625:M$687,$C13),INDEX('データ'!M$692:M$754,$C13)),0)</f>
        <v>164.0</v>
      </c>
      <c r="N13" s="48">
        <f>IFERROR(CHOOSE($A$3,INDEX('データ'!N$491:N$553,$C13),INDEX('データ'!N$558:N$620,$C13),INDEX('データ'!N$625:N$687,$C13),INDEX('データ'!N$692:N$754,$C13)),0)</f>
        <v>142.0</v>
      </c>
      <c r="O13" s="48">
        <f>IFERROR(CHOOSE($A$3,INDEX('データ'!O$491:O$553,$C13),INDEX('データ'!O$558:O$620,$C13),INDEX('データ'!O$625:O$687,$C13),INDEX('データ'!O$692:O$754,$C13)),0)</f>
        <v>164.0</v>
      </c>
      <c r="P13" s="48">
        <f>IFERROR(CHOOSE($A$3,INDEX('データ'!P$491:P$553,$C13),INDEX('データ'!P$558:P$620,$C13),INDEX('データ'!P$625:P$687,$C13),INDEX('データ'!P$692:P$754,$C13)),0)</f>
        <v>130.0</v>
      </c>
      <c r="Q13" s="48">
        <f>IFERROR(CHOOSE($A$3,INDEX('データ'!Q$491:Q$553,$C13),INDEX('データ'!Q$558:Q$620,$C13),INDEX('データ'!Q$625:Q$687,$C13),INDEX('データ'!Q$692:Q$754,$C13)),0)</f>
        <v>149.0</v>
      </c>
      <c r="R13" s="48">
        <f>IFERROR(CHOOSE($A$3,INDEX('データ'!R$491:R$553,$C13),INDEX('データ'!R$558:R$620,$C13),INDEX('データ'!R$625:R$687,$C13),INDEX('データ'!R$692:R$754,$C13)),0)</f>
        <v>132.0</v>
      </c>
      <c r="S13" s="48">
        <f>IFERROR(CHOOSE($A$3,INDEX('データ'!S$491:S$553,$C13),INDEX('データ'!S$558:S$620,$C13),INDEX('データ'!S$625:S$687,$C13),INDEX('データ'!S$692:S$754,$C13)),0)</f>
        <v>130.0</v>
      </c>
      <c r="T13" s="48">
        <f>IFERROR(CHOOSE($A$3,INDEX('データ'!T$491:T$553,$C13),INDEX('データ'!T$558:T$620,$C13),INDEX('データ'!T$625:T$687,$C13),INDEX('データ'!T$692:T$754,$C13)),0)</f>
        <v>139.0</v>
      </c>
      <c r="U13" s="48">
        <f>IFERROR(CHOOSE($A$3,INDEX('データ'!U$491:U$553,$C13),INDEX('データ'!U$558:U$620,$C13),INDEX('データ'!U$625:U$687,$C13),INDEX('データ'!U$692:U$754,$C13)),0)</f>
        <v>171.0</v>
      </c>
      <c r="V13" s="48">
        <f>IFERROR(CHOOSE($A$3,INDEX('データ'!V$491:V$553,$C13),INDEX('データ'!V$558:V$620,$C13),INDEX('データ'!V$625:V$687,$C13),INDEX('データ'!V$692:V$754,$C13)),0)</f>
        <v>148.0</v>
      </c>
      <c r="W13" s="48">
        <f>IFERROR(CHOOSE($A$3,INDEX('データ'!W$491:W$553,$C13),INDEX('データ'!W$558:W$620,$C13),INDEX('データ'!W$625:W$687,$C13),INDEX('データ'!W$692:W$754,$C13)),0)</f>
        <v>55.0</v>
      </c>
      <c r="X13" s="48">
        <f>IFERROR(CHOOSE($A$3,INDEX('データ'!X$491:X$553,$C13),INDEX('データ'!X$558:X$620,$C13),INDEX('データ'!X$625:X$687,$C13),INDEX('データ'!X$692:X$754,$C13)),0)</f>
        <v>22.0</v>
      </c>
      <c r="Y13" s="48">
        <f>IFERROR(CHOOSE($A$3,INDEX('データ'!Y$491:Y$553,$C13),INDEX('データ'!Y$558:Y$620,$C13),INDEX('データ'!Y$625:Y$687,$C13),INDEX('データ'!Y$692:Y$754,$C13)),0)</f>
        <v>1.0</v>
      </c>
      <c r="Z13" s="48">
        <f>IFERROR(CHOOSE($A$3,INDEX('データ'!Z$491:Z$553,$C13),INDEX('データ'!Z$558:Z$620,$C13),INDEX('データ'!Z$625:Z$687,$C13),INDEX('データ'!Z$692:Z$754,$C13)),0)</f>
        <v>0.0</v>
      </c>
      <c r="AA13" s="48">
        <f>IFERROR(CHOOSE($A$3,INDEX('データ'!AA$491:AA$553,$C13),INDEX('データ'!AA$558:AA$620,$C13),INDEX('データ'!AA$625:AA$687,$C13),INDEX('データ'!AA$692:AA$754,$C13)),0)</f>
        <v>0.0</v>
      </c>
      <c r="AB13" s="48">
        <f>IFERROR(CHOOSE($A$3,INDEX('データ'!AB$491:AB$553,$C13),INDEX('データ'!AB$558:AB$620,$C13),INDEX('データ'!AB$625:AB$687,$C13),INDEX('データ'!AB$692:AB$754,$C13)),0)</f>
        <v>10.0</v>
      </c>
      <c r="AC13" s="48">
        <f>IFERROR(CHOOSE($A$3,INDEX('データ'!AC$491:AC$553,$C13),INDEX('データ'!AC$558:AC$620,$C13),INDEX('データ'!AC$625:AC$687,$C13),INDEX('データ'!AC$692:AC$754,$C13)),0)</f>
        <v>8.0</v>
      </c>
      <c r="AD13" s="48">
        <f>IFERROR(CHOOSE($A$3,INDEX('データ'!AD$491:AD$553,$C13),INDEX('データ'!AD$558:AD$620,$C13),INDEX('データ'!AD$625:AD$687,$C13),INDEX('データ'!AD$692:AD$754,$C13)),0)</f>
        <v>13.0</v>
      </c>
      <c r="AE13" s="48">
        <f>IFERROR(CHOOSE($A$3,INDEX('データ'!AE$491:AE$553,$C13),INDEX('データ'!AE$558:AE$620,$C13),INDEX('データ'!AE$625:AE$687,$C13),INDEX('データ'!AE$692:AE$754,$C13)),0)</f>
        <v>25.0</v>
      </c>
      <c r="AF13" s="48">
        <f>IFERROR(CHOOSE($A$3,INDEX('データ'!AF$491:AF$553,$C13),INDEX('データ'!AF$558:AF$620,$C13),INDEX('データ'!AF$625:AF$687,$C13),INDEX('データ'!AF$692:AF$754,$C13)),0)</f>
        <v>5.0</v>
      </c>
      <c r="AG13" s="48">
        <f>IFERROR(CHOOSE($A$3,INDEX('データ'!AG$491:AG$553,$C13),INDEX('データ'!AG$558:AG$620,$C13),INDEX('データ'!AG$625:AG$687,$C13),INDEX('データ'!AG$692:AG$754,$C13)),0)</f>
        <v>40.0</v>
      </c>
      <c r="AH13" s="48">
        <f>IFERROR(CHOOSE($A$3,INDEX('データ'!AH$491:AH$553,$C13),INDEX('データ'!AH$558:AH$620,$C13),INDEX('データ'!AH$625:AH$687,$C13),INDEX('データ'!AH$692:AH$754,$C13)),0)</f>
        <v>38.0</v>
      </c>
      <c r="AI13" s="48">
        <f>IFERROR(CHOOSE($A$3,INDEX('データ'!AI$491:AI$553,$C13),INDEX('データ'!AI$558:AI$620,$C13),INDEX('データ'!AI$625:AI$687,$C13),INDEX('データ'!AI$692:AI$754,$C13)),0)</f>
        <v>1.0</v>
      </c>
      <c r="AJ13" s="48">
        <f>IFERROR(CHOOSE($A$3,INDEX('データ'!AJ$491:AJ$553,$C13),INDEX('データ'!AJ$558:AJ$620,$C13),INDEX('データ'!AJ$625:AJ$687,$C13),INDEX('データ'!AJ$692:AJ$754,$C13)),0)</f>
        <v>3.0</v>
      </c>
      <c r="AK13" s="48">
        <f>IFERROR(CHOOSE($A$3,INDEX('データ'!AK$491:AK$553,$C13),INDEX('データ'!AK$558:AK$620,$C13),INDEX('データ'!AK$625:AK$687,$C13),INDEX('データ'!AK$692:AK$754,$C13)),0)</f>
        <v>44.0</v>
      </c>
      <c r="AL13" s="48">
        <f>IFERROR(CHOOSE($A$3,INDEX('データ'!AL$491:AL$553,$C13),INDEX('データ'!AL$558:AL$620,$C13),INDEX('データ'!AL$625:AL$687,$C13),INDEX('データ'!AL$692:AL$754,$C13)),0)</f>
        <v>45.0</v>
      </c>
      <c r="AM13" s="48">
        <f>IFERROR(CHOOSE($A$3,INDEX('データ'!AM$491:AM$553,$C13),INDEX('データ'!AM$558:AM$620,$C13),INDEX('データ'!AM$625:AM$687,$C13),INDEX('データ'!AM$692:AM$754,$C13)),0)</f>
        <v>24.0</v>
      </c>
      <c r="AN13" s="48">
        <f>IFERROR(CHOOSE($A$3,INDEX('データ'!AN$491:AN$553,$C13),INDEX('データ'!AN$558:AN$620,$C13),INDEX('データ'!AN$625:AN$687,$C13),INDEX('データ'!AN$692:AN$754,$C13)),0)</f>
        <v>23.0</v>
      </c>
      <c r="AO13" s="48">
        <f>IFERROR(CHOOSE($A$3,INDEX('データ'!AO$491:AO$553,$C13),INDEX('データ'!AO$558:AO$620,$C13),INDEX('データ'!AO$625:AO$687,$C13),INDEX('データ'!AO$692:AO$754,$C13)),0)</f>
        <v>18.0</v>
      </c>
      <c r="AP13" s="48">
        <f>IFERROR(CHOOSE($A$3,INDEX('データ'!AP$491:AP$553,$C13),INDEX('データ'!AP$558:AP$620,$C13),INDEX('データ'!AP$625:AP$687,$C13),INDEX('データ'!AP$692:AP$754,$C13)),0)</f>
        <v>41.0</v>
      </c>
      <c r="AQ13" s="48">
        <f>IFERROR(CHOOSE($A$3,INDEX('データ'!AQ$491:AQ$553,$C13),INDEX('データ'!AQ$558:AQ$620,$C13),INDEX('データ'!AQ$625:AQ$687,$C13),INDEX('データ'!AQ$692:AQ$754,$C13)),0)</f>
        <v>14.0</v>
      </c>
      <c r="AR13" s="48">
        <f>IFERROR(CHOOSE($A$3,INDEX('データ'!AR$491:AR$553,$C13),INDEX('データ'!AR$558:AR$620,$C13),INDEX('データ'!AR$625:AR$687,$C13),INDEX('データ'!AR$692:AR$754,$C13)),0)</f>
        <v>39.0</v>
      </c>
      <c r="AS13" s="48">
        <f>IFERROR(CHOOSE($A$3,INDEX('データ'!AS$491:AS$553,$C13),INDEX('データ'!AS$558:AS$620,$C13),INDEX('データ'!AS$625:AS$687,$C13),INDEX('データ'!AS$692:AS$754,$C13)),0)</f>
        <v>24.0</v>
      </c>
      <c r="AT13" s="48">
        <f>IFERROR(CHOOSE($A$3,INDEX('データ'!AT$491:AT$553,$C13),INDEX('データ'!AT$558:AT$620,$C13),INDEX('データ'!AT$625:AT$687,$C13),INDEX('データ'!AT$692:AT$754,$C13)),0)</f>
        <v>12.0</v>
      </c>
      <c r="AU13" s="48">
        <f>IFERROR(CHOOSE($A$3,INDEX('データ'!AU$491:AU$553,$C13),INDEX('データ'!AU$558:AU$620,$C13),INDEX('データ'!AU$625:AU$687,$C13),INDEX('データ'!AU$692:AU$754,$C13)),0)</f>
        <v>16.0</v>
      </c>
      <c r="AV13" s="48">
        <f>IFERROR(CHOOSE($A$3,INDEX('データ'!AV$491:AV$553,$C13),INDEX('データ'!AV$558:AV$620,$C13),INDEX('データ'!AV$625:AV$687,$C13),INDEX('データ'!AV$692:AV$754,$C13)),0)</f>
        <v>2.0</v>
      </c>
      <c r="AW13" s="48">
        <f>IFERROR(CHOOSE($A$3,INDEX('データ'!AW$491:AW$553,$C13),INDEX('データ'!AW$558:AW$620,$C13),INDEX('データ'!AW$625:AW$687,$C13),INDEX('データ'!AW$692:AW$754,$C13)),0)</f>
        <v>0.0</v>
      </c>
      <c r="AX13" s="48">
        <f>IFERROR(CHOOSE($A$3,INDEX('データ'!AX$491:AX$553,$C13),INDEX('データ'!AX$558:AX$620,$C13),INDEX('データ'!AX$625:AX$687,$C13),INDEX('データ'!AX$692:AX$754,$C13)),0)</f>
        <v>0.0</v>
      </c>
      <c r="AY13" s="48">
        <f>IFERROR(CHOOSE($A$3,INDEX('データ'!AY$491:AY$553,$C13),INDEX('データ'!AY$558:AY$620,$C13),INDEX('データ'!AY$625:AY$687,$C13),INDEX('データ'!AY$692:AY$754,$C13)),0)</f>
        <v>0.0</v>
      </c>
      <c r="AZ13" s="48">
        <f>IFERROR(CHOOSE($A$3,INDEX('データ'!AZ$491:AZ$553,$C13),INDEX('データ'!AZ$558:AZ$620,$C13),INDEX('データ'!AZ$625:AZ$687,$C13),INDEX('データ'!AZ$692:AZ$754,$C13)),0)</f>
        <v>0.0</v>
      </c>
      <c r="BA13" s="48">
        <f>IFERROR(CHOOSE($A$3,INDEX('データ'!BA$491:BA$553,$C13),INDEX('データ'!BA$558:BA$620,$C13),INDEX('データ'!BA$625:BA$687,$C13),INDEX('データ'!BA$692:BA$754,$C13)),0)</f>
        <v>0.0</v>
      </c>
      <c r="BB13" s="48">
        <f>IFERROR(CHOOSE($A$3,INDEX('データ'!BB$491:BB$553,$C13),INDEX('データ'!BB$558:BB$620,$C13),INDEX('データ'!BB$625:BB$687,$C13),INDEX('データ'!BB$692:BB$754,$C13)),0)</f>
        <v>0.0</v>
      </c>
      <c r="BC13" s="48">
        <f>IFERROR(CHOOSE($A$3,INDEX('データ'!BC$491:BC$553,$C13),INDEX('データ'!BC$558:BC$620,$C13),INDEX('データ'!BC$625:BC$687,$C13),INDEX('データ'!BC$692:BC$754,$C13)),0)</f>
        <v>0.0</v>
      </c>
      <c r="BD13" s="48">
        <f>IFERROR(CHOOSE($A$3,INDEX('データ'!BD$491:BD$553,$C13),INDEX('データ'!BD$558:BD$620,$C13),INDEX('データ'!BD$625:BD$687,$C13),INDEX('データ'!BD$692:BD$754,$C13)),0)</f>
        <v>0.0</v>
      </c>
      <c r="BE13" s="48">
        <f>IFERROR(CHOOSE($A$3,INDEX('データ'!BE$491:BE$553,$C13),INDEX('データ'!BE$558:BE$620,$C13),INDEX('データ'!BE$625:BE$687,$C13),INDEX('データ'!BE$692:BE$754,$C13)),0)</f>
        <v>0.0</v>
      </c>
      <c r="BF13" s="48">
        <f>IFERROR(CHOOSE($A$3,INDEX('データ'!BF$491:BF$553,$C13),INDEX('データ'!BF$558:BF$620,$C13),INDEX('データ'!BF$625:BF$687,$C13),INDEX('データ'!BF$692:BF$754,$C13)),0)</f>
        <v>0.0</v>
      </c>
      <c r="BG13" s="48">
        <f>IFERROR(CHOOSE($A$3,INDEX('データ'!BG$491:BG$553,$C13),INDEX('データ'!BG$558:BG$620,$C13),INDEX('データ'!BG$625:BG$687,$C13),INDEX('データ'!BG$692:BG$754,$C13)),0)</f>
        <v>0.0</v>
      </c>
    </row>
    <row r="15" spans="1:59">
      <c r="B15" s="3" t="s">
        <v>473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9">
      <c r="D16" s="46" t="s">
        <v>459</v>
      </c>
      <c r="E16" s="46"/>
      <c r="F16" s="46"/>
      <c r="G16" s="46"/>
      <c r="H16" s="46" t="s">
        <v>460</v>
      </c>
      <c r="I16" s="46"/>
      <c r="J16" s="46"/>
      <c r="K16" s="46"/>
      <c r="L16" s="46" t="s">
        <v>461</v>
      </c>
      <c r="M16" s="46"/>
      <c r="N16" s="46"/>
      <c r="O16" s="46"/>
      <c r="P16" s="46" t="s">
        <v>462</v>
      </c>
      <c r="Q16" s="46"/>
      <c r="R16" s="46"/>
      <c r="S16" s="46"/>
      <c r="T16" s="46" t="s">
        <v>463</v>
      </c>
      <c r="U16" s="46"/>
      <c r="V16" s="46"/>
      <c r="W16" s="46"/>
      <c r="X16" s="46" t="s">
        <v>464</v>
      </c>
      <c r="Y16" s="46"/>
      <c r="Z16" s="46"/>
      <c r="AA16" s="46"/>
      <c r="AB16" s="46" t="s">
        <v>465</v>
      </c>
      <c r="AC16" s="46"/>
      <c r="AD16" s="46"/>
      <c r="AE16" s="46"/>
      <c r="AF16" s="46" t="s">
        <v>466</v>
      </c>
      <c r="AG16" s="46"/>
      <c r="AH16" s="46"/>
      <c r="AI16" s="46"/>
      <c r="AJ16" s="46" t="s">
        <v>467</v>
      </c>
      <c r="AK16" s="46"/>
      <c r="AL16" s="46"/>
      <c r="AM16" s="46"/>
      <c r="AN16" s="46" t="s">
        <v>468</v>
      </c>
      <c r="AO16" s="46"/>
      <c r="AP16" s="46"/>
      <c r="AQ16" s="46"/>
      <c r="AR16" s="46" t="s">
        <v>469</v>
      </c>
      <c r="AS16" s="46"/>
      <c r="AT16" s="46"/>
      <c r="AU16" s="46"/>
      <c r="AV16" s="46" t="s">
        <v>470</v>
      </c>
      <c r="AW16" s="46"/>
      <c r="AX16" s="46"/>
      <c r="AY16" s="46"/>
      <c r="AZ16" s="46" t="s">
        <v>471</v>
      </c>
      <c r="BA16" s="46"/>
      <c r="BB16" s="46"/>
      <c r="BC16" s="46"/>
      <c r="BD16" s="46" t="s">
        <v>472</v>
      </c>
      <c r="BE16" s="46"/>
      <c r="BF16" s="46"/>
      <c r="BG16" s="46"/>
    </row>
    <row r="17" spans="2:61" ht="20" customHeight="1">
      <c r="B17" s="44" t="s">
        <v>68</v>
      </c>
      <c r="C17" s="47">
        <f>MATCH($C$3&amp;"|"&amp;$B17,'データ'!$A$7:$A$123,0)</f>
        <v>2</v>
      </c>
      <c r="D17" s="48">
        <f>IFERROR(CHOOSE($A$3,INDEX('データ'!D$7:D$123,$C17),INDEX('データ'!D$128:D$244,$C17),INDEX('データ'!D$249:D$365,$C17),INDEX('データ'!D$370:D$486,$C17)),0)</f>
        <v>0.0</v>
      </c>
      <c r="E17" s="48">
        <f>IFERROR(CHOOSE($A$3,INDEX('データ'!E$7:E$123,$C17),INDEX('データ'!E$128:E$244,$C17),INDEX('データ'!E$249:E$365,$C17),INDEX('データ'!E$370:E$486,$C17)),0)</f>
        <v>0.0</v>
      </c>
      <c r="F17" s="48">
        <f>IFERROR(CHOOSE($A$3,INDEX('データ'!F$7:F$123,$C17),INDEX('データ'!F$128:F$244,$C17),INDEX('データ'!F$249:F$365,$C17),INDEX('データ'!F$370:F$486,$C17)),0)</f>
        <v>0.0</v>
      </c>
      <c r="G17" s="48">
        <f>IFERROR(CHOOSE($A$3,INDEX('データ'!G$7:G$123,$C17),INDEX('データ'!G$128:G$244,$C17),INDEX('データ'!G$249:G$365,$C17),INDEX('データ'!G$370:G$486,$C17)),0)</f>
        <v>23.0</v>
      </c>
      <c r="H17" s="48">
        <f>IFERROR(CHOOSE($A$3,INDEX('データ'!H$7:H$123,$C17),INDEX('データ'!H$128:H$244,$C17),INDEX('データ'!H$249:H$365,$C17),INDEX('データ'!H$370:H$486,$C17)),0)</f>
        <v>186.0</v>
      </c>
      <c r="I17" s="48">
        <f>IFERROR(CHOOSE($A$3,INDEX('データ'!I$7:I$123,$C17),INDEX('データ'!I$128:I$244,$C17),INDEX('データ'!I$249:I$365,$C17),INDEX('データ'!I$370:I$486,$C17)),0)</f>
        <v>801.0</v>
      </c>
      <c r="J17" s="48">
        <f>IFERROR(CHOOSE($A$3,INDEX('データ'!J$7:J$123,$C17),INDEX('データ'!J$128:J$244,$C17),INDEX('データ'!J$249:J$365,$C17),INDEX('データ'!J$370:J$486,$C17)),0)</f>
        <v>1479.0</v>
      </c>
      <c r="K17" s="48">
        <f>IFERROR(CHOOSE($A$3,INDEX('データ'!K$7:K$123,$C17),INDEX('データ'!K$128:K$244,$C17),INDEX('データ'!K$249:K$365,$C17),INDEX('データ'!K$370:K$486,$C17)),0)</f>
        <v>1695.0</v>
      </c>
      <c r="L17" s="48">
        <f>IFERROR(CHOOSE($A$3,INDEX('データ'!L$7:L$123,$C17),INDEX('データ'!L$128:L$244,$C17),INDEX('データ'!L$249:L$365,$C17),INDEX('データ'!L$370:L$486,$C17)),0)</f>
        <v>1817.0</v>
      </c>
      <c r="M17" s="48">
        <f>IFERROR(CHOOSE($A$3,INDEX('データ'!M$7:M$123,$C17),INDEX('データ'!M$128:M$244,$C17),INDEX('データ'!M$249:M$365,$C17),INDEX('データ'!M$370:M$486,$C17)),0)</f>
        <v>2028.0</v>
      </c>
      <c r="N17" s="48">
        <f>IFERROR(CHOOSE($A$3,INDEX('データ'!N$7:N$123,$C17),INDEX('データ'!N$128:N$244,$C17),INDEX('データ'!N$249:N$365,$C17),INDEX('データ'!N$370:N$486,$C17)),0)</f>
        <v>2138.0</v>
      </c>
      <c r="O17" s="48">
        <f>IFERROR(CHOOSE($A$3,INDEX('データ'!O$7:O$123,$C17),INDEX('データ'!O$128:O$244,$C17),INDEX('データ'!O$249:O$365,$C17),INDEX('データ'!O$370:O$486,$C17)),0)</f>
        <v>2188.0</v>
      </c>
      <c r="P17" s="48">
        <f>IFERROR(CHOOSE($A$3,INDEX('データ'!P$7:P$123,$C17),INDEX('データ'!P$128:P$244,$C17),INDEX('データ'!P$249:P$365,$C17),INDEX('データ'!P$370:P$486,$C17)),0)</f>
        <v>2244.0</v>
      </c>
      <c r="Q17" s="48">
        <f>IFERROR(CHOOSE($A$3,INDEX('データ'!Q$7:Q$123,$C17),INDEX('データ'!Q$128:Q$244,$C17),INDEX('データ'!Q$249:Q$365,$C17),INDEX('データ'!Q$370:Q$486,$C17)),0)</f>
        <v>2363.0</v>
      </c>
      <c r="R17" s="48">
        <f>IFERROR(CHOOSE($A$3,INDEX('データ'!R$7:R$123,$C17),INDEX('データ'!R$128:R$244,$C17),INDEX('データ'!R$249:R$365,$C17),INDEX('データ'!R$370:R$486,$C17)),0)</f>
        <v>2401.0</v>
      </c>
      <c r="S17" s="48">
        <f>IFERROR(CHOOSE($A$3,INDEX('データ'!S$7:S$123,$C17),INDEX('データ'!S$128:S$244,$C17),INDEX('データ'!S$249:S$365,$C17),INDEX('データ'!S$370:S$486,$C17)),0)</f>
        <v>2377.0</v>
      </c>
      <c r="T17" s="48">
        <f>IFERROR(CHOOSE($A$3,INDEX('データ'!T$7:T$123,$C17),INDEX('データ'!T$128:T$244,$C17),INDEX('データ'!T$249:T$365,$C17),INDEX('データ'!T$370:T$486,$C17)),0)</f>
        <v>2358.0</v>
      </c>
      <c r="U17" s="48">
        <f>IFERROR(CHOOSE($A$3,INDEX('データ'!U$7:U$123,$C17),INDEX('データ'!U$128:U$244,$C17),INDEX('データ'!U$249:U$365,$C17),INDEX('データ'!U$370:U$486,$C17)),0)</f>
        <v>2198.0</v>
      </c>
      <c r="V17" s="48">
        <f>IFERROR(CHOOSE($A$3,INDEX('データ'!V$7:V$123,$C17),INDEX('データ'!V$128:V$244,$C17),INDEX('データ'!V$249:V$365,$C17),INDEX('データ'!V$370:V$486,$C17)),0)</f>
        <v>1991.0</v>
      </c>
      <c r="W17" s="48">
        <f>IFERROR(CHOOSE($A$3,INDEX('データ'!W$7:W$123,$C17),INDEX('データ'!W$128:W$244,$C17),INDEX('データ'!W$249:W$365,$C17),INDEX('データ'!W$370:W$486,$C17)),0)</f>
        <v>1931.0</v>
      </c>
      <c r="X17" s="48">
        <f>IFERROR(CHOOSE($A$3,INDEX('データ'!X$7:X$123,$C17),INDEX('データ'!X$128:X$244,$C17),INDEX('データ'!X$249:X$365,$C17),INDEX('データ'!X$370:X$486,$C17)),0)</f>
        <v>1777.0</v>
      </c>
      <c r="Y17" s="48">
        <f>IFERROR(CHOOSE($A$3,INDEX('データ'!Y$7:Y$123,$C17),INDEX('データ'!Y$128:Y$244,$C17),INDEX('データ'!Y$249:Y$365,$C17),INDEX('データ'!Y$370:Y$486,$C17)),0)</f>
        <v>1745.0</v>
      </c>
      <c r="Z17" s="48">
        <f>IFERROR(CHOOSE($A$3,INDEX('データ'!Z$7:Z$123,$C17),INDEX('データ'!Z$128:Z$244,$C17),INDEX('データ'!Z$249:Z$365,$C17),INDEX('データ'!Z$370:Z$486,$C17)),0)</f>
        <v>1789.0</v>
      </c>
      <c r="AA17" s="48">
        <f>IFERROR(CHOOSE($A$3,INDEX('データ'!AA$7:AA$123,$C17),INDEX('データ'!AA$128:AA$244,$C17),INDEX('データ'!AA$249:AA$365,$C17),INDEX('データ'!AA$370:AA$486,$C17)),0)</f>
        <v>1769.0</v>
      </c>
      <c r="AB17" s="48">
        <f>IFERROR(CHOOSE($A$3,INDEX('データ'!AB$7:AB$123,$C17),INDEX('データ'!AB$128:AB$244,$C17),INDEX('データ'!AB$249:AB$365,$C17),INDEX('データ'!AB$370:AB$486,$C17)),0)</f>
        <v>1891.0</v>
      </c>
      <c r="AC17" s="48">
        <f>IFERROR(CHOOSE($A$3,INDEX('データ'!AC$7:AC$123,$C17),INDEX('データ'!AC$128:AC$244,$C17),INDEX('データ'!AC$249:AC$365,$C17),INDEX('データ'!AC$370:AC$486,$C17)),0)</f>
        <v>2090.0</v>
      </c>
      <c r="AD17" s="48">
        <f>IFERROR(CHOOSE($A$3,INDEX('データ'!AD$7:AD$123,$C17),INDEX('データ'!AD$128:AD$244,$C17),INDEX('データ'!AD$249:AD$365,$C17),INDEX('データ'!AD$370:AD$486,$C17)),0)</f>
        <v>2166.0</v>
      </c>
      <c r="AE17" s="48">
        <f>IFERROR(CHOOSE($A$3,INDEX('データ'!AE$7:AE$123,$C17),INDEX('データ'!AE$128:AE$244,$C17),INDEX('データ'!AE$249:AE$365,$C17),INDEX('データ'!AE$370:AE$486,$C17)),0)</f>
        <v>2188.0</v>
      </c>
      <c r="AF17" s="48">
        <f>IFERROR(CHOOSE($A$3,INDEX('データ'!AF$7:AF$123,$C17),INDEX('データ'!AF$128:AF$244,$C17),INDEX('データ'!AF$249:AF$365,$C17),INDEX('データ'!AF$370:AF$486,$C17)),0)</f>
        <v>2210.0</v>
      </c>
      <c r="AG17" s="48">
        <f>IFERROR(CHOOSE($A$3,INDEX('データ'!AG$7:AG$123,$C17),INDEX('データ'!AG$128:AG$244,$C17),INDEX('データ'!AG$249:AG$365,$C17),INDEX('データ'!AG$370:AG$486,$C17)),0)</f>
        <v>2238.0</v>
      </c>
      <c r="AH17" s="48">
        <f>IFERROR(CHOOSE($A$3,INDEX('データ'!AH$7:AH$123,$C17),INDEX('データ'!AH$128:AH$244,$C17),INDEX('データ'!AH$249:AH$365,$C17),INDEX('データ'!AH$370:AH$486,$C17)),0)</f>
        <v>2162.0</v>
      </c>
      <c r="AI17" s="48">
        <f>IFERROR(CHOOSE($A$3,INDEX('データ'!AI$7:AI$123,$C17),INDEX('データ'!AI$128:AI$244,$C17),INDEX('データ'!AI$249:AI$365,$C17),INDEX('データ'!AI$370:AI$486,$C17)),0)</f>
        <v>2093.0</v>
      </c>
      <c r="AJ17" s="48">
        <f>IFERROR(CHOOSE($A$3,INDEX('データ'!AJ$7:AJ$123,$C17),INDEX('データ'!AJ$128:AJ$244,$C17),INDEX('データ'!AJ$249:AJ$365,$C17),INDEX('データ'!AJ$370:AJ$486,$C17)),0)</f>
        <v>1960.0</v>
      </c>
      <c r="AK17" s="48">
        <f>IFERROR(CHOOSE($A$3,INDEX('データ'!AK$7:AK$123,$C17),INDEX('データ'!AK$128:AK$244,$C17),INDEX('データ'!AK$249:AK$365,$C17),INDEX('データ'!AK$370:AK$486,$C17)),0)</f>
        <v>1981.0</v>
      </c>
      <c r="AL17" s="48">
        <f>IFERROR(CHOOSE($A$3,INDEX('データ'!AL$7:AL$123,$C17),INDEX('データ'!AL$128:AL$244,$C17),INDEX('データ'!AL$249:AL$365,$C17),INDEX('データ'!AL$370:AL$486,$C17)),0)</f>
        <v>1930.0</v>
      </c>
      <c r="AM17" s="48">
        <f>IFERROR(CHOOSE($A$3,INDEX('データ'!AM$7:AM$123,$C17),INDEX('データ'!AM$128:AM$244,$C17),INDEX('データ'!AM$249:AM$365,$C17),INDEX('データ'!AM$370:AM$486,$C17)),0)</f>
        <v>1809.0</v>
      </c>
      <c r="AN17" s="48">
        <f>IFERROR(CHOOSE($A$3,INDEX('データ'!AN$7:AN$123,$C17),INDEX('データ'!AN$128:AN$244,$C17),INDEX('データ'!AN$249:AN$365,$C17),INDEX('データ'!AN$370:AN$486,$C17)),0)</f>
        <v>1815.0</v>
      </c>
      <c r="AO17" s="48">
        <f>IFERROR(CHOOSE($A$3,INDEX('データ'!AO$7:AO$123,$C17),INDEX('データ'!AO$128:AO$244,$C17),INDEX('データ'!AO$249:AO$365,$C17),INDEX('データ'!AO$370:AO$486,$C17)),0)</f>
        <v>1782.0</v>
      </c>
      <c r="AP17" s="48">
        <f>IFERROR(CHOOSE($A$3,INDEX('データ'!AP$7:AP$123,$C17),INDEX('データ'!AP$128:AP$244,$C17),INDEX('データ'!AP$249:AP$365,$C17),INDEX('データ'!AP$370:AP$486,$C17)),0)</f>
        <v>1622.0</v>
      </c>
      <c r="AQ17" s="48">
        <f>IFERROR(CHOOSE($A$3,INDEX('データ'!AQ$7:AQ$123,$C17),INDEX('データ'!AQ$128:AQ$244,$C17),INDEX('データ'!AQ$249:AQ$365,$C17),INDEX('データ'!AQ$370:AQ$486,$C17)),0)</f>
        <v>1310.0</v>
      </c>
      <c r="AR17" s="48">
        <f>IFERROR(CHOOSE($A$3,INDEX('データ'!AR$7:AR$123,$C17),INDEX('データ'!AR$128:AR$244,$C17),INDEX('データ'!AR$249:AR$365,$C17),INDEX('データ'!AR$370:AR$486,$C17)),0)</f>
        <v>755.0</v>
      </c>
      <c r="AS17" s="48">
        <f>IFERROR(CHOOSE($A$3,INDEX('データ'!AS$7:AS$123,$C17),INDEX('データ'!AS$128:AS$244,$C17),INDEX('データ'!AS$249:AS$365,$C17),INDEX('データ'!AS$370:AS$486,$C17)),0)</f>
        <v>257.0</v>
      </c>
      <c r="AT17" s="48">
        <f>IFERROR(CHOOSE($A$3,INDEX('データ'!AT$7:AT$123,$C17),INDEX('データ'!AT$128:AT$244,$C17),INDEX('データ'!AT$249:AT$365,$C17),INDEX('データ'!AT$370:AT$486,$C17)),0)</f>
        <v>52.0</v>
      </c>
      <c r="AU17" s="48">
        <f>IFERROR(CHOOSE($A$3,INDEX('データ'!AU$7:AU$123,$C17),INDEX('データ'!AU$128:AU$244,$C17),INDEX('データ'!AU$249:AU$365,$C17),INDEX('データ'!AU$370:AU$486,$C17)),0)</f>
        <v>35.0</v>
      </c>
      <c r="AV17" s="48">
        <f>IFERROR(CHOOSE($A$3,INDEX('データ'!AV$7:AV$123,$C17),INDEX('データ'!AV$128:AV$244,$C17),INDEX('データ'!AV$249:AV$365,$C17),INDEX('データ'!AV$370:AV$486,$C17)),0)</f>
        <v>22.0</v>
      </c>
      <c r="AW17" s="48">
        <f>IFERROR(CHOOSE($A$3,INDEX('データ'!AW$7:AW$123,$C17),INDEX('データ'!AW$128:AW$244,$C17),INDEX('データ'!AW$249:AW$365,$C17),INDEX('データ'!AW$370:AW$486,$C17)),0)</f>
        <v>23.0</v>
      </c>
      <c r="AX17" s="48">
        <f>IFERROR(CHOOSE($A$3,INDEX('データ'!AX$7:AX$123,$C17),INDEX('データ'!AX$128:AX$244,$C17),INDEX('データ'!AX$249:AX$365,$C17),INDEX('データ'!AX$370:AX$486,$C17)),0)</f>
        <v>11.0</v>
      </c>
      <c r="AY17" s="48">
        <f>IFERROR(CHOOSE($A$3,INDEX('データ'!AY$7:AY$123,$C17),INDEX('データ'!AY$128:AY$244,$C17),INDEX('データ'!AY$249:AY$365,$C17),INDEX('データ'!AY$370:AY$486,$C17)),0)</f>
        <v>7.0</v>
      </c>
      <c r="AZ17" s="48">
        <f>IFERROR(CHOOSE($A$3,INDEX('データ'!AZ$7:AZ$123,$C17),INDEX('データ'!AZ$128:AZ$244,$C17),INDEX('データ'!AZ$249:AZ$365,$C17),INDEX('データ'!AZ$370:AZ$486,$C17)),0)</f>
        <v>1.0</v>
      </c>
      <c r="BA17" s="48">
        <f>IFERROR(CHOOSE($A$3,INDEX('データ'!BA$7:BA$123,$C17),INDEX('データ'!BA$128:BA$244,$C17),INDEX('データ'!BA$249:BA$365,$C17),INDEX('データ'!BA$370:BA$486,$C17)),0)</f>
        <v>0.0</v>
      </c>
      <c r="BB17" s="48">
        <f>IFERROR(CHOOSE($A$3,INDEX('データ'!BB$7:BB$123,$C17),INDEX('データ'!BB$128:BB$244,$C17),INDEX('データ'!BB$249:BB$365,$C17),INDEX('データ'!BB$370:BB$486,$C17)),0)</f>
        <v>0.0</v>
      </c>
      <c r="BC17" s="48">
        <f>IFERROR(CHOOSE($A$3,INDEX('データ'!BC$7:BC$123,$C17),INDEX('データ'!BC$128:BC$244,$C17),INDEX('データ'!BC$249:BC$365,$C17),INDEX('データ'!BC$370:BC$486,$C17)),0)</f>
        <v>0.0</v>
      </c>
      <c r="BD17" s="48">
        <f>IFERROR(CHOOSE($A$3,INDEX('データ'!BD$7:BD$123,$C17),INDEX('データ'!BD$128:BD$244,$C17),INDEX('データ'!BD$249:BD$365,$C17),INDEX('データ'!BD$370:BD$486,$C17)),0)</f>
        <v>0.0</v>
      </c>
      <c r="BE17" s="48">
        <f>IFERROR(CHOOSE($A$3,INDEX('データ'!BE$7:BE$123,$C17),INDEX('データ'!BE$128:BE$244,$C17),INDEX('データ'!BE$249:BE$365,$C17),INDEX('データ'!BE$370:BE$486,$C17)),0)</f>
        <v>0.0</v>
      </c>
      <c r="BF17" s="48">
        <f>IFERROR(CHOOSE($A$3,INDEX('データ'!BF$7:BF$123,$C17),INDEX('データ'!BF$128:BF$244,$C17),INDEX('データ'!BF$249:BF$365,$C17),INDEX('データ'!BF$370:BF$486,$C17)),0)</f>
        <v>0.0</v>
      </c>
      <c r="BG17" s="48">
        <f>IFERROR(CHOOSE($A$3,INDEX('データ'!BG$7:BG$123,$C17),INDEX('データ'!BG$128:BG$244,$C17),INDEX('データ'!BG$249:BG$365,$C17),INDEX('データ'!BG$370:BG$486,$C17)),0)</f>
        <v>0.0</v>
      </c>
    </row>
    <row r="18" spans="2:61" ht="20" customHeight="1">
      <c r="B18" s="44" t="s">
        <v>70</v>
      </c>
      <c r="C18" s="47">
        <f>MATCH($C$3&amp;"|"&amp;$B18,'データ'!$A$7:$A$123,0)</f>
        <v>3</v>
      </c>
      <c r="D18" s="48">
        <f>IFERROR(CHOOSE($A$3,INDEX('データ'!D$7:D$123,$C18),INDEX('データ'!D$128:D$244,$C18),INDEX('データ'!D$249:D$365,$C18),INDEX('データ'!D$370:D$486,$C18)),0)</f>
        <v>0.0</v>
      </c>
      <c r="E18" s="48">
        <f>IFERROR(CHOOSE($A$3,INDEX('データ'!E$7:E$123,$C18),INDEX('データ'!E$128:E$244,$C18),INDEX('データ'!E$249:E$365,$C18),INDEX('データ'!E$370:E$486,$C18)),0)</f>
        <v>0.0</v>
      </c>
      <c r="F18" s="48">
        <f>IFERROR(CHOOSE($A$3,INDEX('データ'!F$7:F$123,$C18),INDEX('データ'!F$128:F$244,$C18),INDEX('データ'!F$249:F$365,$C18),INDEX('データ'!F$370:F$486,$C18)),0)</f>
        <v>2.0</v>
      </c>
      <c r="G18" s="48">
        <f>IFERROR(CHOOSE($A$3,INDEX('データ'!G$7:G$123,$C18),INDEX('データ'!G$128:G$244,$C18),INDEX('データ'!G$249:G$365,$C18),INDEX('データ'!G$370:G$486,$C18)),0)</f>
        <v>18.0</v>
      </c>
      <c r="H18" s="48">
        <f>IFERROR(CHOOSE($A$3,INDEX('データ'!H$7:H$123,$C18),INDEX('データ'!H$128:H$244,$C18),INDEX('データ'!H$249:H$365,$C18),INDEX('データ'!H$370:H$486,$C18)),0)</f>
        <v>169.0</v>
      </c>
      <c r="I18" s="48">
        <f>IFERROR(CHOOSE($A$3,INDEX('データ'!I$7:I$123,$C18),INDEX('データ'!I$128:I$244,$C18),INDEX('データ'!I$249:I$365,$C18),INDEX('データ'!I$370:I$486,$C18)),0)</f>
        <v>645.0</v>
      </c>
      <c r="J18" s="48">
        <f>IFERROR(CHOOSE($A$3,INDEX('データ'!J$7:J$123,$C18),INDEX('データ'!J$128:J$244,$C18),INDEX('データ'!J$249:J$365,$C18),INDEX('データ'!J$370:J$486,$C18)),0)</f>
        <v>1373.0</v>
      </c>
      <c r="K18" s="48">
        <f>IFERROR(CHOOSE($A$3,INDEX('データ'!K$7:K$123,$C18),INDEX('データ'!K$128:K$244,$C18),INDEX('データ'!K$249:K$365,$C18),INDEX('データ'!K$370:K$486,$C18)),0)</f>
        <v>1502.0</v>
      </c>
      <c r="L18" s="48">
        <f>IFERROR(CHOOSE($A$3,INDEX('データ'!L$7:L$123,$C18),INDEX('データ'!L$128:L$244,$C18),INDEX('データ'!L$249:L$365,$C18),INDEX('データ'!L$370:L$486,$C18)),0)</f>
        <v>1729.0</v>
      </c>
      <c r="M18" s="48">
        <f>IFERROR(CHOOSE($A$3,INDEX('データ'!M$7:M$123,$C18),INDEX('データ'!M$128:M$244,$C18),INDEX('データ'!M$249:M$365,$C18),INDEX('データ'!M$370:M$486,$C18)),0)</f>
        <v>1902.0</v>
      </c>
      <c r="N18" s="48">
        <f>IFERROR(CHOOSE($A$3,INDEX('データ'!N$7:N$123,$C18),INDEX('データ'!N$128:N$244,$C18),INDEX('データ'!N$249:N$365,$C18),INDEX('データ'!N$370:N$486,$C18)),0)</f>
        <v>2014.0</v>
      </c>
      <c r="O18" s="48">
        <f>IFERROR(CHOOSE($A$3,INDEX('データ'!O$7:O$123,$C18),INDEX('データ'!O$128:O$244,$C18),INDEX('データ'!O$249:O$365,$C18),INDEX('データ'!O$370:O$486,$C18)),0)</f>
        <v>2057.0</v>
      </c>
      <c r="P18" s="48">
        <f>IFERROR(CHOOSE($A$3,INDEX('データ'!P$7:P$123,$C18),INDEX('データ'!P$128:P$244,$C18),INDEX('データ'!P$249:P$365,$C18),INDEX('データ'!P$370:P$486,$C18)),0)</f>
        <v>2164.0</v>
      </c>
      <c r="Q18" s="48">
        <f>IFERROR(CHOOSE($A$3,INDEX('データ'!Q$7:Q$123,$C18),INDEX('データ'!Q$128:Q$244,$C18),INDEX('データ'!Q$249:Q$365,$C18),INDEX('データ'!Q$370:Q$486,$C18)),0)</f>
        <v>2245.0</v>
      </c>
      <c r="R18" s="48">
        <f>IFERROR(CHOOSE($A$3,INDEX('データ'!R$7:R$123,$C18),INDEX('データ'!R$128:R$244,$C18),INDEX('データ'!R$249:R$365,$C18),INDEX('データ'!R$370:R$486,$C18)),0)</f>
        <v>2279.0</v>
      </c>
      <c r="S18" s="48">
        <f>IFERROR(CHOOSE($A$3,INDEX('データ'!S$7:S$123,$C18),INDEX('データ'!S$128:S$244,$C18),INDEX('データ'!S$249:S$365,$C18),INDEX('データ'!S$370:S$486,$C18)),0)</f>
        <v>2224.0</v>
      </c>
      <c r="T18" s="48">
        <f>IFERROR(CHOOSE($A$3,INDEX('データ'!T$7:T$123,$C18),INDEX('データ'!T$128:T$244,$C18),INDEX('データ'!T$249:T$365,$C18),INDEX('データ'!T$370:T$486,$C18)),0)</f>
        <v>2126.0</v>
      </c>
      <c r="U18" s="48">
        <f>IFERROR(CHOOSE($A$3,INDEX('データ'!U$7:U$123,$C18),INDEX('データ'!U$128:U$244,$C18),INDEX('データ'!U$249:U$365,$C18),INDEX('データ'!U$370:U$486,$C18)),0)</f>
        <v>2017.0</v>
      </c>
      <c r="V18" s="48">
        <f>IFERROR(CHOOSE($A$3,INDEX('データ'!V$7:V$123,$C18),INDEX('データ'!V$128:V$244,$C18),INDEX('データ'!V$249:V$365,$C18),INDEX('データ'!V$370:V$486,$C18)),0)</f>
        <v>1928.0</v>
      </c>
      <c r="W18" s="48">
        <f>IFERROR(CHOOSE($A$3,INDEX('データ'!W$7:W$123,$C18),INDEX('データ'!W$128:W$244,$C18),INDEX('データ'!W$249:W$365,$C18),INDEX('データ'!W$370:W$486,$C18)),0)</f>
        <v>1810.0</v>
      </c>
      <c r="X18" s="48">
        <f>IFERROR(CHOOSE($A$3,INDEX('データ'!X$7:X$123,$C18),INDEX('データ'!X$128:X$244,$C18),INDEX('データ'!X$249:X$365,$C18),INDEX('データ'!X$370:X$486,$C18)),0)</f>
        <v>1650.0</v>
      </c>
      <c r="Y18" s="48">
        <f>IFERROR(CHOOSE($A$3,INDEX('データ'!Y$7:Y$123,$C18),INDEX('データ'!Y$128:Y$244,$C18),INDEX('データ'!Y$249:Y$365,$C18),INDEX('データ'!Y$370:Y$486,$C18)),0)</f>
        <v>1625.0</v>
      </c>
      <c r="Z18" s="48">
        <f>IFERROR(CHOOSE($A$3,INDEX('データ'!Z$7:Z$123,$C18),INDEX('データ'!Z$128:Z$244,$C18),INDEX('データ'!Z$249:Z$365,$C18),INDEX('データ'!Z$370:Z$486,$C18)),0)</f>
        <v>1546.0</v>
      </c>
      <c r="AA18" s="48">
        <f>IFERROR(CHOOSE($A$3,INDEX('データ'!AA$7:AA$123,$C18),INDEX('データ'!AA$128:AA$244,$C18),INDEX('データ'!AA$249:AA$365,$C18),INDEX('データ'!AA$370:AA$486,$C18)),0)</f>
        <v>1569.0</v>
      </c>
      <c r="AB18" s="48">
        <f>IFERROR(CHOOSE($A$3,INDEX('データ'!AB$7:AB$123,$C18),INDEX('データ'!AB$128:AB$244,$C18),INDEX('データ'!AB$249:AB$365,$C18),INDEX('データ'!AB$370:AB$486,$C18)),0)</f>
        <v>1698.0</v>
      </c>
      <c r="AC18" s="48">
        <f>IFERROR(CHOOSE($A$3,INDEX('データ'!AC$7:AC$123,$C18),INDEX('データ'!AC$128:AC$244,$C18),INDEX('データ'!AC$249:AC$365,$C18),INDEX('データ'!AC$370:AC$486,$C18)),0)</f>
        <v>1773.0</v>
      </c>
      <c r="AD18" s="48">
        <f>IFERROR(CHOOSE($A$3,INDEX('データ'!AD$7:AD$123,$C18),INDEX('データ'!AD$128:AD$244,$C18),INDEX('データ'!AD$249:AD$365,$C18),INDEX('データ'!AD$370:AD$486,$C18)),0)</f>
        <v>1892.0</v>
      </c>
      <c r="AE18" s="48">
        <f>IFERROR(CHOOSE($A$3,INDEX('データ'!AE$7:AE$123,$C18),INDEX('データ'!AE$128:AE$244,$C18),INDEX('データ'!AE$249:AE$365,$C18),INDEX('データ'!AE$370:AE$486,$C18)),0)</f>
        <v>1993.0</v>
      </c>
      <c r="AF18" s="48">
        <f>IFERROR(CHOOSE($A$3,INDEX('データ'!AF$7:AF$123,$C18),INDEX('データ'!AF$128:AF$244,$C18),INDEX('データ'!AF$249:AF$365,$C18),INDEX('データ'!AF$370:AF$486,$C18)),0)</f>
        <v>2015.0</v>
      </c>
      <c r="AG18" s="48">
        <f>IFERROR(CHOOSE($A$3,INDEX('データ'!AG$7:AG$123,$C18),INDEX('データ'!AG$128:AG$244,$C18),INDEX('データ'!AG$249:AG$365,$C18),INDEX('データ'!AG$370:AG$486,$C18)),0)</f>
        <v>1970.0</v>
      </c>
      <c r="AH18" s="48">
        <f>IFERROR(CHOOSE($A$3,INDEX('データ'!AH$7:AH$123,$C18),INDEX('データ'!AH$128:AH$244,$C18),INDEX('データ'!AH$249:AH$365,$C18),INDEX('データ'!AH$370:AH$486,$C18)),0)</f>
        <v>1879.0</v>
      </c>
      <c r="AI18" s="48">
        <f>IFERROR(CHOOSE($A$3,INDEX('データ'!AI$7:AI$123,$C18),INDEX('データ'!AI$128:AI$244,$C18),INDEX('データ'!AI$249:AI$365,$C18),INDEX('データ'!AI$370:AI$486,$C18)),0)</f>
        <v>1862.0</v>
      </c>
      <c r="AJ18" s="48">
        <f>IFERROR(CHOOSE($A$3,INDEX('データ'!AJ$7:AJ$123,$C18),INDEX('データ'!AJ$128:AJ$244,$C18),INDEX('データ'!AJ$249:AJ$365,$C18),INDEX('データ'!AJ$370:AJ$486,$C18)),0)</f>
        <v>1732.0</v>
      </c>
      <c r="AK18" s="48">
        <f>IFERROR(CHOOSE($A$3,INDEX('データ'!AK$7:AK$123,$C18),INDEX('データ'!AK$128:AK$244,$C18),INDEX('データ'!AK$249:AK$365,$C18),INDEX('データ'!AK$370:AK$486,$C18)),0)</f>
        <v>1743.0</v>
      </c>
      <c r="AL18" s="48">
        <f>IFERROR(CHOOSE($A$3,INDEX('データ'!AL$7:AL$123,$C18),INDEX('データ'!AL$128:AL$244,$C18),INDEX('データ'!AL$249:AL$365,$C18),INDEX('データ'!AL$370:AL$486,$C18)),0)</f>
        <v>1665.0</v>
      </c>
      <c r="AM18" s="48">
        <f>IFERROR(CHOOSE($A$3,INDEX('データ'!AM$7:AM$123,$C18),INDEX('データ'!AM$128:AM$244,$C18),INDEX('データ'!AM$249:AM$365,$C18),INDEX('データ'!AM$370:AM$486,$C18)),0)</f>
        <v>1648.0</v>
      </c>
      <c r="AN18" s="48">
        <f>IFERROR(CHOOSE($A$3,INDEX('データ'!AN$7:AN$123,$C18),INDEX('データ'!AN$128:AN$244,$C18),INDEX('データ'!AN$249:AN$365,$C18),INDEX('データ'!AN$370:AN$486,$C18)),0)</f>
        <v>1644.0</v>
      </c>
      <c r="AO18" s="48">
        <f>IFERROR(CHOOSE($A$3,INDEX('データ'!AO$7:AO$123,$C18),INDEX('データ'!AO$128:AO$244,$C18),INDEX('データ'!AO$249:AO$365,$C18),INDEX('データ'!AO$370:AO$486,$C18)),0)</f>
        <v>1709.0</v>
      </c>
      <c r="AP18" s="48">
        <f>IFERROR(CHOOSE($A$3,INDEX('データ'!AP$7:AP$123,$C18),INDEX('データ'!AP$128:AP$244,$C18),INDEX('データ'!AP$249:AP$365,$C18),INDEX('データ'!AP$370:AP$486,$C18)),0)</f>
        <v>1414.0</v>
      </c>
      <c r="AQ18" s="48">
        <f>IFERROR(CHOOSE($A$3,INDEX('データ'!AQ$7:AQ$123,$C18),INDEX('データ'!AQ$128:AQ$244,$C18),INDEX('データ'!AQ$249:AQ$365,$C18),INDEX('データ'!AQ$370:AQ$486,$C18)),0)</f>
        <v>1160.0</v>
      </c>
      <c r="AR18" s="48">
        <f>IFERROR(CHOOSE($A$3,INDEX('データ'!AR$7:AR$123,$C18),INDEX('データ'!AR$128:AR$244,$C18),INDEX('データ'!AR$249:AR$365,$C18),INDEX('データ'!AR$370:AR$486,$C18)),0)</f>
        <v>647.0</v>
      </c>
      <c r="AS18" s="48">
        <f>IFERROR(CHOOSE($A$3,INDEX('データ'!AS$7:AS$123,$C18),INDEX('データ'!AS$128:AS$244,$C18),INDEX('データ'!AS$249:AS$365,$C18),INDEX('データ'!AS$370:AS$486,$C18)),0)</f>
        <v>200.0</v>
      </c>
      <c r="AT18" s="48">
        <f>IFERROR(CHOOSE($A$3,INDEX('データ'!AT$7:AT$123,$C18),INDEX('データ'!AT$128:AT$244,$C18),INDEX('データ'!AT$249:AT$365,$C18),INDEX('データ'!AT$370:AT$486,$C18)),0)</f>
        <v>36.0</v>
      </c>
      <c r="AU18" s="48">
        <f>IFERROR(CHOOSE($A$3,INDEX('データ'!AU$7:AU$123,$C18),INDEX('データ'!AU$128:AU$244,$C18),INDEX('データ'!AU$249:AU$365,$C18),INDEX('データ'!AU$370:AU$486,$C18)),0)</f>
        <v>7.0</v>
      </c>
      <c r="AV18" s="48">
        <f>IFERROR(CHOOSE($A$3,INDEX('データ'!AV$7:AV$123,$C18),INDEX('データ'!AV$128:AV$244,$C18),INDEX('データ'!AV$249:AV$365,$C18),INDEX('データ'!AV$370:AV$486,$C18)),0)</f>
        <v>3.0</v>
      </c>
      <c r="AW18" s="48">
        <f>IFERROR(CHOOSE($A$3,INDEX('データ'!AW$7:AW$123,$C18),INDEX('データ'!AW$128:AW$244,$C18),INDEX('データ'!AW$249:AW$365,$C18),INDEX('データ'!AW$370:AW$486,$C18)),0)</f>
        <v>3.0</v>
      </c>
      <c r="AX18" s="48">
        <f>IFERROR(CHOOSE($A$3,INDEX('データ'!AX$7:AX$123,$C18),INDEX('データ'!AX$128:AX$244,$C18),INDEX('データ'!AX$249:AX$365,$C18),INDEX('データ'!AX$370:AX$486,$C18)),0)</f>
        <v>0.0</v>
      </c>
      <c r="AY18" s="48">
        <f>IFERROR(CHOOSE($A$3,INDEX('データ'!AY$7:AY$123,$C18),INDEX('データ'!AY$128:AY$244,$C18),INDEX('データ'!AY$249:AY$365,$C18),INDEX('データ'!AY$370:AY$486,$C18)),0)</f>
        <v>4.0</v>
      </c>
      <c r="AZ18" s="48">
        <f>IFERROR(CHOOSE($A$3,INDEX('データ'!AZ$7:AZ$123,$C18),INDEX('データ'!AZ$128:AZ$244,$C18),INDEX('データ'!AZ$249:AZ$365,$C18),INDEX('データ'!AZ$370:AZ$486,$C18)),0)</f>
        <v>0.0</v>
      </c>
      <c r="BA18" s="48">
        <f>IFERROR(CHOOSE($A$3,INDEX('データ'!BA$7:BA$123,$C18),INDEX('データ'!BA$128:BA$244,$C18),INDEX('データ'!BA$249:BA$365,$C18),INDEX('データ'!BA$370:BA$486,$C18)),0)</f>
        <v>0.0</v>
      </c>
      <c r="BB18" s="48">
        <f>IFERROR(CHOOSE($A$3,INDEX('データ'!BB$7:BB$123,$C18),INDEX('データ'!BB$128:BB$244,$C18),INDEX('データ'!BB$249:BB$365,$C18),INDEX('データ'!BB$370:BB$486,$C18)),0)</f>
        <v>0.0</v>
      </c>
      <c r="BC18" s="48">
        <f>IFERROR(CHOOSE($A$3,INDEX('データ'!BC$7:BC$123,$C18),INDEX('データ'!BC$128:BC$244,$C18),INDEX('データ'!BC$249:BC$365,$C18),INDEX('データ'!BC$370:BC$486,$C18)),0)</f>
        <v>0.0</v>
      </c>
      <c r="BD18" s="48">
        <f>IFERROR(CHOOSE($A$3,INDEX('データ'!BD$7:BD$123,$C18),INDEX('データ'!BD$128:BD$244,$C18),INDEX('データ'!BD$249:BD$365,$C18),INDEX('データ'!BD$370:BD$486,$C18)),0)</f>
        <v>0.0</v>
      </c>
      <c r="BE18" s="48">
        <f>IFERROR(CHOOSE($A$3,INDEX('データ'!BE$7:BE$123,$C18),INDEX('データ'!BE$128:BE$244,$C18),INDEX('データ'!BE$249:BE$365,$C18),INDEX('データ'!BE$370:BE$486,$C18)),0)</f>
        <v>0.0</v>
      </c>
      <c r="BF18" s="48">
        <f>IFERROR(CHOOSE($A$3,INDEX('データ'!BF$7:BF$123,$C18),INDEX('データ'!BF$128:BF$244,$C18),INDEX('データ'!BF$249:BF$365,$C18),INDEX('データ'!BF$370:BF$486,$C18)),0)</f>
        <v>0.0</v>
      </c>
      <c r="BG18" s="48">
        <f>IFERROR(CHOOSE($A$3,INDEX('データ'!BG$7:BG$123,$C18),INDEX('データ'!BG$128:BG$244,$C18),INDEX('データ'!BG$249:BG$365,$C18),INDEX('データ'!BG$370:BG$486,$C18)),0)</f>
        <v>0.0</v>
      </c>
    </row>
    <row r="19" spans="2:61" ht="20" customHeight="1">
      <c r="B19" s="44" t="s">
        <v>72</v>
      </c>
      <c r="C19" s="47">
        <f>MATCH($C$3&amp;"|"&amp;$B19,'データ'!$A$7:$A$123,0)</f>
        <v>4</v>
      </c>
      <c r="D19" s="48">
        <f>IFERROR(CHOOSE($A$3,INDEX('データ'!D$7:D$123,$C19),INDEX('データ'!D$128:D$244,$C19),INDEX('データ'!D$249:D$365,$C19),INDEX('データ'!D$370:D$486,$C19)),0)</f>
        <v>0.0</v>
      </c>
      <c r="E19" s="48">
        <f>IFERROR(CHOOSE($A$3,INDEX('データ'!E$7:E$123,$C19),INDEX('データ'!E$128:E$244,$C19),INDEX('データ'!E$249:E$365,$C19),INDEX('データ'!E$370:E$486,$C19)),0)</f>
        <v>0.0</v>
      </c>
      <c r="F19" s="48">
        <f>IFERROR(CHOOSE($A$3,INDEX('データ'!F$7:F$123,$C19),INDEX('データ'!F$128:F$244,$C19),INDEX('データ'!F$249:F$365,$C19),INDEX('データ'!F$370:F$486,$C19)),0)</f>
        <v>1.0</v>
      </c>
      <c r="G19" s="48">
        <f>IFERROR(CHOOSE($A$3,INDEX('データ'!G$7:G$123,$C19),INDEX('データ'!G$128:G$244,$C19),INDEX('データ'!G$249:G$365,$C19),INDEX('データ'!G$370:G$486,$C19)),0)</f>
        <v>14.0</v>
      </c>
      <c r="H19" s="48">
        <f>IFERROR(CHOOSE($A$3,INDEX('データ'!H$7:H$123,$C19),INDEX('データ'!H$128:H$244,$C19),INDEX('データ'!H$249:H$365,$C19),INDEX('データ'!H$370:H$486,$C19)),0)</f>
        <v>150.0</v>
      </c>
      <c r="I19" s="48">
        <f>IFERROR(CHOOSE($A$3,INDEX('データ'!I$7:I$123,$C19),INDEX('データ'!I$128:I$244,$C19),INDEX('データ'!I$249:I$365,$C19),INDEX('データ'!I$370:I$486,$C19)),0)</f>
        <v>591.0</v>
      </c>
      <c r="J19" s="48">
        <f>IFERROR(CHOOSE($A$3,INDEX('データ'!J$7:J$123,$C19),INDEX('データ'!J$128:J$244,$C19),INDEX('データ'!J$249:J$365,$C19),INDEX('データ'!J$370:J$486,$C19)),0)</f>
        <v>1256.0</v>
      </c>
      <c r="K19" s="48">
        <f>IFERROR(CHOOSE($A$3,INDEX('データ'!K$7:K$123,$C19),INDEX('データ'!K$128:K$244,$C19),INDEX('データ'!K$249:K$365,$C19),INDEX('データ'!K$370:K$486,$C19)),0)</f>
        <v>1482.0</v>
      </c>
      <c r="L19" s="48">
        <f>IFERROR(CHOOSE($A$3,INDEX('データ'!L$7:L$123,$C19),INDEX('データ'!L$128:L$244,$C19),INDEX('データ'!L$249:L$365,$C19),INDEX('データ'!L$370:L$486,$C19)),0)</f>
        <v>1665.0</v>
      </c>
      <c r="M19" s="48">
        <f>IFERROR(CHOOSE($A$3,INDEX('データ'!M$7:M$123,$C19),INDEX('データ'!M$128:M$244,$C19),INDEX('データ'!M$249:M$365,$C19),INDEX('データ'!M$370:M$486,$C19)),0)</f>
        <v>1836.0</v>
      </c>
      <c r="N19" s="48">
        <f>IFERROR(CHOOSE($A$3,INDEX('データ'!N$7:N$123,$C19),INDEX('データ'!N$128:N$244,$C19),INDEX('データ'!N$249:N$365,$C19),INDEX('データ'!N$370:N$486,$C19)),0)</f>
        <v>1926.0</v>
      </c>
      <c r="O19" s="48">
        <f>IFERROR(CHOOSE($A$3,INDEX('データ'!O$7:O$123,$C19),INDEX('データ'!O$128:O$244,$C19),INDEX('データ'!O$249:O$365,$C19),INDEX('データ'!O$370:O$486,$C19)),0)</f>
        <v>2166.0</v>
      </c>
      <c r="P19" s="48">
        <f>IFERROR(CHOOSE($A$3,INDEX('データ'!P$7:P$123,$C19),INDEX('データ'!P$128:P$244,$C19),INDEX('データ'!P$249:P$365,$C19),INDEX('データ'!P$370:P$486,$C19)),0)</f>
        <v>2198.0</v>
      </c>
      <c r="Q19" s="48">
        <f>IFERROR(CHOOSE($A$3,INDEX('データ'!Q$7:Q$123,$C19),INDEX('データ'!Q$128:Q$244,$C19),INDEX('データ'!Q$249:Q$365,$C19),INDEX('データ'!Q$370:Q$486,$C19)),0)</f>
        <v>2244.0</v>
      </c>
      <c r="R19" s="48">
        <f>IFERROR(CHOOSE($A$3,INDEX('データ'!R$7:R$123,$C19),INDEX('データ'!R$128:R$244,$C19),INDEX('データ'!R$249:R$365,$C19),INDEX('データ'!R$370:R$486,$C19)),0)</f>
        <v>2247.0</v>
      </c>
      <c r="S19" s="48">
        <f>IFERROR(CHOOSE($A$3,INDEX('データ'!S$7:S$123,$C19),INDEX('データ'!S$128:S$244,$C19),INDEX('データ'!S$249:S$365,$C19),INDEX('データ'!S$370:S$486,$C19)),0)</f>
        <v>2193.0</v>
      </c>
      <c r="T19" s="48">
        <f>IFERROR(CHOOSE($A$3,INDEX('データ'!T$7:T$123,$C19),INDEX('データ'!T$128:T$244,$C19),INDEX('データ'!T$249:T$365,$C19),INDEX('データ'!T$370:T$486,$C19)),0)</f>
        <v>2225.0</v>
      </c>
      <c r="U19" s="48">
        <f>IFERROR(CHOOSE($A$3,INDEX('データ'!U$7:U$123,$C19),INDEX('データ'!U$128:U$244,$C19),INDEX('データ'!U$249:U$365,$C19),INDEX('データ'!U$370:U$486,$C19)),0)</f>
        <v>2175.0</v>
      </c>
      <c r="V19" s="48">
        <f>IFERROR(CHOOSE($A$3,INDEX('データ'!V$7:V$123,$C19),INDEX('データ'!V$128:V$244,$C19),INDEX('データ'!V$249:V$365,$C19),INDEX('データ'!V$370:V$486,$C19)),0)</f>
        <v>1961.0</v>
      </c>
      <c r="W19" s="48">
        <f>IFERROR(CHOOSE($A$3,INDEX('データ'!W$7:W$123,$C19),INDEX('データ'!W$128:W$244,$C19),INDEX('データ'!W$249:W$365,$C19),INDEX('データ'!W$370:W$486,$C19)),0)</f>
        <v>1819.0</v>
      </c>
      <c r="X19" s="48">
        <f>IFERROR(CHOOSE($A$3,INDEX('データ'!X$7:X$123,$C19),INDEX('データ'!X$128:X$244,$C19),INDEX('データ'!X$249:X$365,$C19),INDEX('データ'!X$370:X$486,$C19)),0)</f>
        <v>1679.0</v>
      </c>
      <c r="Y19" s="48">
        <f>IFERROR(CHOOSE($A$3,INDEX('データ'!Y$7:Y$123,$C19),INDEX('データ'!Y$128:Y$244,$C19),INDEX('データ'!Y$249:Y$365,$C19),INDEX('データ'!Y$370:Y$486,$C19)),0)</f>
        <v>1609.0</v>
      </c>
      <c r="Z19" s="48">
        <f>IFERROR(CHOOSE($A$3,INDEX('データ'!Z$7:Z$123,$C19),INDEX('データ'!Z$128:Z$244,$C19),INDEX('データ'!Z$249:Z$365,$C19),INDEX('データ'!Z$370:Z$486,$C19)),0)</f>
        <v>1707.0</v>
      </c>
      <c r="AA19" s="48">
        <f>IFERROR(CHOOSE($A$3,INDEX('データ'!AA$7:AA$123,$C19),INDEX('データ'!AA$128:AA$244,$C19),INDEX('データ'!AA$249:AA$365,$C19),INDEX('データ'!AA$370:AA$486,$C19)),0)</f>
        <v>1683.0</v>
      </c>
      <c r="AB19" s="48">
        <f>IFERROR(CHOOSE($A$3,INDEX('データ'!AB$7:AB$123,$C19),INDEX('データ'!AB$128:AB$244,$C19),INDEX('データ'!AB$249:AB$365,$C19),INDEX('データ'!AB$370:AB$486,$C19)),0)</f>
        <v>1816.0</v>
      </c>
      <c r="AC19" s="48">
        <f>IFERROR(CHOOSE($A$3,INDEX('データ'!AC$7:AC$123,$C19),INDEX('データ'!AC$128:AC$244,$C19),INDEX('データ'!AC$249:AC$365,$C19),INDEX('データ'!AC$370:AC$486,$C19)),0)</f>
        <v>1944.0</v>
      </c>
      <c r="AD19" s="48">
        <f>IFERROR(CHOOSE($A$3,INDEX('データ'!AD$7:AD$123,$C19),INDEX('データ'!AD$128:AD$244,$C19),INDEX('データ'!AD$249:AD$365,$C19),INDEX('データ'!AD$370:AD$486,$C19)),0)</f>
        <v>2031.0</v>
      </c>
      <c r="AE19" s="48">
        <f>IFERROR(CHOOSE($A$3,INDEX('データ'!AE$7:AE$123,$C19),INDEX('データ'!AE$128:AE$244,$C19),INDEX('データ'!AE$249:AE$365,$C19),INDEX('データ'!AE$370:AE$486,$C19)),0)</f>
        <v>2073.0</v>
      </c>
      <c r="AF19" s="48">
        <f>IFERROR(CHOOSE($A$3,INDEX('データ'!AF$7:AF$123,$C19),INDEX('データ'!AF$128:AF$244,$C19),INDEX('データ'!AF$249:AF$365,$C19),INDEX('データ'!AF$370:AF$486,$C19)),0)</f>
        <v>2034.0</v>
      </c>
      <c r="AG19" s="48">
        <f>IFERROR(CHOOSE($A$3,INDEX('データ'!AG$7:AG$123,$C19),INDEX('データ'!AG$128:AG$244,$C19),INDEX('データ'!AG$249:AG$365,$C19),INDEX('データ'!AG$370:AG$486,$C19)),0)</f>
        <v>1977.0</v>
      </c>
      <c r="AH19" s="48">
        <f>IFERROR(CHOOSE($A$3,INDEX('データ'!AH$7:AH$123,$C19),INDEX('データ'!AH$128:AH$244,$C19),INDEX('データ'!AH$249:AH$365,$C19),INDEX('データ'!AH$370:AH$486,$C19)),0)</f>
        <v>1979.0</v>
      </c>
      <c r="AI19" s="48">
        <f>IFERROR(CHOOSE($A$3,INDEX('データ'!AI$7:AI$123,$C19),INDEX('データ'!AI$128:AI$244,$C19),INDEX('データ'!AI$249:AI$365,$C19),INDEX('データ'!AI$370:AI$486,$C19)),0)</f>
        <v>1960.0</v>
      </c>
      <c r="AJ19" s="48">
        <f>IFERROR(CHOOSE($A$3,INDEX('データ'!AJ$7:AJ$123,$C19),INDEX('データ'!AJ$128:AJ$244,$C19),INDEX('データ'!AJ$249:AJ$365,$C19),INDEX('データ'!AJ$370:AJ$486,$C19)),0)</f>
        <v>1818.0</v>
      </c>
      <c r="AK19" s="48">
        <f>IFERROR(CHOOSE($A$3,INDEX('データ'!AK$7:AK$123,$C19),INDEX('データ'!AK$128:AK$244,$C19),INDEX('データ'!AK$249:AK$365,$C19),INDEX('データ'!AK$370:AK$486,$C19)),0)</f>
        <v>1766.0</v>
      </c>
      <c r="AL19" s="48">
        <f>IFERROR(CHOOSE($A$3,INDEX('データ'!AL$7:AL$123,$C19),INDEX('データ'!AL$128:AL$244,$C19),INDEX('データ'!AL$249:AL$365,$C19),INDEX('データ'!AL$370:AL$486,$C19)),0)</f>
        <v>1888.0</v>
      </c>
      <c r="AM19" s="48">
        <f>IFERROR(CHOOSE($A$3,INDEX('データ'!AM$7:AM$123,$C19),INDEX('データ'!AM$128:AM$244,$C19),INDEX('データ'!AM$249:AM$365,$C19),INDEX('データ'!AM$370:AM$486,$C19)),0)</f>
        <v>1677.0</v>
      </c>
      <c r="AN19" s="48">
        <f>IFERROR(CHOOSE($A$3,INDEX('データ'!AN$7:AN$123,$C19),INDEX('データ'!AN$128:AN$244,$C19),INDEX('データ'!AN$249:AN$365,$C19),INDEX('データ'!AN$370:AN$486,$C19)),0)</f>
        <v>1832.0</v>
      </c>
      <c r="AO19" s="48">
        <f>IFERROR(CHOOSE($A$3,INDEX('データ'!AO$7:AO$123,$C19),INDEX('データ'!AO$128:AO$244,$C19),INDEX('データ'!AO$249:AO$365,$C19),INDEX('データ'!AO$370:AO$486,$C19)),0)</f>
        <v>1711.0</v>
      </c>
      <c r="AP19" s="48">
        <f>IFERROR(CHOOSE($A$3,INDEX('データ'!AP$7:AP$123,$C19),INDEX('データ'!AP$128:AP$244,$C19),INDEX('データ'!AP$249:AP$365,$C19),INDEX('データ'!AP$370:AP$486,$C19)),0)</f>
        <v>1558.0</v>
      </c>
      <c r="AQ19" s="48">
        <f>IFERROR(CHOOSE($A$3,INDEX('データ'!AQ$7:AQ$123,$C19),INDEX('データ'!AQ$128:AQ$244,$C19),INDEX('データ'!AQ$249:AQ$365,$C19),INDEX('データ'!AQ$370:AQ$486,$C19)),0)</f>
        <v>1229.0</v>
      </c>
      <c r="AR19" s="48">
        <f>IFERROR(CHOOSE($A$3,INDEX('データ'!AR$7:AR$123,$C19),INDEX('データ'!AR$128:AR$244,$C19),INDEX('データ'!AR$249:AR$365,$C19),INDEX('データ'!AR$370:AR$486,$C19)),0)</f>
        <v>660.0</v>
      </c>
      <c r="AS19" s="48">
        <f>IFERROR(CHOOSE($A$3,INDEX('データ'!AS$7:AS$123,$C19),INDEX('データ'!AS$128:AS$244,$C19),INDEX('データ'!AS$249:AS$365,$C19),INDEX('データ'!AS$370:AS$486,$C19)),0)</f>
        <v>198.0</v>
      </c>
      <c r="AT19" s="48">
        <f>IFERROR(CHOOSE($A$3,INDEX('データ'!AT$7:AT$123,$C19),INDEX('データ'!AT$128:AT$244,$C19),INDEX('データ'!AT$249:AT$365,$C19),INDEX('データ'!AT$370:AT$486,$C19)),0)</f>
        <v>32.0</v>
      </c>
      <c r="AU19" s="48">
        <f>IFERROR(CHOOSE($A$3,INDEX('データ'!AU$7:AU$123,$C19),INDEX('データ'!AU$128:AU$244,$C19),INDEX('データ'!AU$249:AU$365,$C19),INDEX('データ'!AU$370:AU$486,$C19)),0)</f>
        <v>8.0</v>
      </c>
      <c r="AV19" s="48">
        <f>IFERROR(CHOOSE($A$3,INDEX('データ'!AV$7:AV$123,$C19),INDEX('データ'!AV$128:AV$244,$C19),INDEX('データ'!AV$249:AV$365,$C19),INDEX('データ'!AV$370:AV$486,$C19)),0)</f>
        <v>4.0</v>
      </c>
      <c r="AW19" s="48">
        <f>IFERROR(CHOOSE($A$3,INDEX('データ'!AW$7:AW$123,$C19),INDEX('データ'!AW$128:AW$244,$C19),INDEX('データ'!AW$249:AW$365,$C19),INDEX('データ'!AW$370:AW$486,$C19)),0)</f>
        <v>0.0</v>
      </c>
      <c r="AX19" s="48">
        <f>IFERROR(CHOOSE($A$3,INDEX('データ'!AX$7:AX$123,$C19),INDEX('データ'!AX$128:AX$244,$C19),INDEX('データ'!AX$249:AX$365,$C19),INDEX('データ'!AX$370:AX$486,$C19)),0)</f>
        <v>0.0</v>
      </c>
      <c r="AY19" s="48">
        <f>IFERROR(CHOOSE($A$3,INDEX('データ'!AY$7:AY$123,$C19),INDEX('データ'!AY$128:AY$244,$C19),INDEX('データ'!AY$249:AY$365,$C19),INDEX('データ'!AY$370:AY$486,$C19)),0)</f>
        <v>0.0</v>
      </c>
      <c r="AZ19" s="48">
        <f>IFERROR(CHOOSE($A$3,INDEX('データ'!AZ$7:AZ$123,$C19),INDEX('データ'!AZ$128:AZ$244,$C19),INDEX('データ'!AZ$249:AZ$365,$C19),INDEX('データ'!AZ$370:AZ$486,$C19)),0)</f>
        <v>0.0</v>
      </c>
      <c r="BA19" s="48">
        <f>IFERROR(CHOOSE($A$3,INDEX('データ'!BA$7:BA$123,$C19),INDEX('データ'!BA$128:BA$244,$C19),INDEX('データ'!BA$249:BA$365,$C19),INDEX('データ'!BA$370:BA$486,$C19)),0)</f>
        <v>0.0</v>
      </c>
      <c r="BB19" s="48">
        <f>IFERROR(CHOOSE($A$3,INDEX('データ'!BB$7:BB$123,$C19),INDEX('データ'!BB$128:BB$244,$C19),INDEX('データ'!BB$249:BB$365,$C19),INDEX('データ'!BB$370:BB$486,$C19)),0)</f>
        <v>0.0</v>
      </c>
      <c r="BC19" s="48">
        <f>IFERROR(CHOOSE($A$3,INDEX('データ'!BC$7:BC$123,$C19),INDEX('データ'!BC$128:BC$244,$C19),INDEX('データ'!BC$249:BC$365,$C19),INDEX('データ'!BC$370:BC$486,$C19)),0)</f>
        <v>0.0</v>
      </c>
      <c r="BD19" s="48">
        <f>IFERROR(CHOOSE($A$3,INDEX('データ'!BD$7:BD$123,$C19),INDEX('データ'!BD$128:BD$244,$C19),INDEX('データ'!BD$249:BD$365,$C19),INDEX('データ'!BD$370:BD$486,$C19)),0)</f>
        <v>0.0</v>
      </c>
      <c r="BE19" s="48">
        <f>IFERROR(CHOOSE($A$3,INDEX('データ'!BE$7:BE$123,$C19),INDEX('データ'!BE$128:BE$244,$C19),INDEX('データ'!BE$249:BE$365,$C19),INDEX('データ'!BE$370:BE$486,$C19)),0)</f>
        <v>0.0</v>
      </c>
      <c r="BF19" s="48">
        <f>IFERROR(CHOOSE($A$3,INDEX('データ'!BF$7:BF$123,$C19),INDEX('データ'!BF$128:BF$244,$C19),INDEX('データ'!BF$249:BF$365,$C19),INDEX('データ'!BF$370:BF$486,$C19)),0)</f>
        <v>0.0</v>
      </c>
      <c r="BG19" s="48">
        <f>IFERROR(CHOOSE($A$3,INDEX('データ'!BG$7:BG$123,$C19),INDEX('データ'!BG$128:BG$244,$C19),INDEX('データ'!BG$249:BG$365,$C19),INDEX('データ'!BG$370:BG$486,$C19)),0)</f>
        <v>0.0</v>
      </c>
    </row>
    <row r="20" spans="2:61" ht="20" customHeight="1">
      <c r="B20" s="44" t="s">
        <v>74</v>
      </c>
      <c r="C20" s="47">
        <f>MATCH($C$3&amp;"|"&amp;$B20,'データ'!$A$7:$A$123,0)</f>
        <v>5</v>
      </c>
      <c r="D20" s="48">
        <f>IFERROR(CHOOSE($A$3,INDEX('データ'!D$7:D$123,$C20),INDEX('データ'!D$128:D$244,$C20),INDEX('データ'!D$249:D$365,$C20),INDEX('データ'!D$370:D$486,$C20)),0)</f>
        <v>0.0</v>
      </c>
      <c r="E20" s="48">
        <f>IFERROR(CHOOSE($A$3,INDEX('データ'!E$7:E$123,$C20),INDEX('データ'!E$128:E$244,$C20),INDEX('データ'!E$249:E$365,$C20),INDEX('データ'!E$370:E$486,$C20)),0)</f>
        <v>0.0</v>
      </c>
      <c r="F20" s="48">
        <f>IFERROR(CHOOSE($A$3,INDEX('データ'!F$7:F$123,$C20),INDEX('データ'!F$128:F$244,$C20),INDEX('データ'!F$249:F$365,$C20),INDEX('データ'!F$370:F$486,$C20)),0)</f>
        <v>0.0</v>
      </c>
      <c r="G20" s="48">
        <f>IFERROR(CHOOSE($A$3,INDEX('データ'!G$7:G$123,$C20),INDEX('データ'!G$128:G$244,$C20),INDEX('データ'!G$249:G$365,$C20),INDEX('データ'!G$370:G$486,$C20)),0)</f>
        <v>38.0</v>
      </c>
      <c r="H20" s="48">
        <f>IFERROR(CHOOSE($A$3,INDEX('データ'!H$7:H$123,$C20),INDEX('データ'!H$128:H$244,$C20),INDEX('データ'!H$249:H$365,$C20),INDEX('データ'!H$370:H$486,$C20)),0)</f>
        <v>217.0</v>
      </c>
      <c r="I20" s="48">
        <f>IFERROR(CHOOSE($A$3,INDEX('データ'!I$7:I$123,$C20),INDEX('データ'!I$128:I$244,$C20),INDEX('データ'!I$249:I$365,$C20),INDEX('データ'!I$370:I$486,$C20)),0)</f>
        <v>766.0</v>
      </c>
      <c r="J20" s="48">
        <f>IFERROR(CHOOSE($A$3,INDEX('データ'!J$7:J$123,$C20),INDEX('データ'!J$128:J$244,$C20),INDEX('データ'!J$249:J$365,$C20),INDEX('データ'!J$370:J$486,$C20)),0)</f>
        <v>1541.0</v>
      </c>
      <c r="K20" s="48">
        <f>IFERROR(CHOOSE($A$3,INDEX('データ'!K$7:K$123,$C20),INDEX('データ'!K$128:K$244,$C20),INDEX('データ'!K$249:K$365,$C20),INDEX('データ'!K$370:K$486,$C20)),0)</f>
        <v>1666.0</v>
      </c>
      <c r="L20" s="48">
        <f>IFERROR(CHOOSE($A$3,INDEX('データ'!L$7:L$123,$C20),INDEX('データ'!L$128:L$244,$C20),INDEX('データ'!L$249:L$365,$C20),INDEX('データ'!L$370:L$486,$C20)),0)</f>
        <v>1845.0</v>
      </c>
      <c r="M20" s="48">
        <f>IFERROR(CHOOSE($A$3,INDEX('データ'!M$7:M$123,$C20),INDEX('データ'!M$128:M$244,$C20),INDEX('データ'!M$249:M$365,$C20),INDEX('データ'!M$370:M$486,$C20)),0)</f>
        <v>2093.0</v>
      </c>
      <c r="N20" s="48">
        <f>IFERROR(CHOOSE($A$3,INDEX('データ'!N$7:N$123,$C20),INDEX('データ'!N$128:N$244,$C20),INDEX('データ'!N$249:N$365,$C20),INDEX('データ'!N$370:N$486,$C20)),0)</f>
        <v>2284.0</v>
      </c>
      <c r="O20" s="48">
        <f>IFERROR(CHOOSE($A$3,INDEX('データ'!O$7:O$123,$C20),INDEX('データ'!O$128:O$244,$C20),INDEX('データ'!O$249:O$365,$C20),INDEX('データ'!O$370:O$486,$C20)),0)</f>
        <v>2265.0</v>
      </c>
      <c r="P20" s="48">
        <f>IFERROR(CHOOSE($A$3,INDEX('データ'!P$7:P$123,$C20),INDEX('データ'!P$128:P$244,$C20),INDEX('データ'!P$249:P$365,$C20),INDEX('データ'!P$370:P$486,$C20)),0)</f>
        <v>2378.0</v>
      </c>
      <c r="Q20" s="48">
        <f>IFERROR(CHOOSE($A$3,INDEX('データ'!Q$7:Q$123,$C20),INDEX('データ'!Q$128:Q$244,$C20),INDEX('データ'!Q$249:Q$365,$C20),INDEX('データ'!Q$370:Q$486,$C20)),0)</f>
        <v>2518.0</v>
      </c>
      <c r="R20" s="48">
        <f>IFERROR(CHOOSE($A$3,INDEX('データ'!R$7:R$123,$C20),INDEX('データ'!R$128:R$244,$C20),INDEX('データ'!R$249:R$365,$C20),INDEX('データ'!R$370:R$486,$C20)),0)</f>
        <v>2338.0</v>
      </c>
      <c r="S20" s="48">
        <f>IFERROR(CHOOSE($A$3,INDEX('データ'!S$7:S$123,$C20),INDEX('データ'!S$128:S$244,$C20),INDEX('データ'!S$249:S$365,$C20),INDEX('データ'!S$370:S$486,$C20)),0)</f>
        <v>2433.0</v>
      </c>
      <c r="T20" s="48">
        <f>IFERROR(CHOOSE($A$3,INDEX('データ'!T$7:T$123,$C20),INDEX('データ'!T$128:T$244,$C20),INDEX('データ'!T$249:T$365,$C20),INDEX('データ'!T$370:T$486,$C20)),0)</f>
        <v>2295.0</v>
      </c>
      <c r="U20" s="48">
        <f>IFERROR(CHOOSE($A$3,INDEX('データ'!U$7:U$123,$C20),INDEX('データ'!U$128:U$244,$C20),INDEX('データ'!U$249:U$365,$C20),INDEX('データ'!U$370:U$486,$C20)),0)</f>
        <v>2264.0</v>
      </c>
      <c r="V20" s="48">
        <f>IFERROR(CHOOSE($A$3,INDEX('データ'!V$7:V$123,$C20),INDEX('データ'!V$128:V$244,$C20),INDEX('データ'!V$249:V$365,$C20),INDEX('データ'!V$370:V$486,$C20)),0)</f>
        <v>2088.0</v>
      </c>
      <c r="W20" s="48">
        <f>IFERROR(CHOOSE($A$3,INDEX('データ'!W$7:W$123,$C20),INDEX('データ'!W$128:W$244,$C20),INDEX('データ'!W$249:W$365,$C20),INDEX('データ'!W$370:W$486,$C20)),0)</f>
        <v>1857.0</v>
      </c>
      <c r="X20" s="48">
        <f>IFERROR(CHOOSE($A$3,INDEX('データ'!X$7:X$123,$C20),INDEX('データ'!X$128:X$244,$C20),INDEX('データ'!X$249:X$365,$C20),INDEX('データ'!X$370:X$486,$C20)),0)</f>
        <v>1725.0</v>
      </c>
      <c r="Y20" s="48">
        <f>IFERROR(CHOOSE($A$3,INDEX('データ'!Y$7:Y$123,$C20),INDEX('データ'!Y$128:Y$244,$C20),INDEX('データ'!Y$249:Y$365,$C20),INDEX('データ'!Y$370:Y$486,$C20)),0)</f>
        <v>1697.0</v>
      </c>
      <c r="Z20" s="48">
        <f>IFERROR(CHOOSE($A$3,INDEX('データ'!Z$7:Z$123,$C20),INDEX('データ'!Z$128:Z$244,$C20),INDEX('データ'!Z$249:Z$365,$C20),INDEX('データ'!Z$370:Z$486,$C20)),0)</f>
        <v>1655.0</v>
      </c>
      <c r="AA20" s="48">
        <f>IFERROR(CHOOSE($A$3,INDEX('データ'!AA$7:AA$123,$C20),INDEX('データ'!AA$128:AA$244,$C20),INDEX('データ'!AA$249:AA$365,$C20),INDEX('データ'!AA$370:AA$486,$C20)),0)</f>
        <v>1687.0</v>
      </c>
      <c r="AB20" s="48">
        <f>IFERROR(CHOOSE($A$3,INDEX('データ'!AB$7:AB$123,$C20),INDEX('データ'!AB$128:AB$244,$C20),INDEX('データ'!AB$249:AB$365,$C20),INDEX('データ'!AB$370:AB$486,$C20)),0)</f>
        <v>1712.0</v>
      </c>
      <c r="AC20" s="48">
        <f>IFERROR(CHOOSE($A$3,INDEX('データ'!AC$7:AC$123,$C20),INDEX('データ'!AC$128:AC$244,$C20),INDEX('データ'!AC$249:AC$365,$C20),INDEX('データ'!AC$370:AC$486,$C20)),0)</f>
        <v>1960.0</v>
      </c>
      <c r="AD20" s="48">
        <f>IFERROR(CHOOSE($A$3,INDEX('データ'!AD$7:AD$123,$C20),INDEX('データ'!AD$128:AD$244,$C20),INDEX('データ'!AD$249:AD$365,$C20),INDEX('データ'!AD$370:AD$486,$C20)),0)</f>
        <v>1982.0</v>
      </c>
      <c r="AE20" s="48">
        <f>IFERROR(CHOOSE($A$3,INDEX('データ'!AE$7:AE$123,$C20),INDEX('データ'!AE$128:AE$244,$C20),INDEX('データ'!AE$249:AE$365,$C20),INDEX('データ'!AE$370:AE$486,$C20)),0)</f>
        <v>2137.0</v>
      </c>
      <c r="AF20" s="48">
        <f>IFERROR(CHOOSE($A$3,INDEX('データ'!AF$7:AF$123,$C20),INDEX('データ'!AF$128:AF$244,$C20),INDEX('データ'!AF$249:AF$365,$C20),INDEX('データ'!AF$370:AF$486,$C20)),0)</f>
        <v>2098.0</v>
      </c>
      <c r="AG20" s="48">
        <f>IFERROR(CHOOSE($A$3,INDEX('データ'!AG$7:AG$123,$C20),INDEX('データ'!AG$128:AG$244,$C20),INDEX('データ'!AG$249:AG$365,$C20),INDEX('データ'!AG$370:AG$486,$C20)),0)</f>
        <v>2145.0</v>
      </c>
      <c r="AH20" s="48">
        <f>IFERROR(CHOOSE($A$3,INDEX('データ'!AH$7:AH$123,$C20),INDEX('データ'!AH$128:AH$244,$C20),INDEX('データ'!AH$249:AH$365,$C20),INDEX('データ'!AH$370:AH$486,$C20)),0)</f>
        <v>1992.0</v>
      </c>
      <c r="AI20" s="48">
        <f>IFERROR(CHOOSE($A$3,INDEX('データ'!AI$7:AI$123,$C20),INDEX('データ'!AI$128:AI$244,$C20),INDEX('データ'!AI$249:AI$365,$C20),INDEX('データ'!AI$370:AI$486,$C20)),0)</f>
        <v>1968.0</v>
      </c>
      <c r="AJ20" s="48">
        <f>IFERROR(CHOOSE($A$3,INDEX('データ'!AJ$7:AJ$123,$C20),INDEX('データ'!AJ$128:AJ$244,$C20),INDEX('データ'!AJ$249:AJ$365,$C20),INDEX('データ'!AJ$370:AJ$486,$C20)),0)</f>
        <v>1859.0</v>
      </c>
      <c r="AK20" s="48">
        <f>IFERROR(CHOOSE($A$3,INDEX('データ'!AK$7:AK$123,$C20),INDEX('データ'!AK$128:AK$244,$C20),INDEX('データ'!AK$249:AK$365,$C20),INDEX('データ'!AK$370:AK$486,$C20)),0)</f>
        <v>1856.0</v>
      </c>
      <c r="AL20" s="48">
        <f>IFERROR(CHOOSE($A$3,INDEX('データ'!AL$7:AL$123,$C20),INDEX('データ'!AL$128:AL$244,$C20),INDEX('データ'!AL$249:AL$365,$C20),INDEX('データ'!AL$370:AL$486,$C20)),0)</f>
        <v>1842.0</v>
      </c>
      <c r="AM20" s="48">
        <f>IFERROR(CHOOSE($A$3,INDEX('データ'!AM$7:AM$123,$C20),INDEX('データ'!AM$128:AM$244,$C20),INDEX('データ'!AM$249:AM$365,$C20),INDEX('データ'!AM$370:AM$486,$C20)),0)</f>
        <v>1824.0</v>
      </c>
      <c r="AN20" s="48">
        <f>IFERROR(CHOOSE($A$3,INDEX('データ'!AN$7:AN$123,$C20),INDEX('データ'!AN$128:AN$244,$C20),INDEX('データ'!AN$249:AN$365,$C20),INDEX('データ'!AN$370:AN$486,$C20)),0)</f>
        <v>1743.0</v>
      </c>
      <c r="AO20" s="48">
        <f>IFERROR(CHOOSE($A$3,INDEX('データ'!AO$7:AO$123,$C20),INDEX('データ'!AO$128:AO$244,$C20),INDEX('データ'!AO$249:AO$365,$C20),INDEX('データ'!AO$370:AO$486,$C20)),0)</f>
        <v>1775.0</v>
      </c>
      <c r="AP20" s="48">
        <f>IFERROR(CHOOSE($A$3,INDEX('データ'!AP$7:AP$123,$C20),INDEX('データ'!AP$128:AP$244,$C20),INDEX('データ'!AP$249:AP$365,$C20),INDEX('データ'!AP$370:AP$486,$C20)),0)</f>
        <v>1573.0</v>
      </c>
      <c r="AQ20" s="48">
        <f>IFERROR(CHOOSE($A$3,INDEX('データ'!AQ$7:AQ$123,$C20),INDEX('データ'!AQ$128:AQ$244,$C20),INDEX('データ'!AQ$249:AQ$365,$C20),INDEX('データ'!AQ$370:AQ$486,$C20)),0)</f>
        <v>1361.0</v>
      </c>
      <c r="AR20" s="48">
        <f>IFERROR(CHOOSE($A$3,INDEX('データ'!AR$7:AR$123,$C20),INDEX('データ'!AR$128:AR$244,$C20),INDEX('データ'!AR$249:AR$365,$C20),INDEX('データ'!AR$370:AR$486,$C20)),0)</f>
        <v>719.0</v>
      </c>
      <c r="AS20" s="48">
        <f>IFERROR(CHOOSE($A$3,INDEX('データ'!AS$7:AS$123,$C20),INDEX('データ'!AS$128:AS$244,$C20),INDEX('データ'!AS$249:AS$365,$C20),INDEX('データ'!AS$370:AS$486,$C20)),0)</f>
        <v>217.0</v>
      </c>
      <c r="AT20" s="48">
        <f>IFERROR(CHOOSE($A$3,INDEX('データ'!AT$7:AT$123,$C20),INDEX('データ'!AT$128:AT$244,$C20),INDEX('データ'!AT$249:AT$365,$C20),INDEX('データ'!AT$370:AT$486,$C20)),0)</f>
        <v>44.0</v>
      </c>
      <c r="AU20" s="48">
        <f>IFERROR(CHOOSE($A$3,INDEX('データ'!AU$7:AU$123,$C20),INDEX('データ'!AU$128:AU$244,$C20),INDEX('データ'!AU$249:AU$365,$C20),INDEX('データ'!AU$370:AU$486,$C20)),0)</f>
        <v>9.0</v>
      </c>
      <c r="AV20" s="48">
        <f>IFERROR(CHOOSE($A$3,INDEX('データ'!AV$7:AV$123,$C20),INDEX('データ'!AV$128:AV$244,$C20),INDEX('データ'!AV$249:AV$365,$C20),INDEX('データ'!AV$370:AV$486,$C20)),0)</f>
        <v>3.0</v>
      </c>
      <c r="AW20" s="48">
        <f>IFERROR(CHOOSE($A$3,INDEX('データ'!AW$7:AW$123,$C20),INDEX('データ'!AW$128:AW$244,$C20),INDEX('データ'!AW$249:AW$365,$C20),INDEX('データ'!AW$370:AW$486,$C20)),0)</f>
        <v>0.0</v>
      </c>
      <c r="AX20" s="48">
        <f>IFERROR(CHOOSE($A$3,INDEX('データ'!AX$7:AX$123,$C20),INDEX('データ'!AX$128:AX$244,$C20),INDEX('データ'!AX$249:AX$365,$C20),INDEX('データ'!AX$370:AX$486,$C20)),0)</f>
        <v>0.0</v>
      </c>
      <c r="AY20" s="48">
        <f>IFERROR(CHOOSE($A$3,INDEX('データ'!AY$7:AY$123,$C20),INDEX('データ'!AY$128:AY$244,$C20),INDEX('データ'!AY$249:AY$365,$C20),INDEX('データ'!AY$370:AY$486,$C20)),0)</f>
        <v>0.0</v>
      </c>
      <c r="AZ20" s="48">
        <f>IFERROR(CHOOSE($A$3,INDEX('データ'!AZ$7:AZ$123,$C20),INDEX('データ'!AZ$128:AZ$244,$C20),INDEX('データ'!AZ$249:AZ$365,$C20),INDEX('データ'!AZ$370:AZ$486,$C20)),0)</f>
        <v>0.0</v>
      </c>
      <c r="BA20" s="48">
        <f>IFERROR(CHOOSE($A$3,INDEX('データ'!BA$7:BA$123,$C20),INDEX('データ'!BA$128:BA$244,$C20),INDEX('データ'!BA$249:BA$365,$C20),INDEX('データ'!BA$370:BA$486,$C20)),0)</f>
        <v>0.0</v>
      </c>
      <c r="BB20" s="48">
        <f>IFERROR(CHOOSE($A$3,INDEX('データ'!BB$7:BB$123,$C20),INDEX('データ'!BB$128:BB$244,$C20),INDEX('データ'!BB$249:BB$365,$C20),INDEX('データ'!BB$370:BB$486,$C20)),0)</f>
        <v>0.0</v>
      </c>
      <c r="BC20" s="48">
        <f>IFERROR(CHOOSE($A$3,INDEX('データ'!BC$7:BC$123,$C20),INDEX('データ'!BC$128:BC$244,$C20),INDEX('データ'!BC$249:BC$365,$C20),INDEX('データ'!BC$370:BC$486,$C20)),0)</f>
        <v>0.0</v>
      </c>
      <c r="BD20" s="48">
        <f>IFERROR(CHOOSE($A$3,INDEX('データ'!BD$7:BD$123,$C20),INDEX('データ'!BD$128:BD$244,$C20),INDEX('データ'!BD$249:BD$365,$C20),INDEX('データ'!BD$370:BD$486,$C20)),0)</f>
        <v>0.0</v>
      </c>
      <c r="BE20" s="48">
        <f>IFERROR(CHOOSE($A$3,INDEX('データ'!BE$7:BE$123,$C20),INDEX('データ'!BE$128:BE$244,$C20),INDEX('データ'!BE$249:BE$365,$C20),INDEX('データ'!BE$370:BE$486,$C20)),0)</f>
        <v>0.0</v>
      </c>
      <c r="BF20" s="48">
        <f>IFERROR(CHOOSE($A$3,INDEX('データ'!BF$7:BF$123,$C20),INDEX('データ'!BF$128:BF$244,$C20),INDEX('データ'!BF$249:BF$365,$C20),INDEX('データ'!BF$370:BF$486,$C20)),0)</f>
        <v>0.0</v>
      </c>
      <c r="BG20" s="48">
        <f>IFERROR(CHOOSE($A$3,INDEX('データ'!BG$7:BG$123,$C20),INDEX('データ'!BG$128:BG$244,$C20),INDEX('データ'!BG$249:BG$365,$C20),INDEX('データ'!BG$370:BG$486,$C20)),0)</f>
        <v>0.0</v>
      </c>
    </row>
    <row r="21" spans="2:61" ht="20" customHeight="1">
      <c r="B21" s="44" t="s">
        <v>76</v>
      </c>
      <c r="C21" s="47">
        <f>MATCH($C$3&amp;"|"&amp;$B21,'データ'!$A$7:$A$123,0)</f>
        <v>6</v>
      </c>
      <c r="D21" s="48">
        <f>IFERROR(CHOOSE($A$3,INDEX('データ'!D$7:D$123,$C21),INDEX('データ'!D$128:D$244,$C21),INDEX('データ'!D$249:D$365,$C21),INDEX('データ'!D$370:D$486,$C21)),0)</f>
        <v>0.0</v>
      </c>
      <c r="E21" s="48">
        <f>IFERROR(CHOOSE($A$3,INDEX('データ'!E$7:E$123,$C21),INDEX('データ'!E$128:E$244,$C21),INDEX('データ'!E$249:E$365,$C21),INDEX('データ'!E$370:E$486,$C21)),0)</f>
        <v>0.0</v>
      </c>
      <c r="F21" s="48">
        <f>IFERROR(CHOOSE($A$3,INDEX('データ'!F$7:F$123,$C21),INDEX('データ'!F$128:F$244,$C21),INDEX('データ'!F$249:F$365,$C21),INDEX('データ'!F$370:F$486,$C21)),0)</f>
        <v>0.0</v>
      </c>
      <c r="G21" s="48">
        <f>IFERROR(CHOOSE($A$3,INDEX('データ'!G$7:G$123,$C21),INDEX('データ'!G$128:G$244,$C21),INDEX('データ'!G$249:G$365,$C21),INDEX('データ'!G$370:G$486,$C21)),0)</f>
        <v>25.0</v>
      </c>
      <c r="H21" s="48">
        <f>IFERROR(CHOOSE($A$3,INDEX('データ'!H$7:H$123,$C21),INDEX('データ'!H$128:H$244,$C21),INDEX('データ'!H$249:H$365,$C21),INDEX('データ'!H$370:H$486,$C21)),0)</f>
        <v>187.0</v>
      </c>
      <c r="I21" s="48">
        <f>IFERROR(CHOOSE($A$3,INDEX('データ'!I$7:I$123,$C21),INDEX('データ'!I$128:I$244,$C21),INDEX('データ'!I$249:I$365,$C21),INDEX('データ'!I$370:I$486,$C21)),0)</f>
        <v>610.0</v>
      </c>
      <c r="J21" s="48">
        <f>IFERROR(CHOOSE($A$3,INDEX('データ'!J$7:J$123,$C21),INDEX('データ'!J$128:J$244,$C21),INDEX('データ'!J$249:J$365,$C21),INDEX('データ'!J$370:J$486,$C21)),0)</f>
        <v>1303.0</v>
      </c>
      <c r="K21" s="48">
        <f>IFERROR(CHOOSE($A$3,INDEX('データ'!K$7:K$123,$C21),INDEX('データ'!K$128:K$244,$C21),INDEX('データ'!K$249:K$365,$C21),INDEX('データ'!K$370:K$486,$C21)),0)</f>
        <v>1462.0</v>
      </c>
      <c r="L21" s="48">
        <f>IFERROR(CHOOSE($A$3,INDEX('データ'!L$7:L$123,$C21),INDEX('データ'!L$128:L$244,$C21),INDEX('データ'!L$249:L$365,$C21),INDEX('データ'!L$370:L$486,$C21)),0)</f>
        <v>1613.0</v>
      </c>
      <c r="M21" s="48">
        <f>IFERROR(CHOOSE($A$3,INDEX('データ'!M$7:M$123,$C21),INDEX('データ'!M$128:M$244,$C21),INDEX('データ'!M$249:M$365,$C21),INDEX('データ'!M$370:M$486,$C21)),0)</f>
        <v>1698.0</v>
      </c>
      <c r="N21" s="48">
        <f>IFERROR(CHOOSE($A$3,INDEX('データ'!N$7:N$123,$C21),INDEX('データ'!N$128:N$244,$C21),INDEX('データ'!N$249:N$365,$C21),INDEX('データ'!N$370:N$486,$C21)),0)</f>
        <v>1802.0</v>
      </c>
      <c r="O21" s="48">
        <f>IFERROR(CHOOSE($A$3,INDEX('データ'!O$7:O$123,$C21),INDEX('データ'!O$128:O$244,$C21),INDEX('データ'!O$249:O$365,$C21),INDEX('データ'!O$370:O$486,$C21)),0)</f>
        <v>1984.0</v>
      </c>
      <c r="P21" s="48">
        <f>IFERROR(CHOOSE($A$3,INDEX('データ'!P$7:P$123,$C21),INDEX('データ'!P$128:P$244,$C21),INDEX('データ'!P$249:P$365,$C21),INDEX('データ'!P$370:P$486,$C21)),0)</f>
        <v>2021.0</v>
      </c>
      <c r="Q21" s="48">
        <f>IFERROR(CHOOSE($A$3,INDEX('データ'!Q$7:Q$123,$C21),INDEX('データ'!Q$128:Q$244,$C21),INDEX('データ'!Q$249:Q$365,$C21),INDEX('データ'!Q$370:Q$486,$C21)),0)</f>
        <v>2104.0</v>
      </c>
      <c r="R21" s="48">
        <f>IFERROR(CHOOSE($A$3,INDEX('データ'!R$7:R$123,$C21),INDEX('データ'!R$128:R$244,$C21),INDEX('データ'!R$249:R$365,$C21),INDEX('データ'!R$370:R$486,$C21)),0)</f>
        <v>2081.0</v>
      </c>
      <c r="S21" s="48">
        <f>IFERROR(CHOOSE($A$3,INDEX('データ'!S$7:S$123,$C21),INDEX('データ'!S$128:S$244,$C21),INDEX('データ'!S$249:S$365,$C21),INDEX('データ'!S$370:S$486,$C21)),0)</f>
        <v>2141.0</v>
      </c>
      <c r="T21" s="48">
        <f>IFERROR(CHOOSE($A$3,INDEX('データ'!T$7:T$123,$C21),INDEX('データ'!T$128:T$244,$C21),INDEX('データ'!T$249:T$365,$C21),INDEX('データ'!T$370:T$486,$C21)),0)</f>
        <v>1982.0</v>
      </c>
      <c r="U21" s="48">
        <f>IFERROR(CHOOSE($A$3,INDEX('データ'!U$7:U$123,$C21),INDEX('データ'!U$128:U$244,$C21),INDEX('データ'!U$249:U$365,$C21),INDEX('データ'!U$370:U$486,$C21)),0)</f>
        <v>1911.0</v>
      </c>
      <c r="V21" s="48">
        <f>IFERROR(CHOOSE($A$3,INDEX('データ'!V$7:V$123,$C21),INDEX('データ'!V$128:V$244,$C21),INDEX('データ'!V$249:V$365,$C21),INDEX('データ'!V$370:V$486,$C21)),0)</f>
        <v>1947.0</v>
      </c>
      <c r="W21" s="48">
        <f>IFERROR(CHOOSE($A$3,INDEX('データ'!W$7:W$123,$C21),INDEX('データ'!W$128:W$244,$C21),INDEX('データ'!W$249:W$365,$C21),INDEX('データ'!W$370:W$486,$C21)),0)</f>
        <v>1643.0</v>
      </c>
      <c r="X21" s="48">
        <f>IFERROR(CHOOSE($A$3,INDEX('データ'!X$7:X$123,$C21),INDEX('データ'!X$128:X$244,$C21),INDEX('データ'!X$249:X$365,$C21),INDEX('データ'!X$370:X$486,$C21)),0)</f>
        <v>1570.0</v>
      </c>
      <c r="Y21" s="48">
        <f>IFERROR(CHOOSE($A$3,INDEX('データ'!Y$7:Y$123,$C21),INDEX('データ'!Y$128:Y$244,$C21),INDEX('データ'!Y$249:Y$365,$C21),INDEX('データ'!Y$370:Y$486,$C21)),0)</f>
        <v>1499.0</v>
      </c>
      <c r="Z21" s="48">
        <f>IFERROR(CHOOSE($A$3,INDEX('データ'!Z$7:Z$123,$C21),INDEX('データ'!Z$128:Z$244,$C21),INDEX('データ'!Z$249:Z$365,$C21),INDEX('データ'!Z$370:Z$486,$C21)),0)</f>
        <v>1465.0</v>
      </c>
      <c r="AA21" s="48">
        <f>IFERROR(CHOOSE($A$3,INDEX('データ'!AA$7:AA$123,$C21),INDEX('データ'!AA$128:AA$244,$C21),INDEX('データ'!AA$249:AA$365,$C21),INDEX('データ'!AA$370:AA$486,$C21)),0)</f>
        <v>1496.0</v>
      </c>
      <c r="AB21" s="48">
        <f>IFERROR(CHOOSE($A$3,INDEX('データ'!AB$7:AB$123,$C21),INDEX('データ'!AB$128:AB$244,$C21),INDEX('データ'!AB$249:AB$365,$C21),INDEX('データ'!AB$370:AB$486,$C21)),0)</f>
        <v>1598.0</v>
      </c>
      <c r="AC21" s="48">
        <f>IFERROR(CHOOSE($A$3,INDEX('データ'!AC$7:AC$123,$C21),INDEX('データ'!AC$128:AC$244,$C21),INDEX('データ'!AC$249:AC$365,$C21),INDEX('データ'!AC$370:AC$486,$C21)),0)</f>
        <v>1730.0</v>
      </c>
      <c r="AD21" s="48">
        <f>IFERROR(CHOOSE($A$3,INDEX('データ'!AD$7:AD$123,$C21),INDEX('データ'!AD$128:AD$244,$C21),INDEX('データ'!AD$249:AD$365,$C21),INDEX('データ'!AD$370:AD$486,$C21)),0)</f>
        <v>1836.0</v>
      </c>
      <c r="AE21" s="48">
        <f>IFERROR(CHOOSE($A$3,INDEX('データ'!AE$7:AE$123,$C21),INDEX('データ'!AE$128:AE$244,$C21),INDEX('データ'!AE$249:AE$365,$C21),INDEX('データ'!AE$370:AE$486,$C21)),0)</f>
        <v>1847.0</v>
      </c>
      <c r="AF21" s="48">
        <f>IFERROR(CHOOSE($A$3,INDEX('データ'!AF$7:AF$123,$C21),INDEX('データ'!AF$128:AF$244,$C21),INDEX('データ'!AF$249:AF$365,$C21),INDEX('データ'!AF$370:AF$486,$C21)),0)</f>
        <v>1845.0</v>
      </c>
      <c r="AG21" s="48">
        <f>IFERROR(CHOOSE($A$3,INDEX('データ'!AG$7:AG$123,$C21),INDEX('データ'!AG$128:AG$244,$C21),INDEX('データ'!AG$249:AG$365,$C21),INDEX('データ'!AG$370:AG$486,$C21)),0)</f>
        <v>1842.0</v>
      </c>
      <c r="AH21" s="48">
        <f>IFERROR(CHOOSE($A$3,INDEX('データ'!AH$7:AH$123,$C21),INDEX('データ'!AH$128:AH$244,$C21),INDEX('データ'!AH$249:AH$365,$C21),INDEX('データ'!AH$370:AH$486,$C21)),0)</f>
        <v>1908.0</v>
      </c>
      <c r="AI21" s="48">
        <f>IFERROR(CHOOSE($A$3,INDEX('データ'!AI$7:AI$123,$C21),INDEX('データ'!AI$128:AI$244,$C21),INDEX('データ'!AI$249:AI$365,$C21),INDEX('データ'!AI$370:AI$486,$C21)),0)</f>
        <v>1793.0</v>
      </c>
      <c r="AJ21" s="48">
        <f>IFERROR(CHOOSE($A$3,INDEX('データ'!AJ$7:AJ$123,$C21),INDEX('データ'!AJ$128:AJ$244,$C21),INDEX('データ'!AJ$249:AJ$365,$C21),INDEX('データ'!AJ$370:AJ$486,$C21)),0)</f>
        <v>1748.0</v>
      </c>
      <c r="AK21" s="48">
        <f>IFERROR(CHOOSE($A$3,INDEX('データ'!AK$7:AK$123,$C21),INDEX('データ'!AK$128:AK$244,$C21),INDEX('データ'!AK$249:AK$365,$C21),INDEX('データ'!AK$370:AK$486,$C21)),0)</f>
        <v>1680.0</v>
      </c>
      <c r="AL21" s="48">
        <f>IFERROR(CHOOSE($A$3,INDEX('データ'!AL$7:AL$123,$C21),INDEX('データ'!AL$128:AL$244,$C21),INDEX('データ'!AL$249:AL$365,$C21),INDEX('データ'!AL$370:AL$486,$C21)),0)</f>
        <v>1715.0</v>
      </c>
      <c r="AM21" s="48">
        <f>IFERROR(CHOOSE($A$3,INDEX('データ'!AM$7:AM$123,$C21),INDEX('データ'!AM$128:AM$244,$C21),INDEX('データ'!AM$249:AM$365,$C21),INDEX('データ'!AM$370:AM$486,$C21)),0)</f>
        <v>1666.0</v>
      </c>
      <c r="AN21" s="48">
        <f>IFERROR(CHOOSE($A$3,INDEX('データ'!AN$7:AN$123,$C21),INDEX('データ'!AN$128:AN$244,$C21),INDEX('データ'!AN$249:AN$365,$C21),INDEX('データ'!AN$370:AN$486,$C21)),0)</f>
        <v>1605.0</v>
      </c>
      <c r="AO21" s="48">
        <f>IFERROR(CHOOSE($A$3,INDEX('データ'!AO$7:AO$123,$C21),INDEX('データ'!AO$128:AO$244,$C21),INDEX('データ'!AO$249:AO$365,$C21),INDEX('データ'!AO$370:AO$486,$C21)),0)</f>
        <v>1532.0</v>
      </c>
      <c r="AP21" s="48">
        <f>IFERROR(CHOOSE($A$3,INDEX('データ'!AP$7:AP$123,$C21),INDEX('データ'!AP$128:AP$244,$C21),INDEX('データ'!AP$249:AP$365,$C21),INDEX('データ'!AP$370:AP$486,$C21)),0)</f>
        <v>1341.0</v>
      </c>
      <c r="AQ21" s="48">
        <f>IFERROR(CHOOSE($A$3,INDEX('データ'!AQ$7:AQ$123,$C21),INDEX('データ'!AQ$128:AQ$244,$C21),INDEX('データ'!AQ$249:AQ$365,$C21),INDEX('データ'!AQ$370:AQ$486,$C21)),0)</f>
        <v>1048.0</v>
      </c>
      <c r="AR21" s="48">
        <f>IFERROR(CHOOSE($A$3,INDEX('データ'!AR$7:AR$123,$C21),INDEX('データ'!AR$128:AR$244,$C21),INDEX('データ'!AR$249:AR$365,$C21),INDEX('データ'!AR$370:AR$486,$C21)),0)</f>
        <v>608.0</v>
      </c>
      <c r="AS21" s="48">
        <f>IFERROR(CHOOSE($A$3,INDEX('データ'!AS$7:AS$123,$C21),INDEX('データ'!AS$128:AS$244,$C21),INDEX('データ'!AS$249:AS$365,$C21),INDEX('データ'!AS$370:AS$486,$C21)),0)</f>
        <v>168.0</v>
      </c>
      <c r="AT21" s="48">
        <f>IFERROR(CHOOSE($A$3,INDEX('データ'!AT$7:AT$123,$C21),INDEX('データ'!AT$128:AT$244,$C21),INDEX('データ'!AT$249:AT$365,$C21),INDEX('データ'!AT$370:AT$486,$C21)),0)</f>
        <v>39.0</v>
      </c>
      <c r="AU21" s="48">
        <f>IFERROR(CHOOSE($A$3,INDEX('データ'!AU$7:AU$123,$C21),INDEX('データ'!AU$128:AU$244,$C21),INDEX('データ'!AU$249:AU$365,$C21),INDEX('データ'!AU$370:AU$486,$C21)),0)</f>
        <v>10.0</v>
      </c>
      <c r="AV21" s="48">
        <f>IFERROR(CHOOSE($A$3,INDEX('データ'!AV$7:AV$123,$C21),INDEX('データ'!AV$128:AV$244,$C21),INDEX('データ'!AV$249:AV$365,$C21),INDEX('データ'!AV$370:AV$486,$C21)),0)</f>
        <v>3.0</v>
      </c>
      <c r="AW21" s="48">
        <f>IFERROR(CHOOSE($A$3,INDEX('データ'!AW$7:AW$123,$C21),INDEX('データ'!AW$128:AW$244,$C21),INDEX('データ'!AW$249:AW$365,$C21),INDEX('データ'!AW$370:AW$486,$C21)),0)</f>
        <v>0.0</v>
      </c>
      <c r="AX21" s="48">
        <f>IFERROR(CHOOSE($A$3,INDEX('データ'!AX$7:AX$123,$C21),INDEX('データ'!AX$128:AX$244,$C21),INDEX('データ'!AX$249:AX$365,$C21),INDEX('データ'!AX$370:AX$486,$C21)),0)</f>
        <v>1.0</v>
      </c>
      <c r="AY21" s="48">
        <f>IFERROR(CHOOSE($A$3,INDEX('データ'!AY$7:AY$123,$C21),INDEX('データ'!AY$128:AY$244,$C21),INDEX('データ'!AY$249:AY$365,$C21),INDEX('データ'!AY$370:AY$486,$C21)),0)</f>
        <v>0.0</v>
      </c>
      <c r="AZ21" s="48">
        <f>IFERROR(CHOOSE($A$3,INDEX('データ'!AZ$7:AZ$123,$C21),INDEX('データ'!AZ$128:AZ$244,$C21),INDEX('データ'!AZ$249:AZ$365,$C21),INDEX('データ'!AZ$370:AZ$486,$C21)),0)</f>
        <v>0.0</v>
      </c>
      <c r="BA21" s="48">
        <f>IFERROR(CHOOSE($A$3,INDEX('データ'!BA$7:BA$123,$C21),INDEX('データ'!BA$128:BA$244,$C21),INDEX('データ'!BA$249:BA$365,$C21),INDEX('データ'!BA$370:BA$486,$C21)),0)</f>
        <v>0.0</v>
      </c>
      <c r="BB21" s="48">
        <f>IFERROR(CHOOSE($A$3,INDEX('データ'!BB$7:BB$123,$C21),INDEX('データ'!BB$128:BB$244,$C21),INDEX('データ'!BB$249:BB$365,$C21),INDEX('データ'!BB$370:BB$486,$C21)),0)</f>
        <v>0.0</v>
      </c>
      <c r="BC21" s="48">
        <f>IFERROR(CHOOSE($A$3,INDEX('データ'!BC$7:BC$123,$C21),INDEX('データ'!BC$128:BC$244,$C21),INDEX('データ'!BC$249:BC$365,$C21),INDEX('データ'!BC$370:BC$486,$C21)),0)</f>
        <v>0.0</v>
      </c>
      <c r="BD21" s="48">
        <f>IFERROR(CHOOSE($A$3,INDEX('データ'!BD$7:BD$123,$C21),INDEX('データ'!BD$128:BD$244,$C21),INDEX('データ'!BD$249:BD$365,$C21),INDEX('データ'!BD$370:BD$486,$C21)),0)</f>
        <v>0.0</v>
      </c>
      <c r="BE21" s="48">
        <f>IFERROR(CHOOSE($A$3,INDEX('データ'!BE$7:BE$123,$C21),INDEX('データ'!BE$128:BE$244,$C21),INDEX('データ'!BE$249:BE$365,$C21),INDEX('データ'!BE$370:BE$486,$C21)),0)</f>
        <v>0.0</v>
      </c>
      <c r="BF21" s="48">
        <f>IFERROR(CHOOSE($A$3,INDEX('データ'!BF$7:BF$123,$C21),INDEX('データ'!BF$128:BF$244,$C21),INDEX('データ'!BF$249:BF$365,$C21),INDEX('データ'!BF$370:BF$486,$C21)),0)</f>
        <v>0.0</v>
      </c>
      <c r="BG21" s="48">
        <f>IFERROR(CHOOSE($A$3,INDEX('データ'!BG$7:BG$123,$C21),INDEX('データ'!BG$128:BG$244,$C21),INDEX('データ'!BG$249:BG$365,$C21),INDEX('データ'!BG$370:BG$486,$C21)),0)</f>
        <v>0.0</v>
      </c>
    </row>
    <row r="22" spans="2:61" ht="20" customHeight="1">
      <c r="B22" s="44" t="s">
        <v>78</v>
      </c>
      <c r="C22" s="47">
        <f>MATCH($C$3&amp;"|"&amp;$B22,'データ'!$A$7:$A$123,0)</f>
        <v>7</v>
      </c>
      <c r="D22" s="48">
        <f>IFERROR(CHOOSE($A$3,INDEX('データ'!D$7:D$123,$C22),INDEX('データ'!D$128:D$244,$C22),INDEX('データ'!D$249:D$365,$C22),INDEX('データ'!D$370:D$486,$C22)),0)</f>
        <v>0.0</v>
      </c>
      <c r="E22" s="48">
        <f>IFERROR(CHOOSE($A$3,INDEX('データ'!E$7:E$123,$C22),INDEX('データ'!E$128:E$244,$C22),INDEX('データ'!E$249:E$365,$C22),INDEX('データ'!E$370:E$486,$C22)),0)</f>
        <v>0.0</v>
      </c>
      <c r="F22" s="48">
        <f>IFERROR(CHOOSE($A$3,INDEX('データ'!F$7:F$123,$C22),INDEX('データ'!F$128:F$244,$C22),INDEX('データ'!F$249:F$365,$C22),INDEX('データ'!F$370:F$486,$C22)),0)</f>
        <v>0.0</v>
      </c>
      <c r="G22" s="48">
        <f>IFERROR(CHOOSE($A$3,INDEX('データ'!G$7:G$123,$C22),INDEX('データ'!G$128:G$244,$C22),INDEX('データ'!G$249:G$365,$C22),INDEX('データ'!G$370:G$486,$C22)),0)</f>
        <v>16.0</v>
      </c>
      <c r="H22" s="48">
        <f>IFERROR(CHOOSE($A$3,INDEX('データ'!H$7:H$123,$C22),INDEX('データ'!H$128:H$244,$C22),INDEX('データ'!H$249:H$365,$C22),INDEX('データ'!H$370:H$486,$C22)),0)</f>
        <v>152.0</v>
      </c>
      <c r="I22" s="48">
        <f>IFERROR(CHOOSE($A$3,INDEX('データ'!I$7:I$123,$C22),INDEX('データ'!I$128:I$244,$C22),INDEX('データ'!I$249:I$365,$C22),INDEX('データ'!I$370:I$486,$C22)),0)</f>
        <v>492.0</v>
      </c>
      <c r="J22" s="48">
        <f>IFERROR(CHOOSE($A$3,INDEX('データ'!J$7:J$123,$C22),INDEX('データ'!J$128:J$244,$C22),INDEX('データ'!J$249:J$365,$C22),INDEX('データ'!J$370:J$486,$C22)),0)</f>
        <v>1121.0</v>
      </c>
      <c r="K22" s="48">
        <f>IFERROR(CHOOSE($A$3,INDEX('データ'!K$7:K$123,$C22),INDEX('データ'!K$128:K$244,$C22),INDEX('データ'!K$249:K$365,$C22),INDEX('データ'!K$370:K$486,$C22)),0)</f>
        <v>1291.0</v>
      </c>
      <c r="L22" s="48">
        <f>IFERROR(CHOOSE($A$3,INDEX('データ'!L$7:L$123,$C22),INDEX('データ'!L$128:L$244,$C22),INDEX('データ'!L$249:L$365,$C22),INDEX('データ'!L$370:L$486,$C22)),0)</f>
        <v>1569.0</v>
      </c>
      <c r="M22" s="48">
        <f>IFERROR(CHOOSE($A$3,INDEX('データ'!M$7:M$123,$C22),INDEX('データ'!M$128:M$244,$C22),INDEX('データ'!M$249:M$365,$C22),INDEX('データ'!M$370:M$486,$C22)),0)</f>
        <v>1718.0</v>
      </c>
      <c r="N22" s="48">
        <f>IFERROR(CHOOSE($A$3,INDEX('データ'!N$7:N$123,$C22),INDEX('データ'!N$128:N$244,$C22),INDEX('データ'!N$249:N$365,$C22),INDEX('データ'!N$370:N$486,$C22)),0)</f>
        <v>1864.0</v>
      </c>
      <c r="O22" s="48">
        <f>IFERROR(CHOOSE($A$3,INDEX('データ'!O$7:O$123,$C22),INDEX('データ'!O$128:O$244,$C22),INDEX('データ'!O$249:O$365,$C22),INDEX('データ'!O$370:O$486,$C22)),0)</f>
        <v>1933.0</v>
      </c>
      <c r="P22" s="48">
        <f>IFERROR(CHOOSE($A$3,INDEX('データ'!P$7:P$123,$C22),INDEX('データ'!P$128:P$244,$C22),INDEX('データ'!P$249:P$365,$C22),INDEX('データ'!P$370:P$486,$C22)),0)</f>
        <v>2040.0</v>
      </c>
      <c r="Q22" s="48">
        <f>IFERROR(CHOOSE($A$3,INDEX('データ'!Q$7:Q$123,$C22),INDEX('データ'!Q$128:Q$244,$C22),INDEX('データ'!Q$249:Q$365,$C22),INDEX('データ'!Q$370:Q$486,$C22)),0)</f>
        <v>2129.0</v>
      </c>
      <c r="R22" s="48">
        <f>IFERROR(CHOOSE($A$3,INDEX('データ'!R$7:R$123,$C22),INDEX('データ'!R$128:R$244,$C22),INDEX('データ'!R$249:R$365,$C22),INDEX('データ'!R$370:R$486,$C22)),0)</f>
        <v>2174.0</v>
      </c>
      <c r="S22" s="48">
        <f>IFERROR(CHOOSE($A$3,INDEX('データ'!S$7:S$123,$C22),INDEX('データ'!S$128:S$244,$C22),INDEX('データ'!S$249:S$365,$C22),INDEX('データ'!S$370:S$486,$C22)),0)</f>
        <v>2007.0</v>
      </c>
      <c r="T22" s="48">
        <f>IFERROR(CHOOSE($A$3,INDEX('データ'!T$7:T$123,$C22),INDEX('データ'!T$128:T$244,$C22),INDEX('データ'!T$249:T$365,$C22),INDEX('データ'!T$370:T$486,$C22)),0)</f>
        <v>2088.0</v>
      </c>
      <c r="U22" s="48">
        <f>IFERROR(CHOOSE($A$3,INDEX('データ'!U$7:U$123,$C22),INDEX('データ'!U$128:U$244,$C22),INDEX('データ'!U$249:U$365,$C22),INDEX('データ'!U$370:U$486,$C22)),0)</f>
        <v>1965.0</v>
      </c>
      <c r="V22" s="48">
        <f>IFERROR(CHOOSE($A$3,INDEX('データ'!V$7:V$123,$C22),INDEX('データ'!V$128:V$244,$C22),INDEX('データ'!V$249:V$365,$C22),INDEX('データ'!V$370:V$486,$C22)),0)</f>
        <v>1780.0</v>
      </c>
      <c r="W22" s="48">
        <f>IFERROR(CHOOSE($A$3,INDEX('データ'!W$7:W$123,$C22),INDEX('データ'!W$128:W$244,$C22),INDEX('データ'!W$249:W$365,$C22),INDEX('データ'!W$370:W$486,$C22)),0)</f>
        <v>1655.0</v>
      </c>
      <c r="X22" s="48">
        <f>IFERROR(CHOOSE($A$3,INDEX('データ'!X$7:X$123,$C22),INDEX('データ'!X$128:X$244,$C22),INDEX('データ'!X$249:X$365,$C22),INDEX('データ'!X$370:X$486,$C22)),0)</f>
        <v>1536.0</v>
      </c>
      <c r="Y22" s="48">
        <f>IFERROR(CHOOSE($A$3,INDEX('データ'!Y$7:Y$123,$C22),INDEX('データ'!Y$128:Y$244,$C22),INDEX('データ'!Y$249:Y$365,$C22),INDEX('データ'!Y$370:Y$486,$C22)),0)</f>
        <v>1511.0</v>
      </c>
      <c r="Z22" s="48">
        <f>IFERROR(CHOOSE($A$3,INDEX('データ'!Z$7:Z$123,$C22),INDEX('データ'!Z$128:Z$244,$C22),INDEX('データ'!Z$249:Z$365,$C22),INDEX('データ'!Z$370:Z$486,$C22)),0)</f>
        <v>1574.0</v>
      </c>
      <c r="AA22" s="48">
        <f>IFERROR(CHOOSE($A$3,INDEX('データ'!AA$7:AA$123,$C22),INDEX('データ'!AA$128:AA$244,$C22),INDEX('データ'!AA$249:AA$365,$C22),INDEX('データ'!AA$370:AA$486,$C22)),0)</f>
        <v>1537.0</v>
      </c>
      <c r="AB22" s="48">
        <f>IFERROR(CHOOSE($A$3,INDEX('データ'!AB$7:AB$123,$C22),INDEX('データ'!AB$128:AB$244,$C22),INDEX('データ'!AB$249:AB$365,$C22),INDEX('データ'!AB$370:AB$486,$C22)),0)</f>
        <v>1545.0</v>
      </c>
      <c r="AC22" s="48">
        <f>IFERROR(CHOOSE($A$3,INDEX('データ'!AC$7:AC$123,$C22),INDEX('データ'!AC$128:AC$244,$C22),INDEX('データ'!AC$249:AC$365,$C22),INDEX('データ'!AC$370:AC$486,$C22)),0)</f>
        <v>1708.0</v>
      </c>
      <c r="AD22" s="48">
        <f>IFERROR(CHOOSE($A$3,INDEX('データ'!AD$7:AD$123,$C22),INDEX('データ'!AD$128:AD$244,$C22),INDEX('データ'!AD$249:AD$365,$C22),INDEX('データ'!AD$370:AD$486,$C22)),0)</f>
        <v>1777.0</v>
      </c>
      <c r="AE22" s="48">
        <f>IFERROR(CHOOSE($A$3,INDEX('データ'!AE$7:AE$123,$C22),INDEX('データ'!AE$128:AE$244,$C22),INDEX('データ'!AE$249:AE$365,$C22),INDEX('データ'!AE$370:AE$486,$C22)),0)</f>
        <v>1910.0</v>
      </c>
      <c r="AF22" s="48">
        <f>IFERROR(CHOOSE($A$3,INDEX('データ'!AF$7:AF$123,$C22),INDEX('データ'!AF$128:AF$244,$C22),INDEX('データ'!AF$249:AF$365,$C22),INDEX('データ'!AF$370:AF$486,$C22)),0)</f>
        <v>1784.0</v>
      </c>
      <c r="AG22" s="48">
        <f>IFERROR(CHOOSE($A$3,INDEX('データ'!AG$7:AG$123,$C22),INDEX('データ'!AG$128:AG$244,$C22),INDEX('データ'!AG$249:AG$365,$C22),INDEX('データ'!AG$370:AG$486,$C22)),0)</f>
        <v>1862.0</v>
      </c>
      <c r="AH22" s="48">
        <f>IFERROR(CHOOSE($A$3,INDEX('データ'!AH$7:AH$123,$C22),INDEX('データ'!AH$128:AH$244,$C22),INDEX('データ'!AH$249:AH$365,$C22),INDEX('データ'!AH$370:AH$486,$C22)),0)</f>
        <v>1838.0</v>
      </c>
      <c r="AI22" s="48">
        <f>IFERROR(CHOOSE($A$3,INDEX('データ'!AI$7:AI$123,$C22),INDEX('データ'!AI$128:AI$244,$C22),INDEX('データ'!AI$249:AI$365,$C22),INDEX('データ'!AI$370:AI$486,$C22)),0)</f>
        <v>1712.0</v>
      </c>
      <c r="AJ22" s="48">
        <f>IFERROR(CHOOSE($A$3,INDEX('データ'!AJ$7:AJ$123,$C22),INDEX('データ'!AJ$128:AJ$244,$C22),INDEX('データ'!AJ$249:AJ$365,$C22),INDEX('データ'!AJ$370:AJ$486,$C22)),0)</f>
        <v>1767.0</v>
      </c>
      <c r="AK22" s="48">
        <f>IFERROR(CHOOSE($A$3,INDEX('データ'!AK$7:AK$123,$C22),INDEX('データ'!AK$128:AK$244,$C22),INDEX('データ'!AK$249:AK$365,$C22),INDEX('データ'!AK$370:AK$486,$C22)),0)</f>
        <v>1687.0</v>
      </c>
      <c r="AL22" s="48">
        <f>IFERROR(CHOOSE($A$3,INDEX('データ'!AL$7:AL$123,$C22),INDEX('データ'!AL$128:AL$244,$C22),INDEX('データ'!AL$249:AL$365,$C22),INDEX('データ'!AL$370:AL$486,$C22)),0)</f>
        <v>1648.0</v>
      </c>
      <c r="AM22" s="48">
        <f>IFERROR(CHOOSE($A$3,INDEX('データ'!AM$7:AM$123,$C22),INDEX('データ'!AM$128:AM$244,$C22),INDEX('データ'!AM$249:AM$365,$C22),INDEX('データ'!AM$370:AM$486,$C22)),0)</f>
        <v>1635.0</v>
      </c>
      <c r="AN22" s="48">
        <f>IFERROR(CHOOSE($A$3,INDEX('データ'!AN$7:AN$123,$C22),INDEX('データ'!AN$128:AN$244,$C22),INDEX('データ'!AN$249:AN$365,$C22),INDEX('データ'!AN$370:AN$486,$C22)),0)</f>
        <v>1669.0</v>
      </c>
      <c r="AO22" s="48">
        <f>IFERROR(CHOOSE($A$3,INDEX('データ'!AO$7:AO$123,$C22),INDEX('データ'!AO$128:AO$244,$C22),INDEX('データ'!AO$249:AO$365,$C22),INDEX('データ'!AO$370:AO$486,$C22)),0)</f>
        <v>1558.0</v>
      </c>
      <c r="AP22" s="48">
        <f>IFERROR(CHOOSE($A$3,INDEX('データ'!AP$7:AP$123,$C22),INDEX('データ'!AP$128:AP$244,$C22),INDEX('データ'!AP$249:AP$365,$C22),INDEX('データ'!AP$370:AP$486,$C22)),0)</f>
        <v>1431.0</v>
      </c>
      <c r="AQ22" s="48">
        <f>IFERROR(CHOOSE($A$3,INDEX('データ'!AQ$7:AQ$123,$C22),INDEX('データ'!AQ$128:AQ$244,$C22),INDEX('データ'!AQ$249:AQ$365,$C22),INDEX('データ'!AQ$370:AQ$486,$C22)),0)</f>
        <v>1102.0</v>
      </c>
      <c r="AR22" s="48">
        <f>IFERROR(CHOOSE($A$3,INDEX('データ'!AR$7:AR$123,$C22),INDEX('データ'!AR$128:AR$244,$C22),INDEX('データ'!AR$249:AR$365,$C22),INDEX('データ'!AR$370:AR$486,$C22)),0)</f>
        <v>663.0</v>
      </c>
      <c r="AS22" s="48">
        <f>IFERROR(CHOOSE($A$3,INDEX('データ'!AS$7:AS$123,$C22),INDEX('データ'!AS$128:AS$244,$C22),INDEX('データ'!AS$249:AS$365,$C22),INDEX('データ'!AS$370:AS$486,$C22)),0)</f>
        <v>176.0</v>
      </c>
      <c r="AT22" s="48">
        <f>IFERROR(CHOOSE($A$3,INDEX('データ'!AT$7:AT$123,$C22),INDEX('データ'!AT$128:AT$244,$C22),INDEX('データ'!AT$249:AT$365,$C22),INDEX('データ'!AT$370:AT$486,$C22)),0)</f>
        <v>44.0</v>
      </c>
      <c r="AU22" s="48">
        <f>IFERROR(CHOOSE($A$3,INDEX('データ'!AU$7:AU$123,$C22),INDEX('データ'!AU$128:AU$244,$C22),INDEX('データ'!AU$249:AU$365,$C22),INDEX('データ'!AU$370:AU$486,$C22)),0)</f>
        <v>4.0</v>
      </c>
      <c r="AV22" s="48">
        <f>IFERROR(CHOOSE($A$3,INDEX('データ'!AV$7:AV$123,$C22),INDEX('データ'!AV$128:AV$244,$C22),INDEX('データ'!AV$249:AV$365,$C22),INDEX('データ'!AV$370:AV$486,$C22)),0)</f>
        <v>0.0</v>
      </c>
      <c r="AW22" s="48">
        <f>IFERROR(CHOOSE($A$3,INDEX('データ'!AW$7:AW$123,$C22),INDEX('データ'!AW$128:AW$244,$C22),INDEX('データ'!AW$249:AW$365,$C22),INDEX('データ'!AW$370:AW$486,$C22)),0)</f>
        <v>0.0</v>
      </c>
      <c r="AX22" s="48">
        <f>IFERROR(CHOOSE($A$3,INDEX('データ'!AX$7:AX$123,$C22),INDEX('データ'!AX$128:AX$244,$C22),INDEX('データ'!AX$249:AX$365,$C22),INDEX('データ'!AX$370:AX$486,$C22)),0)</f>
        <v>0.0</v>
      </c>
      <c r="AY22" s="48">
        <f>IFERROR(CHOOSE($A$3,INDEX('データ'!AY$7:AY$123,$C22),INDEX('データ'!AY$128:AY$244,$C22),INDEX('データ'!AY$249:AY$365,$C22),INDEX('データ'!AY$370:AY$486,$C22)),0)</f>
        <v>0.0</v>
      </c>
      <c r="AZ22" s="48">
        <f>IFERROR(CHOOSE($A$3,INDEX('データ'!AZ$7:AZ$123,$C22),INDEX('データ'!AZ$128:AZ$244,$C22),INDEX('データ'!AZ$249:AZ$365,$C22),INDEX('データ'!AZ$370:AZ$486,$C22)),0)</f>
        <v>0.0</v>
      </c>
      <c r="BA22" s="48">
        <f>IFERROR(CHOOSE($A$3,INDEX('データ'!BA$7:BA$123,$C22),INDEX('データ'!BA$128:BA$244,$C22),INDEX('データ'!BA$249:BA$365,$C22),INDEX('データ'!BA$370:BA$486,$C22)),0)</f>
        <v>0.0</v>
      </c>
      <c r="BB22" s="48">
        <f>IFERROR(CHOOSE($A$3,INDEX('データ'!BB$7:BB$123,$C22),INDEX('データ'!BB$128:BB$244,$C22),INDEX('データ'!BB$249:BB$365,$C22),INDEX('データ'!BB$370:BB$486,$C22)),0)</f>
        <v>0.0</v>
      </c>
      <c r="BC22" s="48">
        <f>IFERROR(CHOOSE($A$3,INDEX('データ'!BC$7:BC$123,$C22),INDEX('データ'!BC$128:BC$244,$C22),INDEX('データ'!BC$249:BC$365,$C22),INDEX('データ'!BC$370:BC$486,$C22)),0)</f>
        <v>0.0</v>
      </c>
      <c r="BD22" s="48">
        <f>IFERROR(CHOOSE($A$3,INDEX('データ'!BD$7:BD$123,$C22),INDEX('データ'!BD$128:BD$244,$C22),INDEX('データ'!BD$249:BD$365,$C22),INDEX('データ'!BD$370:BD$486,$C22)),0)</f>
        <v>0.0</v>
      </c>
      <c r="BE22" s="48">
        <f>IFERROR(CHOOSE($A$3,INDEX('データ'!BE$7:BE$123,$C22),INDEX('データ'!BE$128:BE$244,$C22),INDEX('データ'!BE$249:BE$365,$C22),INDEX('データ'!BE$370:BE$486,$C22)),0)</f>
        <v>0.0</v>
      </c>
      <c r="BF22" s="48">
        <f>IFERROR(CHOOSE($A$3,INDEX('データ'!BF$7:BF$123,$C22),INDEX('データ'!BF$128:BF$244,$C22),INDEX('データ'!BF$249:BF$365,$C22),INDEX('データ'!BF$370:BF$486,$C22)),0)</f>
        <v>0.0</v>
      </c>
      <c r="BG22" s="48">
        <f>IFERROR(CHOOSE($A$3,INDEX('データ'!BG$7:BG$123,$C22),INDEX('データ'!BG$128:BG$244,$C22),INDEX('データ'!BG$249:BG$365,$C22),INDEX('データ'!BG$370:BG$486,$C22)),0)</f>
        <v>0.0</v>
      </c>
    </row>
    <row r="23" spans="2:61" ht="20" customHeight="1">
      <c r="B23" s="44" t="s">
        <v>80</v>
      </c>
      <c r="C23" s="47">
        <f>MATCH($C$3&amp;"|"&amp;$B23,'データ'!$A$7:$A$123,0)</f>
        <v>8</v>
      </c>
      <c r="D23" s="48">
        <f>IFERROR(CHOOSE($A$3,INDEX('データ'!D$7:D$123,$C23),INDEX('データ'!D$128:D$244,$C23),INDEX('データ'!D$249:D$365,$C23),INDEX('データ'!D$370:D$486,$C23)),0)</f>
        <v>0.0</v>
      </c>
      <c r="E23" s="48">
        <f>IFERROR(CHOOSE($A$3,INDEX('データ'!E$7:E$123,$C23),INDEX('データ'!E$128:E$244,$C23),INDEX('データ'!E$249:E$365,$C23),INDEX('データ'!E$370:E$486,$C23)),0)</f>
        <v>0.0</v>
      </c>
      <c r="F23" s="48">
        <f>IFERROR(CHOOSE($A$3,INDEX('データ'!F$7:F$123,$C23),INDEX('データ'!F$128:F$244,$C23),INDEX('データ'!F$249:F$365,$C23),INDEX('データ'!F$370:F$486,$C23)),0)</f>
        <v>0.0</v>
      </c>
      <c r="G23" s="48">
        <f>IFERROR(CHOOSE($A$3,INDEX('データ'!G$7:G$123,$C23),INDEX('データ'!G$128:G$244,$C23),INDEX('データ'!G$249:G$365,$C23),INDEX('データ'!G$370:G$486,$C23)),0)</f>
        <v>18.0</v>
      </c>
      <c r="H23" s="48">
        <f>IFERROR(CHOOSE($A$3,INDEX('データ'!H$7:H$123,$C23),INDEX('データ'!H$128:H$244,$C23),INDEX('データ'!H$249:H$365,$C23),INDEX('データ'!H$370:H$486,$C23)),0)</f>
        <v>161.0</v>
      </c>
      <c r="I23" s="48">
        <f>IFERROR(CHOOSE($A$3,INDEX('データ'!I$7:I$123,$C23),INDEX('データ'!I$128:I$244,$C23),INDEX('データ'!I$249:I$365,$C23),INDEX('データ'!I$370:I$486,$C23)),0)</f>
        <v>476.0</v>
      </c>
      <c r="J23" s="48">
        <f>IFERROR(CHOOSE($A$3,INDEX('データ'!J$7:J$123,$C23),INDEX('データ'!J$128:J$244,$C23),INDEX('データ'!J$249:J$365,$C23),INDEX('データ'!J$370:J$486,$C23)),0)</f>
        <v>1189.0</v>
      </c>
      <c r="K23" s="48">
        <f>IFERROR(CHOOSE($A$3,INDEX('データ'!K$7:K$123,$C23),INDEX('データ'!K$128:K$244,$C23),INDEX('データ'!K$249:K$365,$C23),INDEX('データ'!K$370:K$486,$C23)),0)</f>
        <v>1400.0</v>
      </c>
      <c r="L23" s="48">
        <f>IFERROR(CHOOSE($A$3,INDEX('データ'!L$7:L$123,$C23),INDEX('データ'!L$128:L$244,$C23),INDEX('データ'!L$249:L$365,$C23),INDEX('データ'!L$370:L$486,$C23)),0)</f>
        <v>1587.0</v>
      </c>
      <c r="M23" s="48">
        <f>IFERROR(CHOOSE($A$3,INDEX('データ'!M$7:M$123,$C23),INDEX('データ'!M$128:M$244,$C23),INDEX('データ'!M$249:M$365,$C23),INDEX('データ'!M$370:M$486,$C23)),0)</f>
        <v>1878.0</v>
      </c>
      <c r="N23" s="48">
        <f>IFERROR(CHOOSE($A$3,INDEX('データ'!N$7:N$123,$C23),INDEX('データ'!N$128:N$244,$C23),INDEX('データ'!N$249:N$365,$C23),INDEX('データ'!N$370:N$486,$C23)),0)</f>
        <v>1876.0</v>
      </c>
      <c r="O23" s="48">
        <f>IFERROR(CHOOSE($A$3,INDEX('データ'!O$7:O$123,$C23),INDEX('データ'!O$128:O$244,$C23),INDEX('データ'!O$249:O$365,$C23),INDEX('データ'!O$370:O$486,$C23)),0)</f>
        <v>2002.0</v>
      </c>
      <c r="P23" s="48">
        <f>IFERROR(CHOOSE($A$3,INDEX('データ'!P$7:P$123,$C23),INDEX('データ'!P$128:P$244,$C23),INDEX('データ'!P$249:P$365,$C23),INDEX('データ'!P$370:P$486,$C23)),0)</f>
        <v>2214.0</v>
      </c>
      <c r="Q23" s="48">
        <f>IFERROR(CHOOSE($A$3,INDEX('データ'!Q$7:Q$123,$C23),INDEX('データ'!Q$128:Q$244,$C23),INDEX('データ'!Q$249:Q$365,$C23),INDEX('データ'!Q$370:Q$486,$C23)),0)</f>
        <v>2403.0</v>
      </c>
      <c r="R23" s="48">
        <f>IFERROR(CHOOSE($A$3,INDEX('データ'!R$7:R$123,$C23),INDEX('データ'!R$128:R$244,$C23),INDEX('データ'!R$249:R$365,$C23),INDEX('データ'!R$370:R$486,$C23)),0)</f>
        <v>2328.0</v>
      </c>
      <c r="S23" s="48">
        <f>IFERROR(CHOOSE($A$3,INDEX('データ'!S$7:S$123,$C23),INDEX('データ'!S$128:S$244,$C23),INDEX('データ'!S$249:S$365,$C23),INDEX('データ'!S$370:S$486,$C23)),0)</f>
        <v>2287.0</v>
      </c>
      <c r="T23" s="48">
        <f>IFERROR(CHOOSE($A$3,INDEX('データ'!T$7:T$123,$C23),INDEX('データ'!T$128:T$244,$C23),INDEX('データ'!T$249:T$365,$C23),INDEX('データ'!T$370:T$486,$C23)),0)</f>
        <v>2247.0</v>
      </c>
      <c r="U23" s="48">
        <f>IFERROR(CHOOSE($A$3,INDEX('データ'!U$7:U$123,$C23),INDEX('データ'!U$128:U$244,$C23),INDEX('データ'!U$249:U$365,$C23),INDEX('データ'!U$370:U$486,$C23)),0)</f>
        <v>2165.0</v>
      </c>
      <c r="V23" s="48">
        <f>IFERROR(CHOOSE($A$3,INDEX('データ'!V$7:V$123,$C23),INDEX('データ'!V$128:V$244,$C23),INDEX('データ'!V$249:V$365,$C23),INDEX('データ'!V$370:V$486,$C23)),0)</f>
        <v>2103.0</v>
      </c>
      <c r="W23" s="48">
        <f>IFERROR(CHOOSE($A$3,INDEX('データ'!W$7:W$123,$C23),INDEX('データ'!W$128:W$244,$C23),INDEX('データ'!W$249:W$365,$C23),INDEX('データ'!W$370:W$486,$C23)),0)</f>
        <v>1847.0</v>
      </c>
      <c r="X23" s="48">
        <f>IFERROR(CHOOSE($A$3,INDEX('データ'!X$7:X$123,$C23),INDEX('データ'!X$128:X$244,$C23),INDEX('データ'!X$249:X$365,$C23),INDEX('データ'!X$370:X$486,$C23)),0)</f>
        <v>1758.0</v>
      </c>
      <c r="Y23" s="48">
        <f>IFERROR(CHOOSE($A$3,INDEX('データ'!Y$7:Y$123,$C23),INDEX('データ'!Y$128:Y$244,$C23),INDEX('データ'!Y$249:Y$365,$C23),INDEX('データ'!Y$370:Y$486,$C23)),0)</f>
        <v>1702.0</v>
      </c>
      <c r="Z23" s="48">
        <f>IFERROR(CHOOSE($A$3,INDEX('データ'!Z$7:Z$123,$C23),INDEX('データ'!Z$128:Z$244,$C23),INDEX('データ'!Z$249:Z$365,$C23),INDEX('データ'!Z$370:Z$486,$C23)),0)</f>
        <v>1599.0</v>
      </c>
      <c r="AA23" s="48">
        <f>IFERROR(CHOOSE($A$3,INDEX('データ'!AA$7:AA$123,$C23),INDEX('データ'!AA$128:AA$244,$C23),INDEX('データ'!AA$249:AA$365,$C23),INDEX('データ'!AA$370:AA$486,$C23)),0)</f>
        <v>1734.0</v>
      </c>
      <c r="AB23" s="48">
        <f>IFERROR(CHOOSE($A$3,INDEX('データ'!AB$7:AB$123,$C23),INDEX('データ'!AB$128:AB$244,$C23),INDEX('データ'!AB$249:AB$365,$C23),INDEX('データ'!AB$370:AB$486,$C23)),0)</f>
        <v>1855.0</v>
      </c>
      <c r="AC23" s="48">
        <f>IFERROR(CHOOSE($A$3,INDEX('データ'!AC$7:AC$123,$C23),INDEX('データ'!AC$128:AC$244,$C23),INDEX('データ'!AC$249:AC$365,$C23),INDEX('データ'!AC$370:AC$486,$C23)),0)</f>
        <v>2026.0</v>
      </c>
      <c r="AD23" s="48">
        <f>IFERROR(CHOOSE($A$3,INDEX('データ'!AD$7:AD$123,$C23),INDEX('データ'!AD$128:AD$244,$C23),INDEX('データ'!AD$249:AD$365,$C23),INDEX('データ'!AD$370:AD$486,$C23)),0)</f>
        <v>2012.0</v>
      </c>
      <c r="AE23" s="48">
        <f>IFERROR(CHOOSE($A$3,INDEX('データ'!AE$7:AE$123,$C23),INDEX('データ'!AE$128:AE$244,$C23),INDEX('データ'!AE$249:AE$365,$C23),INDEX('データ'!AE$370:AE$486,$C23)),0)</f>
        <v>2138.0</v>
      </c>
      <c r="AF23" s="48">
        <f>IFERROR(CHOOSE($A$3,INDEX('データ'!AF$7:AF$123,$C23),INDEX('データ'!AF$128:AF$244,$C23),INDEX('データ'!AF$249:AF$365,$C23),INDEX('データ'!AF$370:AF$486,$C23)),0)</f>
        <v>2101.0</v>
      </c>
      <c r="AG23" s="48">
        <f>IFERROR(CHOOSE($A$3,INDEX('データ'!AG$7:AG$123,$C23),INDEX('データ'!AG$128:AG$244,$C23),INDEX('データ'!AG$249:AG$365,$C23),INDEX('データ'!AG$370:AG$486,$C23)),0)</f>
        <v>1958.0</v>
      </c>
      <c r="AH23" s="48">
        <f>IFERROR(CHOOSE($A$3,INDEX('データ'!AH$7:AH$123,$C23),INDEX('データ'!AH$128:AH$244,$C23),INDEX('データ'!AH$249:AH$365,$C23),INDEX('データ'!AH$370:AH$486,$C23)),0)</f>
        <v>2034.0</v>
      </c>
      <c r="AI23" s="48">
        <f>IFERROR(CHOOSE($A$3,INDEX('データ'!AI$7:AI$123,$C23),INDEX('データ'!AI$128:AI$244,$C23),INDEX('データ'!AI$249:AI$365,$C23),INDEX('データ'!AI$370:AI$486,$C23)),0)</f>
        <v>1974.0</v>
      </c>
      <c r="AJ23" s="48">
        <f>IFERROR(CHOOSE($A$3,INDEX('データ'!AJ$7:AJ$123,$C23),INDEX('データ'!AJ$128:AJ$244,$C23),INDEX('データ'!AJ$249:AJ$365,$C23),INDEX('データ'!AJ$370:AJ$486,$C23)),0)</f>
        <v>2016.0</v>
      </c>
      <c r="AK23" s="48">
        <f>IFERROR(CHOOSE($A$3,INDEX('データ'!AK$7:AK$123,$C23),INDEX('データ'!AK$128:AK$244,$C23),INDEX('データ'!AK$249:AK$365,$C23),INDEX('データ'!AK$370:AK$486,$C23)),0)</f>
        <v>1929.0</v>
      </c>
      <c r="AL23" s="48">
        <f>IFERROR(CHOOSE($A$3,INDEX('データ'!AL$7:AL$123,$C23),INDEX('データ'!AL$128:AL$244,$C23),INDEX('データ'!AL$249:AL$365,$C23),INDEX('データ'!AL$370:AL$486,$C23)),0)</f>
        <v>1962.0</v>
      </c>
      <c r="AM23" s="48">
        <f>IFERROR(CHOOSE($A$3,INDEX('データ'!AM$7:AM$123,$C23),INDEX('データ'!AM$128:AM$244,$C23),INDEX('データ'!AM$249:AM$365,$C23),INDEX('データ'!AM$370:AM$486,$C23)),0)</f>
        <v>1905.0</v>
      </c>
      <c r="AN23" s="48">
        <f>IFERROR(CHOOSE($A$3,INDEX('データ'!AN$7:AN$123,$C23),INDEX('データ'!AN$128:AN$244,$C23),INDEX('データ'!AN$249:AN$365,$C23),INDEX('データ'!AN$370:AN$486,$C23)),0)</f>
        <v>1874.0</v>
      </c>
      <c r="AO23" s="48">
        <f>IFERROR(CHOOSE($A$3,INDEX('データ'!AO$7:AO$123,$C23),INDEX('データ'!AO$128:AO$244,$C23),INDEX('データ'!AO$249:AO$365,$C23),INDEX('データ'!AO$370:AO$486,$C23)),0)</f>
        <v>1820.0</v>
      </c>
      <c r="AP23" s="48">
        <f>IFERROR(CHOOSE($A$3,INDEX('データ'!AP$7:AP$123,$C23),INDEX('データ'!AP$128:AP$244,$C23),INDEX('データ'!AP$249:AP$365,$C23),INDEX('データ'!AP$370:AP$486,$C23)),0)</f>
        <v>1612.0</v>
      </c>
      <c r="AQ23" s="48">
        <f>IFERROR(CHOOSE($A$3,INDEX('データ'!AQ$7:AQ$123,$C23),INDEX('データ'!AQ$128:AQ$244,$C23),INDEX('データ'!AQ$249:AQ$365,$C23),INDEX('データ'!AQ$370:AQ$486,$C23)),0)</f>
        <v>1228.0</v>
      </c>
      <c r="AR23" s="48">
        <f>IFERROR(CHOOSE($A$3,INDEX('データ'!AR$7:AR$123,$C23),INDEX('データ'!AR$128:AR$244,$C23),INDEX('データ'!AR$249:AR$365,$C23),INDEX('データ'!AR$370:AR$486,$C23)),0)</f>
        <v>691.0</v>
      </c>
      <c r="AS23" s="48">
        <f>IFERROR(CHOOSE($A$3,INDEX('データ'!AS$7:AS$123,$C23),INDEX('データ'!AS$128:AS$244,$C23),INDEX('データ'!AS$249:AS$365,$C23),INDEX('データ'!AS$370:AS$486,$C23)),0)</f>
        <v>202.0</v>
      </c>
      <c r="AT23" s="48">
        <f>IFERROR(CHOOSE($A$3,INDEX('データ'!AT$7:AT$123,$C23),INDEX('データ'!AT$128:AT$244,$C23),INDEX('データ'!AT$249:AT$365,$C23),INDEX('データ'!AT$370:AT$486,$C23)),0)</f>
        <v>58.0</v>
      </c>
      <c r="AU23" s="48">
        <f>IFERROR(CHOOSE($A$3,INDEX('データ'!AU$7:AU$123,$C23),INDEX('データ'!AU$128:AU$244,$C23),INDEX('データ'!AU$249:AU$365,$C23),INDEX('データ'!AU$370:AU$486,$C23)),0)</f>
        <v>13.0</v>
      </c>
      <c r="AV23" s="48">
        <f>IFERROR(CHOOSE($A$3,INDEX('データ'!AV$7:AV$123,$C23),INDEX('データ'!AV$128:AV$244,$C23),INDEX('データ'!AV$249:AV$365,$C23),INDEX('データ'!AV$370:AV$486,$C23)),0)</f>
        <v>21.0</v>
      </c>
      <c r="AW23" s="48">
        <f>IFERROR(CHOOSE($A$3,INDEX('データ'!AW$7:AW$123,$C23),INDEX('データ'!AW$128:AW$244,$C23),INDEX('データ'!AW$249:AW$365,$C23),INDEX('データ'!AW$370:AW$486,$C23)),0)</f>
        <v>11.0</v>
      </c>
      <c r="AX23" s="48">
        <f>IFERROR(CHOOSE($A$3,INDEX('データ'!AX$7:AX$123,$C23),INDEX('データ'!AX$128:AX$244,$C23),INDEX('データ'!AX$249:AX$365,$C23),INDEX('データ'!AX$370:AX$486,$C23)),0)</f>
        <v>10.0</v>
      </c>
      <c r="AY23" s="48">
        <f>IFERROR(CHOOSE($A$3,INDEX('データ'!AY$7:AY$123,$C23),INDEX('データ'!AY$128:AY$244,$C23),INDEX('データ'!AY$249:AY$365,$C23),INDEX('データ'!AY$370:AY$486,$C23)),0)</f>
        <v>15.0</v>
      </c>
      <c r="AZ23" s="48">
        <f>IFERROR(CHOOSE($A$3,INDEX('データ'!AZ$7:AZ$123,$C23),INDEX('データ'!AZ$128:AZ$244,$C23),INDEX('データ'!AZ$249:AZ$365,$C23),INDEX('データ'!AZ$370:AZ$486,$C23)),0)</f>
        <v>12.0</v>
      </c>
      <c r="BA23" s="48">
        <f>IFERROR(CHOOSE($A$3,INDEX('データ'!BA$7:BA$123,$C23),INDEX('データ'!BA$128:BA$244,$C23),INDEX('データ'!BA$249:BA$365,$C23),INDEX('データ'!BA$370:BA$486,$C23)),0)</f>
        <v>16.0</v>
      </c>
      <c r="BB23" s="48">
        <f>IFERROR(CHOOSE($A$3,INDEX('データ'!BB$7:BB$123,$C23),INDEX('データ'!BB$128:BB$244,$C23),INDEX('データ'!BB$249:BB$365,$C23),INDEX('データ'!BB$370:BB$486,$C23)),0)</f>
        <v>9.0</v>
      </c>
      <c r="BC23" s="48">
        <f>IFERROR(CHOOSE($A$3,INDEX('データ'!BC$7:BC$123,$C23),INDEX('データ'!BC$128:BC$244,$C23),INDEX('データ'!BC$249:BC$365,$C23),INDEX('データ'!BC$370:BC$486,$C23)),0)</f>
        <v>0.0</v>
      </c>
      <c r="BD23" s="48">
        <f>IFERROR(CHOOSE($A$3,INDEX('データ'!BD$7:BD$123,$C23),INDEX('データ'!BD$128:BD$244,$C23),INDEX('データ'!BD$249:BD$365,$C23),INDEX('データ'!BD$370:BD$486,$C23)),0)</f>
        <v>1.0</v>
      </c>
      <c r="BE23" s="48">
        <f>IFERROR(CHOOSE($A$3,INDEX('データ'!BE$7:BE$123,$C23),INDEX('データ'!BE$128:BE$244,$C23),INDEX('データ'!BE$249:BE$365,$C23),INDEX('データ'!BE$370:BE$486,$C23)),0)</f>
        <v>0.0</v>
      </c>
      <c r="BF23" s="48">
        <f>IFERROR(CHOOSE($A$3,INDEX('データ'!BF$7:BF$123,$C23),INDEX('データ'!BF$128:BF$244,$C23),INDEX('データ'!BF$249:BF$365,$C23),INDEX('データ'!BF$370:BF$486,$C23)),0)</f>
        <v>0.0</v>
      </c>
      <c r="BG23" s="48">
        <f>IFERROR(CHOOSE($A$3,INDEX('データ'!BG$7:BG$123,$C23),INDEX('データ'!BG$128:BG$244,$C23),INDEX('データ'!BG$249:BG$365,$C23),INDEX('データ'!BG$370:BG$486,$C23)),0)</f>
        <v>0.0</v>
      </c>
    </row>
    <row r="24" spans="2:61" ht="20" customHeight="1">
      <c r="B24" s="44" t="s">
        <v>82</v>
      </c>
      <c r="C24" s="47">
        <f>MATCH($C$3&amp;"|"&amp;$B24,'データ'!$A$7:$A$123,0)</f>
        <v>9</v>
      </c>
      <c r="D24" s="48">
        <f>IFERROR(CHOOSE($A$3,INDEX('データ'!D$7:D$123,$C24),INDEX('データ'!D$128:D$244,$C24),INDEX('データ'!D$249:D$365,$C24),INDEX('データ'!D$370:D$486,$C24)),0)</f>
        <v>0.0</v>
      </c>
      <c r="E24" s="48">
        <f>IFERROR(CHOOSE($A$3,INDEX('データ'!E$7:E$123,$C24),INDEX('データ'!E$128:E$244,$C24),INDEX('データ'!E$249:E$365,$C24),INDEX('データ'!E$370:E$486,$C24)),0)</f>
        <v>0.0</v>
      </c>
      <c r="F24" s="48">
        <f>IFERROR(CHOOSE($A$3,INDEX('データ'!F$7:F$123,$C24),INDEX('データ'!F$128:F$244,$C24),INDEX('データ'!F$249:F$365,$C24),INDEX('データ'!F$370:F$486,$C24)),0)</f>
        <v>0.0</v>
      </c>
      <c r="G24" s="48">
        <f>IFERROR(CHOOSE($A$3,INDEX('データ'!G$7:G$123,$C24),INDEX('データ'!G$128:G$244,$C24),INDEX('データ'!G$249:G$365,$C24),INDEX('データ'!G$370:G$486,$C24)),0)</f>
        <v>22.0</v>
      </c>
      <c r="H24" s="48">
        <f>IFERROR(CHOOSE($A$3,INDEX('データ'!H$7:H$123,$C24),INDEX('データ'!H$128:H$244,$C24),INDEX('データ'!H$249:H$365,$C24),INDEX('データ'!H$370:H$486,$C24)),0)</f>
        <v>115.0</v>
      </c>
      <c r="I24" s="48">
        <f>IFERROR(CHOOSE($A$3,INDEX('データ'!I$7:I$123,$C24),INDEX('データ'!I$128:I$244,$C24),INDEX('データ'!I$249:I$365,$C24),INDEX('データ'!I$370:I$486,$C24)),0)</f>
        <v>341.0</v>
      </c>
      <c r="J24" s="48">
        <f>IFERROR(CHOOSE($A$3,INDEX('データ'!J$7:J$123,$C24),INDEX('データ'!J$128:J$244,$C24),INDEX('データ'!J$249:J$365,$C24),INDEX('データ'!J$370:J$486,$C24)),0)</f>
        <v>793.0</v>
      </c>
      <c r="K24" s="48">
        <f>IFERROR(CHOOSE($A$3,INDEX('データ'!K$7:K$123,$C24),INDEX('データ'!K$128:K$244,$C24),INDEX('データ'!K$249:K$365,$C24),INDEX('データ'!K$370:K$486,$C24)),0)</f>
        <v>934.0</v>
      </c>
      <c r="L24" s="48">
        <f>IFERROR(CHOOSE($A$3,INDEX('データ'!L$7:L$123,$C24),INDEX('データ'!L$128:L$244,$C24),INDEX('データ'!L$249:L$365,$C24),INDEX('データ'!L$370:L$486,$C24)),0)</f>
        <v>1104.0</v>
      </c>
      <c r="M24" s="48">
        <f>IFERROR(CHOOSE($A$3,INDEX('データ'!M$7:M$123,$C24),INDEX('データ'!M$128:M$244,$C24),INDEX('データ'!M$249:M$365,$C24),INDEX('データ'!M$370:M$486,$C24)),0)</f>
        <v>1348.0</v>
      </c>
      <c r="N24" s="48">
        <f>IFERROR(CHOOSE($A$3,INDEX('データ'!N$7:N$123,$C24),INDEX('データ'!N$128:N$244,$C24),INDEX('データ'!N$249:N$365,$C24),INDEX('データ'!N$370:N$486,$C24)),0)</f>
        <v>1395.0</v>
      </c>
      <c r="O24" s="48">
        <f>IFERROR(CHOOSE($A$3,INDEX('データ'!O$7:O$123,$C24),INDEX('データ'!O$128:O$244,$C24),INDEX('データ'!O$249:O$365,$C24),INDEX('データ'!O$370:O$486,$C24)),0)</f>
        <v>1470.0</v>
      </c>
      <c r="P24" s="48">
        <f>IFERROR(CHOOSE($A$3,INDEX('データ'!P$7:P$123,$C24),INDEX('データ'!P$128:P$244,$C24),INDEX('データ'!P$249:P$365,$C24),INDEX('データ'!P$370:P$486,$C24)),0)</f>
        <v>1619.0</v>
      </c>
      <c r="Q24" s="48">
        <f>IFERROR(CHOOSE($A$3,INDEX('データ'!Q$7:Q$123,$C24),INDEX('データ'!Q$128:Q$244,$C24),INDEX('データ'!Q$249:Q$365,$C24),INDEX('データ'!Q$370:Q$486,$C24)),0)</f>
        <v>1759.0</v>
      </c>
      <c r="R24" s="48">
        <f>IFERROR(CHOOSE($A$3,INDEX('データ'!R$7:R$123,$C24),INDEX('データ'!R$128:R$244,$C24),INDEX('データ'!R$249:R$365,$C24),INDEX('データ'!R$370:R$486,$C24)),0)</f>
        <v>1692.0</v>
      </c>
      <c r="S24" s="48">
        <f>IFERROR(CHOOSE($A$3,INDEX('データ'!S$7:S$123,$C24),INDEX('データ'!S$128:S$244,$C24),INDEX('データ'!S$249:S$365,$C24),INDEX('データ'!S$370:S$486,$C24)),0)</f>
        <v>1782.0</v>
      </c>
      <c r="T24" s="48">
        <f>IFERROR(CHOOSE($A$3,INDEX('データ'!T$7:T$123,$C24),INDEX('データ'!T$128:T$244,$C24),INDEX('データ'!T$249:T$365,$C24),INDEX('データ'!T$370:T$486,$C24)),0)</f>
        <v>1760.0</v>
      </c>
      <c r="U24" s="48">
        <f>IFERROR(CHOOSE($A$3,INDEX('データ'!U$7:U$123,$C24),INDEX('データ'!U$128:U$244,$C24),INDEX('データ'!U$249:U$365,$C24),INDEX('データ'!U$370:U$486,$C24)),0)</f>
        <v>1627.0</v>
      </c>
      <c r="V24" s="48">
        <f>IFERROR(CHOOSE($A$3,INDEX('データ'!V$7:V$123,$C24),INDEX('データ'!V$128:V$244,$C24),INDEX('データ'!V$249:V$365,$C24),INDEX('データ'!V$370:V$486,$C24)),0)</f>
        <v>1559.0</v>
      </c>
      <c r="W24" s="48">
        <f>IFERROR(CHOOSE($A$3,INDEX('データ'!W$7:W$123,$C24),INDEX('データ'!W$128:W$244,$C24),INDEX('データ'!W$249:W$365,$C24),INDEX('データ'!W$370:W$486,$C24)),0)</f>
        <v>1430.0</v>
      </c>
      <c r="X24" s="48">
        <f>IFERROR(CHOOSE($A$3,INDEX('データ'!X$7:X$123,$C24),INDEX('データ'!X$128:X$244,$C24),INDEX('データ'!X$249:X$365,$C24),INDEX('データ'!X$370:X$486,$C24)),0)</f>
        <v>1354.0</v>
      </c>
      <c r="Y24" s="48">
        <f>IFERROR(CHOOSE($A$3,INDEX('データ'!Y$7:Y$123,$C24),INDEX('データ'!Y$128:Y$244,$C24),INDEX('データ'!Y$249:Y$365,$C24),INDEX('データ'!Y$370:Y$486,$C24)),0)</f>
        <v>1295.0</v>
      </c>
      <c r="Z24" s="48">
        <f>IFERROR(CHOOSE($A$3,INDEX('データ'!Z$7:Z$123,$C24),INDEX('データ'!Z$128:Z$244,$C24),INDEX('データ'!Z$249:Z$365,$C24),INDEX('データ'!Z$370:Z$486,$C24)),0)</f>
        <v>1338.0</v>
      </c>
      <c r="AA24" s="48">
        <f>IFERROR(CHOOSE($A$3,INDEX('データ'!AA$7:AA$123,$C24),INDEX('データ'!AA$128:AA$244,$C24),INDEX('データ'!AA$249:AA$365,$C24),INDEX('データ'!AA$370:AA$486,$C24)),0)</f>
        <v>1267.0</v>
      </c>
      <c r="AB24" s="48">
        <f>IFERROR(CHOOSE($A$3,INDEX('データ'!AB$7:AB$123,$C24),INDEX('データ'!AB$128:AB$244,$C24),INDEX('データ'!AB$249:AB$365,$C24),INDEX('データ'!AB$370:AB$486,$C24)),0)</f>
        <v>1359.0</v>
      </c>
      <c r="AC24" s="48">
        <f>IFERROR(CHOOSE($A$3,INDEX('データ'!AC$7:AC$123,$C24),INDEX('データ'!AC$128:AC$244,$C24),INDEX('データ'!AC$249:AC$365,$C24),INDEX('データ'!AC$370:AC$486,$C24)),0)</f>
        <v>1432.0</v>
      </c>
      <c r="AD24" s="48">
        <f>IFERROR(CHOOSE($A$3,INDEX('データ'!AD$7:AD$123,$C24),INDEX('データ'!AD$128:AD$244,$C24),INDEX('データ'!AD$249:AD$365,$C24),INDEX('データ'!AD$370:AD$486,$C24)),0)</f>
        <v>1497.0</v>
      </c>
      <c r="AE24" s="48">
        <f>IFERROR(CHOOSE($A$3,INDEX('データ'!AE$7:AE$123,$C24),INDEX('データ'!AE$128:AE$244,$C24),INDEX('データ'!AE$249:AE$365,$C24),INDEX('データ'!AE$370:AE$486,$C24)),0)</f>
        <v>1604.0</v>
      </c>
      <c r="AF24" s="48">
        <f>IFERROR(CHOOSE($A$3,INDEX('データ'!AF$7:AF$123,$C24),INDEX('データ'!AF$128:AF$244,$C24),INDEX('データ'!AF$249:AF$365,$C24),INDEX('データ'!AF$370:AF$486,$C24)),0)</f>
        <v>1582.0</v>
      </c>
      <c r="AG24" s="48">
        <f>IFERROR(CHOOSE($A$3,INDEX('データ'!AG$7:AG$123,$C24),INDEX('データ'!AG$128:AG$244,$C24),INDEX('データ'!AG$249:AG$365,$C24),INDEX('データ'!AG$370:AG$486,$C24)),0)</f>
        <v>1627.0</v>
      </c>
      <c r="AH24" s="48">
        <f>IFERROR(CHOOSE($A$3,INDEX('データ'!AH$7:AH$123,$C24),INDEX('データ'!AH$128:AH$244,$C24),INDEX('データ'!AH$249:AH$365,$C24),INDEX('データ'!AH$370:AH$486,$C24)),0)</f>
        <v>1624.0</v>
      </c>
      <c r="AI24" s="48">
        <f>IFERROR(CHOOSE($A$3,INDEX('データ'!AI$7:AI$123,$C24),INDEX('データ'!AI$128:AI$244,$C24),INDEX('データ'!AI$249:AI$365,$C24),INDEX('データ'!AI$370:AI$486,$C24)),0)</f>
        <v>1466.0</v>
      </c>
      <c r="AJ24" s="48">
        <f>IFERROR(CHOOSE($A$3,INDEX('データ'!AJ$7:AJ$123,$C24),INDEX('データ'!AJ$128:AJ$244,$C24),INDEX('データ'!AJ$249:AJ$365,$C24),INDEX('データ'!AJ$370:AJ$486,$C24)),0)</f>
        <v>1499.0</v>
      </c>
      <c r="AK24" s="48">
        <f>IFERROR(CHOOSE($A$3,INDEX('データ'!AK$7:AK$123,$C24),INDEX('データ'!AK$128:AK$244,$C24),INDEX('データ'!AK$249:AK$365,$C24),INDEX('データ'!AK$370:AK$486,$C24)),0)</f>
        <v>1465.0</v>
      </c>
      <c r="AL24" s="48">
        <f>IFERROR(CHOOSE($A$3,INDEX('データ'!AL$7:AL$123,$C24),INDEX('データ'!AL$128:AL$244,$C24),INDEX('データ'!AL$249:AL$365,$C24),INDEX('データ'!AL$370:AL$486,$C24)),0)</f>
        <v>1446.0</v>
      </c>
      <c r="AM24" s="48">
        <f>IFERROR(CHOOSE($A$3,INDEX('データ'!AM$7:AM$123,$C24),INDEX('データ'!AM$128:AM$244,$C24),INDEX('データ'!AM$249:AM$365,$C24),INDEX('データ'!AM$370:AM$486,$C24)),0)</f>
        <v>1401.0</v>
      </c>
      <c r="AN24" s="48">
        <f>IFERROR(CHOOSE($A$3,INDEX('データ'!AN$7:AN$123,$C24),INDEX('データ'!AN$128:AN$244,$C24),INDEX('データ'!AN$249:AN$365,$C24),INDEX('データ'!AN$370:AN$486,$C24)),0)</f>
        <v>1386.0</v>
      </c>
      <c r="AO24" s="48">
        <f>IFERROR(CHOOSE($A$3,INDEX('データ'!AO$7:AO$123,$C24),INDEX('データ'!AO$128:AO$244,$C24),INDEX('データ'!AO$249:AO$365,$C24),INDEX('データ'!AO$370:AO$486,$C24)),0)</f>
        <v>1237.0</v>
      </c>
      <c r="AP24" s="48">
        <f>IFERROR(CHOOSE($A$3,INDEX('データ'!AP$7:AP$123,$C24),INDEX('データ'!AP$128:AP$244,$C24),INDEX('データ'!AP$249:AP$365,$C24),INDEX('データ'!AP$370:AP$486,$C24)),0)</f>
        <v>1206.0</v>
      </c>
      <c r="AQ24" s="48">
        <f>IFERROR(CHOOSE($A$3,INDEX('データ'!AQ$7:AQ$123,$C24),INDEX('データ'!AQ$128:AQ$244,$C24),INDEX('データ'!AQ$249:AQ$365,$C24),INDEX('データ'!AQ$370:AQ$486,$C24)),0)</f>
        <v>877.0</v>
      </c>
      <c r="AR24" s="48">
        <f>IFERROR(CHOOSE($A$3,INDEX('データ'!AR$7:AR$123,$C24),INDEX('データ'!AR$128:AR$244,$C24),INDEX('データ'!AR$249:AR$365,$C24),INDEX('データ'!AR$370:AR$486,$C24)),0)</f>
        <v>578.0</v>
      </c>
      <c r="AS24" s="48">
        <f>IFERROR(CHOOSE($A$3,INDEX('データ'!AS$7:AS$123,$C24),INDEX('データ'!AS$128:AS$244,$C24),INDEX('データ'!AS$249:AS$365,$C24),INDEX('データ'!AS$370:AS$486,$C24)),0)</f>
        <v>166.0</v>
      </c>
      <c r="AT24" s="48">
        <f>IFERROR(CHOOSE($A$3,INDEX('データ'!AT$7:AT$123,$C24),INDEX('データ'!AT$128:AT$244,$C24),INDEX('データ'!AT$249:AT$365,$C24),INDEX('データ'!AT$370:AT$486,$C24)),0)</f>
        <v>35.0</v>
      </c>
      <c r="AU24" s="48">
        <f>IFERROR(CHOOSE($A$3,INDEX('データ'!AU$7:AU$123,$C24),INDEX('データ'!AU$128:AU$244,$C24),INDEX('データ'!AU$249:AU$365,$C24),INDEX('データ'!AU$370:AU$486,$C24)),0)</f>
        <v>7.0</v>
      </c>
      <c r="AV24" s="48">
        <f>IFERROR(CHOOSE($A$3,INDEX('データ'!AV$7:AV$123,$C24),INDEX('データ'!AV$128:AV$244,$C24),INDEX('データ'!AV$249:AV$365,$C24),INDEX('データ'!AV$370:AV$486,$C24)),0)</f>
        <v>0.0</v>
      </c>
      <c r="AW24" s="48">
        <f>IFERROR(CHOOSE($A$3,INDEX('データ'!AW$7:AW$123,$C24),INDEX('データ'!AW$128:AW$244,$C24),INDEX('データ'!AW$249:AW$365,$C24),INDEX('データ'!AW$370:AW$486,$C24)),0)</f>
        <v>0.0</v>
      </c>
      <c r="AX24" s="48">
        <f>IFERROR(CHOOSE($A$3,INDEX('データ'!AX$7:AX$123,$C24),INDEX('データ'!AX$128:AX$244,$C24),INDEX('データ'!AX$249:AX$365,$C24),INDEX('データ'!AX$370:AX$486,$C24)),0)</f>
        <v>0.0</v>
      </c>
      <c r="AY24" s="48">
        <f>IFERROR(CHOOSE($A$3,INDEX('データ'!AY$7:AY$123,$C24),INDEX('データ'!AY$128:AY$244,$C24),INDEX('データ'!AY$249:AY$365,$C24),INDEX('データ'!AY$370:AY$486,$C24)),0)</f>
        <v>0.0</v>
      </c>
      <c r="AZ24" s="48">
        <f>IFERROR(CHOOSE($A$3,INDEX('データ'!AZ$7:AZ$123,$C24),INDEX('データ'!AZ$128:AZ$244,$C24),INDEX('データ'!AZ$249:AZ$365,$C24),INDEX('データ'!AZ$370:AZ$486,$C24)),0)</f>
        <v>0.0</v>
      </c>
      <c r="BA24" s="48">
        <f>IFERROR(CHOOSE($A$3,INDEX('データ'!BA$7:BA$123,$C24),INDEX('データ'!BA$128:BA$244,$C24),INDEX('データ'!BA$249:BA$365,$C24),INDEX('データ'!BA$370:BA$486,$C24)),0)</f>
        <v>0.0</v>
      </c>
      <c r="BB24" s="48">
        <f>IFERROR(CHOOSE($A$3,INDEX('データ'!BB$7:BB$123,$C24),INDEX('データ'!BB$128:BB$244,$C24),INDEX('データ'!BB$249:BB$365,$C24),INDEX('データ'!BB$370:BB$486,$C24)),0)</f>
        <v>0.0</v>
      </c>
      <c r="BC24" s="48">
        <f>IFERROR(CHOOSE($A$3,INDEX('データ'!BC$7:BC$123,$C24),INDEX('データ'!BC$128:BC$244,$C24),INDEX('データ'!BC$249:BC$365,$C24),INDEX('データ'!BC$370:BC$486,$C24)),0)</f>
        <v>0.0</v>
      </c>
      <c r="BD24" s="48">
        <f>IFERROR(CHOOSE($A$3,INDEX('データ'!BD$7:BD$123,$C24),INDEX('データ'!BD$128:BD$244,$C24),INDEX('データ'!BD$249:BD$365,$C24),INDEX('データ'!BD$370:BD$486,$C24)),0)</f>
        <v>0.0</v>
      </c>
      <c r="BE24" s="48">
        <f>IFERROR(CHOOSE($A$3,INDEX('データ'!BE$7:BE$123,$C24),INDEX('データ'!BE$128:BE$244,$C24),INDEX('データ'!BE$249:BE$365,$C24),INDEX('データ'!BE$370:BE$486,$C24)),0)</f>
        <v>0.0</v>
      </c>
      <c r="BF24" s="48">
        <f>IFERROR(CHOOSE($A$3,INDEX('データ'!BF$7:BF$123,$C24),INDEX('データ'!BF$128:BF$244,$C24),INDEX('データ'!BF$249:BF$365,$C24),INDEX('データ'!BF$370:BF$486,$C24)),0)</f>
        <v>0.0</v>
      </c>
      <c r="BG24" s="48">
        <f>IFERROR(CHOOSE($A$3,INDEX('データ'!BG$7:BG$123,$C24),INDEX('データ'!BG$128:BG$244,$C24),INDEX('データ'!BG$249:BG$365,$C24),INDEX('データ'!BG$370:BG$486,$C24)),0)</f>
        <v>0.0</v>
      </c>
    </row>
    <row r="25" spans="2:61" ht="20" customHeight="1">
      <c r="B25" s="44" t="s">
        <v>84</v>
      </c>
      <c r="C25" s="47">
        <f>MATCH($C$3&amp;"|"&amp;$B25,'データ'!$A$7:$A$123,0)</f>
        <v>10</v>
      </c>
      <c r="D25" s="48">
        <f>IFERROR(CHOOSE($A$3,INDEX('データ'!D$7:D$123,$C25),INDEX('データ'!D$128:D$244,$C25),INDEX('データ'!D$249:D$365,$C25),INDEX('データ'!D$370:D$486,$C25)),0)</f>
        <v>0.0</v>
      </c>
      <c r="E25" s="48">
        <f>IFERROR(CHOOSE($A$3,INDEX('データ'!E$7:E$123,$C25),INDEX('データ'!E$128:E$244,$C25),INDEX('データ'!E$249:E$365,$C25),INDEX('データ'!E$370:E$486,$C25)),0)</f>
        <v>0.0</v>
      </c>
      <c r="F25" s="48">
        <f>IFERROR(CHOOSE($A$3,INDEX('データ'!F$7:F$123,$C25),INDEX('データ'!F$128:F$244,$C25),INDEX('データ'!F$249:F$365,$C25),INDEX('データ'!F$370:F$486,$C25)),0)</f>
        <v>0.0</v>
      </c>
      <c r="G25" s="48">
        <f>IFERROR(CHOOSE($A$3,INDEX('データ'!G$7:G$123,$C25),INDEX('データ'!G$128:G$244,$C25),INDEX('データ'!G$249:G$365,$C25),INDEX('データ'!G$370:G$486,$C25)),0)</f>
        <v>2.0</v>
      </c>
      <c r="H25" s="48">
        <f>IFERROR(CHOOSE($A$3,INDEX('データ'!H$7:H$123,$C25),INDEX('データ'!H$128:H$244,$C25),INDEX('データ'!H$249:H$365,$C25),INDEX('データ'!H$370:H$486,$C25)),0)</f>
        <v>43.0</v>
      </c>
      <c r="I25" s="48">
        <f>IFERROR(CHOOSE($A$3,INDEX('データ'!I$7:I$123,$C25),INDEX('データ'!I$128:I$244,$C25),INDEX('データ'!I$249:I$365,$C25),INDEX('データ'!I$370:I$486,$C25)),0)</f>
        <v>366.0</v>
      </c>
      <c r="J25" s="48">
        <f>IFERROR(CHOOSE($A$3,INDEX('データ'!J$7:J$123,$C25),INDEX('データ'!J$128:J$244,$C25),INDEX('データ'!J$249:J$365,$C25),INDEX('データ'!J$370:J$486,$C25)),0)</f>
        <v>1021.0</v>
      </c>
      <c r="K25" s="48">
        <f>IFERROR(CHOOSE($A$3,INDEX('データ'!K$7:K$123,$C25),INDEX('データ'!K$128:K$244,$C25),INDEX('データ'!K$249:K$365,$C25),INDEX('データ'!K$370:K$486,$C25)),0)</f>
        <v>1014.0</v>
      </c>
      <c r="L25" s="48">
        <f>IFERROR(CHOOSE($A$3,INDEX('データ'!L$7:L$123,$C25),INDEX('データ'!L$128:L$244,$C25),INDEX('データ'!L$249:L$365,$C25),INDEX('データ'!L$370:L$486,$C25)),0)</f>
        <v>1213.0</v>
      </c>
      <c r="M25" s="48">
        <f>IFERROR(CHOOSE($A$3,INDEX('データ'!M$7:M$123,$C25),INDEX('データ'!M$128:M$244,$C25),INDEX('データ'!M$249:M$365,$C25),INDEX('データ'!M$370:M$486,$C25)),0)</f>
        <v>1331.0</v>
      </c>
      <c r="N25" s="48">
        <f>IFERROR(CHOOSE($A$3,INDEX('データ'!N$7:N$123,$C25),INDEX('データ'!N$128:N$244,$C25),INDEX('データ'!N$249:N$365,$C25),INDEX('データ'!N$370:N$486,$C25)),0)</f>
        <v>1473.0</v>
      </c>
      <c r="O25" s="48">
        <f>IFERROR(CHOOSE($A$3,INDEX('データ'!O$7:O$123,$C25),INDEX('データ'!O$128:O$244,$C25),INDEX('データ'!O$249:O$365,$C25),INDEX('データ'!O$370:O$486,$C25)),0)</f>
        <v>1633.0</v>
      </c>
      <c r="P25" s="48">
        <f>IFERROR(CHOOSE($A$3,INDEX('データ'!P$7:P$123,$C25),INDEX('データ'!P$128:P$244,$C25),INDEX('データ'!P$249:P$365,$C25),INDEX('データ'!P$370:P$486,$C25)),0)</f>
        <v>1801.0</v>
      </c>
      <c r="Q25" s="48">
        <f>IFERROR(CHOOSE($A$3,INDEX('データ'!Q$7:Q$123,$C25),INDEX('データ'!Q$128:Q$244,$C25),INDEX('データ'!Q$249:Q$365,$C25),INDEX('データ'!Q$370:Q$486,$C25)),0)</f>
        <v>1805.0</v>
      </c>
      <c r="R25" s="48">
        <f>IFERROR(CHOOSE($A$3,INDEX('データ'!R$7:R$123,$C25),INDEX('データ'!R$128:R$244,$C25),INDEX('データ'!R$249:R$365,$C25),INDEX('データ'!R$370:R$486,$C25)),0)</f>
        <v>1840.0</v>
      </c>
      <c r="S25" s="48">
        <f>IFERROR(CHOOSE($A$3,INDEX('データ'!S$7:S$123,$C25),INDEX('データ'!S$128:S$244,$C25),INDEX('データ'!S$249:S$365,$C25),INDEX('データ'!S$370:S$486,$C25)),0)</f>
        <v>1799.0</v>
      </c>
      <c r="T25" s="48">
        <f>IFERROR(CHOOSE($A$3,INDEX('データ'!T$7:T$123,$C25),INDEX('データ'!T$128:T$244,$C25),INDEX('データ'!T$249:T$365,$C25),INDEX('データ'!T$370:T$486,$C25)),0)</f>
        <v>1924.0</v>
      </c>
      <c r="U25" s="48">
        <f>IFERROR(CHOOSE($A$3,INDEX('データ'!U$7:U$123,$C25),INDEX('データ'!U$128:U$244,$C25),INDEX('データ'!U$249:U$365,$C25),INDEX('データ'!U$370:U$486,$C25)),0)</f>
        <v>1816.0</v>
      </c>
      <c r="V25" s="48">
        <f>IFERROR(CHOOSE($A$3,INDEX('データ'!V$7:V$123,$C25),INDEX('データ'!V$128:V$244,$C25),INDEX('データ'!V$249:V$365,$C25),INDEX('データ'!V$370:V$486,$C25)),0)</f>
        <v>1739.0</v>
      </c>
      <c r="W25" s="48">
        <f>IFERROR(CHOOSE($A$3,INDEX('データ'!W$7:W$123,$C25),INDEX('データ'!W$128:W$244,$C25),INDEX('データ'!W$249:W$365,$C25),INDEX('データ'!W$370:W$486,$C25)),0)</f>
        <v>1620.0</v>
      </c>
      <c r="X25" s="48">
        <f>IFERROR(CHOOSE($A$3,INDEX('データ'!X$7:X$123,$C25),INDEX('データ'!X$128:X$244,$C25),INDEX('データ'!X$249:X$365,$C25),INDEX('データ'!X$370:X$486,$C25)),0)</f>
        <v>1458.0</v>
      </c>
      <c r="Y25" s="48">
        <f>IFERROR(CHOOSE($A$3,INDEX('データ'!Y$7:Y$123,$C25),INDEX('データ'!Y$128:Y$244,$C25),INDEX('データ'!Y$249:Y$365,$C25),INDEX('データ'!Y$370:Y$486,$C25)),0)</f>
        <v>1445.0</v>
      </c>
      <c r="Z25" s="48">
        <f>IFERROR(CHOOSE($A$3,INDEX('データ'!Z$7:Z$123,$C25),INDEX('データ'!Z$128:Z$244,$C25),INDEX('データ'!Z$249:Z$365,$C25),INDEX('データ'!Z$370:Z$486,$C25)),0)</f>
        <v>1456.0</v>
      </c>
      <c r="AA25" s="48">
        <f>IFERROR(CHOOSE($A$3,INDEX('データ'!AA$7:AA$123,$C25),INDEX('データ'!AA$128:AA$244,$C25),INDEX('データ'!AA$249:AA$365,$C25),INDEX('データ'!AA$370:AA$486,$C25)),0)</f>
        <v>1443.0</v>
      </c>
      <c r="AB25" s="48">
        <f>IFERROR(CHOOSE($A$3,INDEX('データ'!AB$7:AB$123,$C25),INDEX('データ'!AB$128:AB$244,$C25),INDEX('データ'!AB$249:AB$365,$C25),INDEX('データ'!AB$370:AB$486,$C25)),0)</f>
        <v>1590.0</v>
      </c>
      <c r="AC25" s="48">
        <f>IFERROR(CHOOSE($A$3,INDEX('データ'!AC$7:AC$123,$C25),INDEX('データ'!AC$128:AC$244,$C25),INDEX('データ'!AC$249:AC$365,$C25),INDEX('データ'!AC$370:AC$486,$C25)),0)</f>
        <v>1739.0</v>
      </c>
      <c r="AD25" s="48">
        <f>IFERROR(CHOOSE($A$3,INDEX('データ'!AD$7:AD$123,$C25),INDEX('データ'!AD$128:AD$244,$C25),INDEX('データ'!AD$249:AD$365,$C25),INDEX('データ'!AD$370:AD$486,$C25)),0)</f>
        <v>1723.0</v>
      </c>
      <c r="AE25" s="48">
        <f>IFERROR(CHOOSE($A$3,INDEX('データ'!AE$7:AE$123,$C25),INDEX('データ'!AE$128:AE$244,$C25),INDEX('データ'!AE$249:AE$365,$C25),INDEX('データ'!AE$370:AE$486,$C25)),0)</f>
        <v>1806.0</v>
      </c>
      <c r="AF25" s="48">
        <f>IFERROR(CHOOSE($A$3,INDEX('データ'!AF$7:AF$123,$C25),INDEX('データ'!AF$128:AF$244,$C25),INDEX('データ'!AF$249:AF$365,$C25),INDEX('データ'!AF$370:AF$486,$C25)),0)</f>
        <v>1844.0</v>
      </c>
      <c r="AG25" s="48">
        <f>IFERROR(CHOOSE($A$3,INDEX('データ'!AG$7:AG$123,$C25),INDEX('データ'!AG$128:AG$244,$C25),INDEX('データ'!AG$249:AG$365,$C25),INDEX('データ'!AG$370:AG$486,$C25)),0)</f>
        <v>1864.0</v>
      </c>
      <c r="AH25" s="48">
        <f>IFERROR(CHOOSE($A$3,INDEX('データ'!AH$7:AH$123,$C25),INDEX('データ'!AH$128:AH$244,$C25),INDEX('データ'!AH$249:AH$365,$C25),INDEX('データ'!AH$370:AH$486,$C25)),0)</f>
        <v>1770.0</v>
      </c>
      <c r="AI25" s="48">
        <f>IFERROR(CHOOSE($A$3,INDEX('データ'!AI$7:AI$123,$C25),INDEX('データ'!AI$128:AI$244,$C25),INDEX('データ'!AI$249:AI$365,$C25),INDEX('データ'!AI$370:AI$486,$C25)),0)</f>
        <v>1724.0</v>
      </c>
      <c r="AJ25" s="48">
        <f>IFERROR(CHOOSE($A$3,INDEX('データ'!AJ$7:AJ$123,$C25),INDEX('データ'!AJ$128:AJ$244,$C25),INDEX('データ'!AJ$249:AJ$365,$C25),INDEX('データ'!AJ$370:AJ$486,$C25)),0)</f>
        <v>1674.0</v>
      </c>
      <c r="AK25" s="48">
        <f>IFERROR(CHOOSE($A$3,INDEX('データ'!AK$7:AK$123,$C25),INDEX('データ'!AK$128:AK$244,$C25),INDEX('データ'!AK$249:AK$365,$C25),INDEX('データ'!AK$370:AK$486,$C25)),0)</f>
        <v>1591.0</v>
      </c>
      <c r="AL25" s="48">
        <f>IFERROR(CHOOSE($A$3,INDEX('データ'!AL$7:AL$123,$C25),INDEX('データ'!AL$128:AL$244,$C25),INDEX('データ'!AL$249:AL$365,$C25),INDEX('データ'!AL$370:AL$486,$C25)),0)</f>
        <v>1676.0</v>
      </c>
      <c r="AM25" s="48">
        <f>IFERROR(CHOOSE($A$3,INDEX('データ'!AM$7:AM$123,$C25),INDEX('データ'!AM$128:AM$244,$C25),INDEX('データ'!AM$249:AM$365,$C25),INDEX('データ'!AM$370:AM$486,$C25)),0)</f>
        <v>1512.0</v>
      </c>
      <c r="AN25" s="48">
        <f>IFERROR(CHOOSE($A$3,INDEX('データ'!AN$7:AN$123,$C25),INDEX('データ'!AN$128:AN$244,$C25),INDEX('データ'!AN$249:AN$365,$C25),INDEX('データ'!AN$370:AN$486,$C25)),0)</f>
        <v>1513.0</v>
      </c>
      <c r="AO25" s="48">
        <f>IFERROR(CHOOSE($A$3,INDEX('データ'!AO$7:AO$123,$C25),INDEX('データ'!AO$128:AO$244,$C25),INDEX('データ'!AO$249:AO$365,$C25),INDEX('データ'!AO$370:AO$486,$C25)),0)</f>
        <v>1491.0</v>
      </c>
      <c r="AP25" s="48">
        <f>IFERROR(CHOOSE($A$3,INDEX('データ'!AP$7:AP$123,$C25),INDEX('データ'!AP$128:AP$244,$C25),INDEX('データ'!AP$249:AP$365,$C25),INDEX('データ'!AP$370:AP$486,$C25)),0)</f>
        <v>1427.0</v>
      </c>
      <c r="AQ25" s="48">
        <f>IFERROR(CHOOSE($A$3,INDEX('データ'!AQ$7:AQ$123,$C25),INDEX('データ'!AQ$128:AQ$244,$C25),INDEX('データ'!AQ$249:AQ$365,$C25),INDEX('データ'!AQ$370:AQ$486,$C25)),0)</f>
        <v>984.0</v>
      </c>
      <c r="AR25" s="48">
        <f>IFERROR(CHOOSE($A$3,INDEX('データ'!AR$7:AR$123,$C25),INDEX('データ'!AR$128:AR$244,$C25),INDEX('データ'!AR$249:AR$365,$C25),INDEX('データ'!AR$370:AR$486,$C25)),0)</f>
        <v>481.0</v>
      </c>
      <c r="AS25" s="48">
        <f>IFERROR(CHOOSE($A$3,INDEX('データ'!AS$7:AS$123,$C25),INDEX('データ'!AS$128:AS$244,$C25),INDEX('データ'!AS$249:AS$365,$C25),INDEX('データ'!AS$370:AS$486,$C25)),0)</f>
        <v>59.0</v>
      </c>
      <c r="AT25" s="48">
        <f>IFERROR(CHOOSE($A$3,INDEX('データ'!AT$7:AT$123,$C25),INDEX('データ'!AT$128:AT$244,$C25),INDEX('データ'!AT$249:AT$365,$C25),INDEX('データ'!AT$370:AT$486,$C25)),0)</f>
        <v>15.0</v>
      </c>
      <c r="AU25" s="48">
        <f>IFERROR(CHOOSE($A$3,INDEX('データ'!AU$7:AU$123,$C25),INDEX('データ'!AU$128:AU$244,$C25),INDEX('データ'!AU$249:AU$365,$C25),INDEX('データ'!AU$370:AU$486,$C25)),0)</f>
        <v>25.0</v>
      </c>
      <c r="AV25" s="48">
        <f>IFERROR(CHOOSE($A$3,INDEX('データ'!AV$7:AV$123,$C25),INDEX('データ'!AV$128:AV$244,$C25),INDEX('データ'!AV$249:AV$365,$C25),INDEX('データ'!AV$370:AV$486,$C25)),0)</f>
        <v>21.0</v>
      </c>
      <c r="AW25" s="48">
        <f>IFERROR(CHOOSE($A$3,INDEX('データ'!AW$7:AW$123,$C25),INDEX('データ'!AW$128:AW$244,$C25),INDEX('データ'!AW$249:AW$365,$C25),INDEX('データ'!AW$370:AW$486,$C25)),0)</f>
        <v>30.0</v>
      </c>
      <c r="AX25" s="48">
        <f>IFERROR(CHOOSE($A$3,INDEX('データ'!AX$7:AX$123,$C25),INDEX('データ'!AX$128:AX$244,$C25),INDEX('データ'!AX$249:AX$365,$C25),INDEX('データ'!AX$370:AX$486,$C25)),0)</f>
        <v>24.0</v>
      </c>
      <c r="AY25" s="48">
        <f>IFERROR(CHOOSE($A$3,INDEX('データ'!AY$7:AY$123,$C25),INDEX('データ'!AY$128:AY$244,$C25),INDEX('データ'!AY$249:AY$365,$C25),INDEX('データ'!AY$370:AY$486,$C25)),0)</f>
        <v>20.0</v>
      </c>
      <c r="AZ25" s="48">
        <f>IFERROR(CHOOSE($A$3,INDEX('データ'!AZ$7:AZ$123,$C25),INDEX('データ'!AZ$128:AZ$244,$C25),INDEX('データ'!AZ$249:AZ$365,$C25),INDEX('データ'!AZ$370:AZ$486,$C25)),0)</f>
        <v>23.0</v>
      </c>
      <c r="BA25" s="48">
        <f>IFERROR(CHOOSE($A$3,INDEX('データ'!BA$7:BA$123,$C25),INDEX('データ'!BA$128:BA$244,$C25),INDEX('データ'!BA$249:BA$365,$C25),INDEX('データ'!BA$370:BA$486,$C25)),0)</f>
        <v>11.0</v>
      </c>
      <c r="BB25" s="48">
        <f>IFERROR(CHOOSE($A$3,INDEX('データ'!BB$7:BB$123,$C25),INDEX('データ'!BB$128:BB$244,$C25),INDEX('データ'!BB$249:BB$365,$C25),INDEX('データ'!BB$370:BB$486,$C25)),0)</f>
        <v>3.0</v>
      </c>
      <c r="BC25" s="48">
        <f>IFERROR(CHOOSE($A$3,INDEX('データ'!BC$7:BC$123,$C25),INDEX('データ'!BC$128:BC$244,$C25),INDEX('データ'!BC$249:BC$365,$C25),INDEX('データ'!BC$370:BC$486,$C25)),0)</f>
        <v>2.0</v>
      </c>
      <c r="BD25" s="48">
        <f>IFERROR(CHOOSE($A$3,INDEX('データ'!BD$7:BD$123,$C25),INDEX('データ'!BD$128:BD$244,$C25),INDEX('データ'!BD$249:BD$365,$C25),INDEX('データ'!BD$370:BD$486,$C25)),0)</f>
        <v>0.0</v>
      </c>
      <c r="BE25" s="48">
        <f>IFERROR(CHOOSE($A$3,INDEX('データ'!BE$7:BE$123,$C25),INDEX('データ'!BE$128:BE$244,$C25),INDEX('データ'!BE$249:BE$365,$C25),INDEX('データ'!BE$370:BE$486,$C25)),0)</f>
        <v>0.0</v>
      </c>
      <c r="BF25" s="48">
        <f>IFERROR(CHOOSE($A$3,INDEX('データ'!BF$7:BF$123,$C25),INDEX('データ'!BF$128:BF$244,$C25),INDEX('データ'!BF$249:BF$365,$C25),INDEX('データ'!BF$370:BF$486,$C25)),0)</f>
        <v>0.0</v>
      </c>
      <c r="BG25" s="48">
        <f>IFERROR(CHOOSE($A$3,INDEX('データ'!BG$7:BG$123,$C25),INDEX('データ'!BG$128:BG$244,$C25),INDEX('データ'!BG$249:BG$365,$C25),INDEX('データ'!BG$370:BG$486,$C25)),0)</f>
        <v>0.0</v>
      </c>
    </row>
    <row r="26" spans="2:61" ht="20" customHeight="1">
      <c r="B26" s="44" t="s">
        <v>86</v>
      </c>
      <c r="C26" s="47">
        <f>MATCH($C$3&amp;"|"&amp;$B26,'データ'!$A$7:$A$123,0)</f>
        <v>11</v>
      </c>
      <c r="D26" s="48">
        <f>IFERROR(CHOOSE($A$3,INDEX('データ'!D$7:D$123,$C26),INDEX('データ'!D$128:D$244,$C26),INDEX('データ'!D$249:D$365,$C26),INDEX('データ'!D$370:D$486,$C26)),0)</f>
        <v>0.0</v>
      </c>
      <c r="E26" s="48">
        <f>IFERROR(CHOOSE($A$3,INDEX('データ'!E$7:E$123,$C26),INDEX('データ'!E$128:E$244,$C26),INDEX('データ'!E$249:E$365,$C26),INDEX('データ'!E$370:E$486,$C26)),0)</f>
        <v>0.0</v>
      </c>
      <c r="F26" s="48">
        <f>IFERROR(CHOOSE($A$3,INDEX('データ'!F$7:F$123,$C26),INDEX('データ'!F$128:F$244,$C26),INDEX('データ'!F$249:F$365,$C26),INDEX('データ'!F$370:F$486,$C26)),0)</f>
        <v>0.0</v>
      </c>
      <c r="G26" s="48">
        <f>IFERROR(CHOOSE($A$3,INDEX('データ'!G$7:G$123,$C26),INDEX('データ'!G$128:G$244,$C26),INDEX('データ'!G$249:G$365,$C26),INDEX('データ'!G$370:G$486,$C26)),0)</f>
        <v>3.0</v>
      </c>
      <c r="H26" s="48">
        <f>IFERROR(CHOOSE($A$3,INDEX('データ'!H$7:H$123,$C26),INDEX('データ'!H$128:H$244,$C26),INDEX('データ'!H$249:H$365,$C26),INDEX('データ'!H$370:H$486,$C26)),0)</f>
        <v>46.0</v>
      </c>
      <c r="I26" s="48">
        <f>IFERROR(CHOOSE($A$3,INDEX('データ'!I$7:I$123,$C26),INDEX('データ'!I$128:I$244,$C26),INDEX('データ'!I$249:I$365,$C26),INDEX('データ'!I$370:I$486,$C26)),0)</f>
        <v>406.0</v>
      </c>
      <c r="J26" s="48">
        <f>IFERROR(CHOOSE($A$3,INDEX('データ'!J$7:J$123,$C26),INDEX('データ'!J$128:J$244,$C26),INDEX('データ'!J$249:J$365,$C26),INDEX('データ'!J$370:J$486,$C26)),0)</f>
        <v>930.0</v>
      </c>
      <c r="K26" s="48">
        <f>IFERROR(CHOOSE($A$3,INDEX('データ'!K$7:K$123,$C26),INDEX('データ'!K$128:K$244,$C26),INDEX('データ'!K$249:K$365,$C26),INDEX('データ'!K$370:K$486,$C26)),0)</f>
        <v>878.0</v>
      </c>
      <c r="L26" s="48">
        <f>IFERROR(CHOOSE($A$3,INDEX('データ'!L$7:L$123,$C26),INDEX('データ'!L$128:L$244,$C26),INDEX('データ'!L$249:L$365,$C26),INDEX('データ'!L$370:L$486,$C26)),0)</f>
        <v>1058.0</v>
      </c>
      <c r="M26" s="48">
        <f>IFERROR(CHOOSE($A$3,INDEX('データ'!M$7:M$123,$C26),INDEX('データ'!M$128:M$244,$C26),INDEX('データ'!M$249:M$365,$C26),INDEX('データ'!M$370:M$486,$C26)),0)</f>
        <v>1171.0</v>
      </c>
      <c r="N26" s="48">
        <f>IFERROR(CHOOSE($A$3,INDEX('データ'!N$7:N$123,$C26),INDEX('データ'!N$128:N$244,$C26),INDEX('データ'!N$249:N$365,$C26),INDEX('データ'!N$370:N$486,$C26)),0)</f>
        <v>1428.0</v>
      </c>
      <c r="O26" s="48">
        <f>IFERROR(CHOOSE($A$3,INDEX('データ'!O$7:O$123,$C26),INDEX('データ'!O$128:O$244,$C26),INDEX('データ'!O$249:O$365,$C26),INDEX('データ'!O$370:O$486,$C26)),0)</f>
        <v>1442.0</v>
      </c>
      <c r="P26" s="48">
        <f>IFERROR(CHOOSE($A$3,INDEX('データ'!P$7:P$123,$C26),INDEX('データ'!P$128:P$244,$C26),INDEX('データ'!P$249:P$365,$C26),INDEX('データ'!P$370:P$486,$C26)),0)</f>
        <v>1589.0</v>
      </c>
      <c r="Q26" s="48">
        <f>IFERROR(CHOOSE($A$3,INDEX('データ'!Q$7:Q$123,$C26),INDEX('データ'!Q$128:Q$244,$C26),INDEX('データ'!Q$249:Q$365,$C26),INDEX('データ'!Q$370:Q$486,$C26)),0)</f>
        <v>1568.0</v>
      </c>
      <c r="R26" s="48">
        <f>IFERROR(CHOOSE($A$3,INDEX('データ'!R$7:R$123,$C26),INDEX('データ'!R$128:R$244,$C26),INDEX('データ'!R$249:R$365,$C26),INDEX('データ'!R$370:R$486,$C26)),0)</f>
        <v>1669.0</v>
      </c>
      <c r="S26" s="48">
        <f>IFERROR(CHOOSE($A$3,INDEX('データ'!S$7:S$123,$C26),INDEX('データ'!S$128:S$244,$C26),INDEX('データ'!S$249:S$365,$C26),INDEX('データ'!S$370:S$486,$C26)),0)</f>
        <v>1693.0</v>
      </c>
      <c r="T26" s="48">
        <f>IFERROR(CHOOSE($A$3,INDEX('データ'!T$7:T$123,$C26),INDEX('データ'!T$128:T$244,$C26),INDEX('データ'!T$249:T$365,$C26),INDEX('データ'!T$370:T$486,$C26)),0)</f>
        <v>1625.0</v>
      </c>
      <c r="U26" s="48">
        <f>IFERROR(CHOOSE($A$3,INDEX('データ'!U$7:U$123,$C26),INDEX('データ'!U$128:U$244,$C26),INDEX('データ'!U$249:U$365,$C26),INDEX('データ'!U$370:U$486,$C26)),0)</f>
        <v>1545.0</v>
      </c>
      <c r="V26" s="48">
        <f>IFERROR(CHOOSE($A$3,INDEX('データ'!V$7:V$123,$C26),INDEX('データ'!V$128:V$244,$C26),INDEX('データ'!V$249:V$365,$C26),INDEX('データ'!V$370:V$486,$C26)),0)</f>
        <v>1481.0</v>
      </c>
      <c r="W26" s="48">
        <f>IFERROR(CHOOSE($A$3,INDEX('データ'!W$7:W$123,$C26),INDEX('データ'!W$128:W$244,$C26),INDEX('データ'!W$249:W$365,$C26),INDEX('データ'!W$370:W$486,$C26)),0)</f>
        <v>1353.0</v>
      </c>
      <c r="X26" s="48">
        <f>IFERROR(CHOOSE($A$3,INDEX('データ'!X$7:X$123,$C26),INDEX('データ'!X$128:X$244,$C26),INDEX('データ'!X$249:X$365,$C26),INDEX('データ'!X$370:X$486,$C26)),0)</f>
        <v>1267.0</v>
      </c>
      <c r="Y26" s="48">
        <f>IFERROR(CHOOSE($A$3,INDEX('データ'!Y$7:Y$123,$C26),INDEX('データ'!Y$128:Y$244,$C26),INDEX('データ'!Y$249:Y$365,$C26),INDEX('データ'!Y$370:Y$486,$C26)),0)</f>
        <v>1194.0</v>
      </c>
      <c r="Z26" s="48">
        <f>IFERROR(CHOOSE($A$3,INDEX('データ'!Z$7:Z$123,$C26),INDEX('データ'!Z$128:Z$244,$C26),INDEX('データ'!Z$249:Z$365,$C26),INDEX('データ'!Z$370:Z$486,$C26)),0)</f>
        <v>1174.0</v>
      </c>
      <c r="AA26" s="48">
        <f>IFERROR(CHOOSE($A$3,INDEX('データ'!AA$7:AA$123,$C26),INDEX('データ'!AA$128:AA$244,$C26),INDEX('データ'!AA$249:AA$365,$C26),INDEX('データ'!AA$370:AA$486,$C26)),0)</f>
        <v>1215.0</v>
      </c>
      <c r="AB26" s="48">
        <f>IFERROR(CHOOSE($A$3,INDEX('データ'!AB$7:AB$123,$C26),INDEX('データ'!AB$128:AB$244,$C26),INDEX('データ'!AB$249:AB$365,$C26),INDEX('データ'!AB$370:AB$486,$C26)),0)</f>
        <v>1328.0</v>
      </c>
      <c r="AC26" s="48">
        <f>IFERROR(CHOOSE($A$3,INDEX('データ'!AC$7:AC$123,$C26),INDEX('データ'!AC$128:AC$244,$C26),INDEX('データ'!AC$249:AC$365,$C26),INDEX('データ'!AC$370:AC$486,$C26)),0)</f>
        <v>1581.0</v>
      </c>
      <c r="AD26" s="48">
        <f>IFERROR(CHOOSE($A$3,INDEX('データ'!AD$7:AD$123,$C26),INDEX('データ'!AD$128:AD$244,$C26),INDEX('データ'!AD$249:AD$365,$C26),INDEX('データ'!AD$370:AD$486,$C26)),0)</f>
        <v>1589.0</v>
      </c>
      <c r="AE26" s="48">
        <f>IFERROR(CHOOSE($A$3,INDEX('データ'!AE$7:AE$123,$C26),INDEX('データ'!AE$128:AE$244,$C26),INDEX('データ'!AE$249:AE$365,$C26),INDEX('データ'!AE$370:AE$486,$C26)),0)</f>
        <v>1564.0</v>
      </c>
      <c r="AF26" s="48">
        <f>IFERROR(CHOOSE($A$3,INDEX('データ'!AF$7:AF$123,$C26),INDEX('データ'!AF$128:AF$244,$C26),INDEX('データ'!AF$249:AF$365,$C26),INDEX('データ'!AF$370:AF$486,$C26)),0)</f>
        <v>1617.0</v>
      </c>
      <c r="AG26" s="48">
        <f>IFERROR(CHOOSE($A$3,INDEX('データ'!AG$7:AG$123,$C26),INDEX('データ'!AG$128:AG$244,$C26),INDEX('データ'!AG$249:AG$365,$C26),INDEX('データ'!AG$370:AG$486,$C26)),0)</f>
        <v>1607.0</v>
      </c>
      <c r="AH26" s="48">
        <f>IFERROR(CHOOSE($A$3,INDEX('データ'!AH$7:AH$123,$C26),INDEX('データ'!AH$128:AH$244,$C26),INDEX('データ'!AH$249:AH$365,$C26),INDEX('データ'!AH$370:AH$486,$C26)),0)</f>
        <v>1567.0</v>
      </c>
      <c r="AI26" s="48">
        <f>IFERROR(CHOOSE($A$3,INDEX('データ'!AI$7:AI$123,$C26),INDEX('データ'!AI$128:AI$244,$C26),INDEX('データ'!AI$249:AI$365,$C26),INDEX('データ'!AI$370:AI$486,$C26)),0)</f>
        <v>1521.0</v>
      </c>
      <c r="AJ26" s="48">
        <f>IFERROR(CHOOSE($A$3,INDEX('データ'!AJ$7:AJ$123,$C26),INDEX('データ'!AJ$128:AJ$244,$C26),INDEX('データ'!AJ$249:AJ$365,$C26),INDEX('データ'!AJ$370:AJ$486,$C26)),0)</f>
        <v>1524.0</v>
      </c>
      <c r="AK26" s="48">
        <f>IFERROR(CHOOSE($A$3,INDEX('データ'!AK$7:AK$123,$C26),INDEX('データ'!AK$128:AK$244,$C26),INDEX('データ'!AK$249:AK$365,$C26),INDEX('データ'!AK$370:AK$486,$C26)),0)</f>
        <v>1458.0</v>
      </c>
      <c r="AL26" s="48">
        <f>IFERROR(CHOOSE($A$3,INDEX('データ'!AL$7:AL$123,$C26),INDEX('データ'!AL$128:AL$244,$C26),INDEX('データ'!AL$249:AL$365,$C26),INDEX('データ'!AL$370:AL$486,$C26)),0)</f>
        <v>1510.0</v>
      </c>
      <c r="AM26" s="48">
        <f>IFERROR(CHOOSE($A$3,INDEX('データ'!AM$7:AM$123,$C26),INDEX('データ'!AM$128:AM$244,$C26),INDEX('データ'!AM$249:AM$365,$C26),INDEX('データ'!AM$370:AM$486,$C26)),0)</f>
        <v>1421.0</v>
      </c>
      <c r="AN26" s="48">
        <f>IFERROR(CHOOSE($A$3,INDEX('データ'!AN$7:AN$123,$C26),INDEX('データ'!AN$128:AN$244,$C26),INDEX('データ'!AN$249:AN$365,$C26),INDEX('データ'!AN$370:AN$486,$C26)),0)</f>
        <v>1356.0</v>
      </c>
      <c r="AO26" s="48">
        <f>IFERROR(CHOOSE($A$3,INDEX('データ'!AO$7:AO$123,$C26),INDEX('データ'!AO$128:AO$244,$C26),INDEX('データ'!AO$249:AO$365,$C26),INDEX('データ'!AO$370:AO$486,$C26)),0)</f>
        <v>1383.0</v>
      </c>
      <c r="AP26" s="48">
        <f>IFERROR(CHOOSE($A$3,INDEX('データ'!AP$7:AP$123,$C26),INDEX('データ'!AP$128:AP$244,$C26),INDEX('データ'!AP$249:AP$365,$C26),INDEX('データ'!AP$370:AP$486,$C26)),0)</f>
        <v>1233.0</v>
      </c>
      <c r="AQ26" s="48">
        <f>IFERROR(CHOOSE($A$3,INDEX('データ'!AQ$7:AQ$123,$C26),INDEX('データ'!AQ$128:AQ$244,$C26),INDEX('データ'!AQ$249:AQ$365,$C26),INDEX('データ'!AQ$370:AQ$486,$C26)),0)</f>
        <v>876.0</v>
      </c>
      <c r="AR26" s="48">
        <f>IFERROR(CHOOSE($A$3,INDEX('データ'!AR$7:AR$123,$C26),INDEX('データ'!AR$128:AR$244,$C26),INDEX('データ'!AR$249:AR$365,$C26),INDEX('データ'!AR$370:AR$486,$C26)),0)</f>
        <v>437.0</v>
      </c>
      <c r="AS26" s="48">
        <f>IFERROR(CHOOSE($A$3,INDEX('データ'!AS$7:AS$123,$C26),INDEX('データ'!AS$128:AS$244,$C26),INDEX('データ'!AS$249:AS$365,$C26),INDEX('データ'!AS$370:AS$486,$C26)),0)</f>
        <v>50.0</v>
      </c>
      <c r="AT26" s="48">
        <f>IFERROR(CHOOSE($A$3,INDEX('データ'!AT$7:AT$123,$C26),INDEX('データ'!AT$128:AT$244,$C26),INDEX('データ'!AT$249:AT$365,$C26),INDEX('データ'!AT$370:AT$486,$C26)),0)</f>
        <v>20.0</v>
      </c>
      <c r="AU26" s="48">
        <f>IFERROR(CHOOSE($A$3,INDEX('データ'!AU$7:AU$123,$C26),INDEX('データ'!AU$128:AU$244,$C26),INDEX('データ'!AU$249:AU$365,$C26),INDEX('データ'!AU$370:AU$486,$C26)),0)</f>
        <v>33.0</v>
      </c>
      <c r="AV26" s="48">
        <f>IFERROR(CHOOSE($A$3,INDEX('データ'!AV$7:AV$123,$C26),INDEX('データ'!AV$128:AV$244,$C26),INDEX('データ'!AV$249:AV$365,$C26),INDEX('データ'!AV$370:AV$486,$C26)),0)</f>
        <v>12.0</v>
      </c>
      <c r="AW26" s="48">
        <f>IFERROR(CHOOSE($A$3,INDEX('データ'!AW$7:AW$123,$C26),INDEX('データ'!AW$128:AW$244,$C26),INDEX('データ'!AW$249:AW$365,$C26),INDEX('データ'!AW$370:AW$486,$C26)),0)</f>
        <v>0.0</v>
      </c>
      <c r="AX26" s="48">
        <f>IFERROR(CHOOSE($A$3,INDEX('データ'!AX$7:AX$123,$C26),INDEX('データ'!AX$128:AX$244,$C26),INDEX('データ'!AX$249:AX$365,$C26),INDEX('データ'!AX$370:AX$486,$C26)),0)</f>
        <v>0.0</v>
      </c>
      <c r="AY26" s="48">
        <f>IFERROR(CHOOSE($A$3,INDEX('データ'!AY$7:AY$123,$C26),INDEX('データ'!AY$128:AY$244,$C26),INDEX('データ'!AY$249:AY$365,$C26),INDEX('データ'!AY$370:AY$486,$C26)),0)</f>
        <v>0.0</v>
      </c>
      <c r="AZ26" s="48">
        <f>IFERROR(CHOOSE($A$3,INDEX('データ'!AZ$7:AZ$123,$C26),INDEX('データ'!AZ$128:AZ$244,$C26),INDEX('データ'!AZ$249:AZ$365,$C26),INDEX('データ'!AZ$370:AZ$486,$C26)),0)</f>
        <v>5.0</v>
      </c>
      <c r="BA26" s="48">
        <f>IFERROR(CHOOSE($A$3,INDEX('データ'!BA$7:BA$123,$C26),INDEX('データ'!BA$128:BA$244,$C26),INDEX('データ'!BA$249:BA$365,$C26),INDEX('データ'!BA$370:BA$486,$C26)),0)</f>
        <v>0.0</v>
      </c>
      <c r="BB26" s="48">
        <f>IFERROR(CHOOSE($A$3,INDEX('データ'!BB$7:BB$123,$C26),INDEX('データ'!BB$128:BB$244,$C26),INDEX('データ'!BB$249:BB$365,$C26),INDEX('データ'!BB$370:BB$486,$C26)),0)</f>
        <v>0.0</v>
      </c>
      <c r="BC26" s="48">
        <f>IFERROR(CHOOSE($A$3,INDEX('データ'!BC$7:BC$123,$C26),INDEX('データ'!BC$128:BC$244,$C26),INDEX('データ'!BC$249:BC$365,$C26),INDEX('データ'!BC$370:BC$486,$C26)),0)</f>
        <v>1.0</v>
      </c>
      <c r="BD26" s="48">
        <f>IFERROR(CHOOSE($A$3,INDEX('データ'!BD$7:BD$123,$C26),INDEX('データ'!BD$128:BD$244,$C26),INDEX('データ'!BD$249:BD$365,$C26),INDEX('データ'!BD$370:BD$486,$C26)),0)</f>
        <v>2.0</v>
      </c>
      <c r="BE26" s="48">
        <f>IFERROR(CHOOSE($A$3,INDEX('データ'!BE$7:BE$123,$C26),INDEX('データ'!BE$128:BE$244,$C26),INDEX('データ'!BE$249:BE$365,$C26),INDEX('データ'!BE$370:BE$486,$C26)),0)</f>
        <v>0.0</v>
      </c>
      <c r="BF26" s="48">
        <f>IFERROR(CHOOSE($A$3,INDEX('データ'!BF$7:BF$123,$C26),INDEX('データ'!BF$128:BF$244,$C26),INDEX('データ'!BF$249:BF$365,$C26),INDEX('データ'!BF$370:BF$486,$C26)),0)</f>
        <v>0.0</v>
      </c>
      <c r="BG26" s="48">
        <f>IFERROR(CHOOSE($A$3,INDEX('データ'!BG$7:BG$123,$C26),INDEX('データ'!BG$128:BG$244,$C26),INDEX('データ'!BG$249:BG$365,$C26),INDEX('データ'!BG$370:BG$486,$C26)),0)</f>
        <v>0.0</v>
      </c>
    </row>
    <row r="27" spans="2:61" ht="20" customHeight="1">
      <c r="B27" s="44" t="s">
        <v>88</v>
      </c>
      <c r="C27" s="47">
        <f>MATCH($C$3&amp;"|"&amp;$B27,'データ'!$A$7:$A$123,0)</f>
        <v>12</v>
      </c>
      <c r="D27" s="48">
        <f>IFERROR(CHOOSE($A$3,INDEX('データ'!D$7:D$123,$C27),INDEX('データ'!D$128:D$244,$C27),INDEX('データ'!D$249:D$365,$C27),INDEX('データ'!D$370:D$486,$C27)),0)</f>
        <v>0.0</v>
      </c>
      <c r="E27" s="48">
        <f>IFERROR(CHOOSE($A$3,INDEX('データ'!E$7:E$123,$C27),INDEX('データ'!E$128:E$244,$C27),INDEX('データ'!E$249:E$365,$C27),INDEX('データ'!E$370:E$486,$C27)),0)</f>
        <v>0.0</v>
      </c>
      <c r="F27" s="48">
        <f>IFERROR(CHOOSE($A$3,INDEX('データ'!F$7:F$123,$C27),INDEX('データ'!F$128:F$244,$C27),INDEX('データ'!F$249:F$365,$C27),INDEX('データ'!F$370:F$486,$C27)),0)</f>
        <v>0.0</v>
      </c>
      <c r="G27" s="48">
        <f>IFERROR(CHOOSE($A$3,INDEX('データ'!G$7:G$123,$C27),INDEX('データ'!G$128:G$244,$C27),INDEX('データ'!G$249:G$365,$C27),INDEX('データ'!G$370:G$486,$C27)),0)</f>
        <v>1.0</v>
      </c>
      <c r="H27" s="48">
        <f>IFERROR(CHOOSE($A$3,INDEX('データ'!H$7:H$123,$C27),INDEX('データ'!H$128:H$244,$C27),INDEX('データ'!H$249:H$365,$C27),INDEX('データ'!H$370:H$486,$C27)),0)</f>
        <v>52.0</v>
      </c>
      <c r="I27" s="48">
        <f>IFERROR(CHOOSE($A$3,INDEX('データ'!I$7:I$123,$C27),INDEX('データ'!I$128:I$244,$C27),INDEX('データ'!I$249:I$365,$C27),INDEX('データ'!I$370:I$486,$C27)),0)</f>
        <v>510.0</v>
      </c>
      <c r="J27" s="48">
        <f>IFERROR(CHOOSE($A$3,INDEX('データ'!J$7:J$123,$C27),INDEX('データ'!J$128:J$244,$C27),INDEX('データ'!J$249:J$365,$C27),INDEX('データ'!J$370:J$486,$C27)),0)</f>
        <v>1301.0</v>
      </c>
      <c r="K27" s="48">
        <f>IFERROR(CHOOSE($A$3,INDEX('データ'!K$7:K$123,$C27),INDEX('データ'!K$128:K$244,$C27),INDEX('データ'!K$249:K$365,$C27),INDEX('データ'!K$370:K$486,$C27)),0)</f>
        <v>1250.0</v>
      </c>
      <c r="L27" s="48">
        <f>IFERROR(CHOOSE($A$3,INDEX('データ'!L$7:L$123,$C27),INDEX('データ'!L$128:L$244,$C27),INDEX('データ'!L$249:L$365,$C27),INDEX('データ'!L$370:L$486,$C27)),0)</f>
        <v>1522.0</v>
      </c>
      <c r="M27" s="48">
        <f>IFERROR(CHOOSE($A$3,INDEX('データ'!M$7:M$123,$C27),INDEX('データ'!M$128:M$244,$C27),INDEX('データ'!M$249:M$365,$C27),INDEX('データ'!M$370:M$486,$C27)),0)</f>
        <v>1733.0</v>
      </c>
      <c r="N27" s="48">
        <f>IFERROR(CHOOSE($A$3,INDEX('データ'!N$7:N$123,$C27),INDEX('データ'!N$128:N$244,$C27),INDEX('データ'!N$249:N$365,$C27),INDEX('データ'!N$370:N$486,$C27)),0)</f>
        <v>1857.0</v>
      </c>
      <c r="O27" s="48">
        <f>IFERROR(CHOOSE($A$3,INDEX('データ'!O$7:O$123,$C27),INDEX('データ'!O$128:O$244,$C27),INDEX('データ'!O$249:O$365,$C27),INDEX('データ'!O$370:O$486,$C27)),0)</f>
        <v>2035.0</v>
      </c>
      <c r="P27" s="48">
        <f>IFERROR(CHOOSE($A$3,INDEX('データ'!P$7:P$123,$C27),INDEX('データ'!P$128:P$244,$C27),INDEX('データ'!P$249:P$365,$C27),INDEX('データ'!P$370:P$486,$C27)),0)</f>
        <v>2088.0</v>
      </c>
      <c r="Q27" s="48">
        <f>IFERROR(CHOOSE($A$3,INDEX('データ'!Q$7:Q$123,$C27),INDEX('データ'!Q$128:Q$244,$C27),INDEX('データ'!Q$249:Q$365,$C27),INDEX('データ'!Q$370:Q$486,$C27)),0)</f>
        <v>2293.0</v>
      </c>
      <c r="R27" s="48">
        <f>IFERROR(CHOOSE($A$3,INDEX('データ'!R$7:R$123,$C27),INDEX('データ'!R$128:R$244,$C27),INDEX('データ'!R$249:R$365,$C27),INDEX('データ'!R$370:R$486,$C27)),0)</f>
        <v>2333.0</v>
      </c>
      <c r="S27" s="48">
        <f>IFERROR(CHOOSE($A$3,INDEX('データ'!S$7:S$123,$C27),INDEX('データ'!S$128:S$244,$C27),INDEX('データ'!S$249:S$365,$C27),INDEX('データ'!S$370:S$486,$C27)),0)</f>
        <v>2348.0</v>
      </c>
      <c r="T27" s="48">
        <f>IFERROR(CHOOSE($A$3,INDEX('データ'!T$7:T$123,$C27),INDEX('データ'!T$128:T$244,$C27),INDEX('データ'!T$249:T$365,$C27),INDEX('データ'!T$370:T$486,$C27)),0)</f>
        <v>2365.0</v>
      </c>
      <c r="U27" s="48">
        <f>IFERROR(CHOOSE($A$3,INDEX('データ'!U$7:U$123,$C27),INDEX('データ'!U$128:U$244,$C27),INDEX('データ'!U$249:U$365,$C27),INDEX('データ'!U$370:U$486,$C27)),0)</f>
        <v>2217.0</v>
      </c>
      <c r="V27" s="48">
        <f>IFERROR(CHOOSE($A$3,INDEX('データ'!V$7:V$123,$C27),INDEX('データ'!V$128:V$244,$C27),INDEX('データ'!V$249:V$365,$C27),INDEX('データ'!V$370:V$486,$C27)),0)</f>
        <v>2126.0</v>
      </c>
      <c r="W27" s="48">
        <f>IFERROR(CHOOSE($A$3,INDEX('データ'!W$7:W$123,$C27),INDEX('データ'!W$128:W$244,$C27),INDEX('データ'!W$249:W$365,$C27),INDEX('データ'!W$370:W$486,$C27)),0)</f>
        <v>1956.0</v>
      </c>
      <c r="X27" s="48">
        <f>IFERROR(CHOOSE($A$3,INDEX('データ'!X$7:X$123,$C27),INDEX('データ'!X$128:X$244,$C27),INDEX('データ'!X$249:X$365,$C27),INDEX('データ'!X$370:X$486,$C27)),0)</f>
        <v>1931.0</v>
      </c>
      <c r="Y27" s="48">
        <f>IFERROR(CHOOSE($A$3,INDEX('データ'!Y$7:Y$123,$C27),INDEX('データ'!Y$128:Y$244,$C27),INDEX('データ'!Y$249:Y$365,$C27),INDEX('データ'!Y$370:Y$486,$C27)),0)</f>
        <v>1815.0</v>
      </c>
      <c r="Z27" s="48">
        <f>IFERROR(CHOOSE($A$3,INDEX('データ'!Z$7:Z$123,$C27),INDEX('データ'!Z$128:Z$244,$C27),INDEX('データ'!Z$249:Z$365,$C27),INDEX('データ'!Z$370:Z$486,$C27)),0)</f>
        <v>1802.0</v>
      </c>
      <c r="AA27" s="48">
        <f>IFERROR(CHOOSE($A$3,INDEX('データ'!AA$7:AA$123,$C27),INDEX('データ'!AA$128:AA$244,$C27),INDEX('データ'!AA$249:AA$365,$C27),INDEX('データ'!AA$370:AA$486,$C27)),0)</f>
        <v>1746.0</v>
      </c>
      <c r="AB27" s="48">
        <f>IFERROR(CHOOSE($A$3,INDEX('データ'!AB$7:AB$123,$C27),INDEX('データ'!AB$128:AB$244,$C27),INDEX('データ'!AB$249:AB$365,$C27),INDEX('データ'!AB$370:AB$486,$C27)),0)</f>
        <v>2035.0</v>
      </c>
      <c r="AC27" s="48">
        <f>IFERROR(CHOOSE($A$3,INDEX('データ'!AC$7:AC$123,$C27),INDEX('データ'!AC$128:AC$244,$C27),INDEX('データ'!AC$249:AC$365,$C27),INDEX('データ'!AC$370:AC$486,$C27)),0)</f>
        <v>2236.0</v>
      </c>
      <c r="AD27" s="48">
        <f>IFERROR(CHOOSE($A$3,INDEX('データ'!AD$7:AD$123,$C27),INDEX('データ'!AD$128:AD$244,$C27),INDEX('データ'!AD$249:AD$365,$C27),INDEX('データ'!AD$370:AD$486,$C27)),0)</f>
        <v>2314.0</v>
      </c>
      <c r="AE27" s="48">
        <f>IFERROR(CHOOSE($A$3,INDEX('データ'!AE$7:AE$123,$C27),INDEX('データ'!AE$128:AE$244,$C27),INDEX('データ'!AE$249:AE$365,$C27),INDEX('データ'!AE$370:AE$486,$C27)),0)</f>
        <v>2274.0</v>
      </c>
      <c r="AF27" s="48">
        <f>IFERROR(CHOOSE($A$3,INDEX('データ'!AF$7:AF$123,$C27),INDEX('データ'!AF$128:AF$244,$C27),INDEX('データ'!AF$249:AF$365,$C27),INDEX('データ'!AF$370:AF$486,$C27)),0)</f>
        <v>2250.0</v>
      </c>
      <c r="AG27" s="48">
        <f>IFERROR(CHOOSE($A$3,INDEX('データ'!AG$7:AG$123,$C27),INDEX('データ'!AG$128:AG$244,$C27),INDEX('データ'!AG$249:AG$365,$C27),INDEX('データ'!AG$370:AG$486,$C27)),0)</f>
        <v>2225.0</v>
      </c>
      <c r="AH27" s="48">
        <f>IFERROR(CHOOSE($A$3,INDEX('データ'!AH$7:AH$123,$C27),INDEX('データ'!AH$128:AH$244,$C27),INDEX('データ'!AH$249:AH$365,$C27),INDEX('データ'!AH$370:AH$486,$C27)),0)</f>
        <v>2213.0</v>
      </c>
      <c r="AI27" s="48">
        <f>IFERROR(CHOOSE($A$3,INDEX('データ'!AI$7:AI$123,$C27),INDEX('データ'!AI$128:AI$244,$C27),INDEX('データ'!AI$249:AI$365,$C27),INDEX('データ'!AI$370:AI$486,$C27)),0)</f>
        <v>2107.0</v>
      </c>
      <c r="AJ27" s="48">
        <f>IFERROR(CHOOSE($A$3,INDEX('データ'!AJ$7:AJ$123,$C27),INDEX('データ'!AJ$128:AJ$244,$C27),INDEX('データ'!AJ$249:AJ$365,$C27),INDEX('データ'!AJ$370:AJ$486,$C27)),0)</f>
        <v>2115.0</v>
      </c>
      <c r="AK27" s="48">
        <f>IFERROR(CHOOSE($A$3,INDEX('データ'!AK$7:AK$123,$C27),INDEX('データ'!AK$128:AK$244,$C27),INDEX('データ'!AK$249:AK$365,$C27),INDEX('データ'!AK$370:AK$486,$C27)),0)</f>
        <v>2093.0</v>
      </c>
      <c r="AL27" s="48">
        <f>IFERROR(CHOOSE($A$3,INDEX('データ'!AL$7:AL$123,$C27),INDEX('データ'!AL$128:AL$244,$C27),INDEX('データ'!AL$249:AL$365,$C27),INDEX('データ'!AL$370:AL$486,$C27)),0)</f>
        <v>2003.0</v>
      </c>
      <c r="AM27" s="48">
        <f>IFERROR(CHOOSE($A$3,INDEX('データ'!AM$7:AM$123,$C27),INDEX('データ'!AM$128:AM$244,$C27),INDEX('データ'!AM$249:AM$365,$C27),INDEX('データ'!AM$370:AM$486,$C27)),0)</f>
        <v>1995.0</v>
      </c>
      <c r="AN27" s="48">
        <f>IFERROR(CHOOSE($A$3,INDEX('データ'!AN$7:AN$123,$C27),INDEX('データ'!AN$128:AN$244,$C27),INDEX('データ'!AN$249:AN$365,$C27),INDEX('データ'!AN$370:AN$486,$C27)),0)</f>
        <v>1919.0</v>
      </c>
      <c r="AO27" s="48">
        <f>IFERROR(CHOOSE($A$3,INDEX('データ'!AO$7:AO$123,$C27),INDEX('データ'!AO$128:AO$244,$C27),INDEX('データ'!AO$249:AO$365,$C27),INDEX('データ'!AO$370:AO$486,$C27)),0)</f>
        <v>1878.0</v>
      </c>
      <c r="AP27" s="48">
        <f>IFERROR(CHOOSE($A$3,INDEX('データ'!AP$7:AP$123,$C27),INDEX('データ'!AP$128:AP$244,$C27),INDEX('データ'!AP$249:AP$365,$C27),INDEX('データ'!AP$370:AP$486,$C27)),0)</f>
        <v>1771.0</v>
      </c>
      <c r="AQ27" s="48">
        <f>IFERROR(CHOOSE($A$3,INDEX('データ'!AQ$7:AQ$123,$C27),INDEX('データ'!AQ$128:AQ$244,$C27),INDEX('データ'!AQ$249:AQ$365,$C27),INDEX('データ'!AQ$370:AQ$486,$C27)),0)</f>
        <v>1251.0</v>
      </c>
      <c r="AR27" s="48">
        <f>IFERROR(CHOOSE($A$3,INDEX('データ'!AR$7:AR$123,$C27),INDEX('データ'!AR$128:AR$244,$C27),INDEX('データ'!AR$249:AR$365,$C27),INDEX('データ'!AR$370:AR$486,$C27)),0)</f>
        <v>598.0</v>
      </c>
      <c r="AS27" s="48">
        <f>IFERROR(CHOOSE($A$3,INDEX('データ'!AS$7:AS$123,$C27),INDEX('データ'!AS$128:AS$244,$C27),INDEX('データ'!AS$249:AS$365,$C27),INDEX('データ'!AS$370:AS$486,$C27)),0)</f>
        <v>35.0</v>
      </c>
      <c r="AT27" s="48">
        <f>IFERROR(CHOOSE($A$3,INDEX('データ'!AT$7:AT$123,$C27),INDEX('データ'!AT$128:AT$244,$C27),INDEX('データ'!AT$249:AT$365,$C27),INDEX('データ'!AT$370:AT$486,$C27)),0)</f>
        <v>15.0</v>
      </c>
      <c r="AU27" s="48">
        <f>IFERROR(CHOOSE($A$3,INDEX('データ'!AU$7:AU$123,$C27),INDEX('データ'!AU$128:AU$244,$C27),INDEX('データ'!AU$249:AU$365,$C27),INDEX('データ'!AU$370:AU$486,$C27)),0)</f>
        <v>17.0</v>
      </c>
      <c r="AV27" s="48">
        <f>IFERROR(CHOOSE($A$3,INDEX('データ'!AV$7:AV$123,$C27),INDEX('データ'!AV$128:AV$244,$C27),INDEX('データ'!AV$249:AV$365,$C27),INDEX('データ'!AV$370:AV$486,$C27)),0)</f>
        <v>20.0</v>
      </c>
      <c r="AW27" s="48">
        <f>IFERROR(CHOOSE($A$3,INDEX('データ'!AW$7:AW$123,$C27),INDEX('データ'!AW$128:AW$244,$C27),INDEX('データ'!AW$249:AW$365,$C27),INDEX('データ'!AW$370:AW$486,$C27)),0)</f>
        <v>24.0</v>
      </c>
      <c r="AX27" s="48">
        <f>IFERROR(CHOOSE($A$3,INDEX('データ'!AX$7:AX$123,$C27),INDEX('データ'!AX$128:AX$244,$C27),INDEX('データ'!AX$249:AX$365,$C27),INDEX('データ'!AX$370:AX$486,$C27)),0)</f>
        <v>43.0</v>
      </c>
      <c r="AY27" s="48">
        <f>IFERROR(CHOOSE($A$3,INDEX('データ'!AY$7:AY$123,$C27),INDEX('データ'!AY$128:AY$244,$C27),INDEX('データ'!AY$249:AY$365,$C27),INDEX('データ'!AY$370:AY$486,$C27)),0)</f>
        <v>20.0</v>
      </c>
      <c r="AZ27" s="48">
        <f>IFERROR(CHOOSE($A$3,INDEX('データ'!AZ$7:AZ$123,$C27),INDEX('データ'!AZ$128:AZ$244,$C27),INDEX('データ'!AZ$249:AZ$365,$C27),INDEX('データ'!AZ$370:AZ$486,$C27)),0)</f>
        <v>27.0</v>
      </c>
      <c r="BA27" s="48">
        <f>IFERROR(CHOOSE($A$3,INDEX('データ'!BA$7:BA$123,$C27),INDEX('データ'!BA$128:BA$244,$C27),INDEX('データ'!BA$249:BA$365,$C27),INDEX('データ'!BA$370:BA$486,$C27)),0)</f>
        <v>10.0</v>
      </c>
      <c r="BB27" s="48">
        <f>IFERROR(CHOOSE($A$3,INDEX('データ'!BB$7:BB$123,$C27),INDEX('データ'!BB$128:BB$244,$C27),INDEX('データ'!BB$249:BB$365,$C27),INDEX('データ'!BB$370:BB$486,$C27)),0)</f>
        <v>2.0</v>
      </c>
      <c r="BC27" s="48">
        <f>IFERROR(CHOOSE($A$3,INDEX('データ'!BC$7:BC$123,$C27),INDEX('データ'!BC$128:BC$244,$C27),INDEX('データ'!BC$249:BC$365,$C27),INDEX('データ'!BC$370:BC$486,$C27)),0)</f>
        <v>2.0</v>
      </c>
      <c r="BD27" s="48">
        <f>IFERROR(CHOOSE($A$3,INDEX('データ'!BD$7:BD$123,$C27),INDEX('データ'!BD$128:BD$244,$C27),INDEX('データ'!BD$249:BD$365,$C27),INDEX('データ'!BD$370:BD$486,$C27)),0)</f>
        <v>0.0</v>
      </c>
      <c r="BE27" s="48">
        <f>IFERROR(CHOOSE($A$3,INDEX('データ'!BE$7:BE$123,$C27),INDEX('データ'!BE$128:BE$244,$C27),INDEX('データ'!BE$249:BE$365,$C27),INDEX('データ'!BE$370:BE$486,$C27)),0)</f>
        <v>0.0</v>
      </c>
      <c r="BF27" s="48">
        <f>IFERROR(CHOOSE($A$3,INDEX('データ'!BF$7:BF$123,$C27),INDEX('データ'!BF$128:BF$244,$C27),INDEX('データ'!BF$249:BF$365,$C27),INDEX('データ'!BF$370:BF$486,$C27)),0)</f>
        <v>0.0</v>
      </c>
      <c r="BG27" s="48">
        <f>IFERROR(CHOOSE($A$3,INDEX('データ'!BG$7:BG$123,$C27),INDEX('データ'!BG$128:BG$244,$C27),INDEX('データ'!BG$249:BG$365,$C27),INDEX('データ'!BG$370:BG$486,$C27)),0)</f>
        <v>0.0</v>
      </c>
    </row>
    <row r="28" spans="2:61" ht="20" customHeight="1">
      <c r="B28" s="44" t="s">
        <v>90</v>
      </c>
      <c r="C28" s="47">
        <f>MATCH($C$3&amp;"|"&amp;$B28,'データ'!$A$7:$A$123,0)</f>
        <v>13</v>
      </c>
      <c r="D28" s="48">
        <f>IFERROR(CHOOSE($A$3,INDEX('データ'!D$7:D$123,$C28),INDEX('データ'!D$128:D$244,$C28),INDEX('データ'!D$249:D$365,$C28),INDEX('データ'!D$370:D$486,$C28)),0)</f>
        <v>0.0</v>
      </c>
      <c r="E28" s="48">
        <f>IFERROR(CHOOSE($A$3,INDEX('データ'!E$7:E$123,$C28),INDEX('データ'!E$128:E$244,$C28),INDEX('データ'!E$249:E$365,$C28),INDEX('データ'!E$370:E$486,$C28)),0)</f>
        <v>0.0</v>
      </c>
      <c r="F28" s="48">
        <f>IFERROR(CHOOSE($A$3,INDEX('データ'!F$7:F$123,$C28),INDEX('データ'!F$128:F$244,$C28),INDEX('データ'!F$249:F$365,$C28),INDEX('データ'!F$370:F$486,$C28)),0)</f>
        <v>0.0</v>
      </c>
      <c r="G28" s="48">
        <f>IFERROR(CHOOSE($A$3,INDEX('データ'!G$7:G$123,$C28),INDEX('データ'!G$128:G$244,$C28),INDEX('データ'!G$249:G$365,$C28),INDEX('データ'!G$370:G$486,$C28)),0)</f>
        <v>3.0</v>
      </c>
      <c r="H28" s="48">
        <f>IFERROR(CHOOSE($A$3,INDEX('データ'!H$7:H$123,$C28),INDEX('データ'!H$128:H$244,$C28),INDEX('データ'!H$249:H$365,$C28),INDEX('データ'!H$370:H$486,$C28)),0)</f>
        <v>132.0</v>
      </c>
      <c r="I28" s="48">
        <f>IFERROR(CHOOSE($A$3,INDEX('データ'!I$7:I$123,$C28),INDEX('データ'!I$128:I$244,$C28),INDEX('データ'!I$249:I$365,$C28),INDEX('データ'!I$370:I$486,$C28)),0)</f>
        <v>981.0</v>
      </c>
      <c r="J28" s="48">
        <f>IFERROR(CHOOSE($A$3,INDEX('データ'!J$7:J$123,$C28),INDEX('データ'!J$128:J$244,$C28),INDEX('データ'!J$249:J$365,$C28),INDEX('データ'!J$370:J$486,$C28)),0)</f>
        <v>2059.0</v>
      </c>
      <c r="K28" s="48">
        <f>IFERROR(CHOOSE($A$3,INDEX('データ'!K$7:K$123,$C28),INDEX('データ'!K$128:K$244,$C28),INDEX('データ'!K$249:K$365,$C28),INDEX('データ'!K$370:K$486,$C28)),0)</f>
        <v>1853.0</v>
      </c>
      <c r="L28" s="48">
        <f>IFERROR(CHOOSE($A$3,INDEX('データ'!L$7:L$123,$C28),INDEX('データ'!L$128:L$244,$C28),INDEX('データ'!L$249:L$365,$C28),INDEX('データ'!L$370:L$486,$C28)),0)</f>
        <v>2073.0</v>
      </c>
      <c r="M28" s="48">
        <f>IFERROR(CHOOSE($A$3,INDEX('データ'!M$7:M$123,$C28),INDEX('データ'!M$128:M$244,$C28),INDEX('データ'!M$249:M$365,$C28),INDEX('データ'!M$370:M$486,$C28)),0)</f>
        <v>2306.0</v>
      </c>
      <c r="N28" s="48">
        <f>IFERROR(CHOOSE($A$3,INDEX('データ'!N$7:N$123,$C28),INDEX('データ'!N$128:N$244,$C28),INDEX('データ'!N$249:N$365,$C28),INDEX('データ'!N$370:N$486,$C28)),0)</f>
        <v>2473.0</v>
      </c>
      <c r="O28" s="48">
        <f>IFERROR(CHOOSE($A$3,INDEX('データ'!O$7:O$123,$C28),INDEX('データ'!O$128:O$244,$C28),INDEX('データ'!O$249:O$365,$C28),INDEX('データ'!O$370:O$486,$C28)),0)</f>
        <v>2736.0</v>
      </c>
      <c r="P28" s="48">
        <f>IFERROR(CHOOSE($A$3,INDEX('データ'!P$7:P$123,$C28),INDEX('データ'!P$128:P$244,$C28),INDEX('データ'!P$249:P$365,$C28),INDEX('データ'!P$370:P$486,$C28)),0)</f>
        <v>2844.0</v>
      </c>
      <c r="Q28" s="48">
        <f>IFERROR(CHOOSE($A$3,INDEX('データ'!Q$7:Q$123,$C28),INDEX('データ'!Q$128:Q$244,$C28),INDEX('データ'!Q$249:Q$365,$C28),INDEX('データ'!Q$370:Q$486,$C28)),0)</f>
        <v>2775.0</v>
      </c>
      <c r="R28" s="48">
        <f>IFERROR(CHOOSE($A$3,INDEX('データ'!R$7:R$123,$C28),INDEX('データ'!R$128:R$244,$C28),INDEX('データ'!R$249:R$365,$C28),INDEX('データ'!R$370:R$486,$C28)),0)</f>
        <v>2835.0</v>
      </c>
      <c r="S28" s="48">
        <f>IFERROR(CHOOSE($A$3,INDEX('データ'!S$7:S$123,$C28),INDEX('データ'!S$128:S$244,$C28),INDEX('データ'!S$249:S$365,$C28),INDEX('データ'!S$370:S$486,$C28)),0)</f>
        <v>2902.0</v>
      </c>
      <c r="T28" s="48">
        <f>IFERROR(CHOOSE($A$3,INDEX('データ'!T$7:T$123,$C28),INDEX('データ'!T$128:T$244,$C28),INDEX('データ'!T$249:T$365,$C28),INDEX('データ'!T$370:T$486,$C28)),0)</f>
        <v>2990.0</v>
      </c>
      <c r="U28" s="48">
        <f>IFERROR(CHOOSE($A$3,INDEX('データ'!U$7:U$123,$C28),INDEX('データ'!U$128:U$244,$C28),INDEX('データ'!U$249:U$365,$C28),INDEX('データ'!U$370:U$486,$C28)),0)</f>
        <v>2876.0</v>
      </c>
      <c r="V28" s="48">
        <f>IFERROR(CHOOSE($A$3,INDEX('データ'!V$7:V$123,$C28),INDEX('データ'!V$128:V$244,$C28),INDEX('データ'!V$249:V$365,$C28),INDEX('データ'!V$370:V$486,$C28)),0)</f>
        <v>2663.0</v>
      </c>
      <c r="W28" s="48">
        <f>IFERROR(CHOOSE($A$3,INDEX('データ'!W$7:W$123,$C28),INDEX('データ'!W$128:W$244,$C28),INDEX('データ'!W$249:W$365,$C28),INDEX('データ'!W$370:W$486,$C28)),0)</f>
        <v>2381.0</v>
      </c>
      <c r="X28" s="48">
        <f>IFERROR(CHOOSE($A$3,INDEX('データ'!X$7:X$123,$C28),INDEX('データ'!X$128:X$244,$C28),INDEX('データ'!X$249:X$365,$C28),INDEX('データ'!X$370:X$486,$C28)),0)</f>
        <v>2323.0</v>
      </c>
      <c r="Y28" s="48">
        <f>IFERROR(CHOOSE($A$3,INDEX('データ'!Y$7:Y$123,$C28),INDEX('データ'!Y$128:Y$244,$C28),INDEX('データ'!Y$249:Y$365,$C28),INDEX('データ'!Y$370:Y$486,$C28)),0)</f>
        <v>2360.0</v>
      </c>
      <c r="Z28" s="48">
        <f>IFERROR(CHOOSE($A$3,INDEX('データ'!Z$7:Z$123,$C28),INDEX('データ'!Z$128:Z$244,$C28),INDEX('データ'!Z$249:Z$365,$C28),INDEX('データ'!Z$370:Z$486,$C28)),0)</f>
        <v>2292.0</v>
      </c>
      <c r="AA28" s="48">
        <f>IFERROR(CHOOSE($A$3,INDEX('データ'!AA$7:AA$123,$C28),INDEX('データ'!AA$128:AA$244,$C28),INDEX('データ'!AA$249:AA$365,$C28),INDEX('データ'!AA$370:AA$486,$C28)),0)</f>
        <v>2292.0</v>
      </c>
      <c r="AB28" s="48">
        <f>IFERROR(CHOOSE($A$3,INDEX('データ'!AB$7:AB$123,$C28),INDEX('データ'!AB$128:AB$244,$C28),INDEX('データ'!AB$249:AB$365,$C28),INDEX('データ'!AB$370:AB$486,$C28)),0)</f>
        <v>2520.0</v>
      </c>
      <c r="AC28" s="48">
        <f>IFERROR(CHOOSE($A$3,INDEX('データ'!AC$7:AC$123,$C28),INDEX('データ'!AC$128:AC$244,$C28),INDEX('データ'!AC$249:AC$365,$C28),INDEX('データ'!AC$370:AC$486,$C28)),0)</f>
        <v>2622.0</v>
      </c>
      <c r="AD28" s="48">
        <f>IFERROR(CHOOSE($A$3,INDEX('データ'!AD$7:AD$123,$C28),INDEX('データ'!AD$128:AD$244,$C28),INDEX('データ'!AD$249:AD$365,$C28),INDEX('データ'!AD$370:AD$486,$C28)),0)</f>
        <v>2656.0</v>
      </c>
      <c r="AE28" s="48">
        <f>IFERROR(CHOOSE($A$3,INDEX('データ'!AE$7:AE$123,$C28),INDEX('データ'!AE$128:AE$244,$C28),INDEX('データ'!AE$249:AE$365,$C28),INDEX('データ'!AE$370:AE$486,$C28)),0)</f>
        <v>2796.0</v>
      </c>
      <c r="AF28" s="48">
        <f>IFERROR(CHOOSE($A$3,INDEX('データ'!AF$7:AF$123,$C28),INDEX('データ'!AF$128:AF$244,$C28),INDEX('データ'!AF$249:AF$365,$C28),INDEX('データ'!AF$370:AF$486,$C28)),0)</f>
        <v>2766.0</v>
      </c>
      <c r="AG28" s="48">
        <f>IFERROR(CHOOSE($A$3,INDEX('データ'!AG$7:AG$123,$C28),INDEX('データ'!AG$128:AG$244,$C28),INDEX('データ'!AG$249:AG$365,$C28),INDEX('データ'!AG$370:AG$486,$C28)),0)</f>
        <v>2804.0</v>
      </c>
      <c r="AH28" s="48">
        <f>IFERROR(CHOOSE($A$3,INDEX('データ'!AH$7:AH$123,$C28),INDEX('データ'!AH$128:AH$244,$C28),INDEX('データ'!AH$249:AH$365,$C28),INDEX('データ'!AH$370:AH$486,$C28)),0)</f>
        <v>2805.0</v>
      </c>
      <c r="AI28" s="48">
        <f>IFERROR(CHOOSE($A$3,INDEX('データ'!AI$7:AI$123,$C28),INDEX('データ'!AI$128:AI$244,$C28),INDEX('データ'!AI$249:AI$365,$C28),INDEX('データ'!AI$370:AI$486,$C28)),0)</f>
        <v>2747.0</v>
      </c>
      <c r="AJ28" s="48">
        <f>IFERROR(CHOOSE($A$3,INDEX('データ'!AJ$7:AJ$123,$C28),INDEX('データ'!AJ$128:AJ$244,$C28),INDEX('データ'!AJ$249:AJ$365,$C28),INDEX('データ'!AJ$370:AJ$486,$C28)),0)</f>
        <v>2679.0</v>
      </c>
      <c r="AK28" s="48">
        <f>IFERROR(CHOOSE($A$3,INDEX('データ'!AK$7:AK$123,$C28),INDEX('データ'!AK$128:AK$244,$C28),INDEX('データ'!AK$249:AK$365,$C28),INDEX('データ'!AK$370:AK$486,$C28)),0)</f>
        <v>2664.0</v>
      </c>
      <c r="AL28" s="48">
        <f>IFERROR(CHOOSE($A$3,INDEX('データ'!AL$7:AL$123,$C28),INDEX('データ'!AL$128:AL$244,$C28),INDEX('データ'!AL$249:AL$365,$C28),INDEX('データ'!AL$370:AL$486,$C28)),0)</f>
        <v>2545.0</v>
      </c>
      <c r="AM28" s="48">
        <f>IFERROR(CHOOSE($A$3,INDEX('データ'!AM$7:AM$123,$C28),INDEX('データ'!AM$128:AM$244,$C28),INDEX('データ'!AM$249:AM$365,$C28),INDEX('データ'!AM$370:AM$486,$C28)),0)</f>
        <v>2440.0</v>
      </c>
      <c r="AN28" s="48">
        <f>IFERROR(CHOOSE($A$3,INDEX('データ'!AN$7:AN$123,$C28),INDEX('データ'!AN$128:AN$244,$C28),INDEX('データ'!AN$249:AN$365,$C28),INDEX('データ'!AN$370:AN$486,$C28)),0)</f>
        <v>2358.0</v>
      </c>
      <c r="AO28" s="48">
        <f>IFERROR(CHOOSE($A$3,INDEX('データ'!AO$7:AO$123,$C28),INDEX('データ'!AO$128:AO$244,$C28),INDEX('データ'!AO$249:AO$365,$C28),INDEX('データ'!AO$370:AO$486,$C28)),0)</f>
        <v>2300.0</v>
      </c>
      <c r="AP28" s="48">
        <f>IFERROR(CHOOSE($A$3,INDEX('データ'!AP$7:AP$123,$C28),INDEX('データ'!AP$128:AP$244,$C28),INDEX('データ'!AP$249:AP$365,$C28),INDEX('データ'!AP$370:AP$486,$C28)),0)</f>
        <v>2215.0</v>
      </c>
      <c r="AQ28" s="48">
        <f>IFERROR(CHOOSE($A$3,INDEX('データ'!AQ$7:AQ$123,$C28),INDEX('データ'!AQ$128:AQ$244,$C28),INDEX('データ'!AQ$249:AQ$365,$C28),INDEX('データ'!AQ$370:AQ$486,$C28)),0)</f>
        <v>1624.0</v>
      </c>
      <c r="AR28" s="48">
        <f>IFERROR(CHOOSE($A$3,INDEX('データ'!AR$7:AR$123,$C28),INDEX('データ'!AR$128:AR$244,$C28),INDEX('データ'!AR$249:AR$365,$C28),INDEX('データ'!AR$370:AR$486,$C28)),0)</f>
        <v>698.0</v>
      </c>
      <c r="AS28" s="48">
        <f>IFERROR(CHOOSE($A$3,INDEX('データ'!AS$7:AS$123,$C28),INDEX('データ'!AS$128:AS$244,$C28),INDEX('データ'!AS$249:AS$365,$C28),INDEX('データ'!AS$370:AS$486,$C28)),0)</f>
        <v>66.0</v>
      </c>
      <c r="AT28" s="48">
        <f>IFERROR(CHOOSE($A$3,INDEX('データ'!AT$7:AT$123,$C28),INDEX('データ'!AT$128:AT$244,$C28),INDEX('データ'!AT$249:AT$365,$C28),INDEX('データ'!AT$370:AT$486,$C28)),0)</f>
        <v>42.0</v>
      </c>
      <c r="AU28" s="48">
        <f>IFERROR(CHOOSE($A$3,INDEX('データ'!AU$7:AU$123,$C28),INDEX('データ'!AU$128:AU$244,$C28),INDEX('データ'!AU$249:AU$365,$C28),INDEX('データ'!AU$370:AU$486,$C28)),0)</f>
        <v>41.0</v>
      </c>
      <c r="AV28" s="48">
        <f>IFERROR(CHOOSE($A$3,INDEX('データ'!AV$7:AV$123,$C28),INDEX('データ'!AV$128:AV$244,$C28),INDEX('データ'!AV$249:AV$365,$C28),INDEX('データ'!AV$370:AV$486,$C28)),0)</f>
        <v>26.0</v>
      </c>
      <c r="AW28" s="48">
        <f>IFERROR(CHOOSE($A$3,INDEX('データ'!AW$7:AW$123,$C28),INDEX('データ'!AW$128:AW$244,$C28),INDEX('データ'!AW$249:AW$365,$C28),INDEX('データ'!AW$370:AW$486,$C28)),0)</f>
        <v>48.0</v>
      </c>
      <c r="AX28" s="48">
        <f>IFERROR(CHOOSE($A$3,INDEX('データ'!AX$7:AX$123,$C28),INDEX('データ'!AX$128:AX$244,$C28),INDEX('データ'!AX$249:AX$365,$C28),INDEX('データ'!AX$370:AX$486,$C28)),0)</f>
        <v>35.0</v>
      </c>
      <c r="AY28" s="48">
        <f>IFERROR(CHOOSE($A$3,INDEX('データ'!AY$7:AY$123,$C28),INDEX('データ'!AY$128:AY$244,$C28),INDEX('データ'!AY$249:AY$365,$C28),INDEX('データ'!AY$370:AY$486,$C28)),0)</f>
        <v>13.0</v>
      </c>
      <c r="AZ28" s="48">
        <f>IFERROR(CHOOSE($A$3,INDEX('データ'!AZ$7:AZ$123,$C28),INDEX('データ'!AZ$128:AZ$244,$C28),INDEX('データ'!AZ$249:AZ$365,$C28),INDEX('データ'!AZ$370:AZ$486,$C28)),0)</f>
        <v>9.0</v>
      </c>
      <c r="BA28" s="48">
        <f>IFERROR(CHOOSE($A$3,INDEX('データ'!BA$7:BA$123,$C28),INDEX('データ'!BA$128:BA$244,$C28),INDEX('データ'!BA$249:BA$365,$C28),INDEX('データ'!BA$370:BA$486,$C28)),0)</f>
        <v>3.0</v>
      </c>
      <c r="BB28" s="48">
        <f>IFERROR(CHOOSE($A$3,INDEX('データ'!BB$7:BB$123,$C28),INDEX('データ'!BB$128:BB$244,$C28),INDEX('データ'!BB$249:BB$365,$C28),INDEX('データ'!BB$370:BB$486,$C28)),0)</f>
        <v>0.0</v>
      </c>
      <c r="BC28" s="48">
        <f>IFERROR(CHOOSE($A$3,INDEX('データ'!BC$7:BC$123,$C28),INDEX('データ'!BC$128:BC$244,$C28),INDEX('データ'!BC$249:BC$365,$C28),INDEX('データ'!BC$370:BC$486,$C28)),0)</f>
        <v>0.0</v>
      </c>
      <c r="BD28" s="48">
        <f>IFERROR(CHOOSE($A$3,INDEX('データ'!BD$7:BD$123,$C28),INDEX('データ'!BD$128:BD$244,$C28),INDEX('データ'!BD$249:BD$365,$C28),INDEX('データ'!BD$370:BD$486,$C28)),0)</f>
        <v>0.0</v>
      </c>
      <c r="BE28" s="48">
        <f>IFERROR(CHOOSE($A$3,INDEX('データ'!BE$7:BE$123,$C28),INDEX('データ'!BE$128:BE$244,$C28),INDEX('データ'!BE$249:BE$365,$C28),INDEX('データ'!BE$370:BE$486,$C28)),0)</f>
        <v>0.0</v>
      </c>
      <c r="BF28" s="48">
        <f>IFERROR(CHOOSE($A$3,INDEX('データ'!BF$7:BF$123,$C28),INDEX('データ'!BF$128:BF$244,$C28),INDEX('データ'!BF$249:BF$365,$C28),INDEX('データ'!BF$370:BF$486,$C28)),0)</f>
        <v>0.0</v>
      </c>
      <c r="BG28" s="48">
        <f>IFERROR(CHOOSE($A$3,INDEX('データ'!BG$7:BG$123,$C28),INDEX('データ'!BG$128:BG$244,$C28),INDEX('データ'!BG$249:BG$365,$C28),INDEX('データ'!BG$370:BG$486,$C28)),0)</f>
        <v>0.0</v>
      </c>
    </row>
    <row r="30" spans="2:61">
      <c r="B30" s="3" t="s">
        <v>474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2:61">
      <c r="B31" s="46" t="s">
        <v>4</v>
      </c>
      <c r="C31" s="46" t="s">
        <v>475</v>
      </c>
      <c r="D31" s="46" t="s">
        <v>459</v>
      </c>
      <c r="E31" s="46"/>
      <c r="F31" s="46"/>
      <c r="G31" s="46"/>
      <c r="H31" s="46" t="s">
        <v>460</v>
      </c>
      <c r="I31" s="46"/>
      <c r="J31" s="46"/>
      <c r="K31" s="46"/>
      <c r="L31" s="46" t="s">
        <v>461</v>
      </c>
      <c r="M31" s="46"/>
      <c r="N31" s="46"/>
      <c r="O31" s="46"/>
      <c r="P31" s="46" t="s">
        <v>462</v>
      </c>
      <c r="Q31" s="46"/>
      <c r="R31" s="46"/>
      <c r="S31" s="46"/>
      <c r="T31" s="46" t="s">
        <v>463</v>
      </c>
      <c r="U31" s="46"/>
      <c r="V31" s="46"/>
      <c r="W31" s="46"/>
      <c r="X31" s="46" t="s">
        <v>464</v>
      </c>
      <c r="Y31" s="46"/>
      <c r="Z31" s="46"/>
      <c r="AA31" s="46"/>
      <c r="AB31" s="46" t="s">
        <v>465</v>
      </c>
      <c r="AC31" s="46"/>
      <c r="AD31" s="46"/>
      <c r="AE31" s="46"/>
      <c r="AF31" s="46" t="s">
        <v>466</v>
      </c>
      <c r="AG31" s="46"/>
      <c r="AH31" s="46"/>
      <c r="AI31" s="46"/>
      <c r="AJ31" s="46" t="s">
        <v>467</v>
      </c>
      <c r="AK31" s="46"/>
      <c r="AL31" s="46"/>
      <c r="AM31" s="46"/>
      <c r="AN31" s="46" t="s">
        <v>468</v>
      </c>
      <c r="AO31" s="46"/>
      <c r="AP31" s="46"/>
      <c r="AQ31" s="46"/>
      <c r="AR31" s="46" t="s">
        <v>469</v>
      </c>
      <c r="AS31" s="46"/>
      <c r="AT31" s="46"/>
      <c r="AU31" s="46"/>
      <c r="AV31" s="46" t="s">
        <v>470</v>
      </c>
      <c r="AW31" s="46"/>
      <c r="AX31" s="46"/>
      <c r="AY31" s="46"/>
      <c r="AZ31" s="46" t="s">
        <v>471</v>
      </c>
      <c r="BA31" s="46"/>
      <c r="BB31" s="46"/>
      <c r="BC31" s="46"/>
      <c r="BD31" s="46" t="s">
        <v>472</v>
      </c>
      <c r="BE31" s="46"/>
      <c r="BF31" s="46"/>
      <c r="BG31" s="46"/>
    </row>
    <row r="32" spans="2:61" ht="24" customHeight="1">
      <c r="B32" s="44" t="s">
        <v>92</v>
      </c>
      <c r="D32" s="48">
        <f>IFERROR(CHOOSE($A$3,INDEX('データ'!D$7:D$123,$BI32),INDEX('データ'!D$128:D$244,$BI32),INDEX('データ'!D$249:D$365,$BI32),INDEX('データ'!D$370:D$486,$BI32)),0)</f>
        <v>0.0</v>
      </c>
      <c r="E32" s="48">
        <f>IFERROR(CHOOSE($A$3,INDEX('データ'!E$7:E$123,$BI32),INDEX('データ'!E$128:E$244,$BI32),INDEX('データ'!E$249:E$365,$BI32),INDEX('データ'!E$370:E$486,$BI32)),0)</f>
        <v>0.0</v>
      </c>
      <c r="F32" s="48">
        <f>IFERROR(CHOOSE($A$3,INDEX('データ'!F$7:F$123,$BI32),INDEX('データ'!F$128:F$244,$BI32),INDEX('データ'!F$249:F$365,$BI32),INDEX('データ'!F$370:F$486,$BI32)),0)</f>
        <v>1.0</v>
      </c>
      <c r="G32" s="48">
        <f>IFERROR(CHOOSE($A$3,INDEX('データ'!G$7:G$123,$BI32),INDEX('データ'!G$128:G$244,$BI32),INDEX('データ'!G$249:G$365,$BI32),INDEX('データ'!G$370:G$486,$BI32)),0)</f>
        <v>0.0</v>
      </c>
      <c r="H32" s="48">
        <f>IFERROR(CHOOSE($A$3,INDEX('データ'!H$7:H$123,$BI32),INDEX('データ'!H$128:H$244,$BI32),INDEX('データ'!H$249:H$365,$BI32),INDEX('データ'!H$370:H$486,$BI32)),0)</f>
        <v>46.0</v>
      </c>
      <c r="I32" s="48">
        <f>IFERROR(CHOOSE($A$3,INDEX('データ'!I$7:I$123,$BI32),INDEX('データ'!I$128:I$244,$BI32),INDEX('データ'!I$249:I$365,$BI32),INDEX('データ'!I$370:I$486,$BI32)),0)</f>
        <v>345.0</v>
      </c>
      <c r="J32" s="48">
        <f>IFERROR(CHOOSE($A$3,INDEX('データ'!J$7:J$123,$BI32),INDEX('データ'!J$128:J$244,$BI32),INDEX('データ'!J$249:J$365,$BI32),INDEX('データ'!J$370:J$486,$BI32)),0)</f>
        <v>1064.0</v>
      </c>
      <c r="K32" s="48">
        <f>IFERROR(CHOOSE($A$3,INDEX('データ'!K$7:K$123,$BI32),INDEX('データ'!K$128:K$244,$BI32),INDEX('データ'!K$249:K$365,$BI32),INDEX('データ'!K$370:K$486,$BI32)),0)</f>
        <v>2310.0</v>
      </c>
      <c r="L32" s="48">
        <f>IFERROR(CHOOSE($A$3,INDEX('データ'!L$7:L$123,$BI32),INDEX('データ'!L$128:L$244,$BI32),INDEX('データ'!L$249:L$365,$BI32),INDEX('データ'!L$370:L$486,$BI32)),0)</f>
        <v>2609.0</v>
      </c>
      <c r="M32" s="48">
        <f>IFERROR(CHOOSE($A$3,INDEX('データ'!M$7:M$123,$BI32),INDEX('データ'!M$128:M$244,$BI32),INDEX('データ'!M$249:M$365,$BI32),INDEX('データ'!M$370:M$486,$BI32)),0)</f>
        <v>3035.0</v>
      </c>
      <c r="N32" s="48">
        <f>IFERROR(CHOOSE($A$3,INDEX('データ'!N$7:N$123,$BI32),INDEX('データ'!N$128:N$244,$BI32),INDEX('データ'!N$249:N$365,$BI32),INDEX('データ'!N$370:N$486,$BI32)),0)</f>
        <v>3452.0</v>
      </c>
      <c r="O32" s="48">
        <f>IFERROR(CHOOSE($A$3,INDEX('データ'!O$7:O$123,$BI32),INDEX('データ'!O$128:O$244,$BI32),INDEX('データ'!O$249:O$365,$BI32),INDEX('データ'!O$370:O$486,$BI32)),0)</f>
        <v>3850.0</v>
      </c>
      <c r="P32" s="48">
        <f>IFERROR(CHOOSE($A$3,INDEX('データ'!P$7:P$123,$BI32),INDEX('データ'!P$128:P$244,$BI32),INDEX('データ'!P$249:P$365,$BI32),INDEX('データ'!P$370:P$486,$BI32)),0)</f>
        <v>3978.0</v>
      </c>
      <c r="Q32" s="48">
        <f>IFERROR(CHOOSE($A$3,INDEX('データ'!Q$7:Q$123,$BI32),INDEX('データ'!Q$128:Q$244,$BI32),INDEX('データ'!Q$249:Q$365,$BI32),INDEX('データ'!Q$370:Q$486,$BI32)),0)</f>
        <v>4456.0</v>
      </c>
      <c r="R32" s="48">
        <f>IFERROR(CHOOSE($A$3,INDEX('データ'!R$7:R$123,$BI32),INDEX('データ'!R$128:R$244,$BI32),INDEX('データ'!R$249:R$365,$BI32),INDEX('データ'!R$370:R$486,$BI32)),0)</f>
        <v>4587.0</v>
      </c>
      <c r="S32" s="48">
        <f>IFERROR(CHOOSE($A$3,INDEX('データ'!S$7:S$123,$BI32),INDEX('データ'!S$128:S$244,$BI32),INDEX('データ'!S$249:S$365,$BI32),INDEX('データ'!S$370:S$486,$BI32)),0)</f>
        <v>4726.0</v>
      </c>
      <c r="T32" s="48">
        <f>IFERROR(CHOOSE($A$3,INDEX('データ'!T$7:T$123,$BI32),INDEX('データ'!T$128:T$244,$BI32),INDEX('データ'!T$249:T$365,$BI32),INDEX('データ'!T$370:T$486,$BI32)),0)</f>
        <v>4724.0</v>
      </c>
      <c r="U32" s="48">
        <f>IFERROR(CHOOSE($A$3,INDEX('データ'!U$7:U$123,$BI32),INDEX('データ'!U$128:U$244,$BI32),INDEX('データ'!U$249:U$365,$BI32),INDEX('データ'!U$370:U$486,$BI32)),0)</f>
        <v>4843.0</v>
      </c>
      <c r="V32" s="48">
        <f>IFERROR(CHOOSE($A$3,INDEX('データ'!V$7:V$123,$BI32),INDEX('データ'!V$128:V$244,$BI32),INDEX('データ'!V$249:V$365,$BI32),INDEX('データ'!V$370:V$486,$BI32)),0)</f>
        <v>4642.0</v>
      </c>
      <c r="W32" s="48">
        <f>IFERROR(CHOOSE($A$3,INDEX('データ'!W$7:W$123,$BI32),INDEX('データ'!W$128:W$244,$BI32),INDEX('データ'!W$249:W$365,$BI32),INDEX('データ'!W$370:W$486,$BI32)),0)</f>
        <v>4400.0</v>
      </c>
      <c r="X32" s="48">
        <f>IFERROR(CHOOSE($A$3,INDEX('データ'!X$7:X$123,$BI32),INDEX('データ'!X$128:X$244,$BI32),INDEX('データ'!X$249:X$365,$BI32),INDEX('データ'!X$370:X$486,$BI32)),0)</f>
        <v>4381.0</v>
      </c>
      <c r="Y32" s="48">
        <f>IFERROR(CHOOSE($A$3,INDEX('データ'!Y$7:Y$123,$BI32),INDEX('データ'!Y$128:Y$244,$BI32),INDEX('データ'!Y$249:Y$365,$BI32),INDEX('データ'!Y$370:Y$486,$BI32)),0)</f>
        <v>4189.0</v>
      </c>
      <c r="Z32" s="48">
        <f>IFERROR(CHOOSE($A$3,INDEX('データ'!Z$7:Z$123,$BI32),INDEX('データ'!Z$128:Z$244,$BI32),INDEX('データ'!Z$249:Z$365,$BI32),INDEX('データ'!Z$370:Z$486,$BI32)),0)</f>
        <v>4279.0</v>
      </c>
      <c r="AA32" s="48">
        <f>IFERROR(CHOOSE($A$3,INDEX('データ'!AA$7:AA$123,$BI32),INDEX('データ'!AA$128:AA$244,$BI32),INDEX('データ'!AA$249:AA$365,$BI32),INDEX('データ'!AA$370:AA$486,$BI32)),0)</f>
        <v>3929.0</v>
      </c>
      <c r="AB32" s="48">
        <f>IFERROR(CHOOSE($A$3,INDEX('データ'!AB$7:AB$123,$BI32),INDEX('データ'!AB$128:AB$244,$BI32),INDEX('データ'!AB$249:AB$365,$BI32),INDEX('データ'!AB$370:AB$486,$BI32)),0)</f>
        <v>3821.0</v>
      </c>
      <c r="AC32" s="48">
        <f>IFERROR(CHOOSE($A$3,INDEX('データ'!AC$7:AC$123,$BI32),INDEX('データ'!AC$128:AC$244,$BI32),INDEX('データ'!AC$249:AC$365,$BI32),INDEX('データ'!AC$370:AC$486,$BI32)),0)</f>
        <v>4019.0</v>
      </c>
      <c r="AD32" s="48">
        <f>IFERROR(CHOOSE($A$3,INDEX('データ'!AD$7:AD$123,$BI32),INDEX('データ'!AD$128:AD$244,$BI32),INDEX('データ'!AD$249:AD$365,$BI32),INDEX('データ'!AD$370:AD$486,$BI32)),0)</f>
        <v>4435.0</v>
      </c>
      <c r="AE32" s="48">
        <f>IFERROR(CHOOSE($A$3,INDEX('データ'!AE$7:AE$123,$BI32),INDEX('データ'!AE$128:AE$244,$BI32),INDEX('データ'!AE$249:AE$365,$BI32),INDEX('データ'!AE$370:AE$486,$BI32)),0)</f>
        <v>4639.0</v>
      </c>
      <c r="AF32" s="48">
        <f>IFERROR(CHOOSE($A$3,INDEX('データ'!AF$7:AF$123,$BI32),INDEX('データ'!AF$128:AF$244,$BI32),INDEX('データ'!AF$249:AF$365,$BI32),INDEX('データ'!AF$370:AF$486,$BI32)),0)</f>
        <v>4578.0</v>
      </c>
      <c r="AG32" s="48">
        <f>IFERROR(CHOOSE($A$3,INDEX('データ'!AG$7:AG$123,$BI32),INDEX('データ'!AG$128:AG$244,$BI32),INDEX('データ'!AG$249:AG$365,$BI32),INDEX('データ'!AG$370:AG$486,$BI32)),0)</f>
        <v>4760.0</v>
      </c>
      <c r="AH32" s="48">
        <f>IFERROR(CHOOSE($A$3,INDEX('データ'!AH$7:AH$123,$BI32),INDEX('データ'!AH$128:AH$244,$BI32),INDEX('データ'!AH$249:AH$365,$BI32),INDEX('データ'!AH$370:AH$486,$BI32)),0)</f>
        <v>4685.0</v>
      </c>
      <c r="AI32" s="48">
        <f>IFERROR(CHOOSE($A$3,INDEX('データ'!AI$7:AI$123,$BI32),INDEX('データ'!AI$128:AI$244,$BI32),INDEX('データ'!AI$249:AI$365,$BI32),INDEX('データ'!AI$370:AI$486,$BI32)),0)</f>
        <v>4576.0</v>
      </c>
      <c r="AJ32" s="48">
        <f>IFERROR(CHOOSE($A$3,INDEX('データ'!AJ$7:AJ$123,$BI32),INDEX('データ'!AJ$128:AJ$244,$BI32),INDEX('データ'!AJ$249:AJ$365,$BI32),INDEX('データ'!AJ$370:AJ$486,$BI32)),0)</f>
        <v>4444.0</v>
      </c>
      <c r="AK32" s="48">
        <f>IFERROR(CHOOSE($A$3,INDEX('データ'!AK$7:AK$123,$BI32),INDEX('データ'!AK$128:AK$244,$BI32),INDEX('データ'!AK$249:AK$365,$BI32),INDEX('データ'!AK$370:AK$486,$BI32)),0)</f>
        <v>4451.0</v>
      </c>
      <c r="AL32" s="48">
        <f>IFERROR(CHOOSE($A$3,INDEX('データ'!AL$7:AL$123,$BI32),INDEX('データ'!AL$128:AL$244,$BI32),INDEX('データ'!AL$249:AL$365,$BI32),INDEX('データ'!AL$370:AL$486,$BI32)),0)</f>
        <v>4512.0</v>
      </c>
      <c r="AM32" s="48">
        <f>IFERROR(CHOOSE($A$3,INDEX('データ'!AM$7:AM$123,$BI32),INDEX('データ'!AM$128:AM$244,$BI32),INDEX('データ'!AM$249:AM$365,$BI32),INDEX('データ'!AM$370:AM$486,$BI32)),0)</f>
        <v>4556.0</v>
      </c>
      <c r="AN32" s="48">
        <f>IFERROR(CHOOSE($A$3,INDEX('データ'!AN$7:AN$123,$BI32),INDEX('データ'!AN$128:AN$244,$BI32),INDEX('データ'!AN$249:AN$365,$BI32),INDEX('データ'!AN$370:AN$486,$BI32)),0)</f>
        <v>4295.0</v>
      </c>
      <c r="AO32" s="48">
        <f>IFERROR(CHOOSE($A$3,INDEX('データ'!AO$7:AO$123,$BI32),INDEX('データ'!AO$128:AO$244,$BI32),INDEX('データ'!AO$249:AO$365,$BI32),INDEX('データ'!AO$370:AO$486,$BI32)),0)</f>
        <v>4132.0</v>
      </c>
      <c r="AP32" s="48">
        <f>IFERROR(CHOOSE($A$3,INDEX('データ'!AP$7:AP$123,$BI32),INDEX('データ'!AP$128:AP$244,$BI32),INDEX('データ'!AP$249:AP$365,$BI32),INDEX('データ'!AP$370:AP$486,$BI32)),0)</f>
        <v>3999.0</v>
      </c>
      <c r="AQ32" s="48">
        <f>IFERROR(CHOOSE($A$3,INDEX('データ'!AQ$7:AQ$123,$BI32),INDEX('データ'!AQ$128:AQ$244,$BI32),INDEX('データ'!AQ$249:AQ$365,$BI32),INDEX('データ'!AQ$370:AQ$486,$BI32)),0)</f>
        <v>3661.0</v>
      </c>
      <c r="AR32" s="48">
        <f>IFERROR(CHOOSE($A$3,INDEX('データ'!AR$7:AR$123,$BI32),INDEX('データ'!AR$128:AR$244,$BI32),INDEX('データ'!AR$249:AR$365,$BI32),INDEX('データ'!AR$370:AR$486,$BI32)),0)</f>
        <v>2708.0</v>
      </c>
      <c r="AS32" s="48">
        <f>IFERROR(CHOOSE($A$3,INDEX('データ'!AS$7:AS$123,$BI32),INDEX('データ'!AS$128:AS$244,$BI32),INDEX('データ'!AS$249:AS$365,$BI32),INDEX('データ'!AS$370:AS$486,$BI32)),0)</f>
        <v>1303.0</v>
      </c>
      <c r="AT32" s="48">
        <f>IFERROR(CHOOSE($A$3,INDEX('データ'!AT$7:AT$123,$BI32),INDEX('データ'!AT$128:AT$244,$BI32),INDEX('データ'!AT$249:AT$365,$BI32),INDEX('データ'!AT$370:AT$486,$BI32)),0)</f>
        <v>329.0</v>
      </c>
      <c r="AU32" s="48">
        <f>IFERROR(CHOOSE($A$3,INDEX('データ'!AU$7:AU$123,$BI32),INDEX('データ'!AU$128:AU$244,$BI32),INDEX('データ'!AU$249:AU$365,$BI32),INDEX('データ'!AU$370:AU$486,$BI32)),0)</f>
        <v>77.0</v>
      </c>
      <c r="AV32" s="48">
        <f>IFERROR(CHOOSE($A$3,INDEX('データ'!AV$7:AV$123,$BI32),INDEX('データ'!AV$128:AV$244,$BI32),INDEX('データ'!AV$249:AV$365,$BI32),INDEX('データ'!AV$370:AV$486,$BI32)),0)</f>
        <v>37.0</v>
      </c>
      <c r="AW32" s="48">
        <f>IFERROR(CHOOSE($A$3,INDEX('データ'!AW$7:AW$123,$BI32),INDEX('データ'!AW$128:AW$244,$BI32),INDEX('データ'!AW$249:AW$365,$BI32),INDEX('データ'!AW$370:AW$486,$BI32)),0)</f>
        <v>32.0</v>
      </c>
      <c r="AX32" s="48">
        <f>IFERROR(CHOOSE($A$3,INDEX('データ'!AX$7:AX$123,$BI32),INDEX('データ'!AX$128:AX$244,$BI32),INDEX('データ'!AX$249:AX$365,$BI32),INDEX('データ'!AX$370:AX$486,$BI32)),0)</f>
        <v>24.0</v>
      </c>
      <c r="AY32" s="48">
        <f>IFERROR(CHOOSE($A$3,INDEX('データ'!AY$7:AY$123,$BI32),INDEX('データ'!AY$128:AY$244,$BI32),INDEX('データ'!AY$249:AY$365,$BI32),INDEX('データ'!AY$370:AY$486,$BI32)),0)</f>
        <v>19.0</v>
      </c>
      <c r="AZ32" s="48">
        <f>IFERROR(CHOOSE($A$3,INDEX('データ'!AZ$7:AZ$123,$BI32),INDEX('データ'!AZ$128:AZ$244,$BI32),INDEX('データ'!AZ$249:AZ$365,$BI32),INDEX('データ'!AZ$370:AZ$486,$BI32)),0)</f>
        <v>15.0</v>
      </c>
      <c r="BA32" s="48">
        <f>IFERROR(CHOOSE($A$3,INDEX('データ'!BA$7:BA$123,$BI32),INDEX('データ'!BA$128:BA$244,$BI32),INDEX('データ'!BA$249:BA$365,$BI32),INDEX('データ'!BA$370:BA$486,$BI32)),0)</f>
        <v>10.0</v>
      </c>
      <c r="BB32" s="48">
        <f>IFERROR(CHOOSE($A$3,INDEX('データ'!BB$7:BB$123,$BI32),INDEX('データ'!BB$128:BB$244,$BI32),INDEX('データ'!BB$249:BB$365,$BI32),INDEX('データ'!BB$370:BB$486,$BI32)),0)</f>
        <v>8.0</v>
      </c>
      <c r="BC32" s="48">
        <f>IFERROR(CHOOSE($A$3,INDEX('データ'!BC$7:BC$123,$BI32),INDEX('データ'!BC$128:BC$244,$BI32),INDEX('データ'!BC$249:BC$365,$BI32),INDEX('データ'!BC$370:BC$486,$BI32)),0)</f>
        <v>2.0</v>
      </c>
      <c r="BD32" s="48">
        <f>IFERROR(CHOOSE($A$3,INDEX('データ'!BD$7:BD$123,$BI32),INDEX('データ'!BD$128:BD$244,$BI32),INDEX('データ'!BD$249:BD$365,$BI32),INDEX('データ'!BD$370:BD$486,$BI32)),0)</f>
        <v>1.0</v>
      </c>
      <c r="BE32" s="48">
        <f>IFERROR(CHOOSE($A$3,INDEX('データ'!BE$7:BE$123,$BI32),INDEX('データ'!BE$128:BE$244,$BI32),INDEX('データ'!BE$249:BE$365,$BI32),INDEX('データ'!BE$370:BE$486,$BI32)),0)</f>
        <v>0.0</v>
      </c>
      <c r="BF32" s="48">
        <f>IFERROR(CHOOSE($A$3,INDEX('データ'!BF$7:BF$123,$BI32),INDEX('データ'!BF$128:BF$244,$BI32),INDEX('データ'!BF$249:BF$365,$BI32),INDEX('データ'!BF$370:BF$486,$BI32)),0)</f>
        <v>0.0</v>
      </c>
      <c r="BG32" s="48">
        <f>IFERROR(CHOOSE($A$3,INDEX('データ'!BG$7:BG$123,$BI32),INDEX('データ'!BG$128:BG$244,$BI32),INDEX('データ'!BG$249:BG$365,$BI32),INDEX('データ'!BG$370:BG$486,$BI32)),0)</f>
        <v>0.0</v>
      </c>
      <c r="BI32">
        <f>MATCH($B32&amp;"|全期間",'データ'!$A$7:$A$123,0)</f>
        <v>14</v>
      </c>
    </row>
    <row r="33" spans="2:61" ht="24" customHeight="1">
      <c r="B33" s="44" t="s">
        <v>106</v>
      </c>
      <c r="D33" s="48">
        <f>IFERROR(CHOOSE($A$3,INDEX('データ'!D$7:D$123,$BI33),INDEX('データ'!D$128:D$244,$BI33),INDEX('データ'!D$249:D$365,$BI33),INDEX('データ'!D$370:D$486,$BI33)),0)</f>
        <v>0.0</v>
      </c>
      <c r="E33" s="48">
        <f>IFERROR(CHOOSE($A$3,INDEX('データ'!E$7:E$123,$BI33),INDEX('データ'!E$128:E$244,$BI33),INDEX('データ'!E$249:E$365,$BI33),INDEX('データ'!E$370:E$486,$BI33)),0)</f>
        <v>0.0</v>
      </c>
      <c r="F33" s="48">
        <f>IFERROR(CHOOSE($A$3,INDEX('データ'!F$7:F$123,$BI33),INDEX('データ'!F$128:F$244,$BI33),INDEX('データ'!F$249:F$365,$BI33),INDEX('データ'!F$370:F$486,$BI33)),0)</f>
        <v>0.0</v>
      </c>
      <c r="G33" s="48">
        <f>IFERROR(CHOOSE($A$3,INDEX('データ'!G$7:G$123,$BI33),INDEX('データ'!G$128:G$244,$BI33),INDEX('データ'!G$249:G$365,$BI33),INDEX('データ'!G$370:G$486,$BI33)),0)</f>
        <v>9.0</v>
      </c>
      <c r="H33" s="48">
        <f>IFERROR(CHOOSE($A$3,INDEX('データ'!H$7:H$123,$BI33),INDEX('データ'!H$128:H$244,$BI33),INDEX('データ'!H$249:H$365,$BI33),INDEX('データ'!H$370:H$486,$BI33)),0)</f>
        <v>137.0</v>
      </c>
      <c r="I33" s="48">
        <f>IFERROR(CHOOSE($A$3,INDEX('データ'!I$7:I$123,$BI33),INDEX('データ'!I$128:I$244,$BI33),INDEX('データ'!I$249:I$365,$BI33),INDEX('データ'!I$370:I$486,$BI33)),0)</f>
        <v>1027.0</v>
      </c>
      <c r="J33" s="48">
        <f>IFERROR(CHOOSE($A$3,INDEX('データ'!J$7:J$123,$BI33),INDEX('データ'!J$128:J$244,$BI33),INDEX('データ'!J$249:J$365,$BI33),INDEX('データ'!J$370:J$486,$BI33)),0)</f>
        <v>1681.0</v>
      </c>
      <c r="K33" s="48">
        <f>IFERROR(CHOOSE($A$3,INDEX('データ'!K$7:K$123,$BI33),INDEX('データ'!K$128:K$244,$BI33),INDEX('データ'!K$249:K$365,$BI33),INDEX('データ'!K$370:K$486,$BI33)),0)</f>
        <v>1814.0</v>
      </c>
      <c r="L33" s="48">
        <f>IFERROR(CHOOSE($A$3,INDEX('データ'!L$7:L$123,$BI33),INDEX('データ'!L$128:L$244,$BI33),INDEX('データ'!L$249:L$365,$BI33),INDEX('データ'!L$370:L$486,$BI33)),0)</f>
        <v>2096.0</v>
      </c>
      <c r="M33" s="48">
        <f>IFERROR(CHOOSE($A$3,INDEX('データ'!M$7:M$123,$BI33),INDEX('データ'!M$128:M$244,$BI33),INDEX('データ'!M$249:M$365,$BI33),INDEX('データ'!M$370:M$486,$BI33)),0)</f>
        <v>2300.0</v>
      </c>
      <c r="N33" s="48">
        <f>IFERROR(CHOOSE($A$3,INDEX('データ'!N$7:N$123,$BI33),INDEX('データ'!N$128:N$244,$BI33),INDEX('データ'!N$249:N$365,$BI33),INDEX('データ'!N$370:N$486,$BI33)),0)</f>
        <v>2473.0</v>
      </c>
      <c r="O33" s="48">
        <f>IFERROR(CHOOSE($A$3,INDEX('データ'!O$7:O$123,$BI33),INDEX('データ'!O$128:O$244,$BI33),INDEX('データ'!O$249:O$365,$BI33),INDEX('データ'!O$370:O$486,$BI33)),0)</f>
        <v>2674.0</v>
      </c>
      <c r="P33" s="48">
        <f>IFERROR(CHOOSE($A$3,INDEX('データ'!P$7:P$123,$BI33),INDEX('データ'!P$128:P$244,$BI33),INDEX('データ'!P$249:P$365,$BI33),INDEX('データ'!P$370:P$486,$BI33)),0)</f>
        <v>2916.0</v>
      </c>
      <c r="Q33" s="48">
        <f>IFERROR(CHOOSE($A$3,INDEX('データ'!Q$7:Q$123,$BI33),INDEX('データ'!Q$128:Q$244,$BI33),INDEX('データ'!Q$249:Q$365,$BI33),INDEX('データ'!Q$370:Q$486,$BI33)),0)</f>
        <v>2914.0</v>
      </c>
      <c r="R33" s="48">
        <f>IFERROR(CHOOSE($A$3,INDEX('データ'!R$7:R$123,$BI33),INDEX('データ'!R$128:R$244,$BI33),INDEX('データ'!R$249:R$365,$BI33),INDEX('データ'!R$370:R$486,$BI33)),0)</f>
        <v>2871.0</v>
      </c>
      <c r="S33" s="48">
        <f>IFERROR(CHOOSE($A$3,INDEX('データ'!S$7:S$123,$BI33),INDEX('データ'!S$128:S$244,$BI33),INDEX('データ'!S$249:S$365,$BI33),INDEX('データ'!S$370:S$486,$BI33)),0)</f>
        <v>2845.0</v>
      </c>
      <c r="T33" s="48">
        <f>IFERROR(CHOOSE($A$3,INDEX('データ'!T$7:T$123,$BI33),INDEX('データ'!T$128:T$244,$BI33),INDEX('データ'!T$249:T$365,$BI33),INDEX('データ'!T$370:T$486,$BI33)),0)</f>
        <v>2890.0</v>
      </c>
      <c r="U33" s="48">
        <f>IFERROR(CHOOSE($A$3,INDEX('データ'!U$7:U$123,$BI33),INDEX('データ'!U$128:U$244,$BI33),INDEX('データ'!U$249:U$365,$BI33),INDEX('データ'!U$370:U$486,$BI33)),0)</f>
        <v>2684.0</v>
      </c>
      <c r="V33" s="48">
        <f>IFERROR(CHOOSE($A$3,INDEX('データ'!V$7:V$123,$BI33),INDEX('データ'!V$128:V$244,$BI33),INDEX('データ'!V$249:V$365,$BI33),INDEX('データ'!V$370:V$486,$BI33)),0)</f>
        <v>2491.0</v>
      </c>
      <c r="W33" s="48">
        <f>IFERROR(CHOOSE($A$3,INDEX('データ'!W$7:W$123,$BI33),INDEX('データ'!W$128:W$244,$BI33),INDEX('データ'!W$249:W$365,$BI33),INDEX('データ'!W$370:W$486,$BI33)),0)</f>
        <v>2253.0</v>
      </c>
      <c r="X33" s="48">
        <f>IFERROR(CHOOSE($A$3,INDEX('データ'!X$7:X$123,$BI33),INDEX('データ'!X$128:X$244,$BI33),INDEX('データ'!X$249:X$365,$BI33),INDEX('データ'!X$370:X$486,$BI33)),0)</f>
        <v>2163.0</v>
      </c>
      <c r="Y33" s="48">
        <f>IFERROR(CHOOSE($A$3,INDEX('データ'!Y$7:Y$123,$BI33),INDEX('データ'!Y$128:Y$244,$BI33),INDEX('データ'!Y$249:Y$365,$BI33),INDEX('データ'!Y$370:Y$486,$BI33)),0)</f>
        <v>2070.0</v>
      </c>
      <c r="Z33" s="48">
        <f>IFERROR(CHOOSE($A$3,INDEX('データ'!Z$7:Z$123,$BI33),INDEX('データ'!Z$128:Z$244,$BI33),INDEX('データ'!Z$249:Z$365,$BI33),INDEX('データ'!Z$370:Z$486,$BI33)),0)</f>
        <v>2047.0</v>
      </c>
      <c r="AA33" s="48">
        <f>IFERROR(CHOOSE($A$3,INDEX('データ'!AA$7:AA$123,$BI33),INDEX('データ'!AA$128:AA$244,$BI33),INDEX('データ'!AA$249:AA$365,$BI33),INDEX('データ'!AA$370:AA$486,$BI33)),0)</f>
        <v>2142.0</v>
      </c>
      <c r="AB33" s="48">
        <f>IFERROR(CHOOSE($A$3,INDEX('データ'!AB$7:AB$123,$BI33),INDEX('データ'!AB$128:AB$244,$BI33),INDEX('データ'!AB$249:AB$365,$BI33),INDEX('データ'!AB$370:AB$486,$BI33)),0)</f>
        <v>2430.0</v>
      </c>
      <c r="AC33" s="48">
        <f>IFERROR(CHOOSE($A$3,INDEX('データ'!AC$7:AC$123,$BI33),INDEX('データ'!AC$128:AC$244,$BI33),INDEX('データ'!AC$249:AC$365,$BI33),INDEX('データ'!AC$370:AC$486,$BI33)),0)</f>
        <v>2517.0</v>
      </c>
      <c r="AD33" s="48">
        <f>IFERROR(CHOOSE($A$3,INDEX('データ'!AD$7:AD$123,$BI33),INDEX('データ'!AD$128:AD$244,$BI33),INDEX('データ'!AD$249:AD$365,$BI33),INDEX('データ'!AD$370:AD$486,$BI33)),0)</f>
        <v>2600.0</v>
      </c>
      <c r="AE33" s="48">
        <f>IFERROR(CHOOSE($A$3,INDEX('データ'!AE$7:AE$123,$BI33),INDEX('データ'!AE$128:AE$244,$BI33),INDEX('データ'!AE$249:AE$365,$BI33),INDEX('データ'!AE$370:AE$486,$BI33)),0)</f>
        <v>2755.0</v>
      </c>
      <c r="AF33" s="48">
        <f>IFERROR(CHOOSE($A$3,INDEX('データ'!AF$7:AF$123,$BI33),INDEX('データ'!AF$128:AF$244,$BI33),INDEX('データ'!AF$249:AF$365,$BI33),INDEX('データ'!AF$370:AF$486,$BI33)),0)</f>
        <v>2632.0</v>
      </c>
      <c r="AG33" s="48">
        <f>IFERROR(CHOOSE($A$3,INDEX('データ'!AG$7:AG$123,$BI33),INDEX('データ'!AG$128:AG$244,$BI33),INDEX('データ'!AG$249:AG$365,$BI33),INDEX('データ'!AG$370:AG$486,$BI33)),0)</f>
        <v>2464.0</v>
      </c>
      <c r="AH33" s="48">
        <f>IFERROR(CHOOSE($A$3,INDEX('データ'!AH$7:AH$123,$BI33),INDEX('データ'!AH$128:AH$244,$BI33),INDEX('データ'!AH$249:AH$365,$BI33),INDEX('データ'!AH$370:AH$486,$BI33)),0)</f>
        <v>2504.0</v>
      </c>
      <c r="AI33" s="48">
        <f>IFERROR(CHOOSE($A$3,INDEX('データ'!AI$7:AI$123,$BI33),INDEX('データ'!AI$128:AI$244,$BI33),INDEX('データ'!AI$249:AI$365,$BI33),INDEX('データ'!AI$370:AI$486,$BI33)),0)</f>
        <v>2397.0</v>
      </c>
      <c r="AJ33" s="48">
        <f>IFERROR(CHOOSE($A$3,INDEX('データ'!AJ$7:AJ$123,$BI33),INDEX('データ'!AJ$128:AJ$244,$BI33),INDEX('データ'!AJ$249:AJ$365,$BI33),INDEX('データ'!AJ$370:AJ$486,$BI33)),0)</f>
        <v>2384.0</v>
      </c>
      <c r="AK33" s="48">
        <f>IFERROR(CHOOSE($A$3,INDEX('データ'!AK$7:AK$123,$BI33),INDEX('データ'!AK$128:AK$244,$BI33),INDEX('データ'!AK$249:AK$365,$BI33),INDEX('データ'!AK$370:AK$486,$BI33)),0)</f>
        <v>2366.0</v>
      </c>
      <c r="AL33" s="48">
        <f>IFERROR(CHOOSE($A$3,INDEX('データ'!AL$7:AL$123,$BI33),INDEX('データ'!AL$128:AL$244,$BI33),INDEX('データ'!AL$249:AL$365,$BI33),INDEX('データ'!AL$370:AL$486,$BI33)),0)</f>
        <v>2326.0</v>
      </c>
      <c r="AM33" s="48">
        <f>IFERROR(CHOOSE($A$3,INDEX('データ'!AM$7:AM$123,$BI33),INDEX('データ'!AM$128:AM$244,$BI33),INDEX('データ'!AM$249:AM$365,$BI33),INDEX('データ'!AM$370:AM$486,$BI33)),0)</f>
        <v>2221.0</v>
      </c>
      <c r="AN33" s="48">
        <f>IFERROR(CHOOSE($A$3,INDEX('データ'!AN$7:AN$123,$BI33),INDEX('データ'!AN$128:AN$244,$BI33),INDEX('データ'!AN$249:AN$365,$BI33),INDEX('データ'!AN$370:AN$486,$BI33)),0)</f>
        <v>2151.0</v>
      </c>
      <c r="AO33" s="48">
        <f>IFERROR(CHOOSE($A$3,INDEX('データ'!AO$7:AO$123,$BI33),INDEX('データ'!AO$128:AO$244,$BI33),INDEX('データ'!AO$249:AO$365,$BI33),INDEX('データ'!AO$370:AO$486,$BI33)),0)</f>
        <v>2081.0</v>
      </c>
      <c r="AP33" s="48">
        <f>IFERROR(CHOOSE($A$3,INDEX('データ'!AP$7:AP$123,$BI33),INDEX('データ'!AP$128:AP$244,$BI33),INDEX('データ'!AP$249:AP$365,$BI33),INDEX('データ'!AP$370:AP$486,$BI33)),0)</f>
        <v>1690.0</v>
      </c>
      <c r="AQ33" s="48">
        <f>IFERROR(CHOOSE($A$3,INDEX('データ'!AQ$7:AQ$123,$BI33),INDEX('データ'!AQ$128:AQ$244,$BI33),INDEX('データ'!AQ$249:AQ$365,$BI33),INDEX('データ'!AQ$370:AQ$486,$BI33)),0)</f>
        <v>1165.0</v>
      </c>
      <c r="AR33" s="48">
        <f>IFERROR(CHOOSE($A$3,INDEX('データ'!AR$7:AR$123,$BI33),INDEX('データ'!AR$128:AR$244,$BI33),INDEX('データ'!AR$249:AR$365,$BI33),INDEX('データ'!AR$370:AR$486,$BI33)),0)</f>
        <v>501.0</v>
      </c>
      <c r="AS33" s="48">
        <f>IFERROR(CHOOSE($A$3,INDEX('データ'!AS$7:AS$123,$BI33),INDEX('データ'!AS$128:AS$244,$BI33),INDEX('データ'!AS$249:AS$365,$BI33),INDEX('データ'!AS$370:AS$486,$BI33)),0)</f>
        <v>52.0</v>
      </c>
      <c r="AT33" s="48">
        <f>IFERROR(CHOOSE($A$3,INDEX('データ'!AT$7:AT$123,$BI33),INDEX('データ'!AT$128:AT$244,$BI33),INDEX('データ'!AT$249:AT$365,$BI33),INDEX('データ'!AT$370:AT$486,$BI33)),0)</f>
        <v>11.0</v>
      </c>
      <c r="AU33" s="48">
        <f>IFERROR(CHOOSE($A$3,INDEX('データ'!AU$7:AU$123,$BI33),INDEX('データ'!AU$128:AU$244,$BI33),INDEX('データ'!AU$249:AU$365,$BI33),INDEX('データ'!AU$370:AU$486,$BI33)),0)</f>
        <v>10.0</v>
      </c>
      <c r="AV33" s="48">
        <f>IFERROR(CHOOSE($A$3,INDEX('データ'!AV$7:AV$123,$BI33),INDEX('データ'!AV$128:AV$244,$BI33),INDEX('データ'!AV$249:AV$365,$BI33),INDEX('データ'!AV$370:AV$486,$BI33)),0)</f>
        <v>9.0</v>
      </c>
      <c r="AW33" s="48">
        <f>IFERROR(CHOOSE($A$3,INDEX('データ'!AW$7:AW$123,$BI33),INDEX('データ'!AW$128:AW$244,$BI33),INDEX('データ'!AW$249:AW$365,$BI33),INDEX('データ'!AW$370:AW$486,$BI33)),0)</f>
        <v>16.0</v>
      </c>
      <c r="AX33" s="48">
        <f>IFERROR(CHOOSE($A$3,INDEX('データ'!AX$7:AX$123,$BI33),INDEX('データ'!AX$128:AX$244,$BI33),INDEX('データ'!AX$249:AX$365,$BI33),INDEX('データ'!AX$370:AX$486,$BI33)),0)</f>
        <v>13.0</v>
      </c>
      <c r="AY33" s="48">
        <f>IFERROR(CHOOSE($A$3,INDEX('データ'!AY$7:AY$123,$BI33),INDEX('データ'!AY$128:AY$244,$BI33),INDEX('データ'!AY$249:AY$365,$BI33),INDEX('データ'!AY$370:AY$486,$BI33)),0)</f>
        <v>16.0</v>
      </c>
      <c r="AZ33" s="48">
        <f>IFERROR(CHOOSE($A$3,INDEX('データ'!AZ$7:AZ$123,$BI33),INDEX('データ'!AZ$128:AZ$244,$BI33),INDEX('データ'!AZ$249:AZ$365,$BI33),INDEX('データ'!AZ$370:AZ$486,$BI33)),0)</f>
        <v>7.0</v>
      </c>
      <c r="BA33" s="48">
        <f>IFERROR(CHOOSE($A$3,INDEX('データ'!BA$7:BA$123,$BI33),INDEX('データ'!BA$128:BA$244,$BI33),INDEX('データ'!BA$249:BA$365,$BI33),INDEX('データ'!BA$370:BA$486,$BI33)),0)</f>
        <v>3.0</v>
      </c>
      <c r="BB33" s="48">
        <f>IFERROR(CHOOSE($A$3,INDEX('データ'!BB$7:BB$123,$BI33),INDEX('データ'!BB$128:BB$244,$BI33),INDEX('データ'!BB$249:BB$365,$BI33),INDEX('データ'!BB$370:BB$486,$BI33)),0)</f>
        <v>0.0</v>
      </c>
      <c r="BC33" s="48">
        <f>IFERROR(CHOOSE($A$3,INDEX('データ'!BC$7:BC$123,$BI33),INDEX('データ'!BC$128:BC$244,$BI33),INDEX('データ'!BC$249:BC$365,$BI33),INDEX('データ'!BC$370:BC$486,$BI33)),0)</f>
        <v>0.0</v>
      </c>
      <c r="BD33" s="48">
        <f>IFERROR(CHOOSE($A$3,INDEX('データ'!BD$7:BD$123,$BI33),INDEX('データ'!BD$128:BD$244,$BI33),INDEX('データ'!BD$249:BD$365,$BI33),INDEX('データ'!BD$370:BD$486,$BI33)),0)</f>
        <v>0.0</v>
      </c>
      <c r="BE33" s="48">
        <f>IFERROR(CHOOSE($A$3,INDEX('データ'!BE$7:BE$123,$BI33),INDEX('データ'!BE$128:BE$244,$BI33),INDEX('データ'!BE$249:BE$365,$BI33),INDEX('データ'!BE$370:BE$486,$BI33)),0)</f>
        <v>0.0</v>
      </c>
      <c r="BF33" s="48">
        <f>IFERROR(CHOOSE($A$3,INDEX('データ'!BF$7:BF$123,$BI33),INDEX('データ'!BF$128:BF$244,$BI33),INDEX('データ'!BF$249:BF$365,$BI33),INDEX('データ'!BF$370:BF$486,$BI33)),0)</f>
        <v>0.0</v>
      </c>
      <c r="BG33" s="48">
        <f>IFERROR(CHOOSE($A$3,INDEX('データ'!BG$7:BG$123,$BI33),INDEX('データ'!BG$128:BG$244,$BI33),INDEX('データ'!BG$249:BG$365,$BI33),INDEX('データ'!BG$370:BG$486,$BI33)),0)</f>
        <v>0.0</v>
      </c>
      <c r="BI33">
        <f>MATCH($B33&amp;"|全期間",'データ'!$A$7:$A$123,0)</f>
        <v>27</v>
      </c>
    </row>
    <row r="34" spans="2:61" ht="24" customHeight="1">
      <c r="B34" s="44" t="s">
        <v>120</v>
      </c>
      <c r="D34" s="48">
        <f>IFERROR(CHOOSE($A$3,INDEX('データ'!D$7:D$123,$BI34),INDEX('データ'!D$128:D$244,$BI34),INDEX('データ'!D$249:D$365,$BI34),INDEX('データ'!D$370:D$486,$BI34)),0)</f>
        <v>0.0</v>
      </c>
      <c r="E34" s="48">
        <f>IFERROR(CHOOSE($A$3,INDEX('データ'!E$7:E$123,$BI34),INDEX('データ'!E$128:E$244,$BI34),INDEX('データ'!E$249:E$365,$BI34),INDEX('データ'!E$370:E$486,$BI34)),0)</f>
        <v>0.0</v>
      </c>
      <c r="F34" s="48">
        <f>IFERROR(CHOOSE($A$3,INDEX('データ'!F$7:F$123,$BI34),INDEX('データ'!F$128:F$244,$BI34),INDEX('データ'!F$249:F$365,$BI34),INDEX('データ'!F$370:F$486,$BI34)),0)</f>
        <v>1.0</v>
      </c>
      <c r="G34" s="48">
        <f>IFERROR(CHOOSE($A$3,INDEX('データ'!G$7:G$123,$BI34),INDEX('データ'!G$128:G$244,$BI34),INDEX('データ'!G$249:G$365,$BI34),INDEX('データ'!G$370:G$486,$BI34)),0)</f>
        <v>24.0</v>
      </c>
      <c r="H34" s="48">
        <f>IFERROR(CHOOSE($A$3,INDEX('データ'!H$7:H$123,$BI34),INDEX('データ'!H$128:H$244,$BI34),INDEX('データ'!H$249:H$365,$BI34),INDEX('データ'!H$370:H$486,$BI34)),0)</f>
        <v>152.0</v>
      </c>
      <c r="I34" s="48">
        <f>IFERROR(CHOOSE($A$3,INDEX('データ'!I$7:I$123,$BI34),INDEX('データ'!I$128:I$244,$BI34),INDEX('データ'!I$249:I$365,$BI34),INDEX('データ'!I$370:I$486,$BI34)),0)</f>
        <v>1466.0</v>
      </c>
      <c r="J34" s="48">
        <f>IFERROR(CHOOSE($A$3,INDEX('データ'!J$7:J$123,$BI34),INDEX('データ'!J$128:J$244,$BI34),INDEX('データ'!J$249:J$365,$BI34),INDEX('データ'!J$370:J$486,$BI34)),0)</f>
        <v>3002.0</v>
      </c>
      <c r="K34" s="48">
        <f>IFERROR(CHOOSE($A$3,INDEX('データ'!K$7:K$123,$BI34),INDEX('データ'!K$128:K$244,$BI34),INDEX('データ'!K$249:K$365,$BI34),INDEX('データ'!K$370:K$486,$BI34)),0)</f>
        <v>2851.0</v>
      </c>
      <c r="L34" s="48">
        <f>IFERROR(CHOOSE($A$3,INDEX('データ'!L$7:L$123,$BI34),INDEX('データ'!L$128:L$244,$BI34),INDEX('データ'!L$249:L$365,$BI34),INDEX('データ'!L$370:L$486,$BI34)),0)</f>
        <v>3133.0</v>
      </c>
      <c r="M34" s="48">
        <f>IFERROR(CHOOSE($A$3,INDEX('データ'!M$7:M$123,$BI34),INDEX('データ'!M$128:M$244,$BI34),INDEX('データ'!M$249:M$365,$BI34),INDEX('データ'!M$370:M$486,$BI34)),0)</f>
        <v>3321.0</v>
      </c>
      <c r="N34" s="48">
        <f>IFERROR(CHOOSE($A$3,INDEX('データ'!N$7:N$123,$BI34),INDEX('データ'!N$128:N$244,$BI34),INDEX('データ'!N$249:N$365,$BI34),INDEX('データ'!N$370:N$486,$BI34)),0)</f>
        <v>3556.0</v>
      </c>
      <c r="O34" s="48">
        <f>IFERROR(CHOOSE($A$3,INDEX('データ'!O$7:O$123,$BI34),INDEX('データ'!O$128:O$244,$BI34),INDEX('データ'!O$249:O$365,$BI34),INDEX('データ'!O$370:O$486,$BI34)),0)</f>
        <v>3596.0</v>
      </c>
      <c r="P34" s="48">
        <f>IFERROR(CHOOSE($A$3,INDEX('データ'!P$7:P$123,$BI34),INDEX('データ'!P$128:P$244,$BI34),INDEX('データ'!P$249:P$365,$BI34),INDEX('データ'!P$370:P$486,$BI34)),0)</f>
        <v>3857.0</v>
      </c>
      <c r="Q34" s="48">
        <f>IFERROR(CHOOSE($A$3,INDEX('データ'!Q$7:Q$123,$BI34),INDEX('データ'!Q$128:Q$244,$BI34),INDEX('データ'!Q$249:Q$365,$BI34),INDEX('データ'!Q$370:Q$486,$BI34)),0)</f>
        <v>3912.0</v>
      </c>
      <c r="R34" s="48">
        <f>IFERROR(CHOOSE($A$3,INDEX('データ'!R$7:R$123,$BI34),INDEX('データ'!R$128:R$244,$BI34),INDEX('データ'!R$249:R$365,$BI34),INDEX('データ'!R$370:R$486,$BI34)),0)</f>
        <v>3954.0</v>
      </c>
      <c r="S34" s="48">
        <f>IFERROR(CHOOSE($A$3,INDEX('データ'!S$7:S$123,$BI34),INDEX('データ'!S$128:S$244,$BI34),INDEX('データ'!S$249:S$365,$BI34),INDEX('データ'!S$370:S$486,$BI34)),0)</f>
        <v>3979.0</v>
      </c>
      <c r="T34" s="48">
        <f>IFERROR(CHOOSE($A$3,INDEX('データ'!T$7:T$123,$BI34),INDEX('データ'!T$128:T$244,$BI34),INDEX('データ'!T$249:T$365,$BI34),INDEX('データ'!T$370:T$486,$BI34)),0)</f>
        <v>3828.0</v>
      </c>
      <c r="U34" s="48">
        <f>IFERROR(CHOOSE($A$3,INDEX('データ'!U$7:U$123,$BI34),INDEX('データ'!U$128:U$244,$BI34),INDEX('データ'!U$249:U$365,$BI34),INDEX('データ'!U$370:U$486,$BI34)),0)</f>
        <v>3666.0</v>
      </c>
      <c r="V34" s="48">
        <f>IFERROR(CHOOSE($A$3,INDEX('データ'!V$7:V$123,$BI34),INDEX('データ'!V$128:V$244,$BI34),INDEX('データ'!V$249:V$365,$BI34),INDEX('データ'!V$370:V$486,$BI34)),0)</f>
        <v>3349.0</v>
      </c>
      <c r="W34" s="48">
        <f>IFERROR(CHOOSE($A$3,INDEX('データ'!W$7:W$123,$BI34),INDEX('データ'!W$128:W$244,$BI34),INDEX('データ'!W$249:W$365,$BI34),INDEX('データ'!W$370:W$486,$BI34)),0)</f>
        <v>3041.0</v>
      </c>
      <c r="X34" s="48">
        <f>IFERROR(CHOOSE($A$3,INDEX('データ'!X$7:X$123,$BI34),INDEX('データ'!X$128:X$244,$BI34),INDEX('データ'!X$249:X$365,$BI34),INDEX('データ'!X$370:X$486,$BI34)),0)</f>
        <v>2866.0</v>
      </c>
      <c r="Y34" s="48">
        <f>IFERROR(CHOOSE($A$3,INDEX('データ'!Y$7:Y$123,$BI34),INDEX('データ'!Y$128:Y$244,$BI34),INDEX('データ'!Y$249:Y$365,$BI34),INDEX('データ'!Y$370:Y$486,$BI34)),0)</f>
        <v>2878.0</v>
      </c>
      <c r="Z34" s="48">
        <f>IFERROR(CHOOSE($A$3,INDEX('データ'!Z$7:Z$123,$BI34),INDEX('データ'!Z$128:Z$244,$BI34),INDEX('データ'!Z$249:Z$365,$BI34),INDEX('データ'!Z$370:Z$486,$BI34)),0)</f>
        <v>2816.0</v>
      </c>
      <c r="AA34" s="48">
        <f>IFERROR(CHOOSE($A$3,INDEX('データ'!AA$7:AA$123,$BI34),INDEX('データ'!AA$128:AA$244,$BI34),INDEX('データ'!AA$249:AA$365,$BI34),INDEX('データ'!AA$370:AA$486,$BI34)),0)</f>
        <v>2849.0</v>
      </c>
      <c r="AB34" s="48">
        <f>IFERROR(CHOOSE($A$3,INDEX('データ'!AB$7:AB$123,$BI34),INDEX('データ'!AB$128:AB$244,$BI34),INDEX('データ'!AB$249:AB$365,$BI34),INDEX('データ'!AB$370:AB$486,$BI34)),0)</f>
        <v>3081.0</v>
      </c>
      <c r="AC34" s="48">
        <f>IFERROR(CHOOSE($A$3,INDEX('データ'!AC$7:AC$123,$BI34),INDEX('データ'!AC$128:AC$244,$BI34),INDEX('データ'!AC$249:AC$365,$BI34),INDEX('データ'!AC$370:AC$486,$BI34)),0)</f>
        <v>3523.0</v>
      </c>
      <c r="AD34" s="48">
        <f>IFERROR(CHOOSE($A$3,INDEX('データ'!AD$7:AD$123,$BI34),INDEX('データ'!AD$128:AD$244,$BI34),INDEX('データ'!AD$249:AD$365,$BI34),INDEX('データ'!AD$370:AD$486,$BI34)),0)</f>
        <v>3532.0</v>
      </c>
      <c r="AE34" s="48">
        <f>IFERROR(CHOOSE($A$3,INDEX('データ'!AE$7:AE$123,$BI34),INDEX('データ'!AE$128:AE$244,$BI34),INDEX('データ'!AE$249:AE$365,$BI34),INDEX('データ'!AE$370:AE$486,$BI34)),0)</f>
        <v>3623.0</v>
      </c>
      <c r="AF34" s="48">
        <f>IFERROR(CHOOSE($A$3,INDEX('データ'!AF$7:AF$123,$BI34),INDEX('データ'!AF$128:AF$244,$BI34),INDEX('データ'!AF$249:AF$365,$BI34),INDEX('データ'!AF$370:AF$486,$BI34)),0)</f>
        <v>3646.0</v>
      </c>
      <c r="AG34" s="48">
        <f>IFERROR(CHOOSE($A$3,INDEX('データ'!AG$7:AG$123,$BI34),INDEX('データ'!AG$128:AG$244,$BI34),INDEX('データ'!AG$249:AG$365,$BI34),INDEX('データ'!AG$370:AG$486,$BI34)),0)</f>
        <v>3648.0</v>
      </c>
      <c r="AH34" s="48">
        <f>IFERROR(CHOOSE($A$3,INDEX('データ'!AH$7:AH$123,$BI34),INDEX('データ'!AH$128:AH$244,$BI34),INDEX('データ'!AH$249:AH$365,$BI34),INDEX('データ'!AH$370:AH$486,$BI34)),0)</f>
        <v>3684.0</v>
      </c>
      <c r="AI34" s="48">
        <f>IFERROR(CHOOSE($A$3,INDEX('データ'!AI$7:AI$123,$BI34),INDEX('データ'!AI$128:AI$244,$BI34),INDEX('データ'!AI$249:AI$365,$BI34),INDEX('データ'!AI$370:AI$486,$BI34)),0)</f>
        <v>3430.0</v>
      </c>
      <c r="AJ34" s="48">
        <f>IFERROR(CHOOSE($A$3,INDEX('データ'!AJ$7:AJ$123,$BI34),INDEX('データ'!AJ$128:AJ$244,$BI34),INDEX('データ'!AJ$249:AJ$365,$BI34),INDEX('データ'!AJ$370:AJ$486,$BI34)),0)</f>
        <v>3427.0</v>
      </c>
      <c r="AK34" s="48">
        <f>IFERROR(CHOOSE($A$3,INDEX('データ'!AK$7:AK$123,$BI34),INDEX('データ'!AK$128:AK$244,$BI34),INDEX('データ'!AK$249:AK$365,$BI34),INDEX('データ'!AK$370:AK$486,$BI34)),0)</f>
        <v>3289.0</v>
      </c>
      <c r="AL34" s="48">
        <f>IFERROR(CHOOSE($A$3,INDEX('データ'!AL$7:AL$123,$BI34),INDEX('データ'!AL$128:AL$244,$BI34),INDEX('データ'!AL$249:AL$365,$BI34),INDEX('データ'!AL$370:AL$486,$BI34)),0)</f>
        <v>3359.0</v>
      </c>
      <c r="AM34" s="48">
        <f>IFERROR(CHOOSE($A$3,INDEX('データ'!AM$7:AM$123,$BI34),INDEX('データ'!AM$128:AM$244,$BI34),INDEX('データ'!AM$249:AM$365,$BI34),INDEX('データ'!AM$370:AM$486,$BI34)),0)</f>
        <v>3086.0</v>
      </c>
      <c r="AN34" s="48">
        <f>IFERROR(CHOOSE($A$3,INDEX('データ'!AN$7:AN$123,$BI34),INDEX('データ'!AN$128:AN$244,$BI34),INDEX('データ'!AN$249:AN$365,$BI34),INDEX('データ'!AN$370:AN$486,$BI34)),0)</f>
        <v>3186.0</v>
      </c>
      <c r="AO34" s="48">
        <f>IFERROR(CHOOSE($A$3,INDEX('データ'!AO$7:AO$123,$BI34),INDEX('データ'!AO$128:AO$244,$BI34),INDEX('データ'!AO$249:AO$365,$BI34),INDEX('データ'!AO$370:AO$486,$BI34)),0)</f>
        <v>3174.0</v>
      </c>
      <c r="AP34" s="48">
        <f>IFERROR(CHOOSE($A$3,INDEX('データ'!AP$7:AP$123,$BI34),INDEX('データ'!AP$128:AP$244,$BI34),INDEX('データ'!AP$249:AP$365,$BI34),INDEX('データ'!AP$370:AP$486,$BI34)),0)</f>
        <v>2833.0</v>
      </c>
      <c r="AQ34" s="48">
        <f>IFERROR(CHOOSE($A$3,INDEX('データ'!AQ$7:AQ$123,$BI34),INDEX('データ'!AQ$128:AQ$244,$BI34),INDEX('データ'!AQ$249:AQ$365,$BI34),INDEX('データ'!AQ$370:AQ$486,$BI34)),0)</f>
        <v>2068.0</v>
      </c>
      <c r="AR34" s="48">
        <f>IFERROR(CHOOSE($A$3,INDEX('データ'!AR$7:AR$123,$BI34),INDEX('データ'!AR$128:AR$244,$BI34),INDEX('データ'!AR$249:AR$365,$BI34),INDEX('データ'!AR$370:AR$486,$BI34)),0)</f>
        <v>989.0</v>
      </c>
      <c r="AS34" s="48">
        <f>IFERROR(CHOOSE($A$3,INDEX('データ'!AS$7:AS$123,$BI34),INDEX('データ'!AS$128:AS$244,$BI34),INDEX('データ'!AS$249:AS$365,$BI34),INDEX('データ'!AS$370:AS$486,$BI34)),0)</f>
        <v>60.0</v>
      </c>
      <c r="AT34" s="48">
        <f>IFERROR(CHOOSE($A$3,INDEX('データ'!AT$7:AT$123,$BI34),INDEX('データ'!AT$128:AT$244,$BI34),INDEX('データ'!AT$249:AT$365,$BI34),INDEX('データ'!AT$370:AT$486,$BI34)),0)</f>
        <v>21.0</v>
      </c>
      <c r="AU34" s="48">
        <f>IFERROR(CHOOSE($A$3,INDEX('データ'!AU$7:AU$123,$BI34),INDEX('データ'!AU$128:AU$244,$BI34),INDEX('データ'!AU$249:AU$365,$BI34),INDEX('データ'!AU$370:AU$486,$BI34)),0)</f>
        <v>27.0</v>
      </c>
      <c r="AV34" s="48">
        <f>IFERROR(CHOOSE($A$3,INDEX('データ'!AV$7:AV$123,$BI34),INDEX('データ'!AV$128:AV$244,$BI34),INDEX('データ'!AV$249:AV$365,$BI34),INDEX('データ'!AV$370:AV$486,$BI34)),0)</f>
        <v>17.0</v>
      </c>
      <c r="AW34" s="48">
        <f>IFERROR(CHOOSE($A$3,INDEX('データ'!AW$7:AW$123,$BI34),INDEX('データ'!AW$128:AW$244,$BI34),INDEX('データ'!AW$249:AW$365,$BI34),INDEX('データ'!AW$370:AW$486,$BI34)),0)</f>
        <v>26.0</v>
      </c>
      <c r="AX34" s="48">
        <f>IFERROR(CHOOSE($A$3,INDEX('データ'!AX$7:AX$123,$BI34),INDEX('データ'!AX$128:AX$244,$BI34),INDEX('データ'!AX$249:AX$365,$BI34),INDEX('データ'!AX$370:AX$486,$BI34)),0)</f>
        <v>21.0</v>
      </c>
      <c r="AY34" s="48">
        <f>IFERROR(CHOOSE($A$3,INDEX('データ'!AY$7:AY$123,$BI34),INDEX('データ'!AY$128:AY$244,$BI34),INDEX('データ'!AY$249:AY$365,$BI34),INDEX('データ'!AY$370:AY$486,$BI34)),0)</f>
        <v>11.0</v>
      </c>
      <c r="AZ34" s="48">
        <f>IFERROR(CHOOSE($A$3,INDEX('データ'!AZ$7:AZ$123,$BI34),INDEX('データ'!AZ$128:AZ$244,$BI34),INDEX('データ'!AZ$249:AZ$365,$BI34),INDEX('データ'!AZ$370:AZ$486,$BI34)),0)</f>
        <v>15.0</v>
      </c>
      <c r="BA34" s="48">
        <f>IFERROR(CHOOSE($A$3,INDEX('データ'!BA$7:BA$123,$BI34),INDEX('データ'!BA$128:BA$244,$BI34),INDEX('データ'!BA$249:BA$365,$BI34),INDEX('データ'!BA$370:BA$486,$BI34)),0)</f>
        <v>14.0</v>
      </c>
      <c r="BB34" s="48">
        <f>IFERROR(CHOOSE($A$3,INDEX('データ'!BB$7:BB$123,$BI34),INDEX('データ'!BB$128:BB$244,$BI34),INDEX('データ'!BB$249:BB$365,$BI34),INDEX('データ'!BB$370:BB$486,$BI34)),0)</f>
        <v>0.0</v>
      </c>
      <c r="BC34" s="48">
        <f>IFERROR(CHOOSE($A$3,INDEX('データ'!BC$7:BC$123,$BI34),INDEX('データ'!BC$128:BC$244,$BI34),INDEX('データ'!BC$249:BC$365,$BI34),INDEX('データ'!BC$370:BC$486,$BI34)),0)</f>
        <v>0.0</v>
      </c>
      <c r="BD34" s="48">
        <f>IFERROR(CHOOSE($A$3,INDEX('データ'!BD$7:BD$123,$BI34),INDEX('データ'!BD$128:BD$244,$BI34),INDEX('データ'!BD$249:BD$365,$BI34),INDEX('データ'!BD$370:BD$486,$BI34)),0)</f>
        <v>0.0</v>
      </c>
      <c r="BE34" s="48">
        <f>IFERROR(CHOOSE($A$3,INDEX('データ'!BE$7:BE$123,$BI34),INDEX('データ'!BE$128:BE$244,$BI34),INDEX('データ'!BE$249:BE$365,$BI34),INDEX('データ'!BE$370:BE$486,$BI34)),0)</f>
        <v>0.0</v>
      </c>
      <c r="BF34" s="48">
        <f>IFERROR(CHOOSE($A$3,INDEX('データ'!BF$7:BF$123,$BI34),INDEX('データ'!BF$128:BF$244,$BI34),INDEX('データ'!BF$249:BF$365,$BI34),INDEX('データ'!BF$370:BF$486,$BI34)),0)</f>
        <v>0.0</v>
      </c>
      <c r="BG34" s="48">
        <f>IFERROR(CHOOSE($A$3,INDEX('データ'!BG$7:BG$123,$BI34),INDEX('データ'!BG$128:BG$244,$BI34),INDEX('データ'!BG$249:BG$365,$BI34),INDEX('データ'!BG$370:BG$486,$BI34)),0)</f>
        <v>0.0</v>
      </c>
      <c r="BI34">
        <f>MATCH($B34&amp;"|全期間",'データ'!$A$7:$A$123,0)</f>
        <v>40</v>
      </c>
    </row>
    <row r="35" spans="2:61" ht="24" customHeight="1">
      <c r="B35" s="44" t="s">
        <v>134</v>
      </c>
      <c r="D35" s="48">
        <f>IFERROR(CHOOSE($A$3,INDEX('データ'!D$7:D$123,$BI35),INDEX('データ'!D$128:D$244,$BI35),INDEX('データ'!D$249:D$365,$BI35),INDEX('データ'!D$370:D$486,$BI35)),0)</f>
        <v>0.0</v>
      </c>
      <c r="E35" s="48">
        <f>IFERROR(CHOOSE($A$3,INDEX('データ'!E$7:E$123,$BI35),INDEX('データ'!E$128:E$244,$BI35),INDEX('データ'!E$249:E$365,$BI35),INDEX('データ'!E$370:E$486,$BI35)),0)</f>
        <v>0.0</v>
      </c>
      <c r="F35" s="48">
        <f>IFERROR(CHOOSE($A$3,INDEX('データ'!F$7:F$123,$BI35),INDEX('データ'!F$128:F$244,$BI35),INDEX('データ'!F$249:F$365,$BI35),INDEX('データ'!F$370:F$486,$BI35)),0)</f>
        <v>0.0</v>
      </c>
      <c r="G35" s="48">
        <f>IFERROR(CHOOSE($A$3,INDEX('データ'!G$7:G$123,$BI35),INDEX('データ'!G$128:G$244,$BI35),INDEX('データ'!G$249:G$365,$BI35),INDEX('データ'!G$370:G$486,$BI35)),0)</f>
        <v>3.0</v>
      </c>
      <c r="H35" s="48">
        <f>IFERROR(CHOOSE($A$3,INDEX('データ'!H$7:H$123,$BI35),INDEX('データ'!H$128:H$244,$BI35),INDEX('データ'!H$249:H$365,$BI35),INDEX('データ'!H$370:H$486,$BI35)),0)</f>
        <v>48.0</v>
      </c>
      <c r="I35" s="48">
        <f>IFERROR(CHOOSE($A$3,INDEX('データ'!I$7:I$123,$BI35),INDEX('データ'!I$128:I$244,$BI35),INDEX('データ'!I$249:I$365,$BI35),INDEX('データ'!I$370:I$486,$BI35)),0)</f>
        <v>1360.0</v>
      </c>
      <c r="J35" s="48">
        <f>IFERROR(CHOOSE($A$3,INDEX('データ'!J$7:J$123,$BI35),INDEX('データ'!J$128:J$244,$BI35),INDEX('データ'!J$249:J$365,$BI35),INDEX('データ'!J$370:J$486,$BI35)),0)</f>
        <v>3832.0</v>
      </c>
      <c r="K35" s="48">
        <f>IFERROR(CHOOSE($A$3,INDEX('データ'!K$7:K$123,$BI35),INDEX('データ'!K$128:K$244,$BI35),INDEX('データ'!K$249:K$365,$BI35),INDEX('データ'!K$370:K$486,$BI35)),0)</f>
        <v>3275.0</v>
      </c>
      <c r="L35" s="48">
        <f>IFERROR(CHOOSE($A$3,INDEX('データ'!L$7:L$123,$BI35),INDEX('データ'!L$128:L$244,$BI35),INDEX('データ'!L$249:L$365,$BI35),INDEX('データ'!L$370:L$486,$BI35)),0)</f>
        <v>3699.0</v>
      </c>
      <c r="M35" s="48">
        <f>IFERROR(CHOOSE($A$3,INDEX('データ'!M$7:M$123,$BI35),INDEX('データ'!M$128:M$244,$BI35),INDEX('データ'!M$249:M$365,$BI35),INDEX('データ'!M$370:M$486,$BI35)),0)</f>
        <v>4159.0</v>
      </c>
      <c r="N35" s="48">
        <f>IFERROR(CHOOSE($A$3,INDEX('データ'!N$7:N$123,$BI35),INDEX('データ'!N$128:N$244,$BI35),INDEX('データ'!N$249:N$365,$BI35),INDEX('データ'!N$370:N$486,$BI35)),0)</f>
        <v>4094.0</v>
      </c>
      <c r="O35" s="48">
        <f>IFERROR(CHOOSE($A$3,INDEX('データ'!O$7:O$123,$BI35),INDEX('データ'!O$128:O$244,$BI35),INDEX('データ'!O$249:O$365,$BI35),INDEX('データ'!O$370:O$486,$BI35)),0)</f>
        <v>4501.0</v>
      </c>
      <c r="P35" s="48">
        <f>IFERROR(CHOOSE($A$3,INDEX('データ'!P$7:P$123,$BI35),INDEX('データ'!P$128:P$244,$BI35),INDEX('データ'!P$249:P$365,$BI35),INDEX('データ'!P$370:P$486,$BI35)),0)</f>
        <v>4752.0</v>
      </c>
      <c r="Q35" s="48">
        <f>IFERROR(CHOOSE($A$3,INDEX('データ'!Q$7:Q$123,$BI35),INDEX('データ'!Q$128:Q$244,$BI35),INDEX('データ'!Q$249:Q$365,$BI35),INDEX('データ'!Q$370:Q$486,$BI35)),0)</f>
        <v>4788.0</v>
      </c>
      <c r="R35" s="48">
        <f>IFERROR(CHOOSE($A$3,INDEX('データ'!R$7:R$123,$BI35),INDEX('データ'!R$128:R$244,$BI35),INDEX('データ'!R$249:R$365,$BI35),INDEX('データ'!R$370:R$486,$BI35)),0)</f>
        <v>4694.0</v>
      </c>
      <c r="S35" s="48">
        <f>IFERROR(CHOOSE($A$3,INDEX('データ'!S$7:S$123,$BI35),INDEX('データ'!S$128:S$244,$BI35),INDEX('データ'!S$249:S$365,$BI35),INDEX('データ'!S$370:S$486,$BI35)),0)</f>
        <v>4687.0</v>
      </c>
      <c r="T35" s="48">
        <f>IFERROR(CHOOSE($A$3,INDEX('データ'!T$7:T$123,$BI35),INDEX('データ'!T$128:T$244,$BI35),INDEX('データ'!T$249:T$365,$BI35),INDEX('データ'!T$370:T$486,$BI35)),0)</f>
        <v>4659.0</v>
      </c>
      <c r="U35" s="48">
        <f>IFERROR(CHOOSE($A$3,INDEX('データ'!U$7:U$123,$BI35),INDEX('データ'!U$128:U$244,$BI35),INDEX('データ'!U$249:U$365,$BI35),INDEX('データ'!U$370:U$486,$BI35)),0)</f>
        <v>4449.0</v>
      </c>
      <c r="V35" s="48">
        <f>IFERROR(CHOOSE($A$3,INDEX('データ'!V$7:V$123,$BI35),INDEX('データ'!V$128:V$244,$BI35),INDEX('データ'!V$249:V$365,$BI35),INDEX('データ'!V$370:V$486,$BI35)),0)</f>
        <v>4203.0</v>
      </c>
      <c r="W35" s="48">
        <f>IFERROR(CHOOSE($A$3,INDEX('データ'!W$7:W$123,$BI35),INDEX('データ'!W$128:W$244,$BI35),INDEX('データ'!W$249:W$365,$BI35),INDEX('データ'!W$370:W$486,$BI35)),0)</f>
        <v>3872.0</v>
      </c>
      <c r="X35" s="48">
        <f>IFERROR(CHOOSE($A$3,INDEX('データ'!X$7:X$123,$BI35),INDEX('データ'!X$128:X$244,$BI35),INDEX('データ'!X$249:X$365,$BI35),INDEX('データ'!X$370:X$486,$BI35)),0)</f>
        <v>3623.0</v>
      </c>
      <c r="Y35" s="48">
        <f>IFERROR(CHOOSE($A$3,INDEX('データ'!Y$7:Y$123,$BI35),INDEX('データ'!Y$128:Y$244,$BI35),INDEX('データ'!Y$249:Y$365,$BI35),INDEX('データ'!Y$370:Y$486,$BI35)),0)</f>
        <v>3539.0</v>
      </c>
      <c r="Z35" s="48">
        <f>IFERROR(CHOOSE($A$3,INDEX('データ'!Z$7:Z$123,$BI35),INDEX('データ'!Z$128:Z$244,$BI35),INDEX('データ'!Z$249:Z$365,$BI35),INDEX('データ'!Z$370:Z$486,$BI35)),0)</f>
        <v>3379.0</v>
      </c>
      <c r="AA35" s="48">
        <f>IFERROR(CHOOSE($A$3,INDEX('データ'!AA$7:AA$123,$BI35),INDEX('データ'!AA$128:AA$244,$BI35),INDEX('データ'!AA$249:AA$365,$BI35),INDEX('データ'!AA$370:AA$486,$BI35)),0)</f>
        <v>3504.0</v>
      </c>
      <c r="AB35" s="48">
        <f>IFERROR(CHOOSE($A$3,INDEX('データ'!AB$7:AB$123,$BI35),INDEX('データ'!AB$128:AB$244,$BI35),INDEX('データ'!AB$249:AB$365,$BI35),INDEX('データ'!AB$370:AB$486,$BI35)),0)</f>
        <v>3777.0</v>
      </c>
      <c r="AC35" s="48">
        <f>IFERROR(CHOOSE($A$3,INDEX('データ'!AC$7:AC$123,$BI35),INDEX('データ'!AC$128:AC$244,$BI35),INDEX('データ'!AC$249:AC$365,$BI35),INDEX('データ'!AC$370:AC$486,$BI35)),0)</f>
        <v>4239.0</v>
      </c>
      <c r="AD35" s="48">
        <f>IFERROR(CHOOSE($A$3,INDEX('データ'!AD$7:AD$123,$BI35),INDEX('データ'!AD$128:AD$244,$BI35),INDEX('データ'!AD$249:AD$365,$BI35),INDEX('データ'!AD$370:AD$486,$BI35)),0)</f>
        <v>4277.0</v>
      </c>
      <c r="AE35" s="48">
        <f>IFERROR(CHOOSE($A$3,INDEX('データ'!AE$7:AE$123,$BI35),INDEX('データ'!AE$128:AE$244,$BI35),INDEX('データ'!AE$249:AE$365,$BI35),INDEX('データ'!AE$370:AE$486,$BI35)),0)</f>
        <v>4613.0</v>
      </c>
      <c r="AF35" s="48">
        <f>IFERROR(CHOOSE($A$3,INDEX('データ'!AF$7:AF$123,$BI35),INDEX('データ'!AF$128:AF$244,$BI35),INDEX('データ'!AF$249:AF$365,$BI35),INDEX('データ'!AF$370:AF$486,$BI35)),0)</f>
        <v>4458.0</v>
      </c>
      <c r="AG35" s="48">
        <f>IFERROR(CHOOSE($A$3,INDEX('データ'!AG$7:AG$123,$BI35),INDEX('データ'!AG$128:AG$244,$BI35),INDEX('データ'!AG$249:AG$365,$BI35),INDEX('データ'!AG$370:AG$486,$BI35)),0)</f>
        <v>4574.0</v>
      </c>
      <c r="AH35" s="48">
        <f>IFERROR(CHOOSE($A$3,INDEX('データ'!AH$7:AH$123,$BI35),INDEX('データ'!AH$128:AH$244,$BI35),INDEX('データ'!AH$249:AH$365,$BI35),INDEX('データ'!AH$370:AH$486,$BI35)),0)</f>
        <v>4321.0</v>
      </c>
      <c r="AI35" s="48">
        <f>IFERROR(CHOOSE($A$3,INDEX('データ'!AI$7:AI$123,$BI35),INDEX('データ'!AI$128:AI$244,$BI35),INDEX('データ'!AI$249:AI$365,$BI35),INDEX('データ'!AI$370:AI$486,$BI35)),0)</f>
        <v>4343.0</v>
      </c>
      <c r="AJ35" s="48">
        <f>IFERROR(CHOOSE($A$3,INDEX('データ'!AJ$7:AJ$123,$BI35),INDEX('データ'!AJ$128:AJ$244,$BI35),INDEX('データ'!AJ$249:AJ$365,$BI35),INDEX('データ'!AJ$370:AJ$486,$BI35)),0)</f>
        <v>4160.0</v>
      </c>
      <c r="AK35" s="48">
        <f>IFERROR(CHOOSE($A$3,INDEX('データ'!AK$7:AK$123,$BI35),INDEX('データ'!AK$128:AK$244,$BI35),INDEX('データ'!AK$249:AK$365,$BI35),INDEX('データ'!AK$370:AK$486,$BI35)),0)</f>
        <v>4114.0</v>
      </c>
      <c r="AL35" s="48">
        <f>IFERROR(CHOOSE($A$3,INDEX('データ'!AL$7:AL$123,$BI35),INDEX('データ'!AL$128:AL$244,$BI35),INDEX('データ'!AL$249:AL$365,$BI35),INDEX('データ'!AL$370:AL$486,$BI35)),0)</f>
        <v>4009.0</v>
      </c>
      <c r="AM35" s="48">
        <f>IFERROR(CHOOSE($A$3,INDEX('データ'!AM$7:AM$123,$BI35),INDEX('データ'!AM$128:AM$244,$BI35),INDEX('データ'!AM$249:AM$365,$BI35),INDEX('データ'!AM$370:AM$486,$BI35)),0)</f>
        <v>3709.0</v>
      </c>
      <c r="AN35" s="48">
        <f>IFERROR(CHOOSE($A$3,INDEX('データ'!AN$7:AN$123,$BI35),INDEX('データ'!AN$128:AN$244,$BI35),INDEX('データ'!AN$249:AN$365,$BI35),INDEX('データ'!AN$370:AN$486,$BI35)),0)</f>
        <v>3813.0</v>
      </c>
      <c r="AO35" s="48">
        <f>IFERROR(CHOOSE($A$3,INDEX('データ'!AO$7:AO$123,$BI35),INDEX('データ'!AO$128:AO$244,$BI35),INDEX('データ'!AO$249:AO$365,$BI35),INDEX('データ'!AO$370:AO$486,$BI35)),0)</f>
        <v>3750.0</v>
      </c>
      <c r="AP35" s="48">
        <f>IFERROR(CHOOSE($A$3,INDEX('データ'!AP$7:AP$123,$BI35),INDEX('データ'!AP$128:AP$244,$BI35),INDEX('データ'!AP$249:AP$365,$BI35),INDEX('データ'!AP$370:AP$486,$BI35)),0)</f>
        <v>3541.0</v>
      </c>
      <c r="AQ35" s="48">
        <f>IFERROR(CHOOSE($A$3,INDEX('データ'!AQ$7:AQ$123,$BI35),INDEX('データ'!AQ$128:AQ$244,$BI35),INDEX('データ'!AQ$249:AQ$365,$BI35),INDEX('データ'!AQ$370:AQ$486,$BI35)),0)</f>
        <v>2780.0</v>
      </c>
      <c r="AR35" s="48">
        <f>IFERROR(CHOOSE($A$3,INDEX('データ'!AR$7:AR$123,$BI35),INDEX('データ'!AR$128:AR$244,$BI35),INDEX('データ'!AR$249:AR$365,$BI35),INDEX('データ'!AR$370:AR$486,$BI35)),0)</f>
        <v>1284.0</v>
      </c>
      <c r="AS35" s="48">
        <f>IFERROR(CHOOSE($A$3,INDEX('データ'!AS$7:AS$123,$BI35),INDEX('データ'!AS$128:AS$244,$BI35),INDEX('データ'!AS$249:AS$365,$BI35),INDEX('データ'!AS$370:AS$486,$BI35)),0)</f>
        <v>164.0</v>
      </c>
      <c r="AT35" s="48">
        <f>IFERROR(CHOOSE($A$3,INDEX('データ'!AT$7:AT$123,$BI35),INDEX('データ'!AT$128:AT$244,$BI35),INDEX('データ'!AT$249:AT$365,$BI35),INDEX('データ'!AT$370:AT$486,$BI35)),0)</f>
        <v>19.0</v>
      </c>
      <c r="AU35" s="48">
        <f>IFERROR(CHOOSE($A$3,INDEX('データ'!AU$7:AU$123,$BI35),INDEX('データ'!AU$128:AU$244,$BI35),INDEX('データ'!AU$249:AU$365,$BI35),INDEX('データ'!AU$370:AU$486,$BI35)),0)</f>
        <v>36.0</v>
      </c>
      <c r="AV35" s="48">
        <f>IFERROR(CHOOSE($A$3,INDEX('データ'!AV$7:AV$123,$BI35),INDEX('データ'!AV$128:AV$244,$BI35),INDEX('データ'!AV$249:AV$365,$BI35),INDEX('データ'!AV$370:AV$486,$BI35)),0)</f>
        <v>30.0</v>
      </c>
      <c r="AW35" s="48">
        <f>IFERROR(CHOOSE($A$3,INDEX('データ'!AW$7:AW$123,$BI35),INDEX('データ'!AW$128:AW$244,$BI35),INDEX('データ'!AW$249:AW$365,$BI35),INDEX('データ'!AW$370:AW$486,$BI35)),0)</f>
        <v>31.0</v>
      </c>
      <c r="AX35" s="48">
        <f>IFERROR(CHOOSE($A$3,INDEX('データ'!AX$7:AX$123,$BI35),INDEX('データ'!AX$128:AX$244,$BI35),INDEX('データ'!AX$249:AX$365,$BI35),INDEX('データ'!AX$370:AX$486,$BI35)),0)</f>
        <v>28.0</v>
      </c>
      <c r="AY35" s="48">
        <f>IFERROR(CHOOSE($A$3,INDEX('データ'!AY$7:AY$123,$BI35),INDEX('データ'!AY$128:AY$244,$BI35),INDEX('データ'!AY$249:AY$365,$BI35),INDEX('データ'!AY$370:AY$486,$BI35)),0)</f>
        <v>15.0</v>
      </c>
      <c r="AZ35" s="48">
        <f>IFERROR(CHOOSE($A$3,INDEX('データ'!AZ$7:AZ$123,$BI35),INDEX('データ'!AZ$128:AZ$244,$BI35),INDEX('データ'!AZ$249:AZ$365,$BI35),INDEX('データ'!AZ$370:AZ$486,$BI35)),0)</f>
        <v>25.0</v>
      </c>
      <c r="BA35" s="48">
        <f>IFERROR(CHOOSE($A$3,INDEX('データ'!BA$7:BA$123,$BI35),INDEX('データ'!BA$128:BA$244,$BI35),INDEX('データ'!BA$249:BA$365,$BI35),INDEX('データ'!BA$370:BA$486,$BI35)),0)</f>
        <v>7.0</v>
      </c>
      <c r="BB35" s="48">
        <f>IFERROR(CHOOSE($A$3,INDEX('データ'!BB$7:BB$123,$BI35),INDEX('データ'!BB$128:BB$244,$BI35),INDEX('データ'!BB$249:BB$365,$BI35),INDEX('データ'!BB$370:BB$486,$BI35)),0)</f>
        <v>3.0</v>
      </c>
      <c r="BC35" s="48">
        <f>IFERROR(CHOOSE($A$3,INDEX('データ'!BC$7:BC$123,$BI35),INDEX('データ'!BC$128:BC$244,$BI35),INDEX('データ'!BC$249:BC$365,$BI35),INDEX('データ'!BC$370:BC$486,$BI35)),0)</f>
        <v>1.0</v>
      </c>
      <c r="BD35" s="48">
        <f>IFERROR(CHOOSE($A$3,INDEX('データ'!BD$7:BD$123,$BI35),INDEX('データ'!BD$128:BD$244,$BI35),INDEX('データ'!BD$249:BD$365,$BI35),INDEX('データ'!BD$370:BD$486,$BI35)),0)</f>
        <v>2.0</v>
      </c>
      <c r="BE35" s="48">
        <f>IFERROR(CHOOSE($A$3,INDEX('データ'!BE$7:BE$123,$BI35),INDEX('データ'!BE$128:BE$244,$BI35),INDEX('データ'!BE$249:BE$365,$BI35),INDEX('データ'!BE$370:BE$486,$BI35)),0)</f>
        <v>0.0</v>
      </c>
      <c r="BF35" s="48">
        <f>IFERROR(CHOOSE($A$3,INDEX('データ'!BF$7:BF$123,$BI35),INDEX('データ'!BF$128:BF$244,$BI35),INDEX('データ'!BF$249:BF$365,$BI35),INDEX('データ'!BF$370:BF$486,$BI35)),0)</f>
        <v>0.0</v>
      </c>
      <c r="BG35" s="48">
        <f>IFERROR(CHOOSE($A$3,INDEX('データ'!BG$7:BG$123,$BI35),INDEX('データ'!BG$128:BG$244,$BI35),INDEX('データ'!BG$249:BG$365,$BI35),INDEX('データ'!BG$370:BG$486,$BI35)),0)</f>
        <v>0.0</v>
      </c>
      <c r="BI35">
        <f>MATCH($B35&amp;"|全期間",'データ'!$A$7:$A$123,0)</f>
        <v>53</v>
      </c>
    </row>
    <row r="36" spans="2:61" ht="24" customHeight="1">
      <c r="B36" s="44" t="s">
        <v>148</v>
      </c>
      <c r="D36" s="48">
        <f>IFERROR(CHOOSE($A$3,INDEX('データ'!D$7:D$123,$BI36),INDEX('データ'!D$128:D$244,$BI36),INDEX('データ'!D$249:D$365,$BI36),INDEX('データ'!D$370:D$486,$BI36)),0)</f>
        <v>0.0</v>
      </c>
      <c r="E36" s="48">
        <f>IFERROR(CHOOSE($A$3,INDEX('データ'!E$7:E$123,$BI36),INDEX('データ'!E$128:E$244,$BI36),INDEX('データ'!E$249:E$365,$BI36),INDEX('データ'!E$370:E$486,$BI36)),0)</f>
        <v>0.0</v>
      </c>
      <c r="F36" s="48">
        <f>IFERROR(CHOOSE($A$3,INDEX('データ'!F$7:F$123,$BI36),INDEX('データ'!F$128:F$244,$BI36),INDEX('データ'!F$249:F$365,$BI36),INDEX('データ'!F$370:F$486,$BI36)),0)</f>
        <v>1.0</v>
      </c>
      <c r="G36" s="48">
        <f>IFERROR(CHOOSE($A$3,INDEX('データ'!G$7:G$123,$BI36),INDEX('データ'!G$128:G$244,$BI36),INDEX('データ'!G$249:G$365,$BI36),INDEX('データ'!G$370:G$486,$BI36)),0)</f>
        <v>144.0</v>
      </c>
      <c r="H36" s="48">
        <f>IFERROR(CHOOSE($A$3,INDEX('データ'!H$7:H$123,$BI36),INDEX('データ'!H$128:H$244,$BI36),INDEX('データ'!H$249:H$365,$BI36),INDEX('データ'!H$370:H$486,$BI36)),0)</f>
        <v>1081.0</v>
      </c>
      <c r="I36" s="48">
        <f>IFERROR(CHOOSE($A$3,INDEX('データ'!I$7:I$123,$BI36),INDEX('データ'!I$128:I$244,$BI36),INDEX('データ'!I$249:I$365,$BI36),INDEX('データ'!I$370:I$486,$BI36)),0)</f>
        <v>1719.0</v>
      </c>
      <c r="J36" s="48">
        <f>IFERROR(CHOOSE($A$3,INDEX('データ'!J$7:J$123,$BI36),INDEX('データ'!J$128:J$244,$BI36),INDEX('データ'!J$249:J$365,$BI36),INDEX('データ'!J$370:J$486,$BI36)),0)</f>
        <v>2053.0</v>
      </c>
      <c r="K36" s="48">
        <f>IFERROR(CHOOSE($A$3,INDEX('データ'!K$7:K$123,$BI36),INDEX('データ'!K$128:K$244,$BI36),INDEX('データ'!K$249:K$365,$BI36),INDEX('データ'!K$370:K$486,$BI36)),0)</f>
        <v>2257.0</v>
      </c>
      <c r="L36" s="48">
        <f>IFERROR(CHOOSE($A$3,INDEX('データ'!L$7:L$123,$BI36),INDEX('データ'!L$128:L$244,$BI36),INDEX('データ'!L$249:L$365,$BI36),INDEX('データ'!L$370:L$486,$BI36)),0)</f>
        <v>2530.0</v>
      </c>
      <c r="M36" s="48">
        <f>IFERROR(CHOOSE($A$3,INDEX('データ'!M$7:M$123,$BI36),INDEX('データ'!M$128:M$244,$BI36),INDEX('データ'!M$249:M$365,$BI36),INDEX('データ'!M$370:M$486,$BI36)),0)</f>
        <v>2616.0</v>
      </c>
      <c r="N36" s="48">
        <f>IFERROR(CHOOSE($A$3,INDEX('データ'!N$7:N$123,$BI36),INDEX('データ'!N$128:N$244,$BI36),INDEX('データ'!N$249:N$365,$BI36),INDEX('データ'!N$370:N$486,$BI36)),0)</f>
        <v>2910.0</v>
      </c>
      <c r="O36" s="48">
        <f>IFERROR(CHOOSE($A$3,INDEX('データ'!O$7:O$123,$BI36),INDEX('データ'!O$128:O$244,$BI36),INDEX('データ'!O$249:O$365,$BI36),INDEX('データ'!O$370:O$486,$BI36)),0)</f>
        <v>3049.0</v>
      </c>
      <c r="P36" s="48">
        <f>IFERROR(CHOOSE($A$3,INDEX('データ'!P$7:P$123,$BI36),INDEX('データ'!P$128:P$244,$BI36),INDEX('データ'!P$249:P$365,$BI36),INDEX('データ'!P$370:P$486,$BI36)),0)</f>
        <v>3161.0</v>
      </c>
      <c r="Q36" s="48">
        <f>IFERROR(CHOOSE($A$3,INDEX('データ'!Q$7:Q$123,$BI36),INDEX('データ'!Q$128:Q$244,$BI36),INDEX('データ'!Q$249:Q$365,$BI36),INDEX('データ'!Q$370:Q$486,$BI36)),0)</f>
        <v>3133.0</v>
      </c>
      <c r="R36" s="48">
        <f>IFERROR(CHOOSE($A$3,INDEX('データ'!R$7:R$123,$BI36),INDEX('データ'!R$128:R$244,$BI36),INDEX('データ'!R$249:R$365,$BI36),INDEX('データ'!R$370:R$486,$BI36)),0)</f>
        <v>3152.0</v>
      </c>
      <c r="S36" s="48">
        <f>IFERROR(CHOOSE($A$3,INDEX('データ'!S$7:S$123,$BI36),INDEX('データ'!S$128:S$244,$BI36),INDEX('データ'!S$249:S$365,$BI36),INDEX('データ'!S$370:S$486,$BI36)),0)</f>
        <v>3031.0</v>
      </c>
      <c r="T36" s="48">
        <f>IFERROR(CHOOSE($A$3,INDEX('データ'!T$7:T$123,$BI36),INDEX('データ'!T$128:T$244,$BI36),INDEX('データ'!T$249:T$365,$BI36),INDEX('データ'!T$370:T$486,$BI36)),0)</f>
        <v>3069.0</v>
      </c>
      <c r="U36" s="48">
        <f>IFERROR(CHOOSE($A$3,INDEX('データ'!U$7:U$123,$BI36),INDEX('データ'!U$128:U$244,$BI36),INDEX('データ'!U$249:U$365,$BI36),INDEX('データ'!U$370:U$486,$BI36)),0)</f>
        <v>2637.0</v>
      </c>
      <c r="V36" s="48">
        <f>IFERROR(CHOOSE($A$3,INDEX('データ'!V$7:V$123,$BI36),INDEX('データ'!V$128:V$244,$BI36),INDEX('データ'!V$249:V$365,$BI36),INDEX('データ'!V$370:V$486,$BI36)),0)</f>
        <v>2500.0</v>
      </c>
      <c r="W36" s="48">
        <f>IFERROR(CHOOSE($A$3,INDEX('データ'!W$7:W$123,$BI36),INDEX('データ'!W$128:W$244,$BI36),INDEX('データ'!W$249:W$365,$BI36),INDEX('データ'!W$370:W$486,$BI36)),0)</f>
        <v>2171.0</v>
      </c>
      <c r="X36" s="48">
        <f>IFERROR(CHOOSE($A$3,INDEX('データ'!X$7:X$123,$BI36),INDEX('データ'!X$128:X$244,$BI36),INDEX('データ'!X$249:X$365,$BI36),INDEX('データ'!X$370:X$486,$BI36)),0)</f>
        <v>2056.0</v>
      </c>
      <c r="Y36" s="48">
        <f>IFERROR(CHOOSE($A$3,INDEX('データ'!Y$7:Y$123,$BI36),INDEX('データ'!Y$128:Y$244,$BI36),INDEX('データ'!Y$249:Y$365,$BI36),INDEX('データ'!Y$370:Y$486,$BI36)),0)</f>
        <v>2048.0</v>
      </c>
      <c r="Z36" s="48">
        <f>IFERROR(CHOOSE($A$3,INDEX('データ'!Z$7:Z$123,$BI36),INDEX('データ'!Z$128:Z$244,$BI36),INDEX('データ'!Z$249:Z$365,$BI36),INDEX('データ'!Z$370:Z$486,$BI36)),0)</f>
        <v>2234.0</v>
      </c>
      <c r="AA36" s="48">
        <f>IFERROR(CHOOSE($A$3,INDEX('データ'!AA$7:AA$123,$BI36),INDEX('データ'!AA$128:AA$244,$BI36),INDEX('データ'!AA$249:AA$365,$BI36),INDEX('データ'!AA$370:AA$486,$BI36)),0)</f>
        <v>2403.0</v>
      </c>
      <c r="AB36" s="48">
        <f>IFERROR(CHOOSE($A$3,INDEX('データ'!AB$7:AB$123,$BI36),INDEX('データ'!AB$128:AB$244,$BI36),INDEX('データ'!AB$249:AB$365,$BI36),INDEX('データ'!AB$370:AB$486,$BI36)),0)</f>
        <v>2629.0</v>
      </c>
      <c r="AC36" s="48">
        <f>IFERROR(CHOOSE($A$3,INDEX('データ'!AC$7:AC$123,$BI36),INDEX('データ'!AC$128:AC$244,$BI36),INDEX('データ'!AC$249:AC$365,$BI36),INDEX('データ'!AC$370:AC$486,$BI36)),0)</f>
        <v>2694.0</v>
      </c>
      <c r="AD36" s="48">
        <f>IFERROR(CHOOSE($A$3,INDEX('データ'!AD$7:AD$123,$BI36),INDEX('データ'!AD$128:AD$244,$BI36),INDEX('データ'!AD$249:AD$365,$BI36),INDEX('データ'!AD$370:AD$486,$BI36)),0)</f>
        <v>2838.0</v>
      </c>
      <c r="AE36" s="48">
        <f>IFERROR(CHOOSE($A$3,INDEX('データ'!AE$7:AE$123,$BI36),INDEX('データ'!AE$128:AE$244,$BI36),INDEX('データ'!AE$249:AE$365,$BI36),INDEX('データ'!AE$370:AE$486,$BI36)),0)</f>
        <v>2748.0</v>
      </c>
      <c r="AF36" s="48">
        <f>IFERROR(CHOOSE($A$3,INDEX('データ'!AF$7:AF$123,$BI36),INDEX('データ'!AF$128:AF$244,$BI36),INDEX('データ'!AF$249:AF$365,$BI36),INDEX('データ'!AF$370:AF$486,$BI36)),0)</f>
        <v>2753.0</v>
      </c>
      <c r="AG36" s="48">
        <f>IFERROR(CHOOSE($A$3,INDEX('データ'!AG$7:AG$123,$BI36),INDEX('データ'!AG$128:AG$244,$BI36),INDEX('データ'!AG$249:AG$365,$BI36),INDEX('データ'!AG$370:AG$486,$BI36)),0)</f>
        <v>2731.0</v>
      </c>
      <c r="AH36" s="48">
        <f>IFERROR(CHOOSE($A$3,INDEX('データ'!AH$7:AH$123,$BI36),INDEX('データ'!AH$128:AH$244,$BI36),INDEX('データ'!AH$249:AH$365,$BI36),INDEX('データ'!AH$370:AH$486,$BI36)),0)</f>
        <v>2626.0</v>
      </c>
      <c r="AI36" s="48">
        <f>IFERROR(CHOOSE($A$3,INDEX('データ'!AI$7:AI$123,$BI36),INDEX('データ'!AI$128:AI$244,$BI36),INDEX('データ'!AI$249:AI$365,$BI36),INDEX('データ'!AI$370:AI$486,$BI36)),0)</f>
        <v>2587.0</v>
      </c>
      <c r="AJ36" s="48">
        <f>IFERROR(CHOOSE($A$3,INDEX('データ'!AJ$7:AJ$123,$BI36),INDEX('データ'!AJ$128:AJ$244,$BI36),INDEX('データ'!AJ$249:AJ$365,$BI36),INDEX('データ'!AJ$370:AJ$486,$BI36)),0)</f>
        <v>2378.0</v>
      </c>
      <c r="AK36" s="48">
        <f>IFERROR(CHOOSE($A$3,INDEX('データ'!AK$7:AK$123,$BI36),INDEX('データ'!AK$128:AK$244,$BI36),INDEX('データ'!AK$249:AK$365,$BI36),INDEX('データ'!AK$370:AK$486,$BI36)),0)</f>
        <v>2351.0</v>
      </c>
      <c r="AL36" s="48">
        <f>IFERROR(CHOOSE($A$3,INDEX('データ'!AL$7:AL$123,$BI36),INDEX('データ'!AL$128:AL$244,$BI36),INDEX('データ'!AL$249:AL$365,$BI36),INDEX('データ'!AL$370:AL$486,$BI36)),0)</f>
        <v>2373.0</v>
      </c>
      <c r="AM36" s="48">
        <f>IFERROR(CHOOSE($A$3,INDEX('データ'!AM$7:AM$123,$BI36),INDEX('データ'!AM$128:AM$244,$BI36),INDEX('データ'!AM$249:AM$365,$BI36),INDEX('データ'!AM$370:AM$486,$BI36)),0)</f>
        <v>2341.0</v>
      </c>
      <c r="AN36" s="48">
        <f>IFERROR(CHOOSE($A$3,INDEX('データ'!AN$7:AN$123,$BI36),INDEX('データ'!AN$128:AN$244,$BI36),INDEX('データ'!AN$249:AN$365,$BI36),INDEX('データ'!AN$370:AN$486,$BI36)),0)</f>
        <v>2256.0</v>
      </c>
      <c r="AO36" s="48">
        <f>IFERROR(CHOOSE($A$3,INDEX('データ'!AO$7:AO$123,$BI36),INDEX('データ'!AO$128:AO$244,$BI36),INDEX('データ'!AO$249:AO$365,$BI36),INDEX('データ'!AO$370:AO$486,$BI36)),0)</f>
        <v>2102.0</v>
      </c>
      <c r="AP36" s="48">
        <f>IFERROR(CHOOSE($A$3,INDEX('データ'!AP$7:AP$123,$BI36),INDEX('データ'!AP$128:AP$244,$BI36),INDEX('データ'!AP$249:AP$365,$BI36),INDEX('データ'!AP$370:AP$486,$BI36)),0)</f>
        <v>1600.0</v>
      </c>
      <c r="AQ36" s="48">
        <f>IFERROR(CHOOSE($A$3,INDEX('データ'!AQ$7:AQ$123,$BI36),INDEX('データ'!AQ$128:AQ$244,$BI36),INDEX('データ'!AQ$249:AQ$365,$BI36),INDEX('データ'!AQ$370:AQ$486,$BI36)),0)</f>
        <v>799.0</v>
      </c>
      <c r="AR36" s="48">
        <f>IFERROR(CHOOSE($A$3,INDEX('データ'!AR$7:AR$123,$BI36),INDEX('データ'!AR$128:AR$244,$BI36),INDEX('データ'!AR$249:AR$365,$BI36),INDEX('データ'!AR$370:AR$486,$BI36)),0)</f>
        <v>269.0</v>
      </c>
      <c r="AS36" s="48">
        <f>IFERROR(CHOOSE($A$3,INDEX('データ'!AS$7:AS$123,$BI36),INDEX('データ'!AS$128:AS$244,$BI36),INDEX('データ'!AS$249:AS$365,$BI36),INDEX('データ'!AS$370:AS$486,$BI36)),0)</f>
        <v>30.0</v>
      </c>
      <c r="AT36" s="48">
        <f>IFERROR(CHOOSE($A$3,INDEX('データ'!AT$7:AT$123,$BI36),INDEX('データ'!AT$128:AT$244,$BI36),INDEX('データ'!AT$249:AT$365,$BI36),INDEX('データ'!AT$370:AT$486,$BI36)),0)</f>
        <v>12.0</v>
      </c>
      <c r="AU36" s="48">
        <f>IFERROR(CHOOSE($A$3,INDEX('データ'!AU$7:AU$123,$BI36),INDEX('データ'!AU$128:AU$244,$BI36),INDEX('データ'!AU$249:AU$365,$BI36),INDEX('データ'!AU$370:AU$486,$BI36)),0)</f>
        <v>17.0</v>
      </c>
      <c r="AV36" s="48">
        <f>IFERROR(CHOOSE($A$3,INDEX('データ'!AV$7:AV$123,$BI36),INDEX('データ'!AV$128:AV$244,$BI36),INDEX('データ'!AV$249:AV$365,$BI36),INDEX('データ'!AV$370:AV$486,$BI36)),0)</f>
        <v>20.0</v>
      </c>
      <c r="AW36" s="48">
        <f>IFERROR(CHOOSE($A$3,INDEX('データ'!AW$7:AW$123,$BI36),INDEX('データ'!AW$128:AW$244,$BI36),INDEX('データ'!AW$249:AW$365,$BI36),INDEX('データ'!AW$370:AW$486,$BI36)),0)</f>
        <v>22.0</v>
      </c>
      <c r="AX36" s="48">
        <f>IFERROR(CHOOSE($A$3,INDEX('データ'!AX$7:AX$123,$BI36),INDEX('データ'!AX$128:AX$244,$BI36),INDEX('データ'!AX$249:AX$365,$BI36),INDEX('データ'!AX$370:AX$486,$BI36)),0)</f>
        <v>28.0</v>
      </c>
      <c r="AY36" s="48">
        <f>IFERROR(CHOOSE($A$3,INDEX('データ'!AY$7:AY$123,$BI36),INDEX('データ'!AY$128:AY$244,$BI36),INDEX('データ'!AY$249:AY$365,$BI36),INDEX('データ'!AY$370:AY$486,$BI36)),0)</f>
        <v>9.0</v>
      </c>
      <c r="AZ36" s="48">
        <f>IFERROR(CHOOSE($A$3,INDEX('データ'!AZ$7:AZ$123,$BI36),INDEX('データ'!AZ$128:AZ$244,$BI36),INDEX('データ'!AZ$249:AZ$365,$BI36),INDEX('データ'!AZ$370:AZ$486,$BI36)),0)</f>
        <v>13.0</v>
      </c>
      <c r="BA36" s="48">
        <f>IFERROR(CHOOSE($A$3,INDEX('データ'!BA$7:BA$123,$BI36),INDEX('データ'!BA$128:BA$244,$BI36),INDEX('データ'!BA$249:BA$365,$BI36),INDEX('データ'!BA$370:BA$486,$BI36)),0)</f>
        <v>0.0</v>
      </c>
      <c r="BB36" s="48">
        <f>IFERROR(CHOOSE($A$3,INDEX('データ'!BB$7:BB$123,$BI36),INDEX('データ'!BB$128:BB$244,$BI36),INDEX('データ'!BB$249:BB$365,$BI36),INDEX('データ'!BB$370:BB$486,$BI36)),0)</f>
        <v>0.0</v>
      </c>
      <c r="BC36" s="48">
        <f>IFERROR(CHOOSE($A$3,INDEX('データ'!BC$7:BC$123,$BI36),INDEX('データ'!BC$128:BC$244,$BI36),INDEX('データ'!BC$249:BC$365,$BI36),INDEX('データ'!BC$370:BC$486,$BI36)),0)</f>
        <v>0.0</v>
      </c>
      <c r="BD36" s="48">
        <f>IFERROR(CHOOSE($A$3,INDEX('データ'!BD$7:BD$123,$BI36),INDEX('データ'!BD$128:BD$244,$BI36),INDEX('データ'!BD$249:BD$365,$BI36),INDEX('データ'!BD$370:BD$486,$BI36)),0)</f>
        <v>0.0</v>
      </c>
      <c r="BE36" s="48">
        <f>IFERROR(CHOOSE($A$3,INDEX('データ'!BE$7:BE$123,$BI36),INDEX('データ'!BE$128:BE$244,$BI36),INDEX('データ'!BE$249:BE$365,$BI36),INDEX('データ'!BE$370:BE$486,$BI36)),0)</f>
        <v>0.0</v>
      </c>
      <c r="BF36" s="48">
        <f>IFERROR(CHOOSE($A$3,INDEX('データ'!BF$7:BF$123,$BI36),INDEX('データ'!BF$128:BF$244,$BI36),INDEX('データ'!BF$249:BF$365,$BI36),INDEX('データ'!BF$370:BF$486,$BI36)),0)</f>
        <v>0.0</v>
      </c>
      <c r="BG36" s="48">
        <f>IFERROR(CHOOSE($A$3,INDEX('データ'!BG$7:BG$123,$BI36),INDEX('データ'!BG$128:BG$244,$BI36),INDEX('データ'!BG$249:BG$365,$BI36),INDEX('データ'!BG$370:BG$486,$BI36)),0)</f>
        <v>0.0</v>
      </c>
      <c r="BI36">
        <f>MATCH($B36&amp;"|全期間",'データ'!$A$7:$A$123,0)</f>
        <v>66</v>
      </c>
    </row>
    <row r="37" spans="2:61" ht="24" customHeight="1">
      <c r="B37" s="44" t="s">
        <v>162</v>
      </c>
      <c r="D37" s="48">
        <f>IFERROR(CHOOSE($A$3,INDEX('データ'!D$7:D$123,$BI37),INDEX('データ'!D$128:D$244,$BI37),INDEX('データ'!D$249:D$365,$BI37),INDEX('データ'!D$370:D$486,$BI37)),0)</f>
        <v>0.0</v>
      </c>
      <c r="E37" s="48">
        <f>IFERROR(CHOOSE($A$3,INDEX('データ'!E$7:E$123,$BI37),INDEX('データ'!E$128:E$244,$BI37),INDEX('データ'!E$249:E$365,$BI37),INDEX('データ'!E$370:E$486,$BI37)),0)</f>
        <v>0.0</v>
      </c>
      <c r="F37" s="48">
        <f>IFERROR(CHOOSE($A$3,INDEX('データ'!F$7:F$123,$BI37),INDEX('データ'!F$128:F$244,$BI37),INDEX('データ'!F$249:F$365,$BI37),INDEX('データ'!F$370:F$486,$BI37)),0)</f>
        <v>0.0</v>
      </c>
      <c r="G37" s="48">
        <f>IFERROR(CHOOSE($A$3,INDEX('データ'!G$7:G$123,$BI37),INDEX('データ'!G$128:G$244,$BI37),INDEX('データ'!G$249:G$365,$BI37),INDEX('データ'!G$370:G$486,$BI37)),0)</f>
        <v>1.0</v>
      </c>
      <c r="H37" s="48">
        <f>IFERROR(CHOOSE($A$3,INDEX('データ'!H$7:H$123,$BI37),INDEX('データ'!H$128:H$244,$BI37),INDEX('データ'!H$249:H$365,$BI37),INDEX('データ'!H$370:H$486,$BI37)),0)</f>
        <v>12.0</v>
      </c>
      <c r="I37" s="48">
        <f>IFERROR(CHOOSE($A$3,INDEX('データ'!I$7:I$123,$BI37),INDEX('データ'!I$128:I$244,$BI37),INDEX('データ'!I$249:I$365,$BI37),INDEX('データ'!I$370:I$486,$BI37)),0)</f>
        <v>133.0</v>
      </c>
      <c r="J37" s="48">
        <f>IFERROR(CHOOSE($A$3,INDEX('データ'!J$7:J$123,$BI37),INDEX('データ'!J$128:J$244,$BI37),INDEX('データ'!J$249:J$365,$BI37),INDEX('データ'!J$370:J$486,$BI37)),0)</f>
        <v>810.0</v>
      </c>
      <c r="K37" s="48">
        <f>IFERROR(CHOOSE($A$3,INDEX('データ'!K$7:K$123,$BI37),INDEX('データ'!K$128:K$244,$BI37),INDEX('データ'!K$249:K$365,$BI37),INDEX('データ'!K$370:K$486,$BI37)),0)</f>
        <v>1025.0</v>
      </c>
      <c r="L37" s="48">
        <f>IFERROR(CHOOSE($A$3,INDEX('データ'!L$7:L$123,$BI37),INDEX('データ'!L$128:L$244,$BI37),INDEX('データ'!L$249:L$365,$BI37),INDEX('データ'!L$370:L$486,$BI37)),0)</f>
        <v>1158.0</v>
      </c>
      <c r="M37" s="48">
        <f>IFERROR(CHOOSE($A$3,INDEX('データ'!M$7:M$123,$BI37),INDEX('データ'!M$128:M$244,$BI37),INDEX('データ'!M$249:M$365,$BI37),INDEX('データ'!M$370:M$486,$BI37)),0)</f>
        <v>1395.0</v>
      </c>
      <c r="N37" s="48">
        <f>IFERROR(CHOOSE($A$3,INDEX('データ'!N$7:N$123,$BI37),INDEX('データ'!N$128:N$244,$BI37),INDEX('データ'!N$249:N$365,$BI37),INDEX('データ'!N$370:N$486,$BI37)),0)</f>
        <v>1530.0</v>
      </c>
      <c r="O37" s="48">
        <f>IFERROR(CHOOSE($A$3,INDEX('データ'!O$7:O$123,$BI37),INDEX('データ'!O$128:O$244,$BI37),INDEX('データ'!O$249:O$365,$BI37),INDEX('データ'!O$370:O$486,$BI37)),0)</f>
        <v>1603.0</v>
      </c>
      <c r="P37" s="48">
        <f>IFERROR(CHOOSE($A$3,INDEX('データ'!P$7:P$123,$BI37),INDEX('データ'!P$128:P$244,$BI37),INDEX('データ'!P$249:P$365,$BI37),INDEX('データ'!P$370:P$486,$BI37)),0)</f>
        <v>1649.0</v>
      </c>
      <c r="Q37" s="48">
        <f>IFERROR(CHOOSE($A$3,INDEX('データ'!Q$7:Q$123,$BI37),INDEX('データ'!Q$128:Q$244,$BI37),INDEX('データ'!Q$249:Q$365,$BI37),INDEX('データ'!Q$370:Q$486,$BI37)),0)</f>
        <v>1798.0</v>
      </c>
      <c r="R37" s="48">
        <f>IFERROR(CHOOSE($A$3,INDEX('データ'!R$7:R$123,$BI37),INDEX('データ'!R$128:R$244,$BI37),INDEX('データ'!R$249:R$365,$BI37),INDEX('データ'!R$370:R$486,$BI37)),0)</f>
        <v>1763.0</v>
      </c>
      <c r="S37" s="48">
        <f>IFERROR(CHOOSE($A$3,INDEX('データ'!S$7:S$123,$BI37),INDEX('データ'!S$128:S$244,$BI37),INDEX('データ'!S$249:S$365,$BI37),INDEX('データ'!S$370:S$486,$BI37)),0)</f>
        <v>1797.0</v>
      </c>
      <c r="T37" s="48">
        <f>IFERROR(CHOOSE($A$3,INDEX('データ'!T$7:T$123,$BI37),INDEX('データ'!T$128:T$244,$BI37),INDEX('データ'!T$249:T$365,$BI37),INDEX('データ'!T$370:T$486,$BI37)),0)</f>
        <v>1808.0</v>
      </c>
      <c r="U37" s="48">
        <f>IFERROR(CHOOSE($A$3,INDEX('データ'!U$7:U$123,$BI37),INDEX('データ'!U$128:U$244,$BI37),INDEX('データ'!U$249:U$365,$BI37),INDEX('データ'!U$370:U$486,$BI37)),0)</f>
        <v>1684.0</v>
      </c>
      <c r="V37" s="48">
        <f>IFERROR(CHOOSE($A$3,INDEX('データ'!V$7:V$123,$BI37),INDEX('データ'!V$128:V$244,$BI37),INDEX('データ'!V$249:V$365,$BI37),INDEX('データ'!V$370:V$486,$BI37)),0)</f>
        <v>1534.0</v>
      </c>
      <c r="W37" s="48">
        <f>IFERROR(CHOOSE($A$3,INDEX('データ'!W$7:W$123,$BI37),INDEX('データ'!W$128:W$244,$BI37),INDEX('データ'!W$249:W$365,$BI37),INDEX('データ'!W$370:W$486,$BI37)),0)</f>
        <v>1445.0</v>
      </c>
      <c r="X37" s="48">
        <f>IFERROR(CHOOSE($A$3,INDEX('データ'!X$7:X$123,$BI37),INDEX('データ'!X$128:X$244,$BI37),INDEX('データ'!X$249:X$365,$BI37),INDEX('データ'!X$370:X$486,$BI37)),0)</f>
        <v>1219.0</v>
      </c>
      <c r="Y37" s="48">
        <f>IFERROR(CHOOSE($A$3,INDEX('データ'!Y$7:Y$123,$BI37),INDEX('データ'!Y$128:Y$244,$BI37),INDEX('データ'!Y$249:Y$365,$BI37),INDEX('データ'!Y$370:Y$486,$BI37)),0)</f>
        <v>1188.0</v>
      </c>
      <c r="Z37" s="48">
        <f>IFERROR(CHOOSE($A$3,INDEX('データ'!Z$7:Z$123,$BI37),INDEX('データ'!Z$128:Z$244,$BI37),INDEX('データ'!Z$249:Z$365,$BI37),INDEX('データ'!Z$370:Z$486,$BI37)),0)</f>
        <v>1180.0</v>
      </c>
      <c r="AA37" s="48">
        <f>IFERROR(CHOOSE($A$3,INDEX('データ'!AA$7:AA$123,$BI37),INDEX('データ'!AA$128:AA$244,$BI37),INDEX('データ'!AA$249:AA$365,$BI37),INDEX('データ'!AA$370:AA$486,$BI37)),0)</f>
        <v>1209.0</v>
      </c>
      <c r="AB37" s="48">
        <f>IFERROR(CHOOSE($A$3,INDEX('データ'!AB$7:AB$123,$BI37),INDEX('データ'!AB$128:AB$244,$BI37),INDEX('データ'!AB$249:AB$365,$BI37),INDEX('データ'!AB$370:AB$486,$BI37)),0)</f>
        <v>1285.0</v>
      </c>
      <c r="AC37" s="48">
        <f>IFERROR(CHOOSE($A$3,INDEX('データ'!AC$7:AC$123,$BI37),INDEX('データ'!AC$128:AC$244,$BI37),INDEX('データ'!AC$249:AC$365,$BI37),INDEX('データ'!AC$370:AC$486,$BI37)),0)</f>
        <v>1423.0</v>
      </c>
      <c r="AD37" s="48">
        <f>IFERROR(CHOOSE($A$3,INDEX('データ'!AD$7:AD$123,$BI37),INDEX('データ'!AD$128:AD$244,$BI37),INDEX('データ'!AD$249:AD$365,$BI37),INDEX('データ'!AD$370:AD$486,$BI37)),0)</f>
        <v>1468.0</v>
      </c>
      <c r="AE37" s="48">
        <f>IFERROR(CHOOSE($A$3,INDEX('データ'!AE$7:AE$123,$BI37),INDEX('データ'!AE$128:AE$244,$BI37),INDEX('データ'!AE$249:AE$365,$BI37),INDEX('データ'!AE$370:AE$486,$BI37)),0)</f>
        <v>1430.0</v>
      </c>
      <c r="AF37" s="48">
        <f>IFERROR(CHOOSE($A$3,INDEX('データ'!AF$7:AF$123,$BI37),INDEX('データ'!AF$128:AF$244,$BI37),INDEX('データ'!AF$249:AF$365,$BI37),INDEX('データ'!AF$370:AF$486,$BI37)),0)</f>
        <v>1555.0</v>
      </c>
      <c r="AG37" s="48">
        <f>IFERROR(CHOOSE($A$3,INDEX('データ'!AG$7:AG$123,$BI37),INDEX('データ'!AG$128:AG$244,$BI37),INDEX('データ'!AG$249:AG$365,$BI37),INDEX('データ'!AG$370:AG$486,$BI37)),0)</f>
        <v>1520.0</v>
      </c>
      <c r="AH37" s="48">
        <f>IFERROR(CHOOSE($A$3,INDEX('データ'!AH$7:AH$123,$BI37),INDEX('データ'!AH$128:AH$244,$BI37),INDEX('データ'!AH$249:AH$365,$BI37),INDEX('データ'!AH$370:AH$486,$BI37)),0)</f>
        <v>1515.0</v>
      </c>
      <c r="AI37" s="48">
        <f>IFERROR(CHOOSE($A$3,INDEX('データ'!AI$7:AI$123,$BI37),INDEX('データ'!AI$128:AI$244,$BI37),INDEX('データ'!AI$249:AI$365,$BI37),INDEX('データ'!AI$370:AI$486,$BI37)),0)</f>
        <v>1450.0</v>
      </c>
      <c r="AJ37" s="48">
        <f>IFERROR(CHOOSE($A$3,INDEX('データ'!AJ$7:AJ$123,$BI37),INDEX('データ'!AJ$128:AJ$244,$BI37),INDEX('データ'!AJ$249:AJ$365,$BI37),INDEX('データ'!AJ$370:AJ$486,$BI37)),0)</f>
        <v>1349.0</v>
      </c>
      <c r="AK37" s="48">
        <f>IFERROR(CHOOSE($A$3,INDEX('データ'!AK$7:AK$123,$BI37),INDEX('データ'!AK$128:AK$244,$BI37),INDEX('データ'!AK$249:AK$365,$BI37),INDEX('データ'!AK$370:AK$486,$BI37)),0)</f>
        <v>1324.0</v>
      </c>
      <c r="AL37" s="48">
        <f>IFERROR(CHOOSE($A$3,INDEX('データ'!AL$7:AL$123,$BI37),INDEX('データ'!AL$128:AL$244,$BI37),INDEX('データ'!AL$249:AL$365,$BI37),INDEX('データ'!AL$370:AL$486,$BI37)),0)</f>
        <v>1316.0</v>
      </c>
      <c r="AM37" s="48">
        <f>IFERROR(CHOOSE($A$3,INDEX('データ'!AM$7:AM$123,$BI37),INDEX('データ'!AM$128:AM$244,$BI37),INDEX('データ'!AM$249:AM$365,$BI37),INDEX('データ'!AM$370:AM$486,$BI37)),0)</f>
        <v>1300.0</v>
      </c>
      <c r="AN37" s="48">
        <f>IFERROR(CHOOSE($A$3,INDEX('データ'!AN$7:AN$123,$BI37),INDEX('データ'!AN$128:AN$244,$BI37),INDEX('データ'!AN$249:AN$365,$BI37),INDEX('データ'!AN$370:AN$486,$BI37)),0)</f>
        <v>1308.0</v>
      </c>
      <c r="AO37" s="48">
        <f>IFERROR(CHOOSE($A$3,INDEX('データ'!AO$7:AO$123,$BI37),INDEX('データ'!AO$128:AO$244,$BI37),INDEX('データ'!AO$249:AO$365,$BI37),INDEX('データ'!AO$370:AO$486,$BI37)),0)</f>
        <v>1236.0</v>
      </c>
      <c r="AP37" s="48">
        <f>IFERROR(CHOOSE($A$3,INDEX('データ'!AP$7:AP$123,$BI37),INDEX('データ'!AP$128:AP$244,$BI37),INDEX('データ'!AP$249:AP$365,$BI37),INDEX('データ'!AP$370:AP$486,$BI37)),0)</f>
        <v>1303.0</v>
      </c>
      <c r="AQ37" s="48">
        <f>IFERROR(CHOOSE($A$3,INDEX('データ'!AQ$7:AQ$123,$BI37),INDEX('データ'!AQ$128:AQ$244,$BI37),INDEX('データ'!AQ$249:AQ$365,$BI37),INDEX('データ'!AQ$370:AQ$486,$BI37)),0)</f>
        <v>1067.0</v>
      </c>
      <c r="AR37" s="48">
        <f>IFERROR(CHOOSE($A$3,INDEX('データ'!AR$7:AR$123,$BI37),INDEX('データ'!AR$128:AR$244,$BI37),INDEX('データ'!AR$249:AR$365,$BI37),INDEX('データ'!AR$370:AR$486,$BI37)),0)</f>
        <v>589.0</v>
      </c>
      <c r="AS37" s="48">
        <f>IFERROR(CHOOSE($A$3,INDEX('データ'!AS$7:AS$123,$BI37),INDEX('データ'!AS$128:AS$244,$BI37),INDEX('データ'!AS$249:AS$365,$BI37),INDEX('データ'!AS$370:AS$486,$BI37)),0)</f>
        <v>135.0</v>
      </c>
      <c r="AT37" s="48">
        <f>IFERROR(CHOOSE($A$3,INDEX('データ'!AT$7:AT$123,$BI37),INDEX('データ'!AT$128:AT$244,$BI37),INDEX('データ'!AT$249:AT$365,$BI37),INDEX('データ'!AT$370:AT$486,$BI37)),0)</f>
        <v>14.0</v>
      </c>
      <c r="AU37" s="48">
        <f>IFERROR(CHOOSE($A$3,INDEX('データ'!AU$7:AU$123,$BI37),INDEX('データ'!AU$128:AU$244,$BI37),INDEX('データ'!AU$249:AU$365,$BI37),INDEX('データ'!AU$370:AU$486,$BI37)),0)</f>
        <v>8.0</v>
      </c>
      <c r="AV37" s="48">
        <f>IFERROR(CHOOSE($A$3,INDEX('データ'!AV$7:AV$123,$BI37),INDEX('データ'!AV$128:AV$244,$BI37),INDEX('データ'!AV$249:AV$365,$BI37),INDEX('データ'!AV$370:AV$486,$BI37)),0)</f>
        <v>6.0</v>
      </c>
      <c r="AW37" s="48">
        <f>IFERROR(CHOOSE($A$3,INDEX('データ'!AW$7:AW$123,$BI37),INDEX('データ'!AW$128:AW$244,$BI37),INDEX('データ'!AW$249:AW$365,$BI37),INDEX('データ'!AW$370:AW$486,$BI37)),0)</f>
        <v>6.0</v>
      </c>
      <c r="AX37" s="48">
        <f>IFERROR(CHOOSE($A$3,INDEX('データ'!AX$7:AX$123,$BI37),INDEX('データ'!AX$128:AX$244,$BI37),INDEX('データ'!AX$249:AX$365,$BI37),INDEX('データ'!AX$370:AX$486,$BI37)),0)</f>
        <v>5.0</v>
      </c>
      <c r="AY37" s="48">
        <f>IFERROR(CHOOSE($A$3,INDEX('データ'!AY$7:AY$123,$BI37),INDEX('データ'!AY$128:AY$244,$BI37),INDEX('データ'!AY$249:AY$365,$BI37),INDEX('データ'!AY$370:AY$486,$BI37)),0)</f>
        <v>5.0</v>
      </c>
      <c r="AZ37" s="48">
        <f>IFERROR(CHOOSE($A$3,INDEX('データ'!AZ$7:AZ$123,$BI37),INDEX('データ'!AZ$128:AZ$244,$BI37),INDEX('データ'!AZ$249:AZ$365,$BI37),INDEX('データ'!AZ$370:AZ$486,$BI37)),0)</f>
        <v>2.0</v>
      </c>
      <c r="BA37" s="48">
        <f>IFERROR(CHOOSE($A$3,INDEX('データ'!BA$7:BA$123,$BI37),INDEX('データ'!BA$128:BA$244,$BI37),INDEX('データ'!BA$249:BA$365,$BI37),INDEX('データ'!BA$370:BA$486,$BI37)),0)</f>
        <v>4.0</v>
      </c>
      <c r="BB37" s="48">
        <f>IFERROR(CHOOSE($A$3,INDEX('データ'!BB$7:BB$123,$BI37),INDEX('データ'!BB$128:BB$244,$BI37),INDEX('データ'!BB$249:BB$365,$BI37),INDEX('データ'!BB$370:BB$486,$BI37)),0)</f>
        <v>3.0</v>
      </c>
      <c r="BC37" s="48">
        <f>IFERROR(CHOOSE($A$3,INDEX('データ'!BC$7:BC$123,$BI37),INDEX('データ'!BC$128:BC$244,$BI37),INDEX('データ'!BC$249:BC$365,$BI37),INDEX('データ'!BC$370:BC$486,$BI37)),0)</f>
        <v>1.0</v>
      </c>
      <c r="BD37" s="48">
        <f>IFERROR(CHOOSE($A$3,INDEX('データ'!BD$7:BD$123,$BI37),INDEX('データ'!BD$128:BD$244,$BI37),INDEX('データ'!BD$249:BD$365,$BI37),INDEX('データ'!BD$370:BD$486,$BI37)),0)</f>
        <v>0.0</v>
      </c>
      <c r="BE37" s="48">
        <f>IFERROR(CHOOSE($A$3,INDEX('データ'!BE$7:BE$123,$BI37),INDEX('データ'!BE$128:BE$244,$BI37),INDEX('データ'!BE$249:BE$365,$BI37),INDEX('データ'!BE$370:BE$486,$BI37)),0)</f>
        <v>0.0</v>
      </c>
      <c r="BF37" s="48">
        <f>IFERROR(CHOOSE($A$3,INDEX('データ'!BF$7:BF$123,$BI37),INDEX('データ'!BF$128:BF$244,$BI37),INDEX('データ'!BF$249:BF$365,$BI37),INDEX('データ'!BF$370:BF$486,$BI37)),0)</f>
        <v>0.0</v>
      </c>
      <c r="BG37" s="48">
        <f>IFERROR(CHOOSE($A$3,INDEX('データ'!BG$7:BG$123,$BI37),INDEX('データ'!BG$128:BG$244,$BI37),INDEX('データ'!BG$249:BG$365,$BI37),INDEX('データ'!BG$370:BG$486,$BI37)),0)</f>
        <v>0.0</v>
      </c>
      <c r="BI37">
        <f>MATCH($B37&amp;"|全期間",'データ'!$A$7:$A$123,0)</f>
        <v>79</v>
      </c>
    </row>
    <row r="38" spans="2:61" ht="24" customHeight="1">
      <c r="B38" s="44" t="s">
        <v>176</v>
      </c>
      <c r="D38" s="48">
        <f>IFERROR(CHOOSE($A$3,INDEX('データ'!D$7:D$123,$BI38),INDEX('データ'!D$128:D$244,$BI38),INDEX('データ'!D$249:D$365,$BI38),INDEX('データ'!D$370:D$486,$BI38)),0)</f>
        <v>0.0</v>
      </c>
      <c r="E38" s="48">
        <f>IFERROR(CHOOSE($A$3,INDEX('データ'!E$7:E$123,$BI38),INDEX('データ'!E$128:E$244,$BI38),INDEX('データ'!E$249:E$365,$BI38),INDEX('データ'!E$370:E$486,$BI38)),0)</f>
        <v>0.0</v>
      </c>
      <c r="F38" s="48">
        <f>IFERROR(CHOOSE($A$3,INDEX('データ'!F$7:F$123,$BI38),INDEX('データ'!F$128:F$244,$BI38),INDEX('データ'!F$249:F$365,$BI38),INDEX('データ'!F$370:F$486,$BI38)),0)</f>
        <v>0.0</v>
      </c>
      <c r="G38" s="48">
        <f>IFERROR(CHOOSE($A$3,INDEX('データ'!G$7:G$123,$BI38),INDEX('データ'!G$128:G$244,$BI38),INDEX('データ'!G$249:G$365,$BI38),INDEX('データ'!G$370:G$486,$BI38)),0)</f>
        <v>0.0</v>
      </c>
      <c r="H38" s="48">
        <f>IFERROR(CHOOSE($A$3,INDEX('データ'!H$7:H$123,$BI38),INDEX('データ'!H$128:H$244,$BI38),INDEX('データ'!H$249:H$365,$BI38),INDEX('データ'!H$370:H$486,$BI38)),0)</f>
        <v>3.0</v>
      </c>
      <c r="I38" s="48">
        <f>IFERROR(CHOOSE($A$3,INDEX('データ'!I$7:I$123,$BI38),INDEX('データ'!I$128:I$244,$BI38),INDEX('データ'!I$249:I$365,$BI38),INDEX('データ'!I$370:I$486,$BI38)),0)</f>
        <v>190.0</v>
      </c>
      <c r="J38" s="48">
        <f>IFERROR(CHOOSE($A$3,INDEX('データ'!J$7:J$123,$BI38),INDEX('データ'!J$128:J$244,$BI38),INDEX('データ'!J$249:J$365,$BI38),INDEX('データ'!J$370:J$486,$BI38)),0)</f>
        <v>676.0</v>
      </c>
      <c r="K38" s="48">
        <f>IFERROR(CHOOSE($A$3,INDEX('データ'!K$7:K$123,$BI38),INDEX('データ'!K$128:K$244,$BI38),INDEX('データ'!K$249:K$365,$BI38),INDEX('データ'!K$370:K$486,$BI38)),0)</f>
        <v>746.0</v>
      </c>
      <c r="L38" s="48">
        <f>IFERROR(CHOOSE($A$3,INDEX('データ'!L$7:L$123,$BI38),INDEX('データ'!L$128:L$244,$BI38),INDEX('データ'!L$249:L$365,$BI38),INDEX('データ'!L$370:L$486,$BI38)),0)</f>
        <v>934.0</v>
      </c>
      <c r="M38" s="48">
        <f>IFERROR(CHOOSE($A$3,INDEX('データ'!M$7:M$123,$BI38),INDEX('データ'!M$128:M$244,$BI38),INDEX('データ'!M$249:M$365,$BI38),INDEX('データ'!M$370:M$486,$BI38)),0)</f>
        <v>1130.0</v>
      </c>
      <c r="N38" s="48">
        <f>IFERROR(CHOOSE($A$3,INDEX('データ'!N$7:N$123,$BI38),INDEX('データ'!N$128:N$244,$BI38),INDEX('データ'!N$249:N$365,$BI38),INDEX('データ'!N$370:N$486,$BI38)),0)</f>
        <v>1245.0</v>
      </c>
      <c r="O38" s="48">
        <f>IFERROR(CHOOSE($A$3,INDEX('データ'!O$7:O$123,$BI38),INDEX('データ'!O$128:O$244,$BI38),INDEX('データ'!O$249:O$365,$BI38),INDEX('データ'!O$370:O$486,$BI38)),0)</f>
        <v>1220.0</v>
      </c>
      <c r="P38" s="48">
        <f>IFERROR(CHOOSE($A$3,INDEX('データ'!P$7:P$123,$BI38),INDEX('データ'!P$128:P$244,$BI38),INDEX('データ'!P$249:P$365,$BI38),INDEX('データ'!P$370:P$486,$BI38)),0)</f>
        <v>1318.0</v>
      </c>
      <c r="Q38" s="48">
        <f>IFERROR(CHOOSE($A$3,INDEX('データ'!Q$7:Q$123,$BI38),INDEX('データ'!Q$128:Q$244,$BI38),INDEX('データ'!Q$249:Q$365,$BI38),INDEX('データ'!Q$370:Q$486,$BI38)),0)</f>
        <v>1365.0</v>
      </c>
      <c r="R38" s="48">
        <f>IFERROR(CHOOSE($A$3,INDEX('データ'!R$7:R$123,$BI38),INDEX('データ'!R$128:R$244,$BI38),INDEX('データ'!R$249:R$365,$BI38),INDEX('データ'!R$370:R$486,$BI38)),0)</f>
        <v>1440.0</v>
      </c>
      <c r="S38" s="48">
        <f>IFERROR(CHOOSE($A$3,INDEX('データ'!S$7:S$123,$BI38),INDEX('データ'!S$128:S$244,$BI38),INDEX('データ'!S$249:S$365,$BI38),INDEX('データ'!S$370:S$486,$BI38)),0)</f>
        <v>1413.0</v>
      </c>
      <c r="T38" s="48">
        <f>IFERROR(CHOOSE($A$3,INDEX('データ'!T$7:T$123,$BI38),INDEX('データ'!T$128:T$244,$BI38),INDEX('データ'!T$249:T$365,$BI38),INDEX('データ'!T$370:T$486,$BI38)),0)</f>
        <v>1356.0</v>
      </c>
      <c r="U38" s="48">
        <f>IFERROR(CHOOSE($A$3,INDEX('データ'!U$7:U$123,$BI38),INDEX('データ'!U$128:U$244,$BI38),INDEX('データ'!U$249:U$365,$BI38),INDEX('データ'!U$370:U$486,$BI38)),0)</f>
        <v>1295.0</v>
      </c>
      <c r="V38" s="48">
        <f>IFERROR(CHOOSE($A$3,INDEX('データ'!V$7:V$123,$BI38),INDEX('データ'!V$128:V$244,$BI38),INDEX('データ'!V$249:V$365,$BI38),INDEX('データ'!V$370:V$486,$BI38)),0)</f>
        <v>1313.0</v>
      </c>
      <c r="W38" s="48">
        <f>IFERROR(CHOOSE($A$3,INDEX('データ'!W$7:W$123,$BI38),INDEX('データ'!W$128:W$244,$BI38),INDEX('データ'!W$249:W$365,$BI38),INDEX('データ'!W$370:W$486,$BI38)),0)</f>
        <v>1051.0</v>
      </c>
      <c r="X38" s="48">
        <f>IFERROR(CHOOSE($A$3,INDEX('データ'!X$7:X$123,$BI38),INDEX('データ'!X$128:X$244,$BI38),INDEX('データ'!X$249:X$365,$BI38),INDEX('データ'!X$370:X$486,$BI38)),0)</f>
        <v>996.0</v>
      </c>
      <c r="Y38" s="48">
        <f>IFERROR(CHOOSE($A$3,INDEX('データ'!Y$7:Y$123,$BI38),INDEX('データ'!Y$128:Y$244,$BI38),INDEX('データ'!Y$249:Y$365,$BI38),INDEX('データ'!Y$370:Y$486,$BI38)),0)</f>
        <v>968.0</v>
      </c>
      <c r="Z38" s="48">
        <f>IFERROR(CHOOSE($A$3,INDEX('データ'!Z$7:Z$123,$BI38),INDEX('データ'!Z$128:Z$244,$BI38),INDEX('データ'!Z$249:Z$365,$BI38),INDEX('データ'!Z$370:Z$486,$BI38)),0)</f>
        <v>895.0</v>
      </c>
      <c r="AA38" s="48">
        <f>IFERROR(CHOOSE($A$3,INDEX('データ'!AA$7:AA$123,$BI38),INDEX('データ'!AA$128:AA$244,$BI38),INDEX('データ'!AA$249:AA$365,$BI38),INDEX('データ'!AA$370:AA$486,$BI38)),0)</f>
        <v>888.0</v>
      </c>
      <c r="AB38" s="48">
        <f>IFERROR(CHOOSE($A$3,INDEX('データ'!AB$7:AB$123,$BI38),INDEX('データ'!AB$128:AB$244,$BI38),INDEX('データ'!AB$249:AB$365,$BI38),INDEX('データ'!AB$370:AB$486,$BI38)),0)</f>
        <v>1037.0</v>
      </c>
      <c r="AC38" s="48">
        <f>IFERROR(CHOOSE($A$3,INDEX('データ'!AC$7:AC$123,$BI38),INDEX('データ'!AC$128:AC$244,$BI38),INDEX('データ'!AC$249:AC$365,$BI38),INDEX('データ'!AC$370:AC$486,$BI38)),0)</f>
        <v>1240.0</v>
      </c>
      <c r="AD38" s="48">
        <f>IFERROR(CHOOSE($A$3,INDEX('データ'!AD$7:AD$123,$BI38),INDEX('データ'!AD$128:AD$244,$BI38),INDEX('データ'!AD$249:AD$365,$BI38),INDEX('データ'!AD$370:AD$486,$BI38)),0)</f>
        <v>1166.0</v>
      </c>
      <c r="AE38" s="48">
        <f>IFERROR(CHOOSE($A$3,INDEX('データ'!AE$7:AE$123,$BI38),INDEX('データ'!AE$128:AE$244,$BI38),INDEX('データ'!AE$249:AE$365,$BI38),INDEX('データ'!AE$370:AE$486,$BI38)),0)</f>
        <v>1165.0</v>
      </c>
      <c r="AF38" s="48">
        <f>IFERROR(CHOOSE($A$3,INDEX('データ'!AF$7:AF$123,$BI38),INDEX('データ'!AF$128:AF$244,$BI38),INDEX('データ'!AF$249:AF$365,$BI38),INDEX('データ'!AF$370:AF$486,$BI38)),0)</f>
        <v>1237.0</v>
      </c>
      <c r="AG38" s="48">
        <f>IFERROR(CHOOSE($A$3,INDEX('データ'!AG$7:AG$123,$BI38),INDEX('データ'!AG$128:AG$244,$BI38),INDEX('データ'!AG$249:AG$365,$BI38),INDEX('データ'!AG$370:AG$486,$BI38)),0)</f>
        <v>1166.0</v>
      </c>
      <c r="AH38" s="48">
        <f>IFERROR(CHOOSE($A$3,INDEX('データ'!AH$7:AH$123,$BI38),INDEX('データ'!AH$128:AH$244,$BI38),INDEX('データ'!AH$249:AH$365,$BI38),INDEX('データ'!AH$370:AH$486,$BI38)),0)</f>
        <v>1177.0</v>
      </c>
      <c r="AI38" s="48">
        <f>IFERROR(CHOOSE($A$3,INDEX('データ'!AI$7:AI$123,$BI38),INDEX('データ'!AI$128:AI$244,$BI38),INDEX('データ'!AI$249:AI$365,$BI38),INDEX('データ'!AI$370:AI$486,$BI38)),0)</f>
        <v>1048.0</v>
      </c>
      <c r="AJ38" s="48">
        <f>IFERROR(CHOOSE($A$3,INDEX('データ'!AJ$7:AJ$123,$BI38),INDEX('データ'!AJ$128:AJ$244,$BI38),INDEX('データ'!AJ$249:AJ$365,$BI38),INDEX('データ'!AJ$370:AJ$486,$BI38)),0)</f>
        <v>1064.0</v>
      </c>
      <c r="AK38" s="48">
        <f>IFERROR(CHOOSE($A$3,INDEX('データ'!AK$7:AK$123,$BI38),INDEX('データ'!AK$128:AK$244,$BI38),INDEX('データ'!AK$249:AK$365,$BI38),INDEX('データ'!AK$370:AK$486,$BI38)),0)</f>
        <v>1002.0</v>
      </c>
      <c r="AL38" s="48">
        <f>IFERROR(CHOOSE($A$3,INDEX('データ'!AL$7:AL$123,$BI38),INDEX('データ'!AL$128:AL$244,$BI38),INDEX('データ'!AL$249:AL$365,$BI38),INDEX('データ'!AL$370:AL$486,$BI38)),0)</f>
        <v>1023.0</v>
      </c>
      <c r="AM38" s="48">
        <f>IFERROR(CHOOSE($A$3,INDEX('データ'!AM$7:AM$123,$BI38),INDEX('データ'!AM$128:AM$244,$BI38),INDEX('データ'!AM$249:AM$365,$BI38),INDEX('データ'!AM$370:AM$486,$BI38)),0)</f>
        <v>948.0</v>
      </c>
      <c r="AN38" s="48">
        <f>IFERROR(CHOOSE($A$3,INDEX('データ'!AN$7:AN$123,$BI38),INDEX('データ'!AN$128:AN$244,$BI38),INDEX('データ'!AN$249:AN$365,$BI38),INDEX('データ'!AN$370:AN$486,$BI38)),0)</f>
        <v>972.0</v>
      </c>
      <c r="AO38" s="48">
        <f>IFERROR(CHOOSE($A$3,INDEX('データ'!AO$7:AO$123,$BI38),INDEX('データ'!AO$128:AO$244,$BI38),INDEX('データ'!AO$249:AO$365,$BI38),INDEX('データ'!AO$370:AO$486,$BI38)),0)</f>
        <v>953.0</v>
      </c>
      <c r="AP38" s="48">
        <f>IFERROR(CHOOSE($A$3,INDEX('データ'!AP$7:AP$123,$BI38),INDEX('データ'!AP$128:AP$244,$BI38),INDEX('データ'!AP$249:AP$365,$BI38),INDEX('データ'!AP$370:AP$486,$BI38)),0)</f>
        <v>869.0</v>
      </c>
      <c r="AQ38" s="48">
        <f>IFERROR(CHOOSE($A$3,INDEX('データ'!AQ$7:AQ$123,$BI38),INDEX('データ'!AQ$128:AQ$244,$BI38),INDEX('データ'!AQ$249:AQ$365,$BI38),INDEX('データ'!AQ$370:AQ$486,$BI38)),0)</f>
        <v>595.0</v>
      </c>
      <c r="AR38" s="48">
        <f>IFERROR(CHOOSE($A$3,INDEX('データ'!AR$7:AR$123,$BI38),INDEX('データ'!AR$128:AR$244,$BI38),INDEX('データ'!AR$249:AR$365,$BI38),INDEX('データ'!AR$370:AR$486,$BI38)),0)</f>
        <v>406.0</v>
      </c>
      <c r="AS38" s="48">
        <f>IFERROR(CHOOSE($A$3,INDEX('データ'!AS$7:AS$123,$BI38),INDEX('データ'!AS$128:AS$244,$BI38),INDEX('データ'!AS$249:AS$365,$BI38),INDEX('データ'!AS$370:AS$486,$BI38)),0)</f>
        <v>22.0</v>
      </c>
      <c r="AT38" s="48">
        <f>IFERROR(CHOOSE($A$3,INDEX('データ'!AT$7:AT$123,$BI38),INDEX('データ'!AT$128:AT$244,$BI38),INDEX('データ'!AT$249:AT$365,$BI38),INDEX('データ'!AT$370:AT$486,$BI38)),0)</f>
        <v>3.0</v>
      </c>
      <c r="AU38" s="48">
        <f>IFERROR(CHOOSE($A$3,INDEX('データ'!AU$7:AU$123,$BI38),INDEX('データ'!AU$128:AU$244,$BI38),INDEX('データ'!AU$249:AU$365,$BI38),INDEX('データ'!AU$370:AU$486,$BI38)),0)</f>
        <v>12.0</v>
      </c>
      <c r="AV38" s="48">
        <f>IFERROR(CHOOSE($A$3,INDEX('データ'!AV$7:AV$123,$BI38),INDEX('データ'!AV$128:AV$244,$BI38),INDEX('データ'!AV$249:AV$365,$BI38),INDEX('データ'!AV$370:AV$486,$BI38)),0)</f>
        <v>7.0</v>
      </c>
      <c r="AW38" s="48">
        <f>IFERROR(CHOOSE($A$3,INDEX('データ'!AW$7:AW$123,$BI38),INDEX('データ'!AW$128:AW$244,$BI38),INDEX('データ'!AW$249:AW$365,$BI38),INDEX('データ'!AW$370:AW$486,$BI38)),0)</f>
        <v>4.0</v>
      </c>
      <c r="AX38" s="48">
        <f>IFERROR(CHOOSE($A$3,INDEX('データ'!AX$7:AX$123,$BI38),INDEX('データ'!AX$128:AX$244,$BI38),INDEX('データ'!AX$249:AX$365,$BI38),INDEX('データ'!AX$370:AX$486,$BI38)),0)</f>
        <v>4.0</v>
      </c>
      <c r="AY38" s="48">
        <f>IFERROR(CHOOSE($A$3,INDEX('データ'!AY$7:AY$123,$BI38),INDEX('データ'!AY$128:AY$244,$BI38),INDEX('データ'!AY$249:AY$365,$BI38),INDEX('データ'!AY$370:AY$486,$BI38)),0)</f>
        <v>2.0</v>
      </c>
      <c r="AZ38" s="48">
        <f>IFERROR(CHOOSE($A$3,INDEX('データ'!AZ$7:AZ$123,$BI38),INDEX('データ'!AZ$128:AZ$244,$BI38),INDEX('データ'!AZ$249:AZ$365,$BI38),INDEX('データ'!AZ$370:AZ$486,$BI38)),0)</f>
        <v>0.0</v>
      </c>
      <c r="BA38" s="48">
        <f>IFERROR(CHOOSE($A$3,INDEX('データ'!BA$7:BA$123,$BI38),INDEX('データ'!BA$128:BA$244,$BI38),INDEX('データ'!BA$249:BA$365,$BI38),INDEX('データ'!BA$370:BA$486,$BI38)),0)</f>
        <v>2.0</v>
      </c>
      <c r="BB38" s="48">
        <f>IFERROR(CHOOSE($A$3,INDEX('データ'!BB$7:BB$123,$BI38),INDEX('データ'!BB$128:BB$244,$BI38),INDEX('データ'!BB$249:BB$365,$BI38),INDEX('データ'!BB$370:BB$486,$BI38)),0)</f>
        <v>0.0</v>
      </c>
      <c r="BC38" s="48">
        <f>IFERROR(CHOOSE($A$3,INDEX('データ'!BC$7:BC$123,$BI38),INDEX('データ'!BC$128:BC$244,$BI38),INDEX('データ'!BC$249:BC$365,$BI38),INDEX('データ'!BC$370:BC$486,$BI38)),0)</f>
        <v>1.0</v>
      </c>
      <c r="BD38" s="48">
        <f>IFERROR(CHOOSE($A$3,INDEX('データ'!BD$7:BD$123,$BI38),INDEX('データ'!BD$128:BD$244,$BI38),INDEX('データ'!BD$249:BD$365,$BI38),INDEX('データ'!BD$370:BD$486,$BI38)),0)</f>
        <v>0.0</v>
      </c>
      <c r="BE38" s="48">
        <f>IFERROR(CHOOSE($A$3,INDEX('データ'!BE$7:BE$123,$BI38),INDEX('データ'!BE$128:BE$244,$BI38),INDEX('データ'!BE$249:BE$365,$BI38),INDEX('データ'!BE$370:BE$486,$BI38)),0)</f>
        <v>0.0</v>
      </c>
      <c r="BF38" s="48">
        <f>IFERROR(CHOOSE($A$3,INDEX('データ'!BF$7:BF$123,$BI38),INDEX('データ'!BF$128:BF$244,$BI38),INDEX('データ'!BF$249:BF$365,$BI38),INDEX('データ'!BF$370:BF$486,$BI38)),0)</f>
        <v>0.0</v>
      </c>
      <c r="BG38" s="48">
        <f>IFERROR(CHOOSE($A$3,INDEX('データ'!BG$7:BG$123,$BI38),INDEX('データ'!BG$128:BG$244,$BI38),INDEX('データ'!BG$249:BG$365,$BI38),INDEX('データ'!BG$370:BG$486,$BI38)),0)</f>
        <v>0.0</v>
      </c>
      <c r="BI38">
        <f>MATCH($B38&amp;"|全期間",'データ'!$A$7:$A$123,0)</f>
        <v>92</v>
      </c>
    </row>
    <row r="39" spans="2:61" ht="24" customHeight="1">
      <c r="B39" s="44" t="s">
        <v>190</v>
      </c>
      <c r="D39" s="48">
        <f>IFERROR(CHOOSE($A$3,INDEX('データ'!D$7:D$123,$BI39),INDEX('データ'!D$128:D$244,$BI39),INDEX('データ'!D$249:D$365,$BI39),INDEX('データ'!D$370:D$486,$BI39)),0)</f>
        <v>0.0</v>
      </c>
      <c r="E39" s="48">
        <f>IFERROR(CHOOSE($A$3,INDEX('データ'!E$7:E$123,$BI39),INDEX('データ'!E$128:E$244,$BI39),INDEX('データ'!E$249:E$365,$BI39),INDEX('データ'!E$370:E$486,$BI39)),0)</f>
        <v>0.0</v>
      </c>
      <c r="F39" s="48">
        <f>IFERROR(CHOOSE($A$3,INDEX('データ'!F$7:F$123,$BI39),INDEX('データ'!F$128:F$244,$BI39),INDEX('データ'!F$249:F$365,$BI39),INDEX('データ'!F$370:F$486,$BI39)),0)</f>
        <v>0.0</v>
      </c>
      <c r="G39" s="48">
        <f>IFERROR(CHOOSE($A$3,INDEX('データ'!G$7:G$123,$BI39),INDEX('データ'!G$128:G$244,$BI39),INDEX('データ'!G$249:G$365,$BI39),INDEX('データ'!G$370:G$486,$BI39)),0)</f>
        <v>2.0</v>
      </c>
      <c r="H39" s="48">
        <f>IFERROR(CHOOSE($A$3,INDEX('データ'!H$7:H$123,$BI39),INDEX('データ'!H$128:H$244,$BI39),INDEX('データ'!H$249:H$365,$BI39),INDEX('データ'!H$370:H$486,$BI39)),0)</f>
        <v>131.0</v>
      </c>
      <c r="I39" s="48">
        <f>IFERROR(CHOOSE($A$3,INDEX('データ'!I$7:I$123,$BI39),INDEX('データ'!I$128:I$244,$BI39),INDEX('データ'!I$249:I$365,$BI39),INDEX('データ'!I$370:I$486,$BI39)),0)</f>
        <v>745.0</v>
      </c>
      <c r="J39" s="48">
        <f>IFERROR(CHOOSE($A$3,INDEX('データ'!J$7:J$123,$BI39),INDEX('データ'!J$128:J$244,$BI39),INDEX('データ'!J$249:J$365,$BI39),INDEX('データ'!J$370:J$486,$BI39)),0)</f>
        <v>2248.0</v>
      </c>
      <c r="K39" s="48">
        <f>IFERROR(CHOOSE($A$3,INDEX('データ'!K$7:K$123,$BI39),INDEX('データ'!K$128:K$244,$BI39),INDEX('データ'!K$249:K$365,$BI39),INDEX('データ'!K$370:K$486,$BI39)),0)</f>
        <v>2149.0</v>
      </c>
      <c r="L39" s="48">
        <f>IFERROR(CHOOSE($A$3,INDEX('データ'!L$7:L$123,$BI39),INDEX('データ'!L$128:L$244,$BI39),INDEX('データ'!L$249:L$365,$BI39),INDEX('データ'!L$370:L$486,$BI39)),0)</f>
        <v>2636.0</v>
      </c>
      <c r="M39" s="48">
        <f>IFERROR(CHOOSE($A$3,INDEX('データ'!M$7:M$123,$BI39),INDEX('データ'!M$128:M$244,$BI39),INDEX('データ'!M$249:M$365,$BI39),INDEX('データ'!M$370:M$486,$BI39)),0)</f>
        <v>3086.0</v>
      </c>
      <c r="N39" s="48">
        <f>IFERROR(CHOOSE($A$3,INDEX('データ'!N$7:N$123,$BI39),INDEX('データ'!N$128:N$244,$BI39),INDEX('データ'!N$249:N$365,$BI39),INDEX('データ'!N$370:N$486,$BI39)),0)</f>
        <v>3270.0</v>
      </c>
      <c r="O39" s="48">
        <f>IFERROR(CHOOSE($A$3,INDEX('データ'!O$7:O$123,$BI39),INDEX('データ'!O$128:O$244,$BI39),INDEX('データ'!O$249:O$365,$BI39),INDEX('データ'!O$370:O$486,$BI39)),0)</f>
        <v>3418.0</v>
      </c>
      <c r="P39" s="48">
        <f>IFERROR(CHOOSE($A$3,INDEX('データ'!P$7:P$123,$BI39),INDEX('データ'!P$128:P$244,$BI39),INDEX('データ'!P$249:P$365,$BI39),INDEX('データ'!P$370:P$486,$BI39)),0)</f>
        <v>3569.0</v>
      </c>
      <c r="Q39" s="48">
        <f>IFERROR(CHOOSE($A$3,INDEX('データ'!Q$7:Q$123,$BI39),INDEX('データ'!Q$128:Q$244,$BI39),INDEX('データ'!Q$249:Q$365,$BI39),INDEX('データ'!Q$370:Q$486,$BI39)),0)</f>
        <v>3840.0</v>
      </c>
      <c r="R39" s="48">
        <f>IFERROR(CHOOSE($A$3,INDEX('データ'!R$7:R$123,$BI39),INDEX('データ'!R$128:R$244,$BI39),INDEX('データ'!R$249:R$365,$BI39),INDEX('データ'!R$370:R$486,$BI39)),0)</f>
        <v>3756.0</v>
      </c>
      <c r="S39" s="48">
        <f>IFERROR(CHOOSE($A$3,INDEX('データ'!S$7:S$123,$BI39),INDEX('データ'!S$128:S$244,$BI39),INDEX('データ'!S$249:S$365,$BI39),INDEX('データ'!S$370:S$486,$BI39)),0)</f>
        <v>3708.0</v>
      </c>
      <c r="T39" s="48">
        <f>IFERROR(CHOOSE($A$3,INDEX('データ'!T$7:T$123,$BI39),INDEX('データ'!T$128:T$244,$BI39),INDEX('データ'!T$249:T$365,$BI39),INDEX('データ'!T$370:T$486,$BI39)),0)</f>
        <v>3651.0</v>
      </c>
      <c r="U39" s="48">
        <f>IFERROR(CHOOSE($A$3,INDEX('データ'!U$7:U$123,$BI39),INDEX('データ'!U$128:U$244,$BI39),INDEX('データ'!U$249:U$365,$BI39),INDEX('データ'!U$370:U$486,$BI39)),0)</f>
        <v>3518.0</v>
      </c>
      <c r="V39" s="48">
        <f>IFERROR(CHOOSE($A$3,INDEX('データ'!V$7:V$123,$BI39),INDEX('データ'!V$128:V$244,$BI39),INDEX('データ'!V$249:V$365,$BI39),INDEX('データ'!V$370:V$486,$BI39)),0)</f>
        <v>3334.0</v>
      </c>
      <c r="W39" s="48">
        <f>IFERROR(CHOOSE($A$3,INDEX('データ'!W$7:W$123,$BI39),INDEX('データ'!W$128:W$244,$BI39),INDEX('データ'!W$249:W$365,$BI39),INDEX('データ'!W$370:W$486,$BI39)),0)</f>
        <v>3069.0</v>
      </c>
      <c r="X39" s="48">
        <f>IFERROR(CHOOSE($A$3,INDEX('データ'!X$7:X$123,$BI39),INDEX('データ'!X$128:X$244,$BI39),INDEX('データ'!X$249:X$365,$BI39),INDEX('データ'!X$370:X$486,$BI39)),0)</f>
        <v>2724.0</v>
      </c>
      <c r="Y39" s="48">
        <f>IFERROR(CHOOSE($A$3,INDEX('データ'!Y$7:Y$123,$BI39),INDEX('データ'!Y$128:Y$244,$BI39),INDEX('データ'!Y$249:Y$365,$BI39),INDEX('データ'!Y$370:Y$486,$BI39)),0)</f>
        <v>2617.0</v>
      </c>
      <c r="Z39" s="48">
        <f>IFERROR(CHOOSE($A$3,INDEX('データ'!Z$7:Z$123,$BI39),INDEX('データ'!Z$128:Z$244,$BI39),INDEX('データ'!Z$249:Z$365,$BI39),INDEX('データ'!Z$370:Z$486,$BI39)),0)</f>
        <v>2567.0</v>
      </c>
      <c r="AA39" s="48">
        <f>IFERROR(CHOOSE($A$3,INDEX('データ'!AA$7:AA$123,$BI39),INDEX('データ'!AA$128:AA$244,$BI39),INDEX('データ'!AA$249:AA$365,$BI39),INDEX('データ'!AA$370:AA$486,$BI39)),0)</f>
        <v>2514.0</v>
      </c>
      <c r="AB39" s="48">
        <f>IFERROR(CHOOSE($A$3,INDEX('データ'!AB$7:AB$123,$BI39),INDEX('データ'!AB$128:AB$244,$BI39),INDEX('データ'!AB$249:AB$365,$BI39),INDEX('データ'!AB$370:AB$486,$BI39)),0)</f>
        <v>2887.0</v>
      </c>
      <c r="AC39" s="48">
        <f>IFERROR(CHOOSE($A$3,INDEX('データ'!AC$7:AC$123,$BI39),INDEX('データ'!AC$128:AC$244,$BI39),INDEX('データ'!AC$249:AC$365,$BI39),INDEX('データ'!AC$370:AC$486,$BI39)),0)</f>
        <v>3186.0</v>
      </c>
      <c r="AD39" s="48">
        <f>IFERROR(CHOOSE($A$3,INDEX('データ'!AD$7:AD$123,$BI39),INDEX('データ'!AD$128:AD$244,$BI39),INDEX('データ'!AD$249:AD$365,$BI39),INDEX('データ'!AD$370:AD$486,$BI39)),0)</f>
        <v>3159.0</v>
      </c>
      <c r="AE39" s="48">
        <f>IFERROR(CHOOSE($A$3,INDEX('データ'!AE$7:AE$123,$BI39),INDEX('データ'!AE$128:AE$244,$BI39),INDEX('データ'!AE$249:AE$365,$BI39),INDEX('データ'!AE$370:AE$486,$BI39)),0)</f>
        <v>3357.0</v>
      </c>
      <c r="AF39" s="48">
        <f>IFERROR(CHOOSE($A$3,INDEX('データ'!AF$7:AF$123,$BI39),INDEX('データ'!AF$128:AF$244,$BI39),INDEX('データ'!AF$249:AF$365,$BI39),INDEX('データ'!AF$370:AF$486,$BI39)),0)</f>
        <v>3287.0</v>
      </c>
      <c r="AG39" s="48">
        <f>IFERROR(CHOOSE($A$3,INDEX('データ'!AG$7:AG$123,$BI39),INDEX('データ'!AG$128:AG$244,$BI39),INDEX('データ'!AG$249:AG$365,$BI39),INDEX('データ'!AG$370:AG$486,$BI39)),0)</f>
        <v>3256.0</v>
      </c>
      <c r="AH39" s="48">
        <f>IFERROR(CHOOSE($A$3,INDEX('データ'!AH$7:AH$123,$BI39),INDEX('データ'!AH$128:AH$244,$BI39),INDEX('データ'!AH$249:AH$365,$BI39),INDEX('データ'!AH$370:AH$486,$BI39)),0)</f>
        <v>3259.0</v>
      </c>
      <c r="AI39" s="48">
        <f>IFERROR(CHOOSE($A$3,INDEX('データ'!AI$7:AI$123,$BI39),INDEX('データ'!AI$128:AI$244,$BI39),INDEX('データ'!AI$249:AI$365,$BI39),INDEX('データ'!AI$370:AI$486,$BI39)),0)</f>
        <v>3096.0</v>
      </c>
      <c r="AJ39" s="48">
        <f>IFERROR(CHOOSE($A$3,INDEX('データ'!AJ$7:AJ$123,$BI39),INDEX('データ'!AJ$128:AJ$244,$BI39),INDEX('データ'!AJ$249:AJ$365,$BI39),INDEX('データ'!AJ$370:AJ$486,$BI39)),0)</f>
        <v>3185.0</v>
      </c>
      <c r="AK39" s="48">
        <f>IFERROR(CHOOSE($A$3,INDEX('データ'!AK$7:AK$123,$BI39),INDEX('データ'!AK$128:AK$244,$BI39),INDEX('データ'!AK$249:AK$365,$BI39),INDEX('データ'!AK$370:AK$486,$BI39)),0)</f>
        <v>3016.0</v>
      </c>
      <c r="AL39" s="48">
        <f>IFERROR(CHOOSE($A$3,INDEX('データ'!AL$7:AL$123,$BI39),INDEX('データ'!AL$128:AL$244,$BI39),INDEX('データ'!AL$249:AL$365,$BI39),INDEX('データ'!AL$370:AL$486,$BI39)),0)</f>
        <v>2912.0</v>
      </c>
      <c r="AM39" s="48">
        <f>IFERROR(CHOOSE($A$3,INDEX('データ'!AM$7:AM$123,$BI39),INDEX('データ'!AM$128:AM$244,$BI39),INDEX('データ'!AM$249:AM$365,$BI39),INDEX('データ'!AM$370:AM$486,$BI39)),0)</f>
        <v>2772.0</v>
      </c>
      <c r="AN39" s="48">
        <f>IFERROR(CHOOSE($A$3,INDEX('データ'!AN$7:AN$123,$BI39),INDEX('データ'!AN$128:AN$244,$BI39),INDEX('データ'!AN$249:AN$365,$BI39),INDEX('データ'!AN$370:AN$486,$BI39)),0)</f>
        <v>2733.0</v>
      </c>
      <c r="AO39" s="48">
        <f>IFERROR(CHOOSE($A$3,INDEX('データ'!AO$7:AO$123,$BI39),INDEX('データ'!AO$128:AO$244,$BI39),INDEX('データ'!AO$249:AO$365,$BI39),INDEX('データ'!AO$370:AO$486,$BI39)),0)</f>
        <v>2748.0</v>
      </c>
      <c r="AP39" s="48">
        <f>IFERROR(CHOOSE($A$3,INDEX('データ'!AP$7:AP$123,$BI39),INDEX('データ'!AP$128:AP$244,$BI39),INDEX('データ'!AP$249:AP$365,$BI39),INDEX('データ'!AP$370:AP$486,$BI39)),0)</f>
        <v>2568.0</v>
      </c>
      <c r="AQ39" s="48">
        <f>IFERROR(CHOOSE($A$3,INDEX('データ'!AQ$7:AQ$123,$BI39),INDEX('データ'!AQ$128:AQ$244,$BI39),INDEX('データ'!AQ$249:AQ$365,$BI39),INDEX('データ'!AQ$370:AQ$486,$BI39)),0)</f>
        <v>1915.0</v>
      </c>
      <c r="AR39" s="48">
        <f>IFERROR(CHOOSE($A$3,INDEX('データ'!AR$7:AR$123,$BI39),INDEX('データ'!AR$128:AR$244,$BI39),INDEX('データ'!AR$249:AR$365,$BI39),INDEX('データ'!AR$370:AR$486,$BI39)),0)</f>
        <v>789.0</v>
      </c>
      <c r="AS39" s="48">
        <f>IFERROR(CHOOSE($A$3,INDEX('データ'!AS$7:AS$123,$BI39),INDEX('データ'!AS$128:AS$244,$BI39),INDEX('データ'!AS$249:AS$365,$BI39),INDEX('データ'!AS$370:AS$486,$BI39)),0)</f>
        <v>28.0</v>
      </c>
      <c r="AT39" s="48">
        <f>IFERROR(CHOOSE($A$3,INDEX('データ'!AT$7:AT$123,$BI39),INDEX('データ'!AT$128:AT$244,$BI39),INDEX('データ'!AT$249:AT$365,$BI39),INDEX('データ'!AT$370:AT$486,$BI39)),0)</f>
        <v>23.0</v>
      </c>
      <c r="AU39" s="48">
        <f>IFERROR(CHOOSE($A$3,INDEX('データ'!AU$7:AU$123,$BI39),INDEX('データ'!AU$128:AU$244,$BI39),INDEX('データ'!AU$249:AU$365,$BI39),INDEX('データ'!AU$370:AU$486,$BI39)),0)</f>
        <v>22.0</v>
      </c>
      <c r="AV39" s="48">
        <f>IFERROR(CHOOSE($A$3,INDEX('データ'!AV$7:AV$123,$BI39),INDEX('データ'!AV$128:AV$244,$BI39),INDEX('データ'!AV$249:AV$365,$BI39),INDEX('データ'!AV$370:AV$486,$BI39)),0)</f>
        <v>9.0</v>
      </c>
      <c r="AW39" s="48">
        <f>IFERROR(CHOOSE($A$3,INDEX('データ'!AW$7:AW$123,$BI39),INDEX('データ'!AW$128:AW$244,$BI39),INDEX('データ'!AW$249:AW$365,$BI39),INDEX('データ'!AW$370:AW$486,$BI39)),0)</f>
        <v>2.0</v>
      </c>
      <c r="AX39" s="48">
        <f>IFERROR(CHOOSE($A$3,INDEX('データ'!AX$7:AX$123,$BI39),INDEX('データ'!AX$128:AX$244,$BI39),INDEX('データ'!AX$249:AX$365,$BI39),INDEX('データ'!AX$370:AX$486,$BI39)),0)</f>
        <v>1.0</v>
      </c>
      <c r="AY39" s="48">
        <f>IFERROR(CHOOSE($A$3,INDEX('データ'!AY$7:AY$123,$BI39),INDEX('データ'!AY$128:AY$244,$BI39),INDEX('データ'!AY$249:AY$365,$BI39),INDEX('データ'!AY$370:AY$486,$BI39)),0)</f>
        <v>2.0</v>
      </c>
      <c r="AZ39" s="48">
        <f>IFERROR(CHOOSE($A$3,INDEX('データ'!AZ$7:AZ$123,$BI39),INDEX('データ'!AZ$128:AZ$244,$BI39),INDEX('データ'!AZ$249:AZ$365,$BI39),INDEX('データ'!AZ$370:AZ$486,$BI39)),0)</f>
        <v>0.0</v>
      </c>
      <c r="BA39" s="48">
        <f>IFERROR(CHOOSE($A$3,INDEX('データ'!BA$7:BA$123,$BI39),INDEX('データ'!BA$128:BA$244,$BI39),INDEX('データ'!BA$249:BA$365,$BI39),INDEX('データ'!BA$370:BA$486,$BI39)),0)</f>
        <v>0.0</v>
      </c>
      <c r="BB39" s="48">
        <f>IFERROR(CHOOSE($A$3,INDEX('データ'!BB$7:BB$123,$BI39),INDEX('データ'!BB$128:BB$244,$BI39),INDEX('データ'!BB$249:BB$365,$BI39),INDEX('データ'!BB$370:BB$486,$BI39)),0)</f>
        <v>0.0</v>
      </c>
      <c r="BC39" s="48">
        <f>IFERROR(CHOOSE($A$3,INDEX('データ'!BC$7:BC$123,$BI39),INDEX('データ'!BC$128:BC$244,$BI39),INDEX('データ'!BC$249:BC$365,$BI39),INDEX('データ'!BC$370:BC$486,$BI39)),0)</f>
        <v>0.0</v>
      </c>
      <c r="BD39" s="48">
        <f>IFERROR(CHOOSE($A$3,INDEX('データ'!BD$7:BD$123,$BI39),INDEX('データ'!BD$128:BD$244,$BI39),INDEX('データ'!BD$249:BD$365,$BI39),INDEX('データ'!BD$370:BD$486,$BI39)),0)</f>
        <v>0.0</v>
      </c>
      <c r="BE39" s="48">
        <f>IFERROR(CHOOSE($A$3,INDEX('データ'!BE$7:BE$123,$BI39),INDEX('データ'!BE$128:BE$244,$BI39),INDEX('データ'!BE$249:BE$365,$BI39),INDEX('データ'!BE$370:BE$486,$BI39)),0)</f>
        <v>0.0</v>
      </c>
      <c r="BF39" s="48">
        <f>IFERROR(CHOOSE($A$3,INDEX('データ'!BF$7:BF$123,$BI39),INDEX('データ'!BF$128:BF$244,$BI39),INDEX('データ'!BF$249:BF$365,$BI39),INDEX('データ'!BF$370:BF$486,$BI39)),0)</f>
        <v>0.0</v>
      </c>
      <c r="BG39" s="48">
        <f>IFERROR(CHOOSE($A$3,INDEX('データ'!BG$7:BG$123,$BI39),INDEX('データ'!BG$128:BG$244,$BI39),INDEX('データ'!BG$249:BG$365,$BI39),INDEX('データ'!BG$370:BG$486,$BI39)),0)</f>
        <v>0.0</v>
      </c>
      <c r="BI39">
        <f>MATCH($B39&amp;"|全期間",'データ'!$A$7:$A$123,0)</f>
        <v>105</v>
      </c>
    </row>
    <row r="41" spans="2:61">
      <c r="B41" s="6" t="s">
        <v>476</v>
      </c>
      <c r="D41" s="49"/>
      <c r="E41" s="49"/>
      <c r="F41" s="50"/>
      <c r="G41" s="50"/>
      <c r="H41" s="51"/>
      <c r="I41" s="51"/>
      <c r="J41" s="52"/>
      <c r="K41" s="52"/>
      <c r="L41" s="53"/>
      <c r="M41" s="53"/>
      <c r="O41" s="11" t="s">
        <v>477</v>
      </c>
    </row>
    <row r="43" spans="2:61">
      <c r="B43" s="11" t="s">
        <v>478</v>
      </c>
    </row>
  </sheetData>
  <mergeCells count="48">
    <mergeCell ref="B1:BG1"/>
    <mergeCell ref="E3:G3"/>
    <mergeCell ref="H3:N3"/>
    <mergeCell ref="B5:AZ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B15:AZ15"/>
    <mergeCell ref="D16:G16"/>
    <mergeCell ref="H16:K16"/>
    <mergeCell ref="L16:O16"/>
    <mergeCell ref="P16:S16"/>
    <mergeCell ref="T16:W16"/>
    <mergeCell ref="X16:AA16"/>
    <mergeCell ref="AB16:AE16"/>
    <mergeCell ref="AF16:AI16"/>
    <mergeCell ref="AJ16:AM16"/>
    <mergeCell ref="AN16:AQ16"/>
    <mergeCell ref="AR16:AU16"/>
    <mergeCell ref="AV16:AY16"/>
    <mergeCell ref="AZ16:BC16"/>
    <mergeCell ref="BD16:BG16"/>
    <mergeCell ref="B30:AZ30"/>
    <mergeCell ref="D31:G31"/>
    <mergeCell ref="H31:K31"/>
    <mergeCell ref="L31:O31"/>
    <mergeCell ref="P31:S31"/>
    <mergeCell ref="T31:W31"/>
    <mergeCell ref="X31:AA31"/>
    <mergeCell ref="AB31:AE31"/>
    <mergeCell ref="AF31:AI31"/>
    <mergeCell ref="AJ31:AM31"/>
    <mergeCell ref="AN31:AQ31"/>
    <mergeCell ref="AR31:AU31"/>
    <mergeCell ref="AV31:AY31"/>
    <mergeCell ref="AZ31:BC31"/>
    <mergeCell ref="BD31:BG31"/>
  </mergeCells>
  <conditionalFormatting sqref="D17:BG28">
    <cfRule type="colorScale" priority="2">
      <colorScale>
        <cfvo type="min" val="0"/>
        <cfvo type="percentile" val="50"/>
        <cfvo type="max" val="0"/>
        <color rgb="FFF4F7FA"/>
        <color rgb="FF9DB9D5"/>
        <color rgb="FF1F4E79"/>
      </colorScale>
    </cfRule>
  </conditionalFormatting>
  <conditionalFormatting sqref="D32:BG32">
    <cfRule type="colorScale" priority="3">
      <colorScale>
        <cfvo type="min" val="0"/>
        <cfvo type="percentile" val="50"/>
        <cfvo type="max" val="0"/>
        <color rgb="FFF4F7FA"/>
        <color rgb="FF9DB9D5"/>
        <color rgb="FF1F4E79"/>
      </colorScale>
    </cfRule>
  </conditionalFormatting>
  <conditionalFormatting sqref="D33:BG33">
    <cfRule type="colorScale" priority="4">
      <colorScale>
        <cfvo type="min" val="0"/>
        <cfvo type="percentile" val="50"/>
        <cfvo type="max" val="0"/>
        <color rgb="FFF4F7FA"/>
        <color rgb="FF9DB9D5"/>
        <color rgb="FF1F4E79"/>
      </colorScale>
    </cfRule>
  </conditionalFormatting>
  <conditionalFormatting sqref="D34:BG34">
    <cfRule type="colorScale" priority="5">
      <colorScale>
        <cfvo type="min" val="0"/>
        <cfvo type="percentile" val="50"/>
        <cfvo type="max" val="0"/>
        <color rgb="FFF4F7FA"/>
        <color rgb="FF9DB9D5"/>
        <color rgb="FF1F4E79"/>
      </colorScale>
    </cfRule>
  </conditionalFormatting>
  <conditionalFormatting sqref="D35:BG35">
    <cfRule type="colorScale" priority="6">
      <colorScale>
        <cfvo type="min" val="0"/>
        <cfvo type="percentile" val="50"/>
        <cfvo type="max" val="0"/>
        <color rgb="FFF4F7FA"/>
        <color rgb="FF9DB9D5"/>
        <color rgb="FF1F4E79"/>
      </colorScale>
    </cfRule>
  </conditionalFormatting>
  <conditionalFormatting sqref="D36:BG36">
    <cfRule type="colorScale" priority="7">
      <colorScale>
        <cfvo type="min" val="0"/>
        <cfvo type="percentile" val="50"/>
        <cfvo type="max" val="0"/>
        <color rgb="FFF4F7FA"/>
        <color rgb="FF9DB9D5"/>
        <color rgb="FF1F4E79"/>
      </colorScale>
    </cfRule>
  </conditionalFormatting>
  <conditionalFormatting sqref="D37:BG37">
    <cfRule type="colorScale" priority="8">
      <colorScale>
        <cfvo type="min" val="0"/>
        <cfvo type="percentile" val="50"/>
        <cfvo type="max" val="0"/>
        <color rgb="FFF4F7FA"/>
        <color rgb="FF9DB9D5"/>
        <color rgb="FF1F4E79"/>
      </colorScale>
    </cfRule>
  </conditionalFormatting>
  <conditionalFormatting sqref="D38:BG38">
    <cfRule type="colorScale" priority="9">
      <colorScale>
        <cfvo type="min" val="0"/>
        <cfvo type="percentile" val="50"/>
        <cfvo type="max" val="0"/>
        <color rgb="FFF4F7FA"/>
        <color rgb="FF9DB9D5"/>
        <color rgb="FF1F4E79"/>
      </colorScale>
    </cfRule>
  </conditionalFormatting>
  <conditionalFormatting sqref="D39:BG39">
    <cfRule type="colorScale" priority="10">
      <colorScale>
        <cfvo type="min" val="0"/>
        <cfvo type="percentile" val="50"/>
        <cfvo type="max" val="0"/>
        <color rgb="FFF4F7FA"/>
        <color rgb="FF9DB9D5"/>
        <color rgb="FF1F4E79"/>
      </colorScale>
    </cfRule>
  </conditionalFormatting>
  <conditionalFormatting sqref="D7:BG13">
    <cfRule type="colorScale" priority="1">
      <colorScale>
        <cfvo type="min" val="0"/>
        <cfvo type="percentile" val="50"/>
        <cfvo type="max" val="0"/>
        <color rgb="FFF4F7FA"/>
        <color rgb="FF9DB9D5"/>
        <color rgb="FF1F4E79"/>
      </colorScale>
    </cfRule>
  </conditionalFormatting>
  <dataValidations count="2">
    <dataValidation type="list" allowBlank="1" showInputMessage="1" showErrorMessage="1" errorTitle="入力エラー" error="リストから選択してください。" sqref="C3">
      <formula1>'計算'!$A$300:$A$308</formula1>
    </dataValidation>
    <dataValidation type="list" allowBlank="1" showInputMessage="1" showErrorMessage="1" errorTitle="入力エラー" error="リストから選択してください。" sqref="H3">
      <formula1>'計算'!$A$310:$A$313</formula1>
    </dataValidation>
  </dataValidations>
  <pageMargins left="0.7" right="0.7" top="0.75" bottom="0.75" header="0.3" footer="0.3"/>
  <pageSetup paperSize="9"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>
          <x14:colorSeries rgb="FF4472C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ヒートマップ!D39:BG39</xm:f>
              <xm:sqref>C39</xm:sqref>
            </x14:sparkline>
          </x14:sparklines>
        </x14:sparklineGroup>
        <x14:sparklineGroup lineWeight="1.5" displayEmptyCellsAs="gap">
          <x14:colorSeries rgb="FF4472C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ヒートマップ!D38:BG38</xm:f>
              <xm:sqref>C38</xm:sqref>
            </x14:sparkline>
          </x14:sparklines>
        </x14:sparklineGroup>
        <x14:sparklineGroup lineWeight="1.5" displayEmptyCellsAs="gap">
          <x14:colorSeries rgb="FF4472C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ヒートマップ!D37:BG37</xm:f>
              <xm:sqref>C37</xm:sqref>
            </x14:sparkline>
          </x14:sparklines>
        </x14:sparklineGroup>
        <x14:sparklineGroup lineWeight="1.5" displayEmptyCellsAs="gap">
          <x14:colorSeries rgb="FF4472C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ヒートマップ!D36:BG36</xm:f>
              <xm:sqref>C36</xm:sqref>
            </x14:sparkline>
          </x14:sparklines>
        </x14:sparklineGroup>
        <x14:sparklineGroup lineWeight="1.5" displayEmptyCellsAs="gap">
          <x14:colorSeries rgb="FF4472C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ヒートマップ!D35:BG35</xm:f>
              <xm:sqref>C35</xm:sqref>
            </x14:sparkline>
          </x14:sparklines>
        </x14:sparklineGroup>
        <x14:sparklineGroup lineWeight="1.5" displayEmptyCellsAs="gap">
          <x14:colorSeries rgb="FF4472C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ヒートマップ!D34:BG34</xm:f>
              <xm:sqref>C34</xm:sqref>
            </x14:sparkline>
          </x14:sparklines>
        </x14:sparklineGroup>
        <x14:sparklineGroup lineWeight="1.5" displayEmptyCellsAs="gap">
          <x14:colorSeries rgb="FF4472C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ヒートマップ!D33:BG33</xm:f>
              <xm:sqref>C33</xm:sqref>
            </x14:sparkline>
          </x14:sparklines>
        </x14:sparklineGroup>
        <x14:sparklineGroup lineWeight="1.5" displayEmptyCellsAs="gap">
          <x14:colorSeries rgb="FF4472C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ヒートマップ!D32:BG32</xm:f>
              <xm:sqref>C32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48"/>
  <sheetViews>
    <sheetView showGridLines="0" workbookViewId="0"/>
  </sheetViews>
  <sheetFormatPr defaultRowHeight="15"/>
  <cols>
    <col min="1" max="1" width="2.7109375" hidden="1" customWidth="1"/>
    <col min="2" max="33" width="7.85546875" customWidth="1"/>
  </cols>
  <sheetData>
    <row r="1" spans="1:33" ht="34" customHeight="1">
      <c r="B1" s="1" t="s">
        <v>479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>
        <f>MATCH($C$3,'データ'!$B$879:$J$879,0)</f>
        <v>1</v>
      </c>
    </row>
    <row r="3" spans="1:33">
      <c r="A3">
        <f>MATCH($G$3,'計算'!$A$310:$A$312,0)</f>
        <v>1</v>
      </c>
      <c r="B3" s="8" t="s">
        <v>4</v>
      </c>
      <c r="C3" s="9" t="s">
        <v>65</v>
      </c>
      <c r="E3" s="8" t="s">
        <v>456</v>
      </c>
      <c r="F3" s="8"/>
      <c r="G3" s="9" t="s">
        <v>387</v>
      </c>
      <c r="H3" s="9"/>
      <c r="I3" s="9"/>
      <c r="K3" s="11" t="s">
        <v>480</v>
      </c>
    </row>
    <row r="5" spans="1:33">
      <c r="B5" s="54" t="s">
        <v>481</v>
      </c>
      <c r="C5" s="54"/>
      <c r="D5" s="54"/>
      <c r="E5" s="54"/>
      <c r="F5" s="54"/>
      <c r="G5" s="54"/>
      <c r="H5" s="54"/>
      <c r="J5" s="54" t="s">
        <v>482</v>
      </c>
      <c r="K5" s="54"/>
      <c r="L5" s="54"/>
      <c r="M5" s="54"/>
      <c r="N5" s="54"/>
      <c r="O5" s="54"/>
      <c r="P5" s="54"/>
      <c r="R5" s="54" t="s">
        <v>483</v>
      </c>
      <c r="S5" s="54"/>
      <c r="T5" s="54"/>
      <c r="U5" s="54"/>
      <c r="V5" s="54"/>
      <c r="W5" s="54"/>
      <c r="X5" s="54"/>
      <c r="Z5" s="54" t="s">
        <v>484</v>
      </c>
      <c r="AA5" s="54"/>
      <c r="AB5" s="54"/>
      <c r="AC5" s="54"/>
      <c r="AD5" s="54"/>
      <c r="AE5" s="54"/>
      <c r="AF5" s="54"/>
    </row>
    <row r="6" spans="1:33">
      <c r="B6" s="55" t="s">
        <v>5</v>
      </c>
      <c r="C6" s="55" t="s">
        <v>210</v>
      </c>
      <c r="D6" s="55" t="s">
        <v>212</v>
      </c>
      <c r="E6" s="55" t="s">
        <v>214</v>
      </c>
      <c r="F6" s="55" t="s">
        <v>216</v>
      </c>
      <c r="G6" s="56" t="s">
        <v>218</v>
      </c>
      <c r="H6" s="57" t="s">
        <v>220</v>
      </c>
      <c r="J6" s="55" t="s">
        <v>5</v>
      </c>
      <c r="K6" s="55" t="s">
        <v>210</v>
      </c>
      <c r="L6" s="55" t="s">
        <v>212</v>
      </c>
      <c r="M6" s="55" t="s">
        <v>214</v>
      </c>
      <c r="N6" s="55" t="s">
        <v>216</v>
      </c>
      <c r="O6" s="56" t="s">
        <v>218</v>
      </c>
      <c r="P6" s="57" t="s">
        <v>220</v>
      </c>
      <c r="R6" s="55" t="s">
        <v>5</v>
      </c>
      <c r="S6" s="55" t="s">
        <v>210</v>
      </c>
      <c r="T6" s="55" t="s">
        <v>212</v>
      </c>
      <c r="U6" s="55" t="s">
        <v>214</v>
      </c>
      <c r="V6" s="55" t="s">
        <v>216</v>
      </c>
      <c r="W6" s="56" t="s">
        <v>218</v>
      </c>
      <c r="X6" s="57" t="s">
        <v>220</v>
      </c>
      <c r="Z6" s="55" t="s">
        <v>5</v>
      </c>
      <c r="AA6" s="55" t="s">
        <v>210</v>
      </c>
      <c r="AB6" s="55" t="s">
        <v>212</v>
      </c>
      <c r="AC6" s="55" t="s">
        <v>214</v>
      </c>
      <c r="AD6" s="55" t="s">
        <v>216</v>
      </c>
      <c r="AE6" s="56" t="s">
        <v>218</v>
      </c>
      <c r="AF6" s="57" t="s">
        <v>220</v>
      </c>
    </row>
    <row r="7" spans="1:33" ht="13" customHeight="1">
      <c r="B7" s="58">
        <f>DATE(2025,4,1)-WEEKDAY(DATE(2025,4,1),2)+1</f>
        <v>45747</v>
      </c>
      <c r="C7" s="58">
        <f>DATE(2025,4,1)-WEEKDAY(DATE(2025,4,1),2)+2</f>
        <v>45748</v>
      </c>
      <c r="D7" s="58">
        <f>DATE(2025,4,1)-WEEKDAY(DATE(2025,4,1),2)+3</f>
        <v>45749</v>
      </c>
      <c r="E7" s="58">
        <f>DATE(2025,4,1)-WEEKDAY(DATE(2025,4,1),2)+4</f>
        <v>45750</v>
      </c>
      <c r="F7" s="58">
        <f>DATE(2025,4,1)-WEEKDAY(DATE(2025,4,1),2)+5</f>
        <v>45751</v>
      </c>
      <c r="G7" s="58">
        <f>DATE(2025,4,1)-WEEKDAY(DATE(2025,4,1),2)+6</f>
        <v>45752</v>
      </c>
      <c r="H7" s="58">
        <f>DATE(2025,4,1)-WEEKDAY(DATE(2025,4,1),2)+7</f>
        <v>45753</v>
      </c>
      <c r="J7" s="58">
        <f>DATE(2025,5,1)-WEEKDAY(DATE(2025,5,1),2)+1</f>
        <v>45775</v>
      </c>
      <c r="K7" s="58">
        <f>DATE(2025,5,1)-WEEKDAY(DATE(2025,5,1),2)+2</f>
        <v>45776</v>
      </c>
      <c r="L7" s="58">
        <f>DATE(2025,5,1)-WEEKDAY(DATE(2025,5,1),2)+3</f>
        <v>45777</v>
      </c>
      <c r="M7" s="58">
        <f>DATE(2025,5,1)-WEEKDAY(DATE(2025,5,1),2)+4</f>
        <v>45778</v>
      </c>
      <c r="N7" s="58">
        <f>DATE(2025,5,1)-WEEKDAY(DATE(2025,5,1),2)+5</f>
        <v>45779</v>
      </c>
      <c r="O7" s="58">
        <f>DATE(2025,5,1)-WEEKDAY(DATE(2025,5,1),2)+6</f>
        <v>45780</v>
      </c>
      <c r="P7" s="58">
        <f>DATE(2025,5,1)-WEEKDAY(DATE(2025,5,1),2)+7</f>
        <v>45781</v>
      </c>
      <c r="R7" s="58">
        <f>DATE(2025,6,1)-WEEKDAY(DATE(2025,6,1),2)+1</f>
        <v>45803</v>
      </c>
      <c r="S7" s="58">
        <f>DATE(2025,6,1)-WEEKDAY(DATE(2025,6,1),2)+2</f>
        <v>45804</v>
      </c>
      <c r="T7" s="58">
        <f>DATE(2025,6,1)-WEEKDAY(DATE(2025,6,1),2)+3</f>
        <v>45805</v>
      </c>
      <c r="U7" s="58">
        <f>DATE(2025,6,1)-WEEKDAY(DATE(2025,6,1),2)+4</f>
        <v>45806</v>
      </c>
      <c r="V7" s="58">
        <f>DATE(2025,6,1)-WEEKDAY(DATE(2025,6,1),2)+5</f>
        <v>45807</v>
      </c>
      <c r="W7" s="58">
        <f>DATE(2025,6,1)-WEEKDAY(DATE(2025,6,1),2)+6</f>
        <v>45808</v>
      </c>
      <c r="X7" s="58">
        <f>DATE(2025,6,1)-WEEKDAY(DATE(2025,6,1),2)+7</f>
        <v>45809</v>
      </c>
      <c r="Z7" s="58">
        <f>DATE(2025,7,1)-WEEKDAY(DATE(2025,7,1),2)+1</f>
        <v>45838</v>
      </c>
      <c r="AA7" s="58">
        <f>DATE(2025,7,1)-WEEKDAY(DATE(2025,7,1),2)+2</f>
        <v>45839</v>
      </c>
      <c r="AB7" s="58">
        <f>DATE(2025,7,1)-WEEKDAY(DATE(2025,7,1),2)+3</f>
        <v>45840</v>
      </c>
      <c r="AC7" s="58">
        <f>DATE(2025,7,1)-WEEKDAY(DATE(2025,7,1),2)+4</f>
        <v>45841</v>
      </c>
      <c r="AD7" s="58">
        <f>DATE(2025,7,1)-WEEKDAY(DATE(2025,7,1),2)+5</f>
        <v>45842</v>
      </c>
      <c r="AE7" s="58">
        <f>DATE(2025,7,1)-WEEKDAY(DATE(2025,7,1),2)+6</f>
        <v>45843</v>
      </c>
      <c r="AF7" s="58">
        <f>DATE(2025,7,1)-WEEKDAY(DATE(2025,7,1),2)+7</f>
        <v>45844</v>
      </c>
    </row>
    <row r="8" spans="1:33" ht="21" customHeight="1">
      <c r="B8" s="59">
        <f>IF(MONTH(B7)=4,IF(IFERROR(CHOOSE($A$3,INDEX('データ'!$B$880:$J$1244,MATCH(B7,'データ'!$A$880:$A$1244,0),$A$2),INDEX('データ'!$L$880:$T$1244,MATCH(B7,'データ'!$A$880:$A$1244,0),$A$2),INDEX('データ'!$V$880:$AD$1244,MATCH(B7,'データ'!$A$880:$A$1244,0),$A$2)),0)=0,"",CHOOSE($A$3,INDEX('データ'!$B$880:$J$1244,MATCH(B7,'データ'!$A$880:$A$1244,0),$A$2),INDEX('データ'!$L$880:$T$1244,MATCH(B7,'データ'!$A$880:$A$1244,0),$A$2),INDEX('データ'!$V$880:$AD$1244,MATCH(B7,'データ'!$A$880:$A$1244,0),$A$2))),"")</f>
        <v/>
      </c>
      <c r="C8" s="59">
        <f>IF(MONTH(C7)=4,IF(IFERROR(CHOOSE($A$3,INDEX('データ'!$B$880:$J$1244,MATCH(C7,'データ'!$A$880:$A$1244,0),$A$2),INDEX('データ'!$L$880:$T$1244,MATCH(C7,'データ'!$A$880:$A$1244,0),$A$2),INDEX('データ'!$V$880:$AD$1244,MATCH(C7,'データ'!$A$880:$A$1244,0),$A$2)),0)=0,"",CHOOSE($A$3,INDEX('データ'!$B$880:$J$1244,MATCH(C7,'データ'!$A$880:$A$1244,0),$A$2),INDEX('データ'!$L$880:$T$1244,MATCH(C7,'データ'!$A$880:$A$1244,0),$A$2),INDEX('データ'!$V$880:$AD$1244,MATCH(C7,'データ'!$A$880:$A$1244,0),$A$2))),"")</f>
        <v>4032</v>
      </c>
      <c r="D8" s="59">
        <f>IF(MONTH(D7)=4,IF(IFERROR(CHOOSE($A$3,INDEX('データ'!$B$880:$J$1244,MATCH(D7,'データ'!$A$880:$A$1244,0),$A$2),INDEX('データ'!$L$880:$T$1244,MATCH(D7,'データ'!$A$880:$A$1244,0),$A$2),INDEX('データ'!$V$880:$AD$1244,MATCH(D7,'データ'!$A$880:$A$1244,0),$A$2)),0)=0,"",CHOOSE($A$3,INDEX('データ'!$B$880:$J$1244,MATCH(D7,'データ'!$A$880:$A$1244,0),$A$2),INDEX('データ'!$L$880:$T$1244,MATCH(D7,'データ'!$A$880:$A$1244,0),$A$2),INDEX('データ'!$V$880:$AD$1244,MATCH(D7,'データ'!$A$880:$A$1244,0),$A$2))),"")</f>
        <v>3588</v>
      </c>
      <c r="E8" s="59">
        <f>IF(MONTH(E7)=4,IF(IFERROR(CHOOSE($A$3,INDEX('データ'!$B$880:$J$1244,MATCH(E7,'データ'!$A$880:$A$1244,0),$A$2),INDEX('データ'!$L$880:$T$1244,MATCH(E7,'データ'!$A$880:$A$1244,0),$A$2),INDEX('データ'!$V$880:$AD$1244,MATCH(E7,'データ'!$A$880:$A$1244,0),$A$2)),0)=0,"",CHOOSE($A$3,INDEX('データ'!$B$880:$J$1244,MATCH(E7,'データ'!$A$880:$A$1244,0),$A$2),INDEX('データ'!$L$880:$T$1244,MATCH(E7,'データ'!$A$880:$A$1244,0),$A$2),INDEX('データ'!$V$880:$AD$1244,MATCH(E7,'データ'!$A$880:$A$1244,0),$A$2))),"")</f>
        <v>3560</v>
      </c>
      <c r="F8" s="59">
        <f>IF(MONTH(F7)=4,IF(IFERROR(CHOOSE($A$3,INDEX('データ'!$B$880:$J$1244,MATCH(F7,'データ'!$A$880:$A$1244,0),$A$2),INDEX('データ'!$L$880:$T$1244,MATCH(F7,'データ'!$A$880:$A$1244,0),$A$2),INDEX('データ'!$V$880:$AD$1244,MATCH(F7,'データ'!$A$880:$A$1244,0),$A$2)),0)=0,"",CHOOSE($A$3,INDEX('データ'!$B$880:$J$1244,MATCH(F7,'データ'!$A$880:$A$1244,0),$A$2),INDEX('データ'!$L$880:$T$1244,MATCH(F7,'データ'!$A$880:$A$1244,0),$A$2),INDEX('データ'!$V$880:$AD$1244,MATCH(F7,'データ'!$A$880:$A$1244,0),$A$2))),"")</f>
        <v>3487</v>
      </c>
      <c r="G8" s="59">
        <f>IF(MONTH(G7)=4,IF(IFERROR(CHOOSE($A$3,INDEX('データ'!$B$880:$J$1244,MATCH(G7,'データ'!$A$880:$A$1244,0),$A$2),INDEX('データ'!$L$880:$T$1244,MATCH(G7,'データ'!$A$880:$A$1244,0),$A$2),INDEX('データ'!$V$880:$AD$1244,MATCH(G7,'データ'!$A$880:$A$1244,0),$A$2)),0)=0,"",CHOOSE($A$3,INDEX('データ'!$B$880:$J$1244,MATCH(G7,'データ'!$A$880:$A$1244,0),$A$2),INDEX('データ'!$L$880:$T$1244,MATCH(G7,'データ'!$A$880:$A$1244,0),$A$2),INDEX('データ'!$V$880:$AD$1244,MATCH(G7,'データ'!$A$880:$A$1244,0),$A$2))),"")</f>
        <v/>
      </c>
      <c r="H8" s="59">
        <f>IF(MONTH(H7)=4,IF(IFERROR(CHOOSE($A$3,INDEX('データ'!$B$880:$J$1244,MATCH(H7,'データ'!$A$880:$A$1244,0),$A$2),INDEX('データ'!$L$880:$T$1244,MATCH(H7,'データ'!$A$880:$A$1244,0),$A$2),INDEX('データ'!$V$880:$AD$1244,MATCH(H7,'データ'!$A$880:$A$1244,0),$A$2)),0)=0,"",CHOOSE($A$3,INDEX('データ'!$B$880:$J$1244,MATCH(H7,'データ'!$A$880:$A$1244,0),$A$2),INDEX('データ'!$L$880:$T$1244,MATCH(H7,'データ'!$A$880:$A$1244,0),$A$2),INDEX('データ'!$V$880:$AD$1244,MATCH(H7,'データ'!$A$880:$A$1244,0),$A$2))),"")</f>
        <v/>
      </c>
      <c r="J8" s="59">
        <f>IF(MONTH(J7)=5,IF(IFERROR(CHOOSE($A$3,INDEX('データ'!$B$880:$J$1244,MATCH(J7,'データ'!$A$880:$A$1244,0),$A$2),INDEX('データ'!$L$880:$T$1244,MATCH(J7,'データ'!$A$880:$A$1244,0),$A$2),INDEX('データ'!$V$880:$AD$1244,MATCH(J7,'データ'!$A$880:$A$1244,0),$A$2)),0)=0,"",CHOOSE($A$3,INDEX('データ'!$B$880:$J$1244,MATCH(J7,'データ'!$A$880:$A$1244,0),$A$2),INDEX('データ'!$L$880:$T$1244,MATCH(J7,'データ'!$A$880:$A$1244,0),$A$2),INDEX('データ'!$V$880:$AD$1244,MATCH(J7,'データ'!$A$880:$A$1244,0),$A$2))),"")</f>
        <v/>
      </c>
      <c r="K8" s="59">
        <f>IF(MONTH(K7)=5,IF(IFERROR(CHOOSE($A$3,INDEX('データ'!$B$880:$J$1244,MATCH(K7,'データ'!$A$880:$A$1244,0),$A$2),INDEX('データ'!$L$880:$T$1244,MATCH(K7,'データ'!$A$880:$A$1244,0),$A$2),INDEX('データ'!$V$880:$AD$1244,MATCH(K7,'データ'!$A$880:$A$1244,0),$A$2)),0)=0,"",CHOOSE($A$3,INDEX('データ'!$B$880:$J$1244,MATCH(K7,'データ'!$A$880:$A$1244,0),$A$2),INDEX('データ'!$L$880:$T$1244,MATCH(K7,'データ'!$A$880:$A$1244,0),$A$2),INDEX('データ'!$V$880:$AD$1244,MATCH(K7,'データ'!$A$880:$A$1244,0),$A$2))),"")</f>
        <v/>
      </c>
      <c r="L8" s="59">
        <f>IF(MONTH(L7)=5,IF(IFERROR(CHOOSE($A$3,INDEX('データ'!$B$880:$J$1244,MATCH(L7,'データ'!$A$880:$A$1244,0),$A$2),INDEX('データ'!$L$880:$T$1244,MATCH(L7,'データ'!$A$880:$A$1244,0),$A$2),INDEX('データ'!$V$880:$AD$1244,MATCH(L7,'データ'!$A$880:$A$1244,0),$A$2)),0)=0,"",CHOOSE($A$3,INDEX('データ'!$B$880:$J$1244,MATCH(L7,'データ'!$A$880:$A$1244,0),$A$2),INDEX('データ'!$L$880:$T$1244,MATCH(L7,'データ'!$A$880:$A$1244,0),$A$2),INDEX('データ'!$V$880:$AD$1244,MATCH(L7,'データ'!$A$880:$A$1244,0),$A$2))),"")</f>
        <v/>
      </c>
      <c r="M8" s="59">
        <f>IF(MONTH(M7)=5,IF(IFERROR(CHOOSE($A$3,INDEX('データ'!$B$880:$J$1244,MATCH(M7,'データ'!$A$880:$A$1244,0),$A$2),INDEX('データ'!$L$880:$T$1244,MATCH(M7,'データ'!$A$880:$A$1244,0),$A$2),INDEX('データ'!$V$880:$AD$1244,MATCH(M7,'データ'!$A$880:$A$1244,0),$A$2)),0)=0,"",CHOOSE($A$3,INDEX('データ'!$B$880:$J$1244,MATCH(M7,'データ'!$A$880:$A$1244,0),$A$2),INDEX('データ'!$L$880:$T$1244,MATCH(M7,'データ'!$A$880:$A$1244,0),$A$2),INDEX('データ'!$V$880:$AD$1244,MATCH(M7,'データ'!$A$880:$A$1244,0),$A$2))),"")</f>
        <v>3842</v>
      </c>
      <c r="N8" s="59">
        <f>IF(MONTH(N7)=5,IF(IFERROR(CHOOSE($A$3,INDEX('データ'!$B$880:$J$1244,MATCH(N7,'データ'!$A$880:$A$1244,0),$A$2),INDEX('データ'!$L$880:$T$1244,MATCH(N7,'データ'!$A$880:$A$1244,0),$A$2),INDEX('データ'!$V$880:$AD$1244,MATCH(N7,'データ'!$A$880:$A$1244,0),$A$2)),0)=0,"",CHOOSE($A$3,INDEX('データ'!$B$880:$J$1244,MATCH(N7,'データ'!$A$880:$A$1244,0),$A$2),INDEX('データ'!$L$880:$T$1244,MATCH(N7,'データ'!$A$880:$A$1244,0),$A$2),INDEX('データ'!$V$880:$AD$1244,MATCH(N7,'データ'!$A$880:$A$1244,0),$A$2))),"")</f>
        <v>3546</v>
      </c>
      <c r="O8" s="59">
        <f>IF(MONTH(O7)=5,IF(IFERROR(CHOOSE($A$3,INDEX('データ'!$B$880:$J$1244,MATCH(O7,'データ'!$A$880:$A$1244,0),$A$2),INDEX('データ'!$L$880:$T$1244,MATCH(O7,'データ'!$A$880:$A$1244,0),$A$2),INDEX('データ'!$V$880:$AD$1244,MATCH(O7,'データ'!$A$880:$A$1244,0),$A$2)),0)=0,"",CHOOSE($A$3,INDEX('データ'!$B$880:$J$1244,MATCH(O7,'データ'!$A$880:$A$1244,0),$A$2),INDEX('データ'!$L$880:$T$1244,MATCH(O7,'データ'!$A$880:$A$1244,0),$A$2),INDEX('データ'!$V$880:$AD$1244,MATCH(O7,'データ'!$A$880:$A$1244,0),$A$2))),"")</f>
        <v/>
      </c>
      <c r="P8" s="59">
        <f>IF(MONTH(P7)=5,IF(IFERROR(CHOOSE($A$3,INDEX('データ'!$B$880:$J$1244,MATCH(P7,'データ'!$A$880:$A$1244,0),$A$2),INDEX('データ'!$L$880:$T$1244,MATCH(P7,'データ'!$A$880:$A$1244,0),$A$2),INDEX('データ'!$V$880:$AD$1244,MATCH(P7,'データ'!$A$880:$A$1244,0),$A$2)),0)=0,"",CHOOSE($A$3,INDEX('データ'!$B$880:$J$1244,MATCH(P7,'データ'!$A$880:$A$1244,0),$A$2),INDEX('データ'!$L$880:$T$1244,MATCH(P7,'データ'!$A$880:$A$1244,0),$A$2),INDEX('データ'!$V$880:$AD$1244,MATCH(P7,'データ'!$A$880:$A$1244,0),$A$2))),"")</f>
        <v/>
      </c>
      <c r="R8" s="59">
        <f>IF(MONTH(R7)=6,IF(IFERROR(CHOOSE($A$3,INDEX('データ'!$B$880:$J$1244,MATCH(R7,'データ'!$A$880:$A$1244,0),$A$2),INDEX('データ'!$L$880:$T$1244,MATCH(R7,'データ'!$A$880:$A$1244,0),$A$2),INDEX('データ'!$V$880:$AD$1244,MATCH(R7,'データ'!$A$880:$A$1244,0),$A$2)),0)=0,"",CHOOSE($A$3,INDEX('データ'!$B$880:$J$1244,MATCH(R7,'データ'!$A$880:$A$1244,0),$A$2),INDEX('データ'!$L$880:$T$1244,MATCH(R7,'データ'!$A$880:$A$1244,0),$A$2),INDEX('データ'!$V$880:$AD$1244,MATCH(R7,'データ'!$A$880:$A$1244,0),$A$2))),"")</f>
        <v/>
      </c>
      <c r="S8" s="59">
        <f>IF(MONTH(S7)=6,IF(IFERROR(CHOOSE($A$3,INDEX('データ'!$B$880:$J$1244,MATCH(S7,'データ'!$A$880:$A$1244,0),$A$2),INDEX('データ'!$L$880:$T$1244,MATCH(S7,'データ'!$A$880:$A$1244,0),$A$2),INDEX('データ'!$V$880:$AD$1244,MATCH(S7,'データ'!$A$880:$A$1244,0),$A$2)),0)=0,"",CHOOSE($A$3,INDEX('データ'!$B$880:$J$1244,MATCH(S7,'データ'!$A$880:$A$1244,0),$A$2),INDEX('データ'!$L$880:$T$1244,MATCH(S7,'データ'!$A$880:$A$1244,0),$A$2),INDEX('データ'!$V$880:$AD$1244,MATCH(S7,'データ'!$A$880:$A$1244,0),$A$2))),"")</f>
        <v/>
      </c>
      <c r="T8" s="59">
        <f>IF(MONTH(T7)=6,IF(IFERROR(CHOOSE($A$3,INDEX('データ'!$B$880:$J$1244,MATCH(T7,'データ'!$A$880:$A$1244,0),$A$2),INDEX('データ'!$L$880:$T$1244,MATCH(T7,'データ'!$A$880:$A$1244,0),$A$2),INDEX('データ'!$V$880:$AD$1244,MATCH(T7,'データ'!$A$880:$A$1244,0),$A$2)),0)=0,"",CHOOSE($A$3,INDEX('データ'!$B$880:$J$1244,MATCH(T7,'データ'!$A$880:$A$1244,0),$A$2),INDEX('データ'!$L$880:$T$1244,MATCH(T7,'データ'!$A$880:$A$1244,0),$A$2),INDEX('データ'!$V$880:$AD$1244,MATCH(T7,'データ'!$A$880:$A$1244,0),$A$2))),"")</f>
        <v/>
      </c>
      <c r="U8" s="59">
        <f>IF(MONTH(U7)=6,IF(IFERROR(CHOOSE($A$3,INDEX('データ'!$B$880:$J$1244,MATCH(U7,'データ'!$A$880:$A$1244,0),$A$2),INDEX('データ'!$L$880:$T$1244,MATCH(U7,'データ'!$A$880:$A$1244,0),$A$2),INDEX('データ'!$V$880:$AD$1244,MATCH(U7,'データ'!$A$880:$A$1244,0),$A$2)),0)=0,"",CHOOSE($A$3,INDEX('データ'!$B$880:$J$1244,MATCH(U7,'データ'!$A$880:$A$1244,0),$A$2),INDEX('データ'!$L$880:$T$1244,MATCH(U7,'データ'!$A$880:$A$1244,0),$A$2),INDEX('データ'!$V$880:$AD$1244,MATCH(U7,'データ'!$A$880:$A$1244,0),$A$2))),"")</f>
        <v/>
      </c>
      <c r="V8" s="59">
        <f>IF(MONTH(V7)=6,IF(IFERROR(CHOOSE($A$3,INDEX('データ'!$B$880:$J$1244,MATCH(V7,'データ'!$A$880:$A$1244,0),$A$2),INDEX('データ'!$L$880:$T$1244,MATCH(V7,'データ'!$A$880:$A$1244,0),$A$2),INDEX('データ'!$V$880:$AD$1244,MATCH(V7,'データ'!$A$880:$A$1244,0),$A$2)),0)=0,"",CHOOSE($A$3,INDEX('データ'!$B$880:$J$1244,MATCH(V7,'データ'!$A$880:$A$1244,0),$A$2),INDEX('データ'!$L$880:$T$1244,MATCH(V7,'データ'!$A$880:$A$1244,0),$A$2),INDEX('データ'!$V$880:$AD$1244,MATCH(V7,'データ'!$A$880:$A$1244,0),$A$2))),"")</f>
        <v/>
      </c>
      <c r="W8" s="59">
        <f>IF(MONTH(W7)=6,IF(IFERROR(CHOOSE($A$3,INDEX('データ'!$B$880:$J$1244,MATCH(W7,'データ'!$A$880:$A$1244,0),$A$2),INDEX('データ'!$L$880:$T$1244,MATCH(W7,'データ'!$A$880:$A$1244,0),$A$2),INDEX('データ'!$V$880:$AD$1244,MATCH(W7,'データ'!$A$880:$A$1244,0),$A$2)),0)=0,"",CHOOSE($A$3,INDEX('データ'!$B$880:$J$1244,MATCH(W7,'データ'!$A$880:$A$1244,0),$A$2),INDEX('データ'!$L$880:$T$1244,MATCH(W7,'データ'!$A$880:$A$1244,0),$A$2),INDEX('データ'!$V$880:$AD$1244,MATCH(W7,'データ'!$A$880:$A$1244,0),$A$2))),"")</f>
        <v/>
      </c>
      <c r="X8" s="59">
        <f>IF(MONTH(X7)=6,IF(IFERROR(CHOOSE($A$3,INDEX('データ'!$B$880:$J$1244,MATCH(X7,'データ'!$A$880:$A$1244,0),$A$2),INDEX('データ'!$L$880:$T$1244,MATCH(X7,'データ'!$A$880:$A$1244,0),$A$2),INDEX('データ'!$V$880:$AD$1244,MATCH(X7,'データ'!$A$880:$A$1244,0),$A$2)),0)=0,"",CHOOSE($A$3,INDEX('データ'!$B$880:$J$1244,MATCH(X7,'データ'!$A$880:$A$1244,0),$A$2),INDEX('データ'!$L$880:$T$1244,MATCH(X7,'データ'!$A$880:$A$1244,0),$A$2),INDEX('データ'!$V$880:$AD$1244,MATCH(X7,'データ'!$A$880:$A$1244,0),$A$2))),"")</f>
        <v/>
      </c>
      <c r="Z8" s="59">
        <f>IF(MONTH(Z7)=7,IF(IFERROR(CHOOSE($A$3,INDEX('データ'!$B$880:$J$1244,MATCH(Z7,'データ'!$A$880:$A$1244,0),$A$2),INDEX('データ'!$L$880:$T$1244,MATCH(Z7,'データ'!$A$880:$A$1244,0),$A$2),INDEX('データ'!$V$880:$AD$1244,MATCH(Z7,'データ'!$A$880:$A$1244,0),$A$2)),0)=0,"",CHOOSE($A$3,INDEX('データ'!$B$880:$J$1244,MATCH(Z7,'データ'!$A$880:$A$1244,0),$A$2),INDEX('データ'!$L$880:$T$1244,MATCH(Z7,'データ'!$A$880:$A$1244,0),$A$2),INDEX('データ'!$V$880:$AD$1244,MATCH(Z7,'データ'!$A$880:$A$1244,0),$A$2))),"")</f>
        <v/>
      </c>
      <c r="AA8" s="59">
        <f>IF(MONTH(AA7)=7,IF(IFERROR(CHOOSE($A$3,INDEX('データ'!$B$880:$J$1244,MATCH(AA7,'データ'!$A$880:$A$1244,0),$A$2),INDEX('データ'!$L$880:$T$1244,MATCH(AA7,'データ'!$A$880:$A$1244,0),$A$2),INDEX('データ'!$V$880:$AD$1244,MATCH(AA7,'データ'!$A$880:$A$1244,0),$A$2)),0)=0,"",CHOOSE($A$3,INDEX('データ'!$B$880:$J$1244,MATCH(AA7,'データ'!$A$880:$A$1244,0),$A$2),INDEX('データ'!$L$880:$T$1244,MATCH(AA7,'データ'!$A$880:$A$1244,0),$A$2),INDEX('データ'!$V$880:$AD$1244,MATCH(AA7,'データ'!$A$880:$A$1244,0),$A$2))),"")</f>
        <v>3024</v>
      </c>
      <c r="AB8" s="59">
        <f>IF(MONTH(AB7)=7,IF(IFERROR(CHOOSE($A$3,INDEX('データ'!$B$880:$J$1244,MATCH(AB7,'データ'!$A$880:$A$1244,0),$A$2),INDEX('データ'!$L$880:$T$1244,MATCH(AB7,'データ'!$A$880:$A$1244,0),$A$2),INDEX('データ'!$V$880:$AD$1244,MATCH(AB7,'データ'!$A$880:$A$1244,0),$A$2)),0)=0,"",CHOOSE($A$3,INDEX('データ'!$B$880:$J$1244,MATCH(AB7,'データ'!$A$880:$A$1244,0),$A$2),INDEX('データ'!$L$880:$T$1244,MATCH(AB7,'データ'!$A$880:$A$1244,0),$A$2),INDEX('データ'!$V$880:$AD$1244,MATCH(AB7,'データ'!$A$880:$A$1244,0),$A$2))),"")</f>
        <v>2912</v>
      </c>
      <c r="AC8" s="59">
        <f>IF(MONTH(AC7)=7,IF(IFERROR(CHOOSE($A$3,INDEX('データ'!$B$880:$J$1244,MATCH(AC7,'データ'!$A$880:$A$1244,0),$A$2),INDEX('データ'!$L$880:$T$1244,MATCH(AC7,'データ'!$A$880:$A$1244,0),$A$2),INDEX('データ'!$V$880:$AD$1244,MATCH(AC7,'データ'!$A$880:$A$1244,0),$A$2)),0)=0,"",CHOOSE($A$3,INDEX('データ'!$B$880:$J$1244,MATCH(AC7,'データ'!$A$880:$A$1244,0),$A$2),INDEX('データ'!$L$880:$T$1244,MATCH(AC7,'データ'!$A$880:$A$1244,0),$A$2),INDEX('データ'!$V$880:$AD$1244,MATCH(AC7,'データ'!$A$880:$A$1244,0),$A$2))),"")</f>
        <v>2856</v>
      </c>
      <c r="AD8" s="59">
        <f>IF(MONTH(AD7)=7,IF(IFERROR(CHOOSE($A$3,INDEX('データ'!$B$880:$J$1244,MATCH(AD7,'データ'!$A$880:$A$1244,0),$A$2),INDEX('データ'!$L$880:$T$1244,MATCH(AD7,'データ'!$A$880:$A$1244,0),$A$2),INDEX('データ'!$V$880:$AD$1244,MATCH(AD7,'データ'!$A$880:$A$1244,0),$A$2)),0)=0,"",CHOOSE($A$3,INDEX('データ'!$B$880:$J$1244,MATCH(AD7,'データ'!$A$880:$A$1244,0),$A$2),INDEX('データ'!$L$880:$T$1244,MATCH(AD7,'データ'!$A$880:$A$1244,0),$A$2),INDEX('データ'!$V$880:$AD$1244,MATCH(AD7,'データ'!$A$880:$A$1244,0),$A$2))),"")</f>
        <v>3048</v>
      </c>
      <c r="AE8" s="59">
        <f>IF(MONTH(AE7)=7,IF(IFERROR(CHOOSE($A$3,INDEX('データ'!$B$880:$J$1244,MATCH(AE7,'データ'!$A$880:$A$1244,0),$A$2),INDEX('データ'!$L$880:$T$1244,MATCH(AE7,'データ'!$A$880:$A$1244,0),$A$2),INDEX('データ'!$V$880:$AD$1244,MATCH(AE7,'データ'!$A$880:$A$1244,0),$A$2)),0)=0,"",CHOOSE($A$3,INDEX('データ'!$B$880:$J$1244,MATCH(AE7,'データ'!$A$880:$A$1244,0),$A$2),INDEX('データ'!$L$880:$T$1244,MATCH(AE7,'データ'!$A$880:$A$1244,0),$A$2),INDEX('データ'!$V$880:$AD$1244,MATCH(AE7,'データ'!$A$880:$A$1244,0),$A$2))),"")</f>
        <v/>
      </c>
      <c r="AF8" s="59">
        <f>IF(MONTH(AF7)=7,IF(IFERROR(CHOOSE($A$3,INDEX('データ'!$B$880:$J$1244,MATCH(AF7,'データ'!$A$880:$A$1244,0),$A$2),INDEX('データ'!$L$880:$T$1244,MATCH(AF7,'データ'!$A$880:$A$1244,0),$A$2),INDEX('データ'!$V$880:$AD$1244,MATCH(AF7,'データ'!$A$880:$A$1244,0),$A$2)),0)=0,"",CHOOSE($A$3,INDEX('データ'!$B$880:$J$1244,MATCH(AF7,'データ'!$A$880:$A$1244,0),$A$2),INDEX('データ'!$L$880:$T$1244,MATCH(AF7,'データ'!$A$880:$A$1244,0),$A$2),INDEX('データ'!$V$880:$AD$1244,MATCH(AF7,'データ'!$A$880:$A$1244,0),$A$2))),"")</f>
        <v/>
      </c>
    </row>
    <row r="9" spans="1:33" ht="13" customHeight="1">
      <c r="B9" s="58">
        <f>DATE(2025,4,1)-WEEKDAY(DATE(2025,4,1),2)+8</f>
        <v>45754</v>
      </c>
      <c r="C9" s="58">
        <f>DATE(2025,4,1)-WEEKDAY(DATE(2025,4,1),2)+9</f>
        <v>45755</v>
      </c>
      <c r="D9" s="58">
        <f>DATE(2025,4,1)-WEEKDAY(DATE(2025,4,1),2)+10</f>
        <v>45756</v>
      </c>
      <c r="E9" s="58">
        <f>DATE(2025,4,1)-WEEKDAY(DATE(2025,4,1),2)+11</f>
        <v>45757</v>
      </c>
      <c r="F9" s="58">
        <f>DATE(2025,4,1)-WEEKDAY(DATE(2025,4,1),2)+12</f>
        <v>45758</v>
      </c>
      <c r="G9" s="58">
        <f>DATE(2025,4,1)-WEEKDAY(DATE(2025,4,1),2)+13</f>
        <v>45759</v>
      </c>
      <c r="H9" s="58">
        <f>DATE(2025,4,1)-WEEKDAY(DATE(2025,4,1),2)+14</f>
        <v>45760</v>
      </c>
      <c r="J9" s="58">
        <f>DATE(2025,5,1)-WEEKDAY(DATE(2025,5,1),2)+8</f>
        <v>45782</v>
      </c>
      <c r="K9" s="58">
        <f>DATE(2025,5,1)-WEEKDAY(DATE(2025,5,1),2)+9</f>
        <v>45783</v>
      </c>
      <c r="L9" s="58">
        <f>DATE(2025,5,1)-WEEKDAY(DATE(2025,5,1),2)+10</f>
        <v>45784</v>
      </c>
      <c r="M9" s="58">
        <f>DATE(2025,5,1)-WEEKDAY(DATE(2025,5,1),2)+11</f>
        <v>45785</v>
      </c>
      <c r="N9" s="58">
        <f>DATE(2025,5,1)-WEEKDAY(DATE(2025,5,1),2)+12</f>
        <v>45786</v>
      </c>
      <c r="O9" s="58">
        <f>DATE(2025,5,1)-WEEKDAY(DATE(2025,5,1),2)+13</f>
        <v>45787</v>
      </c>
      <c r="P9" s="58">
        <f>DATE(2025,5,1)-WEEKDAY(DATE(2025,5,1),2)+14</f>
        <v>45788</v>
      </c>
      <c r="R9" s="58">
        <f>DATE(2025,6,1)-WEEKDAY(DATE(2025,6,1),2)+8</f>
        <v>45810</v>
      </c>
      <c r="S9" s="58">
        <f>DATE(2025,6,1)-WEEKDAY(DATE(2025,6,1),2)+9</f>
        <v>45811</v>
      </c>
      <c r="T9" s="58">
        <f>DATE(2025,6,1)-WEEKDAY(DATE(2025,6,1),2)+10</f>
        <v>45812</v>
      </c>
      <c r="U9" s="58">
        <f>DATE(2025,6,1)-WEEKDAY(DATE(2025,6,1),2)+11</f>
        <v>45813</v>
      </c>
      <c r="V9" s="58">
        <f>DATE(2025,6,1)-WEEKDAY(DATE(2025,6,1),2)+12</f>
        <v>45814</v>
      </c>
      <c r="W9" s="58">
        <f>DATE(2025,6,1)-WEEKDAY(DATE(2025,6,1),2)+13</f>
        <v>45815</v>
      </c>
      <c r="X9" s="58">
        <f>DATE(2025,6,1)-WEEKDAY(DATE(2025,6,1),2)+14</f>
        <v>45816</v>
      </c>
      <c r="Z9" s="58">
        <f>DATE(2025,7,1)-WEEKDAY(DATE(2025,7,1),2)+8</f>
        <v>45845</v>
      </c>
      <c r="AA9" s="58">
        <f>DATE(2025,7,1)-WEEKDAY(DATE(2025,7,1),2)+9</f>
        <v>45846</v>
      </c>
      <c r="AB9" s="58">
        <f>DATE(2025,7,1)-WEEKDAY(DATE(2025,7,1),2)+10</f>
        <v>45847</v>
      </c>
      <c r="AC9" s="58">
        <f>DATE(2025,7,1)-WEEKDAY(DATE(2025,7,1),2)+11</f>
        <v>45848</v>
      </c>
      <c r="AD9" s="58">
        <f>DATE(2025,7,1)-WEEKDAY(DATE(2025,7,1),2)+12</f>
        <v>45849</v>
      </c>
      <c r="AE9" s="58">
        <f>DATE(2025,7,1)-WEEKDAY(DATE(2025,7,1),2)+13</f>
        <v>45850</v>
      </c>
      <c r="AF9" s="58">
        <f>DATE(2025,7,1)-WEEKDAY(DATE(2025,7,1),2)+14</f>
        <v>45851</v>
      </c>
    </row>
    <row r="10" spans="1:33" ht="21" customHeight="1">
      <c r="B10" s="59">
        <f>IF(MONTH(B9)=4,IF(IFERROR(CHOOSE($A$3,INDEX('データ'!$B$880:$J$1244,MATCH(B9,'データ'!$A$880:$A$1244,0),$A$2),INDEX('データ'!$L$880:$T$1244,MATCH(B9,'データ'!$A$880:$A$1244,0),$A$2),INDEX('データ'!$V$880:$AD$1244,MATCH(B9,'データ'!$A$880:$A$1244,0),$A$2)),0)=0,"",CHOOSE($A$3,INDEX('データ'!$B$880:$J$1244,MATCH(B9,'データ'!$A$880:$A$1244,0),$A$2),INDEX('データ'!$L$880:$T$1244,MATCH(B9,'データ'!$A$880:$A$1244,0),$A$2),INDEX('データ'!$V$880:$AD$1244,MATCH(B9,'データ'!$A$880:$A$1244,0),$A$2))),"")</f>
        <v>3875</v>
      </c>
      <c r="C10" s="59">
        <f>IF(MONTH(C9)=4,IF(IFERROR(CHOOSE($A$3,INDEX('データ'!$B$880:$J$1244,MATCH(C9,'データ'!$A$880:$A$1244,0),$A$2),INDEX('データ'!$L$880:$T$1244,MATCH(C9,'データ'!$A$880:$A$1244,0),$A$2),INDEX('データ'!$V$880:$AD$1244,MATCH(C9,'データ'!$A$880:$A$1244,0),$A$2)),0)=0,"",CHOOSE($A$3,INDEX('データ'!$B$880:$J$1244,MATCH(C9,'データ'!$A$880:$A$1244,0),$A$2),INDEX('データ'!$L$880:$T$1244,MATCH(C9,'データ'!$A$880:$A$1244,0),$A$2),INDEX('データ'!$V$880:$AD$1244,MATCH(C9,'データ'!$A$880:$A$1244,0),$A$2))),"")</f>
        <v>3288</v>
      </c>
      <c r="D10" s="59">
        <f>IF(MONTH(D9)=4,IF(IFERROR(CHOOSE($A$3,INDEX('データ'!$B$880:$J$1244,MATCH(D9,'データ'!$A$880:$A$1244,0),$A$2),INDEX('データ'!$L$880:$T$1244,MATCH(D9,'データ'!$A$880:$A$1244,0),$A$2),INDEX('データ'!$V$880:$AD$1244,MATCH(D9,'データ'!$A$880:$A$1244,0),$A$2)),0)=0,"",CHOOSE($A$3,INDEX('データ'!$B$880:$J$1244,MATCH(D9,'データ'!$A$880:$A$1244,0),$A$2),INDEX('データ'!$L$880:$T$1244,MATCH(D9,'データ'!$A$880:$A$1244,0),$A$2),INDEX('データ'!$V$880:$AD$1244,MATCH(D9,'データ'!$A$880:$A$1244,0),$A$2))),"")</f>
        <v>3225</v>
      </c>
      <c r="E10" s="59">
        <f>IF(MONTH(E9)=4,IF(IFERROR(CHOOSE($A$3,INDEX('データ'!$B$880:$J$1244,MATCH(E9,'データ'!$A$880:$A$1244,0),$A$2),INDEX('データ'!$L$880:$T$1244,MATCH(E9,'データ'!$A$880:$A$1244,0),$A$2),INDEX('データ'!$V$880:$AD$1244,MATCH(E9,'データ'!$A$880:$A$1244,0),$A$2)),0)=0,"",CHOOSE($A$3,INDEX('データ'!$B$880:$J$1244,MATCH(E9,'データ'!$A$880:$A$1244,0),$A$2),INDEX('データ'!$L$880:$T$1244,MATCH(E9,'データ'!$A$880:$A$1244,0),$A$2),INDEX('データ'!$V$880:$AD$1244,MATCH(E9,'データ'!$A$880:$A$1244,0),$A$2))),"")</f>
        <v>2651</v>
      </c>
      <c r="F10" s="59">
        <f>IF(MONTH(F9)=4,IF(IFERROR(CHOOSE($A$3,INDEX('データ'!$B$880:$J$1244,MATCH(F9,'データ'!$A$880:$A$1244,0),$A$2),INDEX('データ'!$L$880:$T$1244,MATCH(F9,'データ'!$A$880:$A$1244,0),$A$2),INDEX('データ'!$V$880:$AD$1244,MATCH(F9,'データ'!$A$880:$A$1244,0),$A$2)),0)=0,"",CHOOSE($A$3,INDEX('データ'!$B$880:$J$1244,MATCH(F9,'データ'!$A$880:$A$1244,0),$A$2),INDEX('データ'!$L$880:$T$1244,MATCH(F9,'データ'!$A$880:$A$1244,0),$A$2),INDEX('データ'!$V$880:$AD$1244,MATCH(F9,'データ'!$A$880:$A$1244,0),$A$2))),"")</f>
        <v>3091</v>
      </c>
      <c r="G10" s="59">
        <f>IF(MONTH(G9)=4,IF(IFERROR(CHOOSE($A$3,INDEX('データ'!$B$880:$J$1244,MATCH(G9,'データ'!$A$880:$A$1244,0),$A$2),INDEX('データ'!$L$880:$T$1244,MATCH(G9,'データ'!$A$880:$A$1244,0),$A$2),INDEX('データ'!$V$880:$AD$1244,MATCH(G9,'データ'!$A$880:$A$1244,0),$A$2)),0)=0,"",CHOOSE($A$3,INDEX('データ'!$B$880:$J$1244,MATCH(G9,'データ'!$A$880:$A$1244,0),$A$2),INDEX('データ'!$L$880:$T$1244,MATCH(G9,'データ'!$A$880:$A$1244,0),$A$2),INDEX('データ'!$V$880:$AD$1244,MATCH(G9,'データ'!$A$880:$A$1244,0),$A$2))),"")</f>
        <v/>
      </c>
      <c r="H10" s="59">
        <f>IF(MONTH(H9)=4,IF(IFERROR(CHOOSE($A$3,INDEX('データ'!$B$880:$J$1244,MATCH(H9,'データ'!$A$880:$A$1244,0),$A$2),INDEX('データ'!$L$880:$T$1244,MATCH(H9,'データ'!$A$880:$A$1244,0),$A$2),INDEX('データ'!$V$880:$AD$1244,MATCH(H9,'データ'!$A$880:$A$1244,0),$A$2)),0)=0,"",CHOOSE($A$3,INDEX('データ'!$B$880:$J$1244,MATCH(H9,'データ'!$A$880:$A$1244,0),$A$2),INDEX('データ'!$L$880:$T$1244,MATCH(H9,'データ'!$A$880:$A$1244,0),$A$2),INDEX('データ'!$V$880:$AD$1244,MATCH(H9,'データ'!$A$880:$A$1244,0),$A$2))),"")</f>
        <v>85</v>
      </c>
      <c r="J10" s="59">
        <f>IF(MONTH(J9)=5,IF(IFERROR(CHOOSE($A$3,INDEX('データ'!$B$880:$J$1244,MATCH(J9,'データ'!$A$880:$A$1244,0),$A$2),INDEX('データ'!$L$880:$T$1244,MATCH(J9,'データ'!$A$880:$A$1244,0),$A$2),INDEX('データ'!$V$880:$AD$1244,MATCH(J9,'データ'!$A$880:$A$1244,0),$A$2)),0)=0,"",CHOOSE($A$3,INDEX('データ'!$B$880:$J$1244,MATCH(J9,'データ'!$A$880:$A$1244,0),$A$2),INDEX('データ'!$L$880:$T$1244,MATCH(J9,'データ'!$A$880:$A$1244,0),$A$2),INDEX('データ'!$V$880:$AD$1244,MATCH(J9,'データ'!$A$880:$A$1244,0),$A$2))),"")</f>
        <v/>
      </c>
      <c r="K10" s="59">
        <f>IF(MONTH(K9)=5,IF(IFERROR(CHOOSE($A$3,INDEX('データ'!$B$880:$J$1244,MATCH(K9,'データ'!$A$880:$A$1244,0),$A$2),INDEX('データ'!$L$880:$T$1244,MATCH(K9,'データ'!$A$880:$A$1244,0),$A$2),INDEX('データ'!$V$880:$AD$1244,MATCH(K9,'データ'!$A$880:$A$1244,0),$A$2)),0)=0,"",CHOOSE($A$3,INDEX('データ'!$B$880:$J$1244,MATCH(K9,'データ'!$A$880:$A$1244,0),$A$2),INDEX('データ'!$L$880:$T$1244,MATCH(K9,'データ'!$A$880:$A$1244,0),$A$2),INDEX('データ'!$V$880:$AD$1244,MATCH(K9,'データ'!$A$880:$A$1244,0),$A$2))),"")</f>
        <v/>
      </c>
      <c r="L10" s="59">
        <f>IF(MONTH(L9)=5,IF(IFERROR(CHOOSE($A$3,INDEX('データ'!$B$880:$J$1244,MATCH(L9,'データ'!$A$880:$A$1244,0),$A$2),INDEX('データ'!$L$880:$T$1244,MATCH(L9,'データ'!$A$880:$A$1244,0),$A$2),INDEX('データ'!$V$880:$AD$1244,MATCH(L9,'データ'!$A$880:$A$1244,0),$A$2)),0)=0,"",CHOOSE($A$3,INDEX('データ'!$B$880:$J$1244,MATCH(L9,'データ'!$A$880:$A$1244,0),$A$2),INDEX('データ'!$L$880:$T$1244,MATCH(L9,'データ'!$A$880:$A$1244,0),$A$2),INDEX('データ'!$V$880:$AD$1244,MATCH(L9,'データ'!$A$880:$A$1244,0),$A$2))),"")</f>
        <v>3462</v>
      </c>
      <c r="M10" s="59">
        <f>IF(MONTH(M9)=5,IF(IFERROR(CHOOSE($A$3,INDEX('データ'!$B$880:$J$1244,MATCH(M9,'データ'!$A$880:$A$1244,0),$A$2),INDEX('データ'!$L$880:$T$1244,MATCH(M9,'データ'!$A$880:$A$1244,0),$A$2),INDEX('データ'!$V$880:$AD$1244,MATCH(M9,'データ'!$A$880:$A$1244,0),$A$2)),0)=0,"",CHOOSE($A$3,INDEX('データ'!$B$880:$J$1244,MATCH(M9,'データ'!$A$880:$A$1244,0),$A$2),INDEX('データ'!$L$880:$T$1244,MATCH(M9,'データ'!$A$880:$A$1244,0),$A$2),INDEX('データ'!$V$880:$AD$1244,MATCH(M9,'データ'!$A$880:$A$1244,0),$A$2))),"")</f>
        <v>3133</v>
      </c>
      <c r="N10" s="59">
        <f>IF(MONTH(N9)=5,IF(IFERROR(CHOOSE($A$3,INDEX('データ'!$B$880:$J$1244,MATCH(N9,'データ'!$A$880:$A$1244,0),$A$2),INDEX('データ'!$L$880:$T$1244,MATCH(N9,'データ'!$A$880:$A$1244,0),$A$2),INDEX('データ'!$V$880:$AD$1244,MATCH(N9,'データ'!$A$880:$A$1244,0),$A$2)),0)=0,"",CHOOSE($A$3,INDEX('データ'!$B$880:$J$1244,MATCH(N9,'データ'!$A$880:$A$1244,0),$A$2),INDEX('データ'!$L$880:$T$1244,MATCH(N9,'データ'!$A$880:$A$1244,0),$A$2),INDEX('データ'!$V$880:$AD$1244,MATCH(N9,'データ'!$A$880:$A$1244,0),$A$2))),"")</f>
        <v>2556</v>
      </c>
      <c r="O10" s="59">
        <f>IF(MONTH(O9)=5,IF(IFERROR(CHOOSE($A$3,INDEX('データ'!$B$880:$J$1244,MATCH(O9,'データ'!$A$880:$A$1244,0),$A$2),INDEX('データ'!$L$880:$T$1244,MATCH(O9,'データ'!$A$880:$A$1244,0),$A$2),INDEX('データ'!$V$880:$AD$1244,MATCH(O9,'データ'!$A$880:$A$1244,0),$A$2)),0)=0,"",CHOOSE($A$3,INDEX('データ'!$B$880:$J$1244,MATCH(O9,'データ'!$A$880:$A$1244,0),$A$2),INDEX('データ'!$L$880:$T$1244,MATCH(O9,'データ'!$A$880:$A$1244,0),$A$2),INDEX('データ'!$V$880:$AD$1244,MATCH(O9,'データ'!$A$880:$A$1244,0),$A$2))),"")</f>
        <v/>
      </c>
      <c r="P10" s="59">
        <f>IF(MONTH(P9)=5,IF(IFERROR(CHOOSE($A$3,INDEX('データ'!$B$880:$J$1244,MATCH(P9,'データ'!$A$880:$A$1244,0),$A$2),INDEX('データ'!$L$880:$T$1244,MATCH(P9,'データ'!$A$880:$A$1244,0),$A$2),INDEX('データ'!$V$880:$AD$1244,MATCH(P9,'データ'!$A$880:$A$1244,0),$A$2)),0)=0,"",CHOOSE($A$3,INDEX('データ'!$B$880:$J$1244,MATCH(P9,'データ'!$A$880:$A$1244,0),$A$2),INDEX('データ'!$L$880:$T$1244,MATCH(P9,'データ'!$A$880:$A$1244,0),$A$2),INDEX('データ'!$V$880:$AD$1244,MATCH(P9,'データ'!$A$880:$A$1244,0),$A$2))),"")</f>
        <v>383</v>
      </c>
      <c r="R10" s="59">
        <f>IF(MONTH(R9)=6,IF(IFERROR(CHOOSE($A$3,INDEX('データ'!$B$880:$J$1244,MATCH(R9,'データ'!$A$880:$A$1244,0),$A$2),INDEX('データ'!$L$880:$T$1244,MATCH(R9,'データ'!$A$880:$A$1244,0),$A$2),INDEX('データ'!$V$880:$AD$1244,MATCH(R9,'データ'!$A$880:$A$1244,0),$A$2)),0)=0,"",CHOOSE($A$3,INDEX('データ'!$B$880:$J$1244,MATCH(R9,'データ'!$A$880:$A$1244,0),$A$2),INDEX('データ'!$L$880:$T$1244,MATCH(R9,'データ'!$A$880:$A$1244,0),$A$2),INDEX('データ'!$V$880:$AD$1244,MATCH(R9,'データ'!$A$880:$A$1244,0),$A$2))),"")</f>
        <v>3649</v>
      </c>
      <c r="S10" s="59">
        <f>IF(MONTH(S9)=6,IF(IFERROR(CHOOSE($A$3,INDEX('データ'!$B$880:$J$1244,MATCH(S9,'データ'!$A$880:$A$1244,0),$A$2),INDEX('データ'!$L$880:$T$1244,MATCH(S9,'データ'!$A$880:$A$1244,0),$A$2),INDEX('データ'!$V$880:$AD$1244,MATCH(S9,'データ'!$A$880:$A$1244,0),$A$2)),0)=0,"",CHOOSE($A$3,INDEX('データ'!$B$880:$J$1244,MATCH(S9,'データ'!$A$880:$A$1244,0),$A$2),INDEX('データ'!$L$880:$T$1244,MATCH(S9,'データ'!$A$880:$A$1244,0),$A$2),INDEX('データ'!$V$880:$AD$1244,MATCH(S9,'データ'!$A$880:$A$1244,0),$A$2))),"")</f>
        <v>2848</v>
      </c>
      <c r="T10" s="59">
        <f>IF(MONTH(T9)=6,IF(IFERROR(CHOOSE($A$3,INDEX('データ'!$B$880:$J$1244,MATCH(T9,'データ'!$A$880:$A$1244,0),$A$2),INDEX('データ'!$L$880:$T$1244,MATCH(T9,'データ'!$A$880:$A$1244,0),$A$2),INDEX('データ'!$V$880:$AD$1244,MATCH(T9,'データ'!$A$880:$A$1244,0),$A$2)),0)=0,"",CHOOSE($A$3,INDEX('データ'!$B$880:$J$1244,MATCH(T9,'データ'!$A$880:$A$1244,0),$A$2),INDEX('データ'!$L$880:$T$1244,MATCH(T9,'データ'!$A$880:$A$1244,0),$A$2),INDEX('データ'!$V$880:$AD$1244,MATCH(T9,'データ'!$A$880:$A$1244,0),$A$2))),"")</f>
        <v>3364</v>
      </c>
      <c r="U10" s="59">
        <f>IF(MONTH(U9)=6,IF(IFERROR(CHOOSE($A$3,INDEX('データ'!$B$880:$J$1244,MATCH(U9,'データ'!$A$880:$A$1244,0),$A$2),INDEX('データ'!$L$880:$T$1244,MATCH(U9,'データ'!$A$880:$A$1244,0),$A$2),INDEX('データ'!$V$880:$AD$1244,MATCH(U9,'データ'!$A$880:$A$1244,0),$A$2)),0)=0,"",CHOOSE($A$3,INDEX('データ'!$B$880:$J$1244,MATCH(U9,'データ'!$A$880:$A$1244,0),$A$2),INDEX('データ'!$L$880:$T$1244,MATCH(U9,'データ'!$A$880:$A$1244,0),$A$2),INDEX('データ'!$V$880:$AD$1244,MATCH(U9,'データ'!$A$880:$A$1244,0),$A$2))),"")</f>
        <v>3025</v>
      </c>
      <c r="V10" s="59">
        <f>IF(MONTH(V9)=6,IF(IFERROR(CHOOSE($A$3,INDEX('データ'!$B$880:$J$1244,MATCH(V9,'データ'!$A$880:$A$1244,0),$A$2),INDEX('データ'!$L$880:$T$1244,MATCH(V9,'データ'!$A$880:$A$1244,0),$A$2),INDEX('データ'!$V$880:$AD$1244,MATCH(V9,'データ'!$A$880:$A$1244,0),$A$2)),0)=0,"",CHOOSE($A$3,INDEX('データ'!$B$880:$J$1244,MATCH(V9,'データ'!$A$880:$A$1244,0),$A$2),INDEX('データ'!$L$880:$T$1244,MATCH(V9,'データ'!$A$880:$A$1244,0),$A$2),INDEX('データ'!$V$880:$AD$1244,MATCH(V9,'データ'!$A$880:$A$1244,0),$A$2))),"")</f>
        <v>3254</v>
      </c>
      <c r="W10" s="59">
        <f>IF(MONTH(W9)=6,IF(IFERROR(CHOOSE($A$3,INDEX('データ'!$B$880:$J$1244,MATCH(W9,'データ'!$A$880:$A$1244,0),$A$2),INDEX('データ'!$L$880:$T$1244,MATCH(W9,'データ'!$A$880:$A$1244,0),$A$2),INDEX('データ'!$V$880:$AD$1244,MATCH(W9,'データ'!$A$880:$A$1244,0),$A$2)),0)=0,"",CHOOSE($A$3,INDEX('データ'!$B$880:$J$1244,MATCH(W9,'データ'!$A$880:$A$1244,0),$A$2),INDEX('データ'!$L$880:$T$1244,MATCH(W9,'データ'!$A$880:$A$1244,0),$A$2),INDEX('データ'!$V$880:$AD$1244,MATCH(W9,'データ'!$A$880:$A$1244,0),$A$2))),"")</f>
        <v/>
      </c>
      <c r="X10" s="59">
        <f>IF(MONTH(X9)=6,IF(IFERROR(CHOOSE($A$3,INDEX('データ'!$B$880:$J$1244,MATCH(X9,'データ'!$A$880:$A$1244,0),$A$2),INDEX('データ'!$L$880:$T$1244,MATCH(X9,'データ'!$A$880:$A$1244,0),$A$2),INDEX('データ'!$V$880:$AD$1244,MATCH(X9,'データ'!$A$880:$A$1244,0),$A$2)),0)=0,"",CHOOSE($A$3,INDEX('データ'!$B$880:$J$1244,MATCH(X9,'データ'!$A$880:$A$1244,0),$A$2),INDEX('データ'!$L$880:$T$1244,MATCH(X9,'データ'!$A$880:$A$1244,0),$A$2),INDEX('データ'!$V$880:$AD$1244,MATCH(X9,'データ'!$A$880:$A$1244,0),$A$2))),"")</f>
        <v/>
      </c>
      <c r="Z10" s="59">
        <f>IF(MONTH(Z9)=7,IF(IFERROR(CHOOSE($A$3,INDEX('データ'!$B$880:$J$1244,MATCH(Z9,'データ'!$A$880:$A$1244,0),$A$2),INDEX('データ'!$L$880:$T$1244,MATCH(Z9,'データ'!$A$880:$A$1244,0),$A$2),INDEX('データ'!$V$880:$AD$1244,MATCH(Z9,'データ'!$A$880:$A$1244,0),$A$2)),0)=0,"",CHOOSE($A$3,INDEX('データ'!$B$880:$J$1244,MATCH(Z9,'データ'!$A$880:$A$1244,0),$A$2),INDEX('データ'!$L$880:$T$1244,MATCH(Z9,'データ'!$A$880:$A$1244,0),$A$2),INDEX('データ'!$V$880:$AD$1244,MATCH(Z9,'データ'!$A$880:$A$1244,0),$A$2))),"")</f>
        <v>3688</v>
      </c>
      <c r="AA10" s="59">
        <f>IF(MONTH(AA9)=7,IF(IFERROR(CHOOSE($A$3,INDEX('データ'!$B$880:$J$1244,MATCH(AA9,'データ'!$A$880:$A$1244,0),$A$2),INDEX('データ'!$L$880:$T$1244,MATCH(AA9,'データ'!$A$880:$A$1244,0),$A$2),INDEX('データ'!$V$880:$AD$1244,MATCH(AA9,'データ'!$A$880:$A$1244,0),$A$2)),0)=0,"",CHOOSE($A$3,INDEX('データ'!$B$880:$J$1244,MATCH(AA9,'データ'!$A$880:$A$1244,0),$A$2),INDEX('データ'!$L$880:$T$1244,MATCH(AA9,'データ'!$A$880:$A$1244,0),$A$2),INDEX('データ'!$V$880:$AD$1244,MATCH(AA9,'データ'!$A$880:$A$1244,0),$A$2))),"")</f>
        <v>3069</v>
      </c>
      <c r="AB10" s="59">
        <f>IF(MONTH(AB9)=7,IF(IFERROR(CHOOSE($A$3,INDEX('データ'!$B$880:$J$1244,MATCH(AB9,'データ'!$A$880:$A$1244,0),$A$2),INDEX('データ'!$L$880:$T$1244,MATCH(AB9,'データ'!$A$880:$A$1244,0),$A$2),INDEX('データ'!$V$880:$AD$1244,MATCH(AB9,'データ'!$A$880:$A$1244,0),$A$2)),0)=0,"",CHOOSE($A$3,INDEX('データ'!$B$880:$J$1244,MATCH(AB9,'データ'!$A$880:$A$1244,0),$A$2),INDEX('データ'!$L$880:$T$1244,MATCH(AB9,'データ'!$A$880:$A$1244,0),$A$2),INDEX('データ'!$V$880:$AD$1244,MATCH(AB9,'データ'!$A$880:$A$1244,0),$A$2))),"")</f>
        <v>2924</v>
      </c>
      <c r="AC10" s="59">
        <f>IF(MONTH(AC9)=7,IF(IFERROR(CHOOSE($A$3,INDEX('データ'!$B$880:$J$1244,MATCH(AC9,'データ'!$A$880:$A$1244,0),$A$2),INDEX('データ'!$L$880:$T$1244,MATCH(AC9,'データ'!$A$880:$A$1244,0),$A$2),INDEX('データ'!$V$880:$AD$1244,MATCH(AC9,'データ'!$A$880:$A$1244,0),$A$2)),0)=0,"",CHOOSE($A$3,INDEX('データ'!$B$880:$J$1244,MATCH(AC9,'データ'!$A$880:$A$1244,0),$A$2),INDEX('データ'!$L$880:$T$1244,MATCH(AC9,'データ'!$A$880:$A$1244,0),$A$2),INDEX('データ'!$V$880:$AD$1244,MATCH(AC9,'データ'!$A$880:$A$1244,0),$A$2))),"")</f>
        <v>2859</v>
      </c>
      <c r="AD10" s="59">
        <f>IF(MONTH(AD9)=7,IF(IFERROR(CHOOSE($A$3,INDEX('データ'!$B$880:$J$1244,MATCH(AD9,'データ'!$A$880:$A$1244,0),$A$2),INDEX('データ'!$L$880:$T$1244,MATCH(AD9,'データ'!$A$880:$A$1244,0),$A$2),INDEX('データ'!$V$880:$AD$1244,MATCH(AD9,'データ'!$A$880:$A$1244,0),$A$2)),0)=0,"",CHOOSE($A$3,INDEX('データ'!$B$880:$J$1244,MATCH(AD9,'データ'!$A$880:$A$1244,0),$A$2),INDEX('データ'!$L$880:$T$1244,MATCH(AD9,'データ'!$A$880:$A$1244,0),$A$2),INDEX('データ'!$V$880:$AD$1244,MATCH(AD9,'データ'!$A$880:$A$1244,0),$A$2))),"")</f>
        <v>2973</v>
      </c>
      <c r="AE10" s="59">
        <f>IF(MONTH(AE9)=7,IF(IFERROR(CHOOSE($A$3,INDEX('データ'!$B$880:$J$1244,MATCH(AE9,'データ'!$A$880:$A$1244,0),$A$2),INDEX('データ'!$L$880:$T$1244,MATCH(AE9,'データ'!$A$880:$A$1244,0),$A$2),INDEX('データ'!$V$880:$AD$1244,MATCH(AE9,'データ'!$A$880:$A$1244,0),$A$2)),0)=0,"",CHOOSE($A$3,INDEX('データ'!$B$880:$J$1244,MATCH(AE9,'データ'!$A$880:$A$1244,0),$A$2),INDEX('データ'!$L$880:$T$1244,MATCH(AE9,'データ'!$A$880:$A$1244,0),$A$2),INDEX('データ'!$V$880:$AD$1244,MATCH(AE9,'データ'!$A$880:$A$1244,0),$A$2))),"")</f>
        <v/>
      </c>
      <c r="AF10" s="59">
        <f>IF(MONTH(AF9)=7,IF(IFERROR(CHOOSE($A$3,INDEX('データ'!$B$880:$J$1244,MATCH(AF9,'データ'!$A$880:$A$1244,0),$A$2),INDEX('データ'!$L$880:$T$1244,MATCH(AF9,'データ'!$A$880:$A$1244,0),$A$2),INDEX('データ'!$V$880:$AD$1244,MATCH(AF9,'データ'!$A$880:$A$1244,0),$A$2)),0)=0,"",CHOOSE($A$3,INDEX('データ'!$B$880:$J$1244,MATCH(AF9,'データ'!$A$880:$A$1244,0),$A$2),INDEX('データ'!$L$880:$T$1244,MATCH(AF9,'データ'!$A$880:$A$1244,0),$A$2),INDEX('データ'!$V$880:$AD$1244,MATCH(AF9,'データ'!$A$880:$A$1244,0),$A$2))),"")</f>
        <v>675</v>
      </c>
    </row>
    <row r="11" spans="1:33" ht="13" customHeight="1">
      <c r="B11" s="58">
        <f>DATE(2025,4,1)-WEEKDAY(DATE(2025,4,1),2)+15</f>
        <v>45761</v>
      </c>
      <c r="C11" s="58">
        <f>DATE(2025,4,1)-WEEKDAY(DATE(2025,4,1),2)+16</f>
        <v>45762</v>
      </c>
      <c r="D11" s="58">
        <f>DATE(2025,4,1)-WEEKDAY(DATE(2025,4,1),2)+17</f>
        <v>45763</v>
      </c>
      <c r="E11" s="58">
        <f>DATE(2025,4,1)-WEEKDAY(DATE(2025,4,1),2)+18</f>
        <v>45764</v>
      </c>
      <c r="F11" s="58">
        <f>DATE(2025,4,1)-WEEKDAY(DATE(2025,4,1),2)+19</f>
        <v>45765</v>
      </c>
      <c r="G11" s="58">
        <f>DATE(2025,4,1)-WEEKDAY(DATE(2025,4,1),2)+20</f>
        <v>45766</v>
      </c>
      <c r="H11" s="58">
        <f>DATE(2025,4,1)-WEEKDAY(DATE(2025,4,1),2)+21</f>
        <v>45767</v>
      </c>
      <c r="J11" s="58">
        <f>DATE(2025,5,1)-WEEKDAY(DATE(2025,5,1),2)+15</f>
        <v>45789</v>
      </c>
      <c r="K11" s="58">
        <f>DATE(2025,5,1)-WEEKDAY(DATE(2025,5,1),2)+16</f>
        <v>45790</v>
      </c>
      <c r="L11" s="58">
        <f>DATE(2025,5,1)-WEEKDAY(DATE(2025,5,1),2)+17</f>
        <v>45791</v>
      </c>
      <c r="M11" s="58">
        <f>DATE(2025,5,1)-WEEKDAY(DATE(2025,5,1),2)+18</f>
        <v>45792</v>
      </c>
      <c r="N11" s="58">
        <f>DATE(2025,5,1)-WEEKDAY(DATE(2025,5,1),2)+19</f>
        <v>45793</v>
      </c>
      <c r="O11" s="58">
        <f>DATE(2025,5,1)-WEEKDAY(DATE(2025,5,1),2)+20</f>
        <v>45794</v>
      </c>
      <c r="P11" s="58">
        <f>DATE(2025,5,1)-WEEKDAY(DATE(2025,5,1),2)+21</f>
        <v>45795</v>
      </c>
      <c r="R11" s="58">
        <f>DATE(2025,6,1)-WEEKDAY(DATE(2025,6,1),2)+15</f>
        <v>45817</v>
      </c>
      <c r="S11" s="58">
        <f>DATE(2025,6,1)-WEEKDAY(DATE(2025,6,1),2)+16</f>
        <v>45818</v>
      </c>
      <c r="T11" s="58">
        <f>DATE(2025,6,1)-WEEKDAY(DATE(2025,6,1),2)+17</f>
        <v>45819</v>
      </c>
      <c r="U11" s="58">
        <f>DATE(2025,6,1)-WEEKDAY(DATE(2025,6,1),2)+18</f>
        <v>45820</v>
      </c>
      <c r="V11" s="58">
        <f>DATE(2025,6,1)-WEEKDAY(DATE(2025,6,1),2)+19</f>
        <v>45821</v>
      </c>
      <c r="W11" s="58">
        <f>DATE(2025,6,1)-WEEKDAY(DATE(2025,6,1),2)+20</f>
        <v>45822</v>
      </c>
      <c r="X11" s="58">
        <f>DATE(2025,6,1)-WEEKDAY(DATE(2025,6,1),2)+21</f>
        <v>45823</v>
      </c>
      <c r="Z11" s="58">
        <f>DATE(2025,7,1)-WEEKDAY(DATE(2025,7,1),2)+15</f>
        <v>45852</v>
      </c>
      <c r="AA11" s="58">
        <f>DATE(2025,7,1)-WEEKDAY(DATE(2025,7,1),2)+16</f>
        <v>45853</v>
      </c>
      <c r="AB11" s="58">
        <f>DATE(2025,7,1)-WEEKDAY(DATE(2025,7,1),2)+17</f>
        <v>45854</v>
      </c>
      <c r="AC11" s="58">
        <f>DATE(2025,7,1)-WEEKDAY(DATE(2025,7,1),2)+18</f>
        <v>45855</v>
      </c>
      <c r="AD11" s="58">
        <f>DATE(2025,7,1)-WEEKDAY(DATE(2025,7,1),2)+19</f>
        <v>45856</v>
      </c>
      <c r="AE11" s="58">
        <f>DATE(2025,7,1)-WEEKDAY(DATE(2025,7,1),2)+20</f>
        <v>45857</v>
      </c>
      <c r="AF11" s="58">
        <f>DATE(2025,7,1)-WEEKDAY(DATE(2025,7,1),2)+21</f>
        <v>45858</v>
      </c>
    </row>
    <row r="12" spans="1:33" ht="21" customHeight="1">
      <c r="B12" s="59">
        <f>IF(MONTH(B11)=4,IF(IFERROR(CHOOSE($A$3,INDEX('データ'!$B$880:$J$1244,MATCH(B11,'データ'!$A$880:$A$1244,0),$A$2),INDEX('データ'!$L$880:$T$1244,MATCH(B11,'データ'!$A$880:$A$1244,0),$A$2),INDEX('データ'!$V$880:$AD$1244,MATCH(B11,'データ'!$A$880:$A$1244,0),$A$2)),0)=0,"",CHOOSE($A$3,INDEX('データ'!$B$880:$J$1244,MATCH(B11,'データ'!$A$880:$A$1244,0),$A$2),INDEX('データ'!$L$880:$T$1244,MATCH(B11,'データ'!$A$880:$A$1244,0),$A$2),INDEX('データ'!$V$880:$AD$1244,MATCH(B11,'データ'!$A$880:$A$1244,0),$A$2))),"")</f>
        <v>3075</v>
      </c>
      <c r="C12" s="59">
        <f>IF(MONTH(C11)=4,IF(IFERROR(CHOOSE($A$3,INDEX('データ'!$B$880:$J$1244,MATCH(C11,'データ'!$A$880:$A$1244,0),$A$2),INDEX('データ'!$L$880:$T$1244,MATCH(C11,'データ'!$A$880:$A$1244,0),$A$2),INDEX('データ'!$V$880:$AD$1244,MATCH(C11,'データ'!$A$880:$A$1244,0),$A$2)),0)=0,"",CHOOSE($A$3,INDEX('データ'!$B$880:$J$1244,MATCH(C11,'データ'!$A$880:$A$1244,0),$A$2),INDEX('データ'!$L$880:$T$1244,MATCH(C11,'データ'!$A$880:$A$1244,0),$A$2),INDEX('データ'!$V$880:$AD$1244,MATCH(C11,'データ'!$A$880:$A$1244,0),$A$2))),"")</f>
        <v>2890</v>
      </c>
      <c r="D12" s="59">
        <f>IF(MONTH(D11)=4,IF(IFERROR(CHOOSE($A$3,INDEX('データ'!$B$880:$J$1244,MATCH(D11,'データ'!$A$880:$A$1244,0),$A$2),INDEX('データ'!$L$880:$T$1244,MATCH(D11,'データ'!$A$880:$A$1244,0),$A$2),INDEX('データ'!$V$880:$AD$1244,MATCH(D11,'データ'!$A$880:$A$1244,0),$A$2)),0)=0,"",CHOOSE($A$3,INDEX('データ'!$B$880:$J$1244,MATCH(D11,'データ'!$A$880:$A$1244,0),$A$2),INDEX('データ'!$L$880:$T$1244,MATCH(D11,'データ'!$A$880:$A$1244,0),$A$2),INDEX('データ'!$V$880:$AD$1244,MATCH(D11,'データ'!$A$880:$A$1244,0),$A$2))),"")</f>
        <v>3025</v>
      </c>
      <c r="E12" s="59">
        <f>IF(MONTH(E11)=4,IF(IFERROR(CHOOSE($A$3,INDEX('データ'!$B$880:$J$1244,MATCH(E11,'データ'!$A$880:$A$1244,0),$A$2),INDEX('データ'!$L$880:$T$1244,MATCH(E11,'データ'!$A$880:$A$1244,0),$A$2),INDEX('データ'!$V$880:$AD$1244,MATCH(E11,'データ'!$A$880:$A$1244,0),$A$2)),0)=0,"",CHOOSE($A$3,INDEX('データ'!$B$880:$J$1244,MATCH(E11,'データ'!$A$880:$A$1244,0),$A$2),INDEX('データ'!$L$880:$T$1244,MATCH(E11,'データ'!$A$880:$A$1244,0),$A$2),INDEX('データ'!$V$880:$AD$1244,MATCH(E11,'データ'!$A$880:$A$1244,0),$A$2))),"")</f>
        <v>2844</v>
      </c>
      <c r="F12" s="59">
        <f>IF(MONTH(F11)=4,IF(IFERROR(CHOOSE($A$3,INDEX('データ'!$B$880:$J$1244,MATCH(F11,'データ'!$A$880:$A$1244,0),$A$2),INDEX('データ'!$L$880:$T$1244,MATCH(F11,'データ'!$A$880:$A$1244,0),$A$2),INDEX('データ'!$V$880:$AD$1244,MATCH(F11,'データ'!$A$880:$A$1244,0),$A$2)),0)=0,"",CHOOSE($A$3,INDEX('データ'!$B$880:$J$1244,MATCH(F11,'データ'!$A$880:$A$1244,0),$A$2),INDEX('データ'!$L$880:$T$1244,MATCH(F11,'データ'!$A$880:$A$1244,0),$A$2),INDEX('データ'!$V$880:$AD$1244,MATCH(F11,'データ'!$A$880:$A$1244,0),$A$2))),"")</f>
        <v>3361</v>
      </c>
      <c r="G12" s="59">
        <f>IF(MONTH(G11)=4,IF(IFERROR(CHOOSE($A$3,INDEX('データ'!$B$880:$J$1244,MATCH(G11,'データ'!$A$880:$A$1244,0),$A$2),INDEX('データ'!$L$880:$T$1244,MATCH(G11,'データ'!$A$880:$A$1244,0),$A$2),INDEX('データ'!$V$880:$AD$1244,MATCH(G11,'データ'!$A$880:$A$1244,0),$A$2)),0)=0,"",CHOOSE($A$3,INDEX('データ'!$B$880:$J$1244,MATCH(G11,'データ'!$A$880:$A$1244,0),$A$2),INDEX('データ'!$L$880:$T$1244,MATCH(G11,'データ'!$A$880:$A$1244,0),$A$2),INDEX('データ'!$V$880:$AD$1244,MATCH(G11,'データ'!$A$880:$A$1244,0),$A$2))),"")</f>
        <v/>
      </c>
      <c r="H12" s="59">
        <f>IF(MONTH(H11)=4,IF(IFERROR(CHOOSE($A$3,INDEX('データ'!$B$880:$J$1244,MATCH(H11,'データ'!$A$880:$A$1244,0),$A$2),INDEX('データ'!$L$880:$T$1244,MATCH(H11,'データ'!$A$880:$A$1244,0),$A$2),INDEX('データ'!$V$880:$AD$1244,MATCH(H11,'データ'!$A$880:$A$1244,0),$A$2)),0)=0,"",CHOOSE($A$3,INDEX('データ'!$B$880:$J$1244,MATCH(H11,'データ'!$A$880:$A$1244,0),$A$2),INDEX('データ'!$L$880:$T$1244,MATCH(H11,'データ'!$A$880:$A$1244,0),$A$2),INDEX('データ'!$V$880:$AD$1244,MATCH(H11,'データ'!$A$880:$A$1244,0),$A$2))),"")</f>
        <v/>
      </c>
      <c r="J12" s="59">
        <f>IF(MONTH(J11)=5,IF(IFERROR(CHOOSE($A$3,INDEX('データ'!$B$880:$J$1244,MATCH(J11,'データ'!$A$880:$A$1244,0),$A$2),INDEX('データ'!$L$880:$T$1244,MATCH(J11,'データ'!$A$880:$A$1244,0),$A$2),INDEX('データ'!$V$880:$AD$1244,MATCH(J11,'データ'!$A$880:$A$1244,0),$A$2)),0)=0,"",CHOOSE($A$3,INDEX('データ'!$B$880:$J$1244,MATCH(J11,'データ'!$A$880:$A$1244,0),$A$2),INDEX('データ'!$L$880:$T$1244,MATCH(J11,'データ'!$A$880:$A$1244,0),$A$2),INDEX('データ'!$V$880:$AD$1244,MATCH(J11,'データ'!$A$880:$A$1244,0),$A$2))),"")</f>
        <v>3720</v>
      </c>
      <c r="K12" s="59">
        <f>IF(MONTH(K11)=5,IF(IFERROR(CHOOSE($A$3,INDEX('データ'!$B$880:$J$1244,MATCH(K11,'データ'!$A$880:$A$1244,0),$A$2),INDEX('データ'!$L$880:$T$1244,MATCH(K11,'データ'!$A$880:$A$1244,0),$A$2),INDEX('データ'!$V$880:$AD$1244,MATCH(K11,'データ'!$A$880:$A$1244,0),$A$2)),0)=0,"",CHOOSE($A$3,INDEX('データ'!$B$880:$J$1244,MATCH(K11,'データ'!$A$880:$A$1244,0),$A$2),INDEX('データ'!$L$880:$T$1244,MATCH(K11,'データ'!$A$880:$A$1244,0),$A$2),INDEX('データ'!$V$880:$AD$1244,MATCH(K11,'データ'!$A$880:$A$1244,0),$A$2))),"")</f>
        <v>3190</v>
      </c>
      <c r="L12" s="59">
        <f>IF(MONTH(L11)=5,IF(IFERROR(CHOOSE($A$3,INDEX('データ'!$B$880:$J$1244,MATCH(L11,'データ'!$A$880:$A$1244,0),$A$2),INDEX('データ'!$L$880:$T$1244,MATCH(L11,'データ'!$A$880:$A$1244,0),$A$2),INDEX('データ'!$V$880:$AD$1244,MATCH(L11,'データ'!$A$880:$A$1244,0),$A$2)),0)=0,"",CHOOSE($A$3,INDEX('データ'!$B$880:$J$1244,MATCH(L11,'データ'!$A$880:$A$1244,0),$A$2),INDEX('データ'!$L$880:$T$1244,MATCH(L11,'データ'!$A$880:$A$1244,0),$A$2),INDEX('データ'!$V$880:$AD$1244,MATCH(L11,'データ'!$A$880:$A$1244,0),$A$2))),"")</f>
        <v>3160</v>
      </c>
      <c r="M12" s="59">
        <f>IF(MONTH(M11)=5,IF(IFERROR(CHOOSE($A$3,INDEX('データ'!$B$880:$J$1244,MATCH(M11,'データ'!$A$880:$A$1244,0),$A$2),INDEX('データ'!$L$880:$T$1244,MATCH(M11,'データ'!$A$880:$A$1244,0),$A$2),INDEX('データ'!$V$880:$AD$1244,MATCH(M11,'データ'!$A$880:$A$1244,0),$A$2)),0)=0,"",CHOOSE($A$3,INDEX('データ'!$B$880:$J$1244,MATCH(M11,'データ'!$A$880:$A$1244,0),$A$2),INDEX('データ'!$L$880:$T$1244,MATCH(M11,'データ'!$A$880:$A$1244,0),$A$2),INDEX('データ'!$V$880:$AD$1244,MATCH(M11,'データ'!$A$880:$A$1244,0),$A$2))),"")</f>
        <v>3085</v>
      </c>
      <c r="N12" s="59">
        <f>IF(MONTH(N11)=5,IF(IFERROR(CHOOSE($A$3,INDEX('データ'!$B$880:$J$1244,MATCH(N11,'データ'!$A$880:$A$1244,0),$A$2),INDEX('データ'!$L$880:$T$1244,MATCH(N11,'データ'!$A$880:$A$1244,0),$A$2),INDEX('データ'!$V$880:$AD$1244,MATCH(N11,'データ'!$A$880:$A$1244,0),$A$2)),0)=0,"",CHOOSE($A$3,INDEX('データ'!$B$880:$J$1244,MATCH(N11,'データ'!$A$880:$A$1244,0),$A$2),INDEX('データ'!$L$880:$T$1244,MATCH(N11,'データ'!$A$880:$A$1244,0),$A$2),INDEX('データ'!$V$880:$AD$1244,MATCH(N11,'データ'!$A$880:$A$1244,0),$A$2))),"")</f>
        <v>3009</v>
      </c>
      <c r="O12" s="59">
        <f>IF(MONTH(O11)=5,IF(IFERROR(CHOOSE($A$3,INDEX('データ'!$B$880:$J$1244,MATCH(O11,'データ'!$A$880:$A$1244,0),$A$2),INDEX('データ'!$L$880:$T$1244,MATCH(O11,'データ'!$A$880:$A$1244,0),$A$2),INDEX('データ'!$V$880:$AD$1244,MATCH(O11,'データ'!$A$880:$A$1244,0),$A$2)),0)=0,"",CHOOSE($A$3,INDEX('データ'!$B$880:$J$1244,MATCH(O11,'データ'!$A$880:$A$1244,0),$A$2),INDEX('データ'!$L$880:$T$1244,MATCH(O11,'データ'!$A$880:$A$1244,0),$A$2),INDEX('データ'!$V$880:$AD$1244,MATCH(O11,'データ'!$A$880:$A$1244,0),$A$2))),"")</f>
        <v/>
      </c>
      <c r="P12" s="59">
        <f>IF(MONTH(P11)=5,IF(IFERROR(CHOOSE($A$3,INDEX('データ'!$B$880:$J$1244,MATCH(P11,'データ'!$A$880:$A$1244,0),$A$2),INDEX('データ'!$L$880:$T$1244,MATCH(P11,'データ'!$A$880:$A$1244,0),$A$2),INDEX('データ'!$V$880:$AD$1244,MATCH(P11,'データ'!$A$880:$A$1244,0),$A$2)),0)=0,"",CHOOSE($A$3,INDEX('データ'!$B$880:$J$1244,MATCH(P11,'データ'!$A$880:$A$1244,0),$A$2),INDEX('データ'!$L$880:$T$1244,MATCH(P11,'データ'!$A$880:$A$1244,0),$A$2),INDEX('データ'!$V$880:$AD$1244,MATCH(P11,'データ'!$A$880:$A$1244,0),$A$2))),"")</f>
        <v/>
      </c>
      <c r="R12" s="59">
        <f>IF(MONTH(R11)=6,IF(IFERROR(CHOOSE($A$3,INDEX('データ'!$B$880:$J$1244,MATCH(R11,'データ'!$A$880:$A$1244,0),$A$2),INDEX('データ'!$L$880:$T$1244,MATCH(R11,'データ'!$A$880:$A$1244,0),$A$2),INDEX('データ'!$V$880:$AD$1244,MATCH(R11,'データ'!$A$880:$A$1244,0),$A$2)),0)=0,"",CHOOSE($A$3,INDEX('データ'!$B$880:$J$1244,MATCH(R11,'データ'!$A$880:$A$1244,0),$A$2),INDEX('データ'!$L$880:$T$1244,MATCH(R11,'データ'!$A$880:$A$1244,0),$A$2),INDEX('データ'!$V$880:$AD$1244,MATCH(R11,'データ'!$A$880:$A$1244,0),$A$2))),"")</f>
        <v>3245</v>
      </c>
      <c r="S12" s="59">
        <f>IF(MONTH(S11)=6,IF(IFERROR(CHOOSE($A$3,INDEX('データ'!$B$880:$J$1244,MATCH(S11,'データ'!$A$880:$A$1244,0),$A$2),INDEX('データ'!$L$880:$T$1244,MATCH(S11,'データ'!$A$880:$A$1244,0),$A$2),INDEX('データ'!$V$880:$AD$1244,MATCH(S11,'データ'!$A$880:$A$1244,0),$A$2)),0)=0,"",CHOOSE($A$3,INDEX('データ'!$B$880:$J$1244,MATCH(S11,'データ'!$A$880:$A$1244,0),$A$2),INDEX('データ'!$L$880:$T$1244,MATCH(S11,'データ'!$A$880:$A$1244,0),$A$2),INDEX('データ'!$V$880:$AD$1244,MATCH(S11,'データ'!$A$880:$A$1244,0),$A$2))),"")</f>
        <v>2521</v>
      </c>
      <c r="T12" s="59">
        <f>IF(MONTH(T11)=6,IF(IFERROR(CHOOSE($A$3,INDEX('データ'!$B$880:$J$1244,MATCH(T11,'データ'!$A$880:$A$1244,0),$A$2),INDEX('データ'!$L$880:$T$1244,MATCH(T11,'データ'!$A$880:$A$1244,0),$A$2),INDEX('データ'!$V$880:$AD$1244,MATCH(T11,'データ'!$A$880:$A$1244,0),$A$2)),0)=0,"",CHOOSE($A$3,INDEX('データ'!$B$880:$J$1244,MATCH(T11,'データ'!$A$880:$A$1244,0),$A$2),INDEX('データ'!$L$880:$T$1244,MATCH(T11,'データ'!$A$880:$A$1244,0),$A$2),INDEX('データ'!$V$880:$AD$1244,MATCH(T11,'データ'!$A$880:$A$1244,0),$A$2))),"")</f>
        <v>3151</v>
      </c>
      <c r="U12" s="59">
        <f>IF(MONTH(U11)=6,IF(IFERROR(CHOOSE($A$3,INDEX('データ'!$B$880:$J$1244,MATCH(U11,'データ'!$A$880:$A$1244,0),$A$2),INDEX('データ'!$L$880:$T$1244,MATCH(U11,'データ'!$A$880:$A$1244,0),$A$2),INDEX('データ'!$V$880:$AD$1244,MATCH(U11,'データ'!$A$880:$A$1244,0),$A$2)),0)=0,"",CHOOSE($A$3,INDEX('データ'!$B$880:$J$1244,MATCH(U11,'データ'!$A$880:$A$1244,0),$A$2),INDEX('データ'!$L$880:$T$1244,MATCH(U11,'データ'!$A$880:$A$1244,0),$A$2),INDEX('データ'!$V$880:$AD$1244,MATCH(U11,'データ'!$A$880:$A$1244,0),$A$2))),"")</f>
        <v>2934</v>
      </c>
      <c r="V12" s="59">
        <f>IF(MONTH(V11)=6,IF(IFERROR(CHOOSE($A$3,INDEX('データ'!$B$880:$J$1244,MATCH(V11,'データ'!$A$880:$A$1244,0),$A$2),INDEX('データ'!$L$880:$T$1244,MATCH(V11,'データ'!$A$880:$A$1244,0),$A$2),INDEX('データ'!$V$880:$AD$1244,MATCH(V11,'データ'!$A$880:$A$1244,0),$A$2)),0)=0,"",CHOOSE($A$3,INDEX('データ'!$B$880:$J$1244,MATCH(V11,'データ'!$A$880:$A$1244,0),$A$2),INDEX('データ'!$L$880:$T$1244,MATCH(V11,'データ'!$A$880:$A$1244,0),$A$2),INDEX('データ'!$V$880:$AD$1244,MATCH(V11,'データ'!$A$880:$A$1244,0),$A$2))),"")</f>
        <v>3398</v>
      </c>
      <c r="W12" s="59">
        <f>IF(MONTH(W11)=6,IF(IFERROR(CHOOSE($A$3,INDEX('データ'!$B$880:$J$1244,MATCH(W11,'データ'!$A$880:$A$1244,0),$A$2),INDEX('データ'!$L$880:$T$1244,MATCH(W11,'データ'!$A$880:$A$1244,0),$A$2),INDEX('データ'!$V$880:$AD$1244,MATCH(W11,'データ'!$A$880:$A$1244,0),$A$2)),0)=0,"",CHOOSE($A$3,INDEX('データ'!$B$880:$J$1244,MATCH(W11,'データ'!$A$880:$A$1244,0),$A$2),INDEX('データ'!$L$880:$T$1244,MATCH(W11,'データ'!$A$880:$A$1244,0),$A$2),INDEX('データ'!$V$880:$AD$1244,MATCH(W11,'データ'!$A$880:$A$1244,0),$A$2))),"")</f>
        <v/>
      </c>
      <c r="X12" s="59">
        <f>IF(MONTH(X11)=6,IF(IFERROR(CHOOSE($A$3,INDEX('データ'!$B$880:$J$1244,MATCH(X11,'データ'!$A$880:$A$1244,0),$A$2),INDEX('データ'!$L$880:$T$1244,MATCH(X11,'データ'!$A$880:$A$1244,0),$A$2),INDEX('データ'!$V$880:$AD$1244,MATCH(X11,'データ'!$A$880:$A$1244,0),$A$2)),0)=0,"",CHOOSE($A$3,INDEX('データ'!$B$880:$J$1244,MATCH(X11,'データ'!$A$880:$A$1244,0),$A$2),INDEX('データ'!$L$880:$T$1244,MATCH(X11,'データ'!$A$880:$A$1244,0),$A$2),INDEX('データ'!$V$880:$AD$1244,MATCH(X11,'データ'!$A$880:$A$1244,0),$A$2))),"")</f>
        <v/>
      </c>
      <c r="Z12" s="59">
        <f>IF(MONTH(Z11)=7,IF(IFERROR(CHOOSE($A$3,INDEX('データ'!$B$880:$J$1244,MATCH(Z11,'データ'!$A$880:$A$1244,0),$A$2),INDEX('データ'!$L$880:$T$1244,MATCH(Z11,'データ'!$A$880:$A$1244,0),$A$2),INDEX('データ'!$V$880:$AD$1244,MATCH(Z11,'データ'!$A$880:$A$1244,0),$A$2)),0)=0,"",CHOOSE($A$3,INDEX('データ'!$B$880:$J$1244,MATCH(Z11,'データ'!$A$880:$A$1244,0),$A$2),INDEX('データ'!$L$880:$T$1244,MATCH(Z11,'データ'!$A$880:$A$1244,0),$A$2),INDEX('データ'!$V$880:$AD$1244,MATCH(Z11,'データ'!$A$880:$A$1244,0),$A$2))),"")</f>
        <v>2973</v>
      </c>
      <c r="AA12" s="59">
        <f>IF(MONTH(AA11)=7,IF(IFERROR(CHOOSE($A$3,INDEX('データ'!$B$880:$J$1244,MATCH(AA11,'データ'!$A$880:$A$1244,0),$A$2),INDEX('データ'!$L$880:$T$1244,MATCH(AA11,'データ'!$A$880:$A$1244,0),$A$2),INDEX('データ'!$V$880:$AD$1244,MATCH(AA11,'データ'!$A$880:$A$1244,0),$A$2)),0)=0,"",CHOOSE($A$3,INDEX('データ'!$B$880:$J$1244,MATCH(AA11,'データ'!$A$880:$A$1244,0),$A$2),INDEX('データ'!$L$880:$T$1244,MATCH(AA11,'データ'!$A$880:$A$1244,0),$A$2),INDEX('データ'!$V$880:$AD$1244,MATCH(AA11,'データ'!$A$880:$A$1244,0),$A$2))),"")</f>
        <v>3229</v>
      </c>
      <c r="AB12" s="59">
        <f>IF(MONTH(AB11)=7,IF(IFERROR(CHOOSE($A$3,INDEX('データ'!$B$880:$J$1244,MATCH(AB11,'データ'!$A$880:$A$1244,0),$A$2),INDEX('データ'!$L$880:$T$1244,MATCH(AB11,'データ'!$A$880:$A$1244,0),$A$2),INDEX('データ'!$V$880:$AD$1244,MATCH(AB11,'データ'!$A$880:$A$1244,0),$A$2)),0)=0,"",CHOOSE($A$3,INDEX('データ'!$B$880:$J$1244,MATCH(AB11,'データ'!$A$880:$A$1244,0),$A$2),INDEX('データ'!$L$880:$T$1244,MATCH(AB11,'データ'!$A$880:$A$1244,0),$A$2),INDEX('データ'!$V$880:$AD$1244,MATCH(AB11,'データ'!$A$880:$A$1244,0),$A$2))),"")</f>
        <v>2989</v>
      </c>
      <c r="AC12" s="59">
        <f>IF(MONTH(AC11)=7,IF(IFERROR(CHOOSE($A$3,INDEX('データ'!$B$880:$J$1244,MATCH(AC11,'データ'!$A$880:$A$1244,0),$A$2),INDEX('データ'!$L$880:$T$1244,MATCH(AC11,'データ'!$A$880:$A$1244,0),$A$2),INDEX('データ'!$V$880:$AD$1244,MATCH(AC11,'データ'!$A$880:$A$1244,0),$A$2)),0)=0,"",CHOOSE($A$3,INDEX('データ'!$B$880:$J$1244,MATCH(AC11,'データ'!$A$880:$A$1244,0),$A$2),INDEX('データ'!$L$880:$T$1244,MATCH(AC11,'データ'!$A$880:$A$1244,0),$A$2),INDEX('データ'!$V$880:$AD$1244,MATCH(AC11,'データ'!$A$880:$A$1244,0),$A$2))),"")</f>
        <v>2622</v>
      </c>
      <c r="AD12" s="59">
        <f>IF(MONTH(AD11)=7,IF(IFERROR(CHOOSE($A$3,INDEX('データ'!$B$880:$J$1244,MATCH(AD11,'データ'!$A$880:$A$1244,0),$A$2),INDEX('データ'!$L$880:$T$1244,MATCH(AD11,'データ'!$A$880:$A$1244,0),$A$2),INDEX('データ'!$V$880:$AD$1244,MATCH(AD11,'データ'!$A$880:$A$1244,0),$A$2)),0)=0,"",CHOOSE($A$3,INDEX('データ'!$B$880:$J$1244,MATCH(AD11,'データ'!$A$880:$A$1244,0),$A$2),INDEX('データ'!$L$880:$T$1244,MATCH(AD11,'データ'!$A$880:$A$1244,0),$A$2),INDEX('データ'!$V$880:$AD$1244,MATCH(AD11,'データ'!$A$880:$A$1244,0),$A$2))),"")</f>
        <v>2841</v>
      </c>
      <c r="AE12" s="59">
        <f>IF(MONTH(AE11)=7,IF(IFERROR(CHOOSE($A$3,INDEX('データ'!$B$880:$J$1244,MATCH(AE11,'データ'!$A$880:$A$1244,0),$A$2),INDEX('データ'!$L$880:$T$1244,MATCH(AE11,'データ'!$A$880:$A$1244,0),$A$2),INDEX('データ'!$V$880:$AD$1244,MATCH(AE11,'データ'!$A$880:$A$1244,0),$A$2)),0)=0,"",CHOOSE($A$3,INDEX('データ'!$B$880:$J$1244,MATCH(AE11,'データ'!$A$880:$A$1244,0),$A$2),INDEX('データ'!$L$880:$T$1244,MATCH(AE11,'データ'!$A$880:$A$1244,0),$A$2),INDEX('データ'!$V$880:$AD$1244,MATCH(AE11,'データ'!$A$880:$A$1244,0),$A$2))),"")</f>
        <v/>
      </c>
      <c r="AF12" s="59">
        <f>IF(MONTH(AF11)=7,IF(IFERROR(CHOOSE($A$3,INDEX('データ'!$B$880:$J$1244,MATCH(AF11,'データ'!$A$880:$A$1244,0),$A$2),INDEX('データ'!$L$880:$T$1244,MATCH(AF11,'データ'!$A$880:$A$1244,0),$A$2),INDEX('データ'!$V$880:$AD$1244,MATCH(AF11,'データ'!$A$880:$A$1244,0),$A$2)),0)=0,"",CHOOSE($A$3,INDEX('データ'!$B$880:$J$1244,MATCH(AF11,'データ'!$A$880:$A$1244,0),$A$2),INDEX('データ'!$L$880:$T$1244,MATCH(AF11,'データ'!$A$880:$A$1244,0),$A$2),INDEX('データ'!$V$880:$AD$1244,MATCH(AF11,'データ'!$A$880:$A$1244,0),$A$2))),"")</f>
        <v/>
      </c>
    </row>
    <row r="13" spans="1:33" ht="13" customHeight="1">
      <c r="B13" s="58">
        <f>DATE(2025,4,1)-WEEKDAY(DATE(2025,4,1),2)+22</f>
        <v>45768</v>
      </c>
      <c r="C13" s="58">
        <f>DATE(2025,4,1)-WEEKDAY(DATE(2025,4,1),2)+23</f>
        <v>45769</v>
      </c>
      <c r="D13" s="58">
        <f>DATE(2025,4,1)-WEEKDAY(DATE(2025,4,1),2)+24</f>
        <v>45770</v>
      </c>
      <c r="E13" s="58">
        <f>DATE(2025,4,1)-WEEKDAY(DATE(2025,4,1),2)+25</f>
        <v>45771</v>
      </c>
      <c r="F13" s="58">
        <f>DATE(2025,4,1)-WEEKDAY(DATE(2025,4,1),2)+26</f>
        <v>45772</v>
      </c>
      <c r="G13" s="58">
        <f>DATE(2025,4,1)-WEEKDAY(DATE(2025,4,1),2)+27</f>
        <v>45773</v>
      </c>
      <c r="H13" s="58">
        <f>DATE(2025,4,1)-WEEKDAY(DATE(2025,4,1),2)+28</f>
        <v>45774</v>
      </c>
      <c r="J13" s="58">
        <f>DATE(2025,5,1)-WEEKDAY(DATE(2025,5,1),2)+22</f>
        <v>45796</v>
      </c>
      <c r="K13" s="58">
        <f>DATE(2025,5,1)-WEEKDAY(DATE(2025,5,1),2)+23</f>
        <v>45797</v>
      </c>
      <c r="L13" s="58">
        <f>DATE(2025,5,1)-WEEKDAY(DATE(2025,5,1),2)+24</f>
        <v>45798</v>
      </c>
      <c r="M13" s="58">
        <f>DATE(2025,5,1)-WEEKDAY(DATE(2025,5,1),2)+25</f>
        <v>45799</v>
      </c>
      <c r="N13" s="58">
        <f>DATE(2025,5,1)-WEEKDAY(DATE(2025,5,1),2)+26</f>
        <v>45800</v>
      </c>
      <c r="O13" s="58">
        <f>DATE(2025,5,1)-WEEKDAY(DATE(2025,5,1),2)+27</f>
        <v>45801</v>
      </c>
      <c r="P13" s="58">
        <f>DATE(2025,5,1)-WEEKDAY(DATE(2025,5,1),2)+28</f>
        <v>45802</v>
      </c>
      <c r="R13" s="58">
        <f>DATE(2025,6,1)-WEEKDAY(DATE(2025,6,1),2)+22</f>
        <v>45824</v>
      </c>
      <c r="S13" s="58">
        <f>DATE(2025,6,1)-WEEKDAY(DATE(2025,6,1),2)+23</f>
        <v>45825</v>
      </c>
      <c r="T13" s="58">
        <f>DATE(2025,6,1)-WEEKDAY(DATE(2025,6,1),2)+24</f>
        <v>45826</v>
      </c>
      <c r="U13" s="58">
        <f>DATE(2025,6,1)-WEEKDAY(DATE(2025,6,1),2)+25</f>
        <v>45827</v>
      </c>
      <c r="V13" s="58">
        <f>DATE(2025,6,1)-WEEKDAY(DATE(2025,6,1),2)+26</f>
        <v>45828</v>
      </c>
      <c r="W13" s="58">
        <f>DATE(2025,6,1)-WEEKDAY(DATE(2025,6,1),2)+27</f>
        <v>45829</v>
      </c>
      <c r="X13" s="58">
        <f>DATE(2025,6,1)-WEEKDAY(DATE(2025,6,1),2)+28</f>
        <v>45830</v>
      </c>
      <c r="Z13" s="58">
        <f>DATE(2025,7,1)-WEEKDAY(DATE(2025,7,1),2)+22</f>
        <v>45859</v>
      </c>
      <c r="AA13" s="58">
        <f>DATE(2025,7,1)-WEEKDAY(DATE(2025,7,1),2)+23</f>
        <v>45860</v>
      </c>
      <c r="AB13" s="58">
        <f>DATE(2025,7,1)-WEEKDAY(DATE(2025,7,1),2)+24</f>
        <v>45861</v>
      </c>
      <c r="AC13" s="58">
        <f>DATE(2025,7,1)-WEEKDAY(DATE(2025,7,1),2)+25</f>
        <v>45862</v>
      </c>
      <c r="AD13" s="58">
        <f>DATE(2025,7,1)-WEEKDAY(DATE(2025,7,1),2)+26</f>
        <v>45863</v>
      </c>
      <c r="AE13" s="58">
        <f>DATE(2025,7,1)-WEEKDAY(DATE(2025,7,1),2)+27</f>
        <v>45864</v>
      </c>
      <c r="AF13" s="58">
        <f>DATE(2025,7,1)-WEEKDAY(DATE(2025,7,1),2)+28</f>
        <v>45865</v>
      </c>
    </row>
    <row r="14" spans="1:33" ht="21" customHeight="1">
      <c r="B14" s="59">
        <f>IF(MONTH(B13)=4,IF(IFERROR(CHOOSE($A$3,INDEX('データ'!$B$880:$J$1244,MATCH(B13,'データ'!$A$880:$A$1244,0),$A$2),INDEX('データ'!$L$880:$T$1244,MATCH(B13,'データ'!$A$880:$A$1244,0),$A$2),INDEX('データ'!$V$880:$AD$1244,MATCH(B13,'データ'!$A$880:$A$1244,0),$A$2)),0)=0,"",CHOOSE($A$3,INDEX('データ'!$B$880:$J$1244,MATCH(B13,'データ'!$A$880:$A$1244,0),$A$2),INDEX('データ'!$L$880:$T$1244,MATCH(B13,'データ'!$A$880:$A$1244,0),$A$2),INDEX('データ'!$V$880:$AD$1244,MATCH(B13,'データ'!$A$880:$A$1244,0),$A$2))),"")</f>
        <v>3588</v>
      </c>
      <c r="C14" s="59">
        <f>IF(MONTH(C13)=4,IF(IFERROR(CHOOSE($A$3,INDEX('データ'!$B$880:$J$1244,MATCH(C13,'データ'!$A$880:$A$1244,0),$A$2),INDEX('データ'!$L$880:$T$1244,MATCH(C13,'データ'!$A$880:$A$1244,0),$A$2),INDEX('データ'!$V$880:$AD$1244,MATCH(C13,'データ'!$A$880:$A$1244,0),$A$2)),0)=0,"",CHOOSE($A$3,INDEX('データ'!$B$880:$J$1244,MATCH(C13,'データ'!$A$880:$A$1244,0),$A$2),INDEX('データ'!$L$880:$T$1244,MATCH(C13,'データ'!$A$880:$A$1244,0),$A$2),INDEX('データ'!$V$880:$AD$1244,MATCH(C13,'データ'!$A$880:$A$1244,0),$A$2))),"")</f>
        <v>2834</v>
      </c>
      <c r="D14" s="59">
        <f>IF(MONTH(D13)=4,IF(IFERROR(CHOOSE($A$3,INDEX('データ'!$B$880:$J$1244,MATCH(D13,'データ'!$A$880:$A$1244,0),$A$2),INDEX('データ'!$L$880:$T$1244,MATCH(D13,'データ'!$A$880:$A$1244,0),$A$2),INDEX('データ'!$V$880:$AD$1244,MATCH(D13,'データ'!$A$880:$A$1244,0),$A$2)),0)=0,"",CHOOSE($A$3,INDEX('データ'!$B$880:$J$1244,MATCH(D13,'データ'!$A$880:$A$1244,0),$A$2),INDEX('データ'!$L$880:$T$1244,MATCH(D13,'データ'!$A$880:$A$1244,0),$A$2),INDEX('データ'!$V$880:$AD$1244,MATCH(D13,'データ'!$A$880:$A$1244,0),$A$2))),"")</f>
        <v>2840</v>
      </c>
      <c r="E14" s="59">
        <f>IF(MONTH(E13)=4,IF(IFERROR(CHOOSE($A$3,INDEX('データ'!$B$880:$J$1244,MATCH(E13,'データ'!$A$880:$A$1244,0),$A$2),INDEX('データ'!$L$880:$T$1244,MATCH(E13,'データ'!$A$880:$A$1244,0),$A$2),INDEX('データ'!$V$880:$AD$1244,MATCH(E13,'データ'!$A$880:$A$1244,0),$A$2)),0)=0,"",CHOOSE($A$3,INDEX('データ'!$B$880:$J$1244,MATCH(E13,'データ'!$A$880:$A$1244,0),$A$2),INDEX('データ'!$L$880:$T$1244,MATCH(E13,'データ'!$A$880:$A$1244,0),$A$2),INDEX('データ'!$V$880:$AD$1244,MATCH(E13,'データ'!$A$880:$A$1244,0),$A$2))),"")</f>
        <v>2701</v>
      </c>
      <c r="F14" s="59">
        <f>IF(MONTH(F13)=4,IF(IFERROR(CHOOSE($A$3,INDEX('データ'!$B$880:$J$1244,MATCH(F13,'データ'!$A$880:$A$1244,0),$A$2),INDEX('データ'!$L$880:$T$1244,MATCH(F13,'データ'!$A$880:$A$1244,0),$A$2),INDEX('データ'!$V$880:$AD$1244,MATCH(F13,'データ'!$A$880:$A$1244,0),$A$2)),0)=0,"",CHOOSE($A$3,INDEX('データ'!$B$880:$J$1244,MATCH(F13,'データ'!$A$880:$A$1244,0),$A$2),INDEX('データ'!$L$880:$T$1244,MATCH(F13,'データ'!$A$880:$A$1244,0),$A$2),INDEX('データ'!$V$880:$AD$1244,MATCH(F13,'データ'!$A$880:$A$1244,0),$A$2))),"")</f>
        <v>2974</v>
      </c>
      <c r="G14" s="59">
        <f>IF(MONTH(G13)=4,IF(IFERROR(CHOOSE($A$3,INDEX('データ'!$B$880:$J$1244,MATCH(G13,'データ'!$A$880:$A$1244,0),$A$2),INDEX('データ'!$L$880:$T$1244,MATCH(G13,'データ'!$A$880:$A$1244,0),$A$2),INDEX('データ'!$V$880:$AD$1244,MATCH(G13,'データ'!$A$880:$A$1244,0),$A$2)),0)=0,"",CHOOSE($A$3,INDEX('データ'!$B$880:$J$1244,MATCH(G13,'データ'!$A$880:$A$1244,0),$A$2),INDEX('データ'!$L$880:$T$1244,MATCH(G13,'データ'!$A$880:$A$1244,0),$A$2),INDEX('データ'!$V$880:$AD$1244,MATCH(G13,'データ'!$A$880:$A$1244,0),$A$2))),"")</f>
        <v/>
      </c>
      <c r="H14" s="59">
        <f>IF(MONTH(H13)=4,IF(IFERROR(CHOOSE($A$3,INDEX('データ'!$B$880:$J$1244,MATCH(H13,'データ'!$A$880:$A$1244,0),$A$2),INDEX('データ'!$L$880:$T$1244,MATCH(H13,'データ'!$A$880:$A$1244,0),$A$2),INDEX('データ'!$V$880:$AD$1244,MATCH(H13,'データ'!$A$880:$A$1244,0),$A$2)),0)=0,"",CHOOSE($A$3,INDEX('データ'!$B$880:$J$1244,MATCH(H13,'データ'!$A$880:$A$1244,0),$A$2),INDEX('データ'!$L$880:$T$1244,MATCH(H13,'データ'!$A$880:$A$1244,0),$A$2),INDEX('データ'!$V$880:$AD$1244,MATCH(H13,'データ'!$A$880:$A$1244,0),$A$2))),"")</f>
        <v/>
      </c>
      <c r="J14" s="59">
        <f>IF(MONTH(J13)=5,IF(IFERROR(CHOOSE($A$3,INDEX('データ'!$B$880:$J$1244,MATCH(J13,'データ'!$A$880:$A$1244,0),$A$2),INDEX('データ'!$L$880:$T$1244,MATCH(J13,'データ'!$A$880:$A$1244,0),$A$2),INDEX('データ'!$V$880:$AD$1244,MATCH(J13,'データ'!$A$880:$A$1244,0),$A$2)),0)=0,"",CHOOSE($A$3,INDEX('データ'!$B$880:$J$1244,MATCH(J13,'データ'!$A$880:$A$1244,0),$A$2),INDEX('データ'!$L$880:$T$1244,MATCH(J13,'データ'!$A$880:$A$1244,0),$A$2),INDEX('データ'!$V$880:$AD$1244,MATCH(J13,'データ'!$A$880:$A$1244,0),$A$2))),"")</f>
        <v>3432</v>
      </c>
      <c r="K14" s="59">
        <f>IF(MONTH(K13)=5,IF(IFERROR(CHOOSE($A$3,INDEX('データ'!$B$880:$J$1244,MATCH(K13,'データ'!$A$880:$A$1244,0),$A$2),INDEX('データ'!$L$880:$T$1244,MATCH(K13,'データ'!$A$880:$A$1244,0),$A$2),INDEX('データ'!$V$880:$AD$1244,MATCH(K13,'データ'!$A$880:$A$1244,0),$A$2)),0)=0,"",CHOOSE($A$3,INDEX('データ'!$B$880:$J$1244,MATCH(K13,'データ'!$A$880:$A$1244,0),$A$2),INDEX('データ'!$L$880:$T$1244,MATCH(K13,'データ'!$A$880:$A$1244,0),$A$2),INDEX('データ'!$V$880:$AD$1244,MATCH(K13,'データ'!$A$880:$A$1244,0),$A$2))),"")</f>
        <v>3096</v>
      </c>
      <c r="L14" s="59">
        <f>IF(MONTH(L13)=5,IF(IFERROR(CHOOSE($A$3,INDEX('データ'!$B$880:$J$1244,MATCH(L13,'データ'!$A$880:$A$1244,0),$A$2),INDEX('データ'!$L$880:$T$1244,MATCH(L13,'データ'!$A$880:$A$1244,0),$A$2),INDEX('データ'!$V$880:$AD$1244,MATCH(L13,'データ'!$A$880:$A$1244,0),$A$2)),0)=0,"",CHOOSE($A$3,INDEX('データ'!$B$880:$J$1244,MATCH(L13,'データ'!$A$880:$A$1244,0),$A$2),INDEX('データ'!$L$880:$T$1244,MATCH(L13,'データ'!$A$880:$A$1244,0),$A$2),INDEX('データ'!$V$880:$AD$1244,MATCH(L13,'データ'!$A$880:$A$1244,0),$A$2))),"")</f>
        <v>2730</v>
      </c>
      <c r="M14" s="59">
        <f>IF(MONTH(M13)=5,IF(IFERROR(CHOOSE($A$3,INDEX('データ'!$B$880:$J$1244,MATCH(M13,'データ'!$A$880:$A$1244,0),$A$2),INDEX('データ'!$L$880:$T$1244,MATCH(M13,'データ'!$A$880:$A$1244,0),$A$2),INDEX('データ'!$V$880:$AD$1244,MATCH(M13,'データ'!$A$880:$A$1244,0),$A$2)),0)=0,"",CHOOSE($A$3,INDEX('データ'!$B$880:$J$1244,MATCH(M13,'データ'!$A$880:$A$1244,0),$A$2),INDEX('データ'!$L$880:$T$1244,MATCH(M13,'データ'!$A$880:$A$1244,0),$A$2),INDEX('データ'!$V$880:$AD$1244,MATCH(M13,'データ'!$A$880:$A$1244,0),$A$2))),"")</f>
        <v>2747</v>
      </c>
      <c r="N14" s="59">
        <f>IF(MONTH(N13)=5,IF(IFERROR(CHOOSE($A$3,INDEX('データ'!$B$880:$J$1244,MATCH(N13,'データ'!$A$880:$A$1244,0),$A$2),INDEX('データ'!$L$880:$T$1244,MATCH(N13,'データ'!$A$880:$A$1244,0),$A$2),INDEX('データ'!$V$880:$AD$1244,MATCH(N13,'データ'!$A$880:$A$1244,0),$A$2)),0)=0,"",CHOOSE($A$3,INDEX('データ'!$B$880:$J$1244,MATCH(N13,'データ'!$A$880:$A$1244,0),$A$2),INDEX('データ'!$L$880:$T$1244,MATCH(N13,'データ'!$A$880:$A$1244,0),$A$2),INDEX('データ'!$V$880:$AD$1244,MATCH(N13,'データ'!$A$880:$A$1244,0),$A$2))),"")</f>
        <v>3130</v>
      </c>
      <c r="O14" s="59">
        <f>IF(MONTH(O13)=5,IF(IFERROR(CHOOSE($A$3,INDEX('データ'!$B$880:$J$1244,MATCH(O13,'データ'!$A$880:$A$1244,0),$A$2),INDEX('データ'!$L$880:$T$1244,MATCH(O13,'データ'!$A$880:$A$1244,0),$A$2),INDEX('データ'!$V$880:$AD$1244,MATCH(O13,'データ'!$A$880:$A$1244,0),$A$2)),0)=0,"",CHOOSE($A$3,INDEX('データ'!$B$880:$J$1244,MATCH(O13,'データ'!$A$880:$A$1244,0),$A$2),INDEX('データ'!$L$880:$T$1244,MATCH(O13,'データ'!$A$880:$A$1244,0),$A$2),INDEX('データ'!$V$880:$AD$1244,MATCH(O13,'データ'!$A$880:$A$1244,0),$A$2))),"")</f>
        <v/>
      </c>
      <c r="P14" s="59">
        <f>IF(MONTH(P13)=5,IF(IFERROR(CHOOSE($A$3,INDEX('データ'!$B$880:$J$1244,MATCH(P13,'データ'!$A$880:$A$1244,0),$A$2),INDEX('データ'!$L$880:$T$1244,MATCH(P13,'データ'!$A$880:$A$1244,0),$A$2),INDEX('データ'!$V$880:$AD$1244,MATCH(P13,'データ'!$A$880:$A$1244,0),$A$2)),0)=0,"",CHOOSE($A$3,INDEX('データ'!$B$880:$J$1244,MATCH(P13,'データ'!$A$880:$A$1244,0),$A$2),INDEX('データ'!$L$880:$T$1244,MATCH(P13,'データ'!$A$880:$A$1244,0),$A$2),INDEX('データ'!$V$880:$AD$1244,MATCH(P13,'データ'!$A$880:$A$1244,0),$A$2))),"")</f>
        <v/>
      </c>
      <c r="R14" s="59">
        <f>IF(MONTH(R13)=6,IF(IFERROR(CHOOSE($A$3,INDEX('データ'!$B$880:$J$1244,MATCH(R13,'データ'!$A$880:$A$1244,0),$A$2),INDEX('データ'!$L$880:$T$1244,MATCH(R13,'データ'!$A$880:$A$1244,0),$A$2),INDEX('データ'!$V$880:$AD$1244,MATCH(R13,'データ'!$A$880:$A$1244,0),$A$2)),0)=0,"",CHOOSE($A$3,INDEX('データ'!$B$880:$J$1244,MATCH(R13,'データ'!$A$880:$A$1244,0),$A$2),INDEX('データ'!$L$880:$T$1244,MATCH(R13,'データ'!$A$880:$A$1244,0),$A$2),INDEX('データ'!$V$880:$AD$1244,MATCH(R13,'データ'!$A$880:$A$1244,0),$A$2))),"")</f>
        <v>3641</v>
      </c>
      <c r="S14" s="59">
        <f>IF(MONTH(S13)=6,IF(IFERROR(CHOOSE($A$3,INDEX('データ'!$B$880:$J$1244,MATCH(S13,'データ'!$A$880:$A$1244,0),$A$2),INDEX('データ'!$L$880:$T$1244,MATCH(S13,'データ'!$A$880:$A$1244,0),$A$2),INDEX('データ'!$V$880:$AD$1244,MATCH(S13,'データ'!$A$880:$A$1244,0),$A$2)),0)=0,"",CHOOSE($A$3,INDEX('データ'!$B$880:$J$1244,MATCH(S13,'データ'!$A$880:$A$1244,0),$A$2),INDEX('データ'!$L$880:$T$1244,MATCH(S13,'データ'!$A$880:$A$1244,0),$A$2),INDEX('データ'!$V$880:$AD$1244,MATCH(S13,'データ'!$A$880:$A$1244,0),$A$2))),"")</f>
        <v>3126</v>
      </c>
      <c r="T14" s="59">
        <f>IF(MONTH(T13)=6,IF(IFERROR(CHOOSE($A$3,INDEX('データ'!$B$880:$J$1244,MATCH(T13,'データ'!$A$880:$A$1244,0),$A$2),INDEX('データ'!$L$880:$T$1244,MATCH(T13,'データ'!$A$880:$A$1244,0),$A$2),INDEX('データ'!$V$880:$AD$1244,MATCH(T13,'データ'!$A$880:$A$1244,0),$A$2)),0)=0,"",CHOOSE($A$3,INDEX('データ'!$B$880:$J$1244,MATCH(T13,'データ'!$A$880:$A$1244,0),$A$2),INDEX('データ'!$L$880:$T$1244,MATCH(T13,'データ'!$A$880:$A$1244,0),$A$2),INDEX('データ'!$V$880:$AD$1244,MATCH(T13,'データ'!$A$880:$A$1244,0),$A$2))),"")</f>
        <v>3011</v>
      </c>
      <c r="U14" s="59">
        <f>IF(MONTH(U13)=6,IF(IFERROR(CHOOSE($A$3,INDEX('データ'!$B$880:$J$1244,MATCH(U13,'データ'!$A$880:$A$1244,0),$A$2),INDEX('データ'!$L$880:$T$1244,MATCH(U13,'データ'!$A$880:$A$1244,0),$A$2),INDEX('データ'!$V$880:$AD$1244,MATCH(U13,'データ'!$A$880:$A$1244,0),$A$2)),0)=0,"",CHOOSE($A$3,INDEX('データ'!$B$880:$J$1244,MATCH(U13,'データ'!$A$880:$A$1244,0),$A$2),INDEX('データ'!$L$880:$T$1244,MATCH(U13,'データ'!$A$880:$A$1244,0),$A$2),INDEX('データ'!$V$880:$AD$1244,MATCH(U13,'データ'!$A$880:$A$1244,0),$A$2))),"")</f>
        <v>2705</v>
      </c>
      <c r="V14" s="59">
        <f>IF(MONTH(V13)=6,IF(IFERROR(CHOOSE($A$3,INDEX('データ'!$B$880:$J$1244,MATCH(V13,'データ'!$A$880:$A$1244,0),$A$2),INDEX('データ'!$L$880:$T$1244,MATCH(V13,'データ'!$A$880:$A$1244,0),$A$2),INDEX('データ'!$V$880:$AD$1244,MATCH(V13,'データ'!$A$880:$A$1244,0),$A$2)),0)=0,"",CHOOSE($A$3,INDEX('データ'!$B$880:$J$1244,MATCH(V13,'データ'!$A$880:$A$1244,0),$A$2),INDEX('データ'!$L$880:$T$1244,MATCH(V13,'データ'!$A$880:$A$1244,0),$A$2),INDEX('データ'!$V$880:$AD$1244,MATCH(V13,'データ'!$A$880:$A$1244,0),$A$2))),"")</f>
        <v>3011</v>
      </c>
      <c r="W14" s="59">
        <f>IF(MONTH(W13)=6,IF(IFERROR(CHOOSE($A$3,INDEX('データ'!$B$880:$J$1244,MATCH(W13,'データ'!$A$880:$A$1244,0),$A$2),INDEX('データ'!$L$880:$T$1244,MATCH(W13,'データ'!$A$880:$A$1244,0),$A$2),INDEX('データ'!$V$880:$AD$1244,MATCH(W13,'データ'!$A$880:$A$1244,0),$A$2)),0)=0,"",CHOOSE($A$3,INDEX('データ'!$B$880:$J$1244,MATCH(W13,'データ'!$A$880:$A$1244,0),$A$2),INDEX('データ'!$L$880:$T$1244,MATCH(W13,'データ'!$A$880:$A$1244,0),$A$2),INDEX('データ'!$V$880:$AD$1244,MATCH(W13,'データ'!$A$880:$A$1244,0),$A$2))),"")</f>
        <v/>
      </c>
      <c r="X14" s="59">
        <f>IF(MONTH(X13)=6,IF(IFERROR(CHOOSE($A$3,INDEX('データ'!$B$880:$J$1244,MATCH(X13,'データ'!$A$880:$A$1244,0),$A$2),INDEX('データ'!$L$880:$T$1244,MATCH(X13,'データ'!$A$880:$A$1244,0),$A$2),INDEX('データ'!$V$880:$AD$1244,MATCH(X13,'データ'!$A$880:$A$1244,0),$A$2)),0)=0,"",CHOOSE($A$3,INDEX('データ'!$B$880:$J$1244,MATCH(X13,'データ'!$A$880:$A$1244,0),$A$2),INDEX('データ'!$L$880:$T$1244,MATCH(X13,'データ'!$A$880:$A$1244,0),$A$2),INDEX('データ'!$V$880:$AD$1244,MATCH(X13,'データ'!$A$880:$A$1244,0),$A$2))),"")</f>
        <v/>
      </c>
      <c r="Z14" s="59">
        <f>IF(MONTH(Z13)=7,IF(IFERROR(CHOOSE($A$3,INDEX('データ'!$B$880:$J$1244,MATCH(Z13,'データ'!$A$880:$A$1244,0),$A$2),INDEX('データ'!$L$880:$T$1244,MATCH(Z13,'データ'!$A$880:$A$1244,0),$A$2),INDEX('データ'!$V$880:$AD$1244,MATCH(Z13,'データ'!$A$880:$A$1244,0),$A$2)),0)=0,"",CHOOSE($A$3,INDEX('データ'!$B$880:$J$1244,MATCH(Z13,'データ'!$A$880:$A$1244,0),$A$2),INDEX('データ'!$L$880:$T$1244,MATCH(Z13,'データ'!$A$880:$A$1244,0),$A$2),INDEX('データ'!$V$880:$AD$1244,MATCH(Z13,'データ'!$A$880:$A$1244,0),$A$2))),"")</f>
        <v/>
      </c>
      <c r="AA14" s="59">
        <f>IF(MONTH(AA13)=7,IF(IFERROR(CHOOSE($A$3,INDEX('データ'!$B$880:$J$1244,MATCH(AA13,'データ'!$A$880:$A$1244,0),$A$2),INDEX('データ'!$L$880:$T$1244,MATCH(AA13,'データ'!$A$880:$A$1244,0),$A$2),INDEX('データ'!$V$880:$AD$1244,MATCH(AA13,'データ'!$A$880:$A$1244,0),$A$2)),0)=0,"",CHOOSE($A$3,INDEX('データ'!$B$880:$J$1244,MATCH(AA13,'データ'!$A$880:$A$1244,0),$A$2),INDEX('データ'!$L$880:$T$1244,MATCH(AA13,'データ'!$A$880:$A$1244,0),$A$2),INDEX('データ'!$V$880:$AD$1244,MATCH(AA13,'データ'!$A$880:$A$1244,0),$A$2))),"")</f>
        <v>3363</v>
      </c>
      <c r="AB14" s="59">
        <f>IF(MONTH(AB13)=7,IF(IFERROR(CHOOSE($A$3,INDEX('データ'!$B$880:$J$1244,MATCH(AB13,'データ'!$A$880:$A$1244,0),$A$2),INDEX('データ'!$L$880:$T$1244,MATCH(AB13,'データ'!$A$880:$A$1244,0),$A$2),INDEX('データ'!$V$880:$AD$1244,MATCH(AB13,'データ'!$A$880:$A$1244,0),$A$2)),0)=0,"",CHOOSE($A$3,INDEX('データ'!$B$880:$J$1244,MATCH(AB13,'データ'!$A$880:$A$1244,0),$A$2),INDEX('データ'!$L$880:$T$1244,MATCH(AB13,'データ'!$A$880:$A$1244,0),$A$2),INDEX('データ'!$V$880:$AD$1244,MATCH(AB13,'データ'!$A$880:$A$1244,0),$A$2))),"")</f>
        <v>3228</v>
      </c>
      <c r="AC14" s="59">
        <f>IF(MONTH(AC13)=7,IF(IFERROR(CHOOSE($A$3,INDEX('データ'!$B$880:$J$1244,MATCH(AC13,'データ'!$A$880:$A$1244,0),$A$2),INDEX('データ'!$L$880:$T$1244,MATCH(AC13,'データ'!$A$880:$A$1244,0),$A$2),INDEX('データ'!$V$880:$AD$1244,MATCH(AC13,'データ'!$A$880:$A$1244,0),$A$2)),0)=0,"",CHOOSE($A$3,INDEX('データ'!$B$880:$J$1244,MATCH(AC13,'データ'!$A$880:$A$1244,0),$A$2),INDEX('データ'!$L$880:$T$1244,MATCH(AC13,'データ'!$A$880:$A$1244,0),$A$2),INDEX('データ'!$V$880:$AD$1244,MATCH(AC13,'データ'!$A$880:$A$1244,0),$A$2))),"")</f>
        <v>3353</v>
      </c>
      <c r="AD14" s="59">
        <f>IF(MONTH(AD13)=7,IF(IFERROR(CHOOSE($A$3,INDEX('データ'!$B$880:$J$1244,MATCH(AD13,'データ'!$A$880:$A$1244,0),$A$2),INDEX('データ'!$L$880:$T$1244,MATCH(AD13,'データ'!$A$880:$A$1244,0),$A$2),INDEX('データ'!$V$880:$AD$1244,MATCH(AD13,'データ'!$A$880:$A$1244,0),$A$2)),0)=0,"",CHOOSE($A$3,INDEX('データ'!$B$880:$J$1244,MATCH(AD13,'データ'!$A$880:$A$1244,0),$A$2),INDEX('データ'!$L$880:$T$1244,MATCH(AD13,'データ'!$A$880:$A$1244,0),$A$2),INDEX('データ'!$V$880:$AD$1244,MATCH(AD13,'データ'!$A$880:$A$1244,0),$A$2))),"")</f>
        <v>3222</v>
      </c>
      <c r="AE14" s="59">
        <f>IF(MONTH(AE13)=7,IF(IFERROR(CHOOSE($A$3,INDEX('データ'!$B$880:$J$1244,MATCH(AE13,'データ'!$A$880:$A$1244,0),$A$2),INDEX('データ'!$L$880:$T$1244,MATCH(AE13,'データ'!$A$880:$A$1244,0),$A$2),INDEX('データ'!$V$880:$AD$1244,MATCH(AE13,'データ'!$A$880:$A$1244,0),$A$2)),0)=0,"",CHOOSE($A$3,INDEX('データ'!$B$880:$J$1244,MATCH(AE13,'データ'!$A$880:$A$1244,0),$A$2),INDEX('データ'!$L$880:$T$1244,MATCH(AE13,'データ'!$A$880:$A$1244,0),$A$2),INDEX('データ'!$V$880:$AD$1244,MATCH(AE13,'データ'!$A$880:$A$1244,0),$A$2))),"")</f>
        <v/>
      </c>
      <c r="AF14" s="59">
        <f>IF(MONTH(AF13)=7,IF(IFERROR(CHOOSE($A$3,INDEX('データ'!$B$880:$J$1244,MATCH(AF13,'データ'!$A$880:$A$1244,0),$A$2),INDEX('データ'!$L$880:$T$1244,MATCH(AF13,'データ'!$A$880:$A$1244,0),$A$2),INDEX('データ'!$V$880:$AD$1244,MATCH(AF13,'データ'!$A$880:$A$1244,0),$A$2)),0)=0,"",CHOOSE($A$3,INDEX('データ'!$B$880:$J$1244,MATCH(AF13,'データ'!$A$880:$A$1244,0),$A$2),INDEX('データ'!$L$880:$T$1244,MATCH(AF13,'データ'!$A$880:$A$1244,0),$A$2),INDEX('データ'!$V$880:$AD$1244,MATCH(AF13,'データ'!$A$880:$A$1244,0),$A$2))),"")</f>
        <v/>
      </c>
    </row>
    <row r="15" spans="1:33" ht="13" customHeight="1">
      <c r="B15" s="58">
        <f>DATE(2025,4,1)-WEEKDAY(DATE(2025,4,1),2)+29</f>
        <v>45775</v>
      </c>
      <c r="C15" s="58">
        <f>DATE(2025,4,1)-WEEKDAY(DATE(2025,4,1),2)+30</f>
        <v>45776</v>
      </c>
      <c r="D15" s="58">
        <f>DATE(2025,4,1)-WEEKDAY(DATE(2025,4,1),2)+31</f>
        <v>45777</v>
      </c>
      <c r="E15" s="58">
        <f>DATE(2025,4,1)-WEEKDAY(DATE(2025,4,1),2)+32</f>
        <v>45778</v>
      </c>
      <c r="F15" s="58">
        <f>DATE(2025,4,1)-WEEKDAY(DATE(2025,4,1),2)+33</f>
        <v>45779</v>
      </c>
      <c r="G15" s="58">
        <f>DATE(2025,4,1)-WEEKDAY(DATE(2025,4,1),2)+34</f>
        <v>45780</v>
      </c>
      <c r="H15" s="58">
        <f>DATE(2025,4,1)-WEEKDAY(DATE(2025,4,1),2)+35</f>
        <v>45781</v>
      </c>
      <c r="J15" s="58">
        <f>DATE(2025,5,1)-WEEKDAY(DATE(2025,5,1),2)+29</f>
        <v>45803</v>
      </c>
      <c r="K15" s="58">
        <f>DATE(2025,5,1)-WEEKDAY(DATE(2025,5,1),2)+30</f>
        <v>45804</v>
      </c>
      <c r="L15" s="58">
        <f>DATE(2025,5,1)-WEEKDAY(DATE(2025,5,1),2)+31</f>
        <v>45805</v>
      </c>
      <c r="M15" s="58">
        <f>DATE(2025,5,1)-WEEKDAY(DATE(2025,5,1),2)+32</f>
        <v>45806</v>
      </c>
      <c r="N15" s="58">
        <f>DATE(2025,5,1)-WEEKDAY(DATE(2025,5,1),2)+33</f>
        <v>45807</v>
      </c>
      <c r="O15" s="58">
        <f>DATE(2025,5,1)-WEEKDAY(DATE(2025,5,1),2)+34</f>
        <v>45808</v>
      </c>
      <c r="P15" s="58">
        <f>DATE(2025,5,1)-WEEKDAY(DATE(2025,5,1),2)+35</f>
        <v>45809</v>
      </c>
      <c r="R15" s="58">
        <f>DATE(2025,6,1)-WEEKDAY(DATE(2025,6,1),2)+29</f>
        <v>45831</v>
      </c>
      <c r="S15" s="58">
        <f>DATE(2025,6,1)-WEEKDAY(DATE(2025,6,1),2)+30</f>
        <v>45832</v>
      </c>
      <c r="T15" s="58">
        <f>DATE(2025,6,1)-WEEKDAY(DATE(2025,6,1),2)+31</f>
        <v>45833</v>
      </c>
      <c r="U15" s="58">
        <f>DATE(2025,6,1)-WEEKDAY(DATE(2025,6,1),2)+32</f>
        <v>45834</v>
      </c>
      <c r="V15" s="58">
        <f>DATE(2025,6,1)-WEEKDAY(DATE(2025,6,1),2)+33</f>
        <v>45835</v>
      </c>
      <c r="W15" s="58">
        <f>DATE(2025,6,1)-WEEKDAY(DATE(2025,6,1),2)+34</f>
        <v>45836</v>
      </c>
      <c r="X15" s="58">
        <f>DATE(2025,6,1)-WEEKDAY(DATE(2025,6,1),2)+35</f>
        <v>45837</v>
      </c>
      <c r="Z15" s="58">
        <f>DATE(2025,7,1)-WEEKDAY(DATE(2025,7,1),2)+29</f>
        <v>45866</v>
      </c>
      <c r="AA15" s="58">
        <f>DATE(2025,7,1)-WEEKDAY(DATE(2025,7,1),2)+30</f>
        <v>45867</v>
      </c>
      <c r="AB15" s="58">
        <f>DATE(2025,7,1)-WEEKDAY(DATE(2025,7,1),2)+31</f>
        <v>45868</v>
      </c>
      <c r="AC15" s="58">
        <f>DATE(2025,7,1)-WEEKDAY(DATE(2025,7,1),2)+32</f>
        <v>45869</v>
      </c>
      <c r="AD15" s="58">
        <f>DATE(2025,7,1)-WEEKDAY(DATE(2025,7,1),2)+33</f>
        <v>45870</v>
      </c>
      <c r="AE15" s="58">
        <f>DATE(2025,7,1)-WEEKDAY(DATE(2025,7,1),2)+34</f>
        <v>45871</v>
      </c>
      <c r="AF15" s="58">
        <f>DATE(2025,7,1)-WEEKDAY(DATE(2025,7,1),2)+35</f>
        <v>45872</v>
      </c>
    </row>
    <row r="16" spans="1:33" ht="21" customHeight="1">
      <c r="B16" s="59">
        <f>IF(MONTH(B15)=4,IF(IFERROR(CHOOSE($A$3,INDEX('データ'!$B$880:$J$1244,MATCH(B15,'データ'!$A$880:$A$1244,0),$A$2),INDEX('データ'!$L$880:$T$1244,MATCH(B15,'データ'!$A$880:$A$1244,0),$A$2),INDEX('データ'!$V$880:$AD$1244,MATCH(B15,'データ'!$A$880:$A$1244,0),$A$2)),0)=0,"",CHOOSE($A$3,INDEX('データ'!$B$880:$J$1244,MATCH(B15,'データ'!$A$880:$A$1244,0),$A$2),INDEX('データ'!$L$880:$T$1244,MATCH(B15,'データ'!$A$880:$A$1244,0),$A$2),INDEX('データ'!$V$880:$AD$1244,MATCH(B15,'データ'!$A$880:$A$1244,0),$A$2))),"")</f>
        <v>4494</v>
      </c>
      <c r="C16" s="59">
        <f>IF(MONTH(C15)=4,IF(IFERROR(CHOOSE($A$3,INDEX('データ'!$B$880:$J$1244,MATCH(C15,'データ'!$A$880:$A$1244,0),$A$2),INDEX('データ'!$L$880:$T$1244,MATCH(C15,'データ'!$A$880:$A$1244,0),$A$2),INDEX('データ'!$V$880:$AD$1244,MATCH(C15,'データ'!$A$880:$A$1244,0),$A$2)),0)=0,"",CHOOSE($A$3,INDEX('データ'!$B$880:$J$1244,MATCH(C15,'データ'!$A$880:$A$1244,0),$A$2),INDEX('データ'!$L$880:$T$1244,MATCH(C15,'データ'!$A$880:$A$1244,0),$A$2),INDEX('データ'!$V$880:$AD$1244,MATCH(C15,'データ'!$A$880:$A$1244,0),$A$2))),"")</f>
        <v/>
      </c>
      <c r="D16" s="59">
        <f>IF(MONTH(D15)=4,IF(IFERROR(CHOOSE($A$3,INDEX('データ'!$B$880:$J$1244,MATCH(D15,'データ'!$A$880:$A$1244,0),$A$2),INDEX('データ'!$L$880:$T$1244,MATCH(D15,'データ'!$A$880:$A$1244,0),$A$2),INDEX('データ'!$V$880:$AD$1244,MATCH(D15,'データ'!$A$880:$A$1244,0),$A$2)),0)=0,"",CHOOSE($A$3,INDEX('データ'!$B$880:$J$1244,MATCH(D15,'データ'!$A$880:$A$1244,0),$A$2),INDEX('データ'!$L$880:$T$1244,MATCH(D15,'データ'!$A$880:$A$1244,0),$A$2),INDEX('データ'!$V$880:$AD$1244,MATCH(D15,'データ'!$A$880:$A$1244,0),$A$2))),"")</f>
        <v>4200</v>
      </c>
      <c r="E16" s="59">
        <f>IF(MONTH(E15)=4,IF(IFERROR(CHOOSE($A$3,INDEX('データ'!$B$880:$J$1244,MATCH(E15,'データ'!$A$880:$A$1244,0),$A$2),INDEX('データ'!$L$880:$T$1244,MATCH(E15,'データ'!$A$880:$A$1244,0),$A$2),INDEX('データ'!$V$880:$AD$1244,MATCH(E15,'データ'!$A$880:$A$1244,0),$A$2)),0)=0,"",CHOOSE($A$3,INDEX('データ'!$B$880:$J$1244,MATCH(E15,'データ'!$A$880:$A$1244,0),$A$2),INDEX('データ'!$L$880:$T$1244,MATCH(E15,'データ'!$A$880:$A$1244,0),$A$2),INDEX('データ'!$V$880:$AD$1244,MATCH(E15,'データ'!$A$880:$A$1244,0),$A$2))),"")</f>
        <v/>
      </c>
      <c r="F16" s="59">
        <f>IF(MONTH(F15)=4,IF(IFERROR(CHOOSE($A$3,INDEX('データ'!$B$880:$J$1244,MATCH(F15,'データ'!$A$880:$A$1244,0),$A$2),INDEX('データ'!$L$880:$T$1244,MATCH(F15,'データ'!$A$880:$A$1244,0),$A$2),INDEX('データ'!$V$880:$AD$1244,MATCH(F15,'データ'!$A$880:$A$1244,0),$A$2)),0)=0,"",CHOOSE($A$3,INDEX('データ'!$B$880:$J$1244,MATCH(F15,'データ'!$A$880:$A$1244,0),$A$2),INDEX('データ'!$L$880:$T$1244,MATCH(F15,'データ'!$A$880:$A$1244,0),$A$2),INDEX('データ'!$V$880:$AD$1244,MATCH(F15,'データ'!$A$880:$A$1244,0),$A$2))),"")</f>
        <v/>
      </c>
      <c r="G16" s="59">
        <f>IF(MONTH(G15)=4,IF(IFERROR(CHOOSE($A$3,INDEX('データ'!$B$880:$J$1244,MATCH(G15,'データ'!$A$880:$A$1244,0),$A$2),INDEX('データ'!$L$880:$T$1244,MATCH(G15,'データ'!$A$880:$A$1244,0),$A$2),INDEX('データ'!$V$880:$AD$1244,MATCH(G15,'データ'!$A$880:$A$1244,0),$A$2)),0)=0,"",CHOOSE($A$3,INDEX('データ'!$B$880:$J$1244,MATCH(G15,'データ'!$A$880:$A$1244,0),$A$2),INDEX('データ'!$L$880:$T$1244,MATCH(G15,'データ'!$A$880:$A$1244,0),$A$2),INDEX('データ'!$V$880:$AD$1244,MATCH(G15,'データ'!$A$880:$A$1244,0),$A$2))),"")</f>
        <v/>
      </c>
      <c r="H16" s="59">
        <f>IF(MONTH(H15)=4,IF(IFERROR(CHOOSE($A$3,INDEX('データ'!$B$880:$J$1244,MATCH(H15,'データ'!$A$880:$A$1244,0),$A$2),INDEX('データ'!$L$880:$T$1244,MATCH(H15,'データ'!$A$880:$A$1244,0),$A$2),INDEX('データ'!$V$880:$AD$1244,MATCH(H15,'データ'!$A$880:$A$1244,0),$A$2)),0)=0,"",CHOOSE($A$3,INDEX('データ'!$B$880:$J$1244,MATCH(H15,'データ'!$A$880:$A$1244,0),$A$2),INDEX('データ'!$L$880:$T$1244,MATCH(H15,'データ'!$A$880:$A$1244,0),$A$2),INDEX('データ'!$V$880:$AD$1244,MATCH(H15,'データ'!$A$880:$A$1244,0),$A$2))),"")</f>
        <v/>
      </c>
      <c r="J16" s="59">
        <f>IF(MONTH(J15)=5,IF(IFERROR(CHOOSE($A$3,INDEX('データ'!$B$880:$J$1244,MATCH(J15,'データ'!$A$880:$A$1244,0),$A$2),INDEX('データ'!$L$880:$T$1244,MATCH(J15,'データ'!$A$880:$A$1244,0),$A$2),INDEX('データ'!$V$880:$AD$1244,MATCH(J15,'データ'!$A$880:$A$1244,0),$A$2)),0)=0,"",CHOOSE($A$3,INDEX('データ'!$B$880:$J$1244,MATCH(J15,'データ'!$A$880:$A$1244,0),$A$2),INDEX('データ'!$L$880:$T$1244,MATCH(J15,'データ'!$A$880:$A$1244,0),$A$2),INDEX('データ'!$V$880:$AD$1244,MATCH(J15,'データ'!$A$880:$A$1244,0),$A$2))),"")</f>
        <v>3543</v>
      </c>
      <c r="K16" s="59">
        <f>IF(MONTH(K15)=5,IF(IFERROR(CHOOSE($A$3,INDEX('データ'!$B$880:$J$1244,MATCH(K15,'データ'!$A$880:$A$1244,0),$A$2),INDEX('データ'!$L$880:$T$1244,MATCH(K15,'データ'!$A$880:$A$1244,0),$A$2),INDEX('データ'!$V$880:$AD$1244,MATCH(K15,'データ'!$A$880:$A$1244,0),$A$2)),0)=0,"",CHOOSE($A$3,INDEX('データ'!$B$880:$J$1244,MATCH(K15,'データ'!$A$880:$A$1244,0),$A$2),INDEX('データ'!$L$880:$T$1244,MATCH(K15,'データ'!$A$880:$A$1244,0),$A$2),INDEX('データ'!$V$880:$AD$1244,MATCH(K15,'データ'!$A$880:$A$1244,0),$A$2))),"")</f>
        <v>3016</v>
      </c>
      <c r="L16" s="59">
        <f>IF(MONTH(L15)=5,IF(IFERROR(CHOOSE($A$3,INDEX('データ'!$B$880:$J$1244,MATCH(L15,'データ'!$A$880:$A$1244,0),$A$2),INDEX('データ'!$L$880:$T$1244,MATCH(L15,'データ'!$A$880:$A$1244,0),$A$2),INDEX('データ'!$V$880:$AD$1244,MATCH(L15,'データ'!$A$880:$A$1244,0),$A$2)),0)=0,"",CHOOSE($A$3,INDEX('データ'!$B$880:$J$1244,MATCH(L15,'データ'!$A$880:$A$1244,0),$A$2),INDEX('データ'!$L$880:$T$1244,MATCH(L15,'データ'!$A$880:$A$1244,0),$A$2),INDEX('データ'!$V$880:$AD$1244,MATCH(L15,'データ'!$A$880:$A$1244,0),$A$2))),"")</f>
        <v>2859</v>
      </c>
      <c r="M16" s="59">
        <f>IF(MONTH(M15)=5,IF(IFERROR(CHOOSE($A$3,INDEX('データ'!$B$880:$J$1244,MATCH(M15,'データ'!$A$880:$A$1244,0),$A$2),INDEX('データ'!$L$880:$T$1244,MATCH(M15,'データ'!$A$880:$A$1244,0),$A$2),INDEX('データ'!$V$880:$AD$1244,MATCH(M15,'データ'!$A$880:$A$1244,0),$A$2)),0)=0,"",CHOOSE($A$3,INDEX('データ'!$B$880:$J$1244,MATCH(M15,'データ'!$A$880:$A$1244,0),$A$2),INDEX('データ'!$L$880:$T$1244,MATCH(M15,'データ'!$A$880:$A$1244,0),$A$2),INDEX('データ'!$V$880:$AD$1244,MATCH(M15,'データ'!$A$880:$A$1244,0),$A$2))),"")</f>
        <v>2828</v>
      </c>
      <c r="N16" s="59">
        <f>IF(MONTH(N15)=5,IF(IFERROR(CHOOSE($A$3,INDEX('データ'!$B$880:$J$1244,MATCH(N15,'データ'!$A$880:$A$1244,0),$A$2),INDEX('データ'!$L$880:$T$1244,MATCH(N15,'データ'!$A$880:$A$1244,0),$A$2),INDEX('データ'!$V$880:$AD$1244,MATCH(N15,'データ'!$A$880:$A$1244,0),$A$2)),0)=0,"",CHOOSE($A$3,INDEX('データ'!$B$880:$J$1244,MATCH(N15,'データ'!$A$880:$A$1244,0),$A$2),INDEX('データ'!$L$880:$T$1244,MATCH(N15,'データ'!$A$880:$A$1244,0),$A$2),INDEX('データ'!$V$880:$AD$1244,MATCH(N15,'データ'!$A$880:$A$1244,0),$A$2))),"")</f>
        <v>2824</v>
      </c>
      <c r="O16" s="59">
        <f>IF(MONTH(O15)=5,IF(IFERROR(CHOOSE($A$3,INDEX('データ'!$B$880:$J$1244,MATCH(O15,'データ'!$A$880:$A$1244,0),$A$2),INDEX('データ'!$L$880:$T$1244,MATCH(O15,'データ'!$A$880:$A$1244,0),$A$2),INDEX('データ'!$V$880:$AD$1244,MATCH(O15,'データ'!$A$880:$A$1244,0),$A$2)),0)=0,"",CHOOSE($A$3,INDEX('データ'!$B$880:$J$1244,MATCH(O15,'データ'!$A$880:$A$1244,0),$A$2),INDEX('データ'!$L$880:$T$1244,MATCH(O15,'データ'!$A$880:$A$1244,0),$A$2),INDEX('データ'!$V$880:$AD$1244,MATCH(O15,'データ'!$A$880:$A$1244,0),$A$2))),"")</f>
        <v/>
      </c>
      <c r="P16" s="59">
        <f>IF(MONTH(P15)=5,IF(IFERROR(CHOOSE($A$3,INDEX('データ'!$B$880:$J$1244,MATCH(P15,'データ'!$A$880:$A$1244,0),$A$2),INDEX('データ'!$L$880:$T$1244,MATCH(P15,'データ'!$A$880:$A$1244,0),$A$2),INDEX('データ'!$V$880:$AD$1244,MATCH(P15,'データ'!$A$880:$A$1244,0),$A$2)),0)=0,"",CHOOSE($A$3,INDEX('データ'!$B$880:$J$1244,MATCH(P15,'データ'!$A$880:$A$1244,0),$A$2),INDEX('データ'!$L$880:$T$1244,MATCH(P15,'データ'!$A$880:$A$1244,0),$A$2),INDEX('データ'!$V$880:$AD$1244,MATCH(P15,'データ'!$A$880:$A$1244,0),$A$2))),"")</f>
        <v/>
      </c>
      <c r="R16" s="59">
        <f>IF(MONTH(R15)=6,IF(IFERROR(CHOOSE($A$3,INDEX('データ'!$B$880:$J$1244,MATCH(R15,'データ'!$A$880:$A$1244,0),$A$2),INDEX('データ'!$L$880:$T$1244,MATCH(R15,'データ'!$A$880:$A$1244,0),$A$2),INDEX('データ'!$V$880:$AD$1244,MATCH(R15,'データ'!$A$880:$A$1244,0),$A$2)),0)=0,"",CHOOSE($A$3,INDEX('データ'!$B$880:$J$1244,MATCH(R15,'データ'!$A$880:$A$1244,0),$A$2),INDEX('データ'!$L$880:$T$1244,MATCH(R15,'データ'!$A$880:$A$1244,0),$A$2),INDEX('データ'!$V$880:$AD$1244,MATCH(R15,'データ'!$A$880:$A$1244,0),$A$2))),"")</f>
        <v>3103</v>
      </c>
      <c r="S16" s="59">
        <f>IF(MONTH(S15)=6,IF(IFERROR(CHOOSE($A$3,INDEX('データ'!$B$880:$J$1244,MATCH(S15,'データ'!$A$880:$A$1244,0),$A$2),INDEX('データ'!$L$880:$T$1244,MATCH(S15,'データ'!$A$880:$A$1244,0),$A$2),INDEX('データ'!$V$880:$AD$1244,MATCH(S15,'データ'!$A$880:$A$1244,0),$A$2)),0)=0,"",CHOOSE($A$3,INDEX('データ'!$B$880:$J$1244,MATCH(S15,'データ'!$A$880:$A$1244,0),$A$2),INDEX('データ'!$L$880:$T$1244,MATCH(S15,'データ'!$A$880:$A$1244,0),$A$2),INDEX('データ'!$V$880:$AD$1244,MATCH(S15,'データ'!$A$880:$A$1244,0),$A$2))),"")</f>
        <v>2485</v>
      </c>
      <c r="T16" s="59">
        <f>IF(MONTH(T15)=6,IF(IFERROR(CHOOSE($A$3,INDEX('データ'!$B$880:$J$1244,MATCH(T15,'データ'!$A$880:$A$1244,0),$A$2),INDEX('データ'!$L$880:$T$1244,MATCH(T15,'データ'!$A$880:$A$1244,0),$A$2),INDEX('データ'!$V$880:$AD$1244,MATCH(T15,'データ'!$A$880:$A$1244,0),$A$2)),0)=0,"",CHOOSE($A$3,INDEX('データ'!$B$880:$J$1244,MATCH(T15,'データ'!$A$880:$A$1244,0),$A$2),INDEX('データ'!$L$880:$T$1244,MATCH(T15,'データ'!$A$880:$A$1244,0),$A$2),INDEX('データ'!$V$880:$AD$1244,MATCH(T15,'データ'!$A$880:$A$1244,0),$A$2))),"")</f>
        <v>2831</v>
      </c>
      <c r="U16" s="59">
        <f>IF(MONTH(U15)=6,IF(IFERROR(CHOOSE($A$3,INDEX('データ'!$B$880:$J$1244,MATCH(U15,'データ'!$A$880:$A$1244,0),$A$2),INDEX('データ'!$L$880:$T$1244,MATCH(U15,'データ'!$A$880:$A$1244,0),$A$2),INDEX('データ'!$V$880:$AD$1244,MATCH(U15,'データ'!$A$880:$A$1244,0),$A$2)),0)=0,"",CHOOSE($A$3,INDEX('データ'!$B$880:$J$1244,MATCH(U15,'データ'!$A$880:$A$1244,0),$A$2),INDEX('データ'!$L$880:$T$1244,MATCH(U15,'データ'!$A$880:$A$1244,0),$A$2),INDEX('データ'!$V$880:$AD$1244,MATCH(U15,'データ'!$A$880:$A$1244,0),$A$2))),"")</f>
        <v>2855</v>
      </c>
      <c r="V16" s="59">
        <f>IF(MONTH(V15)=6,IF(IFERROR(CHOOSE($A$3,INDEX('データ'!$B$880:$J$1244,MATCH(V15,'データ'!$A$880:$A$1244,0),$A$2),INDEX('データ'!$L$880:$T$1244,MATCH(V15,'データ'!$A$880:$A$1244,0),$A$2),INDEX('データ'!$V$880:$AD$1244,MATCH(V15,'データ'!$A$880:$A$1244,0),$A$2)),0)=0,"",CHOOSE($A$3,INDEX('データ'!$B$880:$J$1244,MATCH(V15,'データ'!$A$880:$A$1244,0),$A$2),INDEX('データ'!$L$880:$T$1244,MATCH(V15,'データ'!$A$880:$A$1244,0),$A$2),INDEX('データ'!$V$880:$AD$1244,MATCH(V15,'データ'!$A$880:$A$1244,0),$A$2))),"")</f>
        <v>3235</v>
      </c>
      <c r="W16" s="59">
        <f>IF(MONTH(W15)=6,IF(IFERROR(CHOOSE($A$3,INDEX('データ'!$B$880:$J$1244,MATCH(W15,'データ'!$A$880:$A$1244,0),$A$2),INDEX('データ'!$L$880:$T$1244,MATCH(W15,'データ'!$A$880:$A$1244,0),$A$2),INDEX('データ'!$V$880:$AD$1244,MATCH(W15,'データ'!$A$880:$A$1244,0),$A$2)),0)=0,"",CHOOSE($A$3,INDEX('データ'!$B$880:$J$1244,MATCH(W15,'データ'!$A$880:$A$1244,0),$A$2),INDEX('データ'!$L$880:$T$1244,MATCH(W15,'データ'!$A$880:$A$1244,0),$A$2),INDEX('データ'!$V$880:$AD$1244,MATCH(W15,'データ'!$A$880:$A$1244,0),$A$2))),"")</f>
        <v/>
      </c>
      <c r="X16" s="59">
        <f>IF(MONTH(X15)=6,IF(IFERROR(CHOOSE($A$3,INDEX('データ'!$B$880:$J$1244,MATCH(X15,'データ'!$A$880:$A$1244,0),$A$2),INDEX('データ'!$L$880:$T$1244,MATCH(X15,'データ'!$A$880:$A$1244,0),$A$2),INDEX('データ'!$V$880:$AD$1244,MATCH(X15,'データ'!$A$880:$A$1244,0),$A$2)),0)=0,"",CHOOSE($A$3,INDEX('データ'!$B$880:$J$1244,MATCH(X15,'データ'!$A$880:$A$1244,0),$A$2),INDEX('データ'!$L$880:$T$1244,MATCH(X15,'データ'!$A$880:$A$1244,0),$A$2),INDEX('データ'!$V$880:$AD$1244,MATCH(X15,'データ'!$A$880:$A$1244,0),$A$2))),"")</f>
        <v/>
      </c>
      <c r="Z16" s="59">
        <f>IF(MONTH(Z15)=7,IF(IFERROR(CHOOSE($A$3,INDEX('データ'!$B$880:$J$1244,MATCH(Z15,'データ'!$A$880:$A$1244,0),$A$2),INDEX('データ'!$L$880:$T$1244,MATCH(Z15,'データ'!$A$880:$A$1244,0),$A$2),INDEX('データ'!$V$880:$AD$1244,MATCH(Z15,'データ'!$A$880:$A$1244,0),$A$2)),0)=0,"",CHOOSE($A$3,INDEX('データ'!$B$880:$J$1244,MATCH(Z15,'データ'!$A$880:$A$1244,0),$A$2),INDEX('データ'!$L$880:$T$1244,MATCH(Z15,'データ'!$A$880:$A$1244,0),$A$2),INDEX('データ'!$V$880:$AD$1244,MATCH(Z15,'データ'!$A$880:$A$1244,0),$A$2))),"")</f>
        <v>3634</v>
      </c>
      <c r="AA16" s="59">
        <f>IF(MONTH(AA15)=7,IF(IFERROR(CHOOSE($A$3,INDEX('データ'!$B$880:$J$1244,MATCH(AA15,'データ'!$A$880:$A$1244,0),$A$2),INDEX('データ'!$L$880:$T$1244,MATCH(AA15,'データ'!$A$880:$A$1244,0),$A$2),INDEX('データ'!$V$880:$AD$1244,MATCH(AA15,'データ'!$A$880:$A$1244,0),$A$2)),0)=0,"",CHOOSE($A$3,INDEX('データ'!$B$880:$J$1244,MATCH(AA15,'データ'!$A$880:$A$1244,0),$A$2),INDEX('データ'!$L$880:$T$1244,MATCH(AA15,'データ'!$A$880:$A$1244,0),$A$2),INDEX('データ'!$V$880:$AD$1244,MATCH(AA15,'データ'!$A$880:$A$1244,0),$A$2))),"")</f>
        <v>3178</v>
      </c>
      <c r="AB16" s="59">
        <f>IF(MONTH(AB15)=7,IF(IFERROR(CHOOSE($A$3,INDEX('データ'!$B$880:$J$1244,MATCH(AB15,'データ'!$A$880:$A$1244,0),$A$2),INDEX('データ'!$L$880:$T$1244,MATCH(AB15,'データ'!$A$880:$A$1244,0),$A$2),INDEX('データ'!$V$880:$AD$1244,MATCH(AB15,'データ'!$A$880:$A$1244,0),$A$2)),0)=0,"",CHOOSE($A$3,INDEX('データ'!$B$880:$J$1244,MATCH(AB15,'データ'!$A$880:$A$1244,0),$A$2),INDEX('データ'!$L$880:$T$1244,MATCH(AB15,'データ'!$A$880:$A$1244,0),$A$2),INDEX('データ'!$V$880:$AD$1244,MATCH(AB15,'データ'!$A$880:$A$1244,0),$A$2))),"")</f>
        <v>3046</v>
      </c>
      <c r="AC16" s="59">
        <f>IF(MONTH(AC15)=7,IF(IFERROR(CHOOSE($A$3,INDEX('データ'!$B$880:$J$1244,MATCH(AC15,'データ'!$A$880:$A$1244,0),$A$2),INDEX('データ'!$L$880:$T$1244,MATCH(AC15,'データ'!$A$880:$A$1244,0),$A$2),INDEX('データ'!$V$880:$AD$1244,MATCH(AC15,'データ'!$A$880:$A$1244,0),$A$2)),0)=0,"",CHOOSE($A$3,INDEX('データ'!$B$880:$J$1244,MATCH(AC15,'データ'!$A$880:$A$1244,0),$A$2),INDEX('データ'!$L$880:$T$1244,MATCH(AC15,'データ'!$A$880:$A$1244,0),$A$2),INDEX('データ'!$V$880:$AD$1244,MATCH(AC15,'データ'!$A$880:$A$1244,0),$A$2))),"")</f>
        <v>2763</v>
      </c>
      <c r="AD16" s="59">
        <f>IF(MONTH(AD15)=7,IF(IFERROR(CHOOSE($A$3,INDEX('データ'!$B$880:$J$1244,MATCH(AD15,'データ'!$A$880:$A$1244,0),$A$2),INDEX('データ'!$L$880:$T$1244,MATCH(AD15,'データ'!$A$880:$A$1244,0),$A$2),INDEX('データ'!$V$880:$AD$1244,MATCH(AD15,'データ'!$A$880:$A$1244,0),$A$2)),0)=0,"",CHOOSE($A$3,INDEX('データ'!$B$880:$J$1244,MATCH(AD15,'データ'!$A$880:$A$1244,0),$A$2),INDEX('データ'!$L$880:$T$1244,MATCH(AD15,'データ'!$A$880:$A$1244,0),$A$2),INDEX('データ'!$V$880:$AD$1244,MATCH(AD15,'データ'!$A$880:$A$1244,0),$A$2))),"")</f>
        <v/>
      </c>
      <c r="AE16" s="59">
        <f>IF(MONTH(AE15)=7,IF(IFERROR(CHOOSE($A$3,INDEX('データ'!$B$880:$J$1244,MATCH(AE15,'データ'!$A$880:$A$1244,0),$A$2),INDEX('データ'!$L$880:$T$1244,MATCH(AE15,'データ'!$A$880:$A$1244,0),$A$2),INDEX('データ'!$V$880:$AD$1244,MATCH(AE15,'データ'!$A$880:$A$1244,0),$A$2)),0)=0,"",CHOOSE($A$3,INDEX('データ'!$B$880:$J$1244,MATCH(AE15,'データ'!$A$880:$A$1244,0),$A$2),INDEX('データ'!$L$880:$T$1244,MATCH(AE15,'データ'!$A$880:$A$1244,0),$A$2),INDEX('データ'!$V$880:$AD$1244,MATCH(AE15,'データ'!$A$880:$A$1244,0),$A$2))),"")</f>
        <v/>
      </c>
      <c r="AF16" s="59">
        <f>IF(MONTH(AF15)=7,IF(IFERROR(CHOOSE($A$3,INDEX('データ'!$B$880:$J$1244,MATCH(AF15,'データ'!$A$880:$A$1244,0),$A$2),INDEX('データ'!$L$880:$T$1244,MATCH(AF15,'データ'!$A$880:$A$1244,0),$A$2),INDEX('データ'!$V$880:$AD$1244,MATCH(AF15,'データ'!$A$880:$A$1244,0),$A$2)),0)=0,"",CHOOSE($A$3,INDEX('データ'!$B$880:$J$1244,MATCH(AF15,'データ'!$A$880:$A$1244,0),$A$2),INDEX('データ'!$L$880:$T$1244,MATCH(AF15,'データ'!$A$880:$A$1244,0),$A$2),INDEX('データ'!$V$880:$AD$1244,MATCH(AF15,'データ'!$A$880:$A$1244,0),$A$2))),"")</f>
        <v/>
      </c>
    </row>
    <row r="17" spans="2:32" ht="13" customHeight="1">
      <c r="B17" s="58">
        <f>DATE(2025,4,1)-WEEKDAY(DATE(2025,4,1),2)+36</f>
        <v>45782</v>
      </c>
      <c r="C17" s="58">
        <f>DATE(2025,4,1)-WEEKDAY(DATE(2025,4,1),2)+37</f>
        <v>45783</v>
      </c>
      <c r="D17" s="58">
        <f>DATE(2025,4,1)-WEEKDAY(DATE(2025,4,1),2)+38</f>
        <v>45784</v>
      </c>
      <c r="E17" s="58">
        <f>DATE(2025,4,1)-WEEKDAY(DATE(2025,4,1),2)+39</f>
        <v>45785</v>
      </c>
      <c r="F17" s="58">
        <f>DATE(2025,4,1)-WEEKDAY(DATE(2025,4,1),2)+40</f>
        <v>45786</v>
      </c>
      <c r="G17" s="58">
        <f>DATE(2025,4,1)-WEEKDAY(DATE(2025,4,1),2)+41</f>
        <v>45787</v>
      </c>
      <c r="H17" s="58">
        <f>DATE(2025,4,1)-WEEKDAY(DATE(2025,4,1),2)+42</f>
        <v>45788</v>
      </c>
      <c r="J17" s="58">
        <f>DATE(2025,5,1)-WEEKDAY(DATE(2025,5,1),2)+36</f>
        <v>45810</v>
      </c>
      <c r="K17" s="58">
        <f>DATE(2025,5,1)-WEEKDAY(DATE(2025,5,1),2)+37</f>
        <v>45811</v>
      </c>
      <c r="L17" s="58">
        <f>DATE(2025,5,1)-WEEKDAY(DATE(2025,5,1),2)+38</f>
        <v>45812</v>
      </c>
      <c r="M17" s="58">
        <f>DATE(2025,5,1)-WEEKDAY(DATE(2025,5,1),2)+39</f>
        <v>45813</v>
      </c>
      <c r="N17" s="58">
        <f>DATE(2025,5,1)-WEEKDAY(DATE(2025,5,1),2)+40</f>
        <v>45814</v>
      </c>
      <c r="O17" s="58">
        <f>DATE(2025,5,1)-WEEKDAY(DATE(2025,5,1),2)+41</f>
        <v>45815</v>
      </c>
      <c r="P17" s="58">
        <f>DATE(2025,5,1)-WEEKDAY(DATE(2025,5,1),2)+42</f>
        <v>45816</v>
      </c>
      <c r="R17" s="58">
        <f>DATE(2025,6,1)-WEEKDAY(DATE(2025,6,1),2)+36</f>
        <v>45838</v>
      </c>
      <c r="S17" s="58">
        <f>DATE(2025,6,1)-WEEKDAY(DATE(2025,6,1),2)+37</f>
        <v>45839</v>
      </c>
      <c r="T17" s="58">
        <f>DATE(2025,6,1)-WEEKDAY(DATE(2025,6,1),2)+38</f>
        <v>45840</v>
      </c>
      <c r="U17" s="58">
        <f>DATE(2025,6,1)-WEEKDAY(DATE(2025,6,1),2)+39</f>
        <v>45841</v>
      </c>
      <c r="V17" s="58">
        <f>DATE(2025,6,1)-WEEKDAY(DATE(2025,6,1),2)+40</f>
        <v>45842</v>
      </c>
      <c r="W17" s="58">
        <f>DATE(2025,6,1)-WEEKDAY(DATE(2025,6,1),2)+41</f>
        <v>45843</v>
      </c>
      <c r="X17" s="58">
        <f>DATE(2025,6,1)-WEEKDAY(DATE(2025,6,1),2)+42</f>
        <v>45844</v>
      </c>
      <c r="Z17" s="58">
        <f>DATE(2025,7,1)-WEEKDAY(DATE(2025,7,1),2)+36</f>
        <v>45873</v>
      </c>
      <c r="AA17" s="58">
        <f>DATE(2025,7,1)-WEEKDAY(DATE(2025,7,1),2)+37</f>
        <v>45874</v>
      </c>
      <c r="AB17" s="58">
        <f>DATE(2025,7,1)-WEEKDAY(DATE(2025,7,1),2)+38</f>
        <v>45875</v>
      </c>
      <c r="AC17" s="58">
        <f>DATE(2025,7,1)-WEEKDAY(DATE(2025,7,1),2)+39</f>
        <v>45876</v>
      </c>
      <c r="AD17" s="58">
        <f>DATE(2025,7,1)-WEEKDAY(DATE(2025,7,1),2)+40</f>
        <v>45877</v>
      </c>
      <c r="AE17" s="58">
        <f>DATE(2025,7,1)-WEEKDAY(DATE(2025,7,1),2)+41</f>
        <v>45878</v>
      </c>
      <c r="AF17" s="58">
        <f>DATE(2025,7,1)-WEEKDAY(DATE(2025,7,1),2)+42</f>
        <v>45879</v>
      </c>
    </row>
    <row r="18" spans="2:32" ht="21" customHeight="1">
      <c r="B18" s="59">
        <f>IF(MONTH(B17)=4,IF(IFERROR(CHOOSE($A$3,INDEX('データ'!$B$880:$J$1244,MATCH(B17,'データ'!$A$880:$A$1244,0),$A$2),INDEX('データ'!$L$880:$T$1244,MATCH(B17,'データ'!$A$880:$A$1244,0),$A$2),INDEX('データ'!$V$880:$AD$1244,MATCH(B17,'データ'!$A$880:$A$1244,0),$A$2)),0)=0,"",CHOOSE($A$3,INDEX('データ'!$B$880:$J$1244,MATCH(B17,'データ'!$A$880:$A$1244,0),$A$2),INDEX('データ'!$L$880:$T$1244,MATCH(B17,'データ'!$A$880:$A$1244,0),$A$2),INDEX('データ'!$V$880:$AD$1244,MATCH(B17,'データ'!$A$880:$A$1244,0),$A$2))),"")</f>
        <v/>
      </c>
      <c r="C18" s="59">
        <f>IF(MONTH(C17)=4,IF(IFERROR(CHOOSE($A$3,INDEX('データ'!$B$880:$J$1244,MATCH(C17,'データ'!$A$880:$A$1244,0),$A$2),INDEX('データ'!$L$880:$T$1244,MATCH(C17,'データ'!$A$880:$A$1244,0),$A$2),INDEX('データ'!$V$880:$AD$1244,MATCH(C17,'データ'!$A$880:$A$1244,0),$A$2)),0)=0,"",CHOOSE($A$3,INDEX('データ'!$B$880:$J$1244,MATCH(C17,'データ'!$A$880:$A$1244,0),$A$2),INDEX('データ'!$L$880:$T$1244,MATCH(C17,'データ'!$A$880:$A$1244,0),$A$2),INDEX('データ'!$V$880:$AD$1244,MATCH(C17,'データ'!$A$880:$A$1244,0),$A$2))),"")</f>
        <v/>
      </c>
      <c r="D18" s="59">
        <f>IF(MONTH(D17)=4,IF(IFERROR(CHOOSE($A$3,INDEX('データ'!$B$880:$J$1244,MATCH(D17,'データ'!$A$880:$A$1244,0),$A$2),INDEX('データ'!$L$880:$T$1244,MATCH(D17,'データ'!$A$880:$A$1244,0),$A$2),INDEX('データ'!$V$880:$AD$1244,MATCH(D17,'データ'!$A$880:$A$1244,0),$A$2)),0)=0,"",CHOOSE($A$3,INDEX('データ'!$B$880:$J$1244,MATCH(D17,'データ'!$A$880:$A$1244,0),$A$2),INDEX('データ'!$L$880:$T$1244,MATCH(D17,'データ'!$A$880:$A$1244,0),$A$2),INDEX('データ'!$V$880:$AD$1244,MATCH(D17,'データ'!$A$880:$A$1244,0),$A$2))),"")</f>
        <v/>
      </c>
      <c r="E18" s="59">
        <f>IF(MONTH(E17)=4,IF(IFERROR(CHOOSE($A$3,INDEX('データ'!$B$880:$J$1244,MATCH(E17,'データ'!$A$880:$A$1244,0),$A$2),INDEX('データ'!$L$880:$T$1244,MATCH(E17,'データ'!$A$880:$A$1244,0),$A$2),INDEX('データ'!$V$880:$AD$1244,MATCH(E17,'データ'!$A$880:$A$1244,0),$A$2)),0)=0,"",CHOOSE($A$3,INDEX('データ'!$B$880:$J$1244,MATCH(E17,'データ'!$A$880:$A$1244,0),$A$2),INDEX('データ'!$L$880:$T$1244,MATCH(E17,'データ'!$A$880:$A$1244,0),$A$2),INDEX('データ'!$V$880:$AD$1244,MATCH(E17,'データ'!$A$880:$A$1244,0),$A$2))),"")</f>
        <v/>
      </c>
      <c r="F18" s="59">
        <f>IF(MONTH(F17)=4,IF(IFERROR(CHOOSE($A$3,INDEX('データ'!$B$880:$J$1244,MATCH(F17,'データ'!$A$880:$A$1244,0),$A$2),INDEX('データ'!$L$880:$T$1244,MATCH(F17,'データ'!$A$880:$A$1244,0),$A$2),INDEX('データ'!$V$880:$AD$1244,MATCH(F17,'データ'!$A$880:$A$1244,0),$A$2)),0)=0,"",CHOOSE($A$3,INDEX('データ'!$B$880:$J$1244,MATCH(F17,'データ'!$A$880:$A$1244,0),$A$2),INDEX('データ'!$L$880:$T$1244,MATCH(F17,'データ'!$A$880:$A$1244,0),$A$2),INDEX('データ'!$V$880:$AD$1244,MATCH(F17,'データ'!$A$880:$A$1244,0),$A$2))),"")</f>
        <v/>
      </c>
      <c r="G18" s="59">
        <f>IF(MONTH(G17)=4,IF(IFERROR(CHOOSE($A$3,INDEX('データ'!$B$880:$J$1244,MATCH(G17,'データ'!$A$880:$A$1244,0),$A$2),INDEX('データ'!$L$880:$T$1244,MATCH(G17,'データ'!$A$880:$A$1244,0),$A$2),INDEX('データ'!$V$880:$AD$1244,MATCH(G17,'データ'!$A$880:$A$1244,0),$A$2)),0)=0,"",CHOOSE($A$3,INDEX('データ'!$B$880:$J$1244,MATCH(G17,'データ'!$A$880:$A$1244,0),$A$2),INDEX('データ'!$L$880:$T$1244,MATCH(G17,'データ'!$A$880:$A$1244,0),$A$2),INDEX('データ'!$V$880:$AD$1244,MATCH(G17,'データ'!$A$880:$A$1244,0),$A$2))),"")</f>
        <v/>
      </c>
      <c r="H18" s="59">
        <f>IF(MONTH(H17)=4,IF(IFERROR(CHOOSE($A$3,INDEX('データ'!$B$880:$J$1244,MATCH(H17,'データ'!$A$880:$A$1244,0),$A$2),INDEX('データ'!$L$880:$T$1244,MATCH(H17,'データ'!$A$880:$A$1244,0),$A$2),INDEX('データ'!$V$880:$AD$1244,MATCH(H17,'データ'!$A$880:$A$1244,0),$A$2)),0)=0,"",CHOOSE($A$3,INDEX('データ'!$B$880:$J$1244,MATCH(H17,'データ'!$A$880:$A$1244,0),$A$2),INDEX('データ'!$L$880:$T$1244,MATCH(H17,'データ'!$A$880:$A$1244,0),$A$2),INDEX('データ'!$V$880:$AD$1244,MATCH(H17,'データ'!$A$880:$A$1244,0),$A$2))),"")</f>
        <v/>
      </c>
      <c r="J18" s="59">
        <f>IF(MONTH(J17)=5,IF(IFERROR(CHOOSE($A$3,INDEX('データ'!$B$880:$J$1244,MATCH(J17,'データ'!$A$880:$A$1244,0),$A$2),INDEX('データ'!$L$880:$T$1244,MATCH(J17,'データ'!$A$880:$A$1244,0),$A$2),INDEX('データ'!$V$880:$AD$1244,MATCH(J17,'データ'!$A$880:$A$1244,0),$A$2)),0)=0,"",CHOOSE($A$3,INDEX('データ'!$B$880:$J$1244,MATCH(J17,'データ'!$A$880:$A$1244,0),$A$2),INDEX('データ'!$L$880:$T$1244,MATCH(J17,'データ'!$A$880:$A$1244,0),$A$2),INDEX('データ'!$V$880:$AD$1244,MATCH(J17,'データ'!$A$880:$A$1244,0),$A$2))),"")</f>
        <v/>
      </c>
      <c r="K18" s="59">
        <f>IF(MONTH(K17)=5,IF(IFERROR(CHOOSE($A$3,INDEX('データ'!$B$880:$J$1244,MATCH(K17,'データ'!$A$880:$A$1244,0),$A$2),INDEX('データ'!$L$880:$T$1244,MATCH(K17,'データ'!$A$880:$A$1244,0),$A$2),INDEX('データ'!$V$880:$AD$1244,MATCH(K17,'データ'!$A$880:$A$1244,0),$A$2)),0)=0,"",CHOOSE($A$3,INDEX('データ'!$B$880:$J$1244,MATCH(K17,'データ'!$A$880:$A$1244,0),$A$2),INDEX('データ'!$L$880:$T$1244,MATCH(K17,'データ'!$A$880:$A$1244,0),$A$2),INDEX('データ'!$V$880:$AD$1244,MATCH(K17,'データ'!$A$880:$A$1244,0),$A$2))),"")</f>
        <v/>
      </c>
      <c r="L18" s="59">
        <f>IF(MONTH(L17)=5,IF(IFERROR(CHOOSE($A$3,INDEX('データ'!$B$880:$J$1244,MATCH(L17,'データ'!$A$880:$A$1244,0),$A$2),INDEX('データ'!$L$880:$T$1244,MATCH(L17,'データ'!$A$880:$A$1244,0),$A$2),INDEX('データ'!$V$880:$AD$1244,MATCH(L17,'データ'!$A$880:$A$1244,0),$A$2)),0)=0,"",CHOOSE($A$3,INDEX('データ'!$B$880:$J$1244,MATCH(L17,'データ'!$A$880:$A$1244,0),$A$2),INDEX('データ'!$L$880:$T$1244,MATCH(L17,'データ'!$A$880:$A$1244,0),$A$2),INDEX('データ'!$V$880:$AD$1244,MATCH(L17,'データ'!$A$880:$A$1244,0),$A$2))),"")</f>
        <v/>
      </c>
      <c r="M18" s="59">
        <f>IF(MONTH(M17)=5,IF(IFERROR(CHOOSE($A$3,INDEX('データ'!$B$880:$J$1244,MATCH(M17,'データ'!$A$880:$A$1244,0),$A$2),INDEX('データ'!$L$880:$T$1244,MATCH(M17,'データ'!$A$880:$A$1244,0),$A$2),INDEX('データ'!$V$880:$AD$1244,MATCH(M17,'データ'!$A$880:$A$1244,0),$A$2)),0)=0,"",CHOOSE($A$3,INDEX('データ'!$B$880:$J$1244,MATCH(M17,'データ'!$A$880:$A$1244,0),$A$2),INDEX('データ'!$L$880:$T$1244,MATCH(M17,'データ'!$A$880:$A$1244,0),$A$2),INDEX('データ'!$V$880:$AD$1244,MATCH(M17,'データ'!$A$880:$A$1244,0),$A$2))),"")</f>
        <v/>
      </c>
      <c r="N18" s="59">
        <f>IF(MONTH(N17)=5,IF(IFERROR(CHOOSE($A$3,INDEX('データ'!$B$880:$J$1244,MATCH(N17,'データ'!$A$880:$A$1244,0),$A$2),INDEX('データ'!$L$880:$T$1244,MATCH(N17,'データ'!$A$880:$A$1244,0),$A$2),INDEX('データ'!$V$880:$AD$1244,MATCH(N17,'データ'!$A$880:$A$1244,0),$A$2)),0)=0,"",CHOOSE($A$3,INDEX('データ'!$B$880:$J$1244,MATCH(N17,'データ'!$A$880:$A$1244,0),$A$2),INDEX('データ'!$L$880:$T$1244,MATCH(N17,'データ'!$A$880:$A$1244,0),$A$2),INDEX('データ'!$V$880:$AD$1244,MATCH(N17,'データ'!$A$880:$A$1244,0),$A$2))),"")</f>
        <v/>
      </c>
      <c r="O18" s="59">
        <f>IF(MONTH(O17)=5,IF(IFERROR(CHOOSE($A$3,INDEX('データ'!$B$880:$J$1244,MATCH(O17,'データ'!$A$880:$A$1244,0),$A$2),INDEX('データ'!$L$880:$T$1244,MATCH(O17,'データ'!$A$880:$A$1244,0),$A$2),INDEX('データ'!$V$880:$AD$1244,MATCH(O17,'データ'!$A$880:$A$1244,0),$A$2)),0)=0,"",CHOOSE($A$3,INDEX('データ'!$B$880:$J$1244,MATCH(O17,'データ'!$A$880:$A$1244,0),$A$2),INDEX('データ'!$L$880:$T$1244,MATCH(O17,'データ'!$A$880:$A$1244,0),$A$2),INDEX('データ'!$V$880:$AD$1244,MATCH(O17,'データ'!$A$880:$A$1244,0),$A$2))),"")</f>
        <v/>
      </c>
      <c r="P18" s="59">
        <f>IF(MONTH(P17)=5,IF(IFERROR(CHOOSE($A$3,INDEX('データ'!$B$880:$J$1244,MATCH(P17,'データ'!$A$880:$A$1244,0),$A$2),INDEX('データ'!$L$880:$T$1244,MATCH(P17,'データ'!$A$880:$A$1244,0),$A$2),INDEX('データ'!$V$880:$AD$1244,MATCH(P17,'データ'!$A$880:$A$1244,0),$A$2)),0)=0,"",CHOOSE($A$3,INDEX('データ'!$B$880:$J$1244,MATCH(P17,'データ'!$A$880:$A$1244,0),$A$2),INDEX('データ'!$L$880:$T$1244,MATCH(P17,'データ'!$A$880:$A$1244,0),$A$2),INDEX('データ'!$V$880:$AD$1244,MATCH(P17,'データ'!$A$880:$A$1244,0),$A$2))),"")</f>
        <v/>
      </c>
      <c r="R18" s="59">
        <f>IF(MONTH(R17)=6,IF(IFERROR(CHOOSE($A$3,INDEX('データ'!$B$880:$J$1244,MATCH(R17,'データ'!$A$880:$A$1244,0),$A$2),INDEX('データ'!$L$880:$T$1244,MATCH(R17,'データ'!$A$880:$A$1244,0),$A$2),INDEX('データ'!$V$880:$AD$1244,MATCH(R17,'データ'!$A$880:$A$1244,0),$A$2)),0)=0,"",CHOOSE($A$3,INDEX('データ'!$B$880:$J$1244,MATCH(R17,'データ'!$A$880:$A$1244,0),$A$2),INDEX('データ'!$L$880:$T$1244,MATCH(R17,'データ'!$A$880:$A$1244,0),$A$2),INDEX('データ'!$V$880:$AD$1244,MATCH(R17,'データ'!$A$880:$A$1244,0),$A$2))),"")</f>
        <v>3630</v>
      </c>
      <c r="S18" s="59">
        <f>IF(MONTH(S17)=6,IF(IFERROR(CHOOSE($A$3,INDEX('データ'!$B$880:$J$1244,MATCH(S17,'データ'!$A$880:$A$1244,0),$A$2),INDEX('データ'!$L$880:$T$1244,MATCH(S17,'データ'!$A$880:$A$1244,0),$A$2),INDEX('データ'!$V$880:$AD$1244,MATCH(S17,'データ'!$A$880:$A$1244,0),$A$2)),0)=0,"",CHOOSE($A$3,INDEX('データ'!$B$880:$J$1244,MATCH(S17,'データ'!$A$880:$A$1244,0),$A$2),INDEX('データ'!$L$880:$T$1244,MATCH(S17,'データ'!$A$880:$A$1244,0),$A$2),INDEX('データ'!$V$880:$AD$1244,MATCH(S17,'データ'!$A$880:$A$1244,0),$A$2))),"")</f>
        <v/>
      </c>
      <c r="T18" s="59">
        <f>IF(MONTH(T17)=6,IF(IFERROR(CHOOSE($A$3,INDEX('データ'!$B$880:$J$1244,MATCH(T17,'データ'!$A$880:$A$1244,0),$A$2),INDEX('データ'!$L$880:$T$1244,MATCH(T17,'データ'!$A$880:$A$1244,0),$A$2),INDEX('データ'!$V$880:$AD$1244,MATCH(T17,'データ'!$A$880:$A$1244,0),$A$2)),0)=0,"",CHOOSE($A$3,INDEX('データ'!$B$880:$J$1244,MATCH(T17,'データ'!$A$880:$A$1244,0),$A$2),INDEX('データ'!$L$880:$T$1244,MATCH(T17,'データ'!$A$880:$A$1244,0),$A$2),INDEX('データ'!$V$880:$AD$1244,MATCH(T17,'データ'!$A$880:$A$1244,0),$A$2))),"")</f>
        <v/>
      </c>
      <c r="U18" s="59">
        <f>IF(MONTH(U17)=6,IF(IFERROR(CHOOSE($A$3,INDEX('データ'!$B$880:$J$1244,MATCH(U17,'データ'!$A$880:$A$1244,0),$A$2),INDEX('データ'!$L$880:$T$1244,MATCH(U17,'データ'!$A$880:$A$1244,0),$A$2),INDEX('データ'!$V$880:$AD$1244,MATCH(U17,'データ'!$A$880:$A$1244,0),$A$2)),0)=0,"",CHOOSE($A$3,INDEX('データ'!$B$880:$J$1244,MATCH(U17,'データ'!$A$880:$A$1244,0),$A$2),INDEX('データ'!$L$880:$T$1244,MATCH(U17,'データ'!$A$880:$A$1244,0),$A$2),INDEX('データ'!$V$880:$AD$1244,MATCH(U17,'データ'!$A$880:$A$1244,0),$A$2))),"")</f>
        <v/>
      </c>
      <c r="V18" s="59">
        <f>IF(MONTH(V17)=6,IF(IFERROR(CHOOSE($A$3,INDEX('データ'!$B$880:$J$1244,MATCH(V17,'データ'!$A$880:$A$1244,0),$A$2),INDEX('データ'!$L$880:$T$1244,MATCH(V17,'データ'!$A$880:$A$1244,0),$A$2),INDEX('データ'!$V$880:$AD$1244,MATCH(V17,'データ'!$A$880:$A$1244,0),$A$2)),0)=0,"",CHOOSE($A$3,INDEX('データ'!$B$880:$J$1244,MATCH(V17,'データ'!$A$880:$A$1244,0),$A$2),INDEX('データ'!$L$880:$T$1244,MATCH(V17,'データ'!$A$880:$A$1244,0),$A$2),INDEX('データ'!$V$880:$AD$1244,MATCH(V17,'データ'!$A$880:$A$1244,0),$A$2))),"")</f>
        <v/>
      </c>
      <c r="W18" s="59">
        <f>IF(MONTH(W17)=6,IF(IFERROR(CHOOSE($A$3,INDEX('データ'!$B$880:$J$1244,MATCH(W17,'データ'!$A$880:$A$1244,0),$A$2),INDEX('データ'!$L$880:$T$1244,MATCH(W17,'データ'!$A$880:$A$1244,0),$A$2),INDEX('データ'!$V$880:$AD$1244,MATCH(W17,'データ'!$A$880:$A$1244,0),$A$2)),0)=0,"",CHOOSE($A$3,INDEX('データ'!$B$880:$J$1244,MATCH(W17,'データ'!$A$880:$A$1244,0),$A$2),INDEX('データ'!$L$880:$T$1244,MATCH(W17,'データ'!$A$880:$A$1244,0),$A$2),INDEX('データ'!$V$880:$AD$1244,MATCH(W17,'データ'!$A$880:$A$1244,0),$A$2))),"")</f>
        <v/>
      </c>
      <c r="X18" s="59">
        <f>IF(MONTH(X17)=6,IF(IFERROR(CHOOSE($A$3,INDEX('データ'!$B$880:$J$1244,MATCH(X17,'データ'!$A$880:$A$1244,0),$A$2),INDEX('データ'!$L$880:$T$1244,MATCH(X17,'データ'!$A$880:$A$1244,0),$A$2),INDEX('データ'!$V$880:$AD$1244,MATCH(X17,'データ'!$A$880:$A$1244,0),$A$2)),0)=0,"",CHOOSE($A$3,INDEX('データ'!$B$880:$J$1244,MATCH(X17,'データ'!$A$880:$A$1244,0),$A$2),INDEX('データ'!$L$880:$T$1244,MATCH(X17,'データ'!$A$880:$A$1244,0),$A$2),INDEX('データ'!$V$880:$AD$1244,MATCH(X17,'データ'!$A$880:$A$1244,0),$A$2))),"")</f>
        <v/>
      </c>
      <c r="Z18" s="59">
        <f>IF(MONTH(Z17)=7,IF(IFERROR(CHOOSE($A$3,INDEX('データ'!$B$880:$J$1244,MATCH(Z17,'データ'!$A$880:$A$1244,0),$A$2),INDEX('データ'!$L$880:$T$1244,MATCH(Z17,'データ'!$A$880:$A$1244,0),$A$2),INDEX('データ'!$V$880:$AD$1244,MATCH(Z17,'データ'!$A$880:$A$1244,0),$A$2)),0)=0,"",CHOOSE($A$3,INDEX('データ'!$B$880:$J$1244,MATCH(Z17,'データ'!$A$880:$A$1244,0),$A$2),INDEX('データ'!$L$880:$T$1244,MATCH(Z17,'データ'!$A$880:$A$1244,0),$A$2),INDEX('データ'!$V$880:$AD$1244,MATCH(Z17,'データ'!$A$880:$A$1244,0),$A$2))),"")</f>
        <v/>
      </c>
      <c r="AA18" s="59">
        <f>IF(MONTH(AA17)=7,IF(IFERROR(CHOOSE($A$3,INDEX('データ'!$B$880:$J$1244,MATCH(AA17,'データ'!$A$880:$A$1244,0),$A$2),INDEX('データ'!$L$880:$T$1244,MATCH(AA17,'データ'!$A$880:$A$1244,0),$A$2),INDEX('データ'!$V$880:$AD$1244,MATCH(AA17,'データ'!$A$880:$A$1244,0),$A$2)),0)=0,"",CHOOSE($A$3,INDEX('データ'!$B$880:$J$1244,MATCH(AA17,'データ'!$A$880:$A$1244,0),$A$2),INDEX('データ'!$L$880:$T$1244,MATCH(AA17,'データ'!$A$880:$A$1244,0),$A$2),INDEX('データ'!$V$880:$AD$1244,MATCH(AA17,'データ'!$A$880:$A$1244,0),$A$2))),"")</f>
        <v/>
      </c>
      <c r="AB18" s="59">
        <f>IF(MONTH(AB17)=7,IF(IFERROR(CHOOSE($A$3,INDEX('データ'!$B$880:$J$1244,MATCH(AB17,'データ'!$A$880:$A$1244,0),$A$2),INDEX('データ'!$L$880:$T$1244,MATCH(AB17,'データ'!$A$880:$A$1244,0),$A$2),INDEX('データ'!$V$880:$AD$1244,MATCH(AB17,'データ'!$A$880:$A$1244,0),$A$2)),0)=0,"",CHOOSE($A$3,INDEX('データ'!$B$880:$J$1244,MATCH(AB17,'データ'!$A$880:$A$1244,0),$A$2),INDEX('データ'!$L$880:$T$1244,MATCH(AB17,'データ'!$A$880:$A$1244,0),$A$2),INDEX('データ'!$V$880:$AD$1244,MATCH(AB17,'データ'!$A$880:$A$1244,0),$A$2))),"")</f>
        <v/>
      </c>
      <c r="AC18" s="59">
        <f>IF(MONTH(AC17)=7,IF(IFERROR(CHOOSE($A$3,INDEX('データ'!$B$880:$J$1244,MATCH(AC17,'データ'!$A$880:$A$1244,0),$A$2),INDEX('データ'!$L$880:$T$1244,MATCH(AC17,'データ'!$A$880:$A$1244,0),$A$2),INDEX('データ'!$V$880:$AD$1244,MATCH(AC17,'データ'!$A$880:$A$1244,0),$A$2)),0)=0,"",CHOOSE($A$3,INDEX('データ'!$B$880:$J$1244,MATCH(AC17,'データ'!$A$880:$A$1244,0),$A$2),INDEX('データ'!$L$880:$T$1244,MATCH(AC17,'データ'!$A$880:$A$1244,0),$A$2),INDEX('データ'!$V$880:$AD$1244,MATCH(AC17,'データ'!$A$880:$A$1244,0),$A$2))),"")</f>
        <v/>
      </c>
      <c r="AD18" s="59">
        <f>IF(MONTH(AD17)=7,IF(IFERROR(CHOOSE($A$3,INDEX('データ'!$B$880:$J$1244,MATCH(AD17,'データ'!$A$880:$A$1244,0),$A$2),INDEX('データ'!$L$880:$T$1244,MATCH(AD17,'データ'!$A$880:$A$1244,0),$A$2),INDEX('データ'!$V$880:$AD$1244,MATCH(AD17,'データ'!$A$880:$A$1244,0),$A$2)),0)=0,"",CHOOSE($A$3,INDEX('データ'!$B$880:$J$1244,MATCH(AD17,'データ'!$A$880:$A$1244,0),$A$2),INDEX('データ'!$L$880:$T$1244,MATCH(AD17,'データ'!$A$880:$A$1244,0),$A$2),INDEX('データ'!$V$880:$AD$1244,MATCH(AD17,'データ'!$A$880:$A$1244,0),$A$2))),"")</f>
        <v/>
      </c>
      <c r="AE18" s="59">
        <f>IF(MONTH(AE17)=7,IF(IFERROR(CHOOSE($A$3,INDEX('データ'!$B$880:$J$1244,MATCH(AE17,'データ'!$A$880:$A$1244,0),$A$2),INDEX('データ'!$L$880:$T$1244,MATCH(AE17,'データ'!$A$880:$A$1244,0),$A$2),INDEX('データ'!$V$880:$AD$1244,MATCH(AE17,'データ'!$A$880:$A$1244,0),$A$2)),0)=0,"",CHOOSE($A$3,INDEX('データ'!$B$880:$J$1244,MATCH(AE17,'データ'!$A$880:$A$1244,0),$A$2),INDEX('データ'!$L$880:$T$1244,MATCH(AE17,'データ'!$A$880:$A$1244,0),$A$2),INDEX('データ'!$V$880:$AD$1244,MATCH(AE17,'データ'!$A$880:$A$1244,0),$A$2))),"")</f>
        <v/>
      </c>
      <c r="AF18" s="59">
        <f>IF(MONTH(AF17)=7,IF(IFERROR(CHOOSE($A$3,INDEX('データ'!$B$880:$J$1244,MATCH(AF17,'データ'!$A$880:$A$1244,0),$A$2),INDEX('データ'!$L$880:$T$1244,MATCH(AF17,'データ'!$A$880:$A$1244,0),$A$2),INDEX('データ'!$V$880:$AD$1244,MATCH(AF17,'データ'!$A$880:$A$1244,0),$A$2)),0)=0,"",CHOOSE($A$3,INDEX('データ'!$B$880:$J$1244,MATCH(AF17,'データ'!$A$880:$A$1244,0),$A$2),INDEX('データ'!$L$880:$T$1244,MATCH(AF17,'データ'!$A$880:$A$1244,0),$A$2),INDEX('データ'!$V$880:$AD$1244,MATCH(AF17,'データ'!$A$880:$A$1244,0),$A$2))),"")</f>
        <v/>
      </c>
    </row>
    <row r="20" spans="2:32">
      <c r="B20" s="54" t="s">
        <v>485</v>
      </c>
      <c r="C20" s="54"/>
      <c r="D20" s="54"/>
      <c r="E20" s="54"/>
      <c r="F20" s="54"/>
      <c r="G20" s="54"/>
      <c r="H20" s="54"/>
      <c r="J20" s="54" t="s">
        <v>486</v>
      </c>
      <c r="K20" s="54"/>
      <c r="L20" s="54"/>
      <c r="M20" s="54"/>
      <c r="N20" s="54"/>
      <c r="O20" s="54"/>
      <c r="P20" s="54"/>
      <c r="R20" s="54" t="s">
        <v>487</v>
      </c>
      <c r="S20" s="54"/>
      <c r="T20" s="54"/>
      <c r="U20" s="54"/>
      <c r="V20" s="54"/>
      <c r="W20" s="54"/>
      <c r="X20" s="54"/>
      <c r="Z20" s="54" t="s">
        <v>488</v>
      </c>
      <c r="AA20" s="54"/>
      <c r="AB20" s="54"/>
      <c r="AC20" s="54"/>
      <c r="AD20" s="54"/>
      <c r="AE20" s="54"/>
      <c r="AF20" s="54"/>
    </row>
    <row r="21" spans="2:32">
      <c r="B21" s="55" t="s">
        <v>5</v>
      </c>
      <c r="C21" s="55" t="s">
        <v>210</v>
      </c>
      <c r="D21" s="55" t="s">
        <v>212</v>
      </c>
      <c r="E21" s="55" t="s">
        <v>214</v>
      </c>
      <c r="F21" s="55" t="s">
        <v>216</v>
      </c>
      <c r="G21" s="56" t="s">
        <v>218</v>
      </c>
      <c r="H21" s="57" t="s">
        <v>220</v>
      </c>
      <c r="J21" s="55" t="s">
        <v>5</v>
      </c>
      <c r="K21" s="55" t="s">
        <v>210</v>
      </c>
      <c r="L21" s="55" t="s">
        <v>212</v>
      </c>
      <c r="M21" s="55" t="s">
        <v>214</v>
      </c>
      <c r="N21" s="55" t="s">
        <v>216</v>
      </c>
      <c r="O21" s="56" t="s">
        <v>218</v>
      </c>
      <c r="P21" s="57" t="s">
        <v>220</v>
      </c>
      <c r="R21" s="55" t="s">
        <v>5</v>
      </c>
      <c r="S21" s="55" t="s">
        <v>210</v>
      </c>
      <c r="T21" s="55" t="s">
        <v>212</v>
      </c>
      <c r="U21" s="55" t="s">
        <v>214</v>
      </c>
      <c r="V21" s="55" t="s">
        <v>216</v>
      </c>
      <c r="W21" s="56" t="s">
        <v>218</v>
      </c>
      <c r="X21" s="57" t="s">
        <v>220</v>
      </c>
      <c r="Z21" s="55" t="s">
        <v>5</v>
      </c>
      <c r="AA21" s="55" t="s">
        <v>210</v>
      </c>
      <c r="AB21" s="55" t="s">
        <v>212</v>
      </c>
      <c r="AC21" s="55" t="s">
        <v>214</v>
      </c>
      <c r="AD21" s="55" t="s">
        <v>216</v>
      </c>
      <c r="AE21" s="56" t="s">
        <v>218</v>
      </c>
      <c r="AF21" s="57" t="s">
        <v>220</v>
      </c>
    </row>
    <row r="22" spans="2:32" ht="13" customHeight="1">
      <c r="B22" s="58">
        <f>DATE(2025,8,1)-WEEKDAY(DATE(2025,8,1),2)+1</f>
        <v>45866</v>
      </c>
      <c r="C22" s="58">
        <f>DATE(2025,8,1)-WEEKDAY(DATE(2025,8,1),2)+2</f>
        <v>45867</v>
      </c>
      <c r="D22" s="58">
        <f>DATE(2025,8,1)-WEEKDAY(DATE(2025,8,1),2)+3</f>
        <v>45868</v>
      </c>
      <c r="E22" s="58">
        <f>DATE(2025,8,1)-WEEKDAY(DATE(2025,8,1),2)+4</f>
        <v>45869</v>
      </c>
      <c r="F22" s="58">
        <f>DATE(2025,8,1)-WEEKDAY(DATE(2025,8,1),2)+5</f>
        <v>45870</v>
      </c>
      <c r="G22" s="58">
        <f>DATE(2025,8,1)-WEEKDAY(DATE(2025,8,1),2)+6</f>
        <v>45871</v>
      </c>
      <c r="H22" s="58">
        <f>DATE(2025,8,1)-WEEKDAY(DATE(2025,8,1),2)+7</f>
        <v>45872</v>
      </c>
      <c r="J22" s="58">
        <f>DATE(2025,9,1)-WEEKDAY(DATE(2025,9,1),2)+1</f>
        <v>45901</v>
      </c>
      <c r="K22" s="58">
        <f>DATE(2025,9,1)-WEEKDAY(DATE(2025,9,1),2)+2</f>
        <v>45902</v>
      </c>
      <c r="L22" s="58">
        <f>DATE(2025,9,1)-WEEKDAY(DATE(2025,9,1),2)+3</f>
        <v>45903</v>
      </c>
      <c r="M22" s="58">
        <f>DATE(2025,9,1)-WEEKDAY(DATE(2025,9,1),2)+4</f>
        <v>45904</v>
      </c>
      <c r="N22" s="58">
        <f>DATE(2025,9,1)-WEEKDAY(DATE(2025,9,1),2)+5</f>
        <v>45905</v>
      </c>
      <c r="O22" s="58">
        <f>DATE(2025,9,1)-WEEKDAY(DATE(2025,9,1),2)+6</f>
        <v>45906</v>
      </c>
      <c r="P22" s="58">
        <f>DATE(2025,9,1)-WEEKDAY(DATE(2025,9,1),2)+7</f>
        <v>45907</v>
      </c>
      <c r="R22" s="58">
        <f>DATE(2025,10,1)-WEEKDAY(DATE(2025,10,1),2)+1</f>
        <v>45929</v>
      </c>
      <c r="S22" s="58">
        <f>DATE(2025,10,1)-WEEKDAY(DATE(2025,10,1),2)+2</f>
        <v>45930</v>
      </c>
      <c r="T22" s="58">
        <f>DATE(2025,10,1)-WEEKDAY(DATE(2025,10,1),2)+3</f>
        <v>45931</v>
      </c>
      <c r="U22" s="58">
        <f>DATE(2025,10,1)-WEEKDAY(DATE(2025,10,1),2)+4</f>
        <v>45932</v>
      </c>
      <c r="V22" s="58">
        <f>DATE(2025,10,1)-WEEKDAY(DATE(2025,10,1),2)+5</f>
        <v>45933</v>
      </c>
      <c r="W22" s="58">
        <f>DATE(2025,10,1)-WEEKDAY(DATE(2025,10,1),2)+6</f>
        <v>45934</v>
      </c>
      <c r="X22" s="58">
        <f>DATE(2025,10,1)-WEEKDAY(DATE(2025,10,1),2)+7</f>
        <v>45935</v>
      </c>
      <c r="Z22" s="58">
        <f>DATE(2025,11,1)-WEEKDAY(DATE(2025,11,1),2)+1</f>
        <v>45957</v>
      </c>
      <c r="AA22" s="58">
        <f>DATE(2025,11,1)-WEEKDAY(DATE(2025,11,1),2)+2</f>
        <v>45958</v>
      </c>
      <c r="AB22" s="58">
        <f>DATE(2025,11,1)-WEEKDAY(DATE(2025,11,1),2)+3</f>
        <v>45959</v>
      </c>
      <c r="AC22" s="58">
        <f>DATE(2025,11,1)-WEEKDAY(DATE(2025,11,1),2)+4</f>
        <v>45960</v>
      </c>
      <c r="AD22" s="58">
        <f>DATE(2025,11,1)-WEEKDAY(DATE(2025,11,1),2)+5</f>
        <v>45961</v>
      </c>
      <c r="AE22" s="58">
        <f>DATE(2025,11,1)-WEEKDAY(DATE(2025,11,1),2)+6</f>
        <v>45962</v>
      </c>
      <c r="AF22" s="58">
        <f>DATE(2025,11,1)-WEEKDAY(DATE(2025,11,1),2)+7</f>
        <v>45963</v>
      </c>
    </row>
    <row r="23" spans="2:32" ht="21" customHeight="1">
      <c r="B23" s="59">
        <f>IF(MONTH(B22)=8,IF(IFERROR(CHOOSE($A$3,INDEX('データ'!$B$880:$J$1244,MATCH(B22,'データ'!$A$880:$A$1244,0),$A$2),INDEX('データ'!$L$880:$T$1244,MATCH(B22,'データ'!$A$880:$A$1244,0),$A$2),INDEX('データ'!$V$880:$AD$1244,MATCH(B22,'データ'!$A$880:$A$1244,0),$A$2)),0)=0,"",CHOOSE($A$3,INDEX('データ'!$B$880:$J$1244,MATCH(B22,'データ'!$A$880:$A$1244,0),$A$2),INDEX('データ'!$L$880:$T$1244,MATCH(B22,'データ'!$A$880:$A$1244,0),$A$2),INDEX('データ'!$V$880:$AD$1244,MATCH(B22,'データ'!$A$880:$A$1244,0),$A$2))),"")</f>
        <v/>
      </c>
      <c r="C23" s="59">
        <f>IF(MONTH(C22)=8,IF(IFERROR(CHOOSE($A$3,INDEX('データ'!$B$880:$J$1244,MATCH(C22,'データ'!$A$880:$A$1244,0),$A$2),INDEX('データ'!$L$880:$T$1244,MATCH(C22,'データ'!$A$880:$A$1244,0),$A$2),INDEX('データ'!$V$880:$AD$1244,MATCH(C22,'データ'!$A$880:$A$1244,0),$A$2)),0)=0,"",CHOOSE($A$3,INDEX('データ'!$B$880:$J$1244,MATCH(C22,'データ'!$A$880:$A$1244,0),$A$2),INDEX('データ'!$L$880:$T$1244,MATCH(C22,'データ'!$A$880:$A$1244,0),$A$2),INDEX('データ'!$V$880:$AD$1244,MATCH(C22,'データ'!$A$880:$A$1244,0),$A$2))),"")</f>
        <v/>
      </c>
      <c r="D23" s="59">
        <f>IF(MONTH(D22)=8,IF(IFERROR(CHOOSE($A$3,INDEX('データ'!$B$880:$J$1244,MATCH(D22,'データ'!$A$880:$A$1244,0),$A$2),INDEX('データ'!$L$880:$T$1244,MATCH(D22,'データ'!$A$880:$A$1244,0),$A$2),INDEX('データ'!$V$880:$AD$1244,MATCH(D22,'データ'!$A$880:$A$1244,0),$A$2)),0)=0,"",CHOOSE($A$3,INDEX('データ'!$B$880:$J$1244,MATCH(D22,'データ'!$A$880:$A$1244,0),$A$2),INDEX('データ'!$L$880:$T$1244,MATCH(D22,'データ'!$A$880:$A$1244,0),$A$2),INDEX('データ'!$V$880:$AD$1244,MATCH(D22,'データ'!$A$880:$A$1244,0),$A$2))),"")</f>
        <v/>
      </c>
      <c r="E23" s="59">
        <f>IF(MONTH(E22)=8,IF(IFERROR(CHOOSE($A$3,INDEX('データ'!$B$880:$J$1244,MATCH(E22,'データ'!$A$880:$A$1244,0),$A$2),INDEX('データ'!$L$880:$T$1244,MATCH(E22,'データ'!$A$880:$A$1244,0),$A$2),INDEX('データ'!$V$880:$AD$1244,MATCH(E22,'データ'!$A$880:$A$1244,0),$A$2)),0)=0,"",CHOOSE($A$3,INDEX('データ'!$B$880:$J$1244,MATCH(E22,'データ'!$A$880:$A$1244,0),$A$2),INDEX('データ'!$L$880:$T$1244,MATCH(E22,'データ'!$A$880:$A$1244,0),$A$2),INDEX('データ'!$V$880:$AD$1244,MATCH(E22,'データ'!$A$880:$A$1244,0),$A$2))),"")</f>
        <v/>
      </c>
      <c r="F23" s="59">
        <f>IF(MONTH(F22)=8,IF(IFERROR(CHOOSE($A$3,INDEX('データ'!$B$880:$J$1244,MATCH(F22,'データ'!$A$880:$A$1244,0),$A$2),INDEX('データ'!$L$880:$T$1244,MATCH(F22,'データ'!$A$880:$A$1244,0),$A$2),INDEX('データ'!$V$880:$AD$1244,MATCH(F22,'データ'!$A$880:$A$1244,0),$A$2)),0)=0,"",CHOOSE($A$3,INDEX('データ'!$B$880:$J$1244,MATCH(F22,'データ'!$A$880:$A$1244,0),$A$2),INDEX('データ'!$L$880:$T$1244,MATCH(F22,'データ'!$A$880:$A$1244,0),$A$2),INDEX('データ'!$V$880:$AD$1244,MATCH(F22,'データ'!$A$880:$A$1244,0),$A$2))),"")</f>
        <v>3293</v>
      </c>
      <c r="G23" s="59">
        <f>IF(MONTH(G22)=8,IF(IFERROR(CHOOSE($A$3,INDEX('データ'!$B$880:$J$1244,MATCH(G22,'データ'!$A$880:$A$1244,0),$A$2),INDEX('データ'!$L$880:$T$1244,MATCH(G22,'データ'!$A$880:$A$1244,0),$A$2),INDEX('データ'!$V$880:$AD$1244,MATCH(G22,'データ'!$A$880:$A$1244,0),$A$2)),0)=0,"",CHOOSE($A$3,INDEX('データ'!$B$880:$J$1244,MATCH(G22,'データ'!$A$880:$A$1244,0),$A$2),INDEX('データ'!$L$880:$T$1244,MATCH(G22,'データ'!$A$880:$A$1244,0),$A$2),INDEX('データ'!$V$880:$AD$1244,MATCH(G22,'データ'!$A$880:$A$1244,0),$A$2))),"")</f>
        <v/>
      </c>
      <c r="H23" s="59">
        <f>IF(MONTH(H22)=8,IF(IFERROR(CHOOSE($A$3,INDEX('データ'!$B$880:$J$1244,MATCH(H22,'データ'!$A$880:$A$1244,0),$A$2),INDEX('データ'!$L$880:$T$1244,MATCH(H22,'データ'!$A$880:$A$1244,0),$A$2),INDEX('データ'!$V$880:$AD$1244,MATCH(H22,'データ'!$A$880:$A$1244,0),$A$2)),0)=0,"",CHOOSE($A$3,INDEX('データ'!$B$880:$J$1244,MATCH(H22,'データ'!$A$880:$A$1244,0),$A$2),INDEX('データ'!$L$880:$T$1244,MATCH(H22,'データ'!$A$880:$A$1244,0),$A$2),INDEX('データ'!$V$880:$AD$1244,MATCH(H22,'データ'!$A$880:$A$1244,0),$A$2))),"")</f>
        <v/>
      </c>
      <c r="J23" s="59">
        <f>IF(MONTH(J22)=9,IF(IFERROR(CHOOSE($A$3,INDEX('データ'!$B$880:$J$1244,MATCH(J22,'データ'!$A$880:$A$1244,0),$A$2),INDEX('データ'!$L$880:$T$1244,MATCH(J22,'データ'!$A$880:$A$1244,0),$A$2),INDEX('データ'!$V$880:$AD$1244,MATCH(J22,'データ'!$A$880:$A$1244,0),$A$2)),0)=0,"",CHOOSE($A$3,INDEX('データ'!$B$880:$J$1244,MATCH(J22,'データ'!$A$880:$A$1244,0),$A$2),INDEX('データ'!$L$880:$T$1244,MATCH(J22,'データ'!$A$880:$A$1244,0),$A$2),INDEX('データ'!$V$880:$AD$1244,MATCH(J22,'データ'!$A$880:$A$1244,0),$A$2))),"")</f>
        <v>2953</v>
      </c>
      <c r="K23" s="59">
        <f>IF(MONTH(K22)=9,IF(IFERROR(CHOOSE($A$3,INDEX('データ'!$B$880:$J$1244,MATCH(K22,'データ'!$A$880:$A$1244,0),$A$2),INDEX('データ'!$L$880:$T$1244,MATCH(K22,'データ'!$A$880:$A$1244,0),$A$2),INDEX('データ'!$V$880:$AD$1244,MATCH(K22,'データ'!$A$880:$A$1244,0),$A$2)),0)=0,"",CHOOSE($A$3,INDEX('データ'!$B$880:$J$1244,MATCH(K22,'データ'!$A$880:$A$1244,0),$A$2),INDEX('データ'!$L$880:$T$1244,MATCH(K22,'データ'!$A$880:$A$1244,0),$A$2),INDEX('データ'!$V$880:$AD$1244,MATCH(K22,'データ'!$A$880:$A$1244,0),$A$2))),"")</f>
        <v>2737</v>
      </c>
      <c r="L23" s="59">
        <f>IF(MONTH(L22)=9,IF(IFERROR(CHOOSE($A$3,INDEX('データ'!$B$880:$J$1244,MATCH(L22,'データ'!$A$880:$A$1244,0),$A$2),INDEX('データ'!$L$880:$T$1244,MATCH(L22,'データ'!$A$880:$A$1244,0),$A$2),INDEX('データ'!$V$880:$AD$1244,MATCH(L22,'データ'!$A$880:$A$1244,0),$A$2)),0)=0,"",CHOOSE($A$3,INDEX('データ'!$B$880:$J$1244,MATCH(L22,'データ'!$A$880:$A$1244,0),$A$2),INDEX('データ'!$L$880:$T$1244,MATCH(L22,'データ'!$A$880:$A$1244,0),$A$2),INDEX('データ'!$V$880:$AD$1244,MATCH(L22,'データ'!$A$880:$A$1244,0),$A$2))),"")</f>
        <v>2926</v>
      </c>
      <c r="M23" s="59">
        <f>IF(MONTH(M22)=9,IF(IFERROR(CHOOSE($A$3,INDEX('データ'!$B$880:$J$1244,MATCH(M22,'データ'!$A$880:$A$1244,0),$A$2),INDEX('データ'!$L$880:$T$1244,MATCH(M22,'データ'!$A$880:$A$1244,0),$A$2),INDEX('データ'!$V$880:$AD$1244,MATCH(M22,'データ'!$A$880:$A$1244,0),$A$2)),0)=0,"",CHOOSE($A$3,INDEX('データ'!$B$880:$J$1244,MATCH(M22,'データ'!$A$880:$A$1244,0),$A$2),INDEX('データ'!$L$880:$T$1244,MATCH(M22,'データ'!$A$880:$A$1244,0),$A$2),INDEX('データ'!$V$880:$AD$1244,MATCH(M22,'データ'!$A$880:$A$1244,0),$A$2))),"")</f>
        <v>2421</v>
      </c>
      <c r="N23" s="59">
        <f>IF(MONTH(N22)=9,IF(IFERROR(CHOOSE($A$3,INDEX('データ'!$B$880:$J$1244,MATCH(N22,'データ'!$A$880:$A$1244,0),$A$2),INDEX('データ'!$L$880:$T$1244,MATCH(N22,'データ'!$A$880:$A$1244,0),$A$2),INDEX('データ'!$V$880:$AD$1244,MATCH(N22,'データ'!$A$880:$A$1244,0),$A$2)),0)=0,"",CHOOSE($A$3,INDEX('データ'!$B$880:$J$1244,MATCH(N22,'データ'!$A$880:$A$1244,0),$A$2),INDEX('データ'!$L$880:$T$1244,MATCH(N22,'データ'!$A$880:$A$1244,0),$A$2),INDEX('データ'!$V$880:$AD$1244,MATCH(N22,'データ'!$A$880:$A$1244,0),$A$2))),"")</f>
        <v>2801</v>
      </c>
      <c r="O23" s="59">
        <f>IF(MONTH(O22)=9,IF(IFERROR(CHOOSE($A$3,INDEX('データ'!$B$880:$J$1244,MATCH(O22,'データ'!$A$880:$A$1244,0),$A$2),INDEX('データ'!$L$880:$T$1244,MATCH(O22,'データ'!$A$880:$A$1244,0),$A$2),INDEX('データ'!$V$880:$AD$1244,MATCH(O22,'データ'!$A$880:$A$1244,0),$A$2)),0)=0,"",CHOOSE($A$3,INDEX('データ'!$B$880:$J$1244,MATCH(O22,'データ'!$A$880:$A$1244,0),$A$2),INDEX('データ'!$L$880:$T$1244,MATCH(O22,'データ'!$A$880:$A$1244,0),$A$2),INDEX('データ'!$V$880:$AD$1244,MATCH(O22,'データ'!$A$880:$A$1244,0),$A$2))),"")</f>
        <v/>
      </c>
      <c r="P23" s="59">
        <f>IF(MONTH(P22)=9,IF(IFERROR(CHOOSE($A$3,INDEX('データ'!$B$880:$J$1244,MATCH(P22,'データ'!$A$880:$A$1244,0),$A$2),INDEX('データ'!$L$880:$T$1244,MATCH(P22,'データ'!$A$880:$A$1244,0),$A$2),INDEX('データ'!$V$880:$AD$1244,MATCH(P22,'データ'!$A$880:$A$1244,0),$A$2)),0)=0,"",CHOOSE($A$3,INDEX('データ'!$B$880:$J$1244,MATCH(P22,'データ'!$A$880:$A$1244,0),$A$2),INDEX('データ'!$L$880:$T$1244,MATCH(P22,'データ'!$A$880:$A$1244,0),$A$2),INDEX('データ'!$V$880:$AD$1244,MATCH(P22,'データ'!$A$880:$A$1244,0),$A$2))),"")</f>
        <v/>
      </c>
      <c r="R23" s="59">
        <f>IF(MONTH(R22)=10,IF(IFERROR(CHOOSE($A$3,INDEX('データ'!$B$880:$J$1244,MATCH(R22,'データ'!$A$880:$A$1244,0),$A$2),INDEX('データ'!$L$880:$T$1244,MATCH(R22,'データ'!$A$880:$A$1244,0),$A$2),INDEX('データ'!$V$880:$AD$1244,MATCH(R22,'データ'!$A$880:$A$1244,0),$A$2)),0)=0,"",CHOOSE($A$3,INDEX('データ'!$B$880:$J$1244,MATCH(R22,'データ'!$A$880:$A$1244,0),$A$2),INDEX('データ'!$L$880:$T$1244,MATCH(R22,'データ'!$A$880:$A$1244,0),$A$2),INDEX('データ'!$V$880:$AD$1244,MATCH(R22,'データ'!$A$880:$A$1244,0),$A$2))),"")</f>
        <v/>
      </c>
      <c r="S23" s="59">
        <f>IF(MONTH(S22)=10,IF(IFERROR(CHOOSE($A$3,INDEX('データ'!$B$880:$J$1244,MATCH(S22,'データ'!$A$880:$A$1244,0),$A$2),INDEX('データ'!$L$880:$T$1244,MATCH(S22,'データ'!$A$880:$A$1244,0),$A$2),INDEX('データ'!$V$880:$AD$1244,MATCH(S22,'データ'!$A$880:$A$1244,0),$A$2)),0)=0,"",CHOOSE($A$3,INDEX('データ'!$B$880:$J$1244,MATCH(S22,'データ'!$A$880:$A$1244,0),$A$2),INDEX('データ'!$L$880:$T$1244,MATCH(S22,'データ'!$A$880:$A$1244,0),$A$2),INDEX('データ'!$V$880:$AD$1244,MATCH(S22,'データ'!$A$880:$A$1244,0),$A$2))),"")</f>
        <v/>
      </c>
      <c r="T23" s="59">
        <f>IF(MONTH(T22)=10,IF(IFERROR(CHOOSE($A$3,INDEX('データ'!$B$880:$J$1244,MATCH(T22,'データ'!$A$880:$A$1244,0),$A$2),INDEX('データ'!$L$880:$T$1244,MATCH(T22,'データ'!$A$880:$A$1244,0),$A$2),INDEX('データ'!$V$880:$AD$1244,MATCH(T22,'データ'!$A$880:$A$1244,0),$A$2)),0)=0,"",CHOOSE($A$3,INDEX('データ'!$B$880:$J$1244,MATCH(T22,'データ'!$A$880:$A$1244,0),$A$2),INDEX('データ'!$L$880:$T$1244,MATCH(T22,'データ'!$A$880:$A$1244,0),$A$2),INDEX('データ'!$V$880:$AD$1244,MATCH(T22,'データ'!$A$880:$A$1244,0),$A$2))),"")</f>
        <v>3254</v>
      </c>
      <c r="U23" s="59">
        <f>IF(MONTH(U22)=10,IF(IFERROR(CHOOSE($A$3,INDEX('データ'!$B$880:$J$1244,MATCH(U22,'データ'!$A$880:$A$1244,0),$A$2),INDEX('データ'!$L$880:$T$1244,MATCH(U22,'データ'!$A$880:$A$1244,0),$A$2),INDEX('データ'!$V$880:$AD$1244,MATCH(U22,'データ'!$A$880:$A$1244,0),$A$2)),0)=0,"",CHOOSE($A$3,INDEX('データ'!$B$880:$J$1244,MATCH(U22,'データ'!$A$880:$A$1244,0),$A$2),INDEX('データ'!$L$880:$T$1244,MATCH(U22,'データ'!$A$880:$A$1244,0),$A$2),INDEX('データ'!$V$880:$AD$1244,MATCH(U22,'データ'!$A$880:$A$1244,0),$A$2))),"")</f>
        <v>2900</v>
      </c>
      <c r="V23" s="59">
        <f>IF(MONTH(V22)=10,IF(IFERROR(CHOOSE($A$3,INDEX('データ'!$B$880:$J$1244,MATCH(V22,'データ'!$A$880:$A$1244,0),$A$2),INDEX('データ'!$L$880:$T$1244,MATCH(V22,'データ'!$A$880:$A$1244,0),$A$2),INDEX('データ'!$V$880:$AD$1244,MATCH(V22,'データ'!$A$880:$A$1244,0),$A$2)),0)=0,"",CHOOSE($A$3,INDEX('データ'!$B$880:$J$1244,MATCH(V22,'データ'!$A$880:$A$1244,0),$A$2),INDEX('データ'!$L$880:$T$1244,MATCH(V22,'データ'!$A$880:$A$1244,0),$A$2),INDEX('データ'!$V$880:$AD$1244,MATCH(V22,'データ'!$A$880:$A$1244,0),$A$2))),"")</f>
        <v>2797</v>
      </c>
      <c r="W23" s="59">
        <f>IF(MONTH(W22)=10,IF(IFERROR(CHOOSE($A$3,INDEX('データ'!$B$880:$J$1244,MATCH(W22,'データ'!$A$880:$A$1244,0),$A$2),INDEX('データ'!$L$880:$T$1244,MATCH(W22,'データ'!$A$880:$A$1244,0),$A$2),INDEX('データ'!$V$880:$AD$1244,MATCH(W22,'データ'!$A$880:$A$1244,0),$A$2)),0)=0,"",CHOOSE($A$3,INDEX('データ'!$B$880:$J$1244,MATCH(W22,'データ'!$A$880:$A$1244,0),$A$2),INDEX('データ'!$L$880:$T$1244,MATCH(W22,'データ'!$A$880:$A$1244,0),$A$2),INDEX('データ'!$V$880:$AD$1244,MATCH(W22,'データ'!$A$880:$A$1244,0),$A$2))),"")</f>
        <v/>
      </c>
      <c r="X23" s="59">
        <f>IF(MONTH(X22)=10,IF(IFERROR(CHOOSE($A$3,INDEX('データ'!$B$880:$J$1244,MATCH(X22,'データ'!$A$880:$A$1244,0),$A$2),INDEX('データ'!$L$880:$T$1244,MATCH(X22,'データ'!$A$880:$A$1244,0),$A$2),INDEX('データ'!$V$880:$AD$1244,MATCH(X22,'データ'!$A$880:$A$1244,0),$A$2)),0)=0,"",CHOOSE($A$3,INDEX('データ'!$B$880:$J$1244,MATCH(X22,'データ'!$A$880:$A$1244,0),$A$2),INDEX('データ'!$L$880:$T$1244,MATCH(X22,'データ'!$A$880:$A$1244,0),$A$2),INDEX('データ'!$V$880:$AD$1244,MATCH(X22,'データ'!$A$880:$A$1244,0),$A$2))),"")</f>
        <v/>
      </c>
      <c r="Z23" s="59">
        <f>IF(MONTH(Z22)=11,IF(IFERROR(CHOOSE($A$3,INDEX('データ'!$B$880:$J$1244,MATCH(Z22,'データ'!$A$880:$A$1244,0),$A$2),INDEX('データ'!$L$880:$T$1244,MATCH(Z22,'データ'!$A$880:$A$1244,0),$A$2),INDEX('データ'!$V$880:$AD$1244,MATCH(Z22,'データ'!$A$880:$A$1244,0),$A$2)),0)=0,"",CHOOSE($A$3,INDEX('データ'!$B$880:$J$1244,MATCH(Z22,'データ'!$A$880:$A$1244,0),$A$2),INDEX('データ'!$L$880:$T$1244,MATCH(Z22,'データ'!$A$880:$A$1244,0),$A$2),INDEX('データ'!$V$880:$AD$1244,MATCH(Z22,'データ'!$A$880:$A$1244,0),$A$2))),"")</f>
        <v/>
      </c>
      <c r="AA23" s="59">
        <f>IF(MONTH(AA22)=11,IF(IFERROR(CHOOSE($A$3,INDEX('データ'!$B$880:$J$1244,MATCH(AA22,'データ'!$A$880:$A$1244,0),$A$2),INDEX('データ'!$L$880:$T$1244,MATCH(AA22,'データ'!$A$880:$A$1244,0),$A$2),INDEX('データ'!$V$880:$AD$1244,MATCH(AA22,'データ'!$A$880:$A$1244,0),$A$2)),0)=0,"",CHOOSE($A$3,INDEX('データ'!$B$880:$J$1244,MATCH(AA22,'データ'!$A$880:$A$1244,0),$A$2),INDEX('データ'!$L$880:$T$1244,MATCH(AA22,'データ'!$A$880:$A$1244,0),$A$2),INDEX('データ'!$V$880:$AD$1244,MATCH(AA22,'データ'!$A$880:$A$1244,0),$A$2))),"")</f>
        <v/>
      </c>
      <c r="AB23" s="59">
        <f>IF(MONTH(AB22)=11,IF(IFERROR(CHOOSE($A$3,INDEX('データ'!$B$880:$J$1244,MATCH(AB22,'データ'!$A$880:$A$1244,0),$A$2),INDEX('データ'!$L$880:$T$1244,MATCH(AB22,'データ'!$A$880:$A$1244,0),$A$2),INDEX('データ'!$V$880:$AD$1244,MATCH(AB22,'データ'!$A$880:$A$1244,0),$A$2)),0)=0,"",CHOOSE($A$3,INDEX('データ'!$B$880:$J$1244,MATCH(AB22,'データ'!$A$880:$A$1244,0),$A$2),INDEX('データ'!$L$880:$T$1244,MATCH(AB22,'データ'!$A$880:$A$1244,0),$A$2),INDEX('データ'!$V$880:$AD$1244,MATCH(AB22,'データ'!$A$880:$A$1244,0),$A$2))),"")</f>
        <v/>
      </c>
      <c r="AC23" s="59">
        <f>IF(MONTH(AC22)=11,IF(IFERROR(CHOOSE($A$3,INDEX('データ'!$B$880:$J$1244,MATCH(AC22,'データ'!$A$880:$A$1244,0),$A$2),INDEX('データ'!$L$880:$T$1244,MATCH(AC22,'データ'!$A$880:$A$1244,0),$A$2),INDEX('データ'!$V$880:$AD$1244,MATCH(AC22,'データ'!$A$880:$A$1244,0),$A$2)),0)=0,"",CHOOSE($A$3,INDEX('データ'!$B$880:$J$1244,MATCH(AC22,'データ'!$A$880:$A$1244,0),$A$2),INDEX('データ'!$L$880:$T$1244,MATCH(AC22,'データ'!$A$880:$A$1244,0),$A$2),INDEX('データ'!$V$880:$AD$1244,MATCH(AC22,'データ'!$A$880:$A$1244,0),$A$2))),"")</f>
        <v/>
      </c>
      <c r="AD23" s="59">
        <f>IF(MONTH(AD22)=11,IF(IFERROR(CHOOSE($A$3,INDEX('データ'!$B$880:$J$1244,MATCH(AD22,'データ'!$A$880:$A$1244,0),$A$2),INDEX('データ'!$L$880:$T$1244,MATCH(AD22,'データ'!$A$880:$A$1244,0),$A$2),INDEX('データ'!$V$880:$AD$1244,MATCH(AD22,'データ'!$A$880:$A$1244,0),$A$2)),0)=0,"",CHOOSE($A$3,INDEX('データ'!$B$880:$J$1244,MATCH(AD22,'データ'!$A$880:$A$1244,0),$A$2),INDEX('データ'!$L$880:$T$1244,MATCH(AD22,'データ'!$A$880:$A$1244,0),$A$2),INDEX('データ'!$V$880:$AD$1244,MATCH(AD22,'データ'!$A$880:$A$1244,0),$A$2))),"")</f>
        <v/>
      </c>
      <c r="AE23" s="59">
        <f>IF(MONTH(AE22)=11,IF(IFERROR(CHOOSE($A$3,INDEX('データ'!$B$880:$J$1244,MATCH(AE22,'データ'!$A$880:$A$1244,0),$A$2),INDEX('データ'!$L$880:$T$1244,MATCH(AE22,'データ'!$A$880:$A$1244,0),$A$2),INDEX('データ'!$V$880:$AD$1244,MATCH(AE22,'データ'!$A$880:$A$1244,0),$A$2)),0)=0,"",CHOOSE($A$3,INDEX('データ'!$B$880:$J$1244,MATCH(AE22,'データ'!$A$880:$A$1244,0),$A$2),INDEX('データ'!$L$880:$T$1244,MATCH(AE22,'データ'!$A$880:$A$1244,0),$A$2),INDEX('データ'!$V$880:$AD$1244,MATCH(AE22,'データ'!$A$880:$A$1244,0),$A$2))),"")</f>
        <v/>
      </c>
      <c r="AF23" s="59">
        <f>IF(MONTH(AF22)=11,IF(IFERROR(CHOOSE($A$3,INDEX('データ'!$B$880:$J$1244,MATCH(AF22,'データ'!$A$880:$A$1244,0),$A$2),INDEX('データ'!$L$880:$T$1244,MATCH(AF22,'データ'!$A$880:$A$1244,0),$A$2),INDEX('データ'!$V$880:$AD$1244,MATCH(AF22,'データ'!$A$880:$A$1244,0),$A$2)),0)=0,"",CHOOSE($A$3,INDEX('データ'!$B$880:$J$1244,MATCH(AF22,'データ'!$A$880:$A$1244,0),$A$2),INDEX('データ'!$L$880:$T$1244,MATCH(AF22,'データ'!$A$880:$A$1244,0),$A$2),INDEX('データ'!$V$880:$AD$1244,MATCH(AF22,'データ'!$A$880:$A$1244,0),$A$2))),"")</f>
        <v/>
      </c>
    </row>
    <row r="24" spans="2:32" ht="13" customHeight="1">
      <c r="B24" s="58">
        <f>DATE(2025,8,1)-WEEKDAY(DATE(2025,8,1),2)+8</f>
        <v>45873</v>
      </c>
      <c r="C24" s="58">
        <f>DATE(2025,8,1)-WEEKDAY(DATE(2025,8,1),2)+9</f>
        <v>45874</v>
      </c>
      <c r="D24" s="58">
        <f>DATE(2025,8,1)-WEEKDAY(DATE(2025,8,1),2)+10</f>
        <v>45875</v>
      </c>
      <c r="E24" s="58">
        <f>DATE(2025,8,1)-WEEKDAY(DATE(2025,8,1),2)+11</f>
        <v>45876</v>
      </c>
      <c r="F24" s="58">
        <f>DATE(2025,8,1)-WEEKDAY(DATE(2025,8,1),2)+12</f>
        <v>45877</v>
      </c>
      <c r="G24" s="58">
        <f>DATE(2025,8,1)-WEEKDAY(DATE(2025,8,1),2)+13</f>
        <v>45878</v>
      </c>
      <c r="H24" s="58">
        <f>DATE(2025,8,1)-WEEKDAY(DATE(2025,8,1),2)+14</f>
        <v>45879</v>
      </c>
      <c r="J24" s="58">
        <f>DATE(2025,9,1)-WEEKDAY(DATE(2025,9,1),2)+8</f>
        <v>45908</v>
      </c>
      <c r="K24" s="58">
        <f>DATE(2025,9,1)-WEEKDAY(DATE(2025,9,1),2)+9</f>
        <v>45909</v>
      </c>
      <c r="L24" s="58">
        <f>DATE(2025,9,1)-WEEKDAY(DATE(2025,9,1),2)+10</f>
        <v>45910</v>
      </c>
      <c r="M24" s="58">
        <f>DATE(2025,9,1)-WEEKDAY(DATE(2025,9,1),2)+11</f>
        <v>45911</v>
      </c>
      <c r="N24" s="58">
        <f>DATE(2025,9,1)-WEEKDAY(DATE(2025,9,1),2)+12</f>
        <v>45912</v>
      </c>
      <c r="O24" s="58">
        <f>DATE(2025,9,1)-WEEKDAY(DATE(2025,9,1),2)+13</f>
        <v>45913</v>
      </c>
      <c r="P24" s="58">
        <f>DATE(2025,9,1)-WEEKDAY(DATE(2025,9,1),2)+14</f>
        <v>45914</v>
      </c>
      <c r="R24" s="58">
        <f>DATE(2025,10,1)-WEEKDAY(DATE(2025,10,1),2)+8</f>
        <v>45936</v>
      </c>
      <c r="S24" s="58">
        <f>DATE(2025,10,1)-WEEKDAY(DATE(2025,10,1),2)+9</f>
        <v>45937</v>
      </c>
      <c r="T24" s="58">
        <f>DATE(2025,10,1)-WEEKDAY(DATE(2025,10,1),2)+10</f>
        <v>45938</v>
      </c>
      <c r="U24" s="58">
        <f>DATE(2025,10,1)-WEEKDAY(DATE(2025,10,1),2)+11</f>
        <v>45939</v>
      </c>
      <c r="V24" s="58">
        <f>DATE(2025,10,1)-WEEKDAY(DATE(2025,10,1),2)+12</f>
        <v>45940</v>
      </c>
      <c r="W24" s="58">
        <f>DATE(2025,10,1)-WEEKDAY(DATE(2025,10,1),2)+13</f>
        <v>45941</v>
      </c>
      <c r="X24" s="58">
        <f>DATE(2025,10,1)-WEEKDAY(DATE(2025,10,1),2)+14</f>
        <v>45942</v>
      </c>
      <c r="Z24" s="58">
        <f>DATE(2025,11,1)-WEEKDAY(DATE(2025,11,1),2)+8</f>
        <v>45964</v>
      </c>
      <c r="AA24" s="58">
        <f>DATE(2025,11,1)-WEEKDAY(DATE(2025,11,1),2)+9</f>
        <v>45965</v>
      </c>
      <c r="AB24" s="58">
        <f>DATE(2025,11,1)-WEEKDAY(DATE(2025,11,1),2)+10</f>
        <v>45966</v>
      </c>
      <c r="AC24" s="58">
        <f>DATE(2025,11,1)-WEEKDAY(DATE(2025,11,1),2)+11</f>
        <v>45967</v>
      </c>
      <c r="AD24" s="58">
        <f>DATE(2025,11,1)-WEEKDAY(DATE(2025,11,1),2)+12</f>
        <v>45968</v>
      </c>
      <c r="AE24" s="58">
        <f>DATE(2025,11,1)-WEEKDAY(DATE(2025,11,1),2)+13</f>
        <v>45969</v>
      </c>
      <c r="AF24" s="58">
        <f>DATE(2025,11,1)-WEEKDAY(DATE(2025,11,1),2)+14</f>
        <v>45970</v>
      </c>
    </row>
    <row r="25" spans="2:32" ht="21" customHeight="1">
      <c r="B25" s="59">
        <f>IF(MONTH(B24)=8,IF(IFERROR(CHOOSE($A$3,INDEX('データ'!$B$880:$J$1244,MATCH(B24,'データ'!$A$880:$A$1244,0),$A$2),INDEX('データ'!$L$880:$T$1244,MATCH(B24,'データ'!$A$880:$A$1244,0),$A$2),INDEX('データ'!$V$880:$AD$1244,MATCH(B24,'データ'!$A$880:$A$1244,0),$A$2)),0)=0,"",CHOOSE($A$3,INDEX('データ'!$B$880:$J$1244,MATCH(B24,'データ'!$A$880:$A$1244,0),$A$2),INDEX('データ'!$L$880:$T$1244,MATCH(B24,'データ'!$A$880:$A$1244,0),$A$2),INDEX('データ'!$V$880:$AD$1244,MATCH(B24,'データ'!$A$880:$A$1244,0),$A$2))),"")</f>
        <v>3262</v>
      </c>
      <c r="C25" s="59">
        <f>IF(MONTH(C24)=8,IF(IFERROR(CHOOSE($A$3,INDEX('データ'!$B$880:$J$1244,MATCH(C24,'データ'!$A$880:$A$1244,0),$A$2),INDEX('データ'!$L$880:$T$1244,MATCH(C24,'データ'!$A$880:$A$1244,0),$A$2),INDEX('データ'!$V$880:$AD$1244,MATCH(C24,'データ'!$A$880:$A$1244,0),$A$2)),0)=0,"",CHOOSE($A$3,INDEX('データ'!$B$880:$J$1244,MATCH(C24,'データ'!$A$880:$A$1244,0),$A$2),INDEX('データ'!$L$880:$T$1244,MATCH(C24,'データ'!$A$880:$A$1244,0),$A$2),INDEX('データ'!$V$880:$AD$1244,MATCH(C24,'データ'!$A$880:$A$1244,0),$A$2))),"")</f>
        <v>2902</v>
      </c>
      <c r="D25" s="59">
        <f>IF(MONTH(D24)=8,IF(IFERROR(CHOOSE($A$3,INDEX('データ'!$B$880:$J$1244,MATCH(D24,'データ'!$A$880:$A$1244,0),$A$2),INDEX('データ'!$L$880:$T$1244,MATCH(D24,'データ'!$A$880:$A$1244,0),$A$2),INDEX('データ'!$V$880:$AD$1244,MATCH(D24,'データ'!$A$880:$A$1244,0),$A$2)),0)=0,"",CHOOSE($A$3,INDEX('データ'!$B$880:$J$1244,MATCH(D24,'データ'!$A$880:$A$1244,0),$A$2),INDEX('データ'!$L$880:$T$1244,MATCH(D24,'データ'!$A$880:$A$1244,0),$A$2),INDEX('データ'!$V$880:$AD$1244,MATCH(D24,'データ'!$A$880:$A$1244,0),$A$2))),"")</f>
        <v/>
      </c>
      <c r="E25" s="59">
        <f>IF(MONTH(E24)=8,IF(IFERROR(CHOOSE($A$3,INDEX('データ'!$B$880:$J$1244,MATCH(E24,'データ'!$A$880:$A$1244,0),$A$2),INDEX('データ'!$L$880:$T$1244,MATCH(E24,'データ'!$A$880:$A$1244,0),$A$2),INDEX('データ'!$V$880:$AD$1244,MATCH(E24,'データ'!$A$880:$A$1244,0),$A$2)),0)=0,"",CHOOSE($A$3,INDEX('データ'!$B$880:$J$1244,MATCH(E24,'データ'!$A$880:$A$1244,0),$A$2),INDEX('データ'!$L$880:$T$1244,MATCH(E24,'データ'!$A$880:$A$1244,0),$A$2),INDEX('データ'!$V$880:$AD$1244,MATCH(E24,'データ'!$A$880:$A$1244,0),$A$2))),"")</f>
        <v>3722</v>
      </c>
      <c r="F25" s="59">
        <f>IF(MONTH(F24)=8,IF(IFERROR(CHOOSE($A$3,INDEX('データ'!$B$880:$J$1244,MATCH(F24,'データ'!$A$880:$A$1244,0),$A$2),INDEX('データ'!$L$880:$T$1244,MATCH(F24,'データ'!$A$880:$A$1244,0),$A$2),INDEX('データ'!$V$880:$AD$1244,MATCH(F24,'データ'!$A$880:$A$1244,0),$A$2)),0)=0,"",CHOOSE($A$3,INDEX('データ'!$B$880:$J$1244,MATCH(F24,'データ'!$A$880:$A$1244,0),$A$2),INDEX('データ'!$L$880:$T$1244,MATCH(F24,'データ'!$A$880:$A$1244,0),$A$2),INDEX('データ'!$V$880:$AD$1244,MATCH(F24,'データ'!$A$880:$A$1244,0),$A$2))),"")</f>
        <v>3400</v>
      </c>
      <c r="G25" s="59">
        <f>IF(MONTH(G24)=8,IF(IFERROR(CHOOSE($A$3,INDEX('データ'!$B$880:$J$1244,MATCH(G24,'データ'!$A$880:$A$1244,0),$A$2),INDEX('データ'!$L$880:$T$1244,MATCH(G24,'データ'!$A$880:$A$1244,0),$A$2),INDEX('データ'!$V$880:$AD$1244,MATCH(G24,'データ'!$A$880:$A$1244,0),$A$2)),0)=0,"",CHOOSE($A$3,INDEX('データ'!$B$880:$J$1244,MATCH(G24,'データ'!$A$880:$A$1244,0),$A$2),INDEX('データ'!$L$880:$T$1244,MATCH(G24,'データ'!$A$880:$A$1244,0),$A$2),INDEX('データ'!$V$880:$AD$1244,MATCH(G24,'データ'!$A$880:$A$1244,0),$A$2))),"")</f>
        <v/>
      </c>
      <c r="H25" s="59">
        <f>IF(MONTH(H24)=8,IF(IFERROR(CHOOSE($A$3,INDEX('データ'!$B$880:$J$1244,MATCH(H24,'データ'!$A$880:$A$1244,0),$A$2),INDEX('データ'!$L$880:$T$1244,MATCH(H24,'データ'!$A$880:$A$1244,0),$A$2),INDEX('データ'!$V$880:$AD$1244,MATCH(H24,'データ'!$A$880:$A$1244,0),$A$2)),0)=0,"",CHOOSE($A$3,INDEX('データ'!$B$880:$J$1244,MATCH(H24,'データ'!$A$880:$A$1244,0),$A$2),INDEX('データ'!$L$880:$T$1244,MATCH(H24,'データ'!$A$880:$A$1244,0),$A$2),INDEX('データ'!$V$880:$AD$1244,MATCH(H24,'データ'!$A$880:$A$1244,0),$A$2))),"")</f>
        <v/>
      </c>
      <c r="J25" s="59">
        <f>IF(MONTH(J24)=9,IF(IFERROR(CHOOSE($A$3,INDEX('データ'!$B$880:$J$1244,MATCH(J24,'データ'!$A$880:$A$1244,0),$A$2),INDEX('データ'!$L$880:$T$1244,MATCH(J24,'データ'!$A$880:$A$1244,0),$A$2),INDEX('データ'!$V$880:$AD$1244,MATCH(J24,'データ'!$A$880:$A$1244,0),$A$2)),0)=0,"",CHOOSE($A$3,INDEX('データ'!$B$880:$J$1244,MATCH(J24,'データ'!$A$880:$A$1244,0),$A$2),INDEX('データ'!$L$880:$T$1244,MATCH(J24,'データ'!$A$880:$A$1244,0),$A$2),INDEX('データ'!$V$880:$AD$1244,MATCH(J24,'データ'!$A$880:$A$1244,0),$A$2))),"")</f>
        <v>3051</v>
      </c>
      <c r="K25" s="59">
        <f>IF(MONTH(K24)=9,IF(IFERROR(CHOOSE($A$3,INDEX('データ'!$B$880:$J$1244,MATCH(K24,'データ'!$A$880:$A$1244,0),$A$2),INDEX('データ'!$L$880:$T$1244,MATCH(K24,'データ'!$A$880:$A$1244,0),$A$2),INDEX('データ'!$V$880:$AD$1244,MATCH(K24,'データ'!$A$880:$A$1244,0),$A$2)),0)=0,"",CHOOSE($A$3,INDEX('データ'!$B$880:$J$1244,MATCH(K24,'データ'!$A$880:$A$1244,0),$A$2),INDEX('データ'!$L$880:$T$1244,MATCH(K24,'データ'!$A$880:$A$1244,0),$A$2),INDEX('データ'!$V$880:$AD$1244,MATCH(K24,'データ'!$A$880:$A$1244,0),$A$2))),"")</f>
        <v>2772</v>
      </c>
      <c r="L25" s="59">
        <f>IF(MONTH(L24)=9,IF(IFERROR(CHOOSE($A$3,INDEX('データ'!$B$880:$J$1244,MATCH(L24,'データ'!$A$880:$A$1244,0),$A$2),INDEX('データ'!$L$880:$T$1244,MATCH(L24,'データ'!$A$880:$A$1244,0),$A$2),INDEX('データ'!$V$880:$AD$1244,MATCH(L24,'データ'!$A$880:$A$1244,0),$A$2)),0)=0,"",CHOOSE($A$3,INDEX('データ'!$B$880:$J$1244,MATCH(L24,'データ'!$A$880:$A$1244,0),$A$2),INDEX('データ'!$L$880:$T$1244,MATCH(L24,'データ'!$A$880:$A$1244,0),$A$2),INDEX('データ'!$V$880:$AD$1244,MATCH(L24,'データ'!$A$880:$A$1244,0),$A$2))),"")</f>
        <v>2348</v>
      </c>
      <c r="M25" s="59">
        <f>IF(MONTH(M24)=9,IF(IFERROR(CHOOSE($A$3,INDEX('データ'!$B$880:$J$1244,MATCH(M24,'データ'!$A$880:$A$1244,0),$A$2),INDEX('データ'!$L$880:$T$1244,MATCH(M24,'データ'!$A$880:$A$1244,0),$A$2),INDEX('データ'!$V$880:$AD$1244,MATCH(M24,'データ'!$A$880:$A$1244,0),$A$2)),0)=0,"",CHOOSE($A$3,INDEX('データ'!$B$880:$J$1244,MATCH(M24,'データ'!$A$880:$A$1244,0),$A$2),INDEX('データ'!$L$880:$T$1244,MATCH(M24,'データ'!$A$880:$A$1244,0),$A$2),INDEX('データ'!$V$880:$AD$1244,MATCH(M24,'データ'!$A$880:$A$1244,0),$A$2))),"")</f>
        <v>2644</v>
      </c>
      <c r="N25" s="59">
        <f>IF(MONTH(N24)=9,IF(IFERROR(CHOOSE($A$3,INDEX('データ'!$B$880:$J$1244,MATCH(N24,'データ'!$A$880:$A$1244,0),$A$2),INDEX('データ'!$L$880:$T$1244,MATCH(N24,'データ'!$A$880:$A$1244,0),$A$2),INDEX('データ'!$V$880:$AD$1244,MATCH(N24,'データ'!$A$880:$A$1244,0),$A$2)),0)=0,"",CHOOSE($A$3,INDEX('データ'!$B$880:$J$1244,MATCH(N24,'データ'!$A$880:$A$1244,0),$A$2),INDEX('データ'!$L$880:$T$1244,MATCH(N24,'データ'!$A$880:$A$1244,0),$A$2),INDEX('データ'!$V$880:$AD$1244,MATCH(N24,'データ'!$A$880:$A$1244,0),$A$2))),"")</f>
        <v>2877</v>
      </c>
      <c r="O25" s="59">
        <f>IF(MONTH(O24)=9,IF(IFERROR(CHOOSE($A$3,INDEX('データ'!$B$880:$J$1244,MATCH(O24,'データ'!$A$880:$A$1244,0),$A$2),INDEX('データ'!$L$880:$T$1244,MATCH(O24,'データ'!$A$880:$A$1244,0),$A$2),INDEX('データ'!$V$880:$AD$1244,MATCH(O24,'データ'!$A$880:$A$1244,0),$A$2)),0)=0,"",CHOOSE($A$3,INDEX('データ'!$B$880:$J$1244,MATCH(O24,'データ'!$A$880:$A$1244,0),$A$2),INDEX('データ'!$L$880:$T$1244,MATCH(O24,'データ'!$A$880:$A$1244,0),$A$2),INDEX('データ'!$V$880:$AD$1244,MATCH(O24,'データ'!$A$880:$A$1244,0),$A$2))),"")</f>
        <v/>
      </c>
      <c r="P25" s="59">
        <f>IF(MONTH(P24)=9,IF(IFERROR(CHOOSE($A$3,INDEX('データ'!$B$880:$J$1244,MATCH(P24,'データ'!$A$880:$A$1244,0),$A$2),INDEX('データ'!$L$880:$T$1244,MATCH(P24,'データ'!$A$880:$A$1244,0),$A$2),INDEX('データ'!$V$880:$AD$1244,MATCH(P24,'データ'!$A$880:$A$1244,0),$A$2)),0)=0,"",CHOOSE($A$3,INDEX('データ'!$B$880:$J$1244,MATCH(P24,'データ'!$A$880:$A$1244,0),$A$2),INDEX('データ'!$L$880:$T$1244,MATCH(P24,'データ'!$A$880:$A$1244,0),$A$2),INDEX('データ'!$V$880:$AD$1244,MATCH(P24,'データ'!$A$880:$A$1244,0),$A$2))),"")</f>
        <v>449</v>
      </c>
      <c r="R25" s="59">
        <f>IF(MONTH(R24)=10,IF(IFERROR(CHOOSE($A$3,INDEX('データ'!$B$880:$J$1244,MATCH(R24,'データ'!$A$880:$A$1244,0),$A$2),INDEX('データ'!$L$880:$T$1244,MATCH(R24,'データ'!$A$880:$A$1244,0),$A$2),INDEX('データ'!$V$880:$AD$1244,MATCH(R24,'データ'!$A$880:$A$1244,0),$A$2)),0)=0,"",CHOOSE($A$3,INDEX('データ'!$B$880:$J$1244,MATCH(R24,'データ'!$A$880:$A$1244,0),$A$2),INDEX('データ'!$L$880:$T$1244,MATCH(R24,'データ'!$A$880:$A$1244,0),$A$2),INDEX('データ'!$V$880:$AD$1244,MATCH(R24,'データ'!$A$880:$A$1244,0),$A$2))),"")</f>
        <v>3685</v>
      </c>
      <c r="S25" s="59">
        <f>IF(MONTH(S24)=10,IF(IFERROR(CHOOSE($A$3,INDEX('データ'!$B$880:$J$1244,MATCH(S24,'データ'!$A$880:$A$1244,0),$A$2),INDEX('データ'!$L$880:$T$1244,MATCH(S24,'データ'!$A$880:$A$1244,0),$A$2),INDEX('データ'!$V$880:$AD$1244,MATCH(S24,'データ'!$A$880:$A$1244,0),$A$2)),0)=0,"",CHOOSE($A$3,INDEX('データ'!$B$880:$J$1244,MATCH(S24,'データ'!$A$880:$A$1244,0),$A$2),INDEX('データ'!$L$880:$T$1244,MATCH(S24,'データ'!$A$880:$A$1244,0),$A$2),INDEX('データ'!$V$880:$AD$1244,MATCH(S24,'データ'!$A$880:$A$1244,0),$A$2))),"")</f>
        <v>2962</v>
      </c>
      <c r="T25" s="59">
        <f>IF(MONTH(T24)=10,IF(IFERROR(CHOOSE($A$3,INDEX('データ'!$B$880:$J$1244,MATCH(T24,'データ'!$A$880:$A$1244,0),$A$2),INDEX('データ'!$L$880:$T$1244,MATCH(T24,'データ'!$A$880:$A$1244,0),$A$2),INDEX('データ'!$V$880:$AD$1244,MATCH(T24,'データ'!$A$880:$A$1244,0),$A$2)),0)=0,"",CHOOSE($A$3,INDEX('データ'!$B$880:$J$1244,MATCH(T24,'データ'!$A$880:$A$1244,0),$A$2),INDEX('データ'!$L$880:$T$1244,MATCH(T24,'データ'!$A$880:$A$1244,0),$A$2),INDEX('データ'!$V$880:$AD$1244,MATCH(T24,'データ'!$A$880:$A$1244,0),$A$2))),"")</f>
        <v>3082</v>
      </c>
      <c r="U25" s="59">
        <f>IF(MONTH(U24)=10,IF(IFERROR(CHOOSE($A$3,INDEX('データ'!$B$880:$J$1244,MATCH(U24,'データ'!$A$880:$A$1244,0),$A$2),INDEX('データ'!$L$880:$T$1244,MATCH(U24,'データ'!$A$880:$A$1244,0),$A$2),INDEX('データ'!$V$880:$AD$1244,MATCH(U24,'データ'!$A$880:$A$1244,0),$A$2)),0)=0,"",CHOOSE($A$3,INDEX('データ'!$B$880:$J$1244,MATCH(U24,'データ'!$A$880:$A$1244,0),$A$2),INDEX('データ'!$L$880:$T$1244,MATCH(U24,'データ'!$A$880:$A$1244,0),$A$2),INDEX('データ'!$V$880:$AD$1244,MATCH(U24,'データ'!$A$880:$A$1244,0),$A$2))),"")</f>
        <v>2702</v>
      </c>
      <c r="V25" s="59">
        <f>IF(MONTH(V24)=10,IF(IFERROR(CHOOSE($A$3,INDEX('データ'!$B$880:$J$1244,MATCH(V24,'データ'!$A$880:$A$1244,0),$A$2),INDEX('データ'!$L$880:$T$1244,MATCH(V24,'データ'!$A$880:$A$1244,0),$A$2),INDEX('データ'!$V$880:$AD$1244,MATCH(V24,'データ'!$A$880:$A$1244,0),$A$2)),0)=0,"",CHOOSE($A$3,INDEX('データ'!$B$880:$J$1244,MATCH(V24,'データ'!$A$880:$A$1244,0),$A$2),INDEX('データ'!$L$880:$T$1244,MATCH(V24,'データ'!$A$880:$A$1244,0),$A$2),INDEX('データ'!$V$880:$AD$1244,MATCH(V24,'データ'!$A$880:$A$1244,0),$A$2))),"")</f>
        <v>3095</v>
      </c>
      <c r="W25" s="59">
        <f>IF(MONTH(W24)=10,IF(IFERROR(CHOOSE($A$3,INDEX('データ'!$B$880:$J$1244,MATCH(W24,'データ'!$A$880:$A$1244,0),$A$2),INDEX('データ'!$L$880:$T$1244,MATCH(W24,'データ'!$A$880:$A$1244,0),$A$2),INDEX('データ'!$V$880:$AD$1244,MATCH(W24,'データ'!$A$880:$A$1244,0),$A$2)),0)=0,"",CHOOSE($A$3,INDEX('データ'!$B$880:$J$1244,MATCH(W24,'データ'!$A$880:$A$1244,0),$A$2),INDEX('データ'!$L$880:$T$1244,MATCH(W24,'データ'!$A$880:$A$1244,0),$A$2),INDEX('データ'!$V$880:$AD$1244,MATCH(W24,'データ'!$A$880:$A$1244,0),$A$2))),"")</f>
        <v/>
      </c>
      <c r="X25" s="59">
        <f>IF(MONTH(X24)=10,IF(IFERROR(CHOOSE($A$3,INDEX('データ'!$B$880:$J$1244,MATCH(X24,'データ'!$A$880:$A$1244,0),$A$2),INDEX('データ'!$L$880:$T$1244,MATCH(X24,'データ'!$A$880:$A$1244,0),$A$2),INDEX('データ'!$V$880:$AD$1244,MATCH(X24,'データ'!$A$880:$A$1244,0),$A$2)),0)=0,"",CHOOSE($A$3,INDEX('データ'!$B$880:$J$1244,MATCH(X24,'データ'!$A$880:$A$1244,0),$A$2),INDEX('データ'!$L$880:$T$1244,MATCH(X24,'データ'!$A$880:$A$1244,0),$A$2),INDEX('データ'!$V$880:$AD$1244,MATCH(X24,'データ'!$A$880:$A$1244,0),$A$2))),"")</f>
        <v/>
      </c>
      <c r="Z25" s="59">
        <f>IF(MONTH(Z24)=11,IF(IFERROR(CHOOSE($A$3,INDEX('データ'!$B$880:$J$1244,MATCH(Z24,'データ'!$A$880:$A$1244,0),$A$2),INDEX('データ'!$L$880:$T$1244,MATCH(Z24,'データ'!$A$880:$A$1244,0),$A$2),INDEX('データ'!$V$880:$AD$1244,MATCH(Z24,'データ'!$A$880:$A$1244,0),$A$2)),0)=0,"",CHOOSE($A$3,INDEX('データ'!$B$880:$J$1244,MATCH(Z24,'データ'!$A$880:$A$1244,0),$A$2),INDEX('データ'!$L$880:$T$1244,MATCH(Z24,'データ'!$A$880:$A$1244,0),$A$2),INDEX('データ'!$V$880:$AD$1244,MATCH(Z24,'データ'!$A$880:$A$1244,0),$A$2))),"")</f>
        <v/>
      </c>
      <c r="AA25" s="59">
        <f>IF(MONTH(AA24)=11,IF(IFERROR(CHOOSE($A$3,INDEX('データ'!$B$880:$J$1244,MATCH(AA24,'データ'!$A$880:$A$1244,0),$A$2),INDEX('データ'!$L$880:$T$1244,MATCH(AA24,'データ'!$A$880:$A$1244,0),$A$2),INDEX('データ'!$V$880:$AD$1244,MATCH(AA24,'データ'!$A$880:$A$1244,0),$A$2)),0)=0,"",CHOOSE($A$3,INDEX('データ'!$B$880:$J$1244,MATCH(AA24,'データ'!$A$880:$A$1244,0),$A$2),INDEX('データ'!$L$880:$T$1244,MATCH(AA24,'データ'!$A$880:$A$1244,0),$A$2),INDEX('データ'!$V$880:$AD$1244,MATCH(AA24,'データ'!$A$880:$A$1244,0),$A$2))),"")</f>
        <v>3114</v>
      </c>
      <c r="AB25" s="59">
        <f>IF(MONTH(AB24)=11,IF(IFERROR(CHOOSE($A$3,INDEX('データ'!$B$880:$J$1244,MATCH(AB24,'データ'!$A$880:$A$1244,0),$A$2),INDEX('データ'!$L$880:$T$1244,MATCH(AB24,'データ'!$A$880:$A$1244,0),$A$2),INDEX('データ'!$V$880:$AD$1244,MATCH(AB24,'データ'!$A$880:$A$1244,0),$A$2)),0)=0,"",CHOOSE($A$3,INDEX('データ'!$B$880:$J$1244,MATCH(AB24,'データ'!$A$880:$A$1244,0),$A$2),INDEX('データ'!$L$880:$T$1244,MATCH(AB24,'データ'!$A$880:$A$1244,0),$A$2),INDEX('データ'!$V$880:$AD$1244,MATCH(AB24,'データ'!$A$880:$A$1244,0),$A$2))),"")</f>
        <v>2925</v>
      </c>
      <c r="AC25" s="59">
        <f>IF(MONTH(AC24)=11,IF(IFERROR(CHOOSE($A$3,INDEX('データ'!$B$880:$J$1244,MATCH(AC24,'データ'!$A$880:$A$1244,0),$A$2),INDEX('データ'!$L$880:$T$1244,MATCH(AC24,'データ'!$A$880:$A$1244,0),$A$2),INDEX('データ'!$V$880:$AD$1244,MATCH(AC24,'データ'!$A$880:$A$1244,0),$A$2)),0)=0,"",CHOOSE($A$3,INDEX('データ'!$B$880:$J$1244,MATCH(AC24,'データ'!$A$880:$A$1244,0),$A$2),INDEX('データ'!$L$880:$T$1244,MATCH(AC24,'データ'!$A$880:$A$1244,0),$A$2),INDEX('データ'!$V$880:$AD$1244,MATCH(AC24,'データ'!$A$880:$A$1244,0),$A$2))),"")</f>
        <v>2669</v>
      </c>
      <c r="AD25" s="59">
        <f>IF(MONTH(AD24)=11,IF(IFERROR(CHOOSE($A$3,INDEX('データ'!$B$880:$J$1244,MATCH(AD24,'データ'!$A$880:$A$1244,0),$A$2),INDEX('データ'!$L$880:$T$1244,MATCH(AD24,'データ'!$A$880:$A$1244,0),$A$2),INDEX('データ'!$V$880:$AD$1244,MATCH(AD24,'データ'!$A$880:$A$1244,0),$A$2)),0)=0,"",CHOOSE($A$3,INDEX('データ'!$B$880:$J$1244,MATCH(AD24,'データ'!$A$880:$A$1244,0),$A$2),INDEX('データ'!$L$880:$T$1244,MATCH(AD24,'データ'!$A$880:$A$1244,0),$A$2),INDEX('データ'!$V$880:$AD$1244,MATCH(AD24,'データ'!$A$880:$A$1244,0),$A$2))),"")</f>
        <v>2659</v>
      </c>
      <c r="AE25" s="59">
        <f>IF(MONTH(AE24)=11,IF(IFERROR(CHOOSE($A$3,INDEX('データ'!$B$880:$J$1244,MATCH(AE24,'データ'!$A$880:$A$1244,0),$A$2),INDEX('データ'!$L$880:$T$1244,MATCH(AE24,'データ'!$A$880:$A$1244,0),$A$2),INDEX('データ'!$V$880:$AD$1244,MATCH(AE24,'データ'!$A$880:$A$1244,0),$A$2)),0)=0,"",CHOOSE($A$3,INDEX('データ'!$B$880:$J$1244,MATCH(AE24,'データ'!$A$880:$A$1244,0),$A$2),INDEX('データ'!$L$880:$T$1244,MATCH(AE24,'データ'!$A$880:$A$1244,0),$A$2),INDEX('データ'!$V$880:$AD$1244,MATCH(AE24,'データ'!$A$880:$A$1244,0),$A$2))),"")</f>
        <v/>
      </c>
      <c r="AF25" s="59">
        <f>IF(MONTH(AF24)=11,IF(IFERROR(CHOOSE($A$3,INDEX('データ'!$B$880:$J$1244,MATCH(AF24,'データ'!$A$880:$A$1244,0),$A$2),INDEX('データ'!$L$880:$T$1244,MATCH(AF24,'データ'!$A$880:$A$1244,0),$A$2),INDEX('データ'!$V$880:$AD$1244,MATCH(AF24,'データ'!$A$880:$A$1244,0),$A$2)),0)=0,"",CHOOSE($A$3,INDEX('データ'!$B$880:$J$1244,MATCH(AF24,'データ'!$A$880:$A$1244,0),$A$2),INDEX('データ'!$L$880:$T$1244,MATCH(AF24,'データ'!$A$880:$A$1244,0),$A$2),INDEX('データ'!$V$880:$AD$1244,MATCH(AF24,'データ'!$A$880:$A$1244,0),$A$2))),"")</f>
        <v>133</v>
      </c>
    </row>
    <row r="26" spans="2:32" ht="13" customHeight="1">
      <c r="B26" s="58">
        <f>DATE(2025,8,1)-WEEKDAY(DATE(2025,8,1),2)+15</f>
        <v>45880</v>
      </c>
      <c r="C26" s="58">
        <f>DATE(2025,8,1)-WEEKDAY(DATE(2025,8,1),2)+16</f>
        <v>45881</v>
      </c>
      <c r="D26" s="58">
        <f>DATE(2025,8,1)-WEEKDAY(DATE(2025,8,1),2)+17</f>
        <v>45882</v>
      </c>
      <c r="E26" s="58">
        <f>DATE(2025,8,1)-WEEKDAY(DATE(2025,8,1),2)+18</f>
        <v>45883</v>
      </c>
      <c r="F26" s="58">
        <f>DATE(2025,8,1)-WEEKDAY(DATE(2025,8,1),2)+19</f>
        <v>45884</v>
      </c>
      <c r="G26" s="58">
        <f>DATE(2025,8,1)-WEEKDAY(DATE(2025,8,1),2)+20</f>
        <v>45885</v>
      </c>
      <c r="H26" s="58">
        <f>DATE(2025,8,1)-WEEKDAY(DATE(2025,8,1),2)+21</f>
        <v>45886</v>
      </c>
      <c r="J26" s="58">
        <f>DATE(2025,9,1)-WEEKDAY(DATE(2025,9,1),2)+15</f>
        <v>45915</v>
      </c>
      <c r="K26" s="58">
        <f>DATE(2025,9,1)-WEEKDAY(DATE(2025,9,1),2)+16</f>
        <v>45916</v>
      </c>
      <c r="L26" s="58">
        <f>DATE(2025,9,1)-WEEKDAY(DATE(2025,9,1),2)+17</f>
        <v>45917</v>
      </c>
      <c r="M26" s="58">
        <f>DATE(2025,9,1)-WEEKDAY(DATE(2025,9,1),2)+18</f>
        <v>45918</v>
      </c>
      <c r="N26" s="58">
        <f>DATE(2025,9,1)-WEEKDAY(DATE(2025,9,1),2)+19</f>
        <v>45919</v>
      </c>
      <c r="O26" s="58">
        <f>DATE(2025,9,1)-WEEKDAY(DATE(2025,9,1),2)+20</f>
        <v>45920</v>
      </c>
      <c r="P26" s="58">
        <f>DATE(2025,9,1)-WEEKDAY(DATE(2025,9,1),2)+21</f>
        <v>45921</v>
      </c>
      <c r="R26" s="58">
        <f>DATE(2025,10,1)-WEEKDAY(DATE(2025,10,1),2)+15</f>
        <v>45943</v>
      </c>
      <c r="S26" s="58">
        <f>DATE(2025,10,1)-WEEKDAY(DATE(2025,10,1),2)+16</f>
        <v>45944</v>
      </c>
      <c r="T26" s="58">
        <f>DATE(2025,10,1)-WEEKDAY(DATE(2025,10,1),2)+17</f>
        <v>45945</v>
      </c>
      <c r="U26" s="58">
        <f>DATE(2025,10,1)-WEEKDAY(DATE(2025,10,1),2)+18</f>
        <v>45946</v>
      </c>
      <c r="V26" s="58">
        <f>DATE(2025,10,1)-WEEKDAY(DATE(2025,10,1),2)+19</f>
        <v>45947</v>
      </c>
      <c r="W26" s="58">
        <f>DATE(2025,10,1)-WEEKDAY(DATE(2025,10,1),2)+20</f>
        <v>45948</v>
      </c>
      <c r="X26" s="58">
        <f>DATE(2025,10,1)-WEEKDAY(DATE(2025,10,1),2)+21</f>
        <v>45949</v>
      </c>
      <c r="Z26" s="58">
        <f>DATE(2025,11,1)-WEEKDAY(DATE(2025,11,1),2)+15</f>
        <v>45971</v>
      </c>
      <c r="AA26" s="58">
        <f>DATE(2025,11,1)-WEEKDAY(DATE(2025,11,1),2)+16</f>
        <v>45972</v>
      </c>
      <c r="AB26" s="58">
        <f>DATE(2025,11,1)-WEEKDAY(DATE(2025,11,1),2)+17</f>
        <v>45973</v>
      </c>
      <c r="AC26" s="58">
        <f>DATE(2025,11,1)-WEEKDAY(DATE(2025,11,1),2)+18</f>
        <v>45974</v>
      </c>
      <c r="AD26" s="58">
        <f>DATE(2025,11,1)-WEEKDAY(DATE(2025,11,1),2)+19</f>
        <v>45975</v>
      </c>
      <c r="AE26" s="58">
        <f>DATE(2025,11,1)-WEEKDAY(DATE(2025,11,1),2)+20</f>
        <v>45976</v>
      </c>
      <c r="AF26" s="58">
        <f>DATE(2025,11,1)-WEEKDAY(DATE(2025,11,1),2)+21</f>
        <v>45977</v>
      </c>
    </row>
    <row r="27" spans="2:32" ht="21" customHeight="1">
      <c r="B27" s="59">
        <f>IF(MONTH(B26)=8,IF(IFERROR(CHOOSE($A$3,INDEX('データ'!$B$880:$J$1244,MATCH(B26,'データ'!$A$880:$A$1244,0),$A$2),INDEX('データ'!$L$880:$T$1244,MATCH(B26,'データ'!$A$880:$A$1244,0),$A$2),INDEX('データ'!$V$880:$AD$1244,MATCH(B26,'データ'!$A$880:$A$1244,0),$A$2)),0)=0,"",CHOOSE($A$3,INDEX('データ'!$B$880:$J$1244,MATCH(B26,'データ'!$A$880:$A$1244,0),$A$2),INDEX('データ'!$L$880:$T$1244,MATCH(B26,'データ'!$A$880:$A$1244,0),$A$2),INDEX('データ'!$V$880:$AD$1244,MATCH(B26,'データ'!$A$880:$A$1244,0),$A$2))),"")</f>
        <v/>
      </c>
      <c r="C27" s="59">
        <f>IF(MONTH(C26)=8,IF(IFERROR(CHOOSE($A$3,INDEX('データ'!$B$880:$J$1244,MATCH(C26,'データ'!$A$880:$A$1244,0),$A$2),INDEX('データ'!$L$880:$T$1244,MATCH(C26,'データ'!$A$880:$A$1244,0),$A$2),INDEX('データ'!$V$880:$AD$1244,MATCH(C26,'データ'!$A$880:$A$1244,0),$A$2)),0)=0,"",CHOOSE($A$3,INDEX('データ'!$B$880:$J$1244,MATCH(C26,'データ'!$A$880:$A$1244,0),$A$2),INDEX('データ'!$L$880:$T$1244,MATCH(C26,'データ'!$A$880:$A$1244,0),$A$2),INDEX('データ'!$V$880:$AD$1244,MATCH(C26,'データ'!$A$880:$A$1244,0),$A$2))),"")</f>
        <v>4680</v>
      </c>
      <c r="D27" s="59">
        <f>IF(MONTH(D26)=8,IF(IFERROR(CHOOSE($A$3,INDEX('データ'!$B$880:$J$1244,MATCH(D26,'データ'!$A$880:$A$1244,0),$A$2),INDEX('データ'!$L$880:$T$1244,MATCH(D26,'データ'!$A$880:$A$1244,0),$A$2),INDEX('データ'!$V$880:$AD$1244,MATCH(D26,'データ'!$A$880:$A$1244,0),$A$2)),0)=0,"",CHOOSE($A$3,INDEX('データ'!$B$880:$J$1244,MATCH(D26,'データ'!$A$880:$A$1244,0),$A$2),INDEX('データ'!$L$880:$T$1244,MATCH(D26,'データ'!$A$880:$A$1244,0),$A$2),INDEX('データ'!$V$880:$AD$1244,MATCH(D26,'データ'!$A$880:$A$1244,0),$A$2))),"")</f>
        <v>3501</v>
      </c>
      <c r="E27" s="59">
        <f>IF(MONTH(E26)=8,IF(IFERROR(CHOOSE($A$3,INDEX('データ'!$B$880:$J$1244,MATCH(E26,'データ'!$A$880:$A$1244,0),$A$2),INDEX('データ'!$L$880:$T$1244,MATCH(E26,'データ'!$A$880:$A$1244,0),$A$2),INDEX('データ'!$V$880:$AD$1244,MATCH(E26,'データ'!$A$880:$A$1244,0),$A$2)),0)=0,"",CHOOSE($A$3,INDEX('データ'!$B$880:$J$1244,MATCH(E26,'データ'!$A$880:$A$1244,0),$A$2),INDEX('データ'!$L$880:$T$1244,MATCH(E26,'データ'!$A$880:$A$1244,0),$A$2),INDEX('データ'!$V$880:$AD$1244,MATCH(E26,'データ'!$A$880:$A$1244,0),$A$2))),"")</f>
        <v>2970</v>
      </c>
      <c r="F27" s="59">
        <f>IF(MONTH(F26)=8,IF(IFERROR(CHOOSE($A$3,INDEX('データ'!$B$880:$J$1244,MATCH(F26,'データ'!$A$880:$A$1244,0),$A$2),INDEX('データ'!$L$880:$T$1244,MATCH(F26,'データ'!$A$880:$A$1244,0),$A$2),INDEX('データ'!$V$880:$AD$1244,MATCH(F26,'データ'!$A$880:$A$1244,0),$A$2)),0)=0,"",CHOOSE($A$3,INDEX('データ'!$B$880:$J$1244,MATCH(F26,'データ'!$A$880:$A$1244,0),$A$2),INDEX('データ'!$L$880:$T$1244,MATCH(F26,'データ'!$A$880:$A$1244,0),$A$2),INDEX('データ'!$V$880:$AD$1244,MATCH(F26,'データ'!$A$880:$A$1244,0),$A$2))),"")</f>
        <v>3005</v>
      </c>
      <c r="G27" s="59">
        <f>IF(MONTH(G26)=8,IF(IFERROR(CHOOSE($A$3,INDEX('データ'!$B$880:$J$1244,MATCH(G26,'データ'!$A$880:$A$1244,0),$A$2),INDEX('データ'!$L$880:$T$1244,MATCH(G26,'データ'!$A$880:$A$1244,0),$A$2),INDEX('データ'!$V$880:$AD$1244,MATCH(G26,'データ'!$A$880:$A$1244,0),$A$2)),0)=0,"",CHOOSE($A$3,INDEX('データ'!$B$880:$J$1244,MATCH(G26,'データ'!$A$880:$A$1244,0),$A$2),INDEX('データ'!$L$880:$T$1244,MATCH(G26,'データ'!$A$880:$A$1244,0),$A$2),INDEX('データ'!$V$880:$AD$1244,MATCH(G26,'データ'!$A$880:$A$1244,0),$A$2))),"")</f>
        <v/>
      </c>
      <c r="H27" s="59">
        <f>IF(MONTH(H26)=8,IF(IFERROR(CHOOSE($A$3,INDEX('データ'!$B$880:$J$1244,MATCH(H26,'データ'!$A$880:$A$1244,0),$A$2),INDEX('データ'!$L$880:$T$1244,MATCH(H26,'データ'!$A$880:$A$1244,0),$A$2),INDEX('データ'!$V$880:$AD$1244,MATCH(H26,'データ'!$A$880:$A$1244,0),$A$2)),0)=0,"",CHOOSE($A$3,INDEX('データ'!$B$880:$J$1244,MATCH(H26,'データ'!$A$880:$A$1244,0),$A$2),INDEX('データ'!$L$880:$T$1244,MATCH(H26,'データ'!$A$880:$A$1244,0),$A$2),INDEX('データ'!$V$880:$AD$1244,MATCH(H26,'データ'!$A$880:$A$1244,0),$A$2))),"")</f>
        <v/>
      </c>
      <c r="J27" s="59">
        <f>IF(MONTH(J26)=9,IF(IFERROR(CHOOSE($A$3,INDEX('データ'!$B$880:$J$1244,MATCH(J26,'データ'!$A$880:$A$1244,0),$A$2),INDEX('データ'!$L$880:$T$1244,MATCH(J26,'データ'!$A$880:$A$1244,0),$A$2),INDEX('データ'!$V$880:$AD$1244,MATCH(J26,'データ'!$A$880:$A$1244,0),$A$2)),0)=0,"",CHOOSE($A$3,INDEX('データ'!$B$880:$J$1244,MATCH(J26,'データ'!$A$880:$A$1244,0),$A$2),INDEX('データ'!$L$880:$T$1244,MATCH(J26,'データ'!$A$880:$A$1244,0),$A$2),INDEX('データ'!$V$880:$AD$1244,MATCH(J26,'データ'!$A$880:$A$1244,0),$A$2))),"")</f>
        <v/>
      </c>
      <c r="K27" s="59">
        <f>IF(MONTH(K26)=9,IF(IFERROR(CHOOSE($A$3,INDEX('データ'!$B$880:$J$1244,MATCH(K26,'データ'!$A$880:$A$1244,0),$A$2),INDEX('データ'!$L$880:$T$1244,MATCH(K26,'データ'!$A$880:$A$1244,0),$A$2),INDEX('データ'!$V$880:$AD$1244,MATCH(K26,'データ'!$A$880:$A$1244,0),$A$2)),0)=0,"",CHOOSE($A$3,INDEX('データ'!$B$880:$J$1244,MATCH(K26,'データ'!$A$880:$A$1244,0),$A$2),INDEX('データ'!$L$880:$T$1244,MATCH(K26,'データ'!$A$880:$A$1244,0),$A$2),INDEX('データ'!$V$880:$AD$1244,MATCH(K26,'データ'!$A$880:$A$1244,0),$A$2))),"")</f>
        <v>3200</v>
      </c>
      <c r="L27" s="59">
        <f>IF(MONTH(L26)=9,IF(IFERROR(CHOOSE($A$3,INDEX('データ'!$B$880:$J$1244,MATCH(L26,'データ'!$A$880:$A$1244,0),$A$2),INDEX('データ'!$L$880:$T$1244,MATCH(L26,'データ'!$A$880:$A$1244,0),$A$2),INDEX('データ'!$V$880:$AD$1244,MATCH(L26,'データ'!$A$880:$A$1244,0),$A$2)),0)=0,"",CHOOSE($A$3,INDEX('データ'!$B$880:$J$1244,MATCH(L26,'データ'!$A$880:$A$1244,0),$A$2),INDEX('データ'!$L$880:$T$1244,MATCH(L26,'データ'!$A$880:$A$1244,0),$A$2),INDEX('データ'!$V$880:$AD$1244,MATCH(L26,'データ'!$A$880:$A$1244,0),$A$2))),"")</f>
        <v>2959</v>
      </c>
      <c r="M27" s="59">
        <f>IF(MONTH(M26)=9,IF(IFERROR(CHOOSE($A$3,INDEX('データ'!$B$880:$J$1244,MATCH(M26,'データ'!$A$880:$A$1244,0),$A$2),INDEX('データ'!$L$880:$T$1244,MATCH(M26,'データ'!$A$880:$A$1244,0),$A$2),INDEX('データ'!$V$880:$AD$1244,MATCH(M26,'データ'!$A$880:$A$1244,0),$A$2)),0)=0,"",CHOOSE($A$3,INDEX('データ'!$B$880:$J$1244,MATCH(M26,'データ'!$A$880:$A$1244,0),$A$2),INDEX('データ'!$L$880:$T$1244,MATCH(M26,'データ'!$A$880:$A$1244,0),$A$2),INDEX('データ'!$V$880:$AD$1244,MATCH(M26,'データ'!$A$880:$A$1244,0),$A$2))),"")</f>
        <v>2462</v>
      </c>
      <c r="N27" s="59">
        <f>IF(MONTH(N26)=9,IF(IFERROR(CHOOSE($A$3,INDEX('データ'!$B$880:$J$1244,MATCH(N26,'データ'!$A$880:$A$1244,0),$A$2),INDEX('データ'!$L$880:$T$1244,MATCH(N26,'データ'!$A$880:$A$1244,0),$A$2),INDEX('データ'!$V$880:$AD$1244,MATCH(N26,'データ'!$A$880:$A$1244,0),$A$2)),0)=0,"",CHOOSE($A$3,INDEX('データ'!$B$880:$J$1244,MATCH(N26,'データ'!$A$880:$A$1244,0),$A$2),INDEX('データ'!$L$880:$T$1244,MATCH(N26,'データ'!$A$880:$A$1244,0),$A$2),INDEX('データ'!$V$880:$AD$1244,MATCH(N26,'データ'!$A$880:$A$1244,0),$A$2))),"")</f>
        <v>2853</v>
      </c>
      <c r="O27" s="59">
        <f>IF(MONTH(O26)=9,IF(IFERROR(CHOOSE($A$3,INDEX('データ'!$B$880:$J$1244,MATCH(O26,'データ'!$A$880:$A$1244,0),$A$2),INDEX('データ'!$L$880:$T$1244,MATCH(O26,'データ'!$A$880:$A$1244,0),$A$2),INDEX('データ'!$V$880:$AD$1244,MATCH(O26,'データ'!$A$880:$A$1244,0),$A$2)),0)=0,"",CHOOSE($A$3,INDEX('データ'!$B$880:$J$1244,MATCH(O26,'データ'!$A$880:$A$1244,0),$A$2),INDEX('データ'!$L$880:$T$1244,MATCH(O26,'データ'!$A$880:$A$1244,0),$A$2),INDEX('データ'!$V$880:$AD$1244,MATCH(O26,'データ'!$A$880:$A$1244,0),$A$2))),"")</f>
        <v/>
      </c>
      <c r="P27" s="59">
        <f>IF(MONTH(P26)=9,IF(IFERROR(CHOOSE($A$3,INDEX('データ'!$B$880:$J$1244,MATCH(P26,'データ'!$A$880:$A$1244,0),$A$2),INDEX('データ'!$L$880:$T$1244,MATCH(P26,'データ'!$A$880:$A$1244,0),$A$2),INDEX('データ'!$V$880:$AD$1244,MATCH(P26,'データ'!$A$880:$A$1244,0),$A$2)),0)=0,"",CHOOSE($A$3,INDEX('データ'!$B$880:$J$1244,MATCH(P26,'データ'!$A$880:$A$1244,0),$A$2),INDEX('データ'!$L$880:$T$1244,MATCH(P26,'データ'!$A$880:$A$1244,0),$A$2),INDEX('データ'!$V$880:$AD$1244,MATCH(P26,'データ'!$A$880:$A$1244,0),$A$2))),"")</f>
        <v/>
      </c>
      <c r="R27" s="59">
        <f>IF(MONTH(R26)=10,IF(IFERROR(CHOOSE($A$3,INDEX('データ'!$B$880:$J$1244,MATCH(R26,'データ'!$A$880:$A$1244,0),$A$2),INDEX('データ'!$L$880:$T$1244,MATCH(R26,'データ'!$A$880:$A$1244,0),$A$2),INDEX('データ'!$V$880:$AD$1244,MATCH(R26,'データ'!$A$880:$A$1244,0),$A$2)),0)=0,"",CHOOSE($A$3,INDEX('データ'!$B$880:$J$1244,MATCH(R26,'データ'!$A$880:$A$1244,0),$A$2),INDEX('データ'!$L$880:$T$1244,MATCH(R26,'データ'!$A$880:$A$1244,0),$A$2),INDEX('データ'!$V$880:$AD$1244,MATCH(R26,'データ'!$A$880:$A$1244,0),$A$2))),"")</f>
        <v/>
      </c>
      <c r="S27" s="59">
        <f>IF(MONTH(S26)=10,IF(IFERROR(CHOOSE($A$3,INDEX('データ'!$B$880:$J$1244,MATCH(S26,'データ'!$A$880:$A$1244,0),$A$2),INDEX('データ'!$L$880:$T$1244,MATCH(S26,'データ'!$A$880:$A$1244,0),$A$2),INDEX('データ'!$V$880:$AD$1244,MATCH(S26,'データ'!$A$880:$A$1244,0),$A$2)),0)=0,"",CHOOSE($A$3,INDEX('データ'!$B$880:$J$1244,MATCH(S26,'データ'!$A$880:$A$1244,0),$A$2),INDEX('データ'!$L$880:$T$1244,MATCH(S26,'データ'!$A$880:$A$1244,0),$A$2),INDEX('データ'!$V$880:$AD$1244,MATCH(S26,'データ'!$A$880:$A$1244,0),$A$2))),"")</f>
        <v>3242</v>
      </c>
      <c r="T27" s="59">
        <f>IF(MONTH(T26)=10,IF(IFERROR(CHOOSE($A$3,INDEX('データ'!$B$880:$J$1244,MATCH(T26,'データ'!$A$880:$A$1244,0),$A$2),INDEX('データ'!$L$880:$T$1244,MATCH(T26,'データ'!$A$880:$A$1244,0),$A$2),INDEX('データ'!$V$880:$AD$1244,MATCH(T26,'データ'!$A$880:$A$1244,0),$A$2)),0)=0,"",CHOOSE($A$3,INDEX('データ'!$B$880:$J$1244,MATCH(T26,'データ'!$A$880:$A$1244,0),$A$2),INDEX('データ'!$L$880:$T$1244,MATCH(T26,'データ'!$A$880:$A$1244,0),$A$2),INDEX('データ'!$V$880:$AD$1244,MATCH(T26,'データ'!$A$880:$A$1244,0),$A$2))),"")</f>
        <v>3159</v>
      </c>
      <c r="U27" s="59">
        <f>IF(MONTH(U26)=10,IF(IFERROR(CHOOSE($A$3,INDEX('データ'!$B$880:$J$1244,MATCH(U26,'データ'!$A$880:$A$1244,0),$A$2),INDEX('データ'!$L$880:$T$1244,MATCH(U26,'データ'!$A$880:$A$1244,0),$A$2),INDEX('データ'!$V$880:$AD$1244,MATCH(U26,'データ'!$A$880:$A$1244,0),$A$2)),0)=0,"",CHOOSE($A$3,INDEX('データ'!$B$880:$J$1244,MATCH(U26,'データ'!$A$880:$A$1244,0),$A$2),INDEX('データ'!$L$880:$T$1244,MATCH(U26,'データ'!$A$880:$A$1244,0),$A$2),INDEX('データ'!$V$880:$AD$1244,MATCH(U26,'データ'!$A$880:$A$1244,0),$A$2))),"")</f>
        <v>2797</v>
      </c>
      <c r="V27" s="59">
        <f>IF(MONTH(V26)=10,IF(IFERROR(CHOOSE($A$3,INDEX('データ'!$B$880:$J$1244,MATCH(V26,'データ'!$A$880:$A$1244,0),$A$2),INDEX('データ'!$L$880:$T$1244,MATCH(V26,'データ'!$A$880:$A$1244,0),$A$2),INDEX('データ'!$V$880:$AD$1244,MATCH(V26,'データ'!$A$880:$A$1244,0),$A$2)),0)=0,"",CHOOSE($A$3,INDEX('データ'!$B$880:$J$1244,MATCH(V26,'データ'!$A$880:$A$1244,0),$A$2),INDEX('データ'!$L$880:$T$1244,MATCH(V26,'データ'!$A$880:$A$1244,0),$A$2),INDEX('データ'!$V$880:$AD$1244,MATCH(V26,'データ'!$A$880:$A$1244,0),$A$2))),"")</f>
        <v>2916</v>
      </c>
      <c r="W27" s="59">
        <f>IF(MONTH(W26)=10,IF(IFERROR(CHOOSE($A$3,INDEX('データ'!$B$880:$J$1244,MATCH(W26,'データ'!$A$880:$A$1244,0),$A$2),INDEX('データ'!$L$880:$T$1244,MATCH(W26,'データ'!$A$880:$A$1244,0),$A$2),INDEX('データ'!$V$880:$AD$1244,MATCH(W26,'データ'!$A$880:$A$1244,0),$A$2)),0)=0,"",CHOOSE($A$3,INDEX('データ'!$B$880:$J$1244,MATCH(W26,'データ'!$A$880:$A$1244,0),$A$2),INDEX('データ'!$L$880:$T$1244,MATCH(W26,'データ'!$A$880:$A$1244,0),$A$2),INDEX('データ'!$V$880:$AD$1244,MATCH(W26,'データ'!$A$880:$A$1244,0),$A$2))),"")</f>
        <v/>
      </c>
      <c r="X27" s="59">
        <f>IF(MONTH(X26)=10,IF(IFERROR(CHOOSE($A$3,INDEX('データ'!$B$880:$J$1244,MATCH(X26,'データ'!$A$880:$A$1244,0),$A$2),INDEX('データ'!$L$880:$T$1244,MATCH(X26,'データ'!$A$880:$A$1244,0),$A$2),INDEX('データ'!$V$880:$AD$1244,MATCH(X26,'データ'!$A$880:$A$1244,0),$A$2)),0)=0,"",CHOOSE($A$3,INDEX('データ'!$B$880:$J$1244,MATCH(X26,'データ'!$A$880:$A$1244,0),$A$2),INDEX('データ'!$L$880:$T$1244,MATCH(X26,'データ'!$A$880:$A$1244,0),$A$2),INDEX('データ'!$V$880:$AD$1244,MATCH(X26,'データ'!$A$880:$A$1244,0),$A$2))),"")</f>
        <v/>
      </c>
      <c r="Z27" s="59">
        <f>IF(MONTH(Z26)=11,IF(IFERROR(CHOOSE($A$3,INDEX('データ'!$B$880:$J$1244,MATCH(Z26,'データ'!$A$880:$A$1244,0),$A$2),INDEX('データ'!$L$880:$T$1244,MATCH(Z26,'データ'!$A$880:$A$1244,0),$A$2),INDEX('データ'!$V$880:$AD$1244,MATCH(Z26,'データ'!$A$880:$A$1244,0),$A$2)),0)=0,"",CHOOSE($A$3,INDEX('データ'!$B$880:$J$1244,MATCH(Z26,'データ'!$A$880:$A$1244,0),$A$2),INDEX('データ'!$L$880:$T$1244,MATCH(Z26,'データ'!$A$880:$A$1244,0),$A$2),INDEX('データ'!$V$880:$AD$1244,MATCH(Z26,'データ'!$A$880:$A$1244,0),$A$2))),"")</f>
        <v>2945</v>
      </c>
      <c r="AA27" s="59">
        <f>IF(MONTH(AA26)=11,IF(IFERROR(CHOOSE($A$3,INDEX('データ'!$B$880:$J$1244,MATCH(AA26,'データ'!$A$880:$A$1244,0),$A$2),INDEX('データ'!$L$880:$T$1244,MATCH(AA26,'データ'!$A$880:$A$1244,0),$A$2),INDEX('データ'!$V$880:$AD$1244,MATCH(AA26,'データ'!$A$880:$A$1244,0),$A$2)),0)=0,"",CHOOSE($A$3,INDEX('データ'!$B$880:$J$1244,MATCH(AA26,'データ'!$A$880:$A$1244,0),$A$2),INDEX('データ'!$L$880:$T$1244,MATCH(AA26,'データ'!$A$880:$A$1244,0),$A$2),INDEX('データ'!$V$880:$AD$1244,MATCH(AA26,'データ'!$A$880:$A$1244,0),$A$2))),"")</f>
        <v>2566</v>
      </c>
      <c r="AB27" s="59">
        <f>IF(MONTH(AB26)=11,IF(IFERROR(CHOOSE($A$3,INDEX('データ'!$B$880:$J$1244,MATCH(AB26,'データ'!$A$880:$A$1244,0),$A$2),INDEX('データ'!$L$880:$T$1244,MATCH(AB26,'データ'!$A$880:$A$1244,0),$A$2),INDEX('データ'!$V$880:$AD$1244,MATCH(AB26,'データ'!$A$880:$A$1244,0),$A$2)),0)=0,"",CHOOSE($A$3,INDEX('データ'!$B$880:$J$1244,MATCH(AB26,'データ'!$A$880:$A$1244,0),$A$2),INDEX('データ'!$L$880:$T$1244,MATCH(AB26,'データ'!$A$880:$A$1244,0),$A$2),INDEX('データ'!$V$880:$AD$1244,MATCH(AB26,'データ'!$A$880:$A$1244,0),$A$2))),"")</f>
        <v>2398</v>
      </c>
      <c r="AC27" s="59">
        <f>IF(MONTH(AC26)=11,IF(IFERROR(CHOOSE($A$3,INDEX('データ'!$B$880:$J$1244,MATCH(AC26,'データ'!$A$880:$A$1244,0),$A$2),INDEX('データ'!$L$880:$T$1244,MATCH(AC26,'データ'!$A$880:$A$1244,0),$A$2),INDEX('データ'!$V$880:$AD$1244,MATCH(AC26,'データ'!$A$880:$A$1244,0),$A$2)),0)=0,"",CHOOSE($A$3,INDEX('データ'!$B$880:$J$1244,MATCH(AC26,'データ'!$A$880:$A$1244,0),$A$2),INDEX('データ'!$L$880:$T$1244,MATCH(AC26,'データ'!$A$880:$A$1244,0),$A$2),INDEX('データ'!$V$880:$AD$1244,MATCH(AC26,'データ'!$A$880:$A$1244,0),$A$2))),"")</f>
        <v>2297</v>
      </c>
      <c r="AD27" s="59">
        <f>IF(MONTH(AD26)=11,IF(IFERROR(CHOOSE($A$3,INDEX('データ'!$B$880:$J$1244,MATCH(AD26,'データ'!$A$880:$A$1244,0),$A$2),INDEX('データ'!$L$880:$T$1244,MATCH(AD26,'データ'!$A$880:$A$1244,0),$A$2),INDEX('データ'!$V$880:$AD$1244,MATCH(AD26,'データ'!$A$880:$A$1244,0),$A$2)),0)=0,"",CHOOSE($A$3,INDEX('データ'!$B$880:$J$1244,MATCH(AD26,'データ'!$A$880:$A$1244,0),$A$2),INDEX('データ'!$L$880:$T$1244,MATCH(AD26,'データ'!$A$880:$A$1244,0),$A$2),INDEX('データ'!$V$880:$AD$1244,MATCH(AD26,'データ'!$A$880:$A$1244,0),$A$2))),"")</f>
        <v>2569</v>
      </c>
      <c r="AE27" s="59">
        <f>IF(MONTH(AE26)=11,IF(IFERROR(CHOOSE($A$3,INDEX('データ'!$B$880:$J$1244,MATCH(AE26,'データ'!$A$880:$A$1244,0),$A$2),INDEX('データ'!$L$880:$T$1244,MATCH(AE26,'データ'!$A$880:$A$1244,0),$A$2),INDEX('データ'!$V$880:$AD$1244,MATCH(AE26,'データ'!$A$880:$A$1244,0),$A$2)),0)=0,"",CHOOSE($A$3,INDEX('データ'!$B$880:$J$1244,MATCH(AE26,'データ'!$A$880:$A$1244,0),$A$2),INDEX('データ'!$L$880:$T$1244,MATCH(AE26,'データ'!$A$880:$A$1244,0),$A$2),INDEX('データ'!$V$880:$AD$1244,MATCH(AE26,'データ'!$A$880:$A$1244,0),$A$2))),"")</f>
        <v/>
      </c>
      <c r="AF27" s="59">
        <f>IF(MONTH(AF26)=11,IF(IFERROR(CHOOSE($A$3,INDEX('データ'!$B$880:$J$1244,MATCH(AF26,'データ'!$A$880:$A$1244,0),$A$2),INDEX('データ'!$L$880:$T$1244,MATCH(AF26,'データ'!$A$880:$A$1244,0),$A$2),INDEX('データ'!$V$880:$AD$1244,MATCH(AF26,'データ'!$A$880:$A$1244,0),$A$2)),0)=0,"",CHOOSE($A$3,INDEX('データ'!$B$880:$J$1244,MATCH(AF26,'データ'!$A$880:$A$1244,0),$A$2),INDEX('データ'!$L$880:$T$1244,MATCH(AF26,'データ'!$A$880:$A$1244,0),$A$2),INDEX('データ'!$V$880:$AD$1244,MATCH(AF26,'データ'!$A$880:$A$1244,0),$A$2))),"")</f>
        <v/>
      </c>
    </row>
    <row r="28" spans="2:32" ht="13" customHeight="1">
      <c r="B28" s="58">
        <f>DATE(2025,8,1)-WEEKDAY(DATE(2025,8,1),2)+22</f>
        <v>45887</v>
      </c>
      <c r="C28" s="58">
        <f>DATE(2025,8,1)-WEEKDAY(DATE(2025,8,1),2)+23</f>
        <v>45888</v>
      </c>
      <c r="D28" s="58">
        <f>DATE(2025,8,1)-WEEKDAY(DATE(2025,8,1),2)+24</f>
        <v>45889</v>
      </c>
      <c r="E28" s="58">
        <f>DATE(2025,8,1)-WEEKDAY(DATE(2025,8,1),2)+25</f>
        <v>45890</v>
      </c>
      <c r="F28" s="58">
        <f>DATE(2025,8,1)-WEEKDAY(DATE(2025,8,1),2)+26</f>
        <v>45891</v>
      </c>
      <c r="G28" s="58">
        <f>DATE(2025,8,1)-WEEKDAY(DATE(2025,8,1),2)+27</f>
        <v>45892</v>
      </c>
      <c r="H28" s="58">
        <f>DATE(2025,8,1)-WEEKDAY(DATE(2025,8,1),2)+28</f>
        <v>45893</v>
      </c>
      <c r="J28" s="58">
        <f>DATE(2025,9,1)-WEEKDAY(DATE(2025,9,1),2)+22</f>
        <v>45922</v>
      </c>
      <c r="K28" s="58">
        <f>DATE(2025,9,1)-WEEKDAY(DATE(2025,9,1),2)+23</f>
        <v>45923</v>
      </c>
      <c r="L28" s="58">
        <f>DATE(2025,9,1)-WEEKDAY(DATE(2025,9,1),2)+24</f>
        <v>45924</v>
      </c>
      <c r="M28" s="58">
        <f>DATE(2025,9,1)-WEEKDAY(DATE(2025,9,1),2)+25</f>
        <v>45925</v>
      </c>
      <c r="N28" s="58">
        <f>DATE(2025,9,1)-WEEKDAY(DATE(2025,9,1),2)+26</f>
        <v>45926</v>
      </c>
      <c r="O28" s="58">
        <f>DATE(2025,9,1)-WEEKDAY(DATE(2025,9,1),2)+27</f>
        <v>45927</v>
      </c>
      <c r="P28" s="58">
        <f>DATE(2025,9,1)-WEEKDAY(DATE(2025,9,1),2)+28</f>
        <v>45928</v>
      </c>
      <c r="R28" s="58">
        <f>DATE(2025,10,1)-WEEKDAY(DATE(2025,10,1),2)+22</f>
        <v>45950</v>
      </c>
      <c r="S28" s="58">
        <f>DATE(2025,10,1)-WEEKDAY(DATE(2025,10,1),2)+23</f>
        <v>45951</v>
      </c>
      <c r="T28" s="58">
        <f>DATE(2025,10,1)-WEEKDAY(DATE(2025,10,1),2)+24</f>
        <v>45952</v>
      </c>
      <c r="U28" s="58">
        <f>DATE(2025,10,1)-WEEKDAY(DATE(2025,10,1),2)+25</f>
        <v>45953</v>
      </c>
      <c r="V28" s="58">
        <f>DATE(2025,10,1)-WEEKDAY(DATE(2025,10,1),2)+26</f>
        <v>45954</v>
      </c>
      <c r="W28" s="58">
        <f>DATE(2025,10,1)-WEEKDAY(DATE(2025,10,1),2)+27</f>
        <v>45955</v>
      </c>
      <c r="X28" s="58">
        <f>DATE(2025,10,1)-WEEKDAY(DATE(2025,10,1),2)+28</f>
        <v>45956</v>
      </c>
      <c r="Z28" s="58">
        <f>DATE(2025,11,1)-WEEKDAY(DATE(2025,11,1),2)+22</f>
        <v>45978</v>
      </c>
      <c r="AA28" s="58">
        <f>DATE(2025,11,1)-WEEKDAY(DATE(2025,11,1),2)+23</f>
        <v>45979</v>
      </c>
      <c r="AB28" s="58">
        <f>DATE(2025,11,1)-WEEKDAY(DATE(2025,11,1),2)+24</f>
        <v>45980</v>
      </c>
      <c r="AC28" s="58">
        <f>DATE(2025,11,1)-WEEKDAY(DATE(2025,11,1),2)+25</f>
        <v>45981</v>
      </c>
      <c r="AD28" s="58">
        <f>DATE(2025,11,1)-WEEKDAY(DATE(2025,11,1),2)+26</f>
        <v>45982</v>
      </c>
      <c r="AE28" s="58">
        <f>DATE(2025,11,1)-WEEKDAY(DATE(2025,11,1),2)+27</f>
        <v>45983</v>
      </c>
      <c r="AF28" s="58">
        <f>DATE(2025,11,1)-WEEKDAY(DATE(2025,11,1),2)+28</f>
        <v>45984</v>
      </c>
    </row>
    <row r="29" spans="2:32" ht="21" customHeight="1">
      <c r="B29" s="59">
        <f>IF(MONTH(B28)=8,IF(IFERROR(CHOOSE($A$3,INDEX('データ'!$B$880:$J$1244,MATCH(B28,'データ'!$A$880:$A$1244,0),$A$2),INDEX('データ'!$L$880:$T$1244,MATCH(B28,'データ'!$A$880:$A$1244,0),$A$2),INDEX('データ'!$V$880:$AD$1244,MATCH(B28,'データ'!$A$880:$A$1244,0),$A$2)),0)=0,"",CHOOSE($A$3,INDEX('データ'!$B$880:$J$1244,MATCH(B28,'データ'!$A$880:$A$1244,0),$A$2),INDEX('データ'!$L$880:$T$1244,MATCH(B28,'データ'!$A$880:$A$1244,0),$A$2),INDEX('データ'!$V$880:$AD$1244,MATCH(B28,'データ'!$A$880:$A$1244,0),$A$2))),"")</f>
        <v>3321</v>
      </c>
      <c r="C29" s="59">
        <f>IF(MONTH(C28)=8,IF(IFERROR(CHOOSE($A$3,INDEX('データ'!$B$880:$J$1244,MATCH(C28,'データ'!$A$880:$A$1244,0),$A$2),INDEX('データ'!$L$880:$T$1244,MATCH(C28,'データ'!$A$880:$A$1244,0),$A$2),INDEX('データ'!$V$880:$AD$1244,MATCH(C28,'データ'!$A$880:$A$1244,0),$A$2)),0)=0,"",CHOOSE($A$3,INDEX('データ'!$B$880:$J$1244,MATCH(C28,'データ'!$A$880:$A$1244,0),$A$2),INDEX('データ'!$L$880:$T$1244,MATCH(C28,'データ'!$A$880:$A$1244,0),$A$2),INDEX('データ'!$V$880:$AD$1244,MATCH(C28,'データ'!$A$880:$A$1244,0),$A$2))),"")</f>
        <v>2868</v>
      </c>
      <c r="D29" s="59">
        <f>IF(MONTH(D28)=8,IF(IFERROR(CHOOSE($A$3,INDEX('データ'!$B$880:$J$1244,MATCH(D28,'データ'!$A$880:$A$1244,0),$A$2),INDEX('データ'!$L$880:$T$1244,MATCH(D28,'データ'!$A$880:$A$1244,0),$A$2),INDEX('データ'!$V$880:$AD$1244,MATCH(D28,'データ'!$A$880:$A$1244,0),$A$2)),0)=0,"",CHOOSE($A$3,INDEX('データ'!$B$880:$J$1244,MATCH(D28,'データ'!$A$880:$A$1244,0),$A$2),INDEX('データ'!$L$880:$T$1244,MATCH(D28,'データ'!$A$880:$A$1244,0),$A$2),INDEX('データ'!$V$880:$AD$1244,MATCH(D28,'データ'!$A$880:$A$1244,0),$A$2))),"")</f>
        <v>2885</v>
      </c>
      <c r="E29" s="59">
        <f>IF(MONTH(E28)=8,IF(IFERROR(CHOOSE($A$3,INDEX('データ'!$B$880:$J$1244,MATCH(E28,'データ'!$A$880:$A$1244,0),$A$2),INDEX('データ'!$L$880:$T$1244,MATCH(E28,'データ'!$A$880:$A$1244,0),$A$2),INDEX('データ'!$V$880:$AD$1244,MATCH(E28,'データ'!$A$880:$A$1244,0),$A$2)),0)=0,"",CHOOSE($A$3,INDEX('データ'!$B$880:$J$1244,MATCH(E28,'データ'!$A$880:$A$1244,0),$A$2),INDEX('データ'!$L$880:$T$1244,MATCH(E28,'データ'!$A$880:$A$1244,0),$A$2),INDEX('データ'!$V$880:$AD$1244,MATCH(E28,'データ'!$A$880:$A$1244,0),$A$2))),"")</f>
        <v>2632</v>
      </c>
      <c r="F29" s="59">
        <f>IF(MONTH(F28)=8,IF(IFERROR(CHOOSE($A$3,INDEX('データ'!$B$880:$J$1244,MATCH(F28,'データ'!$A$880:$A$1244,0),$A$2),INDEX('データ'!$L$880:$T$1244,MATCH(F28,'データ'!$A$880:$A$1244,0),$A$2),INDEX('データ'!$V$880:$AD$1244,MATCH(F28,'データ'!$A$880:$A$1244,0),$A$2)),0)=0,"",CHOOSE($A$3,INDEX('データ'!$B$880:$J$1244,MATCH(F28,'データ'!$A$880:$A$1244,0),$A$2),INDEX('データ'!$L$880:$T$1244,MATCH(F28,'データ'!$A$880:$A$1244,0),$A$2),INDEX('データ'!$V$880:$AD$1244,MATCH(F28,'データ'!$A$880:$A$1244,0),$A$2))),"")</f>
        <v>2923</v>
      </c>
      <c r="G29" s="59">
        <f>IF(MONTH(G28)=8,IF(IFERROR(CHOOSE($A$3,INDEX('データ'!$B$880:$J$1244,MATCH(G28,'データ'!$A$880:$A$1244,0),$A$2),INDEX('データ'!$L$880:$T$1244,MATCH(G28,'データ'!$A$880:$A$1244,0),$A$2),INDEX('データ'!$V$880:$AD$1244,MATCH(G28,'データ'!$A$880:$A$1244,0),$A$2)),0)=0,"",CHOOSE($A$3,INDEX('データ'!$B$880:$J$1244,MATCH(G28,'データ'!$A$880:$A$1244,0),$A$2),INDEX('データ'!$L$880:$T$1244,MATCH(G28,'データ'!$A$880:$A$1244,0),$A$2),INDEX('データ'!$V$880:$AD$1244,MATCH(G28,'データ'!$A$880:$A$1244,0),$A$2))),"")</f>
        <v/>
      </c>
      <c r="H29" s="59">
        <f>IF(MONTH(H28)=8,IF(IFERROR(CHOOSE($A$3,INDEX('データ'!$B$880:$J$1244,MATCH(H28,'データ'!$A$880:$A$1244,0),$A$2),INDEX('データ'!$L$880:$T$1244,MATCH(H28,'データ'!$A$880:$A$1244,0),$A$2),INDEX('データ'!$V$880:$AD$1244,MATCH(H28,'データ'!$A$880:$A$1244,0),$A$2)),0)=0,"",CHOOSE($A$3,INDEX('データ'!$B$880:$J$1244,MATCH(H28,'データ'!$A$880:$A$1244,0),$A$2),INDEX('データ'!$L$880:$T$1244,MATCH(H28,'データ'!$A$880:$A$1244,0),$A$2),INDEX('データ'!$V$880:$AD$1244,MATCH(H28,'データ'!$A$880:$A$1244,0),$A$2))),"")</f>
        <v/>
      </c>
      <c r="J29" s="59">
        <f>IF(MONTH(J28)=9,IF(IFERROR(CHOOSE($A$3,INDEX('データ'!$B$880:$J$1244,MATCH(J28,'データ'!$A$880:$A$1244,0),$A$2),INDEX('データ'!$L$880:$T$1244,MATCH(J28,'データ'!$A$880:$A$1244,0),$A$2),INDEX('データ'!$V$880:$AD$1244,MATCH(J28,'データ'!$A$880:$A$1244,0),$A$2)),0)=0,"",CHOOSE($A$3,INDEX('データ'!$B$880:$J$1244,MATCH(J28,'データ'!$A$880:$A$1244,0),$A$2),INDEX('データ'!$L$880:$T$1244,MATCH(J28,'データ'!$A$880:$A$1244,0),$A$2),INDEX('データ'!$V$880:$AD$1244,MATCH(J28,'データ'!$A$880:$A$1244,0),$A$2))),"")</f>
        <v>4105</v>
      </c>
      <c r="K29" s="59">
        <f>IF(MONTH(K28)=9,IF(IFERROR(CHOOSE($A$3,INDEX('データ'!$B$880:$J$1244,MATCH(K28,'データ'!$A$880:$A$1244,0),$A$2),INDEX('データ'!$L$880:$T$1244,MATCH(K28,'データ'!$A$880:$A$1244,0),$A$2),INDEX('データ'!$V$880:$AD$1244,MATCH(K28,'データ'!$A$880:$A$1244,0),$A$2)),0)=0,"",CHOOSE($A$3,INDEX('データ'!$B$880:$J$1244,MATCH(K28,'データ'!$A$880:$A$1244,0),$A$2),INDEX('データ'!$L$880:$T$1244,MATCH(K28,'データ'!$A$880:$A$1244,0),$A$2),INDEX('データ'!$V$880:$AD$1244,MATCH(K28,'データ'!$A$880:$A$1244,0),$A$2))),"")</f>
        <v/>
      </c>
      <c r="L29" s="59">
        <f>IF(MONTH(L28)=9,IF(IFERROR(CHOOSE($A$3,INDEX('データ'!$B$880:$J$1244,MATCH(L28,'データ'!$A$880:$A$1244,0),$A$2),INDEX('データ'!$L$880:$T$1244,MATCH(L28,'データ'!$A$880:$A$1244,0),$A$2),INDEX('データ'!$V$880:$AD$1244,MATCH(L28,'データ'!$A$880:$A$1244,0),$A$2)),0)=0,"",CHOOSE($A$3,INDEX('データ'!$B$880:$J$1244,MATCH(L28,'データ'!$A$880:$A$1244,0),$A$2),INDEX('データ'!$L$880:$T$1244,MATCH(L28,'データ'!$A$880:$A$1244,0),$A$2),INDEX('データ'!$V$880:$AD$1244,MATCH(L28,'データ'!$A$880:$A$1244,0),$A$2))),"")</f>
        <v>3406</v>
      </c>
      <c r="M29" s="59">
        <f>IF(MONTH(M28)=9,IF(IFERROR(CHOOSE($A$3,INDEX('データ'!$B$880:$J$1244,MATCH(M28,'データ'!$A$880:$A$1244,0),$A$2),INDEX('データ'!$L$880:$T$1244,MATCH(M28,'データ'!$A$880:$A$1244,0),$A$2),INDEX('データ'!$V$880:$AD$1244,MATCH(M28,'データ'!$A$880:$A$1244,0),$A$2)),0)=0,"",CHOOSE($A$3,INDEX('データ'!$B$880:$J$1244,MATCH(M28,'データ'!$A$880:$A$1244,0),$A$2),INDEX('データ'!$L$880:$T$1244,MATCH(M28,'データ'!$A$880:$A$1244,0),$A$2),INDEX('データ'!$V$880:$AD$1244,MATCH(M28,'データ'!$A$880:$A$1244,0),$A$2))),"")</f>
        <v>2826</v>
      </c>
      <c r="N29" s="59">
        <f>IF(MONTH(N28)=9,IF(IFERROR(CHOOSE($A$3,INDEX('データ'!$B$880:$J$1244,MATCH(N28,'データ'!$A$880:$A$1244,0),$A$2),INDEX('データ'!$L$880:$T$1244,MATCH(N28,'データ'!$A$880:$A$1244,0),$A$2),INDEX('データ'!$V$880:$AD$1244,MATCH(N28,'データ'!$A$880:$A$1244,0),$A$2)),0)=0,"",CHOOSE($A$3,INDEX('データ'!$B$880:$J$1244,MATCH(N28,'データ'!$A$880:$A$1244,0),$A$2),INDEX('データ'!$L$880:$T$1244,MATCH(N28,'データ'!$A$880:$A$1244,0),$A$2),INDEX('データ'!$V$880:$AD$1244,MATCH(N28,'データ'!$A$880:$A$1244,0),$A$2))),"")</f>
        <v>3079</v>
      </c>
      <c r="O29" s="59">
        <f>IF(MONTH(O28)=9,IF(IFERROR(CHOOSE($A$3,INDEX('データ'!$B$880:$J$1244,MATCH(O28,'データ'!$A$880:$A$1244,0),$A$2),INDEX('データ'!$L$880:$T$1244,MATCH(O28,'データ'!$A$880:$A$1244,0),$A$2),INDEX('データ'!$V$880:$AD$1244,MATCH(O28,'データ'!$A$880:$A$1244,0),$A$2)),0)=0,"",CHOOSE($A$3,INDEX('データ'!$B$880:$J$1244,MATCH(O28,'データ'!$A$880:$A$1244,0),$A$2),INDEX('データ'!$L$880:$T$1244,MATCH(O28,'データ'!$A$880:$A$1244,0),$A$2),INDEX('データ'!$V$880:$AD$1244,MATCH(O28,'データ'!$A$880:$A$1244,0),$A$2))),"")</f>
        <v/>
      </c>
      <c r="P29" s="59">
        <f>IF(MONTH(P28)=9,IF(IFERROR(CHOOSE($A$3,INDEX('データ'!$B$880:$J$1244,MATCH(P28,'データ'!$A$880:$A$1244,0),$A$2),INDEX('データ'!$L$880:$T$1244,MATCH(P28,'データ'!$A$880:$A$1244,0),$A$2),INDEX('データ'!$V$880:$AD$1244,MATCH(P28,'データ'!$A$880:$A$1244,0),$A$2)),0)=0,"",CHOOSE($A$3,INDEX('データ'!$B$880:$J$1244,MATCH(P28,'データ'!$A$880:$A$1244,0),$A$2),INDEX('データ'!$L$880:$T$1244,MATCH(P28,'データ'!$A$880:$A$1244,0),$A$2),INDEX('データ'!$V$880:$AD$1244,MATCH(P28,'データ'!$A$880:$A$1244,0),$A$2))),"")</f>
        <v/>
      </c>
      <c r="R29" s="59">
        <f>IF(MONTH(R28)=10,IF(IFERROR(CHOOSE($A$3,INDEX('データ'!$B$880:$J$1244,MATCH(R28,'データ'!$A$880:$A$1244,0),$A$2),INDEX('データ'!$L$880:$T$1244,MATCH(R28,'データ'!$A$880:$A$1244,0),$A$2),INDEX('データ'!$V$880:$AD$1244,MATCH(R28,'データ'!$A$880:$A$1244,0),$A$2)),0)=0,"",CHOOSE($A$3,INDEX('データ'!$B$880:$J$1244,MATCH(R28,'データ'!$A$880:$A$1244,0),$A$2),INDEX('データ'!$L$880:$T$1244,MATCH(R28,'データ'!$A$880:$A$1244,0),$A$2),INDEX('データ'!$V$880:$AD$1244,MATCH(R28,'データ'!$A$880:$A$1244,0),$A$2))),"")</f>
        <v>3349</v>
      </c>
      <c r="S29" s="59">
        <f>IF(MONTH(S28)=10,IF(IFERROR(CHOOSE($A$3,INDEX('データ'!$B$880:$J$1244,MATCH(S28,'データ'!$A$880:$A$1244,0),$A$2),INDEX('データ'!$L$880:$T$1244,MATCH(S28,'データ'!$A$880:$A$1244,0),$A$2),INDEX('データ'!$V$880:$AD$1244,MATCH(S28,'データ'!$A$880:$A$1244,0),$A$2)),0)=0,"",CHOOSE($A$3,INDEX('データ'!$B$880:$J$1244,MATCH(S28,'データ'!$A$880:$A$1244,0),$A$2),INDEX('データ'!$L$880:$T$1244,MATCH(S28,'データ'!$A$880:$A$1244,0),$A$2),INDEX('データ'!$V$880:$AD$1244,MATCH(S28,'データ'!$A$880:$A$1244,0),$A$2))),"")</f>
        <v>2981</v>
      </c>
      <c r="T29" s="59">
        <f>IF(MONTH(T28)=10,IF(IFERROR(CHOOSE($A$3,INDEX('データ'!$B$880:$J$1244,MATCH(T28,'データ'!$A$880:$A$1244,0),$A$2),INDEX('データ'!$L$880:$T$1244,MATCH(T28,'データ'!$A$880:$A$1244,0),$A$2),INDEX('データ'!$V$880:$AD$1244,MATCH(T28,'データ'!$A$880:$A$1244,0),$A$2)),0)=0,"",CHOOSE($A$3,INDEX('データ'!$B$880:$J$1244,MATCH(T28,'データ'!$A$880:$A$1244,0),$A$2),INDEX('データ'!$L$880:$T$1244,MATCH(T28,'データ'!$A$880:$A$1244,0),$A$2),INDEX('データ'!$V$880:$AD$1244,MATCH(T28,'データ'!$A$880:$A$1244,0),$A$2))),"")</f>
        <v>2738</v>
      </c>
      <c r="U29" s="59">
        <f>IF(MONTH(U28)=10,IF(IFERROR(CHOOSE($A$3,INDEX('データ'!$B$880:$J$1244,MATCH(U28,'データ'!$A$880:$A$1244,0),$A$2),INDEX('データ'!$L$880:$T$1244,MATCH(U28,'データ'!$A$880:$A$1244,0),$A$2),INDEX('データ'!$V$880:$AD$1244,MATCH(U28,'データ'!$A$880:$A$1244,0),$A$2)),0)=0,"",CHOOSE($A$3,INDEX('データ'!$B$880:$J$1244,MATCH(U28,'データ'!$A$880:$A$1244,0),$A$2),INDEX('データ'!$L$880:$T$1244,MATCH(U28,'データ'!$A$880:$A$1244,0),$A$2),INDEX('データ'!$V$880:$AD$1244,MATCH(U28,'データ'!$A$880:$A$1244,0),$A$2))),"")</f>
        <v>2890</v>
      </c>
      <c r="V29" s="59">
        <f>IF(MONTH(V28)=10,IF(IFERROR(CHOOSE($A$3,INDEX('データ'!$B$880:$J$1244,MATCH(V28,'データ'!$A$880:$A$1244,0),$A$2),INDEX('データ'!$L$880:$T$1244,MATCH(V28,'データ'!$A$880:$A$1244,0),$A$2),INDEX('データ'!$V$880:$AD$1244,MATCH(V28,'データ'!$A$880:$A$1244,0),$A$2)),0)=0,"",CHOOSE($A$3,INDEX('データ'!$B$880:$J$1244,MATCH(V28,'データ'!$A$880:$A$1244,0),$A$2),INDEX('データ'!$L$880:$T$1244,MATCH(V28,'データ'!$A$880:$A$1244,0),$A$2),INDEX('データ'!$V$880:$AD$1244,MATCH(V28,'データ'!$A$880:$A$1244,0),$A$2))),"")</f>
        <v>3111</v>
      </c>
      <c r="W29" s="59">
        <f>IF(MONTH(W28)=10,IF(IFERROR(CHOOSE($A$3,INDEX('データ'!$B$880:$J$1244,MATCH(W28,'データ'!$A$880:$A$1244,0),$A$2),INDEX('データ'!$L$880:$T$1244,MATCH(W28,'データ'!$A$880:$A$1244,0),$A$2),INDEX('データ'!$V$880:$AD$1244,MATCH(W28,'データ'!$A$880:$A$1244,0),$A$2)),0)=0,"",CHOOSE($A$3,INDEX('データ'!$B$880:$J$1244,MATCH(W28,'データ'!$A$880:$A$1244,0),$A$2),INDEX('データ'!$L$880:$T$1244,MATCH(W28,'データ'!$A$880:$A$1244,0),$A$2),INDEX('データ'!$V$880:$AD$1244,MATCH(W28,'データ'!$A$880:$A$1244,0),$A$2))),"")</f>
        <v/>
      </c>
      <c r="X29" s="59">
        <f>IF(MONTH(X28)=10,IF(IFERROR(CHOOSE($A$3,INDEX('データ'!$B$880:$J$1244,MATCH(X28,'データ'!$A$880:$A$1244,0),$A$2),INDEX('データ'!$L$880:$T$1244,MATCH(X28,'データ'!$A$880:$A$1244,0),$A$2),INDEX('データ'!$V$880:$AD$1244,MATCH(X28,'データ'!$A$880:$A$1244,0),$A$2)),0)=0,"",CHOOSE($A$3,INDEX('データ'!$B$880:$J$1244,MATCH(X28,'データ'!$A$880:$A$1244,0),$A$2),INDEX('データ'!$L$880:$T$1244,MATCH(X28,'データ'!$A$880:$A$1244,0),$A$2),INDEX('データ'!$V$880:$AD$1244,MATCH(X28,'データ'!$A$880:$A$1244,0),$A$2))),"")</f>
        <v/>
      </c>
      <c r="Z29" s="59">
        <f>IF(MONTH(Z28)=11,IF(IFERROR(CHOOSE($A$3,INDEX('データ'!$B$880:$J$1244,MATCH(Z28,'データ'!$A$880:$A$1244,0),$A$2),INDEX('データ'!$L$880:$T$1244,MATCH(Z28,'データ'!$A$880:$A$1244,0),$A$2),INDEX('データ'!$V$880:$AD$1244,MATCH(Z28,'データ'!$A$880:$A$1244,0),$A$2)),0)=0,"",CHOOSE($A$3,INDEX('データ'!$B$880:$J$1244,MATCH(Z28,'データ'!$A$880:$A$1244,0),$A$2),INDEX('データ'!$L$880:$T$1244,MATCH(Z28,'データ'!$A$880:$A$1244,0),$A$2),INDEX('データ'!$V$880:$AD$1244,MATCH(Z28,'データ'!$A$880:$A$1244,0),$A$2))),"")</f>
        <v>3031</v>
      </c>
      <c r="AA29" s="59">
        <f>IF(MONTH(AA28)=11,IF(IFERROR(CHOOSE($A$3,INDEX('データ'!$B$880:$J$1244,MATCH(AA28,'データ'!$A$880:$A$1244,0),$A$2),INDEX('データ'!$L$880:$T$1244,MATCH(AA28,'データ'!$A$880:$A$1244,0),$A$2),INDEX('データ'!$V$880:$AD$1244,MATCH(AA28,'データ'!$A$880:$A$1244,0),$A$2)),0)=0,"",CHOOSE($A$3,INDEX('データ'!$B$880:$J$1244,MATCH(AA28,'データ'!$A$880:$A$1244,0),$A$2),INDEX('データ'!$L$880:$T$1244,MATCH(AA28,'データ'!$A$880:$A$1244,0),$A$2),INDEX('データ'!$V$880:$AD$1244,MATCH(AA28,'データ'!$A$880:$A$1244,0),$A$2))),"")</f>
        <v>2683</v>
      </c>
      <c r="AB29" s="59">
        <f>IF(MONTH(AB28)=11,IF(IFERROR(CHOOSE($A$3,INDEX('データ'!$B$880:$J$1244,MATCH(AB28,'データ'!$A$880:$A$1244,0),$A$2),INDEX('データ'!$L$880:$T$1244,MATCH(AB28,'データ'!$A$880:$A$1244,0),$A$2),INDEX('データ'!$V$880:$AD$1244,MATCH(AB28,'データ'!$A$880:$A$1244,0),$A$2)),0)=0,"",CHOOSE($A$3,INDEX('データ'!$B$880:$J$1244,MATCH(AB28,'データ'!$A$880:$A$1244,0),$A$2),INDEX('データ'!$L$880:$T$1244,MATCH(AB28,'データ'!$A$880:$A$1244,0),$A$2),INDEX('データ'!$V$880:$AD$1244,MATCH(AB28,'データ'!$A$880:$A$1244,0),$A$2))),"")</f>
        <v>2536</v>
      </c>
      <c r="AC29" s="59">
        <f>IF(MONTH(AC28)=11,IF(IFERROR(CHOOSE($A$3,INDEX('データ'!$B$880:$J$1244,MATCH(AC28,'データ'!$A$880:$A$1244,0),$A$2),INDEX('データ'!$L$880:$T$1244,MATCH(AC28,'データ'!$A$880:$A$1244,0),$A$2),INDEX('データ'!$V$880:$AD$1244,MATCH(AC28,'データ'!$A$880:$A$1244,0),$A$2)),0)=0,"",CHOOSE($A$3,INDEX('データ'!$B$880:$J$1244,MATCH(AC28,'データ'!$A$880:$A$1244,0),$A$2),INDEX('データ'!$L$880:$T$1244,MATCH(AC28,'データ'!$A$880:$A$1244,0),$A$2),INDEX('データ'!$V$880:$AD$1244,MATCH(AC28,'データ'!$A$880:$A$1244,0),$A$2))),"")</f>
        <v>2587</v>
      </c>
      <c r="AD29" s="59">
        <f>IF(MONTH(AD28)=11,IF(IFERROR(CHOOSE($A$3,INDEX('データ'!$B$880:$J$1244,MATCH(AD28,'データ'!$A$880:$A$1244,0),$A$2),INDEX('データ'!$L$880:$T$1244,MATCH(AD28,'データ'!$A$880:$A$1244,0),$A$2),INDEX('データ'!$V$880:$AD$1244,MATCH(AD28,'データ'!$A$880:$A$1244,0),$A$2)),0)=0,"",CHOOSE($A$3,INDEX('データ'!$B$880:$J$1244,MATCH(AD28,'データ'!$A$880:$A$1244,0),$A$2),INDEX('データ'!$L$880:$T$1244,MATCH(AD28,'データ'!$A$880:$A$1244,0),$A$2),INDEX('データ'!$V$880:$AD$1244,MATCH(AD28,'データ'!$A$880:$A$1244,0),$A$2))),"")</f>
        <v>2701</v>
      </c>
      <c r="AE29" s="59">
        <f>IF(MONTH(AE28)=11,IF(IFERROR(CHOOSE($A$3,INDEX('データ'!$B$880:$J$1244,MATCH(AE28,'データ'!$A$880:$A$1244,0),$A$2),INDEX('データ'!$L$880:$T$1244,MATCH(AE28,'データ'!$A$880:$A$1244,0),$A$2),INDEX('データ'!$V$880:$AD$1244,MATCH(AE28,'データ'!$A$880:$A$1244,0),$A$2)),0)=0,"",CHOOSE($A$3,INDEX('データ'!$B$880:$J$1244,MATCH(AE28,'データ'!$A$880:$A$1244,0),$A$2),INDEX('データ'!$L$880:$T$1244,MATCH(AE28,'データ'!$A$880:$A$1244,0),$A$2),INDEX('データ'!$V$880:$AD$1244,MATCH(AE28,'データ'!$A$880:$A$1244,0),$A$2))),"")</f>
        <v/>
      </c>
      <c r="AF29" s="59">
        <f>IF(MONTH(AF28)=11,IF(IFERROR(CHOOSE($A$3,INDEX('データ'!$B$880:$J$1244,MATCH(AF28,'データ'!$A$880:$A$1244,0),$A$2),INDEX('データ'!$L$880:$T$1244,MATCH(AF28,'データ'!$A$880:$A$1244,0),$A$2),INDEX('データ'!$V$880:$AD$1244,MATCH(AF28,'データ'!$A$880:$A$1244,0),$A$2)),0)=0,"",CHOOSE($A$3,INDEX('データ'!$B$880:$J$1244,MATCH(AF28,'データ'!$A$880:$A$1244,0),$A$2),INDEX('データ'!$L$880:$T$1244,MATCH(AF28,'データ'!$A$880:$A$1244,0),$A$2),INDEX('データ'!$V$880:$AD$1244,MATCH(AF28,'データ'!$A$880:$A$1244,0),$A$2))),"")</f>
        <v/>
      </c>
    </row>
    <row r="30" spans="2:32" ht="13" customHeight="1">
      <c r="B30" s="58">
        <f>DATE(2025,8,1)-WEEKDAY(DATE(2025,8,1),2)+29</f>
        <v>45894</v>
      </c>
      <c r="C30" s="58">
        <f>DATE(2025,8,1)-WEEKDAY(DATE(2025,8,1),2)+30</f>
        <v>45895</v>
      </c>
      <c r="D30" s="58">
        <f>DATE(2025,8,1)-WEEKDAY(DATE(2025,8,1),2)+31</f>
        <v>45896</v>
      </c>
      <c r="E30" s="58">
        <f>DATE(2025,8,1)-WEEKDAY(DATE(2025,8,1),2)+32</f>
        <v>45897</v>
      </c>
      <c r="F30" s="58">
        <f>DATE(2025,8,1)-WEEKDAY(DATE(2025,8,1),2)+33</f>
        <v>45898</v>
      </c>
      <c r="G30" s="58">
        <f>DATE(2025,8,1)-WEEKDAY(DATE(2025,8,1),2)+34</f>
        <v>45899</v>
      </c>
      <c r="H30" s="58">
        <f>DATE(2025,8,1)-WEEKDAY(DATE(2025,8,1),2)+35</f>
        <v>45900</v>
      </c>
      <c r="J30" s="58">
        <f>DATE(2025,9,1)-WEEKDAY(DATE(2025,9,1),2)+29</f>
        <v>45929</v>
      </c>
      <c r="K30" s="58">
        <f>DATE(2025,9,1)-WEEKDAY(DATE(2025,9,1),2)+30</f>
        <v>45930</v>
      </c>
      <c r="L30" s="58">
        <f>DATE(2025,9,1)-WEEKDAY(DATE(2025,9,1),2)+31</f>
        <v>45931</v>
      </c>
      <c r="M30" s="58">
        <f>DATE(2025,9,1)-WEEKDAY(DATE(2025,9,1),2)+32</f>
        <v>45932</v>
      </c>
      <c r="N30" s="58">
        <f>DATE(2025,9,1)-WEEKDAY(DATE(2025,9,1),2)+33</f>
        <v>45933</v>
      </c>
      <c r="O30" s="58">
        <f>DATE(2025,9,1)-WEEKDAY(DATE(2025,9,1),2)+34</f>
        <v>45934</v>
      </c>
      <c r="P30" s="58">
        <f>DATE(2025,9,1)-WEEKDAY(DATE(2025,9,1),2)+35</f>
        <v>45935</v>
      </c>
      <c r="R30" s="58">
        <f>DATE(2025,10,1)-WEEKDAY(DATE(2025,10,1),2)+29</f>
        <v>45957</v>
      </c>
      <c r="S30" s="58">
        <f>DATE(2025,10,1)-WEEKDAY(DATE(2025,10,1),2)+30</f>
        <v>45958</v>
      </c>
      <c r="T30" s="58">
        <f>DATE(2025,10,1)-WEEKDAY(DATE(2025,10,1),2)+31</f>
        <v>45959</v>
      </c>
      <c r="U30" s="58">
        <f>DATE(2025,10,1)-WEEKDAY(DATE(2025,10,1),2)+32</f>
        <v>45960</v>
      </c>
      <c r="V30" s="58">
        <f>DATE(2025,10,1)-WEEKDAY(DATE(2025,10,1),2)+33</f>
        <v>45961</v>
      </c>
      <c r="W30" s="58">
        <f>DATE(2025,10,1)-WEEKDAY(DATE(2025,10,1),2)+34</f>
        <v>45962</v>
      </c>
      <c r="X30" s="58">
        <f>DATE(2025,10,1)-WEEKDAY(DATE(2025,10,1),2)+35</f>
        <v>45963</v>
      </c>
      <c r="Z30" s="58">
        <f>DATE(2025,11,1)-WEEKDAY(DATE(2025,11,1),2)+29</f>
        <v>45985</v>
      </c>
      <c r="AA30" s="58">
        <f>DATE(2025,11,1)-WEEKDAY(DATE(2025,11,1),2)+30</f>
        <v>45986</v>
      </c>
      <c r="AB30" s="58">
        <f>DATE(2025,11,1)-WEEKDAY(DATE(2025,11,1),2)+31</f>
        <v>45987</v>
      </c>
      <c r="AC30" s="58">
        <f>DATE(2025,11,1)-WEEKDAY(DATE(2025,11,1),2)+32</f>
        <v>45988</v>
      </c>
      <c r="AD30" s="58">
        <f>DATE(2025,11,1)-WEEKDAY(DATE(2025,11,1),2)+33</f>
        <v>45989</v>
      </c>
      <c r="AE30" s="58">
        <f>DATE(2025,11,1)-WEEKDAY(DATE(2025,11,1),2)+34</f>
        <v>45990</v>
      </c>
      <c r="AF30" s="58">
        <f>DATE(2025,11,1)-WEEKDAY(DATE(2025,11,1),2)+35</f>
        <v>45991</v>
      </c>
    </row>
    <row r="31" spans="2:32" ht="21" customHeight="1">
      <c r="B31" s="59">
        <f>IF(MONTH(B30)=8,IF(IFERROR(CHOOSE($A$3,INDEX('データ'!$B$880:$J$1244,MATCH(B30,'データ'!$A$880:$A$1244,0),$A$2),INDEX('データ'!$L$880:$T$1244,MATCH(B30,'データ'!$A$880:$A$1244,0),$A$2),INDEX('データ'!$V$880:$AD$1244,MATCH(B30,'データ'!$A$880:$A$1244,0),$A$2)),0)=0,"",CHOOSE($A$3,INDEX('データ'!$B$880:$J$1244,MATCH(B30,'データ'!$A$880:$A$1244,0),$A$2),INDEX('データ'!$L$880:$T$1244,MATCH(B30,'データ'!$A$880:$A$1244,0),$A$2),INDEX('データ'!$V$880:$AD$1244,MATCH(B30,'データ'!$A$880:$A$1244,0),$A$2))),"")</f>
        <v>3401</v>
      </c>
      <c r="C31" s="59">
        <f>IF(MONTH(C30)=8,IF(IFERROR(CHOOSE($A$3,INDEX('データ'!$B$880:$J$1244,MATCH(C30,'データ'!$A$880:$A$1244,0),$A$2),INDEX('データ'!$L$880:$T$1244,MATCH(C30,'データ'!$A$880:$A$1244,0),$A$2),INDEX('データ'!$V$880:$AD$1244,MATCH(C30,'データ'!$A$880:$A$1244,0),$A$2)),0)=0,"",CHOOSE($A$3,INDEX('データ'!$B$880:$J$1244,MATCH(C30,'データ'!$A$880:$A$1244,0),$A$2),INDEX('データ'!$L$880:$T$1244,MATCH(C30,'データ'!$A$880:$A$1244,0),$A$2),INDEX('データ'!$V$880:$AD$1244,MATCH(C30,'データ'!$A$880:$A$1244,0),$A$2))),"")</f>
        <v>2830</v>
      </c>
      <c r="D31" s="59">
        <f>IF(MONTH(D30)=8,IF(IFERROR(CHOOSE($A$3,INDEX('データ'!$B$880:$J$1244,MATCH(D30,'データ'!$A$880:$A$1244,0),$A$2),INDEX('データ'!$L$880:$T$1244,MATCH(D30,'データ'!$A$880:$A$1244,0),$A$2),INDEX('データ'!$V$880:$AD$1244,MATCH(D30,'データ'!$A$880:$A$1244,0),$A$2)),0)=0,"",CHOOSE($A$3,INDEX('データ'!$B$880:$J$1244,MATCH(D30,'データ'!$A$880:$A$1244,0),$A$2),INDEX('データ'!$L$880:$T$1244,MATCH(D30,'データ'!$A$880:$A$1244,0),$A$2),INDEX('データ'!$V$880:$AD$1244,MATCH(D30,'データ'!$A$880:$A$1244,0),$A$2))),"")</f>
        <v>2902</v>
      </c>
      <c r="E31" s="59">
        <f>IF(MONTH(E30)=8,IF(IFERROR(CHOOSE($A$3,INDEX('データ'!$B$880:$J$1244,MATCH(E30,'データ'!$A$880:$A$1244,0),$A$2),INDEX('データ'!$L$880:$T$1244,MATCH(E30,'データ'!$A$880:$A$1244,0),$A$2),INDEX('データ'!$V$880:$AD$1244,MATCH(E30,'データ'!$A$880:$A$1244,0),$A$2)),0)=0,"",CHOOSE($A$3,INDEX('データ'!$B$880:$J$1244,MATCH(E30,'データ'!$A$880:$A$1244,0),$A$2),INDEX('データ'!$L$880:$T$1244,MATCH(E30,'データ'!$A$880:$A$1244,0),$A$2),INDEX('データ'!$V$880:$AD$1244,MATCH(E30,'データ'!$A$880:$A$1244,0),$A$2))),"")</f>
        <v>2733</v>
      </c>
      <c r="F31" s="59">
        <f>IF(MONTH(F30)=8,IF(IFERROR(CHOOSE($A$3,INDEX('データ'!$B$880:$J$1244,MATCH(F30,'データ'!$A$880:$A$1244,0),$A$2),INDEX('データ'!$L$880:$T$1244,MATCH(F30,'データ'!$A$880:$A$1244,0),$A$2),INDEX('データ'!$V$880:$AD$1244,MATCH(F30,'データ'!$A$880:$A$1244,0),$A$2)),0)=0,"",CHOOSE($A$3,INDEX('データ'!$B$880:$J$1244,MATCH(F30,'データ'!$A$880:$A$1244,0),$A$2),INDEX('データ'!$L$880:$T$1244,MATCH(F30,'データ'!$A$880:$A$1244,0),$A$2),INDEX('データ'!$V$880:$AD$1244,MATCH(F30,'データ'!$A$880:$A$1244,0),$A$2))),"")</f>
        <v>2877</v>
      </c>
      <c r="G31" s="59">
        <f>IF(MONTH(G30)=8,IF(IFERROR(CHOOSE($A$3,INDEX('データ'!$B$880:$J$1244,MATCH(G30,'データ'!$A$880:$A$1244,0),$A$2),INDEX('データ'!$L$880:$T$1244,MATCH(G30,'データ'!$A$880:$A$1244,0),$A$2),INDEX('データ'!$V$880:$AD$1244,MATCH(G30,'データ'!$A$880:$A$1244,0),$A$2)),0)=0,"",CHOOSE($A$3,INDEX('データ'!$B$880:$J$1244,MATCH(G30,'データ'!$A$880:$A$1244,0),$A$2),INDEX('データ'!$L$880:$T$1244,MATCH(G30,'データ'!$A$880:$A$1244,0),$A$2),INDEX('データ'!$V$880:$AD$1244,MATCH(G30,'データ'!$A$880:$A$1244,0),$A$2))),"")</f>
        <v/>
      </c>
      <c r="H31" s="59">
        <f>IF(MONTH(H30)=8,IF(IFERROR(CHOOSE($A$3,INDEX('データ'!$B$880:$J$1244,MATCH(H30,'データ'!$A$880:$A$1244,0),$A$2),INDEX('データ'!$L$880:$T$1244,MATCH(H30,'データ'!$A$880:$A$1244,0),$A$2),INDEX('データ'!$V$880:$AD$1244,MATCH(H30,'データ'!$A$880:$A$1244,0),$A$2)),0)=0,"",CHOOSE($A$3,INDEX('データ'!$B$880:$J$1244,MATCH(H30,'データ'!$A$880:$A$1244,0),$A$2),INDEX('データ'!$L$880:$T$1244,MATCH(H30,'データ'!$A$880:$A$1244,0),$A$2),INDEX('データ'!$V$880:$AD$1244,MATCH(H30,'データ'!$A$880:$A$1244,0),$A$2))),"")</f>
        <v/>
      </c>
      <c r="J31" s="59">
        <f>IF(MONTH(J30)=9,IF(IFERROR(CHOOSE($A$3,INDEX('データ'!$B$880:$J$1244,MATCH(J30,'データ'!$A$880:$A$1244,0),$A$2),INDEX('データ'!$L$880:$T$1244,MATCH(J30,'データ'!$A$880:$A$1244,0),$A$2),INDEX('データ'!$V$880:$AD$1244,MATCH(J30,'データ'!$A$880:$A$1244,0),$A$2)),0)=0,"",CHOOSE($A$3,INDEX('データ'!$B$880:$J$1244,MATCH(J30,'データ'!$A$880:$A$1244,0),$A$2),INDEX('データ'!$L$880:$T$1244,MATCH(J30,'データ'!$A$880:$A$1244,0),$A$2),INDEX('データ'!$V$880:$AD$1244,MATCH(J30,'データ'!$A$880:$A$1244,0),$A$2))),"")</f>
        <v>3686</v>
      </c>
      <c r="K31" s="59">
        <f>IF(MONTH(K30)=9,IF(IFERROR(CHOOSE($A$3,INDEX('データ'!$B$880:$J$1244,MATCH(K30,'データ'!$A$880:$A$1244,0),$A$2),INDEX('データ'!$L$880:$T$1244,MATCH(K30,'データ'!$A$880:$A$1244,0),$A$2),INDEX('データ'!$V$880:$AD$1244,MATCH(K30,'データ'!$A$880:$A$1244,0),$A$2)),0)=0,"",CHOOSE($A$3,INDEX('データ'!$B$880:$J$1244,MATCH(K30,'データ'!$A$880:$A$1244,0),$A$2),INDEX('データ'!$L$880:$T$1244,MATCH(K30,'データ'!$A$880:$A$1244,0),$A$2),INDEX('データ'!$V$880:$AD$1244,MATCH(K30,'データ'!$A$880:$A$1244,0),$A$2))),"")</f>
        <v>3117</v>
      </c>
      <c r="L31" s="59">
        <f>IF(MONTH(L30)=9,IF(IFERROR(CHOOSE($A$3,INDEX('データ'!$B$880:$J$1244,MATCH(L30,'データ'!$A$880:$A$1244,0),$A$2),INDEX('データ'!$L$880:$T$1244,MATCH(L30,'データ'!$A$880:$A$1244,0),$A$2),INDEX('データ'!$V$880:$AD$1244,MATCH(L30,'データ'!$A$880:$A$1244,0),$A$2)),0)=0,"",CHOOSE($A$3,INDEX('データ'!$B$880:$J$1244,MATCH(L30,'データ'!$A$880:$A$1244,0),$A$2),INDEX('データ'!$L$880:$T$1244,MATCH(L30,'データ'!$A$880:$A$1244,0),$A$2),INDEX('データ'!$V$880:$AD$1244,MATCH(L30,'データ'!$A$880:$A$1244,0),$A$2))),"")</f>
        <v/>
      </c>
      <c r="M31" s="59">
        <f>IF(MONTH(M30)=9,IF(IFERROR(CHOOSE($A$3,INDEX('データ'!$B$880:$J$1244,MATCH(M30,'データ'!$A$880:$A$1244,0),$A$2),INDEX('データ'!$L$880:$T$1244,MATCH(M30,'データ'!$A$880:$A$1244,0),$A$2),INDEX('データ'!$V$880:$AD$1244,MATCH(M30,'データ'!$A$880:$A$1244,0),$A$2)),0)=0,"",CHOOSE($A$3,INDEX('データ'!$B$880:$J$1244,MATCH(M30,'データ'!$A$880:$A$1244,0),$A$2),INDEX('データ'!$L$880:$T$1244,MATCH(M30,'データ'!$A$880:$A$1244,0),$A$2),INDEX('データ'!$V$880:$AD$1244,MATCH(M30,'データ'!$A$880:$A$1244,0),$A$2))),"")</f>
        <v/>
      </c>
      <c r="N31" s="59">
        <f>IF(MONTH(N30)=9,IF(IFERROR(CHOOSE($A$3,INDEX('データ'!$B$880:$J$1244,MATCH(N30,'データ'!$A$880:$A$1244,0),$A$2),INDEX('データ'!$L$880:$T$1244,MATCH(N30,'データ'!$A$880:$A$1244,0),$A$2),INDEX('データ'!$V$880:$AD$1244,MATCH(N30,'データ'!$A$880:$A$1244,0),$A$2)),0)=0,"",CHOOSE($A$3,INDEX('データ'!$B$880:$J$1244,MATCH(N30,'データ'!$A$880:$A$1244,0),$A$2),INDEX('データ'!$L$880:$T$1244,MATCH(N30,'データ'!$A$880:$A$1244,0),$A$2),INDEX('データ'!$V$880:$AD$1244,MATCH(N30,'データ'!$A$880:$A$1244,0),$A$2))),"")</f>
        <v/>
      </c>
      <c r="O31" s="59">
        <f>IF(MONTH(O30)=9,IF(IFERROR(CHOOSE($A$3,INDEX('データ'!$B$880:$J$1244,MATCH(O30,'データ'!$A$880:$A$1244,0),$A$2),INDEX('データ'!$L$880:$T$1244,MATCH(O30,'データ'!$A$880:$A$1244,0),$A$2),INDEX('データ'!$V$880:$AD$1244,MATCH(O30,'データ'!$A$880:$A$1244,0),$A$2)),0)=0,"",CHOOSE($A$3,INDEX('データ'!$B$880:$J$1244,MATCH(O30,'データ'!$A$880:$A$1244,0),$A$2),INDEX('データ'!$L$880:$T$1244,MATCH(O30,'データ'!$A$880:$A$1244,0),$A$2),INDEX('データ'!$V$880:$AD$1244,MATCH(O30,'データ'!$A$880:$A$1244,0),$A$2))),"")</f>
        <v/>
      </c>
      <c r="P31" s="59">
        <f>IF(MONTH(P30)=9,IF(IFERROR(CHOOSE($A$3,INDEX('データ'!$B$880:$J$1244,MATCH(P30,'データ'!$A$880:$A$1244,0),$A$2),INDEX('データ'!$L$880:$T$1244,MATCH(P30,'データ'!$A$880:$A$1244,0),$A$2),INDEX('データ'!$V$880:$AD$1244,MATCH(P30,'データ'!$A$880:$A$1244,0),$A$2)),0)=0,"",CHOOSE($A$3,INDEX('データ'!$B$880:$J$1244,MATCH(P30,'データ'!$A$880:$A$1244,0),$A$2),INDEX('データ'!$L$880:$T$1244,MATCH(P30,'データ'!$A$880:$A$1244,0),$A$2),INDEX('データ'!$V$880:$AD$1244,MATCH(P30,'データ'!$A$880:$A$1244,0),$A$2))),"")</f>
        <v/>
      </c>
      <c r="R31" s="59">
        <f>IF(MONTH(R30)=10,IF(IFERROR(CHOOSE($A$3,INDEX('データ'!$B$880:$J$1244,MATCH(R30,'データ'!$A$880:$A$1244,0),$A$2),INDEX('データ'!$L$880:$T$1244,MATCH(R30,'データ'!$A$880:$A$1244,0),$A$2),INDEX('データ'!$V$880:$AD$1244,MATCH(R30,'データ'!$A$880:$A$1244,0),$A$2)),0)=0,"",CHOOSE($A$3,INDEX('データ'!$B$880:$J$1244,MATCH(R30,'データ'!$A$880:$A$1244,0),$A$2),INDEX('データ'!$L$880:$T$1244,MATCH(R30,'データ'!$A$880:$A$1244,0),$A$2),INDEX('データ'!$V$880:$AD$1244,MATCH(R30,'データ'!$A$880:$A$1244,0),$A$2))),"")</f>
        <v>3571</v>
      </c>
      <c r="S31" s="59">
        <f>IF(MONTH(S30)=10,IF(IFERROR(CHOOSE($A$3,INDEX('データ'!$B$880:$J$1244,MATCH(S30,'データ'!$A$880:$A$1244,0),$A$2),INDEX('データ'!$L$880:$T$1244,MATCH(S30,'データ'!$A$880:$A$1244,0),$A$2),INDEX('データ'!$V$880:$AD$1244,MATCH(S30,'データ'!$A$880:$A$1244,0),$A$2)),0)=0,"",CHOOSE($A$3,INDEX('データ'!$B$880:$J$1244,MATCH(S30,'データ'!$A$880:$A$1244,0),$A$2),INDEX('データ'!$L$880:$T$1244,MATCH(S30,'データ'!$A$880:$A$1244,0),$A$2),INDEX('データ'!$V$880:$AD$1244,MATCH(S30,'データ'!$A$880:$A$1244,0),$A$2))),"")</f>
        <v>2816</v>
      </c>
      <c r="T31" s="59">
        <f>IF(MONTH(T30)=10,IF(IFERROR(CHOOSE($A$3,INDEX('データ'!$B$880:$J$1244,MATCH(T30,'データ'!$A$880:$A$1244,0),$A$2),INDEX('データ'!$L$880:$T$1244,MATCH(T30,'データ'!$A$880:$A$1244,0),$A$2),INDEX('データ'!$V$880:$AD$1244,MATCH(T30,'データ'!$A$880:$A$1244,0),$A$2)),0)=0,"",CHOOSE($A$3,INDEX('データ'!$B$880:$J$1244,MATCH(T30,'データ'!$A$880:$A$1244,0),$A$2),INDEX('データ'!$L$880:$T$1244,MATCH(T30,'データ'!$A$880:$A$1244,0),$A$2),INDEX('データ'!$V$880:$AD$1244,MATCH(T30,'データ'!$A$880:$A$1244,0),$A$2))),"")</f>
        <v>3008</v>
      </c>
      <c r="U31" s="59">
        <f>IF(MONTH(U30)=10,IF(IFERROR(CHOOSE($A$3,INDEX('データ'!$B$880:$J$1244,MATCH(U30,'データ'!$A$880:$A$1244,0),$A$2),INDEX('データ'!$L$880:$T$1244,MATCH(U30,'データ'!$A$880:$A$1244,0),$A$2),INDEX('データ'!$V$880:$AD$1244,MATCH(U30,'データ'!$A$880:$A$1244,0),$A$2)),0)=0,"",CHOOSE($A$3,INDEX('データ'!$B$880:$J$1244,MATCH(U30,'データ'!$A$880:$A$1244,0),$A$2),INDEX('データ'!$L$880:$T$1244,MATCH(U30,'データ'!$A$880:$A$1244,0),$A$2),INDEX('データ'!$V$880:$AD$1244,MATCH(U30,'データ'!$A$880:$A$1244,0),$A$2))),"")</f>
        <v>2761</v>
      </c>
      <c r="V31" s="59">
        <f>IF(MONTH(V30)=10,IF(IFERROR(CHOOSE($A$3,INDEX('データ'!$B$880:$J$1244,MATCH(V30,'データ'!$A$880:$A$1244,0),$A$2),INDEX('データ'!$L$880:$T$1244,MATCH(V30,'データ'!$A$880:$A$1244,0),$A$2),INDEX('データ'!$V$880:$AD$1244,MATCH(V30,'データ'!$A$880:$A$1244,0),$A$2)),0)=0,"",CHOOSE($A$3,INDEX('データ'!$B$880:$J$1244,MATCH(V30,'データ'!$A$880:$A$1244,0),$A$2),INDEX('データ'!$L$880:$T$1244,MATCH(V30,'データ'!$A$880:$A$1244,0),$A$2),INDEX('データ'!$V$880:$AD$1244,MATCH(V30,'データ'!$A$880:$A$1244,0),$A$2))),"")</f>
        <v>2661</v>
      </c>
      <c r="W31" s="59">
        <f>IF(MONTH(W30)=10,IF(IFERROR(CHOOSE($A$3,INDEX('データ'!$B$880:$J$1244,MATCH(W30,'データ'!$A$880:$A$1244,0),$A$2),INDEX('データ'!$L$880:$T$1244,MATCH(W30,'データ'!$A$880:$A$1244,0),$A$2),INDEX('データ'!$V$880:$AD$1244,MATCH(W30,'データ'!$A$880:$A$1244,0),$A$2)),0)=0,"",CHOOSE($A$3,INDEX('データ'!$B$880:$J$1244,MATCH(W30,'データ'!$A$880:$A$1244,0),$A$2),INDEX('データ'!$L$880:$T$1244,MATCH(W30,'データ'!$A$880:$A$1244,0),$A$2),INDEX('データ'!$V$880:$AD$1244,MATCH(W30,'データ'!$A$880:$A$1244,0),$A$2))),"")</f>
        <v/>
      </c>
      <c r="X31" s="59">
        <f>IF(MONTH(X30)=10,IF(IFERROR(CHOOSE($A$3,INDEX('データ'!$B$880:$J$1244,MATCH(X30,'データ'!$A$880:$A$1244,0),$A$2),INDEX('データ'!$L$880:$T$1244,MATCH(X30,'データ'!$A$880:$A$1244,0),$A$2),INDEX('データ'!$V$880:$AD$1244,MATCH(X30,'データ'!$A$880:$A$1244,0),$A$2)),0)=0,"",CHOOSE($A$3,INDEX('データ'!$B$880:$J$1244,MATCH(X30,'データ'!$A$880:$A$1244,0),$A$2),INDEX('データ'!$L$880:$T$1244,MATCH(X30,'データ'!$A$880:$A$1244,0),$A$2),INDEX('データ'!$V$880:$AD$1244,MATCH(X30,'データ'!$A$880:$A$1244,0),$A$2))),"")</f>
        <v/>
      </c>
      <c r="Z31" s="59">
        <f>IF(MONTH(Z30)=11,IF(IFERROR(CHOOSE($A$3,INDEX('データ'!$B$880:$J$1244,MATCH(Z30,'データ'!$A$880:$A$1244,0),$A$2),INDEX('データ'!$L$880:$T$1244,MATCH(Z30,'データ'!$A$880:$A$1244,0),$A$2),INDEX('データ'!$V$880:$AD$1244,MATCH(Z30,'データ'!$A$880:$A$1244,0),$A$2)),0)=0,"",CHOOSE($A$3,INDEX('データ'!$B$880:$J$1244,MATCH(Z30,'データ'!$A$880:$A$1244,0),$A$2),INDEX('データ'!$L$880:$T$1244,MATCH(Z30,'データ'!$A$880:$A$1244,0),$A$2),INDEX('データ'!$V$880:$AD$1244,MATCH(Z30,'データ'!$A$880:$A$1244,0),$A$2))),"")</f>
        <v/>
      </c>
      <c r="AA31" s="59">
        <f>IF(MONTH(AA30)=11,IF(IFERROR(CHOOSE($A$3,INDEX('データ'!$B$880:$J$1244,MATCH(AA30,'データ'!$A$880:$A$1244,0),$A$2),INDEX('データ'!$L$880:$T$1244,MATCH(AA30,'データ'!$A$880:$A$1244,0),$A$2),INDEX('データ'!$V$880:$AD$1244,MATCH(AA30,'データ'!$A$880:$A$1244,0),$A$2)),0)=0,"",CHOOSE($A$3,INDEX('データ'!$B$880:$J$1244,MATCH(AA30,'データ'!$A$880:$A$1244,0),$A$2),INDEX('データ'!$L$880:$T$1244,MATCH(AA30,'データ'!$A$880:$A$1244,0),$A$2),INDEX('データ'!$V$880:$AD$1244,MATCH(AA30,'データ'!$A$880:$A$1244,0),$A$2))),"")</f>
        <v>2933</v>
      </c>
      <c r="AB31" s="59">
        <f>IF(MONTH(AB30)=11,IF(IFERROR(CHOOSE($A$3,INDEX('データ'!$B$880:$J$1244,MATCH(AB30,'データ'!$A$880:$A$1244,0),$A$2),INDEX('データ'!$L$880:$T$1244,MATCH(AB30,'データ'!$A$880:$A$1244,0),$A$2),INDEX('データ'!$V$880:$AD$1244,MATCH(AB30,'データ'!$A$880:$A$1244,0),$A$2)),0)=0,"",CHOOSE($A$3,INDEX('データ'!$B$880:$J$1244,MATCH(AB30,'データ'!$A$880:$A$1244,0),$A$2),INDEX('データ'!$L$880:$T$1244,MATCH(AB30,'データ'!$A$880:$A$1244,0),$A$2),INDEX('データ'!$V$880:$AD$1244,MATCH(AB30,'データ'!$A$880:$A$1244,0),$A$2))),"")</f>
        <v>3140</v>
      </c>
      <c r="AC31" s="59">
        <f>IF(MONTH(AC30)=11,IF(IFERROR(CHOOSE($A$3,INDEX('データ'!$B$880:$J$1244,MATCH(AC30,'データ'!$A$880:$A$1244,0),$A$2),INDEX('データ'!$L$880:$T$1244,MATCH(AC30,'データ'!$A$880:$A$1244,0),$A$2),INDEX('データ'!$V$880:$AD$1244,MATCH(AC30,'データ'!$A$880:$A$1244,0),$A$2)),0)=0,"",CHOOSE($A$3,INDEX('データ'!$B$880:$J$1244,MATCH(AC30,'データ'!$A$880:$A$1244,0),$A$2),INDEX('データ'!$L$880:$T$1244,MATCH(AC30,'データ'!$A$880:$A$1244,0),$A$2),INDEX('データ'!$V$880:$AD$1244,MATCH(AC30,'データ'!$A$880:$A$1244,0),$A$2))),"")</f>
        <v>2820</v>
      </c>
      <c r="AD31" s="59">
        <f>IF(MONTH(AD30)=11,IF(IFERROR(CHOOSE($A$3,INDEX('データ'!$B$880:$J$1244,MATCH(AD30,'データ'!$A$880:$A$1244,0),$A$2),INDEX('データ'!$L$880:$T$1244,MATCH(AD30,'データ'!$A$880:$A$1244,0),$A$2),INDEX('データ'!$V$880:$AD$1244,MATCH(AD30,'データ'!$A$880:$A$1244,0),$A$2)),0)=0,"",CHOOSE($A$3,INDEX('データ'!$B$880:$J$1244,MATCH(AD30,'データ'!$A$880:$A$1244,0),$A$2),INDEX('データ'!$L$880:$T$1244,MATCH(AD30,'データ'!$A$880:$A$1244,0),$A$2),INDEX('データ'!$V$880:$AD$1244,MATCH(AD30,'データ'!$A$880:$A$1244,0),$A$2))),"")</f>
        <v>2792</v>
      </c>
      <c r="AE31" s="59">
        <f>IF(MONTH(AE30)=11,IF(IFERROR(CHOOSE($A$3,INDEX('データ'!$B$880:$J$1244,MATCH(AE30,'データ'!$A$880:$A$1244,0),$A$2),INDEX('データ'!$L$880:$T$1244,MATCH(AE30,'データ'!$A$880:$A$1244,0),$A$2),INDEX('データ'!$V$880:$AD$1244,MATCH(AE30,'データ'!$A$880:$A$1244,0),$A$2)),0)=0,"",CHOOSE($A$3,INDEX('データ'!$B$880:$J$1244,MATCH(AE30,'データ'!$A$880:$A$1244,0),$A$2),INDEX('データ'!$L$880:$T$1244,MATCH(AE30,'データ'!$A$880:$A$1244,0),$A$2),INDEX('データ'!$V$880:$AD$1244,MATCH(AE30,'データ'!$A$880:$A$1244,0),$A$2))),"")</f>
        <v/>
      </c>
      <c r="AF31" s="59">
        <f>IF(MONTH(AF30)=11,IF(IFERROR(CHOOSE($A$3,INDEX('データ'!$B$880:$J$1244,MATCH(AF30,'データ'!$A$880:$A$1244,0),$A$2),INDEX('データ'!$L$880:$T$1244,MATCH(AF30,'データ'!$A$880:$A$1244,0),$A$2),INDEX('データ'!$V$880:$AD$1244,MATCH(AF30,'データ'!$A$880:$A$1244,0),$A$2)),0)=0,"",CHOOSE($A$3,INDEX('データ'!$B$880:$J$1244,MATCH(AF30,'データ'!$A$880:$A$1244,0),$A$2),INDEX('データ'!$L$880:$T$1244,MATCH(AF30,'データ'!$A$880:$A$1244,0),$A$2),INDEX('データ'!$V$880:$AD$1244,MATCH(AF30,'データ'!$A$880:$A$1244,0),$A$2))),"")</f>
        <v/>
      </c>
    </row>
    <row r="32" spans="2:32" ht="13" customHeight="1">
      <c r="B32" s="58">
        <f>DATE(2025,8,1)-WEEKDAY(DATE(2025,8,1),2)+36</f>
        <v>45901</v>
      </c>
      <c r="C32" s="58">
        <f>DATE(2025,8,1)-WEEKDAY(DATE(2025,8,1),2)+37</f>
        <v>45902</v>
      </c>
      <c r="D32" s="58">
        <f>DATE(2025,8,1)-WEEKDAY(DATE(2025,8,1),2)+38</f>
        <v>45903</v>
      </c>
      <c r="E32" s="58">
        <f>DATE(2025,8,1)-WEEKDAY(DATE(2025,8,1),2)+39</f>
        <v>45904</v>
      </c>
      <c r="F32" s="58">
        <f>DATE(2025,8,1)-WEEKDAY(DATE(2025,8,1),2)+40</f>
        <v>45905</v>
      </c>
      <c r="G32" s="58">
        <f>DATE(2025,8,1)-WEEKDAY(DATE(2025,8,1),2)+41</f>
        <v>45906</v>
      </c>
      <c r="H32" s="58">
        <f>DATE(2025,8,1)-WEEKDAY(DATE(2025,8,1),2)+42</f>
        <v>45907</v>
      </c>
      <c r="J32" s="58">
        <f>DATE(2025,9,1)-WEEKDAY(DATE(2025,9,1),2)+36</f>
        <v>45936</v>
      </c>
      <c r="K32" s="58">
        <f>DATE(2025,9,1)-WEEKDAY(DATE(2025,9,1),2)+37</f>
        <v>45937</v>
      </c>
      <c r="L32" s="58">
        <f>DATE(2025,9,1)-WEEKDAY(DATE(2025,9,1),2)+38</f>
        <v>45938</v>
      </c>
      <c r="M32" s="58">
        <f>DATE(2025,9,1)-WEEKDAY(DATE(2025,9,1),2)+39</f>
        <v>45939</v>
      </c>
      <c r="N32" s="58">
        <f>DATE(2025,9,1)-WEEKDAY(DATE(2025,9,1),2)+40</f>
        <v>45940</v>
      </c>
      <c r="O32" s="58">
        <f>DATE(2025,9,1)-WEEKDAY(DATE(2025,9,1),2)+41</f>
        <v>45941</v>
      </c>
      <c r="P32" s="58">
        <f>DATE(2025,9,1)-WEEKDAY(DATE(2025,9,1),2)+42</f>
        <v>45942</v>
      </c>
      <c r="R32" s="58">
        <f>DATE(2025,10,1)-WEEKDAY(DATE(2025,10,1),2)+36</f>
        <v>45964</v>
      </c>
      <c r="S32" s="58">
        <f>DATE(2025,10,1)-WEEKDAY(DATE(2025,10,1),2)+37</f>
        <v>45965</v>
      </c>
      <c r="T32" s="58">
        <f>DATE(2025,10,1)-WEEKDAY(DATE(2025,10,1),2)+38</f>
        <v>45966</v>
      </c>
      <c r="U32" s="58">
        <f>DATE(2025,10,1)-WEEKDAY(DATE(2025,10,1),2)+39</f>
        <v>45967</v>
      </c>
      <c r="V32" s="58">
        <f>DATE(2025,10,1)-WEEKDAY(DATE(2025,10,1),2)+40</f>
        <v>45968</v>
      </c>
      <c r="W32" s="58">
        <f>DATE(2025,10,1)-WEEKDAY(DATE(2025,10,1),2)+41</f>
        <v>45969</v>
      </c>
      <c r="X32" s="58">
        <f>DATE(2025,10,1)-WEEKDAY(DATE(2025,10,1),2)+42</f>
        <v>45970</v>
      </c>
      <c r="Z32" s="58">
        <f>DATE(2025,11,1)-WEEKDAY(DATE(2025,11,1),2)+36</f>
        <v>45992</v>
      </c>
      <c r="AA32" s="58">
        <f>DATE(2025,11,1)-WEEKDAY(DATE(2025,11,1),2)+37</f>
        <v>45993</v>
      </c>
      <c r="AB32" s="58">
        <f>DATE(2025,11,1)-WEEKDAY(DATE(2025,11,1),2)+38</f>
        <v>45994</v>
      </c>
      <c r="AC32" s="58">
        <f>DATE(2025,11,1)-WEEKDAY(DATE(2025,11,1),2)+39</f>
        <v>45995</v>
      </c>
      <c r="AD32" s="58">
        <f>DATE(2025,11,1)-WEEKDAY(DATE(2025,11,1),2)+40</f>
        <v>45996</v>
      </c>
      <c r="AE32" s="58">
        <f>DATE(2025,11,1)-WEEKDAY(DATE(2025,11,1),2)+41</f>
        <v>45997</v>
      </c>
      <c r="AF32" s="58">
        <f>DATE(2025,11,1)-WEEKDAY(DATE(2025,11,1),2)+42</f>
        <v>45998</v>
      </c>
    </row>
    <row r="33" spans="2:32" ht="21" customHeight="1">
      <c r="B33" s="59">
        <f>IF(MONTH(B32)=8,IF(IFERROR(CHOOSE($A$3,INDEX('データ'!$B$880:$J$1244,MATCH(B32,'データ'!$A$880:$A$1244,0),$A$2),INDEX('データ'!$L$880:$T$1244,MATCH(B32,'データ'!$A$880:$A$1244,0),$A$2),INDEX('データ'!$V$880:$AD$1244,MATCH(B32,'データ'!$A$880:$A$1244,0),$A$2)),0)=0,"",CHOOSE($A$3,INDEX('データ'!$B$880:$J$1244,MATCH(B32,'データ'!$A$880:$A$1244,0),$A$2),INDEX('データ'!$L$880:$T$1244,MATCH(B32,'データ'!$A$880:$A$1244,0),$A$2),INDEX('データ'!$V$880:$AD$1244,MATCH(B32,'データ'!$A$880:$A$1244,0),$A$2))),"")</f>
        <v/>
      </c>
      <c r="C33" s="59">
        <f>IF(MONTH(C32)=8,IF(IFERROR(CHOOSE($A$3,INDEX('データ'!$B$880:$J$1244,MATCH(C32,'データ'!$A$880:$A$1244,0),$A$2),INDEX('データ'!$L$880:$T$1244,MATCH(C32,'データ'!$A$880:$A$1244,0),$A$2),INDEX('データ'!$V$880:$AD$1244,MATCH(C32,'データ'!$A$880:$A$1244,0),$A$2)),0)=0,"",CHOOSE($A$3,INDEX('データ'!$B$880:$J$1244,MATCH(C32,'データ'!$A$880:$A$1244,0),$A$2),INDEX('データ'!$L$880:$T$1244,MATCH(C32,'データ'!$A$880:$A$1244,0),$A$2),INDEX('データ'!$V$880:$AD$1244,MATCH(C32,'データ'!$A$880:$A$1244,0),$A$2))),"")</f>
        <v/>
      </c>
      <c r="D33" s="59">
        <f>IF(MONTH(D32)=8,IF(IFERROR(CHOOSE($A$3,INDEX('データ'!$B$880:$J$1244,MATCH(D32,'データ'!$A$880:$A$1244,0),$A$2),INDEX('データ'!$L$880:$T$1244,MATCH(D32,'データ'!$A$880:$A$1244,0),$A$2),INDEX('データ'!$V$880:$AD$1244,MATCH(D32,'データ'!$A$880:$A$1244,0),$A$2)),0)=0,"",CHOOSE($A$3,INDEX('データ'!$B$880:$J$1244,MATCH(D32,'データ'!$A$880:$A$1244,0),$A$2),INDEX('データ'!$L$880:$T$1244,MATCH(D32,'データ'!$A$880:$A$1244,0),$A$2),INDEX('データ'!$V$880:$AD$1244,MATCH(D32,'データ'!$A$880:$A$1244,0),$A$2))),"")</f>
        <v/>
      </c>
      <c r="E33" s="59">
        <f>IF(MONTH(E32)=8,IF(IFERROR(CHOOSE($A$3,INDEX('データ'!$B$880:$J$1244,MATCH(E32,'データ'!$A$880:$A$1244,0),$A$2),INDEX('データ'!$L$880:$T$1244,MATCH(E32,'データ'!$A$880:$A$1244,0),$A$2),INDEX('データ'!$V$880:$AD$1244,MATCH(E32,'データ'!$A$880:$A$1244,0),$A$2)),0)=0,"",CHOOSE($A$3,INDEX('データ'!$B$880:$J$1244,MATCH(E32,'データ'!$A$880:$A$1244,0),$A$2),INDEX('データ'!$L$880:$T$1244,MATCH(E32,'データ'!$A$880:$A$1244,0),$A$2),INDEX('データ'!$V$880:$AD$1244,MATCH(E32,'データ'!$A$880:$A$1244,0),$A$2))),"")</f>
        <v/>
      </c>
      <c r="F33" s="59">
        <f>IF(MONTH(F32)=8,IF(IFERROR(CHOOSE($A$3,INDEX('データ'!$B$880:$J$1244,MATCH(F32,'データ'!$A$880:$A$1244,0),$A$2),INDEX('データ'!$L$880:$T$1244,MATCH(F32,'データ'!$A$880:$A$1244,0),$A$2),INDEX('データ'!$V$880:$AD$1244,MATCH(F32,'データ'!$A$880:$A$1244,0),$A$2)),0)=0,"",CHOOSE($A$3,INDEX('データ'!$B$880:$J$1244,MATCH(F32,'データ'!$A$880:$A$1244,0),$A$2),INDEX('データ'!$L$880:$T$1244,MATCH(F32,'データ'!$A$880:$A$1244,0),$A$2),INDEX('データ'!$V$880:$AD$1244,MATCH(F32,'データ'!$A$880:$A$1244,0),$A$2))),"")</f>
        <v/>
      </c>
      <c r="G33" s="59">
        <f>IF(MONTH(G32)=8,IF(IFERROR(CHOOSE($A$3,INDEX('データ'!$B$880:$J$1244,MATCH(G32,'データ'!$A$880:$A$1244,0),$A$2),INDEX('データ'!$L$880:$T$1244,MATCH(G32,'データ'!$A$880:$A$1244,0),$A$2),INDEX('データ'!$V$880:$AD$1244,MATCH(G32,'データ'!$A$880:$A$1244,0),$A$2)),0)=0,"",CHOOSE($A$3,INDEX('データ'!$B$880:$J$1244,MATCH(G32,'データ'!$A$880:$A$1244,0),$A$2),INDEX('データ'!$L$880:$T$1244,MATCH(G32,'データ'!$A$880:$A$1244,0),$A$2),INDEX('データ'!$V$880:$AD$1244,MATCH(G32,'データ'!$A$880:$A$1244,0),$A$2))),"")</f>
        <v/>
      </c>
      <c r="H33" s="59">
        <f>IF(MONTH(H32)=8,IF(IFERROR(CHOOSE($A$3,INDEX('データ'!$B$880:$J$1244,MATCH(H32,'データ'!$A$880:$A$1244,0),$A$2),INDEX('データ'!$L$880:$T$1244,MATCH(H32,'データ'!$A$880:$A$1244,0),$A$2),INDEX('データ'!$V$880:$AD$1244,MATCH(H32,'データ'!$A$880:$A$1244,0),$A$2)),0)=0,"",CHOOSE($A$3,INDEX('データ'!$B$880:$J$1244,MATCH(H32,'データ'!$A$880:$A$1244,0),$A$2),INDEX('データ'!$L$880:$T$1244,MATCH(H32,'データ'!$A$880:$A$1244,0),$A$2),INDEX('データ'!$V$880:$AD$1244,MATCH(H32,'データ'!$A$880:$A$1244,0),$A$2))),"")</f>
        <v/>
      </c>
      <c r="J33" s="59">
        <f>IF(MONTH(J32)=9,IF(IFERROR(CHOOSE($A$3,INDEX('データ'!$B$880:$J$1244,MATCH(J32,'データ'!$A$880:$A$1244,0),$A$2),INDEX('データ'!$L$880:$T$1244,MATCH(J32,'データ'!$A$880:$A$1244,0),$A$2),INDEX('データ'!$V$880:$AD$1244,MATCH(J32,'データ'!$A$880:$A$1244,0),$A$2)),0)=0,"",CHOOSE($A$3,INDEX('データ'!$B$880:$J$1244,MATCH(J32,'データ'!$A$880:$A$1244,0),$A$2),INDEX('データ'!$L$880:$T$1244,MATCH(J32,'データ'!$A$880:$A$1244,0),$A$2),INDEX('データ'!$V$880:$AD$1244,MATCH(J32,'データ'!$A$880:$A$1244,0),$A$2))),"")</f>
        <v/>
      </c>
      <c r="K33" s="59">
        <f>IF(MONTH(K32)=9,IF(IFERROR(CHOOSE($A$3,INDEX('データ'!$B$880:$J$1244,MATCH(K32,'データ'!$A$880:$A$1244,0),$A$2),INDEX('データ'!$L$880:$T$1244,MATCH(K32,'データ'!$A$880:$A$1244,0),$A$2),INDEX('データ'!$V$880:$AD$1244,MATCH(K32,'データ'!$A$880:$A$1244,0),$A$2)),0)=0,"",CHOOSE($A$3,INDEX('データ'!$B$880:$J$1244,MATCH(K32,'データ'!$A$880:$A$1244,0),$A$2),INDEX('データ'!$L$880:$T$1244,MATCH(K32,'データ'!$A$880:$A$1244,0),$A$2),INDEX('データ'!$V$880:$AD$1244,MATCH(K32,'データ'!$A$880:$A$1244,0),$A$2))),"")</f>
        <v/>
      </c>
      <c r="L33" s="59">
        <f>IF(MONTH(L32)=9,IF(IFERROR(CHOOSE($A$3,INDEX('データ'!$B$880:$J$1244,MATCH(L32,'データ'!$A$880:$A$1244,0),$A$2),INDEX('データ'!$L$880:$T$1244,MATCH(L32,'データ'!$A$880:$A$1244,0),$A$2),INDEX('データ'!$V$880:$AD$1244,MATCH(L32,'データ'!$A$880:$A$1244,0),$A$2)),0)=0,"",CHOOSE($A$3,INDEX('データ'!$B$880:$J$1244,MATCH(L32,'データ'!$A$880:$A$1244,0),$A$2),INDEX('データ'!$L$880:$T$1244,MATCH(L32,'データ'!$A$880:$A$1244,0),$A$2),INDEX('データ'!$V$880:$AD$1244,MATCH(L32,'データ'!$A$880:$A$1244,0),$A$2))),"")</f>
        <v/>
      </c>
      <c r="M33" s="59">
        <f>IF(MONTH(M32)=9,IF(IFERROR(CHOOSE($A$3,INDEX('データ'!$B$880:$J$1244,MATCH(M32,'データ'!$A$880:$A$1244,0),$A$2),INDEX('データ'!$L$880:$T$1244,MATCH(M32,'データ'!$A$880:$A$1244,0),$A$2),INDEX('データ'!$V$880:$AD$1244,MATCH(M32,'データ'!$A$880:$A$1244,0),$A$2)),0)=0,"",CHOOSE($A$3,INDEX('データ'!$B$880:$J$1244,MATCH(M32,'データ'!$A$880:$A$1244,0),$A$2),INDEX('データ'!$L$880:$T$1244,MATCH(M32,'データ'!$A$880:$A$1244,0),$A$2),INDEX('データ'!$V$880:$AD$1244,MATCH(M32,'データ'!$A$880:$A$1244,0),$A$2))),"")</f>
        <v/>
      </c>
      <c r="N33" s="59">
        <f>IF(MONTH(N32)=9,IF(IFERROR(CHOOSE($A$3,INDEX('データ'!$B$880:$J$1244,MATCH(N32,'データ'!$A$880:$A$1244,0),$A$2),INDEX('データ'!$L$880:$T$1244,MATCH(N32,'データ'!$A$880:$A$1244,0),$A$2),INDEX('データ'!$V$880:$AD$1244,MATCH(N32,'データ'!$A$880:$A$1244,0),$A$2)),0)=0,"",CHOOSE($A$3,INDEX('データ'!$B$880:$J$1244,MATCH(N32,'データ'!$A$880:$A$1244,0),$A$2),INDEX('データ'!$L$880:$T$1244,MATCH(N32,'データ'!$A$880:$A$1244,0),$A$2),INDEX('データ'!$V$880:$AD$1244,MATCH(N32,'データ'!$A$880:$A$1244,0),$A$2))),"")</f>
        <v/>
      </c>
      <c r="O33" s="59">
        <f>IF(MONTH(O32)=9,IF(IFERROR(CHOOSE($A$3,INDEX('データ'!$B$880:$J$1244,MATCH(O32,'データ'!$A$880:$A$1244,0),$A$2),INDEX('データ'!$L$880:$T$1244,MATCH(O32,'データ'!$A$880:$A$1244,0),$A$2),INDEX('データ'!$V$880:$AD$1244,MATCH(O32,'データ'!$A$880:$A$1244,0),$A$2)),0)=0,"",CHOOSE($A$3,INDEX('データ'!$B$880:$J$1244,MATCH(O32,'データ'!$A$880:$A$1244,0),$A$2),INDEX('データ'!$L$880:$T$1244,MATCH(O32,'データ'!$A$880:$A$1244,0),$A$2),INDEX('データ'!$V$880:$AD$1244,MATCH(O32,'データ'!$A$880:$A$1244,0),$A$2))),"")</f>
        <v/>
      </c>
      <c r="P33" s="59">
        <f>IF(MONTH(P32)=9,IF(IFERROR(CHOOSE($A$3,INDEX('データ'!$B$880:$J$1244,MATCH(P32,'データ'!$A$880:$A$1244,0),$A$2),INDEX('データ'!$L$880:$T$1244,MATCH(P32,'データ'!$A$880:$A$1244,0),$A$2),INDEX('データ'!$V$880:$AD$1244,MATCH(P32,'データ'!$A$880:$A$1244,0),$A$2)),0)=0,"",CHOOSE($A$3,INDEX('データ'!$B$880:$J$1244,MATCH(P32,'データ'!$A$880:$A$1244,0),$A$2),INDEX('データ'!$L$880:$T$1244,MATCH(P32,'データ'!$A$880:$A$1244,0),$A$2),INDEX('データ'!$V$880:$AD$1244,MATCH(P32,'データ'!$A$880:$A$1244,0),$A$2))),"")</f>
        <v/>
      </c>
      <c r="R33" s="59">
        <f>IF(MONTH(R32)=10,IF(IFERROR(CHOOSE($A$3,INDEX('データ'!$B$880:$J$1244,MATCH(R32,'データ'!$A$880:$A$1244,0),$A$2),INDEX('データ'!$L$880:$T$1244,MATCH(R32,'データ'!$A$880:$A$1244,0),$A$2),INDEX('データ'!$V$880:$AD$1244,MATCH(R32,'データ'!$A$880:$A$1244,0),$A$2)),0)=0,"",CHOOSE($A$3,INDEX('データ'!$B$880:$J$1244,MATCH(R32,'データ'!$A$880:$A$1244,0),$A$2),INDEX('データ'!$L$880:$T$1244,MATCH(R32,'データ'!$A$880:$A$1244,0),$A$2),INDEX('データ'!$V$880:$AD$1244,MATCH(R32,'データ'!$A$880:$A$1244,0),$A$2))),"")</f>
        <v/>
      </c>
      <c r="S33" s="59">
        <f>IF(MONTH(S32)=10,IF(IFERROR(CHOOSE($A$3,INDEX('データ'!$B$880:$J$1244,MATCH(S32,'データ'!$A$880:$A$1244,0),$A$2),INDEX('データ'!$L$880:$T$1244,MATCH(S32,'データ'!$A$880:$A$1244,0),$A$2),INDEX('データ'!$V$880:$AD$1244,MATCH(S32,'データ'!$A$880:$A$1244,0),$A$2)),0)=0,"",CHOOSE($A$3,INDEX('データ'!$B$880:$J$1244,MATCH(S32,'データ'!$A$880:$A$1244,0),$A$2),INDEX('データ'!$L$880:$T$1244,MATCH(S32,'データ'!$A$880:$A$1244,0),$A$2),INDEX('データ'!$V$880:$AD$1244,MATCH(S32,'データ'!$A$880:$A$1244,0),$A$2))),"")</f>
        <v/>
      </c>
      <c r="T33" s="59">
        <f>IF(MONTH(T32)=10,IF(IFERROR(CHOOSE($A$3,INDEX('データ'!$B$880:$J$1244,MATCH(T32,'データ'!$A$880:$A$1244,0),$A$2),INDEX('データ'!$L$880:$T$1244,MATCH(T32,'データ'!$A$880:$A$1244,0),$A$2),INDEX('データ'!$V$880:$AD$1244,MATCH(T32,'データ'!$A$880:$A$1244,0),$A$2)),0)=0,"",CHOOSE($A$3,INDEX('データ'!$B$880:$J$1244,MATCH(T32,'データ'!$A$880:$A$1244,0),$A$2),INDEX('データ'!$L$880:$T$1244,MATCH(T32,'データ'!$A$880:$A$1244,0),$A$2),INDEX('データ'!$V$880:$AD$1244,MATCH(T32,'データ'!$A$880:$A$1244,0),$A$2))),"")</f>
        <v/>
      </c>
      <c r="U33" s="59">
        <f>IF(MONTH(U32)=10,IF(IFERROR(CHOOSE($A$3,INDEX('データ'!$B$880:$J$1244,MATCH(U32,'データ'!$A$880:$A$1244,0),$A$2),INDEX('データ'!$L$880:$T$1244,MATCH(U32,'データ'!$A$880:$A$1244,0),$A$2),INDEX('データ'!$V$880:$AD$1244,MATCH(U32,'データ'!$A$880:$A$1244,0),$A$2)),0)=0,"",CHOOSE($A$3,INDEX('データ'!$B$880:$J$1244,MATCH(U32,'データ'!$A$880:$A$1244,0),$A$2),INDEX('データ'!$L$880:$T$1244,MATCH(U32,'データ'!$A$880:$A$1244,0),$A$2),INDEX('データ'!$V$880:$AD$1244,MATCH(U32,'データ'!$A$880:$A$1244,0),$A$2))),"")</f>
        <v/>
      </c>
      <c r="V33" s="59">
        <f>IF(MONTH(V32)=10,IF(IFERROR(CHOOSE($A$3,INDEX('データ'!$B$880:$J$1244,MATCH(V32,'データ'!$A$880:$A$1244,0),$A$2),INDEX('データ'!$L$880:$T$1244,MATCH(V32,'データ'!$A$880:$A$1244,0),$A$2),INDEX('データ'!$V$880:$AD$1244,MATCH(V32,'データ'!$A$880:$A$1244,0),$A$2)),0)=0,"",CHOOSE($A$3,INDEX('データ'!$B$880:$J$1244,MATCH(V32,'データ'!$A$880:$A$1244,0),$A$2),INDEX('データ'!$L$880:$T$1244,MATCH(V32,'データ'!$A$880:$A$1244,0),$A$2),INDEX('データ'!$V$880:$AD$1244,MATCH(V32,'データ'!$A$880:$A$1244,0),$A$2))),"")</f>
        <v/>
      </c>
      <c r="W33" s="59">
        <f>IF(MONTH(W32)=10,IF(IFERROR(CHOOSE($A$3,INDEX('データ'!$B$880:$J$1244,MATCH(W32,'データ'!$A$880:$A$1244,0),$A$2),INDEX('データ'!$L$880:$T$1244,MATCH(W32,'データ'!$A$880:$A$1244,0),$A$2),INDEX('データ'!$V$880:$AD$1244,MATCH(W32,'データ'!$A$880:$A$1244,0),$A$2)),0)=0,"",CHOOSE($A$3,INDEX('データ'!$B$880:$J$1244,MATCH(W32,'データ'!$A$880:$A$1244,0),$A$2),INDEX('データ'!$L$880:$T$1244,MATCH(W32,'データ'!$A$880:$A$1244,0),$A$2),INDEX('データ'!$V$880:$AD$1244,MATCH(W32,'データ'!$A$880:$A$1244,0),$A$2))),"")</f>
        <v/>
      </c>
      <c r="X33" s="59">
        <f>IF(MONTH(X32)=10,IF(IFERROR(CHOOSE($A$3,INDEX('データ'!$B$880:$J$1244,MATCH(X32,'データ'!$A$880:$A$1244,0),$A$2),INDEX('データ'!$L$880:$T$1244,MATCH(X32,'データ'!$A$880:$A$1244,0),$A$2),INDEX('データ'!$V$880:$AD$1244,MATCH(X32,'データ'!$A$880:$A$1244,0),$A$2)),0)=0,"",CHOOSE($A$3,INDEX('データ'!$B$880:$J$1244,MATCH(X32,'データ'!$A$880:$A$1244,0),$A$2),INDEX('データ'!$L$880:$T$1244,MATCH(X32,'データ'!$A$880:$A$1244,0),$A$2),INDEX('データ'!$V$880:$AD$1244,MATCH(X32,'データ'!$A$880:$A$1244,0),$A$2))),"")</f>
        <v/>
      </c>
      <c r="Z33" s="59">
        <f>IF(MONTH(Z32)=11,IF(IFERROR(CHOOSE($A$3,INDEX('データ'!$B$880:$J$1244,MATCH(Z32,'データ'!$A$880:$A$1244,0),$A$2),INDEX('データ'!$L$880:$T$1244,MATCH(Z32,'データ'!$A$880:$A$1244,0),$A$2),INDEX('データ'!$V$880:$AD$1244,MATCH(Z32,'データ'!$A$880:$A$1244,0),$A$2)),0)=0,"",CHOOSE($A$3,INDEX('データ'!$B$880:$J$1244,MATCH(Z32,'データ'!$A$880:$A$1244,0),$A$2),INDEX('データ'!$L$880:$T$1244,MATCH(Z32,'データ'!$A$880:$A$1244,0),$A$2),INDEX('データ'!$V$880:$AD$1244,MATCH(Z32,'データ'!$A$880:$A$1244,0),$A$2))),"")</f>
        <v/>
      </c>
      <c r="AA33" s="59">
        <f>IF(MONTH(AA32)=11,IF(IFERROR(CHOOSE($A$3,INDEX('データ'!$B$880:$J$1244,MATCH(AA32,'データ'!$A$880:$A$1244,0),$A$2),INDEX('データ'!$L$880:$T$1244,MATCH(AA32,'データ'!$A$880:$A$1244,0),$A$2),INDEX('データ'!$V$880:$AD$1244,MATCH(AA32,'データ'!$A$880:$A$1244,0),$A$2)),0)=0,"",CHOOSE($A$3,INDEX('データ'!$B$880:$J$1244,MATCH(AA32,'データ'!$A$880:$A$1244,0),$A$2),INDEX('データ'!$L$880:$T$1244,MATCH(AA32,'データ'!$A$880:$A$1244,0),$A$2),INDEX('データ'!$V$880:$AD$1244,MATCH(AA32,'データ'!$A$880:$A$1244,0),$A$2))),"")</f>
        <v/>
      </c>
      <c r="AB33" s="59">
        <f>IF(MONTH(AB32)=11,IF(IFERROR(CHOOSE($A$3,INDEX('データ'!$B$880:$J$1244,MATCH(AB32,'データ'!$A$880:$A$1244,0),$A$2),INDEX('データ'!$L$880:$T$1244,MATCH(AB32,'データ'!$A$880:$A$1244,0),$A$2),INDEX('データ'!$V$880:$AD$1244,MATCH(AB32,'データ'!$A$880:$A$1244,0),$A$2)),0)=0,"",CHOOSE($A$3,INDEX('データ'!$B$880:$J$1244,MATCH(AB32,'データ'!$A$880:$A$1244,0),$A$2),INDEX('データ'!$L$880:$T$1244,MATCH(AB32,'データ'!$A$880:$A$1244,0),$A$2),INDEX('データ'!$V$880:$AD$1244,MATCH(AB32,'データ'!$A$880:$A$1244,0),$A$2))),"")</f>
        <v/>
      </c>
      <c r="AC33" s="59">
        <f>IF(MONTH(AC32)=11,IF(IFERROR(CHOOSE($A$3,INDEX('データ'!$B$880:$J$1244,MATCH(AC32,'データ'!$A$880:$A$1244,0),$A$2),INDEX('データ'!$L$880:$T$1244,MATCH(AC32,'データ'!$A$880:$A$1244,0),$A$2),INDEX('データ'!$V$880:$AD$1244,MATCH(AC32,'データ'!$A$880:$A$1244,0),$A$2)),0)=0,"",CHOOSE($A$3,INDEX('データ'!$B$880:$J$1244,MATCH(AC32,'データ'!$A$880:$A$1244,0),$A$2),INDEX('データ'!$L$880:$T$1244,MATCH(AC32,'データ'!$A$880:$A$1244,0),$A$2),INDEX('データ'!$V$880:$AD$1244,MATCH(AC32,'データ'!$A$880:$A$1244,0),$A$2))),"")</f>
        <v/>
      </c>
      <c r="AD33" s="59">
        <f>IF(MONTH(AD32)=11,IF(IFERROR(CHOOSE($A$3,INDEX('データ'!$B$880:$J$1244,MATCH(AD32,'データ'!$A$880:$A$1244,0),$A$2),INDEX('データ'!$L$880:$T$1244,MATCH(AD32,'データ'!$A$880:$A$1244,0),$A$2),INDEX('データ'!$V$880:$AD$1244,MATCH(AD32,'データ'!$A$880:$A$1244,0),$A$2)),0)=0,"",CHOOSE($A$3,INDEX('データ'!$B$880:$J$1244,MATCH(AD32,'データ'!$A$880:$A$1244,0),$A$2),INDEX('データ'!$L$880:$T$1244,MATCH(AD32,'データ'!$A$880:$A$1244,0),$A$2),INDEX('データ'!$V$880:$AD$1244,MATCH(AD32,'データ'!$A$880:$A$1244,0),$A$2))),"")</f>
        <v/>
      </c>
      <c r="AE33" s="59">
        <f>IF(MONTH(AE32)=11,IF(IFERROR(CHOOSE($A$3,INDEX('データ'!$B$880:$J$1244,MATCH(AE32,'データ'!$A$880:$A$1244,0),$A$2),INDEX('データ'!$L$880:$T$1244,MATCH(AE32,'データ'!$A$880:$A$1244,0),$A$2),INDEX('データ'!$V$880:$AD$1244,MATCH(AE32,'データ'!$A$880:$A$1244,0),$A$2)),0)=0,"",CHOOSE($A$3,INDEX('データ'!$B$880:$J$1244,MATCH(AE32,'データ'!$A$880:$A$1244,0),$A$2),INDEX('データ'!$L$880:$T$1244,MATCH(AE32,'データ'!$A$880:$A$1244,0),$A$2),INDEX('データ'!$V$880:$AD$1244,MATCH(AE32,'データ'!$A$880:$A$1244,0),$A$2))),"")</f>
        <v/>
      </c>
      <c r="AF33" s="59">
        <f>IF(MONTH(AF32)=11,IF(IFERROR(CHOOSE($A$3,INDEX('データ'!$B$880:$J$1244,MATCH(AF32,'データ'!$A$880:$A$1244,0),$A$2),INDEX('データ'!$L$880:$T$1244,MATCH(AF32,'データ'!$A$880:$A$1244,0),$A$2),INDEX('データ'!$V$880:$AD$1244,MATCH(AF32,'データ'!$A$880:$A$1244,0),$A$2)),0)=0,"",CHOOSE($A$3,INDEX('データ'!$B$880:$J$1244,MATCH(AF32,'データ'!$A$880:$A$1244,0),$A$2),INDEX('データ'!$L$880:$T$1244,MATCH(AF32,'データ'!$A$880:$A$1244,0),$A$2),INDEX('データ'!$V$880:$AD$1244,MATCH(AF32,'データ'!$A$880:$A$1244,0),$A$2))),"")</f>
        <v/>
      </c>
    </row>
    <row r="35" spans="2:32">
      <c r="B35" s="54" t="s">
        <v>489</v>
      </c>
      <c r="C35" s="54"/>
      <c r="D35" s="54"/>
      <c r="E35" s="54"/>
      <c r="F35" s="54"/>
      <c r="G35" s="54"/>
      <c r="H35" s="54"/>
      <c r="J35" s="54" t="s">
        <v>490</v>
      </c>
      <c r="K35" s="54"/>
      <c r="L35" s="54"/>
      <c r="M35" s="54"/>
      <c r="N35" s="54"/>
      <c r="O35" s="54"/>
      <c r="P35" s="54"/>
      <c r="R35" s="54" t="s">
        <v>491</v>
      </c>
      <c r="S35" s="54"/>
      <c r="T35" s="54"/>
      <c r="U35" s="54"/>
      <c r="V35" s="54"/>
      <c r="W35" s="54"/>
      <c r="X35" s="54"/>
      <c r="Z35" s="54" t="s">
        <v>492</v>
      </c>
      <c r="AA35" s="54"/>
      <c r="AB35" s="54"/>
      <c r="AC35" s="54"/>
      <c r="AD35" s="54"/>
      <c r="AE35" s="54"/>
      <c r="AF35" s="54"/>
    </row>
    <row r="36" spans="2:32">
      <c r="B36" s="55" t="s">
        <v>5</v>
      </c>
      <c r="C36" s="55" t="s">
        <v>210</v>
      </c>
      <c r="D36" s="55" t="s">
        <v>212</v>
      </c>
      <c r="E36" s="55" t="s">
        <v>214</v>
      </c>
      <c r="F36" s="55" t="s">
        <v>216</v>
      </c>
      <c r="G36" s="56" t="s">
        <v>218</v>
      </c>
      <c r="H36" s="57" t="s">
        <v>220</v>
      </c>
      <c r="J36" s="55" t="s">
        <v>5</v>
      </c>
      <c r="K36" s="55" t="s">
        <v>210</v>
      </c>
      <c r="L36" s="55" t="s">
        <v>212</v>
      </c>
      <c r="M36" s="55" t="s">
        <v>214</v>
      </c>
      <c r="N36" s="55" t="s">
        <v>216</v>
      </c>
      <c r="O36" s="56" t="s">
        <v>218</v>
      </c>
      <c r="P36" s="57" t="s">
        <v>220</v>
      </c>
      <c r="R36" s="55" t="s">
        <v>5</v>
      </c>
      <c r="S36" s="55" t="s">
        <v>210</v>
      </c>
      <c r="T36" s="55" t="s">
        <v>212</v>
      </c>
      <c r="U36" s="55" t="s">
        <v>214</v>
      </c>
      <c r="V36" s="55" t="s">
        <v>216</v>
      </c>
      <c r="W36" s="56" t="s">
        <v>218</v>
      </c>
      <c r="X36" s="57" t="s">
        <v>220</v>
      </c>
      <c r="Z36" s="55" t="s">
        <v>5</v>
      </c>
      <c r="AA36" s="55" t="s">
        <v>210</v>
      </c>
      <c r="AB36" s="55" t="s">
        <v>212</v>
      </c>
      <c r="AC36" s="55" t="s">
        <v>214</v>
      </c>
      <c r="AD36" s="55" t="s">
        <v>216</v>
      </c>
      <c r="AE36" s="56" t="s">
        <v>218</v>
      </c>
      <c r="AF36" s="57" t="s">
        <v>220</v>
      </c>
    </row>
    <row r="37" spans="2:32" ht="13" customHeight="1">
      <c r="B37" s="58">
        <f>DATE(2025,12,1)-WEEKDAY(DATE(2025,12,1),2)+1</f>
        <v>45992</v>
      </c>
      <c r="C37" s="58">
        <f>DATE(2025,12,1)-WEEKDAY(DATE(2025,12,1),2)+2</f>
        <v>45993</v>
      </c>
      <c r="D37" s="58">
        <f>DATE(2025,12,1)-WEEKDAY(DATE(2025,12,1),2)+3</f>
        <v>45994</v>
      </c>
      <c r="E37" s="58">
        <f>DATE(2025,12,1)-WEEKDAY(DATE(2025,12,1),2)+4</f>
        <v>45995</v>
      </c>
      <c r="F37" s="58">
        <f>DATE(2025,12,1)-WEEKDAY(DATE(2025,12,1),2)+5</f>
        <v>45996</v>
      </c>
      <c r="G37" s="58">
        <f>DATE(2025,12,1)-WEEKDAY(DATE(2025,12,1),2)+6</f>
        <v>45997</v>
      </c>
      <c r="H37" s="58">
        <f>DATE(2025,12,1)-WEEKDAY(DATE(2025,12,1),2)+7</f>
        <v>45998</v>
      </c>
      <c r="J37" s="58">
        <f>DATE(2026,1,1)-WEEKDAY(DATE(2026,1,1),2)+1</f>
        <v>46020</v>
      </c>
      <c r="K37" s="58">
        <f>DATE(2026,1,1)-WEEKDAY(DATE(2026,1,1),2)+2</f>
        <v>46021</v>
      </c>
      <c r="L37" s="58">
        <f>DATE(2026,1,1)-WEEKDAY(DATE(2026,1,1),2)+3</f>
        <v>46022</v>
      </c>
      <c r="M37" s="58">
        <f>DATE(2026,1,1)-WEEKDAY(DATE(2026,1,1),2)+4</f>
        <v>46023</v>
      </c>
      <c r="N37" s="58">
        <f>DATE(2026,1,1)-WEEKDAY(DATE(2026,1,1),2)+5</f>
        <v>46024</v>
      </c>
      <c r="O37" s="58">
        <f>DATE(2026,1,1)-WEEKDAY(DATE(2026,1,1),2)+6</f>
        <v>46025</v>
      </c>
      <c r="P37" s="58">
        <f>DATE(2026,1,1)-WEEKDAY(DATE(2026,1,1),2)+7</f>
        <v>46026</v>
      </c>
      <c r="R37" s="58">
        <f>DATE(2026,2,1)-WEEKDAY(DATE(2026,2,1),2)+1</f>
        <v>46048</v>
      </c>
      <c r="S37" s="58">
        <f>DATE(2026,2,1)-WEEKDAY(DATE(2026,2,1),2)+2</f>
        <v>46049</v>
      </c>
      <c r="T37" s="58">
        <f>DATE(2026,2,1)-WEEKDAY(DATE(2026,2,1),2)+3</f>
        <v>46050</v>
      </c>
      <c r="U37" s="58">
        <f>DATE(2026,2,1)-WEEKDAY(DATE(2026,2,1),2)+4</f>
        <v>46051</v>
      </c>
      <c r="V37" s="58">
        <f>DATE(2026,2,1)-WEEKDAY(DATE(2026,2,1),2)+5</f>
        <v>46052</v>
      </c>
      <c r="W37" s="58">
        <f>DATE(2026,2,1)-WEEKDAY(DATE(2026,2,1),2)+6</f>
        <v>46053</v>
      </c>
      <c r="X37" s="58">
        <f>DATE(2026,2,1)-WEEKDAY(DATE(2026,2,1),2)+7</f>
        <v>46054</v>
      </c>
      <c r="Z37" s="58">
        <f>DATE(2026,3,1)-WEEKDAY(DATE(2026,3,1),2)+1</f>
        <v>46076</v>
      </c>
      <c r="AA37" s="58">
        <f>DATE(2026,3,1)-WEEKDAY(DATE(2026,3,1),2)+2</f>
        <v>46077</v>
      </c>
      <c r="AB37" s="58">
        <f>DATE(2026,3,1)-WEEKDAY(DATE(2026,3,1),2)+3</f>
        <v>46078</v>
      </c>
      <c r="AC37" s="58">
        <f>DATE(2026,3,1)-WEEKDAY(DATE(2026,3,1),2)+4</f>
        <v>46079</v>
      </c>
      <c r="AD37" s="58">
        <f>DATE(2026,3,1)-WEEKDAY(DATE(2026,3,1),2)+5</f>
        <v>46080</v>
      </c>
      <c r="AE37" s="58">
        <f>DATE(2026,3,1)-WEEKDAY(DATE(2026,3,1),2)+6</f>
        <v>46081</v>
      </c>
      <c r="AF37" s="58">
        <f>DATE(2026,3,1)-WEEKDAY(DATE(2026,3,1),2)+7</f>
        <v>46082</v>
      </c>
    </row>
    <row r="38" spans="2:32" ht="21" customHeight="1">
      <c r="B38" s="59">
        <f>IF(MONTH(B37)=12,IF(IFERROR(CHOOSE($A$3,INDEX('データ'!$B$880:$J$1244,MATCH(B37,'データ'!$A$880:$A$1244,0),$A$2),INDEX('データ'!$L$880:$T$1244,MATCH(B37,'データ'!$A$880:$A$1244,0),$A$2),INDEX('データ'!$V$880:$AD$1244,MATCH(B37,'データ'!$A$880:$A$1244,0),$A$2)),0)=0,"",CHOOSE($A$3,INDEX('データ'!$B$880:$J$1244,MATCH(B37,'データ'!$A$880:$A$1244,0),$A$2),INDEX('データ'!$L$880:$T$1244,MATCH(B37,'データ'!$A$880:$A$1244,0),$A$2),INDEX('データ'!$V$880:$AD$1244,MATCH(B37,'データ'!$A$880:$A$1244,0),$A$2))),"")</f>
        <v>2293</v>
      </c>
      <c r="C38" s="59">
        <f>IF(MONTH(C37)=12,IF(IFERROR(CHOOSE($A$3,INDEX('データ'!$B$880:$J$1244,MATCH(C37,'データ'!$A$880:$A$1244,0),$A$2),INDEX('データ'!$L$880:$T$1244,MATCH(C37,'データ'!$A$880:$A$1244,0),$A$2),INDEX('データ'!$V$880:$AD$1244,MATCH(C37,'データ'!$A$880:$A$1244,0),$A$2)),0)=0,"",CHOOSE($A$3,INDEX('データ'!$B$880:$J$1244,MATCH(C37,'データ'!$A$880:$A$1244,0),$A$2),INDEX('データ'!$L$880:$T$1244,MATCH(C37,'データ'!$A$880:$A$1244,0),$A$2),INDEX('データ'!$V$880:$AD$1244,MATCH(C37,'データ'!$A$880:$A$1244,0),$A$2))),"")</f>
        <v>1768</v>
      </c>
      <c r="D38" s="59">
        <f>IF(MONTH(D37)=12,IF(IFERROR(CHOOSE($A$3,INDEX('データ'!$B$880:$J$1244,MATCH(D37,'データ'!$A$880:$A$1244,0),$A$2),INDEX('データ'!$L$880:$T$1244,MATCH(D37,'データ'!$A$880:$A$1244,0),$A$2),INDEX('データ'!$V$880:$AD$1244,MATCH(D37,'データ'!$A$880:$A$1244,0),$A$2)),0)=0,"",CHOOSE($A$3,INDEX('データ'!$B$880:$J$1244,MATCH(D37,'データ'!$A$880:$A$1244,0),$A$2),INDEX('データ'!$L$880:$T$1244,MATCH(D37,'データ'!$A$880:$A$1244,0),$A$2),INDEX('データ'!$V$880:$AD$1244,MATCH(D37,'データ'!$A$880:$A$1244,0),$A$2))),"")</f>
        <v>1990</v>
      </c>
      <c r="E38" s="59">
        <f>IF(MONTH(E37)=12,IF(IFERROR(CHOOSE($A$3,INDEX('データ'!$B$880:$J$1244,MATCH(E37,'データ'!$A$880:$A$1244,0),$A$2),INDEX('データ'!$L$880:$T$1244,MATCH(E37,'データ'!$A$880:$A$1244,0),$A$2),INDEX('データ'!$V$880:$AD$1244,MATCH(E37,'データ'!$A$880:$A$1244,0),$A$2)),0)=0,"",CHOOSE($A$3,INDEX('データ'!$B$880:$J$1244,MATCH(E37,'データ'!$A$880:$A$1244,0),$A$2),INDEX('データ'!$L$880:$T$1244,MATCH(E37,'データ'!$A$880:$A$1244,0),$A$2),INDEX('データ'!$V$880:$AD$1244,MATCH(E37,'データ'!$A$880:$A$1244,0),$A$2))),"")</f>
        <v>1680</v>
      </c>
      <c r="F38" s="59">
        <f>IF(MONTH(F37)=12,IF(IFERROR(CHOOSE($A$3,INDEX('データ'!$B$880:$J$1244,MATCH(F37,'データ'!$A$880:$A$1244,0),$A$2),INDEX('データ'!$L$880:$T$1244,MATCH(F37,'データ'!$A$880:$A$1244,0),$A$2),INDEX('データ'!$V$880:$AD$1244,MATCH(F37,'データ'!$A$880:$A$1244,0),$A$2)),0)=0,"",CHOOSE($A$3,INDEX('データ'!$B$880:$J$1244,MATCH(F37,'データ'!$A$880:$A$1244,0),$A$2),INDEX('データ'!$L$880:$T$1244,MATCH(F37,'データ'!$A$880:$A$1244,0),$A$2),INDEX('データ'!$V$880:$AD$1244,MATCH(F37,'データ'!$A$880:$A$1244,0),$A$2))),"")</f>
        <v>1739</v>
      </c>
      <c r="G38" s="59">
        <f>IF(MONTH(G37)=12,IF(IFERROR(CHOOSE($A$3,INDEX('データ'!$B$880:$J$1244,MATCH(G37,'データ'!$A$880:$A$1244,0),$A$2),INDEX('データ'!$L$880:$T$1244,MATCH(G37,'データ'!$A$880:$A$1244,0),$A$2),INDEX('データ'!$V$880:$AD$1244,MATCH(G37,'データ'!$A$880:$A$1244,0),$A$2)),0)=0,"",CHOOSE($A$3,INDEX('データ'!$B$880:$J$1244,MATCH(G37,'データ'!$A$880:$A$1244,0),$A$2),INDEX('データ'!$L$880:$T$1244,MATCH(G37,'データ'!$A$880:$A$1244,0),$A$2),INDEX('データ'!$V$880:$AD$1244,MATCH(G37,'データ'!$A$880:$A$1244,0),$A$2))),"")</f>
        <v/>
      </c>
      <c r="H38" s="59">
        <f>IF(MONTH(H37)=12,IF(IFERROR(CHOOSE($A$3,INDEX('データ'!$B$880:$J$1244,MATCH(H37,'データ'!$A$880:$A$1244,0),$A$2),INDEX('データ'!$L$880:$T$1244,MATCH(H37,'データ'!$A$880:$A$1244,0),$A$2),INDEX('データ'!$V$880:$AD$1244,MATCH(H37,'データ'!$A$880:$A$1244,0),$A$2)),0)=0,"",CHOOSE($A$3,INDEX('データ'!$B$880:$J$1244,MATCH(H37,'データ'!$A$880:$A$1244,0),$A$2),INDEX('データ'!$L$880:$T$1244,MATCH(H37,'データ'!$A$880:$A$1244,0),$A$2),INDEX('データ'!$V$880:$AD$1244,MATCH(H37,'データ'!$A$880:$A$1244,0),$A$2))),"")</f>
        <v>197</v>
      </c>
      <c r="J38" s="59">
        <f>IF(MONTH(J37)=1,IF(IFERROR(CHOOSE($A$3,INDEX('データ'!$B$880:$J$1244,MATCH(J37,'データ'!$A$880:$A$1244,0),$A$2),INDEX('データ'!$L$880:$T$1244,MATCH(J37,'データ'!$A$880:$A$1244,0),$A$2),INDEX('データ'!$V$880:$AD$1244,MATCH(J37,'データ'!$A$880:$A$1244,0),$A$2)),0)=0,"",CHOOSE($A$3,INDEX('データ'!$B$880:$J$1244,MATCH(J37,'データ'!$A$880:$A$1244,0),$A$2),INDEX('データ'!$L$880:$T$1244,MATCH(J37,'データ'!$A$880:$A$1244,0),$A$2),INDEX('データ'!$V$880:$AD$1244,MATCH(J37,'データ'!$A$880:$A$1244,0),$A$2))),"")</f>
        <v/>
      </c>
      <c r="K38" s="59">
        <f>IF(MONTH(K37)=1,IF(IFERROR(CHOOSE($A$3,INDEX('データ'!$B$880:$J$1244,MATCH(K37,'データ'!$A$880:$A$1244,0),$A$2),INDEX('データ'!$L$880:$T$1244,MATCH(K37,'データ'!$A$880:$A$1244,0),$A$2),INDEX('データ'!$V$880:$AD$1244,MATCH(K37,'データ'!$A$880:$A$1244,0),$A$2)),0)=0,"",CHOOSE($A$3,INDEX('データ'!$B$880:$J$1244,MATCH(K37,'データ'!$A$880:$A$1244,0),$A$2),INDEX('データ'!$L$880:$T$1244,MATCH(K37,'データ'!$A$880:$A$1244,0),$A$2),INDEX('データ'!$V$880:$AD$1244,MATCH(K37,'データ'!$A$880:$A$1244,0),$A$2))),"")</f>
        <v/>
      </c>
      <c r="L38" s="59">
        <f>IF(MONTH(L37)=1,IF(IFERROR(CHOOSE($A$3,INDEX('データ'!$B$880:$J$1244,MATCH(L37,'データ'!$A$880:$A$1244,0),$A$2),INDEX('データ'!$L$880:$T$1244,MATCH(L37,'データ'!$A$880:$A$1244,0),$A$2),INDEX('データ'!$V$880:$AD$1244,MATCH(L37,'データ'!$A$880:$A$1244,0),$A$2)),0)=0,"",CHOOSE($A$3,INDEX('データ'!$B$880:$J$1244,MATCH(L37,'データ'!$A$880:$A$1244,0),$A$2),INDEX('データ'!$L$880:$T$1244,MATCH(L37,'データ'!$A$880:$A$1244,0),$A$2),INDEX('データ'!$V$880:$AD$1244,MATCH(L37,'データ'!$A$880:$A$1244,0),$A$2))),"")</f>
        <v/>
      </c>
      <c r="M38" s="59">
        <f>IF(MONTH(M37)=1,IF(IFERROR(CHOOSE($A$3,INDEX('データ'!$B$880:$J$1244,MATCH(M37,'データ'!$A$880:$A$1244,0),$A$2),INDEX('データ'!$L$880:$T$1244,MATCH(M37,'データ'!$A$880:$A$1244,0),$A$2),INDEX('データ'!$V$880:$AD$1244,MATCH(M37,'データ'!$A$880:$A$1244,0),$A$2)),0)=0,"",CHOOSE($A$3,INDEX('データ'!$B$880:$J$1244,MATCH(M37,'データ'!$A$880:$A$1244,0),$A$2),INDEX('データ'!$L$880:$T$1244,MATCH(M37,'データ'!$A$880:$A$1244,0),$A$2),INDEX('データ'!$V$880:$AD$1244,MATCH(M37,'データ'!$A$880:$A$1244,0),$A$2))),"")</f>
        <v/>
      </c>
      <c r="N38" s="59">
        <f>IF(MONTH(N37)=1,IF(IFERROR(CHOOSE($A$3,INDEX('データ'!$B$880:$J$1244,MATCH(N37,'データ'!$A$880:$A$1244,0),$A$2),INDEX('データ'!$L$880:$T$1244,MATCH(N37,'データ'!$A$880:$A$1244,0),$A$2),INDEX('データ'!$V$880:$AD$1244,MATCH(N37,'データ'!$A$880:$A$1244,0),$A$2)),0)=0,"",CHOOSE($A$3,INDEX('データ'!$B$880:$J$1244,MATCH(N37,'データ'!$A$880:$A$1244,0),$A$2),INDEX('データ'!$L$880:$T$1244,MATCH(N37,'データ'!$A$880:$A$1244,0),$A$2),INDEX('データ'!$V$880:$AD$1244,MATCH(N37,'データ'!$A$880:$A$1244,0),$A$2))),"")</f>
        <v/>
      </c>
      <c r="O38" s="59">
        <f>IF(MONTH(O37)=1,IF(IFERROR(CHOOSE($A$3,INDEX('データ'!$B$880:$J$1244,MATCH(O37,'データ'!$A$880:$A$1244,0),$A$2),INDEX('データ'!$L$880:$T$1244,MATCH(O37,'データ'!$A$880:$A$1244,0),$A$2),INDEX('データ'!$V$880:$AD$1244,MATCH(O37,'データ'!$A$880:$A$1244,0),$A$2)),0)=0,"",CHOOSE($A$3,INDEX('データ'!$B$880:$J$1244,MATCH(O37,'データ'!$A$880:$A$1244,0),$A$2),INDEX('データ'!$L$880:$T$1244,MATCH(O37,'データ'!$A$880:$A$1244,0),$A$2),INDEX('データ'!$V$880:$AD$1244,MATCH(O37,'データ'!$A$880:$A$1244,0),$A$2))),"")</f>
        <v/>
      </c>
      <c r="P38" s="59">
        <f>IF(MONTH(P37)=1,IF(IFERROR(CHOOSE($A$3,INDEX('データ'!$B$880:$J$1244,MATCH(P37,'データ'!$A$880:$A$1244,0),$A$2),INDEX('データ'!$L$880:$T$1244,MATCH(P37,'データ'!$A$880:$A$1244,0),$A$2),INDEX('データ'!$V$880:$AD$1244,MATCH(P37,'データ'!$A$880:$A$1244,0),$A$2)),0)=0,"",CHOOSE($A$3,INDEX('データ'!$B$880:$J$1244,MATCH(P37,'データ'!$A$880:$A$1244,0),$A$2),INDEX('データ'!$L$880:$T$1244,MATCH(P37,'データ'!$A$880:$A$1244,0),$A$2),INDEX('データ'!$V$880:$AD$1244,MATCH(P37,'データ'!$A$880:$A$1244,0),$A$2))),"")</f>
        <v/>
      </c>
      <c r="R38" s="59">
        <f>IF(MONTH(R37)=2,IF(IFERROR(CHOOSE($A$3,INDEX('データ'!$B$880:$J$1244,MATCH(R37,'データ'!$A$880:$A$1244,0),$A$2),INDEX('データ'!$L$880:$T$1244,MATCH(R37,'データ'!$A$880:$A$1244,0),$A$2),INDEX('データ'!$V$880:$AD$1244,MATCH(R37,'データ'!$A$880:$A$1244,0),$A$2)),0)=0,"",CHOOSE($A$3,INDEX('データ'!$B$880:$J$1244,MATCH(R37,'データ'!$A$880:$A$1244,0),$A$2),INDEX('データ'!$L$880:$T$1244,MATCH(R37,'データ'!$A$880:$A$1244,0),$A$2),INDEX('データ'!$V$880:$AD$1244,MATCH(R37,'データ'!$A$880:$A$1244,0),$A$2))),"")</f>
        <v/>
      </c>
      <c r="S38" s="59">
        <f>IF(MONTH(S37)=2,IF(IFERROR(CHOOSE($A$3,INDEX('データ'!$B$880:$J$1244,MATCH(S37,'データ'!$A$880:$A$1244,0),$A$2),INDEX('データ'!$L$880:$T$1244,MATCH(S37,'データ'!$A$880:$A$1244,0),$A$2),INDEX('データ'!$V$880:$AD$1244,MATCH(S37,'データ'!$A$880:$A$1244,0),$A$2)),0)=0,"",CHOOSE($A$3,INDEX('データ'!$B$880:$J$1244,MATCH(S37,'データ'!$A$880:$A$1244,0),$A$2),INDEX('データ'!$L$880:$T$1244,MATCH(S37,'データ'!$A$880:$A$1244,0),$A$2),INDEX('データ'!$V$880:$AD$1244,MATCH(S37,'データ'!$A$880:$A$1244,0),$A$2))),"")</f>
        <v/>
      </c>
      <c r="T38" s="59">
        <f>IF(MONTH(T37)=2,IF(IFERROR(CHOOSE($A$3,INDEX('データ'!$B$880:$J$1244,MATCH(T37,'データ'!$A$880:$A$1244,0),$A$2),INDEX('データ'!$L$880:$T$1244,MATCH(T37,'データ'!$A$880:$A$1244,0),$A$2),INDEX('データ'!$V$880:$AD$1244,MATCH(T37,'データ'!$A$880:$A$1244,0),$A$2)),0)=0,"",CHOOSE($A$3,INDEX('データ'!$B$880:$J$1244,MATCH(T37,'データ'!$A$880:$A$1244,0),$A$2),INDEX('データ'!$L$880:$T$1244,MATCH(T37,'データ'!$A$880:$A$1244,0),$A$2),INDEX('データ'!$V$880:$AD$1244,MATCH(T37,'データ'!$A$880:$A$1244,0),$A$2))),"")</f>
        <v/>
      </c>
      <c r="U38" s="59">
        <f>IF(MONTH(U37)=2,IF(IFERROR(CHOOSE($A$3,INDEX('データ'!$B$880:$J$1244,MATCH(U37,'データ'!$A$880:$A$1244,0),$A$2),INDEX('データ'!$L$880:$T$1244,MATCH(U37,'データ'!$A$880:$A$1244,0),$A$2),INDEX('データ'!$V$880:$AD$1244,MATCH(U37,'データ'!$A$880:$A$1244,0),$A$2)),0)=0,"",CHOOSE($A$3,INDEX('データ'!$B$880:$J$1244,MATCH(U37,'データ'!$A$880:$A$1244,0),$A$2),INDEX('データ'!$L$880:$T$1244,MATCH(U37,'データ'!$A$880:$A$1244,0),$A$2),INDEX('データ'!$V$880:$AD$1244,MATCH(U37,'データ'!$A$880:$A$1244,0),$A$2))),"")</f>
        <v/>
      </c>
      <c r="V38" s="59">
        <f>IF(MONTH(V37)=2,IF(IFERROR(CHOOSE($A$3,INDEX('データ'!$B$880:$J$1244,MATCH(V37,'データ'!$A$880:$A$1244,0),$A$2),INDEX('データ'!$L$880:$T$1244,MATCH(V37,'データ'!$A$880:$A$1244,0),$A$2),INDEX('データ'!$V$880:$AD$1244,MATCH(V37,'データ'!$A$880:$A$1244,0),$A$2)),0)=0,"",CHOOSE($A$3,INDEX('データ'!$B$880:$J$1244,MATCH(V37,'データ'!$A$880:$A$1244,0),$A$2),INDEX('データ'!$L$880:$T$1244,MATCH(V37,'データ'!$A$880:$A$1244,0),$A$2),INDEX('データ'!$V$880:$AD$1244,MATCH(V37,'データ'!$A$880:$A$1244,0),$A$2))),"")</f>
        <v/>
      </c>
      <c r="W38" s="59">
        <f>IF(MONTH(W37)=2,IF(IFERROR(CHOOSE($A$3,INDEX('データ'!$B$880:$J$1244,MATCH(W37,'データ'!$A$880:$A$1244,0),$A$2),INDEX('データ'!$L$880:$T$1244,MATCH(W37,'データ'!$A$880:$A$1244,0),$A$2),INDEX('データ'!$V$880:$AD$1244,MATCH(W37,'データ'!$A$880:$A$1244,0),$A$2)),0)=0,"",CHOOSE($A$3,INDEX('データ'!$B$880:$J$1244,MATCH(W37,'データ'!$A$880:$A$1244,0),$A$2),INDEX('データ'!$L$880:$T$1244,MATCH(W37,'データ'!$A$880:$A$1244,0),$A$2),INDEX('データ'!$V$880:$AD$1244,MATCH(W37,'データ'!$A$880:$A$1244,0),$A$2))),"")</f>
        <v/>
      </c>
      <c r="X38" s="59">
        <f>IF(MONTH(X37)=2,IF(IFERROR(CHOOSE($A$3,INDEX('データ'!$B$880:$J$1244,MATCH(X37,'データ'!$A$880:$A$1244,0),$A$2),INDEX('データ'!$L$880:$T$1244,MATCH(X37,'データ'!$A$880:$A$1244,0),$A$2),INDEX('データ'!$V$880:$AD$1244,MATCH(X37,'データ'!$A$880:$A$1244,0),$A$2)),0)=0,"",CHOOSE($A$3,INDEX('データ'!$B$880:$J$1244,MATCH(X37,'データ'!$A$880:$A$1244,0),$A$2),INDEX('データ'!$L$880:$T$1244,MATCH(X37,'データ'!$A$880:$A$1244,0),$A$2),INDEX('データ'!$V$880:$AD$1244,MATCH(X37,'データ'!$A$880:$A$1244,0),$A$2))),"")</f>
        <v/>
      </c>
      <c r="Z38" s="59">
        <f>IF(MONTH(Z37)=3,IF(IFERROR(CHOOSE($A$3,INDEX('データ'!$B$880:$J$1244,MATCH(Z37,'データ'!$A$880:$A$1244,0),$A$2),INDEX('データ'!$L$880:$T$1244,MATCH(Z37,'データ'!$A$880:$A$1244,0),$A$2),INDEX('データ'!$V$880:$AD$1244,MATCH(Z37,'データ'!$A$880:$A$1244,0),$A$2)),0)=0,"",CHOOSE($A$3,INDEX('データ'!$B$880:$J$1244,MATCH(Z37,'データ'!$A$880:$A$1244,0),$A$2),INDEX('データ'!$L$880:$T$1244,MATCH(Z37,'データ'!$A$880:$A$1244,0),$A$2),INDEX('データ'!$V$880:$AD$1244,MATCH(Z37,'データ'!$A$880:$A$1244,0),$A$2))),"")</f>
        <v/>
      </c>
      <c r="AA38" s="59">
        <f>IF(MONTH(AA37)=3,IF(IFERROR(CHOOSE($A$3,INDEX('データ'!$B$880:$J$1244,MATCH(AA37,'データ'!$A$880:$A$1244,0),$A$2),INDEX('データ'!$L$880:$T$1244,MATCH(AA37,'データ'!$A$880:$A$1244,0),$A$2),INDEX('データ'!$V$880:$AD$1244,MATCH(AA37,'データ'!$A$880:$A$1244,0),$A$2)),0)=0,"",CHOOSE($A$3,INDEX('データ'!$B$880:$J$1244,MATCH(AA37,'データ'!$A$880:$A$1244,0),$A$2),INDEX('データ'!$L$880:$T$1244,MATCH(AA37,'データ'!$A$880:$A$1244,0),$A$2),INDEX('データ'!$V$880:$AD$1244,MATCH(AA37,'データ'!$A$880:$A$1244,0),$A$2))),"")</f>
        <v/>
      </c>
      <c r="AB38" s="59">
        <f>IF(MONTH(AB37)=3,IF(IFERROR(CHOOSE($A$3,INDEX('データ'!$B$880:$J$1244,MATCH(AB37,'データ'!$A$880:$A$1244,0),$A$2),INDEX('データ'!$L$880:$T$1244,MATCH(AB37,'データ'!$A$880:$A$1244,0),$A$2),INDEX('データ'!$V$880:$AD$1244,MATCH(AB37,'データ'!$A$880:$A$1244,0),$A$2)),0)=0,"",CHOOSE($A$3,INDEX('データ'!$B$880:$J$1244,MATCH(AB37,'データ'!$A$880:$A$1244,0),$A$2),INDEX('データ'!$L$880:$T$1244,MATCH(AB37,'データ'!$A$880:$A$1244,0),$A$2),INDEX('データ'!$V$880:$AD$1244,MATCH(AB37,'データ'!$A$880:$A$1244,0),$A$2))),"")</f>
        <v/>
      </c>
      <c r="AC38" s="59">
        <f>IF(MONTH(AC37)=3,IF(IFERROR(CHOOSE($A$3,INDEX('データ'!$B$880:$J$1244,MATCH(AC37,'データ'!$A$880:$A$1244,0),$A$2),INDEX('データ'!$L$880:$T$1244,MATCH(AC37,'データ'!$A$880:$A$1244,0),$A$2),INDEX('データ'!$V$880:$AD$1244,MATCH(AC37,'データ'!$A$880:$A$1244,0),$A$2)),0)=0,"",CHOOSE($A$3,INDEX('データ'!$B$880:$J$1244,MATCH(AC37,'データ'!$A$880:$A$1244,0),$A$2),INDEX('データ'!$L$880:$T$1244,MATCH(AC37,'データ'!$A$880:$A$1244,0),$A$2),INDEX('データ'!$V$880:$AD$1244,MATCH(AC37,'データ'!$A$880:$A$1244,0),$A$2))),"")</f>
        <v/>
      </c>
      <c r="AD38" s="59">
        <f>IF(MONTH(AD37)=3,IF(IFERROR(CHOOSE($A$3,INDEX('データ'!$B$880:$J$1244,MATCH(AD37,'データ'!$A$880:$A$1244,0),$A$2),INDEX('データ'!$L$880:$T$1244,MATCH(AD37,'データ'!$A$880:$A$1244,0),$A$2),INDEX('データ'!$V$880:$AD$1244,MATCH(AD37,'データ'!$A$880:$A$1244,0),$A$2)),0)=0,"",CHOOSE($A$3,INDEX('データ'!$B$880:$J$1244,MATCH(AD37,'データ'!$A$880:$A$1244,0),$A$2),INDEX('データ'!$L$880:$T$1244,MATCH(AD37,'データ'!$A$880:$A$1244,0),$A$2),INDEX('データ'!$V$880:$AD$1244,MATCH(AD37,'データ'!$A$880:$A$1244,0),$A$2))),"")</f>
        <v/>
      </c>
      <c r="AE38" s="59">
        <f>IF(MONTH(AE37)=3,IF(IFERROR(CHOOSE($A$3,INDEX('データ'!$B$880:$J$1244,MATCH(AE37,'データ'!$A$880:$A$1244,0),$A$2),INDEX('データ'!$L$880:$T$1244,MATCH(AE37,'データ'!$A$880:$A$1244,0),$A$2),INDEX('データ'!$V$880:$AD$1244,MATCH(AE37,'データ'!$A$880:$A$1244,0),$A$2)),0)=0,"",CHOOSE($A$3,INDEX('データ'!$B$880:$J$1244,MATCH(AE37,'データ'!$A$880:$A$1244,0),$A$2),INDEX('データ'!$L$880:$T$1244,MATCH(AE37,'データ'!$A$880:$A$1244,0),$A$2),INDEX('データ'!$V$880:$AD$1244,MATCH(AE37,'データ'!$A$880:$A$1244,0),$A$2))),"")</f>
        <v/>
      </c>
      <c r="AF38" s="59">
        <f>IF(MONTH(AF37)=3,IF(IFERROR(CHOOSE($A$3,INDEX('データ'!$B$880:$J$1244,MATCH(AF37,'データ'!$A$880:$A$1244,0),$A$2),INDEX('データ'!$L$880:$T$1244,MATCH(AF37,'データ'!$A$880:$A$1244,0),$A$2),INDEX('データ'!$V$880:$AD$1244,MATCH(AF37,'データ'!$A$880:$A$1244,0),$A$2)),0)=0,"",CHOOSE($A$3,INDEX('データ'!$B$880:$J$1244,MATCH(AF37,'データ'!$A$880:$A$1244,0),$A$2),INDEX('データ'!$L$880:$T$1244,MATCH(AF37,'データ'!$A$880:$A$1244,0),$A$2),INDEX('データ'!$V$880:$AD$1244,MATCH(AF37,'データ'!$A$880:$A$1244,0),$A$2))),"")</f>
        <v/>
      </c>
    </row>
    <row r="39" spans="2:32" ht="13" customHeight="1">
      <c r="B39" s="58">
        <f>DATE(2025,12,1)-WEEKDAY(DATE(2025,12,1),2)+8</f>
        <v>45999</v>
      </c>
      <c r="C39" s="58">
        <f>DATE(2025,12,1)-WEEKDAY(DATE(2025,12,1),2)+9</f>
        <v>46000</v>
      </c>
      <c r="D39" s="58">
        <f>DATE(2025,12,1)-WEEKDAY(DATE(2025,12,1),2)+10</f>
        <v>46001</v>
      </c>
      <c r="E39" s="58">
        <f>DATE(2025,12,1)-WEEKDAY(DATE(2025,12,1),2)+11</f>
        <v>46002</v>
      </c>
      <c r="F39" s="58">
        <f>DATE(2025,12,1)-WEEKDAY(DATE(2025,12,1),2)+12</f>
        <v>46003</v>
      </c>
      <c r="G39" s="58">
        <f>DATE(2025,12,1)-WEEKDAY(DATE(2025,12,1),2)+13</f>
        <v>46004</v>
      </c>
      <c r="H39" s="58">
        <f>DATE(2025,12,1)-WEEKDAY(DATE(2025,12,1),2)+14</f>
        <v>46005</v>
      </c>
      <c r="J39" s="58">
        <f>DATE(2026,1,1)-WEEKDAY(DATE(2026,1,1),2)+8</f>
        <v>46027</v>
      </c>
      <c r="K39" s="58">
        <f>DATE(2026,1,1)-WEEKDAY(DATE(2026,1,1),2)+9</f>
        <v>46028</v>
      </c>
      <c r="L39" s="58">
        <f>DATE(2026,1,1)-WEEKDAY(DATE(2026,1,1),2)+10</f>
        <v>46029</v>
      </c>
      <c r="M39" s="58">
        <f>DATE(2026,1,1)-WEEKDAY(DATE(2026,1,1),2)+11</f>
        <v>46030</v>
      </c>
      <c r="N39" s="58">
        <f>DATE(2026,1,1)-WEEKDAY(DATE(2026,1,1),2)+12</f>
        <v>46031</v>
      </c>
      <c r="O39" s="58">
        <f>DATE(2026,1,1)-WEEKDAY(DATE(2026,1,1),2)+13</f>
        <v>46032</v>
      </c>
      <c r="P39" s="58">
        <f>DATE(2026,1,1)-WEEKDAY(DATE(2026,1,1),2)+14</f>
        <v>46033</v>
      </c>
      <c r="R39" s="58">
        <f>DATE(2026,2,1)-WEEKDAY(DATE(2026,2,1),2)+8</f>
        <v>46055</v>
      </c>
      <c r="S39" s="58">
        <f>DATE(2026,2,1)-WEEKDAY(DATE(2026,2,1),2)+9</f>
        <v>46056</v>
      </c>
      <c r="T39" s="58">
        <f>DATE(2026,2,1)-WEEKDAY(DATE(2026,2,1),2)+10</f>
        <v>46057</v>
      </c>
      <c r="U39" s="58">
        <f>DATE(2026,2,1)-WEEKDAY(DATE(2026,2,1),2)+11</f>
        <v>46058</v>
      </c>
      <c r="V39" s="58">
        <f>DATE(2026,2,1)-WEEKDAY(DATE(2026,2,1),2)+12</f>
        <v>46059</v>
      </c>
      <c r="W39" s="58">
        <f>DATE(2026,2,1)-WEEKDAY(DATE(2026,2,1),2)+13</f>
        <v>46060</v>
      </c>
      <c r="X39" s="58">
        <f>DATE(2026,2,1)-WEEKDAY(DATE(2026,2,1),2)+14</f>
        <v>46061</v>
      </c>
      <c r="Z39" s="58">
        <f>DATE(2026,3,1)-WEEKDAY(DATE(2026,3,1),2)+8</f>
        <v>46083</v>
      </c>
      <c r="AA39" s="58">
        <f>DATE(2026,3,1)-WEEKDAY(DATE(2026,3,1),2)+9</f>
        <v>46084</v>
      </c>
      <c r="AB39" s="58">
        <f>DATE(2026,3,1)-WEEKDAY(DATE(2026,3,1),2)+10</f>
        <v>46085</v>
      </c>
      <c r="AC39" s="58">
        <f>DATE(2026,3,1)-WEEKDAY(DATE(2026,3,1),2)+11</f>
        <v>46086</v>
      </c>
      <c r="AD39" s="58">
        <f>DATE(2026,3,1)-WEEKDAY(DATE(2026,3,1),2)+12</f>
        <v>46087</v>
      </c>
      <c r="AE39" s="58">
        <f>DATE(2026,3,1)-WEEKDAY(DATE(2026,3,1),2)+13</f>
        <v>46088</v>
      </c>
      <c r="AF39" s="58">
        <f>DATE(2026,3,1)-WEEKDAY(DATE(2026,3,1),2)+14</f>
        <v>46089</v>
      </c>
    </row>
    <row r="40" spans="2:32" ht="21" customHeight="1">
      <c r="B40" s="59">
        <f>IF(MONTH(B39)=12,IF(IFERROR(CHOOSE($A$3,INDEX('データ'!$B$880:$J$1244,MATCH(B39,'データ'!$A$880:$A$1244,0),$A$2),INDEX('データ'!$L$880:$T$1244,MATCH(B39,'データ'!$A$880:$A$1244,0),$A$2),INDEX('データ'!$V$880:$AD$1244,MATCH(B39,'データ'!$A$880:$A$1244,0),$A$2)),0)=0,"",CHOOSE($A$3,INDEX('データ'!$B$880:$J$1244,MATCH(B39,'データ'!$A$880:$A$1244,0),$A$2),INDEX('データ'!$L$880:$T$1244,MATCH(B39,'データ'!$A$880:$A$1244,0),$A$2),INDEX('データ'!$V$880:$AD$1244,MATCH(B39,'データ'!$A$880:$A$1244,0),$A$2))),"")</f>
        <v>3000</v>
      </c>
      <c r="C40" s="59">
        <f>IF(MONTH(C39)=12,IF(IFERROR(CHOOSE($A$3,INDEX('データ'!$B$880:$J$1244,MATCH(C39,'データ'!$A$880:$A$1244,0),$A$2),INDEX('データ'!$L$880:$T$1244,MATCH(C39,'データ'!$A$880:$A$1244,0),$A$2),INDEX('データ'!$V$880:$AD$1244,MATCH(C39,'データ'!$A$880:$A$1244,0),$A$2)),0)=0,"",CHOOSE($A$3,INDEX('データ'!$B$880:$J$1244,MATCH(C39,'データ'!$A$880:$A$1244,0),$A$2),INDEX('データ'!$L$880:$T$1244,MATCH(C39,'データ'!$A$880:$A$1244,0),$A$2),INDEX('データ'!$V$880:$AD$1244,MATCH(C39,'データ'!$A$880:$A$1244,0),$A$2))),"")</f>
        <v>2503</v>
      </c>
      <c r="D40" s="59">
        <f>IF(MONTH(D39)=12,IF(IFERROR(CHOOSE($A$3,INDEX('データ'!$B$880:$J$1244,MATCH(D39,'データ'!$A$880:$A$1244,0),$A$2),INDEX('データ'!$L$880:$T$1244,MATCH(D39,'データ'!$A$880:$A$1244,0),$A$2),INDEX('データ'!$V$880:$AD$1244,MATCH(D39,'データ'!$A$880:$A$1244,0),$A$2)),0)=0,"",CHOOSE($A$3,INDEX('データ'!$B$880:$J$1244,MATCH(D39,'データ'!$A$880:$A$1244,0),$A$2),INDEX('データ'!$L$880:$T$1244,MATCH(D39,'データ'!$A$880:$A$1244,0),$A$2),INDEX('データ'!$V$880:$AD$1244,MATCH(D39,'データ'!$A$880:$A$1244,0),$A$2))),"")</f>
        <v>2485</v>
      </c>
      <c r="E40" s="59">
        <f>IF(MONTH(E39)=12,IF(IFERROR(CHOOSE($A$3,INDEX('データ'!$B$880:$J$1244,MATCH(E39,'データ'!$A$880:$A$1244,0),$A$2),INDEX('データ'!$L$880:$T$1244,MATCH(E39,'データ'!$A$880:$A$1244,0),$A$2),INDEX('データ'!$V$880:$AD$1244,MATCH(E39,'データ'!$A$880:$A$1244,0),$A$2)),0)=0,"",CHOOSE($A$3,INDEX('データ'!$B$880:$J$1244,MATCH(E39,'データ'!$A$880:$A$1244,0),$A$2),INDEX('データ'!$L$880:$T$1244,MATCH(E39,'データ'!$A$880:$A$1244,0),$A$2),INDEX('データ'!$V$880:$AD$1244,MATCH(E39,'データ'!$A$880:$A$1244,0),$A$2))),"")</f>
        <v>2187</v>
      </c>
      <c r="F40" s="59">
        <f>IF(MONTH(F39)=12,IF(IFERROR(CHOOSE($A$3,INDEX('データ'!$B$880:$J$1244,MATCH(F39,'データ'!$A$880:$A$1244,0),$A$2),INDEX('データ'!$L$880:$T$1244,MATCH(F39,'データ'!$A$880:$A$1244,0),$A$2),INDEX('データ'!$V$880:$AD$1244,MATCH(F39,'データ'!$A$880:$A$1244,0),$A$2)),0)=0,"",CHOOSE($A$3,INDEX('データ'!$B$880:$J$1244,MATCH(F39,'データ'!$A$880:$A$1244,0),$A$2),INDEX('データ'!$L$880:$T$1244,MATCH(F39,'データ'!$A$880:$A$1244,0),$A$2),INDEX('データ'!$V$880:$AD$1244,MATCH(F39,'データ'!$A$880:$A$1244,0),$A$2))),"")</f>
        <v>2627</v>
      </c>
      <c r="G40" s="59">
        <f>IF(MONTH(G39)=12,IF(IFERROR(CHOOSE($A$3,INDEX('データ'!$B$880:$J$1244,MATCH(G39,'データ'!$A$880:$A$1244,0),$A$2),INDEX('データ'!$L$880:$T$1244,MATCH(G39,'データ'!$A$880:$A$1244,0),$A$2),INDEX('データ'!$V$880:$AD$1244,MATCH(G39,'データ'!$A$880:$A$1244,0),$A$2)),0)=0,"",CHOOSE($A$3,INDEX('データ'!$B$880:$J$1244,MATCH(G39,'データ'!$A$880:$A$1244,0),$A$2),INDEX('データ'!$L$880:$T$1244,MATCH(G39,'データ'!$A$880:$A$1244,0),$A$2),INDEX('データ'!$V$880:$AD$1244,MATCH(G39,'データ'!$A$880:$A$1244,0),$A$2))),"")</f>
        <v/>
      </c>
      <c r="H40" s="59">
        <f>IF(MONTH(H39)=12,IF(IFERROR(CHOOSE($A$3,INDEX('データ'!$B$880:$J$1244,MATCH(H39,'データ'!$A$880:$A$1244,0),$A$2),INDEX('データ'!$L$880:$T$1244,MATCH(H39,'データ'!$A$880:$A$1244,0),$A$2),INDEX('データ'!$V$880:$AD$1244,MATCH(H39,'データ'!$A$880:$A$1244,0),$A$2)),0)=0,"",CHOOSE($A$3,INDEX('データ'!$B$880:$J$1244,MATCH(H39,'データ'!$A$880:$A$1244,0),$A$2),INDEX('データ'!$L$880:$T$1244,MATCH(H39,'データ'!$A$880:$A$1244,0),$A$2),INDEX('データ'!$V$880:$AD$1244,MATCH(H39,'データ'!$A$880:$A$1244,0),$A$2))),"")</f>
        <v>82</v>
      </c>
      <c r="J40" s="59">
        <f>IF(MONTH(J39)=1,IF(IFERROR(CHOOSE($A$3,INDEX('データ'!$B$880:$J$1244,MATCH(J39,'データ'!$A$880:$A$1244,0),$A$2),INDEX('データ'!$L$880:$T$1244,MATCH(J39,'データ'!$A$880:$A$1244,0),$A$2),INDEX('データ'!$V$880:$AD$1244,MATCH(J39,'データ'!$A$880:$A$1244,0),$A$2)),0)=0,"",CHOOSE($A$3,INDEX('データ'!$B$880:$J$1244,MATCH(J39,'データ'!$A$880:$A$1244,0),$A$2),INDEX('データ'!$L$880:$T$1244,MATCH(J39,'データ'!$A$880:$A$1244,0),$A$2),INDEX('データ'!$V$880:$AD$1244,MATCH(J39,'データ'!$A$880:$A$1244,0),$A$2))),"")</f>
        <v>2509</v>
      </c>
      <c r="K40" s="59">
        <f>IF(MONTH(K39)=1,IF(IFERROR(CHOOSE($A$3,INDEX('データ'!$B$880:$J$1244,MATCH(K39,'データ'!$A$880:$A$1244,0),$A$2),INDEX('データ'!$L$880:$T$1244,MATCH(K39,'データ'!$A$880:$A$1244,0),$A$2),INDEX('データ'!$V$880:$AD$1244,MATCH(K39,'データ'!$A$880:$A$1244,0),$A$2)),0)=0,"",CHOOSE($A$3,INDEX('データ'!$B$880:$J$1244,MATCH(K39,'データ'!$A$880:$A$1244,0),$A$2),INDEX('データ'!$L$880:$T$1244,MATCH(K39,'データ'!$A$880:$A$1244,0),$A$2),INDEX('データ'!$V$880:$AD$1244,MATCH(K39,'データ'!$A$880:$A$1244,0),$A$2))),"")</f>
        <v>1676</v>
      </c>
      <c r="L40" s="59">
        <f>IF(MONTH(L39)=1,IF(IFERROR(CHOOSE($A$3,INDEX('データ'!$B$880:$J$1244,MATCH(L39,'データ'!$A$880:$A$1244,0),$A$2),INDEX('データ'!$L$880:$T$1244,MATCH(L39,'データ'!$A$880:$A$1244,0),$A$2),INDEX('データ'!$V$880:$AD$1244,MATCH(L39,'データ'!$A$880:$A$1244,0),$A$2)),0)=0,"",CHOOSE($A$3,INDEX('データ'!$B$880:$J$1244,MATCH(L39,'データ'!$A$880:$A$1244,0),$A$2),INDEX('データ'!$L$880:$T$1244,MATCH(L39,'データ'!$A$880:$A$1244,0),$A$2),INDEX('データ'!$V$880:$AD$1244,MATCH(L39,'データ'!$A$880:$A$1244,0),$A$2))),"")</f>
        <v>1639</v>
      </c>
      <c r="M40" s="59">
        <f>IF(MONTH(M39)=1,IF(IFERROR(CHOOSE($A$3,INDEX('データ'!$B$880:$J$1244,MATCH(M39,'データ'!$A$880:$A$1244,0),$A$2),INDEX('データ'!$L$880:$T$1244,MATCH(M39,'データ'!$A$880:$A$1244,0),$A$2),INDEX('データ'!$V$880:$AD$1244,MATCH(M39,'データ'!$A$880:$A$1244,0),$A$2)),0)=0,"",CHOOSE($A$3,INDEX('データ'!$B$880:$J$1244,MATCH(M39,'データ'!$A$880:$A$1244,0),$A$2),INDEX('データ'!$L$880:$T$1244,MATCH(M39,'データ'!$A$880:$A$1244,0),$A$2),INDEX('データ'!$V$880:$AD$1244,MATCH(M39,'データ'!$A$880:$A$1244,0),$A$2))),"")</f>
        <v>1579</v>
      </c>
      <c r="N40" s="59">
        <f>IF(MONTH(N39)=1,IF(IFERROR(CHOOSE($A$3,INDEX('データ'!$B$880:$J$1244,MATCH(N39,'データ'!$A$880:$A$1244,0),$A$2),INDEX('データ'!$L$880:$T$1244,MATCH(N39,'データ'!$A$880:$A$1244,0),$A$2),INDEX('データ'!$V$880:$AD$1244,MATCH(N39,'データ'!$A$880:$A$1244,0),$A$2)),0)=0,"",CHOOSE($A$3,INDEX('データ'!$B$880:$J$1244,MATCH(N39,'データ'!$A$880:$A$1244,0),$A$2),INDEX('データ'!$L$880:$T$1244,MATCH(N39,'データ'!$A$880:$A$1244,0),$A$2),INDEX('データ'!$V$880:$AD$1244,MATCH(N39,'データ'!$A$880:$A$1244,0),$A$2))),"")</f>
        <v>1792</v>
      </c>
      <c r="O40" s="59">
        <f>IF(MONTH(O39)=1,IF(IFERROR(CHOOSE($A$3,INDEX('データ'!$B$880:$J$1244,MATCH(O39,'データ'!$A$880:$A$1244,0),$A$2),INDEX('データ'!$L$880:$T$1244,MATCH(O39,'データ'!$A$880:$A$1244,0),$A$2),INDEX('データ'!$V$880:$AD$1244,MATCH(O39,'データ'!$A$880:$A$1244,0),$A$2)),0)=0,"",CHOOSE($A$3,INDEX('データ'!$B$880:$J$1244,MATCH(O39,'データ'!$A$880:$A$1244,0),$A$2),INDEX('データ'!$L$880:$T$1244,MATCH(O39,'データ'!$A$880:$A$1244,0),$A$2),INDEX('データ'!$V$880:$AD$1244,MATCH(O39,'データ'!$A$880:$A$1244,0),$A$2))),"")</f>
        <v>12</v>
      </c>
      <c r="P40" s="59">
        <f>IF(MONTH(P39)=1,IF(IFERROR(CHOOSE($A$3,INDEX('データ'!$B$880:$J$1244,MATCH(P39,'データ'!$A$880:$A$1244,0),$A$2),INDEX('データ'!$L$880:$T$1244,MATCH(P39,'データ'!$A$880:$A$1244,0),$A$2),INDEX('データ'!$V$880:$AD$1244,MATCH(P39,'データ'!$A$880:$A$1244,0),$A$2)),0)=0,"",CHOOSE($A$3,INDEX('データ'!$B$880:$J$1244,MATCH(P39,'データ'!$A$880:$A$1244,0),$A$2),INDEX('データ'!$L$880:$T$1244,MATCH(P39,'データ'!$A$880:$A$1244,0),$A$2),INDEX('データ'!$V$880:$AD$1244,MATCH(P39,'データ'!$A$880:$A$1244,0),$A$2))),"")</f>
        <v>130</v>
      </c>
      <c r="R40" s="59">
        <f>IF(MONTH(R39)=2,IF(IFERROR(CHOOSE($A$3,INDEX('データ'!$B$880:$J$1244,MATCH(R39,'データ'!$A$880:$A$1244,0),$A$2),INDEX('データ'!$L$880:$T$1244,MATCH(R39,'データ'!$A$880:$A$1244,0),$A$2),INDEX('データ'!$V$880:$AD$1244,MATCH(R39,'データ'!$A$880:$A$1244,0),$A$2)),0)=0,"",CHOOSE($A$3,INDEX('データ'!$B$880:$J$1244,MATCH(R39,'データ'!$A$880:$A$1244,0),$A$2),INDEX('データ'!$L$880:$T$1244,MATCH(R39,'データ'!$A$880:$A$1244,0),$A$2),INDEX('データ'!$V$880:$AD$1244,MATCH(R39,'データ'!$A$880:$A$1244,0),$A$2))),"")</f>
        <v>3969</v>
      </c>
      <c r="S40" s="59">
        <f>IF(MONTH(S39)=2,IF(IFERROR(CHOOSE($A$3,INDEX('データ'!$B$880:$J$1244,MATCH(S39,'データ'!$A$880:$A$1244,0),$A$2),INDEX('データ'!$L$880:$T$1244,MATCH(S39,'データ'!$A$880:$A$1244,0),$A$2),INDEX('データ'!$V$880:$AD$1244,MATCH(S39,'データ'!$A$880:$A$1244,0),$A$2)),0)=0,"",CHOOSE($A$3,INDEX('データ'!$B$880:$J$1244,MATCH(S39,'データ'!$A$880:$A$1244,0),$A$2),INDEX('データ'!$L$880:$T$1244,MATCH(S39,'データ'!$A$880:$A$1244,0),$A$2),INDEX('データ'!$V$880:$AD$1244,MATCH(S39,'データ'!$A$880:$A$1244,0),$A$2))),"")</f>
        <v>3570</v>
      </c>
      <c r="T40" s="59">
        <f>IF(MONTH(T39)=2,IF(IFERROR(CHOOSE($A$3,INDEX('データ'!$B$880:$J$1244,MATCH(T39,'データ'!$A$880:$A$1244,0),$A$2),INDEX('データ'!$L$880:$T$1244,MATCH(T39,'データ'!$A$880:$A$1244,0),$A$2),INDEX('データ'!$V$880:$AD$1244,MATCH(T39,'データ'!$A$880:$A$1244,0),$A$2)),0)=0,"",CHOOSE($A$3,INDEX('データ'!$B$880:$J$1244,MATCH(T39,'データ'!$A$880:$A$1244,0),$A$2),INDEX('データ'!$L$880:$T$1244,MATCH(T39,'データ'!$A$880:$A$1244,0),$A$2),INDEX('データ'!$V$880:$AD$1244,MATCH(T39,'データ'!$A$880:$A$1244,0),$A$2))),"")</f>
        <v>3707</v>
      </c>
      <c r="U40" s="59">
        <f>IF(MONTH(U39)=2,IF(IFERROR(CHOOSE($A$3,INDEX('データ'!$B$880:$J$1244,MATCH(U39,'データ'!$A$880:$A$1244,0),$A$2),INDEX('データ'!$L$880:$T$1244,MATCH(U39,'データ'!$A$880:$A$1244,0),$A$2),INDEX('データ'!$V$880:$AD$1244,MATCH(U39,'データ'!$A$880:$A$1244,0),$A$2)),0)=0,"",CHOOSE($A$3,INDEX('データ'!$B$880:$J$1244,MATCH(U39,'データ'!$A$880:$A$1244,0),$A$2),INDEX('データ'!$L$880:$T$1244,MATCH(U39,'データ'!$A$880:$A$1244,0),$A$2),INDEX('データ'!$V$880:$AD$1244,MATCH(U39,'データ'!$A$880:$A$1244,0),$A$2))),"")</f>
        <v>3646</v>
      </c>
      <c r="V40" s="59">
        <f>IF(MONTH(V39)=2,IF(IFERROR(CHOOSE($A$3,INDEX('データ'!$B$880:$J$1244,MATCH(V39,'データ'!$A$880:$A$1244,0),$A$2),INDEX('データ'!$L$880:$T$1244,MATCH(V39,'データ'!$A$880:$A$1244,0),$A$2),INDEX('データ'!$V$880:$AD$1244,MATCH(V39,'データ'!$A$880:$A$1244,0),$A$2)),0)=0,"",CHOOSE($A$3,INDEX('データ'!$B$880:$J$1244,MATCH(V39,'データ'!$A$880:$A$1244,0),$A$2),INDEX('データ'!$L$880:$T$1244,MATCH(V39,'データ'!$A$880:$A$1244,0),$A$2),INDEX('データ'!$V$880:$AD$1244,MATCH(V39,'データ'!$A$880:$A$1244,0),$A$2))),"")</f>
        <v>3758</v>
      </c>
      <c r="W40" s="59">
        <f>IF(MONTH(W39)=2,IF(IFERROR(CHOOSE($A$3,INDEX('データ'!$B$880:$J$1244,MATCH(W39,'データ'!$A$880:$A$1244,0),$A$2),INDEX('データ'!$L$880:$T$1244,MATCH(W39,'データ'!$A$880:$A$1244,0),$A$2),INDEX('データ'!$V$880:$AD$1244,MATCH(W39,'データ'!$A$880:$A$1244,0),$A$2)),0)=0,"",CHOOSE($A$3,INDEX('データ'!$B$880:$J$1244,MATCH(W39,'データ'!$A$880:$A$1244,0),$A$2),INDEX('データ'!$L$880:$T$1244,MATCH(W39,'データ'!$A$880:$A$1244,0),$A$2),INDEX('データ'!$V$880:$AD$1244,MATCH(W39,'データ'!$A$880:$A$1244,0),$A$2))),"")</f>
        <v/>
      </c>
      <c r="X40" s="59">
        <f>IF(MONTH(X39)=2,IF(IFERROR(CHOOSE($A$3,INDEX('データ'!$B$880:$J$1244,MATCH(X39,'データ'!$A$880:$A$1244,0),$A$2),INDEX('データ'!$L$880:$T$1244,MATCH(X39,'データ'!$A$880:$A$1244,0),$A$2),INDEX('データ'!$V$880:$AD$1244,MATCH(X39,'データ'!$A$880:$A$1244,0),$A$2)),0)=0,"",CHOOSE($A$3,INDEX('データ'!$B$880:$J$1244,MATCH(X39,'データ'!$A$880:$A$1244,0),$A$2),INDEX('データ'!$L$880:$T$1244,MATCH(X39,'データ'!$A$880:$A$1244,0),$A$2),INDEX('データ'!$V$880:$AD$1244,MATCH(X39,'データ'!$A$880:$A$1244,0),$A$2))),"")</f>
        <v/>
      </c>
      <c r="Z40" s="59">
        <f>IF(MONTH(Z39)=3,IF(IFERROR(CHOOSE($A$3,INDEX('データ'!$B$880:$J$1244,MATCH(Z39,'データ'!$A$880:$A$1244,0),$A$2),INDEX('データ'!$L$880:$T$1244,MATCH(Z39,'データ'!$A$880:$A$1244,0),$A$2),INDEX('データ'!$V$880:$AD$1244,MATCH(Z39,'データ'!$A$880:$A$1244,0),$A$2)),0)=0,"",CHOOSE($A$3,INDEX('データ'!$B$880:$J$1244,MATCH(Z39,'データ'!$A$880:$A$1244,0),$A$2),INDEX('データ'!$L$880:$T$1244,MATCH(Z39,'データ'!$A$880:$A$1244,0),$A$2),INDEX('データ'!$V$880:$AD$1244,MATCH(Z39,'データ'!$A$880:$A$1244,0),$A$2))),"")</f>
        <v>4534</v>
      </c>
      <c r="AA40" s="59">
        <f>IF(MONTH(AA39)=3,IF(IFERROR(CHOOSE($A$3,INDEX('データ'!$B$880:$J$1244,MATCH(AA39,'データ'!$A$880:$A$1244,0),$A$2),INDEX('データ'!$L$880:$T$1244,MATCH(AA39,'データ'!$A$880:$A$1244,0),$A$2),INDEX('データ'!$V$880:$AD$1244,MATCH(AA39,'データ'!$A$880:$A$1244,0),$A$2)),0)=0,"",CHOOSE($A$3,INDEX('データ'!$B$880:$J$1244,MATCH(AA39,'データ'!$A$880:$A$1244,0),$A$2),INDEX('データ'!$L$880:$T$1244,MATCH(AA39,'データ'!$A$880:$A$1244,0),$A$2),INDEX('データ'!$V$880:$AD$1244,MATCH(AA39,'データ'!$A$880:$A$1244,0),$A$2))),"")</f>
        <v>3844</v>
      </c>
      <c r="AB40" s="59">
        <f>IF(MONTH(AB39)=3,IF(IFERROR(CHOOSE($A$3,INDEX('データ'!$B$880:$J$1244,MATCH(AB39,'データ'!$A$880:$A$1244,0),$A$2),INDEX('データ'!$L$880:$T$1244,MATCH(AB39,'データ'!$A$880:$A$1244,0),$A$2),INDEX('データ'!$V$880:$AD$1244,MATCH(AB39,'データ'!$A$880:$A$1244,0),$A$2)),0)=0,"",CHOOSE($A$3,INDEX('データ'!$B$880:$J$1244,MATCH(AB39,'データ'!$A$880:$A$1244,0),$A$2),INDEX('データ'!$L$880:$T$1244,MATCH(AB39,'データ'!$A$880:$A$1244,0),$A$2),INDEX('データ'!$V$880:$AD$1244,MATCH(AB39,'データ'!$A$880:$A$1244,0),$A$2))),"")</f>
        <v>3913</v>
      </c>
      <c r="AC40" s="59">
        <f>IF(MONTH(AC39)=3,IF(IFERROR(CHOOSE($A$3,INDEX('データ'!$B$880:$J$1244,MATCH(AC39,'データ'!$A$880:$A$1244,0),$A$2),INDEX('データ'!$L$880:$T$1244,MATCH(AC39,'データ'!$A$880:$A$1244,0),$A$2),INDEX('データ'!$V$880:$AD$1244,MATCH(AC39,'データ'!$A$880:$A$1244,0),$A$2)),0)=0,"",CHOOSE($A$3,INDEX('データ'!$B$880:$J$1244,MATCH(AC39,'データ'!$A$880:$A$1244,0),$A$2),INDEX('データ'!$L$880:$T$1244,MATCH(AC39,'データ'!$A$880:$A$1244,0),$A$2),INDEX('データ'!$V$880:$AD$1244,MATCH(AC39,'データ'!$A$880:$A$1244,0),$A$2))),"")</f>
        <v>4210</v>
      </c>
      <c r="AD40" s="59">
        <f>IF(MONTH(AD39)=3,IF(IFERROR(CHOOSE($A$3,INDEX('データ'!$B$880:$J$1244,MATCH(AD39,'データ'!$A$880:$A$1244,0),$A$2),INDEX('データ'!$L$880:$T$1244,MATCH(AD39,'データ'!$A$880:$A$1244,0),$A$2),INDEX('データ'!$V$880:$AD$1244,MATCH(AD39,'データ'!$A$880:$A$1244,0),$A$2)),0)=0,"",CHOOSE($A$3,INDEX('データ'!$B$880:$J$1244,MATCH(AD39,'データ'!$A$880:$A$1244,0),$A$2),INDEX('データ'!$L$880:$T$1244,MATCH(AD39,'データ'!$A$880:$A$1244,0),$A$2),INDEX('データ'!$V$880:$AD$1244,MATCH(AD39,'データ'!$A$880:$A$1244,0),$A$2))),"")</f>
        <v>3427</v>
      </c>
      <c r="AE40" s="59">
        <f>IF(MONTH(AE39)=3,IF(IFERROR(CHOOSE($A$3,INDEX('データ'!$B$880:$J$1244,MATCH(AE39,'データ'!$A$880:$A$1244,0),$A$2),INDEX('データ'!$L$880:$T$1244,MATCH(AE39,'データ'!$A$880:$A$1244,0),$A$2),INDEX('データ'!$V$880:$AD$1244,MATCH(AE39,'データ'!$A$880:$A$1244,0),$A$2)),0)=0,"",CHOOSE($A$3,INDEX('データ'!$B$880:$J$1244,MATCH(AE39,'データ'!$A$880:$A$1244,0),$A$2),INDEX('データ'!$L$880:$T$1244,MATCH(AE39,'データ'!$A$880:$A$1244,0),$A$2),INDEX('データ'!$V$880:$AD$1244,MATCH(AE39,'データ'!$A$880:$A$1244,0),$A$2))),"")</f>
        <v/>
      </c>
      <c r="AF40" s="59">
        <f>IF(MONTH(AF39)=3,IF(IFERROR(CHOOSE($A$3,INDEX('データ'!$B$880:$J$1244,MATCH(AF39,'データ'!$A$880:$A$1244,0),$A$2),INDEX('データ'!$L$880:$T$1244,MATCH(AF39,'データ'!$A$880:$A$1244,0),$A$2),INDEX('データ'!$V$880:$AD$1244,MATCH(AF39,'データ'!$A$880:$A$1244,0),$A$2)),0)=0,"",CHOOSE($A$3,INDEX('データ'!$B$880:$J$1244,MATCH(AF39,'データ'!$A$880:$A$1244,0),$A$2),INDEX('データ'!$L$880:$T$1244,MATCH(AF39,'データ'!$A$880:$A$1244,0),$A$2),INDEX('データ'!$V$880:$AD$1244,MATCH(AF39,'データ'!$A$880:$A$1244,0),$A$2))),"")</f>
        <v>276</v>
      </c>
    </row>
    <row r="41" spans="2:32" ht="13" customHeight="1">
      <c r="B41" s="58">
        <f>DATE(2025,12,1)-WEEKDAY(DATE(2025,12,1),2)+15</f>
        <v>46006</v>
      </c>
      <c r="C41" s="58">
        <f>DATE(2025,12,1)-WEEKDAY(DATE(2025,12,1),2)+16</f>
        <v>46007</v>
      </c>
      <c r="D41" s="58">
        <f>DATE(2025,12,1)-WEEKDAY(DATE(2025,12,1),2)+17</f>
        <v>46008</v>
      </c>
      <c r="E41" s="58">
        <f>DATE(2025,12,1)-WEEKDAY(DATE(2025,12,1),2)+18</f>
        <v>46009</v>
      </c>
      <c r="F41" s="58">
        <f>DATE(2025,12,1)-WEEKDAY(DATE(2025,12,1),2)+19</f>
        <v>46010</v>
      </c>
      <c r="G41" s="58">
        <f>DATE(2025,12,1)-WEEKDAY(DATE(2025,12,1),2)+20</f>
        <v>46011</v>
      </c>
      <c r="H41" s="58">
        <f>DATE(2025,12,1)-WEEKDAY(DATE(2025,12,1),2)+21</f>
        <v>46012</v>
      </c>
      <c r="J41" s="58">
        <f>DATE(2026,1,1)-WEEKDAY(DATE(2026,1,1),2)+15</f>
        <v>46034</v>
      </c>
      <c r="K41" s="58">
        <f>DATE(2026,1,1)-WEEKDAY(DATE(2026,1,1),2)+16</f>
        <v>46035</v>
      </c>
      <c r="L41" s="58">
        <f>DATE(2026,1,1)-WEEKDAY(DATE(2026,1,1),2)+17</f>
        <v>46036</v>
      </c>
      <c r="M41" s="58">
        <f>DATE(2026,1,1)-WEEKDAY(DATE(2026,1,1),2)+18</f>
        <v>46037</v>
      </c>
      <c r="N41" s="58">
        <f>DATE(2026,1,1)-WEEKDAY(DATE(2026,1,1),2)+19</f>
        <v>46038</v>
      </c>
      <c r="O41" s="58">
        <f>DATE(2026,1,1)-WEEKDAY(DATE(2026,1,1),2)+20</f>
        <v>46039</v>
      </c>
      <c r="P41" s="58">
        <f>DATE(2026,1,1)-WEEKDAY(DATE(2026,1,1),2)+21</f>
        <v>46040</v>
      </c>
      <c r="R41" s="58">
        <f>DATE(2026,2,1)-WEEKDAY(DATE(2026,2,1),2)+15</f>
        <v>46062</v>
      </c>
      <c r="S41" s="58">
        <f>DATE(2026,2,1)-WEEKDAY(DATE(2026,2,1),2)+16</f>
        <v>46063</v>
      </c>
      <c r="T41" s="58">
        <f>DATE(2026,2,1)-WEEKDAY(DATE(2026,2,1),2)+17</f>
        <v>46064</v>
      </c>
      <c r="U41" s="58">
        <f>DATE(2026,2,1)-WEEKDAY(DATE(2026,2,1),2)+18</f>
        <v>46065</v>
      </c>
      <c r="V41" s="58">
        <f>DATE(2026,2,1)-WEEKDAY(DATE(2026,2,1),2)+19</f>
        <v>46066</v>
      </c>
      <c r="W41" s="58">
        <f>DATE(2026,2,1)-WEEKDAY(DATE(2026,2,1),2)+20</f>
        <v>46067</v>
      </c>
      <c r="X41" s="58">
        <f>DATE(2026,2,1)-WEEKDAY(DATE(2026,2,1),2)+21</f>
        <v>46068</v>
      </c>
      <c r="Z41" s="58">
        <f>DATE(2026,3,1)-WEEKDAY(DATE(2026,3,1),2)+15</f>
        <v>46090</v>
      </c>
      <c r="AA41" s="58">
        <f>DATE(2026,3,1)-WEEKDAY(DATE(2026,3,1),2)+16</f>
        <v>46091</v>
      </c>
      <c r="AB41" s="58">
        <f>DATE(2026,3,1)-WEEKDAY(DATE(2026,3,1),2)+17</f>
        <v>46092</v>
      </c>
      <c r="AC41" s="58">
        <f>DATE(2026,3,1)-WEEKDAY(DATE(2026,3,1),2)+18</f>
        <v>46093</v>
      </c>
      <c r="AD41" s="58">
        <f>DATE(2026,3,1)-WEEKDAY(DATE(2026,3,1),2)+19</f>
        <v>46094</v>
      </c>
      <c r="AE41" s="58">
        <f>DATE(2026,3,1)-WEEKDAY(DATE(2026,3,1),2)+20</f>
        <v>46095</v>
      </c>
      <c r="AF41" s="58">
        <f>DATE(2026,3,1)-WEEKDAY(DATE(2026,3,1),2)+21</f>
        <v>46096</v>
      </c>
    </row>
    <row r="42" spans="2:32" ht="21" customHeight="1">
      <c r="B42" s="59">
        <f>IF(MONTH(B41)=12,IF(IFERROR(CHOOSE($A$3,INDEX('データ'!$B$880:$J$1244,MATCH(B41,'データ'!$A$880:$A$1244,0),$A$2),INDEX('データ'!$L$880:$T$1244,MATCH(B41,'データ'!$A$880:$A$1244,0),$A$2),INDEX('データ'!$V$880:$AD$1244,MATCH(B41,'データ'!$A$880:$A$1244,0),$A$2)),0)=0,"",CHOOSE($A$3,INDEX('データ'!$B$880:$J$1244,MATCH(B41,'データ'!$A$880:$A$1244,0),$A$2),INDEX('データ'!$L$880:$T$1244,MATCH(B41,'データ'!$A$880:$A$1244,0),$A$2),INDEX('データ'!$V$880:$AD$1244,MATCH(B41,'データ'!$A$880:$A$1244,0),$A$2))),"")</f>
        <v>3426</v>
      </c>
      <c r="C42" s="59">
        <f>IF(MONTH(C41)=12,IF(IFERROR(CHOOSE($A$3,INDEX('データ'!$B$880:$J$1244,MATCH(C41,'データ'!$A$880:$A$1244,0),$A$2),INDEX('データ'!$L$880:$T$1244,MATCH(C41,'データ'!$A$880:$A$1244,0),$A$2),INDEX('データ'!$V$880:$AD$1244,MATCH(C41,'データ'!$A$880:$A$1244,0),$A$2)),0)=0,"",CHOOSE($A$3,INDEX('データ'!$B$880:$J$1244,MATCH(C41,'データ'!$A$880:$A$1244,0),$A$2),INDEX('データ'!$L$880:$T$1244,MATCH(C41,'データ'!$A$880:$A$1244,0),$A$2),INDEX('データ'!$V$880:$AD$1244,MATCH(C41,'データ'!$A$880:$A$1244,0),$A$2))),"")</f>
        <v>3088</v>
      </c>
      <c r="D42" s="59">
        <f>IF(MONTH(D41)=12,IF(IFERROR(CHOOSE($A$3,INDEX('データ'!$B$880:$J$1244,MATCH(D41,'データ'!$A$880:$A$1244,0),$A$2),INDEX('データ'!$L$880:$T$1244,MATCH(D41,'データ'!$A$880:$A$1244,0),$A$2),INDEX('データ'!$V$880:$AD$1244,MATCH(D41,'データ'!$A$880:$A$1244,0),$A$2)),0)=0,"",CHOOSE($A$3,INDEX('データ'!$B$880:$J$1244,MATCH(D41,'データ'!$A$880:$A$1244,0),$A$2),INDEX('データ'!$L$880:$T$1244,MATCH(D41,'データ'!$A$880:$A$1244,0),$A$2),INDEX('データ'!$V$880:$AD$1244,MATCH(D41,'データ'!$A$880:$A$1244,0),$A$2))),"")</f>
        <v>2797</v>
      </c>
      <c r="E42" s="59">
        <f>IF(MONTH(E41)=12,IF(IFERROR(CHOOSE($A$3,INDEX('データ'!$B$880:$J$1244,MATCH(E41,'データ'!$A$880:$A$1244,0),$A$2),INDEX('データ'!$L$880:$T$1244,MATCH(E41,'データ'!$A$880:$A$1244,0),$A$2),INDEX('データ'!$V$880:$AD$1244,MATCH(E41,'データ'!$A$880:$A$1244,0),$A$2)),0)=0,"",CHOOSE($A$3,INDEX('データ'!$B$880:$J$1244,MATCH(E41,'データ'!$A$880:$A$1244,0),$A$2),INDEX('データ'!$L$880:$T$1244,MATCH(E41,'データ'!$A$880:$A$1244,0),$A$2),INDEX('データ'!$V$880:$AD$1244,MATCH(E41,'データ'!$A$880:$A$1244,0),$A$2))),"")</f>
        <v>3162</v>
      </c>
      <c r="F42" s="59">
        <f>IF(MONTH(F41)=12,IF(IFERROR(CHOOSE($A$3,INDEX('データ'!$B$880:$J$1244,MATCH(F41,'データ'!$A$880:$A$1244,0),$A$2),INDEX('データ'!$L$880:$T$1244,MATCH(F41,'データ'!$A$880:$A$1244,0),$A$2),INDEX('データ'!$V$880:$AD$1244,MATCH(F41,'データ'!$A$880:$A$1244,0),$A$2)),0)=0,"",CHOOSE($A$3,INDEX('データ'!$B$880:$J$1244,MATCH(F41,'データ'!$A$880:$A$1244,0),$A$2),INDEX('データ'!$L$880:$T$1244,MATCH(F41,'データ'!$A$880:$A$1244,0),$A$2),INDEX('データ'!$V$880:$AD$1244,MATCH(F41,'データ'!$A$880:$A$1244,0),$A$2))),"")</f>
        <v>3221</v>
      </c>
      <c r="G42" s="59">
        <f>IF(MONTH(G41)=12,IF(IFERROR(CHOOSE($A$3,INDEX('データ'!$B$880:$J$1244,MATCH(G41,'データ'!$A$880:$A$1244,0),$A$2),INDEX('データ'!$L$880:$T$1244,MATCH(G41,'データ'!$A$880:$A$1244,0),$A$2),INDEX('データ'!$V$880:$AD$1244,MATCH(G41,'データ'!$A$880:$A$1244,0),$A$2)),0)=0,"",CHOOSE($A$3,INDEX('データ'!$B$880:$J$1244,MATCH(G41,'データ'!$A$880:$A$1244,0),$A$2),INDEX('データ'!$L$880:$T$1244,MATCH(G41,'データ'!$A$880:$A$1244,0),$A$2),INDEX('データ'!$V$880:$AD$1244,MATCH(G41,'データ'!$A$880:$A$1244,0),$A$2))),"")</f>
        <v/>
      </c>
      <c r="H42" s="59">
        <f>IF(MONTH(H41)=12,IF(IFERROR(CHOOSE($A$3,INDEX('データ'!$B$880:$J$1244,MATCH(H41,'データ'!$A$880:$A$1244,0),$A$2),INDEX('データ'!$L$880:$T$1244,MATCH(H41,'データ'!$A$880:$A$1244,0),$A$2),INDEX('データ'!$V$880:$AD$1244,MATCH(H41,'データ'!$A$880:$A$1244,0),$A$2)),0)=0,"",CHOOSE($A$3,INDEX('データ'!$B$880:$J$1244,MATCH(H41,'データ'!$A$880:$A$1244,0),$A$2),INDEX('データ'!$L$880:$T$1244,MATCH(H41,'データ'!$A$880:$A$1244,0),$A$2),INDEX('データ'!$V$880:$AD$1244,MATCH(H41,'データ'!$A$880:$A$1244,0),$A$2))),"")</f>
        <v/>
      </c>
      <c r="J42" s="59">
        <f>IF(MONTH(J41)=1,IF(IFERROR(CHOOSE($A$3,INDEX('データ'!$B$880:$J$1244,MATCH(J41,'データ'!$A$880:$A$1244,0),$A$2),INDEX('データ'!$L$880:$T$1244,MATCH(J41,'データ'!$A$880:$A$1244,0),$A$2),INDEX('データ'!$V$880:$AD$1244,MATCH(J41,'データ'!$A$880:$A$1244,0),$A$2)),0)=0,"",CHOOSE($A$3,INDEX('データ'!$B$880:$J$1244,MATCH(J41,'データ'!$A$880:$A$1244,0),$A$2),INDEX('データ'!$L$880:$T$1244,MATCH(J41,'データ'!$A$880:$A$1244,0),$A$2),INDEX('データ'!$V$880:$AD$1244,MATCH(J41,'データ'!$A$880:$A$1244,0),$A$2))),"")</f>
        <v>13</v>
      </c>
      <c r="K42" s="59">
        <f>IF(MONTH(K41)=1,IF(IFERROR(CHOOSE($A$3,INDEX('データ'!$B$880:$J$1244,MATCH(K41,'データ'!$A$880:$A$1244,0),$A$2),INDEX('データ'!$L$880:$T$1244,MATCH(K41,'データ'!$A$880:$A$1244,0),$A$2),INDEX('データ'!$V$880:$AD$1244,MATCH(K41,'データ'!$A$880:$A$1244,0),$A$2)),0)=0,"",CHOOSE($A$3,INDEX('データ'!$B$880:$J$1244,MATCH(K41,'データ'!$A$880:$A$1244,0),$A$2),INDEX('データ'!$L$880:$T$1244,MATCH(K41,'データ'!$A$880:$A$1244,0),$A$2),INDEX('データ'!$V$880:$AD$1244,MATCH(K41,'データ'!$A$880:$A$1244,0),$A$2))),"")</f>
        <v>1868</v>
      </c>
      <c r="L42" s="59">
        <f>IF(MONTH(L41)=1,IF(IFERROR(CHOOSE($A$3,INDEX('データ'!$B$880:$J$1244,MATCH(L41,'データ'!$A$880:$A$1244,0),$A$2),INDEX('データ'!$L$880:$T$1244,MATCH(L41,'データ'!$A$880:$A$1244,0),$A$2),INDEX('データ'!$V$880:$AD$1244,MATCH(L41,'データ'!$A$880:$A$1244,0),$A$2)),0)=0,"",CHOOSE($A$3,INDEX('データ'!$B$880:$J$1244,MATCH(L41,'データ'!$A$880:$A$1244,0),$A$2),INDEX('データ'!$L$880:$T$1244,MATCH(L41,'データ'!$A$880:$A$1244,0),$A$2),INDEX('データ'!$V$880:$AD$1244,MATCH(L41,'データ'!$A$880:$A$1244,0),$A$2))),"")</f>
        <v>1863</v>
      </c>
      <c r="M42" s="59">
        <f>IF(MONTH(M41)=1,IF(IFERROR(CHOOSE($A$3,INDEX('データ'!$B$880:$J$1244,MATCH(M41,'データ'!$A$880:$A$1244,0),$A$2),INDEX('データ'!$L$880:$T$1244,MATCH(M41,'データ'!$A$880:$A$1244,0),$A$2),INDEX('データ'!$V$880:$AD$1244,MATCH(M41,'データ'!$A$880:$A$1244,0),$A$2)),0)=0,"",CHOOSE($A$3,INDEX('データ'!$B$880:$J$1244,MATCH(M41,'データ'!$A$880:$A$1244,0),$A$2),INDEX('データ'!$L$880:$T$1244,MATCH(M41,'データ'!$A$880:$A$1244,0),$A$2),INDEX('データ'!$V$880:$AD$1244,MATCH(M41,'データ'!$A$880:$A$1244,0),$A$2))),"")</f>
        <v>1638</v>
      </c>
      <c r="N42" s="59">
        <f>IF(MONTH(N41)=1,IF(IFERROR(CHOOSE($A$3,INDEX('データ'!$B$880:$J$1244,MATCH(N41,'データ'!$A$880:$A$1244,0),$A$2),INDEX('データ'!$L$880:$T$1244,MATCH(N41,'データ'!$A$880:$A$1244,0),$A$2),INDEX('データ'!$V$880:$AD$1244,MATCH(N41,'データ'!$A$880:$A$1244,0),$A$2)),0)=0,"",CHOOSE($A$3,INDEX('データ'!$B$880:$J$1244,MATCH(N41,'データ'!$A$880:$A$1244,0),$A$2),INDEX('データ'!$L$880:$T$1244,MATCH(N41,'データ'!$A$880:$A$1244,0),$A$2),INDEX('データ'!$V$880:$AD$1244,MATCH(N41,'データ'!$A$880:$A$1244,0),$A$2))),"")</f>
        <v>1783</v>
      </c>
      <c r="O42" s="59">
        <f>IF(MONTH(O41)=1,IF(IFERROR(CHOOSE($A$3,INDEX('データ'!$B$880:$J$1244,MATCH(O41,'データ'!$A$880:$A$1244,0),$A$2),INDEX('データ'!$L$880:$T$1244,MATCH(O41,'データ'!$A$880:$A$1244,0),$A$2),INDEX('データ'!$V$880:$AD$1244,MATCH(O41,'データ'!$A$880:$A$1244,0),$A$2)),0)=0,"",CHOOSE($A$3,INDEX('データ'!$B$880:$J$1244,MATCH(O41,'データ'!$A$880:$A$1244,0),$A$2),INDEX('データ'!$L$880:$T$1244,MATCH(O41,'データ'!$A$880:$A$1244,0),$A$2),INDEX('データ'!$V$880:$AD$1244,MATCH(O41,'データ'!$A$880:$A$1244,0),$A$2))),"")</f>
        <v>74</v>
      </c>
      <c r="P42" s="59">
        <f>IF(MONTH(P41)=1,IF(IFERROR(CHOOSE($A$3,INDEX('データ'!$B$880:$J$1244,MATCH(P41,'データ'!$A$880:$A$1244,0),$A$2),INDEX('データ'!$L$880:$T$1244,MATCH(P41,'データ'!$A$880:$A$1244,0),$A$2),INDEX('データ'!$V$880:$AD$1244,MATCH(P41,'データ'!$A$880:$A$1244,0),$A$2)),0)=0,"",CHOOSE($A$3,INDEX('データ'!$B$880:$J$1244,MATCH(P41,'データ'!$A$880:$A$1244,0),$A$2),INDEX('データ'!$L$880:$T$1244,MATCH(P41,'データ'!$A$880:$A$1244,0),$A$2),INDEX('データ'!$V$880:$AD$1244,MATCH(P41,'データ'!$A$880:$A$1244,0),$A$2))),"")</f>
        <v>183</v>
      </c>
      <c r="R42" s="59">
        <f>IF(MONTH(R41)=2,IF(IFERROR(CHOOSE($A$3,INDEX('データ'!$B$880:$J$1244,MATCH(R41,'データ'!$A$880:$A$1244,0),$A$2),INDEX('データ'!$L$880:$T$1244,MATCH(R41,'データ'!$A$880:$A$1244,0),$A$2),INDEX('データ'!$V$880:$AD$1244,MATCH(R41,'データ'!$A$880:$A$1244,0),$A$2)),0)=0,"",CHOOSE($A$3,INDEX('データ'!$B$880:$J$1244,MATCH(R41,'データ'!$A$880:$A$1244,0),$A$2),INDEX('データ'!$L$880:$T$1244,MATCH(R41,'データ'!$A$880:$A$1244,0),$A$2),INDEX('データ'!$V$880:$AD$1244,MATCH(R41,'データ'!$A$880:$A$1244,0),$A$2))),"")</f>
        <v>2801</v>
      </c>
      <c r="S42" s="59">
        <f>IF(MONTH(S41)=2,IF(IFERROR(CHOOSE($A$3,INDEX('データ'!$B$880:$J$1244,MATCH(S41,'データ'!$A$880:$A$1244,0),$A$2),INDEX('データ'!$L$880:$T$1244,MATCH(S41,'データ'!$A$880:$A$1244,0),$A$2),INDEX('データ'!$V$880:$AD$1244,MATCH(S41,'データ'!$A$880:$A$1244,0),$A$2)),0)=0,"",CHOOSE($A$3,INDEX('データ'!$B$880:$J$1244,MATCH(S41,'データ'!$A$880:$A$1244,0),$A$2),INDEX('データ'!$L$880:$T$1244,MATCH(S41,'データ'!$A$880:$A$1244,0),$A$2),INDEX('データ'!$V$880:$AD$1244,MATCH(S41,'データ'!$A$880:$A$1244,0),$A$2))),"")</f>
        <v>3551</v>
      </c>
      <c r="T42" s="59">
        <f>IF(MONTH(T41)=2,IF(IFERROR(CHOOSE($A$3,INDEX('データ'!$B$880:$J$1244,MATCH(T41,'データ'!$A$880:$A$1244,0),$A$2),INDEX('データ'!$L$880:$T$1244,MATCH(T41,'データ'!$A$880:$A$1244,0),$A$2),INDEX('データ'!$V$880:$AD$1244,MATCH(T41,'データ'!$A$880:$A$1244,0),$A$2)),0)=0,"",CHOOSE($A$3,INDEX('データ'!$B$880:$J$1244,MATCH(T41,'データ'!$A$880:$A$1244,0),$A$2),INDEX('データ'!$L$880:$T$1244,MATCH(T41,'データ'!$A$880:$A$1244,0),$A$2),INDEX('データ'!$V$880:$AD$1244,MATCH(T41,'データ'!$A$880:$A$1244,0),$A$2))),"")</f>
        <v/>
      </c>
      <c r="U42" s="59">
        <f>IF(MONTH(U41)=2,IF(IFERROR(CHOOSE($A$3,INDEX('データ'!$B$880:$J$1244,MATCH(U41,'データ'!$A$880:$A$1244,0),$A$2),INDEX('データ'!$L$880:$T$1244,MATCH(U41,'データ'!$A$880:$A$1244,0),$A$2),INDEX('データ'!$V$880:$AD$1244,MATCH(U41,'データ'!$A$880:$A$1244,0),$A$2)),0)=0,"",CHOOSE($A$3,INDEX('データ'!$B$880:$J$1244,MATCH(U41,'データ'!$A$880:$A$1244,0),$A$2),INDEX('データ'!$L$880:$T$1244,MATCH(U41,'データ'!$A$880:$A$1244,0),$A$2),INDEX('データ'!$V$880:$AD$1244,MATCH(U41,'データ'!$A$880:$A$1244,0),$A$2))),"")</f>
        <v>4309</v>
      </c>
      <c r="V42" s="59">
        <f>IF(MONTH(V41)=2,IF(IFERROR(CHOOSE($A$3,INDEX('データ'!$B$880:$J$1244,MATCH(V41,'データ'!$A$880:$A$1244,0),$A$2),INDEX('データ'!$L$880:$T$1244,MATCH(V41,'データ'!$A$880:$A$1244,0),$A$2),INDEX('データ'!$V$880:$AD$1244,MATCH(V41,'データ'!$A$880:$A$1244,0),$A$2)),0)=0,"",CHOOSE($A$3,INDEX('データ'!$B$880:$J$1244,MATCH(V41,'データ'!$A$880:$A$1244,0),$A$2),INDEX('データ'!$L$880:$T$1244,MATCH(V41,'データ'!$A$880:$A$1244,0),$A$2),INDEX('データ'!$V$880:$AD$1244,MATCH(V41,'データ'!$A$880:$A$1244,0),$A$2))),"")</f>
        <v>4158</v>
      </c>
      <c r="W42" s="59">
        <f>IF(MONTH(W41)=2,IF(IFERROR(CHOOSE($A$3,INDEX('データ'!$B$880:$J$1244,MATCH(W41,'データ'!$A$880:$A$1244,0),$A$2),INDEX('データ'!$L$880:$T$1244,MATCH(W41,'データ'!$A$880:$A$1244,0),$A$2),INDEX('データ'!$V$880:$AD$1244,MATCH(W41,'データ'!$A$880:$A$1244,0),$A$2)),0)=0,"",CHOOSE($A$3,INDEX('データ'!$B$880:$J$1244,MATCH(W41,'データ'!$A$880:$A$1244,0),$A$2),INDEX('データ'!$L$880:$T$1244,MATCH(W41,'データ'!$A$880:$A$1244,0),$A$2),INDEX('データ'!$V$880:$AD$1244,MATCH(W41,'データ'!$A$880:$A$1244,0),$A$2))),"")</f>
        <v/>
      </c>
      <c r="X42" s="59">
        <f>IF(MONTH(X41)=2,IF(IFERROR(CHOOSE($A$3,INDEX('データ'!$B$880:$J$1244,MATCH(X41,'データ'!$A$880:$A$1244,0),$A$2),INDEX('データ'!$L$880:$T$1244,MATCH(X41,'データ'!$A$880:$A$1244,0),$A$2),INDEX('データ'!$V$880:$AD$1244,MATCH(X41,'データ'!$A$880:$A$1244,0),$A$2)),0)=0,"",CHOOSE($A$3,INDEX('データ'!$B$880:$J$1244,MATCH(X41,'データ'!$A$880:$A$1244,0),$A$2),INDEX('データ'!$L$880:$T$1244,MATCH(X41,'データ'!$A$880:$A$1244,0),$A$2),INDEX('データ'!$V$880:$AD$1244,MATCH(X41,'データ'!$A$880:$A$1244,0),$A$2))),"")</f>
        <v/>
      </c>
      <c r="Z42" s="59">
        <f>IF(MONTH(Z41)=3,IF(IFERROR(CHOOSE($A$3,INDEX('データ'!$B$880:$J$1244,MATCH(Z41,'データ'!$A$880:$A$1244,0),$A$2),INDEX('データ'!$L$880:$T$1244,MATCH(Z41,'データ'!$A$880:$A$1244,0),$A$2),INDEX('データ'!$V$880:$AD$1244,MATCH(Z41,'データ'!$A$880:$A$1244,0),$A$2)),0)=0,"",CHOOSE($A$3,INDEX('データ'!$B$880:$J$1244,MATCH(Z41,'データ'!$A$880:$A$1244,0),$A$2),INDEX('データ'!$L$880:$T$1244,MATCH(Z41,'データ'!$A$880:$A$1244,0),$A$2),INDEX('データ'!$V$880:$AD$1244,MATCH(Z41,'データ'!$A$880:$A$1244,0),$A$2))),"")</f>
        <v>4814</v>
      </c>
      <c r="AA42" s="59">
        <f>IF(MONTH(AA41)=3,IF(IFERROR(CHOOSE($A$3,INDEX('データ'!$B$880:$J$1244,MATCH(AA41,'データ'!$A$880:$A$1244,0),$A$2),INDEX('データ'!$L$880:$T$1244,MATCH(AA41,'データ'!$A$880:$A$1244,0),$A$2),INDEX('データ'!$V$880:$AD$1244,MATCH(AA41,'データ'!$A$880:$A$1244,0),$A$2)),0)=0,"",CHOOSE($A$3,INDEX('データ'!$B$880:$J$1244,MATCH(AA41,'データ'!$A$880:$A$1244,0),$A$2),INDEX('データ'!$L$880:$T$1244,MATCH(AA41,'データ'!$A$880:$A$1244,0),$A$2),INDEX('データ'!$V$880:$AD$1244,MATCH(AA41,'データ'!$A$880:$A$1244,0),$A$2))),"")</f>
        <v>4029</v>
      </c>
      <c r="AB42" s="59">
        <f>IF(MONTH(AB41)=3,IF(IFERROR(CHOOSE($A$3,INDEX('データ'!$B$880:$J$1244,MATCH(AB41,'データ'!$A$880:$A$1244,0),$A$2),INDEX('データ'!$L$880:$T$1244,MATCH(AB41,'データ'!$A$880:$A$1244,0),$A$2),INDEX('データ'!$V$880:$AD$1244,MATCH(AB41,'データ'!$A$880:$A$1244,0),$A$2)),0)=0,"",CHOOSE($A$3,INDEX('データ'!$B$880:$J$1244,MATCH(AB41,'データ'!$A$880:$A$1244,0),$A$2),INDEX('データ'!$L$880:$T$1244,MATCH(AB41,'データ'!$A$880:$A$1244,0),$A$2),INDEX('データ'!$V$880:$AD$1244,MATCH(AB41,'データ'!$A$880:$A$1244,0),$A$2))),"")</f>
        <v>3934</v>
      </c>
      <c r="AC42" s="59">
        <f>IF(MONTH(AC41)=3,IF(IFERROR(CHOOSE($A$3,INDEX('データ'!$B$880:$J$1244,MATCH(AC41,'データ'!$A$880:$A$1244,0),$A$2),INDEX('データ'!$L$880:$T$1244,MATCH(AC41,'データ'!$A$880:$A$1244,0),$A$2),INDEX('データ'!$V$880:$AD$1244,MATCH(AC41,'データ'!$A$880:$A$1244,0),$A$2)),0)=0,"",CHOOSE($A$3,INDEX('データ'!$B$880:$J$1244,MATCH(AC41,'データ'!$A$880:$A$1244,0),$A$2),INDEX('データ'!$L$880:$T$1244,MATCH(AC41,'データ'!$A$880:$A$1244,0),$A$2),INDEX('データ'!$V$880:$AD$1244,MATCH(AC41,'データ'!$A$880:$A$1244,0),$A$2))),"")</f>
        <v>3728</v>
      </c>
      <c r="AD42" s="59">
        <f>IF(MONTH(AD41)=3,IF(IFERROR(CHOOSE($A$3,INDEX('データ'!$B$880:$J$1244,MATCH(AD41,'データ'!$A$880:$A$1244,0),$A$2),INDEX('データ'!$L$880:$T$1244,MATCH(AD41,'データ'!$A$880:$A$1244,0),$A$2),INDEX('データ'!$V$880:$AD$1244,MATCH(AD41,'データ'!$A$880:$A$1244,0),$A$2)),0)=0,"",CHOOSE($A$3,INDEX('データ'!$B$880:$J$1244,MATCH(AD41,'データ'!$A$880:$A$1244,0),$A$2),INDEX('データ'!$L$880:$T$1244,MATCH(AD41,'データ'!$A$880:$A$1244,0),$A$2),INDEX('データ'!$V$880:$AD$1244,MATCH(AD41,'データ'!$A$880:$A$1244,0),$A$2))),"")</f>
        <v>3904</v>
      </c>
      <c r="AE42" s="59">
        <f>IF(MONTH(AE41)=3,IF(IFERROR(CHOOSE($A$3,INDEX('データ'!$B$880:$J$1244,MATCH(AE41,'データ'!$A$880:$A$1244,0),$A$2),INDEX('データ'!$L$880:$T$1244,MATCH(AE41,'データ'!$A$880:$A$1244,0),$A$2),INDEX('データ'!$V$880:$AD$1244,MATCH(AE41,'データ'!$A$880:$A$1244,0),$A$2)),0)=0,"",CHOOSE($A$3,INDEX('データ'!$B$880:$J$1244,MATCH(AE41,'データ'!$A$880:$A$1244,0),$A$2),INDEX('データ'!$L$880:$T$1244,MATCH(AE41,'データ'!$A$880:$A$1244,0),$A$2),INDEX('データ'!$V$880:$AD$1244,MATCH(AE41,'データ'!$A$880:$A$1244,0),$A$2))),"")</f>
        <v/>
      </c>
      <c r="AF42" s="59">
        <f>IF(MONTH(AF41)=3,IF(IFERROR(CHOOSE($A$3,INDEX('データ'!$B$880:$J$1244,MATCH(AF41,'データ'!$A$880:$A$1244,0),$A$2),INDEX('データ'!$L$880:$T$1244,MATCH(AF41,'データ'!$A$880:$A$1244,0),$A$2),INDEX('データ'!$V$880:$AD$1244,MATCH(AF41,'データ'!$A$880:$A$1244,0),$A$2)),0)=0,"",CHOOSE($A$3,INDEX('データ'!$B$880:$J$1244,MATCH(AF41,'データ'!$A$880:$A$1244,0),$A$2),INDEX('データ'!$L$880:$T$1244,MATCH(AF41,'データ'!$A$880:$A$1244,0),$A$2),INDEX('データ'!$V$880:$AD$1244,MATCH(AF41,'データ'!$A$880:$A$1244,0),$A$2))),"")</f>
        <v/>
      </c>
    </row>
    <row r="43" spans="2:32" ht="13" customHeight="1">
      <c r="B43" s="58">
        <f>DATE(2025,12,1)-WEEKDAY(DATE(2025,12,1),2)+22</f>
        <v>46013</v>
      </c>
      <c r="C43" s="58">
        <f>DATE(2025,12,1)-WEEKDAY(DATE(2025,12,1),2)+23</f>
        <v>46014</v>
      </c>
      <c r="D43" s="58">
        <f>DATE(2025,12,1)-WEEKDAY(DATE(2025,12,1),2)+24</f>
        <v>46015</v>
      </c>
      <c r="E43" s="58">
        <f>DATE(2025,12,1)-WEEKDAY(DATE(2025,12,1),2)+25</f>
        <v>46016</v>
      </c>
      <c r="F43" s="58">
        <f>DATE(2025,12,1)-WEEKDAY(DATE(2025,12,1),2)+26</f>
        <v>46017</v>
      </c>
      <c r="G43" s="58">
        <f>DATE(2025,12,1)-WEEKDAY(DATE(2025,12,1),2)+27</f>
        <v>46018</v>
      </c>
      <c r="H43" s="58">
        <f>DATE(2025,12,1)-WEEKDAY(DATE(2025,12,1),2)+28</f>
        <v>46019</v>
      </c>
      <c r="J43" s="58">
        <f>DATE(2026,1,1)-WEEKDAY(DATE(2026,1,1),2)+22</f>
        <v>46041</v>
      </c>
      <c r="K43" s="58">
        <f>DATE(2026,1,1)-WEEKDAY(DATE(2026,1,1),2)+23</f>
        <v>46042</v>
      </c>
      <c r="L43" s="58">
        <f>DATE(2026,1,1)-WEEKDAY(DATE(2026,1,1),2)+24</f>
        <v>46043</v>
      </c>
      <c r="M43" s="58">
        <f>DATE(2026,1,1)-WEEKDAY(DATE(2026,1,1),2)+25</f>
        <v>46044</v>
      </c>
      <c r="N43" s="58">
        <f>DATE(2026,1,1)-WEEKDAY(DATE(2026,1,1),2)+26</f>
        <v>46045</v>
      </c>
      <c r="O43" s="58">
        <f>DATE(2026,1,1)-WEEKDAY(DATE(2026,1,1),2)+27</f>
        <v>46046</v>
      </c>
      <c r="P43" s="58">
        <f>DATE(2026,1,1)-WEEKDAY(DATE(2026,1,1),2)+28</f>
        <v>46047</v>
      </c>
      <c r="R43" s="58">
        <f>DATE(2026,2,1)-WEEKDAY(DATE(2026,2,1),2)+22</f>
        <v>46069</v>
      </c>
      <c r="S43" s="58">
        <f>DATE(2026,2,1)-WEEKDAY(DATE(2026,2,1),2)+23</f>
        <v>46070</v>
      </c>
      <c r="T43" s="58">
        <f>DATE(2026,2,1)-WEEKDAY(DATE(2026,2,1),2)+24</f>
        <v>46071</v>
      </c>
      <c r="U43" s="58">
        <f>DATE(2026,2,1)-WEEKDAY(DATE(2026,2,1),2)+25</f>
        <v>46072</v>
      </c>
      <c r="V43" s="58">
        <f>DATE(2026,2,1)-WEEKDAY(DATE(2026,2,1),2)+26</f>
        <v>46073</v>
      </c>
      <c r="W43" s="58">
        <f>DATE(2026,2,1)-WEEKDAY(DATE(2026,2,1),2)+27</f>
        <v>46074</v>
      </c>
      <c r="X43" s="58">
        <f>DATE(2026,2,1)-WEEKDAY(DATE(2026,2,1),2)+28</f>
        <v>46075</v>
      </c>
      <c r="Z43" s="58">
        <f>DATE(2026,3,1)-WEEKDAY(DATE(2026,3,1),2)+22</f>
        <v>46097</v>
      </c>
      <c r="AA43" s="58">
        <f>DATE(2026,3,1)-WEEKDAY(DATE(2026,3,1),2)+23</f>
        <v>46098</v>
      </c>
      <c r="AB43" s="58">
        <f>DATE(2026,3,1)-WEEKDAY(DATE(2026,3,1),2)+24</f>
        <v>46099</v>
      </c>
      <c r="AC43" s="58">
        <f>DATE(2026,3,1)-WEEKDAY(DATE(2026,3,1),2)+25</f>
        <v>46100</v>
      </c>
      <c r="AD43" s="58">
        <f>DATE(2026,3,1)-WEEKDAY(DATE(2026,3,1),2)+26</f>
        <v>46101</v>
      </c>
      <c r="AE43" s="58">
        <f>DATE(2026,3,1)-WEEKDAY(DATE(2026,3,1),2)+27</f>
        <v>46102</v>
      </c>
      <c r="AF43" s="58">
        <f>DATE(2026,3,1)-WEEKDAY(DATE(2026,3,1),2)+28</f>
        <v>46103</v>
      </c>
    </row>
    <row r="44" spans="2:32" ht="21" customHeight="1">
      <c r="B44" s="59">
        <f>IF(MONTH(B43)=12,IF(IFERROR(CHOOSE($A$3,INDEX('データ'!$B$880:$J$1244,MATCH(B43,'データ'!$A$880:$A$1244,0),$A$2),INDEX('データ'!$L$880:$T$1244,MATCH(B43,'データ'!$A$880:$A$1244,0),$A$2),INDEX('データ'!$V$880:$AD$1244,MATCH(B43,'データ'!$A$880:$A$1244,0),$A$2)),0)=0,"",CHOOSE($A$3,INDEX('データ'!$B$880:$J$1244,MATCH(B43,'データ'!$A$880:$A$1244,0),$A$2),INDEX('データ'!$L$880:$T$1244,MATCH(B43,'データ'!$A$880:$A$1244,0),$A$2),INDEX('データ'!$V$880:$AD$1244,MATCH(B43,'データ'!$A$880:$A$1244,0),$A$2))),"")</f>
        <v>3595</v>
      </c>
      <c r="C44" s="59">
        <f>IF(MONTH(C43)=12,IF(IFERROR(CHOOSE($A$3,INDEX('データ'!$B$880:$J$1244,MATCH(C43,'データ'!$A$880:$A$1244,0),$A$2),INDEX('データ'!$L$880:$T$1244,MATCH(C43,'データ'!$A$880:$A$1244,0),$A$2),INDEX('データ'!$V$880:$AD$1244,MATCH(C43,'データ'!$A$880:$A$1244,0),$A$2)),0)=0,"",CHOOSE($A$3,INDEX('データ'!$B$880:$J$1244,MATCH(C43,'データ'!$A$880:$A$1244,0),$A$2),INDEX('データ'!$L$880:$T$1244,MATCH(C43,'データ'!$A$880:$A$1244,0),$A$2),INDEX('データ'!$V$880:$AD$1244,MATCH(C43,'データ'!$A$880:$A$1244,0),$A$2))),"")</f>
        <v>3321</v>
      </c>
      <c r="D44" s="59">
        <f>IF(MONTH(D43)=12,IF(IFERROR(CHOOSE($A$3,INDEX('データ'!$B$880:$J$1244,MATCH(D43,'データ'!$A$880:$A$1244,0),$A$2),INDEX('データ'!$L$880:$T$1244,MATCH(D43,'データ'!$A$880:$A$1244,0),$A$2),INDEX('データ'!$V$880:$AD$1244,MATCH(D43,'データ'!$A$880:$A$1244,0),$A$2)),0)=0,"",CHOOSE($A$3,INDEX('データ'!$B$880:$J$1244,MATCH(D43,'データ'!$A$880:$A$1244,0),$A$2),INDEX('データ'!$L$880:$T$1244,MATCH(D43,'データ'!$A$880:$A$1244,0),$A$2),INDEX('データ'!$V$880:$AD$1244,MATCH(D43,'データ'!$A$880:$A$1244,0),$A$2))),"")</f>
        <v>2968</v>
      </c>
      <c r="E44" s="59">
        <f>IF(MONTH(E43)=12,IF(IFERROR(CHOOSE($A$3,INDEX('データ'!$B$880:$J$1244,MATCH(E43,'データ'!$A$880:$A$1244,0),$A$2),INDEX('データ'!$L$880:$T$1244,MATCH(E43,'データ'!$A$880:$A$1244,0),$A$2),INDEX('データ'!$V$880:$AD$1244,MATCH(E43,'データ'!$A$880:$A$1244,0),$A$2)),0)=0,"",CHOOSE($A$3,INDEX('データ'!$B$880:$J$1244,MATCH(E43,'データ'!$A$880:$A$1244,0),$A$2),INDEX('データ'!$L$880:$T$1244,MATCH(E43,'データ'!$A$880:$A$1244,0),$A$2),INDEX('データ'!$V$880:$AD$1244,MATCH(E43,'データ'!$A$880:$A$1244,0),$A$2))),"")</f>
        <v>3238</v>
      </c>
      <c r="F44" s="59">
        <f>IF(MONTH(F43)=12,IF(IFERROR(CHOOSE($A$3,INDEX('データ'!$B$880:$J$1244,MATCH(F43,'データ'!$A$880:$A$1244,0),$A$2),INDEX('データ'!$L$880:$T$1244,MATCH(F43,'データ'!$A$880:$A$1244,0),$A$2),INDEX('データ'!$V$880:$AD$1244,MATCH(F43,'データ'!$A$880:$A$1244,0),$A$2)),0)=0,"",CHOOSE($A$3,INDEX('データ'!$B$880:$J$1244,MATCH(F43,'データ'!$A$880:$A$1244,0),$A$2),INDEX('データ'!$L$880:$T$1244,MATCH(F43,'データ'!$A$880:$A$1244,0),$A$2),INDEX('データ'!$V$880:$AD$1244,MATCH(F43,'データ'!$A$880:$A$1244,0),$A$2))),"")</f>
        <v>3517</v>
      </c>
      <c r="G44" s="59">
        <f>IF(MONTH(G43)=12,IF(IFERROR(CHOOSE($A$3,INDEX('データ'!$B$880:$J$1244,MATCH(G43,'データ'!$A$880:$A$1244,0),$A$2),INDEX('データ'!$L$880:$T$1244,MATCH(G43,'データ'!$A$880:$A$1244,0),$A$2),INDEX('データ'!$V$880:$AD$1244,MATCH(G43,'データ'!$A$880:$A$1244,0),$A$2)),0)=0,"",CHOOSE($A$3,INDEX('データ'!$B$880:$J$1244,MATCH(G43,'データ'!$A$880:$A$1244,0),$A$2),INDEX('データ'!$L$880:$T$1244,MATCH(G43,'データ'!$A$880:$A$1244,0),$A$2),INDEX('データ'!$V$880:$AD$1244,MATCH(G43,'データ'!$A$880:$A$1244,0),$A$2))),"")</f>
        <v/>
      </c>
      <c r="H44" s="59">
        <f>IF(MONTH(H43)=12,IF(IFERROR(CHOOSE($A$3,INDEX('データ'!$B$880:$J$1244,MATCH(H43,'データ'!$A$880:$A$1244,0),$A$2),INDEX('データ'!$L$880:$T$1244,MATCH(H43,'データ'!$A$880:$A$1244,0),$A$2),INDEX('データ'!$V$880:$AD$1244,MATCH(H43,'データ'!$A$880:$A$1244,0),$A$2)),0)=0,"",CHOOSE($A$3,INDEX('データ'!$B$880:$J$1244,MATCH(H43,'データ'!$A$880:$A$1244,0),$A$2),INDEX('データ'!$L$880:$T$1244,MATCH(H43,'データ'!$A$880:$A$1244,0),$A$2),INDEX('データ'!$V$880:$AD$1244,MATCH(H43,'データ'!$A$880:$A$1244,0),$A$2))),"")</f>
        <v/>
      </c>
      <c r="J44" s="59">
        <f>IF(MONTH(J43)=1,IF(IFERROR(CHOOSE($A$3,INDEX('データ'!$B$880:$J$1244,MATCH(J43,'データ'!$A$880:$A$1244,0),$A$2),INDEX('データ'!$L$880:$T$1244,MATCH(J43,'データ'!$A$880:$A$1244,0),$A$2),INDEX('データ'!$V$880:$AD$1244,MATCH(J43,'データ'!$A$880:$A$1244,0),$A$2)),0)=0,"",CHOOSE($A$3,INDEX('データ'!$B$880:$J$1244,MATCH(J43,'データ'!$A$880:$A$1244,0),$A$2),INDEX('データ'!$L$880:$T$1244,MATCH(J43,'データ'!$A$880:$A$1244,0),$A$2),INDEX('データ'!$V$880:$AD$1244,MATCH(J43,'データ'!$A$880:$A$1244,0),$A$2))),"")</f>
        <v>3248</v>
      </c>
      <c r="K44" s="59">
        <f>IF(MONTH(K43)=1,IF(IFERROR(CHOOSE($A$3,INDEX('データ'!$B$880:$J$1244,MATCH(K43,'データ'!$A$880:$A$1244,0),$A$2),INDEX('データ'!$L$880:$T$1244,MATCH(K43,'データ'!$A$880:$A$1244,0),$A$2),INDEX('データ'!$V$880:$AD$1244,MATCH(K43,'データ'!$A$880:$A$1244,0),$A$2)),0)=0,"",CHOOSE($A$3,INDEX('データ'!$B$880:$J$1244,MATCH(K43,'データ'!$A$880:$A$1244,0),$A$2),INDEX('データ'!$L$880:$T$1244,MATCH(K43,'データ'!$A$880:$A$1244,0),$A$2),INDEX('データ'!$V$880:$AD$1244,MATCH(K43,'データ'!$A$880:$A$1244,0),$A$2))),"")</f>
        <v>2759</v>
      </c>
      <c r="L44" s="59">
        <f>IF(MONTH(L43)=1,IF(IFERROR(CHOOSE($A$3,INDEX('データ'!$B$880:$J$1244,MATCH(L43,'データ'!$A$880:$A$1244,0),$A$2),INDEX('データ'!$L$880:$T$1244,MATCH(L43,'データ'!$A$880:$A$1244,0),$A$2),INDEX('データ'!$V$880:$AD$1244,MATCH(L43,'データ'!$A$880:$A$1244,0),$A$2)),0)=0,"",CHOOSE($A$3,INDEX('データ'!$B$880:$J$1244,MATCH(L43,'データ'!$A$880:$A$1244,0),$A$2),INDEX('データ'!$L$880:$T$1244,MATCH(L43,'データ'!$A$880:$A$1244,0),$A$2),INDEX('データ'!$V$880:$AD$1244,MATCH(L43,'データ'!$A$880:$A$1244,0),$A$2))),"")</f>
        <v>2809</v>
      </c>
      <c r="M44" s="59">
        <f>IF(MONTH(M43)=1,IF(IFERROR(CHOOSE($A$3,INDEX('データ'!$B$880:$J$1244,MATCH(M43,'データ'!$A$880:$A$1244,0),$A$2),INDEX('データ'!$L$880:$T$1244,MATCH(M43,'データ'!$A$880:$A$1244,0),$A$2),INDEX('データ'!$V$880:$AD$1244,MATCH(M43,'データ'!$A$880:$A$1244,0),$A$2)),0)=0,"",CHOOSE($A$3,INDEX('データ'!$B$880:$J$1244,MATCH(M43,'データ'!$A$880:$A$1244,0),$A$2),INDEX('データ'!$L$880:$T$1244,MATCH(M43,'データ'!$A$880:$A$1244,0),$A$2),INDEX('データ'!$V$880:$AD$1244,MATCH(M43,'データ'!$A$880:$A$1244,0),$A$2))),"")</f>
        <v>2484</v>
      </c>
      <c r="N44" s="59">
        <f>IF(MONTH(N43)=1,IF(IFERROR(CHOOSE($A$3,INDEX('データ'!$B$880:$J$1244,MATCH(N43,'データ'!$A$880:$A$1244,0),$A$2),INDEX('データ'!$L$880:$T$1244,MATCH(N43,'データ'!$A$880:$A$1244,0),$A$2),INDEX('データ'!$V$880:$AD$1244,MATCH(N43,'データ'!$A$880:$A$1244,0),$A$2)),0)=0,"",CHOOSE($A$3,INDEX('データ'!$B$880:$J$1244,MATCH(N43,'データ'!$A$880:$A$1244,0),$A$2),INDEX('データ'!$L$880:$T$1244,MATCH(N43,'データ'!$A$880:$A$1244,0),$A$2),INDEX('データ'!$V$880:$AD$1244,MATCH(N43,'データ'!$A$880:$A$1244,0),$A$2))),"")</f>
        <v>2843</v>
      </c>
      <c r="O44" s="59">
        <f>IF(MONTH(O43)=1,IF(IFERROR(CHOOSE($A$3,INDEX('データ'!$B$880:$J$1244,MATCH(O43,'データ'!$A$880:$A$1244,0),$A$2),INDEX('データ'!$L$880:$T$1244,MATCH(O43,'データ'!$A$880:$A$1244,0),$A$2),INDEX('データ'!$V$880:$AD$1244,MATCH(O43,'データ'!$A$880:$A$1244,0),$A$2)),0)=0,"",CHOOSE($A$3,INDEX('データ'!$B$880:$J$1244,MATCH(O43,'データ'!$A$880:$A$1244,0),$A$2),INDEX('データ'!$L$880:$T$1244,MATCH(O43,'データ'!$A$880:$A$1244,0),$A$2),INDEX('データ'!$V$880:$AD$1244,MATCH(O43,'データ'!$A$880:$A$1244,0),$A$2))),"")</f>
        <v>70</v>
      </c>
      <c r="P44" s="59">
        <f>IF(MONTH(P43)=1,IF(IFERROR(CHOOSE($A$3,INDEX('データ'!$B$880:$J$1244,MATCH(P43,'データ'!$A$880:$A$1244,0),$A$2),INDEX('データ'!$L$880:$T$1244,MATCH(P43,'データ'!$A$880:$A$1244,0),$A$2),INDEX('データ'!$V$880:$AD$1244,MATCH(P43,'データ'!$A$880:$A$1244,0),$A$2)),0)=0,"",CHOOSE($A$3,INDEX('データ'!$B$880:$J$1244,MATCH(P43,'データ'!$A$880:$A$1244,0),$A$2),INDEX('データ'!$L$880:$T$1244,MATCH(P43,'データ'!$A$880:$A$1244,0),$A$2),INDEX('データ'!$V$880:$AD$1244,MATCH(P43,'データ'!$A$880:$A$1244,0),$A$2))),"")</f>
        <v>62</v>
      </c>
      <c r="R44" s="59">
        <f>IF(MONTH(R43)=2,IF(IFERROR(CHOOSE($A$3,INDEX('データ'!$B$880:$J$1244,MATCH(R43,'データ'!$A$880:$A$1244,0),$A$2),INDEX('データ'!$L$880:$T$1244,MATCH(R43,'データ'!$A$880:$A$1244,0),$A$2),INDEX('データ'!$V$880:$AD$1244,MATCH(R43,'データ'!$A$880:$A$1244,0),$A$2)),0)=0,"",CHOOSE($A$3,INDEX('データ'!$B$880:$J$1244,MATCH(R43,'データ'!$A$880:$A$1244,0),$A$2),INDEX('データ'!$L$880:$T$1244,MATCH(R43,'データ'!$A$880:$A$1244,0),$A$2),INDEX('データ'!$V$880:$AD$1244,MATCH(R43,'データ'!$A$880:$A$1244,0),$A$2))),"")</f>
        <v>4331</v>
      </c>
      <c r="S44" s="59">
        <f>IF(MONTH(S43)=2,IF(IFERROR(CHOOSE($A$3,INDEX('データ'!$B$880:$J$1244,MATCH(S43,'データ'!$A$880:$A$1244,0),$A$2),INDEX('データ'!$L$880:$T$1244,MATCH(S43,'データ'!$A$880:$A$1244,0),$A$2),INDEX('データ'!$V$880:$AD$1244,MATCH(S43,'データ'!$A$880:$A$1244,0),$A$2)),0)=0,"",CHOOSE($A$3,INDEX('データ'!$B$880:$J$1244,MATCH(S43,'データ'!$A$880:$A$1244,0),$A$2),INDEX('データ'!$L$880:$T$1244,MATCH(S43,'データ'!$A$880:$A$1244,0),$A$2),INDEX('データ'!$V$880:$AD$1244,MATCH(S43,'データ'!$A$880:$A$1244,0),$A$2))),"")</f>
        <v>3927</v>
      </c>
      <c r="T44" s="59">
        <f>IF(MONTH(T43)=2,IF(IFERROR(CHOOSE($A$3,INDEX('データ'!$B$880:$J$1244,MATCH(T43,'データ'!$A$880:$A$1244,0),$A$2),INDEX('データ'!$L$880:$T$1244,MATCH(T43,'データ'!$A$880:$A$1244,0),$A$2),INDEX('データ'!$V$880:$AD$1244,MATCH(T43,'データ'!$A$880:$A$1244,0),$A$2)),0)=0,"",CHOOSE($A$3,INDEX('データ'!$B$880:$J$1244,MATCH(T43,'データ'!$A$880:$A$1244,0),$A$2),INDEX('データ'!$L$880:$T$1244,MATCH(T43,'データ'!$A$880:$A$1244,0),$A$2),INDEX('データ'!$V$880:$AD$1244,MATCH(T43,'データ'!$A$880:$A$1244,0),$A$2))),"")</f>
        <v>3757</v>
      </c>
      <c r="U44" s="59">
        <f>IF(MONTH(U43)=2,IF(IFERROR(CHOOSE($A$3,INDEX('データ'!$B$880:$J$1244,MATCH(U43,'データ'!$A$880:$A$1244,0),$A$2),INDEX('データ'!$L$880:$T$1244,MATCH(U43,'データ'!$A$880:$A$1244,0),$A$2),INDEX('データ'!$V$880:$AD$1244,MATCH(U43,'データ'!$A$880:$A$1244,0),$A$2)),0)=0,"",CHOOSE($A$3,INDEX('データ'!$B$880:$J$1244,MATCH(U43,'データ'!$A$880:$A$1244,0),$A$2),INDEX('データ'!$L$880:$T$1244,MATCH(U43,'データ'!$A$880:$A$1244,0),$A$2),INDEX('データ'!$V$880:$AD$1244,MATCH(U43,'データ'!$A$880:$A$1244,0),$A$2))),"")</f>
        <v>3584</v>
      </c>
      <c r="V44" s="59">
        <f>IF(MONTH(V43)=2,IF(IFERROR(CHOOSE($A$3,INDEX('データ'!$B$880:$J$1244,MATCH(V43,'データ'!$A$880:$A$1244,0),$A$2),INDEX('データ'!$L$880:$T$1244,MATCH(V43,'データ'!$A$880:$A$1244,0),$A$2),INDEX('データ'!$V$880:$AD$1244,MATCH(V43,'データ'!$A$880:$A$1244,0),$A$2)),0)=0,"",CHOOSE($A$3,INDEX('データ'!$B$880:$J$1244,MATCH(V43,'データ'!$A$880:$A$1244,0),$A$2),INDEX('データ'!$L$880:$T$1244,MATCH(V43,'データ'!$A$880:$A$1244,0),$A$2),INDEX('データ'!$V$880:$AD$1244,MATCH(V43,'データ'!$A$880:$A$1244,0),$A$2))),"")</f>
        <v>3766</v>
      </c>
      <c r="W44" s="59">
        <f>IF(MONTH(W43)=2,IF(IFERROR(CHOOSE($A$3,INDEX('データ'!$B$880:$J$1244,MATCH(W43,'データ'!$A$880:$A$1244,0),$A$2),INDEX('データ'!$L$880:$T$1244,MATCH(W43,'データ'!$A$880:$A$1244,0),$A$2),INDEX('データ'!$V$880:$AD$1244,MATCH(W43,'データ'!$A$880:$A$1244,0),$A$2)),0)=0,"",CHOOSE($A$3,INDEX('データ'!$B$880:$J$1244,MATCH(W43,'データ'!$A$880:$A$1244,0),$A$2),INDEX('データ'!$L$880:$T$1244,MATCH(W43,'データ'!$A$880:$A$1244,0),$A$2),INDEX('データ'!$V$880:$AD$1244,MATCH(W43,'データ'!$A$880:$A$1244,0),$A$2))),"")</f>
        <v/>
      </c>
      <c r="X44" s="59">
        <f>IF(MONTH(X43)=2,IF(IFERROR(CHOOSE($A$3,INDEX('データ'!$B$880:$J$1244,MATCH(X43,'データ'!$A$880:$A$1244,0),$A$2),INDEX('データ'!$L$880:$T$1244,MATCH(X43,'データ'!$A$880:$A$1244,0),$A$2),INDEX('データ'!$V$880:$AD$1244,MATCH(X43,'データ'!$A$880:$A$1244,0),$A$2)),0)=0,"",CHOOSE($A$3,INDEX('データ'!$B$880:$J$1244,MATCH(X43,'データ'!$A$880:$A$1244,0),$A$2),INDEX('データ'!$L$880:$T$1244,MATCH(X43,'データ'!$A$880:$A$1244,0),$A$2),INDEX('データ'!$V$880:$AD$1244,MATCH(X43,'データ'!$A$880:$A$1244,0),$A$2))),"")</f>
        <v/>
      </c>
      <c r="Z44" s="59">
        <f>IF(MONTH(Z43)=3,IF(IFERROR(CHOOSE($A$3,INDEX('データ'!$B$880:$J$1244,MATCH(Z43,'データ'!$A$880:$A$1244,0),$A$2),INDEX('データ'!$L$880:$T$1244,MATCH(Z43,'データ'!$A$880:$A$1244,0),$A$2),INDEX('データ'!$V$880:$AD$1244,MATCH(Z43,'データ'!$A$880:$A$1244,0),$A$2)),0)=0,"",CHOOSE($A$3,INDEX('データ'!$B$880:$J$1244,MATCH(Z43,'データ'!$A$880:$A$1244,0),$A$2),INDEX('データ'!$L$880:$T$1244,MATCH(Z43,'データ'!$A$880:$A$1244,0),$A$2),INDEX('データ'!$V$880:$AD$1244,MATCH(Z43,'データ'!$A$880:$A$1244,0),$A$2))),"")</f>
        <v>4720</v>
      </c>
      <c r="AA44" s="59">
        <f>IF(MONTH(AA43)=3,IF(IFERROR(CHOOSE($A$3,INDEX('データ'!$B$880:$J$1244,MATCH(AA43,'データ'!$A$880:$A$1244,0),$A$2),INDEX('データ'!$L$880:$T$1244,MATCH(AA43,'データ'!$A$880:$A$1244,0),$A$2),INDEX('データ'!$V$880:$AD$1244,MATCH(AA43,'データ'!$A$880:$A$1244,0),$A$2)),0)=0,"",CHOOSE($A$3,INDEX('データ'!$B$880:$J$1244,MATCH(AA43,'データ'!$A$880:$A$1244,0),$A$2),INDEX('データ'!$L$880:$T$1244,MATCH(AA43,'データ'!$A$880:$A$1244,0),$A$2),INDEX('データ'!$V$880:$AD$1244,MATCH(AA43,'データ'!$A$880:$A$1244,0),$A$2))),"")</f>
        <v>3807</v>
      </c>
      <c r="AB44" s="59">
        <f>IF(MONTH(AB43)=3,IF(IFERROR(CHOOSE($A$3,INDEX('データ'!$B$880:$J$1244,MATCH(AB43,'データ'!$A$880:$A$1244,0),$A$2),INDEX('データ'!$L$880:$T$1244,MATCH(AB43,'データ'!$A$880:$A$1244,0),$A$2),INDEX('データ'!$V$880:$AD$1244,MATCH(AB43,'データ'!$A$880:$A$1244,0),$A$2)),0)=0,"",CHOOSE($A$3,INDEX('データ'!$B$880:$J$1244,MATCH(AB43,'データ'!$A$880:$A$1244,0),$A$2),INDEX('データ'!$L$880:$T$1244,MATCH(AB43,'データ'!$A$880:$A$1244,0),$A$2),INDEX('データ'!$V$880:$AD$1244,MATCH(AB43,'データ'!$A$880:$A$1244,0),$A$2))),"")</f>
        <v>3054</v>
      </c>
      <c r="AC44" s="59">
        <f>IF(MONTH(AC43)=3,IF(IFERROR(CHOOSE($A$3,INDEX('データ'!$B$880:$J$1244,MATCH(AC43,'データ'!$A$880:$A$1244,0),$A$2),INDEX('データ'!$L$880:$T$1244,MATCH(AC43,'データ'!$A$880:$A$1244,0),$A$2),INDEX('データ'!$V$880:$AD$1244,MATCH(AC43,'データ'!$A$880:$A$1244,0),$A$2)),0)=0,"",CHOOSE($A$3,INDEX('データ'!$B$880:$J$1244,MATCH(AC43,'データ'!$A$880:$A$1244,0),$A$2),INDEX('データ'!$L$880:$T$1244,MATCH(AC43,'データ'!$A$880:$A$1244,0),$A$2),INDEX('データ'!$V$880:$AD$1244,MATCH(AC43,'データ'!$A$880:$A$1244,0),$A$2))),"")</f>
        <v>3957</v>
      </c>
      <c r="AD44" s="59">
        <f>IF(MONTH(AD43)=3,IF(IFERROR(CHOOSE($A$3,INDEX('データ'!$B$880:$J$1244,MATCH(AD43,'データ'!$A$880:$A$1244,0),$A$2),INDEX('データ'!$L$880:$T$1244,MATCH(AD43,'データ'!$A$880:$A$1244,0),$A$2),INDEX('データ'!$V$880:$AD$1244,MATCH(AD43,'データ'!$A$880:$A$1244,0),$A$2)),0)=0,"",CHOOSE($A$3,INDEX('データ'!$B$880:$J$1244,MATCH(AD43,'データ'!$A$880:$A$1244,0),$A$2),INDEX('データ'!$L$880:$T$1244,MATCH(AD43,'データ'!$A$880:$A$1244,0),$A$2),INDEX('データ'!$V$880:$AD$1244,MATCH(AD43,'データ'!$A$880:$A$1244,0),$A$2))),"")</f>
        <v/>
      </c>
      <c r="AE44" s="59">
        <f>IF(MONTH(AE43)=3,IF(IFERROR(CHOOSE($A$3,INDEX('データ'!$B$880:$J$1244,MATCH(AE43,'データ'!$A$880:$A$1244,0),$A$2),INDEX('データ'!$L$880:$T$1244,MATCH(AE43,'データ'!$A$880:$A$1244,0),$A$2),INDEX('データ'!$V$880:$AD$1244,MATCH(AE43,'データ'!$A$880:$A$1244,0),$A$2)),0)=0,"",CHOOSE($A$3,INDEX('データ'!$B$880:$J$1244,MATCH(AE43,'データ'!$A$880:$A$1244,0),$A$2),INDEX('データ'!$L$880:$T$1244,MATCH(AE43,'データ'!$A$880:$A$1244,0),$A$2),INDEX('データ'!$V$880:$AD$1244,MATCH(AE43,'データ'!$A$880:$A$1244,0),$A$2))),"")</f>
        <v/>
      </c>
      <c r="AF44" s="59">
        <f>IF(MONTH(AF43)=3,IF(IFERROR(CHOOSE($A$3,INDEX('データ'!$B$880:$J$1244,MATCH(AF43,'データ'!$A$880:$A$1244,0),$A$2),INDEX('データ'!$L$880:$T$1244,MATCH(AF43,'データ'!$A$880:$A$1244,0),$A$2),INDEX('データ'!$V$880:$AD$1244,MATCH(AF43,'データ'!$A$880:$A$1244,0),$A$2)),0)=0,"",CHOOSE($A$3,INDEX('データ'!$B$880:$J$1244,MATCH(AF43,'データ'!$A$880:$A$1244,0),$A$2),INDEX('データ'!$L$880:$T$1244,MATCH(AF43,'データ'!$A$880:$A$1244,0),$A$2),INDEX('データ'!$V$880:$AD$1244,MATCH(AF43,'データ'!$A$880:$A$1244,0),$A$2))),"")</f>
        <v/>
      </c>
    </row>
    <row r="45" spans="2:32" ht="13" customHeight="1">
      <c r="B45" s="58">
        <f>DATE(2025,12,1)-WEEKDAY(DATE(2025,12,1),2)+29</f>
        <v>46020</v>
      </c>
      <c r="C45" s="58">
        <f>DATE(2025,12,1)-WEEKDAY(DATE(2025,12,1),2)+30</f>
        <v>46021</v>
      </c>
      <c r="D45" s="58">
        <f>DATE(2025,12,1)-WEEKDAY(DATE(2025,12,1),2)+31</f>
        <v>46022</v>
      </c>
      <c r="E45" s="58">
        <f>DATE(2025,12,1)-WEEKDAY(DATE(2025,12,1),2)+32</f>
        <v>46023</v>
      </c>
      <c r="F45" s="58">
        <f>DATE(2025,12,1)-WEEKDAY(DATE(2025,12,1),2)+33</f>
        <v>46024</v>
      </c>
      <c r="G45" s="58">
        <f>DATE(2025,12,1)-WEEKDAY(DATE(2025,12,1),2)+34</f>
        <v>46025</v>
      </c>
      <c r="H45" s="58">
        <f>DATE(2025,12,1)-WEEKDAY(DATE(2025,12,1),2)+35</f>
        <v>46026</v>
      </c>
      <c r="J45" s="58">
        <f>DATE(2026,1,1)-WEEKDAY(DATE(2026,1,1),2)+29</f>
        <v>46048</v>
      </c>
      <c r="K45" s="58">
        <f>DATE(2026,1,1)-WEEKDAY(DATE(2026,1,1),2)+30</f>
        <v>46049</v>
      </c>
      <c r="L45" s="58">
        <f>DATE(2026,1,1)-WEEKDAY(DATE(2026,1,1),2)+31</f>
        <v>46050</v>
      </c>
      <c r="M45" s="58">
        <f>DATE(2026,1,1)-WEEKDAY(DATE(2026,1,1),2)+32</f>
        <v>46051</v>
      </c>
      <c r="N45" s="58">
        <f>DATE(2026,1,1)-WEEKDAY(DATE(2026,1,1),2)+33</f>
        <v>46052</v>
      </c>
      <c r="O45" s="58">
        <f>DATE(2026,1,1)-WEEKDAY(DATE(2026,1,1),2)+34</f>
        <v>46053</v>
      </c>
      <c r="P45" s="58">
        <f>DATE(2026,1,1)-WEEKDAY(DATE(2026,1,1),2)+35</f>
        <v>46054</v>
      </c>
      <c r="R45" s="58">
        <f>DATE(2026,2,1)-WEEKDAY(DATE(2026,2,1),2)+29</f>
        <v>46076</v>
      </c>
      <c r="S45" s="58">
        <f>DATE(2026,2,1)-WEEKDAY(DATE(2026,2,1),2)+30</f>
        <v>46077</v>
      </c>
      <c r="T45" s="58">
        <f>DATE(2026,2,1)-WEEKDAY(DATE(2026,2,1),2)+31</f>
        <v>46078</v>
      </c>
      <c r="U45" s="58">
        <f>DATE(2026,2,1)-WEEKDAY(DATE(2026,2,1),2)+32</f>
        <v>46079</v>
      </c>
      <c r="V45" s="58">
        <f>DATE(2026,2,1)-WEEKDAY(DATE(2026,2,1),2)+33</f>
        <v>46080</v>
      </c>
      <c r="W45" s="58">
        <f>DATE(2026,2,1)-WEEKDAY(DATE(2026,2,1),2)+34</f>
        <v>46081</v>
      </c>
      <c r="X45" s="58">
        <f>DATE(2026,2,1)-WEEKDAY(DATE(2026,2,1),2)+35</f>
        <v>46082</v>
      </c>
      <c r="Z45" s="58">
        <f>DATE(2026,3,1)-WEEKDAY(DATE(2026,3,1),2)+29</f>
        <v>46104</v>
      </c>
      <c r="AA45" s="58">
        <f>DATE(2026,3,1)-WEEKDAY(DATE(2026,3,1),2)+30</f>
        <v>46105</v>
      </c>
      <c r="AB45" s="58">
        <f>DATE(2026,3,1)-WEEKDAY(DATE(2026,3,1),2)+31</f>
        <v>46106</v>
      </c>
      <c r="AC45" s="58">
        <f>DATE(2026,3,1)-WEEKDAY(DATE(2026,3,1),2)+32</f>
        <v>46107</v>
      </c>
      <c r="AD45" s="58">
        <f>DATE(2026,3,1)-WEEKDAY(DATE(2026,3,1),2)+33</f>
        <v>46108</v>
      </c>
      <c r="AE45" s="58">
        <f>DATE(2026,3,1)-WEEKDAY(DATE(2026,3,1),2)+34</f>
        <v>46109</v>
      </c>
      <c r="AF45" s="58">
        <f>DATE(2026,3,1)-WEEKDAY(DATE(2026,3,1),2)+35</f>
        <v>46110</v>
      </c>
    </row>
    <row r="46" spans="2:32" ht="21" customHeight="1">
      <c r="B46" s="59">
        <f>IF(MONTH(B45)=12,IF(IFERROR(CHOOSE($A$3,INDEX('データ'!$B$880:$J$1244,MATCH(B45,'データ'!$A$880:$A$1244,0),$A$2),INDEX('データ'!$L$880:$T$1244,MATCH(B45,'データ'!$A$880:$A$1244,0),$A$2),INDEX('データ'!$V$880:$AD$1244,MATCH(B45,'データ'!$A$880:$A$1244,0),$A$2)),0)=0,"",CHOOSE($A$3,INDEX('データ'!$B$880:$J$1244,MATCH(B45,'データ'!$A$880:$A$1244,0),$A$2),INDEX('データ'!$L$880:$T$1244,MATCH(B45,'データ'!$A$880:$A$1244,0),$A$2),INDEX('データ'!$V$880:$AD$1244,MATCH(B45,'データ'!$A$880:$A$1244,0),$A$2))),"")</f>
        <v/>
      </c>
      <c r="C46" s="59">
        <f>IF(MONTH(C45)=12,IF(IFERROR(CHOOSE($A$3,INDEX('データ'!$B$880:$J$1244,MATCH(C45,'データ'!$A$880:$A$1244,0),$A$2),INDEX('データ'!$L$880:$T$1244,MATCH(C45,'データ'!$A$880:$A$1244,0),$A$2),INDEX('データ'!$V$880:$AD$1244,MATCH(C45,'データ'!$A$880:$A$1244,0),$A$2)),0)=0,"",CHOOSE($A$3,INDEX('データ'!$B$880:$J$1244,MATCH(C45,'データ'!$A$880:$A$1244,0),$A$2),INDEX('データ'!$L$880:$T$1244,MATCH(C45,'データ'!$A$880:$A$1244,0),$A$2),INDEX('データ'!$V$880:$AD$1244,MATCH(C45,'データ'!$A$880:$A$1244,0),$A$2))),"")</f>
        <v/>
      </c>
      <c r="D46" s="59">
        <f>IF(MONTH(D45)=12,IF(IFERROR(CHOOSE($A$3,INDEX('データ'!$B$880:$J$1244,MATCH(D45,'データ'!$A$880:$A$1244,0),$A$2),INDEX('データ'!$L$880:$T$1244,MATCH(D45,'データ'!$A$880:$A$1244,0),$A$2),INDEX('データ'!$V$880:$AD$1244,MATCH(D45,'データ'!$A$880:$A$1244,0),$A$2)),0)=0,"",CHOOSE($A$3,INDEX('データ'!$B$880:$J$1244,MATCH(D45,'データ'!$A$880:$A$1244,0),$A$2),INDEX('データ'!$L$880:$T$1244,MATCH(D45,'データ'!$A$880:$A$1244,0),$A$2),INDEX('データ'!$V$880:$AD$1244,MATCH(D45,'データ'!$A$880:$A$1244,0),$A$2))),"")</f>
        <v/>
      </c>
      <c r="E46" s="59">
        <f>IF(MONTH(E45)=12,IF(IFERROR(CHOOSE($A$3,INDEX('データ'!$B$880:$J$1244,MATCH(E45,'データ'!$A$880:$A$1244,0),$A$2),INDEX('データ'!$L$880:$T$1244,MATCH(E45,'データ'!$A$880:$A$1244,0),$A$2),INDEX('データ'!$V$880:$AD$1244,MATCH(E45,'データ'!$A$880:$A$1244,0),$A$2)),0)=0,"",CHOOSE($A$3,INDEX('データ'!$B$880:$J$1244,MATCH(E45,'データ'!$A$880:$A$1244,0),$A$2),INDEX('データ'!$L$880:$T$1244,MATCH(E45,'データ'!$A$880:$A$1244,0),$A$2),INDEX('データ'!$V$880:$AD$1244,MATCH(E45,'データ'!$A$880:$A$1244,0),$A$2))),"")</f>
        <v/>
      </c>
      <c r="F46" s="59">
        <f>IF(MONTH(F45)=12,IF(IFERROR(CHOOSE($A$3,INDEX('データ'!$B$880:$J$1244,MATCH(F45,'データ'!$A$880:$A$1244,0),$A$2),INDEX('データ'!$L$880:$T$1244,MATCH(F45,'データ'!$A$880:$A$1244,0),$A$2),INDEX('データ'!$V$880:$AD$1244,MATCH(F45,'データ'!$A$880:$A$1244,0),$A$2)),0)=0,"",CHOOSE($A$3,INDEX('データ'!$B$880:$J$1244,MATCH(F45,'データ'!$A$880:$A$1244,0),$A$2),INDEX('データ'!$L$880:$T$1244,MATCH(F45,'データ'!$A$880:$A$1244,0),$A$2),INDEX('データ'!$V$880:$AD$1244,MATCH(F45,'データ'!$A$880:$A$1244,0),$A$2))),"")</f>
        <v/>
      </c>
      <c r="G46" s="59">
        <f>IF(MONTH(G45)=12,IF(IFERROR(CHOOSE($A$3,INDEX('データ'!$B$880:$J$1244,MATCH(G45,'データ'!$A$880:$A$1244,0),$A$2),INDEX('データ'!$L$880:$T$1244,MATCH(G45,'データ'!$A$880:$A$1244,0),$A$2),INDEX('データ'!$V$880:$AD$1244,MATCH(G45,'データ'!$A$880:$A$1244,0),$A$2)),0)=0,"",CHOOSE($A$3,INDEX('データ'!$B$880:$J$1244,MATCH(G45,'データ'!$A$880:$A$1244,0),$A$2),INDEX('データ'!$L$880:$T$1244,MATCH(G45,'データ'!$A$880:$A$1244,0),$A$2),INDEX('データ'!$V$880:$AD$1244,MATCH(G45,'データ'!$A$880:$A$1244,0),$A$2))),"")</f>
        <v/>
      </c>
      <c r="H46" s="59">
        <f>IF(MONTH(H45)=12,IF(IFERROR(CHOOSE($A$3,INDEX('データ'!$B$880:$J$1244,MATCH(H45,'データ'!$A$880:$A$1244,0),$A$2),INDEX('データ'!$L$880:$T$1244,MATCH(H45,'データ'!$A$880:$A$1244,0),$A$2),INDEX('データ'!$V$880:$AD$1244,MATCH(H45,'データ'!$A$880:$A$1244,0),$A$2)),0)=0,"",CHOOSE($A$3,INDEX('データ'!$B$880:$J$1244,MATCH(H45,'データ'!$A$880:$A$1244,0),$A$2),INDEX('データ'!$L$880:$T$1244,MATCH(H45,'データ'!$A$880:$A$1244,0),$A$2),INDEX('データ'!$V$880:$AD$1244,MATCH(H45,'データ'!$A$880:$A$1244,0),$A$2))),"")</f>
        <v/>
      </c>
      <c r="J46" s="59">
        <f>IF(MONTH(J45)=1,IF(IFERROR(CHOOSE($A$3,INDEX('データ'!$B$880:$J$1244,MATCH(J45,'データ'!$A$880:$A$1244,0),$A$2),INDEX('データ'!$L$880:$T$1244,MATCH(J45,'データ'!$A$880:$A$1244,0),$A$2),INDEX('データ'!$V$880:$AD$1244,MATCH(J45,'データ'!$A$880:$A$1244,0),$A$2)),0)=0,"",CHOOSE($A$3,INDEX('データ'!$B$880:$J$1244,MATCH(J45,'データ'!$A$880:$A$1244,0),$A$2),INDEX('データ'!$L$880:$T$1244,MATCH(J45,'データ'!$A$880:$A$1244,0),$A$2),INDEX('データ'!$V$880:$AD$1244,MATCH(J45,'データ'!$A$880:$A$1244,0),$A$2))),"")</f>
        <v>3891</v>
      </c>
      <c r="K46" s="59">
        <f>IF(MONTH(K45)=1,IF(IFERROR(CHOOSE($A$3,INDEX('データ'!$B$880:$J$1244,MATCH(K45,'データ'!$A$880:$A$1244,0),$A$2),INDEX('データ'!$L$880:$T$1244,MATCH(K45,'データ'!$A$880:$A$1244,0),$A$2),INDEX('データ'!$V$880:$AD$1244,MATCH(K45,'データ'!$A$880:$A$1244,0),$A$2)),0)=0,"",CHOOSE($A$3,INDEX('データ'!$B$880:$J$1244,MATCH(K45,'データ'!$A$880:$A$1244,0),$A$2),INDEX('データ'!$L$880:$T$1244,MATCH(K45,'データ'!$A$880:$A$1244,0),$A$2),INDEX('データ'!$V$880:$AD$1244,MATCH(K45,'データ'!$A$880:$A$1244,0),$A$2))),"")</f>
        <v>3481</v>
      </c>
      <c r="L46" s="59">
        <f>IF(MONTH(L45)=1,IF(IFERROR(CHOOSE($A$3,INDEX('データ'!$B$880:$J$1244,MATCH(L45,'データ'!$A$880:$A$1244,0),$A$2),INDEX('データ'!$L$880:$T$1244,MATCH(L45,'データ'!$A$880:$A$1244,0),$A$2),INDEX('データ'!$V$880:$AD$1244,MATCH(L45,'データ'!$A$880:$A$1244,0),$A$2)),0)=0,"",CHOOSE($A$3,INDEX('データ'!$B$880:$J$1244,MATCH(L45,'データ'!$A$880:$A$1244,0),$A$2),INDEX('データ'!$L$880:$T$1244,MATCH(L45,'データ'!$A$880:$A$1244,0),$A$2),INDEX('データ'!$V$880:$AD$1244,MATCH(L45,'データ'!$A$880:$A$1244,0),$A$2))),"")</f>
        <v>3393</v>
      </c>
      <c r="M46" s="59">
        <f>IF(MONTH(M45)=1,IF(IFERROR(CHOOSE($A$3,INDEX('データ'!$B$880:$J$1244,MATCH(M45,'データ'!$A$880:$A$1244,0),$A$2),INDEX('データ'!$L$880:$T$1244,MATCH(M45,'データ'!$A$880:$A$1244,0),$A$2),INDEX('データ'!$V$880:$AD$1244,MATCH(M45,'データ'!$A$880:$A$1244,0),$A$2)),0)=0,"",CHOOSE($A$3,INDEX('データ'!$B$880:$J$1244,MATCH(M45,'データ'!$A$880:$A$1244,0),$A$2),INDEX('データ'!$L$880:$T$1244,MATCH(M45,'データ'!$A$880:$A$1244,0),$A$2),INDEX('データ'!$V$880:$AD$1244,MATCH(M45,'データ'!$A$880:$A$1244,0),$A$2))),"")</f>
        <v>3248</v>
      </c>
      <c r="N46" s="59">
        <f>IF(MONTH(N45)=1,IF(IFERROR(CHOOSE($A$3,INDEX('データ'!$B$880:$J$1244,MATCH(N45,'データ'!$A$880:$A$1244,0),$A$2),INDEX('データ'!$L$880:$T$1244,MATCH(N45,'データ'!$A$880:$A$1244,0),$A$2),INDEX('データ'!$V$880:$AD$1244,MATCH(N45,'データ'!$A$880:$A$1244,0),$A$2)),0)=0,"",CHOOSE($A$3,INDEX('データ'!$B$880:$J$1244,MATCH(N45,'データ'!$A$880:$A$1244,0),$A$2),INDEX('データ'!$L$880:$T$1244,MATCH(N45,'データ'!$A$880:$A$1244,0),$A$2),INDEX('データ'!$V$880:$AD$1244,MATCH(N45,'データ'!$A$880:$A$1244,0),$A$2))),"")</f>
        <v>3383</v>
      </c>
      <c r="O46" s="59">
        <f>IF(MONTH(O45)=1,IF(IFERROR(CHOOSE($A$3,INDEX('データ'!$B$880:$J$1244,MATCH(O45,'データ'!$A$880:$A$1244,0),$A$2),INDEX('データ'!$L$880:$T$1244,MATCH(O45,'データ'!$A$880:$A$1244,0),$A$2),INDEX('データ'!$V$880:$AD$1244,MATCH(O45,'データ'!$A$880:$A$1244,0),$A$2)),0)=0,"",CHOOSE($A$3,INDEX('データ'!$B$880:$J$1244,MATCH(O45,'データ'!$A$880:$A$1244,0),$A$2),INDEX('データ'!$L$880:$T$1244,MATCH(O45,'データ'!$A$880:$A$1244,0),$A$2),INDEX('データ'!$V$880:$AD$1244,MATCH(O45,'データ'!$A$880:$A$1244,0),$A$2))),"")</f>
        <v/>
      </c>
      <c r="P46" s="59">
        <f>IF(MONTH(P45)=1,IF(IFERROR(CHOOSE($A$3,INDEX('データ'!$B$880:$J$1244,MATCH(P45,'データ'!$A$880:$A$1244,0),$A$2),INDEX('データ'!$L$880:$T$1244,MATCH(P45,'データ'!$A$880:$A$1244,0),$A$2),INDEX('データ'!$V$880:$AD$1244,MATCH(P45,'データ'!$A$880:$A$1244,0),$A$2)),0)=0,"",CHOOSE($A$3,INDEX('データ'!$B$880:$J$1244,MATCH(P45,'データ'!$A$880:$A$1244,0),$A$2),INDEX('データ'!$L$880:$T$1244,MATCH(P45,'データ'!$A$880:$A$1244,0),$A$2),INDEX('データ'!$V$880:$AD$1244,MATCH(P45,'データ'!$A$880:$A$1244,0),$A$2))),"")</f>
        <v/>
      </c>
      <c r="R46" s="59">
        <f>IF(MONTH(R45)=2,IF(IFERROR(CHOOSE($A$3,INDEX('データ'!$B$880:$J$1244,MATCH(R45,'データ'!$A$880:$A$1244,0),$A$2),INDEX('データ'!$L$880:$T$1244,MATCH(R45,'データ'!$A$880:$A$1244,0),$A$2),INDEX('データ'!$V$880:$AD$1244,MATCH(R45,'データ'!$A$880:$A$1244,0),$A$2)),0)=0,"",CHOOSE($A$3,INDEX('データ'!$B$880:$J$1244,MATCH(R45,'データ'!$A$880:$A$1244,0),$A$2),INDEX('データ'!$L$880:$T$1244,MATCH(R45,'データ'!$A$880:$A$1244,0),$A$2),INDEX('データ'!$V$880:$AD$1244,MATCH(R45,'データ'!$A$880:$A$1244,0),$A$2))),"")</f>
        <v/>
      </c>
      <c r="S46" s="59">
        <f>IF(MONTH(S45)=2,IF(IFERROR(CHOOSE($A$3,INDEX('データ'!$B$880:$J$1244,MATCH(S45,'データ'!$A$880:$A$1244,0),$A$2),INDEX('データ'!$L$880:$T$1244,MATCH(S45,'データ'!$A$880:$A$1244,0),$A$2),INDEX('データ'!$V$880:$AD$1244,MATCH(S45,'データ'!$A$880:$A$1244,0),$A$2)),0)=0,"",CHOOSE($A$3,INDEX('データ'!$B$880:$J$1244,MATCH(S45,'データ'!$A$880:$A$1244,0),$A$2),INDEX('データ'!$L$880:$T$1244,MATCH(S45,'データ'!$A$880:$A$1244,0),$A$2),INDEX('データ'!$V$880:$AD$1244,MATCH(S45,'データ'!$A$880:$A$1244,0),$A$2))),"")</f>
        <v>4591</v>
      </c>
      <c r="T46" s="59">
        <f>IF(MONTH(T45)=2,IF(IFERROR(CHOOSE($A$3,INDEX('データ'!$B$880:$J$1244,MATCH(T45,'データ'!$A$880:$A$1244,0),$A$2),INDEX('データ'!$L$880:$T$1244,MATCH(T45,'データ'!$A$880:$A$1244,0),$A$2),INDEX('データ'!$V$880:$AD$1244,MATCH(T45,'データ'!$A$880:$A$1244,0),$A$2)),0)=0,"",CHOOSE($A$3,INDEX('データ'!$B$880:$J$1244,MATCH(T45,'データ'!$A$880:$A$1244,0),$A$2),INDEX('データ'!$L$880:$T$1244,MATCH(T45,'データ'!$A$880:$A$1244,0),$A$2),INDEX('データ'!$V$880:$AD$1244,MATCH(T45,'データ'!$A$880:$A$1244,0),$A$2))),"")</f>
        <v>3941</v>
      </c>
      <c r="U46" s="59">
        <f>IF(MONTH(U45)=2,IF(IFERROR(CHOOSE($A$3,INDEX('データ'!$B$880:$J$1244,MATCH(U45,'データ'!$A$880:$A$1244,0),$A$2),INDEX('データ'!$L$880:$T$1244,MATCH(U45,'データ'!$A$880:$A$1244,0),$A$2),INDEX('データ'!$V$880:$AD$1244,MATCH(U45,'データ'!$A$880:$A$1244,0),$A$2)),0)=0,"",CHOOSE($A$3,INDEX('データ'!$B$880:$J$1244,MATCH(U45,'データ'!$A$880:$A$1244,0),$A$2),INDEX('データ'!$L$880:$T$1244,MATCH(U45,'データ'!$A$880:$A$1244,0),$A$2),INDEX('データ'!$V$880:$AD$1244,MATCH(U45,'データ'!$A$880:$A$1244,0),$A$2))),"")</f>
        <v>3973</v>
      </c>
      <c r="V46" s="59">
        <f>IF(MONTH(V45)=2,IF(IFERROR(CHOOSE($A$3,INDEX('データ'!$B$880:$J$1244,MATCH(V45,'データ'!$A$880:$A$1244,0),$A$2),INDEX('データ'!$L$880:$T$1244,MATCH(V45,'データ'!$A$880:$A$1244,0),$A$2),INDEX('データ'!$V$880:$AD$1244,MATCH(V45,'データ'!$A$880:$A$1244,0),$A$2)),0)=0,"",CHOOSE($A$3,INDEX('データ'!$B$880:$J$1244,MATCH(V45,'データ'!$A$880:$A$1244,0),$A$2),INDEX('データ'!$L$880:$T$1244,MATCH(V45,'データ'!$A$880:$A$1244,0),$A$2),INDEX('データ'!$V$880:$AD$1244,MATCH(V45,'データ'!$A$880:$A$1244,0),$A$2))),"")</f>
        <v>3434</v>
      </c>
      <c r="W46" s="59">
        <f>IF(MONTH(W45)=2,IF(IFERROR(CHOOSE($A$3,INDEX('データ'!$B$880:$J$1244,MATCH(W45,'データ'!$A$880:$A$1244,0),$A$2),INDEX('データ'!$L$880:$T$1244,MATCH(W45,'データ'!$A$880:$A$1244,0),$A$2),INDEX('データ'!$V$880:$AD$1244,MATCH(W45,'データ'!$A$880:$A$1244,0),$A$2)),0)=0,"",CHOOSE($A$3,INDEX('データ'!$B$880:$J$1244,MATCH(W45,'データ'!$A$880:$A$1244,0),$A$2),INDEX('データ'!$L$880:$T$1244,MATCH(W45,'データ'!$A$880:$A$1244,0),$A$2),INDEX('データ'!$V$880:$AD$1244,MATCH(W45,'データ'!$A$880:$A$1244,0),$A$2))),"")</f>
        <v/>
      </c>
      <c r="X46" s="59">
        <f>IF(MONTH(X45)=2,IF(IFERROR(CHOOSE($A$3,INDEX('データ'!$B$880:$J$1244,MATCH(X45,'データ'!$A$880:$A$1244,0),$A$2),INDEX('データ'!$L$880:$T$1244,MATCH(X45,'データ'!$A$880:$A$1244,0),$A$2),INDEX('データ'!$V$880:$AD$1244,MATCH(X45,'データ'!$A$880:$A$1244,0),$A$2)),0)=0,"",CHOOSE($A$3,INDEX('データ'!$B$880:$J$1244,MATCH(X45,'データ'!$A$880:$A$1244,0),$A$2),INDEX('データ'!$L$880:$T$1244,MATCH(X45,'データ'!$A$880:$A$1244,0),$A$2),INDEX('データ'!$V$880:$AD$1244,MATCH(X45,'データ'!$A$880:$A$1244,0),$A$2))),"")</f>
        <v/>
      </c>
      <c r="Z46" s="59">
        <f>IF(MONTH(Z45)=3,IF(IFERROR(CHOOSE($A$3,INDEX('データ'!$B$880:$J$1244,MATCH(Z45,'データ'!$A$880:$A$1244,0),$A$2),INDEX('データ'!$L$880:$T$1244,MATCH(Z45,'データ'!$A$880:$A$1244,0),$A$2),INDEX('データ'!$V$880:$AD$1244,MATCH(Z45,'データ'!$A$880:$A$1244,0),$A$2)),0)=0,"",CHOOSE($A$3,INDEX('データ'!$B$880:$J$1244,MATCH(Z45,'データ'!$A$880:$A$1244,0),$A$2),INDEX('データ'!$L$880:$T$1244,MATCH(Z45,'データ'!$A$880:$A$1244,0),$A$2),INDEX('データ'!$V$880:$AD$1244,MATCH(Z45,'データ'!$A$880:$A$1244,0),$A$2))),"")</f>
        <v>5392</v>
      </c>
      <c r="AA46" s="59">
        <f>IF(MONTH(AA45)=3,IF(IFERROR(CHOOSE($A$3,INDEX('データ'!$B$880:$J$1244,MATCH(AA45,'データ'!$A$880:$A$1244,0),$A$2),INDEX('データ'!$L$880:$T$1244,MATCH(AA45,'データ'!$A$880:$A$1244,0),$A$2),INDEX('データ'!$V$880:$AD$1244,MATCH(AA45,'データ'!$A$880:$A$1244,0),$A$2)),0)=0,"",CHOOSE($A$3,INDEX('データ'!$B$880:$J$1244,MATCH(AA45,'データ'!$A$880:$A$1244,0),$A$2),INDEX('データ'!$L$880:$T$1244,MATCH(AA45,'データ'!$A$880:$A$1244,0),$A$2),INDEX('データ'!$V$880:$AD$1244,MATCH(AA45,'データ'!$A$880:$A$1244,0),$A$2))),"")</f>
        <v>4455</v>
      </c>
      <c r="AB46" s="59">
        <f>IF(MONTH(AB45)=3,IF(IFERROR(CHOOSE($A$3,INDEX('データ'!$B$880:$J$1244,MATCH(AB45,'データ'!$A$880:$A$1244,0),$A$2),INDEX('データ'!$L$880:$T$1244,MATCH(AB45,'データ'!$A$880:$A$1244,0),$A$2),INDEX('データ'!$V$880:$AD$1244,MATCH(AB45,'データ'!$A$880:$A$1244,0),$A$2)),0)=0,"",CHOOSE($A$3,INDEX('データ'!$B$880:$J$1244,MATCH(AB45,'データ'!$A$880:$A$1244,0),$A$2),INDEX('データ'!$L$880:$T$1244,MATCH(AB45,'データ'!$A$880:$A$1244,0),$A$2),INDEX('データ'!$V$880:$AD$1244,MATCH(AB45,'データ'!$A$880:$A$1244,0),$A$2))),"")</f>
        <v>3640</v>
      </c>
      <c r="AC46" s="59">
        <f>IF(MONTH(AC45)=3,IF(IFERROR(CHOOSE($A$3,INDEX('データ'!$B$880:$J$1244,MATCH(AC45,'データ'!$A$880:$A$1244,0),$A$2),INDEX('データ'!$L$880:$T$1244,MATCH(AC45,'データ'!$A$880:$A$1244,0),$A$2),INDEX('データ'!$V$880:$AD$1244,MATCH(AC45,'データ'!$A$880:$A$1244,0),$A$2)),0)=0,"",CHOOSE($A$3,INDEX('データ'!$B$880:$J$1244,MATCH(AC45,'データ'!$A$880:$A$1244,0),$A$2),INDEX('データ'!$L$880:$T$1244,MATCH(AC45,'データ'!$A$880:$A$1244,0),$A$2),INDEX('データ'!$V$880:$AD$1244,MATCH(AC45,'データ'!$A$880:$A$1244,0),$A$2))),"")</f>
        <v>3987</v>
      </c>
      <c r="AD46" s="59">
        <f>IF(MONTH(AD45)=3,IF(IFERROR(CHOOSE($A$3,INDEX('データ'!$B$880:$J$1244,MATCH(AD45,'データ'!$A$880:$A$1244,0),$A$2),INDEX('データ'!$L$880:$T$1244,MATCH(AD45,'データ'!$A$880:$A$1244,0),$A$2),INDEX('データ'!$V$880:$AD$1244,MATCH(AD45,'データ'!$A$880:$A$1244,0),$A$2)),0)=0,"",CHOOSE($A$3,INDEX('データ'!$B$880:$J$1244,MATCH(AD45,'データ'!$A$880:$A$1244,0),$A$2),INDEX('データ'!$L$880:$T$1244,MATCH(AD45,'データ'!$A$880:$A$1244,0),$A$2),INDEX('データ'!$V$880:$AD$1244,MATCH(AD45,'データ'!$A$880:$A$1244,0),$A$2))),"")</f>
        <v>4225</v>
      </c>
      <c r="AE46" s="59">
        <f>IF(MONTH(AE45)=3,IF(IFERROR(CHOOSE($A$3,INDEX('データ'!$B$880:$J$1244,MATCH(AE45,'データ'!$A$880:$A$1244,0),$A$2),INDEX('データ'!$L$880:$T$1244,MATCH(AE45,'データ'!$A$880:$A$1244,0),$A$2),INDEX('データ'!$V$880:$AD$1244,MATCH(AE45,'データ'!$A$880:$A$1244,0),$A$2)),0)=0,"",CHOOSE($A$3,INDEX('データ'!$B$880:$J$1244,MATCH(AE45,'データ'!$A$880:$A$1244,0),$A$2),INDEX('データ'!$L$880:$T$1244,MATCH(AE45,'データ'!$A$880:$A$1244,0),$A$2),INDEX('データ'!$V$880:$AD$1244,MATCH(AE45,'データ'!$A$880:$A$1244,0),$A$2))),"")</f>
        <v>161</v>
      </c>
      <c r="AF46" s="59">
        <f>IF(MONTH(AF45)=3,IF(IFERROR(CHOOSE($A$3,INDEX('データ'!$B$880:$J$1244,MATCH(AF45,'データ'!$A$880:$A$1244,0),$A$2),INDEX('データ'!$L$880:$T$1244,MATCH(AF45,'データ'!$A$880:$A$1244,0),$A$2),INDEX('データ'!$V$880:$AD$1244,MATCH(AF45,'データ'!$A$880:$A$1244,0),$A$2)),0)=0,"",CHOOSE($A$3,INDEX('データ'!$B$880:$J$1244,MATCH(AF45,'データ'!$A$880:$A$1244,0),$A$2),INDEX('データ'!$L$880:$T$1244,MATCH(AF45,'データ'!$A$880:$A$1244,0),$A$2),INDEX('データ'!$V$880:$AD$1244,MATCH(AF45,'データ'!$A$880:$A$1244,0),$A$2))),"")</f>
        <v>173</v>
      </c>
    </row>
    <row r="47" spans="2:32" ht="13" customHeight="1">
      <c r="B47" s="58">
        <f>DATE(2025,12,1)-WEEKDAY(DATE(2025,12,1),2)+36</f>
        <v>46027</v>
      </c>
      <c r="C47" s="58">
        <f>DATE(2025,12,1)-WEEKDAY(DATE(2025,12,1),2)+37</f>
        <v>46028</v>
      </c>
      <c r="D47" s="58">
        <f>DATE(2025,12,1)-WEEKDAY(DATE(2025,12,1),2)+38</f>
        <v>46029</v>
      </c>
      <c r="E47" s="58">
        <f>DATE(2025,12,1)-WEEKDAY(DATE(2025,12,1),2)+39</f>
        <v>46030</v>
      </c>
      <c r="F47" s="58">
        <f>DATE(2025,12,1)-WEEKDAY(DATE(2025,12,1),2)+40</f>
        <v>46031</v>
      </c>
      <c r="G47" s="58">
        <f>DATE(2025,12,1)-WEEKDAY(DATE(2025,12,1),2)+41</f>
        <v>46032</v>
      </c>
      <c r="H47" s="58">
        <f>DATE(2025,12,1)-WEEKDAY(DATE(2025,12,1),2)+42</f>
        <v>46033</v>
      </c>
      <c r="J47" s="58">
        <f>DATE(2026,1,1)-WEEKDAY(DATE(2026,1,1),2)+36</f>
        <v>46055</v>
      </c>
      <c r="K47" s="58">
        <f>DATE(2026,1,1)-WEEKDAY(DATE(2026,1,1),2)+37</f>
        <v>46056</v>
      </c>
      <c r="L47" s="58">
        <f>DATE(2026,1,1)-WEEKDAY(DATE(2026,1,1),2)+38</f>
        <v>46057</v>
      </c>
      <c r="M47" s="58">
        <f>DATE(2026,1,1)-WEEKDAY(DATE(2026,1,1),2)+39</f>
        <v>46058</v>
      </c>
      <c r="N47" s="58">
        <f>DATE(2026,1,1)-WEEKDAY(DATE(2026,1,1),2)+40</f>
        <v>46059</v>
      </c>
      <c r="O47" s="58">
        <f>DATE(2026,1,1)-WEEKDAY(DATE(2026,1,1),2)+41</f>
        <v>46060</v>
      </c>
      <c r="P47" s="58">
        <f>DATE(2026,1,1)-WEEKDAY(DATE(2026,1,1),2)+42</f>
        <v>46061</v>
      </c>
      <c r="R47" s="58">
        <f>DATE(2026,2,1)-WEEKDAY(DATE(2026,2,1),2)+36</f>
        <v>46083</v>
      </c>
      <c r="S47" s="58">
        <f>DATE(2026,2,1)-WEEKDAY(DATE(2026,2,1),2)+37</f>
        <v>46084</v>
      </c>
      <c r="T47" s="58">
        <f>DATE(2026,2,1)-WEEKDAY(DATE(2026,2,1),2)+38</f>
        <v>46085</v>
      </c>
      <c r="U47" s="58">
        <f>DATE(2026,2,1)-WEEKDAY(DATE(2026,2,1),2)+39</f>
        <v>46086</v>
      </c>
      <c r="V47" s="58">
        <f>DATE(2026,2,1)-WEEKDAY(DATE(2026,2,1),2)+40</f>
        <v>46087</v>
      </c>
      <c r="W47" s="58">
        <f>DATE(2026,2,1)-WEEKDAY(DATE(2026,2,1),2)+41</f>
        <v>46088</v>
      </c>
      <c r="X47" s="58">
        <f>DATE(2026,2,1)-WEEKDAY(DATE(2026,2,1),2)+42</f>
        <v>46089</v>
      </c>
      <c r="Z47" s="58">
        <f>DATE(2026,3,1)-WEEKDAY(DATE(2026,3,1),2)+36</f>
        <v>46111</v>
      </c>
      <c r="AA47" s="58">
        <f>DATE(2026,3,1)-WEEKDAY(DATE(2026,3,1),2)+37</f>
        <v>46112</v>
      </c>
      <c r="AB47" s="58">
        <f>DATE(2026,3,1)-WEEKDAY(DATE(2026,3,1),2)+38</f>
        <v>46113</v>
      </c>
      <c r="AC47" s="58">
        <f>DATE(2026,3,1)-WEEKDAY(DATE(2026,3,1),2)+39</f>
        <v>46114</v>
      </c>
      <c r="AD47" s="58">
        <f>DATE(2026,3,1)-WEEKDAY(DATE(2026,3,1),2)+40</f>
        <v>46115</v>
      </c>
      <c r="AE47" s="58">
        <f>DATE(2026,3,1)-WEEKDAY(DATE(2026,3,1),2)+41</f>
        <v>46116</v>
      </c>
      <c r="AF47" s="58">
        <f>DATE(2026,3,1)-WEEKDAY(DATE(2026,3,1),2)+42</f>
        <v>46117</v>
      </c>
    </row>
    <row r="48" spans="2:32" ht="21" customHeight="1">
      <c r="B48" s="59">
        <f>IF(MONTH(B47)=12,IF(IFERROR(CHOOSE($A$3,INDEX('データ'!$B$880:$J$1244,MATCH(B47,'データ'!$A$880:$A$1244,0),$A$2),INDEX('データ'!$L$880:$T$1244,MATCH(B47,'データ'!$A$880:$A$1244,0),$A$2),INDEX('データ'!$V$880:$AD$1244,MATCH(B47,'データ'!$A$880:$A$1244,0),$A$2)),0)=0,"",CHOOSE($A$3,INDEX('データ'!$B$880:$J$1244,MATCH(B47,'データ'!$A$880:$A$1244,0),$A$2),INDEX('データ'!$L$880:$T$1244,MATCH(B47,'データ'!$A$880:$A$1244,0),$A$2),INDEX('データ'!$V$880:$AD$1244,MATCH(B47,'データ'!$A$880:$A$1244,0),$A$2))),"")</f>
        <v/>
      </c>
      <c r="C48" s="59">
        <f>IF(MONTH(C47)=12,IF(IFERROR(CHOOSE($A$3,INDEX('データ'!$B$880:$J$1244,MATCH(C47,'データ'!$A$880:$A$1244,0),$A$2),INDEX('データ'!$L$880:$T$1244,MATCH(C47,'データ'!$A$880:$A$1244,0),$A$2),INDEX('データ'!$V$880:$AD$1244,MATCH(C47,'データ'!$A$880:$A$1244,0),$A$2)),0)=0,"",CHOOSE($A$3,INDEX('データ'!$B$880:$J$1244,MATCH(C47,'データ'!$A$880:$A$1244,0),$A$2),INDEX('データ'!$L$880:$T$1244,MATCH(C47,'データ'!$A$880:$A$1244,0),$A$2),INDEX('データ'!$V$880:$AD$1244,MATCH(C47,'データ'!$A$880:$A$1244,0),$A$2))),"")</f>
        <v/>
      </c>
      <c r="D48" s="59">
        <f>IF(MONTH(D47)=12,IF(IFERROR(CHOOSE($A$3,INDEX('データ'!$B$880:$J$1244,MATCH(D47,'データ'!$A$880:$A$1244,0),$A$2),INDEX('データ'!$L$880:$T$1244,MATCH(D47,'データ'!$A$880:$A$1244,0),$A$2),INDEX('データ'!$V$880:$AD$1244,MATCH(D47,'データ'!$A$880:$A$1244,0),$A$2)),0)=0,"",CHOOSE($A$3,INDEX('データ'!$B$880:$J$1244,MATCH(D47,'データ'!$A$880:$A$1244,0),$A$2),INDEX('データ'!$L$880:$T$1244,MATCH(D47,'データ'!$A$880:$A$1244,0),$A$2),INDEX('データ'!$V$880:$AD$1244,MATCH(D47,'データ'!$A$880:$A$1244,0),$A$2))),"")</f>
        <v/>
      </c>
      <c r="E48" s="59">
        <f>IF(MONTH(E47)=12,IF(IFERROR(CHOOSE($A$3,INDEX('データ'!$B$880:$J$1244,MATCH(E47,'データ'!$A$880:$A$1244,0),$A$2),INDEX('データ'!$L$880:$T$1244,MATCH(E47,'データ'!$A$880:$A$1244,0),$A$2),INDEX('データ'!$V$880:$AD$1244,MATCH(E47,'データ'!$A$880:$A$1244,0),$A$2)),0)=0,"",CHOOSE($A$3,INDEX('データ'!$B$880:$J$1244,MATCH(E47,'データ'!$A$880:$A$1244,0),$A$2),INDEX('データ'!$L$880:$T$1244,MATCH(E47,'データ'!$A$880:$A$1244,0),$A$2),INDEX('データ'!$V$880:$AD$1244,MATCH(E47,'データ'!$A$880:$A$1244,0),$A$2))),"")</f>
        <v/>
      </c>
      <c r="F48" s="59">
        <f>IF(MONTH(F47)=12,IF(IFERROR(CHOOSE($A$3,INDEX('データ'!$B$880:$J$1244,MATCH(F47,'データ'!$A$880:$A$1244,0),$A$2),INDEX('データ'!$L$880:$T$1244,MATCH(F47,'データ'!$A$880:$A$1244,0),$A$2),INDEX('データ'!$V$880:$AD$1244,MATCH(F47,'データ'!$A$880:$A$1244,0),$A$2)),0)=0,"",CHOOSE($A$3,INDEX('データ'!$B$880:$J$1244,MATCH(F47,'データ'!$A$880:$A$1244,0),$A$2),INDEX('データ'!$L$880:$T$1244,MATCH(F47,'データ'!$A$880:$A$1244,0),$A$2),INDEX('データ'!$V$880:$AD$1244,MATCH(F47,'データ'!$A$880:$A$1244,0),$A$2))),"")</f>
        <v/>
      </c>
      <c r="G48" s="59">
        <f>IF(MONTH(G47)=12,IF(IFERROR(CHOOSE($A$3,INDEX('データ'!$B$880:$J$1244,MATCH(G47,'データ'!$A$880:$A$1244,0),$A$2),INDEX('データ'!$L$880:$T$1244,MATCH(G47,'データ'!$A$880:$A$1244,0),$A$2),INDEX('データ'!$V$880:$AD$1244,MATCH(G47,'データ'!$A$880:$A$1244,0),$A$2)),0)=0,"",CHOOSE($A$3,INDEX('データ'!$B$880:$J$1244,MATCH(G47,'データ'!$A$880:$A$1244,0),$A$2),INDEX('データ'!$L$880:$T$1244,MATCH(G47,'データ'!$A$880:$A$1244,0),$A$2),INDEX('データ'!$V$880:$AD$1244,MATCH(G47,'データ'!$A$880:$A$1244,0),$A$2))),"")</f>
        <v/>
      </c>
      <c r="H48" s="59">
        <f>IF(MONTH(H47)=12,IF(IFERROR(CHOOSE($A$3,INDEX('データ'!$B$880:$J$1244,MATCH(H47,'データ'!$A$880:$A$1244,0),$A$2),INDEX('データ'!$L$880:$T$1244,MATCH(H47,'データ'!$A$880:$A$1244,0),$A$2),INDEX('データ'!$V$880:$AD$1244,MATCH(H47,'データ'!$A$880:$A$1244,0),$A$2)),0)=0,"",CHOOSE($A$3,INDEX('データ'!$B$880:$J$1244,MATCH(H47,'データ'!$A$880:$A$1244,0),$A$2),INDEX('データ'!$L$880:$T$1244,MATCH(H47,'データ'!$A$880:$A$1244,0),$A$2),INDEX('データ'!$V$880:$AD$1244,MATCH(H47,'データ'!$A$880:$A$1244,0),$A$2))),"")</f>
        <v/>
      </c>
      <c r="J48" s="59">
        <f>IF(MONTH(J47)=1,IF(IFERROR(CHOOSE($A$3,INDEX('データ'!$B$880:$J$1244,MATCH(J47,'データ'!$A$880:$A$1244,0),$A$2),INDEX('データ'!$L$880:$T$1244,MATCH(J47,'データ'!$A$880:$A$1244,0),$A$2),INDEX('データ'!$V$880:$AD$1244,MATCH(J47,'データ'!$A$880:$A$1244,0),$A$2)),0)=0,"",CHOOSE($A$3,INDEX('データ'!$B$880:$J$1244,MATCH(J47,'データ'!$A$880:$A$1244,0),$A$2),INDEX('データ'!$L$880:$T$1244,MATCH(J47,'データ'!$A$880:$A$1244,0),$A$2),INDEX('データ'!$V$880:$AD$1244,MATCH(J47,'データ'!$A$880:$A$1244,0),$A$2))),"")</f>
        <v/>
      </c>
      <c r="K48" s="59">
        <f>IF(MONTH(K47)=1,IF(IFERROR(CHOOSE($A$3,INDEX('データ'!$B$880:$J$1244,MATCH(K47,'データ'!$A$880:$A$1244,0),$A$2),INDEX('データ'!$L$880:$T$1244,MATCH(K47,'データ'!$A$880:$A$1244,0),$A$2),INDEX('データ'!$V$880:$AD$1244,MATCH(K47,'データ'!$A$880:$A$1244,0),$A$2)),0)=0,"",CHOOSE($A$3,INDEX('データ'!$B$880:$J$1244,MATCH(K47,'データ'!$A$880:$A$1244,0),$A$2),INDEX('データ'!$L$880:$T$1244,MATCH(K47,'データ'!$A$880:$A$1244,0),$A$2),INDEX('データ'!$V$880:$AD$1244,MATCH(K47,'データ'!$A$880:$A$1244,0),$A$2))),"")</f>
        <v/>
      </c>
      <c r="L48" s="59">
        <f>IF(MONTH(L47)=1,IF(IFERROR(CHOOSE($A$3,INDEX('データ'!$B$880:$J$1244,MATCH(L47,'データ'!$A$880:$A$1244,0),$A$2),INDEX('データ'!$L$880:$T$1244,MATCH(L47,'データ'!$A$880:$A$1244,0),$A$2),INDEX('データ'!$V$880:$AD$1244,MATCH(L47,'データ'!$A$880:$A$1244,0),$A$2)),0)=0,"",CHOOSE($A$3,INDEX('データ'!$B$880:$J$1244,MATCH(L47,'データ'!$A$880:$A$1244,0),$A$2),INDEX('データ'!$L$880:$T$1244,MATCH(L47,'データ'!$A$880:$A$1244,0),$A$2),INDEX('データ'!$V$880:$AD$1244,MATCH(L47,'データ'!$A$880:$A$1244,0),$A$2))),"")</f>
        <v/>
      </c>
      <c r="M48" s="59">
        <f>IF(MONTH(M47)=1,IF(IFERROR(CHOOSE($A$3,INDEX('データ'!$B$880:$J$1244,MATCH(M47,'データ'!$A$880:$A$1244,0),$A$2),INDEX('データ'!$L$880:$T$1244,MATCH(M47,'データ'!$A$880:$A$1244,0),$A$2),INDEX('データ'!$V$880:$AD$1244,MATCH(M47,'データ'!$A$880:$A$1244,0),$A$2)),0)=0,"",CHOOSE($A$3,INDEX('データ'!$B$880:$J$1244,MATCH(M47,'データ'!$A$880:$A$1244,0),$A$2),INDEX('データ'!$L$880:$T$1244,MATCH(M47,'データ'!$A$880:$A$1244,0),$A$2),INDEX('データ'!$V$880:$AD$1244,MATCH(M47,'データ'!$A$880:$A$1244,0),$A$2))),"")</f>
        <v/>
      </c>
      <c r="N48" s="59">
        <f>IF(MONTH(N47)=1,IF(IFERROR(CHOOSE($A$3,INDEX('データ'!$B$880:$J$1244,MATCH(N47,'データ'!$A$880:$A$1244,0),$A$2),INDEX('データ'!$L$880:$T$1244,MATCH(N47,'データ'!$A$880:$A$1244,0),$A$2),INDEX('データ'!$V$880:$AD$1244,MATCH(N47,'データ'!$A$880:$A$1244,0),$A$2)),0)=0,"",CHOOSE($A$3,INDEX('データ'!$B$880:$J$1244,MATCH(N47,'データ'!$A$880:$A$1244,0),$A$2),INDEX('データ'!$L$880:$T$1244,MATCH(N47,'データ'!$A$880:$A$1244,0),$A$2),INDEX('データ'!$V$880:$AD$1244,MATCH(N47,'データ'!$A$880:$A$1244,0),$A$2))),"")</f>
        <v/>
      </c>
      <c r="O48" s="59">
        <f>IF(MONTH(O47)=1,IF(IFERROR(CHOOSE($A$3,INDEX('データ'!$B$880:$J$1244,MATCH(O47,'データ'!$A$880:$A$1244,0),$A$2),INDEX('データ'!$L$880:$T$1244,MATCH(O47,'データ'!$A$880:$A$1244,0),$A$2),INDEX('データ'!$V$880:$AD$1244,MATCH(O47,'データ'!$A$880:$A$1244,0),$A$2)),0)=0,"",CHOOSE($A$3,INDEX('データ'!$B$880:$J$1244,MATCH(O47,'データ'!$A$880:$A$1244,0),$A$2),INDEX('データ'!$L$880:$T$1244,MATCH(O47,'データ'!$A$880:$A$1244,0),$A$2),INDEX('データ'!$V$880:$AD$1244,MATCH(O47,'データ'!$A$880:$A$1244,0),$A$2))),"")</f>
        <v/>
      </c>
      <c r="P48" s="59">
        <f>IF(MONTH(P47)=1,IF(IFERROR(CHOOSE($A$3,INDEX('データ'!$B$880:$J$1244,MATCH(P47,'データ'!$A$880:$A$1244,0),$A$2),INDEX('データ'!$L$880:$T$1244,MATCH(P47,'データ'!$A$880:$A$1244,0),$A$2),INDEX('データ'!$V$880:$AD$1244,MATCH(P47,'データ'!$A$880:$A$1244,0),$A$2)),0)=0,"",CHOOSE($A$3,INDEX('データ'!$B$880:$J$1244,MATCH(P47,'データ'!$A$880:$A$1244,0),$A$2),INDEX('データ'!$L$880:$T$1244,MATCH(P47,'データ'!$A$880:$A$1244,0),$A$2),INDEX('データ'!$V$880:$AD$1244,MATCH(P47,'データ'!$A$880:$A$1244,0),$A$2))),"")</f>
        <v/>
      </c>
      <c r="R48" s="59">
        <f>IF(MONTH(R47)=2,IF(IFERROR(CHOOSE($A$3,INDEX('データ'!$B$880:$J$1244,MATCH(R47,'データ'!$A$880:$A$1244,0),$A$2),INDEX('データ'!$L$880:$T$1244,MATCH(R47,'データ'!$A$880:$A$1244,0),$A$2),INDEX('データ'!$V$880:$AD$1244,MATCH(R47,'データ'!$A$880:$A$1244,0),$A$2)),0)=0,"",CHOOSE($A$3,INDEX('データ'!$B$880:$J$1244,MATCH(R47,'データ'!$A$880:$A$1244,0),$A$2),INDEX('データ'!$L$880:$T$1244,MATCH(R47,'データ'!$A$880:$A$1244,0),$A$2),INDEX('データ'!$V$880:$AD$1244,MATCH(R47,'データ'!$A$880:$A$1244,0),$A$2))),"")</f>
        <v/>
      </c>
      <c r="S48" s="59">
        <f>IF(MONTH(S47)=2,IF(IFERROR(CHOOSE($A$3,INDEX('データ'!$B$880:$J$1244,MATCH(S47,'データ'!$A$880:$A$1244,0),$A$2),INDEX('データ'!$L$880:$T$1244,MATCH(S47,'データ'!$A$880:$A$1244,0),$A$2),INDEX('データ'!$V$880:$AD$1244,MATCH(S47,'データ'!$A$880:$A$1244,0),$A$2)),0)=0,"",CHOOSE($A$3,INDEX('データ'!$B$880:$J$1244,MATCH(S47,'データ'!$A$880:$A$1244,0),$A$2),INDEX('データ'!$L$880:$T$1244,MATCH(S47,'データ'!$A$880:$A$1244,0),$A$2),INDEX('データ'!$V$880:$AD$1244,MATCH(S47,'データ'!$A$880:$A$1244,0),$A$2))),"")</f>
        <v/>
      </c>
      <c r="T48" s="59">
        <f>IF(MONTH(T47)=2,IF(IFERROR(CHOOSE($A$3,INDEX('データ'!$B$880:$J$1244,MATCH(T47,'データ'!$A$880:$A$1244,0),$A$2),INDEX('データ'!$L$880:$T$1244,MATCH(T47,'データ'!$A$880:$A$1244,0),$A$2),INDEX('データ'!$V$880:$AD$1244,MATCH(T47,'データ'!$A$880:$A$1244,0),$A$2)),0)=0,"",CHOOSE($A$3,INDEX('データ'!$B$880:$J$1244,MATCH(T47,'データ'!$A$880:$A$1244,0),$A$2),INDEX('データ'!$L$880:$T$1244,MATCH(T47,'データ'!$A$880:$A$1244,0),$A$2),INDEX('データ'!$V$880:$AD$1244,MATCH(T47,'データ'!$A$880:$A$1244,0),$A$2))),"")</f>
        <v/>
      </c>
      <c r="U48" s="59">
        <f>IF(MONTH(U47)=2,IF(IFERROR(CHOOSE($A$3,INDEX('データ'!$B$880:$J$1244,MATCH(U47,'データ'!$A$880:$A$1244,0),$A$2),INDEX('データ'!$L$880:$T$1244,MATCH(U47,'データ'!$A$880:$A$1244,0),$A$2),INDEX('データ'!$V$880:$AD$1244,MATCH(U47,'データ'!$A$880:$A$1244,0),$A$2)),0)=0,"",CHOOSE($A$3,INDEX('データ'!$B$880:$J$1244,MATCH(U47,'データ'!$A$880:$A$1244,0),$A$2),INDEX('データ'!$L$880:$T$1244,MATCH(U47,'データ'!$A$880:$A$1244,0),$A$2),INDEX('データ'!$V$880:$AD$1244,MATCH(U47,'データ'!$A$880:$A$1244,0),$A$2))),"")</f>
        <v/>
      </c>
      <c r="V48" s="59">
        <f>IF(MONTH(V47)=2,IF(IFERROR(CHOOSE($A$3,INDEX('データ'!$B$880:$J$1244,MATCH(V47,'データ'!$A$880:$A$1244,0),$A$2),INDEX('データ'!$L$880:$T$1244,MATCH(V47,'データ'!$A$880:$A$1244,0),$A$2),INDEX('データ'!$V$880:$AD$1244,MATCH(V47,'データ'!$A$880:$A$1244,0),$A$2)),0)=0,"",CHOOSE($A$3,INDEX('データ'!$B$880:$J$1244,MATCH(V47,'データ'!$A$880:$A$1244,0),$A$2),INDEX('データ'!$L$880:$T$1244,MATCH(V47,'データ'!$A$880:$A$1244,0),$A$2),INDEX('データ'!$V$880:$AD$1244,MATCH(V47,'データ'!$A$880:$A$1244,0),$A$2))),"")</f>
        <v/>
      </c>
      <c r="W48" s="59">
        <f>IF(MONTH(W47)=2,IF(IFERROR(CHOOSE($A$3,INDEX('データ'!$B$880:$J$1244,MATCH(W47,'データ'!$A$880:$A$1244,0),$A$2),INDEX('データ'!$L$880:$T$1244,MATCH(W47,'データ'!$A$880:$A$1244,0),$A$2),INDEX('データ'!$V$880:$AD$1244,MATCH(W47,'データ'!$A$880:$A$1244,0),$A$2)),0)=0,"",CHOOSE($A$3,INDEX('データ'!$B$880:$J$1244,MATCH(W47,'データ'!$A$880:$A$1244,0),$A$2),INDEX('データ'!$L$880:$T$1244,MATCH(W47,'データ'!$A$880:$A$1244,0),$A$2),INDEX('データ'!$V$880:$AD$1244,MATCH(W47,'データ'!$A$880:$A$1244,0),$A$2))),"")</f>
        <v/>
      </c>
      <c r="X48" s="59">
        <f>IF(MONTH(X47)=2,IF(IFERROR(CHOOSE($A$3,INDEX('データ'!$B$880:$J$1244,MATCH(X47,'データ'!$A$880:$A$1244,0),$A$2),INDEX('データ'!$L$880:$T$1244,MATCH(X47,'データ'!$A$880:$A$1244,0),$A$2),INDEX('データ'!$V$880:$AD$1244,MATCH(X47,'データ'!$A$880:$A$1244,0),$A$2)),0)=0,"",CHOOSE($A$3,INDEX('データ'!$B$880:$J$1244,MATCH(X47,'データ'!$A$880:$A$1244,0),$A$2),INDEX('データ'!$L$880:$T$1244,MATCH(X47,'データ'!$A$880:$A$1244,0),$A$2),INDEX('データ'!$V$880:$AD$1244,MATCH(X47,'データ'!$A$880:$A$1244,0),$A$2))),"")</f>
        <v/>
      </c>
      <c r="Z48" s="59">
        <f>IF(MONTH(Z47)=3,IF(IFERROR(CHOOSE($A$3,INDEX('データ'!$B$880:$J$1244,MATCH(Z47,'データ'!$A$880:$A$1244,0),$A$2),INDEX('データ'!$L$880:$T$1244,MATCH(Z47,'データ'!$A$880:$A$1244,0),$A$2),INDEX('データ'!$V$880:$AD$1244,MATCH(Z47,'データ'!$A$880:$A$1244,0),$A$2)),0)=0,"",CHOOSE($A$3,INDEX('データ'!$B$880:$J$1244,MATCH(Z47,'データ'!$A$880:$A$1244,0),$A$2),INDEX('データ'!$L$880:$T$1244,MATCH(Z47,'データ'!$A$880:$A$1244,0),$A$2),INDEX('データ'!$V$880:$AD$1244,MATCH(Z47,'データ'!$A$880:$A$1244,0),$A$2))),"")</f>
        <v>5319</v>
      </c>
      <c r="AA48" s="59">
        <f>IF(MONTH(AA47)=3,IF(IFERROR(CHOOSE($A$3,INDEX('データ'!$B$880:$J$1244,MATCH(AA47,'データ'!$A$880:$A$1244,0),$A$2),INDEX('データ'!$L$880:$T$1244,MATCH(AA47,'データ'!$A$880:$A$1244,0),$A$2),INDEX('データ'!$V$880:$AD$1244,MATCH(AA47,'データ'!$A$880:$A$1244,0),$A$2)),0)=0,"",CHOOSE($A$3,INDEX('データ'!$B$880:$J$1244,MATCH(AA47,'データ'!$A$880:$A$1244,0),$A$2),INDEX('データ'!$L$880:$T$1244,MATCH(AA47,'データ'!$A$880:$A$1244,0),$A$2),INDEX('データ'!$V$880:$AD$1244,MATCH(AA47,'データ'!$A$880:$A$1244,0),$A$2))),"")</f>
        <v>4168</v>
      </c>
      <c r="AB48" s="59">
        <f>IF(MONTH(AB47)=3,IF(IFERROR(CHOOSE($A$3,INDEX('データ'!$B$880:$J$1244,MATCH(AB47,'データ'!$A$880:$A$1244,0),$A$2),INDEX('データ'!$L$880:$T$1244,MATCH(AB47,'データ'!$A$880:$A$1244,0),$A$2),INDEX('データ'!$V$880:$AD$1244,MATCH(AB47,'データ'!$A$880:$A$1244,0),$A$2)),0)=0,"",CHOOSE($A$3,INDEX('データ'!$B$880:$J$1244,MATCH(AB47,'データ'!$A$880:$A$1244,0),$A$2),INDEX('データ'!$L$880:$T$1244,MATCH(AB47,'データ'!$A$880:$A$1244,0),$A$2),INDEX('データ'!$V$880:$AD$1244,MATCH(AB47,'データ'!$A$880:$A$1244,0),$A$2))),"")</f>
        <v/>
      </c>
      <c r="AC48" s="59">
        <f>IF(MONTH(AC47)=3,IF(IFERROR(CHOOSE($A$3,INDEX('データ'!$B$880:$J$1244,MATCH(AC47,'データ'!$A$880:$A$1244,0),$A$2),INDEX('データ'!$L$880:$T$1244,MATCH(AC47,'データ'!$A$880:$A$1244,0),$A$2),INDEX('データ'!$V$880:$AD$1244,MATCH(AC47,'データ'!$A$880:$A$1244,0),$A$2)),0)=0,"",CHOOSE($A$3,INDEX('データ'!$B$880:$J$1244,MATCH(AC47,'データ'!$A$880:$A$1244,0),$A$2),INDEX('データ'!$L$880:$T$1244,MATCH(AC47,'データ'!$A$880:$A$1244,0),$A$2),INDEX('データ'!$V$880:$AD$1244,MATCH(AC47,'データ'!$A$880:$A$1244,0),$A$2))),"")</f>
        <v/>
      </c>
      <c r="AD48" s="59">
        <f>IF(MONTH(AD47)=3,IF(IFERROR(CHOOSE($A$3,INDEX('データ'!$B$880:$J$1244,MATCH(AD47,'データ'!$A$880:$A$1244,0),$A$2),INDEX('データ'!$L$880:$T$1244,MATCH(AD47,'データ'!$A$880:$A$1244,0),$A$2),INDEX('データ'!$V$880:$AD$1244,MATCH(AD47,'データ'!$A$880:$A$1244,0),$A$2)),0)=0,"",CHOOSE($A$3,INDEX('データ'!$B$880:$J$1244,MATCH(AD47,'データ'!$A$880:$A$1244,0),$A$2),INDEX('データ'!$L$880:$T$1244,MATCH(AD47,'データ'!$A$880:$A$1244,0),$A$2),INDEX('データ'!$V$880:$AD$1244,MATCH(AD47,'データ'!$A$880:$A$1244,0),$A$2))),"")</f>
        <v/>
      </c>
      <c r="AE48" s="59">
        <f>IF(MONTH(AE47)=3,IF(IFERROR(CHOOSE($A$3,INDEX('データ'!$B$880:$J$1244,MATCH(AE47,'データ'!$A$880:$A$1244,0),$A$2),INDEX('データ'!$L$880:$T$1244,MATCH(AE47,'データ'!$A$880:$A$1244,0),$A$2),INDEX('データ'!$V$880:$AD$1244,MATCH(AE47,'データ'!$A$880:$A$1244,0),$A$2)),0)=0,"",CHOOSE($A$3,INDEX('データ'!$B$880:$J$1244,MATCH(AE47,'データ'!$A$880:$A$1244,0),$A$2),INDEX('データ'!$L$880:$T$1244,MATCH(AE47,'データ'!$A$880:$A$1244,0),$A$2),INDEX('データ'!$V$880:$AD$1244,MATCH(AE47,'データ'!$A$880:$A$1244,0),$A$2))),"")</f>
        <v/>
      </c>
      <c r="AF48" s="59">
        <f>IF(MONTH(AF47)=3,IF(IFERROR(CHOOSE($A$3,INDEX('データ'!$B$880:$J$1244,MATCH(AF47,'データ'!$A$880:$A$1244,0),$A$2),INDEX('データ'!$L$880:$T$1244,MATCH(AF47,'データ'!$A$880:$A$1244,0),$A$2),INDEX('データ'!$V$880:$AD$1244,MATCH(AF47,'データ'!$A$880:$A$1244,0),$A$2)),0)=0,"",CHOOSE($A$3,INDEX('データ'!$B$880:$J$1244,MATCH(AF47,'データ'!$A$880:$A$1244,0),$A$2),INDEX('データ'!$L$880:$T$1244,MATCH(AF47,'データ'!$A$880:$A$1244,0),$A$2),INDEX('データ'!$V$880:$AD$1244,MATCH(AF47,'データ'!$A$880:$A$1244,0),$A$2))),"")</f>
        <v/>
      </c>
    </row>
  </sheetData>
  <mergeCells count="15">
    <mergeCell ref="B1:AG1"/>
    <mergeCell ref="E3:F3"/>
    <mergeCell ref="G3:I3"/>
    <mergeCell ref="B5:H5"/>
    <mergeCell ref="J5:P5"/>
    <mergeCell ref="R5:X5"/>
    <mergeCell ref="Z5:AF5"/>
    <mergeCell ref="B20:H20"/>
    <mergeCell ref="J20:P20"/>
    <mergeCell ref="R20:X20"/>
    <mergeCell ref="Z20:AF20"/>
    <mergeCell ref="B35:H35"/>
    <mergeCell ref="J35:P35"/>
    <mergeCell ref="R35:X35"/>
    <mergeCell ref="Z35:AF35"/>
  </mergeCells>
  <conditionalFormatting sqref="AA11">
    <cfRule type="expression" dxfId="0" priority="142">
      <formula>MONTH(AA11)&lt;&gt;7</formula>
    </cfRule>
  </conditionalFormatting>
  <conditionalFormatting sqref="AA13">
    <cfRule type="expression" dxfId="0" priority="149">
      <formula>MONTH(AA13)&lt;&gt;7</formula>
    </cfRule>
  </conditionalFormatting>
  <conditionalFormatting sqref="AA15">
    <cfRule type="expression" dxfId="0" priority="156">
      <formula>MONTH(AA15)&lt;&gt;7</formula>
    </cfRule>
  </conditionalFormatting>
  <conditionalFormatting sqref="AA17">
    <cfRule type="expression" dxfId="0" priority="163">
      <formula>MONTH(AA17)&lt;&gt;7</formula>
    </cfRule>
  </conditionalFormatting>
  <conditionalFormatting sqref="AA22">
    <cfRule type="expression" dxfId="0" priority="296">
      <formula>MONTH(AA22)&lt;&gt;11</formula>
    </cfRule>
  </conditionalFormatting>
  <conditionalFormatting sqref="AA24">
    <cfRule type="expression" dxfId="0" priority="303">
      <formula>MONTH(AA24)&lt;&gt;11</formula>
    </cfRule>
  </conditionalFormatting>
  <conditionalFormatting sqref="AA26">
    <cfRule type="expression" dxfId="0" priority="310">
      <formula>MONTH(AA26)&lt;&gt;11</formula>
    </cfRule>
  </conditionalFormatting>
  <conditionalFormatting sqref="AA28">
    <cfRule type="expression" dxfId="0" priority="317">
      <formula>MONTH(AA28)&lt;&gt;11</formula>
    </cfRule>
  </conditionalFormatting>
  <conditionalFormatting sqref="AA30">
    <cfRule type="expression" dxfId="0" priority="324">
      <formula>MONTH(AA30)&lt;&gt;11</formula>
    </cfRule>
  </conditionalFormatting>
  <conditionalFormatting sqref="AA32">
    <cfRule type="expression" dxfId="0" priority="331">
      <formula>MONTH(AA32)&lt;&gt;11</formula>
    </cfRule>
  </conditionalFormatting>
  <conditionalFormatting sqref="AA37">
    <cfRule type="expression" dxfId="0" priority="464">
      <formula>MONTH(AA37)&lt;&gt;3</formula>
    </cfRule>
  </conditionalFormatting>
  <conditionalFormatting sqref="AA39">
    <cfRule type="expression" dxfId="0" priority="471">
      <formula>MONTH(AA39)&lt;&gt;3</formula>
    </cfRule>
  </conditionalFormatting>
  <conditionalFormatting sqref="AA41">
    <cfRule type="expression" dxfId="0" priority="478">
      <formula>MONTH(AA41)&lt;&gt;3</formula>
    </cfRule>
  </conditionalFormatting>
  <conditionalFormatting sqref="AA43">
    <cfRule type="expression" dxfId="0" priority="485">
      <formula>MONTH(AA43)&lt;&gt;3</formula>
    </cfRule>
  </conditionalFormatting>
  <conditionalFormatting sqref="AA45">
    <cfRule type="expression" dxfId="0" priority="492">
      <formula>MONTH(AA45)&lt;&gt;3</formula>
    </cfRule>
  </conditionalFormatting>
  <conditionalFormatting sqref="AA47">
    <cfRule type="expression" dxfId="0" priority="499">
      <formula>MONTH(AA47)&lt;&gt;3</formula>
    </cfRule>
  </conditionalFormatting>
  <conditionalFormatting sqref="AA7">
    <cfRule type="expression" dxfId="0" priority="128">
      <formula>MONTH(AA7)&lt;&gt;7</formula>
    </cfRule>
  </conditionalFormatting>
  <conditionalFormatting sqref="AA9">
    <cfRule type="expression" dxfId="0" priority="135">
      <formula>MONTH(AA9)&lt;&gt;7</formula>
    </cfRule>
  </conditionalFormatting>
  <conditionalFormatting sqref="AB11">
    <cfRule type="expression" dxfId="0" priority="143">
      <formula>MONTH(AB11)&lt;&gt;7</formula>
    </cfRule>
  </conditionalFormatting>
  <conditionalFormatting sqref="AB13">
    <cfRule type="expression" dxfId="0" priority="150">
      <formula>MONTH(AB13)&lt;&gt;7</formula>
    </cfRule>
  </conditionalFormatting>
  <conditionalFormatting sqref="AB15">
    <cfRule type="expression" dxfId="0" priority="157">
      <formula>MONTH(AB15)&lt;&gt;7</formula>
    </cfRule>
  </conditionalFormatting>
  <conditionalFormatting sqref="AB17">
    <cfRule type="expression" dxfId="0" priority="164">
      <formula>MONTH(AB17)&lt;&gt;7</formula>
    </cfRule>
  </conditionalFormatting>
  <conditionalFormatting sqref="AB22">
    <cfRule type="expression" dxfId="0" priority="297">
      <formula>MONTH(AB22)&lt;&gt;11</formula>
    </cfRule>
  </conditionalFormatting>
  <conditionalFormatting sqref="AB24">
    <cfRule type="expression" dxfId="0" priority="304">
      <formula>MONTH(AB24)&lt;&gt;11</formula>
    </cfRule>
  </conditionalFormatting>
  <conditionalFormatting sqref="AB26">
    <cfRule type="expression" dxfId="0" priority="311">
      <formula>MONTH(AB26)&lt;&gt;11</formula>
    </cfRule>
  </conditionalFormatting>
  <conditionalFormatting sqref="AB28">
    <cfRule type="expression" dxfId="0" priority="318">
      <formula>MONTH(AB28)&lt;&gt;11</formula>
    </cfRule>
  </conditionalFormatting>
  <conditionalFormatting sqref="AB30">
    <cfRule type="expression" dxfId="0" priority="325">
      <formula>MONTH(AB30)&lt;&gt;11</formula>
    </cfRule>
  </conditionalFormatting>
  <conditionalFormatting sqref="AB32">
    <cfRule type="expression" dxfId="0" priority="332">
      <formula>MONTH(AB32)&lt;&gt;11</formula>
    </cfRule>
  </conditionalFormatting>
  <conditionalFormatting sqref="AB37">
    <cfRule type="expression" dxfId="0" priority="465">
      <formula>MONTH(AB37)&lt;&gt;3</formula>
    </cfRule>
  </conditionalFormatting>
  <conditionalFormatting sqref="AB39">
    <cfRule type="expression" dxfId="0" priority="472">
      <formula>MONTH(AB39)&lt;&gt;3</formula>
    </cfRule>
  </conditionalFormatting>
  <conditionalFormatting sqref="AB41">
    <cfRule type="expression" dxfId="0" priority="479">
      <formula>MONTH(AB41)&lt;&gt;3</formula>
    </cfRule>
  </conditionalFormatting>
  <conditionalFormatting sqref="AB43">
    <cfRule type="expression" dxfId="0" priority="486">
      <formula>MONTH(AB43)&lt;&gt;3</formula>
    </cfRule>
  </conditionalFormatting>
  <conditionalFormatting sqref="AB45">
    <cfRule type="expression" dxfId="0" priority="493">
      <formula>MONTH(AB45)&lt;&gt;3</formula>
    </cfRule>
  </conditionalFormatting>
  <conditionalFormatting sqref="AB47">
    <cfRule type="expression" dxfId="0" priority="500">
      <formula>MONTH(AB47)&lt;&gt;3</formula>
    </cfRule>
  </conditionalFormatting>
  <conditionalFormatting sqref="AB7">
    <cfRule type="expression" dxfId="0" priority="129">
      <formula>MONTH(AB7)&lt;&gt;7</formula>
    </cfRule>
  </conditionalFormatting>
  <conditionalFormatting sqref="AB9">
    <cfRule type="expression" dxfId="0" priority="136">
      <formula>MONTH(AB9)&lt;&gt;7</formula>
    </cfRule>
  </conditionalFormatting>
  <conditionalFormatting sqref="AC11">
    <cfRule type="expression" dxfId="0" priority="144">
      <formula>MONTH(AC11)&lt;&gt;7</formula>
    </cfRule>
  </conditionalFormatting>
  <conditionalFormatting sqref="AC13">
    <cfRule type="expression" dxfId="0" priority="151">
      <formula>MONTH(AC13)&lt;&gt;7</formula>
    </cfRule>
  </conditionalFormatting>
  <conditionalFormatting sqref="AC15">
    <cfRule type="expression" dxfId="0" priority="158">
      <formula>MONTH(AC15)&lt;&gt;7</formula>
    </cfRule>
  </conditionalFormatting>
  <conditionalFormatting sqref="AC17">
    <cfRule type="expression" dxfId="0" priority="165">
      <formula>MONTH(AC17)&lt;&gt;7</formula>
    </cfRule>
  </conditionalFormatting>
  <conditionalFormatting sqref="AC22">
    <cfRule type="expression" dxfId="0" priority="298">
      <formula>MONTH(AC22)&lt;&gt;11</formula>
    </cfRule>
  </conditionalFormatting>
  <conditionalFormatting sqref="AC24">
    <cfRule type="expression" dxfId="0" priority="305">
      <formula>MONTH(AC24)&lt;&gt;11</formula>
    </cfRule>
  </conditionalFormatting>
  <conditionalFormatting sqref="AC26">
    <cfRule type="expression" dxfId="0" priority="312">
      <formula>MONTH(AC26)&lt;&gt;11</formula>
    </cfRule>
  </conditionalFormatting>
  <conditionalFormatting sqref="AC28">
    <cfRule type="expression" dxfId="0" priority="319">
      <formula>MONTH(AC28)&lt;&gt;11</formula>
    </cfRule>
  </conditionalFormatting>
  <conditionalFormatting sqref="AC30">
    <cfRule type="expression" dxfId="0" priority="326">
      <formula>MONTH(AC30)&lt;&gt;11</formula>
    </cfRule>
  </conditionalFormatting>
  <conditionalFormatting sqref="AC32">
    <cfRule type="expression" dxfId="0" priority="333">
      <formula>MONTH(AC32)&lt;&gt;11</formula>
    </cfRule>
  </conditionalFormatting>
  <conditionalFormatting sqref="AC37">
    <cfRule type="expression" dxfId="0" priority="466">
      <formula>MONTH(AC37)&lt;&gt;3</formula>
    </cfRule>
  </conditionalFormatting>
  <conditionalFormatting sqref="AC39">
    <cfRule type="expression" dxfId="0" priority="473">
      <formula>MONTH(AC39)&lt;&gt;3</formula>
    </cfRule>
  </conditionalFormatting>
  <conditionalFormatting sqref="AC41">
    <cfRule type="expression" dxfId="0" priority="480">
      <formula>MONTH(AC41)&lt;&gt;3</formula>
    </cfRule>
  </conditionalFormatting>
  <conditionalFormatting sqref="AC43">
    <cfRule type="expression" dxfId="0" priority="487">
      <formula>MONTH(AC43)&lt;&gt;3</formula>
    </cfRule>
  </conditionalFormatting>
  <conditionalFormatting sqref="AC45">
    <cfRule type="expression" dxfId="0" priority="494">
      <formula>MONTH(AC45)&lt;&gt;3</formula>
    </cfRule>
  </conditionalFormatting>
  <conditionalFormatting sqref="AC47">
    <cfRule type="expression" dxfId="0" priority="501">
      <formula>MONTH(AC47)&lt;&gt;3</formula>
    </cfRule>
  </conditionalFormatting>
  <conditionalFormatting sqref="AC7">
    <cfRule type="expression" dxfId="0" priority="130">
      <formula>MONTH(AC7)&lt;&gt;7</formula>
    </cfRule>
  </conditionalFormatting>
  <conditionalFormatting sqref="AC9">
    <cfRule type="expression" dxfId="0" priority="137">
      <formula>MONTH(AC9)&lt;&gt;7</formula>
    </cfRule>
  </conditionalFormatting>
  <conditionalFormatting sqref="AD11">
    <cfRule type="expression" dxfId="0" priority="145">
      <formula>MONTH(AD11)&lt;&gt;7</formula>
    </cfRule>
  </conditionalFormatting>
  <conditionalFormatting sqref="AD13">
    <cfRule type="expression" dxfId="0" priority="152">
      <formula>MONTH(AD13)&lt;&gt;7</formula>
    </cfRule>
  </conditionalFormatting>
  <conditionalFormatting sqref="AD15">
    <cfRule type="expression" dxfId="0" priority="159">
      <formula>MONTH(AD15)&lt;&gt;7</formula>
    </cfRule>
  </conditionalFormatting>
  <conditionalFormatting sqref="AD17">
    <cfRule type="expression" dxfId="0" priority="166">
      <formula>MONTH(AD17)&lt;&gt;7</formula>
    </cfRule>
  </conditionalFormatting>
  <conditionalFormatting sqref="AD22">
    <cfRule type="expression" dxfId="0" priority="299">
      <formula>MONTH(AD22)&lt;&gt;11</formula>
    </cfRule>
  </conditionalFormatting>
  <conditionalFormatting sqref="AD24">
    <cfRule type="expression" dxfId="0" priority="306">
      <formula>MONTH(AD24)&lt;&gt;11</formula>
    </cfRule>
  </conditionalFormatting>
  <conditionalFormatting sqref="AD26">
    <cfRule type="expression" dxfId="0" priority="313">
      <formula>MONTH(AD26)&lt;&gt;11</formula>
    </cfRule>
  </conditionalFormatting>
  <conditionalFormatting sqref="AD28">
    <cfRule type="expression" dxfId="0" priority="320">
      <formula>MONTH(AD28)&lt;&gt;11</formula>
    </cfRule>
  </conditionalFormatting>
  <conditionalFormatting sqref="AD30">
    <cfRule type="expression" dxfId="0" priority="327">
      <formula>MONTH(AD30)&lt;&gt;11</formula>
    </cfRule>
  </conditionalFormatting>
  <conditionalFormatting sqref="AD32">
    <cfRule type="expression" dxfId="0" priority="334">
      <formula>MONTH(AD32)&lt;&gt;11</formula>
    </cfRule>
  </conditionalFormatting>
  <conditionalFormatting sqref="AD37">
    <cfRule type="expression" dxfId="0" priority="467">
      <formula>MONTH(AD37)&lt;&gt;3</formula>
    </cfRule>
  </conditionalFormatting>
  <conditionalFormatting sqref="AD39">
    <cfRule type="expression" dxfId="0" priority="474">
      <formula>MONTH(AD39)&lt;&gt;3</formula>
    </cfRule>
  </conditionalFormatting>
  <conditionalFormatting sqref="AD41">
    <cfRule type="expression" dxfId="0" priority="481">
      <formula>MONTH(AD41)&lt;&gt;3</formula>
    </cfRule>
  </conditionalFormatting>
  <conditionalFormatting sqref="AD43">
    <cfRule type="expression" dxfId="0" priority="488">
      <formula>MONTH(AD43)&lt;&gt;3</formula>
    </cfRule>
  </conditionalFormatting>
  <conditionalFormatting sqref="AD45">
    <cfRule type="expression" dxfId="0" priority="495">
      <formula>MONTH(AD45)&lt;&gt;3</formula>
    </cfRule>
  </conditionalFormatting>
  <conditionalFormatting sqref="AD47">
    <cfRule type="expression" dxfId="0" priority="502">
      <formula>MONTH(AD47)&lt;&gt;3</formula>
    </cfRule>
  </conditionalFormatting>
  <conditionalFormatting sqref="AD7">
    <cfRule type="expression" dxfId="0" priority="131">
      <formula>MONTH(AD7)&lt;&gt;7</formula>
    </cfRule>
  </conditionalFormatting>
  <conditionalFormatting sqref="AD9">
    <cfRule type="expression" dxfId="0" priority="138">
      <formula>MONTH(AD9)&lt;&gt;7</formula>
    </cfRule>
  </conditionalFormatting>
  <conditionalFormatting sqref="AE11">
    <cfRule type="expression" dxfId="0" priority="146">
      <formula>MONTH(AE11)&lt;&gt;7</formula>
    </cfRule>
  </conditionalFormatting>
  <conditionalFormatting sqref="AE13">
    <cfRule type="expression" dxfId="0" priority="153">
      <formula>MONTH(AE13)&lt;&gt;7</formula>
    </cfRule>
  </conditionalFormatting>
  <conditionalFormatting sqref="AE15">
    <cfRule type="expression" dxfId="0" priority="160">
      <formula>MONTH(AE15)&lt;&gt;7</formula>
    </cfRule>
  </conditionalFormatting>
  <conditionalFormatting sqref="AE17">
    <cfRule type="expression" dxfId="0" priority="167">
      <formula>MONTH(AE17)&lt;&gt;7</formula>
    </cfRule>
  </conditionalFormatting>
  <conditionalFormatting sqref="AE22">
    <cfRule type="expression" dxfId="0" priority="300">
      <formula>MONTH(AE22)&lt;&gt;11</formula>
    </cfRule>
  </conditionalFormatting>
  <conditionalFormatting sqref="AE24">
    <cfRule type="expression" dxfId="0" priority="307">
      <formula>MONTH(AE24)&lt;&gt;11</formula>
    </cfRule>
  </conditionalFormatting>
  <conditionalFormatting sqref="AE26">
    <cfRule type="expression" dxfId="0" priority="314">
      <formula>MONTH(AE26)&lt;&gt;11</formula>
    </cfRule>
  </conditionalFormatting>
  <conditionalFormatting sqref="AE28">
    <cfRule type="expression" dxfId="0" priority="321">
      <formula>MONTH(AE28)&lt;&gt;11</formula>
    </cfRule>
  </conditionalFormatting>
  <conditionalFormatting sqref="AE30">
    <cfRule type="expression" dxfId="0" priority="328">
      <formula>MONTH(AE30)&lt;&gt;11</formula>
    </cfRule>
  </conditionalFormatting>
  <conditionalFormatting sqref="AE32">
    <cfRule type="expression" dxfId="0" priority="335">
      <formula>MONTH(AE32)&lt;&gt;11</formula>
    </cfRule>
  </conditionalFormatting>
  <conditionalFormatting sqref="AE37">
    <cfRule type="expression" dxfId="0" priority="468">
      <formula>MONTH(AE37)&lt;&gt;3</formula>
    </cfRule>
  </conditionalFormatting>
  <conditionalFormatting sqref="AE39">
    <cfRule type="expression" dxfId="0" priority="475">
      <formula>MONTH(AE39)&lt;&gt;3</formula>
    </cfRule>
  </conditionalFormatting>
  <conditionalFormatting sqref="AE41">
    <cfRule type="expression" dxfId="0" priority="482">
      <formula>MONTH(AE41)&lt;&gt;3</formula>
    </cfRule>
  </conditionalFormatting>
  <conditionalFormatting sqref="AE43">
    <cfRule type="expression" dxfId="0" priority="489">
      <formula>MONTH(AE43)&lt;&gt;3</formula>
    </cfRule>
  </conditionalFormatting>
  <conditionalFormatting sqref="AE45">
    <cfRule type="expression" dxfId="0" priority="496">
      <formula>MONTH(AE45)&lt;&gt;3</formula>
    </cfRule>
  </conditionalFormatting>
  <conditionalFormatting sqref="AE47">
    <cfRule type="expression" dxfId="0" priority="503">
      <formula>MONTH(AE47)&lt;&gt;3</formula>
    </cfRule>
  </conditionalFormatting>
  <conditionalFormatting sqref="AE7">
    <cfRule type="expression" dxfId="0" priority="132">
      <formula>MONTH(AE7)&lt;&gt;7</formula>
    </cfRule>
  </conditionalFormatting>
  <conditionalFormatting sqref="AE9">
    <cfRule type="expression" dxfId="0" priority="139">
      <formula>MONTH(AE9)&lt;&gt;7</formula>
    </cfRule>
  </conditionalFormatting>
  <conditionalFormatting sqref="AF11">
    <cfRule type="expression" dxfId="0" priority="147">
      <formula>MONTH(AF11)&lt;&gt;7</formula>
    </cfRule>
  </conditionalFormatting>
  <conditionalFormatting sqref="AF13">
    <cfRule type="expression" dxfId="0" priority="154">
      <formula>MONTH(AF13)&lt;&gt;7</formula>
    </cfRule>
  </conditionalFormatting>
  <conditionalFormatting sqref="AF15">
    <cfRule type="expression" dxfId="0" priority="161">
      <formula>MONTH(AF15)&lt;&gt;7</formula>
    </cfRule>
  </conditionalFormatting>
  <conditionalFormatting sqref="AF17">
    <cfRule type="expression" dxfId="0" priority="168">
      <formula>MONTH(AF17)&lt;&gt;7</formula>
    </cfRule>
  </conditionalFormatting>
  <conditionalFormatting sqref="AF22">
    <cfRule type="expression" dxfId="0" priority="301">
      <formula>MONTH(AF22)&lt;&gt;11</formula>
    </cfRule>
  </conditionalFormatting>
  <conditionalFormatting sqref="AF24">
    <cfRule type="expression" dxfId="0" priority="308">
      <formula>MONTH(AF24)&lt;&gt;11</formula>
    </cfRule>
  </conditionalFormatting>
  <conditionalFormatting sqref="AF26">
    <cfRule type="expression" dxfId="0" priority="315">
      <formula>MONTH(AF26)&lt;&gt;11</formula>
    </cfRule>
  </conditionalFormatting>
  <conditionalFormatting sqref="AF28">
    <cfRule type="expression" dxfId="0" priority="322">
      <formula>MONTH(AF28)&lt;&gt;11</formula>
    </cfRule>
  </conditionalFormatting>
  <conditionalFormatting sqref="AF30">
    <cfRule type="expression" dxfId="0" priority="329">
      <formula>MONTH(AF30)&lt;&gt;11</formula>
    </cfRule>
  </conditionalFormatting>
  <conditionalFormatting sqref="AF32">
    <cfRule type="expression" dxfId="0" priority="336">
      <formula>MONTH(AF32)&lt;&gt;11</formula>
    </cfRule>
  </conditionalFormatting>
  <conditionalFormatting sqref="AF37">
    <cfRule type="expression" dxfId="0" priority="469">
      <formula>MONTH(AF37)&lt;&gt;3</formula>
    </cfRule>
  </conditionalFormatting>
  <conditionalFormatting sqref="AF39">
    <cfRule type="expression" dxfId="0" priority="476">
      <formula>MONTH(AF39)&lt;&gt;3</formula>
    </cfRule>
  </conditionalFormatting>
  <conditionalFormatting sqref="AF41">
    <cfRule type="expression" dxfId="0" priority="483">
      <formula>MONTH(AF41)&lt;&gt;3</formula>
    </cfRule>
  </conditionalFormatting>
  <conditionalFormatting sqref="AF43">
    <cfRule type="expression" dxfId="0" priority="490">
      <formula>MONTH(AF43)&lt;&gt;3</formula>
    </cfRule>
  </conditionalFormatting>
  <conditionalFormatting sqref="AF45">
    <cfRule type="expression" dxfId="0" priority="497">
      <formula>MONTH(AF45)&lt;&gt;3</formula>
    </cfRule>
  </conditionalFormatting>
  <conditionalFormatting sqref="AF47">
    <cfRule type="expression" dxfId="0" priority="504">
      <formula>MONTH(AF47)&lt;&gt;3</formula>
    </cfRule>
  </conditionalFormatting>
  <conditionalFormatting sqref="AF7">
    <cfRule type="expression" dxfId="0" priority="133">
      <formula>MONTH(AF7)&lt;&gt;7</formula>
    </cfRule>
  </conditionalFormatting>
  <conditionalFormatting sqref="AF9">
    <cfRule type="expression" dxfId="0" priority="140">
      <formula>MONTH(AF9)&lt;&gt;7</formula>
    </cfRule>
  </conditionalFormatting>
  <conditionalFormatting sqref="B11">
    <cfRule type="expression" dxfId="0" priority="15">
      <formula>MONTH(B11)&lt;&gt;4</formula>
    </cfRule>
  </conditionalFormatting>
  <conditionalFormatting sqref="B13">
    <cfRule type="expression" dxfId="0" priority="22">
      <formula>MONTH(B13)&lt;&gt;4</formula>
    </cfRule>
  </conditionalFormatting>
  <conditionalFormatting sqref="B15">
    <cfRule type="expression" dxfId="0" priority="29">
      <formula>MONTH(B15)&lt;&gt;4</formula>
    </cfRule>
  </conditionalFormatting>
  <conditionalFormatting sqref="B17">
    <cfRule type="expression" dxfId="0" priority="36">
      <formula>MONTH(B17)&lt;&gt;4</formula>
    </cfRule>
  </conditionalFormatting>
  <conditionalFormatting sqref="B22">
    <cfRule type="expression" dxfId="0" priority="169">
      <formula>MONTH(B22)&lt;&gt;8</formula>
    </cfRule>
  </conditionalFormatting>
  <conditionalFormatting sqref="B24">
    <cfRule type="expression" dxfId="0" priority="176">
      <formula>MONTH(B24)&lt;&gt;8</formula>
    </cfRule>
  </conditionalFormatting>
  <conditionalFormatting sqref="B26">
    <cfRule type="expression" dxfId="0" priority="183">
      <formula>MONTH(B26)&lt;&gt;8</formula>
    </cfRule>
  </conditionalFormatting>
  <conditionalFormatting sqref="B28">
    <cfRule type="expression" dxfId="0" priority="190">
      <formula>MONTH(B28)&lt;&gt;8</formula>
    </cfRule>
  </conditionalFormatting>
  <conditionalFormatting sqref="B30">
    <cfRule type="expression" dxfId="0" priority="197">
      <formula>MONTH(B30)&lt;&gt;8</formula>
    </cfRule>
  </conditionalFormatting>
  <conditionalFormatting sqref="B32">
    <cfRule type="expression" dxfId="0" priority="204">
      <formula>MONTH(B32)&lt;&gt;8</formula>
    </cfRule>
  </conditionalFormatting>
  <conditionalFormatting sqref="B37">
    <cfRule type="expression" dxfId="0" priority="337">
      <formula>MONTH(B37)&lt;&gt;12</formula>
    </cfRule>
  </conditionalFormatting>
  <conditionalFormatting sqref="B39">
    <cfRule type="expression" dxfId="0" priority="344">
      <formula>MONTH(B39)&lt;&gt;12</formula>
    </cfRule>
  </conditionalFormatting>
  <conditionalFormatting sqref="B41">
    <cfRule type="expression" dxfId="0" priority="351">
      <formula>MONTH(B41)&lt;&gt;12</formula>
    </cfRule>
  </conditionalFormatting>
  <conditionalFormatting sqref="B43">
    <cfRule type="expression" dxfId="0" priority="358">
      <formula>MONTH(B43)&lt;&gt;12</formula>
    </cfRule>
  </conditionalFormatting>
  <conditionalFormatting sqref="B45">
    <cfRule type="expression" dxfId="0" priority="365">
      <formula>MONTH(B45)&lt;&gt;12</formula>
    </cfRule>
  </conditionalFormatting>
  <conditionalFormatting sqref="B47">
    <cfRule type="expression" dxfId="0" priority="372">
      <formula>MONTH(B47)&lt;&gt;12</formula>
    </cfRule>
  </conditionalFormatting>
  <conditionalFormatting sqref="B7">
    <cfRule type="expression" dxfId="0" priority="1">
      <formula>MONTH(B7)&lt;&gt;4</formula>
    </cfRule>
  </conditionalFormatting>
  <conditionalFormatting sqref="B8:H8 B10:H10 B12:H12 B14:H14 B16:H16 B18:H18 J8:P8 J10:P10 J12:P12 J14:P14 J16:P16 J18:P18 R8:X8 R10:X10 R12:X12 R14:X14 R16:X16 R18:X18 Z8:AF8 Z10:AF10 Z12:AF12 Z14:AF14 Z16:AF16 Z18:AF18 B23:H23 B25:H25 B27:H27 B29:H29 B31:H31 B33:H33 J23:P23 J25:P25 J27:P27 J29:P29 J31:P31 J33:P33 R23:X23 R25:X25 R27:X27 R29:X29 R31:X31 R33:X33 Z23:AF23 Z25:AF25 Z27:AF27 Z29:AF29 Z31:AF31 Z33:AF33 B38:H38 B40:H40 B42:H42 B44:H44 B46:H46 B48:H48 J38:P38 J40:P40 J42:P42 J44:P44 J46:P46 J48:P48 R38:X38 R40:X40 R42:X42 R44:X44 R46:X46 R48:X48 Z38:AF38 Z40:AF40 Z42:AF42 Z44:AF44 Z46:AF46 Z48:AF48">
    <cfRule type="expression" dxfId="1" priority="505">
      <formula>$A$3&lt;&gt;1</formula>
    </cfRule>
    <cfRule type="colorScale" priority="506">
      <colorScale>
        <cfvo type="min" val="0"/>
        <cfvo type="percentile" val="50"/>
        <cfvo type="max" val="0"/>
        <color rgb="FFF4F7FA"/>
        <color rgb="FFB5CCE2"/>
        <color rgb="FF6F9CC6"/>
      </colorScale>
    </cfRule>
  </conditionalFormatting>
  <conditionalFormatting sqref="B9">
    <cfRule type="expression" dxfId="0" priority="8">
      <formula>MONTH(B9)&lt;&gt;4</formula>
    </cfRule>
  </conditionalFormatting>
  <conditionalFormatting sqref="C11">
    <cfRule type="expression" dxfId="0" priority="16">
      <formula>MONTH(C11)&lt;&gt;4</formula>
    </cfRule>
  </conditionalFormatting>
  <conditionalFormatting sqref="C13">
    <cfRule type="expression" dxfId="0" priority="23">
      <formula>MONTH(C13)&lt;&gt;4</formula>
    </cfRule>
  </conditionalFormatting>
  <conditionalFormatting sqref="C15">
    <cfRule type="expression" dxfId="0" priority="30">
      <formula>MONTH(C15)&lt;&gt;4</formula>
    </cfRule>
  </conditionalFormatting>
  <conditionalFormatting sqref="C17">
    <cfRule type="expression" dxfId="0" priority="37">
      <formula>MONTH(C17)&lt;&gt;4</formula>
    </cfRule>
  </conditionalFormatting>
  <conditionalFormatting sqref="C22">
    <cfRule type="expression" dxfId="0" priority="170">
      <formula>MONTH(C22)&lt;&gt;8</formula>
    </cfRule>
  </conditionalFormatting>
  <conditionalFormatting sqref="C24">
    <cfRule type="expression" dxfId="0" priority="177">
      <formula>MONTH(C24)&lt;&gt;8</formula>
    </cfRule>
  </conditionalFormatting>
  <conditionalFormatting sqref="C26">
    <cfRule type="expression" dxfId="0" priority="184">
      <formula>MONTH(C26)&lt;&gt;8</formula>
    </cfRule>
  </conditionalFormatting>
  <conditionalFormatting sqref="C28">
    <cfRule type="expression" dxfId="0" priority="191">
      <formula>MONTH(C28)&lt;&gt;8</formula>
    </cfRule>
  </conditionalFormatting>
  <conditionalFormatting sqref="C30">
    <cfRule type="expression" dxfId="0" priority="198">
      <formula>MONTH(C30)&lt;&gt;8</formula>
    </cfRule>
  </conditionalFormatting>
  <conditionalFormatting sqref="C32">
    <cfRule type="expression" dxfId="0" priority="205">
      <formula>MONTH(C32)&lt;&gt;8</formula>
    </cfRule>
  </conditionalFormatting>
  <conditionalFormatting sqref="C37">
    <cfRule type="expression" dxfId="0" priority="338">
      <formula>MONTH(C37)&lt;&gt;12</formula>
    </cfRule>
  </conditionalFormatting>
  <conditionalFormatting sqref="C39">
    <cfRule type="expression" dxfId="0" priority="345">
      <formula>MONTH(C39)&lt;&gt;12</formula>
    </cfRule>
  </conditionalFormatting>
  <conditionalFormatting sqref="C41">
    <cfRule type="expression" dxfId="0" priority="352">
      <formula>MONTH(C41)&lt;&gt;12</formula>
    </cfRule>
  </conditionalFormatting>
  <conditionalFormatting sqref="C43">
    <cfRule type="expression" dxfId="0" priority="359">
      <formula>MONTH(C43)&lt;&gt;12</formula>
    </cfRule>
  </conditionalFormatting>
  <conditionalFormatting sqref="C45">
    <cfRule type="expression" dxfId="0" priority="366">
      <formula>MONTH(C45)&lt;&gt;12</formula>
    </cfRule>
  </conditionalFormatting>
  <conditionalFormatting sqref="C47">
    <cfRule type="expression" dxfId="0" priority="373">
      <formula>MONTH(C47)&lt;&gt;12</formula>
    </cfRule>
  </conditionalFormatting>
  <conditionalFormatting sqref="C7">
    <cfRule type="expression" dxfId="0" priority="2">
      <formula>MONTH(C7)&lt;&gt;4</formula>
    </cfRule>
  </conditionalFormatting>
  <conditionalFormatting sqref="C9">
    <cfRule type="expression" dxfId="0" priority="9">
      <formula>MONTH(C9)&lt;&gt;4</formula>
    </cfRule>
  </conditionalFormatting>
  <conditionalFormatting sqref="D11">
    <cfRule type="expression" dxfId="0" priority="17">
      <formula>MONTH(D11)&lt;&gt;4</formula>
    </cfRule>
  </conditionalFormatting>
  <conditionalFormatting sqref="D13">
    <cfRule type="expression" dxfId="0" priority="24">
      <formula>MONTH(D13)&lt;&gt;4</formula>
    </cfRule>
  </conditionalFormatting>
  <conditionalFormatting sqref="D15">
    <cfRule type="expression" dxfId="0" priority="31">
      <formula>MONTH(D15)&lt;&gt;4</formula>
    </cfRule>
  </conditionalFormatting>
  <conditionalFormatting sqref="D17">
    <cfRule type="expression" dxfId="0" priority="38">
      <formula>MONTH(D17)&lt;&gt;4</formula>
    </cfRule>
  </conditionalFormatting>
  <conditionalFormatting sqref="D22">
    <cfRule type="expression" dxfId="0" priority="171">
      <formula>MONTH(D22)&lt;&gt;8</formula>
    </cfRule>
  </conditionalFormatting>
  <conditionalFormatting sqref="D24">
    <cfRule type="expression" dxfId="0" priority="178">
      <formula>MONTH(D24)&lt;&gt;8</formula>
    </cfRule>
  </conditionalFormatting>
  <conditionalFormatting sqref="D26">
    <cfRule type="expression" dxfId="0" priority="185">
      <formula>MONTH(D26)&lt;&gt;8</formula>
    </cfRule>
  </conditionalFormatting>
  <conditionalFormatting sqref="D28">
    <cfRule type="expression" dxfId="0" priority="192">
      <formula>MONTH(D28)&lt;&gt;8</formula>
    </cfRule>
  </conditionalFormatting>
  <conditionalFormatting sqref="D30">
    <cfRule type="expression" dxfId="0" priority="199">
      <formula>MONTH(D30)&lt;&gt;8</formula>
    </cfRule>
  </conditionalFormatting>
  <conditionalFormatting sqref="D32">
    <cfRule type="expression" dxfId="0" priority="206">
      <formula>MONTH(D32)&lt;&gt;8</formula>
    </cfRule>
  </conditionalFormatting>
  <conditionalFormatting sqref="D37">
    <cfRule type="expression" dxfId="0" priority="339">
      <formula>MONTH(D37)&lt;&gt;12</formula>
    </cfRule>
  </conditionalFormatting>
  <conditionalFormatting sqref="D39">
    <cfRule type="expression" dxfId="0" priority="346">
      <formula>MONTH(D39)&lt;&gt;12</formula>
    </cfRule>
  </conditionalFormatting>
  <conditionalFormatting sqref="D41">
    <cfRule type="expression" dxfId="0" priority="353">
      <formula>MONTH(D41)&lt;&gt;12</formula>
    </cfRule>
  </conditionalFormatting>
  <conditionalFormatting sqref="D43">
    <cfRule type="expression" dxfId="0" priority="360">
      <formula>MONTH(D43)&lt;&gt;12</formula>
    </cfRule>
  </conditionalFormatting>
  <conditionalFormatting sqref="D45">
    <cfRule type="expression" dxfId="0" priority="367">
      <formula>MONTH(D45)&lt;&gt;12</formula>
    </cfRule>
  </conditionalFormatting>
  <conditionalFormatting sqref="D47">
    <cfRule type="expression" dxfId="0" priority="374">
      <formula>MONTH(D47)&lt;&gt;12</formula>
    </cfRule>
  </conditionalFormatting>
  <conditionalFormatting sqref="D7">
    <cfRule type="expression" dxfId="0" priority="3">
      <formula>MONTH(D7)&lt;&gt;4</formula>
    </cfRule>
  </conditionalFormatting>
  <conditionalFormatting sqref="D9">
    <cfRule type="expression" dxfId="0" priority="10">
      <formula>MONTH(D9)&lt;&gt;4</formula>
    </cfRule>
  </conditionalFormatting>
  <conditionalFormatting sqref="E11">
    <cfRule type="expression" dxfId="0" priority="18">
      <formula>MONTH(E11)&lt;&gt;4</formula>
    </cfRule>
  </conditionalFormatting>
  <conditionalFormatting sqref="E13">
    <cfRule type="expression" dxfId="0" priority="25">
      <formula>MONTH(E13)&lt;&gt;4</formula>
    </cfRule>
  </conditionalFormatting>
  <conditionalFormatting sqref="E15">
    <cfRule type="expression" dxfId="0" priority="32">
      <formula>MONTH(E15)&lt;&gt;4</formula>
    </cfRule>
  </conditionalFormatting>
  <conditionalFormatting sqref="E17">
    <cfRule type="expression" dxfId="0" priority="39">
      <formula>MONTH(E17)&lt;&gt;4</formula>
    </cfRule>
  </conditionalFormatting>
  <conditionalFormatting sqref="E22">
    <cfRule type="expression" dxfId="0" priority="172">
      <formula>MONTH(E22)&lt;&gt;8</formula>
    </cfRule>
  </conditionalFormatting>
  <conditionalFormatting sqref="E24">
    <cfRule type="expression" dxfId="0" priority="179">
      <formula>MONTH(E24)&lt;&gt;8</formula>
    </cfRule>
  </conditionalFormatting>
  <conditionalFormatting sqref="E26">
    <cfRule type="expression" dxfId="0" priority="186">
      <formula>MONTH(E26)&lt;&gt;8</formula>
    </cfRule>
  </conditionalFormatting>
  <conditionalFormatting sqref="E28">
    <cfRule type="expression" dxfId="0" priority="193">
      <formula>MONTH(E28)&lt;&gt;8</formula>
    </cfRule>
  </conditionalFormatting>
  <conditionalFormatting sqref="E30">
    <cfRule type="expression" dxfId="0" priority="200">
      <formula>MONTH(E30)&lt;&gt;8</formula>
    </cfRule>
  </conditionalFormatting>
  <conditionalFormatting sqref="E32">
    <cfRule type="expression" dxfId="0" priority="207">
      <formula>MONTH(E32)&lt;&gt;8</formula>
    </cfRule>
  </conditionalFormatting>
  <conditionalFormatting sqref="E37">
    <cfRule type="expression" dxfId="0" priority="340">
      <formula>MONTH(E37)&lt;&gt;12</formula>
    </cfRule>
  </conditionalFormatting>
  <conditionalFormatting sqref="E39">
    <cfRule type="expression" dxfId="0" priority="347">
      <formula>MONTH(E39)&lt;&gt;12</formula>
    </cfRule>
  </conditionalFormatting>
  <conditionalFormatting sqref="E41">
    <cfRule type="expression" dxfId="0" priority="354">
      <formula>MONTH(E41)&lt;&gt;12</formula>
    </cfRule>
  </conditionalFormatting>
  <conditionalFormatting sqref="E43">
    <cfRule type="expression" dxfId="0" priority="361">
      <formula>MONTH(E43)&lt;&gt;12</formula>
    </cfRule>
  </conditionalFormatting>
  <conditionalFormatting sqref="E45">
    <cfRule type="expression" dxfId="0" priority="368">
      <formula>MONTH(E45)&lt;&gt;12</formula>
    </cfRule>
  </conditionalFormatting>
  <conditionalFormatting sqref="E47">
    <cfRule type="expression" dxfId="0" priority="375">
      <formula>MONTH(E47)&lt;&gt;12</formula>
    </cfRule>
  </conditionalFormatting>
  <conditionalFormatting sqref="E7">
    <cfRule type="expression" dxfId="0" priority="4">
      <formula>MONTH(E7)&lt;&gt;4</formula>
    </cfRule>
  </conditionalFormatting>
  <conditionalFormatting sqref="E9">
    <cfRule type="expression" dxfId="0" priority="11">
      <formula>MONTH(E9)&lt;&gt;4</formula>
    </cfRule>
  </conditionalFormatting>
  <conditionalFormatting sqref="F11">
    <cfRule type="expression" dxfId="0" priority="19">
      <formula>MONTH(F11)&lt;&gt;4</formula>
    </cfRule>
  </conditionalFormatting>
  <conditionalFormatting sqref="F13">
    <cfRule type="expression" dxfId="0" priority="26">
      <formula>MONTH(F13)&lt;&gt;4</formula>
    </cfRule>
  </conditionalFormatting>
  <conditionalFormatting sqref="F15">
    <cfRule type="expression" dxfId="0" priority="33">
      <formula>MONTH(F15)&lt;&gt;4</formula>
    </cfRule>
  </conditionalFormatting>
  <conditionalFormatting sqref="F17">
    <cfRule type="expression" dxfId="0" priority="40">
      <formula>MONTH(F17)&lt;&gt;4</formula>
    </cfRule>
  </conditionalFormatting>
  <conditionalFormatting sqref="F22">
    <cfRule type="expression" dxfId="0" priority="173">
      <formula>MONTH(F22)&lt;&gt;8</formula>
    </cfRule>
  </conditionalFormatting>
  <conditionalFormatting sqref="F24">
    <cfRule type="expression" dxfId="0" priority="180">
      <formula>MONTH(F24)&lt;&gt;8</formula>
    </cfRule>
  </conditionalFormatting>
  <conditionalFormatting sqref="F26">
    <cfRule type="expression" dxfId="0" priority="187">
      <formula>MONTH(F26)&lt;&gt;8</formula>
    </cfRule>
  </conditionalFormatting>
  <conditionalFormatting sqref="F28">
    <cfRule type="expression" dxfId="0" priority="194">
      <formula>MONTH(F28)&lt;&gt;8</formula>
    </cfRule>
  </conditionalFormatting>
  <conditionalFormatting sqref="F30">
    <cfRule type="expression" dxfId="0" priority="201">
      <formula>MONTH(F30)&lt;&gt;8</formula>
    </cfRule>
  </conditionalFormatting>
  <conditionalFormatting sqref="F32">
    <cfRule type="expression" dxfId="0" priority="208">
      <formula>MONTH(F32)&lt;&gt;8</formula>
    </cfRule>
  </conditionalFormatting>
  <conditionalFormatting sqref="F37">
    <cfRule type="expression" dxfId="0" priority="341">
      <formula>MONTH(F37)&lt;&gt;12</formula>
    </cfRule>
  </conditionalFormatting>
  <conditionalFormatting sqref="F39">
    <cfRule type="expression" dxfId="0" priority="348">
      <formula>MONTH(F39)&lt;&gt;12</formula>
    </cfRule>
  </conditionalFormatting>
  <conditionalFormatting sqref="F41">
    <cfRule type="expression" dxfId="0" priority="355">
      <formula>MONTH(F41)&lt;&gt;12</formula>
    </cfRule>
  </conditionalFormatting>
  <conditionalFormatting sqref="F43">
    <cfRule type="expression" dxfId="0" priority="362">
      <formula>MONTH(F43)&lt;&gt;12</formula>
    </cfRule>
  </conditionalFormatting>
  <conditionalFormatting sqref="F45">
    <cfRule type="expression" dxfId="0" priority="369">
      <formula>MONTH(F45)&lt;&gt;12</formula>
    </cfRule>
  </conditionalFormatting>
  <conditionalFormatting sqref="F47">
    <cfRule type="expression" dxfId="0" priority="376">
      <formula>MONTH(F47)&lt;&gt;12</formula>
    </cfRule>
  </conditionalFormatting>
  <conditionalFormatting sqref="F7">
    <cfRule type="expression" dxfId="0" priority="5">
      <formula>MONTH(F7)&lt;&gt;4</formula>
    </cfRule>
  </conditionalFormatting>
  <conditionalFormatting sqref="F9">
    <cfRule type="expression" dxfId="0" priority="12">
      <formula>MONTH(F9)&lt;&gt;4</formula>
    </cfRule>
  </conditionalFormatting>
  <conditionalFormatting sqref="G11">
    <cfRule type="expression" dxfId="0" priority="20">
      <formula>MONTH(G11)&lt;&gt;4</formula>
    </cfRule>
  </conditionalFormatting>
  <conditionalFormatting sqref="G13">
    <cfRule type="expression" dxfId="0" priority="27">
      <formula>MONTH(G13)&lt;&gt;4</formula>
    </cfRule>
  </conditionalFormatting>
  <conditionalFormatting sqref="G15">
    <cfRule type="expression" dxfId="0" priority="34">
      <formula>MONTH(G15)&lt;&gt;4</formula>
    </cfRule>
  </conditionalFormatting>
  <conditionalFormatting sqref="G17">
    <cfRule type="expression" dxfId="0" priority="41">
      <formula>MONTH(G17)&lt;&gt;4</formula>
    </cfRule>
  </conditionalFormatting>
  <conditionalFormatting sqref="G22">
    <cfRule type="expression" dxfId="0" priority="174">
      <formula>MONTH(G22)&lt;&gt;8</formula>
    </cfRule>
  </conditionalFormatting>
  <conditionalFormatting sqref="G24">
    <cfRule type="expression" dxfId="0" priority="181">
      <formula>MONTH(G24)&lt;&gt;8</formula>
    </cfRule>
  </conditionalFormatting>
  <conditionalFormatting sqref="G26">
    <cfRule type="expression" dxfId="0" priority="188">
      <formula>MONTH(G26)&lt;&gt;8</formula>
    </cfRule>
  </conditionalFormatting>
  <conditionalFormatting sqref="G28">
    <cfRule type="expression" dxfId="0" priority="195">
      <formula>MONTH(G28)&lt;&gt;8</formula>
    </cfRule>
  </conditionalFormatting>
  <conditionalFormatting sqref="G30">
    <cfRule type="expression" dxfId="0" priority="202">
      <formula>MONTH(G30)&lt;&gt;8</formula>
    </cfRule>
  </conditionalFormatting>
  <conditionalFormatting sqref="G32">
    <cfRule type="expression" dxfId="0" priority="209">
      <formula>MONTH(G32)&lt;&gt;8</formula>
    </cfRule>
  </conditionalFormatting>
  <conditionalFormatting sqref="G37">
    <cfRule type="expression" dxfId="0" priority="342">
      <formula>MONTH(G37)&lt;&gt;12</formula>
    </cfRule>
  </conditionalFormatting>
  <conditionalFormatting sqref="G39">
    <cfRule type="expression" dxfId="0" priority="349">
      <formula>MONTH(G39)&lt;&gt;12</formula>
    </cfRule>
  </conditionalFormatting>
  <conditionalFormatting sqref="G41">
    <cfRule type="expression" dxfId="0" priority="356">
      <formula>MONTH(G41)&lt;&gt;12</formula>
    </cfRule>
  </conditionalFormatting>
  <conditionalFormatting sqref="G43">
    <cfRule type="expression" dxfId="0" priority="363">
      <formula>MONTH(G43)&lt;&gt;12</formula>
    </cfRule>
  </conditionalFormatting>
  <conditionalFormatting sqref="G45">
    <cfRule type="expression" dxfId="0" priority="370">
      <formula>MONTH(G45)&lt;&gt;12</formula>
    </cfRule>
  </conditionalFormatting>
  <conditionalFormatting sqref="G47">
    <cfRule type="expression" dxfId="0" priority="377">
      <formula>MONTH(G47)&lt;&gt;12</formula>
    </cfRule>
  </conditionalFormatting>
  <conditionalFormatting sqref="G7">
    <cfRule type="expression" dxfId="0" priority="6">
      <formula>MONTH(G7)&lt;&gt;4</formula>
    </cfRule>
  </conditionalFormatting>
  <conditionalFormatting sqref="G9">
    <cfRule type="expression" dxfId="0" priority="13">
      <formula>MONTH(G9)&lt;&gt;4</formula>
    </cfRule>
  </conditionalFormatting>
  <conditionalFormatting sqref="H11">
    <cfRule type="expression" dxfId="0" priority="21">
      <formula>MONTH(H11)&lt;&gt;4</formula>
    </cfRule>
  </conditionalFormatting>
  <conditionalFormatting sqref="H13">
    <cfRule type="expression" dxfId="0" priority="28">
      <formula>MONTH(H13)&lt;&gt;4</formula>
    </cfRule>
  </conditionalFormatting>
  <conditionalFormatting sqref="H15">
    <cfRule type="expression" dxfId="0" priority="35">
      <formula>MONTH(H15)&lt;&gt;4</formula>
    </cfRule>
  </conditionalFormatting>
  <conditionalFormatting sqref="H17">
    <cfRule type="expression" dxfId="0" priority="42">
      <formula>MONTH(H17)&lt;&gt;4</formula>
    </cfRule>
  </conditionalFormatting>
  <conditionalFormatting sqref="H22">
    <cfRule type="expression" dxfId="0" priority="175">
      <formula>MONTH(H22)&lt;&gt;8</formula>
    </cfRule>
  </conditionalFormatting>
  <conditionalFormatting sqref="H24">
    <cfRule type="expression" dxfId="0" priority="182">
      <formula>MONTH(H24)&lt;&gt;8</formula>
    </cfRule>
  </conditionalFormatting>
  <conditionalFormatting sqref="H26">
    <cfRule type="expression" dxfId="0" priority="189">
      <formula>MONTH(H26)&lt;&gt;8</formula>
    </cfRule>
  </conditionalFormatting>
  <conditionalFormatting sqref="H28">
    <cfRule type="expression" dxfId="0" priority="196">
      <formula>MONTH(H28)&lt;&gt;8</formula>
    </cfRule>
  </conditionalFormatting>
  <conditionalFormatting sqref="H30">
    <cfRule type="expression" dxfId="0" priority="203">
      <formula>MONTH(H30)&lt;&gt;8</formula>
    </cfRule>
  </conditionalFormatting>
  <conditionalFormatting sqref="H32">
    <cfRule type="expression" dxfId="0" priority="210">
      <formula>MONTH(H32)&lt;&gt;8</formula>
    </cfRule>
  </conditionalFormatting>
  <conditionalFormatting sqref="H37">
    <cfRule type="expression" dxfId="0" priority="343">
      <formula>MONTH(H37)&lt;&gt;12</formula>
    </cfRule>
  </conditionalFormatting>
  <conditionalFormatting sqref="H39">
    <cfRule type="expression" dxfId="0" priority="350">
      <formula>MONTH(H39)&lt;&gt;12</formula>
    </cfRule>
  </conditionalFormatting>
  <conditionalFormatting sqref="H41">
    <cfRule type="expression" dxfId="0" priority="357">
      <formula>MONTH(H41)&lt;&gt;12</formula>
    </cfRule>
  </conditionalFormatting>
  <conditionalFormatting sqref="H43">
    <cfRule type="expression" dxfId="0" priority="364">
      <formula>MONTH(H43)&lt;&gt;12</formula>
    </cfRule>
  </conditionalFormatting>
  <conditionalFormatting sqref="H45">
    <cfRule type="expression" dxfId="0" priority="371">
      <formula>MONTH(H45)&lt;&gt;12</formula>
    </cfRule>
  </conditionalFormatting>
  <conditionalFormatting sqref="H47">
    <cfRule type="expression" dxfId="0" priority="378">
      <formula>MONTH(H47)&lt;&gt;12</formula>
    </cfRule>
  </conditionalFormatting>
  <conditionalFormatting sqref="H7">
    <cfRule type="expression" dxfId="0" priority="7">
      <formula>MONTH(H7)&lt;&gt;4</formula>
    </cfRule>
  </conditionalFormatting>
  <conditionalFormatting sqref="H9">
    <cfRule type="expression" dxfId="0" priority="14">
      <formula>MONTH(H9)&lt;&gt;4</formula>
    </cfRule>
  </conditionalFormatting>
  <conditionalFormatting sqref="J11">
    <cfRule type="expression" dxfId="0" priority="57">
      <formula>MONTH(J11)&lt;&gt;5</formula>
    </cfRule>
  </conditionalFormatting>
  <conditionalFormatting sqref="J13">
    <cfRule type="expression" dxfId="0" priority="64">
      <formula>MONTH(J13)&lt;&gt;5</formula>
    </cfRule>
  </conditionalFormatting>
  <conditionalFormatting sqref="J15">
    <cfRule type="expression" dxfId="0" priority="71">
      <formula>MONTH(J15)&lt;&gt;5</formula>
    </cfRule>
  </conditionalFormatting>
  <conditionalFormatting sqref="J17">
    <cfRule type="expression" dxfId="0" priority="78">
      <formula>MONTH(J17)&lt;&gt;5</formula>
    </cfRule>
  </conditionalFormatting>
  <conditionalFormatting sqref="J22">
    <cfRule type="expression" dxfId="0" priority="211">
      <formula>MONTH(J22)&lt;&gt;9</formula>
    </cfRule>
  </conditionalFormatting>
  <conditionalFormatting sqref="J24">
    <cfRule type="expression" dxfId="0" priority="218">
      <formula>MONTH(J24)&lt;&gt;9</formula>
    </cfRule>
  </conditionalFormatting>
  <conditionalFormatting sqref="J26">
    <cfRule type="expression" dxfId="0" priority="225">
      <formula>MONTH(J26)&lt;&gt;9</formula>
    </cfRule>
  </conditionalFormatting>
  <conditionalFormatting sqref="J28">
    <cfRule type="expression" dxfId="0" priority="232">
      <formula>MONTH(J28)&lt;&gt;9</formula>
    </cfRule>
  </conditionalFormatting>
  <conditionalFormatting sqref="J30">
    <cfRule type="expression" dxfId="0" priority="239">
      <formula>MONTH(J30)&lt;&gt;9</formula>
    </cfRule>
  </conditionalFormatting>
  <conditionalFormatting sqref="J32">
    <cfRule type="expression" dxfId="0" priority="246">
      <formula>MONTH(J32)&lt;&gt;9</formula>
    </cfRule>
  </conditionalFormatting>
  <conditionalFormatting sqref="J37">
    <cfRule type="expression" dxfId="0" priority="379">
      <formula>MONTH(J37)&lt;&gt;1</formula>
    </cfRule>
  </conditionalFormatting>
  <conditionalFormatting sqref="J39">
    <cfRule type="expression" dxfId="0" priority="386">
      <formula>MONTH(J39)&lt;&gt;1</formula>
    </cfRule>
  </conditionalFormatting>
  <conditionalFormatting sqref="J41">
    <cfRule type="expression" dxfId="0" priority="393">
      <formula>MONTH(J41)&lt;&gt;1</formula>
    </cfRule>
  </conditionalFormatting>
  <conditionalFormatting sqref="J43">
    <cfRule type="expression" dxfId="0" priority="400">
      <formula>MONTH(J43)&lt;&gt;1</formula>
    </cfRule>
  </conditionalFormatting>
  <conditionalFormatting sqref="J45">
    <cfRule type="expression" dxfId="0" priority="407">
      <formula>MONTH(J45)&lt;&gt;1</formula>
    </cfRule>
  </conditionalFormatting>
  <conditionalFormatting sqref="J47">
    <cfRule type="expression" dxfId="0" priority="414">
      <formula>MONTH(J47)&lt;&gt;1</formula>
    </cfRule>
  </conditionalFormatting>
  <conditionalFormatting sqref="J7">
    <cfRule type="expression" dxfId="0" priority="43">
      <formula>MONTH(J7)&lt;&gt;5</formula>
    </cfRule>
  </conditionalFormatting>
  <conditionalFormatting sqref="J9">
    <cfRule type="expression" dxfId="0" priority="50">
      <formula>MONTH(J9)&lt;&gt;5</formula>
    </cfRule>
  </conditionalFormatting>
  <conditionalFormatting sqref="K11">
    <cfRule type="expression" dxfId="0" priority="58">
      <formula>MONTH(K11)&lt;&gt;5</formula>
    </cfRule>
  </conditionalFormatting>
  <conditionalFormatting sqref="K13">
    <cfRule type="expression" dxfId="0" priority="65">
      <formula>MONTH(K13)&lt;&gt;5</formula>
    </cfRule>
  </conditionalFormatting>
  <conditionalFormatting sqref="K15">
    <cfRule type="expression" dxfId="0" priority="72">
      <formula>MONTH(K15)&lt;&gt;5</formula>
    </cfRule>
  </conditionalFormatting>
  <conditionalFormatting sqref="K17">
    <cfRule type="expression" dxfId="0" priority="79">
      <formula>MONTH(K17)&lt;&gt;5</formula>
    </cfRule>
  </conditionalFormatting>
  <conditionalFormatting sqref="K22">
    <cfRule type="expression" dxfId="0" priority="212">
      <formula>MONTH(K22)&lt;&gt;9</formula>
    </cfRule>
  </conditionalFormatting>
  <conditionalFormatting sqref="K24">
    <cfRule type="expression" dxfId="0" priority="219">
      <formula>MONTH(K24)&lt;&gt;9</formula>
    </cfRule>
  </conditionalFormatting>
  <conditionalFormatting sqref="K26">
    <cfRule type="expression" dxfId="0" priority="226">
      <formula>MONTH(K26)&lt;&gt;9</formula>
    </cfRule>
  </conditionalFormatting>
  <conditionalFormatting sqref="K28">
    <cfRule type="expression" dxfId="0" priority="233">
      <formula>MONTH(K28)&lt;&gt;9</formula>
    </cfRule>
  </conditionalFormatting>
  <conditionalFormatting sqref="K30">
    <cfRule type="expression" dxfId="0" priority="240">
      <formula>MONTH(K30)&lt;&gt;9</formula>
    </cfRule>
  </conditionalFormatting>
  <conditionalFormatting sqref="K32">
    <cfRule type="expression" dxfId="0" priority="247">
      <formula>MONTH(K32)&lt;&gt;9</formula>
    </cfRule>
  </conditionalFormatting>
  <conditionalFormatting sqref="K37">
    <cfRule type="expression" dxfId="0" priority="380">
      <formula>MONTH(K37)&lt;&gt;1</formula>
    </cfRule>
  </conditionalFormatting>
  <conditionalFormatting sqref="K39">
    <cfRule type="expression" dxfId="0" priority="387">
      <formula>MONTH(K39)&lt;&gt;1</formula>
    </cfRule>
  </conditionalFormatting>
  <conditionalFormatting sqref="K41">
    <cfRule type="expression" dxfId="0" priority="394">
      <formula>MONTH(K41)&lt;&gt;1</formula>
    </cfRule>
  </conditionalFormatting>
  <conditionalFormatting sqref="K43">
    <cfRule type="expression" dxfId="0" priority="401">
      <formula>MONTH(K43)&lt;&gt;1</formula>
    </cfRule>
  </conditionalFormatting>
  <conditionalFormatting sqref="K45">
    <cfRule type="expression" dxfId="0" priority="408">
      <formula>MONTH(K45)&lt;&gt;1</formula>
    </cfRule>
  </conditionalFormatting>
  <conditionalFormatting sqref="K47">
    <cfRule type="expression" dxfId="0" priority="415">
      <formula>MONTH(K47)&lt;&gt;1</formula>
    </cfRule>
  </conditionalFormatting>
  <conditionalFormatting sqref="K7">
    <cfRule type="expression" dxfId="0" priority="44">
      <formula>MONTH(K7)&lt;&gt;5</formula>
    </cfRule>
  </conditionalFormatting>
  <conditionalFormatting sqref="K9">
    <cfRule type="expression" dxfId="0" priority="51">
      <formula>MONTH(K9)&lt;&gt;5</formula>
    </cfRule>
  </conditionalFormatting>
  <conditionalFormatting sqref="L11">
    <cfRule type="expression" dxfId="0" priority="59">
      <formula>MONTH(L11)&lt;&gt;5</formula>
    </cfRule>
  </conditionalFormatting>
  <conditionalFormatting sqref="L13">
    <cfRule type="expression" dxfId="0" priority="66">
      <formula>MONTH(L13)&lt;&gt;5</formula>
    </cfRule>
  </conditionalFormatting>
  <conditionalFormatting sqref="L15">
    <cfRule type="expression" dxfId="0" priority="73">
      <formula>MONTH(L15)&lt;&gt;5</formula>
    </cfRule>
  </conditionalFormatting>
  <conditionalFormatting sqref="L17">
    <cfRule type="expression" dxfId="0" priority="80">
      <formula>MONTH(L17)&lt;&gt;5</formula>
    </cfRule>
  </conditionalFormatting>
  <conditionalFormatting sqref="L22">
    <cfRule type="expression" dxfId="0" priority="213">
      <formula>MONTH(L22)&lt;&gt;9</formula>
    </cfRule>
  </conditionalFormatting>
  <conditionalFormatting sqref="L24">
    <cfRule type="expression" dxfId="0" priority="220">
      <formula>MONTH(L24)&lt;&gt;9</formula>
    </cfRule>
  </conditionalFormatting>
  <conditionalFormatting sqref="L26">
    <cfRule type="expression" dxfId="0" priority="227">
      <formula>MONTH(L26)&lt;&gt;9</formula>
    </cfRule>
  </conditionalFormatting>
  <conditionalFormatting sqref="L28">
    <cfRule type="expression" dxfId="0" priority="234">
      <formula>MONTH(L28)&lt;&gt;9</formula>
    </cfRule>
  </conditionalFormatting>
  <conditionalFormatting sqref="L30">
    <cfRule type="expression" dxfId="0" priority="241">
      <formula>MONTH(L30)&lt;&gt;9</formula>
    </cfRule>
  </conditionalFormatting>
  <conditionalFormatting sqref="L32">
    <cfRule type="expression" dxfId="0" priority="248">
      <formula>MONTH(L32)&lt;&gt;9</formula>
    </cfRule>
  </conditionalFormatting>
  <conditionalFormatting sqref="L37">
    <cfRule type="expression" dxfId="0" priority="381">
      <formula>MONTH(L37)&lt;&gt;1</formula>
    </cfRule>
  </conditionalFormatting>
  <conditionalFormatting sqref="L39">
    <cfRule type="expression" dxfId="0" priority="388">
      <formula>MONTH(L39)&lt;&gt;1</formula>
    </cfRule>
  </conditionalFormatting>
  <conditionalFormatting sqref="L41">
    <cfRule type="expression" dxfId="0" priority="395">
      <formula>MONTH(L41)&lt;&gt;1</formula>
    </cfRule>
  </conditionalFormatting>
  <conditionalFormatting sqref="L43">
    <cfRule type="expression" dxfId="0" priority="402">
      <formula>MONTH(L43)&lt;&gt;1</formula>
    </cfRule>
  </conditionalFormatting>
  <conditionalFormatting sqref="L45">
    <cfRule type="expression" dxfId="0" priority="409">
      <formula>MONTH(L45)&lt;&gt;1</formula>
    </cfRule>
  </conditionalFormatting>
  <conditionalFormatting sqref="L47">
    <cfRule type="expression" dxfId="0" priority="416">
      <formula>MONTH(L47)&lt;&gt;1</formula>
    </cfRule>
  </conditionalFormatting>
  <conditionalFormatting sqref="L7">
    <cfRule type="expression" dxfId="0" priority="45">
      <formula>MONTH(L7)&lt;&gt;5</formula>
    </cfRule>
  </conditionalFormatting>
  <conditionalFormatting sqref="L9">
    <cfRule type="expression" dxfId="0" priority="52">
      <formula>MONTH(L9)&lt;&gt;5</formula>
    </cfRule>
  </conditionalFormatting>
  <conditionalFormatting sqref="M11">
    <cfRule type="expression" dxfId="0" priority="60">
      <formula>MONTH(M11)&lt;&gt;5</formula>
    </cfRule>
  </conditionalFormatting>
  <conditionalFormatting sqref="M13">
    <cfRule type="expression" dxfId="0" priority="67">
      <formula>MONTH(M13)&lt;&gt;5</formula>
    </cfRule>
  </conditionalFormatting>
  <conditionalFormatting sqref="M15">
    <cfRule type="expression" dxfId="0" priority="74">
      <formula>MONTH(M15)&lt;&gt;5</formula>
    </cfRule>
  </conditionalFormatting>
  <conditionalFormatting sqref="M17">
    <cfRule type="expression" dxfId="0" priority="81">
      <formula>MONTH(M17)&lt;&gt;5</formula>
    </cfRule>
  </conditionalFormatting>
  <conditionalFormatting sqref="M22">
    <cfRule type="expression" dxfId="0" priority="214">
      <formula>MONTH(M22)&lt;&gt;9</formula>
    </cfRule>
  </conditionalFormatting>
  <conditionalFormatting sqref="M24">
    <cfRule type="expression" dxfId="0" priority="221">
      <formula>MONTH(M24)&lt;&gt;9</formula>
    </cfRule>
  </conditionalFormatting>
  <conditionalFormatting sqref="M26">
    <cfRule type="expression" dxfId="0" priority="228">
      <formula>MONTH(M26)&lt;&gt;9</formula>
    </cfRule>
  </conditionalFormatting>
  <conditionalFormatting sqref="M28">
    <cfRule type="expression" dxfId="0" priority="235">
      <formula>MONTH(M28)&lt;&gt;9</formula>
    </cfRule>
  </conditionalFormatting>
  <conditionalFormatting sqref="M30">
    <cfRule type="expression" dxfId="0" priority="242">
      <formula>MONTH(M30)&lt;&gt;9</formula>
    </cfRule>
  </conditionalFormatting>
  <conditionalFormatting sqref="M32">
    <cfRule type="expression" dxfId="0" priority="249">
      <formula>MONTH(M32)&lt;&gt;9</formula>
    </cfRule>
  </conditionalFormatting>
  <conditionalFormatting sqref="M37">
    <cfRule type="expression" dxfId="0" priority="382">
      <formula>MONTH(M37)&lt;&gt;1</formula>
    </cfRule>
  </conditionalFormatting>
  <conditionalFormatting sqref="M39">
    <cfRule type="expression" dxfId="0" priority="389">
      <formula>MONTH(M39)&lt;&gt;1</formula>
    </cfRule>
  </conditionalFormatting>
  <conditionalFormatting sqref="M41">
    <cfRule type="expression" dxfId="0" priority="396">
      <formula>MONTH(M41)&lt;&gt;1</formula>
    </cfRule>
  </conditionalFormatting>
  <conditionalFormatting sqref="M43">
    <cfRule type="expression" dxfId="0" priority="403">
      <formula>MONTH(M43)&lt;&gt;1</formula>
    </cfRule>
  </conditionalFormatting>
  <conditionalFormatting sqref="M45">
    <cfRule type="expression" dxfId="0" priority="410">
      <formula>MONTH(M45)&lt;&gt;1</formula>
    </cfRule>
  </conditionalFormatting>
  <conditionalFormatting sqref="M47">
    <cfRule type="expression" dxfId="0" priority="417">
      <formula>MONTH(M47)&lt;&gt;1</formula>
    </cfRule>
  </conditionalFormatting>
  <conditionalFormatting sqref="M7">
    <cfRule type="expression" dxfId="0" priority="46">
      <formula>MONTH(M7)&lt;&gt;5</formula>
    </cfRule>
  </conditionalFormatting>
  <conditionalFormatting sqref="M9">
    <cfRule type="expression" dxfId="0" priority="53">
      <formula>MONTH(M9)&lt;&gt;5</formula>
    </cfRule>
  </conditionalFormatting>
  <conditionalFormatting sqref="N11">
    <cfRule type="expression" dxfId="0" priority="61">
      <formula>MONTH(N11)&lt;&gt;5</formula>
    </cfRule>
  </conditionalFormatting>
  <conditionalFormatting sqref="N13">
    <cfRule type="expression" dxfId="0" priority="68">
      <formula>MONTH(N13)&lt;&gt;5</formula>
    </cfRule>
  </conditionalFormatting>
  <conditionalFormatting sqref="N15">
    <cfRule type="expression" dxfId="0" priority="75">
      <formula>MONTH(N15)&lt;&gt;5</formula>
    </cfRule>
  </conditionalFormatting>
  <conditionalFormatting sqref="N17">
    <cfRule type="expression" dxfId="0" priority="82">
      <formula>MONTH(N17)&lt;&gt;5</formula>
    </cfRule>
  </conditionalFormatting>
  <conditionalFormatting sqref="N22">
    <cfRule type="expression" dxfId="0" priority="215">
      <formula>MONTH(N22)&lt;&gt;9</formula>
    </cfRule>
  </conditionalFormatting>
  <conditionalFormatting sqref="N24">
    <cfRule type="expression" dxfId="0" priority="222">
      <formula>MONTH(N24)&lt;&gt;9</formula>
    </cfRule>
  </conditionalFormatting>
  <conditionalFormatting sqref="N26">
    <cfRule type="expression" dxfId="0" priority="229">
      <formula>MONTH(N26)&lt;&gt;9</formula>
    </cfRule>
  </conditionalFormatting>
  <conditionalFormatting sqref="N28">
    <cfRule type="expression" dxfId="0" priority="236">
      <formula>MONTH(N28)&lt;&gt;9</formula>
    </cfRule>
  </conditionalFormatting>
  <conditionalFormatting sqref="N30">
    <cfRule type="expression" dxfId="0" priority="243">
      <formula>MONTH(N30)&lt;&gt;9</formula>
    </cfRule>
  </conditionalFormatting>
  <conditionalFormatting sqref="N32">
    <cfRule type="expression" dxfId="0" priority="250">
      <formula>MONTH(N32)&lt;&gt;9</formula>
    </cfRule>
  </conditionalFormatting>
  <conditionalFormatting sqref="N37">
    <cfRule type="expression" dxfId="0" priority="383">
      <formula>MONTH(N37)&lt;&gt;1</formula>
    </cfRule>
  </conditionalFormatting>
  <conditionalFormatting sqref="N39">
    <cfRule type="expression" dxfId="0" priority="390">
      <formula>MONTH(N39)&lt;&gt;1</formula>
    </cfRule>
  </conditionalFormatting>
  <conditionalFormatting sqref="N41">
    <cfRule type="expression" dxfId="0" priority="397">
      <formula>MONTH(N41)&lt;&gt;1</formula>
    </cfRule>
  </conditionalFormatting>
  <conditionalFormatting sqref="N43">
    <cfRule type="expression" dxfId="0" priority="404">
      <formula>MONTH(N43)&lt;&gt;1</formula>
    </cfRule>
  </conditionalFormatting>
  <conditionalFormatting sqref="N45">
    <cfRule type="expression" dxfId="0" priority="411">
      <formula>MONTH(N45)&lt;&gt;1</formula>
    </cfRule>
  </conditionalFormatting>
  <conditionalFormatting sqref="N47">
    <cfRule type="expression" dxfId="0" priority="418">
      <formula>MONTH(N47)&lt;&gt;1</formula>
    </cfRule>
  </conditionalFormatting>
  <conditionalFormatting sqref="N7">
    <cfRule type="expression" dxfId="0" priority="47">
      <formula>MONTH(N7)&lt;&gt;5</formula>
    </cfRule>
  </conditionalFormatting>
  <conditionalFormatting sqref="N9">
    <cfRule type="expression" dxfId="0" priority="54">
      <formula>MONTH(N9)&lt;&gt;5</formula>
    </cfRule>
  </conditionalFormatting>
  <conditionalFormatting sqref="O11">
    <cfRule type="expression" dxfId="0" priority="62">
      <formula>MONTH(O11)&lt;&gt;5</formula>
    </cfRule>
  </conditionalFormatting>
  <conditionalFormatting sqref="O13">
    <cfRule type="expression" dxfId="0" priority="69">
      <formula>MONTH(O13)&lt;&gt;5</formula>
    </cfRule>
  </conditionalFormatting>
  <conditionalFormatting sqref="O15">
    <cfRule type="expression" dxfId="0" priority="76">
      <formula>MONTH(O15)&lt;&gt;5</formula>
    </cfRule>
  </conditionalFormatting>
  <conditionalFormatting sqref="O17">
    <cfRule type="expression" dxfId="0" priority="83">
      <formula>MONTH(O17)&lt;&gt;5</formula>
    </cfRule>
  </conditionalFormatting>
  <conditionalFormatting sqref="O22">
    <cfRule type="expression" dxfId="0" priority="216">
      <formula>MONTH(O22)&lt;&gt;9</formula>
    </cfRule>
  </conditionalFormatting>
  <conditionalFormatting sqref="O24">
    <cfRule type="expression" dxfId="0" priority="223">
      <formula>MONTH(O24)&lt;&gt;9</formula>
    </cfRule>
  </conditionalFormatting>
  <conditionalFormatting sqref="O26">
    <cfRule type="expression" dxfId="0" priority="230">
      <formula>MONTH(O26)&lt;&gt;9</formula>
    </cfRule>
  </conditionalFormatting>
  <conditionalFormatting sqref="O28">
    <cfRule type="expression" dxfId="0" priority="237">
      <formula>MONTH(O28)&lt;&gt;9</formula>
    </cfRule>
  </conditionalFormatting>
  <conditionalFormatting sqref="O30">
    <cfRule type="expression" dxfId="0" priority="244">
      <formula>MONTH(O30)&lt;&gt;9</formula>
    </cfRule>
  </conditionalFormatting>
  <conditionalFormatting sqref="O32">
    <cfRule type="expression" dxfId="0" priority="251">
      <formula>MONTH(O32)&lt;&gt;9</formula>
    </cfRule>
  </conditionalFormatting>
  <conditionalFormatting sqref="O37">
    <cfRule type="expression" dxfId="0" priority="384">
      <formula>MONTH(O37)&lt;&gt;1</formula>
    </cfRule>
  </conditionalFormatting>
  <conditionalFormatting sqref="O39">
    <cfRule type="expression" dxfId="0" priority="391">
      <formula>MONTH(O39)&lt;&gt;1</formula>
    </cfRule>
  </conditionalFormatting>
  <conditionalFormatting sqref="O41">
    <cfRule type="expression" dxfId="0" priority="398">
      <formula>MONTH(O41)&lt;&gt;1</formula>
    </cfRule>
  </conditionalFormatting>
  <conditionalFormatting sqref="O43">
    <cfRule type="expression" dxfId="0" priority="405">
      <formula>MONTH(O43)&lt;&gt;1</formula>
    </cfRule>
  </conditionalFormatting>
  <conditionalFormatting sqref="O45">
    <cfRule type="expression" dxfId="0" priority="412">
      <formula>MONTH(O45)&lt;&gt;1</formula>
    </cfRule>
  </conditionalFormatting>
  <conditionalFormatting sqref="O47">
    <cfRule type="expression" dxfId="0" priority="419">
      <formula>MONTH(O47)&lt;&gt;1</formula>
    </cfRule>
  </conditionalFormatting>
  <conditionalFormatting sqref="O7">
    <cfRule type="expression" dxfId="0" priority="48">
      <formula>MONTH(O7)&lt;&gt;5</formula>
    </cfRule>
  </conditionalFormatting>
  <conditionalFormatting sqref="O9">
    <cfRule type="expression" dxfId="0" priority="55">
      <formula>MONTH(O9)&lt;&gt;5</formula>
    </cfRule>
  </conditionalFormatting>
  <conditionalFormatting sqref="P11">
    <cfRule type="expression" dxfId="0" priority="63">
      <formula>MONTH(P11)&lt;&gt;5</formula>
    </cfRule>
  </conditionalFormatting>
  <conditionalFormatting sqref="P13">
    <cfRule type="expression" dxfId="0" priority="70">
      <formula>MONTH(P13)&lt;&gt;5</formula>
    </cfRule>
  </conditionalFormatting>
  <conditionalFormatting sqref="P15">
    <cfRule type="expression" dxfId="0" priority="77">
      <formula>MONTH(P15)&lt;&gt;5</formula>
    </cfRule>
  </conditionalFormatting>
  <conditionalFormatting sqref="P17">
    <cfRule type="expression" dxfId="0" priority="84">
      <formula>MONTH(P17)&lt;&gt;5</formula>
    </cfRule>
  </conditionalFormatting>
  <conditionalFormatting sqref="P22">
    <cfRule type="expression" dxfId="0" priority="217">
      <formula>MONTH(P22)&lt;&gt;9</formula>
    </cfRule>
  </conditionalFormatting>
  <conditionalFormatting sqref="P24">
    <cfRule type="expression" dxfId="0" priority="224">
      <formula>MONTH(P24)&lt;&gt;9</formula>
    </cfRule>
  </conditionalFormatting>
  <conditionalFormatting sqref="P26">
    <cfRule type="expression" dxfId="0" priority="231">
      <formula>MONTH(P26)&lt;&gt;9</formula>
    </cfRule>
  </conditionalFormatting>
  <conditionalFormatting sqref="P28">
    <cfRule type="expression" dxfId="0" priority="238">
      <formula>MONTH(P28)&lt;&gt;9</formula>
    </cfRule>
  </conditionalFormatting>
  <conditionalFormatting sqref="P30">
    <cfRule type="expression" dxfId="0" priority="245">
      <formula>MONTH(P30)&lt;&gt;9</formula>
    </cfRule>
  </conditionalFormatting>
  <conditionalFormatting sqref="P32">
    <cfRule type="expression" dxfId="0" priority="252">
      <formula>MONTH(P32)&lt;&gt;9</formula>
    </cfRule>
  </conditionalFormatting>
  <conditionalFormatting sqref="P37">
    <cfRule type="expression" dxfId="0" priority="385">
      <formula>MONTH(P37)&lt;&gt;1</formula>
    </cfRule>
  </conditionalFormatting>
  <conditionalFormatting sqref="P39">
    <cfRule type="expression" dxfId="0" priority="392">
      <formula>MONTH(P39)&lt;&gt;1</formula>
    </cfRule>
  </conditionalFormatting>
  <conditionalFormatting sqref="P41">
    <cfRule type="expression" dxfId="0" priority="399">
      <formula>MONTH(P41)&lt;&gt;1</formula>
    </cfRule>
  </conditionalFormatting>
  <conditionalFormatting sqref="P43">
    <cfRule type="expression" dxfId="0" priority="406">
      <formula>MONTH(P43)&lt;&gt;1</formula>
    </cfRule>
  </conditionalFormatting>
  <conditionalFormatting sqref="P45">
    <cfRule type="expression" dxfId="0" priority="413">
      <formula>MONTH(P45)&lt;&gt;1</formula>
    </cfRule>
  </conditionalFormatting>
  <conditionalFormatting sqref="P47">
    <cfRule type="expression" dxfId="0" priority="420">
      <formula>MONTH(P47)&lt;&gt;1</formula>
    </cfRule>
  </conditionalFormatting>
  <conditionalFormatting sqref="P7">
    <cfRule type="expression" dxfId="0" priority="49">
      <formula>MONTH(P7)&lt;&gt;5</formula>
    </cfRule>
  </conditionalFormatting>
  <conditionalFormatting sqref="P9">
    <cfRule type="expression" dxfId="0" priority="56">
      <formula>MONTH(P9)&lt;&gt;5</formula>
    </cfRule>
  </conditionalFormatting>
  <conditionalFormatting sqref="R11">
    <cfRule type="expression" dxfId="0" priority="99">
      <formula>MONTH(R11)&lt;&gt;6</formula>
    </cfRule>
  </conditionalFormatting>
  <conditionalFormatting sqref="R13">
    <cfRule type="expression" dxfId="0" priority="106">
      <formula>MONTH(R13)&lt;&gt;6</formula>
    </cfRule>
  </conditionalFormatting>
  <conditionalFormatting sqref="R15">
    <cfRule type="expression" dxfId="0" priority="113">
      <formula>MONTH(R15)&lt;&gt;6</formula>
    </cfRule>
  </conditionalFormatting>
  <conditionalFormatting sqref="R17">
    <cfRule type="expression" dxfId="0" priority="120">
      <formula>MONTH(R17)&lt;&gt;6</formula>
    </cfRule>
  </conditionalFormatting>
  <conditionalFormatting sqref="R22">
    <cfRule type="expression" dxfId="0" priority="253">
      <formula>MONTH(R22)&lt;&gt;10</formula>
    </cfRule>
  </conditionalFormatting>
  <conditionalFormatting sqref="R24">
    <cfRule type="expression" dxfId="0" priority="260">
      <formula>MONTH(R24)&lt;&gt;10</formula>
    </cfRule>
  </conditionalFormatting>
  <conditionalFormatting sqref="R26">
    <cfRule type="expression" dxfId="0" priority="267">
      <formula>MONTH(R26)&lt;&gt;10</formula>
    </cfRule>
  </conditionalFormatting>
  <conditionalFormatting sqref="R28">
    <cfRule type="expression" dxfId="0" priority="274">
      <formula>MONTH(R28)&lt;&gt;10</formula>
    </cfRule>
  </conditionalFormatting>
  <conditionalFormatting sqref="R30">
    <cfRule type="expression" dxfId="0" priority="281">
      <formula>MONTH(R30)&lt;&gt;10</formula>
    </cfRule>
  </conditionalFormatting>
  <conditionalFormatting sqref="R32">
    <cfRule type="expression" dxfId="0" priority="288">
      <formula>MONTH(R32)&lt;&gt;10</formula>
    </cfRule>
  </conditionalFormatting>
  <conditionalFormatting sqref="R37">
    <cfRule type="expression" dxfId="0" priority="421">
      <formula>MONTH(R37)&lt;&gt;2</formula>
    </cfRule>
  </conditionalFormatting>
  <conditionalFormatting sqref="R39">
    <cfRule type="expression" dxfId="0" priority="428">
      <formula>MONTH(R39)&lt;&gt;2</formula>
    </cfRule>
  </conditionalFormatting>
  <conditionalFormatting sqref="R41">
    <cfRule type="expression" dxfId="0" priority="435">
      <formula>MONTH(R41)&lt;&gt;2</formula>
    </cfRule>
  </conditionalFormatting>
  <conditionalFormatting sqref="R43">
    <cfRule type="expression" dxfId="0" priority="442">
      <formula>MONTH(R43)&lt;&gt;2</formula>
    </cfRule>
  </conditionalFormatting>
  <conditionalFormatting sqref="R45">
    <cfRule type="expression" dxfId="0" priority="449">
      <formula>MONTH(R45)&lt;&gt;2</formula>
    </cfRule>
  </conditionalFormatting>
  <conditionalFormatting sqref="R47">
    <cfRule type="expression" dxfId="0" priority="456">
      <formula>MONTH(R47)&lt;&gt;2</formula>
    </cfRule>
  </conditionalFormatting>
  <conditionalFormatting sqref="R7">
    <cfRule type="expression" dxfId="0" priority="85">
      <formula>MONTH(R7)&lt;&gt;6</formula>
    </cfRule>
  </conditionalFormatting>
  <conditionalFormatting sqref="R9">
    <cfRule type="expression" dxfId="0" priority="92">
      <formula>MONTH(R9)&lt;&gt;6</formula>
    </cfRule>
  </conditionalFormatting>
  <conditionalFormatting sqref="S11">
    <cfRule type="expression" dxfId="0" priority="100">
      <formula>MONTH(S11)&lt;&gt;6</formula>
    </cfRule>
  </conditionalFormatting>
  <conditionalFormatting sqref="S13">
    <cfRule type="expression" dxfId="0" priority="107">
      <formula>MONTH(S13)&lt;&gt;6</formula>
    </cfRule>
  </conditionalFormatting>
  <conditionalFormatting sqref="S15">
    <cfRule type="expression" dxfId="0" priority="114">
      <formula>MONTH(S15)&lt;&gt;6</formula>
    </cfRule>
  </conditionalFormatting>
  <conditionalFormatting sqref="S17">
    <cfRule type="expression" dxfId="0" priority="121">
      <formula>MONTH(S17)&lt;&gt;6</formula>
    </cfRule>
  </conditionalFormatting>
  <conditionalFormatting sqref="S22">
    <cfRule type="expression" dxfId="0" priority="254">
      <formula>MONTH(S22)&lt;&gt;10</formula>
    </cfRule>
  </conditionalFormatting>
  <conditionalFormatting sqref="S24">
    <cfRule type="expression" dxfId="0" priority="261">
      <formula>MONTH(S24)&lt;&gt;10</formula>
    </cfRule>
  </conditionalFormatting>
  <conditionalFormatting sqref="S26">
    <cfRule type="expression" dxfId="0" priority="268">
      <formula>MONTH(S26)&lt;&gt;10</formula>
    </cfRule>
  </conditionalFormatting>
  <conditionalFormatting sqref="S28">
    <cfRule type="expression" dxfId="0" priority="275">
      <formula>MONTH(S28)&lt;&gt;10</formula>
    </cfRule>
  </conditionalFormatting>
  <conditionalFormatting sqref="S30">
    <cfRule type="expression" dxfId="0" priority="282">
      <formula>MONTH(S30)&lt;&gt;10</formula>
    </cfRule>
  </conditionalFormatting>
  <conditionalFormatting sqref="S32">
    <cfRule type="expression" dxfId="0" priority="289">
      <formula>MONTH(S32)&lt;&gt;10</formula>
    </cfRule>
  </conditionalFormatting>
  <conditionalFormatting sqref="S37">
    <cfRule type="expression" dxfId="0" priority="422">
      <formula>MONTH(S37)&lt;&gt;2</formula>
    </cfRule>
  </conditionalFormatting>
  <conditionalFormatting sqref="S39">
    <cfRule type="expression" dxfId="0" priority="429">
      <formula>MONTH(S39)&lt;&gt;2</formula>
    </cfRule>
  </conditionalFormatting>
  <conditionalFormatting sqref="S41">
    <cfRule type="expression" dxfId="0" priority="436">
      <formula>MONTH(S41)&lt;&gt;2</formula>
    </cfRule>
  </conditionalFormatting>
  <conditionalFormatting sqref="S43">
    <cfRule type="expression" dxfId="0" priority="443">
      <formula>MONTH(S43)&lt;&gt;2</formula>
    </cfRule>
  </conditionalFormatting>
  <conditionalFormatting sqref="S45">
    <cfRule type="expression" dxfId="0" priority="450">
      <formula>MONTH(S45)&lt;&gt;2</formula>
    </cfRule>
  </conditionalFormatting>
  <conditionalFormatting sqref="S47">
    <cfRule type="expression" dxfId="0" priority="457">
      <formula>MONTH(S47)&lt;&gt;2</formula>
    </cfRule>
  </conditionalFormatting>
  <conditionalFormatting sqref="S7">
    <cfRule type="expression" dxfId="0" priority="86">
      <formula>MONTH(S7)&lt;&gt;6</formula>
    </cfRule>
  </conditionalFormatting>
  <conditionalFormatting sqref="S9">
    <cfRule type="expression" dxfId="0" priority="93">
      <formula>MONTH(S9)&lt;&gt;6</formula>
    </cfRule>
  </conditionalFormatting>
  <conditionalFormatting sqref="T11">
    <cfRule type="expression" dxfId="0" priority="101">
      <formula>MONTH(T11)&lt;&gt;6</formula>
    </cfRule>
  </conditionalFormatting>
  <conditionalFormatting sqref="T13">
    <cfRule type="expression" dxfId="0" priority="108">
      <formula>MONTH(T13)&lt;&gt;6</formula>
    </cfRule>
  </conditionalFormatting>
  <conditionalFormatting sqref="T15">
    <cfRule type="expression" dxfId="0" priority="115">
      <formula>MONTH(T15)&lt;&gt;6</formula>
    </cfRule>
  </conditionalFormatting>
  <conditionalFormatting sqref="T17">
    <cfRule type="expression" dxfId="0" priority="122">
      <formula>MONTH(T17)&lt;&gt;6</formula>
    </cfRule>
  </conditionalFormatting>
  <conditionalFormatting sqref="T22">
    <cfRule type="expression" dxfId="0" priority="255">
      <formula>MONTH(T22)&lt;&gt;10</formula>
    </cfRule>
  </conditionalFormatting>
  <conditionalFormatting sqref="T24">
    <cfRule type="expression" dxfId="0" priority="262">
      <formula>MONTH(T24)&lt;&gt;10</formula>
    </cfRule>
  </conditionalFormatting>
  <conditionalFormatting sqref="T26">
    <cfRule type="expression" dxfId="0" priority="269">
      <formula>MONTH(T26)&lt;&gt;10</formula>
    </cfRule>
  </conditionalFormatting>
  <conditionalFormatting sqref="T28">
    <cfRule type="expression" dxfId="0" priority="276">
      <formula>MONTH(T28)&lt;&gt;10</formula>
    </cfRule>
  </conditionalFormatting>
  <conditionalFormatting sqref="T30">
    <cfRule type="expression" dxfId="0" priority="283">
      <formula>MONTH(T30)&lt;&gt;10</formula>
    </cfRule>
  </conditionalFormatting>
  <conditionalFormatting sqref="T32">
    <cfRule type="expression" dxfId="0" priority="290">
      <formula>MONTH(T32)&lt;&gt;10</formula>
    </cfRule>
  </conditionalFormatting>
  <conditionalFormatting sqref="T37">
    <cfRule type="expression" dxfId="0" priority="423">
      <formula>MONTH(T37)&lt;&gt;2</formula>
    </cfRule>
  </conditionalFormatting>
  <conditionalFormatting sqref="T39">
    <cfRule type="expression" dxfId="0" priority="430">
      <formula>MONTH(T39)&lt;&gt;2</formula>
    </cfRule>
  </conditionalFormatting>
  <conditionalFormatting sqref="T41">
    <cfRule type="expression" dxfId="0" priority="437">
      <formula>MONTH(T41)&lt;&gt;2</formula>
    </cfRule>
  </conditionalFormatting>
  <conditionalFormatting sqref="T43">
    <cfRule type="expression" dxfId="0" priority="444">
      <formula>MONTH(T43)&lt;&gt;2</formula>
    </cfRule>
  </conditionalFormatting>
  <conditionalFormatting sqref="T45">
    <cfRule type="expression" dxfId="0" priority="451">
      <formula>MONTH(T45)&lt;&gt;2</formula>
    </cfRule>
  </conditionalFormatting>
  <conditionalFormatting sqref="T47">
    <cfRule type="expression" dxfId="0" priority="458">
      <formula>MONTH(T47)&lt;&gt;2</formula>
    </cfRule>
  </conditionalFormatting>
  <conditionalFormatting sqref="T7">
    <cfRule type="expression" dxfId="0" priority="87">
      <formula>MONTH(T7)&lt;&gt;6</formula>
    </cfRule>
  </conditionalFormatting>
  <conditionalFormatting sqref="T9">
    <cfRule type="expression" dxfId="0" priority="94">
      <formula>MONTH(T9)&lt;&gt;6</formula>
    </cfRule>
  </conditionalFormatting>
  <conditionalFormatting sqref="U11">
    <cfRule type="expression" dxfId="0" priority="102">
      <formula>MONTH(U11)&lt;&gt;6</formula>
    </cfRule>
  </conditionalFormatting>
  <conditionalFormatting sqref="U13">
    <cfRule type="expression" dxfId="0" priority="109">
      <formula>MONTH(U13)&lt;&gt;6</formula>
    </cfRule>
  </conditionalFormatting>
  <conditionalFormatting sqref="U15">
    <cfRule type="expression" dxfId="0" priority="116">
      <formula>MONTH(U15)&lt;&gt;6</formula>
    </cfRule>
  </conditionalFormatting>
  <conditionalFormatting sqref="U17">
    <cfRule type="expression" dxfId="0" priority="123">
      <formula>MONTH(U17)&lt;&gt;6</formula>
    </cfRule>
  </conditionalFormatting>
  <conditionalFormatting sqref="U22">
    <cfRule type="expression" dxfId="0" priority="256">
      <formula>MONTH(U22)&lt;&gt;10</formula>
    </cfRule>
  </conditionalFormatting>
  <conditionalFormatting sqref="U24">
    <cfRule type="expression" dxfId="0" priority="263">
      <formula>MONTH(U24)&lt;&gt;10</formula>
    </cfRule>
  </conditionalFormatting>
  <conditionalFormatting sqref="U26">
    <cfRule type="expression" dxfId="0" priority="270">
      <formula>MONTH(U26)&lt;&gt;10</formula>
    </cfRule>
  </conditionalFormatting>
  <conditionalFormatting sqref="U28">
    <cfRule type="expression" dxfId="0" priority="277">
      <formula>MONTH(U28)&lt;&gt;10</formula>
    </cfRule>
  </conditionalFormatting>
  <conditionalFormatting sqref="U30">
    <cfRule type="expression" dxfId="0" priority="284">
      <formula>MONTH(U30)&lt;&gt;10</formula>
    </cfRule>
  </conditionalFormatting>
  <conditionalFormatting sqref="U32">
    <cfRule type="expression" dxfId="0" priority="291">
      <formula>MONTH(U32)&lt;&gt;10</formula>
    </cfRule>
  </conditionalFormatting>
  <conditionalFormatting sqref="U37">
    <cfRule type="expression" dxfId="0" priority="424">
      <formula>MONTH(U37)&lt;&gt;2</formula>
    </cfRule>
  </conditionalFormatting>
  <conditionalFormatting sqref="U39">
    <cfRule type="expression" dxfId="0" priority="431">
      <formula>MONTH(U39)&lt;&gt;2</formula>
    </cfRule>
  </conditionalFormatting>
  <conditionalFormatting sqref="U41">
    <cfRule type="expression" dxfId="0" priority="438">
      <formula>MONTH(U41)&lt;&gt;2</formula>
    </cfRule>
  </conditionalFormatting>
  <conditionalFormatting sqref="U43">
    <cfRule type="expression" dxfId="0" priority="445">
      <formula>MONTH(U43)&lt;&gt;2</formula>
    </cfRule>
  </conditionalFormatting>
  <conditionalFormatting sqref="U45">
    <cfRule type="expression" dxfId="0" priority="452">
      <formula>MONTH(U45)&lt;&gt;2</formula>
    </cfRule>
  </conditionalFormatting>
  <conditionalFormatting sqref="U47">
    <cfRule type="expression" dxfId="0" priority="459">
      <formula>MONTH(U47)&lt;&gt;2</formula>
    </cfRule>
  </conditionalFormatting>
  <conditionalFormatting sqref="U7">
    <cfRule type="expression" dxfId="0" priority="88">
      <formula>MONTH(U7)&lt;&gt;6</formula>
    </cfRule>
  </conditionalFormatting>
  <conditionalFormatting sqref="U9">
    <cfRule type="expression" dxfId="0" priority="95">
      <formula>MONTH(U9)&lt;&gt;6</formula>
    </cfRule>
  </conditionalFormatting>
  <conditionalFormatting sqref="V11">
    <cfRule type="expression" dxfId="0" priority="103">
      <formula>MONTH(V11)&lt;&gt;6</formula>
    </cfRule>
  </conditionalFormatting>
  <conditionalFormatting sqref="V13">
    <cfRule type="expression" dxfId="0" priority="110">
      <formula>MONTH(V13)&lt;&gt;6</formula>
    </cfRule>
  </conditionalFormatting>
  <conditionalFormatting sqref="V15">
    <cfRule type="expression" dxfId="0" priority="117">
      <formula>MONTH(V15)&lt;&gt;6</formula>
    </cfRule>
  </conditionalFormatting>
  <conditionalFormatting sqref="V17">
    <cfRule type="expression" dxfId="0" priority="124">
      <formula>MONTH(V17)&lt;&gt;6</formula>
    </cfRule>
  </conditionalFormatting>
  <conditionalFormatting sqref="V22">
    <cfRule type="expression" dxfId="0" priority="257">
      <formula>MONTH(V22)&lt;&gt;10</formula>
    </cfRule>
  </conditionalFormatting>
  <conditionalFormatting sqref="V24">
    <cfRule type="expression" dxfId="0" priority="264">
      <formula>MONTH(V24)&lt;&gt;10</formula>
    </cfRule>
  </conditionalFormatting>
  <conditionalFormatting sqref="V26">
    <cfRule type="expression" dxfId="0" priority="271">
      <formula>MONTH(V26)&lt;&gt;10</formula>
    </cfRule>
  </conditionalFormatting>
  <conditionalFormatting sqref="V28">
    <cfRule type="expression" dxfId="0" priority="278">
      <formula>MONTH(V28)&lt;&gt;10</formula>
    </cfRule>
  </conditionalFormatting>
  <conditionalFormatting sqref="V30">
    <cfRule type="expression" dxfId="0" priority="285">
      <formula>MONTH(V30)&lt;&gt;10</formula>
    </cfRule>
  </conditionalFormatting>
  <conditionalFormatting sqref="V32">
    <cfRule type="expression" dxfId="0" priority="292">
      <formula>MONTH(V32)&lt;&gt;10</formula>
    </cfRule>
  </conditionalFormatting>
  <conditionalFormatting sqref="V37">
    <cfRule type="expression" dxfId="0" priority="425">
      <formula>MONTH(V37)&lt;&gt;2</formula>
    </cfRule>
  </conditionalFormatting>
  <conditionalFormatting sqref="V39">
    <cfRule type="expression" dxfId="0" priority="432">
      <formula>MONTH(V39)&lt;&gt;2</formula>
    </cfRule>
  </conditionalFormatting>
  <conditionalFormatting sqref="V41">
    <cfRule type="expression" dxfId="0" priority="439">
      <formula>MONTH(V41)&lt;&gt;2</formula>
    </cfRule>
  </conditionalFormatting>
  <conditionalFormatting sqref="V43">
    <cfRule type="expression" dxfId="0" priority="446">
      <formula>MONTH(V43)&lt;&gt;2</formula>
    </cfRule>
  </conditionalFormatting>
  <conditionalFormatting sqref="V45">
    <cfRule type="expression" dxfId="0" priority="453">
      <formula>MONTH(V45)&lt;&gt;2</formula>
    </cfRule>
  </conditionalFormatting>
  <conditionalFormatting sqref="V47">
    <cfRule type="expression" dxfId="0" priority="460">
      <formula>MONTH(V47)&lt;&gt;2</formula>
    </cfRule>
  </conditionalFormatting>
  <conditionalFormatting sqref="V7">
    <cfRule type="expression" dxfId="0" priority="89">
      <formula>MONTH(V7)&lt;&gt;6</formula>
    </cfRule>
  </conditionalFormatting>
  <conditionalFormatting sqref="V9">
    <cfRule type="expression" dxfId="0" priority="96">
      <formula>MONTH(V9)&lt;&gt;6</formula>
    </cfRule>
  </conditionalFormatting>
  <conditionalFormatting sqref="W11">
    <cfRule type="expression" dxfId="0" priority="104">
      <formula>MONTH(W11)&lt;&gt;6</formula>
    </cfRule>
  </conditionalFormatting>
  <conditionalFormatting sqref="W13">
    <cfRule type="expression" dxfId="0" priority="111">
      <formula>MONTH(W13)&lt;&gt;6</formula>
    </cfRule>
  </conditionalFormatting>
  <conditionalFormatting sqref="W15">
    <cfRule type="expression" dxfId="0" priority="118">
      <formula>MONTH(W15)&lt;&gt;6</formula>
    </cfRule>
  </conditionalFormatting>
  <conditionalFormatting sqref="W17">
    <cfRule type="expression" dxfId="0" priority="125">
      <formula>MONTH(W17)&lt;&gt;6</formula>
    </cfRule>
  </conditionalFormatting>
  <conditionalFormatting sqref="W22">
    <cfRule type="expression" dxfId="0" priority="258">
      <formula>MONTH(W22)&lt;&gt;10</formula>
    </cfRule>
  </conditionalFormatting>
  <conditionalFormatting sqref="W24">
    <cfRule type="expression" dxfId="0" priority="265">
      <formula>MONTH(W24)&lt;&gt;10</formula>
    </cfRule>
  </conditionalFormatting>
  <conditionalFormatting sqref="W26">
    <cfRule type="expression" dxfId="0" priority="272">
      <formula>MONTH(W26)&lt;&gt;10</formula>
    </cfRule>
  </conditionalFormatting>
  <conditionalFormatting sqref="W28">
    <cfRule type="expression" dxfId="0" priority="279">
      <formula>MONTH(W28)&lt;&gt;10</formula>
    </cfRule>
  </conditionalFormatting>
  <conditionalFormatting sqref="W30">
    <cfRule type="expression" dxfId="0" priority="286">
      <formula>MONTH(W30)&lt;&gt;10</formula>
    </cfRule>
  </conditionalFormatting>
  <conditionalFormatting sqref="W32">
    <cfRule type="expression" dxfId="0" priority="293">
      <formula>MONTH(W32)&lt;&gt;10</formula>
    </cfRule>
  </conditionalFormatting>
  <conditionalFormatting sqref="W37">
    <cfRule type="expression" dxfId="0" priority="426">
      <formula>MONTH(W37)&lt;&gt;2</formula>
    </cfRule>
  </conditionalFormatting>
  <conditionalFormatting sqref="W39">
    <cfRule type="expression" dxfId="0" priority="433">
      <formula>MONTH(W39)&lt;&gt;2</formula>
    </cfRule>
  </conditionalFormatting>
  <conditionalFormatting sqref="W41">
    <cfRule type="expression" dxfId="0" priority="440">
      <formula>MONTH(W41)&lt;&gt;2</formula>
    </cfRule>
  </conditionalFormatting>
  <conditionalFormatting sqref="W43">
    <cfRule type="expression" dxfId="0" priority="447">
      <formula>MONTH(W43)&lt;&gt;2</formula>
    </cfRule>
  </conditionalFormatting>
  <conditionalFormatting sqref="W45">
    <cfRule type="expression" dxfId="0" priority="454">
      <formula>MONTH(W45)&lt;&gt;2</formula>
    </cfRule>
  </conditionalFormatting>
  <conditionalFormatting sqref="W47">
    <cfRule type="expression" dxfId="0" priority="461">
      <formula>MONTH(W47)&lt;&gt;2</formula>
    </cfRule>
  </conditionalFormatting>
  <conditionalFormatting sqref="W7">
    <cfRule type="expression" dxfId="0" priority="90">
      <formula>MONTH(W7)&lt;&gt;6</formula>
    </cfRule>
  </conditionalFormatting>
  <conditionalFormatting sqref="W9">
    <cfRule type="expression" dxfId="0" priority="97">
      <formula>MONTH(W9)&lt;&gt;6</formula>
    </cfRule>
  </conditionalFormatting>
  <conditionalFormatting sqref="X11">
    <cfRule type="expression" dxfId="0" priority="105">
      <formula>MONTH(X11)&lt;&gt;6</formula>
    </cfRule>
  </conditionalFormatting>
  <conditionalFormatting sqref="X13">
    <cfRule type="expression" dxfId="0" priority="112">
      <formula>MONTH(X13)&lt;&gt;6</formula>
    </cfRule>
  </conditionalFormatting>
  <conditionalFormatting sqref="X15">
    <cfRule type="expression" dxfId="0" priority="119">
      <formula>MONTH(X15)&lt;&gt;6</formula>
    </cfRule>
  </conditionalFormatting>
  <conditionalFormatting sqref="X17">
    <cfRule type="expression" dxfId="0" priority="126">
      <formula>MONTH(X17)&lt;&gt;6</formula>
    </cfRule>
  </conditionalFormatting>
  <conditionalFormatting sqref="X22">
    <cfRule type="expression" dxfId="0" priority="259">
      <formula>MONTH(X22)&lt;&gt;10</formula>
    </cfRule>
  </conditionalFormatting>
  <conditionalFormatting sqref="X24">
    <cfRule type="expression" dxfId="0" priority="266">
      <formula>MONTH(X24)&lt;&gt;10</formula>
    </cfRule>
  </conditionalFormatting>
  <conditionalFormatting sqref="X26">
    <cfRule type="expression" dxfId="0" priority="273">
      <formula>MONTH(X26)&lt;&gt;10</formula>
    </cfRule>
  </conditionalFormatting>
  <conditionalFormatting sqref="X28">
    <cfRule type="expression" dxfId="0" priority="280">
      <formula>MONTH(X28)&lt;&gt;10</formula>
    </cfRule>
  </conditionalFormatting>
  <conditionalFormatting sqref="X30">
    <cfRule type="expression" dxfId="0" priority="287">
      <formula>MONTH(X30)&lt;&gt;10</formula>
    </cfRule>
  </conditionalFormatting>
  <conditionalFormatting sqref="X32">
    <cfRule type="expression" dxfId="0" priority="294">
      <formula>MONTH(X32)&lt;&gt;10</formula>
    </cfRule>
  </conditionalFormatting>
  <conditionalFormatting sqref="X37">
    <cfRule type="expression" dxfId="0" priority="427">
      <formula>MONTH(X37)&lt;&gt;2</formula>
    </cfRule>
  </conditionalFormatting>
  <conditionalFormatting sqref="X39">
    <cfRule type="expression" dxfId="0" priority="434">
      <formula>MONTH(X39)&lt;&gt;2</formula>
    </cfRule>
  </conditionalFormatting>
  <conditionalFormatting sqref="X41">
    <cfRule type="expression" dxfId="0" priority="441">
      <formula>MONTH(X41)&lt;&gt;2</formula>
    </cfRule>
  </conditionalFormatting>
  <conditionalFormatting sqref="X43">
    <cfRule type="expression" dxfId="0" priority="448">
      <formula>MONTH(X43)&lt;&gt;2</formula>
    </cfRule>
  </conditionalFormatting>
  <conditionalFormatting sqref="X45">
    <cfRule type="expression" dxfId="0" priority="455">
      <formula>MONTH(X45)&lt;&gt;2</formula>
    </cfRule>
  </conditionalFormatting>
  <conditionalFormatting sqref="X47">
    <cfRule type="expression" dxfId="0" priority="462">
      <formula>MONTH(X47)&lt;&gt;2</formula>
    </cfRule>
  </conditionalFormatting>
  <conditionalFormatting sqref="X7">
    <cfRule type="expression" dxfId="0" priority="91">
      <formula>MONTH(X7)&lt;&gt;6</formula>
    </cfRule>
  </conditionalFormatting>
  <conditionalFormatting sqref="X9">
    <cfRule type="expression" dxfId="0" priority="98">
      <formula>MONTH(X9)&lt;&gt;6</formula>
    </cfRule>
  </conditionalFormatting>
  <conditionalFormatting sqref="Z11">
    <cfRule type="expression" dxfId="0" priority="141">
      <formula>MONTH(Z11)&lt;&gt;7</formula>
    </cfRule>
  </conditionalFormatting>
  <conditionalFormatting sqref="Z13">
    <cfRule type="expression" dxfId="0" priority="148">
      <formula>MONTH(Z13)&lt;&gt;7</formula>
    </cfRule>
  </conditionalFormatting>
  <conditionalFormatting sqref="Z15">
    <cfRule type="expression" dxfId="0" priority="155">
      <formula>MONTH(Z15)&lt;&gt;7</formula>
    </cfRule>
  </conditionalFormatting>
  <conditionalFormatting sqref="Z17">
    <cfRule type="expression" dxfId="0" priority="162">
      <formula>MONTH(Z17)&lt;&gt;7</formula>
    </cfRule>
  </conditionalFormatting>
  <conditionalFormatting sqref="Z22">
    <cfRule type="expression" dxfId="0" priority="295">
      <formula>MONTH(Z22)&lt;&gt;11</formula>
    </cfRule>
  </conditionalFormatting>
  <conditionalFormatting sqref="Z24">
    <cfRule type="expression" dxfId="0" priority="302">
      <formula>MONTH(Z24)&lt;&gt;11</formula>
    </cfRule>
  </conditionalFormatting>
  <conditionalFormatting sqref="Z26">
    <cfRule type="expression" dxfId="0" priority="309">
      <formula>MONTH(Z26)&lt;&gt;11</formula>
    </cfRule>
  </conditionalFormatting>
  <conditionalFormatting sqref="Z28">
    <cfRule type="expression" dxfId="0" priority="316">
      <formula>MONTH(Z28)&lt;&gt;11</formula>
    </cfRule>
  </conditionalFormatting>
  <conditionalFormatting sqref="Z30">
    <cfRule type="expression" dxfId="0" priority="323">
      <formula>MONTH(Z30)&lt;&gt;11</formula>
    </cfRule>
  </conditionalFormatting>
  <conditionalFormatting sqref="Z32">
    <cfRule type="expression" dxfId="0" priority="330">
      <formula>MONTH(Z32)&lt;&gt;11</formula>
    </cfRule>
  </conditionalFormatting>
  <conditionalFormatting sqref="Z37">
    <cfRule type="expression" dxfId="0" priority="463">
      <formula>MONTH(Z37)&lt;&gt;3</formula>
    </cfRule>
  </conditionalFormatting>
  <conditionalFormatting sqref="Z39">
    <cfRule type="expression" dxfId="0" priority="470">
      <formula>MONTH(Z39)&lt;&gt;3</formula>
    </cfRule>
  </conditionalFormatting>
  <conditionalFormatting sqref="Z41">
    <cfRule type="expression" dxfId="0" priority="477">
      <formula>MONTH(Z41)&lt;&gt;3</formula>
    </cfRule>
  </conditionalFormatting>
  <conditionalFormatting sqref="Z43">
    <cfRule type="expression" dxfId="0" priority="484">
      <formula>MONTH(Z43)&lt;&gt;3</formula>
    </cfRule>
  </conditionalFormatting>
  <conditionalFormatting sqref="Z45">
    <cfRule type="expression" dxfId="0" priority="491">
      <formula>MONTH(Z45)&lt;&gt;3</formula>
    </cfRule>
  </conditionalFormatting>
  <conditionalFormatting sqref="Z47">
    <cfRule type="expression" dxfId="0" priority="498">
      <formula>MONTH(Z47)&lt;&gt;3</formula>
    </cfRule>
  </conditionalFormatting>
  <conditionalFormatting sqref="Z7">
    <cfRule type="expression" dxfId="0" priority="127">
      <formula>MONTH(Z7)&lt;&gt;7</formula>
    </cfRule>
  </conditionalFormatting>
  <conditionalFormatting sqref="Z9">
    <cfRule type="expression" dxfId="0" priority="134">
      <formula>MONTH(Z9)&lt;&gt;7</formula>
    </cfRule>
  </conditionalFormatting>
  <dataValidations count="2">
    <dataValidation type="list" allowBlank="1" showInputMessage="1" showErrorMessage="1" errorTitle="入力エラー" error="リストから選択してください。" sqref="C3">
      <formula1>'計算'!$A$300:$A$308</formula1>
    </dataValidation>
    <dataValidation type="list" allowBlank="1" showInputMessage="1" showErrorMessage="1" errorTitle="入力エラー" error="リストから選択してください。" sqref="G3">
      <formula1>'計算'!$A$310:$A$312</formula1>
    </dataValidation>
  </dataValidations>
  <pageMargins left="0.7" right="0.7" top="0.75" bottom="0.75" header="0.3" footer="0.3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showGridLines="0" workbookViewId="0"/>
  </sheetViews>
  <sheetFormatPr defaultRowHeight="15" x14ac:dyDescent="0.25"/>
  <cols>
    <col min="1" max="1" width="2.7109375" customWidth="1"/>
    <col min="2" max="2" width="22.7109375" customWidth="1"/>
    <col min="3" max="8" width="19.7109375" customWidth="1"/>
    <col min="9" max="9" width="3.7109375" customWidth="1"/>
  </cols>
  <sheetData>
    <row r="1" spans="2:12" ht="36" customHeight="1" x14ac:dyDescent="0.25">
      <c r="B1" s="1" t="s">
        <v>493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4" spans="2:12" x14ac:dyDescent="0.25">
      <c r="B4" s="8" t="s">
        <v>4</v>
      </c>
      <c r="C4" s="9" t="s">
        <v>65</v>
      </c>
    </row>
    <row r="5" spans="2:12" x14ac:dyDescent="0.25">
      <c r="B5" s="8" t="s">
        <v>494</v>
      </c>
      <c r="C5" s="10">
        <v>0.375</v>
      </c>
    </row>
    <row r="6" spans="2:12" x14ac:dyDescent="0.25">
      <c r="B6" s="8" t="s">
        <v>495</v>
      </c>
      <c r="C6" s="10">
        <v>0.6875</v>
      </c>
    </row>
    <row r="8" spans="2:12" x14ac:dyDescent="0.25">
      <c r="B8" s="11" t="s">
        <v>496</v>
      </c>
      <c r="C8" s="11">
        <f>ROUND(C5*1440,0)</f>
        <v>540</v>
      </c>
      <c r="D8" s="11">
        <f>ROUND(C6*1440,0)</f>
        <v>990</v>
      </c>
      <c r="E8" s="11">
        <f>MATCH(C4&amp;"|全期間",'データ'!$A$7:$A$123,0)</f>
        <v>1</v>
      </c>
    </row>
    <row r="11" spans="2:12" ht="30" customHeight="1" x14ac:dyDescent="0.25">
      <c r="C11" s="60" t="s">
        <v>62</v>
      </c>
      <c r="D11" s="61" t="s">
        <v>497</v>
      </c>
      <c r="E11" s="62" t="s">
        <v>498</v>
      </c>
      <c r="F11" s="63" t="s">
        <v>499</v>
      </c>
    </row>
    <row r="12" spans="2:12" ht="44" customHeight="1" x14ac:dyDescent="0.25">
      <c r="C12" s="64">
        <f>SUM(INDEX('データ'!$D$7:$BG$123,$E$8,0))</f>
        <v>762002</v>
      </c>
      <c r="D12" s="65">
        <f>SUMPRODUCT(('データ'!$D$6:$BG$6&gt;=$C$8)*('データ'!$D$6:$BG$6&lt;$D$8)*INDEX('データ'!$D$7:$BG$123,$E$8,0))</f>
        <v>678389</v>
      </c>
      <c r="E12" s="66">
        <f>C12-D12</f>
        <v>83613</v>
      </c>
      <c r="F12" s="67">
        <f>IF(C12=0,0,E12/C12)</f>
        <v>0.10972805845653949</v>
      </c>
    </row>
    <row r="15" spans="2:12" x14ac:dyDescent="0.25">
      <c r="B15" s="3" t="s">
        <v>500</v>
      </c>
    </row>
    <row r="16" spans="2:12" x14ac:dyDescent="0.25">
      <c r="B16" s="22" t="s">
        <v>501</v>
      </c>
      <c r="C16" s="22" t="s">
        <v>502</v>
      </c>
      <c r="D16" s="22" t="s">
        <v>503</v>
      </c>
      <c r="E16" s="22" t="s">
        <v>497</v>
      </c>
      <c r="F16" s="22" t="s">
        <v>504</v>
      </c>
      <c r="G16" s="22" t="s">
        <v>499</v>
      </c>
    </row>
    <row r="17" spans="2:7" x14ac:dyDescent="0.25">
      <c r="B17" s="18" t="s">
        <v>505</v>
      </c>
      <c r="C17" s="68">
        <v>0.375</v>
      </c>
      <c r="D17" s="68">
        <v>0.6875</v>
      </c>
      <c r="E17" s="24">
        <f>SUMPRODUCT(('データ'!$D$6:$BG$6&gt;=ROUND(C17*1440,0))*('データ'!$D$6:$BG$6&lt;ROUND(D17*1440,0))*INDEX('データ'!$D$7:$BG$123,$E$8,0))</f>
        <v>678389</v>
      </c>
      <c r="F17" s="24">
        <f>$C$12-E17</f>
        <v>83613</v>
      </c>
      <c r="G17" s="29">
        <f>IF($C$12=0,0,F17/$C$12)</f>
        <v>0.10972805845653949</v>
      </c>
    </row>
    <row r="18" spans="2:7" x14ac:dyDescent="0.25">
      <c r="B18" s="18" t="s">
        <v>506</v>
      </c>
      <c r="C18" s="68">
        <v>0.3645833333333333</v>
      </c>
      <c r="D18" s="68">
        <v>0.6875</v>
      </c>
      <c r="E18" s="24">
        <f>SUMPRODUCT(('データ'!$D$6:$BG$6&gt;=ROUND(C18*1440,0))*('データ'!$D$6:$BG$6&lt;ROUND(D18*1440,0))*INDEX('データ'!$D$7:$BG$123,$E$8,0))</f>
        <v>694816</v>
      </c>
      <c r="F18" s="24">
        <f>$C$12-E18</f>
        <v>67186</v>
      </c>
      <c r="G18" s="29">
        <f>IF($C$12=0,0,F18/$C$12)</f>
        <v>0.0881703722562408</v>
      </c>
    </row>
    <row r="19" spans="2:7" x14ac:dyDescent="0.25">
      <c r="B19" s="18" t="s">
        <v>507</v>
      </c>
      <c r="C19" s="68">
        <v>0.3541666666666667</v>
      </c>
      <c r="D19" s="68">
        <v>0.71875</v>
      </c>
      <c r="E19" s="24">
        <f>SUMPRODUCT(('データ'!$D$6:$BG$6&gt;=ROUND(C19*1440,0))*('データ'!$D$6:$BG$6&lt;ROUND(D19*1440,0))*INDEX('データ'!$D$7:$BG$123,$E$8,0))</f>
        <v>750170</v>
      </c>
      <c r="F19" s="24">
        <f>$C$12-E19</f>
        <v>11832</v>
      </c>
      <c r="G19" s="29">
        <f>IF($C$12=0,0,F19/$C$12)</f>
        <v>0.015527518300476901</v>
      </c>
    </row>
    <row r="20" spans="2:7" x14ac:dyDescent="0.25">
      <c r="B20" s="69" t="s">
        <v>508</v>
      </c>
      <c r="C20" s="70">
        <f>C5</f>
        <v>0.375</v>
      </c>
      <c r="D20" s="70">
        <f>C6</f>
        <v>0.6875</v>
      </c>
      <c r="E20" s="24">
        <f>D12</f>
        <v>678389</v>
      </c>
      <c r="F20" s="24">
        <f>E12</f>
        <v>83613</v>
      </c>
      <c r="G20" s="29">
        <f>F12</f>
        <v>0.10972805845653949</v>
      </c>
    </row>
    <row r="23" spans="2:7" x14ac:dyDescent="0.25">
      <c r="B23" s="3" t="s">
        <v>509</v>
      </c>
    </row>
    <row r="24" spans="2:7" x14ac:dyDescent="0.25">
      <c r="B24" s="22" t="s">
        <v>4</v>
      </c>
      <c r="C24" s="22" t="s">
        <v>62</v>
      </c>
      <c r="D24" s="22" t="s">
        <v>497</v>
      </c>
      <c r="E24" s="22" t="s">
        <v>504</v>
      </c>
      <c r="F24" s="22" t="s">
        <v>499</v>
      </c>
    </row>
    <row r="25" spans="2:7" x14ac:dyDescent="0.25">
      <c r="B25" s="18" t="s">
        <v>65</v>
      </c>
      <c r="C25" s="24">
        <f>SUM(INDEX('データ'!$D$7:$BG$123,MATCH($B25&amp;"|全期間",'データ'!$A$7:$A$123,0),0))</f>
        <v>762002</v>
      </c>
      <c r="D25" s="24">
        <f>SUMPRODUCT(('データ'!$D$6:$BG$6&gt;=$C$8)*('データ'!$D$6:$BG$6&lt;$D$8)*INDEX('データ'!$D$7:$BG$123,MATCH($B25&amp;"|全期間",'データ'!$A$7:$A$123,0),0))</f>
        <v>678389</v>
      </c>
      <c r="E25" s="24">
        <f>C25-D25</f>
        <v>83613</v>
      </c>
      <c r="F25" s="29">
        <f>IF(C25=0,0,E25/C25)</f>
        <v>0.10972805845653949</v>
      </c>
    </row>
    <row r="26" spans="2:7" x14ac:dyDescent="0.25">
      <c r="B26" s="18" t="s">
        <v>92</v>
      </c>
      <c r="C26" s="24">
        <f>SUM(INDEX('データ'!$D$7:$BG$123,MATCH($B26&amp;"|全期間",'データ'!$A$7:$A$123,0),0))</f>
        <v>143974</v>
      </c>
      <c r="D26" s="24">
        <f>SUMPRODUCT(('データ'!$D$6:$BG$6&gt;=$C$8)*('データ'!$D$6:$BG$6&lt;$D$8)*INDEX('データ'!$D$7:$BG$123,MATCH($B26&amp;"|全期間",'データ'!$A$7:$A$123,0),0))</f>
        <v>127983</v>
      </c>
      <c r="E26" s="24">
        <f>C26-D26</f>
        <v>15991</v>
      </c>
      <c r="F26" s="29">
        <f>IF(C26=0,0,E26/C26)</f>
        <v>0.11106866517565672</v>
      </c>
    </row>
    <row r="27" spans="2:7" x14ac:dyDescent="0.25">
      <c r="B27" s="18" t="s">
        <v>106</v>
      </c>
      <c r="C27" s="24">
        <f>SUM(INDEX('データ'!$D$7:$BG$123,MATCH($B27&amp;"|全期間",'データ'!$A$7:$A$123,0),0))</f>
        <v>81818</v>
      </c>
      <c r="D27" s="24">
        <f>SUMPRODUCT(('データ'!$D$6:$BG$6&gt;=$C$8)*('データ'!$D$6:$BG$6&lt;$D$8)*INDEX('データ'!$D$7:$BG$123,MATCH($B27&amp;"|全期間",'データ'!$A$7:$A$123,0),0))</f>
        <v>73657</v>
      </c>
      <c r="E27" s="24">
        <f>C27-D27</f>
        <v>8161</v>
      </c>
      <c r="F27" s="29">
        <f>IF(C27=0,0,E27/C27)</f>
        <v>0.09974577721283825</v>
      </c>
    </row>
    <row r="28" spans="2:7" x14ac:dyDescent="0.25">
      <c r="B28" s="18" t="s">
        <v>120</v>
      </c>
      <c r="C28" s="24">
        <f>SUM(INDEX('データ'!$D$7:$BG$123,MATCH($B28&amp;"|全期間",'データ'!$A$7:$A$123,0),0))</f>
        <v>115887</v>
      </c>
      <c r="D28" s="24">
        <f>SUMPRODUCT(('データ'!$D$6:$BG$6&gt;=$C$8)*('データ'!$D$6:$BG$6&lt;$D$8)*INDEX('データ'!$D$7:$BG$123,MATCH($B28&amp;"|全期間",'データ'!$A$7:$A$123,0),0))</f>
        <v>102289</v>
      </c>
      <c r="E28" s="24">
        <f>C28-D28</f>
        <v>13598</v>
      </c>
      <c r="F28" s="29">
        <f>IF(C28=0,0,E28/C28)</f>
        <v>0.11733844175791935</v>
      </c>
    </row>
    <row r="29" spans="2:7" x14ac:dyDescent="0.25">
      <c r="B29" s="18" t="s">
        <v>134</v>
      </c>
      <c r="C29" s="24">
        <f>SUM(INDEX('データ'!$D$7:$BG$123,MATCH($B29&amp;"|全期間",'データ'!$A$7:$A$123,0),0))</f>
        <v>141243</v>
      </c>
      <c r="D29" s="24">
        <f>SUMPRODUCT(('データ'!$D$6:$BG$6&gt;=$C$8)*('データ'!$D$6:$BG$6&lt;$D$8)*INDEX('データ'!$D$7:$BG$123,MATCH($B29&amp;"|全期間",'データ'!$A$7:$A$123,0),0))</f>
        <v>124759</v>
      </c>
      <c r="E29" s="24">
        <f>C29-D29</f>
        <v>16484</v>
      </c>
      <c r="F29" s="29">
        <f>IF(C29=0,0,E29/C29)</f>
        <v>0.1167066686490658</v>
      </c>
    </row>
    <row r="30" spans="2:7" x14ac:dyDescent="0.25">
      <c r="B30" s="18" t="s">
        <v>148</v>
      </c>
      <c r="C30" s="24">
        <f>SUM(INDEX('データ'!$D$7:$BG$123,MATCH($B30&amp;"|全期間",'データ'!$A$7:$A$123,0),0))</f>
        <v>88181</v>
      </c>
      <c r="D30" s="24">
        <f>SUMPRODUCT(('データ'!$D$6:$BG$6&gt;=$C$8)*('データ'!$D$6:$BG$6&lt;$D$8)*INDEX('データ'!$D$7:$BG$123,MATCH($B30&amp;"|全期間",'データ'!$A$7:$A$123,0),0))</f>
        <v>78107</v>
      </c>
      <c r="E30" s="24">
        <f>C30-D30</f>
        <v>10074</v>
      </c>
      <c r="F30" s="29">
        <f>IF(C30=0,0,E30/C30)</f>
        <v>0.11424229709347819</v>
      </c>
    </row>
    <row r="31" spans="2:7" x14ac:dyDescent="0.25">
      <c r="B31" s="18" t="s">
        <v>162</v>
      </c>
      <c r="C31" s="24">
        <f>SUM(INDEX('データ'!$D$7:$BG$123,MATCH($B31&amp;"|全期間",'データ'!$A$7:$A$123,0),0))</f>
        <v>48568</v>
      </c>
      <c r="D31" s="24">
        <f>SUMPRODUCT(('データ'!$D$6:$BG$6&gt;=$C$8)*('データ'!$D$6:$BG$6&lt;$D$8)*INDEX('データ'!$D$7:$BG$123,MATCH($B31&amp;"|全期間",'データ'!$A$7:$A$123,0),0))</f>
        <v>43439</v>
      </c>
      <c r="E31" s="24">
        <f>C31-D31</f>
        <v>5129</v>
      </c>
      <c r="F31" s="29">
        <f>IF(C31=0,0,E31/C31)</f>
        <v>0.10560451325975952</v>
      </c>
    </row>
    <row r="32" spans="2:7" x14ac:dyDescent="0.25">
      <c r="B32" s="18" t="s">
        <v>176</v>
      </c>
      <c r="C32" s="24">
        <f>SUM(INDEX('データ'!$D$7:$BG$123,MATCH($B32&amp;"|全期間",'データ'!$A$7:$A$123,0),0))</f>
        <v>37567</v>
      </c>
      <c r="D32" s="24">
        <f>SUMPRODUCT(('データ'!$D$6:$BG$6&gt;=$C$8)*('データ'!$D$6:$BG$6&lt;$D$8)*INDEX('データ'!$D$7:$BG$123,MATCH($B32&amp;"|全期間",'データ'!$A$7:$A$123,0),0))</f>
        <v>34025</v>
      </c>
      <c r="E32" s="24">
        <f>C32-D32</f>
        <v>3542</v>
      </c>
      <c r="F32" s="29">
        <f>IF(C32=0,0,E32/C32)</f>
        <v>0.09428487768520244</v>
      </c>
    </row>
    <row r="33" spans="2:6" x14ac:dyDescent="0.25">
      <c r="B33" s="18" t="s">
        <v>190</v>
      </c>
      <c r="C33" s="24">
        <f>SUM(INDEX('データ'!$D$7:$BG$123,MATCH($B33&amp;"|全期間",'データ'!$A$7:$A$123,0),0))</f>
        <v>104764</v>
      </c>
      <c r="D33" s="24">
        <f>SUMPRODUCT(('データ'!$D$6:$BG$6&gt;=$C$8)*('データ'!$D$6:$BG$6&lt;$D$8)*INDEX('データ'!$D$7:$BG$123,MATCH($B33&amp;"|全期間",'データ'!$A$7:$A$123,0),0))</f>
        <v>94130</v>
      </c>
      <c r="E33" s="24">
        <f>C33-D33</f>
        <v>10634</v>
      </c>
      <c r="F33" s="29">
        <f>IF(C33=0,0,E33/C33)</f>
        <v>0.10150433354969264</v>
      </c>
    </row>
    <row r="36" spans="2:6" x14ac:dyDescent="0.25">
      <c r="B36" s="11" t="s">
        <v>510</v>
      </c>
    </row>
  </sheetData>
  <mergeCells count="1">
    <mergeCell ref="B1:L1"/>
  </mergeCells>
  <conditionalFormatting sqref="F25:F33">
    <cfRule type="dataBar" priority="2">
      <dataBar>
        <cfvo type="num" val="0"/>
        <cfvo type="num" val="0.3"/>
        <color rgb="FFE3C592"/>
      </dataBar>
      <extLst>
        <ext xmlns:x14="http://schemas.microsoft.com/office/spreadsheetml/2009/9/main" uri="{B025F937-C7B1-47D3-B67F-A62EFF666E3E}">
          <x14:id>{DA7ABA51-AAAA-BBBB-000A-000000000001}</x14:id>
        </ext>
      </extLst>
    </cfRule>
  </conditionalFormatting>
  <conditionalFormatting sqref="G17:G20">
    <cfRule type="dataBar" priority="1">
      <dataBar>
        <cfvo type="num" val="0"/>
        <cfvo type="num" val="0.3"/>
        <color rgb="FFE3C592"/>
      </dataBar>
      <extLst>
        <ext xmlns:x14="http://schemas.microsoft.com/office/spreadsheetml/2009/9/main" uri="{B025F937-C7B1-47D3-B67F-A62EFF666E3E}">
          <x14:id>{DA7ABA51-AAAA-BBBB-000A-000000000002}</x14:id>
        </ext>
      </extLst>
    </cfRule>
  </conditionalFormatting>
  <dataValidations count="3">
    <dataValidation type="list" allowBlank="1" showInputMessage="1" showErrorMessage="1" errorTitle="入力エラー" error="リストから選択してください。" sqref="C4">
      <formula1>'計算'!$A$300:$A$308</formula1>
    </dataValidation>
    <dataValidation type="list" allowBlank="1" showInputMessage="1" showErrorMessage="1" errorTitle="入力エラー" error="リストから選択してください。" sqref="C5">
      <formula1>'計算'!$A$220:$A$276</formula1>
    </dataValidation>
    <dataValidation type="list" allowBlank="1" showInputMessage="1" showErrorMessage="1" errorTitle="入力エラー" error="リストから選択してください。" sqref="C6">
      <formula1>'計算'!$A$220:$A$276</formula1>
    </dataValidation>
  </dataValidations>
  <pageMargins left="0.7" right="0.7" top="0.75" bottom="0.75" header="0.3" footer="0.3"/>
  <pageSetup paperSize="9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A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0.3</xm:f>
              </x14:cfvo>
              <x14:borderColor rgb="FFE3C592"/>
              <x14:negativeFillColor rgb="FFFF0000"/>
              <x14:negativeBorderColor rgb="FFFF0000"/>
              <x14:axisColor rgb="FF000000"/>
            </x14:dataBar>
          </x14:cfRule>
          <xm:sqref>F25:F33</xm:sqref>
        </x14:conditionalFormatting>
        <x14:conditionalFormatting xmlns:xm="http://schemas.microsoft.com/office/excel/2006/main">
          <x14:cfRule type="dataBar" id="{DA7ABA51-AAAA-BBBB-000A-000000000002}">
            <x14:dataBar minLength="0" maxLength="100" border="1" gradient="0" negativeBarBorderColorSameAsPositive="0">
              <x14:cfvo type="num">
                <xm:f>0</xm:f>
              </x14:cfvo>
              <x14:cfvo type="num">
                <xm:f>0.3</xm:f>
              </x14:cfvo>
              <x14:borderColor rgb="FFE3C592"/>
              <x14:negativeFillColor rgb="FFFF0000"/>
              <x14:negativeBorderColor rgb="FFFF0000"/>
              <x14:axisColor rgb="FF000000"/>
            </x14:dataBar>
          </x14:cfRule>
          <xm:sqref>G17:G20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5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.7109375" customWidth="1"/>
    <col min="2" max="2" width="6.7109375" customWidth="1"/>
    <col min="3" max="3" width="36.7109375" customWidth="1"/>
    <col min="4" max="8" width="12.7109375" customWidth="1"/>
    <col min="9" max="9" width="3.7109375" customWidth="1"/>
  </cols>
  <sheetData>
    <row r="1" spans="2:17" ht="36" customHeight="1" x14ac:dyDescent="0.25">
      <c r="B1" s="1" t="s">
        <v>511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2:17" x14ac:dyDescent="0.25">
      <c r="B3" s="8" t="s">
        <v>4</v>
      </c>
      <c r="C3" s="9" t="s">
        <v>65</v>
      </c>
      <c r="E3" s="11" t="s">
        <v>512</v>
      </c>
    </row>
    <row r="5" spans="2:17" x14ac:dyDescent="0.25">
      <c r="B5" s="22" t="s">
        <v>513</v>
      </c>
      <c r="C5" s="22" t="s">
        <v>514</v>
      </c>
      <c r="D5" s="22" t="s">
        <v>387</v>
      </c>
      <c r="E5" s="22" t="s">
        <v>515</v>
      </c>
      <c r="F5" s="22" t="s">
        <v>328</v>
      </c>
      <c r="G5" s="22" t="s">
        <v>329</v>
      </c>
      <c r="H5" s="22" t="s">
        <v>330</v>
      </c>
    </row>
    <row r="6" spans="2:17" x14ac:dyDescent="0.25">
      <c r="B6" s="18">
        <v>1</v>
      </c>
      <c r="C6" s="71" t="s">
        <v>331</v>
      </c>
      <c r="D6" s="24">
        <f>INDEX('データ'!$B$1249:$J$1298,1,MATCH($C$3,'データ'!$B$1248:$J$1248,0))</f>
        <v>157636</v>
      </c>
      <c r="E6" s="29">
        <f>IF(SUM($D$6:$D$55)=0,0,D6/SUM($D$6:$D$55))</f>
        <v>0.2068708481080102</v>
      </c>
      <c r="F6" s="45">
        <v>3.422377216757649</v>
      </c>
      <c r="G6" s="45">
        <v>4.582953672478223</v>
      </c>
      <c r="H6" s="45">
        <v>7.95935679371842</v>
      </c>
    </row>
    <row r="7" spans="2:17" x14ac:dyDescent="0.25">
      <c r="B7" s="18">
        <v>2</v>
      </c>
      <c r="C7" s="71" t="s">
        <v>332</v>
      </c>
      <c r="D7" s="24">
        <f>INDEX('データ'!$B$1249:$J$1298,2,MATCH($C$3,'データ'!$B$1248:$J$1248,0))</f>
        <v>88260</v>
      </c>
      <c r="E7" s="29">
        <f>IF(SUM($D$6:$D$55)=0,0,D7/SUM($D$6:$D$55))</f>
        <v>0.11582646764706654</v>
      </c>
      <c r="F7" s="45">
        <v>13.90616166887908</v>
      </c>
      <c r="G7" s="45">
        <v>3.127406020901576</v>
      </c>
      <c r="H7" s="45">
        <v>17.01750994331169</v>
      </c>
    </row>
    <row r="8" spans="2:17" x14ac:dyDescent="0.25">
      <c r="B8" s="18">
        <v>3</v>
      </c>
      <c r="C8" s="71" t="s">
        <v>333</v>
      </c>
      <c r="D8" s="24">
        <f>INDEX('データ'!$B$1249:$J$1298,3,MATCH($C$3,'データ'!$B$1248:$J$1248,0))</f>
        <v>75448</v>
      </c>
      <c r="E8" s="29">
        <f>IF(SUM($D$6:$D$55)=0,0,D8/SUM($D$6:$D$55))</f>
        <v>0.09901286348329795</v>
      </c>
      <c r="F8" s="45">
        <v>8.290830419929016</v>
      </c>
      <c r="G8" s="45">
        <v>12.04977653605781</v>
      </c>
      <c r="H8" s="45">
        <v>20.33400777712283</v>
      </c>
    </row>
    <row r="9" spans="2:17" x14ac:dyDescent="0.25">
      <c r="B9" s="18">
        <v>4</v>
      </c>
      <c r="C9" s="71" t="s">
        <v>334</v>
      </c>
      <c r="D9" s="24">
        <f>INDEX('データ'!$B$1249:$J$1298,4,MATCH($C$3,'データ'!$B$1248:$J$1248,0))</f>
        <v>68732</v>
      </c>
      <c r="E9" s="29">
        <f>IF(SUM($D$6:$D$55)=0,0,D9/SUM($D$6:$D$55))</f>
        <v>0.09019923832220912</v>
      </c>
      <c r="F9" s="45">
        <v>10.13740893541932</v>
      </c>
      <c r="G9" s="45">
        <v>4.576071732938617</v>
      </c>
      <c r="H9" s="45">
        <v>13.64983990321038</v>
      </c>
    </row>
    <row r="10" spans="2:17" x14ac:dyDescent="0.25">
      <c r="B10" s="18">
        <v>5</v>
      </c>
      <c r="C10" s="71" t="s">
        <v>335</v>
      </c>
      <c r="D10" s="24">
        <f>INDEX('データ'!$B$1249:$J$1298,5,MATCH($C$3,'データ'!$B$1248:$J$1248,0))</f>
        <v>59330</v>
      </c>
      <c r="E10" s="29">
        <f>IF(SUM($D$6:$D$55)=0,0,D10/SUM($D$6:$D$55))</f>
        <v>0.0778606880296902</v>
      </c>
      <c r="F10" s="45">
        <v>6.874107913303893</v>
      </c>
      <c r="G10" s="45">
        <v>3.380445557835996</v>
      </c>
      <c r="H10" s="45">
        <v>8.880213178684816</v>
      </c>
    </row>
    <row r="11" spans="2:17" x14ac:dyDescent="0.25">
      <c r="B11" s="18">
        <v>6</v>
      </c>
      <c r="C11" s="71" t="s">
        <v>336</v>
      </c>
      <c r="D11" s="24">
        <f>INDEX('データ'!$B$1249:$J$1298,6,MATCH($C$3,'データ'!$B$1248:$J$1248,0))</f>
        <v>27691</v>
      </c>
      <c r="E11" s="29">
        <f>IF(SUM($D$6:$D$55)=0,0,D11/SUM($D$6:$D$55))</f>
        <v>0.03633979963307183</v>
      </c>
      <c r="F11" s="45">
        <v>1.746293019392582</v>
      </c>
      <c r="G11" s="45">
        <v>5.902055703725353</v>
      </c>
      <c r="H11" s="45">
        <v>7.659579481933434</v>
      </c>
    </row>
    <row r="12" spans="2:17" x14ac:dyDescent="0.25">
      <c r="B12" s="18">
        <v>7</v>
      </c>
      <c r="C12" s="71" t="s">
        <v>337</v>
      </c>
      <c r="D12" s="24">
        <f>INDEX('データ'!$B$1249:$J$1298,7,MATCH($C$3,'データ'!$B$1248:$J$1248,0))</f>
        <v>26186</v>
      </c>
      <c r="E12" s="29">
        <f>IF(SUM($D$6:$D$55)=0,0,D12/SUM($D$6:$D$55))</f>
        <v>0.03436473920015958</v>
      </c>
      <c r="F12" s="45">
        <v>13.39234192932187</v>
      </c>
      <c r="G12" s="45">
        <v>6.510249286100178</v>
      </c>
      <c r="H12" s="45">
        <v>19.9727888661545</v>
      </c>
    </row>
    <row r="13" spans="2:17" x14ac:dyDescent="0.25">
      <c r="B13" s="18">
        <v>8</v>
      </c>
      <c r="C13" s="71" t="s">
        <v>338</v>
      </c>
      <c r="D13" s="24">
        <f>INDEX('データ'!$B$1249:$J$1298,8,MATCH($C$3,'データ'!$B$1248:$J$1248,0))</f>
        <v>23108</v>
      </c>
      <c r="E13" s="29">
        <f>IF(SUM($D$6:$D$55)=0,0,D13/SUM($D$6:$D$55))</f>
        <v>0.030325379723412798</v>
      </c>
      <c r="F13" s="45">
        <v>18.9191970412748</v>
      </c>
      <c r="G13" s="45">
        <v>7.338352972212451</v>
      </c>
      <c r="H13" s="45">
        <v>26.33733506524004</v>
      </c>
    </row>
    <row r="14" spans="2:17" x14ac:dyDescent="0.25">
      <c r="B14" s="18">
        <v>9</v>
      </c>
      <c r="C14" s="71" t="s">
        <v>339</v>
      </c>
      <c r="D14" s="24">
        <f>INDEX('データ'!$B$1249:$J$1298,9,MATCH($C$3,'データ'!$B$1248:$J$1248,0))</f>
        <v>20955</v>
      </c>
      <c r="E14" s="29">
        <f>IF(SUM($D$6:$D$55)=0,0,D14/SUM($D$6:$D$55))</f>
        <v>0.027499927821711755</v>
      </c>
      <c r="F14" s="45">
        <v>10.61317376225022</v>
      </c>
      <c r="G14" s="45">
        <v>4.115328932682802</v>
      </c>
      <c r="H14" s="45">
        <v>14.73671163628825</v>
      </c>
    </row>
    <row r="15" spans="2:17" x14ac:dyDescent="0.25">
      <c r="B15" s="18">
        <v>10</v>
      </c>
      <c r="C15" s="71" t="s">
        <v>340</v>
      </c>
      <c r="D15" s="24">
        <f>INDEX('データ'!$B$1249:$J$1298,10,MATCH($C$3,'データ'!$B$1248:$J$1248,0))</f>
        <v>20814</v>
      </c>
      <c r="E15" s="29">
        <f>IF(SUM($D$6:$D$55)=0,0,D15/SUM($D$6:$D$55))</f>
        <v>0.027314888937299376</v>
      </c>
      <c r="F15" s="45">
        <v>3.917306552624413</v>
      </c>
      <c r="G15" s="45">
        <v>3.197300259497446</v>
      </c>
      <c r="H15" s="45">
        <v>7.070778927684819</v>
      </c>
    </row>
    <row r="16" spans="2:17" x14ac:dyDescent="0.25">
      <c r="B16" s="18">
        <v>11</v>
      </c>
      <c r="C16" s="71" t="s">
        <v>341</v>
      </c>
      <c r="D16" s="24">
        <f>INDEX('データ'!$B$1249:$J$1298,11,MATCH($C$3,'データ'!$B$1248:$J$1248,0))</f>
        <v>20355</v>
      </c>
      <c r="E16" s="29">
        <f>IF(SUM($D$6:$D$55)=0,0,D16/SUM($D$6:$D$55))</f>
        <v>0.02671252831357398</v>
      </c>
      <c r="F16" s="45">
        <v>4.381566748566748</v>
      </c>
      <c r="G16" s="45">
        <v>13.91065932946092</v>
      </c>
      <c r="H16" s="45">
        <v>18.33294429437847</v>
      </c>
    </row>
    <row r="17" spans="2:8" x14ac:dyDescent="0.25">
      <c r="B17" s="18">
        <v>12</v>
      </c>
      <c r="C17" s="71" t="s">
        <v>342</v>
      </c>
      <c r="D17" s="24">
        <f>INDEX('データ'!$B$1249:$J$1298,12,MATCH($C$3,'データ'!$B$1248:$J$1248,0))</f>
        <v>15620</v>
      </c>
      <c r="E17" s="29">
        <f>IF(SUM($D$6:$D$55)=0,0,D17/SUM($D$6:$D$55))</f>
        <v>0.020498633861853383</v>
      </c>
      <c r="F17" s="45">
        <v>1.805268137444631</v>
      </c>
      <c r="G17" s="45">
        <v>17.73704560180531</v>
      </c>
      <c r="H17" s="45">
        <v>19.53299333422807</v>
      </c>
    </row>
    <row r="18" spans="2:8" x14ac:dyDescent="0.25">
      <c r="B18" s="18">
        <v>13</v>
      </c>
      <c r="C18" s="71" t="s">
        <v>343</v>
      </c>
      <c r="D18" s="24">
        <f>INDEX('データ'!$B$1249:$J$1298,13,MATCH($C$3,'データ'!$B$1248:$J$1248,0))</f>
        <v>15081</v>
      </c>
      <c r="E18" s="29">
        <f>IF(SUM($D$6:$D$55)=0,0,D18/SUM($D$6:$D$55))</f>
        <v>0.019791286637042948</v>
      </c>
      <c r="F18" s="45">
        <v>3.151643348142254</v>
      </c>
      <c r="G18" s="45">
        <v>9.997503735905447</v>
      </c>
      <c r="H18" s="45">
        <v>13.15859031834443</v>
      </c>
    </row>
    <row r="19" spans="2:8" x14ac:dyDescent="0.25">
      <c r="B19" s="18">
        <v>14</v>
      </c>
      <c r="C19" s="71" t="s">
        <v>344</v>
      </c>
      <c r="D19" s="24">
        <f>INDEX('データ'!$B$1249:$J$1298,14,MATCH($C$3,'データ'!$B$1248:$J$1248,0))</f>
        <v>14250</v>
      </c>
      <c r="E19" s="29">
        <f>IF(SUM($D$6:$D$55)=0,0,D19/SUM($D$6:$D$55))</f>
        <v>0.01870073831827213</v>
      </c>
      <c r="F19" s="45">
        <v>3.763526315789474</v>
      </c>
      <c r="G19" s="45">
        <v>6.875608397905263</v>
      </c>
      <c r="H19" s="45">
        <v>10.65366223549205</v>
      </c>
    </row>
    <row r="20" spans="2:8" x14ac:dyDescent="0.25">
      <c r="B20" s="18">
        <v>15</v>
      </c>
      <c r="C20" s="71" t="s">
        <v>345</v>
      </c>
      <c r="D20" s="24">
        <f>INDEX('データ'!$B$1249:$J$1298,15,MATCH($C$3,'データ'!$B$1248:$J$1248,0))</f>
        <v>13842</v>
      </c>
      <c r="E20" s="29">
        <f>IF(SUM($D$6:$D$55)=0,0,D20/SUM($D$6:$D$55))</f>
        <v>0.018165306652738446</v>
      </c>
      <c r="F20" s="45">
        <v>14.88703462734042</v>
      </c>
      <c r="G20" s="45">
        <v>7.228631762906867</v>
      </c>
      <c r="H20" s="45">
        <v>22.10892839794035</v>
      </c>
    </row>
    <row r="21" spans="2:8" x14ac:dyDescent="0.25">
      <c r="B21" s="18">
        <v>16</v>
      </c>
      <c r="C21" s="71" t="s">
        <v>346</v>
      </c>
      <c r="D21" s="24">
        <f>INDEX('データ'!$B$1249:$J$1298,16,MATCH($C$3,'データ'!$B$1248:$J$1248,0))</f>
        <v>11978</v>
      </c>
      <c r="E21" s="29">
        <f>IF(SUM($D$6:$D$55)=0,0,D21/SUM($D$6:$D$55))</f>
        <v>0.015719118847457095</v>
      </c>
      <c r="F21" s="45">
        <v>5.414773992429303</v>
      </c>
      <c r="G21" s="45">
        <v>27.04246196403873</v>
      </c>
      <c r="H21" s="45">
        <v>32.45083303259954</v>
      </c>
    </row>
    <row r="22" spans="2:8" x14ac:dyDescent="0.25">
      <c r="B22" s="18">
        <v>17</v>
      </c>
      <c r="C22" s="71" t="s">
        <v>347</v>
      </c>
      <c r="D22" s="24">
        <f>INDEX('データ'!$B$1249:$J$1298,17,MATCH($C$3,'データ'!$B$1248:$J$1248,0))</f>
        <v>11936</v>
      </c>
      <c r="E22" s="29">
        <f>IF(SUM($D$6:$D$55)=0,0,D22/SUM($D$6:$D$55))</f>
        <v>0.01566400088188745</v>
      </c>
      <c r="F22" s="45">
        <v>5.221612638606019</v>
      </c>
      <c r="G22" s="45">
        <v>13.03398064018053</v>
      </c>
      <c r="H22" s="45">
        <v>18.1662739848282</v>
      </c>
    </row>
    <row r="23" spans="2:8" x14ac:dyDescent="0.25">
      <c r="B23" s="18">
        <v>18</v>
      </c>
      <c r="C23" s="71" t="s">
        <v>348</v>
      </c>
      <c r="D23" s="24">
        <f>INDEX('データ'!$B$1249:$J$1298,18,MATCH($C$3,'データ'!$B$1248:$J$1248,0))</f>
        <v>8432</v>
      </c>
      <c r="E23" s="29">
        <f>IF(SUM($D$6:$D$55)=0,0,D23/SUM($D$6:$D$55))</f>
        <v>0.01106558775436285</v>
      </c>
      <c r="F23" s="45">
        <v>3.066032179000632</v>
      </c>
      <c r="G23" s="45">
        <v>10.55795564711585</v>
      </c>
      <c r="H23" s="45">
        <v>13.64710777185329</v>
      </c>
    </row>
    <row r="24" spans="2:8" x14ac:dyDescent="0.25">
      <c r="B24" s="18">
        <v>19</v>
      </c>
      <c r="C24" s="71" t="s">
        <v>349</v>
      </c>
      <c r="D24" s="24">
        <f>INDEX('データ'!$B$1249:$J$1298,19,MATCH($C$3,'データ'!$B$1248:$J$1248,0))</f>
        <v>6601</v>
      </c>
      <c r="E24" s="29">
        <f>IF(SUM($D$6:$D$55)=0,0,D24/SUM($D$6:$D$55))</f>
        <v>0.008662706922029076</v>
      </c>
      <c r="F24" s="45">
        <v>24.59658884172226</v>
      </c>
      <c r="G24" s="45">
        <v>7.869457809509028</v>
      </c>
      <c r="H24" s="45">
        <v>32.62542197369784</v>
      </c>
    </row>
    <row r="25" spans="2:8" x14ac:dyDescent="0.25">
      <c r="B25" s="18">
        <v>20</v>
      </c>
      <c r="C25" s="71" t="s">
        <v>350</v>
      </c>
      <c r="D25" s="24">
        <f>INDEX('データ'!$B$1249:$J$1298,20,MATCH($C$3,'データ'!$B$1248:$J$1248,0))</f>
        <v>6524</v>
      </c>
      <c r="E25" s="29">
        <f>IF(SUM($D$6:$D$55)=0,0,D25/SUM($D$6:$D$55))</f>
        <v>0.008561657318484728</v>
      </c>
      <c r="F25" s="45">
        <v>1.724593807480074</v>
      </c>
      <c r="G25" s="45">
        <v>13.83450633843564</v>
      </c>
      <c r="H25" s="45">
        <v>15.57421229814318</v>
      </c>
    </row>
    <row r="26" spans="2:8" x14ac:dyDescent="0.25">
      <c r="B26" s="18">
        <v>21</v>
      </c>
      <c r="C26" s="71" t="s">
        <v>351</v>
      </c>
      <c r="D26" s="24">
        <f>INDEX('データ'!$B$1249:$J$1298,21,MATCH($C$3,'データ'!$B$1248:$J$1248,0))</f>
        <v>5966</v>
      </c>
      <c r="E26" s="29">
        <f>IF(SUM($D$6:$D$55)=0,0,D26/SUM($D$6:$D$55))</f>
        <v>0.007829375775916598</v>
      </c>
      <c r="F26" s="45">
        <v>10.77278292614434</v>
      </c>
      <c r="G26" s="45">
        <v>3.396767676767677</v>
      </c>
      <c r="H26" s="45">
        <v>13.89212121212121</v>
      </c>
    </row>
    <row r="27" spans="2:8" x14ac:dyDescent="0.25">
      <c r="B27" s="18">
        <v>22</v>
      </c>
      <c r="C27" s="71" t="s">
        <v>352</v>
      </c>
      <c r="D27" s="24">
        <f>INDEX('データ'!$B$1249:$J$1298,22,MATCH($C$3,'データ'!$B$1248:$J$1248,0))</f>
        <v>5956</v>
      </c>
      <c r="E27" s="29">
        <f>IF(SUM($D$6:$D$55)=0,0,D27/SUM($D$6:$D$55))</f>
        <v>0.007816252450780969</v>
      </c>
      <c r="F27" s="45">
        <v>10.97031496506649</v>
      </c>
      <c r="G27" s="45">
        <v>29.64109258580677</v>
      </c>
      <c r="H27" s="45">
        <v>41.06249077490775</v>
      </c>
    </row>
    <row r="28" spans="2:8" x14ac:dyDescent="0.25">
      <c r="B28" s="18">
        <v>23</v>
      </c>
      <c r="C28" s="71" t="s">
        <v>353</v>
      </c>
      <c r="D28" s="24">
        <f>INDEX('データ'!$B$1249:$J$1298,23,MATCH($C$3,'データ'!$B$1248:$J$1248,0))</f>
        <v>5775</v>
      </c>
      <c r="E28" s="29">
        <f>IF(SUM($D$6:$D$55)=0,0,D28/SUM($D$6:$D$55))</f>
        <v>0.0075787202658260736</v>
      </c>
      <c r="F28" s="45">
        <v>35.15250203891414</v>
      </c>
      <c r="G28" s="45">
        <v>10.24750644368519</v>
      </c>
      <c r="H28" s="45">
        <v>45.69291462455376</v>
      </c>
    </row>
    <row r="29" spans="2:8" x14ac:dyDescent="0.25">
      <c r="B29" s="18">
        <v>24</v>
      </c>
      <c r="C29" s="71" t="s">
        <v>354</v>
      </c>
      <c r="D29" s="24">
        <f>INDEX('データ'!$B$1249:$J$1298,24,MATCH($C$3,'データ'!$B$1248:$J$1248,0))</f>
        <v>5744</v>
      </c>
      <c r="E29" s="29">
        <f>IF(SUM($D$6:$D$55)=0,0,D29/SUM($D$6:$D$55))</f>
        <v>0.007538037957905622</v>
      </c>
      <c r="F29" s="45">
        <v>0.3571814066852368</v>
      </c>
      <c r="G29" s="45">
        <v>16.12794558312358</v>
      </c>
      <c r="H29" s="45">
        <v>16.4853829557713</v>
      </c>
    </row>
    <row r="30" spans="2:8" x14ac:dyDescent="0.25">
      <c r="B30" s="18">
        <v>25</v>
      </c>
      <c r="C30" s="71" t="s">
        <v>355</v>
      </c>
      <c r="D30" s="24">
        <f>INDEX('データ'!$B$1249:$J$1298,25,MATCH($C$3,'データ'!$B$1248:$J$1248,0))</f>
        <v>4922</v>
      </c>
      <c r="E30" s="29">
        <f>IF(SUM($D$6:$D$55)=0,0,D30/SUM($D$6:$D$55))</f>
        <v>0.006459300631756872</v>
      </c>
      <c r="F30" s="45">
        <v>3.686330469176214</v>
      </c>
      <c r="G30" s="45">
        <v>17.6441203902999</v>
      </c>
      <c r="H30" s="45">
        <v>21.38052563550194</v>
      </c>
    </row>
    <row r="31" spans="2:8" x14ac:dyDescent="0.25">
      <c r="B31" s="18">
        <v>26</v>
      </c>
      <c r="C31" s="71" t="s">
        <v>356</v>
      </c>
      <c r="D31" s="24">
        <f>INDEX('データ'!$B$1249:$J$1298,26,MATCH($C$3,'データ'!$B$1248:$J$1248,0))</f>
        <v>4700</v>
      </c>
      <c r="E31" s="29">
        <f>IF(SUM($D$6:$D$55)=0,0,D31/SUM($D$6:$D$55))</f>
        <v>0.006167962813745896</v>
      </c>
      <c r="F31" s="45">
        <v>7.976579098478322</v>
      </c>
      <c r="G31" s="45">
        <v>2.484601409781266</v>
      </c>
      <c r="H31" s="45">
        <v>10.28762912847374</v>
      </c>
    </row>
    <row r="32" spans="2:8" x14ac:dyDescent="0.25">
      <c r="B32" s="18">
        <v>27</v>
      </c>
      <c r="C32" s="71" t="s">
        <v>357</v>
      </c>
      <c r="D32" s="24">
        <f>INDEX('データ'!$B$1249:$J$1298,27,MATCH($C$3,'データ'!$B$1248:$J$1248,0))</f>
        <v>4086</v>
      </c>
      <c r="E32" s="29">
        <f>IF(SUM($D$6:$D$55)=0,0,D32/SUM($D$6:$D$55))</f>
        <v>0.00536219065041824</v>
      </c>
      <c r="F32" s="45">
        <v>0.7171724588024148</v>
      </c>
      <c r="G32" s="45">
        <v>34.94966421635357</v>
      </c>
      <c r="H32" s="45">
        <v>35.69233596515111</v>
      </c>
    </row>
    <row r="33" spans="2:8" x14ac:dyDescent="0.25">
      <c r="B33" s="18">
        <v>28</v>
      </c>
      <c r="C33" s="71" t="s">
        <v>358</v>
      </c>
      <c r="D33" s="24">
        <f>INDEX('データ'!$B$1249:$J$1298,28,MATCH($C$3,'データ'!$B$1248:$J$1248,0))</f>
        <v>3658</v>
      </c>
      <c r="E33" s="29">
        <f>IF(SUM($D$6:$D$55)=0,0,D33/SUM($D$6:$D$55))</f>
        <v>0.004800512334613295</v>
      </c>
      <c r="F33" s="45">
        <v>4.344609987242573</v>
      </c>
      <c r="G33" s="45">
        <v>15.46447356062741</v>
      </c>
      <c r="H33" s="45">
        <v>19.84232647694186</v>
      </c>
    </row>
    <row r="34" spans="2:8" x14ac:dyDescent="0.25">
      <c r="B34" s="18">
        <v>29</v>
      </c>
      <c r="C34" s="71" t="s">
        <v>359</v>
      </c>
      <c r="D34" s="24">
        <f>INDEX('データ'!$B$1249:$J$1298,29,MATCH($C$3,'データ'!$B$1248:$J$1248,0))</f>
        <v>3502</v>
      </c>
      <c r="E34" s="29">
        <f>IF(SUM($D$6:$D$55)=0,0,D34/SUM($D$6:$D$55))</f>
        <v>0.0045957884624974734</v>
      </c>
      <c r="F34" s="45">
        <v>10.46405714285714</v>
      </c>
      <c r="G34" s="45">
        <v>16.45334723877632</v>
      </c>
      <c r="H34" s="45">
        <v>26.9523404889684</v>
      </c>
    </row>
    <row r="35" spans="2:8" x14ac:dyDescent="0.25">
      <c r="B35" s="18">
        <v>30</v>
      </c>
      <c r="C35" s="71" t="s">
        <v>360</v>
      </c>
      <c r="D35" s="24">
        <f>INDEX('データ'!$B$1249:$J$1298,30,MATCH($C$3,'データ'!$B$1248:$J$1248,0))</f>
        <v>3196</v>
      </c>
      <c r="E35" s="29">
        <f>IF(SUM($D$6:$D$55)=0,0,D35/SUM($D$6:$D$55))</f>
        <v>0.004194214713347209</v>
      </c>
      <c r="F35" s="45">
        <v>1.9218032957864</v>
      </c>
      <c r="G35" s="45">
        <v>24.05484438579127</v>
      </c>
      <c r="H35" s="45">
        <v>25.97416694160343</v>
      </c>
    </row>
    <row r="36" spans="2:8" x14ac:dyDescent="0.25">
      <c r="B36" s="18">
        <v>31</v>
      </c>
      <c r="C36" s="71" t="s">
        <v>361</v>
      </c>
      <c r="D36" s="24">
        <f>INDEX('データ'!$B$1249:$J$1298,31,MATCH($C$3,'データ'!$B$1248:$J$1248,0))</f>
        <v>3096</v>
      </c>
      <c r="E36" s="29">
        <f>IF(SUM($D$6:$D$55)=0,0,D36/SUM($D$6:$D$55))</f>
        <v>0.004062981461990914</v>
      </c>
      <c r="F36" s="45">
        <v>3.407978036175711</v>
      </c>
      <c r="G36" s="45">
        <v>27.00664379645512</v>
      </c>
      <c r="H36" s="45">
        <v>30.47586620926243</v>
      </c>
    </row>
    <row r="37" spans="2:8" x14ac:dyDescent="0.25">
      <c r="B37" s="18">
        <v>32</v>
      </c>
      <c r="C37" s="71" t="s">
        <v>362</v>
      </c>
      <c r="D37" s="24">
        <f>INDEX('データ'!$B$1249:$J$1298,32,MATCH($C$3,'データ'!$B$1248:$J$1248,0))</f>
        <v>3000</v>
      </c>
      <c r="E37" s="29">
        <f>IF(SUM($D$6:$D$55)=0,0,D37/SUM($D$6:$D$55))</f>
        <v>0.00393699754068887</v>
      </c>
      <c r="F37" s="45">
        <v>6.661032863849766</v>
      </c>
      <c r="G37" s="45">
        <v>2.123336710570753</v>
      </c>
      <c r="H37" s="45">
        <v>8.692204573617213</v>
      </c>
    </row>
    <row r="38" spans="2:8" x14ac:dyDescent="0.25">
      <c r="B38" s="18">
        <v>33</v>
      </c>
      <c r="C38" s="71" t="s">
        <v>363</v>
      </c>
      <c r="D38" s="24">
        <f>INDEX('データ'!$B$1249:$J$1298,33,MATCH($C$3,'データ'!$B$1248:$J$1248,0))</f>
        <v>2815</v>
      </c>
      <c r="E38" s="29">
        <f>IF(SUM($D$6:$D$55)=0,0,D38/SUM($D$6:$D$55))</f>
        <v>0.003694216025679723</v>
      </c>
      <c r="F38" s="45">
        <v>0.4240023682652457</v>
      </c>
      <c r="G38" s="45">
        <v>34.26548303229337</v>
      </c>
      <c r="H38" s="45">
        <v>34.67790777230432</v>
      </c>
    </row>
    <row r="39" spans="2:8" x14ac:dyDescent="0.25">
      <c r="B39" s="18">
        <v>34</v>
      </c>
      <c r="C39" s="71" t="s">
        <v>364</v>
      </c>
      <c r="D39" s="24">
        <f>INDEX('データ'!$B$1249:$J$1298,34,MATCH($C$3,'データ'!$B$1248:$J$1248,0))</f>
        <v>2150</v>
      </c>
      <c r="E39" s="29">
        <f>IF(SUM($D$6:$D$55)=0,0,D39/SUM($D$6:$D$55))</f>
        <v>0.0028215149041603566</v>
      </c>
      <c r="F39" s="45">
        <v>9.820235878336437</v>
      </c>
      <c r="G39" s="45">
        <v>8.805885144755576</v>
      </c>
      <c r="H39" s="45">
        <v>18.72330166270784</v>
      </c>
    </row>
    <row r="40" spans="2:8" x14ac:dyDescent="0.25">
      <c r="B40" s="18">
        <v>35</v>
      </c>
      <c r="C40" s="71" t="s">
        <v>365</v>
      </c>
      <c r="D40" s="24">
        <f>INDEX('データ'!$B$1249:$J$1298,35,MATCH($C$3,'データ'!$B$1248:$J$1248,0))</f>
        <v>1692</v>
      </c>
      <c r="E40" s="29">
        <f>IF(SUM($D$6:$D$55)=0,0,D40/SUM($D$6:$D$55))</f>
        <v>0.0022204666129485226</v>
      </c>
      <c r="F40" s="45">
        <v>3.978398345153664</v>
      </c>
      <c r="G40" s="45">
        <v>15.25417934672347</v>
      </c>
      <c r="H40" s="45">
        <v>19.28347534996957</v>
      </c>
    </row>
    <row r="41" spans="2:8" x14ac:dyDescent="0.25">
      <c r="B41" s="18">
        <v>36</v>
      </c>
      <c r="C41" s="71" t="s">
        <v>366</v>
      </c>
      <c r="D41" s="24">
        <f>INDEX('データ'!$B$1249:$J$1298,36,MATCH($C$3,'データ'!$B$1248:$J$1248,0))</f>
        <v>1632</v>
      </c>
      <c r="E41" s="29">
        <f>IF(SUM($D$6:$D$55)=0,0,D41/SUM($D$6:$D$55))</f>
        <v>0.002141726662134745</v>
      </c>
      <c r="F41" s="45">
        <v>15.48370098039216</v>
      </c>
      <c r="G41" s="45">
        <v>6.248326100433974</v>
      </c>
      <c r="H41" s="45">
        <v>21.80023765240752</v>
      </c>
    </row>
    <row r="42" spans="2:8" x14ac:dyDescent="0.25">
      <c r="B42" s="18">
        <v>37</v>
      </c>
      <c r="C42" s="71" t="s">
        <v>367</v>
      </c>
      <c r="D42" s="24">
        <f>INDEX('データ'!$B$1249:$J$1298,37,MATCH($C$3,'データ'!$B$1248:$J$1248,0))</f>
        <v>1423</v>
      </c>
      <c r="E42" s="29">
        <f>IF(SUM($D$6:$D$55)=0,0,D42/SUM($D$6:$D$55))</f>
        <v>0.0018674491668000872</v>
      </c>
      <c r="F42" s="45">
        <v>2.114624645892351</v>
      </c>
      <c r="G42" s="45">
        <v>5.800830959164292</v>
      </c>
      <c r="H42" s="45">
        <v>7.925374198146828</v>
      </c>
    </row>
    <row r="43" spans="2:8" x14ac:dyDescent="0.25">
      <c r="B43" s="18">
        <v>38</v>
      </c>
      <c r="C43" s="71" t="s">
        <v>368</v>
      </c>
      <c r="D43" s="24">
        <f>INDEX('データ'!$B$1249:$J$1298,38,MATCH($C$3,'データ'!$B$1248:$J$1248,0))</f>
        <v>1386</v>
      </c>
      <c r="E43" s="29">
        <f>IF(SUM($D$6:$D$55)=0,0,D43/SUM($D$6:$D$55))</f>
        <v>0.0018188928637982577</v>
      </c>
      <c r="F43" s="45">
        <v>17.61786145305334</v>
      </c>
      <c r="G43" s="45">
        <v>33.32101185050137</v>
      </c>
      <c r="H43" s="45">
        <v>54.10811965811966</v>
      </c>
    </row>
    <row r="44" spans="2:8" x14ac:dyDescent="0.25">
      <c r="B44" s="18">
        <v>39</v>
      </c>
      <c r="C44" s="71" t="s">
        <v>369</v>
      </c>
      <c r="D44" s="24">
        <f>INDEX('データ'!$B$1249:$J$1298,39,MATCH($C$3,'データ'!$B$1248:$J$1248,0))</f>
        <v>1301</v>
      </c>
      <c r="E44" s="29">
        <f>IF(SUM($D$6:$D$55)=0,0,D44/SUM($D$6:$D$55))</f>
        <v>0.0017073446001454064</v>
      </c>
      <c r="F44" s="45">
        <v>8.109153846153847</v>
      </c>
      <c r="G44" s="45">
        <v>17.91358622545063</v>
      </c>
      <c r="H44" s="45">
        <v>25.99872105546581</v>
      </c>
    </row>
    <row r="45" spans="2:8" x14ac:dyDescent="0.25">
      <c r="B45" s="18">
        <v>40</v>
      </c>
      <c r="C45" s="71" t="s">
        <v>370</v>
      </c>
      <c r="D45" s="24">
        <f>INDEX('データ'!$B$1249:$J$1298,40,MATCH($C$3,'データ'!$B$1248:$J$1248,0))</f>
        <v>966</v>
      </c>
      <c r="E45" s="29">
        <f>IF(SUM($D$6:$D$55)=0,0,D45/SUM($D$6:$D$55))</f>
        <v>0.001267713208101816</v>
      </c>
      <c r="F45" s="45">
        <v>1.78139209513816</v>
      </c>
      <c r="G45" s="45">
        <v>3.937009544008483</v>
      </c>
      <c r="H45" s="45">
        <v>5.522056737588652</v>
      </c>
    </row>
    <row r="46" spans="2:8" x14ac:dyDescent="0.25">
      <c r="B46" s="18">
        <v>41</v>
      </c>
      <c r="C46" s="71" t="s">
        <v>371</v>
      </c>
      <c r="D46" s="24">
        <f>INDEX('データ'!$B$1249:$J$1298,41,MATCH($C$3,'データ'!$B$1248:$J$1248,0))</f>
        <v>787</v>
      </c>
      <c r="E46" s="29">
        <f>IF(SUM($D$6:$D$55)=0,0,D46/SUM($D$6:$D$55))</f>
        <v>0.0010328056881740467</v>
      </c>
      <c r="F46" s="45">
        <v>4.462802547770701</v>
      </c>
      <c r="G46" s="45">
        <v>5.283097383097383</v>
      </c>
      <c r="H46" s="45">
        <v>9.726211926211926</v>
      </c>
    </row>
    <row r="47" spans="2:8" x14ac:dyDescent="0.25">
      <c r="B47" s="18">
        <v>42</v>
      </c>
      <c r="C47" s="71" t="s">
        <v>372</v>
      </c>
      <c r="D47" s="24">
        <f>INDEX('データ'!$B$1249:$J$1298,42,MATCH($C$3,'データ'!$B$1248:$J$1248,0))</f>
        <v>391</v>
      </c>
      <c r="E47" s="29">
        <f>IF(SUM($D$6:$D$55)=0,0,D47/SUM($D$6:$D$55))</f>
        <v>0.000513122012803116</v>
      </c>
      <c r="F47" s="45">
        <v>1.312958226768969</v>
      </c>
      <c r="G47" s="45">
        <v>49.6249373433584</v>
      </c>
      <c r="H47" s="45">
        <v>51.05595238095238</v>
      </c>
    </row>
    <row r="48" spans="2:8" x14ac:dyDescent="0.25">
      <c r="B48" s="18">
        <v>43</v>
      </c>
      <c r="C48" s="71" t="s">
        <v>373</v>
      </c>
      <c r="D48" s="24">
        <f>INDEX('データ'!$B$1249:$J$1298,43,MATCH($C$3,'データ'!$B$1248:$J$1248,0))</f>
        <v>296</v>
      </c>
      <c r="E48" s="29">
        <f>IF(SUM($D$6:$D$55)=0,0,D48/SUM($D$6:$D$55))</f>
        <v>0.0003884504240146351</v>
      </c>
      <c r="F48" s="45">
        <v>4.291255868544601</v>
      </c>
      <c r="G48" s="45">
        <v>8.435211267605634</v>
      </c>
      <c r="H48" s="45">
        <v>12.81388888888889</v>
      </c>
    </row>
    <row r="49" spans="2:8" x14ac:dyDescent="0.25">
      <c r="B49" s="18">
        <v>44</v>
      </c>
      <c r="C49" s="71" t="s">
        <v>374</v>
      </c>
      <c r="D49" s="24">
        <f>INDEX('データ'!$B$1249:$J$1298,44,MATCH($C$3,'データ'!$B$1248:$J$1248,0))</f>
        <v>214</v>
      </c>
      <c r="E49" s="29">
        <f>IF(SUM($D$6:$D$55)=0,0,D49/SUM($D$6:$D$55))</f>
        <v>0.0002808391579024727</v>
      </c>
      <c r="F49" s="45">
        <v>10.77157809983897</v>
      </c>
      <c r="G49" s="45">
        <v>3.498850574712644</v>
      </c>
      <c r="H49" s="45">
        <v>13.39688013136289</v>
      </c>
    </row>
    <row r="50" spans="2:8" x14ac:dyDescent="0.25">
      <c r="B50" s="18">
        <v>45</v>
      </c>
      <c r="C50" s="71" t="s">
        <v>375</v>
      </c>
      <c r="D50" s="24">
        <f>INDEX('データ'!$B$1249:$J$1298,45,MATCH($C$3,'データ'!$B$1248:$J$1248,0))</f>
        <v>199</v>
      </c>
      <c r="E50" s="29">
        <f>IF(SUM($D$6:$D$55)=0,0,D50/SUM($D$6:$D$55))</f>
        <v>0.00026115417019902836</v>
      </c>
      <c r="F50" s="45">
        <v>2.94463986599665</v>
      </c>
      <c r="G50" s="45">
        <v>29.89348484848485</v>
      </c>
      <c r="H50" s="45">
        <v>32.73757575757575</v>
      </c>
    </row>
    <row r="51" spans="2:8" x14ac:dyDescent="0.25">
      <c r="B51" s="18">
        <v>46</v>
      </c>
      <c r="C51" s="71" t="s">
        <v>376</v>
      </c>
      <c r="D51" s="24">
        <f>INDEX('データ'!$B$1249:$J$1298,46,MATCH($C$3,'データ'!$B$1248:$J$1248,0))</f>
        <v>136</v>
      </c>
      <c r="E51" s="29">
        <f>IF(SUM($D$6:$D$55)=0,0,D51/SUM($D$6:$D$55))</f>
        <v>0.00017847722184456208</v>
      </c>
      <c r="F51" s="45">
        <v>5.496587926509187</v>
      </c>
      <c r="G51" s="45">
        <v>20.37391304347826</v>
      </c>
      <c r="H51" s="45">
        <v>25.14157509157509</v>
      </c>
    </row>
    <row r="52" spans="2:8" x14ac:dyDescent="0.25">
      <c r="B52" s="18">
        <v>47</v>
      </c>
      <c r="C52" s="71" t="s">
        <v>377</v>
      </c>
      <c r="D52" s="24">
        <f>INDEX('データ'!$B$1249:$J$1298,47,MATCH($C$3,'データ'!$B$1248:$J$1248,0))</f>
        <v>111</v>
      </c>
      <c r="E52" s="29">
        <f>IF(SUM($D$6:$D$55)=0,0,D52/SUM($D$6:$D$55))</f>
        <v>0.00014566890900548818</v>
      </c>
      <c r="F52" s="45">
        <v>2.722222222222222</v>
      </c>
      <c r="G52" s="45">
        <v>5.577254901960784</v>
      </c>
      <c r="H52" s="45">
        <v>7.14558232931727</v>
      </c>
    </row>
    <row r="53" spans="2:8" x14ac:dyDescent="0.25">
      <c r="B53" s="18">
        <v>48</v>
      </c>
      <c r="C53" s="71" t="s">
        <v>378</v>
      </c>
      <c r="D53" s="24">
        <f>INDEX('データ'!$B$1249:$J$1298,48,MATCH($C$3,'データ'!$B$1248:$J$1248,0))</f>
        <v>109</v>
      </c>
      <c r="E53" s="29">
        <f>IF(SUM($D$6:$D$55)=0,0,D53/SUM($D$6:$D$55))</f>
        <v>0.00014304424397836227</v>
      </c>
      <c r="F53" s="45">
        <v>5.277508090614887</v>
      </c>
      <c r="G53" s="45">
        <v>4.254530744336569</v>
      </c>
      <c r="H53" s="45">
        <v>9.426633986928104</v>
      </c>
    </row>
    <row r="54" spans="2:8" x14ac:dyDescent="0.25">
      <c r="B54" s="18">
        <v>49</v>
      </c>
      <c r="C54" s="71" t="s">
        <v>379</v>
      </c>
      <c r="D54" s="24">
        <f>INDEX('データ'!$B$1249:$J$1298,49,MATCH($C$3,'データ'!$B$1248:$J$1248,0))</f>
        <v>13</v>
      </c>
      <c r="E54" s="29">
        <f>IF(SUM($D$6:$D$55)=0,0,D54/SUM($D$6:$D$55))</f>
        <v>1.7060322676318434e-05</v>
      </c>
      <c r="F54" s="45">
        <v>53.8625</v>
      </c>
      <c r="G54" s="45">
        <v>0.8200000000000001</v>
      </c>
      <c r="H54" s="45">
        <v>54.325</v>
      </c>
    </row>
    <row r="55" spans="2:8" x14ac:dyDescent="0.25">
      <c r="B55" s="18">
        <v>50</v>
      </c>
      <c r="C55" s="71" t="s">
        <v>380</v>
      </c>
      <c r="D55" s="24">
        <f>INDEX('データ'!$B$1249:$J$1298,50,MATCH($C$3,'データ'!$B$1248:$J$1248,0))</f>
        <v>1</v>
      </c>
      <c r="E55" s="29">
        <f>IF(SUM($D$6:$D$55)=0,0,D55/SUM($D$6:$D$55))</f>
        <v>1.3123325135629565e-06</v>
      </c>
      <c r="F55" s="45">
        <v>0</v>
      </c>
      <c r="G55" s="45">
        <v>0</v>
      </c>
      <c r="H55" s="45">
        <v>0</v>
      </c>
    </row>
  </sheetData>
  <mergeCells count="1">
    <mergeCell ref="B1:Q1"/>
  </mergeCells>
  <conditionalFormatting sqref="D6:D55">
    <cfRule type="dataBar" priority="1">
      <dataBar>
        <cfvo type="min"/>
        <cfvo type="max"/>
        <color rgb="FF9DB9D5"/>
      </dataBar>
      <extLst>
        <ext xmlns:x14="http://schemas.microsoft.com/office/spreadsheetml/2009/9/main" uri="{B025F937-C7B1-47D3-B67F-A62EFF666E3E}">
          <x14:id>{DA7ABA51-AAAA-BBBB-000B-000000000001}</x14:id>
        </ext>
      </extLst>
    </cfRule>
  </conditionalFormatting>
  <conditionalFormatting sqref="F6:H55">
    <cfRule type="colorScale" priority="2">
      <colorScale>
        <cfvo type="min" val="0"/>
        <cfvo type="percentile" val="50"/>
        <cfvo type="max" val="0"/>
        <color rgb="FFFFFFFF"/>
        <color rgb="FFF6EAD3"/>
        <color rgb="FFE0B36B"/>
      </colorScale>
    </cfRule>
  </conditionalFormatting>
  <dataValidations count="1">
    <dataValidation type="list" allowBlank="1" showInputMessage="1" showErrorMessage="1" errorTitle="入力エラー" error="リストから選択してください。" sqref="C3">
      <formula1>'計算'!$A$300:$A$308</formula1>
    </dataValidation>
  </dataValidations>
  <pageMargins left="0.7" right="0.7" top="0.75" bottom="0.75" header="0.3" footer="0.3"/>
  <pageSetup paperSize="9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B-000000000001}">
            <x14:dataBar minLength="0" maxLength="100" border="1" gradient="0" negativeBarBorderColorSameAsPositive="0">
              <x14:cfvo type="autoMin"/>
              <x14:cfvo type="autoMax"/>
              <x14:borderColor rgb="FF9DB9D5"/>
              <x14:negativeFillColor rgb="FFFF0000"/>
              <x14:negativeBorderColor rgb="FFFF0000"/>
              <x14:axisColor rgb="FF000000"/>
            </x14:dataBar>
          </x14:cfRule>
          <xm:sqref>D6:D55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AA7B8"/>
  </sheetPr>
  <dimension ref="A1:BH1298"/>
  <sheetViews>
    <sheetView showGridLines="0" workbookViewId="0">
      <pane xSplit="1" topLeftCell="B1" activePane="topRight" state="frozen"/>
      <selection pane="topRight"/>
    </sheetView>
  </sheetViews>
  <sheetFormatPr defaultRowHeight="15"/>
  <cols>
    <col min="1" max="1" width="16.7109375" customWidth="1"/>
    <col min="2" max="3" width="9.7109375" customWidth="1"/>
    <col min="4" max="62" width="7.28515625" customWidth="1"/>
  </cols>
  <sheetData>
    <row r="1" spans="1:60">
      <c r="A1" s="3" t="s">
        <v>0</v>
      </c>
    </row>
    <row r="2" spans="1:60">
      <c r="A2" s="72" t="s">
        <v>1</v>
      </c>
    </row>
    <row r="4" spans="1:60">
      <c r="A4" s="6" t="s">
        <v>2</v>
      </c>
    </row>
    <row r="5" spans="1:60">
      <c r="A5" s="22" t="s">
        <v>3</v>
      </c>
      <c r="B5" s="22" t="s">
        <v>4</v>
      </c>
      <c r="C5" s="22" t="s">
        <v>5</v>
      </c>
      <c r="D5" s="22" t="s">
        <v>6</v>
      </c>
      <c r="E5" s="22" t="s">
        <v>7</v>
      </c>
      <c r="F5" s="22" t="s">
        <v>8</v>
      </c>
      <c r="G5" s="22" t="s">
        <v>9</v>
      </c>
      <c r="H5" s="22" t="s">
        <v>10</v>
      </c>
      <c r="I5" s="22" t="s">
        <v>11</v>
      </c>
      <c r="J5" s="22" t="s">
        <v>12</v>
      </c>
      <c r="K5" s="22" t="s">
        <v>13</v>
      </c>
      <c r="L5" s="22" t="s">
        <v>14</v>
      </c>
      <c r="M5" s="22" t="s">
        <v>15</v>
      </c>
      <c r="N5" s="22" t="s">
        <v>16</v>
      </c>
      <c r="O5" s="22" t="s">
        <v>17</v>
      </c>
      <c r="P5" s="22" t="s">
        <v>18</v>
      </c>
      <c r="Q5" s="22" t="s">
        <v>19</v>
      </c>
      <c r="R5" s="22" t="s">
        <v>20</v>
      </c>
      <c r="S5" s="22" t="s">
        <v>21</v>
      </c>
      <c r="T5" s="22" t="s">
        <v>22</v>
      </c>
      <c r="U5" s="22" t="s">
        <v>23</v>
      </c>
      <c r="V5" s="22" t="s">
        <v>24</v>
      </c>
      <c r="W5" s="22" t="s">
        <v>25</v>
      </c>
      <c r="X5" s="22" t="s">
        <v>26</v>
      </c>
      <c r="Y5" s="22" t="s">
        <v>27</v>
      </c>
      <c r="Z5" s="22" t="s">
        <v>28</v>
      </c>
      <c r="AA5" s="22" t="s">
        <v>29</v>
      </c>
      <c r="AB5" s="22" t="s">
        <v>30</v>
      </c>
      <c r="AC5" s="22" t="s">
        <v>31</v>
      </c>
      <c r="AD5" s="22" t="s">
        <v>32</v>
      </c>
      <c r="AE5" s="22" t="s">
        <v>33</v>
      </c>
      <c r="AF5" s="22" t="s">
        <v>34</v>
      </c>
      <c r="AG5" s="22" t="s">
        <v>35</v>
      </c>
      <c r="AH5" s="22" t="s">
        <v>36</v>
      </c>
      <c r="AI5" s="22" t="s">
        <v>37</v>
      </c>
      <c r="AJ5" s="22" t="s">
        <v>38</v>
      </c>
      <c r="AK5" s="22" t="s">
        <v>39</v>
      </c>
      <c r="AL5" s="22" t="s">
        <v>40</v>
      </c>
      <c r="AM5" s="22" t="s">
        <v>41</v>
      </c>
      <c r="AN5" s="22" t="s">
        <v>42</v>
      </c>
      <c r="AO5" s="22" t="s">
        <v>43</v>
      </c>
      <c r="AP5" s="22" t="s">
        <v>44</v>
      </c>
      <c r="AQ5" s="22" t="s">
        <v>45</v>
      </c>
      <c r="AR5" s="22" t="s">
        <v>46</v>
      </c>
      <c r="AS5" s="22" t="s">
        <v>47</v>
      </c>
      <c r="AT5" s="22" t="s">
        <v>48</v>
      </c>
      <c r="AU5" s="22" t="s">
        <v>49</v>
      </c>
      <c r="AV5" s="22" t="s">
        <v>50</v>
      </c>
      <c r="AW5" s="22" t="s">
        <v>51</v>
      </c>
      <c r="AX5" s="22" t="s">
        <v>52</v>
      </c>
      <c r="AY5" s="22" t="s">
        <v>53</v>
      </c>
      <c r="AZ5" s="22" t="s">
        <v>54</v>
      </c>
      <c r="BA5" s="22" t="s">
        <v>55</v>
      </c>
      <c r="BB5" s="22" t="s">
        <v>56</v>
      </c>
      <c r="BC5" s="22" t="s">
        <v>57</v>
      </c>
      <c r="BD5" s="22" t="s">
        <v>58</v>
      </c>
      <c r="BE5" s="22" t="s">
        <v>59</v>
      </c>
      <c r="BF5" s="22" t="s">
        <v>60</v>
      </c>
      <c r="BG5" s="22" t="s">
        <v>61</v>
      </c>
      <c r="BH5" s="22" t="s">
        <v>62</v>
      </c>
    </row>
    <row r="6" spans="1:60">
      <c r="A6" s="11" t="s">
        <v>63</v>
      </c>
      <c r="D6" s="11">
        <v>420</v>
      </c>
      <c r="E6" s="11">
        <v>435</v>
      </c>
      <c r="F6" s="11">
        <v>450</v>
      </c>
      <c r="G6" s="11">
        <v>465</v>
      </c>
      <c r="H6" s="11">
        <v>480</v>
      </c>
      <c r="I6" s="11">
        <v>495</v>
      </c>
      <c r="J6" s="11">
        <v>510</v>
      </c>
      <c r="K6" s="11">
        <v>525</v>
      </c>
      <c r="L6" s="11">
        <v>540</v>
      </c>
      <c r="M6" s="11">
        <v>555</v>
      </c>
      <c r="N6" s="11">
        <v>570</v>
      </c>
      <c r="O6" s="11">
        <v>585</v>
      </c>
      <c r="P6" s="11">
        <v>600</v>
      </c>
      <c r="Q6" s="11">
        <v>615</v>
      </c>
      <c r="R6" s="11">
        <v>630</v>
      </c>
      <c r="S6" s="11">
        <v>645</v>
      </c>
      <c r="T6" s="11">
        <v>660</v>
      </c>
      <c r="U6" s="11">
        <v>675</v>
      </c>
      <c r="V6" s="11">
        <v>690</v>
      </c>
      <c r="W6" s="11">
        <v>705</v>
      </c>
      <c r="X6" s="11">
        <v>720</v>
      </c>
      <c r="Y6" s="11">
        <v>735</v>
      </c>
      <c r="Z6" s="11">
        <v>750</v>
      </c>
      <c r="AA6" s="11">
        <v>765</v>
      </c>
      <c r="AB6" s="11">
        <v>780</v>
      </c>
      <c r="AC6" s="11">
        <v>795</v>
      </c>
      <c r="AD6" s="11">
        <v>810</v>
      </c>
      <c r="AE6" s="11">
        <v>825</v>
      </c>
      <c r="AF6" s="11">
        <v>840</v>
      </c>
      <c r="AG6" s="11">
        <v>855</v>
      </c>
      <c r="AH6" s="11">
        <v>870</v>
      </c>
      <c r="AI6" s="11">
        <v>885</v>
      </c>
      <c r="AJ6" s="11">
        <v>900</v>
      </c>
      <c r="AK6" s="11">
        <v>915</v>
      </c>
      <c r="AL6" s="11">
        <v>930</v>
      </c>
      <c r="AM6" s="11">
        <v>945</v>
      </c>
      <c r="AN6" s="11">
        <v>960</v>
      </c>
      <c r="AO6" s="11">
        <v>975</v>
      </c>
      <c r="AP6" s="11">
        <v>990</v>
      </c>
      <c r="AQ6" s="11">
        <v>1005</v>
      </c>
      <c r="AR6" s="11">
        <v>1020</v>
      </c>
      <c r="AS6" s="11">
        <v>1035</v>
      </c>
      <c r="AT6" s="11">
        <v>1050</v>
      </c>
      <c r="AU6" s="11">
        <v>1065</v>
      </c>
      <c r="AV6" s="11">
        <v>1080</v>
      </c>
      <c r="AW6" s="11">
        <v>1095</v>
      </c>
      <c r="AX6" s="11">
        <v>1110</v>
      </c>
      <c r="AY6" s="11">
        <v>1125</v>
      </c>
      <c r="AZ6" s="11">
        <v>1140</v>
      </c>
      <c r="BA6" s="11">
        <v>1155</v>
      </c>
      <c r="BB6" s="11">
        <v>1170</v>
      </c>
      <c r="BC6" s="11">
        <v>1185</v>
      </c>
      <c r="BD6" s="11">
        <v>1200</v>
      </c>
      <c r="BE6" s="11">
        <v>1215</v>
      </c>
      <c r="BF6" s="11">
        <v>1230</v>
      </c>
      <c r="BG6" s="11">
        <v>1245</v>
      </c>
    </row>
    <row r="7" spans="1:60">
      <c r="A7" s="18" t="s">
        <v>64</v>
      </c>
      <c r="B7" s="18" t="s">
        <v>65</v>
      </c>
      <c r="C7" s="18" t="s">
        <v>66</v>
      </c>
      <c r="D7" s="24">
        <v>0</v>
      </c>
      <c r="E7" s="24">
        <v>0</v>
      </c>
      <c r="F7" s="24">
        <v>3</v>
      </c>
      <c r="G7" s="24">
        <v>183</v>
      </c>
      <c r="H7" s="24">
        <v>1610</v>
      </c>
      <c r="I7" s="24">
        <v>6985</v>
      </c>
      <c r="J7" s="24">
        <v>15366</v>
      </c>
      <c r="K7" s="24">
        <v>16427</v>
      </c>
      <c r="L7" s="24">
        <v>18795</v>
      </c>
      <c r="M7" s="24">
        <v>21042</v>
      </c>
      <c r="N7" s="24">
        <v>22530</v>
      </c>
      <c r="O7" s="24">
        <v>23911</v>
      </c>
      <c r="P7" s="24">
        <v>25200</v>
      </c>
      <c r="Q7" s="24">
        <v>26206</v>
      </c>
      <c r="R7" s="24">
        <v>26217</v>
      </c>
      <c r="S7" s="24">
        <v>26186</v>
      </c>
      <c r="T7" s="24">
        <v>25985</v>
      </c>
      <c r="U7" s="24">
        <v>24776</v>
      </c>
      <c r="V7" s="24">
        <v>23366</v>
      </c>
      <c r="W7" s="24">
        <v>21302</v>
      </c>
      <c r="X7" s="24">
        <v>20028</v>
      </c>
      <c r="Y7" s="24">
        <v>19497</v>
      </c>
      <c r="Z7" s="24">
        <v>19397</v>
      </c>
      <c r="AA7" s="24">
        <v>19438</v>
      </c>
      <c r="AB7" s="24">
        <v>20947</v>
      </c>
      <c r="AC7" s="24">
        <v>22841</v>
      </c>
      <c r="AD7" s="24">
        <v>23475</v>
      </c>
      <c r="AE7" s="24">
        <v>24330</v>
      </c>
      <c r="AF7" s="24">
        <v>24146</v>
      </c>
      <c r="AG7" s="24">
        <v>24119</v>
      </c>
      <c r="AH7" s="24">
        <v>23771</v>
      </c>
      <c r="AI7" s="24">
        <v>22927</v>
      </c>
      <c r="AJ7" s="24">
        <v>22391</v>
      </c>
      <c r="AK7" s="24">
        <v>21913</v>
      </c>
      <c r="AL7" s="24">
        <v>21830</v>
      </c>
      <c r="AM7" s="24">
        <v>20933</v>
      </c>
      <c r="AN7" s="24">
        <v>20714</v>
      </c>
      <c r="AO7" s="24">
        <v>20176</v>
      </c>
      <c r="AP7" s="24">
        <v>18403</v>
      </c>
      <c r="AQ7" s="24">
        <v>14050</v>
      </c>
      <c r="AR7" s="24">
        <v>7535</v>
      </c>
      <c r="AS7" s="24">
        <v>1794</v>
      </c>
      <c r="AT7" s="24">
        <v>432</v>
      </c>
      <c r="AU7" s="24">
        <v>209</v>
      </c>
      <c r="AV7" s="24">
        <v>135</v>
      </c>
      <c r="AW7" s="24">
        <v>139</v>
      </c>
      <c r="AX7" s="24">
        <v>124</v>
      </c>
      <c r="AY7" s="24">
        <v>79</v>
      </c>
      <c r="AZ7" s="24">
        <v>77</v>
      </c>
      <c r="BA7" s="24">
        <v>40</v>
      </c>
      <c r="BB7" s="24">
        <v>14</v>
      </c>
      <c r="BC7" s="24">
        <v>5</v>
      </c>
      <c r="BD7" s="24">
        <v>3</v>
      </c>
      <c r="BE7" s="24">
        <v>0</v>
      </c>
      <c r="BF7" s="24">
        <v>0</v>
      </c>
      <c r="BG7" s="24">
        <v>0</v>
      </c>
      <c r="BH7" s="24">
        <f>SUM(D7:BG7)</f>
        <v>762002</v>
      </c>
    </row>
    <row r="8" spans="1:60">
      <c r="A8" s="18" t="s">
        <v>67</v>
      </c>
      <c r="B8" s="18" t="s">
        <v>65</v>
      </c>
      <c r="C8" s="18" t="s">
        <v>68</v>
      </c>
      <c r="D8" s="24">
        <v>0</v>
      </c>
      <c r="E8" s="24">
        <v>0</v>
      </c>
      <c r="F8" s="24">
        <v>0</v>
      </c>
      <c r="G8" s="24">
        <v>23</v>
      </c>
      <c r="H8" s="24">
        <v>186</v>
      </c>
      <c r="I8" s="24">
        <v>801</v>
      </c>
      <c r="J8" s="24">
        <v>1479</v>
      </c>
      <c r="K8" s="24">
        <v>1695</v>
      </c>
      <c r="L8" s="24">
        <v>1817</v>
      </c>
      <c r="M8" s="24">
        <v>2028</v>
      </c>
      <c r="N8" s="24">
        <v>2138</v>
      </c>
      <c r="O8" s="24">
        <v>2188</v>
      </c>
      <c r="P8" s="24">
        <v>2244</v>
      </c>
      <c r="Q8" s="24">
        <v>2363</v>
      </c>
      <c r="R8" s="24">
        <v>2401</v>
      </c>
      <c r="S8" s="24">
        <v>2377</v>
      </c>
      <c r="T8" s="24">
        <v>2358</v>
      </c>
      <c r="U8" s="24">
        <v>2198</v>
      </c>
      <c r="V8" s="24">
        <v>1991</v>
      </c>
      <c r="W8" s="24">
        <v>1931</v>
      </c>
      <c r="X8" s="24">
        <v>1777</v>
      </c>
      <c r="Y8" s="24">
        <v>1745</v>
      </c>
      <c r="Z8" s="24">
        <v>1789</v>
      </c>
      <c r="AA8" s="24">
        <v>1769</v>
      </c>
      <c r="AB8" s="24">
        <v>1891</v>
      </c>
      <c r="AC8" s="24">
        <v>2090</v>
      </c>
      <c r="AD8" s="24">
        <v>2166</v>
      </c>
      <c r="AE8" s="24">
        <v>2188</v>
      </c>
      <c r="AF8" s="24">
        <v>2210</v>
      </c>
      <c r="AG8" s="24">
        <v>2238</v>
      </c>
      <c r="AH8" s="24">
        <v>2162</v>
      </c>
      <c r="AI8" s="24">
        <v>2093</v>
      </c>
      <c r="AJ8" s="24">
        <v>1960</v>
      </c>
      <c r="AK8" s="24">
        <v>1981</v>
      </c>
      <c r="AL8" s="24">
        <v>1930</v>
      </c>
      <c r="AM8" s="24">
        <v>1809</v>
      </c>
      <c r="AN8" s="24">
        <v>1815</v>
      </c>
      <c r="AO8" s="24">
        <v>1782</v>
      </c>
      <c r="AP8" s="24">
        <v>1622</v>
      </c>
      <c r="AQ8" s="24">
        <v>1310</v>
      </c>
      <c r="AR8" s="24">
        <v>755</v>
      </c>
      <c r="AS8" s="24">
        <v>257</v>
      </c>
      <c r="AT8" s="24">
        <v>52</v>
      </c>
      <c r="AU8" s="24">
        <v>35</v>
      </c>
      <c r="AV8" s="24">
        <v>22</v>
      </c>
      <c r="AW8" s="24">
        <v>23</v>
      </c>
      <c r="AX8" s="24">
        <v>11</v>
      </c>
      <c r="AY8" s="24">
        <v>7</v>
      </c>
      <c r="AZ8" s="24">
        <v>1</v>
      </c>
      <c r="BA8" s="24">
        <v>0</v>
      </c>
      <c r="BB8" s="24">
        <v>0</v>
      </c>
      <c r="BC8" s="24">
        <v>0</v>
      </c>
      <c r="BD8" s="24">
        <v>0</v>
      </c>
      <c r="BE8" s="24">
        <v>0</v>
      </c>
      <c r="BF8" s="24">
        <v>0</v>
      </c>
      <c r="BG8" s="24">
        <v>0</v>
      </c>
      <c r="BH8" s="24">
        <f>SUM(D8:BG8)</f>
        <v>69708</v>
      </c>
    </row>
    <row r="9" spans="1:60">
      <c r="A9" s="18" t="s">
        <v>69</v>
      </c>
      <c r="B9" s="18" t="s">
        <v>65</v>
      </c>
      <c r="C9" s="18" t="s">
        <v>70</v>
      </c>
      <c r="D9" s="24">
        <v>0</v>
      </c>
      <c r="E9" s="24">
        <v>0</v>
      </c>
      <c r="F9" s="24">
        <v>2</v>
      </c>
      <c r="G9" s="24">
        <v>18</v>
      </c>
      <c r="H9" s="24">
        <v>169</v>
      </c>
      <c r="I9" s="24">
        <v>645</v>
      </c>
      <c r="J9" s="24">
        <v>1373</v>
      </c>
      <c r="K9" s="24">
        <v>1502</v>
      </c>
      <c r="L9" s="24">
        <v>1729</v>
      </c>
      <c r="M9" s="24">
        <v>1902</v>
      </c>
      <c r="N9" s="24">
        <v>2014</v>
      </c>
      <c r="O9" s="24">
        <v>2057</v>
      </c>
      <c r="P9" s="24">
        <v>2164</v>
      </c>
      <c r="Q9" s="24">
        <v>2245</v>
      </c>
      <c r="R9" s="24">
        <v>2279</v>
      </c>
      <c r="S9" s="24">
        <v>2224</v>
      </c>
      <c r="T9" s="24">
        <v>2126</v>
      </c>
      <c r="U9" s="24">
        <v>2017</v>
      </c>
      <c r="V9" s="24">
        <v>1928</v>
      </c>
      <c r="W9" s="24">
        <v>1810</v>
      </c>
      <c r="X9" s="24">
        <v>1650</v>
      </c>
      <c r="Y9" s="24">
        <v>1625</v>
      </c>
      <c r="Z9" s="24">
        <v>1546</v>
      </c>
      <c r="AA9" s="24">
        <v>1569</v>
      </c>
      <c r="AB9" s="24">
        <v>1698</v>
      </c>
      <c r="AC9" s="24">
        <v>1773</v>
      </c>
      <c r="AD9" s="24">
        <v>1892</v>
      </c>
      <c r="AE9" s="24">
        <v>1993</v>
      </c>
      <c r="AF9" s="24">
        <v>2015</v>
      </c>
      <c r="AG9" s="24">
        <v>1970</v>
      </c>
      <c r="AH9" s="24">
        <v>1879</v>
      </c>
      <c r="AI9" s="24">
        <v>1862</v>
      </c>
      <c r="AJ9" s="24">
        <v>1732</v>
      </c>
      <c r="AK9" s="24">
        <v>1743</v>
      </c>
      <c r="AL9" s="24">
        <v>1665</v>
      </c>
      <c r="AM9" s="24">
        <v>1648</v>
      </c>
      <c r="AN9" s="24">
        <v>1644</v>
      </c>
      <c r="AO9" s="24">
        <v>1709</v>
      </c>
      <c r="AP9" s="24">
        <v>1414</v>
      </c>
      <c r="AQ9" s="24">
        <v>1160</v>
      </c>
      <c r="AR9" s="24">
        <v>647</v>
      </c>
      <c r="AS9" s="24">
        <v>200</v>
      </c>
      <c r="AT9" s="24">
        <v>36</v>
      </c>
      <c r="AU9" s="24">
        <v>7</v>
      </c>
      <c r="AV9" s="24">
        <v>3</v>
      </c>
      <c r="AW9" s="24">
        <v>3</v>
      </c>
      <c r="AX9" s="24">
        <v>0</v>
      </c>
      <c r="AY9" s="24">
        <v>4</v>
      </c>
      <c r="AZ9" s="24">
        <v>0</v>
      </c>
      <c r="BA9" s="24">
        <v>0</v>
      </c>
      <c r="BB9" s="24">
        <v>0</v>
      </c>
      <c r="BC9" s="24">
        <v>0</v>
      </c>
      <c r="BD9" s="24">
        <v>0</v>
      </c>
      <c r="BE9" s="24">
        <v>0</v>
      </c>
      <c r="BF9" s="24">
        <v>0</v>
      </c>
      <c r="BG9" s="24">
        <v>0</v>
      </c>
      <c r="BH9" s="24">
        <f>SUM(D9:BG9)</f>
        <v>63291</v>
      </c>
    </row>
    <row r="10" spans="1:60">
      <c r="A10" s="18" t="s">
        <v>71</v>
      </c>
      <c r="B10" s="18" t="s">
        <v>65</v>
      </c>
      <c r="C10" s="18" t="s">
        <v>72</v>
      </c>
      <c r="D10" s="24">
        <v>0</v>
      </c>
      <c r="E10" s="24">
        <v>0</v>
      </c>
      <c r="F10" s="24">
        <v>1</v>
      </c>
      <c r="G10" s="24">
        <v>14</v>
      </c>
      <c r="H10" s="24">
        <v>150</v>
      </c>
      <c r="I10" s="24">
        <v>591</v>
      </c>
      <c r="J10" s="24">
        <v>1256</v>
      </c>
      <c r="K10" s="24">
        <v>1482</v>
      </c>
      <c r="L10" s="24">
        <v>1665</v>
      </c>
      <c r="M10" s="24">
        <v>1836</v>
      </c>
      <c r="N10" s="24">
        <v>1926</v>
      </c>
      <c r="O10" s="24">
        <v>2166</v>
      </c>
      <c r="P10" s="24">
        <v>2198</v>
      </c>
      <c r="Q10" s="24">
        <v>2244</v>
      </c>
      <c r="R10" s="24">
        <v>2247</v>
      </c>
      <c r="S10" s="24">
        <v>2193</v>
      </c>
      <c r="T10" s="24">
        <v>2225</v>
      </c>
      <c r="U10" s="24">
        <v>2175</v>
      </c>
      <c r="V10" s="24">
        <v>1961</v>
      </c>
      <c r="W10" s="24">
        <v>1819</v>
      </c>
      <c r="X10" s="24">
        <v>1679</v>
      </c>
      <c r="Y10" s="24">
        <v>1609</v>
      </c>
      <c r="Z10" s="24">
        <v>1707</v>
      </c>
      <c r="AA10" s="24">
        <v>1683</v>
      </c>
      <c r="AB10" s="24">
        <v>1816</v>
      </c>
      <c r="AC10" s="24">
        <v>1944</v>
      </c>
      <c r="AD10" s="24">
        <v>2031</v>
      </c>
      <c r="AE10" s="24">
        <v>2073</v>
      </c>
      <c r="AF10" s="24">
        <v>2034</v>
      </c>
      <c r="AG10" s="24">
        <v>1977</v>
      </c>
      <c r="AH10" s="24">
        <v>1979</v>
      </c>
      <c r="AI10" s="24">
        <v>1960</v>
      </c>
      <c r="AJ10" s="24">
        <v>1818</v>
      </c>
      <c r="AK10" s="24">
        <v>1766</v>
      </c>
      <c r="AL10" s="24">
        <v>1888</v>
      </c>
      <c r="AM10" s="24">
        <v>1677</v>
      </c>
      <c r="AN10" s="24">
        <v>1832</v>
      </c>
      <c r="AO10" s="24">
        <v>1711</v>
      </c>
      <c r="AP10" s="24">
        <v>1558</v>
      </c>
      <c r="AQ10" s="24">
        <v>1229</v>
      </c>
      <c r="AR10" s="24">
        <v>660</v>
      </c>
      <c r="AS10" s="24">
        <v>198</v>
      </c>
      <c r="AT10" s="24">
        <v>32</v>
      </c>
      <c r="AU10" s="24">
        <v>8</v>
      </c>
      <c r="AV10" s="24">
        <v>4</v>
      </c>
      <c r="AW10" s="24">
        <v>0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v>0</v>
      </c>
      <c r="BD10" s="24">
        <v>0</v>
      </c>
      <c r="BE10" s="24">
        <v>0</v>
      </c>
      <c r="BF10" s="24">
        <v>0</v>
      </c>
      <c r="BG10" s="24">
        <v>0</v>
      </c>
      <c r="BH10" s="24">
        <f>SUM(D10:BG10)</f>
        <v>65022</v>
      </c>
    </row>
    <row r="11" spans="1:60">
      <c r="A11" s="18" t="s">
        <v>73</v>
      </c>
      <c r="B11" s="18" t="s">
        <v>65</v>
      </c>
      <c r="C11" s="18" t="s">
        <v>74</v>
      </c>
      <c r="D11" s="24">
        <v>0</v>
      </c>
      <c r="E11" s="24">
        <v>0</v>
      </c>
      <c r="F11" s="24">
        <v>0</v>
      </c>
      <c r="G11" s="24">
        <v>38</v>
      </c>
      <c r="H11" s="24">
        <v>217</v>
      </c>
      <c r="I11" s="24">
        <v>766</v>
      </c>
      <c r="J11" s="24">
        <v>1541</v>
      </c>
      <c r="K11" s="24">
        <v>1666</v>
      </c>
      <c r="L11" s="24">
        <v>1845</v>
      </c>
      <c r="M11" s="24">
        <v>2093</v>
      </c>
      <c r="N11" s="24">
        <v>2284</v>
      </c>
      <c r="O11" s="24">
        <v>2265</v>
      </c>
      <c r="P11" s="24">
        <v>2378</v>
      </c>
      <c r="Q11" s="24">
        <v>2518</v>
      </c>
      <c r="R11" s="24">
        <v>2338</v>
      </c>
      <c r="S11" s="24">
        <v>2433</v>
      </c>
      <c r="T11" s="24">
        <v>2295</v>
      </c>
      <c r="U11" s="24">
        <v>2264</v>
      </c>
      <c r="V11" s="24">
        <v>2088</v>
      </c>
      <c r="W11" s="24">
        <v>1857</v>
      </c>
      <c r="X11" s="24">
        <v>1725</v>
      </c>
      <c r="Y11" s="24">
        <v>1697</v>
      </c>
      <c r="Z11" s="24">
        <v>1655</v>
      </c>
      <c r="AA11" s="24">
        <v>1687</v>
      </c>
      <c r="AB11" s="24">
        <v>1712</v>
      </c>
      <c r="AC11" s="24">
        <v>1960</v>
      </c>
      <c r="AD11" s="24">
        <v>1982</v>
      </c>
      <c r="AE11" s="24">
        <v>2137</v>
      </c>
      <c r="AF11" s="24">
        <v>2098</v>
      </c>
      <c r="AG11" s="24">
        <v>2145</v>
      </c>
      <c r="AH11" s="24">
        <v>1992</v>
      </c>
      <c r="AI11" s="24">
        <v>1968</v>
      </c>
      <c r="AJ11" s="24">
        <v>1859</v>
      </c>
      <c r="AK11" s="24">
        <v>1856</v>
      </c>
      <c r="AL11" s="24">
        <v>1842</v>
      </c>
      <c r="AM11" s="24">
        <v>1824</v>
      </c>
      <c r="AN11" s="24">
        <v>1743</v>
      </c>
      <c r="AO11" s="24">
        <v>1775</v>
      </c>
      <c r="AP11" s="24">
        <v>1573</v>
      </c>
      <c r="AQ11" s="24">
        <v>1361</v>
      </c>
      <c r="AR11" s="24">
        <v>719</v>
      </c>
      <c r="AS11" s="24">
        <v>217</v>
      </c>
      <c r="AT11" s="24">
        <v>44</v>
      </c>
      <c r="AU11" s="24">
        <v>9</v>
      </c>
      <c r="AV11" s="24">
        <v>3</v>
      </c>
      <c r="AW11" s="24">
        <v>0</v>
      </c>
      <c r="AX11" s="24">
        <v>0</v>
      </c>
      <c r="AY11" s="24">
        <v>0</v>
      </c>
      <c r="AZ11" s="24">
        <v>0</v>
      </c>
      <c r="BA11" s="24">
        <v>0</v>
      </c>
      <c r="BB11" s="24">
        <v>0</v>
      </c>
      <c r="BC11" s="24">
        <v>0</v>
      </c>
      <c r="BD11" s="24">
        <v>0</v>
      </c>
      <c r="BE11" s="24">
        <v>0</v>
      </c>
      <c r="BF11" s="24">
        <v>0</v>
      </c>
      <c r="BG11" s="24">
        <v>0</v>
      </c>
      <c r="BH11" s="24">
        <f>SUM(D11:BG11)</f>
        <v>68469</v>
      </c>
    </row>
    <row r="12" spans="1:60">
      <c r="A12" s="18" t="s">
        <v>75</v>
      </c>
      <c r="B12" s="18" t="s">
        <v>65</v>
      </c>
      <c r="C12" s="18" t="s">
        <v>76</v>
      </c>
      <c r="D12" s="24">
        <v>0</v>
      </c>
      <c r="E12" s="24">
        <v>0</v>
      </c>
      <c r="F12" s="24">
        <v>0</v>
      </c>
      <c r="G12" s="24">
        <v>25</v>
      </c>
      <c r="H12" s="24">
        <v>187</v>
      </c>
      <c r="I12" s="24">
        <v>610</v>
      </c>
      <c r="J12" s="24">
        <v>1303</v>
      </c>
      <c r="K12" s="24">
        <v>1462</v>
      </c>
      <c r="L12" s="24">
        <v>1613</v>
      </c>
      <c r="M12" s="24">
        <v>1698</v>
      </c>
      <c r="N12" s="24">
        <v>1802</v>
      </c>
      <c r="O12" s="24">
        <v>1984</v>
      </c>
      <c r="P12" s="24">
        <v>2021</v>
      </c>
      <c r="Q12" s="24">
        <v>2104</v>
      </c>
      <c r="R12" s="24">
        <v>2081</v>
      </c>
      <c r="S12" s="24">
        <v>2141</v>
      </c>
      <c r="T12" s="24">
        <v>1982</v>
      </c>
      <c r="U12" s="24">
        <v>1911</v>
      </c>
      <c r="V12" s="24">
        <v>1947</v>
      </c>
      <c r="W12" s="24">
        <v>1643</v>
      </c>
      <c r="X12" s="24">
        <v>1570</v>
      </c>
      <c r="Y12" s="24">
        <v>1499</v>
      </c>
      <c r="Z12" s="24">
        <v>1465</v>
      </c>
      <c r="AA12" s="24">
        <v>1496</v>
      </c>
      <c r="AB12" s="24">
        <v>1598</v>
      </c>
      <c r="AC12" s="24">
        <v>1730</v>
      </c>
      <c r="AD12" s="24">
        <v>1836</v>
      </c>
      <c r="AE12" s="24">
        <v>1847</v>
      </c>
      <c r="AF12" s="24">
        <v>1845</v>
      </c>
      <c r="AG12" s="24">
        <v>1842</v>
      </c>
      <c r="AH12" s="24">
        <v>1908</v>
      </c>
      <c r="AI12" s="24">
        <v>1793</v>
      </c>
      <c r="AJ12" s="24">
        <v>1748</v>
      </c>
      <c r="AK12" s="24">
        <v>1680</v>
      </c>
      <c r="AL12" s="24">
        <v>1715</v>
      </c>
      <c r="AM12" s="24">
        <v>1666</v>
      </c>
      <c r="AN12" s="24">
        <v>1605</v>
      </c>
      <c r="AO12" s="24">
        <v>1532</v>
      </c>
      <c r="AP12" s="24">
        <v>1341</v>
      </c>
      <c r="AQ12" s="24">
        <v>1048</v>
      </c>
      <c r="AR12" s="24">
        <v>608</v>
      </c>
      <c r="AS12" s="24">
        <v>168</v>
      </c>
      <c r="AT12" s="24">
        <v>39</v>
      </c>
      <c r="AU12" s="24">
        <v>10</v>
      </c>
      <c r="AV12" s="24">
        <v>3</v>
      </c>
      <c r="AW12" s="24">
        <v>0</v>
      </c>
      <c r="AX12" s="24">
        <v>1</v>
      </c>
      <c r="AY12" s="24">
        <v>0</v>
      </c>
      <c r="AZ12" s="24">
        <v>0</v>
      </c>
      <c r="BA12" s="24">
        <v>0</v>
      </c>
      <c r="BB12" s="24">
        <v>0</v>
      </c>
      <c r="BC12" s="24">
        <v>0</v>
      </c>
      <c r="BD12" s="24">
        <v>0</v>
      </c>
      <c r="BE12" s="24">
        <v>0</v>
      </c>
      <c r="BF12" s="24">
        <v>0</v>
      </c>
      <c r="BG12" s="24">
        <v>0</v>
      </c>
      <c r="BH12" s="24">
        <f>SUM(D12:BG12)</f>
        <v>60107</v>
      </c>
    </row>
    <row r="13" spans="1:60">
      <c r="A13" s="18" t="s">
        <v>77</v>
      </c>
      <c r="B13" s="18" t="s">
        <v>65</v>
      </c>
      <c r="C13" s="18" t="s">
        <v>78</v>
      </c>
      <c r="D13" s="24">
        <v>0</v>
      </c>
      <c r="E13" s="24">
        <v>0</v>
      </c>
      <c r="F13" s="24">
        <v>0</v>
      </c>
      <c r="G13" s="24">
        <v>16</v>
      </c>
      <c r="H13" s="24">
        <v>152</v>
      </c>
      <c r="I13" s="24">
        <v>492</v>
      </c>
      <c r="J13" s="24">
        <v>1121</v>
      </c>
      <c r="K13" s="24">
        <v>1291</v>
      </c>
      <c r="L13" s="24">
        <v>1569</v>
      </c>
      <c r="M13" s="24">
        <v>1718</v>
      </c>
      <c r="N13" s="24">
        <v>1864</v>
      </c>
      <c r="O13" s="24">
        <v>1933</v>
      </c>
      <c r="P13" s="24">
        <v>2040</v>
      </c>
      <c r="Q13" s="24">
        <v>2129</v>
      </c>
      <c r="R13" s="24">
        <v>2174</v>
      </c>
      <c r="S13" s="24">
        <v>2007</v>
      </c>
      <c r="T13" s="24">
        <v>2088</v>
      </c>
      <c r="U13" s="24">
        <v>1965</v>
      </c>
      <c r="V13" s="24">
        <v>1780</v>
      </c>
      <c r="W13" s="24">
        <v>1655</v>
      </c>
      <c r="X13" s="24">
        <v>1536</v>
      </c>
      <c r="Y13" s="24">
        <v>1511</v>
      </c>
      <c r="Z13" s="24">
        <v>1574</v>
      </c>
      <c r="AA13" s="24">
        <v>1537</v>
      </c>
      <c r="AB13" s="24">
        <v>1545</v>
      </c>
      <c r="AC13" s="24">
        <v>1708</v>
      </c>
      <c r="AD13" s="24">
        <v>1777</v>
      </c>
      <c r="AE13" s="24">
        <v>1910</v>
      </c>
      <c r="AF13" s="24">
        <v>1784</v>
      </c>
      <c r="AG13" s="24">
        <v>1862</v>
      </c>
      <c r="AH13" s="24">
        <v>1838</v>
      </c>
      <c r="AI13" s="24">
        <v>1712</v>
      </c>
      <c r="AJ13" s="24">
        <v>1767</v>
      </c>
      <c r="AK13" s="24">
        <v>1687</v>
      </c>
      <c r="AL13" s="24">
        <v>1648</v>
      </c>
      <c r="AM13" s="24">
        <v>1635</v>
      </c>
      <c r="AN13" s="24">
        <v>1669</v>
      </c>
      <c r="AO13" s="24">
        <v>1558</v>
      </c>
      <c r="AP13" s="24">
        <v>1431</v>
      </c>
      <c r="AQ13" s="24">
        <v>1102</v>
      </c>
      <c r="AR13" s="24">
        <v>663</v>
      </c>
      <c r="AS13" s="24">
        <v>176</v>
      </c>
      <c r="AT13" s="24">
        <v>44</v>
      </c>
      <c r="AU13" s="24">
        <v>4</v>
      </c>
      <c r="AV13" s="24">
        <v>0</v>
      </c>
      <c r="AW13" s="24">
        <v>0</v>
      </c>
      <c r="AX13" s="24">
        <v>0</v>
      </c>
      <c r="AY13" s="24">
        <v>0</v>
      </c>
      <c r="AZ13" s="24">
        <v>0</v>
      </c>
      <c r="BA13" s="24">
        <v>0</v>
      </c>
      <c r="BB13" s="24">
        <v>0</v>
      </c>
      <c r="BC13" s="24">
        <v>0</v>
      </c>
      <c r="BD13" s="24">
        <v>0</v>
      </c>
      <c r="BE13" s="24">
        <v>0</v>
      </c>
      <c r="BF13" s="24">
        <v>0</v>
      </c>
      <c r="BG13" s="24">
        <v>0</v>
      </c>
      <c r="BH13" s="24">
        <f>SUM(D13:BG13)</f>
        <v>59672</v>
      </c>
    </row>
    <row r="14" spans="1:60">
      <c r="A14" s="18" t="s">
        <v>79</v>
      </c>
      <c r="B14" s="18" t="s">
        <v>65</v>
      </c>
      <c r="C14" s="18" t="s">
        <v>80</v>
      </c>
      <c r="D14" s="24">
        <v>0</v>
      </c>
      <c r="E14" s="24">
        <v>0</v>
      </c>
      <c r="F14" s="24">
        <v>0</v>
      </c>
      <c r="G14" s="24">
        <v>18</v>
      </c>
      <c r="H14" s="24">
        <v>161</v>
      </c>
      <c r="I14" s="24">
        <v>476</v>
      </c>
      <c r="J14" s="24">
        <v>1189</v>
      </c>
      <c r="K14" s="24">
        <v>1400</v>
      </c>
      <c r="L14" s="24">
        <v>1587</v>
      </c>
      <c r="M14" s="24">
        <v>1878</v>
      </c>
      <c r="N14" s="24">
        <v>1876</v>
      </c>
      <c r="O14" s="24">
        <v>2002</v>
      </c>
      <c r="P14" s="24">
        <v>2214</v>
      </c>
      <c r="Q14" s="24">
        <v>2403</v>
      </c>
      <c r="R14" s="24">
        <v>2328</v>
      </c>
      <c r="S14" s="24">
        <v>2287</v>
      </c>
      <c r="T14" s="24">
        <v>2247</v>
      </c>
      <c r="U14" s="24">
        <v>2165</v>
      </c>
      <c r="V14" s="24">
        <v>2103</v>
      </c>
      <c r="W14" s="24">
        <v>1847</v>
      </c>
      <c r="X14" s="24">
        <v>1758</v>
      </c>
      <c r="Y14" s="24">
        <v>1702</v>
      </c>
      <c r="Z14" s="24">
        <v>1599</v>
      </c>
      <c r="AA14" s="24">
        <v>1734</v>
      </c>
      <c r="AB14" s="24">
        <v>1855</v>
      </c>
      <c r="AC14" s="24">
        <v>2026</v>
      </c>
      <c r="AD14" s="24">
        <v>2012</v>
      </c>
      <c r="AE14" s="24">
        <v>2138</v>
      </c>
      <c r="AF14" s="24">
        <v>2101</v>
      </c>
      <c r="AG14" s="24">
        <v>1958</v>
      </c>
      <c r="AH14" s="24">
        <v>2034</v>
      </c>
      <c r="AI14" s="24">
        <v>1974</v>
      </c>
      <c r="AJ14" s="24">
        <v>2016</v>
      </c>
      <c r="AK14" s="24">
        <v>1929</v>
      </c>
      <c r="AL14" s="24">
        <v>1962</v>
      </c>
      <c r="AM14" s="24">
        <v>1905</v>
      </c>
      <c r="AN14" s="24">
        <v>1874</v>
      </c>
      <c r="AO14" s="24">
        <v>1820</v>
      </c>
      <c r="AP14" s="24">
        <v>1612</v>
      </c>
      <c r="AQ14" s="24">
        <v>1228</v>
      </c>
      <c r="AR14" s="24">
        <v>691</v>
      </c>
      <c r="AS14" s="24">
        <v>202</v>
      </c>
      <c r="AT14" s="24">
        <v>58</v>
      </c>
      <c r="AU14" s="24">
        <v>13</v>
      </c>
      <c r="AV14" s="24">
        <v>21</v>
      </c>
      <c r="AW14" s="24">
        <v>11</v>
      </c>
      <c r="AX14" s="24">
        <v>10</v>
      </c>
      <c r="AY14" s="24">
        <v>15</v>
      </c>
      <c r="AZ14" s="24">
        <v>12</v>
      </c>
      <c r="BA14" s="24">
        <v>16</v>
      </c>
      <c r="BB14" s="24">
        <v>9</v>
      </c>
      <c r="BC14" s="24">
        <v>0</v>
      </c>
      <c r="BD14" s="24">
        <v>1</v>
      </c>
      <c r="BE14" s="24">
        <v>0</v>
      </c>
      <c r="BF14" s="24">
        <v>0</v>
      </c>
      <c r="BG14" s="24">
        <v>0</v>
      </c>
      <c r="BH14" s="24">
        <f>SUM(D14:BG14)</f>
        <v>66477</v>
      </c>
    </row>
    <row r="15" spans="1:60">
      <c r="A15" s="18" t="s">
        <v>81</v>
      </c>
      <c r="B15" s="18" t="s">
        <v>65</v>
      </c>
      <c r="C15" s="18" t="s">
        <v>82</v>
      </c>
      <c r="D15" s="24">
        <v>0</v>
      </c>
      <c r="E15" s="24">
        <v>0</v>
      </c>
      <c r="F15" s="24">
        <v>0</v>
      </c>
      <c r="G15" s="24">
        <v>22</v>
      </c>
      <c r="H15" s="24">
        <v>115</v>
      </c>
      <c r="I15" s="24">
        <v>341</v>
      </c>
      <c r="J15" s="24">
        <v>793</v>
      </c>
      <c r="K15" s="24">
        <v>934</v>
      </c>
      <c r="L15" s="24">
        <v>1104</v>
      </c>
      <c r="M15" s="24">
        <v>1348</v>
      </c>
      <c r="N15" s="24">
        <v>1395</v>
      </c>
      <c r="O15" s="24">
        <v>1470</v>
      </c>
      <c r="P15" s="24">
        <v>1619</v>
      </c>
      <c r="Q15" s="24">
        <v>1759</v>
      </c>
      <c r="R15" s="24">
        <v>1692</v>
      </c>
      <c r="S15" s="24">
        <v>1782</v>
      </c>
      <c r="T15" s="24">
        <v>1760</v>
      </c>
      <c r="U15" s="24">
        <v>1627</v>
      </c>
      <c r="V15" s="24">
        <v>1559</v>
      </c>
      <c r="W15" s="24">
        <v>1430</v>
      </c>
      <c r="X15" s="24">
        <v>1354</v>
      </c>
      <c r="Y15" s="24">
        <v>1295</v>
      </c>
      <c r="Z15" s="24">
        <v>1338</v>
      </c>
      <c r="AA15" s="24">
        <v>1267</v>
      </c>
      <c r="AB15" s="24">
        <v>1359</v>
      </c>
      <c r="AC15" s="24">
        <v>1432</v>
      </c>
      <c r="AD15" s="24">
        <v>1497</v>
      </c>
      <c r="AE15" s="24">
        <v>1604</v>
      </c>
      <c r="AF15" s="24">
        <v>1582</v>
      </c>
      <c r="AG15" s="24">
        <v>1627</v>
      </c>
      <c r="AH15" s="24">
        <v>1624</v>
      </c>
      <c r="AI15" s="24">
        <v>1466</v>
      </c>
      <c r="AJ15" s="24">
        <v>1499</v>
      </c>
      <c r="AK15" s="24">
        <v>1465</v>
      </c>
      <c r="AL15" s="24">
        <v>1446</v>
      </c>
      <c r="AM15" s="24">
        <v>1401</v>
      </c>
      <c r="AN15" s="24">
        <v>1386</v>
      </c>
      <c r="AO15" s="24">
        <v>1237</v>
      </c>
      <c r="AP15" s="24">
        <v>1206</v>
      </c>
      <c r="AQ15" s="24">
        <v>877</v>
      </c>
      <c r="AR15" s="24">
        <v>578</v>
      </c>
      <c r="AS15" s="24">
        <v>166</v>
      </c>
      <c r="AT15" s="24">
        <v>35</v>
      </c>
      <c r="AU15" s="24">
        <v>7</v>
      </c>
      <c r="AV15" s="24">
        <v>0</v>
      </c>
      <c r="AW15" s="24">
        <v>0</v>
      </c>
      <c r="AX15" s="24">
        <v>0</v>
      </c>
      <c r="AY15" s="24">
        <v>0</v>
      </c>
      <c r="AZ15" s="24">
        <v>0</v>
      </c>
      <c r="BA15" s="24">
        <v>0</v>
      </c>
      <c r="BB15" s="24">
        <v>0</v>
      </c>
      <c r="BC15" s="24">
        <v>0</v>
      </c>
      <c r="BD15" s="24">
        <v>0</v>
      </c>
      <c r="BE15" s="24">
        <v>0</v>
      </c>
      <c r="BF15" s="24">
        <v>0</v>
      </c>
      <c r="BG15" s="24">
        <v>0</v>
      </c>
      <c r="BH15" s="24">
        <f>SUM(D15:BG15)</f>
        <v>49498</v>
      </c>
    </row>
    <row r="16" spans="1:60">
      <c r="A16" s="18" t="s">
        <v>83</v>
      </c>
      <c r="B16" s="18" t="s">
        <v>65</v>
      </c>
      <c r="C16" s="18" t="s">
        <v>84</v>
      </c>
      <c r="D16" s="24">
        <v>0</v>
      </c>
      <c r="E16" s="24">
        <v>0</v>
      </c>
      <c r="F16" s="24">
        <v>0</v>
      </c>
      <c r="G16" s="24">
        <v>2</v>
      </c>
      <c r="H16" s="24">
        <v>43</v>
      </c>
      <c r="I16" s="24">
        <v>366</v>
      </c>
      <c r="J16" s="24">
        <v>1021</v>
      </c>
      <c r="K16" s="24">
        <v>1014</v>
      </c>
      <c r="L16" s="24">
        <v>1213</v>
      </c>
      <c r="M16" s="24">
        <v>1331</v>
      </c>
      <c r="N16" s="24">
        <v>1473</v>
      </c>
      <c r="O16" s="24">
        <v>1633</v>
      </c>
      <c r="P16" s="24">
        <v>1801</v>
      </c>
      <c r="Q16" s="24">
        <v>1805</v>
      </c>
      <c r="R16" s="24">
        <v>1840</v>
      </c>
      <c r="S16" s="24">
        <v>1799</v>
      </c>
      <c r="T16" s="24">
        <v>1924</v>
      </c>
      <c r="U16" s="24">
        <v>1816</v>
      </c>
      <c r="V16" s="24">
        <v>1739</v>
      </c>
      <c r="W16" s="24">
        <v>1620</v>
      </c>
      <c r="X16" s="24">
        <v>1458</v>
      </c>
      <c r="Y16" s="24">
        <v>1445</v>
      </c>
      <c r="Z16" s="24">
        <v>1456</v>
      </c>
      <c r="AA16" s="24">
        <v>1443</v>
      </c>
      <c r="AB16" s="24">
        <v>1590</v>
      </c>
      <c r="AC16" s="24">
        <v>1739</v>
      </c>
      <c r="AD16" s="24">
        <v>1723</v>
      </c>
      <c r="AE16" s="24">
        <v>1806</v>
      </c>
      <c r="AF16" s="24">
        <v>1844</v>
      </c>
      <c r="AG16" s="24">
        <v>1864</v>
      </c>
      <c r="AH16" s="24">
        <v>1770</v>
      </c>
      <c r="AI16" s="24">
        <v>1724</v>
      </c>
      <c r="AJ16" s="24">
        <v>1674</v>
      </c>
      <c r="AK16" s="24">
        <v>1591</v>
      </c>
      <c r="AL16" s="24">
        <v>1676</v>
      </c>
      <c r="AM16" s="24">
        <v>1512</v>
      </c>
      <c r="AN16" s="24">
        <v>1513</v>
      </c>
      <c r="AO16" s="24">
        <v>1491</v>
      </c>
      <c r="AP16" s="24">
        <v>1427</v>
      </c>
      <c r="AQ16" s="24">
        <v>984</v>
      </c>
      <c r="AR16" s="24">
        <v>481</v>
      </c>
      <c r="AS16" s="24">
        <v>59</v>
      </c>
      <c r="AT16" s="24">
        <v>15</v>
      </c>
      <c r="AU16" s="24">
        <v>25</v>
      </c>
      <c r="AV16" s="24">
        <v>21</v>
      </c>
      <c r="AW16" s="24">
        <v>30</v>
      </c>
      <c r="AX16" s="24">
        <v>24</v>
      </c>
      <c r="AY16" s="24">
        <v>20</v>
      </c>
      <c r="AZ16" s="24">
        <v>23</v>
      </c>
      <c r="BA16" s="24">
        <v>11</v>
      </c>
      <c r="BB16" s="24">
        <v>3</v>
      </c>
      <c r="BC16" s="24">
        <v>2</v>
      </c>
      <c r="BD16" s="24">
        <v>0</v>
      </c>
      <c r="BE16" s="24">
        <v>0</v>
      </c>
      <c r="BF16" s="24">
        <v>0</v>
      </c>
      <c r="BG16" s="24">
        <v>0</v>
      </c>
      <c r="BH16" s="24">
        <f>SUM(D16:BG16)</f>
        <v>54884</v>
      </c>
    </row>
    <row r="17" spans="1:60">
      <c r="A17" s="18" t="s">
        <v>85</v>
      </c>
      <c r="B17" s="18" t="s">
        <v>65</v>
      </c>
      <c r="C17" s="18" t="s">
        <v>86</v>
      </c>
      <c r="D17" s="24">
        <v>0</v>
      </c>
      <c r="E17" s="24">
        <v>0</v>
      </c>
      <c r="F17" s="24">
        <v>0</v>
      </c>
      <c r="G17" s="24">
        <v>3</v>
      </c>
      <c r="H17" s="24">
        <v>46</v>
      </c>
      <c r="I17" s="24">
        <v>406</v>
      </c>
      <c r="J17" s="24">
        <v>930</v>
      </c>
      <c r="K17" s="24">
        <v>878</v>
      </c>
      <c r="L17" s="24">
        <v>1058</v>
      </c>
      <c r="M17" s="24">
        <v>1171</v>
      </c>
      <c r="N17" s="24">
        <v>1428</v>
      </c>
      <c r="O17" s="24">
        <v>1442</v>
      </c>
      <c r="P17" s="24">
        <v>1589</v>
      </c>
      <c r="Q17" s="24">
        <v>1568</v>
      </c>
      <c r="R17" s="24">
        <v>1669</v>
      </c>
      <c r="S17" s="24">
        <v>1693</v>
      </c>
      <c r="T17" s="24">
        <v>1625</v>
      </c>
      <c r="U17" s="24">
        <v>1545</v>
      </c>
      <c r="V17" s="24">
        <v>1481</v>
      </c>
      <c r="W17" s="24">
        <v>1353</v>
      </c>
      <c r="X17" s="24">
        <v>1267</v>
      </c>
      <c r="Y17" s="24">
        <v>1194</v>
      </c>
      <c r="Z17" s="24">
        <v>1174</v>
      </c>
      <c r="AA17" s="24">
        <v>1215</v>
      </c>
      <c r="AB17" s="24">
        <v>1328</v>
      </c>
      <c r="AC17" s="24">
        <v>1581</v>
      </c>
      <c r="AD17" s="24">
        <v>1589</v>
      </c>
      <c r="AE17" s="24">
        <v>1564</v>
      </c>
      <c r="AF17" s="24">
        <v>1617</v>
      </c>
      <c r="AG17" s="24">
        <v>1607</v>
      </c>
      <c r="AH17" s="24">
        <v>1567</v>
      </c>
      <c r="AI17" s="24">
        <v>1521</v>
      </c>
      <c r="AJ17" s="24">
        <v>1524</v>
      </c>
      <c r="AK17" s="24">
        <v>1458</v>
      </c>
      <c r="AL17" s="24">
        <v>1510</v>
      </c>
      <c r="AM17" s="24">
        <v>1421</v>
      </c>
      <c r="AN17" s="24">
        <v>1356</v>
      </c>
      <c r="AO17" s="24">
        <v>1383</v>
      </c>
      <c r="AP17" s="24">
        <v>1233</v>
      </c>
      <c r="AQ17" s="24">
        <v>876</v>
      </c>
      <c r="AR17" s="24">
        <v>437</v>
      </c>
      <c r="AS17" s="24">
        <v>50</v>
      </c>
      <c r="AT17" s="24">
        <v>20</v>
      </c>
      <c r="AU17" s="24">
        <v>33</v>
      </c>
      <c r="AV17" s="24">
        <v>12</v>
      </c>
      <c r="AW17" s="24">
        <v>0</v>
      </c>
      <c r="AX17" s="24">
        <v>0</v>
      </c>
      <c r="AY17" s="24">
        <v>0</v>
      </c>
      <c r="AZ17" s="24">
        <v>5</v>
      </c>
      <c r="BA17" s="24">
        <v>0</v>
      </c>
      <c r="BB17" s="24">
        <v>0</v>
      </c>
      <c r="BC17" s="24">
        <v>1</v>
      </c>
      <c r="BD17" s="24">
        <v>2</v>
      </c>
      <c r="BE17" s="24">
        <v>0</v>
      </c>
      <c r="BF17" s="24">
        <v>0</v>
      </c>
      <c r="BG17" s="24">
        <v>0</v>
      </c>
      <c r="BH17" s="24">
        <f>SUM(D17:BG17)</f>
        <v>48430</v>
      </c>
    </row>
    <row r="18" spans="1:60">
      <c r="A18" s="18" t="s">
        <v>87</v>
      </c>
      <c r="B18" s="18" t="s">
        <v>65</v>
      </c>
      <c r="C18" s="18" t="s">
        <v>88</v>
      </c>
      <c r="D18" s="24">
        <v>0</v>
      </c>
      <c r="E18" s="24">
        <v>0</v>
      </c>
      <c r="F18" s="24">
        <v>0</v>
      </c>
      <c r="G18" s="24">
        <v>1</v>
      </c>
      <c r="H18" s="24">
        <v>52</v>
      </c>
      <c r="I18" s="24">
        <v>510</v>
      </c>
      <c r="J18" s="24">
        <v>1301</v>
      </c>
      <c r="K18" s="24">
        <v>1250</v>
      </c>
      <c r="L18" s="24">
        <v>1522</v>
      </c>
      <c r="M18" s="24">
        <v>1733</v>
      </c>
      <c r="N18" s="24">
        <v>1857</v>
      </c>
      <c r="O18" s="24">
        <v>2035</v>
      </c>
      <c r="P18" s="24">
        <v>2088</v>
      </c>
      <c r="Q18" s="24">
        <v>2293</v>
      </c>
      <c r="R18" s="24">
        <v>2333</v>
      </c>
      <c r="S18" s="24">
        <v>2348</v>
      </c>
      <c r="T18" s="24">
        <v>2365</v>
      </c>
      <c r="U18" s="24">
        <v>2217</v>
      </c>
      <c r="V18" s="24">
        <v>2126</v>
      </c>
      <c r="W18" s="24">
        <v>1956</v>
      </c>
      <c r="X18" s="24">
        <v>1931</v>
      </c>
      <c r="Y18" s="24">
        <v>1815</v>
      </c>
      <c r="Z18" s="24">
        <v>1802</v>
      </c>
      <c r="AA18" s="24">
        <v>1746</v>
      </c>
      <c r="AB18" s="24">
        <v>2035</v>
      </c>
      <c r="AC18" s="24">
        <v>2236</v>
      </c>
      <c r="AD18" s="24">
        <v>2314</v>
      </c>
      <c r="AE18" s="24">
        <v>2274</v>
      </c>
      <c r="AF18" s="24">
        <v>2250</v>
      </c>
      <c r="AG18" s="24">
        <v>2225</v>
      </c>
      <c r="AH18" s="24">
        <v>2213</v>
      </c>
      <c r="AI18" s="24">
        <v>2107</v>
      </c>
      <c r="AJ18" s="24">
        <v>2115</v>
      </c>
      <c r="AK18" s="24">
        <v>2093</v>
      </c>
      <c r="AL18" s="24">
        <v>2003</v>
      </c>
      <c r="AM18" s="24">
        <v>1995</v>
      </c>
      <c r="AN18" s="24">
        <v>1919</v>
      </c>
      <c r="AO18" s="24">
        <v>1878</v>
      </c>
      <c r="AP18" s="24">
        <v>1771</v>
      </c>
      <c r="AQ18" s="24">
        <v>1251</v>
      </c>
      <c r="AR18" s="24">
        <v>598</v>
      </c>
      <c r="AS18" s="24">
        <v>35</v>
      </c>
      <c r="AT18" s="24">
        <v>15</v>
      </c>
      <c r="AU18" s="24">
        <v>17</v>
      </c>
      <c r="AV18" s="24">
        <v>20</v>
      </c>
      <c r="AW18" s="24">
        <v>24</v>
      </c>
      <c r="AX18" s="24">
        <v>43</v>
      </c>
      <c r="AY18" s="24">
        <v>20</v>
      </c>
      <c r="AZ18" s="24">
        <v>27</v>
      </c>
      <c r="BA18" s="24">
        <v>10</v>
      </c>
      <c r="BB18" s="24">
        <v>2</v>
      </c>
      <c r="BC18" s="24">
        <v>2</v>
      </c>
      <c r="BD18" s="24">
        <v>0</v>
      </c>
      <c r="BE18" s="24">
        <v>0</v>
      </c>
      <c r="BF18" s="24">
        <v>0</v>
      </c>
      <c r="BG18" s="24">
        <v>0</v>
      </c>
      <c r="BH18" s="24">
        <f>SUM(D18:BG18)</f>
        <v>68773</v>
      </c>
    </row>
    <row r="19" spans="1:60">
      <c r="A19" s="18" t="s">
        <v>89</v>
      </c>
      <c r="B19" s="18" t="s">
        <v>65</v>
      </c>
      <c r="C19" s="18" t="s">
        <v>90</v>
      </c>
      <c r="D19" s="24">
        <v>0</v>
      </c>
      <c r="E19" s="24">
        <v>0</v>
      </c>
      <c r="F19" s="24">
        <v>0</v>
      </c>
      <c r="G19" s="24">
        <v>3</v>
      </c>
      <c r="H19" s="24">
        <v>132</v>
      </c>
      <c r="I19" s="24">
        <v>981</v>
      </c>
      <c r="J19" s="24">
        <v>2059</v>
      </c>
      <c r="K19" s="24">
        <v>1853</v>
      </c>
      <c r="L19" s="24">
        <v>2073</v>
      </c>
      <c r="M19" s="24">
        <v>2306</v>
      </c>
      <c r="N19" s="24">
        <v>2473</v>
      </c>
      <c r="O19" s="24">
        <v>2736</v>
      </c>
      <c r="P19" s="24">
        <v>2844</v>
      </c>
      <c r="Q19" s="24">
        <v>2775</v>
      </c>
      <c r="R19" s="24">
        <v>2835</v>
      </c>
      <c r="S19" s="24">
        <v>2902</v>
      </c>
      <c r="T19" s="24">
        <v>2990</v>
      </c>
      <c r="U19" s="24">
        <v>2876</v>
      </c>
      <c r="V19" s="24">
        <v>2663</v>
      </c>
      <c r="W19" s="24">
        <v>2381</v>
      </c>
      <c r="X19" s="24">
        <v>2323</v>
      </c>
      <c r="Y19" s="24">
        <v>2360</v>
      </c>
      <c r="Z19" s="24">
        <v>2292</v>
      </c>
      <c r="AA19" s="24">
        <v>2292</v>
      </c>
      <c r="AB19" s="24">
        <v>2520</v>
      </c>
      <c r="AC19" s="24">
        <v>2622</v>
      </c>
      <c r="AD19" s="24">
        <v>2656</v>
      </c>
      <c r="AE19" s="24">
        <v>2796</v>
      </c>
      <c r="AF19" s="24">
        <v>2766</v>
      </c>
      <c r="AG19" s="24">
        <v>2804</v>
      </c>
      <c r="AH19" s="24">
        <v>2805</v>
      </c>
      <c r="AI19" s="24">
        <v>2747</v>
      </c>
      <c r="AJ19" s="24">
        <v>2679</v>
      </c>
      <c r="AK19" s="24">
        <v>2664</v>
      </c>
      <c r="AL19" s="24">
        <v>2545</v>
      </c>
      <c r="AM19" s="24">
        <v>2440</v>
      </c>
      <c r="AN19" s="24">
        <v>2358</v>
      </c>
      <c r="AO19" s="24">
        <v>2300</v>
      </c>
      <c r="AP19" s="24">
        <v>2215</v>
      </c>
      <c r="AQ19" s="24">
        <v>1624</v>
      </c>
      <c r="AR19" s="24">
        <v>698</v>
      </c>
      <c r="AS19" s="24">
        <v>66</v>
      </c>
      <c r="AT19" s="24">
        <v>42</v>
      </c>
      <c r="AU19" s="24">
        <v>41</v>
      </c>
      <c r="AV19" s="24">
        <v>26</v>
      </c>
      <c r="AW19" s="24">
        <v>48</v>
      </c>
      <c r="AX19" s="24">
        <v>35</v>
      </c>
      <c r="AY19" s="24">
        <v>13</v>
      </c>
      <c r="AZ19" s="24">
        <v>9</v>
      </c>
      <c r="BA19" s="24">
        <v>3</v>
      </c>
      <c r="BB19" s="24">
        <v>0</v>
      </c>
      <c r="BC19" s="24">
        <v>0</v>
      </c>
      <c r="BD19" s="24">
        <v>0</v>
      </c>
      <c r="BE19" s="24">
        <v>0</v>
      </c>
      <c r="BF19" s="24">
        <v>0</v>
      </c>
      <c r="BG19" s="24">
        <v>0</v>
      </c>
      <c r="BH19" s="24">
        <f>SUM(D19:BG19)</f>
        <v>87671</v>
      </c>
    </row>
    <row r="20" spans="1:60">
      <c r="A20" s="18" t="s">
        <v>91</v>
      </c>
      <c r="B20" s="18" t="s">
        <v>92</v>
      </c>
      <c r="C20" s="18" t="s">
        <v>66</v>
      </c>
      <c r="D20" s="24">
        <v>0</v>
      </c>
      <c r="E20" s="24">
        <v>0</v>
      </c>
      <c r="F20" s="24">
        <v>1</v>
      </c>
      <c r="G20" s="24">
        <v>0</v>
      </c>
      <c r="H20" s="24">
        <v>46</v>
      </c>
      <c r="I20" s="24">
        <v>345</v>
      </c>
      <c r="J20" s="24">
        <v>1064</v>
      </c>
      <c r="K20" s="24">
        <v>2310</v>
      </c>
      <c r="L20" s="24">
        <v>2609</v>
      </c>
      <c r="M20" s="24">
        <v>3035</v>
      </c>
      <c r="N20" s="24">
        <v>3452</v>
      </c>
      <c r="O20" s="24">
        <v>3850</v>
      </c>
      <c r="P20" s="24">
        <v>3978</v>
      </c>
      <c r="Q20" s="24">
        <v>4456</v>
      </c>
      <c r="R20" s="24">
        <v>4587</v>
      </c>
      <c r="S20" s="24">
        <v>4726</v>
      </c>
      <c r="T20" s="24">
        <v>4724</v>
      </c>
      <c r="U20" s="24">
        <v>4843</v>
      </c>
      <c r="V20" s="24">
        <v>4642</v>
      </c>
      <c r="W20" s="24">
        <v>4400</v>
      </c>
      <c r="X20" s="24">
        <v>4381</v>
      </c>
      <c r="Y20" s="24">
        <v>4189</v>
      </c>
      <c r="Z20" s="24">
        <v>4279</v>
      </c>
      <c r="AA20" s="24">
        <v>3929</v>
      </c>
      <c r="AB20" s="24">
        <v>3821</v>
      </c>
      <c r="AC20" s="24">
        <v>4019</v>
      </c>
      <c r="AD20" s="24">
        <v>4435</v>
      </c>
      <c r="AE20" s="24">
        <v>4639</v>
      </c>
      <c r="AF20" s="24">
        <v>4578</v>
      </c>
      <c r="AG20" s="24">
        <v>4760</v>
      </c>
      <c r="AH20" s="24">
        <v>4685</v>
      </c>
      <c r="AI20" s="24">
        <v>4576</v>
      </c>
      <c r="AJ20" s="24">
        <v>4444</v>
      </c>
      <c r="AK20" s="24">
        <v>4451</v>
      </c>
      <c r="AL20" s="24">
        <v>4512</v>
      </c>
      <c r="AM20" s="24">
        <v>4556</v>
      </c>
      <c r="AN20" s="24">
        <v>4295</v>
      </c>
      <c r="AO20" s="24">
        <v>4132</v>
      </c>
      <c r="AP20" s="24">
        <v>3999</v>
      </c>
      <c r="AQ20" s="24">
        <v>3661</v>
      </c>
      <c r="AR20" s="24">
        <v>2708</v>
      </c>
      <c r="AS20" s="24">
        <v>1303</v>
      </c>
      <c r="AT20" s="24">
        <v>329</v>
      </c>
      <c r="AU20" s="24">
        <v>77</v>
      </c>
      <c r="AV20" s="24">
        <v>37</v>
      </c>
      <c r="AW20" s="24">
        <v>32</v>
      </c>
      <c r="AX20" s="24">
        <v>24</v>
      </c>
      <c r="AY20" s="24">
        <v>19</v>
      </c>
      <c r="AZ20" s="24">
        <v>15</v>
      </c>
      <c r="BA20" s="24">
        <v>10</v>
      </c>
      <c r="BB20" s="24">
        <v>8</v>
      </c>
      <c r="BC20" s="24">
        <v>2</v>
      </c>
      <c r="BD20" s="24">
        <v>1</v>
      </c>
      <c r="BE20" s="24">
        <v>0</v>
      </c>
      <c r="BF20" s="24">
        <v>0</v>
      </c>
      <c r="BG20" s="24">
        <v>0</v>
      </c>
      <c r="BH20" s="24">
        <f>SUM(D20:BG20)</f>
        <v>143974</v>
      </c>
    </row>
    <row r="21" spans="1:60">
      <c r="A21" s="18" t="s">
        <v>93</v>
      </c>
      <c r="B21" s="18" t="s">
        <v>92</v>
      </c>
      <c r="C21" s="18" t="s">
        <v>68</v>
      </c>
      <c r="D21" s="24">
        <v>0</v>
      </c>
      <c r="E21" s="24">
        <v>0</v>
      </c>
      <c r="F21" s="24">
        <v>0</v>
      </c>
      <c r="G21" s="24">
        <v>0</v>
      </c>
      <c r="H21" s="24">
        <v>1</v>
      </c>
      <c r="I21" s="24">
        <v>10</v>
      </c>
      <c r="J21" s="24">
        <v>57</v>
      </c>
      <c r="K21" s="24">
        <v>253</v>
      </c>
      <c r="L21" s="24">
        <v>271</v>
      </c>
      <c r="M21" s="24">
        <v>316</v>
      </c>
      <c r="N21" s="24">
        <v>361</v>
      </c>
      <c r="O21" s="24">
        <v>364</v>
      </c>
      <c r="P21" s="24">
        <v>353</v>
      </c>
      <c r="Q21" s="24">
        <v>454</v>
      </c>
      <c r="R21" s="24">
        <v>429</v>
      </c>
      <c r="S21" s="24">
        <v>461</v>
      </c>
      <c r="T21" s="24">
        <v>430</v>
      </c>
      <c r="U21" s="24">
        <v>425</v>
      </c>
      <c r="V21" s="24">
        <v>465</v>
      </c>
      <c r="W21" s="24">
        <v>422</v>
      </c>
      <c r="X21" s="24">
        <v>386</v>
      </c>
      <c r="Y21" s="24">
        <v>400</v>
      </c>
      <c r="Z21" s="24">
        <v>440</v>
      </c>
      <c r="AA21" s="24">
        <v>418</v>
      </c>
      <c r="AB21" s="24">
        <v>352</v>
      </c>
      <c r="AC21" s="24">
        <v>381</v>
      </c>
      <c r="AD21" s="24">
        <v>412</v>
      </c>
      <c r="AE21" s="24">
        <v>461</v>
      </c>
      <c r="AF21" s="24">
        <v>462</v>
      </c>
      <c r="AG21" s="24">
        <v>459</v>
      </c>
      <c r="AH21" s="24">
        <v>450</v>
      </c>
      <c r="AI21" s="24">
        <v>425</v>
      </c>
      <c r="AJ21" s="24">
        <v>390</v>
      </c>
      <c r="AK21" s="24">
        <v>401</v>
      </c>
      <c r="AL21" s="24">
        <v>405</v>
      </c>
      <c r="AM21" s="24">
        <v>407</v>
      </c>
      <c r="AN21" s="24">
        <v>415</v>
      </c>
      <c r="AO21" s="24">
        <v>379</v>
      </c>
      <c r="AP21" s="24">
        <v>337</v>
      </c>
      <c r="AQ21" s="24">
        <v>372</v>
      </c>
      <c r="AR21" s="24">
        <v>292</v>
      </c>
      <c r="AS21" s="24">
        <v>191</v>
      </c>
      <c r="AT21" s="24">
        <v>45</v>
      </c>
      <c r="AU21" s="24">
        <v>19</v>
      </c>
      <c r="AV21" s="24">
        <v>13</v>
      </c>
      <c r="AW21" s="24">
        <v>10</v>
      </c>
      <c r="AX21" s="24">
        <v>8</v>
      </c>
      <c r="AY21" s="24">
        <v>4</v>
      </c>
      <c r="AZ21" s="24">
        <v>1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f>SUM(D21:BG21)</f>
        <v>13807</v>
      </c>
    </row>
    <row r="22" spans="1:60">
      <c r="A22" s="18" t="s">
        <v>94</v>
      </c>
      <c r="B22" s="18" t="s">
        <v>92</v>
      </c>
      <c r="C22" s="18" t="s">
        <v>70</v>
      </c>
      <c r="D22" s="24">
        <v>0</v>
      </c>
      <c r="E22" s="24">
        <v>0</v>
      </c>
      <c r="F22" s="24">
        <v>1</v>
      </c>
      <c r="G22" s="24">
        <v>0</v>
      </c>
      <c r="H22" s="24">
        <v>0</v>
      </c>
      <c r="I22" s="24">
        <v>6</v>
      </c>
      <c r="J22" s="24">
        <v>38</v>
      </c>
      <c r="K22" s="24">
        <v>206</v>
      </c>
      <c r="L22" s="24">
        <v>249</v>
      </c>
      <c r="M22" s="24">
        <v>270</v>
      </c>
      <c r="N22" s="24">
        <v>288</v>
      </c>
      <c r="O22" s="24">
        <v>324</v>
      </c>
      <c r="P22" s="24">
        <v>364</v>
      </c>
      <c r="Q22" s="24">
        <v>376</v>
      </c>
      <c r="R22" s="24">
        <v>418</v>
      </c>
      <c r="S22" s="24">
        <v>396</v>
      </c>
      <c r="T22" s="24">
        <v>367</v>
      </c>
      <c r="U22" s="24">
        <v>410</v>
      </c>
      <c r="V22" s="24">
        <v>384</v>
      </c>
      <c r="W22" s="24">
        <v>409</v>
      </c>
      <c r="X22" s="24">
        <v>391</v>
      </c>
      <c r="Y22" s="24">
        <v>367</v>
      </c>
      <c r="Z22" s="24">
        <v>360</v>
      </c>
      <c r="AA22" s="24">
        <v>338</v>
      </c>
      <c r="AB22" s="24">
        <v>304</v>
      </c>
      <c r="AC22" s="24">
        <v>330</v>
      </c>
      <c r="AD22" s="24">
        <v>355</v>
      </c>
      <c r="AE22" s="24">
        <v>386</v>
      </c>
      <c r="AF22" s="24">
        <v>363</v>
      </c>
      <c r="AG22" s="24">
        <v>378</v>
      </c>
      <c r="AH22" s="24">
        <v>393</v>
      </c>
      <c r="AI22" s="24">
        <v>361</v>
      </c>
      <c r="AJ22" s="24">
        <v>350</v>
      </c>
      <c r="AK22" s="24">
        <v>334</v>
      </c>
      <c r="AL22" s="24">
        <v>343</v>
      </c>
      <c r="AM22" s="24">
        <v>361</v>
      </c>
      <c r="AN22" s="24">
        <v>350</v>
      </c>
      <c r="AO22" s="24">
        <v>334</v>
      </c>
      <c r="AP22" s="24">
        <v>326</v>
      </c>
      <c r="AQ22" s="24">
        <v>332</v>
      </c>
      <c r="AR22" s="24">
        <v>275</v>
      </c>
      <c r="AS22" s="24">
        <v>158</v>
      </c>
      <c r="AT22" s="24">
        <v>36</v>
      </c>
      <c r="AU22" s="24">
        <v>7</v>
      </c>
      <c r="AV22" s="24">
        <v>3</v>
      </c>
      <c r="AW22" s="24">
        <v>3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f>SUM(D22:BG22)</f>
        <v>12044</v>
      </c>
    </row>
    <row r="23" spans="1:60">
      <c r="A23" s="18" t="s">
        <v>95</v>
      </c>
      <c r="B23" s="18" t="s">
        <v>92</v>
      </c>
      <c r="C23" s="18" t="s">
        <v>72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8</v>
      </c>
      <c r="J23" s="24">
        <v>37</v>
      </c>
      <c r="K23" s="24">
        <v>183</v>
      </c>
      <c r="L23" s="24">
        <v>207</v>
      </c>
      <c r="M23" s="24">
        <v>253</v>
      </c>
      <c r="N23" s="24">
        <v>293</v>
      </c>
      <c r="O23" s="24">
        <v>302</v>
      </c>
      <c r="P23" s="24">
        <v>336</v>
      </c>
      <c r="Q23" s="24">
        <v>361</v>
      </c>
      <c r="R23" s="24">
        <v>383</v>
      </c>
      <c r="S23" s="24">
        <v>381</v>
      </c>
      <c r="T23" s="24">
        <v>436</v>
      </c>
      <c r="U23" s="24">
        <v>393</v>
      </c>
      <c r="V23" s="24">
        <v>407</v>
      </c>
      <c r="W23" s="24">
        <v>368</v>
      </c>
      <c r="X23" s="24">
        <v>372</v>
      </c>
      <c r="Y23" s="24">
        <v>336</v>
      </c>
      <c r="Z23" s="24">
        <v>404</v>
      </c>
      <c r="AA23" s="24">
        <v>318</v>
      </c>
      <c r="AB23" s="24">
        <v>332</v>
      </c>
      <c r="AC23" s="24">
        <v>314</v>
      </c>
      <c r="AD23" s="24">
        <v>375</v>
      </c>
      <c r="AE23" s="24">
        <v>368</v>
      </c>
      <c r="AF23" s="24">
        <v>366</v>
      </c>
      <c r="AG23" s="24">
        <v>376</v>
      </c>
      <c r="AH23" s="24">
        <v>387</v>
      </c>
      <c r="AI23" s="24">
        <v>382</v>
      </c>
      <c r="AJ23" s="24">
        <v>344</v>
      </c>
      <c r="AK23" s="24">
        <v>367</v>
      </c>
      <c r="AL23" s="24">
        <v>410</v>
      </c>
      <c r="AM23" s="24">
        <v>389</v>
      </c>
      <c r="AN23" s="24">
        <v>372</v>
      </c>
      <c r="AO23" s="24">
        <v>355</v>
      </c>
      <c r="AP23" s="24">
        <v>307</v>
      </c>
      <c r="AQ23" s="24">
        <v>387</v>
      </c>
      <c r="AR23" s="24">
        <v>264</v>
      </c>
      <c r="AS23" s="24">
        <v>168</v>
      </c>
      <c r="AT23" s="24">
        <v>30</v>
      </c>
      <c r="AU23" s="24">
        <v>8</v>
      </c>
      <c r="AV23" s="24">
        <v>4</v>
      </c>
      <c r="AW23" s="24">
        <v>0</v>
      </c>
      <c r="AX23" s="24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v>0</v>
      </c>
      <c r="BD23" s="24">
        <v>0</v>
      </c>
      <c r="BE23" s="24">
        <v>0</v>
      </c>
      <c r="BF23" s="24">
        <v>0</v>
      </c>
      <c r="BG23" s="24">
        <v>0</v>
      </c>
      <c r="BH23" s="24">
        <f>SUM(D23:BG23)</f>
        <v>12083</v>
      </c>
    </row>
    <row r="24" spans="1:60">
      <c r="A24" s="18" t="s">
        <v>96</v>
      </c>
      <c r="B24" s="18" t="s">
        <v>92</v>
      </c>
      <c r="C24" s="18" t="s">
        <v>74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8</v>
      </c>
      <c r="J24" s="24">
        <v>59</v>
      </c>
      <c r="K24" s="24">
        <v>257</v>
      </c>
      <c r="L24" s="24">
        <v>235</v>
      </c>
      <c r="M24" s="24">
        <v>276</v>
      </c>
      <c r="N24" s="24">
        <v>338</v>
      </c>
      <c r="O24" s="24">
        <v>398</v>
      </c>
      <c r="P24" s="24">
        <v>378</v>
      </c>
      <c r="Q24" s="24">
        <v>464</v>
      </c>
      <c r="R24" s="24">
        <v>438</v>
      </c>
      <c r="S24" s="24">
        <v>481</v>
      </c>
      <c r="T24" s="24">
        <v>455</v>
      </c>
      <c r="U24" s="24">
        <v>493</v>
      </c>
      <c r="V24" s="24">
        <v>478</v>
      </c>
      <c r="W24" s="24">
        <v>403</v>
      </c>
      <c r="X24" s="24">
        <v>374</v>
      </c>
      <c r="Y24" s="24">
        <v>360</v>
      </c>
      <c r="Z24" s="24">
        <v>389</v>
      </c>
      <c r="AA24" s="24">
        <v>362</v>
      </c>
      <c r="AB24" s="24">
        <v>330</v>
      </c>
      <c r="AC24" s="24">
        <v>326</v>
      </c>
      <c r="AD24" s="24">
        <v>339</v>
      </c>
      <c r="AE24" s="24">
        <v>374</v>
      </c>
      <c r="AF24" s="24">
        <v>381</v>
      </c>
      <c r="AG24" s="24">
        <v>434</v>
      </c>
      <c r="AH24" s="24">
        <v>387</v>
      </c>
      <c r="AI24" s="24">
        <v>423</v>
      </c>
      <c r="AJ24" s="24">
        <v>368</v>
      </c>
      <c r="AK24" s="24">
        <v>370</v>
      </c>
      <c r="AL24" s="24">
        <v>373</v>
      </c>
      <c r="AM24" s="24">
        <v>378</v>
      </c>
      <c r="AN24" s="24">
        <v>391</v>
      </c>
      <c r="AO24" s="24">
        <v>385</v>
      </c>
      <c r="AP24" s="24">
        <v>365</v>
      </c>
      <c r="AQ24" s="24">
        <v>408</v>
      </c>
      <c r="AR24" s="24">
        <v>330</v>
      </c>
      <c r="AS24" s="24">
        <v>181</v>
      </c>
      <c r="AT24" s="24">
        <v>42</v>
      </c>
      <c r="AU24" s="24">
        <v>9</v>
      </c>
      <c r="AV24" s="24">
        <v>3</v>
      </c>
      <c r="AW24" s="24">
        <v>0</v>
      </c>
      <c r="AX24" s="24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v>0</v>
      </c>
      <c r="BD24" s="24">
        <v>0</v>
      </c>
      <c r="BE24" s="24">
        <v>0</v>
      </c>
      <c r="BF24" s="24">
        <v>0</v>
      </c>
      <c r="BG24" s="24">
        <v>0</v>
      </c>
      <c r="BH24" s="24">
        <f>SUM(D24:BG24)</f>
        <v>13243</v>
      </c>
    </row>
    <row r="25" spans="1:60">
      <c r="A25" s="18" t="s">
        <v>97</v>
      </c>
      <c r="B25" s="18" t="s">
        <v>92</v>
      </c>
      <c r="C25" s="18" t="s">
        <v>76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3</v>
      </c>
      <c r="J25" s="24">
        <v>28</v>
      </c>
      <c r="K25" s="24">
        <v>179</v>
      </c>
      <c r="L25" s="24">
        <v>198</v>
      </c>
      <c r="M25" s="24">
        <v>271</v>
      </c>
      <c r="N25" s="24">
        <v>279</v>
      </c>
      <c r="O25" s="24">
        <v>331</v>
      </c>
      <c r="P25" s="24">
        <v>297</v>
      </c>
      <c r="Q25" s="24">
        <v>353</v>
      </c>
      <c r="R25" s="24">
        <v>354</v>
      </c>
      <c r="S25" s="24">
        <v>385</v>
      </c>
      <c r="T25" s="24">
        <v>390</v>
      </c>
      <c r="U25" s="24">
        <v>358</v>
      </c>
      <c r="V25" s="24">
        <v>396</v>
      </c>
      <c r="W25" s="24">
        <v>300</v>
      </c>
      <c r="X25" s="24">
        <v>353</v>
      </c>
      <c r="Y25" s="24">
        <v>313</v>
      </c>
      <c r="Z25" s="24">
        <v>332</v>
      </c>
      <c r="AA25" s="24">
        <v>284</v>
      </c>
      <c r="AB25" s="24">
        <v>275</v>
      </c>
      <c r="AC25" s="24">
        <v>284</v>
      </c>
      <c r="AD25" s="24">
        <v>338</v>
      </c>
      <c r="AE25" s="24">
        <v>371</v>
      </c>
      <c r="AF25" s="24">
        <v>380</v>
      </c>
      <c r="AG25" s="24">
        <v>325</v>
      </c>
      <c r="AH25" s="24">
        <v>328</v>
      </c>
      <c r="AI25" s="24">
        <v>350</v>
      </c>
      <c r="AJ25" s="24">
        <v>364</v>
      </c>
      <c r="AK25" s="24">
        <v>373</v>
      </c>
      <c r="AL25" s="24">
        <v>372</v>
      </c>
      <c r="AM25" s="24">
        <v>344</v>
      </c>
      <c r="AN25" s="24">
        <v>340</v>
      </c>
      <c r="AO25" s="24">
        <v>314</v>
      </c>
      <c r="AP25" s="24">
        <v>295</v>
      </c>
      <c r="AQ25" s="24">
        <v>279</v>
      </c>
      <c r="AR25" s="24">
        <v>251</v>
      </c>
      <c r="AS25" s="24">
        <v>142</v>
      </c>
      <c r="AT25" s="24">
        <v>37</v>
      </c>
      <c r="AU25" s="24">
        <v>10</v>
      </c>
      <c r="AV25" s="24">
        <v>3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v>0</v>
      </c>
      <c r="BD25" s="24">
        <v>0</v>
      </c>
      <c r="BE25" s="24">
        <v>0</v>
      </c>
      <c r="BF25" s="24">
        <v>0</v>
      </c>
      <c r="BG25" s="24">
        <v>0</v>
      </c>
      <c r="BH25" s="24">
        <f>SUM(D25:BG25)</f>
        <v>11179</v>
      </c>
    </row>
    <row r="26" spans="1:60">
      <c r="A26" s="18" t="s">
        <v>98</v>
      </c>
      <c r="B26" s="18" t="s">
        <v>92</v>
      </c>
      <c r="C26" s="18" t="s">
        <v>78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7</v>
      </c>
      <c r="J26" s="24">
        <v>30</v>
      </c>
      <c r="K26" s="24">
        <v>182</v>
      </c>
      <c r="L26" s="24">
        <v>221</v>
      </c>
      <c r="M26" s="24">
        <v>216</v>
      </c>
      <c r="N26" s="24">
        <v>284</v>
      </c>
      <c r="O26" s="24">
        <v>303</v>
      </c>
      <c r="P26" s="24">
        <v>333</v>
      </c>
      <c r="Q26" s="24">
        <v>375</v>
      </c>
      <c r="R26" s="24">
        <v>390</v>
      </c>
      <c r="S26" s="24">
        <v>363</v>
      </c>
      <c r="T26" s="24">
        <v>392</v>
      </c>
      <c r="U26" s="24">
        <v>419</v>
      </c>
      <c r="V26" s="24">
        <v>368</v>
      </c>
      <c r="W26" s="24">
        <v>361</v>
      </c>
      <c r="X26" s="24">
        <v>338</v>
      </c>
      <c r="Y26" s="24">
        <v>316</v>
      </c>
      <c r="Z26" s="24">
        <v>375</v>
      </c>
      <c r="AA26" s="24">
        <v>333</v>
      </c>
      <c r="AB26" s="24">
        <v>264</v>
      </c>
      <c r="AC26" s="24">
        <v>280</v>
      </c>
      <c r="AD26" s="24">
        <v>355</v>
      </c>
      <c r="AE26" s="24">
        <v>371</v>
      </c>
      <c r="AF26" s="24">
        <v>343</v>
      </c>
      <c r="AG26" s="24">
        <v>351</v>
      </c>
      <c r="AH26" s="24">
        <v>353</v>
      </c>
      <c r="AI26" s="24">
        <v>363</v>
      </c>
      <c r="AJ26" s="24">
        <v>362</v>
      </c>
      <c r="AK26" s="24">
        <v>367</v>
      </c>
      <c r="AL26" s="24">
        <v>355</v>
      </c>
      <c r="AM26" s="24">
        <v>388</v>
      </c>
      <c r="AN26" s="24">
        <v>347</v>
      </c>
      <c r="AO26" s="24">
        <v>321</v>
      </c>
      <c r="AP26" s="24">
        <v>338</v>
      </c>
      <c r="AQ26" s="24">
        <v>310</v>
      </c>
      <c r="AR26" s="24">
        <v>293</v>
      </c>
      <c r="AS26" s="24">
        <v>159</v>
      </c>
      <c r="AT26" s="24">
        <v>43</v>
      </c>
      <c r="AU26" s="24">
        <v>4</v>
      </c>
      <c r="AV26" s="24">
        <v>0</v>
      </c>
      <c r="AW26" s="24">
        <v>0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v>0</v>
      </c>
      <c r="BD26" s="24">
        <v>0</v>
      </c>
      <c r="BE26" s="24">
        <v>0</v>
      </c>
      <c r="BF26" s="24">
        <v>0</v>
      </c>
      <c r="BG26" s="24">
        <v>0</v>
      </c>
      <c r="BH26" s="24">
        <f>SUM(D26:BG26)</f>
        <v>11573</v>
      </c>
    </row>
    <row r="27" spans="1:60">
      <c r="A27" s="18" t="s">
        <v>99</v>
      </c>
      <c r="B27" s="18" t="s">
        <v>92</v>
      </c>
      <c r="C27" s="18" t="s">
        <v>80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4</v>
      </c>
      <c r="J27" s="24">
        <v>28</v>
      </c>
      <c r="K27" s="24">
        <v>177</v>
      </c>
      <c r="L27" s="24">
        <v>212</v>
      </c>
      <c r="M27" s="24">
        <v>249</v>
      </c>
      <c r="N27" s="24">
        <v>275</v>
      </c>
      <c r="O27" s="24">
        <v>325</v>
      </c>
      <c r="P27" s="24">
        <v>350</v>
      </c>
      <c r="Q27" s="24">
        <v>401</v>
      </c>
      <c r="R27" s="24">
        <v>414</v>
      </c>
      <c r="S27" s="24">
        <v>429</v>
      </c>
      <c r="T27" s="24">
        <v>385</v>
      </c>
      <c r="U27" s="24">
        <v>436</v>
      </c>
      <c r="V27" s="24">
        <v>405</v>
      </c>
      <c r="W27" s="24">
        <v>397</v>
      </c>
      <c r="X27" s="24">
        <v>361</v>
      </c>
      <c r="Y27" s="24">
        <v>378</v>
      </c>
      <c r="Z27" s="24">
        <v>357</v>
      </c>
      <c r="AA27" s="24">
        <v>349</v>
      </c>
      <c r="AB27" s="24">
        <v>313</v>
      </c>
      <c r="AC27" s="24">
        <v>330</v>
      </c>
      <c r="AD27" s="24">
        <v>384</v>
      </c>
      <c r="AE27" s="24">
        <v>421</v>
      </c>
      <c r="AF27" s="24">
        <v>358</v>
      </c>
      <c r="AG27" s="24">
        <v>378</v>
      </c>
      <c r="AH27" s="24">
        <v>410</v>
      </c>
      <c r="AI27" s="24">
        <v>387</v>
      </c>
      <c r="AJ27" s="24">
        <v>417</v>
      </c>
      <c r="AK27" s="24">
        <v>390</v>
      </c>
      <c r="AL27" s="24">
        <v>419</v>
      </c>
      <c r="AM27" s="24">
        <v>409</v>
      </c>
      <c r="AN27" s="24">
        <v>400</v>
      </c>
      <c r="AO27" s="24">
        <v>393</v>
      </c>
      <c r="AP27" s="24">
        <v>367</v>
      </c>
      <c r="AQ27" s="24">
        <v>364</v>
      </c>
      <c r="AR27" s="24">
        <v>309</v>
      </c>
      <c r="AS27" s="24">
        <v>158</v>
      </c>
      <c r="AT27" s="24">
        <v>56</v>
      </c>
      <c r="AU27" s="24">
        <v>4</v>
      </c>
      <c r="AV27" s="24">
        <v>2</v>
      </c>
      <c r="AW27" s="24">
        <v>2</v>
      </c>
      <c r="AX27" s="24">
        <v>4</v>
      </c>
      <c r="AY27" s="24">
        <v>3</v>
      </c>
      <c r="AZ27" s="24">
        <v>3</v>
      </c>
      <c r="BA27" s="24">
        <v>5</v>
      </c>
      <c r="BB27" s="24">
        <v>6</v>
      </c>
      <c r="BC27" s="24">
        <v>0</v>
      </c>
      <c r="BD27" s="24">
        <v>1</v>
      </c>
      <c r="BE27" s="24">
        <v>0</v>
      </c>
      <c r="BF27" s="24">
        <v>0</v>
      </c>
      <c r="BG27" s="24">
        <v>0</v>
      </c>
      <c r="BH27" s="24">
        <f>SUM(D27:BG27)</f>
        <v>12625</v>
      </c>
    </row>
    <row r="28" spans="1:60">
      <c r="A28" s="18" t="s">
        <v>100</v>
      </c>
      <c r="B28" s="18" t="s">
        <v>92</v>
      </c>
      <c r="C28" s="18" t="s">
        <v>82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19</v>
      </c>
      <c r="K28" s="24">
        <v>143</v>
      </c>
      <c r="L28" s="24">
        <v>174</v>
      </c>
      <c r="M28" s="24">
        <v>191</v>
      </c>
      <c r="N28" s="24">
        <v>239</v>
      </c>
      <c r="O28" s="24">
        <v>262</v>
      </c>
      <c r="P28" s="24">
        <v>271</v>
      </c>
      <c r="Q28" s="24">
        <v>324</v>
      </c>
      <c r="R28" s="24">
        <v>352</v>
      </c>
      <c r="S28" s="24">
        <v>367</v>
      </c>
      <c r="T28" s="24">
        <v>377</v>
      </c>
      <c r="U28" s="24">
        <v>387</v>
      </c>
      <c r="V28" s="24">
        <v>361</v>
      </c>
      <c r="W28" s="24">
        <v>338</v>
      </c>
      <c r="X28" s="24">
        <v>356</v>
      </c>
      <c r="Y28" s="24">
        <v>298</v>
      </c>
      <c r="Z28" s="24">
        <v>300</v>
      </c>
      <c r="AA28" s="24">
        <v>313</v>
      </c>
      <c r="AB28" s="24">
        <v>285</v>
      </c>
      <c r="AC28" s="24">
        <v>260</v>
      </c>
      <c r="AD28" s="24">
        <v>298</v>
      </c>
      <c r="AE28" s="24">
        <v>363</v>
      </c>
      <c r="AF28" s="24">
        <v>399</v>
      </c>
      <c r="AG28" s="24">
        <v>410</v>
      </c>
      <c r="AH28" s="24">
        <v>419</v>
      </c>
      <c r="AI28" s="24">
        <v>358</v>
      </c>
      <c r="AJ28" s="24">
        <v>349</v>
      </c>
      <c r="AK28" s="24">
        <v>351</v>
      </c>
      <c r="AL28" s="24">
        <v>355</v>
      </c>
      <c r="AM28" s="24">
        <v>360</v>
      </c>
      <c r="AN28" s="24">
        <v>355</v>
      </c>
      <c r="AO28" s="24">
        <v>298</v>
      </c>
      <c r="AP28" s="24">
        <v>355</v>
      </c>
      <c r="AQ28" s="24">
        <v>292</v>
      </c>
      <c r="AR28" s="24">
        <v>292</v>
      </c>
      <c r="AS28" s="24">
        <v>130</v>
      </c>
      <c r="AT28" s="24">
        <v>35</v>
      </c>
      <c r="AU28" s="24">
        <v>6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f>SUM(D28:BG28)</f>
        <v>11042</v>
      </c>
    </row>
    <row r="29" spans="1:60">
      <c r="A29" s="18" t="s">
        <v>101</v>
      </c>
      <c r="B29" s="18" t="s">
        <v>92</v>
      </c>
      <c r="C29" s="18" t="s">
        <v>84</v>
      </c>
      <c r="D29" s="24">
        <v>0</v>
      </c>
      <c r="E29" s="24">
        <v>0</v>
      </c>
      <c r="F29" s="24">
        <v>0</v>
      </c>
      <c r="G29" s="24">
        <v>0</v>
      </c>
      <c r="H29" s="24">
        <v>6</v>
      </c>
      <c r="I29" s="24">
        <v>33</v>
      </c>
      <c r="J29" s="24">
        <v>87</v>
      </c>
      <c r="K29" s="24">
        <v>75</v>
      </c>
      <c r="L29" s="24">
        <v>116</v>
      </c>
      <c r="M29" s="24">
        <v>121</v>
      </c>
      <c r="N29" s="24">
        <v>130</v>
      </c>
      <c r="O29" s="24">
        <v>154</v>
      </c>
      <c r="P29" s="24">
        <v>161</v>
      </c>
      <c r="Q29" s="24">
        <v>156</v>
      </c>
      <c r="R29" s="24">
        <v>168</v>
      </c>
      <c r="S29" s="24">
        <v>172</v>
      </c>
      <c r="T29" s="24">
        <v>200</v>
      </c>
      <c r="U29" s="24">
        <v>216</v>
      </c>
      <c r="V29" s="24">
        <v>201</v>
      </c>
      <c r="W29" s="24">
        <v>224</v>
      </c>
      <c r="X29" s="24">
        <v>201</v>
      </c>
      <c r="Y29" s="24">
        <v>209</v>
      </c>
      <c r="Z29" s="24">
        <v>187</v>
      </c>
      <c r="AA29" s="24">
        <v>160</v>
      </c>
      <c r="AB29" s="24">
        <v>176</v>
      </c>
      <c r="AC29" s="24">
        <v>214</v>
      </c>
      <c r="AD29" s="24">
        <v>196</v>
      </c>
      <c r="AE29" s="24">
        <v>223</v>
      </c>
      <c r="AF29" s="24">
        <v>218</v>
      </c>
      <c r="AG29" s="24">
        <v>250</v>
      </c>
      <c r="AH29" s="24">
        <v>191</v>
      </c>
      <c r="AI29" s="24">
        <v>222</v>
      </c>
      <c r="AJ29" s="24">
        <v>192</v>
      </c>
      <c r="AK29" s="24">
        <v>192</v>
      </c>
      <c r="AL29" s="24">
        <v>194</v>
      </c>
      <c r="AM29" s="24">
        <v>177</v>
      </c>
      <c r="AN29" s="24">
        <v>165</v>
      </c>
      <c r="AO29" s="24">
        <v>191</v>
      </c>
      <c r="AP29" s="24">
        <v>189</v>
      </c>
      <c r="AQ29" s="24">
        <v>110</v>
      </c>
      <c r="AR29" s="24">
        <v>44</v>
      </c>
      <c r="AS29" s="24">
        <v>1</v>
      </c>
      <c r="AT29" s="24">
        <v>3</v>
      </c>
      <c r="AU29" s="24">
        <v>3</v>
      </c>
      <c r="AV29" s="24">
        <v>4</v>
      </c>
      <c r="AW29" s="24">
        <v>7</v>
      </c>
      <c r="AX29" s="24">
        <v>2</v>
      </c>
      <c r="AY29" s="24">
        <v>7</v>
      </c>
      <c r="AZ29" s="24">
        <v>5</v>
      </c>
      <c r="BA29" s="24">
        <v>3</v>
      </c>
      <c r="BB29" s="24">
        <v>1</v>
      </c>
      <c r="BC29" s="24">
        <v>1</v>
      </c>
      <c r="BD29" s="24">
        <v>0</v>
      </c>
      <c r="BE29" s="24">
        <v>0</v>
      </c>
      <c r="BF29" s="24">
        <v>0</v>
      </c>
      <c r="BG29" s="24">
        <v>0</v>
      </c>
      <c r="BH29" s="24">
        <f>SUM(D29:BG29)</f>
        <v>6158</v>
      </c>
    </row>
    <row r="30" spans="1:60">
      <c r="A30" s="18" t="s">
        <v>102</v>
      </c>
      <c r="B30" s="18" t="s">
        <v>92</v>
      </c>
      <c r="C30" s="18" t="s">
        <v>86</v>
      </c>
      <c r="D30" s="24">
        <v>0</v>
      </c>
      <c r="E30" s="24">
        <v>0</v>
      </c>
      <c r="F30" s="24">
        <v>0</v>
      </c>
      <c r="G30" s="24">
        <v>0</v>
      </c>
      <c r="H30" s="24">
        <v>13</v>
      </c>
      <c r="I30" s="24">
        <v>71</v>
      </c>
      <c r="J30" s="24">
        <v>209</v>
      </c>
      <c r="K30" s="24">
        <v>189</v>
      </c>
      <c r="L30" s="24">
        <v>234</v>
      </c>
      <c r="M30" s="24">
        <v>273</v>
      </c>
      <c r="N30" s="24">
        <v>292</v>
      </c>
      <c r="O30" s="24">
        <v>316</v>
      </c>
      <c r="P30" s="24">
        <v>348</v>
      </c>
      <c r="Q30" s="24">
        <v>370</v>
      </c>
      <c r="R30" s="24">
        <v>387</v>
      </c>
      <c r="S30" s="24">
        <v>410</v>
      </c>
      <c r="T30" s="24">
        <v>374</v>
      </c>
      <c r="U30" s="24">
        <v>389</v>
      </c>
      <c r="V30" s="24">
        <v>367</v>
      </c>
      <c r="W30" s="24">
        <v>359</v>
      </c>
      <c r="X30" s="24">
        <v>364</v>
      </c>
      <c r="Y30" s="24">
        <v>352</v>
      </c>
      <c r="Z30" s="24">
        <v>310</v>
      </c>
      <c r="AA30" s="24">
        <v>324</v>
      </c>
      <c r="AB30" s="24">
        <v>373</v>
      </c>
      <c r="AC30" s="24">
        <v>408</v>
      </c>
      <c r="AD30" s="24">
        <v>428</v>
      </c>
      <c r="AE30" s="24">
        <v>411</v>
      </c>
      <c r="AF30" s="24">
        <v>413</v>
      </c>
      <c r="AG30" s="24">
        <v>453</v>
      </c>
      <c r="AH30" s="24">
        <v>427</v>
      </c>
      <c r="AI30" s="24">
        <v>394</v>
      </c>
      <c r="AJ30" s="24">
        <v>414</v>
      </c>
      <c r="AK30" s="24">
        <v>395</v>
      </c>
      <c r="AL30" s="24">
        <v>423</v>
      </c>
      <c r="AM30" s="24">
        <v>411</v>
      </c>
      <c r="AN30" s="24">
        <v>359</v>
      </c>
      <c r="AO30" s="24">
        <v>373</v>
      </c>
      <c r="AP30" s="24">
        <v>346</v>
      </c>
      <c r="AQ30" s="24">
        <v>229</v>
      </c>
      <c r="AR30" s="24">
        <v>106</v>
      </c>
      <c r="AS30" s="24">
        <v>8</v>
      </c>
      <c r="AT30" s="24">
        <v>1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f>SUM(D30:BG30)</f>
        <v>12323</v>
      </c>
    </row>
    <row r="31" spans="1:60">
      <c r="A31" s="18" t="s">
        <v>103</v>
      </c>
      <c r="B31" s="18" t="s">
        <v>92</v>
      </c>
      <c r="C31" s="18" t="s">
        <v>88</v>
      </c>
      <c r="D31" s="24">
        <v>0</v>
      </c>
      <c r="E31" s="24">
        <v>0</v>
      </c>
      <c r="F31" s="24">
        <v>0</v>
      </c>
      <c r="G31" s="24">
        <v>0</v>
      </c>
      <c r="H31" s="24">
        <v>7</v>
      </c>
      <c r="I31" s="24">
        <v>82</v>
      </c>
      <c r="J31" s="24">
        <v>178</v>
      </c>
      <c r="K31" s="24">
        <v>169</v>
      </c>
      <c r="L31" s="24">
        <v>205</v>
      </c>
      <c r="M31" s="24">
        <v>238</v>
      </c>
      <c r="N31" s="24">
        <v>289</v>
      </c>
      <c r="O31" s="24">
        <v>308</v>
      </c>
      <c r="P31" s="24">
        <v>327</v>
      </c>
      <c r="Q31" s="24">
        <v>344</v>
      </c>
      <c r="R31" s="24">
        <v>405</v>
      </c>
      <c r="S31" s="24">
        <v>390</v>
      </c>
      <c r="T31" s="24">
        <v>377</v>
      </c>
      <c r="U31" s="24">
        <v>380</v>
      </c>
      <c r="V31" s="24">
        <v>365</v>
      </c>
      <c r="W31" s="24">
        <v>376</v>
      </c>
      <c r="X31" s="24">
        <v>416</v>
      </c>
      <c r="Y31" s="24">
        <v>380</v>
      </c>
      <c r="Z31" s="24">
        <v>371</v>
      </c>
      <c r="AA31" s="24">
        <v>313</v>
      </c>
      <c r="AB31" s="24">
        <v>377</v>
      </c>
      <c r="AC31" s="24">
        <v>436</v>
      </c>
      <c r="AD31" s="24">
        <v>460</v>
      </c>
      <c r="AE31" s="24">
        <v>384</v>
      </c>
      <c r="AF31" s="24">
        <v>412</v>
      </c>
      <c r="AG31" s="24">
        <v>421</v>
      </c>
      <c r="AH31" s="24">
        <v>412</v>
      </c>
      <c r="AI31" s="24">
        <v>407</v>
      </c>
      <c r="AJ31" s="24">
        <v>375</v>
      </c>
      <c r="AK31" s="24">
        <v>413</v>
      </c>
      <c r="AL31" s="24">
        <v>390</v>
      </c>
      <c r="AM31" s="24">
        <v>404</v>
      </c>
      <c r="AN31" s="24">
        <v>346</v>
      </c>
      <c r="AO31" s="24">
        <v>347</v>
      </c>
      <c r="AP31" s="24">
        <v>335</v>
      </c>
      <c r="AQ31" s="24">
        <v>246</v>
      </c>
      <c r="AR31" s="24">
        <v>113</v>
      </c>
      <c r="AS31" s="24">
        <v>2</v>
      </c>
      <c r="AT31" s="24">
        <v>0</v>
      </c>
      <c r="AU31" s="24">
        <v>1</v>
      </c>
      <c r="AV31" s="24">
        <v>2</v>
      </c>
      <c r="AW31" s="24">
        <v>4</v>
      </c>
      <c r="AX31" s="24">
        <v>2</v>
      </c>
      <c r="AY31" s="24">
        <v>3</v>
      </c>
      <c r="AZ31" s="24">
        <v>6</v>
      </c>
      <c r="BA31" s="24">
        <v>2</v>
      </c>
      <c r="BB31" s="24">
        <v>1</v>
      </c>
      <c r="BC31" s="24">
        <v>1</v>
      </c>
      <c r="BD31" s="24">
        <v>0</v>
      </c>
      <c r="BE31" s="24">
        <v>0</v>
      </c>
      <c r="BF31" s="24">
        <v>0</v>
      </c>
      <c r="BG31" s="24">
        <v>0</v>
      </c>
      <c r="BH31" s="24">
        <f>SUM(D31:BG31)</f>
        <v>12222</v>
      </c>
    </row>
    <row r="32" spans="1:60">
      <c r="A32" s="18" t="s">
        <v>104</v>
      </c>
      <c r="B32" s="18" t="s">
        <v>92</v>
      </c>
      <c r="C32" s="18" t="s">
        <v>90</v>
      </c>
      <c r="D32" s="24">
        <v>0</v>
      </c>
      <c r="E32" s="24">
        <v>0</v>
      </c>
      <c r="F32" s="24">
        <v>0</v>
      </c>
      <c r="G32" s="24">
        <v>0</v>
      </c>
      <c r="H32" s="24">
        <v>19</v>
      </c>
      <c r="I32" s="24">
        <v>113</v>
      </c>
      <c r="J32" s="24">
        <v>294</v>
      </c>
      <c r="K32" s="24">
        <v>297</v>
      </c>
      <c r="L32" s="24">
        <v>287</v>
      </c>
      <c r="M32" s="24">
        <v>361</v>
      </c>
      <c r="N32" s="24">
        <v>384</v>
      </c>
      <c r="O32" s="24">
        <v>463</v>
      </c>
      <c r="P32" s="24">
        <v>460</v>
      </c>
      <c r="Q32" s="24">
        <v>478</v>
      </c>
      <c r="R32" s="24">
        <v>449</v>
      </c>
      <c r="S32" s="24">
        <v>491</v>
      </c>
      <c r="T32" s="24">
        <v>541</v>
      </c>
      <c r="U32" s="24">
        <v>537</v>
      </c>
      <c r="V32" s="24">
        <v>445</v>
      </c>
      <c r="W32" s="24">
        <v>443</v>
      </c>
      <c r="X32" s="24">
        <v>469</v>
      </c>
      <c r="Y32" s="24">
        <v>480</v>
      </c>
      <c r="Z32" s="24">
        <v>454</v>
      </c>
      <c r="AA32" s="24">
        <v>417</v>
      </c>
      <c r="AB32" s="24">
        <v>440</v>
      </c>
      <c r="AC32" s="24">
        <v>456</v>
      </c>
      <c r="AD32" s="24">
        <v>495</v>
      </c>
      <c r="AE32" s="24">
        <v>506</v>
      </c>
      <c r="AF32" s="24">
        <v>483</v>
      </c>
      <c r="AG32" s="24">
        <v>525</v>
      </c>
      <c r="AH32" s="24">
        <v>528</v>
      </c>
      <c r="AI32" s="24">
        <v>504</v>
      </c>
      <c r="AJ32" s="24">
        <v>519</v>
      </c>
      <c r="AK32" s="24">
        <v>498</v>
      </c>
      <c r="AL32" s="24">
        <v>473</v>
      </c>
      <c r="AM32" s="24">
        <v>528</v>
      </c>
      <c r="AN32" s="24">
        <v>455</v>
      </c>
      <c r="AO32" s="24">
        <v>442</v>
      </c>
      <c r="AP32" s="24">
        <v>439</v>
      </c>
      <c r="AQ32" s="24">
        <v>332</v>
      </c>
      <c r="AR32" s="24">
        <v>139</v>
      </c>
      <c r="AS32" s="24">
        <v>5</v>
      </c>
      <c r="AT32" s="24">
        <v>1</v>
      </c>
      <c r="AU32" s="24">
        <v>6</v>
      </c>
      <c r="AV32" s="24">
        <v>3</v>
      </c>
      <c r="AW32" s="24">
        <v>6</v>
      </c>
      <c r="AX32" s="24">
        <v>8</v>
      </c>
      <c r="AY32" s="24">
        <v>2</v>
      </c>
      <c r="AZ32" s="24">
        <v>0</v>
      </c>
      <c r="BA32" s="24">
        <v>0</v>
      </c>
      <c r="BB32" s="24">
        <v>0</v>
      </c>
      <c r="BC32" s="24">
        <v>0</v>
      </c>
      <c r="BD32" s="24">
        <v>0</v>
      </c>
      <c r="BE32" s="24">
        <v>0</v>
      </c>
      <c r="BF32" s="24">
        <v>0</v>
      </c>
      <c r="BG32" s="24">
        <v>0</v>
      </c>
      <c r="BH32" s="24">
        <f>SUM(D32:BG32)</f>
        <v>15675</v>
      </c>
    </row>
    <row r="33" spans="1:60">
      <c r="A33" s="18" t="s">
        <v>105</v>
      </c>
      <c r="B33" s="18" t="s">
        <v>106</v>
      </c>
      <c r="C33" s="18" t="s">
        <v>66</v>
      </c>
      <c r="D33" s="24">
        <v>0</v>
      </c>
      <c r="E33" s="24">
        <v>0</v>
      </c>
      <c r="F33" s="24">
        <v>0</v>
      </c>
      <c r="G33" s="24">
        <v>9</v>
      </c>
      <c r="H33" s="24">
        <v>137</v>
      </c>
      <c r="I33" s="24">
        <v>1027</v>
      </c>
      <c r="J33" s="24">
        <v>1681</v>
      </c>
      <c r="K33" s="24">
        <v>1814</v>
      </c>
      <c r="L33" s="24">
        <v>2096</v>
      </c>
      <c r="M33" s="24">
        <v>2300</v>
      </c>
      <c r="N33" s="24">
        <v>2473</v>
      </c>
      <c r="O33" s="24">
        <v>2674</v>
      </c>
      <c r="P33" s="24">
        <v>2916</v>
      </c>
      <c r="Q33" s="24">
        <v>2914</v>
      </c>
      <c r="R33" s="24">
        <v>2871</v>
      </c>
      <c r="S33" s="24">
        <v>2845</v>
      </c>
      <c r="T33" s="24">
        <v>2890</v>
      </c>
      <c r="U33" s="24">
        <v>2684</v>
      </c>
      <c r="V33" s="24">
        <v>2491</v>
      </c>
      <c r="W33" s="24">
        <v>2253</v>
      </c>
      <c r="X33" s="24">
        <v>2163</v>
      </c>
      <c r="Y33" s="24">
        <v>2070</v>
      </c>
      <c r="Z33" s="24">
        <v>2047</v>
      </c>
      <c r="AA33" s="24">
        <v>2142</v>
      </c>
      <c r="AB33" s="24">
        <v>2430</v>
      </c>
      <c r="AC33" s="24">
        <v>2517</v>
      </c>
      <c r="AD33" s="24">
        <v>2600</v>
      </c>
      <c r="AE33" s="24">
        <v>2755</v>
      </c>
      <c r="AF33" s="24">
        <v>2632</v>
      </c>
      <c r="AG33" s="24">
        <v>2464</v>
      </c>
      <c r="AH33" s="24">
        <v>2504</v>
      </c>
      <c r="AI33" s="24">
        <v>2397</v>
      </c>
      <c r="AJ33" s="24">
        <v>2384</v>
      </c>
      <c r="AK33" s="24">
        <v>2366</v>
      </c>
      <c r="AL33" s="24">
        <v>2326</v>
      </c>
      <c r="AM33" s="24">
        <v>2221</v>
      </c>
      <c r="AN33" s="24">
        <v>2151</v>
      </c>
      <c r="AO33" s="24">
        <v>2081</v>
      </c>
      <c r="AP33" s="24">
        <v>1690</v>
      </c>
      <c r="AQ33" s="24">
        <v>1165</v>
      </c>
      <c r="AR33" s="24">
        <v>501</v>
      </c>
      <c r="AS33" s="24">
        <v>52</v>
      </c>
      <c r="AT33" s="24">
        <v>11</v>
      </c>
      <c r="AU33" s="24">
        <v>10</v>
      </c>
      <c r="AV33" s="24">
        <v>9</v>
      </c>
      <c r="AW33" s="24">
        <v>16</v>
      </c>
      <c r="AX33" s="24">
        <v>13</v>
      </c>
      <c r="AY33" s="24">
        <v>16</v>
      </c>
      <c r="AZ33" s="24">
        <v>7</v>
      </c>
      <c r="BA33" s="24">
        <v>3</v>
      </c>
      <c r="BB33" s="24">
        <v>0</v>
      </c>
      <c r="BC33" s="24">
        <v>0</v>
      </c>
      <c r="BD33" s="24">
        <v>0</v>
      </c>
      <c r="BE33" s="24">
        <v>0</v>
      </c>
      <c r="BF33" s="24">
        <v>0</v>
      </c>
      <c r="BG33" s="24">
        <v>0</v>
      </c>
      <c r="BH33" s="24">
        <f>SUM(D33:BG33)</f>
        <v>81818</v>
      </c>
    </row>
    <row r="34" spans="1:60">
      <c r="A34" s="18" t="s">
        <v>107</v>
      </c>
      <c r="B34" s="18" t="s">
        <v>106</v>
      </c>
      <c r="C34" s="18" t="s">
        <v>68</v>
      </c>
      <c r="D34" s="24">
        <v>0</v>
      </c>
      <c r="E34" s="24">
        <v>0</v>
      </c>
      <c r="F34" s="24">
        <v>0</v>
      </c>
      <c r="G34" s="24">
        <v>0</v>
      </c>
      <c r="H34" s="24">
        <v>19</v>
      </c>
      <c r="I34" s="24">
        <v>112</v>
      </c>
      <c r="J34" s="24">
        <v>164</v>
      </c>
      <c r="K34" s="24">
        <v>194</v>
      </c>
      <c r="L34" s="24">
        <v>222</v>
      </c>
      <c r="M34" s="24">
        <v>225</v>
      </c>
      <c r="N34" s="24">
        <v>254</v>
      </c>
      <c r="O34" s="24">
        <v>255</v>
      </c>
      <c r="P34" s="24">
        <v>280</v>
      </c>
      <c r="Q34" s="24">
        <v>274</v>
      </c>
      <c r="R34" s="24">
        <v>271</v>
      </c>
      <c r="S34" s="24">
        <v>273</v>
      </c>
      <c r="T34" s="24">
        <v>278</v>
      </c>
      <c r="U34" s="24">
        <v>251</v>
      </c>
      <c r="V34" s="24">
        <v>208</v>
      </c>
      <c r="W34" s="24">
        <v>214</v>
      </c>
      <c r="X34" s="24">
        <v>219</v>
      </c>
      <c r="Y34" s="24">
        <v>200</v>
      </c>
      <c r="Z34" s="24">
        <v>216</v>
      </c>
      <c r="AA34" s="24">
        <v>208</v>
      </c>
      <c r="AB34" s="24">
        <v>233</v>
      </c>
      <c r="AC34" s="24">
        <v>240</v>
      </c>
      <c r="AD34" s="24">
        <v>242</v>
      </c>
      <c r="AE34" s="24">
        <v>268</v>
      </c>
      <c r="AF34" s="24">
        <v>263</v>
      </c>
      <c r="AG34" s="24">
        <v>255</v>
      </c>
      <c r="AH34" s="24">
        <v>231</v>
      </c>
      <c r="AI34" s="24">
        <v>235</v>
      </c>
      <c r="AJ34" s="24">
        <v>222</v>
      </c>
      <c r="AK34" s="24">
        <v>229</v>
      </c>
      <c r="AL34" s="24">
        <v>246</v>
      </c>
      <c r="AM34" s="24">
        <v>219</v>
      </c>
      <c r="AN34" s="24">
        <v>183</v>
      </c>
      <c r="AO34" s="24">
        <v>191</v>
      </c>
      <c r="AP34" s="24">
        <v>173</v>
      </c>
      <c r="AQ34" s="24">
        <v>119</v>
      </c>
      <c r="AR34" s="24">
        <v>60</v>
      </c>
      <c r="AS34" s="24">
        <v>3</v>
      </c>
      <c r="AT34" s="24">
        <v>3</v>
      </c>
      <c r="AU34" s="24">
        <v>2</v>
      </c>
      <c r="AV34" s="24">
        <v>2</v>
      </c>
      <c r="AW34" s="24">
        <v>3</v>
      </c>
      <c r="AX34" s="24">
        <v>2</v>
      </c>
      <c r="AY34" s="24">
        <v>1</v>
      </c>
      <c r="AZ34" s="24">
        <v>0</v>
      </c>
      <c r="BA34" s="24">
        <v>0</v>
      </c>
      <c r="BB34" s="24">
        <v>0</v>
      </c>
      <c r="BC34" s="24">
        <v>0</v>
      </c>
      <c r="BD34" s="24">
        <v>0</v>
      </c>
      <c r="BE34" s="24">
        <v>0</v>
      </c>
      <c r="BF34" s="24">
        <v>0</v>
      </c>
      <c r="BG34" s="24">
        <v>0</v>
      </c>
      <c r="BH34" s="24">
        <f>SUM(D34:BG34)</f>
        <v>7962</v>
      </c>
    </row>
    <row r="35" spans="1:60">
      <c r="A35" s="18" t="s">
        <v>108</v>
      </c>
      <c r="B35" s="18" t="s">
        <v>106</v>
      </c>
      <c r="C35" s="18" t="s">
        <v>70</v>
      </c>
      <c r="D35" s="24">
        <v>0</v>
      </c>
      <c r="E35" s="24">
        <v>0</v>
      </c>
      <c r="F35" s="24">
        <v>0</v>
      </c>
      <c r="G35" s="24">
        <v>1</v>
      </c>
      <c r="H35" s="24">
        <v>11</v>
      </c>
      <c r="I35" s="24">
        <v>95</v>
      </c>
      <c r="J35" s="24">
        <v>162</v>
      </c>
      <c r="K35" s="24">
        <v>168</v>
      </c>
      <c r="L35" s="24">
        <v>223</v>
      </c>
      <c r="M35" s="24">
        <v>210</v>
      </c>
      <c r="N35" s="24">
        <v>261</v>
      </c>
      <c r="O35" s="24">
        <v>243</v>
      </c>
      <c r="P35" s="24">
        <v>265</v>
      </c>
      <c r="Q35" s="24">
        <v>245</v>
      </c>
      <c r="R35" s="24">
        <v>271</v>
      </c>
      <c r="S35" s="24">
        <v>233</v>
      </c>
      <c r="T35" s="24">
        <v>255</v>
      </c>
      <c r="U35" s="24">
        <v>208</v>
      </c>
      <c r="V35" s="24">
        <v>215</v>
      </c>
      <c r="W35" s="24">
        <v>186</v>
      </c>
      <c r="X35" s="24">
        <v>187</v>
      </c>
      <c r="Y35" s="24">
        <v>180</v>
      </c>
      <c r="Z35" s="24">
        <v>156</v>
      </c>
      <c r="AA35" s="24">
        <v>207</v>
      </c>
      <c r="AB35" s="24">
        <v>205</v>
      </c>
      <c r="AC35" s="24">
        <v>180</v>
      </c>
      <c r="AD35" s="24">
        <v>214</v>
      </c>
      <c r="AE35" s="24">
        <v>229</v>
      </c>
      <c r="AF35" s="24">
        <v>242</v>
      </c>
      <c r="AG35" s="24">
        <v>211</v>
      </c>
      <c r="AH35" s="24">
        <v>213</v>
      </c>
      <c r="AI35" s="24">
        <v>212</v>
      </c>
      <c r="AJ35" s="24">
        <v>188</v>
      </c>
      <c r="AK35" s="24">
        <v>199</v>
      </c>
      <c r="AL35" s="24">
        <v>192</v>
      </c>
      <c r="AM35" s="24">
        <v>201</v>
      </c>
      <c r="AN35" s="24">
        <v>164</v>
      </c>
      <c r="AO35" s="24">
        <v>171</v>
      </c>
      <c r="AP35" s="24">
        <v>128</v>
      </c>
      <c r="AQ35" s="24">
        <v>96</v>
      </c>
      <c r="AR35" s="24">
        <v>46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4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f>SUM(D35:BG35)</f>
        <v>7077</v>
      </c>
    </row>
    <row r="36" spans="1:60">
      <c r="A36" s="18" t="s">
        <v>109</v>
      </c>
      <c r="B36" s="18" t="s">
        <v>106</v>
      </c>
      <c r="C36" s="18" t="s">
        <v>72</v>
      </c>
      <c r="D36" s="24">
        <v>0</v>
      </c>
      <c r="E36" s="24">
        <v>0</v>
      </c>
      <c r="F36" s="24">
        <v>0</v>
      </c>
      <c r="G36" s="24">
        <v>0</v>
      </c>
      <c r="H36" s="24">
        <v>10</v>
      </c>
      <c r="I36" s="24">
        <v>87</v>
      </c>
      <c r="J36" s="24">
        <v>149</v>
      </c>
      <c r="K36" s="24">
        <v>192</v>
      </c>
      <c r="L36" s="24">
        <v>203</v>
      </c>
      <c r="M36" s="24">
        <v>225</v>
      </c>
      <c r="N36" s="24">
        <v>200</v>
      </c>
      <c r="O36" s="24">
        <v>243</v>
      </c>
      <c r="P36" s="24">
        <v>276</v>
      </c>
      <c r="Q36" s="24">
        <v>261</v>
      </c>
      <c r="R36" s="24">
        <v>264</v>
      </c>
      <c r="S36" s="24">
        <v>252</v>
      </c>
      <c r="T36" s="24">
        <v>252</v>
      </c>
      <c r="U36" s="24">
        <v>247</v>
      </c>
      <c r="V36" s="24">
        <v>232</v>
      </c>
      <c r="W36" s="24">
        <v>194</v>
      </c>
      <c r="X36" s="24">
        <v>201</v>
      </c>
      <c r="Y36" s="24">
        <v>173</v>
      </c>
      <c r="Z36" s="24">
        <v>196</v>
      </c>
      <c r="AA36" s="24">
        <v>178</v>
      </c>
      <c r="AB36" s="24">
        <v>221</v>
      </c>
      <c r="AC36" s="24">
        <v>204</v>
      </c>
      <c r="AD36" s="24">
        <v>242</v>
      </c>
      <c r="AE36" s="24">
        <v>250</v>
      </c>
      <c r="AF36" s="24">
        <v>232</v>
      </c>
      <c r="AG36" s="24">
        <v>202</v>
      </c>
      <c r="AH36" s="24">
        <v>213</v>
      </c>
      <c r="AI36" s="24">
        <v>220</v>
      </c>
      <c r="AJ36" s="24">
        <v>196</v>
      </c>
      <c r="AK36" s="24">
        <v>209</v>
      </c>
      <c r="AL36" s="24">
        <v>181</v>
      </c>
      <c r="AM36" s="24">
        <v>159</v>
      </c>
      <c r="AN36" s="24">
        <v>203</v>
      </c>
      <c r="AO36" s="24">
        <v>180</v>
      </c>
      <c r="AP36" s="24">
        <v>164</v>
      </c>
      <c r="AQ36" s="24">
        <v>103</v>
      </c>
      <c r="AR36" s="24">
        <v>36</v>
      </c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0</v>
      </c>
      <c r="AY36" s="24">
        <v>0</v>
      </c>
      <c r="AZ36" s="24">
        <v>0</v>
      </c>
      <c r="BA36" s="24">
        <v>0</v>
      </c>
      <c r="BB36" s="24">
        <v>0</v>
      </c>
      <c r="BC36" s="24">
        <v>0</v>
      </c>
      <c r="BD36" s="24">
        <v>0</v>
      </c>
      <c r="BE36" s="24">
        <v>0</v>
      </c>
      <c r="BF36" s="24">
        <v>0</v>
      </c>
      <c r="BG36" s="24">
        <v>0</v>
      </c>
      <c r="BH36" s="24">
        <f>SUM(D36:BG36)</f>
        <v>7250</v>
      </c>
    </row>
    <row r="37" spans="1:60">
      <c r="A37" s="18" t="s">
        <v>110</v>
      </c>
      <c r="B37" s="18" t="s">
        <v>106</v>
      </c>
      <c r="C37" s="18" t="s">
        <v>74</v>
      </c>
      <c r="D37" s="24">
        <v>0</v>
      </c>
      <c r="E37" s="24">
        <v>0</v>
      </c>
      <c r="F37" s="24">
        <v>0</v>
      </c>
      <c r="G37" s="24">
        <v>2</v>
      </c>
      <c r="H37" s="24">
        <v>20</v>
      </c>
      <c r="I37" s="24">
        <v>156</v>
      </c>
      <c r="J37" s="24">
        <v>206</v>
      </c>
      <c r="K37" s="24">
        <v>184</v>
      </c>
      <c r="L37" s="24">
        <v>221</v>
      </c>
      <c r="M37" s="24">
        <v>240</v>
      </c>
      <c r="N37" s="24">
        <v>252</v>
      </c>
      <c r="O37" s="24">
        <v>250</v>
      </c>
      <c r="P37" s="24">
        <v>298</v>
      </c>
      <c r="Q37" s="24">
        <v>282</v>
      </c>
      <c r="R37" s="24">
        <v>269</v>
      </c>
      <c r="S37" s="24">
        <v>248</v>
      </c>
      <c r="T37" s="24">
        <v>257</v>
      </c>
      <c r="U37" s="24">
        <v>279</v>
      </c>
      <c r="V37" s="24">
        <v>232</v>
      </c>
      <c r="W37" s="24">
        <v>197</v>
      </c>
      <c r="X37" s="24">
        <v>180</v>
      </c>
      <c r="Y37" s="24">
        <v>191</v>
      </c>
      <c r="Z37" s="24">
        <v>160</v>
      </c>
      <c r="AA37" s="24">
        <v>182</v>
      </c>
      <c r="AB37" s="24">
        <v>230</v>
      </c>
      <c r="AC37" s="24">
        <v>216</v>
      </c>
      <c r="AD37" s="24">
        <v>219</v>
      </c>
      <c r="AE37" s="24">
        <v>258</v>
      </c>
      <c r="AF37" s="24">
        <v>246</v>
      </c>
      <c r="AG37" s="24">
        <v>231</v>
      </c>
      <c r="AH37" s="24">
        <v>227</v>
      </c>
      <c r="AI37" s="24">
        <v>169</v>
      </c>
      <c r="AJ37" s="24">
        <v>197</v>
      </c>
      <c r="AK37" s="24">
        <v>211</v>
      </c>
      <c r="AL37" s="24">
        <v>206</v>
      </c>
      <c r="AM37" s="24">
        <v>209</v>
      </c>
      <c r="AN37" s="24">
        <v>163</v>
      </c>
      <c r="AO37" s="24">
        <v>174</v>
      </c>
      <c r="AP37" s="24">
        <v>155</v>
      </c>
      <c r="AQ37" s="24">
        <v>97</v>
      </c>
      <c r="AR37" s="24">
        <v>33</v>
      </c>
      <c r="AS37" s="24">
        <v>4</v>
      </c>
      <c r="AT37" s="24">
        <v>0</v>
      </c>
      <c r="AU37" s="24">
        <v>0</v>
      </c>
      <c r="AV37" s="24">
        <v>0</v>
      </c>
      <c r="AW37" s="24">
        <v>0</v>
      </c>
      <c r="AX37" s="24">
        <v>0</v>
      </c>
      <c r="AY37" s="24">
        <v>0</v>
      </c>
      <c r="AZ37" s="24">
        <v>0</v>
      </c>
      <c r="BA37" s="24">
        <v>0</v>
      </c>
      <c r="BB37" s="24">
        <v>0</v>
      </c>
      <c r="BC37" s="24">
        <v>0</v>
      </c>
      <c r="BD37" s="24">
        <v>0</v>
      </c>
      <c r="BE37" s="24">
        <v>0</v>
      </c>
      <c r="BF37" s="24">
        <v>0</v>
      </c>
      <c r="BG37" s="24">
        <v>0</v>
      </c>
      <c r="BH37" s="24">
        <f>SUM(D37:BG37)</f>
        <v>7551</v>
      </c>
    </row>
    <row r="38" spans="1:60">
      <c r="A38" s="18" t="s">
        <v>111</v>
      </c>
      <c r="B38" s="18" t="s">
        <v>106</v>
      </c>
      <c r="C38" s="18" t="s">
        <v>76</v>
      </c>
      <c r="D38" s="24">
        <v>0</v>
      </c>
      <c r="E38" s="24">
        <v>0</v>
      </c>
      <c r="F38" s="24">
        <v>0</v>
      </c>
      <c r="G38" s="24">
        <v>2</v>
      </c>
      <c r="H38" s="24">
        <v>10</v>
      </c>
      <c r="I38" s="24">
        <v>99</v>
      </c>
      <c r="J38" s="24">
        <v>141</v>
      </c>
      <c r="K38" s="24">
        <v>178</v>
      </c>
      <c r="L38" s="24">
        <v>193</v>
      </c>
      <c r="M38" s="24">
        <v>184</v>
      </c>
      <c r="N38" s="24">
        <v>205</v>
      </c>
      <c r="O38" s="24">
        <v>242</v>
      </c>
      <c r="P38" s="24">
        <v>248</v>
      </c>
      <c r="Q38" s="24">
        <v>254</v>
      </c>
      <c r="R38" s="24">
        <v>220</v>
      </c>
      <c r="S38" s="24">
        <v>227</v>
      </c>
      <c r="T38" s="24">
        <v>227</v>
      </c>
      <c r="U38" s="24">
        <v>243</v>
      </c>
      <c r="V38" s="24">
        <v>213</v>
      </c>
      <c r="W38" s="24">
        <v>207</v>
      </c>
      <c r="X38" s="24">
        <v>181</v>
      </c>
      <c r="Y38" s="24">
        <v>155</v>
      </c>
      <c r="Z38" s="24">
        <v>160</v>
      </c>
      <c r="AA38" s="24">
        <v>184</v>
      </c>
      <c r="AB38" s="24">
        <v>192</v>
      </c>
      <c r="AC38" s="24">
        <v>201</v>
      </c>
      <c r="AD38" s="24">
        <v>208</v>
      </c>
      <c r="AE38" s="24">
        <v>215</v>
      </c>
      <c r="AF38" s="24">
        <v>213</v>
      </c>
      <c r="AG38" s="24">
        <v>202</v>
      </c>
      <c r="AH38" s="24">
        <v>218</v>
      </c>
      <c r="AI38" s="24">
        <v>190</v>
      </c>
      <c r="AJ38" s="24">
        <v>210</v>
      </c>
      <c r="AK38" s="24">
        <v>161</v>
      </c>
      <c r="AL38" s="24">
        <v>167</v>
      </c>
      <c r="AM38" s="24">
        <v>169</v>
      </c>
      <c r="AN38" s="24">
        <v>177</v>
      </c>
      <c r="AO38" s="24">
        <v>178</v>
      </c>
      <c r="AP38" s="24">
        <v>144</v>
      </c>
      <c r="AQ38" s="24">
        <v>107</v>
      </c>
      <c r="AR38" s="24">
        <v>47</v>
      </c>
      <c r="AS38" s="24">
        <v>1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f>SUM(D38:BG38)</f>
        <v>6773</v>
      </c>
    </row>
    <row r="39" spans="1:60">
      <c r="A39" s="18" t="s">
        <v>112</v>
      </c>
      <c r="B39" s="18" t="s">
        <v>106</v>
      </c>
      <c r="C39" s="18" t="s">
        <v>78</v>
      </c>
      <c r="D39" s="24">
        <v>0</v>
      </c>
      <c r="E39" s="24">
        <v>0</v>
      </c>
      <c r="F39" s="24">
        <v>0</v>
      </c>
      <c r="G39" s="24">
        <v>2</v>
      </c>
      <c r="H39" s="24">
        <v>5</v>
      </c>
      <c r="I39" s="24">
        <v>75</v>
      </c>
      <c r="J39" s="24">
        <v>133</v>
      </c>
      <c r="K39" s="24">
        <v>121</v>
      </c>
      <c r="L39" s="24">
        <v>151</v>
      </c>
      <c r="M39" s="24">
        <v>195</v>
      </c>
      <c r="N39" s="24">
        <v>186</v>
      </c>
      <c r="O39" s="24">
        <v>215</v>
      </c>
      <c r="P39" s="24">
        <v>217</v>
      </c>
      <c r="Q39" s="24">
        <v>224</v>
      </c>
      <c r="R39" s="24">
        <v>265</v>
      </c>
      <c r="S39" s="24">
        <v>220</v>
      </c>
      <c r="T39" s="24">
        <v>228</v>
      </c>
      <c r="U39" s="24">
        <v>197</v>
      </c>
      <c r="V39" s="24">
        <v>187</v>
      </c>
      <c r="W39" s="24">
        <v>154</v>
      </c>
      <c r="X39" s="24">
        <v>148</v>
      </c>
      <c r="Y39" s="24">
        <v>158</v>
      </c>
      <c r="Z39" s="24">
        <v>148</v>
      </c>
      <c r="AA39" s="24">
        <v>167</v>
      </c>
      <c r="AB39" s="24">
        <v>150</v>
      </c>
      <c r="AC39" s="24">
        <v>208</v>
      </c>
      <c r="AD39" s="24">
        <v>157</v>
      </c>
      <c r="AE39" s="24">
        <v>182</v>
      </c>
      <c r="AF39" s="24">
        <v>195</v>
      </c>
      <c r="AG39" s="24">
        <v>188</v>
      </c>
      <c r="AH39" s="24">
        <v>167</v>
      </c>
      <c r="AI39" s="24">
        <v>168</v>
      </c>
      <c r="AJ39" s="24">
        <v>166</v>
      </c>
      <c r="AK39" s="24">
        <v>162</v>
      </c>
      <c r="AL39" s="24">
        <v>154</v>
      </c>
      <c r="AM39" s="24">
        <v>157</v>
      </c>
      <c r="AN39" s="24">
        <v>178</v>
      </c>
      <c r="AO39" s="24">
        <v>153</v>
      </c>
      <c r="AP39" s="24">
        <v>114</v>
      </c>
      <c r="AQ39" s="24">
        <v>83</v>
      </c>
      <c r="AR39" s="24">
        <v>35</v>
      </c>
      <c r="AS39" s="24">
        <v>3</v>
      </c>
      <c r="AT39" s="24">
        <v>1</v>
      </c>
      <c r="AU39" s="24">
        <v>0</v>
      </c>
      <c r="AV39" s="24">
        <v>0</v>
      </c>
      <c r="AW39" s="24">
        <v>0</v>
      </c>
      <c r="AX39" s="24">
        <v>0</v>
      </c>
      <c r="AY39" s="24">
        <v>0</v>
      </c>
      <c r="AZ39" s="24">
        <v>0</v>
      </c>
      <c r="BA39" s="24">
        <v>0</v>
      </c>
      <c r="BB39" s="24">
        <v>0</v>
      </c>
      <c r="BC39" s="24">
        <v>0</v>
      </c>
      <c r="BD39" s="24">
        <v>0</v>
      </c>
      <c r="BE39" s="24">
        <v>0</v>
      </c>
      <c r="BF39" s="24">
        <v>0</v>
      </c>
      <c r="BG39" s="24">
        <v>0</v>
      </c>
      <c r="BH39" s="24">
        <f>SUM(D39:BG39)</f>
        <v>6017</v>
      </c>
    </row>
    <row r="40" spans="1:60">
      <c r="A40" s="18" t="s">
        <v>113</v>
      </c>
      <c r="B40" s="18" t="s">
        <v>106</v>
      </c>
      <c r="C40" s="18" t="s">
        <v>80</v>
      </c>
      <c r="D40" s="24">
        <v>0</v>
      </c>
      <c r="E40" s="24">
        <v>0</v>
      </c>
      <c r="F40" s="24">
        <v>0</v>
      </c>
      <c r="G40" s="24">
        <v>1</v>
      </c>
      <c r="H40" s="24">
        <v>11</v>
      </c>
      <c r="I40" s="24">
        <v>67</v>
      </c>
      <c r="J40" s="24">
        <v>118</v>
      </c>
      <c r="K40" s="24">
        <v>157</v>
      </c>
      <c r="L40" s="24">
        <v>163</v>
      </c>
      <c r="M40" s="24">
        <v>238</v>
      </c>
      <c r="N40" s="24">
        <v>203</v>
      </c>
      <c r="O40" s="24">
        <v>265</v>
      </c>
      <c r="P40" s="24">
        <v>255</v>
      </c>
      <c r="Q40" s="24">
        <v>253</v>
      </c>
      <c r="R40" s="24">
        <v>264</v>
      </c>
      <c r="S40" s="24">
        <v>248</v>
      </c>
      <c r="T40" s="24">
        <v>257</v>
      </c>
      <c r="U40" s="24">
        <v>234</v>
      </c>
      <c r="V40" s="24">
        <v>222</v>
      </c>
      <c r="W40" s="24">
        <v>197</v>
      </c>
      <c r="X40" s="24">
        <v>210</v>
      </c>
      <c r="Y40" s="24">
        <v>166</v>
      </c>
      <c r="Z40" s="24">
        <v>191</v>
      </c>
      <c r="AA40" s="24">
        <v>191</v>
      </c>
      <c r="AB40" s="24">
        <v>244</v>
      </c>
      <c r="AC40" s="24">
        <v>262</v>
      </c>
      <c r="AD40" s="24">
        <v>263</v>
      </c>
      <c r="AE40" s="24">
        <v>273</v>
      </c>
      <c r="AF40" s="24">
        <v>232</v>
      </c>
      <c r="AG40" s="24">
        <v>219</v>
      </c>
      <c r="AH40" s="24">
        <v>226</v>
      </c>
      <c r="AI40" s="24">
        <v>235</v>
      </c>
      <c r="AJ40" s="24">
        <v>227</v>
      </c>
      <c r="AK40" s="24">
        <v>208</v>
      </c>
      <c r="AL40" s="24">
        <v>214</v>
      </c>
      <c r="AM40" s="24">
        <v>226</v>
      </c>
      <c r="AN40" s="24">
        <v>209</v>
      </c>
      <c r="AO40" s="24">
        <v>205</v>
      </c>
      <c r="AP40" s="24">
        <v>144</v>
      </c>
      <c r="AQ40" s="24">
        <v>91</v>
      </c>
      <c r="AR40" s="24">
        <v>42</v>
      </c>
      <c r="AS40" s="24">
        <v>1</v>
      </c>
      <c r="AT40" s="24">
        <v>0</v>
      </c>
      <c r="AU40" s="24">
        <v>0</v>
      </c>
      <c r="AV40" s="24">
        <v>2</v>
      </c>
      <c r="AW40" s="24">
        <v>0</v>
      </c>
      <c r="AX40" s="24">
        <v>2</v>
      </c>
      <c r="AY40" s="24">
        <v>3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0</v>
      </c>
      <c r="BG40" s="24">
        <v>0</v>
      </c>
      <c r="BH40" s="24">
        <f>SUM(D40:BG40)</f>
        <v>7439</v>
      </c>
    </row>
    <row r="41" spans="1:60">
      <c r="A41" s="18" t="s">
        <v>114</v>
      </c>
      <c r="B41" s="18" t="s">
        <v>106</v>
      </c>
      <c r="C41" s="18" t="s">
        <v>82</v>
      </c>
      <c r="D41" s="24">
        <v>0</v>
      </c>
      <c r="E41" s="24">
        <v>0</v>
      </c>
      <c r="F41" s="24">
        <v>0</v>
      </c>
      <c r="G41" s="24">
        <v>1</v>
      </c>
      <c r="H41" s="24">
        <v>14</v>
      </c>
      <c r="I41" s="24">
        <v>106</v>
      </c>
      <c r="J41" s="24">
        <v>120</v>
      </c>
      <c r="K41" s="24">
        <v>145</v>
      </c>
      <c r="L41" s="24">
        <v>167</v>
      </c>
      <c r="M41" s="24">
        <v>184</v>
      </c>
      <c r="N41" s="24">
        <v>194</v>
      </c>
      <c r="O41" s="24">
        <v>219</v>
      </c>
      <c r="P41" s="24">
        <v>249</v>
      </c>
      <c r="Q41" s="24">
        <v>261</v>
      </c>
      <c r="R41" s="24">
        <v>223</v>
      </c>
      <c r="S41" s="24">
        <v>241</v>
      </c>
      <c r="T41" s="24">
        <v>259</v>
      </c>
      <c r="U41" s="24">
        <v>232</v>
      </c>
      <c r="V41" s="24">
        <v>196</v>
      </c>
      <c r="W41" s="24">
        <v>195</v>
      </c>
      <c r="X41" s="24">
        <v>178</v>
      </c>
      <c r="Y41" s="24">
        <v>181</v>
      </c>
      <c r="Z41" s="24">
        <v>164</v>
      </c>
      <c r="AA41" s="24">
        <v>161</v>
      </c>
      <c r="AB41" s="24">
        <v>195</v>
      </c>
      <c r="AC41" s="24">
        <v>206</v>
      </c>
      <c r="AD41" s="24">
        <v>204</v>
      </c>
      <c r="AE41" s="24">
        <v>222</v>
      </c>
      <c r="AF41" s="24">
        <v>211</v>
      </c>
      <c r="AG41" s="24">
        <v>196</v>
      </c>
      <c r="AH41" s="24">
        <v>222</v>
      </c>
      <c r="AI41" s="24">
        <v>200</v>
      </c>
      <c r="AJ41" s="24">
        <v>200</v>
      </c>
      <c r="AK41" s="24">
        <v>184</v>
      </c>
      <c r="AL41" s="24">
        <v>213</v>
      </c>
      <c r="AM41" s="24">
        <v>187</v>
      </c>
      <c r="AN41" s="24">
        <v>169</v>
      </c>
      <c r="AO41" s="24">
        <v>155</v>
      </c>
      <c r="AP41" s="24">
        <v>125</v>
      </c>
      <c r="AQ41" s="24">
        <v>65</v>
      </c>
      <c r="AR41" s="24">
        <v>28</v>
      </c>
      <c r="AS41" s="24">
        <v>0</v>
      </c>
      <c r="AT41" s="24">
        <v>0</v>
      </c>
      <c r="AU41" s="24">
        <v>1</v>
      </c>
      <c r="AV41" s="24">
        <v>0</v>
      </c>
      <c r="AW41" s="24">
        <v>0</v>
      </c>
      <c r="AX41" s="24">
        <v>0</v>
      </c>
      <c r="AY41" s="24">
        <v>0</v>
      </c>
      <c r="AZ41" s="24">
        <v>0</v>
      </c>
      <c r="BA41" s="24">
        <v>0</v>
      </c>
      <c r="BB41" s="24">
        <v>0</v>
      </c>
      <c r="BC41" s="24">
        <v>0</v>
      </c>
      <c r="BD41" s="24">
        <v>0</v>
      </c>
      <c r="BE41" s="24">
        <v>0</v>
      </c>
      <c r="BF41" s="24">
        <v>0</v>
      </c>
      <c r="BG41" s="24">
        <v>0</v>
      </c>
      <c r="BH41" s="24">
        <f>SUM(D41:BG41)</f>
        <v>6673</v>
      </c>
    </row>
    <row r="42" spans="1:60">
      <c r="A42" s="18" t="s">
        <v>115</v>
      </c>
      <c r="B42" s="18" t="s">
        <v>106</v>
      </c>
      <c r="C42" s="18" t="s">
        <v>84</v>
      </c>
      <c r="D42" s="24">
        <v>0</v>
      </c>
      <c r="E42" s="24">
        <v>0</v>
      </c>
      <c r="F42" s="24">
        <v>0</v>
      </c>
      <c r="G42" s="24">
        <v>0</v>
      </c>
      <c r="H42" s="24">
        <v>12</v>
      </c>
      <c r="I42" s="24">
        <v>85</v>
      </c>
      <c r="J42" s="24">
        <v>124</v>
      </c>
      <c r="K42" s="24">
        <v>125</v>
      </c>
      <c r="L42" s="24">
        <v>140</v>
      </c>
      <c r="M42" s="24">
        <v>156</v>
      </c>
      <c r="N42" s="24">
        <v>205</v>
      </c>
      <c r="O42" s="24">
        <v>206</v>
      </c>
      <c r="P42" s="24">
        <v>245</v>
      </c>
      <c r="Q42" s="24">
        <v>260</v>
      </c>
      <c r="R42" s="24">
        <v>235</v>
      </c>
      <c r="S42" s="24">
        <v>246</v>
      </c>
      <c r="T42" s="24">
        <v>254</v>
      </c>
      <c r="U42" s="24">
        <v>217</v>
      </c>
      <c r="V42" s="24">
        <v>216</v>
      </c>
      <c r="W42" s="24">
        <v>186</v>
      </c>
      <c r="X42" s="24">
        <v>164</v>
      </c>
      <c r="Y42" s="24">
        <v>191</v>
      </c>
      <c r="Z42" s="24">
        <v>176</v>
      </c>
      <c r="AA42" s="24">
        <v>185</v>
      </c>
      <c r="AB42" s="24">
        <v>223</v>
      </c>
      <c r="AC42" s="24">
        <v>207</v>
      </c>
      <c r="AD42" s="24">
        <v>254</v>
      </c>
      <c r="AE42" s="24">
        <v>229</v>
      </c>
      <c r="AF42" s="24">
        <v>227</v>
      </c>
      <c r="AG42" s="24">
        <v>227</v>
      </c>
      <c r="AH42" s="24">
        <v>218</v>
      </c>
      <c r="AI42" s="24">
        <v>219</v>
      </c>
      <c r="AJ42" s="24">
        <v>224</v>
      </c>
      <c r="AK42" s="24">
        <v>215</v>
      </c>
      <c r="AL42" s="24">
        <v>206</v>
      </c>
      <c r="AM42" s="24">
        <v>169</v>
      </c>
      <c r="AN42" s="24">
        <v>182</v>
      </c>
      <c r="AO42" s="24">
        <v>176</v>
      </c>
      <c r="AP42" s="24">
        <v>132</v>
      </c>
      <c r="AQ42" s="24">
        <v>88</v>
      </c>
      <c r="AR42" s="24">
        <v>30</v>
      </c>
      <c r="AS42" s="24">
        <v>3</v>
      </c>
      <c r="AT42" s="24">
        <v>3</v>
      </c>
      <c r="AU42" s="24">
        <v>2</v>
      </c>
      <c r="AV42" s="24">
        <v>2</v>
      </c>
      <c r="AW42" s="24">
        <v>5</v>
      </c>
      <c r="AX42" s="24">
        <v>5</v>
      </c>
      <c r="AY42" s="24">
        <v>3</v>
      </c>
      <c r="AZ42" s="24">
        <v>2</v>
      </c>
      <c r="BA42" s="24">
        <v>1</v>
      </c>
      <c r="BB42" s="24">
        <v>0</v>
      </c>
      <c r="BC42" s="24">
        <v>0</v>
      </c>
      <c r="BD42" s="24">
        <v>0</v>
      </c>
      <c r="BE42" s="24">
        <v>0</v>
      </c>
      <c r="BF42" s="24">
        <v>0</v>
      </c>
      <c r="BG42" s="24">
        <v>0</v>
      </c>
      <c r="BH42" s="24">
        <f>SUM(D42:BG42)</f>
        <v>6880</v>
      </c>
    </row>
    <row r="43" spans="1:60">
      <c r="A43" s="18" t="s">
        <v>116</v>
      </c>
      <c r="B43" s="18" t="s">
        <v>106</v>
      </c>
      <c r="C43" s="18" t="s">
        <v>86</v>
      </c>
      <c r="D43" s="24">
        <v>0</v>
      </c>
      <c r="E43" s="24">
        <v>0</v>
      </c>
      <c r="F43" s="24">
        <v>0</v>
      </c>
      <c r="G43" s="24">
        <v>0</v>
      </c>
      <c r="H43" s="24">
        <v>2</v>
      </c>
      <c r="I43" s="24">
        <v>14</v>
      </c>
      <c r="J43" s="24">
        <v>28</v>
      </c>
      <c r="K43" s="24">
        <v>28</v>
      </c>
      <c r="L43" s="24">
        <v>27</v>
      </c>
      <c r="M43" s="24">
        <v>42</v>
      </c>
      <c r="N43" s="24">
        <v>59</v>
      </c>
      <c r="O43" s="24">
        <v>56</v>
      </c>
      <c r="P43" s="24">
        <v>58</v>
      </c>
      <c r="Q43" s="24">
        <v>45</v>
      </c>
      <c r="R43" s="24">
        <v>75</v>
      </c>
      <c r="S43" s="24">
        <v>77</v>
      </c>
      <c r="T43" s="24">
        <v>61</v>
      </c>
      <c r="U43" s="24">
        <v>43</v>
      </c>
      <c r="V43" s="24">
        <v>65</v>
      </c>
      <c r="W43" s="24">
        <v>49</v>
      </c>
      <c r="X43" s="24">
        <v>51</v>
      </c>
      <c r="Y43" s="24">
        <v>43</v>
      </c>
      <c r="Z43" s="24">
        <v>54</v>
      </c>
      <c r="AA43" s="24">
        <v>55</v>
      </c>
      <c r="AB43" s="24">
        <v>47</v>
      </c>
      <c r="AC43" s="24">
        <v>67</v>
      </c>
      <c r="AD43" s="24">
        <v>73</v>
      </c>
      <c r="AE43" s="24">
        <v>58</v>
      </c>
      <c r="AF43" s="24">
        <v>52</v>
      </c>
      <c r="AG43" s="24">
        <v>67</v>
      </c>
      <c r="AH43" s="24">
        <v>56</v>
      </c>
      <c r="AI43" s="24">
        <v>54</v>
      </c>
      <c r="AJ43" s="24">
        <v>80</v>
      </c>
      <c r="AK43" s="24">
        <v>83</v>
      </c>
      <c r="AL43" s="24">
        <v>78</v>
      </c>
      <c r="AM43" s="24">
        <v>57</v>
      </c>
      <c r="AN43" s="24">
        <v>51</v>
      </c>
      <c r="AO43" s="24">
        <v>51</v>
      </c>
      <c r="AP43" s="24">
        <v>43</v>
      </c>
      <c r="AQ43" s="24">
        <v>35</v>
      </c>
      <c r="AR43" s="24">
        <v>8</v>
      </c>
      <c r="AS43" s="24">
        <v>4</v>
      </c>
      <c r="AT43" s="24">
        <v>1</v>
      </c>
      <c r="AU43" s="24">
        <v>1</v>
      </c>
      <c r="AV43" s="24">
        <v>0</v>
      </c>
      <c r="AW43" s="24">
        <v>0</v>
      </c>
      <c r="AX43" s="24">
        <v>0</v>
      </c>
      <c r="AY43" s="24">
        <v>0</v>
      </c>
      <c r="AZ43" s="24">
        <v>0</v>
      </c>
      <c r="BA43" s="24">
        <v>0</v>
      </c>
      <c r="BB43" s="24">
        <v>0</v>
      </c>
      <c r="BC43" s="24">
        <v>0</v>
      </c>
      <c r="BD43" s="24">
        <v>0</v>
      </c>
      <c r="BE43" s="24">
        <v>0</v>
      </c>
      <c r="BF43" s="24">
        <v>0</v>
      </c>
      <c r="BG43" s="24">
        <v>0</v>
      </c>
      <c r="BH43" s="24">
        <f>SUM(D43:BG43)</f>
        <v>1898</v>
      </c>
    </row>
    <row r="44" spans="1:60">
      <c r="A44" s="18" t="s">
        <v>117</v>
      </c>
      <c r="B44" s="18" t="s">
        <v>106</v>
      </c>
      <c r="C44" s="18" t="s">
        <v>88</v>
      </c>
      <c r="D44" s="24">
        <v>0</v>
      </c>
      <c r="E44" s="24">
        <v>0</v>
      </c>
      <c r="F44" s="24">
        <v>0</v>
      </c>
      <c r="G44" s="24">
        <v>0</v>
      </c>
      <c r="H44" s="24">
        <v>10</v>
      </c>
      <c r="I44" s="24">
        <v>51</v>
      </c>
      <c r="J44" s="24">
        <v>129</v>
      </c>
      <c r="K44" s="24">
        <v>138</v>
      </c>
      <c r="L44" s="24">
        <v>171</v>
      </c>
      <c r="M44" s="24">
        <v>167</v>
      </c>
      <c r="N44" s="24">
        <v>195</v>
      </c>
      <c r="O44" s="24">
        <v>206</v>
      </c>
      <c r="P44" s="24">
        <v>205</v>
      </c>
      <c r="Q44" s="24">
        <v>250</v>
      </c>
      <c r="R44" s="24">
        <v>211</v>
      </c>
      <c r="S44" s="24">
        <v>245</v>
      </c>
      <c r="T44" s="24">
        <v>240</v>
      </c>
      <c r="U44" s="24">
        <v>231</v>
      </c>
      <c r="V44" s="24">
        <v>214</v>
      </c>
      <c r="W44" s="24">
        <v>224</v>
      </c>
      <c r="X44" s="24">
        <v>201</v>
      </c>
      <c r="Y44" s="24">
        <v>187</v>
      </c>
      <c r="Z44" s="24">
        <v>200</v>
      </c>
      <c r="AA44" s="24">
        <v>186</v>
      </c>
      <c r="AB44" s="24">
        <v>209</v>
      </c>
      <c r="AC44" s="24">
        <v>229</v>
      </c>
      <c r="AD44" s="24">
        <v>253</v>
      </c>
      <c r="AE44" s="24">
        <v>254</v>
      </c>
      <c r="AF44" s="24">
        <v>241</v>
      </c>
      <c r="AG44" s="24">
        <v>205</v>
      </c>
      <c r="AH44" s="24">
        <v>244</v>
      </c>
      <c r="AI44" s="24">
        <v>218</v>
      </c>
      <c r="AJ44" s="24">
        <v>194</v>
      </c>
      <c r="AK44" s="24">
        <v>204</v>
      </c>
      <c r="AL44" s="24">
        <v>187</v>
      </c>
      <c r="AM44" s="24">
        <v>217</v>
      </c>
      <c r="AN44" s="24">
        <v>238</v>
      </c>
      <c r="AO44" s="24">
        <v>207</v>
      </c>
      <c r="AP44" s="24">
        <v>160</v>
      </c>
      <c r="AQ44" s="24">
        <v>117</v>
      </c>
      <c r="AR44" s="24">
        <v>63</v>
      </c>
      <c r="AS44" s="24">
        <v>20</v>
      </c>
      <c r="AT44" s="24">
        <v>1</v>
      </c>
      <c r="AU44" s="24">
        <v>1</v>
      </c>
      <c r="AV44" s="24">
        <v>1</v>
      </c>
      <c r="AW44" s="24">
        <v>3</v>
      </c>
      <c r="AX44" s="24">
        <v>1</v>
      </c>
      <c r="AY44" s="24">
        <v>4</v>
      </c>
      <c r="AZ44" s="24">
        <v>3</v>
      </c>
      <c r="BA44" s="24">
        <v>2</v>
      </c>
      <c r="BB44" s="24">
        <v>0</v>
      </c>
      <c r="BC44" s="24">
        <v>0</v>
      </c>
      <c r="BD44" s="24">
        <v>0</v>
      </c>
      <c r="BE44" s="24">
        <v>0</v>
      </c>
      <c r="BF44" s="24">
        <v>0</v>
      </c>
      <c r="BG44" s="24">
        <v>0</v>
      </c>
      <c r="BH44" s="24">
        <f>SUM(D44:BG44)</f>
        <v>7137</v>
      </c>
    </row>
    <row r="45" spans="1:60">
      <c r="A45" s="18" t="s">
        <v>118</v>
      </c>
      <c r="B45" s="18" t="s">
        <v>106</v>
      </c>
      <c r="C45" s="18" t="s">
        <v>90</v>
      </c>
      <c r="D45" s="24">
        <v>0</v>
      </c>
      <c r="E45" s="24">
        <v>0</v>
      </c>
      <c r="F45" s="24">
        <v>0</v>
      </c>
      <c r="G45" s="24">
        <v>0</v>
      </c>
      <c r="H45" s="24">
        <v>13</v>
      </c>
      <c r="I45" s="24">
        <v>80</v>
      </c>
      <c r="J45" s="24">
        <v>207</v>
      </c>
      <c r="K45" s="24">
        <v>184</v>
      </c>
      <c r="L45" s="24">
        <v>215</v>
      </c>
      <c r="M45" s="24">
        <v>234</v>
      </c>
      <c r="N45" s="24">
        <v>259</v>
      </c>
      <c r="O45" s="24">
        <v>274</v>
      </c>
      <c r="P45" s="24">
        <v>320</v>
      </c>
      <c r="Q45" s="24">
        <v>305</v>
      </c>
      <c r="R45" s="24">
        <v>303</v>
      </c>
      <c r="S45" s="24">
        <v>335</v>
      </c>
      <c r="T45" s="24">
        <v>322</v>
      </c>
      <c r="U45" s="24">
        <v>302</v>
      </c>
      <c r="V45" s="24">
        <v>291</v>
      </c>
      <c r="W45" s="24">
        <v>250</v>
      </c>
      <c r="X45" s="24">
        <v>243</v>
      </c>
      <c r="Y45" s="24">
        <v>245</v>
      </c>
      <c r="Z45" s="24">
        <v>226</v>
      </c>
      <c r="AA45" s="24">
        <v>238</v>
      </c>
      <c r="AB45" s="24">
        <v>281</v>
      </c>
      <c r="AC45" s="24">
        <v>297</v>
      </c>
      <c r="AD45" s="24">
        <v>271</v>
      </c>
      <c r="AE45" s="24">
        <v>317</v>
      </c>
      <c r="AF45" s="24">
        <v>278</v>
      </c>
      <c r="AG45" s="24">
        <v>261</v>
      </c>
      <c r="AH45" s="24">
        <v>269</v>
      </c>
      <c r="AI45" s="24">
        <v>277</v>
      </c>
      <c r="AJ45" s="24">
        <v>280</v>
      </c>
      <c r="AK45" s="24">
        <v>301</v>
      </c>
      <c r="AL45" s="24">
        <v>282</v>
      </c>
      <c r="AM45" s="24">
        <v>251</v>
      </c>
      <c r="AN45" s="24">
        <v>234</v>
      </c>
      <c r="AO45" s="24">
        <v>240</v>
      </c>
      <c r="AP45" s="24">
        <v>208</v>
      </c>
      <c r="AQ45" s="24">
        <v>164</v>
      </c>
      <c r="AR45" s="24">
        <v>73</v>
      </c>
      <c r="AS45" s="24">
        <v>13</v>
      </c>
      <c r="AT45" s="24">
        <v>2</v>
      </c>
      <c r="AU45" s="24">
        <v>3</v>
      </c>
      <c r="AV45" s="24">
        <v>2</v>
      </c>
      <c r="AW45" s="24">
        <v>5</v>
      </c>
      <c r="AX45" s="24">
        <v>3</v>
      </c>
      <c r="AY45" s="24">
        <v>1</v>
      </c>
      <c r="AZ45" s="24">
        <v>2</v>
      </c>
      <c r="BA45" s="24">
        <v>0</v>
      </c>
      <c r="BB45" s="24">
        <v>0</v>
      </c>
      <c r="BC45" s="24">
        <v>0</v>
      </c>
      <c r="BD45" s="24">
        <v>0</v>
      </c>
      <c r="BE45" s="24">
        <v>0</v>
      </c>
      <c r="BF45" s="24">
        <v>0</v>
      </c>
      <c r="BG45" s="24">
        <v>0</v>
      </c>
      <c r="BH45" s="24">
        <f>SUM(D45:BG45)</f>
        <v>9161</v>
      </c>
    </row>
    <row r="46" spans="1:60">
      <c r="A46" s="18" t="s">
        <v>119</v>
      </c>
      <c r="B46" s="18" t="s">
        <v>120</v>
      </c>
      <c r="C46" s="18" t="s">
        <v>66</v>
      </c>
      <c r="D46" s="24">
        <v>0</v>
      </c>
      <c r="E46" s="24">
        <v>0</v>
      </c>
      <c r="F46" s="24">
        <v>1</v>
      </c>
      <c r="G46" s="24">
        <v>24</v>
      </c>
      <c r="H46" s="24">
        <v>152</v>
      </c>
      <c r="I46" s="24">
        <v>1466</v>
      </c>
      <c r="J46" s="24">
        <v>3002</v>
      </c>
      <c r="K46" s="24">
        <v>2851</v>
      </c>
      <c r="L46" s="24">
        <v>3133</v>
      </c>
      <c r="M46" s="24">
        <v>3321</v>
      </c>
      <c r="N46" s="24">
        <v>3556</v>
      </c>
      <c r="O46" s="24">
        <v>3596</v>
      </c>
      <c r="P46" s="24">
        <v>3857</v>
      </c>
      <c r="Q46" s="24">
        <v>3912</v>
      </c>
      <c r="R46" s="24">
        <v>3954</v>
      </c>
      <c r="S46" s="24">
        <v>3979</v>
      </c>
      <c r="T46" s="24">
        <v>3828</v>
      </c>
      <c r="U46" s="24">
        <v>3666</v>
      </c>
      <c r="V46" s="24">
        <v>3349</v>
      </c>
      <c r="W46" s="24">
        <v>3041</v>
      </c>
      <c r="X46" s="24">
        <v>2866</v>
      </c>
      <c r="Y46" s="24">
        <v>2878</v>
      </c>
      <c r="Z46" s="24">
        <v>2816</v>
      </c>
      <c r="AA46" s="24">
        <v>2849</v>
      </c>
      <c r="AB46" s="24">
        <v>3081</v>
      </c>
      <c r="AC46" s="24">
        <v>3523</v>
      </c>
      <c r="AD46" s="24">
        <v>3532</v>
      </c>
      <c r="AE46" s="24">
        <v>3623</v>
      </c>
      <c r="AF46" s="24">
        <v>3646</v>
      </c>
      <c r="AG46" s="24">
        <v>3648</v>
      </c>
      <c r="AH46" s="24">
        <v>3684</v>
      </c>
      <c r="AI46" s="24">
        <v>3430</v>
      </c>
      <c r="AJ46" s="24">
        <v>3427</v>
      </c>
      <c r="AK46" s="24">
        <v>3289</v>
      </c>
      <c r="AL46" s="24">
        <v>3359</v>
      </c>
      <c r="AM46" s="24">
        <v>3086</v>
      </c>
      <c r="AN46" s="24">
        <v>3186</v>
      </c>
      <c r="AO46" s="24">
        <v>3174</v>
      </c>
      <c r="AP46" s="24">
        <v>2833</v>
      </c>
      <c r="AQ46" s="24">
        <v>2068</v>
      </c>
      <c r="AR46" s="24">
        <v>989</v>
      </c>
      <c r="AS46" s="24">
        <v>60</v>
      </c>
      <c r="AT46" s="24">
        <v>21</v>
      </c>
      <c r="AU46" s="24">
        <v>27</v>
      </c>
      <c r="AV46" s="24">
        <v>17</v>
      </c>
      <c r="AW46" s="24">
        <v>26</v>
      </c>
      <c r="AX46" s="24">
        <v>21</v>
      </c>
      <c r="AY46" s="24">
        <v>11</v>
      </c>
      <c r="AZ46" s="24">
        <v>15</v>
      </c>
      <c r="BA46" s="24">
        <v>14</v>
      </c>
      <c r="BB46" s="24">
        <v>0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f>SUM(D46:BG46)</f>
        <v>115887</v>
      </c>
    </row>
    <row r="47" spans="1:60">
      <c r="A47" s="18" t="s">
        <v>121</v>
      </c>
      <c r="B47" s="18" t="s">
        <v>120</v>
      </c>
      <c r="C47" s="18" t="s">
        <v>68</v>
      </c>
      <c r="D47" s="24">
        <v>0</v>
      </c>
      <c r="E47" s="24">
        <v>0</v>
      </c>
      <c r="F47" s="24">
        <v>0</v>
      </c>
      <c r="G47" s="24">
        <v>6</v>
      </c>
      <c r="H47" s="24">
        <v>23</v>
      </c>
      <c r="I47" s="24">
        <v>207</v>
      </c>
      <c r="J47" s="24">
        <v>321</v>
      </c>
      <c r="K47" s="24">
        <v>330</v>
      </c>
      <c r="L47" s="24">
        <v>312</v>
      </c>
      <c r="M47" s="24">
        <v>375</v>
      </c>
      <c r="N47" s="24">
        <v>391</v>
      </c>
      <c r="O47" s="24">
        <v>377</v>
      </c>
      <c r="P47" s="24">
        <v>385</v>
      </c>
      <c r="Q47" s="24">
        <v>395</v>
      </c>
      <c r="R47" s="24">
        <v>425</v>
      </c>
      <c r="S47" s="24">
        <v>427</v>
      </c>
      <c r="T47" s="24">
        <v>392</v>
      </c>
      <c r="U47" s="24">
        <v>397</v>
      </c>
      <c r="V47" s="24">
        <v>326</v>
      </c>
      <c r="W47" s="24">
        <v>322</v>
      </c>
      <c r="X47" s="24">
        <v>291</v>
      </c>
      <c r="Y47" s="24">
        <v>288</v>
      </c>
      <c r="Z47" s="24">
        <v>278</v>
      </c>
      <c r="AA47" s="24">
        <v>286</v>
      </c>
      <c r="AB47" s="24">
        <v>308</v>
      </c>
      <c r="AC47" s="24">
        <v>375</v>
      </c>
      <c r="AD47" s="24">
        <v>356</v>
      </c>
      <c r="AE47" s="24">
        <v>345</v>
      </c>
      <c r="AF47" s="24">
        <v>374</v>
      </c>
      <c r="AG47" s="24">
        <v>374</v>
      </c>
      <c r="AH47" s="24">
        <v>385</v>
      </c>
      <c r="AI47" s="24">
        <v>396</v>
      </c>
      <c r="AJ47" s="24">
        <v>360</v>
      </c>
      <c r="AK47" s="24">
        <v>306</v>
      </c>
      <c r="AL47" s="24">
        <v>331</v>
      </c>
      <c r="AM47" s="24">
        <v>319</v>
      </c>
      <c r="AN47" s="24">
        <v>281</v>
      </c>
      <c r="AO47" s="24">
        <v>334</v>
      </c>
      <c r="AP47" s="24">
        <v>290</v>
      </c>
      <c r="AQ47" s="24">
        <v>211</v>
      </c>
      <c r="AR47" s="24">
        <v>117</v>
      </c>
      <c r="AS47" s="24">
        <v>24</v>
      </c>
      <c r="AT47" s="24">
        <v>1</v>
      </c>
      <c r="AU47" s="24">
        <v>6</v>
      </c>
      <c r="AV47" s="24">
        <v>2</v>
      </c>
      <c r="AW47" s="24">
        <v>4</v>
      </c>
      <c r="AX47" s="24">
        <v>0</v>
      </c>
      <c r="AY47" s="24">
        <v>0</v>
      </c>
      <c r="AZ47" s="24">
        <v>0</v>
      </c>
      <c r="BA47" s="24">
        <v>0</v>
      </c>
      <c r="BB47" s="24">
        <v>0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f>SUM(D47:BG47)</f>
        <v>12053</v>
      </c>
    </row>
    <row r="48" spans="1:60">
      <c r="A48" s="18" t="s">
        <v>122</v>
      </c>
      <c r="B48" s="18" t="s">
        <v>120</v>
      </c>
      <c r="C48" s="18" t="s">
        <v>70</v>
      </c>
      <c r="D48" s="24">
        <v>0</v>
      </c>
      <c r="E48" s="24">
        <v>0</v>
      </c>
      <c r="F48" s="24">
        <v>1</v>
      </c>
      <c r="G48" s="24">
        <v>0</v>
      </c>
      <c r="H48" s="24">
        <v>13</v>
      </c>
      <c r="I48" s="24">
        <v>134</v>
      </c>
      <c r="J48" s="24">
        <v>296</v>
      </c>
      <c r="K48" s="24">
        <v>278</v>
      </c>
      <c r="L48" s="24">
        <v>277</v>
      </c>
      <c r="M48" s="24">
        <v>300</v>
      </c>
      <c r="N48" s="24">
        <v>352</v>
      </c>
      <c r="O48" s="24">
        <v>309</v>
      </c>
      <c r="P48" s="24">
        <v>348</v>
      </c>
      <c r="Q48" s="24">
        <v>340</v>
      </c>
      <c r="R48" s="24">
        <v>347</v>
      </c>
      <c r="S48" s="24">
        <v>369</v>
      </c>
      <c r="T48" s="24">
        <v>352</v>
      </c>
      <c r="U48" s="24">
        <v>334</v>
      </c>
      <c r="V48" s="24">
        <v>315</v>
      </c>
      <c r="W48" s="24">
        <v>266</v>
      </c>
      <c r="X48" s="24">
        <v>274</v>
      </c>
      <c r="Y48" s="24">
        <v>254</v>
      </c>
      <c r="Z48" s="24">
        <v>214</v>
      </c>
      <c r="AA48" s="24">
        <v>230</v>
      </c>
      <c r="AB48" s="24">
        <v>262</v>
      </c>
      <c r="AC48" s="24">
        <v>301</v>
      </c>
      <c r="AD48" s="24">
        <v>294</v>
      </c>
      <c r="AE48" s="24">
        <v>290</v>
      </c>
      <c r="AF48" s="24">
        <v>334</v>
      </c>
      <c r="AG48" s="24">
        <v>316</v>
      </c>
      <c r="AH48" s="24">
        <v>297</v>
      </c>
      <c r="AI48" s="24">
        <v>300</v>
      </c>
      <c r="AJ48" s="24">
        <v>274</v>
      </c>
      <c r="AK48" s="24">
        <v>291</v>
      </c>
      <c r="AL48" s="24">
        <v>247</v>
      </c>
      <c r="AM48" s="24">
        <v>229</v>
      </c>
      <c r="AN48" s="24">
        <v>265</v>
      </c>
      <c r="AO48" s="24">
        <v>308</v>
      </c>
      <c r="AP48" s="24">
        <v>226</v>
      </c>
      <c r="AQ48" s="24">
        <v>178</v>
      </c>
      <c r="AR48" s="24">
        <v>89</v>
      </c>
      <c r="AS48" s="24">
        <v>7</v>
      </c>
      <c r="AT48" s="24">
        <v>0</v>
      </c>
      <c r="AU48" s="24">
        <v>0</v>
      </c>
      <c r="AV48" s="24">
        <v>0</v>
      </c>
      <c r="AW48" s="24">
        <v>0</v>
      </c>
      <c r="AX48" s="24">
        <v>0</v>
      </c>
      <c r="AY48" s="24">
        <v>0</v>
      </c>
      <c r="AZ48" s="24">
        <v>0</v>
      </c>
      <c r="BA48" s="24">
        <v>0</v>
      </c>
      <c r="BB48" s="24">
        <v>0</v>
      </c>
      <c r="BC48" s="24">
        <v>0</v>
      </c>
      <c r="BD48" s="24">
        <v>0</v>
      </c>
      <c r="BE48" s="24">
        <v>0</v>
      </c>
      <c r="BF48" s="24">
        <v>0</v>
      </c>
      <c r="BG48" s="24">
        <v>0</v>
      </c>
      <c r="BH48" s="24">
        <f>SUM(D48:BG48)</f>
        <v>10111</v>
      </c>
    </row>
    <row r="49" spans="1:60">
      <c r="A49" s="18" t="s">
        <v>123</v>
      </c>
      <c r="B49" s="18" t="s">
        <v>120</v>
      </c>
      <c r="C49" s="18" t="s">
        <v>72</v>
      </c>
      <c r="D49" s="24">
        <v>0</v>
      </c>
      <c r="E49" s="24">
        <v>0</v>
      </c>
      <c r="F49" s="24">
        <v>0</v>
      </c>
      <c r="G49" s="24">
        <v>2</v>
      </c>
      <c r="H49" s="24">
        <v>4</v>
      </c>
      <c r="I49" s="24">
        <v>131</v>
      </c>
      <c r="J49" s="24">
        <v>279</v>
      </c>
      <c r="K49" s="24">
        <v>286</v>
      </c>
      <c r="L49" s="24">
        <v>286</v>
      </c>
      <c r="M49" s="24">
        <v>326</v>
      </c>
      <c r="N49" s="24">
        <v>363</v>
      </c>
      <c r="O49" s="24">
        <v>377</v>
      </c>
      <c r="P49" s="24">
        <v>385</v>
      </c>
      <c r="Q49" s="24">
        <v>363</v>
      </c>
      <c r="R49" s="24">
        <v>360</v>
      </c>
      <c r="S49" s="24">
        <v>338</v>
      </c>
      <c r="T49" s="24">
        <v>327</v>
      </c>
      <c r="U49" s="24">
        <v>349</v>
      </c>
      <c r="V49" s="24">
        <v>272</v>
      </c>
      <c r="W49" s="24">
        <v>262</v>
      </c>
      <c r="X49" s="24">
        <v>259</v>
      </c>
      <c r="Y49" s="24">
        <v>255</v>
      </c>
      <c r="Z49" s="24">
        <v>257</v>
      </c>
      <c r="AA49" s="24">
        <v>268</v>
      </c>
      <c r="AB49" s="24">
        <v>273</v>
      </c>
      <c r="AC49" s="24">
        <v>323</v>
      </c>
      <c r="AD49" s="24">
        <v>313</v>
      </c>
      <c r="AE49" s="24">
        <v>344</v>
      </c>
      <c r="AF49" s="24">
        <v>338</v>
      </c>
      <c r="AG49" s="24">
        <v>338</v>
      </c>
      <c r="AH49" s="24">
        <v>325</v>
      </c>
      <c r="AI49" s="24">
        <v>311</v>
      </c>
      <c r="AJ49" s="24">
        <v>303</v>
      </c>
      <c r="AK49" s="24">
        <v>296</v>
      </c>
      <c r="AL49" s="24">
        <v>300</v>
      </c>
      <c r="AM49" s="24">
        <v>293</v>
      </c>
      <c r="AN49" s="24">
        <v>318</v>
      </c>
      <c r="AO49" s="24">
        <v>283</v>
      </c>
      <c r="AP49" s="24">
        <v>268</v>
      </c>
      <c r="AQ49" s="24">
        <v>191</v>
      </c>
      <c r="AR49" s="24">
        <v>89</v>
      </c>
      <c r="AS49" s="24">
        <v>4</v>
      </c>
      <c r="AT49" s="24">
        <v>0</v>
      </c>
      <c r="AU49" s="24">
        <v>0</v>
      </c>
      <c r="AV49" s="24">
        <v>0</v>
      </c>
      <c r="AW49" s="24">
        <v>0</v>
      </c>
      <c r="AX49" s="24">
        <v>0</v>
      </c>
      <c r="AY49" s="24">
        <v>0</v>
      </c>
      <c r="AZ49" s="24">
        <v>0</v>
      </c>
      <c r="BA49" s="24">
        <v>0</v>
      </c>
      <c r="BB49" s="24">
        <v>0</v>
      </c>
      <c r="BC49" s="24">
        <v>0</v>
      </c>
      <c r="BD49" s="24">
        <v>0</v>
      </c>
      <c r="BE49" s="24">
        <v>0</v>
      </c>
      <c r="BF49" s="24">
        <v>0</v>
      </c>
      <c r="BG49" s="24">
        <v>0</v>
      </c>
      <c r="BH49" s="24">
        <f>SUM(D49:BG49)</f>
        <v>10659</v>
      </c>
    </row>
    <row r="50" spans="1:60">
      <c r="A50" s="18" t="s">
        <v>124</v>
      </c>
      <c r="B50" s="18" t="s">
        <v>120</v>
      </c>
      <c r="C50" s="18" t="s">
        <v>74</v>
      </c>
      <c r="D50" s="24">
        <v>0</v>
      </c>
      <c r="E50" s="24">
        <v>0</v>
      </c>
      <c r="F50" s="24">
        <v>0</v>
      </c>
      <c r="G50" s="24">
        <v>8</v>
      </c>
      <c r="H50" s="24">
        <v>28</v>
      </c>
      <c r="I50" s="24">
        <v>155</v>
      </c>
      <c r="J50" s="24">
        <v>323</v>
      </c>
      <c r="K50" s="24">
        <v>317</v>
      </c>
      <c r="L50" s="24">
        <v>345</v>
      </c>
      <c r="M50" s="24">
        <v>378</v>
      </c>
      <c r="N50" s="24">
        <v>408</v>
      </c>
      <c r="O50" s="24">
        <v>325</v>
      </c>
      <c r="P50" s="24">
        <v>359</v>
      </c>
      <c r="Q50" s="24">
        <v>413</v>
      </c>
      <c r="R50" s="24">
        <v>384</v>
      </c>
      <c r="S50" s="24">
        <v>381</v>
      </c>
      <c r="T50" s="24">
        <v>360</v>
      </c>
      <c r="U50" s="24">
        <v>352</v>
      </c>
      <c r="V50" s="24">
        <v>316</v>
      </c>
      <c r="W50" s="24">
        <v>264</v>
      </c>
      <c r="X50" s="24">
        <v>270</v>
      </c>
      <c r="Y50" s="24">
        <v>269</v>
      </c>
      <c r="Z50" s="24">
        <v>225</v>
      </c>
      <c r="AA50" s="24">
        <v>245</v>
      </c>
      <c r="AB50" s="24">
        <v>259</v>
      </c>
      <c r="AC50" s="24">
        <v>305</v>
      </c>
      <c r="AD50" s="24">
        <v>345</v>
      </c>
      <c r="AE50" s="24">
        <v>319</v>
      </c>
      <c r="AF50" s="24">
        <v>339</v>
      </c>
      <c r="AG50" s="24">
        <v>346</v>
      </c>
      <c r="AH50" s="24">
        <v>320</v>
      </c>
      <c r="AI50" s="24">
        <v>328</v>
      </c>
      <c r="AJ50" s="24">
        <v>293</v>
      </c>
      <c r="AK50" s="24">
        <v>314</v>
      </c>
      <c r="AL50" s="24">
        <v>323</v>
      </c>
      <c r="AM50" s="24">
        <v>293</v>
      </c>
      <c r="AN50" s="24">
        <v>285</v>
      </c>
      <c r="AO50" s="24">
        <v>307</v>
      </c>
      <c r="AP50" s="24">
        <v>259</v>
      </c>
      <c r="AQ50" s="24">
        <v>194</v>
      </c>
      <c r="AR50" s="24">
        <v>87</v>
      </c>
      <c r="AS50" s="24">
        <v>1</v>
      </c>
      <c r="AT50" s="24">
        <v>0</v>
      </c>
      <c r="AU50" s="24">
        <v>0</v>
      </c>
      <c r="AV50" s="24">
        <v>0</v>
      </c>
      <c r="AW50" s="24">
        <v>0</v>
      </c>
      <c r="AX50" s="24">
        <v>0</v>
      </c>
      <c r="AY50" s="24">
        <v>0</v>
      </c>
      <c r="AZ50" s="24">
        <v>0</v>
      </c>
      <c r="BA50" s="24">
        <v>0</v>
      </c>
      <c r="BB50" s="24">
        <v>0</v>
      </c>
      <c r="BC50" s="24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f>SUM(D50:BG50)</f>
        <v>11042</v>
      </c>
    </row>
    <row r="51" spans="1:60">
      <c r="A51" s="18" t="s">
        <v>125</v>
      </c>
      <c r="B51" s="18" t="s">
        <v>120</v>
      </c>
      <c r="C51" s="18" t="s">
        <v>76</v>
      </c>
      <c r="D51" s="24">
        <v>0</v>
      </c>
      <c r="E51" s="24">
        <v>0</v>
      </c>
      <c r="F51" s="24">
        <v>0</v>
      </c>
      <c r="G51" s="24">
        <v>1</v>
      </c>
      <c r="H51" s="24">
        <v>19</v>
      </c>
      <c r="I51" s="24">
        <v>145</v>
      </c>
      <c r="J51" s="24">
        <v>307</v>
      </c>
      <c r="K51" s="24">
        <v>234</v>
      </c>
      <c r="L51" s="24">
        <v>272</v>
      </c>
      <c r="M51" s="24">
        <v>281</v>
      </c>
      <c r="N51" s="24">
        <v>238</v>
      </c>
      <c r="O51" s="24">
        <v>301</v>
      </c>
      <c r="P51" s="24">
        <v>299</v>
      </c>
      <c r="Q51" s="24">
        <v>330</v>
      </c>
      <c r="R51" s="24">
        <v>330</v>
      </c>
      <c r="S51" s="24">
        <v>346</v>
      </c>
      <c r="T51" s="24">
        <v>323</v>
      </c>
      <c r="U51" s="24">
        <v>255</v>
      </c>
      <c r="V51" s="24">
        <v>297</v>
      </c>
      <c r="W51" s="24">
        <v>248</v>
      </c>
      <c r="X51" s="24">
        <v>222</v>
      </c>
      <c r="Y51" s="24">
        <v>251</v>
      </c>
      <c r="Z51" s="24">
        <v>266</v>
      </c>
      <c r="AA51" s="24">
        <v>213</v>
      </c>
      <c r="AB51" s="24">
        <v>255</v>
      </c>
      <c r="AC51" s="24">
        <v>282</v>
      </c>
      <c r="AD51" s="24">
        <v>293</v>
      </c>
      <c r="AE51" s="24">
        <v>286</v>
      </c>
      <c r="AF51" s="24">
        <v>280</v>
      </c>
      <c r="AG51" s="24">
        <v>306</v>
      </c>
      <c r="AH51" s="24">
        <v>314</v>
      </c>
      <c r="AI51" s="24">
        <v>273</v>
      </c>
      <c r="AJ51" s="24">
        <v>282</v>
      </c>
      <c r="AK51" s="24">
        <v>264</v>
      </c>
      <c r="AL51" s="24">
        <v>276</v>
      </c>
      <c r="AM51" s="24">
        <v>285</v>
      </c>
      <c r="AN51" s="24">
        <v>260</v>
      </c>
      <c r="AO51" s="24">
        <v>238</v>
      </c>
      <c r="AP51" s="24">
        <v>214</v>
      </c>
      <c r="AQ51" s="24">
        <v>163</v>
      </c>
      <c r="AR51" s="24">
        <v>86</v>
      </c>
      <c r="AS51" s="24">
        <v>3</v>
      </c>
      <c r="AT51" s="24">
        <v>0</v>
      </c>
      <c r="AU51" s="24">
        <v>0</v>
      </c>
      <c r="AV51" s="24">
        <v>0</v>
      </c>
      <c r="AW51" s="24">
        <v>0</v>
      </c>
      <c r="AX51" s="24">
        <v>0</v>
      </c>
      <c r="AY51" s="24">
        <v>0</v>
      </c>
      <c r="AZ51" s="24">
        <v>0</v>
      </c>
      <c r="BA51" s="24">
        <v>0</v>
      </c>
      <c r="BB51" s="24">
        <v>0</v>
      </c>
      <c r="BC51" s="24">
        <v>0</v>
      </c>
      <c r="BD51" s="24">
        <v>0</v>
      </c>
      <c r="BE51" s="24">
        <v>0</v>
      </c>
      <c r="BF51" s="24">
        <v>0</v>
      </c>
      <c r="BG51" s="24">
        <v>0</v>
      </c>
      <c r="BH51" s="24">
        <f>SUM(D51:BG51)</f>
        <v>9538</v>
      </c>
    </row>
    <row r="52" spans="1:60">
      <c r="A52" s="18" t="s">
        <v>126</v>
      </c>
      <c r="B52" s="18" t="s">
        <v>120</v>
      </c>
      <c r="C52" s="18" t="s">
        <v>78</v>
      </c>
      <c r="D52" s="24">
        <v>0</v>
      </c>
      <c r="E52" s="24">
        <v>0</v>
      </c>
      <c r="F52" s="24">
        <v>0</v>
      </c>
      <c r="G52" s="24">
        <v>1</v>
      </c>
      <c r="H52" s="24">
        <v>4</v>
      </c>
      <c r="I52" s="24">
        <v>102</v>
      </c>
      <c r="J52" s="24">
        <v>246</v>
      </c>
      <c r="K52" s="24">
        <v>211</v>
      </c>
      <c r="L52" s="24">
        <v>288</v>
      </c>
      <c r="M52" s="24">
        <v>282</v>
      </c>
      <c r="N52" s="24">
        <v>273</v>
      </c>
      <c r="O52" s="24">
        <v>302</v>
      </c>
      <c r="P52" s="24">
        <v>346</v>
      </c>
      <c r="Q52" s="24">
        <v>331</v>
      </c>
      <c r="R52" s="24">
        <v>334</v>
      </c>
      <c r="S52" s="24">
        <v>308</v>
      </c>
      <c r="T52" s="24">
        <v>320</v>
      </c>
      <c r="U52" s="24">
        <v>287</v>
      </c>
      <c r="V52" s="24">
        <v>280</v>
      </c>
      <c r="W52" s="24">
        <v>234</v>
      </c>
      <c r="X52" s="24">
        <v>257</v>
      </c>
      <c r="Y52" s="24">
        <v>250</v>
      </c>
      <c r="Z52" s="24">
        <v>233</v>
      </c>
      <c r="AA52" s="24">
        <v>239</v>
      </c>
      <c r="AB52" s="24">
        <v>235</v>
      </c>
      <c r="AC52" s="24">
        <v>286</v>
      </c>
      <c r="AD52" s="24">
        <v>282</v>
      </c>
      <c r="AE52" s="24">
        <v>291</v>
      </c>
      <c r="AF52" s="24">
        <v>275</v>
      </c>
      <c r="AG52" s="24">
        <v>297</v>
      </c>
      <c r="AH52" s="24">
        <v>276</v>
      </c>
      <c r="AI52" s="24">
        <v>236</v>
      </c>
      <c r="AJ52" s="24">
        <v>276</v>
      </c>
      <c r="AK52" s="24">
        <v>284</v>
      </c>
      <c r="AL52" s="24">
        <v>279</v>
      </c>
      <c r="AM52" s="24">
        <v>247</v>
      </c>
      <c r="AN52" s="24">
        <v>257</v>
      </c>
      <c r="AO52" s="24">
        <v>259</v>
      </c>
      <c r="AP52" s="24">
        <v>244</v>
      </c>
      <c r="AQ52" s="24">
        <v>164</v>
      </c>
      <c r="AR52" s="24">
        <v>80</v>
      </c>
      <c r="AS52" s="24">
        <v>2</v>
      </c>
      <c r="AT52" s="24">
        <v>0</v>
      </c>
      <c r="AU52" s="24">
        <v>0</v>
      </c>
      <c r="AV52" s="24">
        <v>0</v>
      </c>
      <c r="AW52" s="24">
        <v>0</v>
      </c>
      <c r="AX52" s="24">
        <v>0</v>
      </c>
      <c r="AY52" s="24">
        <v>0</v>
      </c>
      <c r="AZ52" s="24">
        <v>0</v>
      </c>
      <c r="BA52" s="24">
        <v>0</v>
      </c>
      <c r="BB52" s="24">
        <v>0</v>
      </c>
      <c r="BC52" s="24">
        <v>0</v>
      </c>
      <c r="BD52" s="24">
        <v>0</v>
      </c>
      <c r="BE52" s="24">
        <v>0</v>
      </c>
      <c r="BF52" s="24">
        <v>0</v>
      </c>
      <c r="BG52" s="24">
        <v>0</v>
      </c>
      <c r="BH52" s="24">
        <f>SUM(D52:BG52)</f>
        <v>9398</v>
      </c>
    </row>
    <row r="53" spans="1:60">
      <c r="A53" s="18" t="s">
        <v>127</v>
      </c>
      <c r="B53" s="18" t="s">
        <v>120</v>
      </c>
      <c r="C53" s="18" t="s">
        <v>80</v>
      </c>
      <c r="D53" s="24">
        <v>0</v>
      </c>
      <c r="E53" s="24">
        <v>0</v>
      </c>
      <c r="F53" s="24">
        <v>0</v>
      </c>
      <c r="G53" s="24">
        <v>0</v>
      </c>
      <c r="H53" s="24">
        <v>13</v>
      </c>
      <c r="I53" s="24">
        <v>92</v>
      </c>
      <c r="J53" s="24">
        <v>241</v>
      </c>
      <c r="K53" s="24">
        <v>254</v>
      </c>
      <c r="L53" s="24">
        <v>279</v>
      </c>
      <c r="M53" s="24">
        <v>290</v>
      </c>
      <c r="N53" s="24">
        <v>328</v>
      </c>
      <c r="O53" s="24">
        <v>301</v>
      </c>
      <c r="P53" s="24">
        <v>330</v>
      </c>
      <c r="Q53" s="24">
        <v>378</v>
      </c>
      <c r="R53" s="24">
        <v>352</v>
      </c>
      <c r="S53" s="24">
        <v>360</v>
      </c>
      <c r="T53" s="24">
        <v>370</v>
      </c>
      <c r="U53" s="24">
        <v>334</v>
      </c>
      <c r="V53" s="24">
        <v>306</v>
      </c>
      <c r="W53" s="24">
        <v>279</v>
      </c>
      <c r="X53" s="24">
        <v>228</v>
      </c>
      <c r="Y53" s="24">
        <v>242</v>
      </c>
      <c r="Z53" s="24">
        <v>233</v>
      </c>
      <c r="AA53" s="24">
        <v>263</v>
      </c>
      <c r="AB53" s="24">
        <v>292</v>
      </c>
      <c r="AC53" s="24">
        <v>313</v>
      </c>
      <c r="AD53" s="24">
        <v>324</v>
      </c>
      <c r="AE53" s="24">
        <v>344</v>
      </c>
      <c r="AF53" s="24">
        <v>329</v>
      </c>
      <c r="AG53" s="24">
        <v>311</v>
      </c>
      <c r="AH53" s="24">
        <v>356</v>
      </c>
      <c r="AI53" s="24">
        <v>313</v>
      </c>
      <c r="AJ53" s="24">
        <v>316</v>
      </c>
      <c r="AK53" s="24">
        <v>292</v>
      </c>
      <c r="AL53" s="24">
        <v>295</v>
      </c>
      <c r="AM53" s="24">
        <v>281</v>
      </c>
      <c r="AN53" s="24">
        <v>335</v>
      </c>
      <c r="AO53" s="24">
        <v>297</v>
      </c>
      <c r="AP53" s="24">
        <v>255</v>
      </c>
      <c r="AQ53" s="24">
        <v>179</v>
      </c>
      <c r="AR53" s="24">
        <v>82</v>
      </c>
      <c r="AS53" s="24">
        <v>1</v>
      </c>
      <c r="AT53" s="24">
        <v>0</v>
      </c>
      <c r="AU53" s="24">
        <v>2</v>
      </c>
      <c r="AV53" s="24">
        <v>4</v>
      </c>
      <c r="AW53" s="24">
        <v>3</v>
      </c>
      <c r="AX53" s="24">
        <v>2</v>
      </c>
      <c r="AY53" s="24">
        <v>2</v>
      </c>
      <c r="AZ53" s="24">
        <v>1</v>
      </c>
      <c r="BA53" s="24">
        <v>4</v>
      </c>
      <c r="BB53" s="24">
        <v>0</v>
      </c>
      <c r="BC53" s="24">
        <v>0</v>
      </c>
      <c r="BD53" s="24">
        <v>0</v>
      </c>
      <c r="BE53" s="24">
        <v>0</v>
      </c>
      <c r="BF53" s="24">
        <v>0</v>
      </c>
      <c r="BG53" s="24">
        <v>0</v>
      </c>
      <c r="BH53" s="24">
        <f>SUM(D53:BG53)</f>
        <v>10406</v>
      </c>
    </row>
    <row r="54" spans="1:60">
      <c r="A54" s="18" t="s">
        <v>128</v>
      </c>
      <c r="B54" s="18" t="s">
        <v>120</v>
      </c>
      <c r="C54" s="18" t="s">
        <v>82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24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4">
        <v>0</v>
      </c>
      <c r="AX54" s="24">
        <v>0</v>
      </c>
      <c r="AY54" s="24">
        <v>0</v>
      </c>
      <c r="AZ54" s="24">
        <v>0</v>
      </c>
      <c r="BA54" s="24">
        <v>0</v>
      </c>
      <c r="BB54" s="24">
        <v>0</v>
      </c>
      <c r="BC54" s="24">
        <v>0</v>
      </c>
      <c r="BD54" s="24">
        <v>0</v>
      </c>
      <c r="BE54" s="24">
        <v>0</v>
      </c>
      <c r="BF54" s="24">
        <v>0</v>
      </c>
      <c r="BG54" s="24">
        <v>0</v>
      </c>
      <c r="BH54" s="24">
        <f>SUM(D54:BG54)</f>
        <v>0</v>
      </c>
    </row>
    <row r="55" spans="1:60">
      <c r="A55" s="18" t="s">
        <v>129</v>
      </c>
      <c r="B55" s="18" t="s">
        <v>120</v>
      </c>
      <c r="C55" s="18" t="s">
        <v>84</v>
      </c>
      <c r="D55" s="24">
        <v>0</v>
      </c>
      <c r="E55" s="24">
        <v>0</v>
      </c>
      <c r="F55" s="24">
        <v>0</v>
      </c>
      <c r="G55" s="24">
        <v>2</v>
      </c>
      <c r="H55" s="24">
        <v>12</v>
      </c>
      <c r="I55" s="24">
        <v>89</v>
      </c>
      <c r="J55" s="24">
        <v>179</v>
      </c>
      <c r="K55" s="24">
        <v>176</v>
      </c>
      <c r="L55" s="24">
        <v>214</v>
      </c>
      <c r="M55" s="24">
        <v>205</v>
      </c>
      <c r="N55" s="24">
        <v>204</v>
      </c>
      <c r="O55" s="24">
        <v>261</v>
      </c>
      <c r="P55" s="24">
        <v>281</v>
      </c>
      <c r="Q55" s="24">
        <v>284</v>
      </c>
      <c r="R55" s="24">
        <v>251</v>
      </c>
      <c r="S55" s="24">
        <v>283</v>
      </c>
      <c r="T55" s="24">
        <v>272</v>
      </c>
      <c r="U55" s="24">
        <v>252</v>
      </c>
      <c r="V55" s="24">
        <v>250</v>
      </c>
      <c r="W55" s="24">
        <v>220</v>
      </c>
      <c r="X55" s="24">
        <v>191</v>
      </c>
      <c r="Y55" s="24">
        <v>202</v>
      </c>
      <c r="Z55" s="24">
        <v>225</v>
      </c>
      <c r="AA55" s="24">
        <v>205</v>
      </c>
      <c r="AB55" s="24">
        <v>266</v>
      </c>
      <c r="AC55" s="24">
        <v>285</v>
      </c>
      <c r="AD55" s="24">
        <v>252</v>
      </c>
      <c r="AE55" s="24">
        <v>259</v>
      </c>
      <c r="AF55" s="24">
        <v>284</v>
      </c>
      <c r="AG55" s="24">
        <v>242</v>
      </c>
      <c r="AH55" s="24">
        <v>297</v>
      </c>
      <c r="AI55" s="24">
        <v>242</v>
      </c>
      <c r="AJ55" s="24">
        <v>256</v>
      </c>
      <c r="AK55" s="24">
        <v>222</v>
      </c>
      <c r="AL55" s="24">
        <v>285</v>
      </c>
      <c r="AM55" s="24">
        <v>217</v>
      </c>
      <c r="AN55" s="24">
        <v>228</v>
      </c>
      <c r="AO55" s="24">
        <v>226</v>
      </c>
      <c r="AP55" s="24">
        <v>219</v>
      </c>
      <c r="AQ55" s="24">
        <v>152</v>
      </c>
      <c r="AR55" s="24">
        <v>64</v>
      </c>
      <c r="AS55" s="24">
        <v>7</v>
      </c>
      <c r="AT55" s="24">
        <v>3</v>
      </c>
      <c r="AU55" s="24">
        <v>7</v>
      </c>
      <c r="AV55" s="24">
        <v>3</v>
      </c>
      <c r="AW55" s="24">
        <v>1</v>
      </c>
      <c r="AX55" s="24">
        <v>6</v>
      </c>
      <c r="AY55" s="24">
        <v>3</v>
      </c>
      <c r="AZ55" s="24">
        <v>3</v>
      </c>
      <c r="BA55" s="24">
        <v>4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f>SUM(D55:BG55)</f>
        <v>8291</v>
      </c>
    </row>
    <row r="56" spans="1:60">
      <c r="A56" s="18" t="s">
        <v>130</v>
      </c>
      <c r="B56" s="18" t="s">
        <v>120</v>
      </c>
      <c r="C56" s="18" t="s">
        <v>86</v>
      </c>
      <c r="D56" s="24">
        <v>0</v>
      </c>
      <c r="E56" s="24">
        <v>0</v>
      </c>
      <c r="F56" s="24">
        <v>0</v>
      </c>
      <c r="G56" s="24">
        <v>2</v>
      </c>
      <c r="H56" s="24">
        <v>13</v>
      </c>
      <c r="I56" s="24">
        <v>119</v>
      </c>
      <c r="J56" s="24">
        <v>258</v>
      </c>
      <c r="K56" s="24">
        <v>234</v>
      </c>
      <c r="L56" s="24">
        <v>283</v>
      </c>
      <c r="M56" s="24">
        <v>287</v>
      </c>
      <c r="N56" s="24">
        <v>322</v>
      </c>
      <c r="O56" s="24">
        <v>335</v>
      </c>
      <c r="P56" s="24">
        <v>370</v>
      </c>
      <c r="Q56" s="24">
        <v>368</v>
      </c>
      <c r="R56" s="24">
        <v>379</v>
      </c>
      <c r="S56" s="24">
        <v>344</v>
      </c>
      <c r="T56" s="24">
        <v>323</v>
      </c>
      <c r="U56" s="24">
        <v>324</v>
      </c>
      <c r="V56" s="24">
        <v>314</v>
      </c>
      <c r="W56" s="24">
        <v>274</v>
      </c>
      <c r="X56" s="24">
        <v>266</v>
      </c>
      <c r="Y56" s="24">
        <v>263</v>
      </c>
      <c r="Z56" s="24">
        <v>243</v>
      </c>
      <c r="AA56" s="24">
        <v>271</v>
      </c>
      <c r="AB56" s="24">
        <v>290</v>
      </c>
      <c r="AC56" s="24">
        <v>352</v>
      </c>
      <c r="AD56" s="24">
        <v>327</v>
      </c>
      <c r="AE56" s="24">
        <v>342</v>
      </c>
      <c r="AF56" s="24">
        <v>356</v>
      </c>
      <c r="AG56" s="24">
        <v>346</v>
      </c>
      <c r="AH56" s="24">
        <v>360</v>
      </c>
      <c r="AI56" s="24">
        <v>343</v>
      </c>
      <c r="AJ56" s="24">
        <v>297</v>
      </c>
      <c r="AK56" s="24">
        <v>298</v>
      </c>
      <c r="AL56" s="24">
        <v>303</v>
      </c>
      <c r="AM56" s="24">
        <v>273</v>
      </c>
      <c r="AN56" s="24">
        <v>297</v>
      </c>
      <c r="AO56" s="24">
        <v>282</v>
      </c>
      <c r="AP56" s="24">
        <v>238</v>
      </c>
      <c r="AQ56" s="24">
        <v>187</v>
      </c>
      <c r="AR56" s="24">
        <v>99</v>
      </c>
      <c r="AS56" s="24">
        <v>1</v>
      </c>
      <c r="AT56" s="24">
        <v>0</v>
      </c>
      <c r="AU56" s="24">
        <v>0</v>
      </c>
      <c r="AV56" s="24">
        <v>0</v>
      </c>
      <c r="AW56" s="24">
        <v>0</v>
      </c>
      <c r="AX56" s="24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24">
        <v>0</v>
      </c>
      <c r="BH56" s="24">
        <f>SUM(D56:BG56)</f>
        <v>10583</v>
      </c>
    </row>
    <row r="57" spans="1:60">
      <c r="A57" s="18" t="s">
        <v>131</v>
      </c>
      <c r="B57" s="18" t="s">
        <v>120</v>
      </c>
      <c r="C57" s="18" t="s">
        <v>88</v>
      </c>
      <c r="D57" s="24">
        <v>0</v>
      </c>
      <c r="E57" s="24">
        <v>0</v>
      </c>
      <c r="F57" s="24">
        <v>0</v>
      </c>
      <c r="G57" s="24">
        <v>1</v>
      </c>
      <c r="H57" s="24">
        <v>4</v>
      </c>
      <c r="I57" s="24">
        <v>94</v>
      </c>
      <c r="J57" s="24">
        <v>210</v>
      </c>
      <c r="K57" s="24">
        <v>232</v>
      </c>
      <c r="L57" s="24">
        <v>244</v>
      </c>
      <c r="M57" s="24">
        <v>233</v>
      </c>
      <c r="N57" s="24">
        <v>291</v>
      </c>
      <c r="O57" s="24">
        <v>308</v>
      </c>
      <c r="P57" s="24">
        <v>331</v>
      </c>
      <c r="Q57" s="24">
        <v>328</v>
      </c>
      <c r="R57" s="24">
        <v>332</v>
      </c>
      <c r="S57" s="24">
        <v>377</v>
      </c>
      <c r="T57" s="24">
        <v>354</v>
      </c>
      <c r="U57" s="24">
        <v>365</v>
      </c>
      <c r="V57" s="24">
        <v>285</v>
      </c>
      <c r="W57" s="24">
        <v>319</v>
      </c>
      <c r="X57" s="24">
        <v>267</v>
      </c>
      <c r="Y57" s="24">
        <v>243</v>
      </c>
      <c r="Z57" s="24">
        <v>282</v>
      </c>
      <c r="AA57" s="24">
        <v>260</v>
      </c>
      <c r="AB57" s="24">
        <v>261</v>
      </c>
      <c r="AC57" s="24">
        <v>302</v>
      </c>
      <c r="AD57" s="24">
        <v>322</v>
      </c>
      <c r="AE57" s="24">
        <v>357</v>
      </c>
      <c r="AF57" s="24">
        <v>329</v>
      </c>
      <c r="AG57" s="24">
        <v>354</v>
      </c>
      <c r="AH57" s="24">
        <v>321</v>
      </c>
      <c r="AI57" s="24">
        <v>314</v>
      </c>
      <c r="AJ57" s="24">
        <v>336</v>
      </c>
      <c r="AK57" s="24">
        <v>306</v>
      </c>
      <c r="AL57" s="24">
        <v>325</v>
      </c>
      <c r="AM57" s="24">
        <v>277</v>
      </c>
      <c r="AN57" s="24">
        <v>304</v>
      </c>
      <c r="AO57" s="24">
        <v>279</v>
      </c>
      <c r="AP57" s="24">
        <v>261</v>
      </c>
      <c r="AQ57" s="24">
        <v>188</v>
      </c>
      <c r="AR57" s="24">
        <v>85</v>
      </c>
      <c r="AS57" s="24">
        <v>2</v>
      </c>
      <c r="AT57" s="24">
        <v>1</v>
      </c>
      <c r="AU57" s="24">
        <v>4</v>
      </c>
      <c r="AV57" s="24">
        <v>3</v>
      </c>
      <c r="AW57" s="24">
        <v>8</v>
      </c>
      <c r="AX57" s="24">
        <v>7</v>
      </c>
      <c r="AY57" s="24">
        <v>3</v>
      </c>
      <c r="AZ57" s="24">
        <v>4</v>
      </c>
      <c r="BA57" s="24">
        <v>3</v>
      </c>
      <c r="BB57" s="24">
        <v>0</v>
      </c>
      <c r="BC57" s="24">
        <v>0</v>
      </c>
      <c r="BD57" s="24">
        <v>0</v>
      </c>
      <c r="BE57" s="24">
        <v>0</v>
      </c>
      <c r="BF57" s="24">
        <v>0</v>
      </c>
      <c r="BG57" s="24">
        <v>0</v>
      </c>
      <c r="BH57" s="24">
        <f>SUM(D57:BG57)</f>
        <v>10316</v>
      </c>
    </row>
    <row r="58" spans="1:60">
      <c r="A58" s="18" t="s">
        <v>132</v>
      </c>
      <c r="B58" s="18" t="s">
        <v>120</v>
      </c>
      <c r="C58" s="18" t="s">
        <v>90</v>
      </c>
      <c r="D58" s="24">
        <v>0</v>
      </c>
      <c r="E58" s="24">
        <v>0</v>
      </c>
      <c r="F58" s="24">
        <v>0</v>
      </c>
      <c r="G58" s="24">
        <v>1</v>
      </c>
      <c r="H58" s="24">
        <v>19</v>
      </c>
      <c r="I58" s="24">
        <v>198</v>
      </c>
      <c r="J58" s="24">
        <v>342</v>
      </c>
      <c r="K58" s="24">
        <v>299</v>
      </c>
      <c r="L58" s="24">
        <v>333</v>
      </c>
      <c r="M58" s="24">
        <v>364</v>
      </c>
      <c r="N58" s="24">
        <v>386</v>
      </c>
      <c r="O58" s="24">
        <v>400</v>
      </c>
      <c r="P58" s="24">
        <v>423</v>
      </c>
      <c r="Q58" s="24">
        <v>382</v>
      </c>
      <c r="R58" s="24">
        <v>460</v>
      </c>
      <c r="S58" s="24">
        <v>446</v>
      </c>
      <c r="T58" s="24">
        <v>435</v>
      </c>
      <c r="U58" s="24">
        <v>417</v>
      </c>
      <c r="V58" s="24">
        <v>388</v>
      </c>
      <c r="W58" s="24">
        <v>353</v>
      </c>
      <c r="X58" s="24">
        <v>341</v>
      </c>
      <c r="Y58" s="24">
        <v>361</v>
      </c>
      <c r="Z58" s="24">
        <v>360</v>
      </c>
      <c r="AA58" s="24">
        <v>369</v>
      </c>
      <c r="AB58" s="24">
        <v>380</v>
      </c>
      <c r="AC58" s="24">
        <v>399</v>
      </c>
      <c r="AD58" s="24">
        <v>424</v>
      </c>
      <c r="AE58" s="24">
        <v>446</v>
      </c>
      <c r="AF58" s="24">
        <v>408</v>
      </c>
      <c r="AG58" s="24">
        <v>418</v>
      </c>
      <c r="AH58" s="24">
        <v>433</v>
      </c>
      <c r="AI58" s="24">
        <v>374</v>
      </c>
      <c r="AJ58" s="24">
        <v>434</v>
      </c>
      <c r="AK58" s="24">
        <v>416</v>
      </c>
      <c r="AL58" s="24">
        <v>395</v>
      </c>
      <c r="AM58" s="24">
        <v>372</v>
      </c>
      <c r="AN58" s="24">
        <v>356</v>
      </c>
      <c r="AO58" s="24">
        <v>361</v>
      </c>
      <c r="AP58" s="24">
        <v>359</v>
      </c>
      <c r="AQ58" s="24">
        <v>261</v>
      </c>
      <c r="AR58" s="24">
        <v>111</v>
      </c>
      <c r="AS58" s="24">
        <v>8</v>
      </c>
      <c r="AT58" s="24">
        <v>16</v>
      </c>
      <c r="AU58" s="24">
        <v>8</v>
      </c>
      <c r="AV58" s="24">
        <v>5</v>
      </c>
      <c r="AW58" s="24">
        <v>10</v>
      </c>
      <c r="AX58" s="24">
        <v>6</v>
      </c>
      <c r="AY58" s="24">
        <v>3</v>
      </c>
      <c r="AZ58" s="24">
        <v>7</v>
      </c>
      <c r="BA58" s="24">
        <v>3</v>
      </c>
      <c r="BB58" s="24">
        <v>0</v>
      </c>
      <c r="BC58" s="24">
        <v>0</v>
      </c>
      <c r="BD58" s="24">
        <v>0</v>
      </c>
      <c r="BE58" s="24">
        <v>0</v>
      </c>
      <c r="BF58" s="24">
        <v>0</v>
      </c>
      <c r="BG58" s="24">
        <v>0</v>
      </c>
      <c r="BH58" s="24">
        <f>SUM(D58:BG58)</f>
        <v>13490</v>
      </c>
    </row>
    <row r="59" spans="1:60">
      <c r="A59" s="18" t="s">
        <v>133</v>
      </c>
      <c r="B59" s="18" t="s">
        <v>134</v>
      </c>
      <c r="C59" s="18" t="s">
        <v>66</v>
      </c>
      <c r="D59" s="24">
        <v>0</v>
      </c>
      <c r="E59" s="24">
        <v>0</v>
      </c>
      <c r="F59" s="24">
        <v>0</v>
      </c>
      <c r="G59" s="24">
        <v>3</v>
      </c>
      <c r="H59" s="24">
        <v>48</v>
      </c>
      <c r="I59" s="24">
        <v>1360</v>
      </c>
      <c r="J59" s="24">
        <v>3832</v>
      </c>
      <c r="K59" s="24">
        <v>3275</v>
      </c>
      <c r="L59" s="24">
        <v>3699</v>
      </c>
      <c r="M59" s="24">
        <v>4159</v>
      </c>
      <c r="N59" s="24">
        <v>4094</v>
      </c>
      <c r="O59" s="24">
        <v>4501</v>
      </c>
      <c r="P59" s="24">
        <v>4752</v>
      </c>
      <c r="Q59" s="24">
        <v>4788</v>
      </c>
      <c r="R59" s="24">
        <v>4694</v>
      </c>
      <c r="S59" s="24">
        <v>4687</v>
      </c>
      <c r="T59" s="24">
        <v>4659</v>
      </c>
      <c r="U59" s="24">
        <v>4449</v>
      </c>
      <c r="V59" s="24">
        <v>4203</v>
      </c>
      <c r="W59" s="24">
        <v>3872</v>
      </c>
      <c r="X59" s="24">
        <v>3623</v>
      </c>
      <c r="Y59" s="24">
        <v>3539</v>
      </c>
      <c r="Z59" s="24">
        <v>3379</v>
      </c>
      <c r="AA59" s="24">
        <v>3504</v>
      </c>
      <c r="AB59" s="24">
        <v>3777</v>
      </c>
      <c r="AC59" s="24">
        <v>4239</v>
      </c>
      <c r="AD59" s="24">
        <v>4277</v>
      </c>
      <c r="AE59" s="24">
        <v>4613</v>
      </c>
      <c r="AF59" s="24">
        <v>4458</v>
      </c>
      <c r="AG59" s="24">
        <v>4574</v>
      </c>
      <c r="AH59" s="24">
        <v>4321</v>
      </c>
      <c r="AI59" s="24">
        <v>4343</v>
      </c>
      <c r="AJ59" s="24">
        <v>4160</v>
      </c>
      <c r="AK59" s="24">
        <v>4114</v>
      </c>
      <c r="AL59" s="24">
        <v>4009</v>
      </c>
      <c r="AM59" s="24">
        <v>3709</v>
      </c>
      <c r="AN59" s="24">
        <v>3813</v>
      </c>
      <c r="AO59" s="24">
        <v>3750</v>
      </c>
      <c r="AP59" s="24">
        <v>3541</v>
      </c>
      <c r="AQ59" s="24">
        <v>2780</v>
      </c>
      <c r="AR59" s="24">
        <v>1284</v>
      </c>
      <c r="AS59" s="24">
        <v>164</v>
      </c>
      <c r="AT59" s="24">
        <v>19</v>
      </c>
      <c r="AU59" s="24">
        <v>36</v>
      </c>
      <c r="AV59" s="24">
        <v>30</v>
      </c>
      <c r="AW59" s="24">
        <v>31</v>
      </c>
      <c r="AX59" s="24">
        <v>28</v>
      </c>
      <c r="AY59" s="24">
        <v>15</v>
      </c>
      <c r="AZ59" s="24">
        <v>25</v>
      </c>
      <c r="BA59" s="24">
        <v>7</v>
      </c>
      <c r="BB59" s="24">
        <v>3</v>
      </c>
      <c r="BC59" s="24">
        <v>1</v>
      </c>
      <c r="BD59" s="24">
        <v>2</v>
      </c>
      <c r="BE59" s="24">
        <v>0</v>
      </c>
      <c r="BF59" s="24">
        <v>0</v>
      </c>
      <c r="BG59" s="24">
        <v>0</v>
      </c>
      <c r="BH59" s="24">
        <f>SUM(D59:BG59)</f>
        <v>141243</v>
      </c>
    </row>
    <row r="60" spans="1:60">
      <c r="A60" s="18" t="s">
        <v>135</v>
      </c>
      <c r="B60" s="18" t="s">
        <v>134</v>
      </c>
      <c r="C60" s="18" t="s">
        <v>68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185</v>
      </c>
      <c r="J60" s="24">
        <v>413</v>
      </c>
      <c r="K60" s="24">
        <v>365</v>
      </c>
      <c r="L60" s="24">
        <v>371</v>
      </c>
      <c r="M60" s="24">
        <v>428</v>
      </c>
      <c r="N60" s="24">
        <v>372</v>
      </c>
      <c r="O60" s="24">
        <v>396</v>
      </c>
      <c r="P60" s="24">
        <v>405</v>
      </c>
      <c r="Q60" s="24">
        <v>370</v>
      </c>
      <c r="R60" s="24">
        <v>403</v>
      </c>
      <c r="S60" s="24">
        <v>388</v>
      </c>
      <c r="T60" s="24">
        <v>432</v>
      </c>
      <c r="U60" s="24">
        <v>375</v>
      </c>
      <c r="V60" s="24">
        <v>347</v>
      </c>
      <c r="W60" s="24">
        <v>345</v>
      </c>
      <c r="X60" s="24">
        <v>323</v>
      </c>
      <c r="Y60" s="24">
        <v>337</v>
      </c>
      <c r="Z60" s="24">
        <v>328</v>
      </c>
      <c r="AA60" s="24">
        <v>271</v>
      </c>
      <c r="AB60" s="24">
        <v>347</v>
      </c>
      <c r="AC60" s="24">
        <v>415</v>
      </c>
      <c r="AD60" s="24">
        <v>419</v>
      </c>
      <c r="AE60" s="24">
        <v>401</v>
      </c>
      <c r="AF60" s="24">
        <v>380</v>
      </c>
      <c r="AG60" s="24">
        <v>412</v>
      </c>
      <c r="AH60" s="24">
        <v>431</v>
      </c>
      <c r="AI60" s="24">
        <v>350</v>
      </c>
      <c r="AJ60" s="24">
        <v>338</v>
      </c>
      <c r="AK60" s="24">
        <v>385</v>
      </c>
      <c r="AL60" s="24">
        <v>352</v>
      </c>
      <c r="AM60" s="24">
        <v>312</v>
      </c>
      <c r="AN60" s="24">
        <v>328</v>
      </c>
      <c r="AO60" s="24">
        <v>336</v>
      </c>
      <c r="AP60" s="24">
        <v>307</v>
      </c>
      <c r="AQ60" s="24">
        <v>268</v>
      </c>
      <c r="AR60" s="24">
        <v>110</v>
      </c>
      <c r="AS60" s="24">
        <v>18</v>
      </c>
      <c r="AT60" s="24">
        <v>0</v>
      </c>
      <c r="AU60" s="24">
        <v>3</v>
      </c>
      <c r="AV60" s="24">
        <v>2</v>
      </c>
      <c r="AW60" s="24">
        <v>2</v>
      </c>
      <c r="AX60" s="24">
        <v>1</v>
      </c>
      <c r="AY60" s="24">
        <v>2</v>
      </c>
      <c r="AZ60" s="24">
        <v>0</v>
      </c>
      <c r="BA60" s="24">
        <v>0</v>
      </c>
      <c r="BB60" s="24">
        <v>0</v>
      </c>
      <c r="BC60" s="24">
        <v>0</v>
      </c>
      <c r="BD60" s="24">
        <v>0</v>
      </c>
      <c r="BE60" s="24">
        <v>0</v>
      </c>
      <c r="BF60" s="24">
        <v>0</v>
      </c>
      <c r="BG60" s="24">
        <v>0</v>
      </c>
      <c r="BH60" s="24">
        <f>SUM(D60:BG60)</f>
        <v>12773</v>
      </c>
    </row>
    <row r="61" spans="1:60">
      <c r="A61" s="18" t="s">
        <v>136</v>
      </c>
      <c r="B61" s="18" t="s">
        <v>134</v>
      </c>
      <c r="C61" s="18" t="s">
        <v>70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186</v>
      </c>
      <c r="J61" s="24">
        <v>391</v>
      </c>
      <c r="K61" s="24">
        <v>318</v>
      </c>
      <c r="L61" s="24">
        <v>379</v>
      </c>
      <c r="M61" s="24">
        <v>395</v>
      </c>
      <c r="N61" s="24">
        <v>398</v>
      </c>
      <c r="O61" s="24">
        <v>395</v>
      </c>
      <c r="P61" s="24">
        <v>381</v>
      </c>
      <c r="Q61" s="24">
        <v>414</v>
      </c>
      <c r="R61" s="24">
        <v>420</v>
      </c>
      <c r="S61" s="24">
        <v>443</v>
      </c>
      <c r="T61" s="24">
        <v>415</v>
      </c>
      <c r="U61" s="24">
        <v>352</v>
      </c>
      <c r="V61" s="24">
        <v>342</v>
      </c>
      <c r="W61" s="24">
        <v>318</v>
      </c>
      <c r="X61" s="24">
        <v>266</v>
      </c>
      <c r="Y61" s="24">
        <v>282</v>
      </c>
      <c r="Z61" s="24">
        <v>282</v>
      </c>
      <c r="AA61" s="24">
        <v>276</v>
      </c>
      <c r="AB61" s="24">
        <v>347</v>
      </c>
      <c r="AC61" s="24">
        <v>342</v>
      </c>
      <c r="AD61" s="24">
        <v>364</v>
      </c>
      <c r="AE61" s="24">
        <v>404</v>
      </c>
      <c r="AF61" s="24">
        <v>370</v>
      </c>
      <c r="AG61" s="24">
        <v>402</v>
      </c>
      <c r="AH61" s="24">
        <v>353</v>
      </c>
      <c r="AI61" s="24">
        <v>344</v>
      </c>
      <c r="AJ61" s="24">
        <v>321</v>
      </c>
      <c r="AK61" s="24">
        <v>306</v>
      </c>
      <c r="AL61" s="24">
        <v>314</v>
      </c>
      <c r="AM61" s="24">
        <v>299</v>
      </c>
      <c r="AN61" s="24">
        <v>314</v>
      </c>
      <c r="AO61" s="24">
        <v>308</v>
      </c>
      <c r="AP61" s="24">
        <v>290</v>
      </c>
      <c r="AQ61" s="24">
        <v>230</v>
      </c>
      <c r="AR61" s="24">
        <v>101</v>
      </c>
      <c r="AS61" s="24">
        <v>16</v>
      </c>
      <c r="AT61" s="24">
        <v>0</v>
      </c>
      <c r="AU61" s="24">
        <v>0</v>
      </c>
      <c r="AV61" s="24">
        <v>0</v>
      </c>
      <c r="AW61" s="24">
        <v>0</v>
      </c>
      <c r="AX61" s="24">
        <v>0</v>
      </c>
      <c r="AY61" s="24">
        <v>0</v>
      </c>
      <c r="AZ61" s="24">
        <v>0</v>
      </c>
      <c r="BA61" s="24">
        <v>0</v>
      </c>
      <c r="BB61" s="24">
        <v>0</v>
      </c>
      <c r="BC61" s="24">
        <v>0</v>
      </c>
      <c r="BD61" s="24">
        <v>0</v>
      </c>
      <c r="BE61" s="24">
        <v>0</v>
      </c>
      <c r="BF61" s="24">
        <v>0</v>
      </c>
      <c r="BG61" s="24">
        <v>0</v>
      </c>
      <c r="BH61" s="24">
        <f>SUM(D61:BG61)</f>
        <v>12078</v>
      </c>
    </row>
    <row r="62" spans="1:60">
      <c r="A62" s="18" t="s">
        <v>137</v>
      </c>
      <c r="B62" s="18" t="s">
        <v>134</v>
      </c>
      <c r="C62" s="18" t="s">
        <v>72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119</v>
      </c>
      <c r="J62" s="24">
        <v>309</v>
      </c>
      <c r="K62" s="24">
        <v>280</v>
      </c>
      <c r="L62" s="24">
        <v>321</v>
      </c>
      <c r="M62" s="24">
        <v>345</v>
      </c>
      <c r="N62" s="24">
        <v>336</v>
      </c>
      <c r="O62" s="24">
        <v>411</v>
      </c>
      <c r="P62" s="24">
        <v>413</v>
      </c>
      <c r="Q62" s="24">
        <v>434</v>
      </c>
      <c r="R62" s="24">
        <v>385</v>
      </c>
      <c r="S62" s="24">
        <v>376</v>
      </c>
      <c r="T62" s="24">
        <v>384</v>
      </c>
      <c r="U62" s="24">
        <v>391</v>
      </c>
      <c r="V62" s="24">
        <v>354</v>
      </c>
      <c r="W62" s="24">
        <v>359</v>
      </c>
      <c r="X62" s="24">
        <v>280</v>
      </c>
      <c r="Y62" s="24">
        <v>265</v>
      </c>
      <c r="Z62" s="24">
        <v>259</v>
      </c>
      <c r="AA62" s="24">
        <v>287</v>
      </c>
      <c r="AB62" s="24">
        <v>324</v>
      </c>
      <c r="AC62" s="24">
        <v>364</v>
      </c>
      <c r="AD62" s="24">
        <v>339</v>
      </c>
      <c r="AE62" s="24">
        <v>340</v>
      </c>
      <c r="AF62" s="24">
        <v>406</v>
      </c>
      <c r="AG62" s="24">
        <v>378</v>
      </c>
      <c r="AH62" s="24">
        <v>363</v>
      </c>
      <c r="AI62" s="24">
        <v>370</v>
      </c>
      <c r="AJ62" s="24">
        <v>350</v>
      </c>
      <c r="AK62" s="24">
        <v>325</v>
      </c>
      <c r="AL62" s="24">
        <v>307</v>
      </c>
      <c r="AM62" s="24">
        <v>280</v>
      </c>
      <c r="AN62" s="24">
        <v>318</v>
      </c>
      <c r="AO62" s="24">
        <v>322</v>
      </c>
      <c r="AP62" s="24">
        <v>261</v>
      </c>
      <c r="AQ62" s="24">
        <v>220</v>
      </c>
      <c r="AR62" s="24">
        <v>93</v>
      </c>
      <c r="AS62" s="24">
        <v>8</v>
      </c>
      <c r="AT62" s="24">
        <v>0</v>
      </c>
      <c r="AU62" s="24">
        <v>0</v>
      </c>
      <c r="AV62" s="24">
        <v>0</v>
      </c>
      <c r="AW62" s="24">
        <v>0</v>
      </c>
      <c r="AX62" s="24">
        <v>0</v>
      </c>
      <c r="AY62" s="24">
        <v>0</v>
      </c>
      <c r="AZ62" s="24">
        <v>0</v>
      </c>
      <c r="BA62" s="24">
        <v>0</v>
      </c>
      <c r="BB62" s="24">
        <v>0</v>
      </c>
      <c r="BC62" s="24">
        <v>0</v>
      </c>
      <c r="BD62" s="24">
        <v>0</v>
      </c>
      <c r="BE62" s="24">
        <v>0</v>
      </c>
      <c r="BF62" s="24">
        <v>0</v>
      </c>
      <c r="BG62" s="24">
        <v>0</v>
      </c>
      <c r="BH62" s="24">
        <f>SUM(D62:BG62)</f>
        <v>11676</v>
      </c>
    </row>
    <row r="63" spans="1:60">
      <c r="A63" s="18" t="s">
        <v>138</v>
      </c>
      <c r="B63" s="18" t="s">
        <v>134</v>
      </c>
      <c r="C63" s="18" t="s">
        <v>74</v>
      </c>
      <c r="D63" s="24">
        <v>0</v>
      </c>
      <c r="E63" s="24">
        <v>0</v>
      </c>
      <c r="F63" s="24">
        <v>0</v>
      </c>
      <c r="G63" s="24">
        <v>0</v>
      </c>
      <c r="H63" s="24">
        <v>5</v>
      </c>
      <c r="I63" s="24">
        <v>125</v>
      </c>
      <c r="J63" s="24">
        <v>387</v>
      </c>
      <c r="K63" s="24">
        <v>296</v>
      </c>
      <c r="L63" s="24">
        <v>341</v>
      </c>
      <c r="M63" s="24">
        <v>369</v>
      </c>
      <c r="N63" s="24">
        <v>379</v>
      </c>
      <c r="O63" s="24">
        <v>417</v>
      </c>
      <c r="P63" s="24">
        <v>419</v>
      </c>
      <c r="Q63" s="24">
        <v>417</v>
      </c>
      <c r="R63" s="24">
        <v>376</v>
      </c>
      <c r="S63" s="24">
        <v>445</v>
      </c>
      <c r="T63" s="24">
        <v>381</v>
      </c>
      <c r="U63" s="24">
        <v>379</v>
      </c>
      <c r="V63" s="24">
        <v>337</v>
      </c>
      <c r="W63" s="24">
        <v>328</v>
      </c>
      <c r="X63" s="24">
        <v>313</v>
      </c>
      <c r="Y63" s="24">
        <v>296</v>
      </c>
      <c r="Z63" s="24">
        <v>275</v>
      </c>
      <c r="AA63" s="24">
        <v>304</v>
      </c>
      <c r="AB63" s="24">
        <v>296</v>
      </c>
      <c r="AC63" s="24">
        <v>336</v>
      </c>
      <c r="AD63" s="24">
        <v>333</v>
      </c>
      <c r="AE63" s="24">
        <v>431</v>
      </c>
      <c r="AF63" s="24">
        <v>398</v>
      </c>
      <c r="AG63" s="24">
        <v>413</v>
      </c>
      <c r="AH63" s="24">
        <v>334</v>
      </c>
      <c r="AI63" s="24">
        <v>375</v>
      </c>
      <c r="AJ63" s="24">
        <v>348</v>
      </c>
      <c r="AK63" s="24">
        <v>334</v>
      </c>
      <c r="AL63" s="24">
        <v>332</v>
      </c>
      <c r="AM63" s="24">
        <v>304</v>
      </c>
      <c r="AN63" s="24">
        <v>317</v>
      </c>
      <c r="AO63" s="24">
        <v>313</v>
      </c>
      <c r="AP63" s="24">
        <v>296</v>
      </c>
      <c r="AQ63" s="24">
        <v>271</v>
      </c>
      <c r="AR63" s="24">
        <v>111</v>
      </c>
      <c r="AS63" s="24">
        <v>13</v>
      </c>
      <c r="AT63" s="24">
        <v>0</v>
      </c>
      <c r="AU63" s="24">
        <v>0</v>
      </c>
      <c r="AV63" s="24">
        <v>0</v>
      </c>
      <c r="AW63" s="24">
        <v>0</v>
      </c>
      <c r="AX63" s="24">
        <v>0</v>
      </c>
      <c r="AY63" s="24">
        <v>0</v>
      </c>
      <c r="AZ63" s="24">
        <v>0</v>
      </c>
      <c r="BA63" s="24">
        <v>0</v>
      </c>
      <c r="BB63" s="24">
        <v>0</v>
      </c>
      <c r="BC63" s="24">
        <v>0</v>
      </c>
      <c r="BD63" s="24">
        <v>0</v>
      </c>
      <c r="BE63" s="24">
        <v>0</v>
      </c>
      <c r="BF63" s="24">
        <v>0</v>
      </c>
      <c r="BG63" s="24">
        <v>0</v>
      </c>
      <c r="BH63" s="24">
        <f>SUM(D63:BG63)</f>
        <v>12144</v>
      </c>
    </row>
    <row r="64" spans="1:60">
      <c r="A64" s="18" t="s">
        <v>139</v>
      </c>
      <c r="B64" s="18" t="s">
        <v>134</v>
      </c>
      <c r="C64" s="18" t="s">
        <v>76</v>
      </c>
      <c r="D64" s="24">
        <v>0</v>
      </c>
      <c r="E64" s="24">
        <v>0</v>
      </c>
      <c r="F64" s="24">
        <v>0</v>
      </c>
      <c r="G64" s="24">
        <v>0</v>
      </c>
      <c r="H64" s="24">
        <v>8</v>
      </c>
      <c r="I64" s="24">
        <v>112</v>
      </c>
      <c r="J64" s="24">
        <v>344</v>
      </c>
      <c r="K64" s="24">
        <v>297</v>
      </c>
      <c r="L64" s="24">
        <v>304</v>
      </c>
      <c r="M64" s="24">
        <v>319</v>
      </c>
      <c r="N64" s="24">
        <v>311</v>
      </c>
      <c r="O64" s="24">
        <v>348</v>
      </c>
      <c r="P64" s="24">
        <v>378</v>
      </c>
      <c r="Q64" s="24">
        <v>412</v>
      </c>
      <c r="R64" s="24">
        <v>371</v>
      </c>
      <c r="S64" s="24">
        <v>385</v>
      </c>
      <c r="T64" s="24">
        <v>307</v>
      </c>
      <c r="U64" s="24">
        <v>352</v>
      </c>
      <c r="V64" s="24">
        <v>355</v>
      </c>
      <c r="W64" s="24">
        <v>312</v>
      </c>
      <c r="X64" s="24">
        <v>279</v>
      </c>
      <c r="Y64" s="24">
        <v>255</v>
      </c>
      <c r="Z64" s="24">
        <v>242</v>
      </c>
      <c r="AA64" s="24">
        <v>270</v>
      </c>
      <c r="AB64" s="24">
        <v>263</v>
      </c>
      <c r="AC64" s="24">
        <v>292</v>
      </c>
      <c r="AD64" s="24">
        <v>337</v>
      </c>
      <c r="AE64" s="24">
        <v>312</v>
      </c>
      <c r="AF64" s="24">
        <v>308</v>
      </c>
      <c r="AG64" s="24">
        <v>368</v>
      </c>
      <c r="AH64" s="24">
        <v>326</v>
      </c>
      <c r="AI64" s="24">
        <v>350</v>
      </c>
      <c r="AJ64" s="24">
        <v>290</v>
      </c>
      <c r="AK64" s="24">
        <v>316</v>
      </c>
      <c r="AL64" s="24">
        <v>307</v>
      </c>
      <c r="AM64" s="24">
        <v>291</v>
      </c>
      <c r="AN64" s="24">
        <v>273</v>
      </c>
      <c r="AO64" s="24">
        <v>279</v>
      </c>
      <c r="AP64" s="24">
        <v>252</v>
      </c>
      <c r="AQ64" s="24">
        <v>194</v>
      </c>
      <c r="AR64" s="24">
        <v>107</v>
      </c>
      <c r="AS64" s="24">
        <v>12</v>
      </c>
      <c r="AT64" s="24">
        <v>0</v>
      </c>
      <c r="AU64" s="24">
        <v>0</v>
      </c>
      <c r="AV64" s="24">
        <v>0</v>
      </c>
      <c r="AW64" s="24">
        <v>0</v>
      </c>
      <c r="AX64" s="24">
        <v>0</v>
      </c>
      <c r="AY64" s="24">
        <v>0</v>
      </c>
      <c r="AZ64" s="24">
        <v>0</v>
      </c>
      <c r="BA64" s="24">
        <v>0</v>
      </c>
      <c r="BB64" s="24">
        <v>0</v>
      </c>
      <c r="BC64" s="24">
        <v>0</v>
      </c>
      <c r="BD64" s="24">
        <v>0</v>
      </c>
      <c r="BE64" s="24">
        <v>0</v>
      </c>
      <c r="BF64" s="24">
        <v>0</v>
      </c>
      <c r="BG64" s="24">
        <v>0</v>
      </c>
      <c r="BH64" s="24">
        <f>SUM(D64:BG64)</f>
        <v>10838</v>
      </c>
    </row>
    <row r="65" spans="1:60">
      <c r="A65" s="18" t="s">
        <v>140</v>
      </c>
      <c r="B65" s="18" t="s">
        <v>134</v>
      </c>
      <c r="C65" s="18" t="s">
        <v>78</v>
      </c>
      <c r="D65" s="24">
        <v>0</v>
      </c>
      <c r="E65" s="24">
        <v>0</v>
      </c>
      <c r="F65" s="24">
        <v>0</v>
      </c>
      <c r="G65" s="24">
        <v>0</v>
      </c>
      <c r="H65" s="24">
        <v>0</v>
      </c>
      <c r="I65" s="24">
        <v>78</v>
      </c>
      <c r="J65" s="24">
        <v>263</v>
      </c>
      <c r="K65" s="24">
        <v>236</v>
      </c>
      <c r="L65" s="24">
        <v>304</v>
      </c>
      <c r="M65" s="24">
        <v>356</v>
      </c>
      <c r="N65" s="24">
        <v>330</v>
      </c>
      <c r="O65" s="24">
        <v>365</v>
      </c>
      <c r="P65" s="24">
        <v>376</v>
      </c>
      <c r="Q65" s="24">
        <v>359</v>
      </c>
      <c r="R65" s="24">
        <v>387</v>
      </c>
      <c r="S65" s="24">
        <v>344</v>
      </c>
      <c r="T65" s="24">
        <v>382</v>
      </c>
      <c r="U65" s="24">
        <v>338</v>
      </c>
      <c r="V65" s="24">
        <v>290</v>
      </c>
      <c r="W65" s="24">
        <v>285</v>
      </c>
      <c r="X65" s="24">
        <v>238</v>
      </c>
      <c r="Y65" s="24">
        <v>267</v>
      </c>
      <c r="Z65" s="24">
        <v>268</v>
      </c>
      <c r="AA65" s="24">
        <v>285</v>
      </c>
      <c r="AB65" s="24">
        <v>303</v>
      </c>
      <c r="AC65" s="24">
        <v>293</v>
      </c>
      <c r="AD65" s="24">
        <v>302</v>
      </c>
      <c r="AE65" s="24">
        <v>362</v>
      </c>
      <c r="AF65" s="24">
        <v>325</v>
      </c>
      <c r="AG65" s="24">
        <v>362</v>
      </c>
      <c r="AH65" s="24">
        <v>370</v>
      </c>
      <c r="AI65" s="24">
        <v>350</v>
      </c>
      <c r="AJ65" s="24">
        <v>312</v>
      </c>
      <c r="AK65" s="24">
        <v>311</v>
      </c>
      <c r="AL65" s="24">
        <v>294</v>
      </c>
      <c r="AM65" s="24">
        <v>284</v>
      </c>
      <c r="AN65" s="24">
        <v>302</v>
      </c>
      <c r="AO65" s="24">
        <v>291</v>
      </c>
      <c r="AP65" s="24">
        <v>279</v>
      </c>
      <c r="AQ65" s="24">
        <v>221</v>
      </c>
      <c r="AR65" s="24">
        <v>107</v>
      </c>
      <c r="AS65" s="24">
        <v>5</v>
      </c>
      <c r="AT65" s="24">
        <v>0</v>
      </c>
      <c r="AU65" s="24">
        <v>0</v>
      </c>
      <c r="AV65" s="24">
        <v>0</v>
      </c>
      <c r="AW65" s="24">
        <v>0</v>
      </c>
      <c r="AX65" s="24">
        <v>0</v>
      </c>
      <c r="AY65" s="24">
        <v>0</v>
      </c>
      <c r="AZ65" s="24">
        <v>0</v>
      </c>
      <c r="BA65" s="24">
        <v>0</v>
      </c>
      <c r="BB65" s="24">
        <v>0</v>
      </c>
      <c r="BC65" s="24">
        <v>0</v>
      </c>
      <c r="BD65" s="24">
        <v>0</v>
      </c>
      <c r="BE65" s="24">
        <v>0</v>
      </c>
      <c r="BF65" s="24">
        <v>0</v>
      </c>
      <c r="BG65" s="24">
        <v>0</v>
      </c>
      <c r="BH65" s="24">
        <f>SUM(D65:BG65)</f>
        <v>10824</v>
      </c>
    </row>
    <row r="66" spans="1:60">
      <c r="A66" s="18" t="s">
        <v>141</v>
      </c>
      <c r="B66" s="18" t="s">
        <v>134</v>
      </c>
      <c r="C66" s="18" t="s">
        <v>80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77</v>
      </c>
      <c r="J66" s="24">
        <v>308</v>
      </c>
      <c r="K66" s="24">
        <v>273</v>
      </c>
      <c r="L66" s="24">
        <v>311</v>
      </c>
      <c r="M66" s="24">
        <v>344</v>
      </c>
      <c r="N66" s="24">
        <v>354</v>
      </c>
      <c r="O66" s="24">
        <v>369</v>
      </c>
      <c r="P66" s="24">
        <v>443</v>
      </c>
      <c r="Q66" s="24">
        <v>472</v>
      </c>
      <c r="R66" s="24">
        <v>426</v>
      </c>
      <c r="S66" s="24">
        <v>409</v>
      </c>
      <c r="T66" s="24">
        <v>389</v>
      </c>
      <c r="U66" s="24">
        <v>395</v>
      </c>
      <c r="V66" s="24">
        <v>384</v>
      </c>
      <c r="W66" s="24">
        <v>330</v>
      </c>
      <c r="X66" s="24">
        <v>316</v>
      </c>
      <c r="Y66" s="24">
        <v>338</v>
      </c>
      <c r="Z66" s="24">
        <v>253</v>
      </c>
      <c r="AA66" s="24">
        <v>269</v>
      </c>
      <c r="AB66" s="24">
        <v>315</v>
      </c>
      <c r="AC66" s="24">
        <v>363</v>
      </c>
      <c r="AD66" s="24">
        <v>377</v>
      </c>
      <c r="AE66" s="24">
        <v>387</v>
      </c>
      <c r="AF66" s="24">
        <v>413</v>
      </c>
      <c r="AG66" s="24">
        <v>350</v>
      </c>
      <c r="AH66" s="24">
        <v>348</v>
      </c>
      <c r="AI66" s="24">
        <v>383</v>
      </c>
      <c r="AJ66" s="24">
        <v>368</v>
      </c>
      <c r="AK66" s="24">
        <v>360</v>
      </c>
      <c r="AL66" s="24">
        <v>379</v>
      </c>
      <c r="AM66" s="24">
        <v>347</v>
      </c>
      <c r="AN66" s="24">
        <v>272</v>
      </c>
      <c r="AO66" s="24">
        <v>313</v>
      </c>
      <c r="AP66" s="24">
        <v>341</v>
      </c>
      <c r="AQ66" s="24">
        <v>261</v>
      </c>
      <c r="AR66" s="24">
        <v>126</v>
      </c>
      <c r="AS66" s="24">
        <v>25</v>
      </c>
      <c r="AT66" s="24">
        <v>1</v>
      </c>
      <c r="AU66" s="24">
        <v>5</v>
      </c>
      <c r="AV66" s="24">
        <v>13</v>
      </c>
      <c r="AW66" s="24">
        <v>6</v>
      </c>
      <c r="AX66" s="24">
        <v>2</v>
      </c>
      <c r="AY66" s="24">
        <v>5</v>
      </c>
      <c r="AZ66" s="24">
        <v>8</v>
      </c>
      <c r="BA66" s="24">
        <v>4</v>
      </c>
      <c r="BB66" s="24">
        <v>1</v>
      </c>
      <c r="BC66" s="24">
        <v>0</v>
      </c>
      <c r="BD66" s="24">
        <v>0</v>
      </c>
      <c r="BE66" s="24">
        <v>0</v>
      </c>
      <c r="BF66" s="24">
        <v>0</v>
      </c>
      <c r="BG66" s="24">
        <v>0</v>
      </c>
      <c r="BH66" s="24">
        <f>SUM(D66:BG66)</f>
        <v>12233</v>
      </c>
    </row>
    <row r="67" spans="1:60">
      <c r="A67" s="18" t="s">
        <v>142</v>
      </c>
      <c r="B67" s="18" t="s">
        <v>134</v>
      </c>
      <c r="C67" s="18" t="s">
        <v>82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53</v>
      </c>
      <c r="J67" s="24">
        <v>279</v>
      </c>
      <c r="K67" s="24">
        <v>218</v>
      </c>
      <c r="L67" s="24">
        <v>247</v>
      </c>
      <c r="M67" s="24">
        <v>349</v>
      </c>
      <c r="N67" s="24">
        <v>333</v>
      </c>
      <c r="O67" s="24">
        <v>343</v>
      </c>
      <c r="P67" s="24">
        <v>388</v>
      </c>
      <c r="Q67" s="24">
        <v>387</v>
      </c>
      <c r="R67" s="24">
        <v>390</v>
      </c>
      <c r="S67" s="24">
        <v>373</v>
      </c>
      <c r="T67" s="24">
        <v>378</v>
      </c>
      <c r="U67" s="24">
        <v>322</v>
      </c>
      <c r="V67" s="24">
        <v>320</v>
      </c>
      <c r="W67" s="24">
        <v>323</v>
      </c>
      <c r="X67" s="24">
        <v>285</v>
      </c>
      <c r="Y67" s="24">
        <v>275</v>
      </c>
      <c r="Z67" s="24">
        <v>295</v>
      </c>
      <c r="AA67" s="24">
        <v>266</v>
      </c>
      <c r="AB67" s="24">
        <v>271</v>
      </c>
      <c r="AC67" s="24">
        <v>319</v>
      </c>
      <c r="AD67" s="24">
        <v>343</v>
      </c>
      <c r="AE67" s="24">
        <v>360</v>
      </c>
      <c r="AF67" s="24">
        <v>310</v>
      </c>
      <c r="AG67" s="24">
        <v>376</v>
      </c>
      <c r="AH67" s="24">
        <v>319</v>
      </c>
      <c r="AI67" s="24">
        <v>322</v>
      </c>
      <c r="AJ67" s="24">
        <v>363</v>
      </c>
      <c r="AK67" s="24">
        <v>334</v>
      </c>
      <c r="AL67" s="24">
        <v>327</v>
      </c>
      <c r="AM67" s="24">
        <v>292</v>
      </c>
      <c r="AN67" s="24">
        <v>351</v>
      </c>
      <c r="AO67" s="24">
        <v>291</v>
      </c>
      <c r="AP67" s="24">
        <v>297</v>
      </c>
      <c r="AQ67" s="24">
        <v>229</v>
      </c>
      <c r="AR67" s="24">
        <v>105</v>
      </c>
      <c r="AS67" s="24">
        <v>19</v>
      </c>
      <c r="AT67" s="24">
        <v>0</v>
      </c>
      <c r="AU67" s="24">
        <v>0</v>
      </c>
      <c r="AV67" s="24">
        <v>0</v>
      </c>
      <c r="AW67" s="24">
        <v>0</v>
      </c>
      <c r="AX67" s="24">
        <v>0</v>
      </c>
      <c r="AY67" s="24">
        <v>0</v>
      </c>
      <c r="AZ67" s="24">
        <v>0</v>
      </c>
      <c r="BA67" s="24">
        <v>0</v>
      </c>
      <c r="BB67" s="24">
        <v>0</v>
      </c>
      <c r="BC67" s="24">
        <v>0</v>
      </c>
      <c r="BD67" s="24">
        <v>0</v>
      </c>
      <c r="BE67" s="24">
        <v>0</v>
      </c>
      <c r="BF67" s="24">
        <v>0</v>
      </c>
      <c r="BG67" s="24">
        <v>0</v>
      </c>
      <c r="BH67" s="24">
        <f>SUM(D67:BG67)</f>
        <v>11052</v>
      </c>
    </row>
    <row r="68" spans="1:60">
      <c r="A68" s="18" t="s">
        <v>143</v>
      </c>
      <c r="B68" s="18" t="s">
        <v>134</v>
      </c>
      <c r="C68" s="18" t="s">
        <v>84</v>
      </c>
      <c r="D68" s="24">
        <v>0</v>
      </c>
      <c r="E68" s="24">
        <v>0</v>
      </c>
      <c r="F68" s="24">
        <v>0</v>
      </c>
      <c r="G68" s="24">
        <v>0</v>
      </c>
      <c r="H68" s="24">
        <v>1</v>
      </c>
      <c r="I68" s="24">
        <v>50</v>
      </c>
      <c r="J68" s="24">
        <v>265</v>
      </c>
      <c r="K68" s="24">
        <v>252</v>
      </c>
      <c r="L68" s="24">
        <v>246</v>
      </c>
      <c r="M68" s="24">
        <v>318</v>
      </c>
      <c r="N68" s="24">
        <v>303</v>
      </c>
      <c r="O68" s="24">
        <v>340</v>
      </c>
      <c r="P68" s="24">
        <v>354</v>
      </c>
      <c r="Q68" s="24">
        <v>359</v>
      </c>
      <c r="R68" s="24">
        <v>393</v>
      </c>
      <c r="S68" s="24">
        <v>375</v>
      </c>
      <c r="T68" s="24">
        <v>403</v>
      </c>
      <c r="U68" s="24">
        <v>380</v>
      </c>
      <c r="V68" s="24">
        <v>358</v>
      </c>
      <c r="W68" s="24">
        <v>325</v>
      </c>
      <c r="X68" s="24">
        <v>322</v>
      </c>
      <c r="Y68" s="24">
        <v>282</v>
      </c>
      <c r="Z68" s="24">
        <v>302</v>
      </c>
      <c r="AA68" s="24">
        <v>313</v>
      </c>
      <c r="AB68" s="24">
        <v>306</v>
      </c>
      <c r="AC68" s="24">
        <v>349</v>
      </c>
      <c r="AD68" s="24">
        <v>356</v>
      </c>
      <c r="AE68" s="24">
        <v>381</v>
      </c>
      <c r="AF68" s="24">
        <v>383</v>
      </c>
      <c r="AG68" s="24">
        <v>381</v>
      </c>
      <c r="AH68" s="24">
        <v>366</v>
      </c>
      <c r="AI68" s="24">
        <v>340</v>
      </c>
      <c r="AJ68" s="24">
        <v>358</v>
      </c>
      <c r="AK68" s="24">
        <v>338</v>
      </c>
      <c r="AL68" s="24">
        <v>346</v>
      </c>
      <c r="AM68" s="24">
        <v>318</v>
      </c>
      <c r="AN68" s="24">
        <v>363</v>
      </c>
      <c r="AO68" s="24">
        <v>310</v>
      </c>
      <c r="AP68" s="24">
        <v>326</v>
      </c>
      <c r="AQ68" s="24">
        <v>240</v>
      </c>
      <c r="AR68" s="24">
        <v>143</v>
      </c>
      <c r="AS68" s="24">
        <v>29</v>
      </c>
      <c r="AT68" s="24">
        <v>3</v>
      </c>
      <c r="AU68" s="24">
        <v>11</v>
      </c>
      <c r="AV68" s="24">
        <v>5</v>
      </c>
      <c r="AW68" s="24">
        <v>9</v>
      </c>
      <c r="AX68" s="24">
        <v>8</v>
      </c>
      <c r="AY68" s="24">
        <v>3</v>
      </c>
      <c r="AZ68" s="24">
        <v>7</v>
      </c>
      <c r="BA68" s="24">
        <v>2</v>
      </c>
      <c r="BB68" s="24">
        <v>2</v>
      </c>
      <c r="BC68" s="24">
        <v>0</v>
      </c>
      <c r="BD68" s="24">
        <v>0</v>
      </c>
      <c r="BE68" s="24">
        <v>0</v>
      </c>
      <c r="BF68" s="24">
        <v>0</v>
      </c>
      <c r="BG68" s="24">
        <v>0</v>
      </c>
      <c r="BH68" s="24">
        <f>SUM(D68:BG68)</f>
        <v>11624</v>
      </c>
    </row>
    <row r="69" spans="1:60">
      <c r="A69" s="18" t="s">
        <v>144</v>
      </c>
      <c r="B69" s="18" t="s">
        <v>134</v>
      </c>
      <c r="C69" s="18" t="s">
        <v>86</v>
      </c>
      <c r="D69" s="24">
        <v>0</v>
      </c>
      <c r="E69" s="24">
        <v>0</v>
      </c>
      <c r="F69" s="24">
        <v>0</v>
      </c>
      <c r="G69" s="24">
        <v>1</v>
      </c>
      <c r="H69" s="24">
        <v>1</v>
      </c>
      <c r="I69" s="24">
        <v>51</v>
      </c>
      <c r="J69" s="24">
        <v>137</v>
      </c>
      <c r="K69" s="24">
        <v>123</v>
      </c>
      <c r="L69" s="24">
        <v>159</v>
      </c>
      <c r="M69" s="24">
        <v>186</v>
      </c>
      <c r="N69" s="24">
        <v>193</v>
      </c>
      <c r="O69" s="24">
        <v>208</v>
      </c>
      <c r="P69" s="24">
        <v>279</v>
      </c>
      <c r="Q69" s="24">
        <v>246</v>
      </c>
      <c r="R69" s="24">
        <v>221</v>
      </c>
      <c r="S69" s="24">
        <v>238</v>
      </c>
      <c r="T69" s="24">
        <v>240</v>
      </c>
      <c r="U69" s="24">
        <v>229</v>
      </c>
      <c r="V69" s="24">
        <v>200</v>
      </c>
      <c r="W69" s="24">
        <v>196</v>
      </c>
      <c r="X69" s="24">
        <v>197</v>
      </c>
      <c r="Y69" s="24">
        <v>157</v>
      </c>
      <c r="Z69" s="24">
        <v>157</v>
      </c>
      <c r="AA69" s="24">
        <v>184</v>
      </c>
      <c r="AB69" s="24">
        <v>171</v>
      </c>
      <c r="AC69" s="24">
        <v>243</v>
      </c>
      <c r="AD69" s="24">
        <v>217</v>
      </c>
      <c r="AE69" s="24">
        <v>220</v>
      </c>
      <c r="AF69" s="24">
        <v>242</v>
      </c>
      <c r="AG69" s="24">
        <v>215</v>
      </c>
      <c r="AH69" s="24">
        <v>239</v>
      </c>
      <c r="AI69" s="24">
        <v>217</v>
      </c>
      <c r="AJ69" s="24">
        <v>226</v>
      </c>
      <c r="AK69" s="24">
        <v>215</v>
      </c>
      <c r="AL69" s="24">
        <v>215</v>
      </c>
      <c r="AM69" s="24">
        <v>205</v>
      </c>
      <c r="AN69" s="24">
        <v>186</v>
      </c>
      <c r="AO69" s="24">
        <v>219</v>
      </c>
      <c r="AP69" s="24">
        <v>174</v>
      </c>
      <c r="AQ69" s="24">
        <v>125</v>
      </c>
      <c r="AR69" s="24">
        <v>41</v>
      </c>
      <c r="AS69" s="24">
        <v>2</v>
      </c>
      <c r="AT69" s="24">
        <v>2</v>
      </c>
      <c r="AU69" s="24">
        <v>1</v>
      </c>
      <c r="AV69" s="24">
        <v>0</v>
      </c>
      <c r="AW69" s="24">
        <v>0</v>
      </c>
      <c r="AX69" s="24">
        <v>0</v>
      </c>
      <c r="AY69" s="24">
        <v>0</v>
      </c>
      <c r="AZ69" s="24">
        <v>5</v>
      </c>
      <c r="BA69" s="24">
        <v>0</v>
      </c>
      <c r="BB69" s="24">
        <v>0</v>
      </c>
      <c r="BC69" s="24">
        <v>0</v>
      </c>
      <c r="BD69" s="24">
        <v>2</v>
      </c>
      <c r="BE69" s="24">
        <v>0</v>
      </c>
      <c r="BF69" s="24">
        <v>0</v>
      </c>
      <c r="BG69" s="24">
        <v>0</v>
      </c>
      <c r="BH69" s="24">
        <f>SUM(D69:BG69)</f>
        <v>6985</v>
      </c>
    </row>
    <row r="70" spans="1:60">
      <c r="A70" s="18" t="s">
        <v>145</v>
      </c>
      <c r="B70" s="18" t="s">
        <v>134</v>
      </c>
      <c r="C70" s="18" t="s">
        <v>88</v>
      </c>
      <c r="D70" s="24">
        <v>0</v>
      </c>
      <c r="E70" s="24">
        <v>0</v>
      </c>
      <c r="F70" s="24">
        <v>0</v>
      </c>
      <c r="G70" s="24">
        <v>0</v>
      </c>
      <c r="H70" s="24">
        <v>12</v>
      </c>
      <c r="I70" s="24">
        <v>107</v>
      </c>
      <c r="J70" s="24">
        <v>269</v>
      </c>
      <c r="K70" s="24">
        <v>247</v>
      </c>
      <c r="L70" s="24">
        <v>322</v>
      </c>
      <c r="M70" s="24">
        <v>326</v>
      </c>
      <c r="N70" s="24">
        <v>345</v>
      </c>
      <c r="O70" s="24">
        <v>389</v>
      </c>
      <c r="P70" s="24">
        <v>386</v>
      </c>
      <c r="Q70" s="24">
        <v>411</v>
      </c>
      <c r="R70" s="24">
        <v>427</v>
      </c>
      <c r="S70" s="24">
        <v>401</v>
      </c>
      <c r="T70" s="24">
        <v>403</v>
      </c>
      <c r="U70" s="24">
        <v>406</v>
      </c>
      <c r="V70" s="24">
        <v>393</v>
      </c>
      <c r="W70" s="24">
        <v>302</v>
      </c>
      <c r="X70" s="24">
        <v>364</v>
      </c>
      <c r="Y70" s="24">
        <v>356</v>
      </c>
      <c r="Z70" s="24">
        <v>329</v>
      </c>
      <c r="AA70" s="24">
        <v>347</v>
      </c>
      <c r="AB70" s="24">
        <v>387</v>
      </c>
      <c r="AC70" s="24">
        <v>395</v>
      </c>
      <c r="AD70" s="24">
        <v>429</v>
      </c>
      <c r="AE70" s="24">
        <v>462</v>
      </c>
      <c r="AF70" s="24">
        <v>420</v>
      </c>
      <c r="AG70" s="24">
        <v>421</v>
      </c>
      <c r="AH70" s="24">
        <v>366</v>
      </c>
      <c r="AI70" s="24">
        <v>405</v>
      </c>
      <c r="AJ70" s="24">
        <v>374</v>
      </c>
      <c r="AK70" s="24">
        <v>382</v>
      </c>
      <c r="AL70" s="24">
        <v>369</v>
      </c>
      <c r="AM70" s="24">
        <v>363</v>
      </c>
      <c r="AN70" s="24">
        <v>329</v>
      </c>
      <c r="AO70" s="24">
        <v>334</v>
      </c>
      <c r="AP70" s="24">
        <v>340</v>
      </c>
      <c r="AQ70" s="24">
        <v>222</v>
      </c>
      <c r="AR70" s="24">
        <v>108</v>
      </c>
      <c r="AS70" s="24">
        <v>6</v>
      </c>
      <c r="AT70" s="24">
        <v>4</v>
      </c>
      <c r="AU70" s="24">
        <v>8</v>
      </c>
      <c r="AV70" s="24">
        <v>8</v>
      </c>
      <c r="AW70" s="24">
        <v>3</v>
      </c>
      <c r="AX70" s="24">
        <v>10</v>
      </c>
      <c r="AY70" s="24">
        <v>3</v>
      </c>
      <c r="AZ70" s="24">
        <v>5</v>
      </c>
      <c r="BA70" s="24">
        <v>1</v>
      </c>
      <c r="BB70" s="24">
        <v>0</v>
      </c>
      <c r="BC70" s="24">
        <v>1</v>
      </c>
      <c r="BD70" s="24">
        <v>0</v>
      </c>
      <c r="BE70" s="24">
        <v>0</v>
      </c>
      <c r="BF70" s="24">
        <v>0</v>
      </c>
      <c r="BG70" s="24">
        <v>0</v>
      </c>
      <c r="BH70" s="24">
        <f>SUM(D70:BG70)</f>
        <v>12697</v>
      </c>
    </row>
    <row r="71" spans="1:60">
      <c r="A71" s="18" t="s">
        <v>146</v>
      </c>
      <c r="B71" s="18" t="s">
        <v>134</v>
      </c>
      <c r="C71" s="18" t="s">
        <v>90</v>
      </c>
      <c r="D71" s="24">
        <v>0</v>
      </c>
      <c r="E71" s="24">
        <v>0</v>
      </c>
      <c r="F71" s="24">
        <v>0</v>
      </c>
      <c r="G71" s="24">
        <v>2</v>
      </c>
      <c r="H71" s="24">
        <v>21</v>
      </c>
      <c r="I71" s="24">
        <v>217</v>
      </c>
      <c r="J71" s="24">
        <v>467</v>
      </c>
      <c r="K71" s="24">
        <v>370</v>
      </c>
      <c r="L71" s="24">
        <v>394</v>
      </c>
      <c r="M71" s="24">
        <v>424</v>
      </c>
      <c r="N71" s="24">
        <v>440</v>
      </c>
      <c r="O71" s="24">
        <v>520</v>
      </c>
      <c r="P71" s="24">
        <v>530</v>
      </c>
      <c r="Q71" s="24">
        <v>507</v>
      </c>
      <c r="R71" s="24">
        <v>495</v>
      </c>
      <c r="S71" s="24">
        <v>510</v>
      </c>
      <c r="T71" s="24">
        <v>545</v>
      </c>
      <c r="U71" s="24">
        <v>530</v>
      </c>
      <c r="V71" s="24">
        <v>523</v>
      </c>
      <c r="W71" s="24">
        <v>449</v>
      </c>
      <c r="X71" s="24">
        <v>440</v>
      </c>
      <c r="Y71" s="24">
        <v>429</v>
      </c>
      <c r="Z71" s="24">
        <v>389</v>
      </c>
      <c r="AA71" s="24">
        <v>432</v>
      </c>
      <c r="AB71" s="24">
        <v>447</v>
      </c>
      <c r="AC71" s="24">
        <v>528</v>
      </c>
      <c r="AD71" s="24">
        <v>461</v>
      </c>
      <c r="AE71" s="24">
        <v>553</v>
      </c>
      <c r="AF71" s="24">
        <v>503</v>
      </c>
      <c r="AG71" s="24">
        <v>496</v>
      </c>
      <c r="AH71" s="24">
        <v>506</v>
      </c>
      <c r="AI71" s="24">
        <v>537</v>
      </c>
      <c r="AJ71" s="24">
        <v>512</v>
      </c>
      <c r="AK71" s="24">
        <v>508</v>
      </c>
      <c r="AL71" s="24">
        <v>467</v>
      </c>
      <c r="AM71" s="24">
        <v>414</v>
      </c>
      <c r="AN71" s="24">
        <v>460</v>
      </c>
      <c r="AO71" s="24">
        <v>434</v>
      </c>
      <c r="AP71" s="24">
        <v>378</v>
      </c>
      <c r="AQ71" s="24">
        <v>299</v>
      </c>
      <c r="AR71" s="24">
        <v>132</v>
      </c>
      <c r="AS71" s="24">
        <v>11</v>
      </c>
      <c r="AT71" s="24">
        <v>9</v>
      </c>
      <c r="AU71" s="24">
        <v>8</v>
      </c>
      <c r="AV71" s="24">
        <v>2</v>
      </c>
      <c r="AW71" s="24">
        <v>11</v>
      </c>
      <c r="AX71" s="24">
        <v>7</v>
      </c>
      <c r="AY71" s="24">
        <v>2</v>
      </c>
      <c r="AZ71" s="24">
        <v>0</v>
      </c>
      <c r="BA71" s="24">
        <v>0</v>
      </c>
      <c r="BB71" s="24">
        <v>0</v>
      </c>
      <c r="BC71" s="24">
        <v>0</v>
      </c>
      <c r="BD71" s="24">
        <v>0</v>
      </c>
      <c r="BE71" s="24">
        <v>0</v>
      </c>
      <c r="BF71" s="24">
        <v>0</v>
      </c>
      <c r="BG71" s="24">
        <v>0</v>
      </c>
      <c r="BH71" s="24">
        <f>SUM(D71:BG71)</f>
        <v>16319</v>
      </c>
    </row>
    <row r="72" spans="1:60">
      <c r="A72" s="18" t="s">
        <v>147</v>
      </c>
      <c r="B72" s="18" t="s">
        <v>148</v>
      </c>
      <c r="C72" s="18" t="s">
        <v>66</v>
      </c>
      <c r="D72" s="24">
        <v>0</v>
      </c>
      <c r="E72" s="24">
        <v>0</v>
      </c>
      <c r="F72" s="24">
        <v>1</v>
      </c>
      <c r="G72" s="24">
        <v>144</v>
      </c>
      <c r="H72" s="24">
        <v>1081</v>
      </c>
      <c r="I72" s="24">
        <v>1719</v>
      </c>
      <c r="J72" s="24">
        <v>2053</v>
      </c>
      <c r="K72" s="24">
        <v>2257</v>
      </c>
      <c r="L72" s="24">
        <v>2530</v>
      </c>
      <c r="M72" s="24">
        <v>2616</v>
      </c>
      <c r="N72" s="24">
        <v>2910</v>
      </c>
      <c r="O72" s="24">
        <v>3049</v>
      </c>
      <c r="P72" s="24">
        <v>3161</v>
      </c>
      <c r="Q72" s="24">
        <v>3133</v>
      </c>
      <c r="R72" s="24">
        <v>3152</v>
      </c>
      <c r="S72" s="24">
        <v>3031</v>
      </c>
      <c r="T72" s="24">
        <v>3069</v>
      </c>
      <c r="U72" s="24">
        <v>2637</v>
      </c>
      <c r="V72" s="24">
        <v>2500</v>
      </c>
      <c r="W72" s="24">
        <v>2171</v>
      </c>
      <c r="X72" s="24">
        <v>2056</v>
      </c>
      <c r="Y72" s="24">
        <v>2048</v>
      </c>
      <c r="Z72" s="24">
        <v>2234</v>
      </c>
      <c r="AA72" s="24">
        <v>2403</v>
      </c>
      <c r="AB72" s="24">
        <v>2629</v>
      </c>
      <c r="AC72" s="24">
        <v>2694</v>
      </c>
      <c r="AD72" s="24">
        <v>2838</v>
      </c>
      <c r="AE72" s="24">
        <v>2748</v>
      </c>
      <c r="AF72" s="24">
        <v>2753</v>
      </c>
      <c r="AG72" s="24">
        <v>2731</v>
      </c>
      <c r="AH72" s="24">
        <v>2626</v>
      </c>
      <c r="AI72" s="24">
        <v>2587</v>
      </c>
      <c r="AJ72" s="24">
        <v>2378</v>
      </c>
      <c r="AK72" s="24">
        <v>2351</v>
      </c>
      <c r="AL72" s="24">
        <v>2373</v>
      </c>
      <c r="AM72" s="24">
        <v>2341</v>
      </c>
      <c r="AN72" s="24">
        <v>2256</v>
      </c>
      <c r="AO72" s="24">
        <v>2102</v>
      </c>
      <c r="AP72" s="24">
        <v>1600</v>
      </c>
      <c r="AQ72" s="24">
        <v>799</v>
      </c>
      <c r="AR72" s="24">
        <v>269</v>
      </c>
      <c r="AS72" s="24">
        <v>30</v>
      </c>
      <c r="AT72" s="24">
        <v>12</v>
      </c>
      <c r="AU72" s="24">
        <v>17</v>
      </c>
      <c r="AV72" s="24">
        <v>20</v>
      </c>
      <c r="AW72" s="24">
        <v>22</v>
      </c>
      <c r="AX72" s="24">
        <v>28</v>
      </c>
      <c r="AY72" s="24">
        <v>9</v>
      </c>
      <c r="AZ72" s="24">
        <v>13</v>
      </c>
      <c r="BA72" s="24">
        <v>0</v>
      </c>
      <c r="BB72" s="24">
        <v>0</v>
      </c>
      <c r="BC72" s="24">
        <v>0</v>
      </c>
      <c r="BD72" s="24">
        <v>0</v>
      </c>
      <c r="BE72" s="24">
        <v>0</v>
      </c>
      <c r="BF72" s="24">
        <v>0</v>
      </c>
      <c r="BG72" s="24">
        <v>0</v>
      </c>
      <c r="BH72" s="24">
        <f>SUM(D72:BG72)</f>
        <v>88181</v>
      </c>
    </row>
    <row r="73" spans="1:60">
      <c r="A73" s="18" t="s">
        <v>149</v>
      </c>
      <c r="B73" s="18" t="s">
        <v>148</v>
      </c>
      <c r="C73" s="18" t="s">
        <v>68</v>
      </c>
      <c r="D73" s="24">
        <v>0</v>
      </c>
      <c r="E73" s="24">
        <v>0</v>
      </c>
      <c r="F73" s="24">
        <v>0</v>
      </c>
      <c r="G73" s="24">
        <v>17</v>
      </c>
      <c r="H73" s="24">
        <v>131</v>
      </c>
      <c r="I73" s="24">
        <v>194</v>
      </c>
      <c r="J73" s="24">
        <v>171</v>
      </c>
      <c r="K73" s="24">
        <v>208</v>
      </c>
      <c r="L73" s="24">
        <v>226</v>
      </c>
      <c r="M73" s="24">
        <v>204</v>
      </c>
      <c r="N73" s="24">
        <v>233</v>
      </c>
      <c r="O73" s="24">
        <v>248</v>
      </c>
      <c r="P73" s="24">
        <v>276</v>
      </c>
      <c r="Q73" s="24">
        <v>263</v>
      </c>
      <c r="R73" s="24">
        <v>263</v>
      </c>
      <c r="S73" s="24">
        <v>252</v>
      </c>
      <c r="T73" s="24">
        <v>262</v>
      </c>
      <c r="U73" s="24">
        <v>211</v>
      </c>
      <c r="V73" s="24">
        <v>172</v>
      </c>
      <c r="W73" s="24">
        <v>180</v>
      </c>
      <c r="X73" s="24">
        <v>169</v>
      </c>
      <c r="Y73" s="24">
        <v>145</v>
      </c>
      <c r="Z73" s="24">
        <v>155</v>
      </c>
      <c r="AA73" s="24">
        <v>203</v>
      </c>
      <c r="AB73" s="24">
        <v>223</v>
      </c>
      <c r="AC73" s="24">
        <v>202</v>
      </c>
      <c r="AD73" s="24">
        <v>230</v>
      </c>
      <c r="AE73" s="24">
        <v>214</v>
      </c>
      <c r="AF73" s="24">
        <v>201</v>
      </c>
      <c r="AG73" s="24">
        <v>227</v>
      </c>
      <c r="AH73" s="24">
        <v>199</v>
      </c>
      <c r="AI73" s="24">
        <v>221</v>
      </c>
      <c r="AJ73" s="24">
        <v>191</v>
      </c>
      <c r="AK73" s="24">
        <v>212</v>
      </c>
      <c r="AL73" s="24">
        <v>185</v>
      </c>
      <c r="AM73" s="24">
        <v>175</v>
      </c>
      <c r="AN73" s="24">
        <v>193</v>
      </c>
      <c r="AO73" s="24">
        <v>156</v>
      </c>
      <c r="AP73" s="24">
        <v>110</v>
      </c>
      <c r="AQ73" s="24">
        <v>33</v>
      </c>
      <c r="AR73" s="24">
        <v>1</v>
      </c>
      <c r="AS73" s="24">
        <v>6</v>
      </c>
      <c r="AT73" s="24">
        <v>1</v>
      </c>
      <c r="AU73" s="24">
        <v>4</v>
      </c>
      <c r="AV73" s="24">
        <v>1</v>
      </c>
      <c r="AW73" s="24">
        <v>4</v>
      </c>
      <c r="AX73" s="24">
        <v>0</v>
      </c>
      <c r="AY73" s="24">
        <v>0</v>
      </c>
      <c r="AZ73" s="24">
        <v>0</v>
      </c>
      <c r="BA73" s="24">
        <v>0</v>
      </c>
      <c r="BB73" s="24">
        <v>0</v>
      </c>
      <c r="BC73" s="24">
        <v>0</v>
      </c>
      <c r="BD73" s="24">
        <v>0</v>
      </c>
      <c r="BE73" s="24">
        <v>0</v>
      </c>
      <c r="BF73" s="24">
        <v>0</v>
      </c>
      <c r="BG73" s="24">
        <v>0</v>
      </c>
      <c r="BH73" s="24">
        <f>SUM(D73:BG73)</f>
        <v>7172</v>
      </c>
    </row>
    <row r="74" spans="1:60">
      <c r="A74" s="18" t="s">
        <v>150</v>
      </c>
      <c r="B74" s="18" t="s">
        <v>148</v>
      </c>
      <c r="C74" s="18" t="s">
        <v>70</v>
      </c>
      <c r="D74" s="24">
        <v>0</v>
      </c>
      <c r="E74" s="24">
        <v>0</v>
      </c>
      <c r="F74" s="24">
        <v>0</v>
      </c>
      <c r="G74" s="24">
        <v>15</v>
      </c>
      <c r="H74" s="24">
        <v>134</v>
      </c>
      <c r="I74" s="24">
        <v>162</v>
      </c>
      <c r="J74" s="24">
        <v>172</v>
      </c>
      <c r="K74" s="24">
        <v>198</v>
      </c>
      <c r="L74" s="24">
        <v>211</v>
      </c>
      <c r="M74" s="24">
        <v>212</v>
      </c>
      <c r="N74" s="24">
        <v>208</v>
      </c>
      <c r="O74" s="24">
        <v>251</v>
      </c>
      <c r="P74" s="24">
        <v>263</v>
      </c>
      <c r="Q74" s="24">
        <v>248</v>
      </c>
      <c r="R74" s="24">
        <v>233</v>
      </c>
      <c r="S74" s="24">
        <v>220</v>
      </c>
      <c r="T74" s="24">
        <v>225</v>
      </c>
      <c r="U74" s="24">
        <v>191</v>
      </c>
      <c r="V74" s="24">
        <v>176</v>
      </c>
      <c r="W74" s="24">
        <v>156</v>
      </c>
      <c r="X74" s="24">
        <v>134</v>
      </c>
      <c r="Y74" s="24">
        <v>154</v>
      </c>
      <c r="Z74" s="24">
        <v>177</v>
      </c>
      <c r="AA74" s="24">
        <v>158</v>
      </c>
      <c r="AB74" s="24">
        <v>199</v>
      </c>
      <c r="AC74" s="24">
        <v>191</v>
      </c>
      <c r="AD74" s="24">
        <v>214</v>
      </c>
      <c r="AE74" s="24">
        <v>184</v>
      </c>
      <c r="AF74" s="24">
        <v>201</v>
      </c>
      <c r="AG74" s="24">
        <v>195</v>
      </c>
      <c r="AH74" s="24">
        <v>164</v>
      </c>
      <c r="AI74" s="24">
        <v>211</v>
      </c>
      <c r="AJ74" s="24">
        <v>187</v>
      </c>
      <c r="AK74" s="24">
        <v>157</v>
      </c>
      <c r="AL74" s="24">
        <v>150</v>
      </c>
      <c r="AM74" s="24">
        <v>172</v>
      </c>
      <c r="AN74" s="24">
        <v>170</v>
      </c>
      <c r="AO74" s="24">
        <v>185</v>
      </c>
      <c r="AP74" s="24">
        <v>83</v>
      </c>
      <c r="AQ74" s="24">
        <v>33</v>
      </c>
      <c r="AR74" s="24">
        <v>0</v>
      </c>
      <c r="AS74" s="24">
        <v>0</v>
      </c>
      <c r="AT74" s="24">
        <v>0</v>
      </c>
      <c r="AU74" s="24">
        <v>0</v>
      </c>
      <c r="AV74" s="24">
        <v>0</v>
      </c>
      <c r="AW74" s="24">
        <v>0</v>
      </c>
      <c r="AX74" s="24">
        <v>0</v>
      </c>
      <c r="AY74" s="24">
        <v>0</v>
      </c>
      <c r="AZ74" s="24">
        <v>0</v>
      </c>
      <c r="BA74" s="24">
        <v>0</v>
      </c>
      <c r="BB74" s="24">
        <v>0</v>
      </c>
      <c r="BC74" s="24">
        <v>0</v>
      </c>
      <c r="BD74" s="24">
        <v>0</v>
      </c>
      <c r="BE74" s="24">
        <v>0</v>
      </c>
      <c r="BF74" s="24">
        <v>0</v>
      </c>
      <c r="BG74" s="24">
        <v>0</v>
      </c>
      <c r="BH74" s="24">
        <f>SUM(D74:BG74)</f>
        <v>6594</v>
      </c>
    </row>
    <row r="75" spans="1:60">
      <c r="A75" s="18" t="s">
        <v>151</v>
      </c>
      <c r="B75" s="18" t="s">
        <v>148</v>
      </c>
      <c r="C75" s="18" t="s">
        <v>72</v>
      </c>
      <c r="D75" s="24">
        <v>0</v>
      </c>
      <c r="E75" s="24">
        <v>0</v>
      </c>
      <c r="F75" s="24">
        <v>1</v>
      </c>
      <c r="G75" s="24">
        <v>12</v>
      </c>
      <c r="H75" s="24">
        <v>123</v>
      </c>
      <c r="I75" s="24">
        <v>165</v>
      </c>
      <c r="J75" s="24">
        <v>177</v>
      </c>
      <c r="K75" s="24">
        <v>207</v>
      </c>
      <c r="L75" s="24">
        <v>235</v>
      </c>
      <c r="M75" s="24">
        <v>208</v>
      </c>
      <c r="N75" s="24">
        <v>253</v>
      </c>
      <c r="O75" s="24">
        <v>266</v>
      </c>
      <c r="P75" s="24">
        <v>236</v>
      </c>
      <c r="Q75" s="24">
        <v>250</v>
      </c>
      <c r="R75" s="24">
        <v>228</v>
      </c>
      <c r="S75" s="24">
        <v>224</v>
      </c>
      <c r="T75" s="24">
        <v>211</v>
      </c>
      <c r="U75" s="24">
        <v>207</v>
      </c>
      <c r="V75" s="24">
        <v>147</v>
      </c>
      <c r="W75" s="24">
        <v>146</v>
      </c>
      <c r="X75" s="24">
        <v>158</v>
      </c>
      <c r="Y75" s="24">
        <v>168</v>
      </c>
      <c r="Z75" s="24">
        <v>172</v>
      </c>
      <c r="AA75" s="24">
        <v>197</v>
      </c>
      <c r="AB75" s="24">
        <v>209</v>
      </c>
      <c r="AC75" s="24">
        <v>197</v>
      </c>
      <c r="AD75" s="24">
        <v>229</v>
      </c>
      <c r="AE75" s="24">
        <v>207</v>
      </c>
      <c r="AF75" s="24">
        <v>192</v>
      </c>
      <c r="AG75" s="24">
        <v>180</v>
      </c>
      <c r="AH75" s="24">
        <v>194</v>
      </c>
      <c r="AI75" s="24">
        <v>182</v>
      </c>
      <c r="AJ75" s="24">
        <v>168</v>
      </c>
      <c r="AK75" s="24">
        <v>145</v>
      </c>
      <c r="AL75" s="24">
        <v>187</v>
      </c>
      <c r="AM75" s="24">
        <v>165</v>
      </c>
      <c r="AN75" s="24">
        <v>175</v>
      </c>
      <c r="AO75" s="24">
        <v>153</v>
      </c>
      <c r="AP75" s="24">
        <v>121</v>
      </c>
      <c r="AQ75" s="24">
        <v>26</v>
      </c>
      <c r="AR75" s="24">
        <v>0</v>
      </c>
      <c r="AS75" s="24">
        <v>0</v>
      </c>
      <c r="AT75" s="24">
        <v>0</v>
      </c>
      <c r="AU75" s="24">
        <v>0</v>
      </c>
      <c r="AV75" s="24">
        <v>0</v>
      </c>
      <c r="AW75" s="24">
        <v>0</v>
      </c>
      <c r="AX75" s="24">
        <v>0</v>
      </c>
      <c r="AY75" s="24">
        <v>0</v>
      </c>
      <c r="AZ75" s="24">
        <v>0</v>
      </c>
      <c r="BA75" s="24">
        <v>0</v>
      </c>
      <c r="BB75" s="24">
        <v>0</v>
      </c>
      <c r="BC75" s="24">
        <v>0</v>
      </c>
      <c r="BD75" s="24">
        <v>0</v>
      </c>
      <c r="BE75" s="24">
        <v>0</v>
      </c>
      <c r="BF75" s="24">
        <v>0</v>
      </c>
      <c r="BG75" s="24">
        <v>0</v>
      </c>
      <c r="BH75" s="24">
        <f>SUM(D75:BG75)</f>
        <v>6721</v>
      </c>
    </row>
    <row r="76" spans="1:60">
      <c r="A76" s="18" t="s">
        <v>152</v>
      </c>
      <c r="B76" s="18" t="s">
        <v>148</v>
      </c>
      <c r="C76" s="18" t="s">
        <v>74</v>
      </c>
      <c r="D76" s="24">
        <v>0</v>
      </c>
      <c r="E76" s="24">
        <v>0</v>
      </c>
      <c r="F76" s="24">
        <v>0</v>
      </c>
      <c r="G76" s="24">
        <v>28</v>
      </c>
      <c r="H76" s="24">
        <v>146</v>
      </c>
      <c r="I76" s="24">
        <v>215</v>
      </c>
      <c r="J76" s="24">
        <v>171</v>
      </c>
      <c r="K76" s="24">
        <v>239</v>
      </c>
      <c r="L76" s="24">
        <v>233</v>
      </c>
      <c r="M76" s="24">
        <v>263</v>
      </c>
      <c r="N76" s="24">
        <v>285</v>
      </c>
      <c r="O76" s="24">
        <v>278</v>
      </c>
      <c r="P76" s="24">
        <v>290</v>
      </c>
      <c r="Q76" s="24">
        <v>267</v>
      </c>
      <c r="R76" s="24">
        <v>267</v>
      </c>
      <c r="S76" s="24">
        <v>251</v>
      </c>
      <c r="T76" s="24">
        <v>237</v>
      </c>
      <c r="U76" s="24">
        <v>174</v>
      </c>
      <c r="V76" s="24">
        <v>194</v>
      </c>
      <c r="W76" s="24">
        <v>180</v>
      </c>
      <c r="X76" s="24">
        <v>151</v>
      </c>
      <c r="Y76" s="24">
        <v>161</v>
      </c>
      <c r="Z76" s="24">
        <v>184</v>
      </c>
      <c r="AA76" s="24">
        <v>187</v>
      </c>
      <c r="AB76" s="24">
        <v>177</v>
      </c>
      <c r="AC76" s="24">
        <v>226</v>
      </c>
      <c r="AD76" s="24">
        <v>195</v>
      </c>
      <c r="AE76" s="24">
        <v>217</v>
      </c>
      <c r="AF76" s="24">
        <v>201</v>
      </c>
      <c r="AG76" s="24">
        <v>204</v>
      </c>
      <c r="AH76" s="24">
        <v>180</v>
      </c>
      <c r="AI76" s="24">
        <v>182</v>
      </c>
      <c r="AJ76" s="24">
        <v>174</v>
      </c>
      <c r="AK76" s="24">
        <v>187</v>
      </c>
      <c r="AL76" s="24">
        <v>172</v>
      </c>
      <c r="AM76" s="24">
        <v>184</v>
      </c>
      <c r="AN76" s="24">
        <v>155</v>
      </c>
      <c r="AO76" s="24">
        <v>178</v>
      </c>
      <c r="AP76" s="24">
        <v>106</v>
      </c>
      <c r="AQ76" s="24">
        <v>44</v>
      </c>
      <c r="AR76" s="24">
        <v>0</v>
      </c>
      <c r="AS76" s="24">
        <v>0</v>
      </c>
      <c r="AT76" s="24">
        <v>0</v>
      </c>
      <c r="AU76" s="24">
        <v>0</v>
      </c>
      <c r="AV76" s="24">
        <v>0</v>
      </c>
      <c r="AW76" s="24">
        <v>0</v>
      </c>
      <c r="AX76" s="24">
        <v>0</v>
      </c>
      <c r="AY76" s="24">
        <v>0</v>
      </c>
      <c r="AZ76" s="24">
        <v>0</v>
      </c>
      <c r="BA76" s="24">
        <v>0</v>
      </c>
      <c r="BB76" s="24">
        <v>0</v>
      </c>
      <c r="BC76" s="24">
        <v>0</v>
      </c>
      <c r="BD76" s="24">
        <v>0</v>
      </c>
      <c r="BE76" s="24">
        <v>0</v>
      </c>
      <c r="BF76" s="24">
        <v>0</v>
      </c>
      <c r="BG76" s="24">
        <v>0</v>
      </c>
      <c r="BH76" s="24">
        <f>SUM(D76:BG76)</f>
        <v>7183</v>
      </c>
    </row>
    <row r="77" spans="1:60">
      <c r="A77" s="18" t="s">
        <v>153</v>
      </c>
      <c r="B77" s="18" t="s">
        <v>148</v>
      </c>
      <c r="C77" s="18" t="s">
        <v>76</v>
      </c>
      <c r="D77" s="24">
        <v>0</v>
      </c>
      <c r="E77" s="24">
        <v>0</v>
      </c>
      <c r="F77" s="24">
        <v>0</v>
      </c>
      <c r="G77" s="24">
        <v>21</v>
      </c>
      <c r="H77" s="24">
        <v>141</v>
      </c>
      <c r="I77" s="24">
        <v>164</v>
      </c>
      <c r="J77" s="24">
        <v>155</v>
      </c>
      <c r="K77" s="24">
        <v>202</v>
      </c>
      <c r="L77" s="24">
        <v>197</v>
      </c>
      <c r="M77" s="24">
        <v>204</v>
      </c>
      <c r="N77" s="24">
        <v>231</v>
      </c>
      <c r="O77" s="24">
        <v>235</v>
      </c>
      <c r="P77" s="24">
        <v>243</v>
      </c>
      <c r="Q77" s="24">
        <v>200</v>
      </c>
      <c r="R77" s="24">
        <v>231</v>
      </c>
      <c r="S77" s="24">
        <v>222</v>
      </c>
      <c r="T77" s="24">
        <v>215</v>
      </c>
      <c r="U77" s="24">
        <v>187</v>
      </c>
      <c r="V77" s="24">
        <v>175</v>
      </c>
      <c r="W77" s="24">
        <v>145</v>
      </c>
      <c r="X77" s="24">
        <v>138</v>
      </c>
      <c r="Y77" s="24">
        <v>153</v>
      </c>
      <c r="Z77" s="24">
        <v>146</v>
      </c>
      <c r="AA77" s="24">
        <v>187</v>
      </c>
      <c r="AB77" s="24">
        <v>214</v>
      </c>
      <c r="AC77" s="24">
        <v>212</v>
      </c>
      <c r="AD77" s="24">
        <v>191</v>
      </c>
      <c r="AE77" s="24">
        <v>184</v>
      </c>
      <c r="AF77" s="24">
        <v>204</v>
      </c>
      <c r="AG77" s="24">
        <v>182</v>
      </c>
      <c r="AH77" s="24">
        <v>223</v>
      </c>
      <c r="AI77" s="24">
        <v>178</v>
      </c>
      <c r="AJ77" s="24">
        <v>154</v>
      </c>
      <c r="AK77" s="24">
        <v>157</v>
      </c>
      <c r="AL77" s="24">
        <v>165</v>
      </c>
      <c r="AM77" s="24">
        <v>158</v>
      </c>
      <c r="AN77" s="24">
        <v>170</v>
      </c>
      <c r="AO77" s="24">
        <v>138</v>
      </c>
      <c r="AP77" s="24">
        <v>88</v>
      </c>
      <c r="AQ77" s="24">
        <v>22</v>
      </c>
      <c r="AR77" s="24">
        <v>0</v>
      </c>
      <c r="AS77" s="24">
        <v>0</v>
      </c>
      <c r="AT77" s="24">
        <v>0</v>
      </c>
      <c r="AU77" s="24">
        <v>0</v>
      </c>
      <c r="AV77" s="24">
        <v>0</v>
      </c>
      <c r="AW77" s="24">
        <v>0</v>
      </c>
      <c r="AX77" s="24">
        <v>0</v>
      </c>
      <c r="AY77" s="24">
        <v>0</v>
      </c>
      <c r="AZ77" s="24">
        <v>0</v>
      </c>
      <c r="BA77" s="24">
        <v>0</v>
      </c>
      <c r="BB77" s="24">
        <v>0</v>
      </c>
      <c r="BC77" s="24">
        <v>0</v>
      </c>
      <c r="BD77" s="24">
        <v>0</v>
      </c>
      <c r="BE77" s="24">
        <v>0</v>
      </c>
      <c r="BF77" s="24">
        <v>0</v>
      </c>
      <c r="BG77" s="24">
        <v>0</v>
      </c>
      <c r="BH77" s="24">
        <f>SUM(D77:BG77)</f>
        <v>6432</v>
      </c>
    </row>
    <row r="78" spans="1:60">
      <c r="A78" s="18" t="s">
        <v>154</v>
      </c>
      <c r="B78" s="18" t="s">
        <v>148</v>
      </c>
      <c r="C78" s="18" t="s">
        <v>78</v>
      </c>
      <c r="D78" s="24">
        <v>0</v>
      </c>
      <c r="E78" s="24">
        <v>0</v>
      </c>
      <c r="F78" s="24">
        <v>0</v>
      </c>
      <c r="G78" s="24">
        <v>13</v>
      </c>
      <c r="H78" s="24">
        <v>132</v>
      </c>
      <c r="I78" s="24">
        <v>161</v>
      </c>
      <c r="J78" s="24">
        <v>145</v>
      </c>
      <c r="K78" s="24">
        <v>202</v>
      </c>
      <c r="L78" s="24">
        <v>224</v>
      </c>
      <c r="M78" s="24">
        <v>217</v>
      </c>
      <c r="N78" s="24">
        <v>247</v>
      </c>
      <c r="O78" s="24">
        <v>227</v>
      </c>
      <c r="P78" s="24">
        <v>227</v>
      </c>
      <c r="Q78" s="24">
        <v>265</v>
      </c>
      <c r="R78" s="24">
        <v>228</v>
      </c>
      <c r="S78" s="24">
        <v>220</v>
      </c>
      <c r="T78" s="24">
        <v>221</v>
      </c>
      <c r="U78" s="24">
        <v>178</v>
      </c>
      <c r="V78" s="24">
        <v>157</v>
      </c>
      <c r="W78" s="24">
        <v>146</v>
      </c>
      <c r="X78" s="24">
        <v>144</v>
      </c>
      <c r="Y78" s="24">
        <v>152</v>
      </c>
      <c r="Z78" s="24">
        <v>175</v>
      </c>
      <c r="AA78" s="24">
        <v>177</v>
      </c>
      <c r="AB78" s="24">
        <v>209</v>
      </c>
      <c r="AC78" s="24">
        <v>166</v>
      </c>
      <c r="AD78" s="24">
        <v>223</v>
      </c>
      <c r="AE78" s="24">
        <v>200</v>
      </c>
      <c r="AF78" s="24">
        <v>179</v>
      </c>
      <c r="AG78" s="24">
        <v>185</v>
      </c>
      <c r="AH78" s="24">
        <v>175</v>
      </c>
      <c r="AI78" s="24">
        <v>173</v>
      </c>
      <c r="AJ78" s="24">
        <v>171</v>
      </c>
      <c r="AK78" s="24">
        <v>161</v>
      </c>
      <c r="AL78" s="24">
        <v>159</v>
      </c>
      <c r="AM78" s="24">
        <v>176</v>
      </c>
      <c r="AN78" s="24">
        <v>151</v>
      </c>
      <c r="AO78" s="24">
        <v>138</v>
      </c>
      <c r="AP78" s="24">
        <v>94</v>
      </c>
      <c r="AQ78" s="24">
        <v>23</v>
      </c>
      <c r="AR78" s="24">
        <v>1</v>
      </c>
      <c r="AS78" s="24">
        <v>0</v>
      </c>
      <c r="AT78" s="24">
        <v>0</v>
      </c>
      <c r="AU78" s="24">
        <v>0</v>
      </c>
      <c r="AV78" s="24">
        <v>0</v>
      </c>
      <c r="AW78" s="24">
        <v>0</v>
      </c>
      <c r="AX78" s="24">
        <v>0</v>
      </c>
      <c r="AY78" s="24">
        <v>0</v>
      </c>
      <c r="AZ78" s="24">
        <v>0</v>
      </c>
      <c r="BA78" s="24">
        <v>0</v>
      </c>
      <c r="BB78" s="24">
        <v>0</v>
      </c>
      <c r="BC78" s="24">
        <v>0</v>
      </c>
      <c r="BD78" s="24">
        <v>0</v>
      </c>
      <c r="BE78" s="24">
        <v>0</v>
      </c>
      <c r="BF78" s="24">
        <v>0</v>
      </c>
      <c r="BG78" s="24">
        <v>0</v>
      </c>
      <c r="BH78" s="24">
        <f>SUM(D78:BG78)</f>
        <v>6442</v>
      </c>
    </row>
    <row r="79" spans="1:60">
      <c r="A79" s="18" t="s">
        <v>155</v>
      </c>
      <c r="B79" s="18" t="s">
        <v>148</v>
      </c>
      <c r="C79" s="18" t="s">
        <v>80</v>
      </c>
      <c r="D79" s="24">
        <v>0</v>
      </c>
      <c r="E79" s="24">
        <v>0</v>
      </c>
      <c r="F79" s="24">
        <v>0</v>
      </c>
      <c r="G79" s="24">
        <v>17</v>
      </c>
      <c r="H79" s="24">
        <v>132</v>
      </c>
      <c r="I79" s="24">
        <v>162</v>
      </c>
      <c r="J79" s="24">
        <v>183</v>
      </c>
      <c r="K79" s="24">
        <v>191</v>
      </c>
      <c r="L79" s="24">
        <v>210</v>
      </c>
      <c r="M79" s="24">
        <v>246</v>
      </c>
      <c r="N79" s="24">
        <v>227</v>
      </c>
      <c r="O79" s="24">
        <v>223</v>
      </c>
      <c r="P79" s="24">
        <v>246</v>
      </c>
      <c r="Q79" s="24">
        <v>259</v>
      </c>
      <c r="R79" s="24">
        <v>240</v>
      </c>
      <c r="S79" s="24">
        <v>247</v>
      </c>
      <c r="T79" s="24">
        <v>232</v>
      </c>
      <c r="U79" s="24">
        <v>195</v>
      </c>
      <c r="V79" s="24">
        <v>196</v>
      </c>
      <c r="W79" s="24">
        <v>151</v>
      </c>
      <c r="X79" s="24">
        <v>193</v>
      </c>
      <c r="Y79" s="24">
        <v>153</v>
      </c>
      <c r="Z79" s="24">
        <v>160</v>
      </c>
      <c r="AA79" s="24">
        <v>233</v>
      </c>
      <c r="AB79" s="24">
        <v>229</v>
      </c>
      <c r="AC79" s="24">
        <v>218</v>
      </c>
      <c r="AD79" s="24">
        <v>231</v>
      </c>
      <c r="AE79" s="24">
        <v>212</v>
      </c>
      <c r="AF79" s="24">
        <v>226</v>
      </c>
      <c r="AG79" s="24">
        <v>211</v>
      </c>
      <c r="AH79" s="24">
        <v>209</v>
      </c>
      <c r="AI79" s="24">
        <v>179</v>
      </c>
      <c r="AJ79" s="24">
        <v>172</v>
      </c>
      <c r="AK79" s="24">
        <v>202</v>
      </c>
      <c r="AL79" s="24">
        <v>183</v>
      </c>
      <c r="AM79" s="24">
        <v>176</v>
      </c>
      <c r="AN79" s="24">
        <v>153</v>
      </c>
      <c r="AO79" s="24">
        <v>144</v>
      </c>
      <c r="AP79" s="24">
        <v>88</v>
      </c>
      <c r="AQ79" s="24">
        <v>16</v>
      </c>
      <c r="AR79" s="24">
        <v>0</v>
      </c>
      <c r="AS79" s="24">
        <v>0</v>
      </c>
      <c r="AT79" s="24">
        <v>0</v>
      </c>
      <c r="AU79" s="24">
        <v>0</v>
      </c>
      <c r="AV79" s="24">
        <v>0</v>
      </c>
      <c r="AW79" s="24">
        <v>0</v>
      </c>
      <c r="AX79" s="24">
        <v>0</v>
      </c>
      <c r="AY79" s="24">
        <v>0</v>
      </c>
      <c r="AZ79" s="24">
        <v>0</v>
      </c>
      <c r="BA79" s="24">
        <v>0</v>
      </c>
      <c r="BB79" s="24">
        <v>0</v>
      </c>
      <c r="BC79" s="24">
        <v>0</v>
      </c>
      <c r="BD79" s="24">
        <v>0</v>
      </c>
      <c r="BE79" s="24">
        <v>0</v>
      </c>
      <c r="BF79" s="24">
        <v>0</v>
      </c>
      <c r="BG79" s="24">
        <v>0</v>
      </c>
      <c r="BH79" s="24">
        <f>SUM(D79:BG79)</f>
        <v>6945</v>
      </c>
    </row>
    <row r="80" spans="1:60">
      <c r="A80" s="18" t="s">
        <v>156</v>
      </c>
      <c r="B80" s="18" t="s">
        <v>148</v>
      </c>
      <c r="C80" s="18" t="s">
        <v>82</v>
      </c>
      <c r="D80" s="24">
        <v>0</v>
      </c>
      <c r="E80" s="24">
        <v>0</v>
      </c>
      <c r="F80" s="24">
        <v>0</v>
      </c>
      <c r="G80" s="24">
        <v>21</v>
      </c>
      <c r="H80" s="24">
        <v>94</v>
      </c>
      <c r="I80" s="24">
        <v>129</v>
      </c>
      <c r="J80" s="24">
        <v>144</v>
      </c>
      <c r="K80" s="24">
        <v>155</v>
      </c>
      <c r="L80" s="24">
        <v>172</v>
      </c>
      <c r="M80" s="24">
        <v>186</v>
      </c>
      <c r="N80" s="24">
        <v>194</v>
      </c>
      <c r="O80" s="24">
        <v>200</v>
      </c>
      <c r="P80" s="24">
        <v>223</v>
      </c>
      <c r="Q80" s="24">
        <v>216</v>
      </c>
      <c r="R80" s="24">
        <v>207</v>
      </c>
      <c r="S80" s="24">
        <v>229</v>
      </c>
      <c r="T80" s="24">
        <v>211</v>
      </c>
      <c r="U80" s="24">
        <v>178</v>
      </c>
      <c r="V80" s="24">
        <v>174</v>
      </c>
      <c r="W80" s="24">
        <v>153</v>
      </c>
      <c r="X80" s="24">
        <v>144</v>
      </c>
      <c r="Y80" s="24">
        <v>141</v>
      </c>
      <c r="Z80" s="24">
        <v>187</v>
      </c>
      <c r="AA80" s="24">
        <v>197</v>
      </c>
      <c r="AB80" s="24">
        <v>174</v>
      </c>
      <c r="AC80" s="24">
        <v>195</v>
      </c>
      <c r="AD80" s="24">
        <v>221</v>
      </c>
      <c r="AE80" s="24">
        <v>192</v>
      </c>
      <c r="AF80" s="24">
        <v>205</v>
      </c>
      <c r="AG80" s="24">
        <v>201</v>
      </c>
      <c r="AH80" s="24">
        <v>179</v>
      </c>
      <c r="AI80" s="24">
        <v>185</v>
      </c>
      <c r="AJ80" s="24">
        <v>138</v>
      </c>
      <c r="AK80" s="24">
        <v>158</v>
      </c>
      <c r="AL80" s="24">
        <v>153</v>
      </c>
      <c r="AM80" s="24">
        <v>148</v>
      </c>
      <c r="AN80" s="24">
        <v>143</v>
      </c>
      <c r="AO80" s="24">
        <v>115</v>
      </c>
      <c r="AP80" s="24">
        <v>76</v>
      </c>
      <c r="AQ80" s="24">
        <v>24</v>
      </c>
      <c r="AR80" s="24">
        <v>0</v>
      </c>
      <c r="AS80" s="24">
        <v>0</v>
      </c>
      <c r="AT80" s="24">
        <v>0</v>
      </c>
      <c r="AU80" s="24">
        <v>0</v>
      </c>
      <c r="AV80" s="24">
        <v>0</v>
      </c>
      <c r="AW80" s="24">
        <v>0</v>
      </c>
      <c r="AX80" s="24">
        <v>0</v>
      </c>
      <c r="AY80" s="24">
        <v>0</v>
      </c>
      <c r="AZ80" s="24">
        <v>0</v>
      </c>
      <c r="BA80" s="24">
        <v>0</v>
      </c>
      <c r="BB80" s="24">
        <v>0</v>
      </c>
      <c r="BC80" s="24">
        <v>0</v>
      </c>
      <c r="BD80" s="24">
        <v>0</v>
      </c>
      <c r="BE80" s="24">
        <v>0</v>
      </c>
      <c r="BF80" s="24">
        <v>0</v>
      </c>
      <c r="BG80" s="24">
        <v>0</v>
      </c>
      <c r="BH80" s="24">
        <f>SUM(D80:BG80)</f>
        <v>6062</v>
      </c>
    </row>
    <row r="81" spans="1:60">
      <c r="A81" s="18" t="s">
        <v>157</v>
      </c>
      <c r="B81" s="18" t="s">
        <v>148</v>
      </c>
      <c r="C81" s="18" t="s">
        <v>84</v>
      </c>
      <c r="D81" s="24">
        <v>0</v>
      </c>
      <c r="E81" s="24">
        <v>0</v>
      </c>
      <c r="F81" s="24">
        <v>0</v>
      </c>
      <c r="G81" s="24">
        <v>0</v>
      </c>
      <c r="H81" s="24">
        <v>5</v>
      </c>
      <c r="I81" s="24">
        <v>48</v>
      </c>
      <c r="J81" s="24">
        <v>112</v>
      </c>
      <c r="K81" s="24">
        <v>104</v>
      </c>
      <c r="L81" s="24">
        <v>142</v>
      </c>
      <c r="M81" s="24">
        <v>153</v>
      </c>
      <c r="N81" s="24">
        <v>191</v>
      </c>
      <c r="O81" s="24">
        <v>206</v>
      </c>
      <c r="P81" s="24">
        <v>236</v>
      </c>
      <c r="Q81" s="24">
        <v>213</v>
      </c>
      <c r="R81" s="24">
        <v>216</v>
      </c>
      <c r="S81" s="24">
        <v>221</v>
      </c>
      <c r="T81" s="24">
        <v>226</v>
      </c>
      <c r="U81" s="24">
        <v>198</v>
      </c>
      <c r="V81" s="24">
        <v>215</v>
      </c>
      <c r="W81" s="24">
        <v>166</v>
      </c>
      <c r="X81" s="24">
        <v>161</v>
      </c>
      <c r="Y81" s="24">
        <v>168</v>
      </c>
      <c r="Z81" s="24">
        <v>169</v>
      </c>
      <c r="AA81" s="24">
        <v>169</v>
      </c>
      <c r="AB81" s="24">
        <v>203</v>
      </c>
      <c r="AC81" s="24">
        <v>200</v>
      </c>
      <c r="AD81" s="24">
        <v>195</v>
      </c>
      <c r="AE81" s="24">
        <v>219</v>
      </c>
      <c r="AF81" s="24">
        <v>212</v>
      </c>
      <c r="AG81" s="24">
        <v>231</v>
      </c>
      <c r="AH81" s="24">
        <v>210</v>
      </c>
      <c r="AI81" s="24">
        <v>192</v>
      </c>
      <c r="AJ81" s="24">
        <v>187</v>
      </c>
      <c r="AK81" s="24">
        <v>167</v>
      </c>
      <c r="AL81" s="24">
        <v>193</v>
      </c>
      <c r="AM81" s="24">
        <v>182</v>
      </c>
      <c r="AN81" s="24">
        <v>175</v>
      </c>
      <c r="AO81" s="24">
        <v>162</v>
      </c>
      <c r="AP81" s="24">
        <v>154</v>
      </c>
      <c r="AQ81" s="24">
        <v>115</v>
      </c>
      <c r="AR81" s="24">
        <v>40</v>
      </c>
      <c r="AS81" s="24">
        <v>1</v>
      </c>
      <c r="AT81" s="24">
        <v>3</v>
      </c>
      <c r="AU81" s="24">
        <v>0</v>
      </c>
      <c r="AV81" s="24">
        <v>6</v>
      </c>
      <c r="AW81" s="24">
        <v>5</v>
      </c>
      <c r="AX81" s="24">
        <v>2</v>
      </c>
      <c r="AY81" s="24">
        <v>4</v>
      </c>
      <c r="AZ81" s="24">
        <v>5</v>
      </c>
      <c r="BA81" s="24">
        <v>0</v>
      </c>
      <c r="BB81" s="24">
        <v>0</v>
      </c>
      <c r="BC81" s="24">
        <v>0</v>
      </c>
      <c r="BD81" s="24">
        <v>0</v>
      </c>
      <c r="BE81" s="24">
        <v>0</v>
      </c>
      <c r="BF81" s="24">
        <v>0</v>
      </c>
      <c r="BG81" s="24">
        <v>0</v>
      </c>
      <c r="BH81" s="24">
        <f>SUM(D81:BG81)</f>
        <v>6382</v>
      </c>
    </row>
    <row r="82" spans="1:60">
      <c r="A82" s="18" t="s">
        <v>158</v>
      </c>
      <c r="B82" s="18" t="s">
        <v>148</v>
      </c>
      <c r="C82" s="18" t="s">
        <v>86</v>
      </c>
      <c r="D82" s="24">
        <v>0</v>
      </c>
      <c r="E82" s="24">
        <v>0</v>
      </c>
      <c r="F82" s="24">
        <v>0</v>
      </c>
      <c r="G82" s="24">
        <v>0</v>
      </c>
      <c r="H82" s="24">
        <v>8</v>
      </c>
      <c r="I82" s="24">
        <v>76</v>
      </c>
      <c r="J82" s="24">
        <v>160</v>
      </c>
      <c r="K82" s="24">
        <v>161</v>
      </c>
      <c r="L82" s="24">
        <v>179</v>
      </c>
      <c r="M82" s="24">
        <v>177</v>
      </c>
      <c r="N82" s="24">
        <v>255</v>
      </c>
      <c r="O82" s="24">
        <v>245</v>
      </c>
      <c r="P82" s="24">
        <v>260</v>
      </c>
      <c r="Q82" s="24">
        <v>275</v>
      </c>
      <c r="R82" s="24">
        <v>308</v>
      </c>
      <c r="S82" s="24">
        <v>280</v>
      </c>
      <c r="T82" s="24">
        <v>308</v>
      </c>
      <c r="U82" s="24">
        <v>277</v>
      </c>
      <c r="V82" s="24">
        <v>271</v>
      </c>
      <c r="W82" s="24">
        <v>237</v>
      </c>
      <c r="X82" s="24">
        <v>176</v>
      </c>
      <c r="Y82" s="24">
        <v>186</v>
      </c>
      <c r="Z82" s="24">
        <v>209</v>
      </c>
      <c r="AA82" s="24">
        <v>188</v>
      </c>
      <c r="AB82" s="24">
        <v>223</v>
      </c>
      <c r="AC82" s="24">
        <v>251</v>
      </c>
      <c r="AD82" s="24">
        <v>284</v>
      </c>
      <c r="AE82" s="24">
        <v>294</v>
      </c>
      <c r="AF82" s="24">
        <v>279</v>
      </c>
      <c r="AG82" s="24">
        <v>266</v>
      </c>
      <c r="AH82" s="24">
        <v>236</v>
      </c>
      <c r="AI82" s="24">
        <v>273</v>
      </c>
      <c r="AJ82" s="24">
        <v>242</v>
      </c>
      <c r="AK82" s="24">
        <v>241</v>
      </c>
      <c r="AL82" s="24">
        <v>257</v>
      </c>
      <c r="AM82" s="24">
        <v>236</v>
      </c>
      <c r="AN82" s="24">
        <v>225</v>
      </c>
      <c r="AO82" s="24">
        <v>233</v>
      </c>
      <c r="AP82" s="24">
        <v>209</v>
      </c>
      <c r="AQ82" s="24">
        <v>140</v>
      </c>
      <c r="AR82" s="24">
        <v>62</v>
      </c>
      <c r="AS82" s="24">
        <v>1</v>
      </c>
      <c r="AT82" s="24">
        <v>0</v>
      </c>
      <c r="AU82" s="24">
        <v>0</v>
      </c>
      <c r="AV82" s="24">
        <v>0</v>
      </c>
      <c r="AW82" s="24">
        <v>0</v>
      </c>
      <c r="AX82" s="24">
        <v>0</v>
      </c>
      <c r="AY82" s="24">
        <v>0</v>
      </c>
      <c r="AZ82" s="24">
        <v>0</v>
      </c>
      <c r="BA82" s="24">
        <v>0</v>
      </c>
      <c r="BB82" s="24">
        <v>0</v>
      </c>
      <c r="BC82" s="24">
        <v>0</v>
      </c>
      <c r="BD82" s="24">
        <v>0</v>
      </c>
      <c r="BE82" s="24">
        <v>0</v>
      </c>
      <c r="BF82" s="24">
        <v>0</v>
      </c>
      <c r="BG82" s="24">
        <v>0</v>
      </c>
      <c r="BH82" s="24">
        <f>SUM(D82:BG82)</f>
        <v>8188</v>
      </c>
    </row>
    <row r="83" spans="1:60">
      <c r="A83" s="18" t="s">
        <v>159</v>
      </c>
      <c r="B83" s="18" t="s">
        <v>148</v>
      </c>
      <c r="C83" s="18" t="s">
        <v>88</v>
      </c>
      <c r="D83" s="24">
        <v>0</v>
      </c>
      <c r="E83" s="24">
        <v>0</v>
      </c>
      <c r="F83" s="24">
        <v>0</v>
      </c>
      <c r="G83" s="24">
        <v>0</v>
      </c>
      <c r="H83" s="24">
        <v>11</v>
      </c>
      <c r="I83" s="24">
        <v>79</v>
      </c>
      <c r="J83" s="24">
        <v>166</v>
      </c>
      <c r="K83" s="24">
        <v>142</v>
      </c>
      <c r="L83" s="24">
        <v>187</v>
      </c>
      <c r="M83" s="24">
        <v>240</v>
      </c>
      <c r="N83" s="24">
        <v>227</v>
      </c>
      <c r="O83" s="24">
        <v>275</v>
      </c>
      <c r="P83" s="24">
        <v>268</v>
      </c>
      <c r="Q83" s="24">
        <v>327</v>
      </c>
      <c r="R83" s="24">
        <v>337</v>
      </c>
      <c r="S83" s="24">
        <v>294</v>
      </c>
      <c r="T83" s="24">
        <v>310</v>
      </c>
      <c r="U83" s="24">
        <v>261</v>
      </c>
      <c r="V83" s="24">
        <v>273</v>
      </c>
      <c r="W83" s="24">
        <v>239</v>
      </c>
      <c r="X83" s="24">
        <v>200</v>
      </c>
      <c r="Y83" s="24">
        <v>204</v>
      </c>
      <c r="Z83" s="24">
        <v>186</v>
      </c>
      <c r="AA83" s="24">
        <v>202</v>
      </c>
      <c r="AB83" s="24">
        <v>241</v>
      </c>
      <c r="AC83" s="24">
        <v>279</v>
      </c>
      <c r="AD83" s="24">
        <v>276</v>
      </c>
      <c r="AE83" s="24">
        <v>252</v>
      </c>
      <c r="AF83" s="24">
        <v>273</v>
      </c>
      <c r="AG83" s="24">
        <v>257</v>
      </c>
      <c r="AH83" s="24">
        <v>299</v>
      </c>
      <c r="AI83" s="24">
        <v>253</v>
      </c>
      <c r="AJ83" s="24">
        <v>260</v>
      </c>
      <c r="AK83" s="24">
        <v>251</v>
      </c>
      <c r="AL83" s="24">
        <v>254</v>
      </c>
      <c r="AM83" s="24">
        <v>257</v>
      </c>
      <c r="AN83" s="24">
        <v>232</v>
      </c>
      <c r="AO83" s="24">
        <v>211</v>
      </c>
      <c r="AP83" s="24">
        <v>217</v>
      </c>
      <c r="AQ83" s="24">
        <v>140</v>
      </c>
      <c r="AR83" s="24">
        <v>73</v>
      </c>
      <c r="AS83" s="24">
        <v>3</v>
      </c>
      <c r="AT83" s="24">
        <v>2</v>
      </c>
      <c r="AU83" s="24">
        <v>0</v>
      </c>
      <c r="AV83" s="24">
        <v>4</v>
      </c>
      <c r="AW83" s="24">
        <v>3</v>
      </c>
      <c r="AX83" s="24">
        <v>16</v>
      </c>
      <c r="AY83" s="24">
        <v>2</v>
      </c>
      <c r="AZ83" s="24">
        <v>8</v>
      </c>
      <c r="BA83" s="24">
        <v>0</v>
      </c>
      <c r="BB83" s="24">
        <v>0</v>
      </c>
      <c r="BC83" s="24">
        <v>0</v>
      </c>
      <c r="BD83" s="24">
        <v>0</v>
      </c>
      <c r="BE83" s="24">
        <v>0</v>
      </c>
      <c r="BF83" s="24">
        <v>0</v>
      </c>
      <c r="BG83" s="24">
        <v>0</v>
      </c>
      <c r="BH83" s="24">
        <f>SUM(D83:BG83)</f>
        <v>8491</v>
      </c>
    </row>
    <row r="84" spans="1:60">
      <c r="A84" s="18" t="s">
        <v>160</v>
      </c>
      <c r="B84" s="18" t="s">
        <v>148</v>
      </c>
      <c r="C84" s="18" t="s">
        <v>90</v>
      </c>
      <c r="D84" s="24">
        <v>0</v>
      </c>
      <c r="E84" s="24">
        <v>0</v>
      </c>
      <c r="F84" s="24">
        <v>0</v>
      </c>
      <c r="G84" s="24">
        <v>0</v>
      </c>
      <c r="H84" s="24">
        <v>24</v>
      </c>
      <c r="I84" s="24">
        <v>164</v>
      </c>
      <c r="J84" s="24">
        <v>297</v>
      </c>
      <c r="K84" s="24">
        <v>248</v>
      </c>
      <c r="L84" s="24">
        <v>314</v>
      </c>
      <c r="M84" s="24">
        <v>306</v>
      </c>
      <c r="N84" s="24">
        <v>359</v>
      </c>
      <c r="O84" s="24">
        <v>395</v>
      </c>
      <c r="P84" s="24">
        <v>393</v>
      </c>
      <c r="Q84" s="24">
        <v>350</v>
      </c>
      <c r="R84" s="24">
        <v>394</v>
      </c>
      <c r="S84" s="24">
        <v>371</v>
      </c>
      <c r="T84" s="24">
        <v>411</v>
      </c>
      <c r="U84" s="24">
        <v>380</v>
      </c>
      <c r="V84" s="24">
        <v>350</v>
      </c>
      <c r="W84" s="24">
        <v>272</v>
      </c>
      <c r="X84" s="24">
        <v>288</v>
      </c>
      <c r="Y84" s="24">
        <v>263</v>
      </c>
      <c r="Z84" s="24">
        <v>314</v>
      </c>
      <c r="AA84" s="24">
        <v>305</v>
      </c>
      <c r="AB84" s="24">
        <v>328</v>
      </c>
      <c r="AC84" s="24">
        <v>357</v>
      </c>
      <c r="AD84" s="24">
        <v>349</v>
      </c>
      <c r="AE84" s="24">
        <v>373</v>
      </c>
      <c r="AF84" s="24">
        <v>380</v>
      </c>
      <c r="AG84" s="24">
        <v>392</v>
      </c>
      <c r="AH84" s="24">
        <v>358</v>
      </c>
      <c r="AI84" s="24">
        <v>358</v>
      </c>
      <c r="AJ84" s="24">
        <v>334</v>
      </c>
      <c r="AK84" s="24">
        <v>313</v>
      </c>
      <c r="AL84" s="24">
        <v>315</v>
      </c>
      <c r="AM84" s="24">
        <v>312</v>
      </c>
      <c r="AN84" s="24">
        <v>314</v>
      </c>
      <c r="AO84" s="24">
        <v>289</v>
      </c>
      <c r="AP84" s="24">
        <v>254</v>
      </c>
      <c r="AQ84" s="24">
        <v>183</v>
      </c>
      <c r="AR84" s="24">
        <v>92</v>
      </c>
      <c r="AS84" s="24">
        <v>19</v>
      </c>
      <c r="AT84" s="24">
        <v>6</v>
      </c>
      <c r="AU84" s="24">
        <v>13</v>
      </c>
      <c r="AV84" s="24">
        <v>9</v>
      </c>
      <c r="AW84" s="24">
        <v>10</v>
      </c>
      <c r="AX84" s="24">
        <v>10</v>
      </c>
      <c r="AY84" s="24">
        <v>3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  <c r="BE84" s="24">
        <v>0</v>
      </c>
      <c r="BF84" s="24">
        <v>0</v>
      </c>
      <c r="BG84" s="24">
        <v>0</v>
      </c>
      <c r="BH84" s="24">
        <f>SUM(D84:BG84)</f>
        <v>11569</v>
      </c>
    </row>
    <row r="85" spans="1:60">
      <c r="A85" s="18" t="s">
        <v>161</v>
      </c>
      <c r="B85" s="18" t="s">
        <v>162</v>
      </c>
      <c r="C85" s="18" t="s">
        <v>66</v>
      </c>
      <c r="D85" s="24">
        <v>0</v>
      </c>
      <c r="E85" s="24">
        <v>0</v>
      </c>
      <c r="F85" s="24">
        <v>0</v>
      </c>
      <c r="G85" s="24">
        <v>1</v>
      </c>
      <c r="H85" s="24">
        <v>12</v>
      </c>
      <c r="I85" s="24">
        <v>133</v>
      </c>
      <c r="J85" s="24">
        <v>810</v>
      </c>
      <c r="K85" s="24">
        <v>1025</v>
      </c>
      <c r="L85" s="24">
        <v>1158</v>
      </c>
      <c r="M85" s="24">
        <v>1395</v>
      </c>
      <c r="N85" s="24">
        <v>1530</v>
      </c>
      <c r="O85" s="24">
        <v>1603</v>
      </c>
      <c r="P85" s="24">
        <v>1649</v>
      </c>
      <c r="Q85" s="24">
        <v>1798</v>
      </c>
      <c r="R85" s="24">
        <v>1763</v>
      </c>
      <c r="S85" s="24">
        <v>1797</v>
      </c>
      <c r="T85" s="24">
        <v>1808</v>
      </c>
      <c r="U85" s="24">
        <v>1684</v>
      </c>
      <c r="V85" s="24">
        <v>1534</v>
      </c>
      <c r="W85" s="24">
        <v>1445</v>
      </c>
      <c r="X85" s="24">
        <v>1219</v>
      </c>
      <c r="Y85" s="24">
        <v>1188</v>
      </c>
      <c r="Z85" s="24">
        <v>1180</v>
      </c>
      <c r="AA85" s="24">
        <v>1209</v>
      </c>
      <c r="AB85" s="24">
        <v>1285</v>
      </c>
      <c r="AC85" s="24">
        <v>1423</v>
      </c>
      <c r="AD85" s="24">
        <v>1468</v>
      </c>
      <c r="AE85" s="24">
        <v>1430</v>
      </c>
      <c r="AF85" s="24">
        <v>1555</v>
      </c>
      <c r="AG85" s="24">
        <v>1520</v>
      </c>
      <c r="AH85" s="24">
        <v>1515</v>
      </c>
      <c r="AI85" s="24">
        <v>1450</v>
      </c>
      <c r="AJ85" s="24">
        <v>1349</v>
      </c>
      <c r="AK85" s="24">
        <v>1324</v>
      </c>
      <c r="AL85" s="24">
        <v>1316</v>
      </c>
      <c r="AM85" s="24">
        <v>1300</v>
      </c>
      <c r="AN85" s="24">
        <v>1308</v>
      </c>
      <c r="AO85" s="24">
        <v>1236</v>
      </c>
      <c r="AP85" s="24">
        <v>1303</v>
      </c>
      <c r="AQ85" s="24">
        <v>1067</v>
      </c>
      <c r="AR85" s="24">
        <v>589</v>
      </c>
      <c r="AS85" s="24">
        <v>135</v>
      </c>
      <c r="AT85" s="24">
        <v>14</v>
      </c>
      <c r="AU85" s="24">
        <v>8</v>
      </c>
      <c r="AV85" s="24">
        <v>6</v>
      </c>
      <c r="AW85" s="24">
        <v>6</v>
      </c>
      <c r="AX85" s="24">
        <v>5</v>
      </c>
      <c r="AY85" s="24">
        <v>5</v>
      </c>
      <c r="AZ85" s="24">
        <v>2</v>
      </c>
      <c r="BA85" s="24">
        <v>4</v>
      </c>
      <c r="BB85" s="24">
        <v>3</v>
      </c>
      <c r="BC85" s="24">
        <v>1</v>
      </c>
      <c r="BD85" s="24">
        <v>0</v>
      </c>
      <c r="BE85" s="24">
        <v>0</v>
      </c>
      <c r="BF85" s="24">
        <v>0</v>
      </c>
      <c r="BG85" s="24">
        <v>0</v>
      </c>
      <c r="BH85" s="24">
        <f>SUM(D85:BG85)</f>
        <v>48568</v>
      </c>
    </row>
    <row r="86" spans="1:60">
      <c r="A86" s="18" t="s">
        <v>163</v>
      </c>
      <c r="B86" s="18" t="s">
        <v>162</v>
      </c>
      <c r="C86" s="18" t="s">
        <v>68</v>
      </c>
      <c r="D86" s="24">
        <v>0</v>
      </c>
      <c r="E86" s="24">
        <v>0</v>
      </c>
      <c r="F86" s="24">
        <v>0</v>
      </c>
      <c r="G86" s="24">
        <v>0</v>
      </c>
      <c r="H86" s="24">
        <v>0</v>
      </c>
      <c r="I86" s="24">
        <v>10</v>
      </c>
      <c r="J86" s="24">
        <v>99</v>
      </c>
      <c r="K86" s="24">
        <v>103</v>
      </c>
      <c r="L86" s="24">
        <v>113</v>
      </c>
      <c r="M86" s="24">
        <v>109</v>
      </c>
      <c r="N86" s="24">
        <v>128</v>
      </c>
      <c r="O86" s="24">
        <v>161</v>
      </c>
      <c r="P86" s="24">
        <v>154</v>
      </c>
      <c r="Q86" s="24">
        <v>163</v>
      </c>
      <c r="R86" s="24">
        <v>154</v>
      </c>
      <c r="S86" s="24">
        <v>165</v>
      </c>
      <c r="T86" s="24">
        <v>166</v>
      </c>
      <c r="U86" s="24">
        <v>160</v>
      </c>
      <c r="V86" s="24">
        <v>123</v>
      </c>
      <c r="W86" s="24">
        <v>127</v>
      </c>
      <c r="X86" s="24">
        <v>95</v>
      </c>
      <c r="Y86" s="24">
        <v>119</v>
      </c>
      <c r="Z86" s="24">
        <v>104</v>
      </c>
      <c r="AA86" s="24">
        <v>119</v>
      </c>
      <c r="AB86" s="24">
        <v>124</v>
      </c>
      <c r="AC86" s="24">
        <v>153</v>
      </c>
      <c r="AD86" s="24">
        <v>141</v>
      </c>
      <c r="AE86" s="24">
        <v>136</v>
      </c>
      <c r="AF86" s="24">
        <v>156</v>
      </c>
      <c r="AG86" s="24">
        <v>144</v>
      </c>
      <c r="AH86" s="24">
        <v>130</v>
      </c>
      <c r="AI86" s="24">
        <v>131</v>
      </c>
      <c r="AJ86" s="24">
        <v>124</v>
      </c>
      <c r="AK86" s="24">
        <v>123</v>
      </c>
      <c r="AL86" s="24">
        <v>108</v>
      </c>
      <c r="AM86" s="24">
        <v>115</v>
      </c>
      <c r="AN86" s="24">
        <v>131</v>
      </c>
      <c r="AO86" s="24">
        <v>98</v>
      </c>
      <c r="AP86" s="24">
        <v>139</v>
      </c>
      <c r="AQ86" s="24">
        <v>113</v>
      </c>
      <c r="AR86" s="24">
        <v>61</v>
      </c>
      <c r="AS86" s="24">
        <v>12</v>
      </c>
      <c r="AT86" s="24">
        <v>2</v>
      </c>
      <c r="AU86" s="24">
        <v>1</v>
      </c>
      <c r="AV86" s="24">
        <v>2</v>
      </c>
      <c r="AW86" s="24">
        <v>0</v>
      </c>
      <c r="AX86" s="24">
        <v>0</v>
      </c>
      <c r="AY86" s="24">
        <v>0</v>
      </c>
      <c r="AZ86" s="24">
        <v>0</v>
      </c>
      <c r="BA86" s="24">
        <v>0</v>
      </c>
      <c r="BB86" s="24">
        <v>0</v>
      </c>
      <c r="BC86" s="24">
        <v>0</v>
      </c>
      <c r="BD86" s="24">
        <v>0</v>
      </c>
      <c r="BE86" s="24">
        <v>0</v>
      </c>
      <c r="BF86" s="24">
        <v>0</v>
      </c>
      <c r="BG86" s="24">
        <v>0</v>
      </c>
      <c r="BH86" s="24">
        <f>SUM(D86:BG86)</f>
        <v>4516</v>
      </c>
    </row>
    <row r="87" spans="1:60">
      <c r="A87" s="18" t="s">
        <v>164</v>
      </c>
      <c r="B87" s="18" t="s">
        <v>162</v>
      </c>
      <c r="C87" s="18" t="s">
        <v>70</v>
      </c>
      <c r="D87" s="24">
        <v>0</v>
      </c>
      <c r="E87" s="24">
        <v>0</v>
      </c>
      <c r="F87" s="24">
        <v>0</v>
      </c>
      <c r="G87" s="24">
        <v>1</v>
      </c>
      <c r="H87" s="24">
        <v>1</v>
      </c>
      <c r="I87" s="24">
        <v>1</v>
      </c>
      <c r="J87" s="24">
        <v>60</v>
      </c>
      <c r="K87" s="24">
        <v>96</v>
      </c>
      <c r="L87" s="24">
        <v>89</v>
      </c>
      <c r="M87" s="24">
        <v>122</v>
      </c>
      <c r="N87" s="24">
        <v>129</v>
      </c>
      <c r="O87" s="24">
        <v>138</v>
      </c>
      <c r="P87" s="24">
        <v>148</v>
      </c>
      <c r="Q87" s="24">
        <v>171</v>
      </c>
      <c r="R87" s="24">
        <v>139</v>
      </c>
      <c r="S87" s="24">
        <v>138</v>
      </c>
      <c r="T87" s="24">
        <v>130</v>
      </c>
      <c r="U87" s="24">
        <v>134</v>
      </c>
      <c r="V87" s="24">
        <v>133</v>
      </c>
      <c r="W87" s="24">
        <v>110</v>
      </c>
      <c r="X87" s="24">
        <v>90</v>
      </c>
      <c r="Y87" s="24">
        <v>94</v>
      </c>
      <c r="Z87" s="24">
        <v>86</v>
      </c>
      <c r="AA87" s="24">
        <v>86</v>
      </c>
      <c r="AB87" s="24">
        <v>90</v>
      </c>
      <c r="AC87" s="24">
        <v>114</v>
      </c>
      <c r="AD87" s="24">
        <v>125</v>
      </c>
      <c r="AE87" s="24">
        <v>117</v>
      </c>
      <c r="AF87" s="24">
        <v>120</v>
      </c>
      <c r="AG87" s="24">
        <v>122</v>
      </c>
      <c r="AH87" s="24">
        <v>115</v>
      </c>
      <c r="AI87" s="24">
        <v>109</v>
      </c>
      <c r="AJ87" s="24">
        <v>90</v>
      </c>
      <c r="AK87" s="24">
        <v>124</v>
      </c>
      <c r="AL87" s="24">
        <v>104</v>
      </c>
      <c r="AM87" s="24">
        <v>108</v>
      </c>
      <c r="AN87" s="24">
        <v>98</v>
      </c>
      <c r="AO87" s="24">
        <v>106</v>
      </c>
      <c r="AP87" s="24">
        <v>97</v>
      </c>
      <c r="AQ87" s="24">
        <v>79</v>
      </c>
      <c r="AR87" s="24">
        <v>49</v>
      </c>
      <c r="AS87" s="24">
        <v>13</v>
      </c>
      <c r="AT87" s="24">
        <v>0</v>
      </c>
      <c r="AU87" s="24">
        <v>0</v>
      </c>
      <c r="AV87" s="24">
        <v>0</v>
      </c>
      <c r="AW87" s="24">
        <v>0</v>
      </c>
      <c r="AX87" s="24">
        <v>0</v>
      </c>
      <c r="AY87" s="24">
        <v>0</v>
      </c>
      <c r="AZ87" s="24">
        <v>0</v>
      </c>
      <c r="BA87" s="24">
        <v>0</v>
      </c>
      <c r="BB87" s="24">
        <v>0</v>
      </c>
      <c r="BC87" s="24">
        <v>0</v>
      </c>
      <c r="BD87" s="24">
        <v>0</v>
      </c>
      <c r="BE87" s="24">
        <v>0</v>
      </c>
      <c r="BF87" s="24">
        <v>0</v>
      </c>
      <c r="BG87" s="24">
        <v>0</v>
      </c>
      <c r="BH87" s="24">
        <f>SUM(D87:BG87)</f>
        <v>3876</v>
      </c>
    </row>
    <row r="88" spans="1:60">
      <c r="A88" s="18" t="s">
        <v>165</v>
      </c>
      <c r="B88" s="18" t="s">
        <v>162</v>
      </c>
      <c r="C88" s="18" t="s">
        <v>72</v>
      </c>
      <c r="D88" s="24">
        <v>0</v>
      </c>
      <c r="E88" s="24">
        <v>0</v>
      </c>
      <c r="F88" s="24">
        <v>0</v>
      </c>
      <c r="G88" s="24">
        <v>0</v>
      </c>
      <c r="H88" s="24">
        <v>1</v>
      </c>
      <c r="I88" s="24">
        <v>4</v>
      </c>
      <c r="J88" s="24">
        <v>56</v>
      </c>
      <c r="K88" s="24">
        <v>87</v>
      </c>
      <c r="L88" s="24">
        <v>91</v>
      </c>
      <c r="M88" s="24">
        <v>128</v>
      </c>
      <c r="N88" s="24">
        <v>117</v>
      </c>
      <c r="O88" s="24">
        <v>132</v>
      </c>
      <c r="P88" s="24">
        <v>127</v>
      </c>
      <c r="Q88" s="24">
        <v>150</v>
      </c>
      <c r="R88" s="24">
        <v>163</v>
      </c>
      <c r="S88" s="24">
        <v>152</v>
      </c>
      <c r="T88" s="24">
        <v>168</v>
      </c>
      <c r="U88" s="24">
        <v>156</v>
      </c>
      <c r="V88" s="24">
        <v>122</v>
      </c>
      <c r="W88" s="24">
        <v>114</v>
      </c>
      <c r="X88" s="24">
        <v>106</v>
      </c>
      <c r="Y88" s="24">
        <v>90</v>
      </c>
      <c r="Z88" s="24">
        <v>92</v>
      </c>
      <c r="AA88" s="24">
        <v>113</v>
      </c>
      <c r="AB88" s="24">
        <v>90</v>
      </c>
      <c r="AC88" s="24">
        <v>113</v>
      </c>
      <c r="AD88" s="24">
        <v>137</v>
      </c>
      <c r="AE88" s="24">
        <v>136</v>
      </c>
      <c r="AF88" s="24">
        <v>108</v>
      </c>
      <c r="AG88" s="24">
        <v>120</v>
      </c>
      <c r="AH88" s="24">
        <v>119</v>
      </c>
      <c r="AI88" s="24">
        <v>139</v>
      </c>
      <c r="AJ88" s="24">
        <v>106</v>
      </c>
      <c r="AK88" s="24">
        <v>96</v>
      </c>
      <c r="AL88" s="24">
        <v>120</v>
      </c>
      <c r="AM88" s="24">
        <v>87</v>
      </c>
      <c r="AN88" s="24">
        <v>115</v>
      </c>
      <c r="AO88" s="24">
        <v>103</v>
      </c>
      <c r="AP88" s="24">
        <v>114</v>
      </c>
      <c r="AQ88" s="24">
        <v>81</v>
      </c>
      <c r="AR88" s="24">
        <v>74</v>
      </c>
      <c r="AS88" s="24">
        <v>17</v>
      </c>
      <c r="AT88" s="24">
        <v>2</v>
      </c>
      <c r="AU88" s="24">
        <v>0</v>
      </c>
      <c r="AV88" s="24">
        <v>0</v>
      </c>
      <c r="AW88" s="24">
        <v>0</v>
      </c>
      <c r="AX88" s="24">
        <v>0</v>
      </c>
      <c r="AY88" s="24">
        <v>0</v>
      </c>
      <c r="AZ88" s="24">
        <v>0</v>
      </c>
      <c r="BA88" s="24">
        <v>0</v>
      </c>
      <c r="BB88" s="24">
        <v>0</v>
      </c>
      <c r="BC88" s="24">
        <v>0</v>
      </c>
      <c r="BD88" s="24">
        <v>0</v>
      </c>
      <c r="BE88" s="24">
        <v>0</v>
      </c>
      <c r="BF88" s="24">
        <v>0</v>
      </c>
      <c r="BG88" s="24">
        <v>0</v>
      </c>
      <c r="BH88" s="24">
        <f>SUM(D88:BG88)</f>
        <v>4046</v>
      </c>
    </row>
    <row r="89" spans="1:60">
      <c r="A89" s="18" t="s">
        <v>166</v>
      </c>
      <c r="B89" s="18" t="s">
        <v>162</v>
      </c>
      <c r="C89" s="18" t="s">
        <v>74</v>
      </c>
      <c r="D89" s="24">
        <v>0</v>
      </c>
      <c r="E89" s="24">
        <v>0</v>
      </c>
      <c r="F89" s="24">
        <v>0</v>
      </c>
      <c r="G89" s="24">
        <v>0</v>
      </c>
      <c r="H89" s="24">
        <v>5</v>
      </c>
      <c r="I89" s="24">
        <v>3</v>
      </c>
      <c r="J89" s="24">
        <v>74</v>
      </c>
      <c r="K89" s="24">
        <v>102</v>
      </c>
      <c r="L89" s="24">
        <v>120</v>
      </c>
      <c r="M89" s="24">
        <v>118</v>
      </c>
      <c r="N89" s="24">
        <v>162</v>
      </c>
      <c r="O89" s="24">
        <v>138</v>
      </c>
      <c r="P89" s="24">
        <v>139</v>
      </c>
      <c r="Q89" s="24">
        <v>145</v>
      </c>
      <c r="R89" s="24">
        <v>154</v>
      </c>
      <c r="S89" s="24">
        <v>146</v>
      </c>
      <c r="T89" s="24">
        <v>151</v>
      </c>
      <c r="U89" s="24">
        <v>120</v>
      </c>
      <c r="V89" s="24">
        <v>112</v>
      </c>
      <c r="W89" s="24">
        <v>115</v>
      </c>
      <c r="X89" s="24">
        <v>93</v>
      </c>
      <c r="Y89" s="24">
        <v>88</v>
      </c>
      <c r="Z89" s="24">
        <v>117</v>
      </c>
      <c r="AA89" s="24">
        <v>95</v>
      </c>
      <c r="AB89" s="24">
        <v>91</v>
      </c>
      <c r="AC89" s="24">
        <v>125</v>
      </c>
      <c r="AD89" s="24">
        <v>110</v>
      </c>
      <c r="AE89" s="24">
        <v>124</v>
      </c>
      <c r="AF89" s="24">
        <v>127</v>
      </c>
      <c r="AG89" s="24">
        <v>117</v>
      </c>
      <c r="AH89" s="24">
        <v>115</v>
      </c>
      <c r="AI89" s="24">
        <v>108</v>
      </c>
      <c r="AJ89" s="24">
        <v>98</v>
      </c>
      <c r="AK89" s="24">
        <v>102</v>
      </c>
      <c r="AL89" s="24">
        <v>112</v>
      </c>
      <c r="AM89" s="24">
        <v>114</v>
      </c>
      <c r="AN89" s="24">
        <v>92</v>
      </c>
      <c r="AO89" s="24">
        <v>91</v>
      </c>
      <c r="AP89" s="24">
        <v>99</v>
      </c>
      <c r="AQ89" s="24">
        <v>95</v>
      </c>
      <c r="AR89" s="24">
        <v>51</v>
      </c>
      <c r="AS89" s="24">
        <v>15</v>
      </c>
      <c r="AT89" s="24">
        <v>2</v>
      </c>
      <c r="AU89" s="24">
        <v>0</v>
      </c>
      <c r="AV89" s="24">
        <v>0</v>
      </c>
      <c r="AW89" s="24">
        <v>0</v>
      </c>
      <c r="AX89" s="24">
        <v>0</v>
      </c>
      <c r="AY89" s="24">
        <v>0</v>
      </c>
      <c r="AZ89" s="24">
        <v>0</v>
      </c>
      <c r="BA89" s="24">
        <v>0</v>
      </c>
      <c r="BB89" s="24">
        <v>0</v>
      </c>
      <c r="BC89" s="24">
        <v>0</v>
      </c>
      <c r="BD89" s="24">
        <v>0</v>
      </c>
      <c r="BE89" s="24">
        <v>0</v>
      </c>
      <c r="BF89" s="24">
        <v>0</v>
      </c>
      <c r="BG89" s="24">
        <v>0</v>
      </c>
      <c r="BH89" s="24">
        <f>SUM(D89:BG89)</f>
        <v>3985</v>
      </c>
    </row>
    <row r="90" spans="1:60">
      <c r="A90" s="18" t="s">
        <v>167</v>
      </c>
      <c r="B90" s="18" t="s">
        <v>162</v>
      </c>
      <c r="C90" s="18" t="s">
        <v>76</v>
      </c>
      <c r="D90" s="24">
        <v>0</v>
      </c>
      <c r="E90" s="24">
        <v>0</v>
      </c>
      <c r="F90" s="24">
        <v>0</v>
      </c>
      <c r="G90" s="24">
        <v>0</v>
      </c>
      <c r="H90" s="24">
        <v>1</v>
      </c>
      <c r="I90" s="24">
        <v>7</v>
      </c>
      <c r="J90" s="24">
        <v>61</v>
      </c>
      <c r="K90" s="24">
        <v>110</v>
      </c>
      <c r="L90" s="24">
        <v>106</v>
      </c>
      <c r="M90" s="24">
        <v>112</v>
      </c>
      <c r="N90" s="24">
        <v>133</v>
      </c>
      <c r="O90" s="24">
        <v>129</v>
      </c>
      <c r="P90" s="24">
        <v>137</v>
      </c>
      <c r="Q90" s="24">
        <v>142</v>
      </c>
      <c r="R90" s="24">
        <v>134</v>
      </c>
      <c r="S90" s="24">
        <v>109</v>
      </c>
      <c r="T90" s="24">
        <v>140</v>
      </c>
      <c r="U90" s="24">
        <v>132</v>
      </c>
      <c r="V90" s="24">
        <v>102</v>
      </c>
      <c r="W90" s="24">
        <v>117</v>
      </c>
      <c r="X90" s="24">
        <v>95</v>
      </c>
      <c r="Y90" s="24">
        <v>90</v>
      </c>
      <c r="Z90" s="24">
        <v>84</v>
      </c>
      <c r="AA90" s="24">
        <v>98</v>
      </c>
      <c r="AB90" s="24">
        <v>107</v>
      </c>
      <c r="AC90" s="24">
        <v>99</v>
      </c>
      <c r="AD90" s="24">
        <v>103</v>
      </c>
      <c r="AE90" s="24">
        <v>86</v>
      </c>
      <c r="AF90" s="24">
        <v>113</v>
      </c>
      <c r="AG90" s="24">
        <v>114</v>
      </c>
      <c r="AH90" s="24">
        <v>118</v>
      </c>
      <c r="AI90" s="24">
        <v>97</v>
      </c>
      <c r="AJ90" s="24">
        <v>104</v>
      </c>
      <c r="AK90" s="24">
        <v>81</v>
      </c>
      <c r="AL90" s="24">
        <v>96</v>
      </c>
      <c r="AM90" s="24">
        <v>102</v>
      </c>
      <c r="AN90" s="24">
        <v>86</v>
      </c>
      <c r="AO90" s="24">
        <v>88</v>
      </c>
      <c r="AP90" s="24">
        <v>97</v>
      </c>
      <c r="AQ90" s="24">
        <v>90</v>
      </c>
      <c r="AR90" s="24">
        <v>39</v>
      </c>
      <c r="AS90" s="24">
        <v>8</v>
      </c>
      <c r="AT90" s="24">
        <v>2</v>
      </c>
      <c r="AU90" s="24">
        <v>0</v>
      </c>
      <c r="AV90" s="24">
        <v>0</v>
      </c>
      <c r="AW90" s="24">
        <v>0</v>
      </c>
      <c r="AX90" s="24">
        <v>1</v>
      </c>
      <c r="AY90" s="24">
        <v>0</v>
      </c>
      <c r="AZ90" s="24">
        <v>0</v>
      </c>
      <c r="BA90" s="24">
        <v>0</v>
      </c>
      <c r="BB90" s="24">
        <v>0</v>
      </c>
      <c r="BC90" s="24">
        <v>0</v>
      </c>
      <c r="BD90" s="24">
        <v>0</v>
      </c>
      <c r="BE90" s="24">
        <v>0</v>
      </c>
      <c r="BF90" s="24">
        <v>0</v>
      </c>
      <c r="BG90" s="24">
        <v>0</v>
      </c>
      <c r="BH90" s="24">
        <f>SUM(D90:BG90)</f>
        <v>3670</v>
      </c>
    </row>
    <row r="91" spans="1:60">
      <c r="A91" s="18" t="s">
        <v>168</v>
      </c>
      <c r="B91" s="18" t="s">
        <v>162</v>
      </c>
      <c r="C91" s="18" t="s">
        <v>78</v>
      </c>
      <c r="D91" s="24">
        <v>0</v>
      </c>
      <c r="E91" s="24">
        <v>0</v>
      </c>
      <c r="F91" s="24">
        <v>0</v>
      </c>
      <c r="G91" s="24">
        <v>0</v>
      </c>
      <c r="H91" s="24">
        <v>0</v>
      </c>
      <c r="I91" s="24">
        <v>7</v>
      </c>
      <c r="J91" s="24">
        <v>49</v>
      </c>
      <c r="K91" s="24">
        <v>90</v>
      </c>
      <c r="L91" s="24">
        <v>82</v>
      </c>
      <c r="M91" s="24">
        <v>111</v>
      </c>
      <c r="N91" s="24">
        <v>127</v>
      </c>
      <c r="O91" s="24">
        <v>125</v>
      </c>
      <c r="P91" s="24">
        <v>143</v>
      </c>
      <c r="Q91" s="24">
        <v>151</v>
      </c>
      <c r="R91" s="24">
        <v>153</v>
      </c>
      <c r="S91" s="24">
        <v>133</v>
      </c>
      <c r="T91" s="24">
        <v>142</v>
      </c>
      <c r="U91" s="24">
        <v>142</v>
      </c>
      <c r="V91" s="24">
        <v>116</v>
      </c>
      <c r="W91" s="24">
        <v>127</v>
      </c>
      <c r="X91" s="24">
        <v>108</v>
      </c>
      <c r="Y91" s="24">
        <v>89</v>
      </c>
      <c r="Z91" s="24">
        <v>96</v>
      </c>
      <c r="AA91" s="24">
        <v>81</v>
      </c>
      <c r="AB91" s="24">
        <v>88</v>
      </c>
      <c r="AC91" s="24">
        <v>112</v>
      </c>
      <c r="AD91" s="24">
        <v>121</v>
      </c>
      <c r="AE91" s="24">
        <v>119</v>
      </c>
      <c r="AF91" s="24">
        <v>111</v>
      </c>
      <c r="AG91" s="24">
        <v>108</v>
      </c>
      <c r="AH91" s="24">
        <v>118</v>
      </c>
      <c r="AI91" s="24">
        <v>105</v>
      </c>
      <c r="AJ91" s="24">
        <v>108</v>
      </c>
      <c r="AK91" s="24">
        <v>87</v>
      </c>
      <c r="AL91" s="24">
        <v>96</v>
      </c>
      <c r="AM91" s="24">
        <v>96</v>
      </c>
      <c r="AN91" s="24">
        <v>97</v>
      </c>
      <c r="AO91" s="24">
        <v>104</v>
      </c>
      <c r="AP91" s="24">
        <v>107</v>
      </c>
      <c r="AQ91" s="24">
        <v>81</v>
      </c>
      <c r="AR91" s="24">
        <v>51</v>
      </c>
      <c r="AS91" s="24">
        <v>7</v>
      </c>
      <c r="AT91" s="24">
        <v>0</v>
      </c>
      <c r="AU91" s="24">
        <v>0</v>
      </c>
      <c r="AV91" s="24">
        <v>0</v>
      </c>
      <c r="AW91" s="24">
        <v>0</v>
      </c>
      <c r="AX91" s="24">
        <v>0</v>
      </c>
      <c r="AY91" s="24">
        <v>0</v>
      </c>
      <c r="AZ91" s="24">
        <v>0</v>
      </c>
      <c r="BA91" s="24">
        <v>0</v>
      </c>
      <c r="BB91" s="24">
        <v>0</v>
      </c>
      <c r="BC91" s="24">
        <v>0</v>
      </c>
      <c r="BD91" s="24">
        <v>0</v>
      </c>
      <c r="BE91" s="24">
        <v>0</v>
      </c>
      <c r="BF91" s="24">
        <v>0</v>
      </c>
      <c r="BG91" s="24">
        <v>0</v>
      </c>
      <c r="BH91" s="24">
        <f>SUM(D91:BG91)</f>
        <v>3788</v>
      </c>
    </row>
    <row r="92" spans="1:60">
      <c r="A92" s="18" t="s">
        <v>169</v>
      </c>
      <c r="B92" s="18" t="s">
        <v>162</v>
      </c>
      <c r="C92" s="18" t="s">
        <v>80</v>
      </c>
      <c r="D92" s="24">
        <v>0</v>
      </c>
      <c r="E92" s="24">
        <v>0</v>
      </c>
      <c r="F92" s="24">
        <v>0</v>
      </c>
      <c r="G92" s="24">
        <v>0</v>
      </c>
      <c r="H92" s="24">
        <v>0</v>
      </c>
      <c r="I92" s="24">
        <v>3</v>
      </c>
      <c r="J92" s="24">
        <v>67</v>
      </c>
      <c r="K92" s="24">
        <v>82</v>
      </c>
      <c r="L92" s="24">
        <v>96</v>
      </c>
      <c r="M92" s="24">
        <v>121</v>
      </c>
      <c r="N92" s="24">
        <v>130</v>
      </c>
      <c r="O92" s="24">
        <v>119</v>
      </c>
      <c r="P92" s="24">
        <v>139</v>
      </c>
      <c r="Q92" s="24">
        <v>147</v>
      </c>
      <c r="R92" s="24">
        <v>140</v>
      </c>
      <c r="S92" s="24">
        <v>154</v>
      </c>
      <c r="T92" s="24">
        <v>143</v>
      </c>
      <c r="U92" s="24">
        <v>136</v>
      </c>
      <c r="V92" s="24">
        <v>142</v>
      </c>
      <c r="W92" s="24">
        <v>128</v>
      </c>
      <c r="X92" s="24">
        <v>112</v>
      </c>
      <c r="Y92" s="24">
        <v>105</v>
      </c>
      <c r="Z92" s="24">
        <v>96</v>
      </c>
      <c r="AA92" s="24">
        <v>108</v>
      </c>
      <c r="AB92" s="24">
        <v>114</v>
      </c>
      <c r="AC92" s="24">
        <v>122</v>
      </c>
      <c r="AD92" s="24">
        <v>114</v>
      </c>
      <c r="AE92" s="24">
        <v>119</v>
      </c>
      <c r="AF92" s="24">
        <v>135</v>
      </c>
      <c r="AG92" s="24">
        <v>130</v>
      </c>
      <c r="AH92" s="24">
        <v>120</v>
      </c>
      <c r="AI92" s="24">
        <v>117</v>
      </c>
      <c r="AJ92" s="24">
        <v>104</v>
      </c>
      <c r="AK92" s="24">
        <v>125</v>
      </c>
      <c r="AL92" s="24">
        <v>101</v>
      </c>
      <c r="AM92" s="24">
        <v>106</v>
      </c>
      <c r="AN92" s="24">
        <v>138</v>
      </c>
      <c r="AO92" s="24">
        <v>117</v>
      </c>
      <c r="AP92" s="24">
        <v>108</v>
      </c>
      <c r="AQ92" s="24">
        <v>106</v>
      </c>
      <c r="AR92" s="24">
        <v>41</v>
      </c>
      <c r="AS92" s="24">
        <v>17</v>
      </c>
      <c r="AT92" s="24">
        <v>1</v>
      </c>
      <c r="AU92" s="24">
        <v>2</v>
      </c>
      <c r="AV92" s="24">
        <v>0</v>
      </c>
      <c r="AW92" s="24">
        <v>0</v>
      </c>
      <c r="AX92" s="24">
        <v>0</v>
      </c>
      <c r="AY92" s="24">
        <v>2</v>
      </c>
      <c r="AZ92" s="24">
        <v>0</v>
      </c>
      <c r="BA92" s="24">
        <v>3</v>
      </c>
      <c r="BB92" s="24">
        <v>2</v>
      </c>
      <c r="BC92" s="24">
        <v>0</v>
      </c>
      <c r="BD92" s="24">
        <v>0</v>
      </c>
      <c r="BE92" s="24">
        <v>0</v>
      </c>
      <c r="BF92" s="24">
        <v>0</v>
      </c>
      <c r="BG92" s="24">
        <v>0</v>
      </c>
      <c r="BH92" s="24">
        <f>SUM(D92:BG92)</f>
        <v>4112</v>
      </c>
    </row>
    <row r="93" spans="1:60">
      <c r="A93" s="18" t="s">
        <v>170</v>
      </c>
      <c r="B93" s="18" t="s">
        <v>162</v>
      </c>
      <c r="C93" s="18" t="s">
        <v>82</v>
      </c>
      <c r="D93" s="24">
        <v>0</v>
      </c>
      <c r="E93" s="24">
        <v>0</v>
      </c>
      <c r="F93" s="24">
        <v>0</v>
      </c>
      <c r="G93" s="24">
        <v>0</v>
      </c>
      <c r="H93" s="24">
        <v>0</v>
      </c>
      <c r="I93" s="24">
        <v>6</v>
      </c>
      <c r="J93" s="24">
        <v>41</v>
      </c>
      <c r="K93" s="24">
        <v>74</v>
      </c>
      <c r="L93" s="24">
        <v>88</v>
      </c>
      <c r="M93" s="24">
        <v>110</v>
      </c>
      <c r="N93" s="24">
        <v>110</v>
      </c>
      <c r="O93" s="24">
        <v>124</v>
      </c>
      <c r="P93" s="24">
        <v>112</v>
      </c>
      <c r="Q93" s="24">
        <v>142</v>
      </c>
      <c r="R93" s="24">
        <v>116</v>
      </c>
      <c r="S93" s="24">
        <v>149</v>
      </c>
      <c r="T93" s="24">
        <v>123</v>
      </c>
      <c r="U93" s="24">
        <v>127</v>
      </c>
      <c r="V93" s="24">
        <v>144</v>
      </c>
      <c r="W93" s="24">
        <v>112</v>
      </c>
      <c r="X93" s="24">
        <v>91</v>
      </c>
      <c r="Y93" s="24">
        <v>88</v>
      </c>
      <c r="Z93" s="24">
        <v>104</v>
      </c>
      <c r="AA93" s="24">
        <v>97</v>
      </c>
      <c r="AB93" s="24">
        <v>115</v>
      </c>
      <c r="AC93" s="24">
        <v>104</v>
      </c>
      <c r="AD93" s="24">
        <v>101</v>
      </c>
      <c r="AE93" s="24">
        <v>113</v>
      </c>
      <c r="AF93" s="24">
        <v>126</v>
      </c>
      <c r="AG93" s="24">
        <v>123</v>
      </c>
      <c r="AH93" s="24">
        <v>123</v>
      </c>
      <c r="AI93" s="24">
        <v>112</v>
      </c>
      <c r="AJ93" s="24">
        <v>106</v>
      </c>
      <c r="AK93" s="24">
        <v>108</v>
      </c>
      <c r="AL93" s="24">
        <v>109</v>
      </c>
      <c r="AM93" s="24">
        <v>92</v>
      </c>
      <c r="AN93" s="24">
        <v>101</v>
      </c>
      <c r="AO93" s="24">
        <v>100</v>
      </c>
      <c r="AP93" s="24">
        <v>100</v>
      </c>
      <c r="AQ93" s="24">
        <v>94</v>
      </c>
      <c r="AR93" s="24">
        <v>66</v>
      </c>
      <c r="AS93" s="24">
        <v>17</v>
      </c>
      <c r="AT93" s="24">
        <v>0</v>
      </c>
      <c r="AU93" s="24">
        <v>0</v>
      </c>
      <c r="AV93" s="24">
        <v>0</v>
      </c>
      <c r="AW93" s="24">
        <v>0</v>
      </c>
      <c r="AX93" s="24">
        <v>0</v>
      </c>
      <c r="AY93" s="24">
        <v>0</v>
      </c>
      <c r="AZ93" s="24">
        <v>0</v>
      </c>
      <c r="BA93" s="24">
        <v>0</v>
      </c>
      <c r="BB93" s="24">
        <v>0</v>
      </c>
      <c r="BC93" s="24">
        <v>0</v>
      </c>
      <c r="BD93" s="24">
        <v>0</v>
      </c>
      <c r="BE93" s="24">
        <v>0</v>
      </c>
      <c r="BF93" s="24">
        <v>0</v>
      </c>
      <c r="BG93" s="24">
        <v>0</v>
      </c>
      <c r="BH93" s="24">
        <f>SUM(D93:BG93)</f>
        <v>3768</v>
      </c>
    </row>
    <row r="94" spans="1:60">
      <c r="A94" s="18" t="s">
        <v>171</v>
      </c>
      <c r="B94" s="18" t="s">
        <v>162</v>
      </c>
      <c r="C94" s="18" t="s">
        <v>84</v>
      </c>
      <c r="D94" s="24">
        <v>0</v>
      </c>
      <c r="E94" s="24">
        <v>0</v>
      </c>
      <c r="F94" s="24">
        <v>0</v>
      </c>
      <c r="G94" s="24">
        <v>0</v>
      </c>
      <c r="H94" s="24">
        <v>0</v>
      </c>
      <c r="I94" s="24">
        <v>2</v>
      </c>
      <c r="J94" s="24">
        <v>34</v>
      </c>
      <c r="K94" s="24">
        <v>60</v>
      </c>
      <c r="L94" s="24">
        <v>68</v>
      </c>
      <c r="M94" s="24">
        <v>88</v>
      </c>
      <c r="N94" s="24">
        <v>96</v>
      </c>
      <c r="O94" s="24">
        <v>126</v>
      </c>
      <c r="P94" s="24">
        <v>123</v>
      </c>
      <c r="Q94" s="24">
        <v>126</v>
      </c>
      <c r="R94" s="24">
        <v>123</v>
      </c>
      <c r="S94" s="24">
        <v>132</v>
      </c>
      <c r="T94" s="24">
        <v>138</v>
      </c>
      <c r="U94" s="24">
        <v>133</v>
      </c>
      <c r="V94" s="24">
        <v>117</v>
      </c>
      <c r="W94" s="24">
        <v>120</v>
      </c>
      <c r="X94" s="24">
        <v>101</v>
      </c>
      <c r="Y94" s="24">
        <v>80</v>
      </c>
      <c r="Z94" s="24">
        <v>95</v>
      </c>
      <c r="AA94" s="24">
        <v>110</v>
      </c>
      <c r="AB94" s="24">
        <v>87</v>
      </c>
      <c r="AC94" s="24">
        <v>105</v>
      </c>
      <c r="AD94" s="24">
        <v>113</v>
      </c>
      <c r="AE94" s="24">
        <v>126</v>
      </c>
      <c r="AF94" s="24">
        <v>117</v>
      </c>
      <c r="AG94" s="24">
        <v>130</v>
      </c>
      <c r="AH94" s="24">
        <v>116</v>
      </c>
      <c r="AI94" s="24">
        <v>119</v>
      </c>
      <c r="AJ94" s="24">
        <v>108</v>
      </c>
      <c r="AK94" s="24">
        <v>116</v>
      </c>
      <c r="AL94" s="24">
        <v>114</v>
      </c>
      <c r="AM94" s="24">
        <v>111</v>
      </c>
      <c r="AN94" s="24">
        <v>115</v>
      </c>
      <c r="AO94" s="24">
        <v>102</v>
      </c>
      <c r="AP94" s="24">
        <v>105</v>
      </c>
      <c r="AQ94" s="24">
        <v>90</v>
      </c>
      <c r="AR94" s="24">
        <v>45</v>
      </c>
      <c r="AS94" s="24">
        <v>18</v>
      </c>
      <c r="AT94" s="24">
        <v>0</v>
      </c>
      <c r="AU94" s="24">
        <v>2</v>
      </c>
      <c r="AV94" s="24">
        <v>1</v>
      </c>
      <c r="AW94" s="24">
        <v>3</v>
      </c>
      <c r="AX94" s="24">
        <v>1</v>
      </c>
      <c r="AY94" s="24">
        <v>0</v>
      </c>
      <c r="AZ94" s="24">
        <v>1</v>
      </c>
      <c r="BA94" s="24">
        <v>1</v>
      </c>
      <c r="BB94" s="24">
        <v>0</v>
      </c>
      <c r="BC94" s="24">
        <v>1</v>
      </c>
      <c r="BD94" s="24">
        <v>0</v>
      </c>
      <c r="BE94" s="24">
        <v>0</v>
      </c>
      <c r="BF94" s="24">
        <v>0</v>
      </c>
      <c r="BG94" s="24">
        <v>0</v>
      </c>
      <c r="BH94" s="24">
        <f>SUM(D94:BG94)</f>
        <v>3719</v>
      </c>
    </row>
    <row r="95" spans="1:60">
      <c r="A95" s="18" t="s">
        <v>172</v>
      </c>
      <c r="B95" s="18" t="s">
        <v>162</v>
      </c>
      <c r="C95" s="18" t="s">
        <v>86</v>
      </c>
      <c r="D95" s="24">
        <v>0</v>
      </c>
      <c r="E95" s="24">
        <v>0</v>
      </c>
      <c r="F95" s="24">
        <v>0</v>
      </c>
      <c r="G95" s="24">
        <v>0</v>
      </c>
      <c r="H95" s="24">
        <v>0</v>
      </c>
      <c r="I95" s="24">
        <v>7</v>
      </c>
      <c r="J95" s="24">
        <v>19</v>
      </c>
      <c r="K95" s="24">
        <v>16</v>
      </c>
      <c r="L95" s="24">
        <v>33</v>
      </c>
      <c r="M95" s="24">
        <v>46</v>
      </c>
      <c r="N95" s="24">
        <v>63</v>
      </c>
      <c r="O95" s="24">
        <v>61</v>
      </c>
      <c r="P95" s="24">
        <v>62</v>
      </c>
      <c r="Q95" s="24">
        <v>47</v>
      </c>
      <c r="R95" s="24">
        <v>53</v>
      </c>
      <c r="S95" s="24">
        <v>87</v>
      </c>
      <c r="T95" s="24">
        <v>62</v>
      </c>
      <c r="U95" s="24">
        <v>54</v>
      </c>
      <c r="V95" s="24">
        <v>48</v>
      </c>
      <c r="W95" s="24">
        <v>44</v>
      </c>
      <c r="X95" s="24">
        <v>41</v>
      </c>
      <c r="Y95" s="24">
        <v>35</v>
      </c>
      <c r="Z95" s="24">
        <v>36</v>
      </c>
      <c r="AA95" s="24">
        <v>32</v>
      </c>
      <c r="AB95" s="24">
        <v>35</v>
      </c>
      <c r="AC95" s="24">
        <v>44</v>
      </c>
      <c r="AD95" s="24">
        <v>45</v>
      </c>
      <c r="AE95" s="24">
        <v>40</v>
      </c>
      <c r="AF95" s="24">
        <v>60</v>
      </c>
      <c r="AG95" s="24">
        <v>51</v>
      </c>
      <c r="AH95" s="24">
        <v>44</v>
      </c>
      <c r="AI95" s="24">
        <v>63</v>
      </c>
      <c r="AJ95" s="24">
        <v>47</v>
      </c>
      <c r="AK95" s="24">
        <v>32</v>
      </c>
      <c r="AL95" s="24">
        <v>52</v>
      </c>
      <c r="AM95" s="24">
        <v>39</v>
      </c>
      <c r="AN95" s="24">
        <v>47</v>
      </c>
      <c r="AO95" s="24">
        <v>46</v>
      </c>
      <c r="AP95" s="24">
        <v>44</v>
      </c>
      <c r="AQ95" s="24">
        <v>39</v>
      </c>
      <c r="AR95" s="24">
        <v>28</v>
      </c>
      <c r="AS95" s="24">
        <v>9</v>
      </c>
      <c r="AT95" s="24">
        <v>2</v>
      </c>
      <c r="AU95" s="24">
        <v>0</v>
      </c>
      <c r="AV95" s="24">
        <v>0</v>
      </c>
      <c r="AW95" s="24">
        <v>0</v>
      </c>
      <c r="AX95" s="24">
        <v>0</v>
      </c>
      <c r="AY95" s="24">
        <v>0</v>
      </c>
      <c r="AZ95" s="24">
        <v>0</v>
      </c>
      <c r="BA95" s="24">
        <v>0</v>
      </c>
      <c r="BB95" s="24">
        <v>0</v>
      </c>
      <c r="BC95" s="24">
        <v>0</v>
      </c>
      <c r="BD95" s="24">
        <v>0</v>
      </c>
      <c r="BE95" s="24">
        <v>0</v>
      </c>
      <c r="BF95" s="24">
        <v>0</v>
      </c>
      <c r="BG95" s="24">
        <v>0</v>
      </c>
      <c r="BH95" s="24">
        <f>SUM(D95:BG95)</f>
        <v>1613</v>
      </c>
    </row>
    <row r="96" spans="1:60">
      <c r="A96" s="18" t="s">
        <v>173</v>
      </c>
      <c r="B96" s="18" t="s">
        <v>162</v>
      </c>
      <c r="C96" s="18" t="s">
        <v>88</v>
      </c>
      <c r="D96" s="24">
        <v>0</v>
      </c>
      <c r="E96" s="24">
        <v>0</v>
      </c>
      <c r="F96" s="24">
        <v>0</v>
      </c>
      <c r="G96" s="24">
        <v>0</v>
      </c>
      <c r="H96" s="24">
        <v>1</v>
      </c>
      <c r="I96" s="24">
        <v>27</v>
      </c>
      <c r="J96" s="24">
        <v>114</v>
      </c>
      <c r="K96" s="24">
        <v>82</v>
      </c>
      <c r="L96" s="24">
        <v>120</v>
      </c>
      <c r="M96" s="24">
        <v>159</v>
      </c>
      <c r="N96" s="24">
        <v>162</v>
      </c>
      <c r="O96" s="24">
        <v>164</v>
      </c>
      <c r="P96" s="24">
        <v>168</v>
      </c>
      <c r="Q96" s="24">
        <v>193</v>
      </c>
      <c r="R96" s="24">
        <v>206</v>
      </c>
      <c r="S96" s="24">
        <v>212</v>
      </c>
      <c r="T96" s="24">
        <v>233</v>
      </c>
      <c r="U96" s="24">
        <v>172</v>
      </c>
      <c r="V96" s="24">
        <v>188</v>
      </c>
      <c r="W96" s="24">
        <v>149</v>
      </c>
      <c r="X96" s="24">
        <v>155</v>
      </c>
      <c r="Y96" s="24">
        <v>138</v>
      </c>
      <c r="Z96" s="24">
        <v>116</v>
      </c>
      <c r="AA96" s="24">
        <v>125</v>
      </c>
      <c r="AB96" s="24">
        <v>163</v>
      </c>
      <c r="AC96" s="24">
        <v>170</v>
      </c>
      <c r="AD96" s="24">
        <v>159</v>
      </c>
      <c r="AE96" s="24">
        <v>155</v>
      </c>
      <c r="AF96" s="24">
        <v>176</v>
      </c>
      <c r="AG96" s="24">
        <v>162</v>
      </c>
      <c r="AH96" s="24">
        <v>177</v>
      </c>
      <c r="AI96" s="24">
        <v>167</v>
      </c>
      <c r="AJ96" s="24">
        <v>168</v>
      </c>
      <c r="AK96" s="24">
        <v>173</v>
      </c>
      <c r="AL96" s="24">
        <v>131</v>
      </c>
      <c r="AM96" s="24">
        <v>149</v>
      </c>
      <c r="AN96" s="24">
        <v>129</v>
      </c>
      <c r="AO96" s="24">
        <v>138</v>
      </c>
      <c r="AP96" s="24">
        <v>129</v>
      </c>
      <c r="AQ96" s="24">
        <v>94</v>
      </c>
      <c r="AR96" s="24">
        <v>43</v>
      </c>
      <c r="AS96" s="24">
        <v>0</v>
      </c>
      <c r="AT96" s="24">
        <v>1</v>
      </c>
      <c r="AU96" s="24">
        <v>2</v>
      </c>
      <c r="AV96" s="24">
        <v>1</v>
      </c>
      <c r="AW96" s="24">
        <v>2</v>
      </c>
      <c r="AX96" s="24">
        <v>3</v>
      </c>
      <c r="AY96" s="24">
        <v>3</v>
      </c>
      <c r="AZ96" s="24">
        <v>1</v>
      </c>
      <c r="BA96" s="24">
        <v>0</v>
      </c>
      <c r="BB96" s="24">
        <v>1</v>
      </c>
      <c r="BC96" s="24">
        <v>0</v>
      </c>
      <c r="BD96" s="24">
        <v>0</v>
      </c>
      <c r="BE96" s="24">
        <v>0</v>
      </c>
      <c r="BF96" s="24">
        <v>0</v>
      </c>
      <c r="BG96" s="24">
        <v>0</v>
      </c>
      <c r="BH96" s="24">
        <f>SUM(D96:BG96)</f>
        <v>5381</v>
      </c>
    </row>
    <row r="97" spans="1:60">
      <c r="A97" s="18" t="s">
        <v>174</v>
      </c>
      <c r="B97" s="18" t="s">
        <v>162</v>
      </c>
      <c r="C97" s="18" t="s">
        <v>90</v>
      </c>
      <c r="D97" s="24">
        <v>0</v>
      </c>
      <c r="E97" s="24">
        <v>0</v>
      </c>
      <c r="F97" s="24">
        <v>0</v>
      </c>
      <c r="G97" s="24">
        <v>0</v>
      </c>
      <c r="H97" s="24">
        <v>3</v>
      </c>
      <c r="I97" s="24">
        <v>56</v>
      </c>
      <c r="J97" s="24">
        <v>136</v>
      </c>
      <c r="K97" s="24">
        <v>123</v>
      </c>
      <c r="L97" s="24">
        <v>152</v>
      </c>
      <c r="M97" s="24">
        <v>171</v>
      </c>
      <c r="N97" s="24">
        <v>173</v>
      </c>
      <c r="O97" s="24">
        <v>186</v>
      </c>
      <c r="P97" s="24">
        <v>197</v>
      </c>
      <c r="Q97" s="24">
        <v>221</v>
      </c>
      <c r="R97" s="24">
        <v>228</v>
      </c>
      <c r="S97" s="24">
        <v>220</v>
      </c>
      <c r="T97" s="24">
        <v>212</v>
      </c>
      <c r="U97" s="24">
        <v>218</v>
      </c>
      <c r="V97" s="24">
        <v>187</v>
      </c>
      <c r="W97" s="24">
        <v>182</v>
      </c>
      <c r="X97" s="24">
        <v>132</v>
      </c>
      <c r="Y97" s="24">
        <v>172</v>
      </c>
      <c r="Z97" s="24">
        <v>154</v>
      </c>
      <c r="AA97" s="24">
        <v>145</v>
      </c>
      <c r="AB97" s="24">
        <v>181</v>
      </c>
      <c r="AC97" s="24">
        <v>162</v>
      </c>
      <c r="AD97" s="24">
        <v>199</v>
      </c>
      <c r="AE97" s="24">
        <v>159</v>
      </c>
      <c r="AF97" s="24">
        <v>206</v>
      </c>
      <c r="AG97" s="24">
        <v>199</v>
      </c>
      <c r="AH97" s="24">
        <v>220</v>
      </c>
      <c r="AI97" s="24">
        <v>183</v>
      </c>
      <c r="AJ97" s="24">
        <v>186</v>
      </c>
      <c r="AK97" s="24">
        <v>157</v>
      </c>
      <c r="AL97" s="24">
        <v>173</v>
      </c>
      <c r="AM97" s="24">
        <v>181</v>
      </c>
      <c r="AN97" s="24">
        <v>159</v>
      </c>
      <c r="AO97" s="24">
        <v>143</v>
      </c>
      <c r="AP97" s="24">
        <v>164</v>
      </c>
      <c r="AQ97" s="24">
        <v>105</v>
      </c>
      <c r="AR97" s="24">
        <v>41</v>
      </c>
      <c r="AS97" s="24">
        <v>2</v>
      </c>
      <c r="AT97" s="24">
        <v>2</v>
      </c>
      <c r="AU97" s="24">
        <v>1</v>
      </c>
      <c r="AV97" s="24">
        <v>2</v>
      </c>
      <c r="AW97" s="24">
        <v>1</v>
      </c>
      <c r="AX97" s="24">
        <v>0</v>
      </c>
      <c r="AY97" s="24">
        <v>0</v>
      </c>
      <c r="AZ97" s="24">
        <v>0</v>
      </c>
      <c r="BA97" s="24">
        <v>0</v>
      </c>
      <c r="BB97" s="24">
        <v>0</v>
      </c>
      <c r="BC97" s="24">
        <v>0</v>
      </c>
      <c r="BD97" s="24">
        <v>0</v>
      </c>
      <c r="BE97" s="24">
        <v>0</v>
      </c>
      <c r="BF97" s="24">
        <v>0</v>
      </c>
      <c r="BG97" s="24">
        <v>0</v>
      </c>
      <c r="BH97" s="24">
        <f>SUM(D97:BG97)</f>
        <v>6094</v>
      </c>
    </row>
    <row r="98" spans="1:60">
      <c r="A98" s="18" t="s">
        <v>175</v>
      </c>
      <c r="B98" s="18" t="s">
        <v>176</v>
      </c>
      <c r="C98" s="18" t="s">
        <v>66</v>
      </c>
      <c r="D98" s="24">
        <v>0</v>
      </c>
      <c r="E98" s="24">
        <v>0</v>
      </c>
      <c r="F98" s="24">
        <v>0</v>
      </c>
      <c r="G98" s="24">
        <v>0</v>
      </c>
      <c r="H98" s="24">
        <v>3</v>
      </c>
      <c r="I98" s="24">
        <v>190</v>
      </c>
      <c r="J98" s="24">
        <v>676</v>
      </c>
      <c r="K98" s="24">
        <v>746</v>
      </c>
      <c r="L98" s="24">
        <v>934</v>
      </c>
      <c r="M98" s="24">
        <v>1130</v>
      </c>
      <c r="N98" s="24">
        <v>1245</v>
      </c>
      <c r="O98" s="24">
        <v>1220</v>
      </c>
      <c r="P98" s="24">
        <v>1318</v>
      </c>
      <c r="Q98" s="24">
        <v>1365</v>
      </c>
      <c r="R98" s="24">
        <v>1440</v>
      </c>
      <c r="S98" s="24">
        <v>1413</v>
      </c>
      <c r="T98" s="24">
        <v>1356</v>
      </c>
      <c r="U98" s="24">
        <v>1295</v>
      </c>
      <c r="V98" s="24">
        <v>1313</v>
      </c>
      <c r="W98" s="24">
        <v>1051</v>
      </c>
      <c r="X98" s="24">
        <v>996</v>
      </c>
      <c r="Y98" s="24">
        <v>968</v>
      </c>
      <c r="Z98" s="24">
        <v>895</v>
      </c>
      <c r="AA98" s="24">
        <v>888</v>
      </c>
      <c r="AB98" s="24">
        <v>1037</v>
      </c>
      <c r="AC98" s="24">
        <v>1240</v>
      </c>
      <c r="AD98" s="24">
        <v>1166</v>
      </c>
      <c r="AE98" s="24">
        <v>1165</v>
      </c>
      <c r="AF98" s="24">
        <v>1237</v>
      </c>
      <c r="AG98" s="24">
        <v>1166</v>
      </c>
      <c r="AH98" s="24">
        <v>1177</v>
      </c>
      <c r="AI98" s="24">
        <v>1048</v>
      </c>
      <c r="AJ98" s="24">
        <v>1064</v>
      </c>
      <c r="AK98" s="24">
        <v>1002</v>
      </c>
      <c r="AL98" s="24">
        <v>1023</v>
      </c>
      <c r="AM98" s="24">
        <v>948</v>
      </c>
      <c r="AN98" s="24">
        <v>972</v>
      </c>
      <c r="AO98" s="24">
        <v>953</v>
      </c>
      <c r="AP98" s="24">
        <v>869</v>
      </c>
      <c r="AQ98" s="24">
        <v>595</v>
      </c>
      <c r="AR98" s="24">
        <v>406</v>
      </c>
      <c r="AS98" s="24">
        <v>22</v>
      </c>
      <c r="AT98" s="24">
        <v>3</v>
      </c>
      <c r="AU98" s="24">
        <v>12</v>
      </c>
      <c r="AV98" s="24">
        <v>7</v>
      </c>
      <c r="AW98" s="24">
        <v>4</v>
      </c>
      <c r="AX98" s="24">
        <v>4</v>
      </c>
      <c r="AY98" s="24">
        <v>2</v>
      </c>
      <c r="AZ98" s="24">
        <v>0</v>
      </c>
      <c r="BA98" s="24">
        <v>2</v>
      </c>
      <c r="BB98" s="24">
        <v>0</v>
      </c>
      <c r="BC98" s="24">
        <v>1</v>
      </c>
      <c r="BD98" s="24">
        <v>0</v>
      </c>
      <c r="BE98" s="24">
        <v>0</v>
      </c>
      <c r="BF98" s="24">
        <v>0</v>
      </c>
      <c r="BG98" s="24">
        <v>0</v>
      </c>
      <c r="BH98" s="24">
        <f>SUM(D98:BG98)</f>
        <v>37567</v>
      </c>
    </row>
    <row r="99" spans="1:60">
      <c r="A99" s="18" t="s">
        <v>177</v>
      </c>
      <c r="B99" s="18" t="s">
        <v>176</v>
      </c>
      <c r="C99" s="18" t="s">
        <v>68</v>
      </c>
      <c r="D99" s="24">
        <v>0</v>
      </c>
      <c r="E99" s="24">
        <v>0</v>
      </c>
      <c r="F99" s="24">
        <v>0</v>
      </c>
      <c r="G99" s="24">
        <v>0</v>
      </c>
      <c r="H99" s="24">
        <v>1</v>
      </c>
      <c r="I99" s="24">
        <v>17</v>
      </c>
      <c r="J99" s="24">
        <v>61</v>
      </c>
      <c r="K99" s="24">
        <v>68</v>
      </c>
      <c r="L99" s="24">
        <v>84</v>
      </c>
      <c r="M99" s="24">
        <v>107</v>
      </c>
      <c r="N99" s="24">
        <v>131</v>
      </c>
      <c r="O99" s="24">
        <v>113</v>
      </c>
      <c r="P99" s="24">
        <v>110</v>
      </c>
      <c r="Q99" s="24">
        <v>145</v>
      </c>
      <c r="R99" s="24">
        <v>146</v>
      </c>
      <c r="S99" s="24">
        <v>124</v>
      </c>
      <c r="T99" s="24">
        <v>131</v>
      </c>
      <c r="U99" s="24">
        <v>114</v>
      </c>
      <c r="V99" s="24">
        <v>109</v>
      </c>
      <c r="W99" s="24">
        <v>99</v>
      </c>
      <c r="X99" s="24">
        <v>102</v>
      </c>
      <c r="Y99" s="24">
        <v>86</v>
      </c>
      <c r="Z99" s="24">
        <v>89</v>
      </c>
      <c r="AA99" s="24">
        <v>82</v>
      </c>
      <c r="AB99" s="24">
        <v>83</v>
      </c>
      <c r="AC99" s="24">
        <v>107</v>
      </c>
      <c r="AD99" s="24">
        <v>114</v>
      </c>
      <c r="AE99" s="24">
        <v>107</v>
      </c>
      <c r="AF99" s="24">
        <v>115</v>
      </c>
      <c r="AG99" s="24">
        <v>102</v>
      </c>
      <c r="AH99" s="24">
        <v>112</v>
      </c>
      <c r="AI99" s="24">
        <v>86</v>
      </c>
      <c r="AJ99" s="24">
        <v>91</v>
      </c>
      <c r="AK99" s="24">
        <v>93</v>
      </c>
      <c r="AL99" s="24">
        <v>100</v>
      </c>
      <c r="AM99" s="24">
        <v>77</v>
      </c>
      <c r="AN99" s="24">
        <v>77</v>
      </c>
      <c r="AO99" s="24">
        <v>85</v>
      </c>
      <c r="AP99" s="24">
        <v>80</v>
      </c>
      <c r="AQ99" s="24">
        <v>50</v>
      </c>
      <c r="AR99" s="24">
        <v>35</v>
      </c>
      <c r="AS99" s="24">
        <v>3</v>
      </c>
      <c r="AT99" s="24">
        <v>0</v>
      </c>
      <c r="AU99" s="24">
        <v>0</v>
      </c>
      <c r="AV99" s="24">
        <v>0</v>
      </c>
      <c r="AW99" s="24">
        <v>0</v>
      </c>
      <c r="AX99" s="24">
        <v>0</v>
      </c>
      <c r="AY99" s="24">
        <v>0</v>
      </c>
      <c r="AZ99" s="24">
        <v>0</v>
      </c>
      <c r="BA99" s="24">
        <v>0</v>
      </c>
      <c r="BB99" s="24">
        <v>0</v>
      </c>
      <c r="BC99" s="24">
        <v>0</v>
      </c>
      <c r="BD99" s="24">
        <v>0</v>
      </c>
      <c r="BE99" s="24">
        <v>0</v>
      </c>
      <c r="BF99" s="24">
        <v>0</v>
      </c>
      <c r="BG99" s="24">
        <v>0</v>
      </c>
      <c r="BH99" s="24">
        <f>SUM(D99:BG99)</f>
        <v>3436</v>
      </c>
    </row>
    <row r="100" spans="1:60">
      <c r="A100" s="18" t="s">
        <v>178</v>
      </c>
      <c r="B100" s="18" t="s">
        <v>176</v>
      </c>
      <c r="C100" s="18" t="s">
        <v>70</v>
      </c>
      <c r="D100" s="24">
        <v>0</v>
      </c>
      <c r="E100" s="24">
        <v>0</v>
      </c>
      <c r="F100" s="24">
        <v>0</v>
      </c>
      <c r="G100" s="24">
        <v>0</v>
      </c>
      <c r="H100" s="24">
        <v>0</v>
      </c>
      <c r="I100" s="24">
        <v>16</v>
      </c>
      <c r="J100" s="24">
        <v>65</v>
      </c>
      <c r="K100" s="24">
        <v>66</v>
      </c>
      <c r="L100" s="24">
        <v>80</v>
      </c>
      <c r="M100" s="24">
        <v>114</v>
      </c>
      <c r="N100" s="24">
        <v>99</v>
      </c>
      <c r="O100" s="24">
        <v>105</v>
      </c>
      <c r="P100" s="24">
        <v>114</v>
      </c>
      <c r="Q100" s="24">
        <v>112</v>
      </c>
      <c r="R100" s="24">
        <v>127</v>
      </c>
      <c r="S100" s="24">
        <v>119</v>
      </c>
      <c r="T100" s="24">
        <v>102</v>
      </c>
      <c r="U100" s="24">
        <v>97</v>
      </c>
      <c r="V100" s="24">
        <v>101</v>
      </c>
      <c r="W100" s="24">
        <v>102</v>
      </c>
      <c r="X100" s="24">
        <v>70</v>
      </c>
      <c r="Y100" s="24">
        <v>93</v>
      </c>
      <c r="Z100" s="24">
        <v>70</v>
      </c>
      <c r="AA100" s="24">
        <v>77</v>
      </c>
      <c r="AB100" s="24">
        <v>71</v>
      </c>
      <c r="AC100" s="24">
        <v>88</v>
      </c>
      <c r="AD100" s="24">
        <v>85</v>
      </c>
      <c r="AE100" s="24">
        <v>107</v>
      </c>
      <c r="AF100" s="24">
        <v>107</v>
      </c>
      <c r="AG100" s="24">
        <v>90</v>
      </c>
      <c r="AH100" s="24">
        <v>93</v>
      </c>
      <c r="AI100" s="24">
        <v>83</v>
      </c>
      <c r="AJ100" s="24">
        <v>81</v>
      </c>
      <c r="AK100" s="24">
        <v>75</v>
      </c>
      <c r="AL100" s="24">
        <v>96</v>
      </c>
      <c r="AM100" s="24">
        <v>75</v>
      </c>
      <c r="AN100" s="24">
        <v>54</v>
      </c>
      <c r="AO100" s="24">
        <v>68</v>
      </c>
      <c r="AP100" s="24">
        <v>56</v>
      </c>
      <c r="AQ100" s="24">
        <v>53</v>
      </c>
      <c r="AR100" s="24">
        <v>33</v>
      </c>
      <c r="AS100" s="24">
        <v>6</v>
      </c>
      <c r="AT100" s="24">
        <v>0</v>
      </c>
      <c r="AU100" s="24">
        <v>0</v>
      </c>
      <c r="AV100" s="24">
        <v>0</v>
      </c>
      <c r="AW100" s="24">
        <v>0</v>
      </c>
      <c r="AX100" s="24">
        <v>0</v>
      </c>
      <c r="AY100" s="24">
        <v>0</v>
      </c>
      <c r="AZ100" s="24">
        <v>0</v>
      </c>
      <c r="BA100" s="24">
        <v>0</v>
      </c>
      <c r="BB100" s="24">
        <v>0</v>
      </c>
      <c r="BC100" s="24">
        <v>0</v>
      </c>
      <c r="BD100" s="24">
        <v>0</v>
      </c>
      <c r="BE100" s="24">
        <v>0</v>
      </c>
      <c r="BF100" s="24">
        <v>0</v>
      </c>
      <c r="BG100" s="24">
        <v>0</v>
      </c>
      <c r="BH100" s="24">
        <f>SUM(D100:BG100)</f>
        <v>3050</v>
      </c>
    </row>
    <row r="101" spans="1:60">
      <c r="A101" s="18" t="s">
        <v>179</v>
      </c>
      <c r="B101" s="18" t="s">
        <v>176</v>
      </c>
      <c r="C101" s="18" t="s">
        <v>72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16</v>
      </c>
      <c r="J101" s="24">
        <v>53</v>
      </c>
      <c r="K101" s="24">
        <v>51</v>
      </c>
      <c r="L101" s="24">
        <v>98</v>
      </c>
      <c r="M101" s="24">
        <v>88</v>
      </c>
      <c r="N101" s="24">
        <v>101</v>
      </c>
      <c r="O101" s="24">
        <v>127</v>
      </c>
      <c r="P101" s="24">
        <v>125</v>
      </c>
      <c r="Q101" s="24">
        <v>121</v>
      </c>
      <c r="R101" s="24">
        <v>129</v>
      </c>
      <c r="S101" s="24">
        <v>146</v>
      </c>
      <c r="T101" s="24">
        <v>130</v>
      </c>
      <c r="U101" s="24">
        <v>126</v>
      </c>
      <c r="V101" s="24">
        <v>134</v>
      </c>
      <c r="W101" s="24">
        <v>93</v>
      </c>
      <c r="X101" s="24">
        <v>85</v>
      </c>
      <c r="Y101" s="24">
        <v>100</v>
      </c>
      <c r="Z101" s="24">
        <v>92</v>
      </c>
      <c r="AA101" s="24">
        <v>86</v>
      </c>
      <c r="AB101" s="24">
        <v>113</v>
      </c>
      <c r="AC101" s="24">
        <v>119</v>
      </c>
      <c r="AD101" s="24">
        <v>123</v>
      </c>
      <c r="AE101" s="24">
        <v>120</v>
      </c>
      <c r="AF101" s="24">
        <v>104</v>
      </c>
      <c r="AG101" s="24">
        <v>96</v>
      </c>
      <c r="AH101" s="24">
        <v>105</v>
      </c>
      <c r="AI101" s="24">
        <v>86</v>
      </c>
      <c r="AJ101" s="24">
        <v>93</v>
      </c>
      <c r="AK101" s="24">
        <v>92</v>
      </c>
      <c r="AL101" s="24">
        <v>109</v>
      </c>
      <c r="AM101" s="24">
        <v>75</v>
      </c>
      <c r="AN101" s="24">
        <v>91</v>
      </c>
      <c r="AO101" s="24">
        <v>66</v>
      </c>
      <c r="AP101" s="24">
        <v>91</v>
      </c>
      <c r="AQ101" s="24">
        <v>41</v>
      </c>
      <c r="AR101" s="24">
        <v>34</v>
      </c>
      <c r="AS101" s="24">
        <v>1</v>
      </c>
      <c r="AT101" s="24">
        <v>0</v>
      </c>
      <c r="AU101" s="24">
        <v>0</v>
      </c>
      <c r="AV101" s="24">
        <v>0</v>
      </c>
      <c r="AW101" s="24">
        <v>0</v>
      </c>
      <c r="AX101" s="24">
        <v>0</v>
      </c>
      <c r="AY101" s="24">
        <v>0</v>
      </c>
      <c r="AZ101" s="24">
        <v>0</v>
      </c>
      <c r="BA101" s="24">
        <v>0</v>
      </c>
      <c r="BB101" s="24">
        <v>0</v>
      </c>
      <c r="BC101" s="24">
        <v>0</v>
      </c>
      <c r="BD101" s="24">
        <v>0</v>
      </c>
      <c r="BE101" s="24">
        <v>0</v>
      </c>
      <c r="BF101" s="24">
        <v>0</v>
      </c>
      <c r="BG101" s="24">
        <v>0</v>
      </c>
      <c r="BH101" s="24">
        <f>SUM(D101:BG101)</f>
        <v>3460</v>
      </c>
    </row>
    <row r="102" spans="1:60">
      <c r="A102" s="18" t="s">
        <v>180</v>
      </c>
      <c r="B102" s="18" t="s">
        <v>176</v>
      </c>
      <c r="C102" s="18" t="s">
        <v>74</v>
      </c>
      <c r="D102" s="24">
        <v>0</v>
      </c>
      <c r="E102" s="24">
        <v>0</v>
      </c>
      <c r="F102" s="24">
        <v>0</v>
      </c>
      <c r="G102" s="24">
        <v>0</v>
      </c>
      <c r="H102" s="24">
        <v>0</v>
      </c>
      <c r="I102" s="24">
        <v>34</v>
      </c>
      <c r="J102" s="24">
        <v>78</v>
      </c>
      <c r="K102" s="24">
        <v>80</v>
      </c>
      <c r="L102" s="24">
        <v>94</v>
      </c>
      <c r="M102" s="24">
        <v>147</v>
      </c>
      <c r="N102" s="24">
        <v>137</v>
      </c>
      <c r="O102" s="24">
        <v>123</v>
      </c>
      <c r="P102" s="24">
        <v>141</v>
      </c>
      <c r="Q102" s="24">
        <v>144</v>
      </c>
      <c r="R102" s="24">
        <v>130</v>
      </c>
      <c r="S102" s="24">
        <v>102</v>
      </c>
      <c r="T102" s="24">
        <v>119</v>
      </c>
      <c r="U102" s="24">
        <v>133</v>
      </c>
      <c r="V102" s="24">
        <v>109</v>
      </c>
      <c r="W102" s="24">
        <v>111</v>
      </c>
      <c r="X102" s="24">
        <v>92</v>
      </c>
      <c r="Y102" s="24">
        <v>89</v>
      </c>
      <c r="Z102" s="24">
        <v>78</v>
      </c>
      <c r="AA102" s="24">
        <v>75</v>
      </c>
      <c r="AB102" s="24">
        <v>98</v>
      </c>
      <c r="AC102" s="24">
        <v>133</v>
      </c>
      <c r="AD102" s="24">
        <v>118</v>
      </c>
      <c r="AE102" s="24">
        <v>105</v>
      </c>
      <c r="AF102" s="24">
        <v>110</v>
      </c>
      <c r="AG102" s="24">
        <v>89</v>
      </c>
      <c r="AH102" s="24">
        <v>108</v>
      </c>
      <c r="AI102" s="24">
        <v>108</v>
      </c>
      <c r="AJ102" s="24">
        <v>101</v>
      </c>
      <c r="AK102" s="24">
        <v>73</v>
      </c>
      <c r="AL102" s="24">
        <v>89</v>
      </c>
      <c r="AM102" s="24">
        <v>90</v>
      </c>
      <c r="AN102" s="24">
        <v>104</v>
      </c>
      <c r="AO102" s="24">
        <v>93</v>
      </c>
      <c r="AP102" s="24">
        <v>72</v>
      </c>
      <c r="AQ102" s="24">
        <v>57</v>
      </c>
      <c r="AR102" s="24">
        <v>33</v>
      </c>
      <c r="AS102" s="24">
        <v>3</v>
      </c>
      <c r="AT102" s="24">
        <v>0</v>
      </c>
      <c r="AU102" s="24">
        <v>0</v>
      </c>
      <c r="AV102" s="24">
        <v>0</v>
      </c>
      <c r="AW102" s="24">
        <v>0</v>
      </c>
      <c r="AX102" s="24">
        <v>0</v>
      </c>
      <c r="AY102" s="24">
        <v>0</v>
      </c>
      <c r="AZ102" s="24">
        <v>0</v>
      </c>
      <c r="BA102" s="24">
        <v>0</v>
      </c>
      <c r="BB102" s="24">
        <v>0</v>
      </c>
      <c r="BC102" s="24">
        <v>0</v>
      </c>
      <c r="BD102" s="24">
        <v>0</v>
      </c>
      <c r="BE102" s="24">
        <v>0</v>
      </c>
      <c r="BF102" s="24">
        <v>0</v>
      </c>
      <c r="BG102" s="24">
        <v>0</v>
      </c>
      <c r="BH102" s="24">
        <f>SUM(D102:BG102)</f>
        <v>3600</v>
      </c>
    </row>
    <row r="103" spans="1:60">
      <c r="A103" s="18" t="s">
        <v>181</v>
      </c>
      <c r="B103" s="18" t="s">
        <v>176</v>
      </c>
      <c r="C103" s="18" t="s">
        <v>76</v>
      </c>
      <c r="D103" s="24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17</v>
      </c>
      <c r="J103" s="24">
        <v>49</v>
      </c>
      <c r="K103" s="24">
        <v>62</v>
      </c>
      <c r="L103" s="24">
        <v>85</v>
      </c>
      <c r="M103" s="24">
        <v>88</v>
      </c>
      <c r="N103" s="24">
        <v>115</v>
      </c>
      <c r="O103" s="24">
        <v>92</v>
      </c>
      <c r="P103" s="24">
        <v>109</v>
      </c>
      <c r="Q103" s="24">
        <v>109</v>
      </c>
      <c r="R103" s="24">
        <v>126</v>
      </c>
      <c r="S103" s="24">
        <v>120</v>
      </c>
      <c r="T103" s="24">
        <v>109</v>
      </c>
      <c r="U103" s="24">
        <v>100</v>
      </c>
      <c r="V103" s="24">
        <v>125</v>
      </c>
      <c r="W103" s="24">
        <v>70</v>
      </c>
      <c r="X103" s="24">
        <v>77</v>
      </c>
      <c r="Y103" s="24">
        <v>83</v>
      </c>
      <c r="Z103" s="24">
        <v>59</v>
      </c>
      <c r="AA103" s="24">
        <v>76</v>
      </c>
      <c r="AB103" s="24">
        <v>73</v>
      </c>
      <c r="AC103" s="24">
        <v>108</v>
      </c>
      <c r="AD103" s="24">
        <v>100</v>
      </c>
      <c r="AE103" s="24">
        <v>125</v>
      </c>
      <c r="AF103" s="24">
        <v>107</v>
      </c>
      <c r="AG103" s="24">
        <v>103</v>
      </c>
      <c r="AH103" s="24">
        <v>94</v>
      </c>
      <c r="AI103" s="24">
        <v>84</v>
      </c>
      <c r="AJ103" s="24">
        <v>91</v>
      </c>
      <c r="AK103" s="24">
        <v>90</v>
      </c>
      <c r="AL103" s="24">
        <v>84</v>
      </c>
      <c r="AM103" s="24">
        <v>78</v>
      </c>
      <c r="AN103" s="24">
        <v>71</v>
      </c>
      <c r="AO103" s="24">
        <v>74</v>
      </c>
      <c r="AP103" s="24">
        <v>53</v>
      </c>
      <c r="AQ103" s="24">
        <v>42</v>
      </c>
      <c r="AR103" s="24">
        <v>24</v>
      </c>
      <c r="AS103" s="24">
        <v>2</v>
      </c>
      <c r="AT103" s="24">
        <v>0</v>
      </c>
      <c r="AU103" s="24">
        <v>0</v>
      </c>
      <c r="AV103" s="24">
        <v>0</v>
      </c>
      <c r="AW103" s="24">
        <v>0</v>
      </c>
      <c r="AX103" s="24">
        <v>0</v>
      </c>
      <c r="AY103" s="24">
        <v>0</v>
      </c>
      <c r="AZ103" s="24">
        <v>0</v>
      </c>
      <c r="BA103" s="24">
        <v>0</v>
      </c>
      <c r="BB103" s="24">
        <v>0</v>
      </c>
      <c r="BC103" s="24">
        <v>0</v>
      </c>
      <c r="BD103" s="24">
        <v>0</v>
      </c>
      <c r="BE103" s="24">
        <v>0</v>
      </c>
      <c r="BF103" s="24">
        <v>0</v>
      </c>
      <c r="BG103" s="24">
        <v>0</v>
      </c>
      <c r="BH103" s="24">
        <f>SUM(D103:BG103)</f>
        <v>3074</v>
      </c>
    </row>
    <row r="104" spans="1:60">
      <c r="A104" s="18" t="s">
        <v>182</v>
      </c>
      <c r="B104" s="18" t="s">
        <v>176</v>
      </c>
      <c r="C104" s="18" t="s">
        <v>78</v>
      </c>
      <c r="D104" s="24">
        <v>0</v>
      </c>
      <c r="E104" s="24">
        <v>0</v>
      </c>
      <c r="F104" s="24">
        <v>0</v>
      </c>
      <c r="G104" s="24">
        <v>0</v>
      </c>
      <c r="H104" s="24">
        <v>0</v>
      </c>
      <c r="I104" s="24">
        <v>8</v>
      </c>
      <c r="J104" s="24">
        <v>61</v>
      </c>
      <c r="K104" s="24">
        <v>59</v>
      </c>
      <c r="L104" s="24">
        <v>69</v>
      </c>
      <c r="M104" s="24">
        <v>82</v>
      </c>
      <c r="N104" s="24">
        <v>107</v>
      </c>
      <c r="O104" s="24">
        <v>97</v>
      </c>
      <c r="P104" s="24">
        <v>86</v>
      </c>
      <c r="Q104" s="24">
        <v>115</v>
      </c>
      <c r="R104" s="24">
        <v>112</v>
      </c>
      <c r="S104" s="24">
        <v>119</v>
      </c>
      <c r="T104" s="24">
        <v>110</v>
      </c>
      <c r="U104" s="24">
        <v>105</v>
      </c>
      <c r="V104" s="24">
        <v>93</v>
      </c>
      <c r="W104" s="24">
        <v>81</v>
      </c>
      <c r="X104" s="24">
        <v>72</v>
      </c>
      <c r="Y104" s="24">
        <v>65</v>
      </c>
      <c r="Z104" s="24">
        <v>67</v>
      </c>
      <c r="AA104" s="24">
        <v>59</v>
      </c>
      <c r="AB104" s="24">
        <v>75</v>
      </c>
      <c r="AC104" s="24">
        <v>97</v>
      </c>
      <c r="AD104" s="24">
        <v>82</v>
      </c>
      <c r="AE104" s="24">
        <v>89</v>
      </c>
      <c r="AF104" s="24">
        <v>86</v>
      </c>
      <c r="AG104" s="24">
        <v>105</v>
      </c>
      <c r="AH104" s="24">
        <v>95</v>
      </c>
      <c r="AI104" s="24">
        <v>76</v>
      </c>
      <c r="AJ104" s="24">
        <v>95</v>
      </c>
      <c r="AK104" s="24">
        <v>78</v>
      </c>
      <c r="AL104" s="24">
        <v>72</v>
      </c>
      <c r="AM104" s="24">
        <v>74</v>
      </c>
      <c r="AN104" s="24">
        <v>80</v>
      </c>
      <c r="AO104" s="24">
        <v>66</v>
      </c>
      <c r="AP104" s="24">
        <v>59</v>
      </c>
      <c r="AQ104" s="24">
        <v>51</v>
      </c>
      <c r="AR104" s="24">
        <v>29</v>
      </c>
      <c r="AS104" s="24">
        <v>0</v>
      </c>
      <c r="AT104" s="24">
        <v>0</v>
      </c>
      <c r="AU104" s="24">
        <v>0</v>
      </c>
      <c r="AV104" s="24">
        <v>0</v>
      </c>
      <c r="AW104" s="24">
        <v>0</v>
      </c>
      <c r="AX104" s="24">
        <v>0</v>
      </c>
      <c r="AY104" s="24">
        <v>0</v>
      </c>
      <c r="AZ104" s="24">
        <v>0</v>
      </c>
      <c r="BA104" s="24">
        <v>0</v>
      </c>
      <c r="BB104" s="24">
        <v>0</v>
      </c>
      <c r="BC104" s="24">
        <v>0</v>
      </c>
      <c r="BD104" s="24">
        <v>0</v>
      </c>
      <c r="BE104" s="24">
        <v>0</v>
      </c>
      <c r="BF104" s="24">
        <v>0</v>
      </c>
      <c r="BG104" s="24">
        <v>0</v>
      </c>
      <c r="BH104" s="24">
        <f>SUM(D104:BG104)</f>
        <v>2876</v>
      </c>
    </row>
    <row r="105" spans="1:60">
      <c r="A105" s="18" t="s">
        <v>183</v>
      </c>
      <c r="B105" s="18" t="s">
        <v>176</v>
      </c>
      <c r="C105" s="18" t="s">
        <v>80</v>
      </c>
      <c r="D105" s="24">
        <v>0</v>
      </c>
      <c r="E105" s="24">
        <v>0</v>
      </c>
      <c r="F105" s="24">
        <v>0</v>
      </c>
      <c r="G105" s="24">
        <v>0</v>
      </c>
      <c r="H105" s="24">
        <v>1</v>
      </c>
      <c r="I105" s="24">
        <v>14</v>
      </c>
      <c r="J105" s="24">
        <v>51</v>
      </c>
      <c r="K105" s="24">
        <v>71</v>
      </c>
      <c r="L105" s="24">
        <v>88</v>
      </c>
      <c r="M105" s="24">
        <v>108</v>
      </c>
      <c r="N105" s="24">
        <v>95</v>
      </c>
      <c r="O105" s="24">
        <v>102</v>
      </c>
      <c r="P105" s="24">
        <v>116</v>
      </c>
      <c r="Q105" s="24">
        <v>129</v>
      </c>
      <c r="R105" s="24">
        <v>110</v>
      </c>
      <c r="S105" s="24">
        <v>124</v>
      </c>
      <c r="T105" s="24">
        <v>102</v>
      </c>
      <c r="U105" s="24">
        <v>99</v>
      </c>
      <c r="V105" s="24">
        <v>118</v>
      </c>
      <c r="W105" s="24">
        <v>90</v>
      </c>
      <c r="X105" s="24">
        <v>87</v>
      </c>
      <c r="Y105" s="24">
        <v>66</v>
      </c>
      <c r="Z105" s="24">
        <v>81</v>
      </c>
      <c r="AA105" s="24">
        <v>65</v>
      </c>
      <c r="AB105" s="24">
        <v>97</v>
      </c>
      <c r="AC105" s="24">
        <v>105</v>
      </c>
      <c r="AD105" s="24">
        <v>82</v>
      </c>
      <c r="AE105" s="24">
        <v>100</v>
      </c>
      <c r="AF105" s="24">
        <v>88</v>
      </c>
      <c r="AG105" s="24">
        <v>80</v>
      </c>
      <c r="AH105" s="24">
        <v>101</v>
      </c>
      <c r="AI105" s="24">
        <v>87</v>
      </c>
      <c r="AJ105" s="24">
        <v>96</v>
      </c>
      <c r="AK105" s="24">
        <v>82</v>
      </c>
      <c r="AL105" s="24">
        <v>94</v>
      </c>
      <c r="AM105" s="24">
        <v>95</v>
      </c>
      <c r="AN105" s="24">
        <v>111</v>
      </c>
      <c r="AO105" s="24">
        <v>101</v>
      </c>
      <c r="AP105" s="24">
        <v>77</v>
      </c>
      <c r="AQ105" s="24">
        <v>48</v>
      </c>
      <c r="AR105" s="24">
        <v>34</v>
      </c>
      <c r="AS105" s="24">
        <v>0</v>
      </c>
      <c r="AT105" s="24">
        <v>0</v>
      </c>
      <c r="AU105" s="24">
        <v>0</v>
      </c>
      <c r="AV105" s="24">
        <v>0</v>
      </c>
      <c r="AW105" s="24">
        <v>0</v>
      </c>
      <c r="AX105" s="24">
        <v>0</v>
      </c>
      <c r="AY105" s="24">
        <v>0</v>
      </c>
      <c r="AZ105" s="24">
        <v>0</v>
      </c>
      <c r="BA105" s="24">
        <v>0</v>
      </c>
      <c r="BB105" s="24">
        <v>0</v>
      </c>
      <c r="BC105" s="24">
        <v>0</v>
      </c>
      <c r="BD105" s="24">
        <v>0</v>
      </c>
      <c r="BE105" s="24">
        <v>0</v>
      </c>
      <c r="BF105" s="24">
        <v>0</v>
      </c>
      <c r="BG105" s="24">
        <v>0</v>
      </c>
      <c r="BH105" s="24">
        <f>SUM(D105:BG105)</f>
        <v>3195</v>
      </c>
    </row>
    <row r="106" spans="1:60">
      <c r="A106" s="18" t="s">
        <v>184</v>
      </c>
      <c r="B106" s="18" t="s">
        <v>176</v>
      </c>
      <c r="C106" s="18" t="s">
        <v>82</v>
      </c>
      <c r="D106" s="24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12</v>
      </c>
      <c r="J106" s="24">
        <v>40</v>
      </c>
      <c r="K106" s="24">
        <v>44</v>
      </c>
      <c r="L106" s="24">
        <v>64</v>
      </c>
      <c r="M106" s="24">
        <v>68</v>
      </c>
      <c r="N106" s="24">
        <v>73</v>
      </c>
      <c r="O106" s="24">
        <v>82</v>
      </c>
      <c r="P106" s="24">
        <v>106</v>
      </c>
      <c r="Q106" s="24">
        <v>114</v>
      </c>
      <c r="R106" s="24">
        <v>115</v>
      </c>
      <c r="S106" s="24">
        <v>110</v>
      </c>
      <c r="T106" s="24">
        <v>119</v>
      </c>
      <c r="U106" s="24">
        <v>96</v>
      </c>
      <c r="V106" s="24">
        <v>107</v>
      </c>
      <c r="W106" s="24">
        <v>69</v>
      </c>
      <c r="X106" s="24">
        <v>71</v>
      </c>
      <c r="Y106" s="24">
        <v>84</v>
      </c>
      <c r="Z106" s="24">
        <v>64</v>
      </c>
      <c r="AA106" s="24">
        <v>59</v>
      </c>
      <c r="AB106" s="24">
        <v>91</v>
      </c>
      <c r="AC106" s="24">
        <v>90</v>
      </c>
      <c r="AD106" s="24">
        <v>79</v>
      </c>
      <c r="AE106" s="24">
        <v>82</v>
      </c>
      <c r="AF106" s="24">
        <v>78</v>
      </c>
      <c r="AG106" s="24">
        <v>89</v>
      </c>
      <c r="AH106" s="24">
        <v>85</v>
      </c>
      <c r="AI106" s="24">
        <v>84</v>
      </c>
      <c r="AJ106" s="24">
        <v>87</v>
      </c>
      <c r="AK106" s="24">
        <v>70</v>
      </c>
      <c r="AL106" s="24">
        <v>67</v>
      </c>
      <c r="AM106" s="24">
        <v>80</v>
      </c>
      <c r="AN106" s="24">
        <v>64</v>
      </c>
      <c r="AO106" s="24">
        <v>71</v>
      </c>
      <c r="AP106" s="24">
        <v>63</v>
      </c>
      <c r="AQ106" s="24">
        <v>30</v>
      </c>
      <c r="AR106" s="24">
        <v>28</v>
      </c>
      <c r="AS106" s="24">
        <v>0</v>
      </c>
      <c r="AT106" s="24">
        <v>0</v>
      </c>
      <c r="AU106" s="24">
        <v>0</v>
      </c>
      <c r="AV106" s="24">
        <v>0</v>
      </c>
      <c r="AW106" s="24">
        <v>0</v>
      </c>
      <c r="AX106" s="24">
        <v>0</v>
      </c>
      <c r="AY106" s="24">
        <v>0</v>
      </c>
      <c r="AZ106" s="24">
        <v>0</v>
      </c>
      <c r="BA106" s="24">
        <v>0</v>
      </c>
      <c r="BB106" s="24">
        <v>0</v>
      </c>
      <c r="BC106" s="24">
        <v>0</v>
      </c>
      <c r="BD106" s="24">
        <v>0</v>
      </c>
      <c r="BE106" s="24">
        <v>0</v>
      </c>
      <c r="BF106" s="24">
        <v>0</v>
      </c>
      <c r="BG106" s="24">
        <v>0</v>
      </c>
      <c r="BH106" s="24">
        <f>SUM(D106:BG106)</f>
        <v>2735</v>
      </c>
    </row>
    <row r="107" spans="1:60">
      <c r="A107" s="18" t="s">
        <v>185</v>
      </c>
      <c r="B107" s="18" t="s">
        <v>176</v>
      </c>
      <c r="C107" s="18" t="s">
        <v>84</v>
      </c>
      <c r="D107" s="24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11</v>
      </c>
      <c r="J107" s="24">
        <v>62</v>
      </c>
      <c r="K107" s="24">
        <v>59</v>
      </c>
      <c r="L107" s="24">
        <v>63</v>
      </c>
      <c r="M107" s="24">
        <v>71</v>
      </c>
      <c r="N107" s="24">
        <v>77</v>
      </c>
      <c r="O107" s="24">
        <v>85</v>
      </c>
      <c r="P107" s="24">
        <v>104</v>
      </c>
      <c r="Q107" s="24">
        <v>100</v>
      </c>
      <c r="R107" s="24">
        <v>124</v>
      </c>
      <c r="S107" s="24">
        <v>86</v>
      </c>
      <c r="T107" s="24">
        <v>120</v>
      </c>
      <c r="U107" s="24">
        <v>103</v>
      </c>
      <c r="V107" s="24">
        <v>100</v>
      </c>
      <c r="W107" s="24">
        <v>89</v>
      </c>
      <c r="X107" s="24">
        <v>84</v>
      </c>
      <c r="Y107" s="24">
        <v>69</v>
      </c>
      <c r="Z107" s="24">
        <v>75</v>
      </c>
      <c r="AA107" s="24">
        <v>75</v>
      </c>
      <c r="AB107" s="24">
        <v>83</v>
      </c>
      <c r="AC107" s="24">
        <v>86</v>
      </c>
      <c r="AD107" s="24">
        <v>82</v>
      </c>
      <c r="AE107" s="24">
        <v>91</v>
      </c>
      <c r="AF107" s="24">
        <v>106</v>
      </c>
      <c r="AG107" s="24">
        <v>107</v>
      </c>
      <c r="AH107" s="24">
        <v>89</v>
      </c>
      <c r="AI107" s="24">
        <v>96</v>
      </c>
      <c r="AJ107" s="24">
        <v>83</v>
      </c>
      <c r="AK107" s="24">
        <v>74</v>
      </c>
      <c r="AL107" s="24">
        <v>71</v>
      </c>
      <c r="AM107" s="24">
        <v>63</v>
      </c>
      <c r="AN107" s="24">
        <v>71</v>
      </c>
      <c r="AO107" s="24">
        <v>71</v>
      </c>
      <c r="AP107" s="24">
        <v>77</v>
      </c>
      <c r="AQ107" s="24">
        <v>31</v>
      </c>
      <c r="AR107" s="24">
        <v>32</v>
      </c>
      <c r="AS107" s="24">
        <v>0</v>
      </c>
      <c r="AT107" s="24">
        <v>0</v>
      </c>
      <c r="AU107" s="24">
        <v>0</v>
      </c>
      <c r="AV107" s="24">
        <v>0</v>
      </c>
      <c r="AW107" s="24">
        <v>0</v>
      </c>
      <c r="AX107" s="24">
        <v>0</v>
      </c>
      <c r="AY107" s="24">
        <v>0</v>
      </c>
      <c r="AZ107" s="24">
        <v>0</v>
      </c>
      <c r="BA107" s="24">
        <v>0</v>
      </c>
      <c r="BB107" s="24">
        <v>0</v>
      </c>
      <c r="BC107" s="24">
        <v>0</v>
      </c>
      <c r="BD107" s="24">
        <v>0</v>
      </c>
      <c r="BE107" s="24">
        <v>0</v>
      </c>
      <c r="BF107" s="24">
        <v>0</v>
      </c>
      <c r="BG107" s="24">
        <v>0</v>
      </c>
      <c r="BH107" s="24">
        <f>SUM(D107:BG107)</f>
        <v>2870</v>
      </c>
    </row>
    <row r="108" spans="1:60">
      <c r="A108" s="18" t="s">
        <v>186</v>
      </c>
      <c r="B108" s="18" t="s">
        <v>176</v>
      </c>
      <c r="C108" s="18" t="s">
        <v>86</v>
      </c>
      <c r="D108" s="24">
        <v>0</v>
      </c>
      <c r="E108" s="24">
        <v>0</v>
      </c>
      <c r="F108" s="24">
        <v>0</v>
      </c>
      <c r="G108" s="24">
        <v>0</v>
      </c>
      <c r="H108" s="24">
        <v>0</v>
      </c>
      <c r="I108" s="24">
        <v>12</v>
      </c>
      <c r="J108" s="24">
        <v>33</v>
      </c>
      <c r="K108" s="24">
        <v>36</v>
      </c>
      <c r="L108" s="24">
        <v>44</v>
      </c>
      <c r="M108" s="24">
        <v>49</v>
      </c>
      <c r="N108" s="24">
        <v>79</v>
      </c>
      <c r="O108" s="24">
        <v>77</v>
      </c>
      <c r="P108" s="24">
        <v>68</v>
      </c>
      <c r="Q108" s="24">
        <v>45</v>
      </c>
      <c r="R108" s="24">
        <v>59</v>
      </c>
      <c r="S108" s="24">
        <v>82</v>
      </c>
      <c r="T108" s="24">
        <v>70</v>
      </c>
      <c r="U108" s="24">
        <v>51</v>
      </c>
      <c r="V108" s="24">
        <v>75</v>
      </c>
      <c r="W108" s="24">
        <v>51</v>
      </c>
      <c r="X108" s="24">
        <v>45</v>
      </c>
      <c r="Y108" s="24">
        <v>37</v>
      </c>
      <c r="Z108" s="24">
        <v>40</v>
      </c>
      <c r="AA108" s="24">
        <v>40</v>
      </c>
      <c r="AB108" s="24">
        <v>36</v>
      </c>
      <c r="AC108" s="24">
        <v>53</v>
      </c>
      <c r="AD108" s="24">
        <v>65</v>
      </c>
      <c r="AE108" s="24">
        <v>39</v>
      </c>
      <c r="AF108" s="24">
        <v>70</v>
      </c>
      <c r="AG108" s="24">
        <v>53</v>
      </c>
      <c r="AH108" s="24">
        <v>45</v>
      </c>
      <c r="AI108" s="24">
        <v>42</v>
      </c>
      <c r="AJ108" s="24">
        <v>53</v>
      </c>
      <c r="AK108" s="24">
        <v>52</v>
      </c>
      <c r="AL108" s="24">
        <v>47</v>
      </c>
      <c r="AM108" s="24">
        <v>55</v>
      </c>
      <c r="AN108" s="24">
        <v>74</v>
      </c>
      <c r="AO108" s="24">
        <v>57</v>
      </c>
      <c r="AP108" s="24">
        <v>46</v>
      </c>
      <c r="AQ108" s="24">
        <v>35</v>
      </c>
      <c r="AR108" s="24">
        <v>42</v>
      </c>
      <c r="AS108" s="24">
        <v>3</v>
      </c>
      <c r="AT108" s="24">
        <v>2</v>
      </c>
      <c r="AU108" s="24">
        <v>10</v>
      </c>
      <c r="AV108" s="24">
        <v>6</v>
      </c>
      <c r="AW108" s="24">
        <v>0</v>
      </c>
      <c r="AX108" s="24">
        <v>0</v>
      </c>
      <c r="AY108" s="24">
        <v>0</v>
      </c>
      <c r="AZ108" s="24">
        <v>0</v>
      </c>
      <c r="BA108" s="24">
        <v>0</v>
      </c>
      <c r="BB108" s="24">
        <v>0</v>
      </c>
      <c r="BC108" s="24">
        <v>1</v>
      </c>
      <c r="BD108" s="24">
        <v>0</v>
      </c>
      <c r="BE108" s="24">
        <v>0</v>
      </c>
      <c r="BF108" s="24">
        <v>0</v>
      </c>
      <c r="BG108" s="24">
        <v>0</v>
      </c>
      <c r="BH108" s="24">
        <f>SUM(D108:BG108)</f>
        <v>1879</v>
      </c>
    </row>
    <row r="109" spans="1:60">
      <c r="A109" s="18" t="s">
        <v>187</v>
      </c>
      <c r="B109" s="18" t="s">
        <v>176</v>
      </c>
      <c r="C109" s="18" t="s">
        <v>88</v>
      </c>
      <c r="D109" s="24">
        <v>0</v>
      </c>
      <c r="E109" s="24">
        <v>0</v>
      </c>
      <c r="F109" s="24">
        <v>0</v>
      </c>
      <c r="G109" s="24">
        <v>0</v>
      </c>
      <c r="H109" s="24">
        <v>1</v>
      </c>
      <c r="I109" s="24">
        <v>9</v>
      </c>
      <c r="J109" s="24">
        <v>52</v>
      </c>
      <c r="K109" s="24">
        <v>67</v>
      </c>
      <c r="L109" s="24">
        <v>67</v>
      </c>
      <c r="M109" s="24">
        <v>96</v>
      </c>
      <c r="N109" s="24">
        <v>110</v>
      </c>
      <c r="O109" s="24">
        <v>110</v>
      </c>
      <c r="P109" s="24">
        <v>99</v>
      </c>
      <c r="Q109" s="24">
        <v>89</v>
      </c>
      <c r="R109" s="24">
        <v>116</v>
      </c>
      <c r="S109" s="24">
        <v>126</v>
      </c>
      <c r="T109" s="24">
        <v>110</v>
      </c>
      <c r="U109" s="24">
        <v>130</v>
      </c>
      <c r="V109" s="24">
        <v>124</v>
      </c>
      <c r="W109" s="24">
        <v>87</v>
      </c>
      <c r="X109" s="24">
        <v>92</v>
      </c>
      <c r="Y109" s="24">
        <v>68</v>
      </c>
      <c r="Z109" s="24">
        <v>80</v>
      </c>
      <c r="AA109" s="24">
        <v>78</v>
      </c>
      <c r="AB109" s="24">
        <v>103</v>
      </c>
      <c r="AC109" s="24">
        <v>125</v>
      </c>
      <c r="AD109" s="24">
        <v>107</v>
      </c>
      <c r="AE109" s="24">
        <v>97</v>
      </c>
      <c r="AF109" s="24">
        <v>106</v>
      </c>
      <c r="AG109" s="24">
        <v>101</v>
      </c>
      <c r="AH109" s="24">
        <v>101</v>
      </c>
      <c r="AI109" s="24">
        <v>82</v>
      </c>
      <c r="AJ109" s="24">
        <v>95</v>
      </c>
      <c r="AK109" s="24">
        <v>100</v>
      </c>
      <c r="AL109" s="24">
        <v>93</v>
      </c>
      <c r="AM109" s="24">
        <v>79</v>
      </c>
      <c r="AN109" s="24">
        <v>84</v>
      </c>
      <c r="AO109" s="24">
        <v>91</v>
      </c>
      <c r="AP109" s="24">
        <v>90</v>
      </c>
      <c r="AQ109" s="24">
        <v>72</v>
      </c>
      <c r="AR109" s="24">
        <v>37</v>
      </c>
      <c r="AS109" s="24">
        <v>2</v>
      </c>
      <c r="AT109" s="24">
        <v>0</v>
      </c>
      <c r="AU109" s="24">
        <v>1</v>
      </c>
      <c r="AV109" s="24">
        <v>1</v>
      </c>
      <c r="AW109" s="24">
        <v>1</v>
      </c>
      <c r="AX109" s="24">
        <v>3</v>
      </c>
      <c r="AY109" s="24">
        <v>2</v>
      </c>
      <c r="AZ109" s="24">
        <v>0</v>
      </c>
      <c r="BA109" s="24">
        <v>2</v>
      </c>
      <c r="BB109" s="24">
        <v>0</v>
      </c>
      <c r="BC109" s="24">
        <v>0</v>
      </c>
      <c r="BD109" s="24">
        <v>0</v>
      </c>
      <c r="BE109" s="24">
        <v>0</v>
      </c>
      <c r="BF109" s="24">
        <v>0</v>
      </c>
      <c r="BG109" s="24">
        <v>0</v>
      </c>
      <c r="BH109" s="24">
        <f>SUM(D109:BG109)</f>
        <v>3286</v>
      </c>
    </row>
    <row r="110" spans="1:60">
      <c r="A110" s="18" t="s">
        <v>188</v>
      </c>
      <c r="B110" s="18" t="s">
        <v>176</v>
      </c>
      <c r="C110" s="18" t="s">
        <v>90</v>
      </c>
      <c r="D110" s="24">
        <v>0</v>
      </c>
      <c r="E110" s="24">
        <v>0</v>
      </c>
      <c r="F110" s="24">
        <v>0</v>
      </c>
      <c r="G110" s="24">
        <v>0</v>
      </c>
      <c r="H110" s="24">
        <v>0</v>
      </c>
      <c r="I110" s="24">
        <v>24</v>
      </c>
      <c r="J110" s="24">
        <v>71</v>
      </c>
      <c r="K110" s="24">
        <v>83</v>
      </c>
      <c r="L110" s="24">
        <v>98</v>
      </c>
      <c r="M110" s="24">
        <v>112</v>
      </c>
      <c r="N110" s="24">
        <v>121</v>
      </c>
      <c r="O110" s="24">
        <v>107</v>
      </c>
      <c r="P110" s="24">
        <v>140</v>
      </c>
      <c r="Q110" s="24">
        <v>142</v>
      </c>
      <c r="R110" s="24">
        <v>146</v>
      </c>
      <c r="S110" s="24">
        <v>155</v>
      </c>
      <c r="T110" s="24">
        <v>134</v>
      </c>
      <c r="U110" s="24">
        <v>141</v>
      </c>
      <c r="V110" s="24">
        <v>118</v>
      </c>
      <c r="W110" s="24">
        <v>109</v>
      </c>
      <c r="X110" s="24">
        <v>119</v>
      </c>
      <c r="Y110" s="24">
        <v>128</v>
      </c>
      <c r="Z110" s="24">
        <v>100</v>
      </c>
      <c r="AA110" s="24">
        <v>116</v>
      </c>
      <c r="AB110" s="24">
        <v>114</v>
      </c>
      <c r="AC110" s="24">
        <v>129</v>
      </c>
      <c r="AD110" s="24">
        <v>129</v>
      </c>
      <c r="AE110" s="24">
        <v>103</v>
      </c>
      <c r="AF110" s="24">
        <v>160</v>
      </c>
      <c r="AG110" s="24">
        <v>151</v>
      </c>
      <c r="AH110" s="24">
        <v>149</v>
      </c>
      <c r="AI110" s="24">
        <v>134</v>
      </c>
      <c r="AJ110" s="24">
        <v>98</v>
      </c>
      <c r="AK110" s="24">
        <v>123</v>
      </c>
      <c r="AL110" s="24">
        <v>101</v>
      </c>
      <c r="AM110" s="24">
        <v>107</v>
      </c>
      <c r="AN110" s="24">
        <v>91</v>
      </c>
      <c r="AO110" s="24">
        <v>110</v>
      </c>
      <c r="AP110" s="24">
        <v>105</v>
      </c>
      <c r="AQ110" s="24">
        <v>85</v>
      </c>
      <c r="AR110" s="24">
        <v>45</v>
      </c>
      <c r="AS110" s="24">
        <v>2</v>
      </c>
      <c r="AT110" s="24">
        <v>1</v>
      </c>
      <c r="AU110" s="24">
        <v>1</v>
      </c>
      <c r="AV110" s="24">
        <v>0</v>
      </c>
      <c r="AW110" s="24">
        <v>3</v>
      </c>
      <c r="AX110" s="24">
        <v>1</v>
      </c>
      <c r="AY110" s="24">
        <v>0</v>
      </c>
      <c r="AZ110" s="24">
        <v>0</v>
      </c>
      <c r="BA110" s="24">
        <v>0</v>
      </c>
      <c r="BB110" s="24">
        <v>0</v>
      </c>
      <c r="BC110" s="24">
        <v>0</v>
      </c>
      <c r="BD110" s="24">
        <v>0</v>
      </c>
      <c r="BE110" s="24">
        <v>0</v>
      </c>
      <c r="BF110" s="24">
        <v>0</v>
      </c>
      <c r="BG110" s="24">
        <v>0</v>
      </c>
      <c r="BH110" s="24">
        <f>SUM(D110:BG110)</f>
        <v>4106</v>
      </c>
    </row>
    <row r="111" spans="1:60">
      <c r="A111" s="18" t="s">
        <v>189</v>
      </c>
      <c r="B111" s="18" t="s">
        <v>190</v>
      </c>
      <c r="C111" s="18" t="s">
        <v>66</v>
      </c>
      <c r="D111" s="24">
        <v>0</v>
      </c>
      <c r="E111" s="24">
        <v>0</v>
      </c>
      <c r="F111" s="24">
        <v>0</v>
      </c>
      <c r="G111" s="24">
        <v>2</v>
      </c>
      <c r="H111" s="24">
        <v>131</v>
      </c>
      <c r="I111" s="24">
        <v>745</v>
      </c>
      <c r="J111" s="24">
        <v>2248</v>
      </c>
      <c r="K111" s="24">
        <v>2149</v>
      </c>
      <c r="L111" s="24">
        <v>2636</v>
      </c>
      <c r="M111" s="24">
        <v>3086</v>
      </c>
      <c r="N111" s="24">
        <v>3270</v>
      </c>
      <c r="O111" s="24">
        <v>3418</v>
      </c>
      <c r="P111" s="24">
        <v>3569</v>
      </c>
      <c r="Q111" s="24">
        <v>3840</v>
      </c>
      <c r="R111" s="24">
        <v>3756</v>
      </c>
      <c r="S111" s="24">
        <v>3708</v>
      </c>
      <c r="T111" s="24">
        <v>3651</v>
      </c>
      <c r="U111" s="24">
        <v>3518</v>
      </c>
      <c r="V111" s="24">
        <v>3334</v>
      </c>
      <c r="W111" s="24">
        <v>3069</v>
      </c>
      <c r="X111" s="24">
        <v>2724</v>
      </c>
      <c r="Y111" s="24">
        <v>2617</v>
      </c>
      <c r="Z111" s="24">
        <v>2567</v>
      </c>
      <c r="AA111" s="24">
        <v>2514</v>
      </c>
      <c r="AB111" s="24">
        <v>2887</v>
      </c>
      <c r="AC111" s="24">
        <v>3186</v>
      </c>
      <c r="AD111" s="24">
        <v>3159</v>
      </c>
      <c r="AE111" s="24">
        <v>3357</v>
      </c>
      <c r="AF111" s="24">
        <v>3287</v>
      </c>
      <c r="AG111" s="24">
        <v>3256</v>
      </c>
      <c r="AH111" s="24">
        <v>3259</v>
      </c>
      <c r="AI111" s="24">
        <v>3096</v>
      </c>
      <c r="AJ111" s="24">
        <v>3185</v>
      </c>
      <c r="AK111" s="24">
        <v>3016</v>
      </c>
      <c r="AL111" s="24">
        <v>2912</v>
      </c>
      <c r="AM111" s="24">
        <v>2772</v>
      </c>
      <c r="AN111" s="24">
        <v>2733</v>
      </c>
      <c r="AO111" s="24">
        <v>2748</v>
      </c>
      <c r="AP111" s="24">
        <v>2568</v>
      </c>
      <c r="AQ111" s="24">
        <v>1915</v>
      </c>
      <c r="AR111" s="24">
        <v>789</v>
      </c>
      <c r="AS111" s="24">
        <v>28</v>
      </c>
      <c r="AT111" s="24">
        <v>23</v>
      </c>
      <c r="AU111" s="24">
        <v>22</v>
      </c>
      <c r="AV111" s="24">
        <v>9</v>
      </c>
      <c r="AW111" s="24">
        <v>2</v>
      </c>
      <c r="AX111" s="24">
        <v>1</v>
      </c>
      <c r="AY111" s="24">
        <v>2</v>
      </c>
      <c r="AZ111" s="24">
        <v>0</v>
      </c>
      <c r="BA111" s="24">
        <v>0</v>
      </c>
      <c r="BB111" s="24">
        <v>0</v>
      </c>
      <c r="BC111" s="24">
        <v>0</v>
      </c>
      <c r="BD111" s="24">
        <v>0</v>
      </c>
      <c r="BE111" s="24">
        <v>0</v>
      </c>
      <c r="BF111" s="24">
        <v>0</v>
      </c>
      <c r="BG111" s="24">
        <v>0</v>
      </c>
      <c r="BH111" s="24">
        <f>SUM(D111:BG111)</f>
        <v>104764</v>
      </c>
    </row>
    <row r="112" spans="1:60">
      <c r="A112" s="18" t="s">
        <v>191</v>
      </c>
      <c r="B112" s="18" t="s">
        <v>190</v>
      </c>
      <c r="C112" s="18" t="s">
        <v>68</v>
      </c>
      <c r="D112" s="24">
        <v>0</v>
      </c>
      <c r="E112" s="24">
        <v>0</v>
      </c>
      <c r="F112" s="24">
        <v>0</v>
      </c>
      <c r="G112" s="24">
        <v>0</v>
      </c>
      <c r="H112" s="24">
        <v>11</v>
      </c>
      <c r="I112" s="24">
        <v>66</v>
      </c>
      <c r="J112" s="24">
        <v>193</v>
      </c>
      <c r="K112" s="24">
        <v>174</v>
      </c>
      <c r="L112" s="24">
        <v>218</v>
      </c>
      <c r="M112" s="24">
        <v>264</v>
      </c>
      <c r="N112" s="24">
        <v>268</v>
      </c>
      <c r="O112" s="24">
        <v>274</v>
      </c>
      <c r="P112" s="24">
        <v>281</v>
      </c>
      <c r="Q112" s="24">
        <v>299</v>
      </c>
      <c r="R112" s="24">
        <v>310</v>
      </c>
      <c r="S112" s="24">
        <v>287</v>
      </c>
      <c r="T112" s="24">
        <v>267</v>
      </c>
      <c r="U112" s="24">
        <v>265</v>
      </c>
      <c r="V112" s="24">
        <v>241</v>
      </c>
      <c r="W112" s="24">
        <v>222</v>
      </c>
      <c r="X112" s="24">
        <v>192</v>
      </c>
      <c r="Y112" s="24">
        <v>170</v>
      </c>
      <c r="Z112" s="24">
        <v>179</v>
      </c>
      <c r="AA112" s="24">
        <v>182</v>
      </c>
      <c r="AB112" s="24">
        <v>221</v>
      </c>
      <c r="AC112" s="24">
        <v>217</v>
      </c>
      <c r="AD112" s="24">
        <v>252</v>
      </c>
      <c r="AE112" s="24">
        <v>256</v>
      </c>
      <c r="AF112" s="24">
        <v>259</v>
      </c>
      <c r="AG112" s="24">
        <v>265</v>
      </c>
      <c r="AH112" s="24">
        <v>224</v>
      </c>
      <c r="AI112" s="24">
        <v>249</v>
      </c>
      <c r="AJ112" s="24">
        <v>244</v>
      </c>
      <c r="AK112" s="24">
        <v>232</v>
      </c>
      <c r="AL112" s="24">
        <v>203</v>
      </c>
      <c r="AM112" s="24">
        <v>185</v>
      </c>
      <c r="AN112" s="24">
        <v>207</v>
      </c>
      <c r="AO112" s="24">
        <v>203</v>
      </c>
      <c r="AP112" s="24">
        <v>186</v>
      </c>
      <c r="AQ112" s="24">
        <v>144</v>
      </c>
      <c r="AR112" s="24">
        <v>79</v>
      </c>
      <c r="AS112" s="24">
        <v>0</v>
      </c>
      <c r="AT112" s="24">
        <v>0</v>
      </c>
      <c r="AU112" s="24">
        <v>0</v>
      </c>
      <c r="AV112" s="24">
        <v>0</v>
      </c>
      <c r="AW112" s="24">
        <v>0</v>
      </c>
      <c r="AX112" s="24">
        <v>0</v>
      </c>
      <c r="AY112" s="24">
        <v>0</v>
      </c>
      <c r="AZ112" s="24">
        <v>0</v>
      </c>
      <c r="BA112" s="24">
        <v>0</v>
      </c>
      <c r="BB112" s="24">
        <v>0</v>
      </c>
      <c r="BC112" s="24">
        <v>0</v>
      </c>
      <c r="BD112" s="24">
        <v>0</v>
      </c>
      <c r="BE112" s="24">
        <v>0</v>
      </c>
      <c r="BF112" s="24">
        <v>0</v>
      </c>
      <c r="BG112" s="24">
        <v>0</v>
      </c>
      <c r="BH112" s="24">
        <f>SUM(D112:BG112)</f>
        <v>7989</v>
      </c>
    </row>
    <row r="113" spans="1:60">
      <c r="A113" s="18" t="s">
        <v>192</v>
      </c>
      <c r="B113" s="18" t="s">
        <v>190</v>
      </c>
      <c r="C113" s="18" t="s">
        <v>70</v>
      </c>
      <c r="D113" s="24">
        <v>0</v>
      </c>
      <c r="E113" s="24">
        <v>0</v>
      </c>
      <c r="F113" s="24">
        <v>0</v>
      </c>
      <c r="G113" s="24">
        <v>1</v>
      </c>
      <c r="H113" s="24">
        <v>10</v>
      </c>
      <c r="I113" s="24">
        <v>45</v>
      </c>
      <c r="J113" s="24">
        <v>189</v>
      </c>
      <c r="K113" s="24">
        <v>172</v>
      </c>
      <c r="L113" s="24">
        <v>221</v>
      </c>
      <c r="M113" s="24">
        <v>279</v>
      </c>
      <c r="N113" s="24">
        <v>279</v>
      </c>
      <c r="O113" s="24">
        <v>292</v>
      </c>
      <c r="P113" s="24">
        <v>281</v>
      </c>
      <c r="Q113" s="24">
        <v>339</v>
      </c>
      <c r="R113" s="24">
        <v>324</v>
      </c>
      <c r="S113" s="24">
        <v>306</v>
      </c>
      <c r="T113" s="24">
        <v>280</v>
      </c>
      <c r="U113" s="24">
        <v>291</v>
      </c>
      <c r="V113" s="24">
        <v>262</v>
      </c>
      <c r="W113" s="24">
        <v>263</v>
      </c>
      <c r="X113" s="24">
        <v>238</v>
      </c>
      <c r="Y113" s="24">
        <v>201</v>
      </c>
      <c r="Z113" s="24">
        <v>201</v>
      </c>
      <c r="AA113" s="24">
        <v>197</v>
      </c>
      <c r="AB113" s="24">
        <v>220</v>
      </c>
      <c r="AC113" s="24">
        <v>227</v>
      </c>
      <c r="AD113" s="24">
        <v>241</v>
      </c>
      <c r="AE113" s="24">
        <v>276</v>
      </c>
      <c r="AF113" s="24">
        <v>278</v>
      </c>
      <c r="AG113" s="24">
        <v>256</v>
      </c>
      <c r="AH113" s="24">
        <v>251</v>
      </c>
      <c r="AI113" s="24">
        <v>242</v>
      </c>
      <c r="AJ113" s="24">
        <v>241</v>
      </c>
      <c r="AK113" s="24">
        <v>257</v>
      </c>
      <c r="AL113" s="24">
        <v>219</v>
      </c>
      <c r="AM113" s="24">
        <v>203</v>
      </c>
      <c r="AN113" s="24">
        <v>229</v>
      </c>
      <c r="AO113" s="24">
        <v>229</v>
      </c>
      <c r="AP113" s="24">
        <v>208</v>
      </c>
      <c r="AQ113" s="24">
        <v>159</v>
      </c>
      <c r="AR113" s="24">
        <v>54</v>
      </c>
      <c r="AS113" s="24">
        <v>0</v>
      </c>
      <c r="AT113" s="24">
        <v>0</v>
      </c>
      <c r="AU113" s="24">
        <v>0</v>
      </c>
      <c r="AV113" s="24">
        <v>0</v>
      </c>
      <c r="AW113" s="24">
        <v>0</v>
      </c>
      <c r="AX113" s="24">
        <v>0</v>
      </c>
      <c r="AY113" s="24">
        <v>0</v>
      </c>
      <c r="AZ113" s="24">
        <v>0</v>
      </c>
      <c r="BA113" s="24">
        <v>0</v>
      </c>
      <c r="BB113" s="24">
        <v>0</v>
      </c>
      <c r="BC113" s="24">
        <v>0</v>
      </c>
      <c r="BD113" s="24">
        <v>0</v>
      </c>
      <c r="BE113" s="24">
        <v>0</v>
      </c>
      <c r="BF113" s="24">
        <v>0</v>
      </c>
      <c r="BG113" s="24">
        <v>0</v>
      </c>
      <c r="BH113" s="24">
        <f>SUM(D113:BG113)</f>
        <v>8461</v>
      </c>
    </row>
    <row r="114" spans="1:60">
      <c r="A114" s="18" t="s">
        <v>193</v>
      </c>
      <c r="B114" s="18" t="s">
        <v>190</v>
      </c>
      <c r="C114" s="18" t="s">
        <v>72</v>
      </c>
      <c r="D114" s="24">
        <v>0</v>
      </c>
      <c r="E114" s="24">
        <v>0</v>
      </c>
      <c r="F114" s="24">
        <v>0</v>
      </c>
      <c r="G114" s="24">
        <v>0</v>
      </c>
      <c r="H114" s="24">
        <v>12</v>
      </c>
      <c r="I114" s="24">
        <v>61</v>
      </c>
      <c r="J114" s="24">
        <v>196</v>
      </c>
      <c r="K114" s="24">
        <v>196</v>
      </c>
      <c r="L114" s="24">
        <v>224</v>
      </c>
      <c r="M114" s="24">
        <v>263</v>
      </c>
      <c r="N114" s="24">
        <v>263</v>
      </c>
      <c r="O114" s="24">
        <v>308</v>
      </c>
      <c r="P114" s="24">
        <v>300</v>
      </c>
      <c r="Q114" s="24">
        <v>304</v>
      </c>
      <c r="R114" s="24">
        <v>335</v>
      </c>
      <c r="S114" s="24">
        <v>324</v>
      </c>
      <c r="T114" s="24">
        <v>317</v>
      </c>
      <c r="U114" s="24">
        <v>306</v>
      </c>
      <c r="V114" s="24">
        <v>293</v>
      </c>
      <c r="W114" s="24">
        <v>283</v>
      </c>
      <c r="X114" s="24">
        <v>218</v>
      </c>
      <c r="Y114" s="24">
        <v>222</v>
      </c>
      <c r="Z114" s="24">
        <v>235</v>
      </c>
      <c r="AA114" s="24">
        <v>236</v>
      </c>
      <c r="AB114" s="24">
        <v>254</v>
      </c>
      <c r="AC114" s="24">
        <v>310</v>
      </c>
      <c r="AD114" s="24">
        <v>273</v>
      </c>
      <c r="AE114" s="24">
        <v>308</v>
      </c>
      <c r="AF114" s="24">
        <v>288</v>
      </c>
      <c r="AG114" s="24">
        <v>287</v>
      </c>
      <c r="AH114" s="24">
        <v>273</v>
      </c>
      <c r="AI114" s="24">
        <v>270</v>
      </c>
      <c r="AJ114" s="24">
        <v>258</v>
      </c>
      <c r="AK114" s="24">
        <v>236</v>
      </c>
      <c r="AL114" s="24">
        <v>274</v>
      </c>
      <c r="AM114" s="24">
        <v>229</v>
      </c>
      <c r="AN114" s="24">
        <v>240</v>
      </c>
      <c r="AO114" s="24">
        <v>249</v>
      </c>
      <c r="AP114" s="24">
        <v>232</v>
      </c>
      <c r="AQ114" s="24">
        <v>180</v>
      </c>
      <c r="AR114" s="24">
        <v>70</v>
      </c>
      <c r="AS114" s="24">
        <v>0</v>
      </c>
      <c r="AT114" s="24">
        <v>0</v>
      </c>
      <c r="AU114" s="24">
        <v>0</v>
      </c>
      <c r="AV114" s="24">
        <v>0</v>
      </c>
      <c r="AW114" s="24">
        <v>0</v>
      </c>
      <c r="AX114" s="24">
        <v>0</v>
      </c>
      <c r="AY114" s="24">
        <v>0</v>
      </c>
      <c r="AZ114" s="24">
        <v>0</v>
      </c>
      <c r="BA114" s="24">
        <v>0</v>
      </c>
      <c r="BB114" s="24">
        <v>0</v>
      </c>
      <c r="BC114" s="24">
        <v>0</v>
      </c>
      <c r="BD114" s="24">
        <v>0</v>
      </c>
      <c r="BE114" s="24">
        <v>0</v>
      </c>
      <c r="BF114" s="24">
        <v>0</v>
      </c>
      <c r="BG114" s="24">
        <v>0</v>
      </c>
      <c r="BH114" s="24">
        <f>SUM(D114:BG114)</f>
        <v>9127</v>
      </c>
    </row>
    <row r="115" spans="1:60">
      <c r="A115" s="18" t="s">
        <v>194</v>
      </c>
      <c r="B115" s="18" t="s">
        <v>190</v>
      </c>
      <c r="C115" s="18" t="s">
        <v>74</v>
      </c>
      <c r="D115" s="24">
        <v>0</v>
      </c>
      <c r="E115" s="24">
        <v>0</v>
      </c>
      <c r="F115" s="24">
        <v>0</v>
      </c>
      <c r="G115" s="24">
        <v>0</v>
      </c>
      <c r="H115" s="24">
        <v>13</v>
      </c>
      <c r="I115" s="24">
        <v>70</v>
      </c>
      <c r="J115" s="24">
        <v>243</v>
      </c>
      <c r="K115" s="24">
        <v>191</v>
      </c>
      <c r="L115" s="24">
        <v>256</v>
      </c>
      <c r="M115" s="24">
        <v>302</v>
      </c>
      <c r="N115" s="24">
        <v>323</v>
      </c>
      <c r="O115" s="24">
        <v>336</v>
      </c>
      <c r="P115" s="24">
        <v>354</v>
      </c>
      <c r="Q115" s="24">
        <v>386</v>
      </c>
      <c r="R115" s="24">
        <v>320</v>
      </c>
      <c r="S115" s="24">
        <v>379</v>
      </c>
      <c r="T115" s="24">
        <v>335</v>
      </c>
      <c r="U115" s="24">
        <v>334</v>
      </c>
      <c r="V115" s="24">
        <v>310</v>
      </c>
      <c r="W115" s="24">
        <v>259</v>
      </c>
      <c r="X115" s="24">
        <v>252</v>
      </c>
      <c r="Y115" s="24">
        <v>243</v>
      </c>
      <c r="Z115" s="24">
        <v>227</v>
      </c>
      <c r="AA115" s="24">
        <v>237</v>
      </c>
      <c r="AB115" s="24">
        <v>231</v>
      </c>
      <c r="AC115" s="24">
        <v>293</v>
      </c>
      <c r="AD115" s="24">
        <v>323</v>
      </c>
      <c r="AE115" s="24">
        <v>309</v>
      </c>
      <c r="AF115" s="24">
        <v>296</v>
      </c>
      <c r="AG115" s="24">
        <v>311</v>
      </c>
      <c r="AH115" s="24">
        <v>321</v>
      </c>
      <c r="AI115" s="24">
        <v>275</v>
      </c>
      <c r="AJ115" s="24">
        <v>280</v>
      </c>
      <c r="AK115" s="24">
        <v>265</v>
      </c>
      <c r="AL115" s="24">
        <v>235</v>
      </c>
      <c r="AM115" s="24">
        <v>252</v>
      </c>
      <c r="AN115" s="24">
        <v>236</v>
      </c>
      <c r="AO115" s="24">
        <v>234</v>
      </c>
      <c r="AP115" s="24">
        <v>221</v>
      </c>
      <c r="AQ115" s="24">
        <v>195</v>
      </c>
      <c r="AR115" s="24">
        <v>74</v>
      </c>
      <c r="AS115" s="24">
        <v>0</v>
      </c>
      <c r="AT115" s="24">
        <v>0</v>
      </c>
      <c r="AU115" s="24">
        <v>0</v>
      </c>
      <c r="AV115" s="24">
        <v>0</v>
      </c>
      <c r="AW115" s="24">
        <v>0</v>
      </c>
      <c r="AX115" s="24">
        <v>0</v>
      </c>
      <c r="AY115" s="24">
        <v>0</v>
      </c>
      <c r="AZ115" s="24">
        <v>0</v>
      </c>
      <c r="BA115" s="24">
        <v>0</v>
      </c>
      <c r="BB115" s="24">
        <v>0</v>
      </c>
      <c r="BC115" s="24">
        <v>0</v>
      </c>
      <c r="BD115" s="24">
        <v>0</v>
      </c>
      <c r="BE115" s="24">
        <v>0</v>
      </c>
      <c r="BF115" s="24">
        <v>0</v>
      </c>
      <c r="BG115" s="24">
        <v>0</v>
      </c>
      <c r="BH115" s="24">
        <f>SUM(D115:BG115)</f>
        <v>9721</v>
      </c>
    </row>
    <row r="116" spans="1:60">
      <c r="A116" s="18" t="s">
        <v>195</v>
      </c>
      <c r="B116" s="18" t="s">
        <v>190</v>
      </c>
      <c r="C116" s="18" t="s">
        <v>76</v>
      </c>
      <c r="D116" s="24">
        <v>0</v>
      </c>
      <c r="E116" s="24">
        <v>0</v>
      </c>
      <c r="F116" s="24">
        <v>0</v>
      </c>
      <c r="G116" s="24">
        <v>1</v>
      </c>
      <c r="H116" s="24">
        <v>8</v>
      </c>
      <c r="I116" s="24">
        <v>63</v>
      </c>
      <c r="J116" s="24">
        <v>218</v>
      </c>
      <c r="K116" s="24">
        <v>200</v>
      </c>
      <c r="L116" s="24">
        <v>258</v>
      </c>
      <c r="M116" s="24">
        <v>239</v>
      </c>
      <c r="N116" s="24">
        <v>290</v>
      </c>
      <c r="O116" s="24">
        <v>306</v>
      </c>
      <c r="P116" s="24">
        <v>310</v>
      </c>
      <c r="Q116" s="24">
        <v>304</v>
      </c>
      <c r="R116" s="24">
        <v>315</v>
      </c>
      <c r="S116" s="24">
        <v>347</v>
      </c>
      <c r="T116" s="24">
        <v>271</v>
      </c>
      <c r="U116" s="24">
        <v>284</v>
      </c>
      <c r="V116" s="24">
        <v>284</v>
      </c>
      <c r="W116" s="24">
        <v>244</v>
      </c>
      <c r="X116" s="24">
        <v>225</v>
      </c>
      <c r="Y116" s="24">
        <v>199</v>
      </c>
      <c r="Z116" s="24">
        <v>176</v>
      </c>
      <c r="AA116" s="24">
        <v>184</v>
      </c>
      <c r="AB116" s="24">
        <v>219</v>
      </c>
      <c r="AC116" s="24">
        <v>252</v>
      </c>
      <c r="AD116" s="24">
        <v>266</v>
      </c>
      <c r="AE116" s="24">
        <v>268</v>
      </c>
      <c r="AF116" s="24">
        <v>240</v>
      </c>
      <c r="AG116" s="24">
        <v>242</v>
      </c>
      <c r="AH116" s="24">
        <v>287</v>
      </c>
      <c r="AI116" s="24">
        <v>271</v>
      </c>
      <c r="AJ116" s="24">
        <v>253</v>
      </c>
      <c r="AK116" s="24">
        <v>238</v>
      </c>
      <c r="AL116" s="24">
        <v>248</v>
      </c>
      <c r="AM116" s="24">
        <v>239</v>
      </c>
      <c r="AN116" s="24">
        <v>228</v>
      </c>
      <c r="AO116" s="24">
        <v>223</v>
      </c>
      <c r="AP116" s="24">
        <v>198</v>
      </c>
      <c r="AQ116" s="24">
        <v>151</v>
      </c>
      <c r="AR116" s="24">
        <v>54</v>
      </c>
      <c r="AS116" s="24">
        <v>0</v>
      </c>
      <c r="AT116" s="24">
        <v>0</v>
      </c>
      <c r="AU116" s="24">
        <v>0</v>
      </c>
      <c r="AV116" s="24">
        <v>0</v>
      </c>
      <c r="AW116" s="24">
        <v>0</v>
      </c>
      <c r="AX116" s="24">
        <v>0</v>
      </c>
      <c r="AY116" s="24">
        <v>0</v>
      </c>
      <c r="AZ116" s="24">
        <v>0</v>
      </c>
      <c r="BA116" s="24">
        <v>0</v>
      </c>
      <c r="BB116" s="24">
        <v>0</v>
      </c>
      <c r="BC116" s="24">
        <v>0</v>
      </c>
      <c r="BD116" s="24">
        <v>0</v>
      </c>
      <c r="BE116" s="24">
        <v>0</v>
      </c>
      <c r="BF116" s="24">
        <v>0</v>
      </c>
      <c r="BG116" s="24">
        <v>0</v>
      </c>
      <c r="BH116" s="24">
        <f>SUM(D116:BG116)</f>
        <v>8603</v>
      </c>
    </row>
    <row r="117" spans="1:60">
      <c r="A117" s="18" t="s">
        <v>196</v>
      </c>
      <c r="B117" s="18" t="s">
        <v>190</v>
      </c>
      <c r="C117" s="18" t="s">
        <v>78</v>
      </c>
      <c r="D117" s="24">
        <v>0</v>
      </c>
      <c r="E117" s="24">
        <v>0</v>
      </c>
      <c r="F117" s="24">
        <v>0</v>
      </c>
      <c r="G117" s="24">
        <v>0</v>
      </c>
      <c r="H117" s="24">
        <v>11</v>
      </c>
      <c r="I117" s="24">
        <v>54</v>
      </c>
      <c r="J117" s="24">
        <v>194</v>
      </c>
      <c r="K117" s="24">
        <v>190</v>
      </c>
      <c r="L117" s="24">
        <v>230</v>
      </c>
      <c r="M117" s="24">
        <v>259</v>
      </c>
      <c r="N117" s="24">
        <v>310</v>
      </c>
      <c r="O117" s="24">
        <v>299</v>
      </c>
      <c r="P117" s="24">
        <v>312</v>
      </c>
      <c r="Q117" s="24">
        <v>309</v>
      </c>
      <c r="R117" s="24">
        <v>305</v>
      </c>
      <c r="S117" s="24">
        <v>300</v>
      </c>
      <c r="T117" s="24">
        <v>293</v>
      </c>
      <c r="U117" s="24">
        <v>299</v>
      </c>
      <c r="V117" s="24">
        <v>289</v>
      </c>
      <c r="W117" s="24">
        <v>267</v>
      </c>
      <c r="X117" s="24">
        <v>231</v>
      </c>
      <c r="Y117" s="24">
        <v>214</v>
      </c>
      <c r="Z117" s="24">
        <v>212</v>
      </c>
      <c r="AA117" s="24">
        <v>196</v>
      </c>
      <c r="AB117" s="24">
        <v>221</v>
      </c>
      <c r="AC117" s="24">
        <v>266</v>
      </c>
      <c r="AD117" s="24">
        <v>255</v>
      </c>
      <c r="AE117" s="24">
        <v>296</v>
      </c>
      <c r="AF117" s="24">
        <v>270</v>
      </c>
      <c r="AG117" s="24">
        <v>266</v>
      </c>
      <c r="AH117" s="24">
        <v>284</v>
      </c>
      <c r="AI117" s="24">
        <v>241</v>
      </c>
      <c r="AJ117" s="24">
        <v>277</v>
      </c>
      <c r="AK117" s="24">
        <v>237</v>
      </c>
      <c r="AL117" s="24">
        <v>239</v>
      </c>
      <c r="AM117" s="24">
        <v>213</v>
      </c>
      <c r="AN117" s="24">
        <v>257</v>
      </c>
      <c r="AO117" s="24">
        <v>226</v>
      </c>
      <c r="AP117" s="24">
        <v>196</v>
      </c>
      <c r="AQ117" s="24">
        <v>169</v>
      </c>
      <c r="AR117" s="24">
        <v>67</v>
      </c>
      <c r="AS117" s="24">
        <v>0</v>
      </c>
      <c r="AT117" s="24">
        <v>0</v>
      </c>
      <c r="AU117" s="24">
        <v>0</v>
      </c>
      <c r="AV117" s="24">
        <v>0</v>
      </c>
      <c r="AW117" s="24">
        <v>0</v>
      </c>
      <c r="AX117" s="24">
        <v>0</v>
      </c>
      <c r="AY117" s="24">
        <v>0</v>
      </c>
      <c r="AZ117" s="24">
        <v>0</v>
      </c>
      <c r="BA117" s="24">
        <v>0</v>
      </c>
      <c r="BB117" s="24">
        <v>0</v>
      </c>
      <c r="BC117" s="24">
        <v>0</v>
      </c>
      <c r="BD117" s="24">
        <v>0</v>
      </c>
      <c r="BE117" s="24">
        <v>0</v>
      </c>
      <c r="BF117" s="24">
        <v>0</v>
      </c>
      <c r="BG117" s="24">
        <v>0</v>
      </c>
      <c r="BH117" s="24">
        <f>SUM(D117:BG117)</f>
        <v>8754</v>
      </c>
    </row>
    <row r="118" spans="1:60">
      <c r="A118" s="18" t="s">
        <v>197</v>
      </c>
      <c r="B118" s="18" t="s">
        <v>190</v>
      </c>
      <c r="C118" s="18" t="s">
        <v>80</v>
      </c>
      <c r="D118" s="24">
        <v>0</v>
      </c>
      <c r="E118" s="24">
        <v>0</v>
      </c>
      <c r="F118" s="24">
        <v>0</v>
      </c>
      <c r="G118" s="24">
        <v>0</v>
      </c>
      <c r="H118" s="24">
        <v>4</v>
      </c>
      <c r="I118" s="24">
        <v>57</v>
      </c>
      <c r="J118" s="24">
        <v>193</v>
      </c>
      <c r="K118" s="24">
        <v>195</v>
      </c>
      <c r="L118" s="24">
        <v>228</v>
      </c>
      <c r="M118" s="24">
        <v>282</v>
      </c>
      <c r="N118" s="24">
        <v>264</v>
      </c>
      <c r="O118" s="24">
        <v>298</v>
      </c>
      <c r="P118" s="24">
        <v>335</v>
      </c>
      <c r="Q118" s="24">
        <v>364</v>
      </c>
      <c r="R118" s="24">
        <v>382</v>
      </c>
      <c r="S118" s="24">
        <v>316</v>
      </c>
      <c r="T118" s="24">
        <v>369</v>
      </c>
      <c r="U118" s="24">
        <v>336</v>
      </c>
      <c r="V118" s="24">
        <v>330</v>
      </c>
      <c r="W118" s="24">
        <v>275</v>
      </c>
      <c r="X118" s="24">
        <v>251</v>
      </c>
      <c r="Y118" s="24">
        <v>254</v>
      </c>
      <c r="Z118" s="24">
        <v>228</v>
      </c>
      <c r="AA118" s="24">
        <v>256</v>
      </c>
      <c r="AB118" s="24">
        <v>251</v>
      </c>
      <c r="AC118" s="24">
        <v>313</v>
      </c>
      <c r="AD118" s="24">
        <v>237</v>
      </c>
      <c r="AE118" s="24">
        <v>282</v>
      </c>
      <c r="AF118" s="24">
        <v>320</v>
      </c>
      <c r="AG118" s="24">
        <v>279</v>
      </c>
      <c r="AH118" s="24">
        <v>264</v>
      </c>
      <c r="AI118" s="24">
        <v>273</v>
      </c>
      <c r="AJ118" s="24">
        <v>316</v>
      </c>
      <c r="AK118" s="24">
        <v>270</v>
      </c>
      <c r="AL118" s="24">
        <v>277</v>
      </c>
      <c r="AM118" s="24">
        <v>265</v>
      </c>
      <c r="AN118" s="24">
        <v>256</v>
      </c>
      <c r="AO118" s="24">
        <v>250</v>
      </c>
      <c r="AP118" s="24">
        <v>232</v>
      </c>
      <c r="AQ118" s="24">
        <v>163</v>
      </c>
      <c r="AR118" s="24">
        <v>57</v>
      </c>
      <c r="AS118" s="24">
        <v>0</v>
      </c>
      <c r="AT118" s="24">
        <v>0</v>
      </c>
      <c r="AU118" s="24">
        <v>0</v>
      </c>
      <c r="AV118" s="24">
        <v>0</v>
      </c>
      <c r="AW118" s="24">
        <v>0</v>
      </c>
      <c r="AX118" s="24">
        <v>0</v>
      </c>
      <c r="AY118" s="24">
        <v>0</v>
      </c>
      <c r="AZ118" s="24">
        <v>0</v>
      </c>
      <c r="BA118" s="24">
        <v>0</v>
      </c>
      <c r="BB118" s="24">
        <v>0</v>
      </c>
      <c r="BC118" s="24">
        <v>0</v>
      </c>
      <c r="BD118" s="24">
        <v>0</v>
      </c>
      <c r="BE118" s="24">
        <v>0</v>
      </c>
      <c r="BF118" s="24">
        <v>0</v>
      </c>
      <c r="BG118" s="24">
        <v>0</v>
      </c>
      <c r="BH118" s="24">
        <f>SUM(D118:BG118)</f>
        <v>9522</v>
      </c>
    </row>
    <row r="119" spans="1:60">
      <c r="A119" s="18" t="s">
        <v>198</v>
      </c>
      <c r="B119" s="18" t="s">
        <v>190</v>
      </c>
      <c r="C119" s="18" t="s">
        <v>82</v>
      </c>
      <c r="D119" s="24">
        <v>0</v>
      </c>
      <c r="E119" s="24">
        <v>0</v>
      </c>
      <c r="F119" s="24">
        <v>0</v>
      </c>
      <c r="G119" s="24">
        <v>0</v>
      </c>
      <c r="H119" s="24">
        <v>7</v>
      </c>
      <c r="I119" s="24">
        <v>35</v>
      </c>
      <c r="J119" s="24">
        <v>150</v>
      </c>
      <c r="K119" s="24">
        <v>155</v>
      </c>
      <c r="L119" s="24">
        <v>192</v>
      </c>
      <c r="M119" s="24">
        <v>260</v>
      </c>
      <c r="N119" s="24">
        <v>252</v>
      </c>
      <c r="O119" s="24">
        <v>240</v>
      </c>
      <c r="P119" s="24">
        <v>270</v>
      </c>
      <c r="Q119" s="24">
        <v>315</v>
      </c>
      <c r="R119" s="24">
        <v>289</v>
      </c>
      <c r="S119" s="24">
        <v>313</v>
      </c>
      <c r="T119" s="24">
        <v>293</v>
      </c>
      <c r="U119" s="24">
        <v>285</v>
      </c>
      <c r="V119" s="24">
        <v>257</v>
      </c>
      <c r="W119" s="24">
        <v>240</v>
      </c>
      <c r="X119" s="24">
        <v>229</v>
      </c>
      <c r="Y119" s="24">
        <v>228</v>
      </c>
      <c r="Z119" s="24">
        <v>224</v>
      </c>
      <c r="AA119" s="24">
        <v>174</v>
      </c>
      <c r="AB119" s="24">
        <v>228</v>
      </c>
      <c r="AC119" s="24">
        <v>258</v>
      </c>
      <c r="AD119" s="24">
        <v>251</v>
      </c>
      <c r="AE119" s="24">
        <v>272</v>
      </c>
      <c r="AF119" s="24">
        <v>253</v>
      </c>
      <c r="AG119" s="24">
        <v>232</v>
      </c>
      <c r="AH119" s="24">
        <v>277</v>
      </c>
      <c r="AI119" s="24">
        <v>205</v>
      </c>
      <c r="AJ119" s="24">
        <v>256</v>
      </c>
      <c r="AK119" s="24">
        <v>260</v>
      </c>
      <c r="AL119" s="24">
        <v>222</v>
      </c>
      <c r="AM119" s="24">
        <v>242</v>
      </c>
      <c r="AN119" s="24">
        <v>203</v>
      </c>
      <c r="AO119" s="24">
        <v>207</v>
      </c>
      <c r="AP119" s="24">
        <v>190</v>
      </c>
      <c r="AQ119" s="24">
        <v>143</v>
      </c>
      <c r="AR119" s="24">
        <v>59</v>
      </c>
      <c r="AS119" s="24">
        <v>0</v>
      </c>
      <c r="AT119" s="24">
        <v>0</v>
      </c>
      <c r="AU119" s="24">
        <v>0</v>
      </c>
      <c r="AV119" s="24">
        <v>0</v>
      </c>
      <c r="AW119" s="24">
        <v>0</v>
      </c>
      <c r="AX119" s="24">
        <v>0</v>
      </c>
      <c r="AY119" s="24">
        <v>0</v>
      </c>
      <c r="AZ119" s="24">
        <v>0</v>
      </c>
      <c r="BA119" s="24">
        <v>0</v>
      </c>
      <c r="BB119" s="24">
        <v>0</v>
      </c>
      <c r="BC119" s="24">
        <v>0</v>
      </c>
      <c r="BD119" s="24">
        <v>0</v>
      </c>
      <c r="BE119" s="24">
        <v>0</v>
      </c>
      <c r="BF119" s="24">
        <v>0</v>
      </c>
      <c r="BG119" s="24">
        <v>0</v>
      </c>
      <c r="BH119" s="24">
        <f>SUM(D119:BG119)</f>
        <v>8166</v>
      </c>
    </row>
    <row r="120" spans="1:60">
      <c r="A120" s="18" t="s">
        <v>199</v>
      </c>
      <c r="B120" s="18" t="s">
        <v>190</v>
      </c>
      <c r="C120" s="18" t="s">
        <v>84</v>
      </c>
      <c r="D120" s="24">
        <v>0</v>
      </c>
      <c r="E120" s="24">
        <v>0</v>
      </c>
      <c r="F120" s="24">
        <v>0</v>
      </c>
      <c r="G120" s="24">
        <v>0</v>
      </c>
      <c r="H120" s="24">
        <v>7</v>
      </c>
      <c r="I120" s="24">
        <v>48</v>
      </c>
      <c r="J120" s="24">
        <v>158</v>
      </c>
      <c r="K120" s="24">
        <v>163</v>
      </c>
      <c r="L120" s="24">
        <v>224</v>
      </c>
      <c r="M120" s="24">
        <v>219</v>
      </c>
      <c r="N120" s="24">
        <v>267</v>
      </c>
      <c r="O120" s="24">
        <v>255</v>
      </c>
      <c r="P120" s="24">
        <v>297</v>
      </c>
      <c r="Q120" s="24">
        <v>307</v>
      </c>
      <c r="R120" s="24">
        <v>330</v>
      </c>
      <c r="S120" s="24">
        <v>284</v>
      </c>
      <c r="T120" s="24">
        <v>311</v>
      </c>
      <c r="U120" s="24">
        <v>317</v>
      </c>
      <c r="V120" s="24">
        <v>282</v>
      </c>
      <c r="W120" s="24">
        <v>290</v>
      </c>
      <c r="X120" s="24">
        <v>234</v>
      </c>
      <c r="Y120" s="24">
        <v>244</v>
      </c>
      <c r="Z120" s="24">
        <v>227</v>
      </c>
      <c r="AA120" s="24">
        <v>226</v>
      </c>
      <c r="AB120" s="24">
        <v>246</v>
      </c>
      <c r="AC120" s="24">
        <v>293</v>
      </c>
      <c r="AD120" s="24">
        <v>275</v>
      </c>
      <c r="AE120" s="24">
        <v>278</v>
      </c>
      <c r="AF120" s="24">
        <v>297</v>
      </c>
      <c r="AG120" s="24">
        <v>296</v>
      </c>
      <c r="AH120" s="24">
        <v>283</v>
      </c>
      <c r="AI120" s="24">
        <v>294</v>
      </c>
      <c r="AJ120" s="24">
        <v>266</v>
      </c>
      <c r="AK120" s="24">
        <v>267</v>
      </c>
      <c r="AL120" s="24">
        <v>267</v>
      </c>
      <c r="AM120" s="24">
        <v>275</v>
      </c>
      <c r="AN120" s="24">
        <v>214</v>
      </c>
      <c r="AO120" s="24">
        <v>253</v>
      </c>
      <c r="AP120" s="24">
        <v>225</v>
      </c>
      <c r="AQ120" s="24">
        <v>158</v>
      </c>
      <c r="AR120" s="24">
        <v>83</v>
      </c>
      <c r="AS120" s="24">
        <v>0</v>
      </c>
      <c r="AT120" s="24">
        <v>0</v>
      </c>
      <c r="AU120" s="24">
        <v>0</v>
      </c>
      <c r="AV120" s="24">
        <v>0</v>
      </c>
      <c r="AW120" s="24">
        <v>0</v>
      </c>
      <c r="AX120" s="24">
        <v>0</v>
      </c>
      <c r="AY120" s="24">
        <v>0</v>
      </c>
      <c r="AZ120" s="24">
        <v>0</v>
      </c>
      <c r="BA120" s="24">
        <v>0</v>
      </c>
      <c r="BB120" s="24">
        <v>0</v>
      </c>
      <c r="BC120" s="24">
        <v>0</v>
      </c>
      <c r="BD120" s="24">
        <v>0</v>
      </c>
      <c r="BE120" s="24">
        <v>0</v>
      </c>
      <c r="BF120" s="24">
        <v>0</v>
      </c>
      <c r="BG120" s="24">
        <v>0</v>
      </c>
      <c r="BH120" s="24">
        <f>SUM(D120:BG120)</f>
        <v>8960</v>
      </c>
    </row>
    <row r="121" spans="1:60">
      <c r="A121" s="18" t="s">
        <v>200</v>
      </c>
      <c r="B121" s="18" t="s">
        <v>190</v>
      </c>
      <c r="C121" s="18" t="s">
        <v>86</v>
      </c>
      <c r="D121" s="24">
        <v>0</v>
      </c>
      <c r="E121" s="24">
        <v>0</v>
      </c>
      <c r="F121" s="24">
        <v>0</v>
      </c>
      <c r="G121" s="24">
        <v>0</v>
      </c>
      <c r="H121" s="24">
        <v>9</v>
      </c>
      <c r="I121" s="24">
        <v>56</v>
      </c>
      <c r="J121" s="24">
        <v>86</v>
      </c>
      <c r="K121" s="24">
        <v>91</v>
      </c>
      <c r="L121" s="24">
        <v>99</v>
      </c>
      <c r="M121" s="24">
        <v>111</v>
      </c>
      <c r="N121" s="24">
        <v>165</v>
      </c>
      <c r="O121" s="24">
        <v>144</v>
      </c>
      <c r="P121" s="24">
        <v>144</v>
      </c>
      <c r="Q121" s="24">
        <v>172</v>
      </c>
      <c r="R121" s="24">
        <v>187</v>
      </c>
      <c r="S121" s="24">
        <v>175</v>
      </c>
      <c r="T121" s="24">
        <v>187</v>
      </c>
      <c r="U121" s="24">
        <v>178</v>
      </c>
      <c r="V121" s="24">
        <v>141</v>
      </c>
      <c r="W121" s="24">
        <v>143</v>
      </c>
      <c r="X121" s="24">
        <v>127</v>
      </c>
      <c r="Y121" s="24">
        <v>121</v>
      </c>
      <c r="Z121" s="24">
        <v>125</v>
      </c>
      <c r="AA121" s="24">
        <v>121</v>
      </c>
      <c r="AB121" s="24">
        <v>153</v>
      </c>
      <c r="AC121" s="24">
        <v>163</v>
      </c>
      <c r="AD121" s="24">
        <v>150</v>
      </c>
      <c r="AE121" s="24">
        <v>160</v>
      </c>
      <c r="AF121" s="24">
        <v>145</v>
      </c>
      <c r="AG121" s="24">
        <v>156</v>
      </c>
      <c r="AH121" s="24">
        <v>160</v>
      </c>
      <c r="AI121" s="24">
        <v>135</v>
      </c>
      <c r="AJ121" s="24">
        <v>165</v>
      </c>
      <c r="AK121" s="24">
        <v>142</v>
      </c>
      <c r="AL121" s="24">
        <v>135</v>
      </c>
      <c r="AM121" s="24">
        <v>145</v>
      </c>
      <c r="AN121" s="24">
        <v>117</v>
      </c>
      <c r="AO121" s="24">
        <v>122</v>
      </c>
      <c r="AP121" s="24">
        <v>133</v>
      </c>
      <c r="AQ121" s="24">
        <v>86</v>
      </c>
      <c r="AR121" s="24">
        <v>51</v>
      </c>
      <c r="AS121" s="24">
        <v>22</v>
      </c>
      <c r="AT121" s="24">
        <v>12</v>
      </c>
      <c r="AU121" s="24">
        <v>21</v>
      </c>
      <c r="AV121" s="24">
        <v>6</v>
      </c>
      <c r="AW121" s="24">
        <v>0</v>
      </c>
      <c r="AX121" s="24">
        <v>0</v>
      </c>
      <c r="AY121" s="24">
        <v>0</v>
      </c>
      <c r="AZ121" s="24">
        <v>0</v>
      </c>
      <c r="BA121" s="24">
        <v>0</v>
      </c>
      <c r="BB121" s="24">
        <v>0</v>
      </c>
      <c r="BC121" s="24">
        <v>0</v>
      </c>
      <c r="BD121" s="24">
        <v>0</v>
      </c>
      <c r="BE121" s="24">
        <v>0</v>
      </c>
      <c r="BF121" s="24">
        <v>0</v>
      </c>
      <c r="BG121" s="24">
        <v>0</v>
      </c>
      <c r="BH121" s="24">
        <f>SUM(D121:BG121)</f>
        <v>4961</v>
      </c>
    </row>
    <row r="122" spans="1:60">
      <c r="A122" s="18" t="s">
        <v>201</v>
      </c>
      <c r="B122" s="18" t="s">
        <v>190</v>
      </c>
      <c r="C122" s="18" t="s">
        <v>88</v>
      </c>
      <c r="D122" s="24">
        <v>0</v>
      </c>
      <c r="E122" s="24">
        <v>0</v>
      </c>
      <c r="F122" s="24">
        <v>0</v>
      </c>
      <c r="G122" s="24">
        <v>0</v>
      </c>
      <c r="H122" s="24">
        <v>6</v>
      </c>
      <c r="I122" s="24">
        <v>61</v>
      </c>
      <c r="J122" s="24">
        <v>183</v>
      </c>
      <c r="K122" s="24">
        <v>173</v>
      </c>
      <c r="L122" s="24">
        <v>206</v>
      </c>
      <c r="M122" s="24">
        <v>274</v>
      </c>
      <c r="N122" s="24">
        <v>238</v>
      </c>
      <c r="O122" s="24">
        <v>275</v>
      </c>
      <c r="P122" s="24">
        <v>304</v>
      </c>
      <c r="Q122" s="24">
        <v>351</v>
      </c>
      <c r="R122" s="24">
        <v>299</v>
      </c>
      <c r="S122" s="24">
        <v>303</v>
      </c>
      <c r="T122" s="24">
        <v>338</v>
      </c>
      <c r="U122" s="24">
        <v>272</v>
      </c>
      <c r="V122" s="24">
        <v>284</v>
      </c>
      <c r="W122" s="24">
        <v>260</v>
      </c>
      <c r="X122" s="24">
        <v>236</v>
      </c>
      <c r="Y122" s="24">
        <v>239</v>
      </c>
      <c r="Z122" s="24">
        <v>238</v>
      </c>
      <c r="AA122" s="24">
        <v>235</v>
      </c>
      <c r="AB122" s="24">
        <v>294</v>
      </c>
      <c r="AC122" s="24">
        <v>300</v>
      </c>
      <c r="AD122" s="24">
        <v>308</v>
      </c>
      <c r="AE122" s="24">
        <v>313</v>
      </c>
      <c r="AF122" s="24">
        <v>293</v>
      </c>
      <c r="AG122" s="24">
        <v>304</v>
      </c>
      <c r="AH122" s="24">
        <v>293</v>
      </c>
      <c r="AI122" s="24">
        <v>261</v>
      </c>
      <c r="AJ122" s="24">
        <v>313</v>
      </c>
      <c r="AK122" s="24">
        <v>264</v>
      </c>
      <c r="AL122" s="24">
        <v>254</v>
      </c>
      <c r="AM122" s="24">
        <v>249</v>
      </c>
      <c r="AN122" s="24">
        <v>257</v>
      </c>
      <c r="AO122" s="24">
        <v>271</v>
      </c>
      <c r="AP122" s="24">
        <v>239</v>
      </c>
      <c r="AQ122" s="24">
        <v>172</v>
      </c>
      <c r="AR122" s="24">
        <v>76</v>
      </c>
      <c r="AS122" s="24">
        <v>0</v>
      </c>
      <c r="AT122" s="24">
        <v>6</v>
      </c>
      <c r="AU122" s="24">
        <v>0</v>
      </c>
      <c r="AV122" s="24">
        <v>0</v>
      </c>
      <c r="AW122" s="24">
        <v>0</v>
      </c>
      <c r="AX122" s="24">
        <v>1</v>
      </c>
      <c r="AY122" s="24">
        <v>0</v>
      </c>
      <c r="AZ122" s="24">
        <v>0</v>
      </c>
      <c r="BA122" s="24">
        <v>0</v>
      </c>
      <c r="BB122" s="24">
        <v>0</v>
      </c>
      <c r="BC122" s="24">
        <v>0</v>
      </c>
      <c r="BD122" s="24">
        <v>0</v>
      </c>
      <c r="BE122" s="24">
        <v>0</v>
      </c>
      <c r="BF122" s="24">
        <v>0</v>
      </c>
      <c r="BG122" s="24">
        <v>0</v>
      </c>
      <c r="BH122" s="24">
        <f>SUM(D122:BG122)</f>
        <v>9243</v>
      </c>
    </row>
    <row r="123" spans="1:60">
      <c r="A123" s="18" t="s">
        <v>202</v>
      </c>
      <c r="B123" s="18" t="s">
        <v>190</v>
      </c>
      <c r="C123" s="18" t="s">
        <v>90</v>
      </c>
      <c r="D123" s="24">
        <v>0</v>
      </c>
      <c r="E123" s="24">
        <v>0</v>
      </c>
      <c r="F123" s="24">
        <v>0</v>
      </c>
      <c r="G123" s="24">
        <v>0</v>
      </c>
      <c r="H123" s="24">
        <v>33</v>
      </c>
      <c r="I123" s="24">
        <v>129</v>
      </c>
      <c r="J123" s="24">
        <v>245</v>
      </c>
      <c r="K123" s="24">
        <v>249</v>
      </c>
      <c r="L123" s="24">
        <v>280</v>
      </c>
      <c r="M123" s="24">
        <v>334</v>
      </c>
      <c r="N123" s="24">
        <v>351</v>
      </c>
      <c r="O123" s="24">
        <v>391</v>
      </c>
      <c r="P123" s="24">
        <v>381</v>
      </c>
      <c r="Q123" s="24">
        <v>390</v>
      </c>
      <c r="R123" s="24">
        <v>360</v>
      </c>
      <c r="S123" s="24">
        <v>374</v>
      </c>
      <c r="T123" s="24">
        <v>390</v>
      </c>
      <c r="U123" s="24">
        <v>351</v>
      </c>
      <c r="V123" s="24">
        <v>361</v>
      </c>
      <c r="W123" s="24">
        <v>323</v>
      </c>
      <c r="X123" s="24">
        <v>291</v>
      </c>
      <c r="Y123" s="24">
        <v>282</v>
      </c>
      <c r="Z123" s="24">
        <v>295</v>
      </c>
      <c r="AA123" s="24">
        <v>270</v>
      </c>
      <c r="AB123" s="24">
        <v>349</v>
      </c>
      <c r="AC123" s="24">
        <v>294</v>
      </c>
      <c r="AD123" s="24">
        <v>328</v>
      </c>
      <c r="AE123" s="24">
        <v>339</v>
      </c>
      <c r="AF123" s="24">
        <v>348</v>
      </c>
      <c r="AG123" s="24">
        <v>362</v>
      </c>
      <c r="AH123" s="24">
        <v>342</v>
      </c>
      <c r="AI123" s="24">
        <v>380</v>
      </c>
      <c r="AJ123" s="24">
        <v>316</v>
      </c>
      <c r="AK123" s="24">
        <v>348</v>
      </c>
      <c r="AL123" s="24">
        <v>339</v>
      </c>
      <c r="AM123" s="24">
        <v>275</v>
      </c>
      <c r="AN123" s="24">
        <v>289</v>
      </c>
      <c r="AO123" s="24">
        <v>281</v>
      </c>
      <c r="AP123" s="24">
        <v>308</v>
      </c>
      <c r="AQ123" s="24">
        <v>195</v>
      </c>
      <c r="AR123" s="24">
        <v>65</v>
      </c>
      <c r="AS123" s="24">
        <v>6</v>
      </c>
      <c r="AT123" s="24">
        <v>5</v>
      </c>
      <c r="AU123" s="24">
        <v>1</v>
      </c>
      <c r="AV123" s="24">
        <v>3</v>
      </c>
      <c r="AW123" s="24">
        <v>2</v>
      </c>
      <c r="AX123" s="24">
        <v>0</v>
      </c>
      <c r="AY123" s="24">
        <v>2</v>
      </c>
      <c r="AZ123" s="24">
        <v>0</v>
      </c>
      <c r="BA123" s="24">
        <v>0</v>
      </c>
      <c r="BB123" s="24">
        <v>0</v>
      </c>
      <c r="BC123" s="24">
        <v>0</v>
      </c>
      <c r="BD123" s="24">
        <v>0</v>
      </c>
      <c r="BE123" s="24">
        <v>0</v>
      </c>
      <c r="BF123" s="24">
        <v>0</v>
      </c>
      <c r="BG123" s="24">
        <v>0</v>
      </c>
      <c r="BH123" s="24">
        <f>SUM(D123:BG123)</f>
        <v>11257</v>
      </c>
    </row>
    <row r="126" spans="1:60">
      <c r="A126" s="6" t="s">
        <v>203</v>
      </c>
    </row>
    <row r="127" spans="1:60">
      <c r="A127" s="22" t="s">
        <v>3</v>
      </c>
      <c r="B127" s="22" t="s">
        <v>4</v>
      </c>
      <c r="C127" s="22" t="s">
        <v>5</v>
      </c>
      <c r="D127" s="22" t="s">
        <v>6</v>
      </c>
      <c r="E127" s="22" t="s">
        <v>7</v>
      </c>
      <c r="F127" s="22" t="s">
        <v>8</v>
      </c>
      <c r="G127" s="22" t="s">
        <v>9</v>
      </c>
      <c r="H127" s="22" t="s">
        <v>10</v>
      </c>
      <c r="I127" s="22" t="s">
        <v>11</v>
      </c>
      <c r="J127" s="22" t="s">
        <v>12</v>
      </c>
      <c r="K127" s="22" t="s">
        <v>13</v>
      </c>
      <c r="L127" s="22" t="s">
        <v>14</v>
      </c>
      <c r="M127" s="22" t="s">
        <v>15</v>
      </c>
      <c r="N127" s="22" t="s">
        <v>16</v>
      </c>
      <c r="O127" s="22" t="s">
        <v>17</v>
      </c>
      <c r="P127" s="22" t="s">
        <v>18</v>
      </c>
      <c r="Q127" s="22" t="s">
        <v>19</v>
      </c>
      <c r="R127" s="22" t="s">
        <v>20</v>
      </c>
      <c r="S127" s="22" t="s">
        <v>21</v>
      </c>
      <c r="T127" s="22" t="s">
        <v>22</v>
      </c>
      <c r="U127" s="22" t="s">
        <v>23</v>
      </c>
      <c r="V127" s="22" t="s">
        <v>24</v>
      </c>
      <c r="W127" s="22" t="s">
        <v>25</v>
      </c>
      <c r="X127" s="22" t="s">
        <v>26</v>
      </c>
      <c r="Y127" s="22" t="s">
        <v>27</v>
      </c>
      <c r="Z127" s="22" t="s">
        <v>28</v>
      </c>
      <c r="AA127" s="22" t="s">
        <v>29</v>
      </c>
      <c r="AB127" s="22" t="s">
        <v>30</v>
      </c>
      <c r="AC127" s="22" t="s">
        <v>31</v>
      </c>
      <c r="AD127" s="22" t="s">
        <v>32</v>
      </c>
      <c r="AE127" s="22" t="s">
        <v>33</v>
      </c>
      <c r="AF127" s="22" t="s">
        <v>34</v>
      </c>
      <c r="AG127" s="22" t="s">
        <v>35</v>
      </c>
      <c r="AH127" s="22" t="s">
        <v>36</v>
      </c>
      <c r="AI127" s="22" t="s">
        <v>37</v>
      </c>
      <c r="AJ127" s="22" t="s">
        <v>38</v>
      </c>
      <c r="AK127" s="22" t="s">
        <v>39</v>
      </c>
      <c r="AL127" s="22" t="s">
        <v>40</v>
      </c>
      <c r="AM127" s="22" t="s">
        <v>41</v>
      </c>
      <c r="AN127" s="22" t="s">
        <v>42</v>
      </c>
      <c r="AO127" s="22" t="s">
        <v>43</v>
      </c>
      <c r="AP127" s="22" t="s">
        <v>44</v>
      </c>
      <c r="AQ127" s="22" t="s">
        <v>45</v>
      </c>
      <c r="AR127" s="22" t="s">
        <v>46</v>
      </c>
      <c r="AS127" s="22" t="s">
        <v>47</v>
      </c>
      <c r="AT127" s="22" t="s">
        <v>48</v>
      </c>
      <c r="AU127" s="22" t="s">
        <v>49</v>
      </c>
      <c r="AV127" s="22" t="s">
        <v>50</v>
      </c>
      <c r="AW127" s="22" t="s">
        <v>51</v>
      </c>
      <c r="AX127" s="22" t="s">
        <v>52</v>
      </c>
      <c r="AY127" s="22" t="s">
        <v>53</v>
      </c>
      <c r="AZ127" s="22" t="s">
        <v>54</v>
      </c>
      <c r="BA127" s="22" t="s">
        <v>55</v>
      </c>
      <c r="BB127" s="22" t="s">
        <v>56</v>
      </c>
      <c r="BC127" s="22" t="s">
        <v>57</v>
      </c>
      <c r="BD127" s="22" t="s">
        <v>58</v>
      </c>
      <c r="BE127" s="22" t="s">
        <v>59</v>
      </c>
      <c r="BF127" s="22" t="s">
        <v>60</v>
      </c>
      <c r="BG127" s="22" t="s">
        <v>61</v>
      </c>
      <c r="BH127" s="22" t="s">
        <v>62</v>
      </c>
    </row>
    <row r="128" spans="1:60">
      <c r="A128" s="18" t="s">
        <v>64</v>
      </c>
      <c r="B128" s="18" t="s">
        <v>65</v>
      </c>
      <c r="C128" s="18" t="s">
        <v>66</v>
      </c>
      <c r="D128" s="45">
        <v>0</v>
      </c>
      <c r="E128" s="45">
        <v>0</v>
      </c>
      <c r="F128" s="45">
        <v>0</v>
      </c>
      <c r="G128" s="45">
        <v>25.9</v>
      </c>
      <c r="H128" s="45">
        <v>15.4</v>
      </c>
      <c r="I128" s="45">
        <v>10.1</v>
      </c>
      <c r="J128" s="45">
        <v>6.3</v>
      </c>
      <c r="K128" s="45">
        <v>6.2</v>
      </c>
      <c r="L128" s="45">
        <v>6.4</v>
      </c>
      <c r="M128" s="45">
        <v>7</v>
      </c>
      <c r="N128" s="45">
        <v>7.9</v>
      </c>
      <c r="O128" s="45">
        <v>8.300000000000001</v>
      </c>
      <c r="P128" s="45">
        <v>8.9</v>
      </c>
      <c r="Q128" s="45">
        <v>9.1</v>
      </c>
      <c r="R128" s="45">
        <v>9.199999999999999</v>
      </c>
      <c r="S128" s="45">
        <v>9.5</v>
      </c>
      <c r="T128" s="45">
        <v>9.300000000000001</v>
      </c>
      <c r="U128" s="45">
        <v>9.300000000000001</v>
      </c>
      <c r="V128" s="45">
        <v>9.199999999999999</v>
      </c>
      <c r="W128" s="45">
        <v>9.1</v>
      </c>
      <c r="X128" s="45">
        <v>8.199999999999999</v>
      </c>
      <c r="Y128" s="45">
        <v>7.7</v>
      </c>
      <c r="Z128" s="45">
        <v>7.2</v>
      </c>
      <c r="AA128" s="45">
        <v>6.6</v>
      </c>
      <c r="AB128" s="45">
        <v>6.7</v>
      </c>
      <c r="AC128" s="45">
        <v>7.3</v>
      </c>
      <c r="AD128" s="45">
        <v>7.7</v>
      </c>
      <c r="AE128" s="45">
        <v>7.9</v>
      </c>
      <c r="AF128" s="45">
        <v>8.300000000000001</v>
      </c>
      <c r="AG128" s="45">
        <v>8.199999999999999</v>
      </c>
      <c r="AH128" s="45">
        <v>8.300000000000001</v>
      </c>
      <c r="AI128" s="45">
        <v>8.199999999999999</v>
      </c>
      <c r="AJ128" s="45">
        <v>7.4</v>
      </c>
      <c r="AK128" s="45">
        <v>7.5</v>
      </c>
      <c r="AL128" s="45">
        <v>7.6</v>
      </c>
      <c r="AM128" s="45">
        <v>7.4</v>
      </c>
      <c r="AN128" s="45">
        <v>7.2</v>
      </c>
      <c r="AO128" s="45">
        <v>6.8</v>
      </c>
      <c r="AP128" s="45">
        <v>6</v>
      </c>
      <c r="AQ128" s="45">
        <v>5</v>
      </c>
      <c r="AR128" s="45">
        <v>3.6</v>
      </c>
      <c r="AS128" s="45">
        <v>3.3</v>
      </c>
      <c r="AT128" s="45">
        <v>3.2</v>
      </c>
      <c r="AU128" s="45">
        <v>11.4</v>
      </c>
      <c r="AV128" s="45">
        <v>9.1</v>
      </c>
      <c r="AW128" s="45">
        <v>3.2</v>
      </c>
      <c r="AX128" s="45">
        <v>2</v>
      </c>
      <c r="AY128" s="45">
        <v>0.9</v>
      </c>
      <c r="AZ128" s="45">
        <v>0.9</v>
      </c>
      <c r="BA128" s="45">
        <v>1.1</v>
      </c>
      <c r="BB128" s="45">
        <v>0</v>
      </c>
      <c r="BC128" s="45">
        <v>0</v>
      </c>
      <c r="BD128" s="45">
        <v>0</v>
      </c>
      <c r="BE128" s="45">
        <v>0</v>
      </c>
      <c r="BF128" s="45">
        <v>0</v>
      </c>
      <c r="BG128" s="45">
        <v>0</v>
      </c>
    </row>
    <row r="129" spans="1:59">
      <c r="A129" s="18" t="s">
        <v>67</v>
      </c>
      <c r="B129" s="18" t="s">
        <v>65</v>
      </c>
      <c r="C129" s="18" t="s">
        <v>68</v>
      </c>
      <c r="D129" s="45">
        <v>0</v>
      </c>
      <c r="E129" s="45">
        <v>0</v>
      </c>
      <c r="F129" s="45">
        <v>0</v>
      </c>
      <c r="G129" s="45">
        <v>29.3</v>
      </c>
      <c r="H129" s="45">
        <v>16</v>
      </c>
      <c r="I129" s="45">
        <v>13.2</v>
      </c>
      <c r="J129" s="45">
        <v>10.6</v>
      </c>
      <c r="K129" s="45">
        <v>9.800000000000001</v>
      </c>
      <c r="L129" s="45">
        <v>10.2</v>
      </c>
      <c r="M129" s="45">
        <v>11.5</v>
      </c>
      <c r="N129" s="45">
        <v>12.3</v>
      </c>
      <c r="O129" s="45">
        <v>13.1</v>
      </c>
      <c r="P129" s="45">
        <v>14.9</v>
      </c>
      <c r="Q129" s="45">
        <v>14.2</v>
      </c>
      <c r="R129" s="45">
        <v>14.5</v>
      </c>
      <c r="S129" s="45">
        <v>15.6</v>
      </c>
      <c r="T129" s="45">
        <v>14.9</v>
      </c>
      <c r="U129" s="45">
        <v>14.7</v>
      </c>
      <c r="V129" s="45">
        <v>14.1</v>
      </c>
      <c r="W129" s="45">
        <v>15.1</v>
      </c>
      <c r="X129" s="45">
        <v>12.7</v>
      </c>
      <c r="Y129" s="45">
        <v>11.5</v>
      </c>
      <c r="Z129" s="45">
        <v>11.3</v>
      </c>
      <c r="AA129" s="45">
        <v>11.3</v>
      </c>
      <c r="AB129" s="45">
        <v>11.6</v>
      </c>
      <c r="AC129" s="45">
        <v>12.2</v>
      </c>
      <c r="AD129" s="45">
        <v>12.3</v>
      </c>
      <c r="AE129" s="45">
        <v>13.3</v>
      </c>
      <c r="AF129" s="45">
        <v>12.8</v>
      </c>
      <c r="AG129" s="45">
        <v>12.9</v>
      </c>
      <c r="AH129" s="45">
        <v>14.5</v>
      </c>
      <c r="AI129" s="45">
        <v>13.5</v>
      </c>
      <c r="AJ129" s="45">
        <v>12.1</v>
      </c>
      <c r="AK129" s="45">
        <v>12.1</v>
      </c>
      <c r="AL129" s="45">
        <v>12.4</v>
      </c>
      <c r="AM129" s="45">
        <v>11.8</v>
      </c>
      <c r="AN129" s="45">
        <v>10.9</v>
      </c>
      <c r="AO129" s="45">
        <v>11.3</v>
      </c>
      <c r="AP129" s="45">
        <v>9.5</v>
      </c>
      <c r="AQ129" s="45">
        <v>8.9</v>
      </c>
      <c r="AR129" s="45">
        <v>6.8</v>
      </c>
      <c r="AS129" s="45">
        <v>6.9</v>
      </c>
      <c r="AT129" s="45">
        <v>4.8</v>
      </c>
      <c r="AU129" s="45">
        <v>11.5</v>
      </c>
      <c r="AV129" s="45">
        <v>5.5</v>
      </c>
      <c r="AW129" s="45">
        <v>3</v>
      </c>
      <c r="AX129" s="45">
        <v>0</v>
      </c>
      <c r="AY129" s="45">
        <v>0</v>
      </c>
      <c r="AZ129" s="45">
        <v>0</v>
      </c>
      <c r="BA129" s="45">
        <v>0</v>
      </c>
      <c r="BB129" s="45">
        <v>0</v>
      </c>
      <c r="BC129" s="45">
        <v>0</v>
      </c>
      <c r="BD129" s="45">
        <v>0</v>
      </c>
      <c r="BE129" s="45">
        <v>0</v>
      </c>
      <c r="BF129" s="45">
        <v>0</v>
      </c>
      <c r="BG129" s="45">
        <v>0</v>
      </c>
    </row>
    <row r="130" spans="1:59">
      <c r="A130" s="18" t="s">
        <v>69</v>
      </c>
      <c r="B130" s="18" t="s">
        <v>65</v>
      </c>
      <c r="C130" s="18" t="s">
        <v>70</v>
      </c>
      <c r="D130" s="45">
        <v>0</v>
      </c>
      <c r="E130" s="45">
        <v>0</v>
      </c>
      <c r="F130" s="45">
        <v>0</v>
      </c>
      <c r="G130" s="45">
        <v>0</v>
      </c>
      <c r="H130" s="45">
        <v>17.2</v>
      </c>
      <c r="I130" s="45">
        <v>11.4</v>
      </c>
      <c r="J130" s="45">
        <v>9.300000000000001</v>
      </c>
      <c r="K130" s="45">
        <v>8.300000000000001</v>
      </c>
      <c r="L130" s="45">
        <v>8.300000000000001</v>
      </c>
      <c r="M130" s="45">
        <v>9.300000000000001</v>
      </c>
      <c r="N130" s="45">
        <v>10.2</v>
      </c>
      <c r="O130" s="45">
        <v>10.8</v>
      </c>
      <c r="P130" s="45">
        <v>10.8</v>
      </c>
      <c r="Q130" s="45">
        <v>11.7</v>
      </c>
      <c r="R130" s="45">
        <v>11.4</v>
      </c>
      <c r="S130" s="45">
        <v>11.9</v>
      </c>
      <c r="T130" s="45">
        <v>12.9</v>
      </c>
      <c r="U130" s="45">
        <v>11.8</v>
      </c>
      <c r="V130" s="45">
        <v>11.1</v>
      </c>
      <c r="W130" s="45">
        <v>9.699999999999999</v>
      </c>
      <c r="X130" s="45">
        <v>10.2</v>
      </c>
      <c r="Y130" s="45">
        <v>9.6</v>
      </c>
      <c r="Z130" s="45">
        <v>8.699999999999999</v>
      </c>
      <c r="AA130" s="45">
        <v>7.7</v>
      </c>
      <c r="AB130" s="45">
        <v>8.4</v>
      </c>
      <c r="AC130" s="45">
        <v>8.199999999999999</v>
      </c>
      <c r="AD130" s="45">
        <v>8.800000000000001</v>
      </c>
      <c r="AE130" s="45">
        <v>9.300000000000001</v>
      </c>
      <c r="AF130" s="45">
        <v>11.5</v>
      </c>
      <c r="AG130" s="45">
        <v>10.5</v>
      </c>
      <c r="AH130" s="45">
        <v>9.800000000000001</v>
      </c>
      <c r="AI130" s="45">
        <v>10.5</v>
      </c>
      <c r="AJ130" s="45">
        <v>9.300000000000001</v>
      </c>
      <c r="AK130" s="45">
        <v>9.800000000000001</v>
      </c>
      <c r="AL130" s="45">
        <v>8.800000000000001</v>
      </c>
      <c r="AM130" s="45">
        <v>8.800000000000001</v>
      </c>
      <c r="AN130" s="45">
        <v>9.1</v>
      </c>
      <c r="AO130" s="45">
        <v>8.800000000000001</v>
      </c>
      <c r="AP130" s="45">
        <v>7.9</v>
      </c>
      <c r="AQ130" s="45">
        <v>7</v>
      </c>
      <c r="AR130" s="45">
        <v>4.7</v>
      </c>
      <c r="AS130" s="45">
        <v>2.7</v>
      </c>
      <c r="AT130" s="45">
        <v>1.8</v>
      </c>
      <c r="AU130" s="45">
        <v>0</v>
      </c>
      <c r="AV130" s="45">
        <v>0</v>
      </c>
      <c r="AW130" s="45">
        <v>0</v>
      </c>
      <c r="AX130" s="45">
        <v>0</v>
      </c>
      <c r="AY130" s="45">
        <v>0</v>
      </c>
      <c r="AZ130" s="45">
        <v>0</v>
      </c>
      <c r="BA130" s="45">
        <v>0</v>
      </c>
      <c r="BB130" s="45">
        <v>0</v>
      </c>
      <c r="BC130" s="45">
        <v>0</v>
      </c>
      <c r="BD130" s="45">
        <v>0</v>
      </c>
      <c r="BE130" s="45">
        <v>0</v>
      </c>
      <c r="BF130" s="45">
        <v>0</v>
      </c>
      <c r="BG130" s="45">
        <v>0</v>
      </c>
    </row>
    <row r="131" spans="1:59">
      <c r="A131" s="18" t="s">
        <v>71</v>
      </c>
      <c r="B131" s="18" t="s">
        <v>65</v>
      </c>
      <c r="C131" s="18" t="s">
        <v>72</v>
      </c>
      <c r="D131" s="45">
        <v>0</v>
      </c>
      <c r="E131" s="45">
        <v>0</v>
      </c>
      <c r="F131" s="45">
        <v>0</v>
      </c>
      <c r="G131" s="45">
        <v>0</v>
      </c>
      <c r="H131" s="45">
        <v>10.2</v>
      </c>
      <c r="I131" s="45">
        <v>10.6</v>
      </c>
      <c r="J131" s="45">
        <v>6.7</v>
      </c>
      <c r="K131" s="45">
        <v>7.2</v>
      </c>
      <c r="L131" s="45">
        <v>7.4</v>
      </c>
      <c r="M131" s="45">
        <v>7.9</v>
      </c>
      <c r="N131" s="45">
        <v>9.1</v>
      </c>
      <c r="O131" s="45">
        <v>9.199999999999999</v>
      </c>
      <c r="P131" s="45">
        <v>10.1</v>
      </c>
      <c r="Q131" s="45">
        <v>10.3</v>
      </c>
      <c r="R131" s="45">
        <v>9.699999999999999</v>
      </c>
      <c r="S131" s="45">
        <v>9.4</v>
      </c>
      <c r="T131" s="45">
        <v>9.800000000000001</v>
      </c>
      <c r="U131" s="45">
        <v>9.300000000000001</v>
      </c>
      <c r="V131" s="45">
        <v>8.6</v>
      </c>
      <c r="W131" s="45">
        <v>8.5</v>
      </c>
      <c r="X131" s="45">
        <v>8</v>
      </c>
      <c r="Y131" s="45">
        <v>7.2</v>
      </c>
      <c r="Z131" s="45">
        <v>6.7</v>
      </c>
      <c r="AA131" s="45">
        <v>6.7</v>
      </c>
      <c r="AB131" s="45">
        <v>6.5</v>
      </c>
      <c r="AC131" s="45">
        <v>6.8</v>
      </c>
      <c r="AD131" s="45">
        <v>7.4</v>
      </c>
      <c r="AE131" s="45">
        <v>7.7</v>
      </c>
      <c r="AF131" s="45">
        <v>7.1</v>
      </c>
      <c r="AG131" s="45">
        <v>7.9</v>
      </c>
      <c r="AH131" s="45">
        <v>6.9</v>
      </c>
      <c r="AI131" s="45">
        <v>7.8</v>
      </c>
      <c r="AJ131" s="45">
        <v>6.5</v>
      </c>
      <c r="AK131" s="45">
        <v>6.8</v>
      </c>
      <c r="AL131" s="45">
        <v>7</v>
      </c>
      <c r="AM131" s="45">
        <v>7.2</v>
      </c>
      <c r="AN131" s="45">
        <v>7</v>
      </c>
      <c r="AO131" s="45">
        <v>7</v>
      </c>
      <c r="AP131" s="45">
        <v>5.7</v>
      </c>
      <c r="AQ131" s="45">
        <v>4.8</v>
      </c>
      <c r="AR131" s="45">
        <v>3.1</v>
      </c>
      <c r="AS131" s="45">
        <v>3.3</v>
      </c>
      <c r="AT131" s="45">
        <v>3.5</v>
      </c>
      <c r="AU131" s="45">
        <v>0</v>
      </c>
      <c r="AV131" s="45">
        <v>0</v>
      </c>
      <c r="AW131" s="45">
        <v>0</v>
      </c>
      <c r="AX131" s="45">
        <v>0</v>
      </c>
      <c r="AY131" s="45">
        <v>0</v>
      </c>
      <c r="AZ131" s="45">
        <v>0</v>
      </c>
      <c r="BA131" s="45">
        <v>0</v>
      </c>
      <c r="BB131" s="45">
        <v>0</v>
      </c>
      <c r="BC131" s="45">
        <v>0</v>
      </c>
      <c r="BD131" s="45">
        <v>0</v>
      </c>
      <c r="BE131" s="45">
        <v>0</v>
      </c>
      <c r="BF131" s="45">
        <v>0</v>
      </c>
      <c r="BG131" s="45">
        <v>0</v>
      </c>
    </row>
    <row r="132" spans="1:59">
      <c r="A132" s="18" t="s">
        <v>73</v>
      </c>
      <c r="B132" s="18" t="s">
        <v>65</v>
      </c>
      <c r="C132" s="18" t="s">
        <v>74</v>
      </c>
      <c r="D132" s="45">
        <v>0</v>
      </c>
      <c r="E132" s="45">
        <v>0</v>
      </c>
      <c r="F132" s="45">
        <v>0</v>
      </c>
      <c r="G132" s="45">
        <v>29.1</v>
      </c>
      <c r="H132" s="45">
        <v>18.5</v>
      </c>
      <c r="I132" s="45">
        <v>13.2</v>
      </c>
      <c r="J132" s="45">
        <v>7.8</v>
      </c>
      <c r="K132" s="45">
        <v>7.5</v>
      </c>
      <c r="L132" s="45">
        <v>7.6</v>
      </c>
      <c r="M132" s="45">
        <v>8.6</v>
      </c>
      <c r="N132" s="45">
        <v>9.5</v>
      </c>
      <c r="O132" s="45">
        <v>9.5</v>
      </c>
      <c r="P132" s="45">
        <v>10.1</v>
      </c>
      <c r="Q132" s="45">
        <v>10.2</v>
      </c>
      <c r="R132" s="45">
        <v>10</v>
      </c>
      <c r="S132" s="45">
        <v>10.2</v>
      </c>
      <c r="T132" s="45">
        <v>9.4</v>
      </c>
      <c r="U132" s="45">
        <v>9.4</v>
      </c>
      <c r="V132" s="45">
        <v>8.9</v>
      </c>
      <c r="W132" s="45">
        <v>9</v>
      </c>
      <c r="X132" s="45">
        <v>8.1</v>
      </c>
      <c r="Y132" s="45">
        <v>7.8</v>
      </c>
      <c r="Z132" s="45">
        <v>7.5</v>
      </c>
      <c r="AA132" s="45">
        <v>6.5</v>
      </c>
      <c r="AB132" s="45">
        <v>5.9</v>
      </c>
      <c r="AC132" s="45">
        <v>6.9</v>
      </c>
      <c r="AD132" s="45">
        <v>7</v>
      </c>
      <c r="AE132" s="45">
        <v>7.3</v>
      </c>
      <c r="AF132" s="45">
        <v>6.8</v>
      </c>
      <c r="AG132" s="45">
        <v>7.5</v>
      </c>
      <c r="AH132" s="45">
        <v>6.3</v>
      </c>
      <c r="AI132" s="45">
        <v>7</v>
      </c>
      <c r="AJ132" s="45">
        <v>6</v>
      </c>
      <c r="AK132" s="45">
        <v>6.3</v>
      </c>
      <c r="AL132" s="45">
        <v>6.7</v>
      </c>
      <c r="AM132" s="45">
        <v>6.4</v>
      </c>
      <c r="AN132" s="45">
        <v>5.7</v>
      </c>
      <c r="AO132" s="45">
        <v>5.7</v>
      </c>
      <c r="AP132" s="45">
        <v>5</v>
      </c>
      <c r="AQ132" s="45">
        <v>3.6</v>
      </c>
      <c r="AR132" s="45">
        <v>2.5</v>
      </c>
      <c r="AS132" s="45">
        <v>1.5</v>
      </c>
      <c r="AT132" s="45">
        <v>0.7</v>
      </c>
      <c r="AU132" s="45">
        <v>0</v>
      </c>
      <c r="AV132" s="45">
        <v>0</v>
      </c>
      <c r="AW132" s="45">
        <v>0</v>
      </c>
      <c r="AX132" s="45">
        <v>0</v>
      </c>
      <c r="AY132" s="45">
        <v>0</v>
      </c>
      <c r="AZ132" s="45">
        <v>0</v>
      </c>
      <c r="BA132" s="45">
        <v>0</v>
      </c>
      <c r="BB132" s="45">
        <v>0</v>
      </c>
      <c r="BC132" s="45">
        <v>0</v>
      </c>
      <c r="BD132" s="45">
        <v>0</v>
      </c>
      <c r="BE132" s="45">
        <v>0</v>
      </c>
      <c r="BF132" s="45">
        <v>0</v>
      </c>
      <c r="BG132" s="45">
        <v>0</v>
      </c>
    </row>
    <row r="133" spans="1:59">
      <c r="A133" s="18" t="s">
        <v>75</v>
      </c>
      <c r="B133" s="18" t="s">
        <v>65</v>
      </c>
      <c r="C133" s="18" t="s">
        <v>76</v>
      </c>
      <c r="D133" s="45">
        <v>0</v>
      </c>
      <c r="E133" s="45">
        <v>0</v>
      </c>
      <c r="F133" s="45">
        <v>0</v>
      </c>
      <c r="G133" s="45">
        <v>20.9</v>
      </c>
      <c r="H133" s="45">
        <v>13.7</v>
      </c>
      <c r="I133" s="45">
        <v>12</v>
      </c>
      <c r="J133" s="45">
        <v>8.300000000000001</v>
      </c>
      <c r="K133" s="45">
        <v>7.8</v>
      </c>
      <c r="L133" s="45">
        <v>7.9</v>
      </c>
      <c r="M133" s="45">
        <v>8.300000000000001</v>
      </c>
      <c r="N133" s="45">
        <v>8.800000000000001</v>
      </c>
      <c r="O133" s="45">
        <v>9.199999999999999</v>
      </c>
      <c r="P133" s="45">
        <v>9.699999999999999</v>
      </c>
      <c r="Q133" s="45">
        <v>10</v>
      </c>
      <c r="R133" s="45">
        <v>10.5</v>
      </c>
      <c r="S133" s="45">
        <v>10.6</v>
      </c>
      <c r="T133" s="45">
        <v>10.6</v>
      </c>
      <c r="U133" s="45">
        <v>10.7</v>
      </c>
      <c r="V133" s="45">
        <v>10.7</v>
      </c>
      <c r="W133" s="45">
        <v>10.6</v>
      </c>
      <c r="X133" s="45">
        <v>9.699999999999999</v>
      </c>
      <c r="Y133" s="45">
        <v>8.4</v>
      </c>
      <c r="Z133" s="45">
        <v>8.300000000000001</v>
      </c>
      <c r="AA133" s="45">
        <v>8.199999999999999</v>
      </c>
      <c r="AB133" s="45">
        <v>8.4</v>
      </c>
      <c r="AC133" s="45">
        <v>8.6</v>
      </c>
      <c r="AD133" s="45">
        <v>9.6</v>
      </c>
      <c r="AE133" s="45">
        <v>8.199999999999999</v>
      </c>
      <c r="AF133" s="45">
        <v>9.199999999999999</v>
      </c>
      <c r="AG133" s="45">
        <v>9.199999999999999</v>
      </c>
      <c r="AH133" s="45">
        <v>9.6</v>
      </c>
      <c r="AI133" s="45">
        <v>9.300000000000001</v>
      </c>
      <c r="AJ133" s="45">
        <v>8.4</v>
      </c>
      <c r="AK133" s="45">
        <v>8.6</v>
      </c>
      <c r="AL133" s="45">
        <v>7.9</v>
      </c>
      <c r="AM133" s="45">
        <v>7.8</v>
      </c>
      <c r="AN133" s="45">
        <v>6.9</v>
      </c>
      <c r="AO133" s="45">
        <v>6.1</v>
      </c>
      <c r="AP133" s="45">
        <v>4.9</v>
      </c>
      <c r="AQ133" s="45">
        <v>4.1</v>
      </c>
      <c r="AR133" s="45">
        <v>3.2</v>
      </c>
      <c r="AS133" s="45">
        <v>2.2</v>
      </c>
      <c r="AT133" s="45">
        <v>1.2</v>
      </c>
      <c r="AU133" s="45">
        <v>0</v>
      </c>
      <c r="AV133" s="45">
        <v>0</v>
      </c>
      <c r="AW133" s="45">
        <v>0</v>
      </c>
      <c r="AX133" s="45">
        <v>0</v>
      </c>
      <c r="AY133" s="45">
        <v>0</v>
      </c>
      <c r="AZ133" s="45">
        <v>0</v>
      </c>
      <c r="BA133" s="45">
        <v>0</v>
      </c>
      <c r="BB133" s="45">
        <v>0</v>
      </c>
      <c r="BC133" s="45">
        <v>0</v>
      </c>
      <c r="BD133" s="45">
        <v>0</v>
      </c>
      <c r="BE133" s="45">
        <v>0</v>
      </c>
      <c r="BF133" s="45">
        <v>0</v>
      </c>
      <c r="BG133" s="45">
        <v>0</v>
      </c>
    </row>
    <row r="134" spans="1:59">
      <c r="A134" s="18" t="s">
        <v>77</v>
      </c>
      <c r="B134" s="18" t="s">
        <v>65</v>
      </c>
      <c r="C134" s="18" t="s">
        <v>78</v>
      </c>
      <c r="D134" s="45">
        <v>0</v>
      </c>
      <c r="E134" s="45">
        <v>0</v>
      </c>
      <c r="F134" s="45">
        <v>0</v>
      </c>
      <c r="G134" s="45">
        <v>0</v>
      </c>
      <c r="H134" s="45">
        <v>9.9</v>
      </c>
      <c r="I134" s="45">
        <v>10.7</v>
      </c>
      <c r="J134" s="45">
        <v>6.1</v>
      </c>
      <c r="K134" s="45">
        <v>5.4</v>
      </c>
      <c r="L134" s="45">
        <v>5.6</v>
      </c>
      <c r="M134" s="45">
        <v>6.4</v>
      </c>
      <c r="N134" s="45">
        <v>7.1</v>
      </c>
      <c r="O134" s="45">
        <v>7.2</v>
      </c>
      <c r="P134" s="45">
        <v>7.1</v>
      </c>
      <c r="Q134" s="45">
        <v>7.6</v>
      </c>
      <c r="R134" s="45">
        <v>7</v>
      </c>
      <c r="S134" s="45">
        <v>7.3</v>
      </c>
      <c r="T134" s="45">
        <v>6.6</v>
      </c>
      <c r="U134" s="45">
        <v>6.3</v>
      </c>
      <c r="V134" s="45">
        <v>6.3</v>
      </c>
      <c r="W134" s="45">
        <v>6.4</v>
      </c>
      <c r="X134" s="45">
        <v>6.3</v>
      </c>
      <c r="Y134" s="45">
        <v>6.2</v>
      </c>
      <c r="Z134" s="45">
        <v>5.3</v>
      </c>
      <c r="AA134" s="45">
        <v>4.9</v>
      </c>
      <c r="AB134" s="45">
        <v>5.5</v>
      </c>
      <c r="AC134" s="45">
        <v>5</v>
      </c>
      <c r="AD134" s="45">
        <v>5.8</v>
      </c>
      <c r="AE134" s="45">
        <v>5.7</v>
      </c>
      <c r="AF134" s="45">
        <v>6.3</v>
      </c>
      <c r="AG134" s="45">
        <v>6.1</v>
      </c>
      <c r="AH134" s="45">
        <v>6</v>
      </c>
      <c r="AI134" s="45">
        <v>5.5</v>
      </c>
      <c r="AJ134" s="45">
        <v>5.7</v>
      </c>
      <c r="AK134" s="45">
        <v>5.2</v>
      </c>
      <c r="AL134" s="45">
        <v>6.1</v>
      </c>
      <c r="AM134" s="45">
        <v>5.3</v>
      </c>
      <c r="AN134" s="45">
        <v>5.4</v>
      </c>
      <c r="AO134" s="45">
        <v>4.7</v>
      </c>
      <c r="AP134" s="45">
        <v>4.3</v>
      </c>
      <c r="AQ134" s="45">
        <v>3</v>
      </c>
      <c r="AR134" s="45">
        <v>2.3</v>
      </c>
      <c r="AS134" s="45">
        <v>2.4</v>
      </c>
      <c r="AT134" s="45">
        <v>1.7</v>
      </c>
      <c r="AU134" s="45">
        <v>0</v>
      </c>
      <c r="AV134" s="45">
        <v>0</v>
      </c>
      <c r="AW134" s="45">
        <v>0</v>
      </c>
      <c r="AX134" s="45">
        <v>0</v>
      </c>
      <c r="AY134" s="45">
        <v>0</v>
      </c>
      <c r="AZ134" s="45">
        <v>0</v>
      </c>
      <c r="BA134" s="45">
        <v>0</v>
      </c>
      <c r="BB134" s="45">
        <v>0</v>
      </c>
      <c r="BC134" s="45">
        <v>0</v>
      </c>
      <c r="BD134" s="45">
        <v>0</v>
      </c>
      <c r="BE134" s="45">
        <v>0</v>
      </c>
      <c r="BF134" s="45">
        <v>0</v>
      </c>
      <c r="BG134" s="45">
        <v>0</v>
      </c>
    </row>
    <row r="135" spans="1:59">
      <c r="A135" s="18" t="s">
        <v>79</v>
      </c>
      <c r="B135" s="18" t="s">
        <v>65</v>
      </c>
      <c r="C135" s="18" t="s">
        <v>80</v>
      </c>
      <c r="D135" s="45">
        <v>0</v>
      </c>
      <c r="E135" s="45">
        <v>0</v>
      </c>
      <c r="F135" s="45">
        <v>0</v>
      </c>
      <c r="G135" s="45">
        <v>0</v>
      </c>
      <c r="H135" s="45">
        <v>14.6</v>
      </c>
      <c r="I135" s="45">
        <v>8.800000000000001</v>
      </c>
      <c r="J135" s="45">
        <v>5.5</v>
      </c>
      <c r="K135" s="45">
        <v>5</v>
      </c>
      <c r="L135" s="45">
        <v>5.3</v>
      </c>
      <c r="M135" s="45">
        <v>5.6</v>
      </c>
      <c r="N135" s="45">
        <v>6.1</v>
      </c>
      <c r="O135" s="45">
        <v>6.5</v>
      </c>
      <c r="P135" s="45">
        <v>6.7</v>
      </c>
      <c r="Q135" s="45">
        <v>7.3</v>
      </c>
      <c r="R135" s="45">
        <v>7.6</v>
      </c>
      <c r="S135" s="45">
        <v>6.8</v>
      </c>
      <c r="T135" s="45">
        <v>7.1</v>
      </c>
      <c r="U135" s="45">
        <v>6.9</v>
      </c>
      <c r="V135" s="45">
        <v>6.3</v>
      </c>
      <c r="W135" s="45">
        <v>6.3</v>
      </c>
      <c r="X135" s="45">
        <v>6</v>
      </c>
      <c r="Y135" s="45">
        <v>5.3</v>
      </c>
      <c r="Z135" s="45">
        <v>4.9</v>
      </c>
      <c r="AA135" s="45">
        <v>5</v>
      </c>
      <c r="AB135" s="45">
        <v>4.8</v>
      </c>
      <c r="AC135" s="45">
        <v>4.8</v>
      </c>
      <c r="AD135" s="45">
        <v>5.5</v>
      </c>
      <c r="AE135" s="45">
        <v>5.4</v>
      </c>
      <c r="AF135" s="45">
        <v>6.1</v>
      </c>
      <c r="AG135" s="45">
        <v>6</v>
      </c>
      <c r="AH135" s="45">
        <v>5.8</v>
      </c>
      <c r="AI135" s="45">
        <v>5.4</v>
      </c>
      <c r="AJ135" s="45">
        <v>5.2</v>
      </c>
      <c r="AK135" s="45">
        <v>4.9</v>
      </c>
      <c r="AL135" s="45">
        <v>4.7</v>
      </c>
      <c r="AM135" s="45">
        <v>4.8</v>
      </c>
      <c r="AN135" s="45">
        <v>5</v>
      </c>
      <c r="AO135" s="45">
        <v>4.6</v>
      </c>
      <c r="AP135" s="45">
        <v>4</v>
      </c>
      <c r="AQ135" s="45">
        <v>3.5</v>
      </c>
      <c r="AR135" s="45">
        <v>2.3</v>
      </c>
      <c r="AS135" s="45">
        <v>1.9</v>
      </c>
      <c r="AT135" s="45">
        <v>1.9</v>
      </c>
      <c r="AU135" s="45">
        <v>0</v>
      </c>
      <c r="AV135" s="45">
        <v>0.5</v>
      </c>
      <c r="AW135" s="45">
        <v>0</v>
      </c>
      <c r="AX135" s="45">
        <v>0</v>
      </c>
      <c r="AY135" s="45">
        <v>0</v>
      </c>
      <c r="AZ135" s="45">
        <v>0</v>
      </c>
      <c r="BA135" s="45">
        <v>0</v>
      </c>
      <c r="BB135" s="45">
        <v>0</v>
      </c>
      <c r="BC135" s="45">
        <v>0</v>
      </c>
      <c r="BD135" s="45">
        <v>0</v>
      </c>
      <c r="BE135" s="45">
        <v>0</v>
      </c>
      <c r="BF135" s="45">
        <v>0</v>
      </c>
      <c r="BG135" s="45">
        <v>0</v>
      </c>
    </row>
    <row r="136" spans="1:59">
      <c r="A136" s="18" t="s">
        <v>81</v>
      </c>
      <c r="B136" s="18" t="s">
        <v>65</v>
      </c>
      <c r="C136" s="18" t="s">
        <v>82</v>
      </c>
      <c r="D136" s="45">
        <v>0</v>
      </c>
      <c r="E136" s="45">
        <v>0</v>
      </c>
      <c r="F136" s="45">
        <v>0</v>
      </c>
      <c r="G136" s="45">
        <v>25</v>
      </c>
      <c r="H136" s="45">
        <v>12.7</v>
      </c>
      <c r="I136" s="45">
        <v>8</v>
      </c>
      <c r="J136" s="45">
        <v>4.5</v>
      </c>
      <c r="K136" s="45">
        <v>3.9</v>
      </c>
      <c r="L136" s="45">
        <v>4</v>
      </c>
      <c r="M136" s="45">
        <v>4.4</v>
      </c>
      <c r="N136" s="45">
        <v>5.5</v>
      </c>
      <c r="O136" s="45">
        <v>5.9</v>
      </c>
      <c r="P136" s="45">
        <v>6.9</v>
      </c>
      <c r="Q136" s="45">
        <v>6.6</v>
      </c>
      <c r="R136" s="45">
        <v>7.1</v>
      </c>
      <c r="S136" s="45">
        <v>7.4</v>
      </c>
      <c r="T136" s="45">
        <v>7</v>
      </c>
      <c r="U136" s="45">
        <v>6.6</v>
      </c>
      <c r="V136" s="45">
        <v>6.6</v>
      </c>
      <c r="W136" s="45">
        <v>6.5</v>
      </c>
      <c r="X136" s="45">
        <v>6.4</v>
      </c>
      <c r="Y136" s="45">
        <v>6.5</v>
      </c>
      <c r="Z136" s="45">
        <v>6.1</v>
      </c>
      <c r="AA136" s="45">
        <v>4.9</v>
      </c>
      <c r="AB136" s="45">
        <v>5.2</v>
      </c>
      <c r="AC136" s="45">
        <v>6</v>
      </c>
      <c r="AD136" s="45">
        <v>6.3</v>
      </c>
      <c r="AE136" s="45">
        <v>6.1</v>
      </c>
      <c r="AF136" s="45">
        <v>5.9</v>
      </c>
      <c r="AG136" s="45">
        <v>5.7</v>
      </c>
      <c r="AH136" s="45">
        <v>5.5</v>
      </c>
      <c r="AI136" s="45">
        <v>5.7</v>
      </c>
      <c r="AJ136" s="45">
        <v>5.2</v>
      </c>
      <c r="AK136" s="45">
        <v>5.1</v>
      </c>
      <c r="AL136" s="45">
        <v>5.4</v>
      </c>
      <c r="AM136" s="45">
        <v>5</v>
      </c>
      <c r="AN136" s="45">
        <v>5.2</v>
      </c>
      <c r="AO136" s="45">
        <v>4.6</v>
      </c>
      <c r="AP136" s="45">
        <v>3.8</v>
      </c>
      <c r="AQ136" s="45">
        <v>3.2</v>
      </c>
      <c r="AR136" s="45">
        <v>2.7</v>
      </c>
      <c r="AS136" s="45">
        <v>2.3</v>
      </c>
      <c r="AT136" s="45">
        <v>1.4</v>
      </c>
      <c r="AU136" s="45">
        <v>0</v>
      </c>
      <c r="AV136" s="45">
        <v>0</v>
      </c>
      <c r="AW136" s="45">
        <v>0</v>
      </c>
      <c r="AX136" s="45">
        <v>0</v>
      </c>
      <c r="AY136" s="45">
        <v>0</v>
      </c>
      <c r="AZ136" s="45">
        <v>0</v>
      </c>
      <c r="BA136" s="45">
        <v>0</v>
      </c>
      <c r="BB136" s="45">
        <v>0</v>
      </c>
      <c r="BC136" s="45">
        <v>0</v>
      </c>
      <c r="BD136" s="45">
        <v>0</v>
      </c>
      <c r="BE136" s="45">
        <v>0</v>
      </c>
      <c r="BF136" s="45">
        <v>0</v>
      </c>
      <c r="BG136" s="45">
        <v>0</v>
      </c>
    </row>
    <row r="137" spans="1:59">
      <c r="A137" s="18" t="s">
        <v>83</v>
      </c>
      <c r="B137" s="18" t="s">
        <v>65</v>
      </c>
      <c r="C137" s="18" t="s">
        <v>84</v>
      </c>
      <c r="D137" s="45">
        <v>0</v>
      </c>
      <c r="E137" s="45">
        <v>0</v>
      </c>
      <c r="F137" s="45">
        <v>0</v>
      </c>
      <c r="G137" s="45">
        <v>0</v>
      </c>
      <c r="H137" s="45">
        <v>19.9</v>
      </c>
      <c r="I137" s="45">
        <v>7.7</v>
      </c>
      <c r="J137" s="45">
        <v>3.2</v>
      </c>
      <c r="K137" s="45">
        <v>2.9</v>
      </c>
      <c r="L137" s="45">
        <v>3.1</v>
      </c>
      <c r="M137" s="45">
        <v>3.7</v>
      </c>
      <c r="N137" s="45">
        <v>5</v>
      </c>
      <c r="O137" s="45">
        <v>4.6</v>
      </c>
      <c r="P137" s="45">
        <v>6</v>
      </c>
      <c r="Q137" s="45">
        <v>6.2</v>
      </c>
      <c r="R137" s="45">
        <v>5.8</v>
      </c>
      <c r="S137" s="45">
        <v>6.2</v>
      </c>
      <c r="T137" s="45">
        <v>6.6</v>
      </c>
      <c r="U137" s="45">
        <v>8.199999999999999</v>
      </c>
      <c r="V137" s="45">
        <v>8.9</v>
      </c>
      <c r="W137" s="45">
        <v>9.5</v>
      </c>
      <c r="X137" s="45">
        <v>6.4</v>
      </c>
      <c r="Y137" s="45">
        <v>6.1</v>
      </c>
      <c r="Z137" s="45">
        <v>6.1</v>
      </c>
      <c r="AA137" s="45">
        <v>5.1</v>
      </c>
      <c r="AB137" s="45">
        <v>5.4</v>
      </c>
      <c r="AC137" s="45">
        <v>6.1</v>
      </c>
      <c r="AD137" s="45">
        <v>6.5</v>
      </c>
      <c r="AE137" s="45">
        <v>6.8</v>
      </c>
      <c r="AF137" s="45">
        <v>7.3</v>
      </c>
      <c r="AG137" s="45">
        <v>6.5</v>
      </c>
      <c r="AH137" s="45">
        <v>8.1</v>
      </c>
      <c r="AI137" s="45">
        <v>7.2</v>
      </c>
      <c r="AJ137" s="45">
        <v>6.4</v>
      </c>
      <c r="AK137" s="45">
        <v>6.1</v>
      </c>
      <c r="AL137" s="45">
        <v>6.5</v>
      </c>
      <c r="AM137" s="45">
        <v>6.8</v>
      </c>
      <c r="AN137" s="45">
        <v>5.8</v>
      </c>
      <c r="AO137" s="45">
        <v>5.8</v>
      </c>
      <c r="AP137" s="45">
        <v>5.6</v>
      </c>
      <c r="AQ137" s="45">
        <v>4</v>
      </c>
      <c r="AR137" s="45">
        <v>2.3</v>
      </c>
      <c r="AS137" s="45">
        <v>2.1</v>
      </c>
      <c r="AT137" s="45">
        <v>0</v>
      </c>
      <c r="AU137" s="45">
        <v>0.6</v>
      </c>
      <c r="AV137" s="45">
        <v>0.3</v>
      </c>
      <c r="AW137" s="45">
        <v>2.1</v>
      </c>
      <c r="AX137" s="45">
        <v>0.5</v>
      </c>
      <c r="AY137" s="45">
        <v>1</v>
      </c>
      <c r="AZ137" s="45">
        <v>0.6</v>
      </c>
      <c r="BA137" s="45">
        <v>0</v>
      </c>
      <c r="BB137" s="45">
        <v>0</v>
      </c>
      <c r="BC137" s="45">
        <v>0</v>
      </c>
      <c r="BD137" s="45">
        <v>0</v>
      </c>
      <c r="BE137" s="45">
        <v>0</v>
      </c>
      <c r="BF137" s="45">
        <v>0</v>
      </c>
      <c r="BG137" s="45">
        <v>0</v>
      </c>
    </row>
    <row r="138" spans="1:59">
      <c r="A138" s="18" t="s">
        <v>85</v>
      </c>
      <c r="B138" s="18" t="s">
        <v>65</v>
      </c>
      <c r="C138" s="18" t="s">
        <v>86</v>
      </c>
      <c r="D138" s="45">
        <v>0</v>
      </c>
      <c r="E138" s="45">
        <v>0</v>
      </c>
      <c r="F138" s="45">
        <v>0</v>
      </c>
      <c r="G138" s="45">
        <v>0</v>
      </c>
      <c r="H138" s="45">
        <v>19.9</v>
      </c>
      <c r="I138" s="45">
        <v>7.1</v>
      </c>
      <c r="J138" s="45">
        <v>4.2</v>
      </c>
      <c r="K138" s="45">
        <v>3.3</v>
      </c>
      <c r="L138" s="45">
        <v>4.7</v>
      </c>
      <c r="M138" s="45">
        <v>4.3</v>
      </c>
      <c r="N138" s="45">
        <v>6.2</v>
      </c>
      <c r="O138" s="45">
        <v>5.9</v>
      </c>
      <c r="P138" s="45">
        <v>6.7</v>
      </c>
      <c r="Q138" s="45">
        <v>6.3</v>
      </c>
      <c r="R138" s="45">
        <v>7.1</v>
      </c>
      <c r="S138" s="45">
        <v>7.3</v>
      </c>
      <c r="T138" s="45">
        <v>8.1</v>
      </c>
      <c r="U138" s="45">
        <v>6.9</v>
      </c>
      <c r="V138" s="45">
        <v>7.7</v>
      </c>
      <c r="W138" s="45">
        <v>8</v>
      </c>
      <c r="X138" s="45">
        <v>6.7</v>
      </c>
      <c r="Y138" s="45">
        <v>5.7</v>
      </c>
      <c r="Z138" s="45">
        <v>5.1</v>
      </c>
      <c r="AA138" s="45">
        <v>4.9</v>
      </c>
      <c r="AB138" s="45">
        <v>4.3</v>
      </c>
      <c r="AC138" s="45">
        <v>7</v>
      </c>
      <c r="AD138" s="45">
        <v>7.1</v>
      </c>
      <c r="AE138" s="45">
        <v>6.7</v>
      </c>
      <c r="AF138" s="45">
        <v>8</v>
      </c>
      <c r="AG138" s="45">
        <v>8</v>
      </c>
      <c r="AH138" s="45">
        <v>7.9</v>
      </c>
      <c r="AI138" s="45">
        <v>7.5</v>
      </c>
      <c r="AJ138" s="45">
        <v>7.1</v>
      </c>
      <c r="AK138" s="45">
        <v>7.1</v>
      </c>
      <c r="AL138" s="45">
        <v>7.3</v>
      </c>
      <c r="AM138" s="45">
        <v>7.2</v>
      </c>
      <c r="AN138" s="45">
        <v>8</v>
      </c>
      <c r="AO138" s="45">
        <v>6.4</v>
      </c>
      <c r="AP138" s="45">
        <v>5.9</v>
      </c>
      <c r="AQ138" s="45">
        <v>4.8</v>
      </c>
      <c r="AR138" s="45">
        <v>3.8</v>
      </c>
      <c r="AS138" s="45">
        <v>9.1</v>
      </c>
      <c r="AT138" s="45">
        <v>0</v>
      </c>
      <c r="AU138" s="45">
        <v>0</v>
      </c>
      <c r="AV138" s="45">
        <v>0</v>
      </c>
      <c r="AW138" s="45">
        <v>0</v>
      </c>
      <c r="AX138" s="45">
        <v>0</v>
      </c>
      <c r="AY138" s="45">
        <v>0</v>
      </c>
      <c r="AZ138" s="45">
        <v>0</v>
      </c>
      <c r="BA138" s="45">
        <v>0</v>
      </c>
      <c r="BB138" s="45">
        <v>0</v>
      </c>
      <c r="BC138" s="45">
        <v>0</v>
      </c>
      <c r="BD138" s="45">
        <v>0</v>
      </c>
      <c r="BE138" s="45">
        <v>0</v>
      </c>
      <c r="BF138" s="45">
        <v>0</v>
      </c>
      <c r="BG138" s="45">
        <v>0</v>
      </c>
    </row>
    <row r="139" spans="1:59">
      <c r="A139" s="18" t="s">
        <v>87</v>
      </c>
      <c r="B139" s="18" t="s">
        <v>65</v>
      </c>
      <c r="C139" s="18" t="s">
        <v>88</v>
      </c>
      <c r="D139" s="45">
        <v>0</v>
      </c>
      <c r="E139" s="45">
        <v>0</v>
      </c>
      <c r="F139" s="45">
        <v>0</v>
      </c>
      <c r="G139" s="45">
        <v>0</v>
      </c>
      <c r="H139" s="45">
        <v>20.7</v>
      </c>
      <c r="I139" s="45">
        <v>6.2</v>
      </c>
      <c r="J139" s="45">
        <v>2.3</v>
      </c>
      <c r="K139" s="45">
        <v>2.8</v>
      </c>
      <c r="L139" s="45">
        <v>3.2</v>
      </c>
      <c r="M139" s="45">
        <v>3.6</v>
      </c>
      <c r="N139" s="45">
        <v>4</v>
      </c>
      <c r="O139" s="45">
        <v>4.8</v>
      </c>
      <c r="P139" s="45">
        <v>5.4</v>
      </c>
      <c r="Q139" s="45">
        <v>5.5</v>
      </c>
      <c r="R139" s="45">
        <v>5.6</v>
      </c>
      <c r="S139" s="45">
        <v>6.1</v>
      </c>
      <c r="T139" s="45">
        <v>6.6</v>
      </c>
      <c r="U139" s="45">
        <v>6.8</v>
      </c>
      <c r="V139" s="45">
        <v>6.5</v>
      </c>
      <c r="W139" s="45">
        <v>6.3</v>
      </c>
      <c r="X139" s="45">
        <v>6.1</v>
      </c>
      <c r="Y139" s="45">
        <v>5.7</v>
      </c>
      <c r="Z139" s="45">
        <v>5.3</v>
      </c>
      <c r="AA139" s="45">
        <v>4.3</v>
      </c>
      <c r="AB139" s="45">
        <v>4.3</v>
      </c>
      <c r="AC139" s="45">
        <v>5.3</v>
      </c>
      <c r="AD139" s="45">
        <v>5.6</v>
      </c>
      <c r="AE139" s="45">
        <v>6.2</v>
      </c>
      <c r="AF139" s="45">
        <v>6</v>
      </c>
      <c r="AG139" s="45">
        <v>6</v>
      </c>
      <c r="AH139" s="45">
        <v>6.1</v>
      </c>
      <c r="AI139" s="45">
        <v>5.8</v>
      </c>
      <c r="AJ139" s="45">
        <v>5.9</v>
      </c>
      <c r="AK139" s="45">
        <v>6.3</v>
      </c>
      <c r="AL139" s="45">
        <v>6.2</v>
      </c>
      <c r="AM139" s="45">
        <v>6.1</v>
      </c>
      <c r="AN139" s="45">
        <v>6.7</v>
      </c>
      <c r="AO139" s="45">
        <v>5.8</v>
      </c>
      <c r="AP139" s="45">
        <v>6</v>
      </c>
      <c r="AQ139" s="45">
        <v>4.3</v>
      </c>
      <c r="AR139" s="45">
        <v>2.7</v>
      </c>
      <c r="AS139" s="45">
        <v>1.4</v>
      </c>
      <c r="AT139" s="45">
        <v>0</v>
      </c>
      <c r="AU139" s="45">
        <v>0</v>
      </c>
      <c r="AV139" s="45">
        <v>0</v>
      </c>
      <c r="AW139" s="45">
        <v>0.6</v>
      </c>
      <c r="AX139" s="45">
        <v>1.2</v>
      </c>
      <c r="AY139" s="45">
        <v>0.8</v>
      </c>
      <c r="AZ139" s="45">
        <v>1.1</v>
      </c>
      <c r="BA139" s="45">
        <v>0</v>
      </c>
      <c r="BB139" s="45">
        <v>0</v>
      </c>
      <c r="BC139" s="45">
        <v>0</v>
      </c>
      <c r="BD139" s="45">
        <v>0</v>
      </c>
      <c r="BE139" s="45">
        <v>0</v>
      </c>
      <c r="BF139" s="45">
        <v>0</v>
      </c>
      <c r="BG139" s="45">
        <v>0</v>
      </c>
    </row>
    <row r="140" spans="1:59">
      <c r="A140" s="18" t="s">
        <v>89</v>
      </c>
      <c r="B140" s="18" t="s">
        <v>65</v>
      </c>
      <c r="C140" s="18" t="s">
        <v>90</v>
      </c>
      <c r="D140" s="45">
        <v>0</v>
      </c>
      <c r="E140" s="45">
        <v>0</v>
      </c>
      <c r="F140" s="45">
        <v>0</v>
      </c>
      <c r="G140" s="45">
        <v>0</v>
      </c>
      <c r="H140" s="45">
        <v>20.8</v>
      </c>
      <c r="I140" s="45">
        <v>8</v>
      </c>
      <c r="J140" s="45">
        <v>4.9</v>
      </c>
      <c r="K140" s="45">
        <v>6</v>
      </c>
      <c r="L140" s="45">
        <v>6</v>
      </c>
      <c r="M140" s="45">
        <v>7</v>
      </c>
      <c r="N140" s="45">
        <v>8.300000000000001</v>
      </c>
      <c r="O140" s="45">
        <v>9.9</v>
      </c>
      <c r="P140" s="45">
        <v>9.6</v>
      </c>
      <c r="Q140" s="45">
        <v>11</v>
      </c>
      <c r="R140" s="45">
        <v>11.2</v>
      </c>
      <c r="S140" s="45">
        <v>12.2</v>
      </c>
      <c r="T140" s="45">
        <v>10.2</v>
      </c>
      <c r="U140" s="45">
        <v>11.3</v>
      </c>
      <c r="V140" s="45">
        <v>12.8</v>
      </c>
      <c r="W140" s="45">
        <v>11.7</v>
      </c>
      <c r="X140" s="45">
        <v>10.5</v>
      </c>
      <c r="Y140" s="45">
        <v>10.1</v>
      </c>
      <c r="Z140" s="45">
        <v>9.199999999999999</v>
      </c>
      <c r="AA140" s="45">
        <v>8.1</v>
      </c>
      <c r="AB140" s="45">
        <v>8.5</v>
      </c>
      <c r="AC140" s="45">
        <v>9.199999999999999</v>
      </c>
      <c r="AD140" s="45">
        <v>9.300000000000001</v>
      </c>
      <c r="AE140" s="45">
        <v>10.7</v>
      </c>
      <c r="AF140" s="45">
        <v>10.4</v>
      </c>
      <c r="AG140" s="45">
        <v>10.3</v>
      </c>
      <c r="AH140" s="45">
        <v>11</v>
      </c>
      <c r="AI140" s="45">
        <v>10.6</v>
      </c>
      <c r="AJ140" s="45">
        <v>10.1</v>
      </c>
      <c r="AK140" s="45">
        <v>9.699999999999999</v>
      </c>
      <c r="AL140" s="45">
        <v>10.2</v>
      </c>
      <c r="AM140" s="45">
        <v>9.800000000000001</v>
      </c>
      <c r="AN140" s="45">
        <v>9.4</v>
      </c>
      <c r="AO140" s="45">
        <v>8.6</v>
      </c>
      <c r="AP140" s="45">
        <v>7.8</v>
      </c>
      <c r="AQ140" s="45">
        <v>6.7</v>
      </c>
      <c r="AR140" s="45">
        <v>5.4</v>
      </c>
      <c r="AS140" s="45">
        <v>8.699999999999999</v>
      </c>
      <c r="AT140" s="45">
        <v>10.8</v>
      </c>
      <c r="AU140" s="45">
        <v>5.9</v>
      </c>
      <c r="AV140" s="45">
        <v>12.9</v>
      </c>
      <c r="AW140" s="45">
        <v>6.1</v>
      </c>
      <c r="AX140" s="45">
        <v>3.9</v>
      </c>
      <c r="AY140" s="45">
        <v>0</v>
      </c>
      <c r="AZ140" s="45">
        <v>0</v>
      </c>
      <c r="BA140" s="45">
        <v>0</v>
      </c>
      <c r="BB140" s="45">
        <v>0</v>
      </c>
      <c r="BC140" s="45">
        <v>0</v>
      </c>
      <c r="BD140" s="45">
        <v>0</v>
      </c>
      <c r="BE140" s="45">
        <v>0</v>
      </c>
      <c r="BF140" s="45">
        <v>0</v>
      </c>
      <c r="BG140" s="45">
        <v>0</v>
      </c>
    </row>
    <row r="141" spans="1:59">
      <c r="A141" s="18" t="s">
        <v>91</v>
      </c>
      <c r="B141" s="18" t="s">
        <v>92</v>
      </c>
      <c r="C141" s="18" t="s">
        <v>66</v>
      </c>
      <c r="D141" s="45">
        <v>0</v>
      </c>
      <c r="E141" s="45">
        <v>0</v>
      </c>
      <c r="F141" s="45">
        <v>0</v>
      </c>
      <c r="G141" s="45">
        <v>0</v>
      </c>
      <c r="H141" s="45">
        <v>20</v>
      </c>
      <c r="I141" s="45">
        <v>8.300000000000001</v>
      </c>
      <c r="J141" s="45">
        <v>4.6</v>
      </c>
      <c r="K141" s="45">
        <v>2.8</v>
      </c>
      <c r="L141" s="45">
        <v>2.8</v>
      </c>
      <c r="M141" s="45">
        <v>2.9</v>
      </c>
      <c r="N141" s="45">
        <v>3.6</v>
      </c>
      <c r="O141" s="45">
        <v>3.1</v>
      </c>
      <c r="P141" s="45">
        <v>3.5</v>
      </c>
      <c r="Q141" s="45">
        <v>4.1</v>
      </c>
      <c r="R141" s="45">
        <v>4.4</v>
      </c>
      <c r="S141" s="45">
        <v>4.7</v>
      </c>
      <c r="T141" s="45">
        <v>4.4</v>
      </c>
      <c r="U141" s="45">
        <v>5.4</v>
      </c>
      <c r="V141" s="45">
        <v>5.7</v>
      </c>
      <c r="W141" s="45">
        <v>6.3</v>
      </c>
      <c r="X141" s="45">
        <v>4.9</v>
      </c>
      <c r="Y141" s="45">
        <v>4.8</v>
      </c>
      <c r="Z141" s="45">
        <v>4.8</v>
      </c>
      <c r="AA141" s="45">
        <v>4.2</v>
      </c>
      <c r="AB141" s="45">
        <v>4</v>
      </c>
      <c r="AC141" s="45">
        <v>4.2</v>
      </c>
      <c r="AD141" s="45">
        <v>4.4</v>
      </c>
      <c r="AE141" s="45">
        <v>4.9</v>
      </c>
      <c r="AF141" s="45">
        <v>5.2</v>
      </c>
      <c r="AG141" s="45">
        <v>5.1</v>
      </c>
      <c r="AH141" s="45">
        <v>5.3</v>
      </c>
      <c r="AI141" s="45">
        <v>5.1</v>
      </c>
      <c r="AJ141" s="45">
        <v>4.7</v>
      </c>
      <c r="AK141" s="45">
        <v>4.2</v>
      </c>
      <c r="AL141" s="45">
        <v>4.6</v>
      </c>
      <c r="AM141" s="45">
        <v>4.4</v>
      </c>
      <c r="AN141" s="45">
        <v>4.5</v>
      </c>
      <c r="AO141" s="45">
        <v>4.8</v>
      </c>
      <c r="AP141" s="45">
        <v>4.6</v>
      </c>
      <c r="AQ141" s="45">
        <v>4.5</v>
      </c>
      <c r="AR141" s="45">
        <v>3.9</v>
      </c>
      <c r="AS141" s="45">
        <v>3</v>
      </c>
      <c r="AT141" s="45">
        <v>1.8</v>
      </c>
      <c r="AU141" s="45">
        <v>2.5</v>
      </c>
      <c r="AV141" s="45">
        <v>3.3</v>
      </c>
      <c r="AW141" s="45">
        <v>2.3</v>
      </c>
      <c r="AX141" s="45">
        <v>1.8</v>
      </c>
      <c r="AY141" s="45">
        <v>0</v>
      </c>
      <c r="AZ141" s="45">
        <v>0</v>
      </c>
      <c r="BA141" s="45">
        <v>0</v>
      </c>
      <c r="BB141" s="45">
        <v>0</v>
      </c>
      <c r="BC141" s="45">
        <v>0</v>
      </c>
      <c r="BD141" s="45">
        <v>0</v>
      </c>
      <c r="BE141" s="45">
        <v>0</v>
      </c>
      <c r="BF141" s="45">
        <v>0</v>
      </c>
      <c r="BG141" s="45">
        <v>0</v>
      </c>
    </row>
    <row r="142" spans="1:59">
      <c r="A142" s="18" t="s">
        <v>93</v>
      </c>
      <c r="B142" s="18" t="s">
        <v>92</v>
      </c>
      <c r="C142" s="18" t="s">
        <v>68</v>
      </c>
      <c r="D142" s="45">
        <v>0</v>
      </c>
      <c r="E142" s="45">
        <v>0</v>
      </c>
      <c r="F142" s="45">
        <v>0</v>
      </c>
      <c r="G142" s="45">
        <v>0</v>
      </c>
      <c r="H142" s="45">
        <v>0</v>
      </c>
      <c r="I142" s="45">
        <v>0</v>
      </c>
      <c r="J142" s="45">
        <v>12.1</v>
      </c>
      <c r="K142" s="45">
        <v>3.8</v>
      </c>
      <c r="L142" s="45">
        <v>4.3</v>
      </c>
      <c r="M142" s="45">
        <v>4.4</v>
      </c>
      <c r="N142" s="45">
        <v>6.4</v>
      </c>
      <c r="O142" s="45">
        <v>4.6</v>
      </c>
      <c r="P142" s="45">
        <v>7.8</v>
      </c>
      <c r="Q142" s="45">
        <v>7</v>
      </c>
      <c r="R142" s="45">
        <v>7.7</v>
      </c>
      <c r="S142" s="45">
        <v>7.3</v>
      </c>
      <c r="T142" s="45">
        <v>7.4</v>
      </c>
      <c r="U142" s="45">
        <v>7.5</v>
      </c>
      <c r="V142" s="45">
        <v>7.3</v>
      </c>
      <c r="W142" s="45">
        <v>8.6</v>
      </c>
      <c r="X142" s="45">
        <v>7.6</v>
      </c>
      <c r="Y142" s="45">
        <v>7.4</v>
      </c>
      <c r="Z142" s="45">
        <v>6.8</v>
      </c>
      <c r="AA142" s="45">
        <v>6.5</v>
      </c>
      <c r="AB142" s="45">
        <v>5.4</v>
      </c>
      <c r="AC142" s="45">
        <v>6.1</v>
      </c>
      <c r="AD142" s="45">
        <v>6</v>
      </c>
      <c r="AE142" s="45">
        <v>8</v>
      </c>
      <c r="AF142" s="45">
        <v>8.800000000000001</v>
      </c>
      <c r="AG142" s="45">
        <v>10</v>
      </c>
      <c r="AH142" s="45">
        <v>9</v>
      </c>
      <c r="AI142" s="45">
        <v>8.199999999999999</v>
      </c>
      <c r="AJ142" s="45">
        <v>7.9</v>
      </c>
      <c r="AK142" s="45">
        <v>6.6</v>
      </c>
      <c r="AL142" s="45">
        <v>7.3</v>
      </c>
      <c r="AM142" s="45">
        <v>8</v>
      </c>
      <c r="AN142" s="45">
        <v>8.800000000000001</v>
      </c>
      <c r="AO142" s="45">
        <v>8.9</v>
      </c>
      <c r="AP142" s="45">
        <v>7.5</v>
      </c>
      <c r="AQ142" s="45">
        <v>7.6</v>
      </c>
      <c r="AR142" s="45">
        <v>6.7</v>
      </c>
      <c r="AS142" s="45">
        <v>5.4</v>
      </c>
      <c r="AT142" s="45">
        <v>2.9</v>
      </c>
      <c r="AU142" s="45">
        <v>0</v>
      </c>
      <c r="AV142" s="45">
        <v>0</v>
      </c>
      <c r="AW142" s="45">
        <v>0</v>
      </c>
      <c r="AX142" s="45">
        <v>0</v>
      </c>
      <c r="AY142" s="45">
        <v>0</v>
      </c>
      <c r="AZ142" s="45">
        <v>0</v>
      </c>
      <c r="BA142" s="45">
        <v>0</v>
      </c>
      <c r="BB142" s="45">
        <v>0</v>
      </c>
      <c r="BC142" s="45">
        <v>0</v>
      </c>
      <c r="BD142" s="45">
        <v>0</v>
      </c>
      <c r="BE142" s="45">
        <v>0</v>
      </c>
      <c r="BF142" s="45">
        <v>0</v>
      </c>
      <c r="BG142" s="45">
        <v>0</v>
      </c>
    </row>
    <row r="143" spans="1:59">
      <c r="A143" s="18" t="s">
        <v>94</v>
      </c>
      <c r="B143" s="18" t="s">
        <v>92</v>
      </c>
      <c r="C143" s="18" t="s">
        <v>70</v>
      </c>
      <c r="D143" s="45">
        <v>0</v>
      </c>
      <c r="E143" s="45">
        <v>0</v>
      </c>
      <c r="F143" s="45">
        <v>0</v>
      </c>
      <c r="G143" s="45">
        <v>0</v>
      </c>
      <c r="H143" s="45">
        <v>0</v>
      </c>
      <c r="I143" s="45">
        <v>0</v>
      </c>
      <c r="J143" s="45">
        <v>12.2</v>
      </c>
      <c r="K143" s="45">
        <v>3.5</v>
      </c>
      <c r="L143" s="45">
        <v>2.9</v>
      </c>
      <c r="M143" s="45">
        <v>4</v>
      </c>
      <c r="N143" s="45">
        <v>3.8</v>
      </c>
      <c r="O143" s="45">
        <v>4.1</v>
      </c>
      <c r="P143" s="45">
        <v>4.5</v>
      </c>
      <c r="Q143" s="45">
        <v>5.6</v>
      </c>
      <c r="R143" s="45">
        <v>5.5</v>
      </c>
      <c r="S143" s="45">
        <v>5.4</v>
      </c>
      <c r="T143" s="45">
        <v>5.4</v>
      </c>
      <c r="U143" s="45">
        <v>5.1</v>
      </c>
      <c r="V143" s="45">
        <v>5.3</v>
      </c>
      <c r="W143" s="45">
        <v>5.7</v>
      </c>
      <c r="X143" s="45">
        <v>6.4</v>
      </c>
      <c r="Y143" s="45">
        <v>5.6</v>
      </c>
      <c r="Z143" s="45">
        <v>5</v>
      </c>
      <c r="AA143" s="45">
        <v>4.5</v>
      </c>
      <c r="AB143" s="45">
        <v>3.7</v>
      </c>
      <c r="AC143" s="45">
        <v>3.1</v>
      </c>
      <c r="AD143" s="45">
        <v>3.8</v>
      </c>
      <c r="AE143" s="45">
        <v>4.9</v>
      </c>
      <c r="AF143" s="45">
        <v>5.4</v>
      </c>
      <c r="AG143" s="45">
        <v>5.5</v>
      </c>
      <c r="AH143" s="45">
        <v>5.9</v>
      </c>
      <c r="AI143" s="45">
        <v>5.6</v>
      </c>
      <c r="AJ143" s="45">
        <v>5.2</v>
      </c>
      <c r="AK143" s="45">
        <v>3.9</v>
      </c>
      <c r="AL143" s="45">
        <v>3.6</v>
      </c>
      <c r="AM143" s="45">
        <v>4.1</v>
      </c>
      <c r="AN143" s="45">
        <v>4.4</v>
      </c>
      <c r="AO143" s="45">
        <v>4.5</v>
      </c>
      <c r="AP143" s="45">
        <v>4.8</v>
      </c>
      <c r="AQ143" s="45">
        <v>5.4</v>
      </c>
      <c r="AR143" s="45">
        <v>3.9</v>
      </c>
      <c r="AS143" s="45">
        <v>3</v>
      </c>
      <c r="AT143" s="45">
        <v>1.8</v>
      </c>
      <c r="AU143" s="45">
        <v>0</v>
      </c>
      <c r="AV143" s="45">
        <v>0</v>
      </c>
      <c r="AW143" s="45">
        <v>0</v>
      </c>
      <c r="AX143" s="45">
        <v>0</v>
      </c>
      <c r="AY143" s="45">
        <v>0</v>
      </c>
      <c r="AZ143" s="45">
        <v>0</v>
      </c>
      <c r="BA143" s="45">
        <v>0</v>
      </c>
      <c r="BB143" s="45">
        <v>0</v>
      </c>
      <c r="BC143" s="45">
        <v>0</v>
      </c>
      <c r="BD143" s="45">
        <v>0</v>
      </c>
      <c r="BE143" s="45">
        <v>0</v>
      </c>
      <c r="BF143" s="45">
        <v>0</v>
      </c>
      <c r="BG143" s="45">
        <v>0</v>
      </c>
    </row>
    <row r="144" spans="1:59">
      <c r="A144" s="18" t="s">
        <v>95</v>
      </c>
      <c r="B144" s="18" t="s">
        <v>92</v>
      </c>
      <c r="C144" s="18" t="s">
        <v>72</v>
      </c>
      <c r="D144" s="45">
        <v>0</v>
      </c>
      <c r="E144" s="45">
        <v>0</v>
      </c>
      <c r="F144" s="45">
        <v>0</v>
      </c>
      <c r="G144" s="45">
        <v>0</v>
      </c>
      <c r="H144" s="45">
        <v>0</v>
      </c>
      <c r="I144" s="45">
        <v>0</v>
      </c>
      <c r="J144" s="45">
        <v>12.4</v>
      </c>
      <c r="K144" s="45">
        <v>1.8</v>
      </c>
      <c r="L144" s="45">
        <v>2.3</v>
      </c>
      <c r="M144" s="45">
        <v>2.1</v>
      </c>
      <c r="N144" s="45">
        <v>3.1</v>
      </c>
      <c r="O144" s="45">
        <v>3</v>
      </c>
      <c r="P144" s="45">
        <v>3</v>
      </c>
      <c r="Q144" s="45">
        <v>4.1</v>
      </c>
      <c r="R144" s="45">
        <v>4</v>
      </c>
      <c r="S144" s="45">
        <v>5</v>
      </c>
      <c r="T144" s="45">
        <v>5.3</v>
      </c>
      <c r="U144" s="45">
        <v>5.3</v>
      </c>
      <c r="V144" s="45">
        <v>4.9</v>
      </c>
      <c r="W144" s="45">
        <v>5.8</v>
      </c>
      <c r="X144" s="45">
        <v>6.1</v>
      </c>
      <c r="Y144" s="45">
        <v>5.1</v>
      </c>
      <c r="Z144" s="45">
        <v>4.8</v>
      </c>
      <c r="AA144" s="45">
        <v>3.5</v>
      </c>
      <c r="AB144" s="45">
        <v>3.4</v>
      </c>
      <c r="AC144" s="45">
        <v>3.7</v>
      </c>
      <c r="AD144" s="45">
        <v>4</v>
      </c>
      <c r="AE144" s="45">
        <v>4.1</v>
      </c>
      <c r="AF144" s="45">
        <v>4.8</v>
      </c>
      <c r="AG144" s="45">
        <v>5.3</v>
      </c>
      <c r="AH144" s="45">
        <v>4.7</v>
      </c>
      <c r="AI144" s="45">
        <v>5.5</v>
      </c>
      <c r="AJ144" s="45">
        <v>4.3</v>
      </c>
      <c r="AK144" s="45">
        <v>5.4</v>
      </c>
      <c r="AL144" s="45">
        <v>4.6</v>
      </c>
      <c r="AM144" s="45">
        <v>5</v>
      </c>
      <c r="AN144" s="45">
        <v>4.8</v>
      </c>
      <c r="AO144" s="45">
        <v>5.1</v>
      </c>
      <c r="AP144" s="45">
        <v>4.4</v>
      </c>
      <c r="AQ144" s="45">
        <v>5.3</v>
      </c>
      <c r="AR144" s="45">
        <v>4.3</v>
      </c>
      <c r="AS144" s="45">
        <v>3.7</v>
      </c>
      <c r="AT144" s="45">
        <v>3.6</v>
      </c>
      <c r="AU144" s="45">
        <v>0</v>
      </c>
      <c r="AV144" s="45">
        <v>0</v>
      </c>
      <c r="AW144" s="45">
        <v>0</v>
      </c>
      <c r="AX144" s="45">
        <v>0</v>
      </c>
      <c r="AY144" s="45">
        <v>0</v>
      </c>
      <c r="AZ144" s="45">
        <v>0</v>
      </c>
      <c r="BA144" s="45">
        <v>0</v>
      </c>
      <c r="BB144" s="45">
        <v>0</v>
      </c>
      <c r="BC144" s="45">
        <v>0</v>
      </c>
      <c r="BD144" s="45">
        <v>0</v>
      </c>
      <c r="BE144" s="45">
        <v>0</v>
      </c>
      <c r="BF144" s="45">
        <v>0</v>
      </c>
      <c r="BG144" s="45">
        <v>0</v>
      </c>
    </row>
    <row r="145" spans="1:59">
      <c r="A145" s="18" t="s">
        <v>96</v>
      </c>
      <c r="B145" s="18" t="s">
        <v>92</v>
      </c>
      <c r="C145" s="18" t="s">
        <v>74</v>
      </c>
      <c r="D145" s="45">
        <v>0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12.2</v>
      </c>
      <c r="K145" s="45">
        <v>4.6</v>
      </c>
      <c r="L145" s="45">
        <v>3.4</v>
      </c>
      <c r="M145" s="45">
        <v>3.1</v>
      </c>
      <c r="N145" s="45">
        <v>4.5</v>
      </c>
      <c r="O145" s="45">
        <v>3.3</v>
      </c>
      <c r="P145" s="45">
        <v>3.8</v>
      </c>
      <c r="Q145" s="45">
        <v>5</v>
      </c>
      <c r="R145" s="45">
        <v>4.7</v>
      </c>
      <c r="S145" s="45">
        <v>4.7</v>
      </c>
      <c r="T145" s="45">
        <v>4.3</v>
      </c>
      <c r="U145" s="45">
        <v>4.8</v>
      </c>
      <c r="V145" s="45">
        <v>5.5</v>
      </c>
      <c r="W145" s="45">
        <v>6.1</v>
      </c>
      <c r="X145" s="45">
        <v>5.4</v>
      </c>
      <c r="Y145" s="45">
        <v>5.1</v>
      </c>
      <c r="Z145" s="45">
        <v>5.5</v>
      </c>
      <c r="AA145" s="45">
        <v>4.9</v>
      </c>
      <c r="AB145" s="45">
        <v>3.2</v>
      </c>
      <c r="AC145" s="45">
        <v>3.6</v>
      </c>
      <c r="AD145" s="45">
        <v>2.9</v>
      </c>
      <c r="AE145" s="45">
        <v>3.3</v>
      </c>
      <c r="AF145" s="45">
        <v>2.9</v>
      </c>
      <c r="AG145" s="45">
        <v>3.3</v>
      </c>
      <c r="AH145" s="45">
        <v>3.2</v>
      </c>
      <c r="AI145" s="45">
        <v>3.5</v>
      </c>
      <c r="AJ145" s="45">
        <v>3.2</v>
      </c>
      <c r="AK145" s="45">
        <v>2.2</v>
      </c>
      <c r="AL145" s="45">
        <v>3.7</v>
      </c>
      <c r="AM145" s="45">
        <v>3.1</v>
      </c>
      <c r="AN145" s="45">
        <v>2.9</v>
      </c>
      <c r="AO145" s="45">
        <v>2.9</v>
      </c>
      <c r="AP145" s="45">
        <v>3.7</v>
      </c>
      <c r="AQ145" s="45">
        <v>3.1</v>
      </c>
      <c r="AR145" s="45">
        <v>3.2</v>
      </c>
      <c r="AS145" s="45">
        <v>1.6</v>
      </c>
      <c r="AT145" s="45">
        <v>0.6</v>
      </c>
      <c r="AU145" s="45">
        <v>0</v>
      </c>
      <c r="AV145" s="45">
        <v>0</v>
      </c>
      <c r="AW145" s="45">
        <v>0</v>
      </c>
      <c r="AX145" s="45">
        <v>0</v>
      </c>
      <c r="AY145" s="45">
        <v>0</v>
      </c>
      <c r="AZ145" s="45">
        <v>0</v>
      </c>
      <c r="BA145" s="45">
        <v>0</v>
      </c>
      <c r="BB145" s="45">
        <v>0</v>
      </c>
      <c r="BC145" s="45">
        <v>0</v>
      </c>
      <c r="BD145" s="45">
        <v>0</v>
      </c>
      <c r="BE145" s="45">
        <v>0</v>
      </c>
      <c r="BF145" s="45">
        <v>0</v>
      </c>
      <c r="BG145" s="45">
        <v>0</v>
      </c>
    </row>
    <row r="146" spans="1:59">
      <c r="A146" s="18" t="s">
        <v>97</v>
      </c>
      <c r="B146" s="18" t="s">
        <v>92</v>
      </c>
      <c r="C146" s="18" t="s">
        <v>76</v>
      </c>
      <c r="D146" s="45">
        <v>0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11</v>
      </c>
      <c r="K146" s="45">
        <v>2.7</v>
      </c>
      <c r="L146" s="45">
        <v>2.5</v>
      </c>
      <c r="M146" s="45">
        <v>3.5</v>
      </c>
      <c r="N146" s="45">
        <v>4</v>
      </c>
      <c r="O146" s="45">
        <v>3.3</v>
      </c>
      <c r="P146" s="45">
        <v>2.7</v>
      </c>
      <c r="Q146" s="45">
        <v>4.1</v>
      </c>
      <c r="R146" s="45">
        <v>4.5</v>
      </c>
      <c r="S146" s="45">
        <v>5.4</v>
      </c>
      <c r="T146" s="45">
        <v>5.1</v>
      </c>
      <c r="U146" s="45">
        <v>5.1</v>
      </c>
      <c r="V146" s="45">
        <v>5.6</v>
      </c>
      <c r="W146" s="45">
        <v>6.5</v>
      </c>
      <c r="X146" s="45">
        <v>5</v>
      </c>
      <c r="Y146" s="45">
        <v>5.5</v>
      </c>
      <c r="Z146" s="45">
        <v>4.7</v>
      </c>
      <c r="AA146" s="45">
        <v>4.8</v>
      </c>
      <c r="AB146" s="45">
        <v>3.4</v>
      </c>
      <c r="AC146" s="45">
        <v>2.9</v>
      </c>
      <c r="AD146" s="45">
        <v>3.4</v>
      </c>
      <c r="AE146" s="45">
        <v>3.8</v>
      </c>
      <c r="AF146" s="45">
        <v>4.7</v>
      </c>
      <c r="AG146" s="45">
        <v>5.3</v>
      </c>
      <c r="AH146" s="45">
        <v>5.8</v>
      </c>
      <c r="AI146" s="45">
        <v>4.8</v>
      </c>
      <c r="AJ146" s="45">
        <v>4.3</v>
      </c>
      <c r="AK146" s="45">
        <v>4.4</v>
      </c>
      <c r="AL146" s="45">
        <v>4.2</v>
      </c>
      <c r="AM146" s="45">
        <v>3.8</v>
      </c>
      <c r="AN146" s="45">
        <v>4.6</v>
      </c>
      <c r="AO146" s="45">
        <v>3.4</v>
      </c>
      <c r="AP146" s="45">
        <v>3.4</v>
      </c>
      <c r="AQ146" s="45">
        <v>5</v>
      </c>
      <c r="AR146" s="45">
        <v>4.8</v>
      </c>
      <c r="AS146" s="45">
        <v>2.4</v>
      </c>
      <c r="AT146" s="45">
        <v>1.2</v>
      </c>
      <c r="AU146" s="45">
        <v>0</v>
      </c>
      <c r="AV146" s="45">
        <v>0</v>
      </c>
      <c r="AW146" s="45">
        <v>0</v>
      </c>
      <c r="AX146" s="45">
        <v>0</v>
      </c>
      <c r="AY146" s="45">
        <v>0</v>
      </c>
      <c r="AZ146" s="45">
        <v>0</v>
      </c>
      <c r="BA146" s="45">
        <v>0</v>
      </c>
      <c r="BB146" s="45">
        <v>0</v>
      </c>
      <c r="BC146" s="45">
        <v>0</v>
      </c>
      <c r="BD146" s="45">
        <v>0</v>
      </c>
      <c r="BE146" s="45">
        <v>0</v>
      </c>
      <c r="BF146" s="45">
        <v>0</v>
      </c>
      <c r="BG146" s="45">
        <v>0</v>
      </c>
    </row>
    <row r="147" spans="1:59">
      <c r="A147" s="18" t="s">
        <v>98</v>
      </c>
      <c r="B147" s="18" t="s">
        <v>92</v>
      </c>
      <c r="C147" s="18" t="s">
        <v>78</v>
      </c>
      <c r="D147" s="45">
        <v>0</v>
      </c>
      <c r="E147" s="45">
        <v>0</v>
      </c>
      <c r="F147" s="45">
        <v>0</v>
      </c>
      <c r="G147" s="45">
        <v>0</v>
      </c>
      <c r="H147" s="45">
        <v>0</v>
      </c>
      <c r="I147" s="45">
        <v>0</v>
      </c>
      <c r="J147" s="45">
        <v>12.3</v>
      </c>
      <c r="K147" s="45">
        <v>3.2</v>
      </c>
      <c r="L147" s="45">
        <v>2.1</v>
      </c>
      <c r="M147" s="45">
        <v>1.6</v>
      </c>
      <c r="N147" s="45">
        <v>2</v>
      </c>
      <c r="O147" s="45">
        <v>1.6</v>
      </c>
      <c r="P147" s="45">
        <v>2</v>
      </c>
      <c r="Q147" s="45">
        <v>2.7</v>
      </c>
      <c r="R147" s="45">
        <v>2.9</v>
      </c>
      <c r="S147" s="45">
        <v>2.7</v>
      </c>
      <c r="T147" s="45">
        <v>2.8</v>
      </c>
      <c r="U147" s="45">
        <v>3.5</v>
      </c>
      <c r="V147" s="45">
        <v>3.4</v>
      </c>
      <c r="W147" s="45">
        <v>3.3</v>
      </c>
      <c r="X147" s="45">
        <v>3.6</v>
      </c>
      <c r="Y147" s="45">
        <v>2.8</v>
      </c>
      <c r="Z147" s="45">
        <v>3.4</v>
      </c>
      <c r="AA147" s="45">
        <v>2.5</v>
      </c>
      <c r="AB147" s="45">
        <v>2.3</v>
      </c>
      <c r="AC147" s="45">
        <v>2.3</v>
      </c>
      <c r="AD147" s="45">
        <v>2.2</v>
      </c>
      <c r="AE147" s="45">
        <v>2.4</v>
      </c>
      <c r="AF147" s="45">
        <v>3</v>
      </c>
      <c r="AG147" s="45">
        <v>2.8</v>
      </c>
      <c r="AH147" s="45">
        <v>3</v>
      </c>
      <c r="AI147" s="45">
        <v>2.7</v>
      </c>
      <c r="AJ147" s="45">
        <v>3.3</v>
      </c>
      <c r="AK147" s="45">
        <v>3</v>
      </c>
      <c r="AL147" s="45">
        <v>3.4</v>
      </c>
      <c r="AM147" s="45">
        <v>3.1</v>
      </c>
      <c r="AN147" s="45">
        <v>3.2</v>
      </c>
      <c r="AO147" s="45">
        <v>3</v>
      </c>
      <c r="AP147" s="45">
        <v>3</v>
      </c>
      <c r="AQ147" s="45">
        <v>3</v>
      </c>
      <c r="AR147" s="45">
        <v>3.5</v>
      </c>
      <c r="AS147" s="45">
        <v>2.6</v>
      </c>
      <c r="AT147" s="45">
        <v>1.7</v>
      </c>
      <c r="AU147" s="45">
        <v>0</v>
      </c>
      <c r="AV147" s="45">
        <v>0</v>
      </c>
      <c r="AW147" s="45">
        <v>0</v>
      </c>
      <c r="AX147" s="45">
        <v>0</v>
      </c>
      <c r="AY147" s="45">
        <v>0</v>
      </c>
      <c r="AZ147" s="45">
        <v>0</v>
      </c>
      <c r="BA147" s="45">
        <v>0</v>
      </c>
      <c r="BB147" s="45">
        <v>0</v>
      </c>
      <c r="BC147" s="45">
        <v>0</v>
      </c>
      <c r="BD147" s="45">
        <v>0</v>
      </c>
      <c r="BE147" s="45">
        <v>0</v>
      </c>
      <c r="BF147" s="45">
        <v>0</v>
      </c>
      <c r="BG147" s="45">
        <v>0</v>
      </c>
    </row>
    <row r="148" spans="1:59">
      <c r="A148" s="18" t="s">
        <v>99</v>
      </c>
      <c r="B148" s="18" t="s">
        <v>92</v>
      </c>
      <c r="C148" s="18" t="s">
        <v>80</v>
      </c>
      <c r="D148" s="45">
        <v>0</v>
      </c>
      <c r="E148" s="45">
        <v>0</v>
      </c>
      <c r="F148" s="45">
        <v>0</v>
      </c>
      <c r="G148" s="45">
        <v>0</v>
      </c>
      <c r="H148" s="45">
        <v>0</v>
      </c>
      <c r="I148" s="45">
        <v>0</v>
      </c>
      <c r="J148" s="45">
        <v>12</v>
      </c>
      <c r="K148" s="45">
        <v>2.2</v>
      </c>
      <c r="L148" s="45">
        <v>1.8</v>
      </c>
      <c r="M148" s="45">
        <v>2.6</v>
      </c>
      <c r="N148" s="45">
        <v>2.2</v>
      </c>
      <c r="O148" s="45">
        <v>2.1</v>
      </c>
      <c r="P148" s="45">
        <v>1.8</v>
      </c>
      <c r="Q148" s="45">
        <v>2.5</v>
      </c>
      <c r="R148" s="45">
        <v>3.4</v>
      </c>
      <c r="S148" s="45">
        <v>2.5</v>
      </c>
      <c r="T148" s="45">
        <v>2.9</v>
      </c>
      <c r="U148" s="45">
        <v>3</v>
      </c>
      <c r="V148" s="45">
        <v>3.6</v>
      </c>
      <c r="W148" s="45">
        <v>3.5</v>
      </c>
      <c r="X148" s="45">
        <v>3.2</v>
      </c>
      <c r="Y148" s="45">
        <v>2.8</v>
      </c>
      <c r="Z148" s="45">
        <v>2.6</v>
      </c>
      <c r="AA148" s="45">
        <v>3.1</v>
      </c>
      <c r="AB148" s="45">
        <v>2.8</v>
      </c>
      <c r="AC148" s="45">
        <v>2.6</v>
      </c>
      <c r="AD148" s="45">
        <v>2.9</v>
      </c>
      <c r="AE148" s="45">
        <v>3</v>
      </c>
      <c r="AF148" s="45">
        <v>3.2</v>
      </c>
      <c r="AG148" s="45">
        <v>2.9</v>
      </c>
      <c r="AH148" s="45">
        <v>3.4</v>
      </c>
      <c r="AI148" s="45">
        <v>2.9</v>
      </c>
      <c r="AJ148" s="45">
        <v>3</v>
      </c>
      <c r="AK148" s="45">
        <v>2.4</v>
      </c>
      <c r="AL148" s="45">
        <v>3.3</v>
      </c>
      <c r="AM148" s="45">
        <v>2.6</v>
      </c>
      <c r="AN148" s="45">
        <v>3.2</v>
      </c>
      <c r="AO148" s="45">
        <v>3.5</v>
      </c>
      <c r="AP148" s="45">
        <v>3.6</v>
      </c>
      <c r="AQ148" s="45">
        <v>3.7</v>
      </c>
      <c r="AR148" s="45">
        <v>3.3</v>
      </c>
      <c r="AS148" s="45">
        <v>2.4</v>
      </c>
      <c r="AT148" s="45">
        <v>2</v>
      </c>
      <c r="AU148" s="45">
        <v>0</v>
      </c>
      <c r="AV148" s="45">
        <v>0</v>
      </c>
      <c r="AW148" s="45">
        <v>0</v>
      </c>
      <c r="AX148" s="45">
        <v>0</v>
      </c>
      <c r="AY148" s="45">
        <v>0</v>
      </c>
      <c r="AZ148" s="45">
        <v>0</v>
      </c>
      <c r="BA148" s="45">
        <v>0</v>
      </c>
      <c r="BB148" s="45">
        <v>0</v>
      </c>
      <c r="BC148" s="45">
        <v>0</v>
      </c>
      <c r="BD148" s="45">
        <v>0</v>
      </c>
      <c r="BE148" s="45">
        <v>0</v>
      </c>
      <c r="BF148" s="45">
        <v>0</v>
      </c>
      <c r="BG148" s="45">
        <v>0</v>
      </c>
    </row>
    <row r="149" spans="1:59">
      <c r="A149" s="18" t="s">
        <v>100</v>
      </c>
      <c r="B149" s="18" t="s">
        <v>92</v>
      </c>
      <c r="C149" s="18" t="s">
        <v>82</v>
      </c>
      <c r="D149" s="45">
        <v>0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2.8</v>
      </c>
      <c r="L149" s="45">
        <v>1.9</v>
      </c>
      <c r="M149" s="45">
        <v>1.9</v>
      </c>
      <c r="N149" s="45">
        <v>2.6</v>
      </c>
      <c r="O149" s="45">
        <v>2</v>
      </c>
      <c r="P149" s="45">
        <v>2.6</v>
      </c>
      <c r="Q149" s="45">
        <v>2.2</v>
      </c>
      <c r="R149" s="45">
        <v>2.4</v>
      </c>
      <c r="S149" s="45">
        <v>2.4</v>
      </c>
      <c r="T149" s="45">
        <v>2.4</v>
      </c>
      <c r="U149" s="45">
        <v>2.5</v>
      </c>
      <c r="V149" s="45">
        <v>2.5</v>
      </c>
      <c r="W149" s="45">
        <v>2.6</v>
      </c>
      <c r="X149" s="45">
        <v>3.5</v>
      </c>
      <c r="Y149" s="45">
        <v>2.5</v>
      </c>
      <c r="Z149" s="45">
        <v>2.7</v>
      </c>
      <c r="AA149" s="45">
        <v>2.7</v>
      </c>
      <c r="AB149" s="45">
        <v>2.8</v>
      </c>
      <c r="AC149" s="45">
        <v>2.9</v>
      </c>
      <c r="AD149" s="45">
        <v>2.9</v>
      </c>
      <c r="AE149" s="45">
        <v>3.4</v>
      </c>
      <c r="AF149" s="45">
        <v>4.1</v>
      </c>
      <c r="AG149" s="45">
        <v>4.4</v>
      </c>
      <c r="AH149" s="45">
        <v>4.8</v>
      </c>
      <c r="AI149" s="45">
        <v>3.9</v>
      </c>
      <c r="AJ149" s="45">
        <v>3.3</v>
      </c>
      <c r="AK149" s="45">
        <v>2.5</v>
      </c>
      <c r="AL149" s="45">
        <v>3.5</v>
      </c>
      <c r="AM149" s="45">
        <v>3.3</v>
      </c>
      <c r="AN149" s="45">
        <v>3.2</v>
      </c>
      <c r="AO149" s="45">
        <v>2.8</v>
      </c>
      <c r="AP149" s="45">
        <v>3.1</v>
      </c>
      <c r="AQ149" s="45">
        <v>3.4</v>
      </c>
      <c r="AR149" s="45">
        <v>3.7</v>
      </c>
      <c r="AS149" s="45">
        <v>2.7</v>
      </c>
      <c r="AT149" s="45">
        <v>1.4</v>
      </c>
      <c r="AU149" s="45">
        <v>0</v>
      </c>
      <c r="AV149" s="45">
        <v>0</v>
      </c>
      <c r="AW149" s="45">
        <v>0</v>
      </c>
      <c r="AX149" s="45">
        <v>0</v>
      </c>
      <c r="AY149" s="45">
        <v>0</v>
      </c>
      <c r="AZ149" s="45">
        <v>0</v>
      </c>
      <c r="BA149" s="45">
        <v>0</v>
      </c>
      <c r="BB149" s="45">
        <v>0</v>
      </c>
      <c r="BC149" s="45">
        <v>0</v>
      </c>
      <c r="BD149" s="45">
        <v>0</v>
      </c>
      <c r="BE149" s="45">
        <v>0</v>
      </c>
      <c r="BF149" s="45">
        <v>0</v>
      </c>
      <c r="BG149" s="45">
        <v>0</v>
      </c>
    </row>
    <row r="150" spans="1:59">
      <c r="A150" s="18" t="s">
        <v>101</v>
      </c>
      <c r="B150" s="18" t="s">
        <v>92</v>
      </c>
      <c r="C150" s="18" t="s">
        <v>84</v>
      </c>
      <c r="D150" s="45">
        <v>0</v>
      </c>
      <c r="E150" s="45">
        <v>0</v>
      </c>
      <c r="F150" s="45">
        <v>0</v>
      </c>
      <c r="G150" s="45">
        <v>0</v>
      </c>
      <c r="H150" s="45">
        <v>0</v>
      </c>
      <c r="I150" s="45">
        <v>5.6</v>
      </c>
      <c r="J150" s="45">
        <v>1.3</v>
      </c>
      <c r="K150" s="45">
        <v>1.5</v>
      </c>
      <c r="L150" s="45">
        <v>1.7</v>
      </c>
      <c r="M150" s="45">
        <v>2.8</v>
      </c>
      <c r="N150" s="45">
        <v>6.4</v>
      </c>
      <c r="O150" s="45">
        <v>1.2</v>
      </c>
      <c r="P150" s="45">
        <v>3.9</v>
      </c>
      <c r="Q150" s="45">
        <v>1.6</v>
      </c>
      <c r="R150" s="45">
        <v>1.6</v>
      </c>
      <c r="S150" s="45">
        <v>3.4</v>
      </c>
      <c r="T150" s="45">
        <v>4.1</v>
      </c>
      <c r="U150" s="45">
        <v>16</v>
      </c>
      <c r="V150" s="45">
        <v>14</v>
      </c>
      <c r="W150" s="45">
        <v>22.1</v>
      </c>
      <c r="X150" s="45">
        <v>3.8</v>
      </c>
      <c r="Y150" s="45">
        <v>3.4</v>
      </c>
      <c r="Z150" s="45">
        <v>6.9</v>
      </c>
      <c r="AA150" s="45">
        <v>4.7</v>
      </c>
      <c r="AB150" s="45">
        <v>3.7</v>
      </c>
      <c r="AC150" s="45">
        <v>3.8</v>
      </c>
      <c r="AD150" s="45">
        <v>6.5</v>
      </c>
      <c r="AE150" s="45">
        <v>3.6</v>
      </c>
      <c r="AF150" s="45">
        <v>5.2</v>
      </c>
      <c r="AG150" s="45">
        <v>6.2</v>
      </c>
      <c r="AH150" s="45">
        <v>2.8</v>
      </c>
      <c r="AI150" s="45">
        <v>6.2</v>
      </c>
      <c r="AJ150" s="45">
        <v>4.4</v>
      </c>
      <c r="AK150" s="45">
        <v>3.1</v>
      </c>
      <c r="AL150" s="45">
        <v>2.7</v>
      </c>
      <c r="AM150" s="45">
        <v>2.7</v>
      </c>
      <c r="AN150" s="45">
        <v>3.3</v>
      </c>
      <c r="AO150" s="45">
        <v>3.8</v>
      </c>
      <c r="AP150" s="45">
        <v>5</v>
      </c>
      <c r="AQ150" s="45">
        <v>4.4</v>
      </c>
      <c r="AR150" s="45">
        <v>1.4</v>
      </c>
      <c r="AS150" s="45">
        <v>0</v>
      </c>
      <c r="AT150" s="45">
        <v>0</v>
      </c>
      <c r="AU150" s="45">
        <v>0</v>
      </c>
      <c r="AV150" s="45">
        <v>0</v>
      </c>
      <c r="AW150" s="45">
        <v>0</v>
      </c>
      <c r="AX150" s="45">
        <v>0</v>
      </c>
      <c r="AY150" s="45">
        <v>0</v>
      </c>
      <c r="AZ150" s="45">
        <v>0</v>
      </c>
      <c r="BA150" s="45">
        <v>0</v>
      </c>
      <c r="BB150" s="45">
        <v>0</v>
      </c>
      <c r="BC150" s="45">
        <v>0</v>
      </c>
      <c r="BD150" s="45">
        <v>0</v>
      </c>
      <c r="BE150" s="45">
        <v>0</v>
      </c>
      <c r="BF150" s="45">
        <v>0</v>
      </c>
      <c r="BG150" s="45">
        <v>0</v>
      </c>
    </row>
    <row r="151" spans="1:59">
      <c r="A151" s="18" t="s">
        <v>102</v>
      </c>
      <c r="B151" s="18" t="s">
        <v>92</v>
      </c>
      <c r="C151" s="18" t="s">
        <v>86</v>
      </c>
      <c r="D151" s="45">
        <v>0</v>
      </c>
      <c r="E151" s="45">
        <v>0</v>
      </c>
      <c r="F151" s="45">
        <v>0</v>
      </c>
      <c r="G151" s="45">
        <v>0</v>
      </c>
      <c r="H151" s="45">
        <v>0</v>
      </c>
      <c r="I151" s="45">
        <v>5</v>
      </c>
      <c r="J151" s="45">
        <v>1.7</v>
      </c>
      <c r="K151" s="45">
        <v>1.7</v>
      </c>
      <c r="L151" s="45">
        <v>2.8</v>
      </c>
      <c r="M151" s="45">
        <v>1.8</v>
      </c>
      <c r="N151" s="45">
        <v>2</v>
      </c>
      <c r="O151" s="45">
        <v>2</v>
      </c>
      <c r="P151" s="45">
        <v>2.5</v>
      </c>
      <c r="Q151" s="45">
        <v>2.9</v>
      </c>
      <c r="R151" s="45">
        <v>3.2</v>
      </c>
      <c r="S151" s="45">
        <v>3.3</v>
      </c>
      <c r="T151" s="45">
        <v>3.2</v>
      </c>
      <c r="U151" s="45">
        <v>3.6</v>
      </c>
      <c r="V151" s="45">
        <v>4.6</v>
      </c>
      <c r="W151" s="45">
        <v>4.5</v>
      </c>
      <c r="X151" s="45">
        <v>4</v>
      </c>
      <c r="Y151" s="45">
        <v>4.2</v>
      </c>
      <c r="Z151" s="45">
        <v>3.3</v>
      </c>
      <c r="AA151" s="45">
        <v>2.7</v>
      </c>
      <c r="AB151" s="45">
        <v>3.7</v>
      </c>
      <c r="AC151" s="45">
        <v>4.3</v>
      </c>
      <c r="AD151" s="45">
        <v>5</v>
      </c>
      <c r="AE151" s="45">
        <v>5.5</v>
      </c>
      <c r="AF151" s="45">
        <v>5.5</v>
      </c>
      <c r="AG151" s="45">
        <v>5.3</v>
      </c>
      <c r="AH151" s="45">
        <v>5.7</v>
      </c>
      <c r="AI151" s="45">
        <v>5.3</v>
      </c>
      <c r="AJ151" s="45">
        <v>4.6</v>
      </c>
      <c r="AK151" s="45">
        <v>5.1</v>
      </c>
      <c r="AL151" s="45">
        <v>5.3</v>
      </c>
      <c r="AM151" s="45">
        <v>4.9</v>
      </c>
      <c r="AN151" s="45">
        <v>4.6</v>
      </c>
      <c r="AO151" s="45">
        <v>6.1</v>
      </c>
      <c r="AP151" s="45">
        <v>6</v>
      </c>
      <c r="AQ151" s="45">
        <v>3.4</v>
      </c>
      <c r="AR151" s="45">
        <v>2.4</v>
      </c>
      <c r="AS151" s="45">
        <v>0</v>
      </c>
      <c r="AT151" s="45">
        <v>0</v>
      </c>
      <c r="AU151" s="45">
        <v>0</v>
      </c>
      <c r="AV151" s="45">
        <v>0</v>
      </c>
      <c r="AW151" s="45">
        <v>0</v>
      </c>
      <c r="AX151" s="45">
        <v>0</v>
      </c>
      <c r="AY151" s="45">
        <v>0</v>
      </c>
      <c r="AZ151" s="45">
        <v>0</v>
      </c>
      <c r="BA151" s="45">
        <v>0</v>
      </c>
      <c r="BB151" s="45">
        <v>0</v>
      </c>
      <c r="BC151" s="45">
        <v>0</v>
      </c>
      <c r="BD151" s="45">
        <v>0</v>
      </c>
      <c r="BE151" s="45">
        <v>0</v>
      </c>
      <c r="BF151" s="45">
        <v>0</v>
      </c>
      <c r="BG151" s="45">
        <v>0</v>
      </c>
    </row>
    <row r="152" spans="1:59">
      <c r="A152" s="18" t="s">
        <v>103</v>
      </c>
      <c r="B152" s="18" t="s">
        <v>92</v>
      </c>
      <c r="C152" s="18" t="s">
        <v>88</v>
      </c>
      <c r="D152" s="45">
        <v>0</v>
      </c>
      <c r="E152" s="45">
        <v>0</v>
      </c>
      <c r="F152" s="45">
        <v>0</v>
      </c>
      <c r="G152" s="45">
        <v>0</v>
      </c>
      <c r="H152" s="45">
        <v>0</v>
      </c>
      <c r="I152" s="45">
        <v>5.8</v>
      </c>
      <c r="J152" s="45">
        <v>2.1</v>
      </c>
      <c r="K152" s="45">
        <v>1.5</v>
      </c>
      <c r="L152" s="45">
        <v>2.5</v>
      </c>
      <c r="M152" s="45">
        <v>2.7</v>
      </c>
      <c r="N152" s="45">
        <v>2</v>
      </c>
      <c r="O152" s="45">
        <v>2.4</v>
      </c>
      <c r="P152" s="45">
        <v>3.7</v>
      </c>
      <c r="Q152" s="45">
        <v>3.1</v>
      </c>
      <c r="R152" s="45">
        <v>3.4</v>
      </c>
      <c r="S152" s="45">
        <v>3.2</v>
      </c>
      <c r="T152" s="45">
        <v>3.2</v>
      </c>
      <c r="U152" s="45">
        <v>3.3</v>
      </c>
      <c r="V152" s="45">
        <v>3.7</v>
      </c>
      <c r="W152" s="45">
        <v>3.3</v>
      </c>
      <c r="X152" s="45">
        <v>3.9</v>
      </c>
      <c r="Y152" s="45">
        <v>2.8</v>
      </c>
      <c r="Z152" s="45">
        <v>3.4</v>
      </c>
      <c r="AA152" s="45">
        <v>2.7</v>
      </c>
      <c r="AB152" s="45">
        <v>3.6</v>
      </c>
      <c r="AC152" s="45">
        <v>5</v>
      </c>
      <c r="AD152" s="45">
        <v>5.7</v>
      </c>
      <c r="AE152" s="45">
        <v>5.8</v>
      </c>
      <c r="AF152" s="45">
        <v>5.9</v>
      </c>
      <c r="AG152" s="45">
        <v>5</v>
      </c>
      <c r="AH152" s="45">
        <v>4.9</v>
      </c>
      <c r="AI152" s="45">
        <v>4.8</v>
      </c>
      <c r="AJ152" s="45">
        <v>4.6</v>
      </c>
      <c r="AK152" s="45">
        <v>4.4</v>
      </c>
      <c r="AL152" s="45">
        <v>5.3</v>
      </c>
      <c r="AM152" s="45">
        <v>4.7</v>
      </c>
      <c r="AN152" s="45">
        <v>4.7</v>
      </c>
      <c r="AO152" s="45">
        <v>5.6</v>
      </c>
      <c r="AP152" s="45">
        <v>5</v>
      </c>
      <c r="AQ152" s="45">
        <v>3.7</v>
      </c>
      <c r="AR152" s="45">
        <v>2.4</v>
      </c>
      <c r="AS152" s="45">
        <v>0</v>
      </c>
      <c r="AT152" s="45">
        <v>0</v>
      </c>
      <c r="AU152" s="45">
        <v>0</v>
      </c>
      <c r="AV152" s="45">
        <v>0</v>
      </c>
      <c r="AW152" s="45">
        <v>0</v>
      </c>
      <c r="AX152" s="45">
        <v>0</v>
      </c>
      <c r="AY152" s="45">
        <v>0</v>
      </c>
      <c r="AZ152" s="45">
        <v>0</v>
      </c>
      <c r="BA152" s="45">
        <v>0</v>
      </c>
      <c r="BB152" s="45">
        <v>0</v>
      </c>
      <c r="BC152" s="45">
        <v>0</v>
      </c>
      <c r="BD152" s="45">
        <v>0</v>
      </c>
      <c r="BE152" s="45">
        <v>0</v>
      </c>
      <c r="BF152" s="45">
        <v>0</v>
      </c>
      <c r="BG152" s="45">
        <v>0</v>
      </c>
    </row>
    <row r="153" spans="1:59">
      <c r="A153" s="18" t="s">
        <v>104</v>
      </c>
      <c r="B153" s="18" t="s">
        <v>92</v>
      </c>
      <c r="C153" s="18" t="s">
        <v>90</v>
      </c>
      <c r="D153" s="45">
        <v>0</v>
      </c>
      <c r="E153" s="45">
        <v>0</v>
      </c>
      <c r="F153" s="45">
        <v>0</v>
      </c>
      <c r="G153" s="45">
        <v>0</v>
      </c>
      <c r="H153" s="45">
        <v>0</v>
      </c>
      <c r="I153" s="45">
        <v>5.6</v>
      </c>
      <c r="J153" s="45">
        <v>1.7</v>
      </c>
      <c r="K153" s="45">
        <v>2.8</v>
      </c>
      <c r="L153" s="45">
        <v>3.8</v>
      </c>
      <c r="M153" s="45">
        <v>3.5</v>
      </c>
      <c r="N153" s="45">
        <v>4.5</v>
      </c>
      <c r="O153" s="45">
        <v>5.3</v>
      </c>
      <c r="P153" s="45">
        <v>3.8</v>
      </c>
      <c r="Q153" s="45">
        <v>5.8</v>
      </c>
      <c r="R153" s="45">
        <v>6.6</v>
      </c>
      <c r="S153" s="45">
        <v>9.199999999999999</v>
      </c>
      <c r="T153" s="45">
        <v>5.1</v>
      </c>
      <c r="U153" s="45">
        <v>9</v>
      </c>
      <c r="V153" s="45">
        <v>10.7</v>
      </c>
      <c r="W153" s="45">
        <v>10.5</v>
      </c>
      <c r="X153" s="45">
        <v>5.5</v>
      </c>
      <c r="Y153" s="45">
        <v>8.4</v>
      </c>
      <c r="Z153" s="45">
        <v>8.300000000000001</v>
      </c>
      <c r="AA153" s="45">
        <v>6.9</v>
      </c>
      <c r="AB153" s="45">
        <v>7.6</v>
      </c>
      <c r="AC153" s="45">
        <v>7.1</v>
      </c>
      <c r="AD153" s="45">
        <v>6.5</v>
      </c>
      <c r="AE153" s="45">
        <v>8.199999999999999</v>
      </c>
      <c r="AF153" s="45">
        <v>7.2</v>
      </c>
      <c r="AG153" s="45">
        <v>4.9</v>
      </c>
      <c r="AH153" s="45">
        <v>7.6</v>
      </c>
      <c r="AI153" s="45">
        <v>7.4</v>
      </c>
      <c r="AJ153" s="45">
        <v>7.5</v>
      </c>
      <c r="AK153" s="45">
        <v>6.2</v>
      </c>
      <c r="AL153" s="45">
        <v>6.7</v>
      </c>
      <c r="AM153" s="45">
        <v>5.9</v>
      </c>
      <c r="AN153" s="45">
        <v>5.3</v>
      </c>
      <c r="AO153" s="45">
        <v>6.1</v>
      </c>
      <c r="AP153" s="45">
        <v>5.8</v>
      </c>
      <c r="AQ153" s="45">
        <v>5.3</v>
      </c>
      <c r="AR153" s="45">
        <v>4</v>
      </c>
      <c r="AS153" s="45">
        <v>0</v>
      </c>
      <c r="AT153" s="45">
        <v>0</v>
      </c>
      <c r="AU153" s="45">
        <v>0</v>
      </c>
      <c r="AV153" s="45">
        <v>0</v>
      </c>
      <c r="AW153" s="45">
        <v>0</v>
      </c>
      <c r="AX153" s="45">
        <v>0</v>
      </c>
      <c r="AY153" s="45">
        <v>0</v>
      </c>
      <c r="AZ153" s="45">
        <v>0</v>
      </c>
      <c r="BA153" s="45">
        <v>0</v>
      </c>
      <c r="BB153" s="45">
        <v>0</v>
      </c>
      <c r="BC153" s="45">
        <v>0</v>
      </c>
      <c r="BD153" s="45">
        <v>0</v>
      </c>
      <c r="BE153" s="45">
        <v>0</v>
      </c>
      <c r="BF153" s="45">
        <v>0</v>
      </c>
      <c r="BG153" s="45">
        <v>0</v>
      </c>
    </row>
    <row r="154" spans="1:59">
      <c r="A154" s="18" t="s">
        <v>105</v>
      </c>
      <c r="B154" s="18" t="s">
        <v>106</v>
      </c>
      <c r="C154" s="18" t="s">
        <v>66</v>
      </c>
      <c r="D154" s="45">
        <v>0</v>
      </c>
      <c r="E154" s="45">
        <v>0</v>
      </c>
      <c r="F154" s="45">
        <v>0</v>
      </c>
      <c r="G154" s="45">
        <v>0</v>
      </c>
      <c r="H154" s="45">
        <v>16.2</v>
      </c>
      <c r="I154" s="45">
        <v>4.4</v>
      </c>
      <c r="J154" s="45">
        <v>2.6</v>
      </c>
      <c r="K154" s="45">
        <v>3.1</v>
      </c>
      <c r="L154" s="45">
        <v>3</v>
      </c>
      <c r="M154" s="45">
        <v>3.4</v>
      </c>
      <c r="N154" s="45">
        <v>4.5</v>
      </c>
      <c r="O154" s="45">
        <v>4.6</v>
      </c>
      <c r="P154" s="45">
        <v>5.2</v>
      </c>
      <c r="Q154" s="45">
        <v>5</v>
      </c>
      <c r="R154" s="45">
        <v>4.7</v>
      </c>
      <c r="S154" s="45">
        <v>4.6</v>
      </c>
      <c r="T154" s="45">
        <v>4.7</v>
      </c>
      <c r="U154" s="45">
        <v>4.6</v>
      </c>
      <c r="V154" s="45">
        <v>4.6</v>
      </c>
      <c r="W154" s="45">
        <v>4.5</v>
      </c>
      <c r="X154" s="45">
        <v>4.7</v>
      </c>
      <c r="Y154" s="45">
        <v>4.3</v>
      </c>
      <c r="Z154" s="45">
        <v>4.3</v>
      </c>
      <c r="AA154" s="45">
        <v>4</v>
      </c>
      <c r="AB154" s="45">
        <v>4.4</v>
      </c>
      <c r="AC154" s="45">
        <v>4.9</v>
      </c>
      <c r="AD154" s="45">
        <v>5.2</v>
      </c>
      <c r="AE154" s="45">
        <v>4.7</v>
      </c>
      <c r="AF154" s="45">
        <v>4.4</v>
      </c>
      <c r="AG154" s="45">
        <v>4.4</v>
      </c>
      <c r="AH154" s="45">
        <v>4.1</v>
      </c>
      <c r="AI154" s="45">
        <v>4</v>
      </c>
      <c r="AJ154" s="45">
        <v>4.3</v>
      </c>
      <c r="AK154" s="45">
        <v>4.6</v>
      </c>
      <c r="AL154" s="45">
        <v>4.9</v>
      </c>
      <c r="AM154" s="45">
        <v>4.8</v>
      </c>
      <c r="AN154" s="45">
        <v>4.7</v>
      </c>
      <c r="AO154" s="45">
        <v>4.3</v>
      </c>
      <c r="AP154" s="45">
        <v>3.8</v>
      </c>
      <c r="AQ154" s="45">
        <v>2.8</v>
      </c>
      <c r="AR154" s="45">
        <v>1.5</v>
      </c>
      <c r="AS154" s="45">
        <v>0.9</v>
      </c>
      <c r="AT154" s="45">
        <v>0</v>
      </c>
      <c r="AU154" s="45">
        <v>0</v>
      </c>
      <c r="AV154" s="45">
        <v>0</v>
      </c>
      <c r="AW154" s="45">
        <v>0</v>
      </c>
      <c r="AX154" s="45">
        <v>0</v>
      </c>
      <c r="AY154" s="45">
        <v>0</v>
      </c>
      <c r="AZ154" s="45">
        <v>0</v>
      </c>
      <c r="BA154" s="45">
        <v>0</v>
      </c>
      <c r="BB154" s="45">
        <v>0</v>
      </c>
      <c r="BC154" s="45">
        <v>0</v>
      </c>
      <c r="BD154" s="45">
        <v>0</v>
      </c>
      <c r="BE154" s="45">
        <v>0</v>
      </c>
      <c r="BF154" s="45">
        <v>0</v>
      </c>
      <c r="BG154" s="45">
        <v>0</v>
      </c>
    </row>
    <row r="155" spans="1:59">
      <c r="A155" s="18" t="s">
        <v>107</v>
      </c>
      <c r="B155" s="18" t="s">
        <v>106</v>
      </c>
      <c r="C155" s="18" t="s">
        <v>68</v>
      </c>
      <c r="D155" s="45">
        <v>0</v>
      </c>
      <c r="E155" s="45">
        <v>0</v>
      </c>
      <c r="F155" s="45">
        <v>0</v>
      </c>
      <c r="G155" s="45">
        <v>0</v>
      </c>
      <c r="H155" s="45">
        <v>0</v>
      </c>
      <c r="I155" s="45">
        <v>4.3</v>
      </c>
      <c r="J155" s="45">
        <v>3.5</v>
      </c>
      <c r="K155" s="45">
        <v>3.8</v>
      </c>
      <c r="L155" s="45">
        <v>4.7</v>
      </c>
      <c r="M155" s="45">
        <v>4.8</v>
      </c>
      <c r="N155" s="45">
        <v>5.6</v>
      </c>
      <c r="O155" s="45">
        <v>6.6</v>
      </c>
      <c r="P155" s="45">
        <v>6.8</v>
      </c>
      <c r="Q155" s="45">
        <v>6.6</v>
      </c>
      <c r="R155" s="45">
        <v>5.8</v>
      </c>
      <c r="S155" s="45">
        <v>6.2</v>
      </c>
      <c r="T155" s="45">
        <v>5.2</v>
      </c>
      <c r="U155" s="45">
        <v>5.7</v>
      </c>
      <c r="V155" s="45">
        <v>4.7</v>
      </c>
      <c r="W155" s="45">
        <v>4</v>
      </c>
      <c r="X155" s="45">
        <v>5</v>
      </c>
      <c r="Y155" s="45">
        <v>5.6</v>
      </c>
      <c r="Z155" s="45">
        <v>7.4</v>
      </c>
      <c r="AA155" s="45">
        <v>6.1</v>
      </c>
      <c r="AB155" s="45">
        <v>8.5</v>
      </c>
      <c r="AC155" s="45">
        <v>6.1</v>
      </c>
      <c r="AD155" s="45">
        <v>7.4</v>
      </c>
      <c r="AE155" s="45">
        <v>5.1</v>
      </c>
      <c r="AF155" s="45">
        <v>4.9</v>
      </c>
      <c r="AG155" s="45">
        <v>4.9</v>
      </c>
      <c r="AH155" s="45">
        <v>4.3</v>
      </c>
      <c r="AI155" s="45">
        <v>5.1</v>
      </c>
      <c r="AJ155" s="45">
        <v>4.3</v>
      </c>
      <c r="AK155" s="45">
        <v>4.7</v>
      </c>
      <c r="AL155" s="45">
        <v>5.6</v>
      </c>
      <c r="AM155" s="45">
        <v>4.4</v>
      </c>
      <c r="AN155" s="45">
        <v>5.4</v>
      </c>
      <c r="AO155" s="45">
        <v>4.9</v>
      </c>
      <c r="AP155" s="45">
        <v>4.6</v>
      </c>
      <c r="AQ155" s="45">
        <v>3.3</v>
      </c>
      <c r="AR155" s="45">
        <v>2.5</v>
      </c>
      <c r="AS155" s="45">
        <v>0</v>
      </c>
      <c r="AT155" s="45">
        <v>0</v>
      </c>
      <c r="AU155" s="45">
        <v>0</v>
      </c>
      <c r="AV155" s="45">
        <v>0</v>
      </c>
      <c r="AW155" s="45">
        <v>0</v>
      </c>
      <c r="AX155" s="45">
        <v>0</v>
      </c>
      <c r="AY155" s="45">
        <v>0</v>
      </c>
      <c r="AZ155" s="45">
        <v>0</v>
      </c>
      <c r="BA155" s="45">
        <v>0</v>
      </c>
      <c r="BB155" s="45">
        <v>0</v>
      </c>
      <c r="BC155" s="45">
        <v>0</v>
      </c>
      <c r="BD155" s="45">
        <v>0</v>
      </c>
      <c r="BE155" s="45">
        <v>0</v>
      </c>
      <c r="BF155" s="45">
        <v>0</v>
      </c>
      <c r="BG155" s="45">
        <v>0</v>
      </c>
    </row>
    <row r="156" spans="1:59">
      <c r="A156" s="18" t="s">
        <v>108</v>
      </c>
      <c r="B156" s="18" t="s">
        <v>106</v>
      </c>
      <c r="C156" s="18" t="s">
        <v>70</v>
      </c>
      <c r="D156" s="45">
        <v>0</v>
      </c>
      <c r="E156" s="45">
        <v>0</v>
      </c>
      <c r="F156" s="45">
        <v>0</v>
      </c>
      <c r="G156" s="45">
        <v>0</v>
      </c>
      <c r="H156" s="45">
        <v>0</v>
      </c>
      <c r="I156" s="45">
        <v>5.2</v>
      </c>
      <c r="J156" s="45">
        <v>4.2</v>
      </c>
      <c r="K156" s="45">
        <v>4.8</v>
      </c>
      <c r="L156" s="45">
        <v>3.4</v>
      </c>
      <c r="M156" s="45">
        <v>3.5</v>
      </c>
      <c r="N156" s="45">
        <v>4.6</v>
      </c>
      <c r="O156" s="45">
        <v>5.2</v>
      </c>
      <c r="P156" s="45">
        <v>5.4</v>
      </c>
      <c r="Q156" s="45">
        <v>4.5</v>
      </c>
      <c r="R156" s="45">
        <v>3.4</v>
      </c>
      <c r="S156" s="45">
        <v>3.4</v>
      </c>
      <c r="T156" s="45">
        <v>3.4</v>
      </c>
      <c r="U156" s="45">
        <v>3.6</v>
      </c>
      <c r="V156" s="45">
        <v>3.8</v>
      </c>
      <c r="W156" s="45">
        <v>3.5</v>
      </c>
      <c r="X156" s="45">
        <v>4.9</v>
      </c>
      <c r="Y156" s="45">
        <v>3.2</v>
      </c>
      <c r="Z156" s="45">
        <v>4.1</v>
      </c>
      <c r="AA156" s="45">
        <v>2.8</v>
      </c>
      <c r="AB156" s="45">
        <v>3.1</v>
      </c>
      <c r="AC156" s="45">
        <v>3.7</v>
      </c>
      <c r="AD156" s="45">
        <v>3.6</v>
      </c>
      <c r="AE156" s="45">
        <v>3</v>
      </c>
      <c r="AF156" s="45">
        <v>3.7</v>
      </c>
      <c r="AG156" s="45">
        <v>3.8</v>
      </c>
      <c r="AH156" s="45">
        <v>3.3</v>
      </c>
      <c r="AI156" s="45">
        <v>2.8</v>
      </c>
      <c r="AJ156" s="45">
        <v>2.5</v>
      </c>
      <c r="AK156" s="45">
        <v>4.4</v>
      </c>
      <c r="AL156" s="45">
        <v>3.9</v>
      </c>
      <c r="AM156" s="45">
        <v>5</v>
      </c>
      <c r="AN156" s="45">
        <v>3.8</v>
      </c>
      <c r="AO156" s="45">
        <v>3.7</v>
      </c>
      <c r="AP156" s="45">
        <v>3.6</v>
      </c>
      <c r="AQ156" s="45">
        <v>3.3</v>
      </c>
      <c r="AR156" s="45">
        <v>1.2</v>
      </c>
      <c r="AS156" s="45">
        <v>0</v>
      </c>
      <c r="AT156" s="45">
        <v>0</v>
      </c>
      <c r="AU156" s="45">
        <v>0</v>
      </c>
      <c r="AV156" s="45">
        <v>0</v>
      </c>
      <c r="AW156" s="45">
        <v>0</v>
      </c>
      <c r="AX156" s="45">
        <v>0</v>
      </c>
      <c r="AY156" s="45">
        <v>0</v>
      </c>
      <c r="AZ156" s="45">
        <v>0</v>
      </c>
      <c r="BA156" s="45">
        <v>0</v>
      </c>
      <c r="BB156" s="45">
        <v>0</v>
      </c>
      <c r="BC156" s="45">
        <v>0</v>
      </c>
      <c r="BD156" s="45">
        <v>0</v>
      </c>
      <c r="BE156" s="45">
        <v>0</v>
      </c>
      <c r="BF156" s="45">
        <v>0</v>
      </c>
      <c r="BG156" s="45">
        <v>0</v>
      </c>
    </row>
    <row r="157" spans="1:59">
      <c r="A157" s="18" t="s">
        <v>109</v>
      </c>
      <c r="B157" s="18" t="s">
        <v>106</v>
      </c>
      <c r="C157" s="18" t="s">
        <v>72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5">
        <v>3.7</v>
      </c>
      <c r="J157" s="45">
        <v>2.6</v>
      </c>
      <c r="K157" s="45">
        <v>3.6</v>
      </c>
      <c r="L157" s="45">
        <v>2.3</v>
      </c>
      <c r="M157" s="45">
        <v>3.4</v>
      </c>
      <c r="N157" s="45">
        <v>3.2</v>
      </c>
      <c r="O157" s="45">
        <v>4.1</v>
      </c>
      <c r="P157" s="45">
        <v>5.4</v>
      </c>
      <c r="Q157" s="45">
        <v>4.5</v>
      </c>
      <c r="R157" s="45">
        <v>4.8</v>
      </c>
      <c r="S157" s="45">
        <v>4.1</v>
      </c>
      <c r="T157" s="45">
        <v>3.7</v>
      </c>
      <c r="U157" s="45">
        <v>4.2</v>
      </c>
      <c r="V157" s="45">
        <v>3.9</v>
      </c>
      <c r="W157" s="45">
        <v>4.1</v>
      </c>
      <c r="X157" s="45">
        <v>5.4</v>
      </c>
      <c r="Y157" s="45">
        <v>4.9</v>
      </c>
      <c r="Z157" s="45">
        <v>4.4</v>
      </c>
      <c r="AA157" s="45">
        <v>3.6</v>
      </c>
      <c r="AB157" s="45">
        <v>4.5</v>
      </c>
      <c r="AC157" s="45">
        <v>4.7</v>
      </c>
      <c r="AD157" s="45">
        <v>4.8</v>
      </c>
      <c r="AE157" s="45">
        <v>4.2</v>
      </c>
      <c r="AF157" s="45">
        <v>3.6</v>
      </c>
      <c r="AG157" s="45">
        <v>3.5</v>
      </c>
      <c r="AH157" s="45">
        <v>2.6</v>
      </c>
      <c r="AI157" s="45">
        <v>4.2</v>
      </c>
      <c r="AJ157" s="45">
        <v>3.6</v>
      </c>
      <c r="AK157" s="45">
        <v>3.5</v>
      </c>
      <c r="AL157" s="45">
        <v>3.5</v>
      </c>
      <c r="AM157" s="45">
        <v>3.1</v>
      </c>
      <c r="AN157" s="45">
        <v>3.8</v>
      </c>
      <c r="AO157" s="45">
        <v>3.9</v>
      </c>
      <c r="AP157" s="45">
        <v>2.5</v>
      </c>
      <c r="AQ157" s="45">
        <v>1.7</v>
      </c>
      <c r="AR157" s="45">
        <v>1.1</v>
      </c>
      <c r="AS157" s="45">
        <v>0</v>
      </c>
      <c r="AT157" s="45">
        <v>0</v>
      </c>
      <c r="AU157" s="45">
        <v>0</v>
      </c>
      <c r="AV157" s="45">
        <v>0</v>
      </c>
      <c r="AW157" s="45">
        <v>0</v>
      </c>
      <c r="AX157" s="45">
        <v>0</v>
      </c>
      <c r="AY157" s="45">
        <v>0</v>
      </c>
      <c r="AZ157" s="45">
        <v>0</v>
      </c>
      <c r="BA157" s="45">
        <v>0</v>
      </c>
      <c r="BB157" s="45">
        <v>0</v>
      </c>
      <c r="BC157" s="45">
        <v>0</v>
      </c>
      <c r="BD157" s="45">
        <v>0</v>
      </c>
      <c r="BE157" s="45">
        <v>0</v>
      </c>
      <c r="BF157" s="45">
        <v>0</v>
      </c>
      <c r="BG157" s="45">
        <v>0</v>
      </c>
    </row>
    <row r="158" spans="1:59">
      <c r="A158" s="18" t="s">
        <v>110</v>
      </c>
      <c r="B158" s="18" t="s">
        <v>106</v>
      </c>
      <c r="C158" s="18" t="s">
        <v>74</v>
      </c>
      <c r="D158" s="45">
        <v>0</v>
      </c>
      <c r="E158" s="45">
        <v>0</v>
      </c>
      <c r="F158" s="45">
        <v>0</v>
      </c>
      <c r="G158" s="45">
        <v>0</v>
      </c>
      <c r="H158" s="45">
        <v>17</v>
      </c>
      <c r="I158" s="45">
        <v>5.9</v>
      </c>
      <c r="J158" s="45">
        <v>4.7</v>
      </c>
      <c r="K158" s="45">
        <v>4.6</v>
      </c>
      <c r="L158" s="45">
        <v>3.5</v>
      </c>
      <c r="M158" s="45">
        <v>4.5</v>
      </c>
      <c r="N158" s="45">
        <v>4.2</v>
      </c>
      <c r="O158" s="45">
        <v>4.6</v>
      </c>
      <c r="P158" s="45">
        <v>4.8</v>
      </c>
      <c r="Q158" s="45">
        <v>6.1</v>
      </c>
      <c r="R158" s="45">
        <v>4.5</v>
      </c>
      <c r="S158" s="45">
        <v>4</v>
      </c>
      <c r="T158" s="45">
        <v>4.3</v>
      </c>
      <c r="U158" s="45">
        <v>3.7</v>
      </c>
      <c r="V158" s="45">
        <v>3.1</v>
      </c>
      <c r="W158" s="45">
        <v>3.8</v>
      </c>
      <c r="X158" s="45">
        <v>3.5</v>
      </c>
      <c r="Y158" s="45">
        <v>3.5</v>
      </c>
      <c r="Z158" s="45">
        <v>3.5</v>
      </c>
      <c r="AA158" s="45">
        <v>2.6</v>
      </c>
      <c r="AB158" s="45">
        <v>3.1</v>
      </c>
      <c r="AC158" s="45">
        <v>4.2</v>
      </c>
      <c r="AD158" s="45">
        <v>3.9</v>
      </c>
      <c r="AE158" s="45">
        <v>4.8</v>
      </c>
      <c r="AF158" s="45">
        <v>3</v>
      </c>
      <c r="AG158" s="45">
        <v>4.1</v>
      </c>
      <c r="AH158" s="45">
        <v>3</v>
      </c>
      <c r="AI158" s="45">
        <v>2.1</v>
      </c>
      <c r="AJ158" s="45">
        <v>3.7</v>
      </c>
      <c r="AK158" s="45">
        <v>3.6</v>
      </c>
      <c r="AL158" s="45">
        <v>3</v>
      </c>
      <c r="AM158" s="45">
        <v>3.3</v>
      </c>
      <c r="AN158" s="45">
        <v>3.7</v>
      </c>
      <c r="AO158" s="45">
        <v>3</v>
      </c>
      <c r="AP158" s="45">
        <v>3.3</v>
      </c>
      <c r="AQ158" s="45">
        <v>2.6</v>
      </c>
      <c r="AR158" s="45">
        <v>0.8</v>
      </c>
      <c r="AS158" s="45">
        <v>0</v>
      </c>
      <c r="AT158" s="45">
        <v>0</v>
      </c>
      <c r="AU158" s="45">
        <v>0</v>
      </c>
      <c r="AV158" s="45">
        <v>0</v>
      </c>
      <c r="AW158" s="45">
        <v>0</v>
      </c>
      <c r="AX158" s="45">
        <v>0</v>
      </c>
      <c r="AY158" s="45">
        <v>0</v>
      </c>
      <c r="AZ158" s="45">
        <v>0</v>
      </c>
      <c r="BA158" s="45">
        <v>0</v>
      </c>
      <c r="BB158" s="45">
        <v>0</v>
      </c>
      <c r="BC158" s="45">
        <v>0</v>
      </c>
      <c r="BD158" s="45">
        <v>0</v>
      </c>
      <c r="BE158" s="45">
        <v>0</v>
      </c>
      <c r="BF158" s="45">
        <v>0</v>
      </c>
      <c r="BG158" s="45">
        <v>0</v>
      </c>
    </row>
    <row r="159" spans="1:59">
      <c r="A159" s="18" t="s">
        <v>111</v>
      </c>
      <c r="B159" s="18" t="s">
        <v>106</v>
      </c>
      <c r="C159" s="18" t="s">
        <v>76</v>
      </c>
      <c r="D159" s="45">
        <v>0</v>
      </c>
      <c r="E159" s="45">
        <v>0</v>
      </c>
      <c r="F159" s="45">
        <v>0</v>
      </c>
      <c r="G159" s="45">
        <v>0</v>
      </c>
      <c r="H159" s="45">
        <v>0</v>
      </c>
      <c r="I159" s="45">
        <v>3.9</v>
      </c>
      <c r="J159" s="45">
        <v>1.7</v>
      </c>
      <c r="K159" s="45">
        <v>2.2</v>
      </c>
      <c r="L159" s="45">
        <v>2.8</v>
      </c>
      <c r="M159" s="45">
        <v>2.7</v>
      </c>
      <c r="N159" s="45">
        <v>3.4</v>
      </c>
      <c r="O159" s="45">
        <v>3.6</v>
      </c>
      <c r="P159" s="45">
        <v>4.1</v>
      </c>
      <c r="Q159" s="45">
        <v>3.7</v>
      </c>
      <c r="R159" s="45">
        <v>3.5</v>
      </c>
      <c r="S159" s="45">
        <v>3.1</v>
      </c>
      <c r="T159" s="45">
        <v>3.2</v>
      </c>
      <c r="U159" s="45">
        <v>3</v>
      </c>
      <c r="V159" s="45">
        <v>3.1</v>
      </c>
      <c r="W159" s="45">
        <v>4.1</v>
      </c>
      <c r="X159" s="45">
        <v>4.4</v>
      </c>
      <c r="Y159" s="45">
        <v>3.1</v>
      </c>
      <c r="Z159" s="45">
        <v>3.2</v>
      </c>
      <c r="AA159" s="45">
        <v>3.3</v>
      </c>
      <c r="AB159" s="45">
        <v>3.2</v>
      </c>
      <c r="AC159" s="45">
        <v>3.3</v>
      </c>
      <c r="AD159" s="45">
        <v>3.9</v>
      </c>
      <c r="AE159" s="45">
        <v>3.5</v>
      </c>
      <c r="AF159" s="45">
        <v>2.7</v>
      </c>
      <c r="AG159" s="45">
        <v>2.6</v>
      </c>
      <c r="AH159" s="45">
        <v>3.1</v>
      </c>
      <c r="AI159" s="45">
        <v>2.7</v>
      </c>
      <c r="AJ159" s="45">
        <v>2.6</v>
      </c>
      <c r="AK159" s="45">
        <v>2.9</v>
      </c>
      <c r="AL159" s="45">
        <v>2.4</v>
      </c>
      <c r="AM159" s="45">
        <v>2.8</v>
      </c>
      <c r="AN159" s="45">
        <v>3.2</v>
      </c>
      <c r="AO159" s="45">
        <v>3.3</v>
      </c>
      <c r="AP159" s="45">
        <v>1.8</v>
      </c>
      <c r="AQ159" s="45">
        <v>1.7</v>
      </c>
      <c r="AR159" s="45">
        <v>1.2</v>
      </c>
      <c r="AS159" s="45">
        <v>0</v>
      </c>
      <c r="AT159" s="45">
        <v>0</v>
      </c>
      <c r="AU159" s="45">
        <v>0</v>
      </c>
      <c r="AV159" s="45">
        <v>0</v>
      </c>
      <c r="AW159" s="45">
        <v>0</v>
      </c>
      <c r="AX159" s="45">
        <v>0</v>
      </c>
      <c r="AY159" s="45">
        <v>0</v>
      </c>
      <c r="AZ159" s="45">
        <v>0</v>
      </c>
      <c r="BA159" s="45">
        <v>0</v>
      </c>
      <c r="BB159" s="45">
        <v>0</v>
      </c>
      <c r="BC159" s="45">
        <v>0</v>
      </c>
      <c r="BD159" s="45">
        <v>0</v>
      </c>
      <c r="BE159" s="45">
        <v>0</v>
      </c>
      <c r="BF159" s="45">
        <v>0</v>
      </c>
      <c r="BG159" s="45">
        <v>0</v>
      </c>
    </row>
    <row r="160" spans="1:59">
      <c r="A160" s="18" t="s">
        <v>112</v>
      </c>
      <c r="B160" s="18" t="s">
        <v>106</v>
      </c>
      <c r="C160" s="18" t="s">
        <v>78</v>
      </c>
      <c r="D160" s="45">
        <v>0</v>
      </c>
      <c r="E160" s="45">
        <v>0</v>
      </c>
      <c r="F160" s="45">
        <v>0</v>
      </c>
      <c r="G160" s="45">
        <v>0</v>
      </c>
      <c r="H160" s="45">
        <v>0</v>
      </c>
      <c r="I160" s="45">
        <v>3.3</v>
      </c>
      <c r="J160" s="45">
        <v>0.8</v>
      </c>
      <c r="K160" s="45">
        <v>1.2</v>
      </c>
      <c r="L160" s="45">
        <v>2</v>
      </c>
      <c r="M160" s="45">
        <v>2.2</v>
      </c>
      <c r="N160" s="45">
        <v>2.7</v>
      </c>
      <c r="O160" s="45">
        <v>2.5</v>
      </c>
      <c r="P160" s="45">
        <v>2.6</v>
      </c>
      <c r="Q160" s="45">
        <v>2.5</v>
      </c>
      <c r="R160" s="45">
        <v>3.4</v>
      </c>
      <c r="S160" s="45">
        <v>3.4</v>
      </c>
      <c r="T160" s="45">
        <v>2.5</v>
      </c>
      <c r="U160" s="45">
        <v>2.2</v>
      </c>
      <c r="V160" s="45">
        <v>2.6</v>
      </c>
      <c r="W160" s="45">
        <v>2.3</v>
      </c>
      <c r="X160" s="45">
        <v>1.8</v>
      </c>
      <c r="Y160" s="45">
        <v>2.1</v>
      </c>
      <c r="Z160" s="45">
        <v>1.3</v>
      </c>
      <c r="AA160" s="45">
        <v>1.6</v>
      </c>
      <c r="AB160" s="45">
        <v>1.9</v>
      </c>
      <c r="AC160" s="45">
        <v>2</v>
      </c>
      <c r="AD160" s="45">
        <v>2.1</v>
      </c>
      <c r="AE160" s="45">
        <v>2</v>
      </c>
      <c r="AF160" s="45">
        <v>2</v>
      </c>
      <c r="AG160" s="45">
        <v>1.9</v>
      </c>
      <c r="AH160" s="45">
        <v>1.9</v>
      </c>
      <c r="AI160" s="45">
        <v>2.2</v>
      </c>
      <c r="AJ160" s="45">
        <v>2</v>
      </c>
      <c r="AK160" s="45">
        <v>2.7</v>
      </c>
      <c r="AL160" s="45">
        <v>2.7</v>
      </c>
      <c r="AM160" s="45">
        <v>2</v>
      </c>
      <c r="AN160" s="45">
        <v>1.8</v>
      </c>
      <c r="AO160" s="45">
        <v>2.8</v>
      </c>
      <c r="AP160" s="45">
        <v>2</v>
      </c>
      <c r="AQ160" s="45">
        <v>1</v>
      </c>
      <c r="AR160" s="45">
        <v>0.4</v>
      </c>
      <c r="AS160" s="45">
        <v>0</v>
      </c>
      <c r="AT160" s="45">
        <v>0</v>
      </c>
      <c r="AU160" s="45">
        <v>0</v>
      </c>
      <c r="AV160" s="45">
        <v>0</v>
      </c>
      <c r="AW160" s="45">
        <v>0</v>
      </c>
      <c r="AX160" s="45">
        <v>0</v>
      </c>
      <c r="AY160" s="45">
        <v>0</v>
      </c>
      <c r="AZ160" s="45">
        <v>0</v>
      </c>
      <c r="BA160" s="45">
        <v>0</v>
      </c>
      <c r="BB160" s="45">
        <v>0</v>
      </c>
      <c r="BC160" s="45">
        <v>0</v>
      </c>
      <c r="BD160" s="45">
        <v>0</v>
      </c>
      <c r="BE160" s="45">
        <v>0</v>
      </c>
      <c r="BF160" s="45">
        <v>0</v>
      </c>
      <c r="BG160" s="45">
        <v>0</v>
      </c>
    </row>
    <row r="161" spans="1:59">
      <c r="A161" s="18" t="s">
        <v>113</v>
      </c>
      <c r="B161" s="18" t="s">
        <v>106</v>
      </c>
      <c r="C161" s="18" t="s">
        <v>80</v>
      </c>
      <c r="D161" s="45">
        <v>0</v>
      </c>
      <c r="E161" s="45">
        <v>0</v>
      </c>
      <c r="F161" s="45">
        <v>0</v>
      </c>
      <c r="G161" s="45">
        <v>0</v>
      </c>
      <c r="H161" s="45">
        <v>0</v>
      </c>
      <c r="I161" s="45">
        <v>2.7</v>
      </c>
      <c r="J161" s="45">
        <v>1</v>
      </c>
      <c r="K161" s="45">
        <v>1.4</v>
      </c>
      <c r="L161" s="45">
        <v>1.4</v>
      </c>
      <c r="M161" s="45">
        <v>1.8</v>
      </c>
      <c r="N161" s="45">
        <v>2.4</v>
      </c>
      <c r="O161" s="45">
        <v>2.7</v>
      </c>
      <c r="P161" s="45">
        <v>3.2</v>
      </c>
      <c r="Q161" s="45">
        <v>2.8</v>
      </c>
      <c r="R161" s="45">
        <v>2.4</v>
      </c>
      <c r="S161" s="45">
        <v>2.1</v>
      </c>
      <c r="T161" s="45">
        <v>2.6</v>
      </c>
      <c r="U161" s="45">
        <v>3</v>
      </c>
      <c r="V161" s="45">
        <v>2.6</v>
      </c>
      <c r="W161" s="45">
        <v>2</v>
      </c>
      <c r="X161" s="45">
        <v>3.5</v>
      </c>
      <c r="Y161" s="45">
        <v>2.9</v>
      </c>
      <c r="Z161" s="45">
        <v>3.1</v>
      </c>
      <c r="AA161" s="45">
        <v>2.2</v>
      </c>
      <c r="AB161" s="45">
        <v>2.9</v>
      </c>
      <c r="AC161" s="45">
        <v>3.4</v>
      </c>
      <c r="AD161" s="45">
        <v>3.6</v>
      </c>
      <c r="AE161" s="45">
        <v>3</v>
      </c>
      <c r="AF161" s="45">
        <v>3.2</v>
      </c>
      <c r="AG161" s="45">
        <v>2.2</v>
      </c>
      <c r="AH161" s="45">
        <v>2.5</v>
      </c>
      <c r="AI161" s="45">
        <v>2.3</v>
      </c>
      <c r="AJ161" s="45">
        <v>2.2</v>
      </c>
      <c r="AK161" s="45">
        <v>3.1</v>
      </c>
      <c r="AL161" s="45">
        <v>2.8</v>
      </c>
      <c r="AM161" s="45">
        <v>3.2</v>
      </c>
      <c r="AN161" s="45">
        <v>3</v>
      </c>
      <c r="AO161" s="45">
        <v>2.4</v>
      </c>
      <c r="AP161" s="45">
        <v>2.1</v>
      </c>
      <c r="AQ161" s="45">
        <v>1.8</v>
      </c>
      <c r="AR161" s="45">
        <v>0.6</v>
      </c>
      <c r="AS161" s="45">
        <v>0</v>
      </c>
      <c r="AT161" s="45">
        <v>0</v>
      </c>
      <c r="AU161" s="45">
        <v>0</v>
      </c>
      <c r="AV161" s="45">
        <v>0</v>
      </c>
      <c r="AW161" s="45">
        <v>0</v>
      </c>
      <c r="AX161" s="45">
        <v>0</v>
      </c>
      <c r="AY161" s="45">
        <v>0</v>
      </c>
      <c r="AZ161" s="45">
        <v>0</v>
      </c>
      <c r="BA161" s="45">
        <v>0</v>
      </c>
      <c r="BB161" s="45">
        <v>0</v>
      </c>
      <c r="BC161" s="45">
        <v>0</v>
      </c>
      <c r="BD161" s="45">
        <v>0</v>
      </c>
      <c r="BE161" s="45">
        <v>0</v>
      </c>
      <c r="BF161" s="45">
        <v>0</v>
      </c>
      <c r="BG161" s="45">
        <v>0</v>
      </c>
    </row>
    <row r="162" spans="1:59">
      <c r="A162" s="18" t="s">
        <v>114</v>
      </c>
      <c r="B162" s="18" t="s">
        <v>106</v>
      </c>
      <c r="C162" s="18" t="s">
        <v>82</v>
      </c>
      <c r="D162" s="45">
        <v>0</v>
      </c>
      <c r="E162" s="45">
        <v>0</v>
      </c>
      <c r="F162" s="45">
        <v>0</v>
      </c>
      <c r="G162" s="45">
        <v>0</v>
      </c>
      <c r="H162" s="45">
        <v>0</v>
      </c>
      <c r="I162" s="45">
        <v>3.4</v>
      </c>
      <c r="J162" s="45">
        <v>2.1</v>
      </c>
      <c r="K162" s="45">
        <v>2.4</v>
      </c>
      <c r="L162" s="45">
        <v>2.9</v>
      </c>
      <c r="M162" s="45">
        <v>3.2</v>
      </c>
      <c r="N162" s="45">
        <v>4.4</v>
      </c>
      <c r="O162" s="45">
        <v>3.4</v>
      </c>
      <c r="P162" s="45">
        <v>4.2</v>
      </c>
      <c r="Q162" s="45">
        <v>3.9</v>
      </c>
      <c r="R162" s="45">
        <v>3.4</v>
      </c>
      <c r="S162" s="45">
        <v>2.8</v>
      </c>
      <c r="T162" s="45">
        <v>3.2</v>
      </c>
      <c r="U162" s="45">
        <v>4</v>
      </c>
      <c r="V162" s="45">
        <v>3.5</v>
      </c>
      <c r="W162" s="45">
        <v>3.4</v>
      </c>
      <c r="X162" s="45">
        <v>3.7</v>
      </c>
      <c r="Y162" s="45">
        <v>3.6</v>
      </c>
      <c r="Z162" s="45">
        <v>4.2</v>
      </c>
      <c r="AA162" s="45">
        <v>2.8</v>
      </c>
      <c r="AB162" s="45">
        <v>3.8</v>
      </c>
      <c r="AC162" s="45">
        <v>5.3</v>
      </c>
      <c r="AD162" s="45">
        <v>5</v>
      </c>
      <c r="AE162" s="45">
        <v>2.3</v>
      </c>
      <c r="AF162" s="45">
        <v>2.8</v>
      </c>
      <c r="AG162" s="45">
        <v>2</v>
      </c>
      <c r="AH162" s="45">
        <v>2.8</v>
      </c>
      <c r="AI162" s="45">
        <v>2.1</v>
      </c>
      <c r="AJ162" s="45">
        <v>2.3</v>
      </c>
      <c r="AK162" s="45">
        <v>2</v>
      </c>
      <c r="AL162" s="45">
        <v>3</v>
      </c>
      <c r="AM162" s="45">
        <v>3.9</v>
      </c>
      <c r="AN162" s="45">
        <v>3.7</v>
      </c>
      <c r="AO162" s="45">
        <v>3.8</v>
      </c>
      <c r="AP162" s="45">
        <v>3</v>
      </c>
      <c r="AQ162" s="45">
        <v>1.2</v>
      </c>
      <c r="AR162" s="45">
        <v>0.6</v>
      </c>
      <c r="AS162" s="45">
        <v>0</v>
      </c>
      <c r="AT162" s="45">
        <v>0</v>
      </c>
      <c r="AU162" s="45">
        <v>0</v>
      </c>
      <c r="AV162" s="45">
        <v>0</v>
      </c>
      <c r="AW162" s="45">
        <v>0</v>
      </c>
      <c r="AX162" s="45">
        <v>0</v>
      </c>
      <c r="AY162" s="45">
        <v>0</v>
      </c>
      <c r="AZ162" s="45">
        <v>0</v>
      </c>
      <c r="BA162" s="45">
        <v>0</v>
      </c>
      <c r="BB162" s="45">
        <v>0</v>
      </c>
      <c r="BC162" s="45">
        <v>0</v>
      </c>
      <c r="BD162" s="45">
        <v>0</v>
      </c>
      <c r="BE162" s="45">
        <v>0</v>
      </c>
      <c r="BF162" s="45">
        <v>0</v>
      </c>
      <c r="BG162" s="45">
        <v>0</v>
      </c>
    </row>
    <row r="163" spans="1:59">
      <c r="A163" s="18" t="s">
        <v>115</v>
      </c>
      <c r="B163" s="18" t="s">
        <v>106</v>
      </c>
      <c r="C163" s="18" t="s">
        <v>84</v>
      </c>
      <c r="D163" s="45">
        <v>0</v>
      </c>
      <c r="E163" s="45">
        <v>0</v>
      </c>
      <c r="F163" s="45">
        <v>0</v>
      </c>
      <c r="G163" s="45">
        <v>0</v>
      </c>
      <c r="H163" s="45">
        <v>0</v>
      </c>
      <c r="I163" s="45">
        <v>4.7</v>
      </c>
      <c r="J163" s="45">
        <v>1.4</v>
      </c>
      <c r="K163" s="45">
        <v>1.3</v>
      </c>
      <c r="L163" s="45">
        <v>2.1</v>
      </c>
      <c r="M163" s="45">
        <v>1.3</v>
      </c>
      <c r="N163" s="45">
        <v>3.7</v>
      </c>
      <c r="O163" s="45">
        <v>3.4</v>
      </c>
      <c r="P163" s="45">
        <v>4</v>
      </c>
      <c r="Q163" s="45">
        <v>3.5</v>
      </c>
      <c r="R163" s="45">
        <v>3.6</v>
      </c>
      <c r="S163" s="45">
        <v>3.1</v>
      </c>
      <c r="T163" s="45">
        <v>3</v>
      </c>
      <c r="U163" s="45">
        <v>3.2</v>
      </c>
      <c r="V163" s="45">
        <v>3.1</v>
      </c>
      <c r="W163" s="45">
        <v>4</v>
      </c>
      <c r="X163" s="45">
        <v>3</v>
      </c>
      <c r="Y163" s="45">
        <v>2.7</v>
      </c>
      <c r="Z163" s="45">
        <v>2.8</v>
      </c>
      <c r="AA163" s="45">
        <v>1.9</v>
      </c>
      <c r="AB163" s="45">
        <v>3.4</v>
      </c>
      <c r="AC163" s="45">
        <v>3.6</v>
      </c>
      <c r="AD163" s="45">
        <v>4.3</v>
      </c>
      <c r="AE163" s="45">
        <v>3.1</v>
      </c>
      <c r="AF163" s="45">
        <v>3.3</v>
      </c>
      <c r="AG163" s="45">
        <v>3.3</v>
      </c>
      <c r="AH163" s="45">
        <v>3.7</v>
      </c>
      <c r="AI163" s="45">
        <v>2.8</v>
      </c>
      <c r="AJ163" s="45">
        <v>3.7</v>
      </c>
      <c r="AK163" s="45">
        <v>3.4</v>
      </c>
      <c r="AL163" s="45">
        <v>3.4</v>
      </c>
      <c r="AM163" s="45">
        <v>3.5</v>
      </c>
      <c r="AN163" s="45">
        <v>2.8</v>
      </c>
      <c r="AO163" s="45">
        <v>3.4</v>
      </c>
      <c r="AP163" s="45">
        <v>2.6</v>
      </c>
      <c r="AQ163" s="45">
        <v>2.3</v>
      </c>
      <c r="AR163" s="45">
        <v>0.3</v>
      </c>
      <c r="AS163" s="45">
        <v>0</v>
      </c>
      <c r="AT163" s="45">
        <v>0</v>
      </c>
      <c r="AU163" s="45">
        <v>0</v>
      </c>
      <c r="AV163" s="45">
        <v>0</v>
      </c>
      <c r="AW163" s="45">
        <v>0</v>
      </c>
      <c r="AX163" s="45">
        <v>0</v>
      </c>
      <c r="AY163" s="45">
        <v>0</v>
      </c>
      <c r="AZ163" s="45">
        <v>0</v>
      </c>
      <c r="BA163" s="45">
        <v>0</v>
      </c>
      <c r="BB163" s="45">
        <v>0</v>
      </c>
      <c r="BC163" s="45">
        <v>0</v>
      </c>
      <c r="BD163" s="45">
        <v>0</v>
      </c>
      <c r="BE163" s="45">
        <v>0</v>
      </c>
      <c r="BF163" s="45">
        <v>0</v>
      </c>
      <c r="BG163" s="45">
        <v>0</v>
      </c>
    </row>
    <row r="164" spans="1:59">
      <c r="A164" s="18" t="s">
        <v>116</v>
      </c>
      <c r="B164" s="18" t="s">
        <v>106</v>
      </c>
      <c r="C164" s="18" t="s">
        <v>86</v>
      </c>
      <c r="D164" s="45">
        <v>0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1.3</v>
      </c>
      <c r="K164" s="45">
        <v>1.8</v>
      </c>
      <c r="L164" s="45">
        <v>3</v>
      </c>
      <c r="M164" s="45">
        <v>1.9</v>
      </c>
      <c r="N164" s="45">
        <v>15.7</v>
      </c>
      <c r="O164" s="45">
        <v>6.8</v>
      </c>
      <c r="P164" s="45">
        <v>8</v>
      </c>
      <c r="Q164" s="45">
        <v>5.6</v>
      </c>
      <c r="R164" s="45">
        <v>6.5</v>
      </c>
      <c r="S164" s="45">
        <v>9.6</v>
      </c>
      <c r="T164" s="45">
        <v>12.9</v>
      </c>
      <c r="U164" s="45">
        <v>2.9</v>
      </c>
      <c r="V164" s="45">
        <v>4.6</v>
      </c>
      <c r="W164" s="45">
        <v>6.2</v>
      </c>
      <c r="X164" s="45">
        <v>3.1</v>
      </c>
      <c r="Y164" s="45">
        <v>1.8</v>
      </c>
      <c r="Z164" s="45">
        <v>2.3</v>
      </c>
      <c r="AA164" s="45">
        <v>7.5</v>
      </c>
      <c r="AB164" s="45">
        <v>2.1</v>
      </c>
      <c r="AC164" s="45">
        <v>12.5</v>
      </c>
      <c r="AD164" s="45">
        <v>12.2</v>
      </c>
      <c r="AE164" s="45">
        <v>4.2</v>
      </c>
      <c r="AF164" s="45">
        <v>4.2</v>
      </c>
      <c r="AG164" s="45">
        <v>5.4</v>
      </c>
      <c r="AH164" s="45">
        <v>5.5</v>
      </c>
      <c r="AI164" s="45">
        <v>3.7</v>
      </c>
      <c r="AJ164" s="45">
        <v>9.699999999999999</v>
      </c>
      <c r="AK164" s="45">
        <v>7</v>
      </c>
      <c r="AL164" s="45">
        <v>17.2</v>
      </c>
      <c r="AM164" s="45">
        <v>9.4</v>
      </c>
      <c r="AN164" s="45">
        <v>5.8</v>
      </c>
      <c r="AO164" s="45">
        <v>4.8</v>
      </c>
      <c r="AP164" s="45">
        <v>7.2</v>
      </c>
      <c r="AQ164" s="45">
        <v>3.4</v>
      </c>
      <c r="AR164" s="45">
        <v>0</v>
      </c>
      <c r="AS164" s="45">
        <v>0</v>
      </c>
      <c r="AT164" s="45">
        <v>0</v>
      </c>
      <c r="AU164" s="45">
        <v>0</v>
      </c>
      <c r="AV164" s="45">
        <v>0</v>
      </c>
      <c r="AW164" s="45">
        <v>0</v>
      </c>
      <c r="AX164" s="45">
        <v>0</v>
      </c>
      <c r="AY164" s="45">
        <v>0</v>
      </c>
      <c r="AZ164" s="45">
        <v>0</v>
      </c>
      <c r="BA164" s="45">
        <v>0</v>
      </c>
      <c r="BB164" s="45">
        <v>0</v>
      </c>
      <c r="BC164" s="45">
        <v>0</v>
      </c>
      <c r="BD164" s="45">
        <v>0</v>
      </c>
      <c r="BE164" s="45">
        <v>0</v>
      </c>
      <c r="BF164" s="45">
        <v>0</v>
      </c>
      <c r="BG164" s="45">
        <v>0</v>
      </c>
    </row>
    <row r="165" spans="1:59">
      <c r="A165" s="18" t="s">
        <v>117</v>
      </c>
      <c r="B165" s="18" t="s">
        <v>106</v>
      </c>
      <c r="C165" s="18" t="s">
        <v>88</v>
      </c>
      <c r="D165" s="45">
        <v>0</v>
      </c>
      <c r="E165" s="45">
        <v>0</v>
      </c>
      <c r="F165" s="45">
        <v>0</v>
      </c>
      <c r="G165" s="45">
        <v>0</v>
      </c>
      <c r="H165" s="45">
        <v>0</v>
      </c>
      <c r="I165" s="45">
        <v>6.4</v>
      </c>
      <c r="J165" s="45">
        <v>1.8</v>
      </c>
      <c r="K165" s="45">
        <v>3.5</v>
      </c>
      <c r="L165" s="45">
        <v>3.3</v>
      </c>
      <c r="M165" s="45">
        <v>5.4</v>
      </c>
      <c r="N165" s="45">
        <v>4</v>
      </c>
      <c r="O165" s="45">
        <v>4.1</v>
      </c>
      <c r="P165" s="45">
        <v>5.4</v>
      </c>
      <c r="Q165" s="45">
        <v>6.6</v>
      </c>
      <c r="R165" s="45">
        <v>5.1</v>
      </c>
      <c r="S165" s="45">
        <v>5.6</v>
      </c>
      <c r="T165" s="45">
        <v>7</v>
      </c>
      <c r="U165" s="45">
        <v>5.6</v>
      </c>
      <c r="V165" s="45">
        <v>5.4</v>
      </c>
      <c r="W165" s="45">
        <v>5.2</v>
      </c>
      <c r="X165" s="45">
        <v>6.1</v>
      </c>
      <c r="Y165" s="45">
        <v>5</v>
      </c>
      <c r="Z165" s="45">
        <v>5.9</v>
      </c>
      <c r="AA165" s="45">
        <v>5.9</v>
      </c>
      <c r="AB165" s="45">
        <v>4.4</v>
      </c>
      <c r="AC165" s="45">
        <v>5.5</v>
      </c>
      <c r="AD165" s="45">
        <v>6</v>
      </c>
      <c r="AE165" s="45">
        <v>6.2</v>
      </c>
      <c r="AF165" s="45">
        <v>7.9</v>
      </c>
      <c r="AG165" s="45">
        <v>6.5</v>
      </c>
      <c r="AH165" s="45">
        <v>5.5</v>
      </c>
      <c r="AI165" s="45">
        <v>5.3</v>
      </c>
      <c r="AJ165" s="45">
        <v>5.3</v>
      </c>
      <c r="AK165" s="45">
        <v>5.8</v>
      </c>
      <c r="AL165" s="45">
        <v>5.5</v>
      </c>
      <c r="AM165" s="45">
        <v>6.7</v>
      </c>
      <c r="AN165" s="45">
        <v>5.8</v>
      </c>
      <c r="AO165" s="45">
        <v>6.2</v>
      </c>
      <c r="AP165" s="45">
        <v>5.8</v>
      </c>
      <c r="AQ165" s="45">
        <v>2.9</v>
      </c>
      <c r="AR165" s="45">
        <v>2.4</v>
      </c>
      <c r="AS165" s="45">
        <v>1.1</v>
      </c>
      <c r="AT165" s="45">
        <v>0</v>
      </c>
      <c r="AU165" s="45">
        <v>0</v>
      </c>
      <c r="AV165" s="45">
        <v>0</v>
      </c>
      <c r="AW165" s="45">
        <v>0</v>
      </c>
      <c r="AX165" s="45">
        <v>0</v>
      </c>
      <c r="AY165" s="45">
        <v>0</v>
      </c>
      <c r="AZ165" s="45">
        <v>0</v>
      </c>
      <c r="BA165" s="45">
        <v>0</v>
      </c>
      <c r="BB165" s="45">
        <v>0</v>
      </c>
      <c r="BC165" s="45">
        <v>0</v>
      </c>
      <c r="BD165" s="45">
        <v>0</v>
      </c>
      <c r="BE165" s="45">
        <v>0</v>
      </c>
      <c r="BF165" s="45">
        <v>0</v>
      </c>
      <c r="BG165" s="45">
        <v>0</v>
      </c>
    </row>
    <row r="166" spans="1:59">
      <c r="A166" s="18" t="s">
        <v>118</v>
      </c>
      <c r="B166" s="18" t="s">
        <v>106</v>
      </c>
      <c r="C166" s="18" t="s">
        <v>90</v>
      </c>
      <c r="D166" s="45">
        <v>0</v>
      </c>
      <c r="E166" s="45">
        <v>0</v>
      </c>
      <c r="F166" s="45">
        <v>0</v>
      </c>
      <c r="G166" s="45">
        <v>0</v>
      </c>
      <c r="H166" s="45">
        <v>0</v>
      </c>
      <c r="I166" s="45">
        <v>4.6</v>
      </c>
      <c r="J166" s="45">
        <v>3.1</v>
      </c>
      <c r="K166" s="45">
        <v>4</v>
      </c>
      <c r="L166" s="45">
        <v>3.5</v>
      </c>
      <c r="M166" s="45">
        <v>5</v>
      </c>
      <c r="N166" s="45">
        <v>7</v>
      </c>
      <c r="O166" s="45">
        <v>8.800000000000001</v>
      </c>
      <c r="P166" s="45">
        <v>9.300000000000001</v>
      </c>
      <c r="Q166" s="45">
        <v>9.199999999999999</v>
      </c>
      <c r="R166" s="45">
        <v>10.2</v>
      </c>
      <c r="S166" s="45">
        <v>9.300000000000001</v>
      </c>
      <c r="T166" s="45">
        <v>9.800000000000001</v>
      </c>
      <c r="U166" s="45">
        <v>10.9</v>
      </c>
      <c r="V166" s="45">
        <v>12</v>
      </c>
      <c r="W166" s="45">
        <v>10.4</v>
      </c>
      <c r="X166" s="45">
        <v>9.1</v>
      </c>
      <c r="Y166" s="45">
        <v>9.199999999999999</v>
      </c>
      <c r="Z166" s="45">
        <v>6</v>
      </c>
      <c r="AA166" s="45">
        <v>8.300000000000001</v>
      </c>
      <c r="AB166" s="45">
        <v>7.6</v>
      </c>
      <c r="AC166" s="45">
        <v>8.5</v>
      </c>
      <c r="AD166" s="45">
        <v>8.9</v>
      </c>
      <c r="AE166" s="45">
        <v>11.8</v>
      </c>
      <c r="AF166" s="45">
        <v>10</v>
      </c>
      <c r="AG166" s="45">
        <v>11.3</v>
      </c>
      <c r="AH166" s="45">
        <v>10.4</v>
      </c>
      <c r="AI166" s="45">
        <v>9.9</v>
      </c>
      <c r="AJ166" s="45">
        <v>10.7</v>
      </c>
      <c r="AK166" s="45">
        <v>10</v>
      </c>
      <c r="AL166" s="45">
        <v>10.8</v>
      </c>
      <c r="AM166" s="45">
        <v>10.6</v>
      </c>
      <c r="AN166" s="45">
        <v>11.6</v>
      </c>
      <c r="AO166" s="45">
        <v>8.1</v>
      </c>
      <c r="AP166" s="45">
        <v>7.5</v>
      </c>
      <c r="AQ166" s="45">
        <v>5.9</v>
      </c>
      <c r="AR166" s="45">
        <v>2.8</v>
      </c>
      <c r="AS166" s="45">
        <v>0</v>
      </c>
      <c r="AT166" s="45">
        <v>0</v>
      </c>
      <c r="AU166" s="45">
        <v>0</v>
      </c>
      <c r="AV166" s="45">
        <v>0</v>
      </c>
      <c r="AW166" s="45">
        <v>0</v>
      </c>
      <c r="AX166" s="45">
        <v>0</v>
      </c>
      <c r="AY166" s="45">
        <v>0</v>
      </c>
      <c r="AZ166" s="45">
        <v>0</v>
      </c>
      <c r="BA166" s="45">
        <v>0</v>
      </c>
      <c r="BB166" s="45">
        <v>0</v>
      </c>
      <c r="BC166" s="45">
        <v>0</v>
      </c>
      <c r="BD166" s="45">
        <v>0</v>
      </c>
      <c r="BE166" s="45">
        <v>0</v>
      </c>
      <c r="BF166" s="45">
        <v>0</v>
      </c>
      <c r="BG166" s="45">
        <v>0</v>
      </c>
    </row>
    <row r="167" spans="1:59">
      <c r="A167" s="18" t="s">
        <v>119</v>
      </c>
      <c r="B167" s="18" t="s">
        <v>120</v>
      </c>
      <c r="C167" s="18" t="s">
        <v>66</v>
      </c>
      <c r="D167" s="45">
        <v>0</v>
      </c>
      <c r="E167" s="45">
        <v>0</v>
      </c>
      <c r="F167" s="45">
        <v>0</v>
      </c>
      <c r="G167" s="45">
        <v>42.6</v>
      </c>
      <c r="H167" s="45">
        <v>27.1</v>
      </c>
      <c r="I167" s="45">
        <v>15.1</v>
      </c>
      <c r="J167" s="45">
        <v>12.2</v>
      </c>
      <c r="K167" s="45">
        <v>12.5</v>
      </c>
      <c r="L167" s="45">
        <v>13</v>
      </c>
      <c r="M167" s="45">
        <v>14.4</v>
      </c>
      <c r="N167" s="45">
        <v>14.8</v>
      </c>
      <c r="O167" s="45">
        <v>14.9</v>
      </c>
      <c r="P167" s="45">
        <v>15.3</v>
      </c>
      <c r="Q167" s="45">
        <v>15.6</v>
      </c>
      <c r="R167" s="45">
        <v>15.5</v>
      </c>
      <c r="S167" s="45">
        <v>16.1</v>
      </c>
      <c r="T167" s="45">
        <v>15.8</v>
      </c>
      <c r="U167" s="45">
        <v>16.6</v>
      </c>
      <c r="V167" s="45">
        <v>16.8</v>
      </c>
      <c r="W167" s="45">
        <v>15.5</v>
      </c>
      <c r="X167" s="45">
        <v>13.1</v>
      </c>
      <c r="Y167" s="45">
        <v>12.6</v>
      </c>
      <c r="Z167" s="45">
        <v>12.3</v>
      </c>
      <c r="AA167" s="45">
        <v>13</v>
      </c>
      <c r="AB167" s="45">
        <v>12</v>
      </c>
      <c r="AC167" s="45">
        <v>13.1</v>
      </c>
      <c r="AD167" s="45">
        <v>14</v>
      </c>
      <c r="AE167" s="45">
        <v>15</v>
      </c>
      <c r="AF167" s="45">
        <v>15.2</v>
      </c>
      <c r="AG167" s="45">
        <v>15.6</v>
      </c>
      <c r="AH167" s="45">
        <v>15.9</v>
      </c>
      <c r="AI167" s="45">
        <v>15.5</v>
      </c>
      <c r="AJ167" s="45">
        <v>14</v>
      </c>
      <c r="AK167" s="45">
        <v>14.5</v>
      </c>
      <c r="AL167" s="45">
        <v>15.2</v>
      </c>
      <c r="AM167" s="45">
        <v>14.6</v>
      </c>
      <c r="AN167" s="45">
        <v>12.9</v>
      </c>
      <c r="AO167" s="45">
        <v>12.8</v>
      </c>
      <c r="AP167" s="45">
        <v>11.6</v>
      </c>
      <c r="AQ167" s="45">
        <v>9</v>
      </c>
      <c r="AR167" s="45">
        <v>6.6</v>
      </c>
      <c r="AS167" s="45">
        <v>5.4</v>
      </c>
      <c r="AT167" s="45">
        <v>9.199999999999999</v>
      </c>
      <c r="AU167" s="45">
        <v>9.1</v>
      </c>
      <c r="AV167" s="45">
        <v>0</v>
      </c>
      <c r="AW167" s="45">
        <v>8.199999999999999</v>
      </c>
      <c r="AX167" s="45">
        <v>3.4</v>
      </c>
      <c r="AY167" s="45">
        <v>0</v>
      </c>
      <c r="AZ167" s="45">
        <v>0</v>
      </c>
      <c r="BA167" s="45">
        <v>0</v>
      </c>
      <c r="BB167" s="45">
        <v>0</v>
      </c>
      <c r="BC167" s="45">
        <v>0</v>
      </c>
      <c r="BD167" s="45">
        <v>0</v>
      </c>
      <c r="BE167" s="45">
        <v>0</v>
      </c>
      <c r="BF167" s="45">
        <v>0</v>
      </c>
      <c r="BG167" s="45">
        <v>0</v>
      </c>
    </row>
    <row r="168" spans="1:59">
      <c r="A168" s="18" t="s">
        <v>121</v>
      </c>
      <c r="B168" s="18" t="s">
        <v>120</v>
      </c>
      <c r="C168" s="18" t="s">
        <v>68</v>
      </c>
      <c r="D168" s="45">
        <v>0</v>
      </c>
      <c r="E168" s="45">
        <v>0</v>
      </c>
      <c r="F168" s="45">
        <v>0</v>
      </c>
      <c r="G168" s="45">
        <v>0</v>
      </c>
      <c r="H168" s="45">
        <v>28.8</v>
      </c>
      <c r="I168" s="45">
        <v>21</v>
      </c>
      <c r="J168" s="45">
        <v>19.6</v>
      </c>
      <c r="K168" s="45">
        <v>18.4</v>
      </c>
      <c r="L168" s="45">
        <v>19.4</v>
      </c>
      <c r="M168" s="45">
        <v>19.9</v>
      </c>
      <c r="N168" s="45">
        <v>22.1</v>
      </c>
      <c r="O168" s="45">
        <v>22.5</v>
      </c>
      <c r="P168" s="45">
        <v>24.8</v>
      </c>
      <c r="Q168" s="45">
        <v>23.1</v>
      </c>
      <c r="R168" s="45">
        <v>22.5</v>
      </c>
      <c r="S168" s="45">
        <v>26.1</v>
      </c>
      <c r="T168" s="45">
        <v>24.4</v>
      </c>
      <c r="U168" s="45">
        <v>23.4</v>
      </c>
      <c r="V168" s="45">
        <v>25.1</v>
      </c>
      <c r="W168" s="45">
        <v>28.5</v>
      </c>
      <c r="X168" s="45">
        <v>22.6</v>
      </c>
      <c r="Y168" s="45">
        <v>20.3</v>
      </c>
      <c r="Z168" s="45">
        <v>21.8</v>
      </c>
      <c r="AA168" s="45">
        <v>24.4</v>
      </c>
      <c r="AB168" s="45">
        <v>23.3</v>
      </c>
      <c r="AC168" s="45">
        <v>23.9</v>
      </c>
      <c r="AD168" s="45">
        <v>23.6</v>
      </c>
      <c r="AE168" s="45">
        <v>28.8</v>
      </c>
      <c r="AF168" s="45">
        <v>24.5</v>
      </c>
      <c r="AG168" s="45">
        <v>23.7</v>
      </c>
      <c r="AH168" s="45">
        <v>28.8</v>
      </c>
      <c r="AI168" s="45">
        <v>25.7</v>
      </c>
      <c r="AJ168" s="45">
        <v>23.4</v>
      </c>
      <c r="AK168" s="45">
        <v>25.2</v>
      </c>
      <c r="AL168" s="45">
        <v>28.3</v>
      </c>
      <c r="AM168" s="45">
        <v>26.1</v>
      </c>
      <c r="AN168" s="45">
        <v>17.4</v>
      </c>
      <c r="AO168" s="45">
        <v>20.7</v>
      </c>
      <c r="AP168" s="45">
        <v>20.2</v>
      </c>
      <c r="AQ168" s="45">
        <v>17.2</v>
      </c>
      <c r="AR168" s="45">
        <v>14.8</v>
      </c>
      <c r="AS168" s="45">
        <v>5</v>
      </c>
      <c r="AT168" s="45">
        <v>0</v>
      </c>
      <c r="AU168" s="45">
        <v>0</v>
      </c>
      <c r="AV168" s="45">
        <v>0</v>
      </c>
      <c r="AW168" s="45">
        <v>0</v>
      </c>
      <c r="AX168" s="45">
        <v>0</v>
      </c>
      <c r="AY168" s="45">
        <v>0</v>
      </c>
      <c r="AZ168" s="45">
        <v>0</v>
      </c>
      <c r="BA168" s="45">
        <v>0</v>
      </c>
      <c r="BB168" s="45">
        <v>0</v>
      </c>
      <c r="BC168" s="45">
        <v>0</v>
      </c>
      <c r="BD168" s="45">
        <v>0</v>
      </c>
      <c r="BE168" s="45">
        <v>0</v>
      </c>
      <c r="BF168" s="45">
        <v>0</v>
      </c>
      <c r="BG168" s="45">
        <v>0</v>
      </c>
    </row>
    <row r="169" spans="1:59">
      <c r="A169" s="18" t="s">
        <v>122</v>
      </c>
      <c r="B169" s="18" t="s">
        <v>120</v>
      </c>
      <c r="C169" s="18" t="s">
        <v>70</v>
      </c>
      <c r="D169" s="45">
        <v>0</v>
      </c>
      <c r="E169" s="45">
        <v>0</v>
      </c>
      <c r="F169" s="45">
        <v>0</v>
      </c>
      <c r="G169" s="45">
        <v>0</v>
      </c>
      <c r="H169" s="45">
        <v>0</v>
      </c>
      <c r="I169" s="45">
        <v>17.4</v>
      </c>
      <c r="J169" s="45">
        <v>16.5</v>
      </c>
      <c r="K169" s="45">
        <v>15.5</v>
      </c>
      <c r="L169" s="45">
        <v>16.5</v>
      </c>
      <c r="M169" s="45">
        <v>20.6</v>
      </c>
      <c r="N169" s="45">
        <v>18.4</v>
      </c>
      <c r="O169" s="45">
        <v>20.3</v>
      </c>
      <c r="P169" s="45">
        <v>20.3</v>
      </c>
      <c r="Q169" s="45">
        <v>21.5</v>
      </c>
      <c r="R169" s="45">
        <v>20.4</v>
      </c>
      <c r="S169" s="45">
        <v>20.5</v>
      </c>
      <c r="T169" s="45">
        <v>22.5</v>
      </c>
      <c r="U169" s="45">
        <v>22.3</v>
      </c>
      <c r="V169" s="45">
        <v>21.8</v>
      </c>
      <c r="W169" s="45">
        <v>19.2</v>
      </c>
      <c r="X169" s="45">
        <v>15</v>
      </c>
      <c r="Y169" s="45">
        <v>18.9</v>
      </c>
      <c r="Z169" s="45">
        <v>18.1</v>
      </c>
      <c r="AA169" s="45">
        <v>17.2</v>
      </c>
      <c r="AB169" s="45">
        <v>18.1</v>
      </c>
      <c r="AC169" s="45">
        <v>17.3</v>
      </c>
      <c r="AD169" s="45">
        <v>19.2</v>
      </c>
      <c r="AE169" s="45">
        <v>20.3</v>
      </c>
      <c r="AF169" s="45">
        <v>25.2</v>
      </c>
      <c r="AG169" s="45">
        <v>21.3</v>
      </c>
      <c r="AH169" s="45">
        <v>20.6</v>
      </c>
      <c r="AI169" s="45">
        <v>22.8</v>
      </c>
      <c r="AJ169" s="45">
        <v>22.1</v>
      </c>
      <c r="AK169" s="45">
        <v>25.4</v>
      </c>
      <c r="AL169" s="45">
        <v>23.3</v>
      </c>
      <c r="AM169" s="45">
        <v>19.7</v>
      </c>
      <c r="AN169" s="45">
        <v>23</v>
      </c>
      <c r="AO169" s="45">
        <v>20.9</v>
      </c>
      <c r="AP169" s="45">
        <v>24</v>
      </c>
      <c r="AQ169" s="45">
        <v>20.3</v>
      </c>
      <c r="AR169" s="45">
        <v>13.5</v>
      </c>
      <c r="AS169" s="45">
        <v>0</v>
      </c>
      <c r="AT169" s="45">
        <v>0</v>
      </c>
      <c r="AU169" s="45">
        <v>0</v>
      </c>
      <c r="AV169" s="45">
        <v>0</v>
      </c>
      <c r="AW169" s="45">
        <v>0</v>
      </c>
      <c r="AX169" s="45">
        <v>0</v>
      </c>
      <c r="AY169" s="45">
        <v>0</v>
      </c>
      <c r="AZ169" s="45">
        <v>0</v>
      </c>
      <c r="BA169" s="45">
        <v>0</v>
      </c>
      <c r="BB169" s="45">
        <v>0</v>
      </c>
      <c r="BC169" s="45">
        <v>0</v>
      </c>
      <c r="BD169" s="45">
        <v>0</v>
      </c>
      <c r="BE169" s="45">
        <v>0</v>
      </c>
      <c r="BF169" s="45">
        <v>0</v>
      </c>
      <c r="BG169" s="45">
        <v>0</v>
      </c>
    </row>
    <row r="170" spans="1:59">
      <c r="A170" s="18" t="s">
        <v>123</v>
      </c>
      <c r="B170" s="18" t="s">
        <v>120</v>
      </c>
      <c r="C170" s="18" t="s">
        <v>72</v>
      </c>
      <c r="D170" s="45">
        <v>0</v>
      </c>
      <c r="E170" s="45">
        <v>0</v>
      </c>
      <c r="F170" s="45">
        <v>0</v>
      </c>
      <c r="G170" s="45">
        <v>0</v>
      </c>
      <c r="H170" s="45">
        <v>0</v>
      </c>
      <c r="I170" s="45">
        <v>15.8</v>
      </c>
      <c r="J170" s="45">
        <v>13.7</v>
      </c>
      <c r="K170" s="45">
        <v>16.3</v>
      </c>
      <c r="L170" s="45">
        <v>17.9</v>
      </c>
      <c r="M170" s="45">
        <v>20.4</v>
      </c>
      <c r="N170" s="45">
        <v>20.2</v>
      </c>
      <c r="O170" s="45">
        <v>21.1</v>
      </c>
      <c r="P170" s="45">
        <v>23.8</v>
      </c>
      <c r="Q170" s="45">
        <v>21.1</v>
      </c>
      <c r="R170" s="45">
        <v>19.8</v>
      </c>
      <c r="S170" s="45">
        <v>19.2</v>
      </c>
      <c r="T170" s="45">
        <v>22.3</v>
      </c>
      <c r="U170" s="45">
        <v>20.5</v>
      </c>
      <c r="V170" s="45">
        <v>19.7</v>
      </c>
      <c r="W170" s="45">
        <v>16</v>
      </c>
      <c r="X170" s="45">
        <v>14.1</v>
      </c>
      <c r="Y170" s="45">
        <v>13.6</v>
      </c>
      <c r="Z170" s="45">
        <v>13.7</v>
      </c>
      <c r="AA170" s="45">
        <v>16.2</v>
      </c>
      <c r="AB170" s="45">
        <v>12.5</v>
      </c>
      <c r="AC170" s="45">
        <v>12.9</v>
      </c>
      <c r="AD170" s="45">
        <v>12.8</v>
      </c>
      <c r="AE170" s="45">
        <v>15.2</v>
      </c>
      <c r="AF170" s="45">
        <v>13.1</v>
      </c>
      <c r="AG170" s="45">
        <v>15.2</v>
      </c>
      <c r="AH170" s="45">
        <v>13.7</v>
      </c>
      <c r="AI170" s="45">
        <v>15.6</v>
      </c>
      <c r="AJ170" s="45">
        <v>11.4</v>
      </c>
      <c r="AK170" s="45">
        <v>13.1</v>
      </c>
      <c r="AL170" s="45">
        <v>15.7</v>
      </c>
      <c r="AM170" s="45">
        <v>15.7</v>
      </c>
      <c r="AN170" s="45">
        <v>14.6</v>
      </c>
      <c r="AO170" s="45">
        <v>16.3</v>
      </c>
      <c r="AP170" s="45">
        <v>12.1</v>
      </c>
      <c r="AQ170" s="45">
        <v>10.6</v>
      </c>
      <c r="AR170" s="45">
        <v>4.9</v>
      </c>
      <c r="AS170" s="45">
        <v>0</v>
      </c>
      <c r="AT170" s="45">
        <v>0</v>
      </c>
      <c r="AU170" s="45">
        <v>0</v>
      </c>
      <c r="AV170" s="45">
        <v>0</v>
      </c>
      <c r="AW170" s="45">
        <v>0</v>
      </c>
      <c r="AX170" s="45">
        <v>0</v>
      </c>
      <c r="AY170" s="45">
        <v>0</v>
      </c>
      <c r="AZ170" s="45">
        <v>0</v>
      </c>
      <c r="BA170" s="45">
        <v>0</v>
      </c>
      <c r="BB170" s="45">
        <v>0</v>
      </c>
      <c r="BC170" s="45">
        <v>0</v>
      </c>
      <c r="BD170" s="45">
        <v>0</v>
      </c>
      <c r="BE170" s="45">
        <v>0</v>
      </c>
      <c r="BF170" s="45">
        <v>0</v>
      </c>
      <c r="BG170" s="45">
        <v>0</v>
      </c>
    </row>
    <row r="171" spans="1:59">
      <c r="A171" s="18" t="s">
        <v>124</v>
      </c>
      <c r="B171" s="18" t="s">
        <v>120</v>
      </c>
      <c r="C171" s="18" t="s">
        <v>74</v>
      </c>
      <c r="D171" s="45">
        <v>0</v>
      </c>
      <c r="E171" s="45">
        <v>0</v>
      </c>
      <c r="F171" s="45">
        <v>0</v>
      </c>
      <c r="G171" s="45">
        <v>0</v>
      </c>
      <c r="H171" s="45">
        <v>27.7</v>
      </c>
      <c r="I171" s="45">
        <v>18</v>
      </c>
      <c r="J171" s="45">
        <v>13.6</v>
      </c>
      <c r="K171" s="45">
        <v>12.3</v>
      </c>
      <c r="L171" s="45">
        <v>15.1</v>
      </c>
      <c r="M171" s="45">
        <v>17.4</v>
      </c>
      <c r="N171" s="45">
        <v>18.9</v>
      </c>
      <c r="O171" s="45">
        <v>17.2</v>
      </c>
      <c r="P171" s="45">
        <v>18.7</v>
      </c>
      <c r="Q171" s="45">
        <v>18</v>
      </c>
      <c r="R171" s="45">
        <v>18.1</v>
      </c>
      <c r="S171" s="45">
        <v>20.2</v>
      </c>
      <c r="T171" s="45">
        <v>16.5</v>
      </c>
      <c r="U171" s="45">
        <v>21.7</v>
      </c>
      <c r="V171" s="45">
        <v>19.5</v>
      </c>
      <c r="W171" s="45">
        <v>18.2</v>
      </c>
      <c r="X171" s="45">
        <v>14.3</v>
      </c>
      <c r="Y171" s="45">
        <v>14.7</v>
      </c>
      <c r="Z171" s="45">
        <v>14.7</v>
      </c>
      <c r="AA171" s="45">
        <v>13.7</v>
      </c>
      <c r="AB171" s="45">
        <v>12.2</v>
      </c>
      <c r="AC171" s="45">
        <v>15.9</v>
      </c>
      <c r="AD171" s="45">
        <v>15.2</v>
      </c>
      <c r="AE171" s="45">
        <v>14.8</v>
      </c>
      <c r="AF171" s="45">
        <v>13.4</v>
      </c>
      <c r="AG171" s="45">
        <v>16.6</v>
      </c>
      <c r="AH171" s="45">
        <v>13.4</v>
      </c>
      <c r="AI171" s="45">
        <v>15.7</v>
      </c>
      <c r="AJ171" s="45">
        <v>12.4</v>
      </c>
      <c r="AK171" s="45">
        <v>14.1</v>
      </c>
      <c r="AL171" s="45">
        <v>15.7</v>
      </c>
      <c r="AM171" s="45">
        <v>12.9</v>
      </c>
      <c r="AN171" s="45">
        <v>11.2</v>
      </c>
      <c r="AO171" s="45">
        <v>13.1</v>
      </c>
      <c r="AP171" s="45">
        <v>9.4</v>
      </c>
      <c r="AQ171" s="45">
        <v>6.6</v>
      </c>
      <c r="AR171" s="45">
        <v>2.2</v>
      </c>
      <c r="AS171" s="45">
        <v>0</v>
      </c>
      <c r="AT171" s="45">
        <v>0</v>
      </c>
      <c r="AU171" s="45">
        <v>0</v>
      </c>
      <c r="AV171" s="45">
        <v>0</v>
      </c>
      <c r="AW171" s="45">
        <v>0</v>
      </c>
      <c r="AX171" s="45">
        <v>0</v>
      </c>
      <c r="AY171" s="45">
        <v>0</v>
      </c>
      <c r="AZ171" s="45">
        <v>0</v>
      </c>
      <c r="BA171" s="45">
        <v>0</v>
      </c>
      <c r="BB171" s="45">
        <v>0</v>
      </c>
      <c r="BC171" s="45">
        <v>0</v>
      </c>
      <c r="BD171" s="45">
        <v>0</v>
      </c>
      <c r="BE171" s="45">
        <v>0</v>
      </c>
      <c r="BF171" s="45">
        <v>0</v>
      </c>
      <c r="BG171" s="45">
        <v>0</v>
      </c>
    </row>
    <row r="172" spans="1:59">
      <c r="A172" s="18" t="s">
        <v>125</v>
      </c>
      <c r="B172" s="18" t="s">
        <v>120</v>
      </c>
      <c r="C172" s="18" t="s">
        <v>76</v>
      </c>
      <c r="D172" s="45">
        <v>0</v>
      </c>
      <c r="E172" s="45">
        <v>0</v>
      </c>
      <c r="F172" s="45">
        <v>0</v>
      </c>
      <c r="G172" s="45">
        <v>0</v>
      </c>
      <c r="H172" s="45">
        <v>0</v>
      </c>
      <c r="I172" s="45">
        <v>18.6</v>
      </c>
      <c r="J172" s="45">
        <v>16.8</v>
      </c>
      <c r="K172" s="45">
        <v>21.6</v>
      </c>
      <c r="L172" s="45">
        <v>18.3</v>
      </c>
      <c r="M172" s="45">
        <v>18.1</v>
      </c>
      <c r="N172" s="45">
        <v>17</v>
      </c>
      <c r="O172" s="45">
        <v>16</v>
      </c>
      <c r="P172" s="45">
        <v>15.7</v>
      </c>
      <c r="Q172" s="45">
        <v>16.6</v>
      </c>
      <c r="R172" s="45">
        <v>19.6</v>
      </c>
      <c r="S172" s="45">
        <v>18.4</v>
      </c>
      <c r="T172" s="45">
        <v>19.7</v>
      </c>
      <c r="U172" s="45">
        <v>19.3</v>
      </c>
      <c r="V172" s="45">
        <v>22.2</v>
      </c>
      <c r="W172" s="45">
        <v>18.7</v>
      </c>
      <c r="X172" s="45">
        <v>17.6</v>
      </c>
      <c r="Y172" s="45">
        <v>13.9</v>
      </c>
      <c r="Z172" s="45">
        <v>17.1</v>
      </c>
      <c r="AA172" s="45">
        <v>22</v>
      </c>
      <c r="AB172" s="45">
        <v>15.9</v>
      </c>
      <c r="AC172" s="45">
        <v>18.5</v>
      </c>
      <c r="AD172" s="45">
        <v>23.4</v>
      </c>
      <c r="AE172" s="45">
        <v>19.5</v>
      </c>
      <c r="AF172" s="45">
        <v>21.9</v>
      </c>
      <c r="AG172" s="45">
        <v>21.9</v>
      </c>
      <c r="AH172" s="45">
        <v>23.3</v>
      </c>
      <c r="AI172" s="45">
        <v>21.2</v>
      </c>
      <c r="AJ172" s="45">
        <v>21.2</v>
      </c>
      <c r="AK172" s="45">
        <v>19.3</v>
      </c>
      <c r="AL172" s="45">
        <v>18.3</v>
      </c>
      <c r="AM172" s="45">
        <v>20.1</v>
      </c>
      <c r="AN172" s="45">
        <v>15.5</v>
      </c>
      <c r="AO172" s="45">
        <v>14.9</v>
      </c>
      <c r="AP172" s="45">
        <v>11.9</v>
      </c>
      <c r="AQ172" s="45">
        <v>7.3</v>
      </c>
      <c r="AR172" s="45">
        <v>4</v>
      </c>
      <c r="AS172" s="45">
        <v>0</v>
      </c>
      <c r="AT172" s="45">
        <v>0</v>
      </c>
      <c r="AU172" s="45">
        <v>0</v>
      </c>
      <c r="AV172" s="45">
        <v>0</v>
      </c>
      <c r="AW172" s="45">
        <v>0</v>
      </c>
      <c r="AX172" s="45">
        <v>0</v>
      </c>
      <c r="AY172" s="45">
        <v>0</v>
      </c>
      <c r="AZ172" s="45">
        <v>0</v>
      </c>
      <c r="BA172" s="45">
        <v>0</v>
      </c>
      <c r="BB172" s="45">
        <v>0</v>
      </c>
      <c r="BC172" s="45">
        <v>0</v>
      </c>
      <c r="BD172" s="45">
        <v>0</v>
      </c>
      <c r="BE172" s="45">
        <v>0</v>
      </c>
      <c r="BF172" s="45">
        <v>0</v>
      </c>
      <c r="BG172" s="45">
        <v>0</v>
      </c>
    </row>
    <row r="173" spans="1:59">
      <c r="A173" s="18" t="s">
        <v>126</v>
      </c>
      <c r="B173" s="18" t="s">
        <v>120</v>
      </c>
      <c r="C173" s="18" t="s">
        <v>78</v>
      </c>
      <c r="D173" s="45">
        <v>0</v>
      </c>
      <c r="E173" s="45">
        <v>0</v>
      </c>
      <c r="F173" s="45">
        <v>0</v>
      </c>
      <c r="G173" s="45">
        <v>0</v>
      </c>
      <c r="H173" s="45">
        <v>0</v>
      </c>
      <c r="I173" s="45">
        <v>16.9</v>
      </c>
      <c r="J173" s="45">
        <v>10.6</v>
      </c>
      <c r="K173" s="45">
        <v>9</v>
      </c>
      <c r="L173" s="45">
        <v>9.800000000000001</v>
      </c>
      <c r="M173" s="45">
        <v>11.4</v>
      </c>
      <c r="N173" s="45">
        <v>11.8</v>
      </c>
      <c r="O173" s="45">
        <v>12.4</v>
      </c>
      <c r="P173" s="45">
        <v>10.4</v>
      </c>
      <c r="Q173" s="45">
        <v>11.1</v>
      </c>
      <c r="R173" s="45">
        <v>9.6</v>
      </c>
      <c r="S173" s="45">
        <v>11.3</v>
      </c>
      <c r="T173" s="45">
        <v>9.199999999999999</v>
      </c>
      <c r="U173" s="45">
        <v>9.699999999999999</v>
      </c>
      <c r="V173" s="45">
        <v>9.1</v>
      </c>
      <c r="W173" s="45">
        <v>9.9</v>
      </c>
      <c r="X173" s="45">
        <v>9.6</v>
      </c>
      <c r="Y173" s="45">
        <v>9.6</v>
      </c>
      <c r="Z173" s="45">
        <v>9.4</v>
      </c>
      <c r="AA173" s="45">
        <v>8.6</v>
      </c>
      <c r="AB173" s="45">
        <v>10.3</v>
      </c>
      <c r="AC173" s="45">
        <v>9.4</v>
      </c>
      <c r="AD173" s="45">
        <v>9.4</v>
      </c>
      <c r="AE173" s="45">
        <v>10</v>
      </c>
      <c r="AF173" s="45">
        <v>11.7</v>
      </c>
      <c r="AG173" s="45">
        <v>10.6</v>
      </c>
      <c r="AH173" s="45">
        <v>9.1</v>
      </c>
      <c r="AI173" s="45">
        <v>7.6</v>
      </c>
      <c r="AJ173" s="45">
        <v>10.4</v>
      </c>
      <c r="AK173" s="45">
        <v>9.300000000000001</v>
      </c>
      <c r="AL173" s="45">
        <v>11.8</v>
      </c>
      <c r="AM173" s="45">
        <v>10.1</v>
      </c>
      <c r="AN173" s="45">
        <v>9.9</v>
      </c>
      <c r="AO173" s="45">
        <v>8.5</v>
      </c>
      <c r="AP173" s="45">
        <v>8.699999999999999</v>
      </c>
      <c r="AQ173" s="45">
        <v>5.8</v>
      </c>
      <c r="AR173" s="45">
        <v>2.2</v>
      </c>
      <c r="AS173" s="45">
        <v>0</v>
      </c>
      <c r="AT173" s="45">
        <v>0</v>
      </c>
      <c r="AU173" s="45">
        <v>0</v>
      </c>
      <c r="AV173" s="45">
        <v>0</v>
      </c>
      <c r="AW173" s="45">
        <v>0</v>
      </c>
      <c r="AX173" s="45">
        <v>0</v>
      </c>
      <c r="AY173" s="45">
        <v>0</v>
      </c>
      <c r="AZ173" s="45">
        <v>0</v>
      </c>
      <c r="BA173" s="45">
        <v>0</v>
      </c>
      <c r="BB173" s="45">
        <v>0</v>
      </c>
      <c r="BC173" s="45">
        <v>0</v>
      </c>
      <c r="BD173" s="45">
        <v>0</v>
      </c>
      <c r="BE173" s="45">
        <v>0</v>
      </c>
      <c r="BF173" s="45">
        <v>0</v>
      </c>
      <c r="BG173" s="45">
        <v>0</v>
      </c>
    </row>
    <row r="174" spans="1:59">
      <c r="A174" s="18" t="s">
        <v>127</v>
      </c>
      <c r="B174" s="18" t="s">
        <v>120</v>
      </c>
      <c r="C174" s="18" t="s">
        <v>80</v>
      </c>
      <c r="D174" s="45">
        <v>0</v>
      </c>
      <c r="E174" s="45">
        <v>0</v>
      </c>
      <c r="F174" s="45">
        <v>0</v>
      </c>
      <c r="G174" s="45">
        <v>0</v>
      </c>
      <c r="H174" s="45">
        <v>0</v>
      </c>
      <c r="I174" s="45">
        <v>11.5</v>
      </c>
      <c r="J174" s="45">
        <v>6.9</v>
      </c>
      <c r="K174" s="45">
        <v>8.1</v>
      </c>
      <c r="L174" s="45">
        <v>11.3</v>
      </c>
      <c r="M174" s="45">
        <v>9.5</v>
      </c>
      <c r="N174" s="45">
        <v>10.8</v>
      </c>
      <c r="O174" s="45">
        <v>11.3</v>
      </c>
      <c r="P174" s="45">
        <v>11.7</v>
      </c>
      <c r="Q174" s="45">
        <v>12.3</v>
      </c>
      <c r="R174" s="45">
        <v>11</v>
      </c>
      <c r="S174" s="45">
        <v>11.1</v>
      </c>
      <c r="T174" s="45">
        <v>11.8</v>
      </c>
      <c r="U174" s="45">
        <v>14.5</v>
      </c>
      <c r="V174" s="45">
        <v>12.1</v>
      </c>
      <c r="W174" s="45">
        <v>11.2</v>
      </c>
      <c r="X174" s="45">
        <v>11</v>
      </c>
      <c r="Y174" s="45">
        <v>8.199999999999999</v>
      </c>
      <c r="Z174" s="45">
        <v>8.9</v>
      </c>
      <c r="AA174" s="45">
        <v>11.1</v>
      </c>
      <c r="AB174" s="45">
        <v>8.9</v>
      </c>
      <c r="AC174" s="45">
        <v>9.199999999999999</v>
      </c>
      <c r="AD174" s="45">
        <v>11.4</v>
      </c>
      <c r="AE174" s="45">
        <v>12.1</v>
      </c>
      <c r="AF174" s="45">
        <v>13.3</v>
      </c>
      <c r="AG174" s="45">
        <v>14</v>
      </c>
      <c r="AH174" s="45">
        <v>11.6</v>
      </c>
      <c r="AI174" s="45">
        <v>10.3</v>
      </c>
      <c r="AJ174" s="45">
        <v>10.7</v>
      </c>
      <c r="AK174" s="45">
        <v>10.4</v>
      </c>
      <c r="AL174" s="45">
        <v>9.699999999999999</v>
      </c>
      <c r="AM174" s="45">
        <v>9.199999999999999</v>
      </c>
      <c r="AN174" s="45">
        <v>9.5</v>
      </c>
      <c r="AO174" s="45">
        <v>10.5</v>
      </c>
      <c r="AP174" s="45">
        <v>7.9</v>
      </c>
      <c r="AQ174" s="45">
        <v>5.9</v>
      </c>
      <c r="AR174" s="45">
        <v>2.2</v>
      </c>
      <c r="AS174" s="45">
        <v>0</v>
      </c>
      <c r="AT174" s="45">
        <v>0</v>
      </c>
      <c r="AU174" s="45">
        <v>0</v>
      </c>
      <c r="AV174" s="45">
        <v>0</v>
      </c>
      <c r="AW174" s="45">
        <v>0</v>
      </c>
      <c r="AX174" s="45">
        <v>0</v>
      </c>
      <c r="AY174" s="45">
        <v>0</v>
      </c>
      <c r="AZ174" s="45">
        <v>0</v>
      </c>
      <c r="BA174" s="45">
        <v>0</v>
      </c>
      <c r="BB174" s="45">
        <v>0</v>
      </c>
      <c r="BC174" s="45">
        <v>0</v>
      </c>
      <c r="BD174" s="45">
        <v>0</v>
      </c>
      <c r="BE174" s="45">
        <v>0</v>
      </c>
      <c r="BF174" s="45">
        <v>0</v>
      </c>
      <c r="BG174" s="45">
        <v>0</v>
      </c>
    </row>
    <row r="175" spans="1:59">
      <c r="A175" s="18" t="s">
        <v>128</v>
      </c>
      <c r="B175" s="18" t="s">
        <v>120</v>
      </c>
      <c r="C175" s="18" t="s">
        <v>82</v>
      </c>
      <c r="D175" s="45">
        <v>0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5">
        <v>0</v>
      </c>
      <c r="M175" s="45">
        <v>0</v>
      </c>
      <c r="N175" s="45">
        <v>0</v>
      </c>
      <c r="O175" s="45">
        <v>0</v>
      </c>
      <c r="P175" s="45">
        <v>0</v>
      </c>
      <c r="Q175" s="45">
        <v>0</v>
      </c>
      <c r="R175" s="45">
        <v>0</v>
      </c>
      <c r="S175" s="45">
        <v>0</v>
      </c>
      <c r="T175" s="45">
        <v>0</v>
      </c>
      <c r="U175" s="45">
        <v>0</v>
      </c>
      <c r="V175" s="45">
        <v>0</v>
      </c>
      <c r="W175" s="45">
        <v>0</v>
      </c>
      <c r="X175" s="45">
        <v>0</v>
      </c>
      <c r="Y175" s="45">
        <v>0</v>
      </c>
      <c r="Z175" s="45">
        <v>0</v>
      </c>
      <c r="AA175" s="45">
        <v>0</v>
      </c>
      <c r="AB175" s="45">
        <v>0</v>
      </c>
      <c r="AC175" s="45">
        <v>0</v>
      </c>
      <c r="AD175" s="45">
        <v>0</v>
      </c>
      <c r="AE175" s="45">
        <v>0</v>
      </c>
      <c r="AF175" s="45">
        <v>0</v>
      </c>
      <c r="AG175" s="45">
        <v>0</v>
      </c>
      <c r="AH175" s="45">
        <v>0</v>
      </c>
      <c r="AI175" s="45">
        <v>0</v>
      </c>
      <c r="AJ175" s="45">
        <v>0</v>
      </c>
      <c r="AK175" s="45">
        <v>0</v>
      </c>
      <c r="AL175" s="45">
        <v>0</v>
      </c>
      <c r="AM175" s="45">
        <v>0</v>
      </c>
      <c r="AN175" s="45">
        <v>0</v>
      </c>
      <c r="AO175" s="45">
        <v>0</v>
      </c>
      <c r="AP175" s="45">
        <v>0</v>
      </c>
      <c r="AQ175" s="45">
        <v>0</v>
      </c>
      <c r="AR175" s="45">
        <v>0</v>
      </c>
      <c r="AS175" s="45">
        <v>0</v>
      </c>
      <c r="AT175" s="45">
        <v>0</v>
      </c>
      <c r="AU175" s="45">
        <v>0</v>
      </c>
      <c r="AV175" s="45">
        <v>0</v>
      </c>
      <c r="AW175" s="45">
        <v>0</v>
      </c>
      <c r="AX175" s="45">
        <v>0</v>
      </c>
      <c r="AY175" s="45">
        <v>0</v>
      </c>
      <c r="AZ175" s="45">
        <v>0</v>
      </c>
      <c r="BA175" s="45">
        <v>0</v>
      </c>
      <c r="BB175" s="45">
        <v>0</v>
      </c>
      <c r="BC175" s="45">
        <v>0</v>
      </c>
      <c r="BD175" s="45">
        <v>0</v>
      </c>
      <c r="BE175" s="45">
        <v>0</v>
      </c>
      <c r="BF175" s="45">
        <v>0</v>
      </c>
      <c r="BG175" s="45">
        <v>0</v>
      </c>
    </row>
    <row r="176" spans="1:59">
      <c r="A176" s="18" t="s">
        <v>129</v>
      </c>
      <c r="B176" s="18" t="s">
        <v>120</v>
      </c>
      <c r="C176" s="18" t="s">
        <v>84</v>
      </c>
      <c r="D176" s="45">
        <v>0</v>
      </c>
      <c r="E176" s="45">
        <v>0</v>
      </c>
      <c r="F176" s="45">
        <v>0</v>
      </c>
      <c r="G176" s="45">
        <v>0</v>
      </c>
      <c r="H176" s="45">
        <v>0</v>
      </c>
      <c r="I176" s="45">
        <v>10.2</v>
      </c>
      <c r="J176" s="45">
        <v>7.2</v>
      </c>
      <c r="K176" s="45">
        <v>7.5</v>
      </c>
      <c r="L176" s="45">
        <v>7.7</v>
      </c>
      <c r="M176" s="45">
        <v>7.4</v>
      </c>
      <c r="N176" s="45">
        <v>8.1</v>
      </c>
      <c r="O176" s="45">
        <v>8</v>
      </c>
      <c r="P176" s="45">
        <v>10.8</v>
      </c>
      <c r="Q176" s="45">
        <v>10.5</v>
      </c>
      <c r="R176" s="45">
        <v>11.1</v>
      </c>
      <c r="S176" s="45">
        <v>10.5</v>
      </c>
      <c r="T176" s="45">
        <v>11.4</v>
      </c>
      <c r="U176" s="45">
        <v>12.7</v>
      </c>
      <c r="V176" s="45">
        <v>20</v>
      </c>
      <c r="W176" s="45">
        <v>15.3</v>
      </c>
      <c r="X176" s="45">
        <v>10.3</v>
      </c>
      <c r="Y176" s="45">
        <v>10.3</v>
      </c>
      <c r="Z176" s="45">
        <v>10.3</v>
      </c>
      <c r="AA176" s="45">
        <v>9.300000000000001</v>
      </c>
      <c r="AB176" s="45">
        <v>10.2</v>
      </c>
      <c r="AC176" s="45">
        <v>10.9</v>
      </c>
      <c r="AD176" s="45">
        <v>11.8</v>
      </c>
      <c r="AE176" s="45">
        <v>12.6</v>
      </c>
      <c r="AF176" s="45">
        <v>11.5</v>
      </c>
      <c r="AG176" s="45">
        <v>11.2</v>
      </c>
      <c r="AH176" s="45">
        <v>20</v>
      </c>
      <c r="AI176" s="45">
        <v>13.6</v>
      </c>
      <c r="AJ176" s="45">
        <v>12.2</v>
      </c>
      <c r="AK176" s="45">
        <v>12.1</v>
      </c>
      <c r="AL176" s="45">
        <v>10.7</v>
      </c>
      <c r="AM176" s="45">
        <v>12.4</v>
      </c>
      <c r="AN176" s="45">
        <v>8.800000000000001</v>
      </c>
      <c r="AO176" s="45">
        <v>9.699999999999999</v>
      </c>
      <c r="AP176" s="45">
        <v>10.4</v>
      </c>
      <c r="AQ176" s="45">
        <v>6.1</v>
      </c>
      <c r="AR176" s="45">
        <v>5.7</v>
      </c>
      <c r="AS176" s="45">
        <v>0</v>
      </c>
      <c r="AT176" s="45">
        <v>0</v>
      </c>
      <c r="AU176" s="45">
        <v>0</v>
      </c>
      <c r="AV176" s="45">
        <v>0</v>
      </c>
      <c r="AW176" s="45">
        <v>0</v>
      </c>
      <c r="AX176" s="45">
        <v>0</v>
      </c>
      <c r="AY176" s="45">
        <v>0</v>
      </c>
      <c r="AZ176" s="45">
        <v>0</v>
      </c>
      <c r="BA176" s="45">
        <v>0</v>
      </c>
      <c r="BB176" s="45">
        <v>0</v>
      </c>
      <c r="BC176" s="45">
        <v>0</v>
      </c>
      <c r="BD176" s="45">
        <v>0</v>
      </c>
      <c r="BE176" s="45">
        <v>0</v>
      </c>
      <c r="BF176" s="45">
        <v>0</v>
      </c>
      <c r="BG176" s="45">
        <v>0</v>
      </c>
    </row>
    <row r="177" spans="1:59">
      <c r="A177" s="18" t="s">
        <v>130</v>
      </c>
      <c r="B177" s="18" t="s">
        <v>120</v>
      </c>
      <c r="C177" s="18" t="s">
        <v>86</v>
      </c>
      <c r="D177" s="45">
        <v>0</v>
      </c>
      <c r="E177" s="45">
        <v>0</v>
      </c>
      <c r="F177" s="45">
        <v>0</v>
      </c>
      <c r="G177" s="45">
        <v>0</v>
      </c>
      <c r="H177" s="45">
        <v>0</v>
      </c>
      <c r="I177" s="45">
        <v>11.7</v>
      </c>
      <c r="J177" s="45">
        <v>8.9</v>
      </c>
      <c r="K177" s="45">
        <v>7.6</v>
      </c>
      <c r="L177" s="45">
        <v>10.8</v>
      </c>
      <c r="M177" s="45">
        <v>9.199999999999999</v>
      </c>
      <c r="N177" s="45">
        <v>9.6</v>
      </c>
      <c r="O177" s="45">
        <v>8.800000000000001</v>
      </c>
      <c r="P177" s="45">
        <v>11.1</v>
      </c>
      <c r="Q177" s="45">
        <v>11.4</v>
      </c>
      <c r="R177" s="45">
        <v>14.5</v>
      </c>
      <c r="S177" s="45">
        <v>12.2</v>
      </c>
      <c r="T177" s="45">
        <v>13.5</v>
      </c>
      <c r="U177" s="45">
        <v>12.4</v>
      </c>
      <c r="V177" s="45">
        <v>12.4</v>
      </c>
      <c r="W177" s="45">
        <v>13</v>
      </c>
      <c r="X177" s="45">
        <v>10.9</v>
      </c>
      <c r="Y177" s="45">
        <v>10.1</v>
      </c>
      <c r="Z177" s="45">
        <v>7.1</v>
      </c>
      <c r="AA177" s="45">
        <v>9.199999999999999</v>
      </c>
      <c r="AB177" s="45">
        <v>6.6</v>
      </c>
      <c r="AC177" s="45">
        <v>10.2</v>
      </c>
      <c r="AD177" s="45">
        <v>10.3</v>
      </c>
      <c r="AE177" s="45">
        <v>10</v>
      </c>
      <c r="AF177" s="45">
        <v>11.6</v>
      </c>
      <c r="AG177" s="45">
        <v>12.2</v>
      </c>
      <c r="AH177" s="45">
        <v>12.4</v>
      </c>
      <c r="AI177" s="45">
        <v>11.6</v>
      </c>
      <c r="AJ177" s="45">
        <v>10.6</v>
      </c>
      <c r="AK177" s="45">
        <v>10.1</v>
      </c>
      <c r="AL177" s="45">
        <v>10.5</v>
      </c>
      <c r="AM177" s="45">
        <v>9.6</v>
      </c>
      <c r="AN177" s="45">
        <v>11.1</v>
      </c>
      <c r="AO177" s="45">
        <v>8.6</v>
      </c>
      <c r="AP177" s="45">
        <v>7</v>
      </c>
      <c r="AQ177" s="45">
        <v>5.6</v>
      </c>
      <c r="AR177" s="45">
        <v>3.3</v>
      </c>
      <c r="AS177" s="45">
        <v>0</v>
      </c>
      <c r="AT177" s="45">
        <v>0</v>
      </c>
      <c r="AU177" s="45">
        <v>0</v>
      </c>
      <c r="AV177" s="45">
        <v>0</v>
      </c>
      <c r="AW177" s="45">
        <v>0</v>
      </c>
      <c r="AX177" s="45">
        <v>0</v>
      </c>
      <c r="AY177" s="45">
        <v>0</v>
      </c>
      <c r="AZ177" s="45">
        <v>0</v>
      </c>
      <c r="BA177" s="45">
        <v>0</v>
      </c>
      <c r="BB177" s="45">
        <v>0</v>
      </c>
      <c r="BC177" s="45">
        <v>0</v>
      </c>
      <c r="BD177" s="45">
        <v>0</v>
      </c>
      <c r="BE177" s="45">
        <v>0</v>
      </c>
      <c r="BF177" s="45">
        <v>0</v>
      </c>
      <c r="BG177" s="45">
        <v>0</v>
      </c>
    </row>
    <row r="178" spans="1:59">
      <c r="A178" s="18" t="s">
        <v>131</v>
      </c>
      <c r="B178" s="18" t="s">
        <v>120</v>
      </c>
      <c r="C178" s="18" t="s">
        <v>88</v>
      </c>
      <c r="D178" s="45">
        <v>0</v>
      </c>
      <c r="E178" s="45">
        <v>0</v>
      </c>
      <c r="F178" s="45">
        <v>0</v>
      </c>
      <c r="G178" s="45">
        <v>0</v>
      </c>
      <c r="H178" s="45">
        <v>0</v>
      </c>
      <c r="I178" s="45">
        <v>6.6</v>
      </c>
      <c r="J178" s="45">
        <v>3.9</v>
      </c>
      <c r="K178" s="45">
        <v>4.2</v>
      </c>
      <c r="L178" s="45">
        <v>4.6</v>
      </c>
      <c r="M178" s="45">
        <v>4.9</v>
      </c>
      <c r="N178" s="45">
        <v>5.4</v>
      </c>
      <c r="O178" s="45">
        <v>7.6</v>
      </c>
      <c r="P178" s="45">
        <v>7.1</v>
      </c>
      <c r="Q178" s="45">
        <v>7.8</v>
      </c>
      <c r="R178" s="45">
        <v>7.3</v>
      </c>
      <c r="S178" s="45">
        <v>9.300000000000001</v>
      </c>
      <c r="T178" s="45">
        <v>9.6</v>
      </c>
      <c r="U178" s="45">
        <v>11</v>
      </c>
      <c r="V178" s="45">
        <v>9.4</v>
      </c>
      <c r="W178" s="45">
        <v>8.300000000000001</v>
      </c>
      <c r="X178" s="45">
        <v>7.3</v>
      </c>
      <c r="Y178" s="45">
        <v>6.1</v>
      </c>
      <c r="Z178" s="45">
        <v>6.3</v>
      </c>
      <c r="AA178" s="45">
        <v>6.5</v>
      </c>
      <c r="AB178" s="45">
        <v>4.2</v>
      </c>
      <c r="AC178" s="45">
        <v>5.3</v>
      </c>
      <c r="AD178" s="45">
        <v>5.3</v>
      </c>
      <c r="AE178" s="45">
        <v>7.5</v>
      </c>
      <c r="AF178" s="45">
        <v>8</v>
      </c>
      <c r="AG178" s="45">
        <v>7.9</v>
      </c>
      <c r="AH178" s="45">
        <v>7.9</v>
      </c>
      <c r="AI178" s="45">
        <v>8.300000000000001</v>
      </c>
      <c r="AJ178" s="45">
        <v>7.8</v>
      </c>
      <c r="AK178" s="45">
        <v>8.1</v>
      </c>
      <c r="AL178" s="45">
        <v>8.6</v>
      </c>
      <c r="AM178" s="45">
        <v>7.3</v>
      </c>
      <c r="AN178" s="45">
        <v>7.6</v>
      </c>
      <c r="AO178" s="45">
        <v>5.4</v>
      </c>
      <c r="AP178" s="45">
        <v>7</v>
      </c>
      <c r="AQ178" s="45">
        <v>3.9</v>
      </c>
      <c r="AR178" s="45">
        <v>3.1</v>
      </c>
      <c r="AS178" s="45">
        <v>0</v>
      </c>
      <c r="AT178" s="45">
        <v>0</v>
      </c>
      <c r="AU178" s="45">
        <v>0</v>
      </c>
      <c r="AV178" s="45">
        <v>0</v>
      </c>
      <c r="AW178" s="45">
        <v>0</v>
      </c>
      <c r="AX178" s="45">
        <v>0</v>
      </c>
      <c r="AY178" s="45">
        <v>0</v>
      </c>
      <c r="AZ178" s="45">
        <v>0</v>
      </c>
      <c r="BA178" s="45">
        <v>0</v>
      </c>
      <c r="BB178" s="45">
        <v>0</v>
      </c>
      <c r="BC178" s="45">
        <v>0</v>
      </c>
      <c r="BD178" s="45">
        <v>0</v>
      </c>
      <c r="BE178" s="45">
        <v>0</v>
      </c>
      <c r="BF178" s="45">
        <v>0</v>
      </c>
      <c r="BG178" s="45">
        <v>0</v>
      </c>
    </row>
    <row r="179" spans="1:59">
      <c r="A179" s="18" t="s">
        <v>132</v>
      </c>
      <c r="B179" s="18" t="s">
        <v>120</v>
      </c>
      <c r="C179" s="18" t="s">
        <v>90</v>
      </c>
      <c r="D179" s="45">
        <v>0</v>
      </c>
      <c r="E179" s="45">
        <v>0</v>
      </c>
      <c r="F179" s="45">
        <v>0</v>
      </c>
      <c r="G179" s="45">
        <v>0</v>
      </c>
      <c r="H179" s="45">
        <v>0</v>
      </c>
      <c r="I179" s="45">
        <v>10.6</v>
      </c>
      <c r="J179" s="45">
        <v>10</v>
      </c>
      <c r="K179" s="45">
        <v>12.1</v>
      </c>
      <c r="L179" s="45">
        <v>9.1</v>
      </c>
      <c r="M179" s="45">
        <v>12.5</v>
      </c>
      <c r="N179" s="45">
        <v>13.7</v>
      </c>
      <c r="O179" s="45">
        <v>14.7</v>
      </c>
      <c r="P179" s="45">
        <v>11.2</v>
      </c>
      <c r="Q179" s="45">
        <v>15.9</v>
      </c>
      <c r="R179" s="45">
        <v>13.5</v>
      </c>
      <c r="S179" s="45">
        <v>14.6</v>
      </c>
      <c r="T179" s="45">
        <v>12.2</v>
      </c>
      <c r="U179" s="45">
        <v>13.5</v>
      </c>
      <c r="V179" s="45">
        <v>13.4</v>
      </c>
      <c r="W179" s="45">
        <v>11.4</v>
      </c>
      <c r="X179" s="45">
        <v>10.9</v>
      </c>
      <c r="Y179" s="45">
        <v>10.9</v>
      </c>
      <c r="Z179" s="45">
        <v>9.300000000000001</v>
      </c>
      <c r="AA179" s="45">
        <v>7.3</v>
      </c>
      <c r="AB179" s="45">
        <v>10</v>
      </c>
      <c r="AC179" s="45">
        <v>10.1</v>
      </c>
      <c r="AD179" s="45">
        <v>11.3</v>
      </c>
      <c r="AE179" s="45">
        <v>14.8</v>
      </c>
      <c r="AF179" s="45">
        <v>12.7</v>
      </c>
      <c r="AG179" s="45">
        <v>15.1</v>
      </c>
      <c r="AH179" s="45">
        <v>13.1</v>
      </c>
      <c r="AI179" s="45">
        <v>14.5</v>
      </c>
      <c r="AJ179" s="45">
        <v>12.2</v>
      </c>
      <c r="AK179" s="45">
        <v>12.9</v>
      </c>
      <c r="AL179" s="45">
        <v>14.7</v>
      </c>
      <c r="AM179" s="45">
        <v>15</v>
      </c>
      <c r="AN179" s="45">
        <v>13.6</v>
      </c>
      <c r="AO179" s="45">
        <v>9.6</v>
      </c>
      <c r="AP179" s="45">
        <v>9.800000000000001</v>
      </c>
      <c r="AQ179" s="45">
        <v>8.199999999999999</v>
      </c>
      <c r="AR179" s="45">
        <v>11.7</v>
      </c>
      <c r="AS179" s="45">
        <v>0</v>
      </c>
      <c r="AT179" s="45">
        <v>0</v>
      </c>
      <c r="AU179" s="45">
        <v>0</v>
      </c>
      <c r="AV179" s="45">
        <v>0</v>
      </c>
      <c r="AW179" s="45">
        <v>0</v>
      </c>
      <c r="AX179" s="45">
        <v>0</v>
      </c>
      <c r="AY179" s="45">
        <v>0</v>
      </c>
      <c r="AZ179" s="45">
        <v>0</v>
      </c>
      <c r="BA179" s="45">
        <v>0</v>
      </c>
      <c r="BB179" s="45">
        <v>0</v>
      </c>
      <c r="BC179" s="45">
        <v>0</v>
      </c>
      <c r="BD179" s="45">
        <v>0</v>
      </c>
      <c r="BE179" s="45">
        <v>0</v>
      </c>
      <c r="BF179" s="45">
        <v>0</v>
      </c>
      <c r="BG179" s="45">
        <v>0</v>
      </c>
    </row>
    <row r="180" spans="1:59">
      <c r="A180" s="18" t="s">
        <v>133</v>
      </c>
      <c r="B180" s="18" t="s">
        <v>134</v>
      </c>
      <c r="C180" s="18" t="s">
        <v>66</v>
      </c>
      <c r="D180" s="45">
        <v>0</v>
      </c>
      <c r="E180" s="45">
        <v>0</v>
      </c>
      <c r="F180" s="45">
        <v>0</v>
      </c>
      <c r="G180" s="45">
        <v>0</v>
      </c>
      <c r="H180" s="45">
        <v>22.7</v>
      </c>
      <c r="I180" s="45">
        <v>10.3</v>
      </c>
      <c r="J180" s="45">
        <v>5.7</v>
      </c>
      <c r="K180" s="45">
        <v>6.1</v>
      </c>
      <c r="L180" s="45">
        <v>6.4</v>
      </c>
      <c r="M180" s="45">
        <v>7.7</v>
      </c>
      <c r="N180" s="45">
        <v>8.6</v>
      </c>
      <c r="O180" s="45">
        <v>10.1</v>
      </c>
      <c r="P180" s="45">
        <v>10.7</v>
      </c>
      <c r="Q180" s="45">
        <v>11.2</v>
      </c>
      <c r="R180" s="45">
        <v>11.3</v>
      </c>
      <c r="S180" s="45">
        <v>11.8</v>
      </c>
      <c r="T180" s="45">
        <v>11.5</v>
      </c>
      <c r="U180" s="45">
        <v>11.7</v>
      </c>
      <c r="V180" s="45">
        <v>11.5</v>
      </c>
      <c r="W180" s="45">
        <v>11.8</v>
      </c>
      <c r="X180" s="45">
        <v>10.1</v>
      </c>
      <c r="Y180" s="45">
        <v>9.4</v>
      </c>
      <c r="Z180" s="45">
        <v>8.4</v>
      </c>
      <c r="AA180" s="45">
        <v>6.8</v>
      </c>
      <c r="AB180" s="45">
        <v>6.8</v>
      </c>
      <c r="AC180" s="45">
        <v>7.3</v>
      </c>
      <c r="AD180" s="45">
        <v>7.3</v>
      </c>
      <c r="AE180" s="45">
        <v>8.300000000000001</v>
      </c>
      <c r="AF180" s="45">
        <v>8.699999999999999</v>
      </c>
      <c r="AG180" s="45">
        <v>8.6</v>
      </c>
      <c r="AH180" s="45">
        <v>8.9</v>
      </c>
      <c r="AI180" s="45">
        <v>8.4</v>
      </c>
      <c r="AJ180" s="45">
        <v>8.199999999999999</v>
      </c>
      <c r="AK180" s="45">
        <v>8.6</v>
      </c>
      <c r="AL180" s="45">
        <v>7.8</v>
      </c>
      <c r="AM180" s="45">
        <v>7.4</v>
      </c>
      <c r="AN180" s="45">
        <v>7.4</v>
      </c>
      <c r="AO180" s="45">
        <v>7</v>
      </c>
      <c r="AP180" s="45">
        <v>5.9</v>
      </c>
      <c r="AQ180" s="45">
        <v>4.8</v>
      </c>
      <c r="AR180" s="45">
        <v>3.1</v>
      </c>
      <c r="AS180" s="45">
        <v>4.4</v>
      </c>
      <c r="AT180" s="45">
        <v>0</v>
      </c>
      <c r="AU180" s="45">
        <v>2.1</v>
      </c>
      <c r="AV180" s="45">
        <v>1.7</v>
      </c>
      <c r="AW180" s="45">
        <v>1</v>
      </c>
      <c r="AX180" s="45">
        <v>0.4</v>
      </c>
      <c r="AY180" s="45">
        <v>0</v>
      </c>
      <c r="AZ180" s="45">
        <v>0.2</v>
      </c>
      <c r="BA180" s="45">
        <v>0</v>
      </c>
      <c r="BB180" s="45">
        <v>0</v>
      </c>
      <c r="BC180" s="45">
        <v>0</v>
      </c>
      <c r="BD180" s="45">
        <v>0</v>
      </c>
      <c r="BE180" s="45">
        <v>0</v>
      </c>
      <c r="BF180" s="45">
        <v>0</v>
      </c>
      <c r="BG180" s="45">
        <v>0</v>
      </c>
    </row>
    <row r="181" spans="1:59">
      <c r="A181" s="18" t="s">
        <v>135</v>
      </c>
      <c r="B181" s="18" t="s">
        <v>134</v>
      </c>
      <c r="C181" s="18" t="s">
        <v>68</v>
      </c>
      <c r="D181" s="45">
        <v>0</v>
      </c>
      <c r="E181" s="45">
        <v>0</v>
      </c>
      <c r="F181" s="45">
        <v>0</v>
      </c>
      <c r="G181" s="45">
        <v>0</v>
      </c>
      <c r="H181" s="45">
        <v>0</v>
      </c>
      <c r="I181" s="45">
        <v>10.7</v>
      </c>
      <c r="J181" s="45">
        <v>10.7</v>
      </c>
      <c r="K181" s="45">
        <v>13.4</v>
      </c>
      <c r="L181" s="45">
        <v>12.9</v>
      </c>
      <c r="M181" s="45">
        <v>16.5</v>
      </c>
      <c r="N181" s="45">
        <v>17.4</v>
      </c>
      <c r="O181" s="45">
        <v>20.2</v>
      </c>
      <c r="P181" s="45">
        <v>21.4</v>
      </c>
      <c r="Q181" s="45">
        <v>21.5</v>
      </c>
      <c r="R181" s="45">
        <v>20.3</v>
      </c>
      <c r="S181" s="45">
        <v>21.2</v>
      </c>
      <c r="T181" s="45">
        <v>19.7</v>
      </c>
      <c r="U181" s="45">
        <v>21.5</v>
      </c>
      <c r="V181" s="45">
        <v>21.3</v>
      </c>
      <c r="W181" s="45">
        <v>22.6</v>
      </c>
      <c r="X181" s="45">
        <v>16.6</v>
      </c>
      <c r="Y181" s="45">
        <v>15.9</v>
      </c>
      <c r="Z181" s="45">
        <v>14.5</v>
      </c>
      <c r="AA181" s="45">
        <v>14.9</v>
      </c>
      <c r="AB181" s="45">
        <v>14.6</v>
      </c>
      <c r="AC181" s="45">
        <v>14.8</v>
      </c>
      <c r="AD181" s="45">
        <v>15.2</v>
      </c>
      <c r="AE181" s="45">
        <v>18.5</v>
      </c>
      <c r="AF181" s="45">
        <v>16</v>
      </c>
      <c r="AG181" s="45">
        <v>16.1</v>
      </c>
      <c r="AH181" s="45">
        <v>19.2</v>
      </c>
      <c r="AI181" s="45">
        <v>16.3</v>
      </c>
      <c r="AJ181" s="45">
        <v>15.7</v>
      </c>
      <c r="AK181" s="45">
        <v>15.5</v>
      </c>
      <c r="AL181" s="45">
        <v>14.9</v>
      </c>
      <c r="AM181" s="45">
        <v>11.7</v>
      </c>
      <c r="AN181" s="45">
        <v>13.3</v>
      </c>
      <c r="AO181" s="45">
        <v>13.2</v>
      </c>
      <c r="AP181" s="45">
        <v>10.2</v>
      </c>
      <c r="AQ181" s="45">
        <v>11.7</v>
      </c>
      <c r="AR181" s="45">
        <v>8.199999999999999</v>
      </c>
      <c r="AS181" s="45">
        <v>0</v>
      </c>
      <c r="AT181" s="45">
        <v>0</v>
      </c>
      <c r="AU181" s="45">
        <v>0</v>
      </c>
      <c r="AV181" s="45">
        <v>0</v>
      </c>
      <c r="AW181" s="45">
        <v>0</v>
      </c>
      <c r="AX181" s="45">
        <v>0</v>
      </c>
      <c r="AY181" s="45">
        <v>0</v>
      </c>
      <c r="AZ181" s="45">
        <v>0</v>
      </c>
      <c r="BA181" s="45">
        <v>0</v>
      </c>
      <c r="BB181" s="45">
        <v>0</v>
      </c>
      <c r="BC181" s="45">
        <v>0</v>
      </c>
      <c r="BD181" s="45">
        <v>0</v>
      </c>
      <c r="BE181" s="45">
        <v>0</v>
      </c>
      <c r="BF181" s="45">
        <v>0</v>
      </c>
      <c r="BG181" s="45">
        <v>0</v>
      </c>
    </row>
    <row r="182" spans="1:59">
      <c r="A182" s="18" t="s">
        <v>136</v>
      </c>
      <c r="B182" s="18" t="s">
        <v>134</v>
      </c>
      <c r="C182" s="18" t="s">
        <v>70</v>
      </c>
      <c r="D182" s="45">
        <v>0</v>
      </c>
      <c r="E182" s="45">
        <v>0</v>
      </c>
      <c r="F182" s="45">
        <v>0</v>
      </c>
      <c r="G182" s="45">
        <v>0</v>
      </c>
      <c r="H182" s="45">
        <v>0</v>
      </c>
      <c r="I182" s="45">
        <v>11.8</v>
      </c>
      <c r="J182" s="45">
        <v>7.8</v>
      </c>
      <c r="K182" s="45">
        <v>8</v>
      </c>
      <c r="L182" s="45">
        <v>9.6</v>
      </c>
      <c r="M182" s="45">
        <v>11.4</v>
      </c>
      <c r="N182" s="45">
        <v>13.7</v>
      </c>
      <c r="O182" s="45">
        <v>14.7</v>
      </c>
      <c r="P182" s="45">
        <v>14</v>
      </c>
      <c r="Q182" s="45">
        <v>15.3</v>
      </c>
      <c r="R182" s="45">
        <v>16.8</v>
      </c>
      <c r="S182" s="45">
        <v>16.8</v>
      </c>
      <c r="T182" s="45">
        <v>20.4</v>
      </c>
      <c r="U182" s="45">
        <v>18.3</v>
      </c>
      <c r="V182" s="45">
        <v>15.2</v>
      </c>
      <c r="W182" s="45">
        <v>14</v>
      </c>
      <c r="X182" s="45">
        <v>13.8</v>
      </c>
      <c r="Y182" s="45">
        <v>12.1</v>
      </c>
      <c r="Z182" s="45">
        <v>12.3</v>
      </c>
      <c r="AA182" s="45">
        <v>11.9</v>
      </c>
      <c r="AB182" s="45">
        <v>10.2</v>
      </c>
      <c r="AC182" s="45">
        <v>10.6</v>
      </c>
      <c r="AD182" s="45">
        <v>9.199999999999999</v>
      </c>
      <c r="AE182" s="45">
        <v>12.2</v>
      </c>
      <c r="AF182" s="45">
        <v>14.5</v>
      </c>
      <c r="AG182" s="45">
        <v>14.3</v>
      </c>
      <c r="AH182" s="45">
        <v>12.6</v>
      </c>
      <c r="AI182" s="45">
        <v>14</v>
      </c>
      <c r="AJ182" s="45">
        <v>11.4</v>
      </c>
      <c r="AK182" s="45">
        <v>11.5</v>
      </c>
      <c r="AL182" s="45">
        <v>9.199999999999999</v>
      </c>
      <c r="AM182" s="45">
        <v>11.4</v>
      </c>
      <c r="AN182" s="45">
        <v>10</v>
      </c>
      <c r="AO182" s="45">
        <v>9.300000000000001</v>
      </c>
      <c r="AP182" s="45">
        <v>7.3</v>
      </c>
      <c r="AQ182" s="45">
        <v>5.7</v>
      </c>
      <c r="AR182" s="45">
        <v>4.8</v>
      </c>
      <c r="AS182" s="45">
        <v>0</v>
      </c>
      <c r="AT182" s="45">
        <v>0</v>
      </c>
      <c r="AU182" s="45">
        <v>0</v>
      </c>
      <c r="AV182" s="45">
        <v>0</v>
      </c>
      <c r="AW182" s="45">
        <v>0</v>
      </c>
      <c r="AX182" s="45">
        <v>0</v>
      </c>
      <c r="AY182" s="45">
        <v>0</v>
      </c>
      <c r="AZ182" s="45">
        <v>0</v>
      </c>
      <c r="BA182" s="45">
        <v>0</v>
      </c>
      <c r="BB182" s="45">
        <v>0</v>
      </c>
      <c r="BC182" s="45">
        <v>0</v>
      </c>
      <c r="BD182" s="45">
        <v>0</v>
      </c>
      <c r="BE182" s="45">
        <v>0</v>
      </c>
      <c r="BF182" s="45">
        <v>0</v>
      </c>
      <c r="BG182" s="45">
        <v>0</v>
      </c>
    </row>
    <row r="183" spans="1:59">
      <c r="A183" s="18" t="s">
        <v>137</v>
      </c>
      <c r="B183" s="18" t="s">
        <v>134</v>
      </c>
      <c r="C183" s="18" t="s">
        <v>72</v>
      </c>
      <c r="D183" s="45">
        <v>0</v>
      </c>
      <c r="E183" s="45">
        <v>0</v>
      </c>
      <c r="F183" s="45">
        <v>0</v>
      </c>
      <c r="G183" s="45">
        <v>0</v>
      </c>
      <c r="H183" s="45">
        <v>0</v>
      </c>
      <c r="I183" s="45">
        <v>11</v>
      </c>
      <c r="J183" s="45">
        <v>5.1</v>
      </c>
      <c r="K183" s="45">
        <v>5.3</v>
      </c>
      <c r="L183" s="45">
        <v>5.3</v>
      </c>
      <c r="M183" s="45">
        <v>6.6</v>
      </c>
      <c r="N183" s="45">
        <v>7.1</v>
      </c>
      <c r="O183" s="45">
        <v>8.4</v>
      </c>
      <c r="P183" s="45">
        <v>10.2</v>
      </c>
      <c r="Q183" s="45">
        <v>12.3</v>
      </c>
      <c r="R183" s="45">
        <v>12.2</v>
      </c>
      <c r="S183" s="45">
        <v>11.3</v>
      </c>
      <c r="T183" s="45">
        <v>13.2</v>
      </c>
      <c r="U183" s="45">
        <v>12</v>
      </c>
      <c r="V183" s="45">
        <v>11.5</v>
      </c>
      <c r="W183" s="45">
        <v>11.3</v>
      </c>
      <c r="X183" s="45">
        <v>10.6</v>
      </c>
      <c r="Y183" s="45">
        <v>8.699999999999999</v>
      </c>
      <c r="Z183" s="45">
        <v>7.5</v>
      </c>
      <c r="AA183" s="45">
        <v>5</v>
      </c>
      <c r="AB183" s="45">
        <v>7.2</v>
      </c>
      <c r="AC183" s="45">
        <v>7.6</v>
      </c>
      <c r="AD183" s="45">
        <v>7.1</v>
      </c>
      <c r="AE183" s="45">
        <v>7.5</v>
      </c>
      <c r="AF183" s="45">
        <v>7.1</v>
      </c>
      <c r="AG183" s="45">
        <v>7.8</v>
      </c>
      <c r="AH183" s="45">
        <v>7.2</v>
      </c>
      <c r="AI183" s="45">
        <v>7</v>
      </c>
      <c r="AJ183" s="45">
        <v>7.3</v>
      </c>
      <c r="AK183" s="45">
        <v>7.5</v>
      </c>
      <c r="AL183" s="45">
        <v>6.5</v>
      </c>
      <c r="AM183" s="45">
        <v>6.3</v>
      </c>
      <c r="AN183" s="45">
        <v>5.7</v>
      </c>
      <c r="AO183" s="45">
        <v>6.2</v>
      </c>
      <c r="AP183" s="45">
        <v>5.1</v>
      </c>
      <c r="AQ183" s="45">
        <v>2.8</v>
      </c>
      <c r="AR183" s="45">
        <v>1.4</v>
      </c>
      <c r="AS183" s="45">
        <v>0</v>
      </c>
      <c r="AT183" s="45">
        <v>0</v>
      </c>
      <c r="AU183" s="45">
        <v>0</v>
      </c>
      <c r="AV183" s="45">
        <v>0</v>
      </c>
      <c r="AW183" s="45">
        <v>0</v>
      </c>
      <c r="AX183" s="45">
        <v>0</v>
      </c>
      <c r="AY183" s="45">
        <v>0</v>
      </c>
      <c r="AZ183" s="45">
        <v>0</v>
      </c>
      <c r="BA183" s="45">
        <v>0</v>
      </c>
      <c r="BB183" s="45">
        <v>0</v>
      </c>
      <c r="BC183" s="45">
        <v>0</v>
      </c>
      <c r="BD183" s="45">
        <v>0</v>
      </c>
      <c r="BE183" s="45">
        <v>0</v>
      </c>
      <c r="BF183" s="45">
        <v>0</v>
      </c>
      <c r="BG183" s="45">
        <v>0</v>
      </c>
    </row>
    <row r="184" spans="1:59">
      <c r="A184" s="18" t="s">
        <v>138</v>
      </c>
      <c r="B184" s="18" t="s">
        <v>134</v>
      </c>
      <c r="C184" s="18" t="s">
        <v>74</v>
      </c>
      <c r="D184" s="45">
        <v>0</v>
      </c>
      <c r="E184" s="45">
        <v>0</v>
      </c>
      <c r="F184" s="45">
        <v>0</v>
      </c>
      <c r="G184" s="45">
        <v>0</v>
      </c>
      <c r="H184" s="45">
        <v>0</v>
      </c>
      <c r="I184" s="45">
        <v>11.7</v>
      </c>
      <c r="J184" s="45">
        <v>6</v>
      </c>
      <c r="K184" s="45">
        <v>6.9</v>
      </c>
      <c r="L184" s="45">
        <v>6.2</v>
      </c>
      <c r="M184" s="45">
        <v>7.5</v>
      </c>
      <c r="N184" s="45">
        <v>9.4</v>
      </c>
      <c r="O184" s="45">
        <v>11.3</v>
      </c>
      <c r="P184" s="45">
        <v>11.7</v>
      </c>
      <c r="Q184" s="45">
        <v>11.8</v>
      </c>
      <c r="R184" s="45">
        <v>11.8</v>
      </c>
      <c r="S184" s="45">
        <v>10.5</v>
      </c>
      <c r="T184" s="45">
        <v>11.3</v>
      </c>
      <c r="U184" s="45">
        <v>11.7</v>
      </c>
      <c r="V184" s="45">
        <v>10.5</v>
      </c>
      <c r="W184" s="45">
        <v>11.5</v>
      </c>
      <c r="X184" s="45">
        <v>10.2</v>
      </c>
      <c r="Y184" s="45">
        <v>9.699999999999999</v>
      </c>
      <c r="Z184" s="45">
        <v>7.9</v>
      </c>
      <c r="AA184" s="45">
        <v>6.8</v>
      </c>
      <c r="AB184" s="45">
        <v>7</v>
      </c>
      <c r="AC184" s="45">
        <v>5.9</v>
      </c>
      <c r="AD184" s="45">
        <v>5.7</v>
      </c>
      <c r="AE184" s="45">
        <v>6.8</v>
      </c>
      <c r="AF184" s="45">
        <v>7.4</v>
      </c>
      <c r="AG184" s="45">
        <v>7.7</v>
      </c>
      <c r="AH184" s="45">
        <v>6.4</v>
      </c>
      <c r="AI184" s="45">
        <v>6.1</v>
      </c>
      <c r="AJ184" s="45">
        <v>5.1</v>
      </c>
      <c r="AK184" s="45">
        <v>5.4</v>
      </c>
      <c r="AL184" s="45">
        <v>5.3</v>
      </c>
      <c r="AM184" s="45">
        <v>5.4</v>
      </c>
      <c r="AN184" s="45">
        <v>5.4</v>
      </c>
      <c r="AO184" s="45">
        <v>4.8</v>
      </c>
      <c r="AP184" s="45">
        <v>4.6</v>
      </c>
      <c r="AQ184" s="45">
        <v>3.8</v>
      </c>
      <c r="AR184" s="45">
        <v>2.1</v>
      </c>
      <c r="AS184" s="45">
        <v>0</v>
      </c>
      <c r="AT184" s="45">
        <v>0</v>
      </c>
      <c r="AU184" s="45">
        <v>0</v>
      </c>
      <c r="AV184" s="45">
        <v>0</v>
      </c>
      <c r="AW184" s="45">
        <v>0</v>
      </c>
      <c r="AX184" s="45">
        <v>0</v>
      </c>
      <c r="AY184" s="45">
        <v>0</v>
      </c>
      <c r="AZ184" s="45">
        <v>0</v>
      </c>
      <c r="BA184" s="45">
        <v>0</v>
      </c>
      <c r="BB184" s="45">
        <v>0</v>
      </c>
      <c r="BC184" s="45">
        <v>0</v>
      </c>
      <c r="BD184" s="45">
        <v>0</v>
      </c>
      <c r="BE184" s="45">
        <v>0</v>
      </c>
      <c r="BF184" s="45">
        <v>0</v>
      </c>
      <c r="BG184" s="45">
        <v>0</v>
      </c>
    </row>
    <row r="185" spans="1:59">
      <c r="A185" s="18" t="s">
        <v>139</v>
      </c>
      <c r="B185" s="18" t="s">
        <v>134</v>
      </c>
      <c r="C185" s="18" t="s">
        <v>76</v>
      </c>
      <c r="D185" s="45">
        <v>0</v>
      </c>
      <c r="E185" s="45">
        <v>0</v>
      </c>
      <c r="F185" s="45">
        <v>0</v>
      </c>
      <c r="G185" s="45">
        <v>0</v>
      </c>
      <c r="H185" s="45">
        <v>0</v>
      </c>
      <c r="I185" s="45">
        <v>13</v>
      </c>
      <c r="J185" s="45">
        <v>6.6</v>
      </c>
      <c r="K185" s="45">
        <v>6.6</v>
      </c>
      <c r="L185" s="45">
        <v>7.7</v>
      </c>
      <c r="M185" s="45">
        <v>6.9</v>
      </c>
      <c r="N185" s="45">
        <v>8.199999999999999</v>
      </c>
      <c r="O185" s="45">
        <v>10.7</v>
      </c>
      <c r="P185" s="45">
        <v>11.3</v>
      </c>
      <c r="Q185" s="45">
        <v>12.3</v>
      </c>
      <c r="R185" s="45">
        <v>12.5</v>
      </c>
      <c r="S185" s="45">
        <v>12.2</v>
      </c>
      <c r="T185" s="45">
        <v>12</v>
      </c>
      <c r="U185" s="45">
        <v>15</v>
      </c>
      <c r="V185" s="45">
        <v>13.4</v>
      </c>
      <c r="W185" s="45">
        <v>13.5</v>
      </c>
      <c r="X185" s="45">
        <v>12</v>
      </c>
      <c r="Y185" s="45">
        <v>9.699999999999999</v>
      </c>
      <c r="Z185" s="45">
        <v>8.9</v>
      </c>
      <c r="AA185" s="45">
        <v>6.7</v>
      </c>
      <c r="AB185" s="45">
        <v>8.300000000000001</v>
      </c>
      <c r="AC185" s="45">
        <v>7.6</v>
      </c>
      <c r="AD185" s="45">
        <v>8</v>
      </c>
      <c r="AE185" s="45">
        <v>7.3</v>
      </c>
      <c r="AF185" s="45">
        <v>8.800000000000001</v>
      </c>
      <c r="AG185" s="45">
        <v>8.300000000000001</v>
      </c>
      <c r="AH185" s="45">
        <v>7.4</v>
      </c>
      <c r="AI185" s="45">
        <v>8.800000000000001</v>
      </c>
      <c r="AJ185" s="45">
        <v>9.300000000000001</v>
      </c>
      <c r="AK185" s="45">
        <v>10</v>
      </c>
      <c r="AL185" s="45">
        <v>7.2</v>
      </c>
      <c r="AM185" s="45">
        <v>6.8</v>
      </c>
      <c r="AN185" s="45">
        <v>5.7</v>
      </c>
      <c r="AO185" s="45">
        <v>5.5</v>
      </c>
      <c r="AP185" s="45">
        <v>4.1</v>
      </c>
      <c r="AQ185" s="45">
        <v>3.5</v>
      </c>
      <c r="AR185" s="45">
        <v>1.8</v>
      </c>
      <c r="AS185" s="45">
        <v>0</v>
      </c>
      <c r="AT185" s="45">
        <v>0</v>
      </c>
      <c r="AU185" s="45">
        <v>0</v>
      </c>
      <c r="AV185" s="45">
        <v>0</v>
      </c>
      <c r="AW185" s="45">
        <v>0</v>
      </c>
      <c r="AX185" s="45">
        <v>0</v>
      </c>
      <c r="AY185" s="45">
        <v>0</v>
      </c>
      <c r="AZ185" s="45">
        <v>0</v>
      </c>
      <c r="BA185" s="45">
        <v>0</v>
      </c>
      <c r="BB185" s="45">
        <v>0</v>
      </c>
      <c r="BC185" s="45">
        <v>0</v>
      </c>
      <c r="BD185" s="45">
        <v>0</v>
      </c>
      <c r="BE185" s="45">
        <v>0</v>
      </c>
      <c r="BF185" s="45">
        <v>0</v>
      </c>
      <c r="BG185" s="45">
        <v>0</v>
      </c>
    </row>
    <row r="186" spans="1:59">
      <c r="A186" s="18" t="s">
        <v>140</v>
      </c>
      <c r="B186" s="18" t="s">
        <v>134</v>
      </c>
      <c r="C186" s="18" t="s">
        <v>78</v>
      </c>
      <c r="D186" s="45">
        <v>0</v>
      </c>
      <c r="E186" s="45">
        <v>0</v>
      </c>
      <c r="F186" s="45">
        <v>0</v>
      </c>
      <c r="G186" s="45">
        <v>0</v>
      </c>
      <c r="H186" s="45">
        <v>0</v>
      </c>
      <c r="I186" s="45">
        <v>10.2</v>
      </c>
      <c r="J186" s="45">
        <v>4.3</v>
      </c>
      <c r="K186" s="45">
        <v>3.6</v>
      </c>
      <c r="L186" s="45">
        <v>5.3</v>
      </c>
      <c r="M186" s="45">
        <v>5.7</v>
      </c>
      <c r="N186" s="45">
        <v>6.6</v>
      </c>
      <c r="O186" s="45">
        <v>8.9</v>
      </c>
      <c r="P186" s="45">
        <v>7.8</v>
      </c>
      <c r="Q186" s="45">
        <v>9</v>
      </c>
      <c r="R186" s="45">
        <v>7.6</v>
      </c>
      <c r="S186" s="45">
        <v>9.4</v>
      </c>
      <c r="T186" s="45">
        <v>8</v>
      </c>
      <c r="U186" s="45">
        <v>7.7</v>
      </c>
      <c r="V186" s="45">
        <v>8</v>
      </c>
      <c r="W186" s="45">
        <v>8.6</v>
      </c>
      <c r="X186" s="45">
        <v>6.7</v>
      </c>
      <c r="Y186" s="45">
        <v>6.8</v>
      </c>
      <c r="Z186" s="45">
        <v>6.3</v>
      </c>
      <c r="AA186" s="45">
        <v>6</v>
      </c>
      <c r="AB186" s="45">
        <v>4.1</v>
      </c>
      <c r="AC186" s="45">
        <v>4.7</v>
      </c>
      <c r="AD186" s="45">
        <v>5.4</v>
      </c>
      <c r="AE186" s="45">
        <v>5.2</v>
      </c>
      <c r="AF186" s="45">
        <v>6.2</v>
      </c>
      <c r="AG186" s="45">
        <v>5.8</v>
      </c>
      <c r="AH186" s="45">
        <v>7.1</v>
      </c>
      <c r="AI186" s="45">
        <v>6.8</v>
      </c>
      <c r="AJ186" s="45">
        <v>6.1</v>
      </c>
      <c r="AK186" s="45">
        <v>5.5</v>
      </c>
      <c r="AL186" s="45">
        <v>5.8</v>
      </c>
      <c r="AM186" s="45">
        <v>5.3</v>
      </c>
      <c r="AN186" s="45">
        <v>5.9</v>
      </c>
      <c r="AO186" s="45">
        <v>4.3</v>
      </c>
      <c r="AP186" s="45">
        <v>4.8</v>
      </c>
      <c r="AQ186" s="45">
        <v>2.8</v>
      </c>
      <c r="AR186" s="45">
        <v>1.2</v>
      </c>
      <c r="AS186" s="45">
        <v>0</v>
      </c>
      <c r="AT186" s="45">
        <v>0</v>
      </c>
      <c r="AU186" s="45">
        <v>0</v>
      </c>
      <c r="AV186" s="45">
        <v>0</v>
      </c>
      <c r="AW186" s="45">
        <v>0</v>
      </c>
      <c r="AX186" s="45">
        <v>0</v>
      </c>
      <c r="AY186" s="45">
        <v>0</v>
      </c>
      <c r="AZ186" s="45">
        <v>0</v>
      </c>
      <c r="BA186" s="45">
        <v>0</v>
      </c>
      <c r="BB186" s="45">
        <v>0</v>
      </c>
      <c r="BC186" s="45">
        <v>0</v>
      </c>
      <c r="BD186" s="45">
        <v>0</v>
      </c>
      <c r="BE186" s="45">
        <v>0</v>
      </c>
      <c r="BF186" s="45">
        <v>0</v>
      </c>
      <c r="BG186" s="45">
        <v>0</v>
      </c>
    </row>
    <row r="187" spans="1:59">
      <c r="A187" s="18" t="s">
        <v>141</v>
      </c>
      <c r="B187" s="18" t="s">
        <v>134</v>
      </c>
      <c r="C187" s="18" t="s">
        <v>80</v>
      </c>
      <c r="D187" s="45">
        <v>0</v>
      </c>
      <c r="E187" s="45">
        <v>0</v>
      </c>
      <c r="F187" s="45">
        <v>0</v>
      </c>
      <c r="G187" s="45">
        <v>0</v>
      </c>
      <c r="H187" s="45">
        <v>0</v>
      </c>
      <c r="I187" s="45">
        <v>10.9</v>
      </c>
      <c r="J187" s="45">
        <v>4.3</v>
      </c>
      <c r="K187" s="45">
        <v>3.7</v>
      </c>
      <c r="L187" s="45">
        <v>5.1</v>
      </c>
      <c r="M187" s="45">
        <v>6.9</v>
      </c>
      <c r="N187" s="45">
        <v>6.2</v>
      </c>
      <c r="O187" s="45">
        <v>7.5</v>
      </c>
      <c r="P187" s="45">
        <v>8.5</v>
      </c>
      <c r="Q187" s="45">
        <v>9.5</v>
      </c>
      <c r="R187" s="45">
        <v>12.1</v>
      </c>
      <c r="S187" s="45">
        <v>10.7</v>
      </c>
      <c r="T187" s="45">
        <v>9.699999999999999</v>
      </c>
      <c r="U187" s="45">
        <v>8.800000000000001</v>
      </c>
      <c r="V187" s="45">
        <v>8.1</v>
      </c>
      <c r="W187" s="45">
        <v>8.9</v>
      </c>
      <c r="X187" s="45">
        <v>6.8</v>
      </c>
      <c r="Y187" s="45">
        <v>6.6</v>
      </c>
      <c r="Z187" s="45">
        <v>5.7</v>
      </c>
      <c r="AA187" s="45">
        <v>3.7</v>
      </c>
      <c r="AB187" s="45">
        <v>3.7</v>
      </c>
      <c r="AC187" s="45">
        <v>3.8</v>
      </c>
      <c r="AD187" s="45">
        <v>4</v>
      </c>
      <c r="AE187" s="45">
        <v>4.3</v>
      </c>
      <c r="AF187" s="45">
        <v>4.8</v>
      </c>
      <c r="AG187" s="45">
        <v>4.9</v>
      </c>
      <c r="AH187" s="45">
        <v>5.5</v>
      </c>
      <c r="AI187" s="45">
        <v>5.1</v>
      </c>
      <c r="AJ187" s="45">
        <v>4.3</v>
      </c>
      <c r="AK187" s="45">
        <v>4.8</v>
      </c>
      <c r="AL187" s="45">
        <v>4.5</v>
      </c>
      <c r="AM187" s="45">
        <v>4.4</v>
      </c>
      <c r="AN187" s="45">
        <v>4.9</v>
      </c>
      <c r="AO187" s="45">
        <v>3.7</v>
      </c>
      <c r="AP187" s="45">
        <v>4</v>
      </c>
      <c r="AQ187" s="45">
        <v>3.7</v>
      </c>
      <c r="AR187" s="45">
        <v>1.5</v>
      </c>
      <c r="AS187" s="45">
        <v>0.5</v>
      </c>
      <c r="AT187" s="45">
        <v>0</v>
      </c>
      <c r="AU187" s="45">
        <v>0</v>
      </c>
      <c r="AV187" s="45">
        <v>0</v>
      </c>
      <c r="AW187" s="45">
        <v>0</v>
      </c>
      <c r="AX187" s="45">
        <v>0</v>
      </c>
      <c r="AY187" s="45">
        <v>0</v>
      </c>
      <c r="AZ187" s="45">
        <v>0</v>
      </c>
      <c r="BA187" s="45">
        <v>0</v>
      </c>
      <c r="BB187" s="45">
        <v>0</v>
      </c>
      <c r="BC187" s="45">
        <v>0</v>
      </c>
      <c r="BD187" s="45">
        <v>0</v>
      </c>
      <c r="BE187" s="45">
        <v>0</v>
      </c>
      <c r="BF187" s="45">
        <v>0</v>
      </c>
      <c r="BG187" s="45">
        <v>0</v>
      </c>
    </row>
    <row r="188" spans="1:59">
      <c r="A188" s="18" t="s">
        <v>142</v>
      </c>
      <c r="B188" s="18" t="s">
        <v>134</v>
      </c>
      <c r="C188" s="18" t="s">
        <v>82</v>
      </c>
      <c r="D188" s="45">
        <v>0</v>
      </c>
      <c r="E188" s="45">
        <v>0</v>
      </c>
      <c r="F188" s="45">
        <v>0</v>
      </c>
      <c r="G188" s="45">
        <v>0</v>
      </c>
      <c r="H188" s="45">
        <v>0</v>
      </c>
      <c r="I188" s="45">
        <v>11</v>
      </c>
      <c r="J188" s="45">
        <v>4.2</v>
      </c>
      <c r="K188" s="45">
        <v>4.8</v>
      </c>
      <c r="L188" s="45">
        <v>2.9</v>
      </c>
      <c r="M188" s="45">
        <v>4.9</v>
      </c>
      <c r="N188" s="45">
        <v>6</v>
      </c>
      <c r="O188" s="45">
        <v>8.199999999999999</v>
      </c>
      <c r="P188" s="45">
        <v>9.9</v>
      </c>
      <c r="Q188" s="45">
        <v>10.5</v>
      </c>
      <c r="R188" s="45">
        <v>11.1</v>
      </c>
      <c r="S188" s="45">
        <v>11.6</v>
      </c>
      <c r="T188" s="45">
        <v>10.8</v>
      </c>
      <c r="U188" s="45">
        <v>11.9</v>
      </c>
      <c r="V188" s="45">
        <v>10.8</v>
      </c>
      <c r="W188" s="45">
        <v>10.4</v>
      </c>
      <c r="X188" s="45">
        <v>9.9</v>
      </c>
      <c r="Y188" s="45">
        <v>11.5</v>
      </c>
      <c r="Z188" s="45">
        <v>8.5</v>
      </c>
      <c r="AA188" s="45">
        <v>5.4</v>
      </c>
      <c r="AB188" s="45">
        <v>5.7</v>
      </c>
      <c r="AC188" s="45">
        <v>6.3</v>
      </c>
      <c r="AD188" s="45">
        <v>6.6</v>
      </c>
      <c r="AE188" s="45">
        <v>7.7</v>
      </c>
      <c r="AF188" s="45">
        <v>7.4</v>
      </c>
      <c r="AG188" s="45">
        <v>7.3</v>
      </c>
      <c r="AH188" s="45">
        <v>6.7</v>
      </c>
      <c r="AI188" s="45">
        <v>7.1</v>
      </c>
      <c r="AJ188" s="45">
        <v>7.7</v>
      </c>
      <c r="AK188" s="45">
        <v>7.4</v>
      </c>
      <c r="AL188" s="45">
        <v>8.699999999999999</v>
      </c>
      <c r="AM188" s="45">
        <v>7.3</v>
      </c>
      <c r="AN188" s="45">
        <v>7.2</v>
      </c>
      <c r="AO188" s="45">
        <v>6.6</v>
      </c>
      <c r="AP188" s="45">
        <v>5.6</v>
      </c>
      <c r="AQ188" s="45">
        <v>4.3</v>
      </c>
      <c r="AR188" s="45">
        <v>2.2</v>
      </c>
      <c r="AS188" s="45">
        <v>0</v>
      </c>
      <c r="AT188" s="45">
        <v>0</v>
      </c>
      <c r="AU188" s="45">
        <v>0</v>
      </c>
      <c r="AV188" s="45">
        <v>0</v>
      </c>
      <c r="AW188" s="45">
        <v>0</v>
      </c>
      <c r="AX188" s="45">
        <v>0</v>
      </c>
      <c r="AY188" s="45">
        <v>0</v>
      </c>
      <c r="AZ188" s="45">
        <v>0</v>
      </c>
      <c r="BA188" s="45">
        <v>0</v>
      </c>
      <c r="BB188" s="45">
        <v>0</v>
      </c>
      <c r="BC188" s="45">
        <v>0</v>
      </c>
      <c r="BD188" s="45">
        <v>0</v>
      </c>
      <c r="BE188" s="45">
        <v>0</v>
      </c>
      <c r="BF188" s="45">
        <v>0</v>
      </c>
      <c r="BG188" s="45">
        <v>0</v>
      </c>
    </row>
    <row r="189" spans="1:59">
      <c r="A189" s="18" t="s">
        <v>143</v>
      </c>
      <c r="B189" s="18" t="s">
        <v>134</v>
      </c>
      <c r="C189" s="18" t="s">
        <v>84</v>
      </c>
      <c r="D189" s="45">
        <v>0</v>
      </c>
      <c r="E189" s="45">
        <v>0</v>
      </c>
      <c r="F189" s="45">
        <v>0</v>
      </c>
      <c r="G189" s="45">
        <v>0</v>
      </c>
      <c r="H189" s="45">
        <v>0</v>
      </c>
      <c r="I189" s="45">
        <v>10.9</v>
      </c>
      <c r="J189" s="45">
        <v>3.5</v>
      </c>
      <c r="K189" s="45">
        <v>2.6</v>
      </c>
      <c r="L189" s="45">
        <v>2.8</v>
      </c>
      <c r="M189" s="45">
        <v>4.5</v>
      </c>
      <c r="N189" s="45">
        <v>5.1</v>
      </c>
      <c r="O189" s="45">
        <v>4.1</v>
      </c>
      <c r="P189" s="45">
        <v>5.1</v>
      </c>
      <c r="Q189" s="45">
        <v>6.2</v>
      </c>
      <c r="R189" s="45">
        <v>4.6</v>
      </c>
      <c r="S189" s="45">
        <v>6.7</v>
      </c>
      <c r="T189" s="45">
        <v>7.1</v>
      </c>
      <c r="U189" s="45">
        <v>6.4</v>
      </c>
      <c r="V189" s="45">
        <v>7.2</v>
      </c>
      <c r="W189" s="45">
        <v>7.9</v>
      </c>
      <c r="X189" s="45">
        <v>8.1</v>
      </c>
      <c r="Y189" s="45">
        <v>7.1</v>
      </c>
      <c r="Z189" s="45">
        <v>6.4</v>
      </c>
      <c r="AA189" s="45">
        <v>6.9</v>
      </c>
      <c r="AB189" s="45">
        <v>6.7</v>
      </c>
      <c r="AC189" s="45">
        <v>6.5</v>
      </c>
      <c r="AD189" s="45">
        <v>5.2</v>
      </c>
      <c r="AE189" s="45">
        <v>8.300000000000001</v>
      </c>
      <c r="AF189" s="45">
        <v>8.9</v>
      </c>
      <c r="AG189" s="45">
        <v>6.9</v>
      </c>
      <c r="AH189" s="45">
        <v>8.4</v>
      </c>
      <c r="AI189" s="45">
        <v>8.6</v>
      </c>
      <c r="AJ189" s="45">
        <v>7.3</v>
      </c>
      <c r="AK189" s="45">
        <v>7.5</v>
      </c>
      <c r="AL189" s="45">
        <v>8.800000000000001</v>
      </c>
      <c r="AM189" s="45">
        <v>8</v>
      </c>
      <c r="AN189" s="45">
        <v>7.1</v>
      </c>
      <c r="AO189" s="45">
        <v>6.7</v>
      </c>
      <c r="AP189" s="45">
        <v>6.1</v>
      </c>
      <c r="AQ189" s="45">
        <v>3.4</v>
      </c>
      <c r="AR189" s="45">
        <v>2.3</v>
      </c>
      <c r="AS189" s="45">
        <v>2.3</v>
      </c>
      <c r="AT189" s="45">
        <v>0</v>
      </c>
      <c r="AU189" s="45">
        <v>0</v>
      </c>
      <c r="AV189" s="45">
        <v>0</v>
      </c>
      <c r="AW189" s="45">
        <v>0</v>
      </c>
      <c r="AX189" s="45">
        <v>0</v>
      </c>
      <c r="AY189" s="45">
        <v>0</v>
      </c>
      <c r="AZ189" s="45">
        <v>0</v>
      </c>
      <c r="BA189" s="45">
        <v>0</v>
      </c>
      <c r="BB189" s="45">
        <v>0</v>
      </c>
      <c r="BC189" s="45">
        <v>0</v>
      </c>
      <c r="BD189" s="45">
        <v>0</v>
      </c>
      <c r="BE189" s="45">
        <v>0</v>
      </c>
      <c r="BF189" s="45">
        <v>0</v>
      </c>
      <c r="BG189" s="45">
        <v>0</v>
      </c>
    </row>
    <row r="190" spans="1:59">
      <c r="A190" s="18" t="s">
        <v>144</v>
      </c>
      <c r="B190" s="18" t="s">
        <v>134</v>
      </c>
      <c r="C190" s="18" t="s">
        <v>86</v>
      </c>
      <c r="D190" s="45">
        <v>0</v>
      </c>
      <c r="E190" s="45">
        <v>0</v>
      </c>
      <c r="F190" s="45">
        <v>0</v>
      </c>
      <c r="G190" s="45">
        <v>0</v>
      </c>
      <c r="H190" s="45">
        <v>0</v>
      </c>
      <c r="I190" s="45">
        <v>5.8</v>
      </c>
      <c r="J190" s="45">
        <v>2.1</v>
      </c>
      <c r="K190" s="45">
        <v>1.6</v>
      </c>
      <c r="L190" s="45">
        <v>2</v>
      </c>
      <c r="M190" s="45">
        <v>3.4</v>
      </c>
      <c r="N190" s="45">
        <v>4.7</v>
      </c>
      <c r="O190" s="45">
        <v>5.5</v>
      </c>
      <c r="P190" s="45">
        <v>6.8</v>
      </c>
      <c r="Q190" s="45">
        <v>4.5</v>
      </c>
      <c r="R190" s="45">
        <v>5.3</v>
      </c>
      <c r="S190" s="45">
        <v>6.4</v>
      </c>
      <c r="T190" s="45">
        <v>4.6</v>
      </c>
      <c r="U190" s="45">
        <v>5.4</v>
      </c>
      <c r="V190" s="45">
        <v>5.9</v>
      </c>
      <c r="W190" s="45">
        <v>9.6</v>
      </c>
      <c r="X190" s="45">
        <v>5</v>
      </c>
      <c r="Y190" s="45">
        <v>4.3</v>
      </c>
      <c r="Z190" s="45">
        <v>4.5</v>
      </c>
      <c r="AA190" s="45">
        <v>2.5</v>
      </c>
      <c r="AB190" s="45">
        <v>3.7</v>
      </c>
      <c r="AC190" s="45">
        <v>8.9</v>
      </c>
      <c r="AD190" s="45">
        <v>4.9</v>
      </c>
      <c r="AE190" s="45">
        <v>4.6</v>
      </c>
      <c r="AF190" s="45">
        <v>7.6</v>
      </c>
      <c r="AG190" s="45">
        <v>7.3</v>
      </c>
      <c r="AH190" s="45">
        <v>6.1</v>
      </c>
      <c r="AI190" s="45">
        <v>5.5</v>
      </c>
      <c r="AJ190" s="45">
        <v>6.7</v>
      </c>
      <c r="AK190" s="45">
        <v>8.199999999999999</v>
      </c>
      <c r="AL190" s="45">
        <v>5.4</v>
      </c>
      <c r="AM190" s="45">
        <v>5.7</v>
      </c>
      <c r="AN190" s="45">
        <v>7.2</v>
      </c>
      <c r="AO190" s="45">
        <v>6.2</v>
      </c>
      <c r="AP190" s="45">
        <v>5.6</v>
      </c>
      <c r="AQ190" s="45">
        <v>3.5</v>
      </c>
      <c r="AR190" s="45">
        <v>2.4</v>
      </c>
      <c r="AS190" s="45">
        <v>0</v>
      </c>
      <c r="AT190" s="45">
        <v>0</v>
      </c>
      <c r="AU190" s="45">
        <v>0</v>
      </c>
      <c r="AV190" s="45">
        <v>0</v>
      </c>
      <c r="AW190" s="45">
        <v>0</v>
      </c>
      <c r="AX190" s="45">
        <v>0</v>
      </c>
      <c r="AY190" s="45">
        <v>0</v>
      </c>
      <c r="AZ190" s="45">
        <v>0</v>
      </c>
      <c r="BA190" s="45">
        <v>0</v>
      </c>
      <c r="BB190" s="45">
        <v>0</v>
      </c>
      <c r="BC190" s="45">
        <v>0</v>
      </c>
      <c r="BD190" s="45">
        <v>0</v>
      </c>
      <c r="BE190" s="45">
        <v>0</v>
      </c>
      <c r="BF190" s="45">
        <v>0</v>
      </c>
      <c r="BG190" s="45">
        <v>0</v>
      </c>
    </row>
    <row r="191" spans="1:59">
      <c r="A191" s="18" t="s">
        <v>145</v>
      </c>
      <c r="B191" s="18" t="s">
        <v>134</v>
      </c>
      <c r="C191" s="18" t="s">
        <v>88</v>
      </c>
      <c r="D191" s="45">
        <v>0</v>
      </c>
      <c r="E191" s="45">
        <v>0</v>
      </c>
      <c r="F191" s="45">
        <v>0</v>
      </c>
      <c r="G191" s="45">
        <v>0</v>
      </c>
      <c r="H191" s="45">
        <v>0</v>
      </c>
      <c r="I191" s="45">
        <v>7</v>
      </c>
      <c r="J191" s="45">
        <v>2.4</v>
      </c>
      <c r="K191" s="45">
        <v>2.9</v>
      </c>
      <c r="L191" s="45">
        <v>4.2</v>
      </c>
      <c r="M191" s="45">
        <v>4.6</v>
      </c>
      <c r="N191" s="45">
        <v>5.4</v>
      </c>
      <c r="O191" s="45">
        <v>6.5</v>
      </c>
      <c r="P191" s="45">
        <v>7</v>
      </c>
      <c r="Q191" s="45">
        <v>6.8</v>
      </c>
      <c r="R191" s="45">
        <v>5.9</v>
      </c>
      <c r="S191" s="45">
        <v>6.8</v>
      </c>
      <c r="T191" s="45">
        <v>6.3</v>
      </c>
      <c r="U191" s="45">
        <v>6.9</v>
      </c>
      <c r="V191" s="45">
        <v>6.2</v>
      </c>
      <c r="W191" s="45">
        <v>6.8</v>
      </c>
      <c r="X191" s="45">
        <v>6.5</v>
      </c>
      <c r="Y191" s="45">
        <v>6.8</v>
      </c>
      <c r="Z191" s="45">
        <v>6.6</v>
      </c>
      <c r="AA191" s="45">
        <v>5.2</v>
      </c>
      <c r="AB191" s="45">
        <v>4.2</v>
      </c>
      <c r="AC191" s="45">
        <v>4.4</v>
      </c>
      <c r="AD191" s="45">
        <v>5.4</v>
      </c>
      <c r="AE191" s="45">
        <v>6.3</v>
      </c>
      <c r="AF191" s="45">
        <v>5.2</v>
      </c>
      <c r="AG191" s="45">
        <v>6.1</v>
      </c>
      <c r="AH191" s="45">
        <v>5.7</v>
      </c>
      <c r="AI191" s="45">
        <v>5.3</v>
      </c>
      <c r="AJ191" s="45">
        <v>5.8</v>
      </c>
      <c r="AK191" s="45">
        <v>6.4</v>
      </c>
      <c r="AL191" s="45">
        <v>5.4</v>
      </c>
      <c r="AM191" s="45">
        <v>5.8</v>
      </c>
      <c r="AN191" s="45">
        <v>6.9</v>
      </c>
      <c r="AO191" s="45">
        <v>5.3</v>
      </c>
      <c r="AP191" s="45">
        <v>5.6</v>
      </c>
      <c r="AQ191" s="45">
        <v>3.8</v>
      </c>
      <c r="AR191" s="45">
        <v>2.3</v>
      </c>
      <c r="AS191" s="45">
        <v>0</v>
      </c>
      <c r="AT191" s="45">
        <v>0</v>
      </c>
      <c r="AU191" s="45">
        <v>0</v>
      </c>
      <c r="AV191" s="45">
        <v>0</v>
      </c>
      <c r="AW191" s="45">
        <v>0</v>
      </c>
      <c r="AX191" s="45">
        <v>0</v>
      </c>
      <c r="AY191" s="45">
        <v>0</v>
      </c>
      <c r="AZ191" s="45">
        <v>0</v>
      </c>
      <c r="BA191" s="45">
        <v>0</v>
      </c>
      <c r="BB191" s="45">
        <v>0</v>
      </c>
      <c r="BC191" s="45">
        <v>0</v>
      </c>
      <c r="BD191" s="45">
        <v>0</v>
      </c>
      <c r="BE191" s="45">
        <v>0</v>
      </c>
      <c r="BF191" s="45">
        <v>0</v>
      </c>
      <c r="BG191" s="45">
        <v>0</v>
      </c>
    </row>
    <row r="192" spans="1:59">
      <c r="A192" s="18" t="s">
        <v>146</v>
      </c>
      <c r="B192" s="18" t="s">
        <v>134</v>
      </c>
      <c r="C192" s="18" t="s">
        <v>90</v>
      </c>
      <c r="D192" s="45">
        <v>0</v>
      </c>
      <c r="E192" s="45">
        <v>0</v>
      </c>
      <c r="F192" s="45">
        <v>0</v>
      </c>
      <c r="G192" s="45">
        <v>0</v>
      </c>
      <c r="H192" s="45">
        <v>21.5</v>
      </c>
      <c r="I192" s="45">
        <v>8.1</v>
      </c>
      <c r="J192" s="45">
        <v>5.8</v>
      </c>
      <c r="K192" s="45">
        <v>7.4</v>
      </c>
      <c r="L192" s="45">
        <v>7.2</v>
      </c>
      <c r="M192" s="45">
        <v>8.1</v>
      </c>
      <c r="N192" s="45">
        <v>9.1</v>
      </c>
      <c r="O192" s="45">
        <v>11.4</v>
      </c>
      <c r="P192" s="45">
        <v>12.5</v>
      </c>
      <c r="Q192" s="45">
        <v>12.2</v>
      </c>
      <c r="R192" s="45">
        <v>11.9</v>
      </c>
      <c r="S192" s="45">
        <v>14</v>
      </c>
      <c r="T192" s="45">
        <v>11.5</v>
      </c>
      <c r="U192" s="45">
        <v>12.4</v>
      </c>
      <c r="V192" s="45">
        <v>15.6</v>
      </c>
      <c r="W192" s="45">
        <v>13.8</v>
      </c>
      <c r="X192" s="45">
        <v>12.1</v>
      </c>
      <c r="Y192" s="45">
        <v>10.7</v>
      </c>
      <c r="Z192" s="45">
        <v>8.699999999999999</v>
      </c>
      <c r="AA192" s="45">
        <v>5.9</v>
      </c>
      <c r="AB192" s="45">
        <v>5.3</v>
      </c>
      <c r="AC192" s="45">
        <v>6.4</v>
      </c>
      <c r="AD192" s="45">
        <v>8.199999999999999</v>
      </c>
      <c r="AE192" s="45">
        <v>8.6</v>
      </c>
      <c r="AF192" s="45">
        <v>10.2</v>
      </c>
      <c r="AG192" s="45">
        <v>9.199999999999999</v>
      </c>
      <c r="AH192" s="45">
        <v>10.8</v>
      </c>
      <c r="AI192" s="45">
        <v>9.5</v>
      </c>
      <c r="AJ192" s="45">
        <v>10.8</v>
      </c>
      <c r="AK192" s="45">
        <v>11.2</v>
      </c>
      <c r="AL192" s="45">
        <v>10.1</v>
      </c>
      <c r="AM192" s="45">
        <v>9.5</v>
      </c>
      <c r="AN192" s="45">
        <v>8.300000000000001</v>
      </c>
      <c r="AO192" s="45">
        <v>10.4</v>
      </c>
      <c r="AP192" s="45">
        <v>7.1</v>
      </c>
      <c r="AQ192" s="45">
        <v>6.4</v>
      </c>
      <c r="AR192" s="45">
        <v>5.7</v>
      </c>
      <c r="AS192" s="45">
        <v>0</v>
      </c>
      <c r="AT192" s="45">
        <v>0</v>
      </c>
      <c r="AU192" s="45">
        <v>0</v>
      </c>
      <c r="AV192" s="45">
        <v>0</v>
      </c>
      <c r="AW192" s="45">
        <v>0</v>
      </c>
      <c r="AX192" s="45">
        <v>0</v>
      </c>
      <c r="AY192" s="45">
        <v>0</v>
      </c>
      <c r="AZ192" s="45">
        <v>0</v>
      </c>
      <c r="BA192" s="45">
        <v>0</v>
      </c>
      <c r="BB192" s="45">
        <v>0</v>
      </c>
      <c r="BC192" s="45">
        <v>0</v>
      </c>
      <c r="BD192" s="45">
        <v>0</v>
      </c>
      <c r="BE192" s="45">
        <v>0</v>
      </c>
      <c r="BF192" s="45">
        <v>0</v>
      </c>
      <c r="BG192" s="45">
        <v>0</v>
      </c>
    </row>
    <row r="193" spans="1:59">
      <c r="A193" s="18" t="s">
        <v>147</v>
      </c>
      <c r="B193" s="18" t="s">
        <v>148</v>
      </c>
      <c r="C193" s="18" t="s">
        <v>66</v>
      </c>
      <c r="D193" s="45">
        <v>0</v>
      </c>
      <c r="E193" s="45">
        <v>0</v>
      </c>
      <c r="F193" s="45">
        <v>0</v>
      </c>
      <c r="G193" s="45">
        <v>22.3</v>
      </c>
      <c r="H193" s="45">
        <v>12.3</v>
      </c>
      <c r="I193" s="45">
        <v>10.8</v>
      </c>
      <c r="J193" s="45">
        <v>9.5</v>
      </c>
      <c r="K193" s="45">
        <v>10.8</v>
      </c>
      <c r="L193" s="45">
        <v>11.5</v>
      </c>
      <c r="M193" s="45">
        <v>12.2</v>
      </c>
      <c r="N193" s="45">
        <v>14</v>
      </c>
      <c r="O193" s="45">
        <v>14.7</v>
      </c>
      <c r="P193" s="45">
        <v>16</v>
      </c>
      <c r="Q193" s="45">
        <v>17</v>
      </c>
      <c r="R193" s="45">
        <v>17</v>
      </c>
      <c r="S193" s="45">
        <v>17.9</v>
      </c>
      <c r="T193" s="45">
        <v>18.1</v>
      </c>
      <c r="U193" s="45">
        <v>17.2</v>
      </c>
      <c r="V193" s="45">
        <v>16.4</v>
      </c>
      <c r="W193" s="45">
        <v>16.2</v>
      </c>
      <c r="X193" s="45">
        <v>15.9</v>
      </c>
      <c r="Y193" s="45">
        <v>14.4</v>
      </c>
      <c r="Z193" s="45">
        <v>13.3</v>
      </c>
      <c r="AA193" s="45">
        <v>12.3</v>
      </c>
      <c r="AB193" s="45">
        <v>13</v>
      </c>
      <c r="AC193" s="45">
        <v>13.3</v>
      </c>
      <c r="AD193" s="45">
        <v>13.9</v>
      </c>
      <c r="AE193" s="45">
        <v>13.7</v>
      </c>
      <c r="AF193" s="45">
        <v>15.2</v>
      </c>
      <c r="AG193" s="45">
        <v>14.8</v>
      </c>
      <c r="AH193" s="45">
        <v>15.1</v>
      </c>
      <c r="AI193" s="45">
        <v>15.5</v>
      </c>
      <c r="AJ193" s="45">
        <v>13.2</v>
      </c>
      <c r="AK193" s="45">
        <v>12.6</v>
      </c>
      <c r="AL193" s="45">
        <v>12.2</v>
      </c>
      <c r="AM193" s="45">
        <v>12.4</v>
      </c>
      <c r="AN193" s="45">
        <v>11.9</v>
      </c>
      <c r="AO193" s="45">
        <v>9.699999999999999</v>
      </c>
      <c r="AP193" s="45">
        <v>8.199999999999999</v>
      </c>
      <c r="AQ193" s="45">
        <v>7.6</v>
      </c>
      <c r="AR193" s="45">
        <v>5.3</v>
      </c>
      <c r="AS193" s="45">
        <v>14.4</v>
      </c>
      <c r="AT193" s="45">
        <v>0</v>
      </c>
      <c r="AU193" s="45">
        <v>0</v>
      </c>
      <c r="AV193" s="45">
        <v>0</v>
      </c>
      <c r="AW193" s="45">
        <v>2.6</v>
      </c>
      <c r="AX193" s="45">
        <v>3.3</v>
      </c>
      <c r="AY193" s="45">
        <v>0</v>
      </c>
      <c r="AZ193" s="45">
        <v>0</v>
      </c>
      <c r="BA193" s="45">
        <v>0</v>
      </c>
      <c r="BB193" s="45">
        <v>0</v>
      </c>
      <c r="BC193" s="45">
        <v>0</v>
      </c>
      <c r="BD193" s="45">
        <v>0</v>
      </c>
      <c r="BE193" s="45">
        <v>0</v>
      </c>
      <c r="BF193" s="45">
        <v>0</v>
      </c>
      <c r="BG193" s="45">
        <v>0</v>
      </c>
    </row>
    <row r="194" spans="1:59">
      <c r="A194" s="18" t="s">
        <v>149</v>
      </c>
      <c r="B194" s="18" t="s">
        <v>148</v>
      </c>
      <c r="C194" s="18" t="s">
        <v>68</v>
      </c>
      <c r="D194" s="45">
        <v>0</v>
      </c>
      <c r="E194" s="45">
        <v>0</v>
      </c>
      <c r="F194" s="45">
        <v>0</v>
      </c>
      <c r="G194" s="45">
        <v>0</v>
      </c>
      <c r="H194" s="45">
        <v>12.9</v>
      </c>
      <c r="I194" s="45">
        <v>14.1</v>
      </c>
      <c r="J194" s="45">
        <v>13.7</v>
      </c>
      <c r="K194" s="45">
        <v>13.1</v>
      </c>
      <c r="L194" s="45">
        <v>18.8</v>
      </c>
      <c r="M194" s="45">
        <v>20.3</v>
      </c>
      <c r="N194" s="45">
        <v>19.1</v>
      </c>
      <c r="O194" s="45">
        <v>22.6</v>
      </c>
      <c r="P194" s="45">
        <v>25.5</v>
      </c>
      <c r="Q194" s="45">
        <v>27.1</v>
      </c>
      <c r="R194" s="45">
        <v>28.9</v>
      </c>
      <c r="S194" s="45">
        <v>30.9</v>
      </c>
      <c r="T194" s="45">
        <v>32.9</v>
      </c>
      <c r="U194" s="45">
        <v>29.7</v>
      </c>
      <c r="V194" s="45">
        <v>26.5</v>
      </c>
      <c r="W194" s="45">
        <v>25.6</v>
      </c>
      <c r="X194" s="45">
        <v>22.8</v>
      </c>
      <c r="Y194" s="45">
        <v>19.4</v>
      </c>
      <c r="Z194" s="45">
        <v>18.4</v>
      </c>
      <c r="AA194" s="45">
        <v>18.6</v>
      </c>
      <c r="AB194" s="45">
        <v>19</v>
      </c>
      <c r="AC194" s="45">
        <v>22.2</v>
      </c>
      <c r="AD194" s="45">
        <v>21.5</v>
      </c>
      <c r="AE194" s="45">
        <v>17.8</v>
      </c>
      <c r="AF194" s="45">
        <v>23.7</v>
      </c>
      <c r="AG194" s="45">
        <v>19.5</v>
      </c>
      <c r="AH194" s="45">
        <v>22.7</v>
      </c>
      <c r="AI194" s="45">
        <v>22.4</v>
      </c>
      <c r="AJ194" s="45">
        <v>20.2</v>
      </c>
      <c r="AK194" s="45">
        <v>19.1</v>
      </c>
      <c r="AL194" s="45">
        <v>15.6</v>
      </c>
      <c r="AM194" s="45">
        <v>18.3</v>
      </c>
      <c r="AN194" s="45">
        <v>18.6</v>
      </c>
      <c r="AO194" s="45">
        <v>16.3</v>
      </c>
      <c r="AP194" s="45">
        <v>11.3</v>
      </c>
      <c r="AQ194" s="45">
        <v>9</v>
      </c>
      <c r="AR194" s="45">
        <v>0</v>
      </c>
      <c r="AS194" s="45">
        <v>0</v>
      </c>
      <c r="AT194" s="45">
        <v>0</v>
      </c>
      <c r="AU194" s="45">
        <v>0</v>
      </c>
      <c r="AV194" s="45">
        <v>0</v>
      </c>
      <c r="AW194" s="45">
        <v>0</v>
      </c>
      <c r="AX194" s="45">
        <v>0</v>
      </c>
      <c r="AY194" s="45">
        <v>0</v>
      </c>
      <c r="AZ194" s="45">
        <v>0</v>
      </c>
      <c r="BA194" s="45">
        <v>0</v>
      </c>
      <c r="BB194" s="45">
        <v>0</v>
      </c>
      <c r="BC194" s="45">
        <v>0</v>
      </c>
      <c r="BD194" s="45">
        <v>0</v>
      </c>
      <c r="BE194" s="45">
        <v>0</v>
      </c>
      <c r="BF194" s="45">
        <v>0</v>
      </c>
      <c r="BG194" s="45">
        <v>0</v>
      </c>
    </row>
    <row r="195" spans="1:59">
      <c r="A195" s="18" t="s">
        <v>150</v>
      </c>
      <c r="B195" s="18" t="s">
        <v>148</v>
      </c>
      <c r="C195" s="18" t="s">
        <v>70</v>
      </c>
      <c r="D195" s="45">
        <v>0</v>
      </c>
      <c r="E195" s="45">
        <v>0</v>
      </c>
      <c r="F195" s="45">
        <v>0</v>
      </c>
      <c r="G195" s="45">
        <v>0</v>
      </c>
      <c r="H195" s="45">
        <v>14.8</v>
      </c>
      <c r="I195" s="45">
        <v>10.1</v>
      </c>
      <c r="J195" s="45">
        <v>16.5</v>
      </c>
      <c r="K195" s="45">
        <v>16.9</v>
      </c>
      <c r="L195" s="45">
        <v>16.3</v>
      </c>
      <c r="M195" s="45">
        <v>15.8</v>
      </c>
      <c r="N195" s="45">
        <v>17.4</v>
      </c>
      <c r="O195" s="45">
        <v>18.5</v>
      </c>
      <c r="P195" s="45">
        <v>19.8</v>
      </c>
      <c r="Q195" s="45">
        <v>21.4</v>
      </c>
      <c r="R195" s="45">
        <v>20</v>
      </c>
      <c r="S195" s="45">
        <v>22.1</v>
      </c>
      <c r="T195" s="45">
        <v>21.6</v>
      </c>
      <c r="U195" s="45">
        <v>21.9</v>
      </c>
      <c r="V195" s="45">
        <v>21.2</v>
      </c>
      <c r="W195" s="45">
        <v>15</v>
      </c>
      <c r="X195" s="45">
        <v>19.2</v>
      </c>
      <c r="Y195" s="45">
        <v>18.5</v>
      </c>
      <c r="Z195" s="45">
        <v>13.9</v>
      </c>
      <c r="AA195" s="45">
        <v>12</v>
      </c>
      <c r="AB195" s="45">
        <v>15.5</v>
      </c>
      <c r="AC195" s="45">
        <v>15</v>
      </c>
      <c r="AD195" s="45">
        <v>18.1</v>
      </c>
      <c r="AE195" s="45">
        <v>14.3</v>
      </c>
      <c r="AF195" s="45">
        <v>20.3</v>
      </c>
      <c r="AG195" s="45">
        <v>16.7</v>
      </c>
      <c r="AH195" s="45">
        <v>16.4</v>
      </c>
      <c r="AI195" s="45">
        <v>16.1</v>
      </c>
      <c r="AJ195" s="45">
        <v>13.2</v>
      </c>
      <c r="AK195" s="45">
        <v>13.8</v>
      </c>
      <c r="AL195" s="45">
        <v>16.6</v>
      </c>
      <c r="AM195" s="45">
        <v>15.9</v>
      </c>
      <c r="AN195" s="45">
        <v>12.8</v>
      </c>
      <c r="AO195" s="45">
        <v>11.3</v>
      </c>
      <c r="AP195" s="45">
        <v>5.8</v>
      </c>
      <c r="AQ195" s="45">
        <v>3.1</v>
      </c>
      <c r="AR195" s="45">
        <v>0</v>
      </c>
      <c r="AS195" s="45">
        <v>0</v>
      </c>
      <c r="AT195" s="45">
        <v>0</v>
      </c>
      <c r="AU195" s="45">
        <v>0</v>
      </c>
      <c r="AV195" s="45">
        <v>0</v>
      </c>
      <c r="AW195" s="45">
        <v>0</v>
      </c>
      <c r="AX195" s="45">
        <v>0</v>
      </c>
      <c r="AY195" s="45">
        <v>0</v>
      </c>
      <c r="AZ195" s="45">
        <v>0</v>
      </c>
      <c r="BA195" s="45">
        <v>0</v>
      </c>
      <c r="BB195" s="45">
        <v>0</v>
      </c>
      <c r="BC195" s="45">
        <v>0</v>
      </c>
      <c r="BD195" s="45">
        <v>0</v>
      </c>
      <c r="BE195" s="45">
        <v>0</v>
      </c>
      <c r="BF195" s="45">
        <v>0</v>
      </c>
      <c r="BG195" s="45">
        <v>0</v>
      </c>
    </row>
    <row r="196" spans="1:59">
      <c r="A196" s="18" t="s">
        <v>151</v>
      </c>
      <c r="B196" s="18" t="s">
        <v>148</v>
      </c>
      <c r="C196" s="18" t="s">
        <v>72</v>
      </c>
      <c r="D196" s="45">
        <v>0</v>
      </c>
      <c r="E196" s="45">
        <v>0</v>
      </c>
      <c r="F196" s="45">
        <v>0</v>
      </c>
      <c r="G196" s="45">
        <v>0</v>
      </c>
      <c r="H196" s="45">
        <v>7.5</v>
      </c>
      <c r="I196" s="45">
        <v>10</v>
      </c>
      <c r="J196" s="45">
        <v>8.699999999999999</v>
      </c>
      <c r="K196" s="45">
        <v>13.3</v>
      </c>
      <c r="L196" s="45">
        <v>14.9</v>
      </c>
      <c r="M196" s="45">
        <v>13.8</v>
      </c>
      <c r="N196" s="45">
        <v>18.4</v>
      </c>
      <c r="O196" s="45">
        <v>16.7</v>
      </c>
      <c r="P196" s="45">
        <v>17.8</v>
      </c>
      <c r="Q196" s="45">
        <v>20.7</v>
      </c>
      <c r="R196" s="45">
        <v>18</v>
      </c>
      <c r="S196" s="45">
        <v>18.8</v>
      </c>
      <c r="T196" s="45">
        <v>17.1</v>
      </c>
      <c r="U196" s="45">
        <v>13.4</v>
      </c>
      <c r="V196" s="45">
        <v>14.8</v>
      </c>
      <c r="W196" s="45">
        <v>14.1</v>
      </c>
      <c r="X196" s="45">
        <v>12.9</v>
      </c>
      <c r="Y196" s="45">
        <v>12</v>
      </c>
      <c r="Z196" s="45">
        <v>10.9</v>
      </c>
      <c r="AA196" s="45">
        <v>11.7</v>
      </c>
      <c r="AB196" s="45">
        <v>11.9</v>
      </c>
      <c r="AC196" s="45">
        <v>11.3</v>
      </c>
      <c r="AD196" s="45">
        <v>15.4</v>
      </c>
      <c r="AE196" s="45">
        <v>15.5</v>
      </c>
      <c r="AF196" s="45">
        <v>12.5</v>
      </c>
      <c r="AG196" s="45">
        <v>15</v>
      </c>
      <c r="AH196" s="45">
        <v>12.2</v>
      </c>
      <c r="AI196" s="45">
        <v>15.2</v>
      </c>
      <c r="AJ196" s="45">
        <v>12.3</v>
      </c>
      <c r="AK196" s="45">
        <v>10.4</v>
      </c>
      <c r="AL196" s="45">
        <v>11.9</v>
      </c>
      <c r="AM196" s="45">
        <v>11.3</v>
      </c>
      <c r="AN196" s="45">
        <v>10.8</v>
      </c>
      <c r="AO196" s="45">
        <v>9.300000000000001</v>
      </c>
      <c r="AP196" s="45">
        <v>7.5</v>
      </c>
      <c r="AQ196" s="45">
        <v>3.7</v>
      </c>
      <c r="AR196" s="45">
        <v>0</v>
      </c>
      <c r="AS196" s="45">
        <v>0</v>
      </c>
      <c r="AT196" s="45">
        <v>0</v>
      </c>
      <c r="AU196" s="45">
        <v>0</v>
      </c>
      <c r="AV196" s="45">
        <v>0</v>
      </c>
      <c r="AW196" s="45">
        <v>0</v>
      </c>
      <c r="AX196" s="45">
        <v>0</v>
      </c>
      <c r="AY196" s="45">
        <v>0</v>
      </c>
      <c r="AZ196" s="45">
        <v>0</v>
      </c>
      <c r="BA196" s="45">
        <v>0</v>
      </c>
      <c r="BB196" s="45">
        <v>0</v>
      </c>
      <c r="BC196" s="45">
        <v>0</v>
      </c>
      <c r="BD196" s="45">
        <v>0</v>
      </c>
      <c r="BE196" s="45">
        <v>0</v>
      </c>
      <c r="BF196" s="45">
        <v>0</v>
      </c>
      <c r="BG196" s="45">
        <v>0</v>
      </c>
    </row>
    <row r="197" spans="1:59">
      <c r="A197" s="18" t="s">
        <v>152</v>
      </c>
      <c r="B197" s="18" t="s">
        <v>148</v>
      </c>
      <c r="C197" s="18" t="s">
        <v>74</v>
      </c>
      <c r="D197" s="45">
        <v>0</v>
      </c>
      <c r="E197" s="45">
        <v>0</v>
      </c>
      <c r="F197" s="45">
        <v>0</v>
      </c>
      <c r="G197" s="45">
        <v>25.4</v>
      </c>
      <c r="H197" s="45">
        <v>16.7</v>
      </c>
      <c r="I197" s="45">
        <v>17.2</v>
      </c>
      <c r="J197" s="45">
        <v>14.3</v>
      </c>
      <c r="K197" s="45">
        <v>14.2</v>
      </c>
      <c r="L197" s="45">
        <v>14.7</v>
      </c>
      <c r="M197" s="45">
        <v>16.9</v>
      </c>
      <c r="N197" s="45">
        <v>17</v>
      </c>
      <c r="O197" s="45">
        <v>17.6</v>
      </c>
      <c r="P197" s="45">
        <v>20.7</v>
      </c>
      <c r="Q197" s="45">
        <v>19.1</v>
      </c>
      <c r="R197" s="45">
        <v>17.1</v>
      </c>
      <c r="S197" s="45">
        <v>19.5</v>
      </c>
      <c r="T197" s="45">
        <v>18.7</v>
      </c>
      <c r="U197" s="45">
        <v>15.6</v>
      </c>
      <c r="V197" s="45">
        <v>15.1</v>
      </c>
      <c r="W197" s="45">
        <v>15.5</v>
      </c>
      <c r="X197" s="45">
        <v>14.9</v>
      </c>
      <c r="Y197" s="45">
        <v>13.8</v>
      </c>
      <c r="Z197" s="45">
        <v>13</v>
      </c>
      <c r="AA197" s="45">
        <v>11.9</v>
      </c>
      <c r="AB197" s="45">
        <v>11.9</v>
      </c>
      <c r="AC197" s="45">
        <v>11.4</v>
      </c>
      <c r="AD197" s="45">
        <v>13.6</v>
      </c>
      <c r="AE197" s="45">
        <v>14.1</v>
      </c>
      <c r="AF197" s="45">
        <v>13.3</v>
      </c>
      <c r="AG197" s="45">
        <v>13.2</v>
      </c>
      <c r="AH197" s="45">
        <v>10.4</v>
      </c>
      <c r="AI197" s="45">
        <v>14.2</v>
      </c>
      <c r="AJ197" s="45">
        <v>12.8</v>
      </c>
      <c r="AK197" s="45">
        <v>11.4</v>
      </c>
      <c r="AL197" s="45">
        <v>10.8</v>
      </c>
      <c r="AM197" s="45">
        <v>11.3</v>
      </c>
      <c r="AN197" s="45">
        <v>9.5</v>
      </c>
      <c r="AO197" s="45">
        <v>6.9</v>
      </c>
      <c r="AP197" s="45">
        <v>6.4</v>
      </c>
      <c r="AQ197" s="45">
        <v>2.7</v>
      </c>
      <c r="AR197" s="45">
        <v>0</v>
      </c>
      <c r="AS197" s="45">
        <v>0</v>
      </c>
      <c r="AT197" s="45">
        <v>0</v>
      </c>
      <c r="AU197" s="45">
        <v>0</v>
      </c>
      <c r="AV197" s="45">
        <v>0</v>
      </c>
      <c r="AW197" s="45">
        <v>0</v>
      </c>
      <c r="AX197" s="45">
        <v>0</v>
      </c>
      <c r="AY197" s="45">
        <v>0</v>
      </c>
      <c r="AZ197" s="45">
        <v>0</v>
      </c>
      <c r="BA197" s="45">
        <v>0</v>
      </c>
      <c r="BB197" s="45">
        <v>0</v>
      </c>
      <c r="BC197" s="45">
        <v>0</v>
      </c>
      <c r="BD197" s="45">
        <v>0</v>
      </c>
      <c r="BE197" s="45">
        <v>0</v>
      </c>
      <c r="BF197" s="45">
        <v>0</v>
      </c>
      <c r="BG197" s="45">
        <v>0</v>
      </c>
    </row>
    <row r="198" spans="1:59">
      <c r="A198" s="18" t="s">
        <v>153</v>
      </c>
      <c r="B198" s="18" t="s">
        <v>148</v>
      </c>
      <c r="C198" s="18" t="s">
        <v>76</v>
      </c>
      <c r="D198" s="45">
        <v>0</v>
      </c>
      <c r="E198" s="45">
        <v>0</v>
      </c>
      <c r="F198" s="45">
        <v>0</v>
      </c>
      <c r="G198" s="45">
        <v>18</v>
      </c>
      <c r="H198" s="45">
        <v>10.2</v>
      </c>
      <c r="I198" s="45">
        <v>11.2</v>
      </c>
      <c r="J198" s="45">
        <v>11</v>
      </c>
      <c r="K198" s="45">
        <v>11.2</v>
      </c>
      <c r="L198" s="45">
        <v>13.1</v>
      </c>
      <c r="M198" s="45">
        <v>15.2</v>
      </c>
      <c r="N198" s="45">
        <v>20.2</v>
      </c>
      <c r="O198" s="45">
        <v>18.2</v>
      </c>
      <c r="P198" s="45">
        <v>18.5</v>
      </c>
      <c r="Q198" s="45">
        <v>21.9</v>
      </c>
      <c r="R198" s="45">
        <v>19.2</v>
      </c>
      <c r="S198" s="45">
        <v>19.9</v>
      </c>
      <c r="T198" s="45">
        <v>22.5</v>
      </c>
      <c r="U198" s="45">
        <v>23</v>
      </c>
      <c r="V198" s="45">
        <v>18.4</v>
      </c>
      <c r="W198" s="45">
        <v>18.1</v>
      </c>
      <c r="X198" s="45">
        <v>19.2</v>
      </c>
      <c r="Y198" s="45">
        <v>15.1</v>
      </c>
      <c r="Z198" s="45">
        <v>15.3</v>
      </c>
      <c r="AA198" s="45">
        <v>15.7</v>
      </c>
      <c r="AB198" s="45">
        <v>20</v>
      </c>
      <c r="AC198" s="45">
        <v>18.1</v>
      </c>
      <c r="AD198" s="45">
        <v>20.5</v>
      </c>
      <c r="AE198" s="45">
        <v>14.1</v>
      </c>
      <c r="AF198" s="45">
        <v>18.2</v>
      </c>
      <c r="AG198" s="45">
        <v>17.2</v>
      </c>
      <c r="AH198" s="45">
        <v>17</v>
      </c>
      <c r="AI198" s="45">
        <v>19.7</v>
      </c>
      <c r="AJ198" s="45">
        <v>14.1</v>
      </c>
      <c r="AK198" s="45">
        <v>15.9</v>
      </c>
      <c r="AL198" s="45">
        <v>14.2</v>
      </c>
      <c r="AM198" s="45">
        <v>11.4</v>
      </c>
      <c r="AN198" s="45">
        <v>10</v>
      </c>
      <c r="AO198" s="45">
        <v>8.800000000000001</v>
      </c>
      <c r="AP198" s="45">
        <v>5.3</v>
      </c>
      <c r="AQ198" s="45">
        <v>2.7</v>
      </c>
      <c r="AR198" s="45">
        <v>0</v>
      </c>
      <c r="AS198" s="45">
        <v>0</v>
      </c>
      <c r="AT198" s="45">
        <v>0</v>
      </c>
      <c r="AU198" s="45">
        <v>0</v>
      </c>
      <c r="AV198" s="45">
        <v>0</v>
      </c>
      <c r="AW198" s="45">
        <v>0</v>
      </c>
      <c r="AX198" s="45">
        <v>0</v>
      </c>
      <c r="AY198" s="45">
        <v>0</v>
      </c>
      <c r="AZ198" s="45">
        <v>0</v>
      </c>
      <c r="BA198" s="45">
        <v>0</v>
      </c>
      <c r="BB198" s="45">
        <v>0</v>
      </c>
      <c r="BC198" s="45">
        <v>0</v>
      </c>
      <c r="BD198" s="45">
        <v>0</v>
      </c>
      <c r="BE198" s="45">
        <v>0</v>
      </c>
      <c r="BF198" s="45">
        <v>0</v>
      </c>
      <c r="BG198" s="45">
        <v>0</v>
      </c>
    </row>
    <row r="199" spans="1:59">
      <c r="A199" s="18" t="s">
        <v>154</v>
      </c>
      <c r="B199" s="18" t="s">
        <v>148</v>
      </c>
      <c r="C199" s="18" t="s">
        <v>78</v>
      </c>
      <c r="D199" s="45">
        <v>0</v>
      </c>
      <c r="E199" s="45">
        <v>0</v>
      </c>
      <c r="F199" s="45">
        <v>0</v>
      </c>
      <c r="G199" s="45">
        <v>0</v>
      </c>
      <c r="H199" s="45">
        <v>8</v>
      </c>
      <c r="I199" s="45">
        <v>10.1</v>
      </c>
      <c r="J199" s="45">
        <v>11.5</v>
      </c>
      <c r="K199" s="45">
        <v>14</v>
      </c>
      <c r="L199" s="45">
        <v>12.2</v>
      </c>
      <c r="M199" s="45">
        <v>16.1</v>
      </c>
      <c r="N199" s="45">
        <v>18.5</v>
      </c>
      <c r="O199" s="45">
        <v>14.8</v>
      </c>
      <c r="P199" s="45">
        <v>15.9</v>
      </c>
      <c r="Q199" s="45">
        <v>16.9</v>
      </c>
      <c r="R199" s="45">
        <v>19.2</v>
      </c>
      <c r="S199" s="45">
        <v>17.9</v>
      </c>
      <c r="T199" s="45">
        <v>17</v>
      </c>
      <c r="U199" s="45">
        <v>16.5</v>
      </c>
      <c r="V199" s="45">
        <v>14.6</v>
      </c>
      <c r="W199" s="45">
        <v>13.8</v>
      </c>
      <c r="X199" s="45">
        <v>11.4</v>
      </c>
      <c r="Y199" s="45">
        <v>15</v>
      </c>
      <c r="Z199" s="45">
        <v>10.7</v>
      </c>
      <c r="AA199" s="45">
        <v>10.6</v>
      </c>
      <c r="AB199" s="45">
        <v>13.7</v>
      </c>
      <c r="AC199" s="45">
        <v>11.7</v>
      </c>
      <c r="AD199" s="45">
        <v>13.1</v>
      </c>
      <c r="AE199" s="45">
        <v>14.6</v>
      </c>
      <c r="AF199" s="45">
        <v>14.3</v>
      </c>
      <c r="AG199" s="45">
        <v>15.4</v>
      </c>
      <c r="AH199" s="45">
        <v>13.6</v>
      </c>
      <c r="AI199" s="45">
        <v>12.9</v>
      </c>
      <c r="AJ199" s="45">
        <v>10.8</v>
      </c>
      <c r="AK199" s="45">
        <v>8.9</v>
      </c>
      <c r="AL199" s="45">
        <v>10.9</v>
      </c>
      <c r="AM199" s="45">
        <v>10.6</v>
      </c>
      <c r="AN199" s="45">
        <v>9.9</v>
      </c>
      <c r="AO199" s="45">
        <v>6.5</v>
      </c>
      <c r="AP199" s="45">
        <v>3.9</v>
      </c>
      <c r="AQ199" s="45">
        <v>2.2</v>
      </c>
      <c r="AR199" s="45">
        <v>0</v>
      </c>
      <c r="AS199" s="45">
        <v>0</v>
      </c>
      <c r="AT199" s="45">
        <v>0</v>
      </c>
      <c r="AU199" s="45">
        <v>0</v>
      </c>
      <c r="AV199" s="45">
        <v>0</v>
      </c>
      <c r="AW199" s="45">
        <v>0</v>
      </c>
      <c r="AX199" s="45">
        <v>0</v>
      </c>
      <c r="AY199" s="45">
        <v>0</v>
      </c>
      <c r="AZ199" s="45">
        <v>0</v>
      </c>
      <c r="BA199" s="45">
        <v>0</v>
      </c>
      <c r="BB199" s="45">
        <v>0</v>
      </c>
      <c r="BC199" s="45">
        <v>0</v>
      </c>
      <c r="BD199" s="45">
        <v>0</v>
      </c>
      <c r="BE199" s="45">
        <v>0</v>
      </c>
      <c r="BF199" s="45">
        <v>0</v>
      </c>
      <c r="BG199" s="45">
        <v>0</v>
      </c>
    </row>
    <row r="200" spans="1:59">
      <c r="A200" s="18" t="s">
        <v>155</v>
      </c>
      <c r="B200" s="18" t="s">
        <v>148</v>
      </c>
      <c r="C200" s="18" t="s">
        <v>80</v>
      </c>
      <c r="D200" s="45">
        <v>0</v>
      </c>
      <c r="E200" s="45">
        <v>0</v>
      </c>
      <c r="F200" s="45">
        <v>0</v>
      </c>
      <c r="G200" s="45">
        <v>0</v>
      </c>
      <c r="H200" s="45">
        <v>12.7</v>
      </c>
      <c r="I200" s="45">
        <v>8.1</v>
      </c>
      <c r="J200" s="45">
        <v>13.4</v>
      </c>
      <c r="K200" s="45">
        <v>14.1</v>
      </c>
      <c r="L200" s="45">
        <v>11.4</v>
      </c>
      <c r="M200" s="45">
        <v>13.2</v>
      </c>
      <c r="N200" s="45">
        <v>15</v>
      </c>
      <c r="O200" s="45">
        <v>17.6</v>
      </c>
      <c r="P200" s="45">
        <v>14.9</v>
      </c>
      <c r="Q200" s="45">
        <v>16.1</v>
      </c>
      <c r="R200" s="45">
        <v>18.1</v>
      </c>
      <c r="S200" s="45">
        <v>14.4</v>
      </c>
      <c r="T200" s="45">
        <v>16.3</v>
      </c>
      <c r="U200" s="45">
        <v>14</v>
      </c>
      <c r="V200" s="45">
        <v>11.4</v>
      </c>
      <c r="W200" s="45">
        <v>14.4</v>
      </c>
      <c r="X200" s="45">
        <v>12.2</v>
      </c>
      <c r="Y200" s="45">
        <v>11.3</v>
      </c>
      <c r="Z200" s="45">
        <v>9.800000000000001</v>
      </c>
      <c r="AA200" s="45">
        <v>9.5</v>
      </c>
      <c r="AB200" s="45">
        <v>10.4</v>
      </c>
      <c r="AC200" s="45">
        <v>9.4</v>
      </c>
      <c r="AD200" s="45">
        <v>9.199999999999999</v>
      </c>
      <c r="AE200" s="45">
        <v>10.8</v>
      </c>
      <c r="AF200" s="45">
        <v>12</v>
      </c>
      <c r="AG200" s="45">
        <v>12.2</v>
      </c>
      <c r="AH200" s="45">
        <v>13.1</v>
      </c>
      <c r="AI200" s="45">
        <v>13.3</v>
      </c>
      <c r="AJ200" s="45">
        <v>14.3</v>
      </c>
      <c r="AK200" s="45">
        <v>9.9</v>
      </c>
      <c r="AL200" s="45">
        <v>8.199999999999999</v>
      </c>
      <c r="AM200" s="45">
        <v>9.4</v>
      </c>
      <c r="AN200" s="45">
        <v>9</v>
      </c>
      <c r="AO200" s="45">
        <v>5.7</v>
      </c>
      <c r="AP200" s="45">
        <v>4</v>
      </c>
      <c r="AQ200" s="45">
        <v>0</v>
      </c>
      <c r="AR200" s="45">
        <v>0</v>
      </c>
      <c r="AS200" s="45">
        <v>0</v>
      </c>
      <c r="AT200" s="45">
        <v>0</v>
      </c>
      <c r="AU200" s="45">
        <v>0</v>
      </c>
      <c r="AV200" s="45">
        <v>0</v>
      </c>
      <c r="AW200" s="45">
        <v>0</v>
      </c>
      <c r="AX200" s="45">
        <v>0</v>
      </c>
      <c r="AY200" s="45">
        <v>0</v>
      </c>
      <c r="AZ200" s="45">
        <v>0</v>
      </c>
      <c r="BA200" s="45">
        <v>0</v>
      </c>
      <c r="BB200" s="45">
        <v>0</v>
      </c>
      <c r="BC200" s="45">
        <v>0</v>
      </c>
      <c r="BD200" s="45">
        <v>0</v>
      </c>
      <c r="BE200" s="45">
        <v>0</v>
      </c>
      <c r="BF200" s="45">
        <v>0</v>
      </c>
      <c r="BG200" s="45">
        <v>0</v>
      </c>
    </row>
    <row r="201" spans="1:59">
      <c r="A201" s="18" t="s">
        <v>156</v>
      </c>
      <c r="B201" s="18" t="s">
        <v>148</v>
      </c>
      <c r="C201" s="18" t="s">
        <v>82</v>
      </c>
      <c r="D201" s="45">
        <v>0</v>
      </c>
      <c r="E201" s="45">
        <v>0</v>
      </c>
      <c r="F201" s="45">
        <v>0</v>
      </c>
      <c r="G201" s="45">
        <v>24.6</v>
      </c>
      <c r="H201" s="45">
        <v>11.5</v>
      </c>
      <c r="I201" s="45">
        <v>9.800000000000001</v>
      </c>
      <c r="J201" s="45">
        <v>10.3</v>
      </c>
      <c r="K201" s="45">
        <v>8.800000000000001</v>
      </c>
      <c r="L201" s="45">
        <v>12.2</v>
      </c>
      <c r="M201" s="45">
        <v>10</v>
      </c>
      <c r="N201" s="45">
        <v>12.6</v>
      </c>
      <c r="O201" s="45">
        <v>14.4</v>
      </c>
      <c r="P201" s="45">
        <v>15.8</v>
      </c>
      <c r="Q201" s="45">
        <v>15.5</v>
      </c>
      <c r="R201" s="45">
        <v>16.9</v>
      </c>
      <c r="S201" s="45">
        <v>18.5</v>
      </c>
      <c r="T201" s="45">
        <v>18.2</v>
      </c>
      <c r="U201" s="45">
        <v>15.3</v>
      </c>
      <c r="V201" s="45">
        <v>16.8</v>
      </c>
      <c r="W201" s="45">
        <v>18.2</v>
      </c>
      <c r="X201" s="45">
        <v>13.8</v>
      </c>
      <c r="Y201" s="45">
        <v>14.7</v>
      </c>
      <c r="Z201" s="45">
        <v>13.4</v>
      </c>
      <c r="AA201" s="45">
        <v>13.1</v>
      </c>
      <c r="AB201" s="45">
        <v>15.1</v>
      </c>
      <c r="AC201" s="45">
        <v>15.6</v>
      </c>
      <c r="AD201" s="45">
        <v>16</v>
      </c>
      <c r="AE201" s="45">
        <v>18.6</v>
      </c>
      <c r="AF201" s="45">
        <v>15.1</v>
      </c>
      <c r="AG201" s="45">
        <v>14.2</v>
      </c>
      <c r="AH201" s="45">
        <v>13.9</v>
      </c>
      <c r="AI201" s="45">
        <v>16.2</v>
      </c>
      <c r="AJ201" s="45">
        <v>14.1</v>
      </c>
      <c r="AK201" s="45">
        <v>13.6</v>
      </c>
      <c r="AL201" s="45">
        <v>9</v>
      </c>
      <c r="AM201" s="45">
        <v>8</v>
      </c>
      <c r="AN201" s="45">
        <v>9</v>
      </c>
      <c r="AO201" s="45">
        <v>8.199999999999999</v>
      </c>
      <c r="AP201" s="45">
        <v>5.5</v>
      </c>
      <c r="AQ201" s="45">
        <v>1.4</v>
      </c>
      <c r="AR201" s="45">
        <v>0</v>
      </c>
      <c r="AS201" s="45">
        <v>0</v>
      </c>
      <c r="AT201" s="45">
        <v>0</v>
      </c>
      <c r="AU201" s="45">
        <v>0</v>
      </c>
      <c r="AV201" s="45">
        <v>0</v>
      </c>
      <c r="AW201" s="45">
        <v>0</v>
      </c>
      <c r="AX201" s="45">
        <v>0</v>
      </c>
      <c r="AY201" s="45">
        <v>0</v>
      </c>
      <c r="AZ201" s="45">
        <v>0</v>
      </c>
      <c r="BA201" s="45">
        <v>0</v>
      </c>
      <c r="BB201" s="45">
        <v>0</v>
      </c>
      <c r="BC201" s="45">
        <v>0</v>
      </c>
      <c r="BD201" s="45">
        <v>0</v>
      </c>
      <c r="BE201" s="45">
        <v>0</v>
      </c>
      <c r="BF201" s="45">
        <v>0</v>
      </c>
      <c r="BG201" s="45">
        <v>0</v>
      </c>
    </row>
    <row r="202" spans="1:59">
      <c r="A202" s="18" t="s">
        <v>157</v>
      </c>
      <c r="B202" s="18" t="s">
        <v>148</v>
      </c>
      <c r="C202" s="18" t="s">
        <v>84</v>
      </c>
      <c r="D202" s="45">
        <v>0</v>
      </c>
      <c r="E202" s="45">
        <v>0</v>
      </c>
      <c r="F202" s="45">
        <v>0</v>
      </c>
      <c r="G202" s="45">
        <v>0</v>
      </c>
      <c r="H202" s="45">
        <v>0</v>
      </c>
      <c r="I202" s="45">
        <v>5</v>
      </c>
      <c r="J202" s="45">
        <v>1.8</v>
      </c>
      <c r="K202" s="45">
        <v>2.2</v>
      </c>
      <c r="L202" s="45">
        <v>2.3</v>
      </c>
      <c r="M202" s="45">
        <v>4.2</v>
      </c>
      <c r="N202" s="45">
        <v>4.9</v>
      </c>
      <c r="O202" s="45">
        <v>7.5</v>
      </c>
      <c r="P202" s="45">
        <v>8</v>
      </c>
      <c r="Q202" s="45">
        <v>9.300000000000001</v>
      </c>
      <c r="R202" s="45">
        <v>9.6</v>
      </c>
      <c r="S202" s="45">
        <v>8.199999999999999</v>
      </c>
      <c r="T202" s="45">
        <v>10.8</v>
      </c>
      <c r="U202" s="45">
        <v>13.3</v>
      </c>
      <c r="V202" s="45">
        <v>10.4</v>
      </c>
      <c r="W202" s="45">
        <v>12.8</v>
      </c>
      <c r="X202" s="45">
        <v>10.4</v>
      </c>
      <c r="Y202" s="45">
        <v>9.800000000000001</v>
      </c>
      <c r="Z202" s="45">
        <v>8.699999999999999</v>
      </c>
      <c r="AA202" s="45">
        <v>5.7</v>
      </c>
      <c r="AB202" s="45">
        <v>6</v>
      </c>
      <c r="AC202" s="45">
        <v>9.5</v>
      </c>
      <c r="AD202" s="45">
        <v>7.7</v>
      </c>
      <c r="AE202" s="45">
        <v>8.1</v>
      </c>
      <c r="AF202" s="45">
        <v>11.1</v>
      </c>
      <c r="AG202" s="45">
        <v>8.300000000000001</v>
      </c>
      <c r="AH202" s="45">
        <v>8.699999999999999</v>
      </c>
      <c r="AI202" s="45">
        <v>9.199999999999999</v>
      </c>
      <c r="AJ202" s="45">
        <v>8.1</v>
      </c>
      <c r="AK202" s="45">
        <v>7.7</v>
      </c>
      <c r="AL202" s="45">
        <v>7.9</v>
      </c>
      <c r="AM202" s="45">
        <v>8.199999999999999</v>
      </c>
      <c r="AN202" s="45">
        <v>6.3</v>
      </c>
      <c r="AO202" s="45">
        <v>5.5</v>
      </c>
      <c r="AP202" s="45">
        <v>4.5</v>
      </c>
      <c r="AQ202" s="45">
        <v>4.6</v>
      </c>
      <c r="AR202" s="45">
        <v>2.5</v>
      </c>
      <c r="AS202" s="45">
        <v>0</v>
      </c>
      <c r="AT202" s="45">
        <v>0</v>
      </c>
      <c r="AU202" s="45">
        <v>0</v>
      </c>
      <c r="AV202" s="45">
        <v>0</v>
      </c>
      <c r="AW202" s="45">
        <v>0</v>
      </c>
      <c r="AX202" s="45">
        <v>0</v>
      </c>
      <c r="AY202" s="45">
        <v>0</v>
      </c>
      <c r="AZ202" s="45">
        <v>0</v>
      </c>
      <c r="BA202" s="45">
        <v>0</v>
      </c>
      <c r="BB202" s="45">
        <v>0</v>
      </c>
      <c r="BC202" s="45">
        <v>0</v>
      </c>
      <c r="BD202" s="45">
        <v>0</v>
      </c>
      <c r="BE202" s="45">
        <v>0</v>
      </c>
      <c r="BF202" s="45">
        <v>0</v>
      </c>
      <c r="BG202" s="45">
        <v>0</v>
      </c>
    </row>
    <row r="203" spans="1:59">
      <c r="A203" s="18" t="s">
        <v>158</v>
      </c>
      <c r="B203" s="18" t="s">
        <v>148</v>
      </c>
      <c r="C203" s="18" t="s">
        <v>86</v>
      </c>
      <c r="D203" s="45">
        <v>0</v>
      </c>
      <c r="E203" s="45">
        <v>0</v>
      </c>
      <c r="F203" s="45">
        <v>0</v>
      </c>
      <c r="G203" s="45">
        <v>0</v>
      </c>
      <c r="H203" s="45">
        <v>0</v>
      </c>
      <c r="I203" s="45">
        <v>5.1</v>
      </c>
      <c r="J203" s="45">
        <v>3.2</v>
      </c>
      <c r="K203" s="45">
        <v>2.6</v>
      </c>
      <c r="L203" s="45">
        <v>3.2</v>
      </c>
      <c r="M203" s="45">
        <v>3.5</v>
      </c>
      <c r="N203" s="45">
        <v>3.9</v>
      </c>
      <c r="O203" s="45">
        <v>4.2</v>
      </c>
      <c r="P203" s="45">
        <v>6.5</v>
      </c>
      <c r="Q203" s="45">
        <v>7.6</v>
      </c>
      <c r="R203" s="45">
        <v>6.4</v>
      </c>
      <c r="S203" s="45">
        <v>8.300000000000001</v>
      </c>
      <c r="T203" s="45">
        <v>10.4</v>
      </c>
      <c r="U203" s="45">
        <v>9.699999999999999</v>
      </c>
      <c r="V203" s="45">
        <v>10.3</v>
      </c>
      <c r="W203" s="45">
        <v>8.5</v>
      </c>
      <c r="X203" s="45">
        <v>10</v>
      </c>
      <c r="Y203" s="45">
        <v>6.3</v>
      </c>
      <c r="Z203" s="45">
        <v>8.199999999999999</v>
      </c>
      <c r="AA203" s="45">
        <v>6.3</v>
      </c>
      <c r="AB203" s="45">
        <v>4.1</v>
      </c>
      <c r="AC203" s="45">
        <v>5.6</v>
      </c>
      <c r="AD203" s="45">
        <v>6.1</v>
      </c>
      <c r="AE203" s="45">
        <v>8.1</v>
      </c>
      <c r="AF203" s="45">
        <v>9.4</v>
      </c>
      <c r="AG203" s="45">
        <v>10.9</v>
      </c>
      <c r="AH203" s="45">
        <v>11.6</v>
      </c>
      <c r="AI203" s="45">
        <v>10.8</v>
      </c>
      <c r="AJ203" s="45">
        <v>8.9</v>
      </c>
      <c r="AK203" s="45">
        <v>9.199999999999999</v>
      </c>
      <c r="AL203" s="45">
        <v>9.199999999999999</v>
      </c>
      <c r="AM203" s="45">
        <v>9.9</v>
      </c>
      <c r="AN203" s="45">
        <v>9</v>
      </c>
      <c r="AO203" s="45">
        <v>7.3</v>
      </c>
      <c r="AP203" s="45">
        <v>7.1</v>
      </c>
      <c r="AQ203" s="45">
        <v>6.5</v>
      </c>
      <c r="AR203" s="45">
        <v>4.2</v>
      </c>
      <c r="AS203" s="45">
        <v>0</v>
      </c>
      <c r="AT203" s="45">
        <v>0</v>
      </c>
      <c r="AU203" s="45">
        <v>0</v>
      </c>
      <c r="AV203" s="45">
        <v>0</v>
      </c>
      <c r="AW203" s="45">
        <v>0</v>
      </c>
      <c r="AX203" s="45">
        <v>0</v>
      </c>
      <c r="AY203" s="45">
        <v>0</v>
      </c>
      <c r="AZ203" s="45">
        <v>0</v>
      </c>
      <c r="BA203" s="45">
        <v>0</v>
      </c>
      <c r="BB203" s="45">
        <v>0</v>
      </c>
      <c r="BC203" s="45">
        <v>0</v>
      </c>
      <c r="BD203" s="45">
        <v>0</v>
      </c>
      <c r="BE203" s="45">
        <v>0</v>
      </c>
      <c r="BF203" s="45">
        <v>0</v>
      </c>
      <c r="BG203" s="45">
        <v>0</v>
      </c>
    </row>
    <row r="204" spans="1:59">
      <c r="A204" s="18" t="s">
        <v>159</v>
      </c>
      <c r="B204" s="18" t="s">
        <v>148</v>
      </c>
      <c r="C204" s="18" t="s">
        <v>88</v>
      </c>
      <c r="D204" s="45">
        <v>0</v>
      </c>
      <c r="E204" s="45">
        <v>0</v>
      </c>
      <c r="F204" s="45">
        <v>0</v>
      </c>
      <c r="G204" s="45">
        <v>0</v>
      </c>
      <c r="H204" s="45">
        <v>0</v>
      </c>
      <c r="I204" s="45">
        <v>6.5</v>
      </c>
      <c r="J204" s="45">
        <v>2.6</v>
      </c>
      <c r="K204" s="45">
        <v>3.3</v>
      </c>
      <c r="L204" s="45">
        <v>2.7</v>
      </c>
      <c r="M204" s="45">
        <v>3.2</v>
      </c>
      <c r="N204" s="45">
        <v>4.1</v>
      </c>
      <c r="O204" s="45">
        <v>5.2</v>
      </c>
      <c r="P204" s="45">
        <v>6.2</v>
      </c>
      <c r="Q204" s="45">
        <v>6.6</v>
      </c>
      <c r="R204" s="45">
        <v>8.5</v>
      </c>
      <c r="S204" s="45">
        <v>9.800000000000001</v>
      </c>
      <c r="T204" s="45">
        <v>10.6</v>
      </c>
      <c r="U204" s="45">
        <v>11.9</v>
      </c>
      <c r="V204" s="45">
        <v>12.1</v>
      </c>
      <c r="W204" s="45">
        <v>11.9</v>
      </c>
      <c r="X204" s="45">
        <v>10.6</v>
      </c>
      <c r="Y204" s="45">
        <v>10.2</v>
      </c>
      <c r="Z204" s="45">
        <v>8.300000000000001</v>
      </c>
      <c r="AA204" s="45">
        <v>4.4</v>
      </c>
      <c r="AB204" s="45">
        <v>5.5</v>
      </c>
      <c r="AC204" s="45">
        <v>7.8</v>
      </c>
      <c r="AD204" s="45">
        <v>7.2</v>
      </c>
      <c r="AE204" s="45">
        <v>7.6</v>
      </c>
      <c r="AF204" s="45">
        <v>7.7</v>
      </c>
      <c r="AG204" s="45">
        <v>8.699999999999999</v>
      </c>
      <c r="AH204" s="45">
        <v>10.3</v>
      </c>
      <c r="AI204" s="45">
        <v>9.300000000000001</v>
      </c>
      <c r="AJ204" s="45">
        <v>8.699999999999999</v>
      </c>
      <c r="AK204" s="45">
        <v>10</v>
      </c>
      <c r="AL204" s="45">
        <v>9.199999999999999</v>
      </c>
      <c r="AM204" s="45">
        <v>9.699999999999999</v>
      </c>
      <c r="AN204" s="45">
        <v>11.6</v>
      </c>
      <c r="AO204" s="45">
        <v>7.6</v>
      </c>
      <c r="AP204" s="45">
        <v>7.5</v>
      </c>
      <c r="AQ204" s="45">
        <v>7</v>
      </c>
      <c r="AR204" s="45">
        <v>4.4</v>
      </c>
      <c r="AS204" s="45">
        <v>0</v>
      </c>
      <c r="AT204" s="45">
        <v>0</v>
      </c>
      <c r="AU204" s="45">
        <v>0</v>
      </c>
      <c r="AV204" s="45">
        <v>0</v>
      </c>
      <c r="AW204" s="45">
        <v>0</v>
      </c>
      <c r="AX204" s="45">
        <v>0</v>
      </c>
      <c r="AY204" s="45">
        <v>0</v>
      </c>
      <c r="AZ204" s="45">
        <v>0</v>
      </c>
      <c r="BA204" s="45">
        <v>0</v>
      </c>
      <c r="BB204" s="45">
        <v>0</v>
      </c>
      <c r="BC204" s="45">
        <v>0</v>
      </c>
      <c r="BD204" s="45">
        <v>0</v>
      </c>
      <c r="BE204" s="45">
        <v>0</v>
      </c>
      <c r="BF204" s="45">
        <v>0</v>
      </c>
      <c r="BG204" s="45">
        <v>0</v>
      </c>
    </row>
    <row r="205" spans="1:59">
      <c r="A205" s="18" t="s">
        <v>160</v>
      </c>
      <c r="B205" s="18" t="s">
        <v>148</v>
      </c>
      <c r="C205" s="18" t="s">
        <v>90</v>
      </c>
      <c r="D205" s="45">
        <v>0</v>
      </c>
      <c r="E205" s="45">
        <v>0</v>
      </c>
      <c r="F205" s="45">
        <v>0</v>
      </c>
      <c r="G205" s="45">
        <v>0</v>
      </c>
      <c r="H205" s="45">
        <v>23.2</v>
      </c>
      <c r="I205" s="45">
        <v>9.6</v>
      </c>
      <c r="J205" s="45">
        <v>6.1</v>
      </c>
      <c r="K205" s="45">
        <v>7.2</v>
      </c>
      <c r="L205" s="45">
        <v>10.1</v>
      </c>
      <c r="M205" s="45">
        <v>11.4</v>
      </c>
      <c r="N205" s="45">
        <v>14</v>
      </c>
      <c r="O205" s="45">
        <v>16.8</v>
      </c>
      <c r="P205" s="45">
        <v>19.1</v>
      </c>
      <c r="Q205" s="45">
        <v>22.2</v>
      </c>
      <c r="R205" s="45">
        <v>22.6</v>
      </c>
      <c r="S205" s="45">
        <v>25.4</v>
      </c>
      <c r="T205" s="45">
        <v>21.7</v>
      </c>
      <c r="U205" s="45">
        <v>21.4</v>
      </c>
      <c r="V205" s="45">
        <v>24.3</v>
      </c>
      <c r="W205" s="45">
        <v>24.9</v>
      </c>
      <c r="X205" s="45">
        <v>27.4</v>
      </c>
      <c r="Y205" s="45">
        <v>23.9</v>
      </c>
      <c r="Z205" s="45">
        <v>22.9</v>
      </c>
      <c r="AA205" s="45">
        <v>22.4</v>
      </c>
      <c r="AB205" s="45">
        <v>20.3</v>
      </c>
      <c r="AC205" s="45">
        <v>21</v>
      </c>
      <c r="AD205" s="45">
        <v>19.8</v>
      </c>
      <c r="AE205" s="45">
        <v>20.2</v>
      </c>
      <c r="AF205" s="45">
        <v>23.1</v>
      </c>
      <c r="AG205" s="45">
        <v>22.6</v>
      </c>
      <c r="AH205" s="45">
        <v>25.9</v>
      </c>
      <c r="AI205" s="45">
        <v>23.2</v>
      </c>
      <c r="AJ205" s="45">
        <v>19.5</v>
      </c>
      <c r="AK205" s="45">
        <v>18.5</v>
      </c>
      <c r="AL205" s="45">
        <v>19.9</v>
      </c>
      <c r="AM205" s="45">
        <v>20.4</v>
      </c>
      <c r="AN205" s="45">
        <v>19.7</v>
      </c>
      <c r="AO205" s="45">
        <v>18</v>
      </c>
      <c r="AP205" s="45">
        <v>17.8</v>
      </c>
      <c r="AQ205" s="45">
        <v>15.9</v>
      </c>
      <c r="AR205" s="45">
        <v>8</v>
      </c>
      <c r="AS205" s="45">
        <v>0</v>
      </c>
      <c r="AT205" s="45">
        <v>0</v>
      </c>
      <c r="AU205" s="45">
        <v>0</v>
      </c>
      <c r="AV205" s="45">
        <v>0</v>
      </c>
      <c r="AW205" s="45">
        <v>0</v>
      </c>
      <c r="AX205" s="45">
        <v>0</v>
      </c>
      <c r="AY205" s="45">
        <v>0</v>
      </c>
      <c r="AZ205" s="45">
        <v>0</v>
      </c>
      <c r="BA205" s="45">
        <v>0</v>
      </c>
      <c r="BB205" s="45">
        <v>0</v>
      </c>
      <c r="BC205" s="45">
        <v>0</v>
      </c>
      <c r="BD205" s="45">
        <v>0</v>
      </c>
      <c r="BE205" s="45">
        <v>0</v>
      </c>
      <c r="BF205" s="45">
        <v>0</v>
      </c>
      <c r="BG205" s="45">
        <v>0</v>
      </c>
    </row>
    <row r="206" spans="1:59">
      <c r="A206" s="18" t="s">
        <v>161</v>
      </c>
      <c r="B206" s="18" t="s">
        <v>162</v>
      </c>
      <c r="C206" s="18" t="s">
        <v>66</v>
      </c>
      <c r="D206" s="45">
        <v>0</v>
      </c>
      <c r="E206" s="45">
        <v>0</v>
      </c>
      <c r="F206" s="45">
        <v>0</v>
      </c>
      <c r="G206" s="45">
        <v>0</v>
      </c>
      <c r="H206" s="45">
        <v>0</v>
      </c>
      <c r="I206" s="45">
        <v>8.1</v>
      </c>
      <c r="J206" s="45">
        <v>2.6</v>
      </c>
      <c r="K206" s="45">
        <v>1.9</v>
      </c>
      <c r="L206" s="45">
        <v>2.2</v>
      </c>
      <c r="M206" s="45">
        <v>2.7</v>
      </c>
      <c r="N206" s="45">
        <v>3.6</v>
      </c>
      <c r="O206" s="45">
        <v>3.8</v>
      </c>
      <c r="P206" s="45">
        <v>4</v>
      </c>
      <c r="Q206" s="45">
        <v>4.1</v>
      </c>
      <c r="R206" s="45">
        <v>4.7</v>
      </c>
      <c r="S206" s="45">
        <v>4.4</v>
      </c>
      <c r="T206" s="45">
        <v>4.1</v>
      </c>
      <c r="U206" s="45">
        <v>4</v>
      </c>
      <c r="V206" s="45">
        <v>3.7</v>
      </c>
      <c r="W206" s="45">
        <v>3.3</v>
      </c>
      <c r="X206" s="45">
        <v>2.9</v>
      </c>
      <c r="Y206" s="45">
        <v>2.6</v>
      </c>
      <c r="Z206" s="45">
        <v>2.6</v>
      </c>
      <c r="AA206" s="45">
        <v>2.2</v>
      </c>
      <c r="AB206" s="45">
        <v>2.3</v>
      </c>
      <c r="AC206" s="45">
        <v>3.4</v>
      </c>
      <c r="AD206" s="45">
        <v>3.8</v>
      </c>
      <c r="AE206" s="45">
        <v>3.9</v>
      </c>
      <c r="AF206" s="45">
        <v>4.2</v>
      </c>
      <c r="AG206" s="45">
        <v>3.8</v>
      </c>
      <c r="AH206" s="45">
        <v>4</v>
      </c>
      <c r="AI206" s="45">
        <v>3.8</v>
      </c>
      <c r="AJ206" s="45">
        <v>3.4</v>
      </c>
      <c r="AK206" s="45">
        <v>3.3</v>
      </c>
      <c r="AL206" s="45">
        <v>3</v>
      </c>
      <c r="AM206" s="45">
        <v>3.4</v>
      </c>
      <c r="AN206" s="45">
        <v>3.6</v>
      </c>
      <c r="AO206" s="45">
        <v>3.7</v>
      </c>
      <c r="AP206" s="45">
        <v>3.5</v>
      </c>
      <c r="AQ206" s="45">
        <v>3.5</v>
      </c>
      <c r="AR206" s="45">
        <v>2.3</v>
      </c>
      <c r="AS206" s="45">
        <v>1.1</v>
      </c>
      <c r="AT206" s="45">
        <v>0</v>
      </c>
      <c r="AU206" s="45">
        <v>0</v>
      </c>
      <c r="AV206" s="45">
        <v>0</v>
      </c>
      <c r="AW206" s="45">
        <v>0</v>
      </c>
      <c r="AX206" s="45">
        <v>0</v>
      </c>
      <c r="AY206" s="45">
        <v>0</v>
      </c>
      <c r="AZ206" s="45">
        <v>0</v>
      </c>
      <c r="BA206" s="45">
        <v>0</v>
      </c>
      <c r="BB206" s="45">
        <v>0</v>
      </c>
      <c r="BC206" s="45">
        <v>0</v>
      </c>
      <c r="BD206" s="45">
        <v>0</v>
      </c>
      <c r="BE206" s="45">
        <v>0</v>
      </c>
      <c r="BF206" s="45">
        <v>0</v>
      </c>
      <c r="BG206" s="45">
        <v>0</v>
      </c>
    </row>
    <row r="207" spans="1:59">
      <c r="A207" s="18" t="s">
        <v>163</v>
      </c>
      <c r="B207" s="18" t="s">
        <v>162</v>
      </c>
      <c r="C207" s="18" t="s">
        <v>68</v>
      </c>
      <c r="D207" s="45">
        <v>0</v>
      </c>
      <c r="E207" s="45">
        <v>0</v>
      </c>
      <c r="F207" s="45">
        <v>0</v>
      </c>
      <c r="G207" s="45">
        <v>0</v>
      </c>
      <c r="H207" s="45">
        <v>0</v>
      </c>
      <c r="I207" s="45">
        <v>0</v>
      </c>
      <c r="J207" s="45">
        <v>3.6</v>
      </c>
      <c r="K207" s="45">
        <v>3.2</v>
      </c>
      <c r="L207" s="45">
        <v>2.7</v>
      </c>
      <c r="M207" s="45">
        <v>2.7</v>
      </c>
      <c r="N207" s="45">
        <v>3.1</v>
      </c>
      <c r="O207" s="45">
        <v>4.4</v>
      </c>
      <c r="P207" s="45">
        <v>5.3</v>
      </c>
      <c r="Q207" s="45">
        <v>5.6</v>
      </c>
      <c r="R207" s="45">
        <v>5.5</v>
      </c>
      <c r="S207" s="45">
        <v>6.4</v>
      </c>
      <c r="T207" s="45">
        <v>4.4</v>
      </c>
      <c r="U207" s="45">
        <v>3.8</v>
      </c>
      <c r="V207" s="45">
        <v>2.7</v>
      </c>
      <c r="W207" s="45">
        <v>2.2</v>
      </c>
      <c r="X207" s="45">
        <v>2</v>
      </c>
      <c r="Y207" s="45">
        <v>2.6</v>
      </c>
      <c r="Z207" s="45">
        <v>3.1</v>
      </c>
      <c r="AA207" s="45">
        <v>2.3</v>
      </c>
      <c r="AB207" s="45">
        <v>2.9</v>
      </c>
      <c r="AC207" s="45">
        <v>4.2</v>
      </c>
      <c r="AD207" s="45">
        <v>4.7</v>
      </c>
      <c r="AE207" s="45">
        <v>4.6</v>
      </c>
      <c r="AF207" s="45">
        <v>4.1</v>
      </c>
      <c r="AG207" s="45">
        <v>4.7</v>
      </c>
      <c r="AH207" s="45">
        <v>4.9</v>
      </c>
      <c r="AI207" s="45">
        <v>4.7</v>
      </c>
      <c r="AJ207" s="45">
        <v>3.2</v>
      </c>
      <c r="AK207" s="45">
        <v>6.5</v>
      </c>
      <c r="AL207" s="45">
        <v>3.3</v>
      </c>
      <c r="AM207" s="45">
        <v>3</v>
      </c>
      <c r="AN207" s="45">
        <v>2.8</v>
      </c>
      <c r="AO207" s="45">
        <v>3.3</v>
      </c>
      <c r="AP207" s="45">
        <v>3.5</v>
      </c>
      <c r="AQ207" s="45">
        <v>5.1</v>
      </c>
      <c r="AR207" s="45">
        <v>2.9</v>
      </c>
      <c r="AS207" s="45">
        <v>0</v>
      </c>
      <c r="AT207" s="45">
        <v>0</v>
      </c>
      <c r="AU207" s="45">
        <v>0</v>
      </c>
      <c r="AV207" s="45">
        <v>0</v>
      </c>
      <c r="AW207" s="45">
        <v>0</v>
      </c>
      <c r="AX207" s="45">
        <v>0</v>
      </c>
      <c r="AY207" s="45">
        <v>0</v>
      </c>
      <c r="AZ207" s="45">
        <v>0</v>
      </c>
      <c r="BA207" s="45">
        <v>0</v>
      </c>
      <c r="BB207" s="45">
        <v>0</v>
      </c>
      <c r="BC207" s="45">
        <v>0</v>
      </c>
      <c r="BD207" s="45">
        <v>0</v>
      </c>
      <c r="BE207" s="45">
        <v>0</v>
      </c>
      <c r="BF207" s="45">
        <v>0</v>
      </c>
      <c r="BG207" s="45">
        <v>0</v>
      </c>
    </row>
    <row r="208" spans="1:59">
      <c r="A208" s="18" t="s">
        <v>164</v>
      </c>
      <c r="B208" s="18" t="s">
        <v>162</v>
      </c>
      <c r="C208" s="18" t="s">
        <v>70</v>
      </c>
      <c r="D208" s="45">
        <v>0</v>
      </c>
      <c r="E208" s="45">
        <v>0</v>
      </c>
      <c r="F208" s="45">
        <v>0</v>
      </c>
      <c r="G208" s="45">
        <v>0</v>
      </c>
      <c r="H208" s="45">
        <v>0</v>
      </c>
      <c r="I208" s="45">
        <v>0</v>
      </c>
      <c r="J208" s="45">
        <v>2.6</v>
      </c>
      <c r="K208" s="45">
        <v>2.2</v>
      </c>
      <c r="L208" s="45">
        <v>1.7</v>
      </c>
      <c r="M208" s="45">
        <v>2.5</v>
      </c>
      <c r="N208" s="45">
        <v>4.5</v>
      </c>
      <c r="O208" s="45">
        <v>3.6</v>
      </c>
      <c r="P208" s="45">
        <v>3.3</v>
      </c>
      <c r="Q208" s="45">
        <v>5.6</v>
      </c>
      <c r="R208" s="45">
        <v>6.2</v>
      </c>
      <c r="S208" s="45">
        <v>4.7</v>
      </c>
      <c r="T208" s="45">
        <v>4.1</v>
      </c>
      <c r="U208" s="45">
        <v>4.5</v>
      </c>
      <c r="V208" s="45">
        <v>5</v>
      </c>
      <c r="W208" s="45">
        <v>4.5</v>
      </c>
      <c r="X208" s="45">
        <v>3.1</v>
      </c>
      <c r="Y208" s="45">
        <v>2.7</v>
      </c>
      <c r="Z208" s="45">
        <v>3.2</v>
      </c>
      <c r="AA208" s="45">
        <v>1.8</v>
      </c>
      <c r="AB208" s="45">
        <v>2.7</v>
      </c>
      <c r="AC208" s="45">
        <v>2.7</v>
      </c>
      <c r="AD208" s="45">
        <v>4.4</v>
      </c>
      <c r="AE208" s="45">
        <v>6.7</v>
      </c>
      <c r="AF208" s="45">
        <v>6.6</v>
      </c>
      <c r="AG208" s="45">
        <v>6</v>
      </c>
      <c r="AH208" s="45">
        <v>5.5</v>
      </c>
      <c r="AI208" s="45">
        <v>4.8</v>
      </c>
      <c r="AJ208" s="45">
        <v>4.7</v>
      </c>
      <c r="AK208" s="45">
        <v>3.5</v>
      </c>
      <c r="AL208" s="45">
        <v>2.9</v>
      </c>
      <c r="AM208" s="45">
        <v>3.5</v>
      </c>
      <c r="AN208" s="45">
        <v>4.2</v>
      </c>
      <c r="AO208" s="45">
        <v>4.3</v>
      </c>
      <c r="AP208" s="45">
        <v>4.2</v>
      </c>
      <c r="AQ208" s="45">
        <v>5.6</v>
      </c>
      <c r="AR208" s="45">
        <v>2.9</v>
      </c>
      <c r="AS208" s="45">
        <v>0</v>
      </c>
      <c r="AT208" s="45">
        <v>0</v>
      </c>
      <c r="AU208" s="45">
        <v>0</v>
      </c>
      <c r="AV208" s="45">
        <v>0</v>
      </c>
      <c r="AW208" s="45">
        <v>0</v>
      </c>
      <c r="AX208" s="45">
        <v>0</v>
      </c>
      <c r="AY208" s="45">
        <v>0</v>
      </c>
      <c r="AZ208" s="45">
        <v>0</v>
      </c>
      <c r="BA208" s="45">
        <v>0</v>
      </c>
      <c r="BB208" s="45">
        <v>0</v>
      </c>
      <c r="BC208" s="45">
        <v>0</v>
      </c>
      <c r="BD208" s="45">
        <v>0</v>
      </c>
      <c r="BE208" s="45">
        <v>0</v>
      </c>
      <c r="BF208" s="45">
        <v>0</v>
      </c>
      <c r="BG208" s="45">
        <v>0</v>
      </c>
    </row>
    <row r="209" spans="1:59">
      <c r="A209" s="18" t="s">
        <v>165</v>
      </c>
      <c r="B209" s="18" t="s">
        <v>162</v>
      </c>
      <c r="C209" s="18" t="s">
        <v>72</v>
      </c>
      <c r="D209" s="45">
        <v>0</v>
      </c>
      <c r="E209" s="45">
        <v>0</v>
      </c>
      <c r="F209" s="45">
        <v>0</v>
      </c>
      <c r="G209" s="45">
        <v>0</v>
      </c>
      <c r="H209" s="45">
        <v>0</v>
      </c>
      <c r="I209" s="45">
        <v>0</v>
      </c>
      <c r="J209" s="45">
        <v>2.6</v>
      </c>
      <c r="K209" s="45">
        <v>1.2</v>
      </c>
      <c r="L209" s="45">
        <v>2.2</v>
      </c>
      <c r="M209" s="45">
        <v>3</v>
      </c>
      <c r="N209" s="45">
        <v>3.3</v>
      </c>
      <c r="O209" s="45">
        <v>4</v>
      </c>
      <c r="P209" s="45">
        <v>3.2</v>
      </c>
      <c r="Q209" s="45">
        <v>2.8</v>
      </c>
      <c r="R209" s="45">
        <v>4.7</v>
      </c>
      <c r="S209" s="45">
        <v>4.9</v>
      </c>
      <c r="T209" s="45">
        <v>3.9</v>
      </c>
      <c r="U209" s="45">
        <v>4.6</v>
      </c>
      <c r="V209" s="45">
        <v>5.3</v>
      </c>
      <c r="W209" s="45">
        <v>4.1</v>
      </c>
      <c r="X209" s="45">
        <v>2.5</v>
      </c>
      <c r="Y209" s="45">
        <v>1.4</v>
      </c>
      <c r="Z209" s="45">
        <v>2.1</v>
      </c>
      <c r="AA209" s="45">
        <v>2</v>
      </c>
      <c r="AB209" s="45">
        <v>2.2</v>
      </c>
      <c r="AC209" s="45">
        <v>3.2</v>
      </c>
      <c r="AD209" s="45">
        <v>5.2</v>
      </c>
      <c r="AE209" s="45">
        <v>5</v>
      </c>
      <c r="AF209" s="45">
        <v>3.6</v>
      </c>
      <c r="AG209" s="45">
        <v>3.3</v>
      </c>
      <c r="AH209" s="45">
        <v>2.3</v>
      </c>
      <c r="AI209" s="45">
        <v>2.8</v>
      </c>
      <c r="AJ209" s="45">
        <v>2.4</v>
      </c>
      <c r="AK209" s="45">
        <v>2.1</v>
      </c>
      <c r="AL209" s="45">
        <v>2.2</v>
      </c>
      <c r="AM209" s="45">
        <v>2</v>
      </c>
      <c r="AN209" s="45">
        <v>2.8</v>
      </c>
      <c r="AO209" s="45">
        <v>3</v>
      </c>
      <c r="AP209" s="45">
        <v>3.7</v>
      </c>
      <c r="AQ209" s="45">
        <v>2.1</v>
      </c>
      <c r="AR209" s="45">
        <v>2.8</v>
      </c>
      <c r="AS209" s="45">
        <v>0</v>
      </c>
      <c r="AT209" s="45">
        <v>0</v>
      </c>
      <c r="AU209" s="45">
        <v>0</v>
      </c>
      <c r="AV209" s="45">
        <v>0</v>
      </c>
      <c r="AW209" s="45">
        <v>0</v>
      </c>
      <c r="AX209" s="45">
        <v>0</v>
      </c>
      <c r="AY209" s="45">
        <v>0</v>
      </c>
      <c r="AZ209" s="45">
        <v>0</v>
      </c>
      <c r="BA209" s="45">
        <v>0</v>
      </c>
      <c r="BB209" s="45">
        <v>0</v>
      </c>
      <c r="BC209" s="45">
        <v>0</v>
      </c>
      <c r="BD209" s="45">
        <v>0</v>
      </c>
      <c r="BE209" s="45">
        <v>0</v>
      </c>
      <c r="BF209" s="45">
        <v>0</v>
      </c>
      <c r="BG209" s="45">
        <v>0</v>
      </c>
    </row>
    <row r="210" spans="1:59">
      <c r="A210" s="18" t="s">
        <v>166</v>
      </c>
      <c r="B210" s="18" t="s">
        <v>162</v>
      </c>
      <c r="C210" s="18" t="s">
        <v>74</v>
      </c>
      <c r="D210" s="45">
        <v>0</v>
      </c>
      <c r="E210" s="45">
        <v>0</v>
      </c>
      <c r="F210" s="45">
        <v>0</v>
      </c>
      <c r="G210" s="45">
        <v>0</v>
      </c>
      <c r="H210" s="45">
        <v>0</v>
      </c>
      <c r="I210" s="45">
        <v>0</v>
      </c>
      <c r="J210" s="45">
        <v>3.6</v>
      </c>
      <c r="K210" s="45">
        <v>2.8</v>
      </c>
      <c r="L210" s="45">
        <v>5.2</v>
      </c>
      <c r="M210" s="45">
        <v>4.9</v>
      </c>
      <c r="N210" s="45">
        <v>7.2</v>
      </c>
      <c r="O210" s="45">
        <v>8.199999999999999</v>
      </c>
      <c r="P210" s="45">
        <v>6.3</v>
      </c>
      <c r="Q210" s="45">
        <v>5.4</v>
      </c>
      <c r="R210" s="45">
        <v>6.1</v>
      </c>
      <c r="S210" s="45">
        <v>6.2</v>
      </c>
      <c r="T210" s="45">
        <v>5.4</v>
      </c>
      <c r="U210" s="45">
        <v>5.3</v>
      </c>
      <c r="V210" s="45">
        <v>4.8</v>
      </c>
      <c r="W210" s="45">
        <v>3.5</v>
      </c>
      <c r="X210" s="45">
        <v>2.6</v>
      </c>
      <c r="Y210" s="45">
        <v>1.9</v>
      </c>
      <c r="Z210" s="45">
        <v>3.1</v>
      </c>
      <c r="AA210" s="45">
        <v>3</v>
      </c>
      <c r="AB210" s="45">
        <v>2.2</v>
      </c>
      <c r="AC210" s="45">
        <v>3.7</v>
      </c>
      <c r="AD210" s="45">
        <v>4.9</v>
      </c>
      <c r="AE210" s="45">
        <v>4.3</v>
      </c>
      <c r="AF210" s="45">
        <v>5.8</v>
      </c>
      <c r="AG210" s="45">
        <v>5.6</v>
      </c>
      <c r="AH210" s="45">
        <v>5.3</v>
      </c>
      <c r="AI210" s="45">
        <v>4.5</v>
      </c>
      <c r="AJ210" s="45">
        <v>3.8</v>
      </c>
      <c r="AK210" s="45">
        <v>4.1</v>
      </c>
      <c r="AL210" s="45">
        <v>4.3</v>
      </c>
      <c r="AM210" s="45">
        <v>7.2</v>
      </c>
      <c r="AN210" s="45">
        <v>4.8</v>
      </c>
      <c r="AO210" s="45">
        <v>5</v>
      </c>
      <c r="AP210" s="45">
        <v>5.4</v>
      </c>
      <c r="AQ210" s="45">
        <v>4</v>
      </c>
      <c r="AR210" s="45">
        <v>2.6</v>
      </c>
      <c r="AS210" s="45">
        <v>0</v>
      </c>
      <c r="AT210" s="45">
        <v>0</v>
      </c>
      <c r="AU210" s="45">
        <v>0</v>
      </c>
      <c r="AV210" s="45">
        <v>0</v>
      </c>
      <c r="AW210" s="45">
        <v>0</v>
      </c>
      <c r="AX210" s="45">
        <v>0</v>
      </c>
      <c r="AY210" s="45">
        <v>0</v>
      </c>
      <c r="AZ210" s="45">
        <v>0</v>
      </c>
      <c r="BA210" s="45">
        <v>0</v>
      </c>
      <c r="BB210" s="45">
        <v>0</v>
      </c>
      <c r="BC210" s="45">
        <v>0</v>
      </c>
      <c r="BD210" s="45">
        <v>0</v>
      </c>
      <c r="BE210" s="45">
        <v>0</v>
      </c>
      <c r="BF210" s="45">
        <v>0</v>
      </c>
      <c r="BG210" s="45">
        <v>0</v>
      </c>
    </row>
    <row r="211" spans="1:59">
      <c r="A211" s="18" t="s">
        <v>167</v>
      </c>
      <c r="B211" s="18" t="s">
        <v>162</v>
      </c>
      <c r="C211" s="18" t="s">
        <v>76</v>
      </c>
      <c r="D211" s="45">
        <v>0</v>
      </c>
      <c r="E211" s="45">
        <v>0</v>
      </c>
      <c r="F211" s="45">
        <v>0</v>
      </c>
      <c r="G211" s="45">
        <v>0</v>
      </c>
      <c r="H211" s="45">
        <v>0</v>
      </c>
      <c r="I211" s="45">
        <v>0</v>
      </c>
      <c r="J211" s="45">
        <v>3.2</v>
      </c>
      <c r="K211" s="45">
        <v>2.1</v>
      </c>
      <c r="L211" s="45">
        <v>3.3</v>
      </c>
      <c r="M211" s="45">
        <v>3.5</v>
      </c>
      <c r="N211" s="45">
        <v>3.2</v>
      </c>
      <c r="O211" s="45">
        <v>2.6</v>
      </c>
      <c r="P211" s="45">
        <v>3</v>
      </c>
      <c r="Q211" s="45">
        <v>3.7</v>
      </c>
      <c r="R211" s="45">
        <v>5</v>
      </c>
      <c r="S211" s="45">
        <v>4.4</v>
      </c>
      <c r="T211" s="45">
        <v>4.1</v>
      </c>
      <c r="U211" s="45">
        <v>4</v>
      </c>
      <c r="V211" s="45">
        <v>2.7</v>
      </c>
      <c r="W211" s="45">
        <v>3.6</v>
      </c>
      <c r="X211" s="45">
        <v>2.6</v>
      </c>
      <c r="Y211" s="45">
        <v>2.1</v>
      </c>
      <c r="Z211" s="45">
        <v>1.8</v>
      </c>
      <c r="AA211" s="45">
        <v>2.1</v>
      </c>
      <c r="AB211" s="45">
        <v>2.3</v>
      </c>
      <c r="AC211" s="45">
        <v>3.6</v>
      </c>
      <c r="AD211" s="45">
        <v>3.8</v>
      </c>
      <c r="AE211" s="45">
        <v>3.2</v>
      </c>
      <c r="AF211" s="45">
        <v>3.5</v>
      </c>
      <c r="AG211" s="45">
        <v>3.3</v>
      </c>
      <c r="AH211" s="45">
        <v>3.5</v>
      </c>
      <c r="AI211" s="45">
        <v>3.4</v>
      </c>
      <c r="AJ211" s="45">
        <v>3.1</v>
      </c>
      <c r="AK211" s="45">
        <v>2.2</v>
      </c>
      <c r="AL211" s="45">
        <v>1.9</v>
      </c>
      <c r="AM211" s="45">
        <v>3.3</v>
      </c>
      <c r="AN211" s="45">
        <v>3.6</v>
      </c>
      <c r="AO211" s="45">
        <v>2.3</v>
      </c>
      <c r="AP211" s="45">
        <v>3.2</v>
      </c>
      <c r="AQ211" s="45">
        <v>3.2</v>
      </c>
      <c r="AR211" s="45">
        <v>1.9</v>
      </c>
      <c r="AS211" s="45">
        <v>0</v>
      </c>
      <c r="AT211" s="45">
        <v>0</v>
      </c>
      <c r="AU211" s="45">
        <v>0</v>
      </c>
      <c r="AV211" s="45">
        <v>0</v>
      </c>
      <c r="AW211" s="45">
        <v>0</v>
      </c>
      <c r="AX211" s="45">
        <v>0</v>
      </c>
      <c r="AY211" s="45">
        <v>0</v>
      </c>
      <c r="AZ211" s="45">
        <v>0</v>
      </c>
      <c r="BA211" s="45">
        <v>0</v>
      </c>
      <c r="BB211" s="45">
        <v>0</v>
      </c>
      <c r="BC211" s="45">
        <v>0</v>
      </c>
      <c r="BD211" s="45">
        <v>0</v>
      </c>
      <c r="BE211" s="45">
        <v>0</v>
      </c>
      <c r="BF211" s="45">
        <v>0</v>
      </c>
      <c r="BG211" s="45">
        <v>0</v>
      </c>
    </row>
    <row r="212" spans="1:59">
      <c r="A212" s="18" t="s">
        <v>168</v>
      </c>
      <c r="B212" s="18" t="s">
        <v>162</v>
      </c>
      <c r="C212" s="18" t="s">
        <v>78</v>
      </c>
      <c r="D212" s="45">
        <v>0</v>
      </c>
      <c r="E212" s="45">
        <v>0</v>
      </c>
      <c r="F212" s="45">
        <v>0</v>
      </c>
      <c r="G212" s="45">
        <v>0</v>
      </c>
      <c r="H212" s="45">
        <v>0</v>
      </c>
      <c r="I212" s="45">
        <v>0</v>
      </c>
      <c r="J212" s="45">
        <v>3.5</v>
      </c>
      <c r="K212" s="45">
        <v>2.1</v>
      </c>
      <c r="L212" s="45">
        <v>1.4</v>
      </c>
      <c r="M212" s="45">
        <v>2.1</v>
      </c>
      <c r="N212" s="45">
        <v>4.3</v>
      </c>
      <c r="O212" s="45">
        <v>4</v>
      </c>
      <c r="P212" s="45">
        <v>4.6</v>
      </c>
      <c r="Q212" s="45">
        <v>5.1</v>
      </c>
      <c r="R212" s="45">
        <v>5.9</v>
      </c>
      <c r="S212" s="45">
        <v>4.1</v>
      </c>
      <c r="T212" s="45">
        <v>3.7</v>
      </c>
      <c r="U212" s="45">
        <v>3.6</v>
      </c>
      <c r="V212" s="45">
        <v>2.9</v>
      </c>
      <c r="W212" s="45">
        <v>4</v>
      </c>
      <c r="X212" s="45">
        <v>4.7</v>
      </c>
      <c r="Y212" s="45">
        <v>5.5</v>
      </c>
      <c r="Z212" s="45">
        <v>3</v>
      </c>
      <c r="AA212" s="45">
        <v>1.9</v>
      </c>
      <c r="AB212" s="45">
        <v>2</v>
      </c>
      <c r="AC212" s="45">
        <v>2.6</v>
      </c>
      <c r="AD212" s="45">
        <v>5.3</v>
      </c>
      <c r="AE212" s="45">
        <v>4.5</v>
      </c>
      <c r="AF212" s="45">
        <v>5.1</v>
      </c>
      <c r="AG212" s="45">
        <v>3.5</v>
      </c>
      <c r="AH212" s="45">
        <v>4.2</v>
      </c>
      <c r="AI212" s="45">
        <v>3.8</v>
      </c>
      <c r="AJ212" s="45">
        <v>4.6</v>
      </c>
      <c r="AK212" s="45">
        <v>2.7</v>
      </c>
      <c r="AL212" s="45">
        <v>2.7</v>
      </c>
      <c r="AM212" s="45">
        <v>2.4</v>
      </c>
      <c r="AN212" s="45">
        <v>3.8</v>
      </c>
      <c r="AO212" s="45">
        <v>4</v>
      </c>
      <c r="AP212" s="45">
        <v>3.4</v>
      </c>
      <c r="AQ212" s="45">
        <v>3.2</v>
      </c>
      <c r="AR212" s="45">
        <v>1.8</v>
      </c>
      <c r="AS212" s="45">
        <v>0</v>
      </c>
      <c r="AT212" s="45">
        <v>0</v>
      </c>
      <c r="AU212" s="45">
        <v>0</v>
      </c>
      <c r="AV212" s="45">
        <v>0</v>
      </c>
      <c r="AW212" s="45">
        <v>0</v>
      </c>
      <c r="AX212" s="45">
        <v>0</v>
      </c>
      <c r="AY212" s="45">
        <v>0</v>
      </c>
      <c r="AZ212" s="45">
        <v>0</v>
      </c>
      <c r="BA212" s="45">
        <v>0</v>
      </c>
      <c r="BB212" s="45">
        <v>0</v>
      </c>
      <c r="BC212" s="45">
        <v>0</v>
      </c>
      <c r="BD212" s="45">
        <v>0</v>
      </c>
      <c r="BE212" s="45">
        <v>0</v>
      </c>
      <c r="BF212" s="45">
        <v>0</v>
      </c>
      <c r="BG212" s="45">
        <v>0</v>
      </c>
    </row>
    <row r="213" spans="1:59">
      <c r="A213" s="18" t="s">
        <v>169</v>
      </c>
      <c r="B213" s="18" t="s">
        <v>162</v>
      </c>
      <c r="C213" s="18" t="s">
        <v>80</v>
      </c>
      <c r="D213" s="45">
        <v>0</v>
      </c>
      <c r="E213" s="45">
        <v>0</v>
      </c>
      <c r="F213" s="45">
        <v>0</v>
      </c>
      <c r="G213" s="45">
        <v>0</v>
      </c>
      <c r="H213" s="45">
        <v>0</v>
      </c>
      <c r="I213" s="45">
        <v>0</v>
      </c>
      <c r="J213" s="45">
        <v>3.2</v>
      </c>
      <c r="K213" s="45">
        <v>1.5</v>
      </c>
      <c r="L213" s="45">
        <v>1.7</v>
      </c>
      <c r="M213" s="45">
        <v>1.9</v>
      </c>
      <c r="N213" s="45">
        <v>1.4</v>
      </c>
      <c r="O213" s="45">
        <v>2.3</v>
      </c>
      <c r="P213" s="45">
        <v>2.6</v>
      </c>
      <c r="Q213" s="45">
        <v>2.8</v>
      </c>
      <c r="R213" s="45">
        <v>2.9</v>
      </c>
      <c r="S213" s="45">
        <v>2.5</v>
      </c>
      <c r="T213" s="45">
        <v>2.7</v>
      </c>
      <c r="U213" s="45">
        <v>2.4</v>
      </c>
      <c r="V213" s="45">
        <v>2.6</v>
      </c>
      <c r="W213" s="45">
        <v>2.1</v>
      </c>
      <c r="X213" s="45">
        <v>2.4</v>
      </c>
      <c r="Y213" s="45">
        <v>1.8</v>
      </c>
      <c r="Z213" s="45">
        <v>2.4</v>
      </c>
      <c r="AA213" s="45">
        <v>2.4</v>
      </c>
      <c r="AB213" s="45">
        <v>1.6</v>
      </c>
      <c r="AC213" s="45">
        <v>2.4</v>
      </c>
      <c r="AD213" s="45">
        <v>2.7</v>
      </c>
      <c r="AE213" s="45">
        <v>1.7</v>
      </c>
      <c r="AF213" s="45">
        <v>2.3</v>
      </c>
      <c r="AG213" s="45">
        <v>2.2</v>
      </c>
      <c r="AH213" s="45">
        <v>1.8</v>
      </c>
      <c r="AI213" s="45">
        <v>3</v>
      </c>
      <c r="AJ213" s="45">
        <v>2</v>
      </c>
      <c r="AK213" s="45">
        <v>2</v>
      </c>
      <c r="AL213" s="45">
        <v>2.1</v>
      </c>
      <c r="AM213" s="45">
        <v>2</v>
      </c>
      <c r="AN213" s="45">
        <v>1.7</v>
      </c>
      <c r="AO213" s="45">
        <v>2.8</v>
      </c>
      <c r="AP213" s="45">
        <v>1.9</v>
      </c>
      <c r="AQ213" s="45">
        <v>2.5</v>
      </c>
      <c r="AR213" s="45">
        <v>1.8</v>
      </c>
      <c r="AS213" s="45">
        <v>0</v>
      </c>
      <c r="AT213" s="45">
        <v>0</v>
      </c>
      <c r="AU213" s="45">
        <v>0</v>
      </c>
      <c r="AV213" s="45">
        <v>0</v>
      </c>
      <c r="AW213" s="45">
        <v>0</v>
      </c>
      <c r="AX213" s="45">
        <v>0</v>
      </c>
      <c r="AY213" s="45">
        <v>0</v>
      </c>
      <c r="AZ213" s="45">
        <v>0</v>
      </c>
      <c r="BA213" s="45">
        <v>0</v>
      </c>
      <c r="BB213" s="45">
        <v>0</v>
      </c>
      <c r="BC213" s="45">
        <v>0</v>
      </c>
      <c r="BD213" s="45">
        <v>0</v>
      </c>
      <c r="BE213" s="45">
        <v>0</v>
      </c>
      <c r="BF213" s="45">
        <v>0</v>
      </c>
      <c r="BG213" s="45">
        <v>0</v>
      </c>
    </row>
    <row r="214" spans="1:59">
      <c r="A214" s="18" t="s">
        <v>170</v>
      </c>
      <c r="B214" s="18" t="s">
        <v>162</v>
      </c>
      <c r="C214" s="18" t="s">
        <v>82</v>
      </c>
      <c r="D214" s="45">
        <v>0</v>
      </c>
      <c r="E214" s="45">
        <v>0</v>
      </c>
      <c r="F214" s="45">
        <v>0</v>
      </c>
      <c r="G214" s="45">
        <v>0</v>
      </c>
      <c r="H214" s="45">
        <v>0</v>
      </c>
      <c r="I214" s="45">
        <v>0</v>
      </c>
      <c r="J214" s="45">
        <v>3.2</v>
      </c>
      <c r="K214" s="45">
        <v>1.5</v>
      </c>
      <c r="L214" s="45">
        <v>1.6</v>
      </c>
      <c r="M214" s="45">
        <v>2.2</v>
      </c>
      <c r="N214" s="45">
        <v>3.1</v>
      </c>
      <c r="O214" s="45">
        <v>3.5</v>
      </c>
      <c r="P214" s="45">
        <v>3.2</v>
      </c>
      <c r="Q214" s="45">
        <v>3.3</v>
      </c>
      <c r="R214" s="45">
        <v>3.5</v>
      </c>
      <c r="S214" s="45">
        <v>3.6</v>
      </c>
      <c r="T214" s="45">
        <v>3.7</v>
      </c>
      <c r="U214" s="45">
        <v>3</v>
      </c>
      <c r="V214" s="45">
        <v>3.2</v>
      </c>
      <c r="W214" s="45">
        <v>2.6</v>
      </c>
      <c r="X214" s="45">
        <v>2.4</v>
      </c>
      <c r="Y214" s="45">
        <v>2.4</v>
      </c>
      <c r="Z214" s="45">
        <v>3.2</v>
      </c>
      <c r="AA214" s="45">
        <v>2.4</v>
      </c>
      <c r="AB214" s="45">
        <v>2.3</v>
      </c>
      <c r="AC214" s="45">
        <v>2.6</v>
      </c>
      <c r="AD214" s="45">
        <v>2.3</v>
      </c>
      <c r="AE214" s="45">
        <v>2.5</v>
      </c>
      <c r="AF214" s="45">
        <v>3.3</v>
      </c>
      <c r="AG214" s="45">
        <v>3</v>
      </c>
      <c r="AH214" s="45">
        <v>3.6</v>
      </c>
      <c r="AI214" s="45">
        <v>3.5</v>
      </c>
      <c r="AJ214" s="45">
        <v>2.1</v>
      </c>
      <c r="AK214" s="45">
        <v>2.3</v>
      </c>
      <c r="AL214" s="45">
        <v>3.1</v>
      </c>
      <c r="AM214" s="45">
        <v>2.3</v>
      </c>
      <c r="AN214" s="45">
        <v>1.9</v>
      </c>
      <c r="AO214" s="45">
        <v>2.5</v>
      </c>
      <c r="AP214" s="45">
        <v>1.8</v>
      </c>
      <c r="AQ214" s="45">
        <v>1.8</v>
      </c>
      <c r="AR214" s="45">
        <v>2.1</v>
      </c>
      <c r="AS214" s="45">
        <v>0</v>
      </c>
      <c r="AT214" s="45">
        <v>0</v>
      </c>
      <c r="AU214" s="45">
        <v>0</v>
      </c>
      <c r="AV214" s="45">
        <v>0</v>
      </c>
      <c r="AW214" s="45">
        <v>0</v>
      </c>
      <c r="AX214" s="45">
        <v>0</v>
      </c>
      <c r="AY214" s="45">
        <v>0</v>
      </c>
      <c r="AZ214" s="45">
        <v>0</v>
      </c>
      <c r="BA214" s="45">
        <v>0</v>
      </c>
      <c r="BB214" s="45">
        <v>0</v>
      </c>
      <c r="BC214" s="45">
        <v>0</v>
      </c>
      <c r="BD214" s="45">
        <v>0</v>
      </c>
      <c r="BE214" s="45">
        <v>0</v>
      </c>
      <c r="BF214" s="45">
        <v>0</v>
      </c>
      <c r="BG214" s="45">
        <v>0</v>
      </c>
    </row>
    <row r="215" spans="1:59">
      <c r="A215" s="18" t="s">
        <v>171</v>
      </c>
      <c r="B215" s="18" t="s">
        <v>162</v>
      </c>
      <c r="C215" s="18" t="s">
        <v>84</v>
      </c>
      <c r="D215" s="45">
        <v>0</v>
      </c>
      <c r="E215" s="45">
        <v>0</v>
      </c>
      <c r="F215" s="45">
        <v>0</v>
      </c>
      <c r="G215" s="45">
        <v>0</v>
      </c>
      <c r="H215" s="45">
        <v>0</v>
      </c>
      <c r="I215" s="45">
        <v>0</v>
      </c>
      <c r="J215" s="45">
        <v>3.8</v>
      </c>
      <c r="K215" s="45">
        <v>0.8</v>
      </c>
      <c r="L215" s="45">
        <v>0.7</v>
      </c>
      <c r="M215" s="45">
        <v>1.2</v>
      </c>
      <c r="N215" s="45">
        <v>2.6</v>
      </c>
      <c r="O215" s="45">
        <v>3.2</v>
      </c>
      <c r="P215" s="45">
        <v>3.2</v>
      </c>
      <c r="Q215" s="45">
        <v>3.7</v>
      </c>
      <c r="R215" s="45">
        <v>4.2</v>
      </c>
      <c r="S215" s="45">
        <v>4.7</v>
      </c>
      <c r="T215" s="45">
        <v>4.2</v>
      </c>
      <c r="U215" s="45">
        <v>5</v>
      </c>
      <c r="V215" s="45">
        <v>3.1</v>
      </c>
      <c r="W215" s="45">
        <v>3.8</v>
      </c>
      <c r="X215" s="45">
        <v>2.7</v>
      </c>
      <c r="Y215" s="45">
        <v>3</v>
      </c>
      <c r="Z215" s="45">
        <v>2.2</v>
      </c>
      <c r="AA215" s="45">
        <v>2.9</v>
      </c>
      <c r="AB215" s="45">
        <v>2.1</v>
      </c>
      <c r="AC215" s="45">
        <v>2.7</v>
      </c>
      <c r="AD215" s="45">
        <v>3.9</v>
      </c>
      <c r="AE215" s="45">
        <v>4.2</v>
      </c>
      <c r="AF215" s="45">
        <v>5.5</v>
      </c>
      <c r="AG215" s="45">
        <v>5.2</v>
      </c>
      <c r="AH215" s="45">
        <v>5.4</v>
      </c>
      <c r="AI215" s="45">
        <v>4.7</v>
      </c>
      <c r="AJ215" s="45">
        <v>2.9</v>
      </c>
      <c r="AK215" s="45">
        <v>3.6</v>
      </c>
      <c r="AL215" s="45">
        <v>4</v>
      </c>
      <c r="AM215" s="45">
        <v>5.3</v>
      </c>
      <c r="AN215" s="45">
        <v>5</v>
      </c>
      <c r="AO215" s="45">
        <v>5.9</v>
      </c>
      <c r="AP215" s="45">
        <v>4</v>
      </c>
      <c r="AQ215" s="45">
        <v>3.4</v>
      </c>
      <c r="AR215" s="45">
        <v>1.7</v>
      </c>
      <c r="AS215" s="45">
        <v>0</v>
      </c>
      <c r="AT215" s="45">
        <v>0</v>
      </c>
      <c r="AU215" s="45">
        <v>0</v>
      </c>
      <c r="AV215" s="45">
        <v>0</v>
      </c>
      <c r="AW215" s="45">
        <v>0</v>
      </c>
      <c r="AX215" s="45">
        <v>0</v>
      </c>
      <c r="AY215" s="45">
        <v>0</v>
      </c>
      <c r="AZ215" s="45">
        <v>0</v>
      </c>
      <c r="BA215" s="45">
        <v>0</v>
      </c>
      <c r="BB215" s="45">
        <v>0</v>
      </c>
      <c r="BC215" s="45">
        <v>0</v>
      </c>
      <c r="BD215" s="45">
        <v>0</v>
      </c>
      <c r="BE215" s="45">
        <v>0</v>
      </c>
      <c r="BF215" s="45">
        <v>0</v>
      </c>
      <c r="BG215" s="45">
        <v>0</v>
      </c>
    </row>
    <row r="216" spans="1:59">
      <c r="A216" s="18" t="s">
        <v>172</v>
      </c>
      <c r="B216" s="18" t="s">
        <v>162</v>
      </c>
      <c r="C216" s="18" t="s">
        <v>86</v>
      </c>
      <c r="D216" s="45">
        <v>0</v>
      </c>
      <c r="E216" s="45">
        <v>0</v>
      </c>
      <c r="F216" s="45">
        <v>0</v>
      </c>
      <c r="G216" s="45">
        <v>0</v>
      </c>
      <c r="H216" s="45">
        <v>0</v>
      </c>
      <c r="I216" s="45">
        <v>0</v>
      </c>
      <c r="J216" s="45">
        <v>0</v>
      </c>
      <c r="K216" s="45">
        <v>0</v>
      </c>
      <c r="L216" s="45">
        <v>0.8</v>
      </c>
      <c r="M216" s="45">
        <v>5.1</v>
      </c>
      <c r="N216" s="45">
        <v>9.1</v>
      </c>
      <c r="O216" s="45">
        <v>6</v>
      </c>
      <c r="P216" s="45">
        <v>6.7</v>
      </c>
      <c r="Q216" s="45">
        <v>5.5</v>
      </c>
      <c r="R216" s="45">
        <v>3.7</v>
      </c>
      <c r="S216" s="45">
        <v>3.3</v>
      </c>
      <c r="T216" s="45">
        <v>7.1</v>
      </c>
      <c r="U216" s="45">
        <v>2.5</v>
      </c>
      <c r="V216" s="45">
        <v>4.5</v>
      </c>
      <c r="W216" s="45">
        <v>2.8</v>
      </c>
      <c r="X216" s="45">
        <v>2.5</v>
      </c>
      <c r="Y216" s="45">
        <v>0.8</v>
      </c>
      <c r="Z216" s="45">
        <v>1.8</v>
      </c>
      <c r="AA216" s="45">
        <v>1.5</v>
      </c>
      <c r="AB216" s="45">
        <v>1.6</v>
      </c>
      <c r="AC216" s="45">
        <v>1.8</v>
      </c>
      <c r="AD216" s="45">
        <v>1.7</v>
      </c>
      <c r="AE216" s="45">
        <v>2</v>
      </c>
      <c r="AF216" s="45">
        <v>9</v>
      </c>
      <c r="AG216" s="45">
        <v>3.4</v>
      </c>
      <c r="AH216" s="45">
        <v>4.2</v>
      </c>
      <c r="AI216" s="45">
        <v>4.2</v>
      </c>
      <c r="AJ216" s="45">
        <v>3</v>
      </c>
      <c r="AK216" s="45">
        <v>1.3</v>
      </c>
      <c r="AL216" s="45">
        <v>4</v>
      </c>
      <c r="AM216" s="45">
        <v>2.8</v>
      </c>
      <c r="AN216" s="45">
        <v>9.699999999999999</v>
      </c>
      <c r="AO216" s="45">
        <v>4.8</v>
      </c>
      <c r="AP216" s="45">
        <v>3.2</v>
      </c>
      <c r="AQ216" s="45">
        <v>5.9</v>
      </c>
      <c r="AR216" s="45">
        <v>0</v>
      </c>
      <c r="AS216" s="45">
        <v>0</v>
      </c>
      <c r="AT216" s="45">
        <v>0</v>
      </c>
      <c r="AU216" s="45">
        <v>0</v>
      </c>
      <c r="AV216" s="45">
        <v>0</v>
      </c>
      <c r="AW216" s="45">
        <v>0</v>
      </c>
      <c r="AX216" s="45">
        <v>0</v>
      </c>
      <c r="AY216" s="45">
        <v>0</v>
      </c>
      <c r="AZ216" s="45">
        <v>0</v>
      </c>
      <c r="BA216" s="45">
        <v>0</v>
      </c>
      <c r="BB216" s="45">
        <v>0</v>
      </c>
      <c r="BC216" s="45">
        <v>0</v>
      </c>
      <c r="BD216" s="45">
        <v>0</v>
      </c>
      <c r="BE216" s="45">
        <v>0</v>
      </c>
      <c r="BF216" s="45">
        <v>0</v>
      </c>
      <c r="BG216" s="45">
        <v>0</v>
      </c>
    </row>
    <row r="217" spans="1:59">
      <c r="A217" s="18" t="s">
        <v>173</v>
      </c>
      <c r="B217" s="18" t="s">
        <v>162</v>
      </c>
      <c r="C217" s="18" t="s">
        <v>88</v>
      </c>
      <c r="D217" s="45">
        <v>0</v>
      </c>
      <c r="E217" s="45">
        <v>0</v>
      </c>
      <c r="F217" s="45">
        <v>0</v>
      </c>
      <c r="G217" s="45">
        <v>0</v>
      </c>
      <c r="H217" s="45">
        <v>0</v>
      </c>
      <c r="I217" s="45">
        <v>4</v>
      </c>
      <c r="J217" s="45">
        <v>1.3</v>
      </c>
      <c r="K217" s="45">
        <v>1.3</v>
      </c>
      <c r="L217" s="45">
        <v>1.7</v>
      </c>
      <c r="M217" s="45">
        <v>2.4</v>
      </c>
      <c r="N217" s="45">
        <v>2.8</v>
      </c>
      <c r="O217" s="45">
        <v>3</v>
      </c>
      <c r="P217" s="45">
        <v>3.9</v>
      </c>
      <c r="Q217" s="45">
        <v>3.6</v>
      </c>
      <c r="R217" s="45">
        <v>3.2</v>
      </c>
      <c r="S217" s="45">
        <v>3</v>
      </c>
      <c r="T217" s="45">
        <v>4</v>
      </c>
      <c r="U217" s="45">
        <v>4.5</v>
      </c>
      <c r="V217" s="45">
        <v>5.1</v>
      </c>
      <c r="W217" s="45">
        <v>4.1</v>
      </c>
      <c r="X217" s="45">
        <v>3.7</v>
      </c>
      <c r="Y217" s="45">
        <v>3.6</v>
      </c>
      <c r="Z217" s="45">
        <v>2.7</v>
      </c>
      <c r="AA217" s="45">
        <v>2</v>
      </c>
      <c r="AB217" s="45">
        <v>3</v>
      </c>
      <c r="AC217" s="45">
        <v>5.7</v>
      </c>
      <c r="AD217" s="45">
        <v>3.8</v>
      </c>
      <c r="AE217" s="45">
        <v>3.8</v>
      </c>
      <c r="AF217" s="45">
        <v>3.3</v>
      </c>
      <c r="AG217" s="45">
        <v>2.9</v>
      </c>
      <c r="AH217" s="45">
        <v>3.2</v>
      </c>
      <c r="AI217" s="45">
        <v>2.4</v>
      </c>
      <c r="AJ217" s="45">
        <v>4.5</v>
      </c>
      <c r="AK217" s="45">
        <v>3.9</v>
      </c>
      <c r="AL217" s="45">
        <v>3.7</v>
      </c>
      <c r="AM217" s="45">
        <v>3.2</v>
      </c>
      <c r="AN217" s="45">
        <v>3.7</v>
      </c>
      <c r="AO217" s="45">
        <v>4.8</v>
      </c>
      <c r="AP217" s="45">
        <v>4.4</v>
      </c>
      <c r="AQ217" s="45">
        <v>3.1</v>
      </c>
      <c r="AR217" s="45">
        <v>2.4</v>
      </c>
      <c r="AS217" s="45">
        <v>0</v>
      </c>
      <c r="AT217" s="45">
        <v>0</v>
      </c>
      <c r="AU217" s="45">
        <v>0</v>
      </c>
      <c r="AV217" s="45">
        <v>0</v>
      </c>
      <c r="AW217" s="45">
        <v>0</v>
      </c>
      <c r="AX217" s="45">
        <v>0</v>
      </c>
      <c r="AY217" s="45">
        <v>0</v>
      </c>
      <c r="AZ217" s="45">
        <v>0</v>
      </c>
      <c r="BA217" s="45">
        <v>0</v>
      </c>
      <c r="BB217" s="45">
        <v>0</v>
      </c>
      <c r="BC217" s="45">
        <v>0</v>
      </c>
      <c r="BD217" s="45">
        <v>0</v>
      </c>
      <c r="BE217" s="45">
        <v>0</v>
      </c>
      <c r="BF217" s="45">
        <v>0</v>
      </c>
      <c r="BG217" s="45">
        <v>0</v>
      </c>
    </row>
    <row r="218" spans="1:59">
      <c r="A218" s="18" t="s">
        <v>174</v>
      </c>
      <c r="B218" s="18" t="s">
        <v>162</v>
      </c>
      <c r="C218" s="18" t="s">
        <v>90</v>
      </c>
      <c r="D218" s="45">
        <v>0</v>
      </c>
      <c r="E218" s="45">
        <v>0</v>
      </c>
      <c r="F218" s="45">
        <v>0</v>
      </c>
      <c r="G218" s="45">
        <v>0</v>
      </c>
      <c r="H218" s="45">
        <v>0</v>
      </c>
      <c r="I218" s="45">
        <v>4.8</v>
      </c>
      <c r="J218" s="45">
        <v>1.4</v>
      </c>
      <c r="K218" s="45">
        <v>1.3</v>
      </c>
      <c r="L218" s="45">
        <v>1.4</v>
      </c>
      <c r="M218" s="45">
        <v>2.5</v>
      </c>
      <c r="N218" s="45">
        <v>1.8</v>
      </c>
      <c r="O218" s="45">
        <v>2.4</v>
      </c>
      <c r="P218" s="45">
        <v>3.9</v>
      </c>
      <c r="Q218" s="45">
        <v>3.3</v>
      </c>
      <c r="R218" s="45">
        <v>4.4</v>
      </c>
      <c r="S218" s="45">
        <v>4.6</v>
      </c>
      <c r="T218" s="45">
        <v>4.2</v>
      </c>
      <c r="U218" s="45">
        <v>3.7</v>
      </c>
      <c r="V218" s="45">
        <v>3</v>
      </c>
      <c r="W218" s="45">
        <v>2.7</v>
      </c>
      <c r="X218" s="45">
        <v>2.9</v>
      </c>
      <c r="Y218" s="45">
        <v>2.6</v>
      </c>
      <c r="Z218" s="45">
        <v>2.4</v>
      </c>
      <c r="AA218" s="45">
        <v>1.8</v>
      </c>
      <c r="AB218" s="45">
        <v>1.9</v>
      </c>
      <c r="AC218" s="45">
        <v>2.8</v>
      </c>
      <c r="AD218" s="45">
        <v>2.4</v>
      </c>
      <c r="AE218" s="45">
        <v>3.1</v>
      </c>
      <c r="AF218" s="45">
        <v>3.1</v>
      </c>
      <c r="AG218" s="45">
        <v>3.4</v>
      </c>
      <c r="AH218" s="45">
        <v>4.2</v>
      </c>
      <c r="AI218" s="45">
        <v>4</v>
      </c>
      <c r="AJ218" s="45">
        <v>3.4</v>
      </c>
      <c r="AK218" s="45">
        <v>3.2</v>
      </c>
      <c r="AL218" s="45">
        <v>2.5</v>
      </c>
      <c r="AM218" s="45">
        <v>3.2</v>
      </c>
      <c r="AN218" s="45">
        <v>3.2</v>
      </c>
      <c r="AO218" s="45">
        <v>2.4</v>
      </c>
      <c r="AP218" s="45">
        <v>3.1</v>
      </c>
      <c r="AQ218" s="45">
        <v>3.3</v>
      </c>
      <c r="AR218" s="45">
        <v>1.4</v>
      </c>
      <c r="AS218" s="45">
        <v>0</v>
      </c>
      <c r="AT218" s="45">
        <v>0</v>
      </c>
      <c r="AU218" s="45">
        <v>0</v>
      </c>
      <c r="AV218" s="45">
        <v>0</v>
      </c>
      <c r="AW218" s="45">
        <v>0</v>
      </c>
      <c r="AX218" s="45">
        <v>0</v>
      </c>
      <c r="AY218" s="45">
        <v>0</v>
      </c>
      <c r="AZ218" s="45">
        <v>0</v>
      </c>
      <c r="BA218" s="45">
        <v>0</v>
      </c>
      <c r="BB218" s="45">
        <v>0</v>
      </c>
      <c r="BC218" s="45">
        <v>0</v>
      </c>
      <c r="BD218" s="45">
        <v>0</v>
      </c>
      <c r="BE218" s="45">
        <v>0</v>
      </c>
      <c r="BF218" s="45">
        <v>0</v>
      </c>
      <c r="BG218" s="45">
        <v>0</v>
      </c>
    </row>
    <row r="219" spans="1:59">
      <c r="A219" s="18" t="s">
        <v>175</v>
      </c>
      <c r="B219" s="18" t="s">
        <v>176</v>
      </c>
      <c r="C219" s="18" t="s">
        <v>66</v>
      </c>
      <c r="D219" s="45">
        <v>0</v>
      </c>
      <c r="E219" s="45">
        <v>0</v>
      </c>
      <c r="F219" s="45">
        <v>0</v>
      </c>
      <c r="G219" s="45">
        <v>0</v>
      </c>
      <c r="H219" s="45">
        <v>0</v>
      </c>
      <c r="I219" s="45">
        <v>4.5</v>
      </c>
      <c r="J219" s="45">
        <v>1</v>
      </c>
      <c r="K219" s="45">
        <v>1.5</v>
      </c>
      <c r="L219" s="45">
        <v>1.5</v>
      </c>
      <c r="M219" s="45">
        <v>1.8</v>
      </c>
      <c r="N219" s="45">
        <v>2.3</v>
      </c>
      <c r="O219" s="45">
        <v>3.2</v>
      </c>
      <c r="P219" s="45">
        <v>2.8</v>
      </c>
      <c r="Q219" s="45">
        <v>2.4</v>
      </c>
      <c r="R219" s="45">
        <v>2.7</v>
      </c>
      <c r="S219" s="45">
        <v>2.9</v>
      </c>
      <c r="T219" s="45">
        <v>2.8</v>
      </c>
      <c r="U219" s="45">
        <v>2.5</v>
      </c>
      <c r="V219" s="45">
        <v>2.5</v>
      </c>
      <c r="W219" s="45">
        <v>2.1</v>
      </c>
      <c r="X219" s="45">
        <v>3.1</v>
      </c>
      <c r="Y219" s="45">
        <v>2.9</v>
      </c>
      <c r="Z219" s="45">
        <v>2.2</v>
      </c>
      <c r="AA219" s="45">
        <v>1.5</v>
      </c>
      <c r="AB219" s="45">
        <v>2.3</v>
      </c>
      <c r="AC219" s="45">
        <v>2.6</v>
      </c>
      <c r="AD219" s="45">
        <v>3.7</v>
      </c>
      <c r="AE219" s="45">
        <v>2.3</v>
      </c>
      <c r="AF219" s="45">
        <v>2.4</v>
      </c>
      <c r="AG219" s="45">
        <v>2.3</v>
      </c>
      <c r="AH219" s="45">
        <v>2.1</v>
      </c>
      <c r="AI219" s="45">
        <v>2.2</v>
      </c>
      <c r="AJ219" s="45">
        <v>2.1</v>
      </c>
      <c r="AK219" s="45">
        <v>2</v>
      </c>
      <c r="AL219" s="45">
        <v>2</v>
      </c>
      <c r="AM219" s="45">
        <v>2.2</v>
      </c>
      <c r="AN219" s="45">
        <v>2.9</v>
      </c>
      <c r="AO219" s="45">
        <v>1.9</v>
      </c>
      <c r="AP219" s="45">
        <v>2.1</v>
      </c>
      <c r="AQ219" s="45">
        <v>2.1</v>
      </c>
      <c r="AR219" s="45">
        <v>1.1</v>
      </c>
      <c r="AS219" s="45">
        <v>0</v>
      </c>
      <c r="AT219" s="45">
        <v>0</v>
      </c>
      <c r="AU219" s="45">
        <v>0</v>
      </c>
      <c r="AV219" s="45">
        <v>0</v>
      </c>
      <c r="AW219" s="45">
        <v>0</v>
      </c>
      <c r="AX219" s="45">
        <v>0</v>
      </c>
      <c r="AY219" s="45">
        <v>0</v>
      </c>
      <c r="AZ219" s="45">
        <v>0</v>
      </c>
      <c r="BA219" s="45">
        <v>0</v>
      </c>
      <c r="BB219" s="45">
        <v>0</v>
      </c>
      <c r="BC219" s="45">
        <v>0</v>
      </c>
      <c r="BD219" s="45">
        <v>0</v>
      </c>
      <c r="BE219" s="45">
        <v>0</v>
      </c>
      <c r="BF219" s="45">
        <v>0</v>
      </c>
      <c r="BG219" s="45">
        <v>0</v>
      </c>
    </row>
    <row r="220" spans="1:59">
      <c r="A220" s="18" t="s">
        <v>177</v>
      </c>
      <c r="B220" s="18" t="s">
        <v>176</v>
      </c>
      <c r="C220" s="18" t="s">
        <v>68</v>
      </c>
      <c r="D220" s="45">
        <v>0</v>
      </c>
      <c r="E220" s="45">
        <v>0</v>
      </c>
      <c r="F220" s="45">
        <v>0</v>
      </c>
      <c r="G220" s="45">
        <v>0</v>
      </c>
      <c r="H220" s="45">
        <v>0</v>
      </c>
      <c r="I220" s="45">
        <v>0</v>
      </c>
      <c r="J220" s="45">
        <v>1.6</v>
      </c>
      <c r="K220" s="45">
        <v>1.8</v>
      </c>
      <c r="L220" s="45">
        <v>1.6</v>
      </c>
      <c r="M220" s="45">
        <v>2.1</v>
      </c>
      <c r="N220" s="45">
        <v>2.9</v>
      </c>
      <c r="O220" s="45">
        <v>2</v>
      </c>
      <c r="P220" s="45">
        <v>2.9</v>
      </c>
      <c r="Q220" s="45">
        <v>2.7</v>
      </c>
      <c r="R220" s="45">
        <v>2.8</v>
      </c>
      <c r="S220" s="45">
        <v>3.3</v>
      </c>
      <c r="T220" s="45">
        <v>3.3</v>
      </c>
      <c r="U220" s="45">
        <v>3.1</v>
      </c>
      <c r="V220" s="45">
        <v>2.8</v>
      </c>
      <c r="W220" s="45">
        <v>3.1</v>
      </c>
      <c r="X220" s="45">
        <v>4.8</v>
      </c>
      <c r="Y220" s="45">
        <v>4.7</v>
      </c>
      <c r="Z220" s="45">
        <v>4.2</v>
      </c>
      <c r="AA220" s="45">
        <v>2.7</v>
      </c>
      <c r="AB220" s="45">
        <v>2.6</v>
      </c>
      <c r="AC220" s="45">
        <v>2.6</v>
      </c>
      <c r="AD220" s="45">
        <v>2</v>
      </c>
      <c r="AE220" s="45">
        <v>2.2</v>
      </c>
      <c r="AF220" s="45">
        <v>2.1</v>
      </c>
      <c r="AG220" s="45">
        <v>2.1</v>
      </c>
      <c r="AH220" s="45">
        <v>1.1</v>
      </c>
      <c r="AI220" s="45">
        <v>1.7</v>
      </c>
      <c r="AJ220" s="45">
        <v>1.4</v>
      </c>
      <c r="AK220" s="45">
        <v>1.7</v>
      </c>
      <c r="AL220" s="45">
        <v>2</v>
      </c>
      <c r="AM220" s="45">
        <v>2</v>
      </c>
      <c r="AN220" s="45">
        <v>2.5</v>
      </c>
      <c r="AO220" s="45">
        <v>2.2</v>
      </c>
      <c r="AP220" s="45">
        <v>3.4</v>
      </c>
      <c r="AQ220" s="45">
        <v>2.5</v>
      </c>
      <c r="AR220" s="45">
        <v>0.6</v>
      </c>
      <c r="AS220" s="45">
        <v>0</v>
      </c>
      <c r="AT220" s="45">
        <v>0</v>
      </c>
      <c r="AU220" s="45">
        <v>0</v>
      </c>
      <c r="AV220" s="45">
        <v>0</v>
      </c>
      <c r="AW220" s="45">
        <v>0</v>
      </c>
      <c r="AX220" s="45">
        <v>0</v>
      </c>
      <c r="AY220" s="45">
        <v>0</v>
      </c>
      <c r="AZ220" s="45">
        <v>0</v>
      </c>
      <c r="BA220" s="45">
        <v>0</v>
      </c>
      <c r="BB220" s="45">
        <v>0</v>
      </c>
      <c r="BC220" s="45">
        <v>0</v>
      </c>
      <c r="BD220" s="45">
        <v>0</v>
      </c>
      <c r="BE220" s="45">
        <v>0</v>
      </c>
      <c r="BF220" s="45">
        <v>0</v>
      </c>
      <c r="BG220" s="45">
        <v>0</v>
      </c>
    </row>
    <row r="221" spans="1:59">
      <c r="A221" s="18" t="s">
        <v>178</v>
      </c>
      <c r="B221" s="18" t="s">
        <v>176</v>
      </c>
      <c r="C221" s="18" t="s">
        <v>70</v>
      </c>
      <c r="D221" s="45">
        <v>0</v>
      </c>
      <c r="E221" s="45">
        <v>0</v>
      </c>
      <c r="F221" s="45">
        <v>0</v>
      </c>
      <c r="G221" s="45">
        <v>0</v>
      </c>
      <c r="H221" s="45">
        <v>0</v>
      </c>
      <c r="I221" s="45">
        <v>0</v>
      </c>
      <c r="J221" s="45">
        <v>1.8</v>
      </c>
      <c r="K221" s="45">
        <v>2.5</v>
      </c>
      <c r="L221" s="45">
        <v>2.1</v>
      </c>
      <c r="M221" s="45">
        <v>3</v>
      </c>
      <c r="N221" s="45">
        <v>3.1</v>
      </c>
      <c r="O221" s="45">
        <v>2.3</v>
      </c>
      <c r="P221" s="45">
        <v>2.9</v>
      </c>
      <c r="Q221" s="45">
        <v>2.8</v>
      </c>
      <c r="R221" s="45">
        <v>3.8</v>
      </c>
      <c r="S221" s="45">
        <v>3.2</v>
      </c>
      <c r="T221" s="45">
        <v>2.3</v>
      </c>
      <c r="U221" s="45">
        <v>3.2</v>
      </c>
      <c r="V221" s="45">
        <v>2</v>
      </c>
      <c r="W221" s="45">
        <v>2.4</v>
      </c>
      <c r="X221" s="45">
        <v>3.3</v>
      </c>
      <c r="Y221" s="45">
        <v>4</v>
      </c>
      <c r="Z221" s="45">
        <v>2.4</v>
      </c>
      <c r="AA221" s="45">
        <v>1.5</v>
      </c>
      <c r="AB221" s="45">
        <v>2.7</v>
      </c>
      <c r="AC221" s="45">
        <v>1.5</v>
      </c>
      <c r="AD221" s="45">
        <v>2.5</v>
      </c>
      <c r="AE221" s="45">
        <v>2.7</v>
      </c>
      <c r="AF221" s="45">
        <v>3.2</v>
      </c>
      <c r="AG221" s="45">
        <v>2.6</v>
      </c>
      <c r="AH221" s="45">
        <v>3</v>
      </c>
      <c r="AI221" s="45">
        <v>2.2</v>
      </c>
      <c r="AJ221" s="45">
        <v>2.2</v>
      </c>
      <c r="AK221" s="45">
        <v>2.4</v>
      </c>
      <c r="AL221" s="45">
        <v>2.1</v>
      </c>
      <c r="AM221" s="45">
        <v>2.2</v>
      </c>
      <c r="AN221" s="45">
        <v>2.1</v>
      </c>
      <c r="AO221" s="45">
        <v>1.4</v>
      </c>
      <c r="AP221" s="45">
        <v>1.7</v>
      </c>
      <c r="AQ221" s="45">
        <v>1.4</v>
      </c>
      <c r="AR221" s="45">
        <v>0.6</v>
      </c>
      <c r="AS221" s="45">
        <v>0</v>
      </c>
      <c r="AT221" s="45">
        <v>0</v>
      </c>
      <c r="AU221" s="45">
        <v>0</v>
      </c>
      <c r="AV221" s="45">
        <v>0</v>
      </c>
      <c r="AW221" s="45">
        <v>0</v>
      </c>
      <c r="AX221" s="45">
        <v>0</v>
      </c>
      <c r="AY221" s="45">
        <v>0</v>
      </c>
      <c r="AZ221" s="45">
        <v>0</v>
      </c>
      <c r="BA221" s="45">
        <v>0</v>
      </c>
      <c r="BB221" s="45">
        <v>0</v>
      </c>
      <c r="BC221" s="45">
        <v>0</v>
      </c>
      <c r="BD221" s="45">
        <v>0</v>
      </c>
      <c r="BE221" s="45">
        <v>0</v>
      </c>
      <c r="BF221" s="45">
        <v>0</v>
      </c>
      <c r="BG221" s="45">
        <v>0</v>
      </c>
    </row>
    <row r="222" spans="1:59">
      <c r="A222" s="18" t="s">
        <v>179</v>
      </c>
      <c r="B222" s="18" t="s">
        <v>176</v>
      </c>
      <c r="C222" s="18" t="s">
        <v>72</v>
      </c>
      <c r="D222" s="45">
        <v>0</v>
      </c>
      <c r="E222" s="45">
        <v>0</v>
      </c>
      <c r="F222" s="45">
        <v>0</v>
      </c>
      <c r="G222" s="45">
        <v>0</v>
      </c>
      <c r="H222" s="45">
        <v>0</v>
      </c>
      <c r="I222" s="45">
        <v>0</v>
      </c>
      <c r="J222" s="45">
        <v>0.7</v>
      </c>
      <c r="K222" s="45">
        <v>0.9</v>
      </c>
      <c r="L222" s="45">
        <v>1.2</v>
      </c>
      <c r="M222" s="45">
        <v>1.8</v>
      </c>
      <c r="N222" s="45">
        <v>1.9</v>
      </c>
      <c r="O222" s="45">
        <v>2.6</v>
      </c>
      <c r="P222" s="45">
        <v>2</v>
      </c>
      <c r="Q222" s="45">
        <v>2.1</v>
      </c>
      <c r="R222" s="45">
        <v>2</v>
      </c>
      <c r="S222" s="45">
        <v>1.6</v>
      </c>
      <c r="T222" s="45">
        <v>1.7</v>
      </c>
      <c r="U222" s="45">
        <v>2.1</v>
      </c>
      <c r="V222" s="45">
        <v>1.7</v>
      </c>
      <c r="W222" s="45">
        <v>2.6</v>
      </c>
      <c r="X222" s="45">
        <v>2.4</v>
      </c>
      <c r="Y222" s="45">
        <v>2</v>
      </c>
      <c r="Z222" s="45">
        <v>2.7</v>
      </c>
      <c r="AA222" s="45">
        <v>1.7</v>
      </c>
      <c r="AB222" s="45">
        <v>2.4</v>
      </c>
      <c r="AC222" s="45">
        <v>2.7</v>
      </c>
      <c r="AD222" s="45">
        <v>3.1</v>
      </c>
      <c r="AE222" s="45">
        <v>2.2</v>
      </c>
      <c r="AF222" s="45">
        <v>2.5</v>
      </c>
      <c r="AG222" s="45">
        <v>2.1</v>
      </c>
      <c r="AH222" s="45">
        <v>1.7</v>
      </c>
      <c r="AI222" s="45">
        <v>1.5</v>
      </c>
      <c r="AJ222" s="45">
        <v>1.3</v>
      </c>
      <c r="AK222" s="45">
        <v>1.3</v>
      </c>
      <c r="AL222" s="45">
        <v>2.1</v>
      </c>
      <c r="AM222" s="45">
        <v>1.2</v>
      </c>
      <c r="AN222" s="45">
        <v>1.4</v>
      </c>
      <c r="AO222" s="45">
        <v>1.2</v>
      </c>
      <c r="AP222" s="45">
        <v>1.1</v>
      </c>
      <c r="AQ222" s="45">
        <v>1.8</v>
      </c>
      <c r="AR222" s="45">
        <v>0.4</v>
      </c>
      <c r="AS222" s="45">
        <v>0</v>
      </c>
      <c r="AT222" s="45">
        <v>0</v>
      </c>
      <c r="AU222" s="45">
        <v>0</v>
      </c>
      <c r="AV222" s="45">
        <v>0</v>
      </c>
      <c r="AW222" s="45">
        <v>0</v>
      </c>
      <c r="AX222" s="45">
        <v>0</v>
      </c>
      <c r="AY222" s="45">
        <v>0</v>
      </c>
      <c r="AZ222" s="45">
        <v>0</v>
      </c>
      <c r="BA222" s="45">
        <v>0</v>
      </c>
      <c r="BB222" s="45">
        <v>0</v>
      </c>
      <c r="BC222" s="45">
        <v>0</v>
      </c>
      <c r="BD222" s="45">
        <v>0</v>
      </c>
      <c r="BE222" s="45">
        <v>0</v>
      </c>
      <c r="BF222" s="45">
        <v>0</v>
      </c>
      <c r="BG222" s="45">
        <v>0</v>
      </c>
    </row>
    <row r="223" spans="1:59">
      <c r="A223" s="18" t="s">
        <v>180</v>
      </c>
      <c r="B223" s="18" t="s">
        <v>176</v>
      </c>
      <c r="C223" s="18" t="s">
        <v>74</v>
      </c>
      <c r="D223" s="45">
        <v>0</v>
      </c>
      <c r="E223" s="45">
        <v>0</v>
      </c>
      <c r="F223" s="45">
        <v>0</v>
      </c>
      <c r="G223" s="45">
        <v>0</v>
      </c>
      <c r="H223" s="45">
        <v>0</v>
      </c>
      <c r="I223" s="45">
        <v>7.7</v>
      </c>
      <c r="J223" s="45">
        <v>0.8</v>
      </c>
      <c r="K223" s="45">
        <v>1.6</v>
      </c>
      <c r="L223" s="45">
        <v>1.3</v>
      </c>
      <c r="M223" s="45">
        <v>2.3</v>
      </c>
      <c r="N223" s="45">
        <v>1.9</v>
      </c>
      <c r="O223" s="45">
        <v>4</v>
      </c>
      <c r="P223" s="45">
        <v>4.1</v>
      </c>
      <c r="Q223" s="45">
        <v>3</v>
      </c>
      <c r="R223" s="45">
        <v>3.9</v>
      </c>
      <c r="S223" s="45">
        <v>1.8</v>
      </c>
      <c r="T223" s="45">
        <v>2.9</v>
      </c>
      <c r="U223" s="45">
        <v>2.5</v>
      </c>
      <c r="V223" s="45">
        <v>1.6</v>
      </c>
      <c r="W223" s="45">
        <v>1.5</v>
      </c>
      <c r="X223" s="45">
        <v>3.6</v>
      </c>
      <c r="Y223" s="45">
        <v>3.6</v>
      </c>
      <c r="Z223" s="45">
        <v>3</v>
      </c>
      <c r="AA223" s="45">
        <v>0.6</v>
      </c>
      <c r="AB223" s="45">
        <v>1.1</v>
      </c>
      <c r="AC223" s="45">
        <v>2.5</v>
      </c>
      <c r="AD223" s="45">
        <v>2.3</v>
      </c>
      <c r="AE223" s="45">
        <v>1.6</v>
      </c>
      <c r="AF223" s="45">
        <v>1.4</v>
      </c>
      <c r="AG223" s="45">
        <v>1.2</v>
      </c>
      <c r="AH223" s="45">
        <v>1.5</v>
      </c>
      <c r="AI223" s="45">
        <v>2</v>
      </c>
      <c r="AJ223" s="45">
        <v>1.3</v>
      </c>
      <c r="AK223" s="45">
        <v>2.1</v>
      </c>
      <c r="AL223" s="45">
        <v>1.7</v>
      </c>
      <c r="AM223" s="45">
        <v>2.4</v>
      </c>
      <c r="AN223" s="45">
        <v>1.6</v>
      </c>
      <c r="AO223" s="45">
        <v>1.1</v>
      </c>
      <c r="AP223" s="45">
        <v>0.9</v>
      </c>
      <c r="AQ223" s="45">
        <v>1</v>
      </c>
      <c r="AR223" s="45">
        <v>0.6</v>
      </c>
      <c r="AS223" s="45">
        <v>0</v>
      </c>
      <c r="AT223" s="45">
        <v>0</v>
      </c>
      <c r="AU223" s="45">
        <v>0</v>
      </c>
      <c r="AV223" s="45">
        <v>0</v>
      </c>
      <c r="AW223" s="45">
        <v>0</v>
      </c>
      <c r="AX223" s="45">
        <v>0</v>
      </c>
      <c r="AY223" s="45">
        <v>0</v>
      </c>
      <c r="AZ223" s="45">
        <v>0</v>
      </c>
      <c r="BA223" s="45">
        <v>0</v>
      </c>
      <c r="BB223" s="45">
        <v>0</v>
      </c>
      <c r="BC223" s="45">
        <v>0</v>
      </c>
      <c r="BD223" s="45">
        <v>0</v>
      </c>
      <c r="BE223" s="45">
        <v>0</v>
      </c>
      <c r="BF223" s="45">
        <v>0</v>
      </c>
      <c r="BG223" s="45">
        <v>0</v>
      </c>
    </row>
    <row r="224" spans="1:59">
      <c r="A224" s="18" t="s">
        <v>181</v>
      </c>
      <c r="B224" s="18" t="s">
        <v>176</v>
      </c>
      <c r="C224" s="18" t="s">
        <v>76</v>
      </c>
      <c r="D224" s="45">
        <v>0</v>
      </c>
      <c r="E224" s="45">
        <v>0</v>
      </c>
      <c r="F224" s="45">
        <v>0</v>
      </c>
      <c r="G224" s="45">
        <v>0</v>
      </c>
      <c r="H224" s="45">
        <v>0</v>
      </c>
      <c r="I224" s="45">
        <v>0</v>
      </c>
      <c r="J224" s="45">
        <v>1.3</v>
      </c>
      <c r="K224" s="45">
        <v>2</v>
      </c>
      <c r="L224" s="45">
        <v>1.6</v>
      </c>
      <c r="M224" s="45">
        <v>1.7</v>
      </c>
      <c r="N224" s="45">
        <v>1.7</v>
      </c>
      <c r="O224" s="45">
        <v>2</v>
      </c>
      <c r="P224" s="45">
        <v>1.6</v>
      </c>
      <c r="Q224" s="45">
        <v>2.3</v>
      </c>
      <c r="R224" s="45">
        <v>1.8</v>
      </c>
      <c r="S224" s="45">
        <v>3.1</v>
      </c>
      <c r="T224" s="45">
        <v>2.1</v>
      </c>
      <c r="U224" s="45">
        <v>1.8</v>
      </c>
      <c r="V224" s="45">
        <v>2.2</v>
      </c>
      <c r="W224" s="45">
        <v>1.4</v>
      </c>
      <c r="X224" s="45">
        <v>1.7</v>
      </c>
      <c r="Y224" s="45">
        <v>2.4</v>
      </c>
      <c r="Z224" s="45">
        <v>1.3</v>
      </c>
      <c r="AA224" s="45">
        <v>1.3</v>
      </c>
      <c r="AB224" s="45">
        <v>2.1</v>
      </c>
      <c r="AC224" s="45">
        <v>2.3</v>
      </c>
      <c r="AD224" s="45">
        <v>3.1</v>
      </c>
      <c r="AE224" s="45">
        <v>3.4</v>
      </c>
      <c r="AF224" s="45">
        <v>2.4</v>
      </c>
      <c r="AG224" s="45">
        <v>1.7</v>
      </c>
      <c r="AH224" s="45">
        <v>1.6</v>
      </c>
      <c r="AI224" s="45">
        <v>1.3</v>
      </c>
      <c r="AJ224" s="45">
        <v>2.3</v>
      </c>
      <c r="AK224" s="45">
        <v>2.2</v>
      </c>
      <c r="AL224" s="45">
        <v>2.2</v>
      </c>
      <c r="AM224" s="45">
        <v>1.4</v>
      </c>
      <c r="AN224" s="45">
        <v>1.1</v>
      </c>
      <c r="AO224" s="45">
        <v>1.5</v>
      </c>
      <c r="AP224" s="45">
        <v>1.8</v>
      </c>
      <c r="AQ224" s="45">
        <v>1.5</v>
      </c>
      <c r="AR224" s="45">
        <v>1.2</v>
      </c>
      <c r="AS224" s="45">
        <v>0</v>
      </c>
      <c r="AT224" s="45">
        <v>0</v>
      </c>
      <c r="AU224" s="45">
        <v>0</v>
      </c>
      <c r="AV224" s="45">
        <v>0</v>
      </c>
      <c r="AW224" s="45">
        <v>0</v>
      </c>
      <c r="AX224" s="45">
        <v>0</v>
      </c>
      <c r="AY224" s="45">
        <v>0</v>
      </c>
      <c r="AZ224" s="45">
        <v>0</v>
      </c>
      <c r="BA224" s="45">
        <v>0</v>
      </c>
      <c r="BB224" s="45">
        <v>0</v>
      </c>
      <c r="BC224" s="45">
        <v>0</v>
      </c>
      <c r="BD224" s="45">
        <v>0</v>
      </c>
      <c r="BE224" s="45">
        <v>0</v>
      </c>
      <c r="BF224" s="45">
        <v>0</v>
      </c>
      <c r="BG224" s="45">
        <v>0</v>
      </c>
    </row>
    <row r="225" spans="1:59">
      <c r="A225" s="18" t="s">
        <v>182</v>
      </c>
      <c r="B225" s="18" t="s">
        <v>176</v>
      </c>
      <c r="C225" s="18" t="s">
        <v>78</v>
      </c>
      <c r="D225" s="45">
        <v>0</v>
      </c>
      <c r="E225" s="45">
        <v>0</v>
      </c>
      <c r="F225" s="45">
        <v>0</v>
      </c>
      <c r="G225" s="45">
        <v>0</v>
      </c>
      <c r="H225" s="45">
        <v>0</v>
      </c>
      <c r="I225" s="45">
        <v>0</v>
      </c>
      <c r="J225" s="45">
        <v>0.9</v>
      </c>
      <c r="K225" s="45">
        <v>1.1</v>
      </c>
      <c r="L225" s="45">
        <v>1.8</v>
      </c>
      <c r="M225" s="45">
        <v>2.1</v>
      </c>
      <c r="N225" s="45">
        <v>2.5</v>
      </c>
      <c r="O225" s="45">
        <v>3.2</v>
      </c>
      <c r="P225" s="45">
        <v>3.6</v>
      </c>
      <c r="Q225" s="45">
        <v>2.5</v>
      </c>
      <c r="R225" s="45">
        <v>1.5</v>
      </c>
      <c r="S225" s="45">
        <v>1.8</v>
      </c>
      <c r="T225" s="45">
        <v>2.5</v>
      </c>
      <c r="U225" s="45">
        <v>1.8</v>
      </c>
      <c r="V225" s="45">
        <v>2.3</v>
      </c>
      <c r="W225" s="45">
        <v>2.1</v>
      </c>
      <c r="X225" s="45">
        <v>2.6</v>
      </c>
      <c r="Y225" s="45">
        <v>2.2</v>
      </c>
      <c r="Z225" s="45">
        <v>1.1</v>
      </c>
      <c r="AA225" s="45">
        <v>1.7</v>
      </c>
      <c r="AB225" s="45">
        <v>2.3</v>
      </c>
      <c r="AC225" s="45">
        <v>2.5</v>
      </c>
      <c r="AD225" s="45">
        <v>3.5</v>
      </c>
      <c r="AE225" s="45">
        <v>1.4</v>
      </c>
      <c r="AF225" s="45">
        <v>2.5</v>
      </c>
      <c r="AG225" s="45">
        <v>2.6</v>
      </c>
      <c r="AH225" s="45">
        <v>3.2</v>
      </c>
      <c r="AI225" s="45">
        <v>1.7</v>
      </c>
      <c r="AJ225" s="45">
        <v>1.6</v>
      </c>
      <c r="AK225" s="45">
        <v>3</v>
      </c>
      <c r="AL225" s="45">
        <v>2.2</v>
      </c>
      <c r="AM225" s="45">
        <v>1.8</v>
      </c>
      <c r="AN225" s="45">
        <v>1.7</v>
      </c>
      <c r="AO225" s="45">
        <v>1.6</v>
      </c>
      <c r="AP225" s="45">
        <v>1.4</v>
      </c>
      <c r="AQ225" s="45">
        <v>1.5</v>
      </c>
      <c r="AR225" s="45">
        <v>0.4</v>
      </c>
      <c r="AS225" s="45">
        <v>0</v>
      </c>
      <c r="AT225" s="45">
        <v>0</v>
      </c>
      <c r="AU225" s="45">
        <v>0</v>
      </c>
      <c r="AV225" s="45">
        <v>0</v>
      </c>
      <c r="AW225" s="45">
        <v>0</v>
      </c>
      <c r="AX225" s="45">
        <v>0</v>
      </c>
      <c r="AY225" s="45">
        <v>0</v>
      </c>
      <c r="AZ225" s="45">
        <v>0</v>
      </c>
      <c r="BA225" s="45">
        <v>0</v>
      </c>
      <c r="BB225" s="45">
        <v>0</v>
      </c>
      <c r="BC225" s="45">
        <v>0</v>
      </c>
      <c r="BD225" s="45">
        <v>0</v>
      </c>
      <c r="BE225" s="45">
        <v>0</v>
      </c>
      <c r="BF225" s="45">
        <v>0</v>
      </c>
      <c r="BG225" s="45">
        <v>0</v>
      </c>
    </row>
    <row r="226" spans="1:59">
      <c r="A226" s="18" t="s">
        <v>183</v>
      </c>
      <c r="B226" s="18" t="s">
        <v>176</v>
      </c>
      <c r="C226" s="18" t="s">
        <v>80</v>
      </c>
      <c r="D226" s="45">
        <v>0</v>
      </c>
      <c r="E226" s="45">
        <v>0</v>
      </c>
      <c r="F226" s="45">
        <v>0</v>
      </c>
      <c r="G226" s="45">
        <v>0</v>
      </c>
      <c r="H226" s="45">
        <v>0</v>
      </c>
      <c r="I226" s="45">
        <v>0</v>
      </c>
      <c r="J226" s="45">
        <v>0.7</v>
      </c>
      <c r="K226" s="45">
        <v>0.5</v>
      </c>
      <c r="L226" s="45">
        <v>0.6</v>
      </c>
      <c r="M226" s="45">
        <v>1.1</v>
      </c>
      <c r="N226" s="45">
        <v>1.1</v>
      </c>
      <c r="O226" s="45">
        <v>1.2</v>
      </c>
      <c r="P226" s="45">
        <v>1.2</v>
      </c>
      <c r="Q226" s="45">
        <v>0.9</v>
      </c>
      <c r="R226" s="45">
        <v>0.6</v>
      </c>
      <c r="S226" s="45">
        <v>1.1</v>
      </c>
      <c r="T226" s="45">
        <v>1.7</v>
      </c>
      <c r="U226" s="45">
        <v>0.7</v>
      </c>
      <c r="V226" s="45">
        <v>1.1</v>
      </c>
      <c r="W226" s="45">
        <v>1.8</v>
      </c>
      <c r="X226" s="45">
        <v>2.7</v>
      </c>
      <c r="Y226" s="45">
        <v>2.5</v>
      </c>
      <c r="Z226" s="45">
        <v>1.3</v>
      </c>
      <c r="AA226" s="45">
        <v>1.1</v>
      </c>
      <c r="AB226" s="45">
        <v>1.2</v>
      </c>
      <c r="AC226" s="45">
        <v>1.3</v>
      </c>
      <c r="AD226" s="45">
        <v>1.8</v>
      </c>
      <c r="AE226" s="45">
        <v>1</v>
      </c>
      <c r="AF226" s="45">
        <v>1.3</v>
      </c>
      <c r="AG226" s="45">
        <v>1.2</v>
      </c>
      <c r="AH226" s="45">
        <v>0.6</v>
      </c>
      <c r="AI226" s="45">
        <v>1.2</v>
      </c>
      <c r="AJ226" s="45">
        <v>1.1</v>
      </c>
      <c r="AK226" s="45">
        <v>0.8</v>
      </c>
      <c r="AL226" s="45">
        <v>1.2</v>
      </c>
      <c r="AM226" s="45">
        <v>2.4</v>
      </c>
      <c r="AN226" s="45">
        <v>2.1</v>
      </c>
      <c r="AO226" s="45">
        <v>2.3</v>
      </c>
      <c r="AP226" s="45">
        <v>2.3</v>
      </c>
      <c r="AQ226" s="45">
        <v>2.4</v>
      </c>
      <c r="AR226" s="45">
        <v>0.4</v>
      </c>
      <c r="AS226" s="45">
        <v>0</v>
      </c>
      <c r="AT226" s="45">
        <v>0</v>
      </c>
      <c r="AU226" s="45">
        <v>0</v>
      </c>
      <c r="AV226" s="45">
        <v>0</v>
      </c>
      <c r="AW226" s="45">
        <v>0</v>
      </c>
      <c r="AX226" s="45">
        <v>0</v>
      </c>
      <c r="AY226" s="45">
        <v>0</v>
      </c>
      <c r="AZ226" s="45">
        <v>0</v>
      </c>
      <c r="BA226" s="45">
        <v>0</v>
      </c>
      <c r="BB226" s="45">
        <v>0</v>
      </c>
      <c r="BC226" s="45">
        <v>0</v>
      </c>
      <c r="BD226" s="45">
        <v>0</v>
      </c>
      <c r="BE226" s="45">
        <v>0</v>
      </c>
      <c r="BF226" s="45">
        <v>0</v>
      </c>
      <c r="BG226" s="45">
        <v>0</v>
      </c>
    </row>
    <row r="227" spans="1:59">
      <c r="A227" s="18" t="s">
        <v>184</v>
      </c>
      <c r="B227" s="18" t="s">
        <v>176</v>
      </c>
      <c r="C227" s="18" t="s">
        <v>82</v>
      </c>
      <c r="D227" s="45">
        <v>0</v>
      </c>
      <c r="E227" s="45">
        <v>0</v>
      </c>
      <c r="F227" s="45">
        <v>0</v>
      </c>
      <c r="G227" s="45">
        <v>0</v>
      </c>
      <c r="H227" s="45">
        <v>0</v>
      </c>
      <c r="I227" s="45">
        <v>0</v>
      </c>
      <c r="J227" s="45">
        <v>0.4</v>
      </c>
      <c r="K227" s="45">
        <v>0.5</v>
      </c>
      <c r="L227" s="45">
        <v>1</v>
      </c>
      <c r="M227" s="45">
        <v>0.6</v>
      </c>
      <c r="N227" s="45">
        <v>0.9</v>
      </c>
      <c r="O227" s="45">
        <v>1.2</v>
      </c>
      <c r="P227" s="45">
        <v>1.9</v>
      </c>
      <c r="Q227" s="45">
        <v>1.4</v>
      </c>
      <c r="R227" s="45">
        <v>2</v>
      </c>
      <c r="S227" s="45">
        <v>2.3</v>
      </c>
      <c r="T227" s="45">
        <v>2.6</v>
      </c>
      <c r="U227" s="45">
        <v>1.7</v>
      </c>
      <c r="V227" s="45">
        <v>2.7</v>
      </c>
      <c r="W227" s="45">
        <v>1.6</v>
      </c>
      <c r="X227" s="45">
        <v>1.6</v>
      </c>
      <c r="Y227" s="45">
        <v>3.1</v>
      </c>
      <c r="Z227" s="45">
        <v>1.9</v>
      </c>
      <c r="AA227" s="45">
        <v>1.1</v>
      </c>
      <c r="AB227" s="45">
        <v>1.3</v>
      </c>
      <c r="AC227" s="45">
        <v>1.5</v>
      </c>
      <c r="AD227" s="45">
        <v>1.5</v>
      </c>
      <c r="AE227" s="45">
        <v>1.1</v>
      </c>
      <c r="AF227" s="45">
        <v>0.9</v>
      </c>
      <c r="AG227" s="45">
        <v>1.3</v>
      </c>
      <c r="AH227" s="45">
        <v>1</v>
      </c>
      <c r="AI227" s="45">
        <v>1</v>
      </c>
      <c r="AJ227" s="45">
        <v>1.2</v>
      </c>
      <c r="AK227" s="45">
        <v>1.7</v>
      </c>
      <c r="AL227" s="45">
        <v>1.1</v>
      </c>
      <c r="AM227" s="45">
        <v>1.5</v>
      </c>
      <c r="AN227" s="45">
        <v>1.5</v>
      </c>
      <c r="AO227" s="45">
        <v>1.6</v>
      </c>
      <c r="AP227" s="45">
        <v>1.9</v>
      </c>
      <c r="AQ227" s="45">
        <v>0.9</v>
      </c>
      <c r="AR227" s="45">
        <v>0.3</v>
      </c>
      <c r="AS227" s="45">
        <v>0</v>
      </c>
      <c r="AT227" s="45">
        <v>0</v>
      </c>
      <c r="AU227" s="45">
        <v>0</v>
      </c>
      <c r="AV227" s="45">
        <v>0</v>
      </c>
      <c r="AW227" s="45">
        <v>0</v>
      </c>
      <c r="AX227" s="45">
        <v>0</v>
      </c>
      <c r="AY227" s="45">
        <v>0</v>
      </c>
      <c r="AZ227" s="45">
        <v>0</v>
      </c>
      <c r="BA227" s="45">
        <v>0</v>
      </c>
      <c r="BB227" s="45">
        <v>0</v>
      </c>
      <c r="BC227" s="45">
        <v>0</v>
      </c>
      <c r="BD227" s="45">
        <v>0</v>
      </c>
      <c r="BE227" s="45">
        <v>0</v>
      </c>
      <c r="BF227" s="45">
        <v>0</v>
      </c>
      <c r="BG227" s="45">
        <v>0</v>
      </c>
    </row>
    <row r="228" spans="1:59">
      <c r="A228" s="18" t="s">
        <v>185</v>
      </c>
      <c r="B228" s="18" t="s">
        <v>176</v>
      </c>
      <c r="C228" s="18" t="s">
        <v>84</v>
      </c>
      <c r="D228" s="45">
        <v>0</v>
      </c>
      <c r="E228" s="45">
        <v>0</v>
      </c>
      <c r="F228" s="45">
        <v>0</v>
      </c>
      <c r="G228" s="45">
        <v>0</v>
      </c>
      <c r="H228" s="45">
        <v>0</v>
      </c>
      <c r="I228" s="45">
        <v>0</v>
      </c>
      <c r="J228" s="45">
        <v>0.8</v>
      </c>
      <c r="K228" s="45">
        <v>1.1</v>
      </c>
      <c r="L228" s="45">
        <v>1.3</v>
      </c>
      <c r="M228" s="45">
        <v>0.6</v>
      </c>
      <c r="N228" s="45">
        <v>0.6</v>
      </c>
      <c r="O228" s="45">
        <v>1</v>
      </c>
      <c r="P228" s="45">
        <v>1.6</v>
      </c>
      <c r="Q228" s="45">
        <v>1.7</v>
      </c>
      <c r="R228" s="45">
        <v>2</v>
      </c>
      <c r="S228" s="45">
        <v>2.5</v>
      </c>
      <c r="T228" s="45">
        <v>2.9</v>
      </c>
      <c r="U228" s="45">
        <v>2.2</v>
      </c>
      <c r="V228" s="45">
        <v>2.8</v>
      </c>
      <c r="W228" s="45">
        <v>1.4</v>
      </c>
      <c r="X228" s="45">
        <v>2.5</v>
      </c>
      <c r="Y228" s="45">
        <v>1.7</v>
      </c>
      <c r="Z228" s="45">
        <v>1.5</v>
      </c>
      <c r="AA228" s="45">
        <v>0.7</v>
      </c>
      <c r="AB228" s="45">
        <v>1.4</v>
      </c>
      <c r="AC228" s="45">
        <v>1.4</v>
      </c>
      <c r="AD228" s="45">
        <v>1.7</v>
      </c>
      <c r="AE228" s="45">
        <v>1.1</v>
      </c>
      <c r="AF228" s="45">
        <v>1.3</v>
      </c>
      <c r="AG228" s="45">
        <v>1.6</v>
      </c>
      <c r="AH228" s="45">
        <v>1.8</v>
      </c>
      <c r="AI228" s="45">
        <v>1.1</v>
      </c>
      <c r="AJ228" s="45">
        <v>2</v>
      </c>
      <c r="AK228" s="45">
        <v>1.3</v>
      </c>
      <c r="AL228" s="45">
        <v>1.3</v>
      </c>
      <c r="AM228" s="45">
        <v>1.9</v>
      </c>
      <c r="AN228" s="45">
        <v>1.4</v>
      </c>
      <c r="AO228" s="45">
        <v>1</v>
      </c>
      <c r="AP228" s="45">
        <v>1.6</v>
      </c>
      <c r="AQ228" s="45">
        <v>0.5</v>
      </c>
      <c r="AR228" s="45">
        <v>0.4</v>
      </c>
      <c r="AS228" s="45">
        <v>0</v>
      </c>
      <c r="AT228" s="45">
        <v>0</v>
      </c>
      <c r="AU228" s="45">
        <v>0</v>
      </c>
      <c r="AV228" s="45">
        <v>0</v>
      </c>
      <c r="AW228" s="45">
        <v>0</v>
      </c>
      <c r="AX228" s="45">
        <v>0</v>
      </c>
      <c r="AY228" s="45">
        <v>0</v>
      </c>
      <c r="AZ228" s="45">
        <v>0</v>
      </c>
      <c r="BA228" s="45">
        <v>0</v>
      </c>
      <c r="BB228" s="45">
        <v>0</v>
      </c>
      <c r="BC228" s="45">
        <v>0</v>
      </c>
      <c r="BD228" s="45">
        <v>0</v>
      </c>
      <c r="BE228" s="45">
        <v>0</v>
      </c>
      <c r="BF228" s="45">
        <v>0</v>
      </c>
      <c r="BG228" s="45">
        <v>0</v>
      </c>
    </row>
    <row r="229" spans="1:59">
      <c r="A229" s="18" t="s">
        <v>186</v>
      </c>
      <c r="B229" s="18" t="s">
        <v>176</v>
      </c>
      <c r="C229" s="18" t="s">
        <v>86</v>
      </c>
      <c r="D229" s="45">
        <v>0</v>
      </c>
      <c r="E229" s="45">
        <v>0</v>
      </c>
      <c r="F229" s="45">
        <v>0</v>
      </c>
      <c r="G229" s="45">
        <v>0</v>
      </c>
      <c r="H229" s="45">
        <v>0</v>
      </c>
      <c r="I229" s="45">
        <v>0</v>
      </c>
      <c r="J229" s="45">
        <v>1</v>
      </c>
      <c r="K229" s="45">
        <v>0.6</v>
      </c>
      <c r="L229" s="45">
        <v>1.3</v>
      </c>
      <c r="M229" s="45">
        <v>0.9</v>
      </c>
      <c r="N229" s="45">
        <v>5.4</v>
      </c>
      <c r="O229" s="45">
        <v>12.8</v>
      </c>
      <c r="P229" s="45">
        <v>5.9</v>
      </c>
      <c r="Q229" s="45">
        <v>0.9</v>
      </c>
      <c r="R229" s="45">
        <v>1.7</v>
      </c>
      <c r="S229" s="45">
        <v>7.9</v>
      </c>
      <c r="T229" s="45">
        <v>6.2</v>
      </c>
      <c r="U229" s="45">
        <v>1.8</v>
      </c>
      <c r="V229" s="45">
        <v>4.9</v>
      </c>
      <c r="W229" s="45">
        <v>1.7</v>
      </c>
      <c r="X229" s="45">
        <v>2.9</v>
      </c>
      <c r="Y229" s="45">
        <v>1.9</v>
      </c>
      <c r="Z229" s="45">
        <v>0.8</v>
      </c>
      <c r="AA229" s="45">
        <v>0.6</v>
      </c>
      <c r="AB229" s="45">
        <v>1.2</v>
      </c>
      <c r="AC229" s="45">
        <v>1.4</v>
      </c>
      <c r="AD229" s="45">
        <v>13.9</v>
      </c>
      <c r="AE229" s="45">
        <v>1.1</v>
      </c>
      <c r="AF229" s="45">
        <v>4.2</v>
      </c>
      <c r="AG229" s="45">
        <v>4.8</v>
      </c>
      <c r="AH229" s="45">
        <v>1.8</v>
      </c>
      <c r="AI229" s="45">
        <v>1.5</v>
      </c>
      <c r="AJ229" s="45">
        <v>6.1</v>
      </c>
      <c r="AK229" s="45">
        <v>2.3</v>
      </c>
      <c r="AL229" s="45">
        <v>3.7</v>
      </c>
      <c r="AM229" s="45">
        <v>6.1</v>
      </c>
      <c r="AN229" s="45">
        <v>16.8</v>
      </c>
      <c r="AO229" s="45">
        <v>1.7</v>
      </c>
      <c r="AP229" s="45">
        <v>1.5</v>
      </c>
      <c r="AQ229" s="45">
        <v>7.3</v>
      </c>
      <c r="AR229" s="45">
        <v>6.8</v>
      </c>
      <c r="AS229" s="45">
        <v>0</v>
      </c>
      <c r="AT229" s="45">
        <v>0</v>
      </c>
      <c r="AU229" s="45">
        <v>0</v>
      </c>
      <c r="AV229" s="45">
        <v>0</v>
      </c>
      <c r="AW229" s="45">
        <v>0</v>
      </c>
      <c r="AX229" s="45">
        <v>0</v>
      </c>
      <c r="AY229" s="45">
        <v>0</v>
      </c>
      <c r="AZ229" s="45">
        <v>0</v>
      </c>
      <c r="BA229" s="45">
        <v>0</v>
      </c>
      <c r="BB229" s="45">
        <v>0</v>
      </c>
      <c r="BC229" s="45">
        <v>0</v>
      </c>
      <c r="BD229" s="45">
        <v>0</v>
      </c>
      <c r="BE229" s="45">
        <v>0</v>
      </c>
      <c r="BF229" s="45">
        <v>0</v>
      </c>
      <c r="BG229" s="45">
        <v>0</v>
      </c>
    </row>
    <row r="230" spans="1:59">
      <c r="A230" s="18" t="s">
        <v>187</v>
      </c>
      <c r="B230" s="18" t="s">
        <v>176</v>
      </c>
      <c r="C230" s="18" t="s">
        <v>88</v>
      </c>
      <c r="D230" s="45">
        <v>0</v>
      </c>
      <c r="E230" s="45">
        <v>0</v>
      </c>
      <c r="F230" s="45">
        <v>0</v>
      </c>
      <c r="G230" s="45">
        <v>0</v>
      </c>
      <c r="H230" s="45">
        <v>0</v>
      </c>
      <c r="I230" s="45">
        <v>0</v>
      </c>
      <c r="J230" s="45">
        <v>0.7</v>
      </c>
      <c r="K230" s="45">
        <v>0.9</v>
      </c>
      <c r="L230" s="45">
        <v>1.8</v>
      </c>
      <c r="M230" s="45">
        <v>0.8</v>
      </c>
      <c r="N230" s="45">
        <v>1.7</v>
      </c>
      <c r="O230" s="45">
        <v>1.3</v>
      </c>
      <c r="P230" s="45">
        <v>2.3</v>
      </c>
      <c r="Q230" s="45">
        <v>1.9</v>
      </c>
      <c r="R230" s="45">
        <v>2.7</v>
      </c>
      <c r="S230" s="45">
        <v>1.5</v>
      </c>
      <c r="T230" s="45">
        <v>2.5</v>
      </c>
      <c r="U230" s="45">
        <v>1.4</v>
      </c>
      <c r="V230" s="45">
        <v>2.2</v>
      </c>
      <c r="W230" s="45">
        <v>1.8</v>
      </c>
      <c r="X230" s="45">
        <v>3.1</v>
      </c>
      <c r="Y230" s="45">
        <v>2.8</v>
      </c>
      <c r="Z230" s="45">
        <v>1.9</v>
      </c>
      <c r="AA230" s="45">
        <v>1.9</v>
      </c>
      <c r="AB230" s="45">
        <v>1.8</v>
      </c>
      <c r="AC230" s="45">
        <v>2</v>
      </c>
      <c r="AD230" s="45">
        <v>2.1</v>
      </c>
      <c r="AE230" s="45">
        <v>2.1</v>
      </c>
      <c r="AF230" s="45">
        <v>1.3</v>
      </c>
      <c r="AG230" s="45">
        <v>1.8</v>
      </c>
      <c r="AH230" s="45">
        <v>2.2</v>
      </c>
      <c r="AI230" s="45">
        <v>3.9</v>
      </c>
      <c r="AJ230" s="45">
        <v>2.7</v>
      </c>
      <c r="AK230" s="45">
        <v>1.6</v>
      </c>
      <c r="AL230" s="45">
        <v>1.7</v>
      </c>
      <c r="AM230" s="45">
        <v>1.4</v>
      </c>
      <c r="AN230" s="45">
        <v>1.7</v>
      </c>
      <c r="AO230" s="45">
        <v>2.8</v>
      </c>
      <c r="AP230" s="45">
        <v>2.1</v>
      </c>
      <c r="AQ230" s="45">
        <v>2.7</v>
      </c>
      <c r="AR230" s="45">
        <v>0.7</v>
      </c>
      <c r="AS230" s="45">
        <v>0</v>
      </c>
      <c r="AT230" s="45">
        <v>0</v>
      </c>
      <c r="AU230" s="45">
        <v>0</v>
      </c>
      <c r="AV230" s="45">
        <v>0</v>
      </c>
      <c r="AW230" s="45">
        <v>0</v>
      </c>
      <c r="AX230" s="45">
        <v>0</v>
      </c>
      <c r="AY230" s="45">
        <v>0</v>
      </c>
      <c r="AZ230" s="45">
        <v>0</v>
      </c>
      <c r="BA230" s="45">
        <v>0</v>
      </c>
      <c r="BB230" s="45">
        <v>0</v>
      </c>
      <c r="BC230" s="45">
        <v>0</v>
      </c>
      <c r="BD230" s="45">
        <v>0</v>
      </c>
      <c r="BE230" s="45">
        <v>0</v>
      </c>
      <c r="BF230" s="45">
        <v>0</v>
      </c>
      <c r="BG230" s="45">
        <v>0</v>
      </c>
    </row>
    <row r="231" spans="1:59">
      <c r="A231" s="18" t="s">
        <v>188</v>
      </c>
      <c r="B231" s="18" t="s">
        <v>176</v>
      </c>
      <c r="C231" s="18" t="s">
        <v>90</v>
      </c>
      <c r="D231" s="45">
        <v>0</v>
      </c>
      <c r="E231" s="45">
        <v>0</v>
      </c>
      <c r="F231" s="45">
        <v>0</v>
      </c>
      <c r="G231" s="45">
        <v>0</v>
      </c>
      <c r="H231" s="45">
        <v>0</v>
      </c>
      <c r="I231" s="45">
        <v>3.9</v>
      </c>
      <c r="J231" s="45">
        <v>1.5</v>
      </c>
      <c r="K231" s="45">
        <v>3</v>
      </c>
      <c r="L231" s="45">
        <v>2.7</v>
      </c>
      <c r="M231" s="45">
        <v>3</v>
      </c>
      <c r="N231" s="45">
        <v>4</v>
      </c>
      <c r="O231" s="45">
        <v>6.9</v>
      </c>
      <c r="P231" s="45">
        <v>4</v>
      </c>
      <c r="Q231" s="45">
        <v>4.9</v>
      </c>
      <c r="R231" s="45">
        <v>5.9</v>
      </c>
      <c r="S231" s="45">
        <v>5.5</v>
      </c>
      <c r="T231" s="45">
        <v>4</v>
      </c>
      <c r="U231" s="45">
        <v>6</v>
      </c>
      <c r="V231" s="45">
        <v>4.9</v>
      </c>
      <c r="W231" s="45">
        <v>3.4</v>
      </c>
      <c r="X231" s="45">
        <v>4.4</v>
      </c>
      <c r="Y231" s="45">
        <v>2.9</v>
      </c>
      <c r="Z231" s="45">
        <v>2.6</v>
      </c>
      <c r="AA231" s="45">
        <v>1.8</v>
      </c>
      <c r="AB231" s="45">
        <v>6.2</v>
      </c>
      <c r="AC231" s="45">
        <v>7.6</v>
      </c>
      <c r="AD231" s="45">
        <v>8.6</v>
      </c>
      <c r="AE231" s="45">
        <v>6.5</v>
      </c>
      <c r="AF231" s="45">
        <v>5</v>
      </c>
      <c r="AG231" s="45">
        <v>4.4</v>
      </c>
      <c r="AH231" s="45">
        <v>4.4</v>
      </c>
      <c r="AI231" s="45">
        <v>5.3</v>
      </c>
      <c r="AJ231" s="45">
        <v>3.5</v>
      </c>
      <c r="AK231" s="45">
        <v>3.1</v>
      </c>
      <c r="AL231" s="45">
        <v>3.1</v>
      </c>
      <c r="AM231" s="45">
        <v>3.5</v>
      </c>
      <c r="AN231" s="45">
        <v>3.5</v>
      </c>
      <c r="AO231" s="45">
        <v>3.1</v>
      </c>
      <c r="AP231" s="45">
        <v>4.1</v>
      </c>
      <c r="AQ231" s="45">
        <v>2.4</v>
      </c>
      <c r="AR231" s="45">
        <v>1.8</v>
      </c>
      <c r="AS231" s="45">
        <v>0</v>
      </c>
      <c r="AT231" s="45">
        <v>0</v>
      </c>
      <c r="AU231" s="45">
        <v>0</v>
      </c>
      <c r="AV231" s="45">
        <v>0</v>
      </c>
      <c r="AW231" s="45">
        <v>0</v>
      </c>
      <c r="AX231" s="45">
        <v>0</v>
      </c>
      <c r="AY231" s="45">
        <v>0</v>
      </c>
      <c r="AZ231" s="45">
        <v>0</v>
      </c>
      <c r="BA231" s="45">
        <v>0</v>
      </c>
      <c r="BB231" s="45">
        <v>0</v>
      </c>
      <c r="BC231" s="45">
        <v>0</v>
      </c>
      <c r="BD231" s="45">
        <v>0</v>
      </c>
      <c r="BE231" s="45">
        <v>0</v>
      </c>
      <c r="BF231" s="45">
        <v>0</v>
      </c>
      <c r="BG231" s="45">
        <v>0</v>
      </c>
    </row>
    <row r="232" spans="1:59">
      <c r="A232" s="18" t="s">
        <v>189</v>
      </c>
      <c r="B232" s="18" t="s">
        <v>190</v>
      </c>
      <c r="C232" s="18" t="s">
        <v>66</v>
      </c>
      <c r="D232" s="45">
        <v>0</v>
      </c>
      <c r="E232" s="45">
        <v>0</v>
      </c>
      <c r="F232" s="45">
        <v>0</v>
      </c>
      <c r="G232" s="45">
        <v>0</v>
      </c>
      <c r="H232" s="45">
        <v>22.9</v>
      </c>
      <c r="I232" s="45">
        <v>9.1</v>
      </c>
      <c r="J232" s="45">
        <v>3</v>
      </c>
      <c r="K232" s="45">
        <v>3.1</v>
      </c>
      <c r="L232" s="45">
        <v>3.3</v>
      </c>
      <c r="M232" s="45">
        <v>4.3</v>
      </c>
      <c r="N232" s="45">
        <v>5.6</v>
      </c>
      <c r="O232" s="45">
        <v>6.3</v>
      </c>
      <c r="P232" s="45">
        <v>6.7</v>
      </c>
      <c r="Q232" s="45">
        <v>7.3</v>
      </c>
      <c r="R232" s="45">
        <v>7.3</v>
      </c>
      <c r="S232" s="45">
        <v>7.4</v>
      </c>
      <c r="T232" s="45">
        <v>7.2</v>
      </c>
      <c r="U232" s="45">
        <v>6.7</v>
      </c>
      <c r="V232" s="45">
        <v>7.1</v>
      </c>
      <c r="W232" s="45">
        <v>7</v>
      </c>
      <c r="X232" s="45">
        <v>7.3</v>
      </c>
      <c r="Y232" s="45">
        <v>5.9</v>
      </c>
      <c r="Z232" s="45">
        <v>4.9</v>
      </c>
      <c r="AA232" s="45">
        <v>3.5</v>
      </c>
      <c r="AB232" s="45">
        <v>4.3</v>
      </c>
      <c r="AC232" s="45">
        <v>4.9</v>
      </c>
      <c r="AD232" s="45">
        <v>5.7</v>
      </c>
      <c r="AE232" s="45">
        <v>5.7</v>
      </c>
      <c r="AF232" s="45">
        <v>5.6</v>
      </c>
      <c r="AG232" s="45">
        <v>5.5</v>
      </c>
      <c r="AH232" s="45">
        <v>5.3</v>
      </c>
      <c r="AI232" s="45">
        <v>5.4</v>
      </c>
      <c r="AJ232" s="45">
        <v>4.8</v>
      </c>
      <c r="AK232" s="45">
        <v>5.3</v>
      </c>
      <c r="AL232" s="45">
        <v>5.4</v>
      </c>
      <c r="AM232" s="45">
        <v>5.6</v>
      </c>
      <c r="AN232" s="45">
        <v>5.7</v>
      </c>
      <c r="AO232" s="45">
        <v>5.1</v>
      </c>
      <c r="AP232" s="45">
        <v>4.7</v>
      </c>
      <c r="AQ232" s="45">
        <v>3.5</v>
      </c>
      <c r="AR232" s="45">
        <v>2.1</v>
      </c>
      <c r="AS232" s="45">
        <v>12.3</v>
      </c>
      <c r="AT232" s="45">
        <v>0</v>
      </c>
      <c r="AU232" s="45">
        <v>0</v>
      </c>
      <c r="AV232" s="45">
        <v>0</v>
      </c>
      <c r="AW232" s="45">
        <v>0</v>
      </c>
      <c r="AX232" s="45">
        <v>0</v>
      </c>
      <c r="AY232" s="45">
        <v>0</v>
      </c>
      <c r="AZ232" s="45">
        <v>0</v>
      </c>
      <c r="BA232" s="45">
        <v>0</v>
      </c>
      <c r="BB232" s="45">
        <v>0</v>
      </c>
      <c r="BC232" s="45">
        <v>0</v>
      </c>
      <c r="BD232" s="45">
        <v>0</v>
      </c>
      <c r="BE232" s="45">
        <v>0</v>
      </c>
      <c r="BF232" s="45">
        <v>0</v>
      </c>
      <c r="BG232" s="45">
        <v>0</v>
      </c>
    </row>
    <row r="233" spans="1:59">
      <c r="A233" s="18" t="s">
        <v>191</v>
      </c>
      <c r="B233" s="18" t="s">
        <v>190</v>
      </c>
      <c r="C233" s="18" t="s">
        <v>68</v>
      </c>
      <c r="D233" s="45">
        <v>0</v>
      </c>
      <c r="E233" s="45">
        <v>0</v>
      </c>
      <c r="F233" s="45">
        <v>0</v>
      </c>
      <c r="G233" s="45">
        <v>0</v>
      </c>
      <c r="H233" s="45">
        <v>0</v>
      </c>
      <c r="I233" s="45">
        <v>8.9</v>
      </c>
      <c r="J233" s="45">
        <v>4.6</v>
      </c>
      <c r="K233" s="45">
        <v>4.4</v>
      </c>
      <c r="L233" s="45">
        <v>3.8</v>
      </c>
      <c r="M233" s="45">
        <v>6.8</v>
      </c>
      <c r="N233" s="45">
        <v>8.699999999999999</v>
      </c>
      <c r="O233" s="45">
        <v>8.6</v>
      </c>
      <c r="P233" s="45">
        <v>8.699999999999999</v>
      </c>
      <c r="Q233" s="45">
        <v>10.9</v>
      </c>
      <c r="R233" s="45">
        <v>10.9</v>
      </c>
      <c r="S233" s="45">
        <v>12.3</v>
      </c>
      <c r="T233" s="45">
        <v>10.2</v>
      </c>
      <c r="U233" s="45">
        <v>12.3</v>
      </c>
      <c r="V233" s="45">
        <v>12</v>
      </c>
      <c r="W233" s="45">
        <v>11</v>
      </c>
      <c r="X233" s="45">
        <v>10.7</v>
      </c>
      <c r="Y233" s="45">
        <v>7.6</v>
      </c>
      <c r="Z233" s="45">
        <v>7</v>
      </c>
      <c r="AA233" s="45">
        <v>4.5</v>
      </c>
      <c r="AB233" s="45">
        <v>5.1</v>
      </c>
      <c r="AC233" s="45">
        <v>6</v>
      </c>
      <c r="AD233" s="45">
        <v>6.9</v>
      </c>
      <c r="AE233" s="45">
        <v>8</v>
      </c>
      <c r="AF233" s="45">
        <v>7.9</v>
      </c>
      <c r="AG233" s="45">
        <v>8.800000000000001</v>
      </c>
      <c r="AH233" s="45">
        <v>7.9</v>
      </c>
      <c r="AI233" s="45">
        <v>8.300000000000001</v>
      </c>
      <c r="AJ233" s="45">
        <v>6.7</v>
      </c>
      <c r="AK233" s="45">
        <v>7.1</v>
      </c>
      <c r="AL233" s="45">
        <v>7.7</v>
      </c>
      <c r="AM233" s="45">
        <v>7.6</v>
      </c>
      <c r="AN233" s="45">
        <v>8.5</v>
      </c>
      <c r="AO233" s="45">
        <v>7.3</v>
      </c>
      <c r="AP233" s="45">
        <v>6.1</v>
      </c>
      <c r="AQ233" s="45">
        <v>4.7</v>
      </c>
      <c r="AR233" s="45">
        <v>2.4</v>
      </c>
      <c r="AS233" s="45">
        <v>0</v>
      </c>
      <c r="AT233" s="45">
        <v>0</v>
      </c>
      <c r="AU233" s="45">
        <v>0</v>
      </c>
      <c r="AV233" s="45">
        <v>0</v>
      </c>
      <c r="AW233" s="45">
        <v>0</v>
      </c>
      <c r="AX233" s="45">
        <v>0</v>
      </c>
      <c r="AY233" s="45">
        <v>0</v>
      </c>
      <c r="AZ233" s="45">
        <v>0</v>
      </c>
      <c r="BA233" s="45">
        <v>0</v>
      </c>
      <c r="BB233" s="45">
        <v>0</v>
      </c>
      <c r="BC233" s="45">
        <v>0</v>
      </c>
      <c r="BD233" s="45">
        <v>0</v>
      </c>
      <c r="BE233" s="45">
        <v>0</v>
      </c>
      <c r="BF233" s="45">
        <v>0</v>
      </c>
      <c r="BG233" s="45">
        <v>0</v>
      </c>
    </row>
    <row r="234" spans="1:59">
      <c r="A234" s="18" t="s">
        <v>192</v>
      </c>
      <c r="B234" s="18" t="s">
        <v>190</v>
      </c>
      <c r="C234" s="18" t="s">
        <v>70</v>
      </c>
      <c r="D234" s="45">
        <v>0</v>
      </c>
      <c r="E234" s="45">
        <v>0</v>
      </c>
      <c r="F234" s="45">
        <v>0</v>
      </c>
      <c r="G234" s="45">
        <v>0</v>
      </c>
      <c r="H234" s="45">
        <v>0</v>
      </c>
      <c r="I234" s="45">
        <v>9.5</v>
      </c>
      <c r="J234" s="45">
        <v>3.1</v>
      </c>
      <c r="K234" s="45">
        <v>2.5</v>
      </c>
      <c r="L234" s="45">
        <v>3.9</v>
      </c>
      <c r="M234" s="45">
        <v>4.4</v>
      </c>
      <c r="N234" s="45">
        <v>6.4</v>
      </c>
      <c r="O234" s="45">
        <v>7.6</v>
      </c>
      <c r="P234" s="45">
        <v>7</v>
      </c>
      <c r="Q234" s="45">
        <v>8.699999999999999</v>
      </c>
      <c r="R234" s="45">
        <v>8.199999999999999</v>
      </c>
      <c r="S234" s="45">
        <v>8.800000000000001</v>
      </c>
      <c r="T234" s="45">
        <v>9.300000000000001</v>
      </c>
      <c r="U234" s="45">
        <v>7</v>
      </c>
      <c r="V234" s="45">
        <v>7.5</v>
      </c>
      <c r="W234" s="45">
        <v>7.4</v>
      </c>
      <c r="X234" s="45">
        <v>10.5</v>
      </c>
      <c r="Y234" s="45">
        <v>6</v>
      </c>
      <c r="Z234" s="45">
        <v>4.4</v>
      </c>
      <c r="AA234" s="45">
        <v>2.6</v>
      </c>
      <c r="AB234" s="45">
        <v>3.4</v>
      </c>
      <c r="AC234" s="45">
        <v>3.3</v>
      </c>
      <c r="AD234" s="45">
        <v>4</v>
      </c>
      <c r="AE234" s="45">
        <v>5</v>
      </c>
      <c r="AF234" s="45">
        <v>4.9</v>
      </c>
      <c r="AG234" s="45">
        <v>4.4</v>
      </c>
      <c r="AH234" s="45">
        <v>5.1</v>
      </c>
      <c r="AI234" s="45">
        <v>4.8</v>
      </c>
      <c r="AJ234" s="45">
        <v>3.9</v>
      </c>
      <c r="AK234" s="45">
        <v>4.6</v>
      </c>
      <c r="AL234" s="45">
        <v>4.9</v>
      </c>
      <c r="AM234" s="45">
        <v>4.4</v>
      </c>
      <c r="AN234" s="45">
        <v>4</v>
      </c>
      <c r="AO234" s="45">
        <v>4.4</v>
      </c>
      <c r="AP234" s="45">
        <v>2.9</v>
      </c>
      <c r="AQ234" s="45">
        <v>2.6</v>
      </c>
      <c r="AR234" s="45">
        <v>1.2</v>
      </c>
      <c r="AS234" s="45">
        <v>0</v>
      </c>
      <c r="AT234" s="45">
        <v>0</v>
      </c>
      <c r="AU234" s="45">
        <v>0</v>
      </c>
      <c r="AV234" s="45">
        <v>0</v>
      </c>
      <c r="AW234" s="45">
        <v>0</v>
      </c>
      <c r="AX234" s="45">
        <v>0</v>
      </c>
      <c r="AY234" s="45">
        <v>0</v>
      </c>
      <c r="AZ234" s="45">
        <v>0</v>
      </c>
      <c r="BA234" s="45">
        <v>0</v>
      </c>
      <c r="BB234" s="45">
        <v>0</v>
      </c>
      <c r="BC234" s="45">
        <v>0</v>
      </c>
      <c r="BD234" s="45">
        <v>0</v>
      </c>
      <c r="BE234" s="45">
        <v>0</v>
      </c>
      <c r="BF234" s="45">
        <v>0</v>
      </c>
      <c r="BG234" s="45">
        <v>0</v>
      </c>
    </row>
    <row r="235" spans="1:59">
      <c r="A235" s="18" t="s">
        <v>193</v>
      </c>
      <c r="B235" s="18" t="s">
        <v>190</v>
      </c>
      <c r="C235" s="18" t="s">
        <v>72</v>
      </c>
      <c r="D235" s="45">
        <v>0</v>
      </c>
      <c r="E235" s="45">
        <v>0</v>
      </c>
      <c r="F235" s="45">
        <v>0</v>
      </c>
      <c r="G235" s="45">
        <v>0</v>
      </c>
      <c r="H235" s="45">
        <v>0</v>
      </c>
      <c r="I235" s="45">
        <v>9.699999999999999</v>
      </c>
      <c r="J235" s="45">
        <v>2.3</v>
      </c>
      <c r="K235" s="45">
        <v>2.8</v>
      </c>
      <c r="L235" s="45">
        <v>3</v>
      </c>
      <c r="M235" s="45">
        <v>3.6</v>
      </c>
      <c r="N235" s="45">
        <v>4.3</v>
      </c>
      <c r="O235" s="45">
        <v>4.6</v>
      </c>
      <c r="P235" s="45">
        <v>5.3</v>
      </c>
      <c r="Q235" s="45">
        <v>5.3</v>
      </c>
      <c r="R235" s="45">
        <v>6.4</v>
      </c>
      <c r="S235" s="45">
        <v>5.3</v>
      </c>
      <c r="T235" s="45">
        <v>5.7</v>
      </c>
      <c r="U235" s="45">
        <v>5.1</v>
      </c>
      <c r="V235" s="45">
        <v>5.3</v>
      </c>
      <c r="W235" s="45">
        <v>5.2</v>
      </c>
      <c r="X235" s="45">
        <v>4.1</v>
      </c>
      <c r="Y235" s="45">
        <v>4.2</v>
      </c>
      <c r="Z235" s="45">
        <v>3.6</v>
      </c>
      <c r="AA235" s="45">
        <v>4.2</v>
      </c>
      <c r="AB235" s="45">
        <v>3.7</v>
      </c>
      <c r="AC235" s="45">
        <v>4.2</v>
      </c>
      <c r="AD235" s="45">
        <v>5.1</v>
      </c>
      <c r="AE235" s="45">
        <v>4.6</v>
      </c>
      <c r="AF235" s="45">
        <v>5.5</v>
      </c>
      <c r="AG235" s="45">
        <v>5.2</v>
      </c>
      <c r="AH235" s="45">
        <v>5.4</v>
      </c>
      <c r="AI235" s="45">
        <v>5.2</v>
      </c>
      <c r="AJ235" s="45">
        <v>4.3</v>
      </c>
      <c r="AK235" s="45">
        <v>4.8</v>
      </c>
      <c r="AL235" s="45">
        <v>4.9</v>
      </c>
      <c r="AM235" s="45">
        <v>4.8</v>
      </c>
      <c r="AN235" s="45">
        <v>5.7</v>
      </c>
      <c r="AO235" s="45">
        <v>4.3</v>
      </c>
      <c r="AP235" s="45">
        <v>4.9</v>
      </c>
      <c r="AQ235" s="45">
        <v>3.5</v>
      </c>
      <c r="AR235" s="45">
        <v>1.5</v>
      </c>
      <c r="AS235" s="45">
        <v>0</v>
      </c>
      <c r="AT235" s="45">
        <v>0</v>
      </c>
      <c r="AU235" s="45">
        <v>0</v>
      </c>
      <c r="AV235" s="45">
        <v>0</v>
      </c>
      <c r="AW235" s="45">
        <v>0</v>
      </c>
      <c r="AX235" s="45">
        <v>0</v>
      </c>
      <c r="AY235" s="45">
        <v>0</v>
      </c>
      <c r="AZ235" s="45">
        <v>0</v>
      </c>
      <c r="BA235" s="45">
        <v>0</v>
      </c>
      <c r="BB235" s="45">
        <v>0</v>
      </c>
      <c r="BC235" s="45">
        <v>0</v>
      </c>
      <c r="BD235" s="45">
        <v>0</v>
      </c>
      <c r="BE235" s="45">
        <v>0</v>
      </c>
      <c r="BF235" s="45">
        <v>0</v>
      </c>
      <c r="BG235" s="45">
        <v>0</v>
      </c>
    </row>
    <row r="236" spans="1:59">
      <c r="A236" s="18" t="s">
        <v>194</v>
      </c>
      <c r="B236" s="18" t="s">
        <v>190</v>
      </c>
      <c r="C236" s="18" t="s">
        <v>74</v>
      </c>
      <c r="D236" s="45">
        <v>0</v>
      </c>
      <c r="E236" s="45">
        <v>0</v>
      </c>
      <c r="F236" s="45">
        <v>0</v>
      </c>
      <c r="G236" s="45">
        <v>0</v>
      </c>
      <c r="H236" s="45">
        <v>0</v>
      </c>
      <c r="I236" s="45">
        <v>10.2</v>
      </c>
      <c r="J236" s="45">
        <v>3.3</v>
      </c>
      <c r="K236" s="45">
        <v>4.3</v>
      </c>
      <c r="L236" s="45">
        <v>3.8</v>
      </c>
      <c r="M236" s="45">
        <v>4.5</v>
      </c>
      <c r="N236" s="45">
        <v>4.9</v>
      </c>
      <c r="O236" s="45">
        <v>7</v>
      </c>
      <c r="P236" s="45">
        <v>6.1</v>
      </c>
      <c r="Q236" s="45">
        <v>7.9</v>
      </c>
      <c r="R236" s="45">
        <v>8.199999999999999</v>
      </c>
      <c r="S236" s="45">
        <v>8.4</v>
      </c>
      <c r="T236" s="45">
        <v>7.9</v>
      </c>
      <c r="U236" s="45">
        <v>6.5</v>
      </c>
      <c r="V236" s="45">
        <v>6.6</v>
      </c>
      <c r="W236" s="45">
        <v>5.9</v>
      </c>
      <c r="X236" s="45">
        <v>5.5</v>
      </c>
      <c r="Y236" s="45">
        <v>4.9</v>
      </c>
      <c r="Z236" s="45">
        <v>5.3</v>
      </c>
      <c r="AA236" s="45">
        <v>3.2</v>
      </c>
      <c r="AB236" s="45">
        <v>2.7</v>
      </c>
      <c r="AC236" s="45">
        <v>3.8</v>
      </c>
      <c r="AD236" s="45">
        <v>4.6</v>
      </c>
      <c r="AE236" s="45">
        <v>5.5</v>
      </c>
      <c r="AF236" s="45">
        <v>4.9</v>
      </c>
      <c r="AG236" s="45">
        <v>4.4</v>
      </c>
      <c r="AH236" s="45">
        <v>5.1</v>
      </c>
      <c r="AI236" s="45">
        <v>4.5</v>
      </c>
      <c r="AJ236" s="45">
        <v>4.3</v>
      </c>
      <c r="AK236" s="45">
        <v>4.8</v>
      </c>
      <c r="AL236" s="45">
        <v>4.5</v>
      </c>
      <c r="AM236" s="45">
        <v>5</v>
      </c>
      <c r="AN236" s="45">
        <v>4.8</v>
      </c>
      <c r="AO236" s="45">
        <v>4.7</v>
      </c>
      <c r="AP236" s="45">
        <v>4.4</v>
      </c>
      <c r="AQ236" s="45">
        <v>2.5</v>
      </c>
      <c r="AR236" s="45">
        <v>1.6</v>
      </c>
      <c r="AS236" s="45">
        <v>0</v>
      </c>
      <c r="AT236" s="45">
        <v>0</v>
      </c>
      <c r="AU236" s="45">
        <v>0</v>
      </c>
      <c r="AV236" s="45">
        <v>0</v>
      </c>
      <c r="AW236" s="45">
        <v>0</v>
      </c>
      <c r="AX236" s="45">
        <v>0</v>
      </c>
      <c r="AY236" s="45">
        <v>0</v>
      </c>
      <c r="AZ236" s="45">
        <v>0</v>
      </c>
      <c r="BA236" s="45">
        <v>0</v>
      </c>
      <c r="BB236" s="45">
        <v>0</v>
      </c>
      <c r="BC236" s="45">
        <v>0</v>
      </c>
      <c r="BD236" s="45">
        <v>0</v>
      </c>
      <c r="BE236" s="45">
        <v>0</v>
      </c>
      <c r="BF236" s="45">
        <v>0</v>
      </c>
      <c r="BG236" s="45">
        <v>0</v>
      </c>
    </row>
    <row r="237" spans="1:59">
      <c r="A237" s="18" t="s">
        <v>195</v>
      </c>
      <c r="B237" s="18" t="s">
        <v>190</v>
      </c>
      <c r="C237" s="18" t="s">
        <v>76</v>
      </c>
      <c r="D237" s="45">
        <v>0</v>
      </c>
      <c r="E237" s="45">
        <v>0</v>
      </c>
      <c r="F237" s="45">
        <v>0</v>
      </c>
      <c r="G237" s="45">
        <v>0</v>
      </c>
      <c r="H237" s="45">
        <v>0</v>
      </c>
      <c r="I237" s="45">
        <v>11.5</v>
      </c>
      <c r="J237" s="45">
        <v>4.2</v>
      </c>
      <c r="K237" s="45">
        <v>4.7</v>
      </c>
      <c r="L237" s="45">
        <v>5.1</v>
      </c>
      <c r="M237" s="45">
        <v>7.1</v>
      </c>
      <c r="N237" s="45">
        <v>7.6</v>
      </c>
      <c r="O237" s="45">
        <v>9.6</v>
      </c>
      <c r="P237" s="45">
        <v>12</v>
      </c>
      <c r="Q237" s="45">
        <v>9.9</v>
      </c>
      <c r="R237" s="45">
        <v>9.699999999999999</v>
      </c>
      <c r="S237" s="45">
        <v>10.1</v>
      </c>
      <c r="T237" s="45">
        <v>10.1</v>
      </c>
      <c r="U237" s="45">
        <v>9.4</v>
      </c>
      <c r="V237" s="45">
        <v>10.3</v>
      </c>
      <c r="W237" s="45">
        <v>11.1</v>
      </c>
      <c r="X237" s="45">
        <v>10.9</v>
      </c>
      <c r="Y237" s="45">
        <v>8.300000000000001</v>
      </c>
      <c r="Z237" s="45">
        <v>5.5</v>
      </c>
      <c r="AA237" s="45">
        <v>3.3</v>
      </c>
      <c r="AB237" s="45">
        <v>4.4</v>
      </c>
      <c r="AC237" s="45">
        <v>5.8</v>
      </c>
      <c r="AD237" s="45">
        <v>5.8</v>
      </c>
      <c r="AE237" s="45">
        <v>6.5</v>
      </c>
      <c r="AF237" s="45">
        <v>6</v>
      </c>
      <c r="AG237" s="45">
        <v>5.5</v>
      </c>
      <c r="AH237" s="45">
        <v>5.8</v>
      </c>
      <c r="AI237" s="45">
        <v>6.3</v>
      </c>
      <c r="AJ237" s="45">
        <v>4.4</v>
      </c>
      <c r="AK237" s="45">
        <v>5.3</v>
      </c>
      <c r="AL237" s="45">
        <v>6.2</v>
      </c>
      <c r="AM237" s="45">
        <v>5.5</v>
      </c>
      <c r="AN237" s="45">
        <v>5.9</v>
      </c>
      <c r="AO237" s="45">
        <v>5.1</v>
      </c>
      <c r="AP237" s="45">
        <v>4.2</v>
      </c>
      <c r="AQ237" s="45">
        <v>2.7</v>
      </c>
      <c r="AR237" s="45">
        <v>1.1</v>
      </c>
      <c r="AS237" s="45">
        <v>0</v>
      </c>
      <c r="AT237" s="45">
        <v>0</v>
      </c>
      <c r="AU237" s="45">
        <v>0</v>
      </c>
      <c r="AV237" s="45">
        <v>0</v>
      </c>
      <c r="AW237" s="45">
        <v>0</v>
      </c>
      <c r="AX237" s="45">
        <v>0</v>
      </c>
      <c r="AY237" s="45">
        <v>0</v>
      </c>
      <c r="AZ237" s="45">
        <v>0</v>
      </c>
      <c r="BA237" s="45">
        <v>0</v>
      </c>
      <c r="BB237" s="45">
        <v>0</v>
      </c>
      <c r="BC237" s="45">
        <v>0</v>
      </c>
      <c r="BD237" s="45">
        <v>0</v>
      </c>
      <c r="BE237" s="45">
        <v>0</v>
      </c>
      <c r="BF237" s="45">
        <v>0</v>
      </c>
      <c r="BG237" s="45">
        <v>0</v>
      </c>
    </row>
    <row r="238" spans="1:59">
      <c r="A238" s="18" t="s">
        <v>196</v>
      </c>
      <c r="B238" s="18" t="s">
        <v>190</v>
      </c>
      <c r="C238" s="18" t="s">
        <v>78</v>
      </c>
      <c r="D238" s="45">
        <v>0</v>
      </c>
      <c r="E238" s="45">
        <v>0</v>
      </c>
      <c r="F238" s="45">
        <v>0</v>
      </c>
      <c r="G238" s="45">
        <v>0</v>
      </c>
      <c r="H238" s="45">
        <v>0</v>
      </c>
      <c r="I238" s="45">
        <v>10</v>
      </c>
      <c r="J238" s="45">
        <v>3.5</v>
      </c>
      <c r="K238" s="45">
        <v>2.5</v>
      </c>
      <c r="L238" s="45">
        <v>2.5</v>
      </c>
      <c r="M238" s="45">
        <v>4.2</v>
      </c>
      <c r="N238" s="45">
        <v>4.5</v>
      </c>
      <c r="O238" s="45">
        <v>6.1</v>
      </c>
      <c r="P238" s="45">
        <v>6.8</v>
      </c>
      <c r="Q238" s="45">
        <v>6.7</v>
      </c>
      <c r="R238" s="45">
        <v>5.3</v>
      </c>
      <c r="S238" s="45">
        <v>4.9</v>
      </c>
      <c r="T238" s="45">
        <v>4.9</v>
      </c>
      <c r="U238" s="45">
        <v>5.1</v>
      </c>
      <c r="V238" s="45">
        <v>6.1</v>
      </c>
      <c r="W238" s="45">
        <v>6.2</v>
      </c>
      <c r="X238" s="45">
        <v>7.7</v>
      </c>
      <c r="Y238" s="45">
        <v>4.6</v>
      </c>
      <c r="Z238" s="45">
        <v>3.8</v>
      </c>
      <c r="AA238" s="45">
        <v>2.7</v>
      </c>
      <c r="AB238" s="45">
        <v>3.4</v>
      </c>
      <c r="AC238" s="45">
        <v>3.8</v>
      </c>
      <c r="AD238" s="45">
        <v>4.2</v>
      </c>
      <c r="AE238" s="45">
        <v>4.6</v>
      </c>
      <c r="AF238" s="45">
        <v>4.5</v>
      </c>
      <c r="AG238" s="45">
        <v>4.5</v>
      </c>
      <c r="AH238" s="45">
        <v>4.6</v>
      </c>
      <c r="AI238" s="45">
        <v>4.3</v>
      </c>
      <c r="AJ238" s="45">
        <v>4.4</v>
      </c>
      <c r="AK238" s="45">
        <v>4</v>
      </c>
      <c r="AL238" s="45">
        <v>5.1</v>
      </c>
      <c r="AM238" s="45">
        <v>4.3</v>
      </c>
      <c r="AN238" s="45">
        <v>4.7</v>
      </c>
      <c r="AO238" s="45">
        <v>4.7</v>
      </c>
      <c r="AP238" s="45">
        <v>3.1</v>
      </c>
      <c r="AQ238" s="45">
        <v>1.9</v>
      </c>
      <c r="AR238" s="45">
        <v>1.1</v>
      </c>
      <c r="AS238" s="45">
        <v>0</v>
      </c>
      <c r="AT238" s="45">
        <v>0</v>
      </c>
      <c r="AU238" s="45">
        <v>0</v>
      </c>
      <c r="AV238" s="45">
        <v>0</v>
      </c>
      <c r="AW238" s="45">
        <v>0</v>
      </c>
      <c r="AX238" s="45">
        <v>0</v>
      </c>
      <c r="AY238" s="45">
        <v>0</v>
      </c>
      <c r="AZ238" s="45">
        <v>0</v>
      </c>
      <c r="BA238" s="45">
        <v>0</v>
      </c>
      <c r="BB238" s="45">
        <v>0</v>
      </c>
      <c r="BC238" s="45">
        <v>0</v>
      </c>
      <c r="BD238" s="45">
        <v>0</v>
      </c>
      <c r="BE238" s="45">
        <v>0</v>
      </c>
      <c r="BF238" s="45">
        <v>0</v>
      </c>
      <c r="BG238" s="45">
        <v>0</v>
      </c>
    </row>
    <row r="239" spans="1:59">
      <c r="A239" s="18" t="s">
        <v>197</v>
      </c>
      <c r="B239" s="18" t="s">
        <v>190</v>
      </c>
      <c r="C239" s="18" t="s">
        <v>80</v>
      </c>
      <c r="D239" s="45">
        <v>0</v>
      </c>
      <c r="E239" s="45">
        <v>0</v>
      </c>
      <c r="F239" s="45">
        <v>0</v>
      </c>
      <c r="G239" s="45">
        <v>0</v>
      </c>
      <c r="H239" s="45">
        <v>0</v>
      </c>
      <c r="I239" s="45">
        <v>10.4</v>
      </c>
      <c r="J239" s="45">
        <v>1.8</v>
      </c>
      <c r="K239" s="45">
        <v>2.3</v>
      </c>
      <c r="L239" s="45">
        <v>2.2</v>
      </c>
      <c r="M239" s="45">
        <v>2.9</v>
      </c>
      <c r="N239" s="45">
        <v>3.2</v>
      </c>
      <c r="O239" s="45">
        <v>3.8</v>
      </c>
      <c r="P239" s="45">
        <v>4.9</v>
      </c>
      <c r="Q239" s="45">
        <v>5.6</v>
      </c>
      <c r="R239" s="45">
        <v>5.1</v>
      </c>
      <c r="S239" s="45">
        <v>5</v>
      </c>
      <c r="T239" s="45">
        <v>4.8</v>
      </c>
      <c r="U239" s="45">
        <v>4.5</v>
      </c>
      <c r="V239" s="45">
        <v>4.9</v>
      </c>
      <c r="W239" s="45">
        <v>4.7</v>
      </c>
      <c r="X239" s="45">
        <v>4.6</v>
      </c>
      <c r="Y239" s="45">
        <v>4.4</v>
      </c>
      <c r="Z239" s="45">
        <v>3.6</v>
      </c>
      <c r="AA239" s="45">
        <v>2.9</v>
      </c>
      <c r="AB239" s="45">
        <v>3.1</v>
      </c>
      <c r="AC239" s="45">
        <v>3.8</v>
      </c>
      <c r="AD239" s="45">
        <v>5</v>
      </c>
      <c r="AE239" s="45">
        <v>3.9</v>
      </c>
      <c r="AF239" s="45">
        <v>4.5</v>
      </c>
      <c r="AG239" s="45">
        <v>4</v>
      </c>
      <c r="AH239" s="45">
        <v>3</v>
      </c>
      <c r="AI239" s="45">
        <v>3.6</v>
      </c>
      <c r="AJ239" s="45">
        <v>3.2</v>
      </c>
      <c r="AK239" s="45">
        <v>3.2</v>
      </c>
      <c r="AL239" s="45">
        <v>3.4</v>
      </c>
      <c r="AM239" s="45">
        <v>4.4</v>
      </c>
      <c r="AN239" s="45">
        <v>4.3</v>
      </c>
      <c r="AO239" s="45">
        <v>3.2</v>
      </c>
      <c r="AP239" s="45">
        <v>3.2</v>
      </c>
      <c r="AQ239" s="45">
        <v>2.3</v>
      </c>
      <c r="AR239" s="45">
        <v>1.5</v>
      </c>
      <c r="AS239" s="45">
        <v>0</v>
      </c>
      <c r="AT239" s="45">
        <v>0</v>
      </c>
      <c r="AU239" s="45">
        <v>0</v>
      </c>
      <c r="AV239" s="45">
        <v>0</v>
      </c>
      <c r="AW239" s="45">
        <v>0</v>
      </c>
      <c r="AX239" s="45">
        <v>0</v>
      </c>
      <c r="AY239" s="45">
        <v>0</v>
      </c>
      <c r="AZ239" s="45">
        <v>0</v>
      </c>
      <c r="BA239" s="45">
        <v>0</v>
      </c>
      <c r="BB239" s="45">
        <v>0</v>
      </c>
      <c r="BC239" s="45">
        <v>0</v>
      </c>
      <c r="BD239" s="45">
        <v>0</v>
      </c>
      <c r="BE239" s="45">
        <v>0</v>
      </c>
      <c r="BF239" s="45">
        <v>0</v>
      </c>
      <c r="BG239" s="45">
        <v>0</v>
      </c>
    </row>
    <row r="240" spans="1:59">
      <c r="A240" s="18" t="s">
        <v>198</v>
      </c>
      <c r="B240" s="18" t="s">
        <v>190</v>
      </c>
      <c r="C240" s="18" t="s">
        <v>82</v>
      </c>
      <c r="D240" s="45">
        <v>0</v>
      </c>
      <c r="E240" s="45">
        <v>0</v>
      </c>
      <c r="F240" s="45">
        <v>0</v>
      </c>
      <c r="G240" s="45">
        <v>0</v>
      </c>
      <c r="H240" s="45">
        <v>0</v>
      </c>
      <c r="I240" s="45">
        <v>10.2</v>
      </c>
      <c r="J240" s="45">
        <v>1.9</v>
      </c>
      <c r="K240" s="45">
        <v>2.2</v>
      </c>
      <c r="L240" s="45">
        <v>3.2</v>
      </c>
      <c r="M240" s="45">
        <v>4.3</v>
      </c>
      <c r="N240" s="45">
        <v>5.3</v>
      </c>
      <c r="O240" s="45">
        <v>5.2</v>
      </c>
      <c r="P240" s="45">
        <v>5.6</v>
      </c>
      <c r="Q240" s="45">
        <v>6.1</v>
      </c>
      <c r="R240" s="45">
        <v>6.7</v>
      </c>
      <c r="S240" s="45">
        <v>7.5</v>
      </c>
      <c r="T240" s="45">
        <v>6.5</v>
      </c>
      <c r="U240" s="45">
        <v>6.4</v>
      </c>
      <c r="V240" s="45">
        <v>6.2</v>
      </c>
      <c r="W240" s="45">
        <v>5.2</v>
      </c>
      <c r="X240" s="45">
        <v>7</v>
      </c>
      <c r="Y240" s="45">
        <v>5.8</v>
      </c>
      <c r="Z240" s="45">
        <v>5.5</v>
      </c>
      <c r="AA240" s="45">
        <v>3.3</v>
      </c>
      <c r="AB240" s="45">
        <v>4.4</v>
      </c>
      <c r="AC240" s="45">
        <v>5.2</v>
      </c>
      <c r="AD240" s="45">
        <v>5.5</v>
      </c>
      <c r="AE240" s="45">
        <v>5.1</v>
      </c>
      <c r="AF240" s="45">
        <v>4.8</v>
      </c>
      <c r="AG240" s="45">
        <v>4.2</v>
      </c>
      <c r="AH240" s="45">
        <v>4.4</v>
      </c>
      <c r="AI240" s="45">
        <v>3.9</v>
      </c>
      <c r="AJ240" s="45">
        <v>4.5</v>
      </c>
      <c r="AK240" s="45">
        <v>4.9</v>
      </c>
      <c r="AL240" s="45">
        <v>5.9</v>
      </c>
      <c r="AM240" s="45">
        <v>5.8</v>
      </c>
      <c r="AN240" s="45">
        <v>6.5</v>
      </c>
      <c r="AO240" s="45">
        <v>5</v>
      </c>
      <c r="AP240" s="45">
        <v>3.6</v>
      </c>
      <c r="AQ240" s="45">
        <v>3.4</v>
      </c>
      <c r="AR240" s="45">
        <v>1.6</v>
      </c>
      <c r="AS240" s="45">
        <v>0</v>
      </c>
      <c r="AT240" s="45">
        <v>0</v>
      </c>
      <c r="AU240" s="45">
        <v>0</v>
      </c>
      <c r="AV240" s="45">
        <v>0</v>
      </c>
      <c r="AW240" s="45">
        <v>0</v>
      </c>
      <c r="AX240" s="45">
        <v>0</v>
      </c>
      <c r="AY240" s="45">
        <v>0</v>
      </c>
      <c r="AZ240" s="45">
        <v>0</v>
      </c>
      <c r="BA240" s="45">
        <v>0</v>
      </c>
      <c r="BB240" s="45">
        <v>0</v>
      </c>
      <c r="BC240" s="45">
        <v>0</v>
      </c>
      <c r="BD240" s="45">
        <v>0</v>
      </c>
      <c r="BE240" s="45">
        <v>0</v>
      </c>
      <c r="BF240" s="45">
        <v>0</v>
      </c>
      <c r="BG240" s="45">
        <v>0</v>
      </c>
    </row>
    <row r="241" spans="1:60">
      <c r="A241" s="18" t="s">
        <v>199</v>
      </c>
      <c r="B241" s="18" t="s">
        <v>190</v>
      </c>
      <c r="C241" s="18" t="s">
        <v>84</v>
      </c>
      <c r="D241" s="45">
        <v>0</v>
      </c>
      <c r="E241" s="45">
        <v>0</v>
      </c>
      <c r="F241" s="45">
        <v>0</v>
      </c>
      <c r="G241" s="45">
        <v>0</v>
      </c>
      <c r="H241" s="45">
        <v>0</v>
      </c>
      <c r="I241" s="45">
        <v>9.6</v>
      </c>
      <c r="J241" s="45">
        <v>2.4</v>
      </c>
      <c r="K241" s="45">
        <v>2</v>
      </c>
      <c r="L241" s="45">
        <v>2.4</v>
      </c>
      <c r="M241" s="45">
        <v>2.9</v>
      </c>
      <c r="N241" s="45">
        <v>4.9</v>
      </c>
      <c r="O241" s="45">
        <v>4.5</v>
      </c>
      <c r="P241" s="45">
        <v>6.6</v>
      </c>
      <c r="Q241" s="45">
        <v>7.1</v>
      </c>
      <c r="R241" s="45">
        <v>6.7</v>
      </c>
      <c r="S241" s="45">
        <v>5.7</v>
      </c>
      <c r="T241" s="45">
        <v>5.8</v>
      </c>
      <c r="U241" s="45">
        <v>5.2</v>
      </c>
      <c r="V241" s="45">
        <v>6.1</v>
      </c>
      <c r="W241" s="45">
        <v>6</v>
      </c>
      <c r="X241" s="45">
        <v>6</v>
      </c>
      <c r="Y241" s="45">
        <v>5.8</v>
      </c>
      <c r="Z241" s="45">
        <v>4.9</v>
      </c>
      <c r="AA241" s="45">
        <v>3.8</v>
      </c>
      <c r="AB241" s="45">
        <v>3.4</v>
      </c>
      <c r="AC241" s="45">
        <v>4.7</v>
      </c>
      <c r="AD241" s="45">
        <v>7.1</v>
      </c>
      <c r="AE241" s="45">
        <v>6.7</v>
      </c>
      <c r="AF241" s="45">
        <v>6.3</v>
      </c>
      <c r="AG241" s="45">
        <v>6.1</v>
      </c>
      <c r="AH241" s="45">
        <v>5.7</v>
      </c>
      <c r="AI241" s="45">
        <v>6.3</v>
      </c>
      <c r="AJ241" s="45">
        <v>5.1</v>
      </c>
      <c r="AK241" s="45">
        <v>5.3</v>
      </c>
      <c r="AL241" s="45">
        <v>6.1</v>
      </c>
      <c r="AM241" s="45">
        <v>6.4</v>
      </c>
      <c r="AN241" s="45">
        <v>6.5</v>
      </c>
      <c r="AO241" s="45">
        <v>5.8</v>
      </c>
      <c r="AP241" s="45">
        <v>6</v>
      </c>
      <c r="AQ241" s="45">
        <v>4.3</v>
      </c>
      <c r="AR241" s="45">
        <v>1.9</v>
      </c>
      <c r="AS241" s="45">
        <v>0</v>
      </c>
      <c r="AT241" s="45">
        <v>0</v>
      </c>
      <c r="AU241" s="45">
        <v>0</v>
      </c>
      <c r="AV241" s="45">
        <v>0</v>
      </c>
      <c r="AW241" s="45">
        <v>0</v>
      </c>
      <c r="AX241" s="45">
        <v>0</v>
      </c>
      <c r="AY241" s="45">
        <v>0</v>
      </c>
      <c r="AZ241" s="45">
        <v>0</v>
      </c>
      <c r="BA241" s="45">
        <v>0</v>
      </c>
      <c r="BB241" s="45">
        <v>0</v>
      </c>
      <c r="BC241" s="45">
        <v>0</v>
      </c>
      <c r="BD241" s="45">
        <v>0</v>
      </c>
      <c r="BE241" s="45">
        <v>0</v>
      </c>
      <c r="BF241" s="45">
        <v>0</v>
      </c>
      <c r="BG241" s="45">
        <v>0</v>
      </c>
    </row>
    <row r="242" spans="1:60">
      <c r="A242" s="18" t="s">
        <v>200</v>
      </c>
      <c r="B242" s="18" t="s">
        <v>190</v>
      </c>
      <c r="C242" s="18" t="s">
        <v>86</v>
      </c>
      <c r="D242" s="45">
        <v>0</v>
      </c>
      <c r="E242" s="45">
        <v>0</v>
      </c>
      <c r="F242" s="45">
        <v>0</v>
      </c>
      <c r="G242" s="45">
        <v>0</v>
      </c>
      <c r="H242" s="45">
        <v>0</v>
      </c>
      <c r="I242" s="45">
        <v>5.8</v>
      </c>
      <c r="J242" s="45">
        <v>4</v>
      </c>
      <c r="K242" s="45">
        <v>1.7</v>
      </c>
      <c r="L242" s="45">
        <v>1.7</v>
      </c>
      <c r="M242" s="45">
        <v>2.5</v>
      </c>
      <c r="N242" s="45">
        <v>8.6</v>
      </c>
      <c r="O242" s="45">
        <v>7.3</v>
      </c>
      <c r="P242" s="45">
        <v>5.7</v>
      </c>
      <c r="Q242" s="45">
        <v>5.2</v>
      </c>
      <c r="R242" s="45">
        <v>5.9</v>
      </c>
      <c r="S242" s="45">
        <v>7.4</v>
      </c>
      <c r="T242" s="45">
        <v>8.5</v>
      </c>
      <c r="U242" s="45">
        <v>5.8</v>
      </c>
      <c r="V242" s="45">
        <v>6.3</v>
      </c>
      <c r="W242" s="45">
        <v>9</v>
      </c>
      <c r="X242" s="45">
        <v>7.4</v>
      </c>
      <c r="Y242" s="45">
        <v>5.1</v>
      </c>
      <c r="Z242" s="45">
        <v>4.8</v>
      </c>
      <c r="AA242" s="45">
        <v>3.5</v>
      </c>
      <c r="AB242" s="45">
        <v>4.2</v>
      </c>
      <c r="AC242" s="45">
        <v>6.9</v>
      </c>
      <c r="AD242" s="45">
        <v>7.7</v>
      </c>
      <c r="AE242" s="45">
        <v>6</v>
      </c>
      <c r="AF242" s="45">
        <v>6.7</v>
      </c>
      <c r="AG242" s="45">
        <v>6.2</v>
      </c>
      <c r="AH242" s="45">
        <v>4.2</v>
      </c>
      <c r="AI242" s="45">
        <v>4.2</v>
      </c>
      <c r="AJ242" s="45">
        <v>5.4</v>
      </c>
      <c r="AK242" s="45">
        <v>4.4</v>
      </c>
      <c r="AL242" s="45">
        <v>3.2</v>
      </c>
      <c r="AM242" s="45">
        <v>7.6</v>
      </c>
      <c r="AN242" s="45">
        <v>5.2</v>
      </c>
      <c r="AO242" s="45">
        <v>3.9</v>
      </c>
      <c r="AP242" s="45">
        <v>4.1</v>
      </c>
      <c r="AQ242" s="45">
        <v>4.8</v>
      </c>
      <c r="AR242" s="45">
        <v>7.5</v>
      </c>
      <c r="AS242" s="45">
        <v>15.2</v>
      </c>
      <c r="AT242" s="45">
        <v>0</v>
      </c>
      <c r="AU242" s="45">
        <v>0</v>
      </c>
      <c r="AV242" s="45">
        <v>0</v>
      </c>
      <c r="AW242" s="45">
        <v>0</v>
      </c>
      <c r="AX242" s="45">
        <v>0</v>
      </c>
      <c r="AY242" s="45">
        <v>0</v>
      </c>
      <c r="AZ242" s="45">
        <v>0</v>
      </c>
      <c r="BA242" s="45">
        <v>0</v>
      </c>
      <c r="BB242" s="45">
        <v>0</v>
      </c>
      <c r="BC242" s="45">
        <v>0</v>
      </c>
      <c r="BD242" s="45">
        <v>0</v>
      </c>
      <c r="BE242" s="45">
        <v>0</v>
      </c>
      <c r="BF242" s="45">
        <v>0</v>
      </c>
      <c r="BG242" s="45">
        <v>0</v>
      </c>
    </row>
    <row r="243" spans="1:60">
      <c r="A243" s="18" t="s">
        <v>201</v>
      </c>
      <c r="B243" s="18" t="s">
        <v>190</v>
      </c>
      <c r="C243" s="18" t="s">
        <v>88</v>
      </c>
      <c r="D243" s="45">
        <v>0</v>
      </c>
      <c r="E243" s="45">
        <v>0</v>
      </c>
      <c r="F243" s="45">
        <v>0</v>
      </c>
      <c r="G243" s="45">
        <v>0</v>
      </c>
      <c r="H243" s="45">
        <v>0</v>
      </c>
      <c r="I243" s="45">
        <v>5.4</v>
      </c>
      <c r="J243" s="45">
        <v>1.9</v>
      </c>
      <c r="K243" s="45">
        <v>2.4</v>
      </c>
      <c r="L243" s="45">
        <v>2.7</v>
      </c>
      <c r="M243" s="45">
        <v>3.2</v>
      </c>
      <c r="N243" s="45">
        <v>4.2</v>
      </c>
      <c r="O243" s="45">
        <v>4.4</v>
      </c>
      <c r="P243" s="45">
        <v>4.3</v>
      </c>
      <c r="Q243" s="45">
        <v>4.2</v>
      </c>
      <c r="R243" s="45">
        <v>5.9</v>
      </c>
      <c r="S243" s="45">
        <v>5.5</v>
      </c>
      <c r="T243" s="45">
        <v>6.6</v>
      </c>
      <c r="U243" s="45">
        <v>6.5</v>
      </c>
      <c r="V243" s="45">
        <v>6.1</v>
      </c>
      <c r="W243" s="45">
        <v>6.4</v>
      </c>
      <c r="X243" s="45">
        <v>7.2</v>
      </c>
      <c r="Y243" s="45">
        <v>6.8</v>
      </c>
      <c r="Z243" s="45">
        <v>5.1</v>
      </c>
      <c r="AA243" s="45">
        <v>3.5</v>
      </c>
      <c r="AB243" s="45">
        <v>5.7</v>
      </c>
      <c r="AC243" s="45">
        <v>5.5</v>
      </c>
      <c r="AD243" s="45">
        <v>6.2</v>
      </c>
      <c r="AE243" s="45">
        <v>6.2</v>
      </c>
      <c r="AF243" s="45">
        <v>5.5</v>
      </c>
      <c r="AG243" s="45">
        <v>5.2</v>
      </c>
      <c r="AH243" s="45">
        <v>5.7</v>
      </c>
      <c r="AI243" s="45">
        <v>4.9</v>
      </c>
      <c r="AJ243" s="45">
        <v>5.4</v>
      </c>
      <c r="AK243" s="45">
        <v>7.4</v>
      </c>
      <c r="AL243" s="45">
        <v>5.8</v>
      </c>
      <c r="AM243" s="45">
        <v>6.4</v>
      </c>
      <c r="AN243" s="45">
        <v>7.3</v>
      </c>
      <c r="AO243" s="45">
        <v>7</v>
      </c>
      <c r="AP243" s="45">
        <v>7.9</v>
      </c>
      <c r="AQ243" s="45">
        <v>6.4</v>
      </c>
      <c r="AR243" s="45">
        <v>3.4</v>
      </c>
      <c r="AS243" s="45">
        <v>0</v>
      </c>
      <c r="AT243" s="45">
        <v>0</v>
      </c>
      <c r="AU243" s="45">
        <v>0</v>
      </c>
      <c r="AV243" s="45">
        <v>0</v>
      </c>
      <c r="AW243" s="45">
        <v>0</v>
      </c>
      <c r="AX243" s="45">
        <v>0</v>
      </c>
      <c r="AY243" s="45">
        <v>0</v>
      </c>
      <c r="AZ243" s="45">
        <v>0</v>
      </c>
      <c r="BA243" s="45">
        <v>0</v>
      </c>
      <c r="BB243" s="45">
        <v>0</v>
      </c>
      <c r="BC243" s="45">
        <v>0</v>
      </c>
      <c r="BD243" s="45">
        <v>0</v>
      </c>
      <c r="BE243" s="45">
        <v>0</v>
      </c>
      <c r="BF243" s="45">
        <v>0</v>
      </c>
      <c r="BG243" s="45">
        <v>0</v>
      </c>
    </row>
    <row r="244" spans="1:60">
      <c r="A244" s="18" t="s">
        <v>202</v>
      </c>
      <c r="B244" s="18" t="s">
        <v>190</v>
      </c>
      <c r="C244" s="18" t="s">
        <v>90</v>
      </c>
      <c r="D244" s="45">
        <v>0</v>
      </c>
      <c r="E244" s="45">
        <v>0</v>
      </c>
      <c r="F244" s="45">
        <v>0</v>
      </c>
      <c r="G244" s="45">
        <v>0</v>
      </c>
      <c r="H244" s="45">
        <v>18.8</v>
      </c>
      <c r="I244" s="45">
        <v>8.4</v>
      </c>
      <c r="J244" s="45">
        <v>3.2</v>
      </c>
      <c r="K244" s="45">
        <v>4.1</v>
      </c>
      <c r="L244" s="45">
        <v>4.2</v>
      </c>
      <c r="M244" s="45">
        <v>4.6</v>
      </c>
      <c r="N244" s="45">
        <v>5.6</v>
      </c>
      <c r="O244" s="45">
        <v>7</v>
      </c>
      <c r="P244" s="45">
        <v>6.7</v>
      </c>
      <c r="Q244" s="45">
        <v>8.800000000000001</v>
      </c>
      <c r="R244" s="45">
        <v>8</v>
      </c>
      <c r="S244" s="45">
        <v>7.4</v>
      </c>
      <c r="T244" s="45">
        <v>7.8</v>
      </c>
      <c r="U244" s="45">
        <v>7.6</v>
      </c>
      <c r="V244" s="45">
        <v>8</v>
      </c>
      <c r="W244" s="45">
        <v>8.300000000000001</v>
      </c>
      <c r="X244" s="45">
        <v>6.8</v>
      </c>
      <c r="Y244" s="45">
        <v>7.1</v>
      </c>
      <c r="Z244" s="45">
        <v>5.4</v>
      </c>
      <c r="AA244" s="45">
        <v>4.5</v>
      </c>
      <c r="AB244" s="45">
        <v>6.4</v>
      </c>
      <c r="AC244" s="45">
        <v>6.6</v>
      </c>
      <c r="AD244" s="45">
        <v>6.5</v>
      </c>
      <c r="AE244" s="45">
        <v>6.2</v>
      </c>
      <c r="AF244" s="45">
        <v>6</v>
      </c>
      <c r="AG244" s="45">
        <v>6.9</v>
      </c>
      <c r="AH244" s="45">
        <v>6.7</v>
      </c>
      <c r="AI244" s="45">
        <v>7.1</v>
      </c>
      <c r="AJ244" s="45">
        <v>6.6</v>
      </c>
      <c r="AK244" s="45">
        <v>6.6</v>
      </c>
      <c r="AL244" s="45">
        <v>6.6</v>
      </c>
      <c r="AM244" s="45">
        <v>5.8</v>
      </c>
      <c r="AN244" s="45">
        <v>5.5</v>
      </c>
      <c r="AO244" s="45">
        <v>5</v>
      </c>
      <c r="AP244" s="45">
        <v>5.3</v>
      </c>
      <c r="AQ244" s="45">
        <v>3.6</v>
      </c>
      <c r="AR244" s="45">
        <v>1.5</v>
      </c>
      <c r="AS244" s="45">
        <v>0</v>
      </c>
      <c r="AT244" s="45">
        <v>0</v>
      </c>
      <c r="AU244" s="45">
        <v>0</v>
      </c>
      <c r="AV244" s="45">
        <v>0</v>
      </c>
      <c r="AW244" s="45">
        <v>0</v>
      </c>
      <c r="AX244" s="45">
        <v>0</v>
      </c>
      <c r="AY244" s="45">
        <v>0</v>
      </c>
      <c r="AZ244" s="45">
        <v>0</v>
      </c>
      <c r="BA244" s="45">
        <v>0</v>
      </c>
      <c r="BB244" s="45">
        <v>0</v>
      </c>
      <c r="BC244" s="45">
        <v>0</v>
      </c>
      <c r="BD244" s="45">
        <v>0</v>
      </c>
      <c r="BE244" s="45">
        <v>0</v>
      </c>
      <c r="BF244" s="45">
        <v>0</v>
      </c>
      <c r="BG244" s="45">
        <v>0</v>
      </c>
    </row>
    <row r="247" spans="1:60">
      <c r="A247" s="6" t="s">
        <v>204</v>
      </c>
    </row>
    <row r="248" spans="1:60">
      <c r="A248" s="22" t="s">
        <v>3</v>
      </c>
      <c r="B248" s="22" t="s">
        <v>4</v>
      </c>
      <c r="C248" s="22" t="s">
        <v>5</v>
      </c>
      <c r="D248" s="22" t="s">
        <v>6</v>
      </c>
      <c r="E248" s="22" t="s">
        <v>7</v>
      </c>
      <c r="F248" s="22" t="s">
        <v>8</v>
      </c>
      <c r="G248" s="22" t="s">
        <v>9</v>
      </c>
      <c r="H248" s="22" t="s">
        <v>10</v>
      </c>
      <c r="I248" s="22" t="s">
        <v>11</v>
      </c>
      <c r="J248" s="22" t="s">
        <v>12</v>
      </c>
      <c r="K248" s="22" t="s">
        <v>13</v>
      </c>
      <c r="L248" s="22" t="s">
        <v>14</v>
      </c>
      <c r="M248" s="22" t="s">
        <v>15</v>
      </c>
      <c r="N248" s="22" t="s">
        <v>16</v>
      </c>
      <c r="O248" s="22" t="s">
        <v>17</v>
      </c>
      <c r="P248" s="22" t="s">
        <v>18</v>
      </c>
      <c r="Q248" s="22" t="s">
        <v>19</v>
      </c>
      <c r="R248" s="22" t="s">
        <v>20</v>
      </c>
      <c r="S248" s="22" t="s">
        <v>21</v>
      </c>
      <c r="T248" s="22" t="s">
        <v>22</v>
      </c>
      <c r="U248" s="22" t="s">
        <v>23</v>
      </c>
      <c r="V248" s="22" t="s">
        <v>24</v>
      </c>
      <c r="W248" s="22" t="s">
        <v>25</v>
      </c>
      <c r="X248" s="22" t="s">
        <v>26</v>
      </c>
      <c r="Y248" s="22" t="s">
        <v>27</v>
      </c>
      <c r="Z248" s="22" t="s">
        <v>28</v>
      </c>
      <c r="AA248" s="22" t="s">
        <v>29</v>
      </c>
      <c r="AB248" s="22" t="s">
        <v>30</v>
      </c>
      <c r="AC248" s="22" t="s">
        <v>31</v>
      </c>
      <c r="AD248" s="22" t="s">
        <v>32</v>
      </c>
      <c r="AE248" s="22" t="s">
        <v>33</v>
      </c>
      <c r="AF248" s="22" t="s">
        <v>34</v>
      </c>
      <c r="AG248" s="22" t="s">
        <v>35</v>
      </c>
      <c r="AH248" s="22" t="s">
        <v>36</v>
      </c>
      <c r="AI248" s="22" t="s">
        <v>37</v>
      </c>
      <c r="AJ248" s="22" t="s">
        <v>38</v>
      </c>
      <c r="AK248" s="22" t="s">
        <v>39</v>
      </c>
      <c r="AL248" s="22" t="s">
        <v>40</v>
      </c>
      <c r="AM248" s="22" t="s">
        <v>41</v>
      </c>
      <c r="AN248" s="22" t="s">
        <v>42</v>
      </c>
      <c r="AO248" s="22" t="s">
        <v>43</v>
      </c>
      <c r="AP248" s="22" t="s">
        <v>44</v>
      </c>
      <c r="AQ248" s="22" t="s">
        <v>45</v>
      </c>
      <c r="AR248" s="22" t="s">
        <v>46</v>
      </c>
      <c r="AS248" s="22" t="s">
        <v>47</v>
      </c>
      <c r="AT248" s="22" t="s">
        <v>48</v>
      </c>
      <c r="AU248" s="22" t="s">
        <v>49</v>
      </c>
      <c r="AV248" s="22" t="s">
        <v>50</v>
      </c>
      <c r="AW248" s="22" t="s">
        <v>51</v>
      </c>
      <c r="AX248" s="22" t="s">
        <v>52</v>
      </c>
      <c r="AY248" s="22" t="s">
        <v>53</v>
      </c>
      <c r="AZ248" s="22" t="s">
        <v>54</v>
      </c>
      <c r="BA248" s="22" t="s">
        <v>55</v>
      </c>
      <c r="BB248" s="22" t="s">
        <v>56</v>
      </c>
      <c r="BC248" s="22" t="s">
        <v>57</v>
      </c>
      <c r="BD248" s="22" t="s">
        <v>58</v>
      </c>
      <c r="BE248" s="22" t="s">
        <v>59</v>
      </c>
      <c r="BF248" s="22" t="s">
        <v>60</v>
      </c>
      <c r="BG248" s="22" t="s">
        <v>61</v>
      </c>
      <c r="BH248" s="22" t="s">
        <v>62</v>
      </c>
    </row>
    <row r="249" spans="1:60">
      <c r="A249" s="18" t="s">
        <v>64</v>
      </c>
      <c r="B249" s="18" t="s">
        <v>65</v>
      </c>
      <c r="C249" s="18" t="s">
        <v>66</v>
      </c>
      <c r="D249" s="45">
        <v>0</v>
      </c>
      <c r="E249" s="45">
        <v>0</v>
      </c>
      <c r="F249" s="45">
        <v>0</v>
      </c>
      <c r="G249" s="45">
        <v>9.699999999999999</v>
      </c>
      <c r="H249" s="45">
        <v>9.5</v>
      </c>
      <c r="I249" s="45">
        <v>7.2</v>
      </c>
      <c r="J249" s="45">
        <v>8.6</v>
      </c>
      <c r="K249" s="45">
        <v>8.800000000000001</v>
      </c>
      <c r="L249" s="45">
        <v>8.6</v>
      </c>
      <c r="M249" s="45">
        <v>8.1</v>
      </c>
      <c r="N249" s="45">
        <v>7.7</v>
      </c>
      <c r="O249" s="45">
        <v>7.3</v>
      </c>
      <c r="P249" s="45">
        <v>7.1</v>
      </c>
      <c r="Q249" s="45">
        <v>7</v>
      </c>
      <c r="R249" s="45">
        <v>7.2</v>
      </c>
      <c r="S249" s="45">
        <v>7.1</v>
      </c>
      <c r="T249" s="45">
        <v>7.1</v>
      </c>
      <c r="U249" s="45">
        <v>7.7</v>
      </c>
      <c r="V249" s="45">
        <v>8</v>
      </c>
      <c r="W249" s="45">
        <v>8.699999999999999</v>
      </c>
      <c r="X249" s="45">
        <v>8.9</v>
      </c>
      <c r="Y249" s="45">
        <v>8.9</v>
      </c>
      <c r="Z249" s="45">
        <v>8.6</v>
      </c>
      <c r="AA249" s="45">
        <v>8.800000000000001</v>
      </c>
      <c r="AB249" s="45">
        <v>8.199999999999999</v>
      </c>
      <c r="AC249" s="45">
        <v>7.8</v>
      </c>
      <c r="AD249" s="45">
        <v>7.7</v>
      </c>
      <c r="AE249" s="45">
        <v>7.6</v>
      </c>
      <c r="AF249" s="45">
        <v>7.5</v>
      </c>
      <c r="AG249" s="45">
        <v>7.5</v>
      </c>
      <c r="AH249" s="45">
        <v>7.5</v>
      </c>
      <c r="AI249" s="45">
        <v>7.6</v>
      </c>
      <c r="AJ249" s="45">
        <v>7.7</v>
      </c>
      <c r="AK249" s="45">
        <v>7.5</v>
      </c>
      <c r="AL249" s="45">
        <v>7.4</v>
      </c>
      <c r="AM249" s="45">
        <v>7.2</v>
      </c>
      <c r="AN249" s="45">
        <v>6.9</v>
      </c>
      <c r="AO249" s="45">
        <v>6.5</v>
      </c>
      <c r="AP249" s="45">
        <v>5.9</v>
      </c>
      <c r="AQ249" s="45">
        <v>5.6</v>
      </c>
      <c r="AR249" s="45">
        <v>5.7</v>
      </c>
      <c r="AS249" s="45">
        <v>6.8</v>
      </c>
      <c r="AT249" s="45">
        <v>8.800000000000001</v>
      </c>
      <c r="AU249" s="45">
        <v>8.300000000000001</v>
      </c>
      <c r="AV249" s="45">
        <v>6.6</v>
      </c>
      <c r="AW249" s="45">
        <v>6.7</v>
      </c>
      <c r="AX249" s="45">
        <v>7.9</v>
      </c>
      <c r="AY249" s="45">
        <v>5.4</v>
      </c>
      <c r="AZ249" s="45">
        <v>5</v>
      </c>
      <c r="BA249" s="45">
        <v>2.5</v>
      </c>
      <c r="BB249" s="45">
        <v>0</v>
      </c>
      <c r="BC249" s="45">
        <v>0</v>
      </c>
      <c r="BD249" s="45">
        <v>0</v>
      </c>
      <c r="BE249" s="45">
        <v>0</v>
      </c>
      <c r="BF249" s="45">
        <v>0</v>
      </c>
      <c r="BG249" s="45">
        <v>0</v>
      </c>
    </row>
    <row r="250" spans="1:60">
      <c r="A250" s="18" t="s">
        <v>67</v>
      </c>
      <c r="B250" s="18" t="s">
        <v>65</v>
      </c>
      <c r="C250" s="18" t="s">
        <v>68</v>
      </c>
      <c r="D250" s="45">
        <v>0</v>
      </c>
      <c r="E250" s="45">
        <v>0</v>
      </c>
      <c r="F250" s="45">
        <v>0</v>
      </c>
      <c r="G250" s="45">
        <v>8.9</v>
      </c>
      <c r="H250" s="45">
        <v>9.9</v>
      </c>
      <c r="I250" s="45">
        <v>8.300000000000001</v>
      </c>
      <c r="J250" s="45">
        <v>10</v>
      </c>
      <c r="K250" s="45">
        <v>9.699999999999999</v>
      </c>
      <c r="L250" s="45">
        <v>10</v>
      </c>
      <c r="M250" s="45">
        <v>9.800000000000001</v>
      </c>
      <c r="N250" s="45">
        <v>8.800000000000001</v>
      </c>
      <c r="O250" s="45">
        <v>8.699999999999999</v>
      </c>
      <c r="P250" s="45">
        <v>8.1</v>
      </c>
      <c r="Q250" s="45">
        <v>7.7</v>
      </c>
      <c r="R250" s="45">
        <v>8.5</v>
      </c>
      <c r="S250" s="45">
        <v>8.300000000000001</v>
      </c>
      <c r="T250" s="45">
        <v>8.6</v>
      </c>
      <c r="U250" s="45">
        <v>9.1</v>
      </c>
      <c r="V250" s="45">
        <v>9.199999999999999</v>
      </c>
      <c r="W250" s="45">
        <v>9.9</v>
      </c>
      <c r="X250" s="45">
        <v>10.6</v>
      </c>
      <c r="Y250" s="45">
        <v>10.1</v>
      </c>
      <c r="Z250" s="45">
        <v>9.800000000000001</v>
      </c>
      <c r="AA250" s="45">
        <v>10</v>
      </c>
      <c r="AB250" s="45">
        <v>9.5</v>
      </c>
      <c r="AC250" s="45">
        <v>8.9</v>
      </c>
      <c r="AD250" s="45">
        <v>8.6</v>
      </c>
      <c r="AE250" s="45">
        <v>9</v>
      </c>
      <c r="AF250" s="45">
        <v>8.800000000000001</v>
      </c>
      <c r="AG250" s="45">
        <v>8.300000000000001</v>
      </c>
      <c r="AH250" s="45">
        <v>8.4</v>
      </c>
      <c r="AI250" s="45">
        <v>8.5</v>
      </c>
      <c r="AJ250" s="45">
        <v>9.4</v>
      </c>
      <c r="AK250" s="45">
        <v>8.699999999999999</v>
      </c>
      <c r="AL250" s="45">
        <v>8.5</v>
      </c>
      <c r="AM250" s="45">
        <v>8.1</v>
      </c>
      <c r="AN250" s="45">
        <v>8.4</v>
      </c>
      <c r="AO250" s="45">
        <v>7.7</v>
      </c>
      <c r="AP250" s="45">
        <v>6.8</v>
      </c>
      <c r="AQ250" s="45">
        <v>6.7</v>
      </c>
      <c r="AR250" s="45">
        <v>6.8</v>
      </c>
      <c r="AS250" s="45">
        <v>8.5</v>
      </c>
      <c r="AT250" s="45">
        <v>12.3</v>
      </c>
      <c r="AU250" s="45">
        <v>15.2</v>
      </c>
      <c r="AV250" s="45">
        <v>0</v>
      </c>
      <c r="AW250" s="45">
        <v>0</v>
      </c>
      <c r="AX250" s="45">
        <v>0</v>
      </c>
      <c r="AY250" s="45">
        <v>0</v>
      </c>
      <c r="AZ250" s="45">
        <v>0</v>
      </c>
      <c r="BA250" s="45">
        <v>0</v>
      </c>
      <c r="BB250" s="45">
        <v>0</v>
      </c>
      <c r="BC250" s="45">
        <v>0</v>
      </c>
      <c r="BD250" s="45">
        <v>0</v>
      </c>
      <c r="BE250" s="45">
        <v>0</v>
      </c>
      <c r="BF250" s="45">
        <v>0</v>
      </c>
      <c r="BG250" s="45">
        <v>0</v>
      </c>
    </row>
    <row r="251" spans="1:60">
      <c r="A251" s="18" t="s">
        <v>69</v>
      </c>
      <c r="B251" s="18" t="s">
        <v>65</v>
      </c>
      <c r="C251" s="18" t="s">
        <v>70</v>
      </c>
      <c r="D251" s="45">
        <v>0</v>
      </c>
      <c r="E251" s="45">
        <v>0</v>
      </c>
      <c r="F251" s="45">
        <v>0</v>
      </c>
      <c r="G251" s="45">
        <v>0</v>
      </c>
      <c r="H251" s="45">
        <v>10.7</v>
      </c>
      <c r="I251" s="45">
        <v>7.6</v>
      </c>
      <c r="J251" s="45">
        <v>8.9</v>
      </c>
      <c r="K251" s="45">
        <v>10.7</v>
      </c>
      <c r="L251" s="45">
        <v>9.4</v>
      </c>
      <c r="M251" s="45">
        <v>9</v>
      </c>
      <c r="N251" s="45">
        <v>8.699999999999999</v>
      </c>
      <c r="O251" s="45">
        <v>9</v>
      </c>
      <c r="P251" s="45">
        <v>8.6</v>
      </c>
      <c r="Q251" s="45">
        <v>8.1</v>
      </c>
      <c r="R251" s="45">
        <v>9.1</v>
      </c>
      <c r="S251" s="45">
        <v>8.5</v>
      </c>
      <c r="T251" s="45">
        <v>8.5</v>
      </c>
      <c r="U251" s="45">
        <v>8.9</v>
      </c>
      <c r="V251" s="45">
        <v>9.800000000000001</v>
      </c>
      <c r="W251" s="45">
        <v>10.8</v>
      </c>
      <c r="X251" s="45">
        <v>9.9</v>
      </c>
      <c r="Y251" s="45">
        <v>11.1</v>
      </c>
      <c r="Z251" s="45">
        <v>11</v>
      </c>
      <c r="AA251" s="45">
        <v>10.9</v>
      </c>
      <c r="AB251" s="45">
        <v>9.300000000000001</v>
      </c>
      <c r="AC251" s="45">
        <v>10</v>
      </c>
      <c r="AD251" s="45">
        <v>9.699999999999999</v>
      </c>
      <c r="AE251" s="45">
        <v>9.199999999999999</v>
      </c>
      <c r="AF251" s="45">
        <v>9.199999999999999</v>
      </c>
      <c r="AG251" s="45">
        <v>9.199999999999999</v>
      </c>
      <c r="AH251" s="45">
        <v>9</v>
      </c>
      <c r="AI251" s="45">
        <v>9.300000000000001</v>
      </c>
      <c r="AJ251" s="45">
        <v>9.1</v>
      </c>
      <c r="AK251" s="45">
        <v>9.4</v>
      </c>
      <c r="AL251" s="45">
        <v>9</v>
      </c>
      <c r="AM251" s="45">
        <v>9.1</v>
      </c>
      <c r="AN251" s="45">
        <v>8.1</v>
      </c>
      <c r="AO251" s="45">
        <v>7.6</v>
      </c>
      <c r="AP251" s="45">
        <v>7</v>
      </c>
      <c r="AQ251" s="45">
        <v>6.4</v>
      </c>
      <c r="AR251" s="45">
        <v>6.2</v>
      </c>
      <c r="AS251" s="45">
        <v>7.9</v>
      </c>
      <c r="AT251" s="45">
        <v>0</v>
      </c>
      <c r="AU251" s="45">
        <v>0</v>
      </c>
      <c r="AV251" s="45">
        <v>0</v>
      </c>
      <c r="AW251" s="45">
        <v>0</v>
      </c>
      <c r="AX251" s="45">
        <v>0</v>
      </c>
      <c r="AY251" s="45">
        <v>0</v>
      </c>
      <c r="AZ251" s="45">
        <v>0</v>
      </c>
      <c r="BA251" s="45">
        <v>0</v>
      </c>
      <c r="BB251" s="45">
        <v>0</v>
      </c>
      <c r="BC251" s="45">
        <v>0</v>
      </c>
      <c r="BD251" s="45">
        <v>0</v>
      </c>
      <c r="BE251" s="45">
        <v>0</v>
      </c>
      <c r="BF251" s="45">
        <v>0</v>
      </c>
      <c r="BG251" s="45">
        <v>0</v>
      </c>
    </row>
    <row r="252" spans="1:60">
      <c r="A252" s="18" t="s">
        <v>71</v>
      </c>
      <c r="B252" s="18" t="s">
        <v>65</v>
      </c>
      <c r="C252" s="18" t="s">
        <v>72</v>
      </c>
      <c r="D252" s="45">
        <v>0</v>
      </c>
      <c r="E252" s="45">
        <v>0</v>
      </c>
      <c r="F252" s="45">
        <v>0</v>
      </c>
      <c r="G252" s="45">
        <v>0</v>
      </c>
      <c r="H252" s="45">
        <v>11.2</v>
      </c>
      <c r="I252" s="45">
        <v>8.699999999999999</v>
      </c>
      <c r="J252" s="45">
        <v>10.4</v>
      </c>
      <c r="K252" s="45">
        <v>10.1</v>
      </c>
      <c r="L252" s="45">
        <v>11</v>
      </c>
      <c r="M252" s="45">
        <v>9.9</v>
      </c>
      <c r="N252" s="45">
        <v>8.800000000000001</v>
      </c>
      <c r="O252" s="45">
        <v>8.199999999999999</v>
      </c>
      <c r="P252" s="45">
        <v>8.5</v>
      </c>
      <c r="Q252" s="45">
        <v>8.1</v>
      </c>
      <c r="R252" s="45">
        <v>9.1</v>
      </c>
      <c r="S252" s="45">
        <v>8.6</v>
      </c>
      <c r="T252" s="45">
        <v>7.9</v>
      </c>
      <c r="U252" s="45">
        <v>9.6</v>
      </c>
      <c r="V252" s="45">
        <v>9.699999999999999</v>
      </c>
      <c r="W252" s="45">
        <v>10.5</v>
      </c>
      <c r="X252" s="45">
        <v>11.5</v>
      </c>
      <c r="Y252" s="45">
        <v>11.2</v>
      </c>
      <c r="Z252" s="45">
        <v>10.3</v>
      </c>
      <c r="AA252" s="45">
        <v>10.4</v>
      </c>
      <c r="AB252" s="45">
        <v>10.2</v>
      </c>
      <c r="AC252" s="45">
        <v>9.5</v>
      </c>
      <c r="AD252" s="45">
        <v>9.1</v>
      </c>
      <c r="AE252" s="45">
        <v>9.300000000000001</v>
      </c>
      <c r="AF252" s="45">
        <v>9.300000000000001</v>
      </c>
      <c r="AG252" s="45">
        <v>8.9</v>
      </c>
      <c r="AH252" s="45">
        <v>9.699999999999999</v>
      </c>
      <c r="AI252" s="45">
        <v>10</v>
      </c>
      <c r="AJ252" s="45">
        <v>9.300000000000001</v>
      </c>
      <c r="AK252" s="45">
        <v>9</v>
      </c>
      <c r="AL252" s="45">
        <v>8.699999999999999</v>
      </c>
      <c r="AM252" s="45">
        <v>8.9</v>
      </c>
      <c r="AN252" s="45">
        <v>7.9</v>
      </c>
      <c r="AO252" s="45">
        <v>7.8</v>
      </c>
      <c r="AP252" s="45">
        <v>6.8</v>
      </c>
      <c r="AQ252" s="45">
        <v>5.8</v>
      </c>
      <c r="AR252" s="45">
        <v>6.2</v>
      </c>
      <c r="AS252" s="45">
        <v>6.5</v>
      </c>
      <c r="AT252" s="45">
        <v>0</v>
      </c>
      <c r="AU252" s="45">
        <v>0</v>
      </c>
      <c r="AV252" s="45">
        <v>0</v>
      </c>
      <c r="AW252" s="45">
        <v>0</v>
      </c>
      <c r="AX252" s="45">
        <v>0</v>
      </c>
      <c r="AY252" s="45">
        <v>0</v>
      </c>
      <c r="AZ252" s="45">
        <v>0</v>
      </c>
      <c r="BA252" s="45">
        <v>0</v>
      </c>
      <c r="BB252" s="45">
        <v>0</v>
      </c>
      <c r="BC252" s="45">
        <v>0</v>
      </c>
      <c r="BD252" s="45">
        <v>0</v>
      </c>
      <c r="BE252" s="45">
        <v>0</v>
      </c>
      <c r="BF252" s="45">
        <v>0</v>
      </c>
      <c r="BG252" s="45">
        <v>0</v>
      </c>
    </row>
    <row r="253" spans="1:60">
      <c r="A253" s="18" t="s">
        <v>73</v>
      </c>
      <c r="B253" s="18" t="s">
        <v>65</v>
      </c>
      <c r="C253" s="18" t="s">
        <v>74</v>
      </c>
      <c r="D253" s="45">
        <v>0</v>
      </c>
      <c r="E253" s="45">
        <v>0</v>
      </c>
      <c r="F253" s="45">
        <v>0</v>
      </c>
      <c r="G253" s="45">
        <v>8.5</v>
      </c>
      <c r="H253" s="45">
        <v>9.1</v>
      </c>
      <c r="I253" s="45">
        <v>7.5</v>
      </c>
      <c r="J253" s="45">
        <v>10.4</v>
      </c>
      <c r="K253" s="45">
        <v>9.9</v>
      </c>
      <c r="L253" s="45">
        <v>9.300000000000001</v>
      </c>
      <c r="M253" s="45">
        <v>9.5</v>
      </c>
      <c r="N253" s="45">
        <v>8.800000000000001</v>
      </c>
      <c r="O253" s="45">
        <v>8.5</v>
      </c>
      <c r="P253" s="45">
        <v>8.5</v>
      </c>
      <c r="Q253" s="45">
        <v>8.4</v>
      </c>
      <c r="R253" s="45">
        <v>8.199999999999999</v>
      </c>
      <c r="S253" s="45">
        <v>8.4</v>
      </c>
      <c r="T253" s="45">
        <v>8.6</v>
      </c>
      <c r="U253" s="45">
        <v>9.5</v>
      </c>
      <c r="V253" s="45">
        <v>9.6</v>
      </c>
      <c r="W253" s="45">
        <v>10.6</v>
      </c>
      <c r="X253" s="45">
        <v>11.1</v>
      </c>
      <c r="Y253" s="45">
        <v>11.7</v>
      </c>
      <c r="Z253" s="45">
        <v>10.8</v>
      </c>
      <c r="AA253" s="45">
        <v>10.7</v>
      </c>
      <c r="AB253" s="45">
        <v>10.6</v>
      </c>
      <c r="AC253" s="45">
        <v>9.699999999999999</v>
      </c>
      <c r="AD253" s="45">
        <v>9.800000000000001</v>
      </c>
      <c r="AE253" s="45">
        <v>9</v>
      </c>
      <c r="AF253" s="45">
        <v>9.199999999999999</v>
      </c>
      <c r="AG253" s="45">
        <v>9.5</v>
      </c>
      <c r="AH253" s="45">
        <v>9.4</v>
      </c>
      <c r="AI253" s="45">
        <v>9.699999999999999</v>
      </c>
      <c r="AJ253" s="45">
        <v>9.6</v>
      </c>
      <c r="AK253" s="45">
        <v>9.4</v>
      </c>
      <c r="AL253" s="45">
        <v>9.1</v>
      </c>
      <c r="AM253" s="45">
        <v>9.4</v>
      </c>
      <c r="AN253" s="45">
        <v>8.800000000000001</v>
      </c>
      <c r="AO253" s="45">
        <v>7.8</v>
      </c>
      <c r="AP253" s="45">
        <v>6.9</v>
      </c>
      <c r="AQ253" s="45">
        <v>6.2</v>
      </c>
      <c r="AR253" s="45">
        <v>6.6</v>
      </c>
      <c r="AS253" s="45">
        <v>6.5</v>
      </c>
      <c r="AT253" s="45">
        <v>0</v>
      </c>
      <c r="AU253" s="45">
        <v>0</v>
      </c>
      <c r="AV253" s="45">
        <v>0</v>
      </c>
      <c r="AW253" s="45">
        <v>0</v>
      </c>
      <c r="AX253" s="45">
        <v>0</v>
      </c>
      <c r="AY253" s="45">
        <v>0</v>
      </c>
      <c r="AZ253" s="45">
        <v>0</v>
      </c>
      <c r="BA253" s="45">
        <v>0</v>
      </c>
      <c r="BB253" s="45">
        <v>0</v>
      </c>
      <c r="BC253" s="45">
        <v>0</v>
      </c>
      <c r="BD253" s="45">
        <v>0</v>
      </c>
      <c r="BE253" s="45">
        <v>0</v>
      </c>
      <c r="BF253" s="45">
        <v>0</v>
      </c>
      <c r="BG253" s="45">
        <v>0</v>
      </c>
    </row>
    <row r="254" spans="1:60">
      <c r="A254" s="18" t="s">
        <v>75</v>
      </c>
      <c r="B254" s="18" t="s">
        <v>65</v>
      </c>
      <c r="C254" s="18" t="s">
        <v>76</v>
      </c>
      <c r="D254" s="45">
        <v>0</v>
      </c>
      <c r="E254" s="45">
        <v>0</v>
      </c>
      <c r="F254" s="45">
        <v>0</v>
      </c>
      <c r="G254" s="45">
        <v>7.4</v>
      </c>
      <c r="H254" s="45">
        <v>9.5</v>
      </c>
      <c r="I254" s="45">
        <v>7.9</v>
      </c>
      <c r="J254" s="45">
        <v>9.699999999999999</v>
      </c>
      <c r="K254" s="45">
        <v>9.699999999999999</v>
      </c>
      <c r="L254" s="45">
        <v>9.4</v>
      </c>
      <c r="M254" s="45">
        <v>9.9</v>
      </c>
      <c r="N254" s="45">
        <v>9.1</v>
      </c>
      <c r="O254" s="45">
        <v>8.699999999999999</v>
      </c>
      <c r="P254" s="45">
        <v>7.9</v>
      </c>
      <c r="Q254" s="45">
        <v>8.199999999999999</v>
      </c>
      <c r="R254" s="45">
        <v>8.1</v>
      </c>
      <c r="S254" s="45">
        <v>8.699999999999999</v>
      </c>
      <c r="T254" s="45">
        <v>8.9</v>
      </c>
      <c r="U254" s="45">
        <v>8.9</v>
      </c>
      <c r="V254" s="45">
        <v>8.800000000000001</v>
      </c>
      <c r="W254" s="45">
        <v>11.3</v>
      </c>
      <c r="X254" s="45">
        <v>10.7</v>
      </c>
      <c r="Y254" s="45">
        <v>11.1</v>
      </c>
      <c r="Z254" s="45">
        <v>11</v>
      </c>
      <c r="AA254" s="45">
        <v>11.4</v>
      </c>
      <c r="AB254" s="45">
        <v>10.2</v>
      </c>
      <c r="AC254" s="45">
        <v>9.5</v>
      </c>
      <c r="AD254" s="45">
        <v>9.4</v>
      </c>
      <c r="AE254" s="45">
        <v>8.800000000000001</v>
      </c>
      <c r="AF254" s="45">
        <v>9.300000000000001</v>
      </c>
      <c r="AG254" s="45">
        <v>9.1</v>
      </c>
      <c r="AH254" s="45">
        <v>8.800000000000001</v>
      </c>
      <c r="AI254" s="45">
        <v>9.5</v>
      </c>
      <c r="AJ254" s="45">
        <v>8.9</v>
      </c>
      <c r="AK254" s="45">
        <v>8.9</v>
      </c>
      <c r="AL254" s="45">
        <v>8.800000000000001</v>
      </c>
      <c r="AM254" s="45">
        <v>8.699999999999999</v>
      </c>
      <c r="AN254" s="45">
        <v>7.8</v>
      </c>
      <c r="AO254" s="45">
        <v>7.9</v>
      </c>
      <c r="AP254" s="45">
        <v>7</v>
      </c>
      <c r="AQ254" s="45">
        <v>6.3</v>
      </c>
      <c r="AR254" s="45">
        <v>6.7</v>
      </c>
      <c r="AS254" s="45">
        <v>6.7</v>
      </c>
      <c r="AT254" s="45">
        <v>0</v>
      </c>
      <c r="AU254" s="45">
        <v>0</v>
      </c>
      <c r="AV254" s="45">
        <v>0</v>
      </c>
      <c r="AW254" s="45">
        <v>0</v>
      </c>
      <c r="AX254" s="45">
        <v>0</v>
      </c>
      <c r="AY254" s="45">
        <v>0</v>
      </c>
      <c r="AZ254" s="45">
        <v>0</v>
      </c>
      <c r="BA254" s="45">
        <v>0</v>
      </c>
      <c r="BB254" s="45">
        <v>0</v>
      </c>
      <c r="BC254" s="45">
        <v>0</v>
      </c>
      <c r="BD254" s="45">
        <v>0</v>
      </c>
      <c r="BE254" s="45">
        <v>0</v>
      </c>
      <c r="BF254" s="45">
        <v>0</v>
      </c>
      <c r="BG254" s="45">
        <v>0</v>
      </c>
    </row>
    <row r="255" spans="1:60">
      <c r="A255" s="18" t="s">
        <v>77</v>
      </c>
      <c r="B255" s="18" t="s">
        <v>65</v>
      </c>
      <c r="C255" s="18" t="s">
        <v>78</v>
      </c>
      <c r="D255" s="45">
        <v>0</v>
      </c>
      <c r="E255" s="45">
        <v>0</v>
      </c>
      <c r="F255" s="45">
        <v>0</v>
      </c>
      <c r="G255" s="45">
        <v>0</v>
      </c>
      <c r="H255" s="45">
        <v>10.8</v>
      </c>
      <c r="I255" s="45">
        <v>9.4</v>
      </c>
      <c r="J255" s="45">
        <v>10.8</v>
      </c>
      <c r="K255" s="45">
        <v>10.1</v>
      </c>
      <c r="L255" s="45">
        <v>10.4</v>
      </c>
      <c r="M255" s="45">
        <v>9.5</v>
      </c>
      <c r="N255" s="45">
        <v>9.300000000000001</v>
      </c>
      <c r="O255" s="45">
        <v>9</v>
      </c>
      <c r="P255" s="45">
        <v>8.699999999999999</v>
      </c>
      <c r="Q255" s="45">
        <v>8.800000000000001</v>
      </c>
      <c r="R255" s="45">
        <v>8.699999999999999</v>
      </c>
      <c r="S255" s="45">
        <v>8.6</v>
      </c>
      <c r="T255" s="45">
        <v>8.699999999999999</v>
      </c>
      <c r="U255" s="45">
        <v>9.199999999999999</v>
      </c>
      <c r="V255" s="45">
        <v>10.1</v>
      </c>
      <c r="W255" s="45">
        <v>10.5</v>
      </c>
      <c r="X255" s="45">
        <v>11</v>
      </c>
      <c r="Y255" s="45">
        <v>11.4</v>
      </c>
      <c r="Z255" s="45">
        <v>10.8</v>
      </c>
      <c r="AA255" s="45">
        <v>11.8</v>
      </c>
      <c r="AB255" s="45">
        <v>10.7</v>
      </c>
      <c r="AC255" s="45">
        <v>9.9</v>
      </c>
      <c r="AD255" s="45">
        <v>10.2</v>
      </c>
      <c r="AE255" s="45">
        <v>9.4</v>
      </c>
      <c r="AF255" s="45">
        <v>9.1</v>
      </c>
      <c r="AG255" s="45">
        <v>9.9</v>
      </c>
      <c r="AH255" s="45">
        <v>9.5</v>
      </c>
      <c r="AI255" s="45">
        <v>10.1</v>
      </c>
      <c r="AJ255" s="45">
        <v>10</v>
      </c>
      <c r="AK255" s="45">
        <v>9.5</v>
      </c>
      <c r="AL255" s="45">
        <v>9</v>
      </c>
      <c r="AM255" s="45">
        <v>9</v>
      </c>
      <c r="AN255" s="45">
        <v>8.199999999999999</v>
      </c>
      <c r="AO255" s="45">
        <v>8</v>
      </c>
      <c r="AP255" s="45">
        <v>7.2</v>
      </c>
      <c r="AQ255" s="45">
        <v>6.8</v>
      </c>
      <c r="AR255" s="45">
        <v>6.6</v>
      </c>
      <c r="AS255" s="45">
        <v>5.9</v>
      </c>
      <c r="AT255" s="45">
        <v>0</v>
      </c>
      <c r="AU255" s="45">
        <v>0</v>
      </c>
      <c r="AV255" s="45">
        <v>0</v>
      </c>
      <c r="AW255" s="45">
        <v>0</v>
      </c>
      <c r="AX255" s="45">
        <v>0</v>
      </c>
      <c r="AY255" s="45">
        <v>0</v>
      </c>
      <c r="AZ255" s="45">
        <v>0</v>
      </c>
      <c r="BA255" s="45">
        <v>0</v>
      </c>
      <c r="BB255" s="45">
        <v>0</v>
      </c>
      <c r="BC255" s="45">
        <v>0</v>
      </c>
      <c r="BD255" s="45">
        <v>0</v>
      </c>
      <c r="BE255" s="45">
        <v>0</v>
      </c>
      <c r="BF255" s="45">
        <v>0</v>
      </c>
      <c r="BG255" s="45">
        <v>0</v>
      </c>
    </row>
    <row r="256" spans="1:60">
      <c r="A256" s="18" t="s">
        <v>79</v>
      </c>
      <c r="B256" s="18" t="s">
        <v>65</v>
      </c>
      <c r="C256" s="18" t="s">
        <v>80</v>
      </c>
      <c r="D256" s="45">
        <v>0</v>
      </c>
      <c r="E256" s="45">
        <v>0</v>
      </c>
      <c r="F256" s="45">
        <v>0</v>
      </c>
      <c r="G256" s="45">
        <v>0</v>
      </c>
      <c r="H256" s="45">
        <v>11.8</v>
      </c>
      <c r="I256" s="45">
        <v>10.2</v>
      </c>
      <c r="J256" s="45">
        <v>10.9</v>
      </c>
      <c r="K256" s="45">
        <v>11.4</v>
      </c>
      <c r="L256" s="45">
        <v>11.7</v>
      </c>
      <c r="M256" s="45">
        <v>9.699999999999999</v>
      </c>
      <c r="N256" s="45">
        <v>9.5</v>
      </c>
      <c r="O256" s="45">
        <v>8.9</v>
      </c>
      <c r="P256" s="45">
        <v>8.699999999999999</v>
      </c>
      <c r="Q256" s="45">
        <v>8.5</v>
      </c>
      <c r="R256" s="45">
        <v>8.699999999999999</v>
      </c>
      <c r="S256" s="45">
        <v>9</v>
      </c>
      <c r="T256" s="45">
        <v>8.300000000000001</v>
      </c>
      <c r="U256" s="45">
        <v>9.199999999999999</v>
      </c>
      <c r="V256" s="45">
        <v>9.800000000000001</v>
      </c>
      <c r="W256" s="45">
        <v>10.6</v>
      </c>
      <c r="X256" s="45">
        <v>11.4</v>
      </c>
      <c r="Y256" s="45">
        <v>10.8</v>
      </c>
      <c r="Z256" s="45">
        <v>11.1</v>
      </c>
      <c r="AA256" s="45">
        <v>10.8</v>
      </c>
      <c r="AB256" s="45">
        <v>10.5</v>
      </c>
      <c r="AC256" s="45">
        <v>9.5</v>
      </c>
      <c r="AD256" s="45">
        <v>9.6</v>
      </c>
      <c r="AE256" s="45">
        <v>9.5</v>
      </c>
      <c r="AF256" s="45">
        <v>9.6</v>
      </c>
      <c r="AG256" s="45">
        <v>9.699999999999999</v>
      </c>
      <c r="AH256" s="45">
        <v>9.300000000000001</v>
      </c>
      <c r="AI256" s="45">
        <v>8.9</v>
      </c>
      <c r="AJ256" s="45">
        <v>9.300000000000001</v>
      </c>
      <c r="AK256" s="45">
        <v>8.800000000000001</v>
      </c>
      <c r="AL256" s="45">
        <v>8.9</v>
      </c>
      <c r="AM256" s="45">
        <v>8.6</v>
      </c>
      <c r="AN256" s="45">
        <v>8.4</v>
      </c>
      <c r="AO256" s="45">
        <v>7.3</v>
      </c>
      <c r="AP256" s="45">
        <v>6.8</v>
      </c>
      <c r="AQ256" s="45">
        <v>6.7</v>
      </c>
      <c r="AR256" s="45">
        <v>6.4</v>
      </c>
      <c r="AS256" s="45">
        <v>6.4</v>
      </c>
      <c r="AT256" s="45">
        <v>0</v>
      </c>
      <c r="AU256" s="45">
        <v>0</v>
      </c>
      <c r="AV256" s="45">
        <v>6</v>
      </c>
      <c r="AW256" s="45">
        <v>0</v>
      </c>
      <c r="AX256" s="45">
        <v>0</v>
      </c>
      <c r="AY256" s="45">
        <v>0</v>
      </c>
      <c r="AZ256" s="45">
        <v>0</v>
      </c>
      <c r="BA256" s="45">
        <v>0</v>
      </c>
      <c r="BB256" s="45">
        <v>0</v>
      </c>
      <c r="BC256" s="45">
        <v>0</v>
      </c>
      <c r="BD256" s="45">
        <v>0</v>
      </c>
      <c r="BE256" s="45">
        <v>0</v>
      </c>
      <c r="BF256" s="45">
        <v>0</v>
      </c>
      <c r="BG256" s="45">
        <v>0</v>
      </c>
    </row>
    <row r="257" spans="1:59">
      <c r="A257" s="18" t="s">
        <v>81</v>
      </c>
      <c r="B257" s="18" t="s">
        <v>65</v>
      </c>
      <c r="C257" s="18" t="s">
        <v>82</v>
      </c>
      <c r="D257" s="45">
        <v>0</v>
      </c>
      <c r="E257" s="45">
        <v>0</v>
      </c>
      <c r="F257" s="45">
        <v>0</v>
      </c>
      <c r="G257" s="45">
        <v>12.8</v>
      </c>
      <c r="H257" s="45">
        <v>11.4</v>
      </c>
      <c r="I257" s="45">
        <v>10.5</v>
      </c>
      <c r="J257" s="45">
        <v>12.1</v>
      </c>
      <c r="K257" s="45">
        <v>10.9</v>
      </c>
      <c r="L257" s="45">
        <v>10.5</v>
      </c>
      <c r="M257" s="45">
        <v>9.800000000000001</v>
      </c>
      <c r="N257" s="45">
        <v>9.800000000000001</v>
      </c>
      <c r="O257" s="45">
        <v>8.800000000000001</v>
      </c>
      <c r="P257" s="45">
        <v>8.300000000000001</v>
      </c>
      <c r="Q257" s="45">
        <v>7.8</v>
      </c>
      <c r="R257" s="45">
        <v>7.7</v>
      </c>
      <c r="S257" s="45">
        <v>8.1</v>
      </c>
      <c r="T257" s="45">
        <v>8.199999999999999</v>
      </c>
      <c r="U257" s="45">
        <v>9.1</v>
      </c>
      <c r="V257" s="45">
        <v>9.5</v>
      </c>
      <c r="W257" s="45">
        <v>10.4</v>
      </c>
      <c r="X257" s="45">
        <v>9.800000000000001</v>
      </c>
      <c r="Y257" s="45">
        <v>10</v>
      </c>
      <c r="Z257" s="45">
        <v>10</v>
      </c>
      <c r="AA257" s="45">
        <v>10.2</v>
      </c>
      <c r="AB257" s="45">
        <v>10.1</v>
      </c>
      <c r="AC257" s="45">
        <v>8.9</v>
      </c>
      <c r="AD257" s="45">
        <v>8.9</v>
      </c>
      <c r="AE257" s="45">
        <v>9.1</v>
      </c>
      <c r="AF257" s="45">
        <v>8.6</v>
      </c>
      <c r="AG257" s="45">
        <v>8</v>
      </c>
      <c r="AH257" s="45">
        <v>8.9</v>
      </c>
      <c r="AI257" s="45">
        <v>8.300000000000001</v>
      </c>
      <c r="AJ257" s="45">
        <v>9.6</v>
      </c>
      <c r="AK257" s="45">
        <v>8.6</v>
      </c>
      <c r="AL257" s="45">
        <v>8.699999999999999</v>
      </c>
      <c r="AM257" s="45">
        <v>7.9</v>
      </c>
      <c r="AN257" s="45">
        <v>8</v>
      </c>
      <c r="AO257" s="45">
        <v>7.2</v>
      </c>
      <c r="AP257" s="45">
        <v>6.6</v>
      </c>
      <c r="AQ257" s="45">
        <v>6.2</v>
      </c>
      <c r="AR257" s="45">
        <v>5.7</v>
      </c>
      <c r="AS257" s="45">
        <v>5.5</v>
      </c>
      <c r="AT257" s="45">
        <v>0</v>
      </c>
      <c r="AU257" s="45">
        <v>0</v>
      </c>
      <c r="AV257" s="45">
        <v>0</v>
      </c>
      <c r="AW257" s="45">
        <v>0</v>
      </c>
      <c r="AX257" s="45">
        <v>0</v>
      </c>
      <c r="AY257" s="45">
        <v>0</v>
      </c>
      <c r="AZ257" s="45">
        <v>0</v>
      </c>
      <c r="BA257" s="45">
        <v>0</v>
      </c>
      <c r="BB257" s="45">
        <v>0</v>
      </c>
      <c r="BC257" s="45">
        <v>0</v>
      </c>
      <c r="BD257" s="45">
        <v>0</v>
      </c>
      <c r="BE257" s="45">
        <v>0</v>
      </c>
      <c r="BF257" s="45">
        <v>0</v>
      </c>
      <c r="BG257" s="45">
        <v>0</v>
      </c>
    </row>
    <row r="258" spans="1:59">
      <c r="A258" s="18" t="s">
        <v>83</v>
      </c>
      <c r="B258" s="18" t="s">
        <v>65</v>
      </c>
      <c r="C258" s="18" t="s">
        <v>84</v>
      </c>
      <c r="D258" s="45">
        <v>0</v>
      </c>
      <c r="E258" s="45">
        <v>0</v>
      </c>
      <c r="F258" s="45">
        <v>0</v>
      </c>
      <c r="G258" s="45">
        <v>0</v>
      </c>
      <c r="H258" s="45">
        <v>4.5</v>
      </c>
      <c r="I258" s="45">
        <v>8.199999999999999</v>
      </c>
      <c r="J258" s="45">
        <v>9.5</v>
      </c>
      <c r="K258" s="45">
        <v>10.4</v>
      </c>
      <c r="L258" s="45">
        <v>9.199999999999999</v>
      </c>
      <c r="M258" s="45">
        <v>8.1</v>
      </c>
      <c r="N258" s="45">
        <v>7.3</v>
      </c>
      <c r="O258" s="45">
        <v>6.6</v>
      </c>
      <c r="P258" s="45">
        <v>6.6</v>
      </c>
      <c r="Q258" s="45">
        <v>6.4</v>
      </c>
      <c r="R258" s="45">
        <v>6.9</v>
      </c>
      <c r="S258" s="45">
        <v>6.2</v>
      </c>
      <c r="T258" s="45">
        <v>6.9</v>
      </c>
      <c r="U258" s="45">
        <v>7.5</v>
      </c>
      <c r="V258" s="45">
        <v>7.7</v>
      </c>
      <c r="W258" s="45">
        <v>7.6</v>
      </c>
      <c r="X258" s="45">
        <v>8</v>
      </c>
      <c r="Y258" s="45">
        <v>8.4</v>
      </c>
      <c r="Z258" s="45">
        <v>7.3</v>
      </c>
      <c r="AA258" s="45">
        <v>8</v>
      </c>
      <c r="AB258" s="45">
        <v>7.7</v>
      </c>
      <c r="AC258" s="45">
        <v>7.8</v>
      </c>
      <c r="AD258" s="45">
        <v>7</v>
      </c>
      <c r="AE258" s="45">
        <v>6.7</v>
      </c>
      <c r="AF258" s="45">
        <v>6.6</v>
      </c>
      <c r="AG258" s="45">
        <v>7</v>
      </c>
      <c r="AH258" s="45">
        <v>7.4</v>
      </c>
      <c r="AI258" s="45">
        <v>6.8</v>
      </c>
      <c r="AJ258" s="45">
        <v>6.5</v>
      </c>
      <c r="AK258" s="45">
        <v>6.8</v>
      </c>
      <c r="AL258" s="45">
        <v>6.9</v>
      </c>
      <c r="AM258" s="45">
        <v>6.2</v>
      </c>
      <c r="AN258" s="45">
        <v>6.3</v>
      </c>
      <c r="AO258" s="45">
        <v>5.4</v>
      </c>
      <c r="AP258" s="45">
        <v>5</v>
      </c>
      <c r="AQ258" s="45">
        <v>5</v>
      </c>
      <c r="AR258" s="45">
        <v>5.6</v>
      </c>
      <c r="AS258" s="45">
        <v>10.1</v>
      </c>
      <c r="AT258" s="45">
        <v>0</v>
      </c>
      <c r="AU258" s="45">
        <v>4.2</v>
      </c>
      <c r="AV258" s="45">
        <v>0</v>
      </c>
      <c r="AW258" s="45">
        <v>5.9</v>
      </c>
      <c r="AX258" s="45">
        <v>0</v>
      </c>
      <c r="AY258" s="45">
        <v>0</v>
      </c>
      <c r="AZ258" s="45">
        <v>0</v>
      </c>
      <c r="BA258" s="45">
        <v>0</v>
      </c>
      <c r="BB258" s="45">
        <v>0</v>
      </c>
      <c r="BC258" s="45">
        <v>0</v>
      </c>
      <c r="BD258" s="45">
        <v>0</v>
      </c>
      <c r="BE258" s="45">
        <v>0</v>
      </c>
      <c r="BF258" s="45">
        <v>0</v>
      </c>
      <c r="BG258" s="45">
        <v>0</v>
      </c>
    </row>
    <row r="259" spans="1:59">
      <c r="A259" s="18" t="s">
        <v>85</v>
      </c>
      <c r="B259" s="18" t="s">
        <v>65</v>
      </c>
      <c r="C259" s="18" t="s">
        <v>86</v>
      </c>
      <c r="D259" s="45">
        <v>0</v>
      </c>
      <c r="E259" s="45">
        <v>0</v>
      </c>
      <c r="F259" s="45">
        <v>0</v>
      </c>
      <c r="G259" s="45">
        <v>0</v>
      </c>
      <c r="H259" s="45">
        <v>6.6</v>
      </c>
      <c r="I259" s="45">
        <v>3.1</v>
      </c>
      <c r="J259" s="45">
        <v>3.4</v>
      </c>
      <c r="K259" s="45">
        <v>3.7</v>
      </c>
      <c r="L259" s="45">
        <v>3.1</v>
      </c>
      <c r="M259" s="45">
        <v>3.3</v>
      </c>
      <c r="N259" s="45">
        <v>3.5</v>
      </c>
      <c r="O259" s="45">
        <v>3.1</v>
      </c>
      <c r="P259" s="45">
        <v>2.9</v>
      </c>
      <c r="Q259" s="45">
        <v>3.2</v>
      </c>
      <c r="R259" s="45">
        <v>3.2</v>
      </c>
      <c r="S259" s="45">
        <v>3</v>
      </c>
      <c r="T259" s="45">
        <v>3.6</v>
      </c>
      <c r="U259" s="45">
        <v>3.6</v>
      </c>
      <c r="V259" s="45">
        <v>3.5</v>
      </c>
      <c r="W259" s="45">
        <v>3.4</v>
      </c>
      <c r="X259" s="45">
        <v>3.5</v>
      </c>
      <c r="Y259" s="45">
        <v>3.8</v>
      </c>
      <c r="Z259" s="45">
        <v>3.9</v>
      </c>
      <c r="AA259" s="45">
        <v>3.7</v>
      </c>
      <c r="AB259" s="45">
        <v>3</v>
      </c>
      <c r="AC259" s="45">
        <v>3.1</v>
      </c>
      <c r="AD259" s="45">
        <v>3.1</v>
      </c>
      <c r="AE259" s="45">
        <v>3.2</v>
      </c>
      <c r="AF259" s="45">
        <v>2.7</v>
      </c>
      <c r="AG259" s="45">
        <v>3.2</v>
      </c>
      <c r="AH259" s="45">
        <v>3.3</v>
      </c>
      <c r="AI259" s="45">
        <v>3.2</v>
      </c>
      <c r="AJ259" s="45">
        <v>3.3</v>
      </c>
      <c r="AK259" s="45">
        <v>3.3</v>
      </c>
      <c r="AL259" s="45">
        <v>3.9</v>
      </c>
      <c r="AM259" s="45">
        <v>3.4</v>
      </c>
      <c r="AN259" s="45">
        <v>3.9</v>
      </c>
      <c r="AO259" s="45">
        <v>3.2</v>
      </c>
      <c r="AP259" s="45">
        <v>3.5</v>
      </c>
      <c r="AQ259" s="45">
        <v>3.1</v>
      </c>
      <c r="AR259" s="45">
        <v>3.6</v>
      </c>
      <c r="AS259" s="45">
        <v>3.8</v>
      </c>
      <c r="AT259" s="45">
        <v>0</v>
      </c>
      <c r="AU259" s="45">
        <v>0</v>
      </c>
      <c r="AV259" s="45">
        <v>0</v>
      </c>
      <c r="AW259" s="45">
        <v>0</v>
      </c>
      <c r="AX259" s="45">
        <v>0</v>
      </c>
      <c r="AY259" s="45">
        <v>0</v>
      </c>
      <c r="AZ259" s="45">
        <v>0</v>
      </c>
      <c r="BA259" s="45">
        <v>0</v>
      </c>
      <c r="BB259" s="45">
        <v>0</v>
      </c>
      <c r="BC259" s="45">
        <v>0</v>
      </c>
      <c r="BD259" s="45">
        <v>0</v>
      </c>
      <c r="BE259" s="45">
        <v>0</v>
      </c>
      <c r="BF259" s="45">
        <v>0</v>
      </c>
      <c r="BG259" s="45">
        <v>0</v>
      </c>
    </row>
    <row r="260" spans="1:59">
      <c r="A260" s="18" t="s">
        <v>87</v>
      </c>
      <c r="B260" s="18" t="s">
        <v>65</v>
      </c>
      <c r="C260" s="18" t="s">
        <v>88</v>
      </c>
      <c r="D260" s="45">
        <v>0</v>
      </c>
      <c r="E260" s="45">
        <v>0</v>
      </c>
      <c r="F260" s="45">
        <v>0</v>
      </c>
      <c r="G260" s="45">
        <v>0</v>
      </c>
      <c r="H260" s="45">
        <v>4.5</v>
      </c>
      <c r="I260" s="45">
        <v>3.6</v>
      </c>
      <c r="J260" s="45">
        <v>4.4</v>
      </c>
      <c r="K260" s="45">
        <v>3.6</v>
      </c>
      <c r="L260" s="45">
        <v>3.9</v>
      </c>
      <c r="M260" s="45">
        <v>3.5</v>
      </c>
      <c r="N260" s="45">
        <v>3.5</v>
      </c>
      <c r="O260" s="45">
        <v>3.4</v>
      </c>
      <c r="P260" s="45">
        <v>3.5</v>
      </c>
      <c r="Q260" s="45">
        <v>3.4</v>
      </c>
      <c r="R260" s="45">
        <v>3.5</v>
      </c>
      <c r="S260" s="45">
        <v>3.5</v>
      </c>
      <c r="T260" s="45">
        <v>3.5</v>
      </c>
      <c r="U260" s="45">
        <v>3.8</v>
      </c>
      <c r="V260" s="45">
        <v>3.5</v>
      </c>
      <c r="W260" s="45">
        <v>4</v>
      </c>
      <c r="X260" s="45">
        <v>4.3</v>
      </c>
      <c r="Y260" s="45">
        <v>3.8</v>
      </c>
      <c r="Z260" s="45">
        <v>3.6</v>
      </c>
      <c r="AA260" s="45">
        <v>3.7</v>
      </c>
      <c r="AB260" s="45">
        <v>3.3</v>
      </c>
      <c r="AC260" s="45">
        <v>3.3</v>
      </c>
      <c r="AD260" s="45">
        <v>3.2</v>
      </c>
      <c r="AE260" s="45">
        <v>3.8</v>
      </c>
      <c r="AF260" s="45">
        <v>3.5</v>
      </c>
      <c r="AG260" s="45">
        <v>3.6</v>
      </c>
      <c r="AH260" s="45">
        <v>3.5</v>
      </c>
      <c r="AI260" s="45">
        <v>3.6</v>
      </c>
      <c r="AJ260" s="45">
        <v>3.6</v>
      </c>
      <c r="AK260" s="45">
        <v>4</v>
      </c>
      <c r="AL260" s="45">
        <v>3.8</v>
      </c>
      <c r="AM260" s="45">
        <v>3.8</v>
      </c>
      <c r="AN260" s="45">
        <v>3.7</v>
      </c>
      <c r="AO260" s="45">
        <v>3.6</v>
      </c>
      <c r="AP260" s="45">
        <v>3.9</v>
      </c>
      <c r="AQ260" s="45">
        <v>3.7</v>
      </c>
      <c r="AR260" s="45">
        <v>3.6</v>
      </c>
      <c r="AS260" s="45">
        <v>1.8</v>
      </c>
      <c r="AT260" s="45">
        <v>0</v>
      </c>
      <c r="AU260" s="45">
        <v>0</v>
      </c>
      <c r="AV260" s="45">
        <v>0</v>
      </c>
      <c r="AW260" s="45">
        <v>0</v>
      </c>
      <c r="AX260" s="45">
        <v>5.8</v>
      </c>
      <c r="AY260" s="45">
        <v>0</v>
      </c>
      <c r="AZ260" s="45">
        <v>4.6</v>
      </c>
      <c r="BA260" s="45">
        <v>0</v>
      </c>
      <c r="BB260" s="45">
        <v>0</v>
      </c>
      <c r="BC260" s="45">
        <v>0</v>
      </c>
      <c r="BD260" s="45">
        <v>0</v>
      </c>
      <c r="BE260" s="45">
        <v>0</v>
      </c>
      <c r="BF260" s="45">
        <v>0</v>
      </c>
      <c r="BG260" s="45">
        <v>0</v>
      </c>
    </row>
    <row r="261" spans="1:59">
      <c r="A261" s="18" t="s">
        <v>89</v>
      </c>
      <c r="B261" s="18" t="s">
        <v>65</v>
      </c>
      <c r="C261" s="18" t="s">
        <v>90</v>
      </c>
      <c r="D261" s="45">
        <v>0</v>
      </c>
      <c r="E261" s="45">
        <v>0</v>
      </c>
      <c r="F261" s="45">
        <v>0</v>
      </c>
      <c r="G261" s="45">
        <v>0</v>
      </c>
      <c r="H261" s="45">
        <v>2.8</v>
      </c>
      <c r="I261" s="45">
        <v>3.3</v>
      </c>
      <c r="J261" s="45">
        <v>4.3</v>
      </c>
      <c r="K261" s="45">
        <v>4</v>
      </c>
      <c r="L261" s="45">
        <v>3.9</v>
      </c>
      <c r="M261" s="45">
        <v>3.7</v>
      </c>
      <c r="N261" s="45">
        <v>3.9</v>
      </c>
      <c r="O261" s="45">
        <v>3.8</v>
      </c>
      <c r="P261" s="45">
        <v>3.8</v>
      </c>
      <c r="Q261" s="45">
        <v>3.9</v>
      </c>
      <c r="R261" s="45">
        <v>3.6</v>
      </c>
      <c r="S261" s="45">
        <v>3.6</v>
      </c>
      <c r="T261" s="45">
        <v>3.6</v>
      </c>
      <c r="U261" s="45">
        <v>3.7</v>
      </c>
      <c r="V261" s="45">
        <v>4.1</v>
      </c>
      <c r="W261" s="45">
        <v>4.2</v>
      </c>
      <c r="X261" s="45">
        <v>4.3</v>
      </c>
      <c r="Y261" s="45">
        <v>4</v>
      </c>
      <c r="Z261" s="45">
        <v>3.7</v>
      </c>
      <c r="AA261" s="45">
        <v>4.2</v>
      </c>
      <c r="AB261" s="45">
        <v>3.8</v>
      </c>
      <c r="AC261" s="45">
        <v>3.9</v>
      </c>
      <c r="AD261" s="45">
        <v>4</v>
      </c>
      <c r="AE261" s="45">
        <v>3.7</v>
      </c>
      <c r="AF261" s="45">
        <v>3.7</v>
      </c>
      <c r="AG261" s="45">
        <v>3.9</v>
      </c>
      <c r="AH261" s="45">
        <v>3.8</v>
      </c>
      <c r="AI261" s="45">
        <v>4</v>
      </c>
      <c r="AJ261" s="45">
        <v>3.9</v>
      </c>
      <c r="AK261" s="45">
        <v>3.8</v>
      </c>
      <c r="AL261" s="45">
        <v>4</v>
      </c>
      <c r="AM261" s="45">
        <v>4</v>
      </c>
      <c r="AN261" s="45">
        <v>4</v>
      </c>
      <c r="AO261" s="45">
        <v>4.3</v>
      </c>
      <c r="AP261" s="45">
        <v>4.3</v>
      </c>
      <c r="AQ261" s="45">
        <v>4.6</v>
      </c>
      <c r="AR261" s="45">
        <v>5</v>
      </c>
      <c r="AS261" s="45">
        <v>8.300000000000001</v>
      </c>
      <c r="AT261" s="45">
        <v>10.4</v>
      </c>
      <c r="AU261" s="45">
        <v>10.6</v>
      </c>
      <c r="AV261" s="45">
        <v>8</v>
      </c>
      <c r="AW261" s="45">
        <v>7.5</v>
      </c>
      <c r="AX261" s="45">
        <v>8.1</v>
      </c>
      <c r="AY261" s="45">
        <v>0</v>
      </c>
      <c r="AZ261" s="45">
        <v>0</v>
      </c>
      <c r="BA261" s="45">
        <v>0</v>
      </c>
      <c r="BB261" s="45">
        <v>0</v>
      </c>
      <c r="BC261" s="45">
        <v>0</v>
      </c>
      <c r="BD261" s="45">
        <v>0</v>
      </c>
      <c r="BE261" s="45">
        <v>0</v>
      </c>
      <c r="BF261" s="45">
        <v>0</v>
      </c>
      <c r="BG261" s="45">
        <v>0</v>
      </c>
    </row>
    <row r="262" spans="1:59">
      <c r="A262" s="18" t="s">
        <v>91</v>
      </c>
      <c r="B262" s="18" t="s">
        <v>92</v>
      </c>
      <c r="C262" s="18" t="s">
        <v>66</v>
      </c>
      <c r="D262" s="45">
        <v>0</v>
      </c>
      <c r="E262" s="45">
        <v>0</v>
      </c>
      <c r="F262" s="45">
        <v>0</v>
      </c>
      <c r="G262" s="45">
        <v>0</v>
      </c>
      <c r="H262" s="45">
        <v>2.9</v>
      </c>
      <c r="I262" s="45">
        <v>3</v>
      </c>
      <c r="J262" s="45">
        <v>6.2</v>
      </c>
      <c r="K262" s="45">
        <v>9.699999999999999</v>
      </c>
      <c r="L262" s="45">
        <v>10.4</v>
      </c>
      <c r="M262" s="45">
        <v>9.9</v>
      </c>
      <c r="N262" s="45">
        <v>9.300000000000001</v>
      </c>
      <c r="O262" s="45">
        <v>8.5</v>
      </c>
      <c r="P262" s="45">
        <v>7.9</v>
      </c>
      <c r="Q262" s="45">
        <v>8</v>
      </c>
      <c r="R262" s="45">
        <v>7.7</v>
      </c>
      <c r="S262" s="45">
        <v>7.4</v>
      </c>
      <c r="T262" s="45">
        <v>7.7</v>
      </c>
      <c r="U262" s="45">
        <v>7.8</v>
      </c>
      <c r="V262" s="45">
        <v>7.9</v>
      </c>
      <c r="W262" s="45">
        <v>8.199999999999999</v>
      </c>
      <c r="X262" s="45">
        <v>8.199999999999999</v>
      </c>
      <c r="Y262" s="45">
        <v>8.800000000000001</v>
      </c>
      <c r="Z262" s="45">
        <v>8.4</v>
      </c>
      <c r="AA262" s="45">
        <v>9</v>
      </c>
      <c r="AB262" s="45">
        <v>8.199999999999999</v>
      </c>
      <c r="AC262" s="45">
        <v>8.199999999999999</v>
      </c>
      <c r="AD262" s="45">
        <v>8.300000000000001</v>
      </c>
      <c r="AE262" s="45">
        <v>7.7</v>
      </c>
      <c r="AF262" s="45">
        <v>7.8</v>
      </c>
      <c r="AG262" s="45">
        <v>7.6</v>
      </c>
      <c r="AH262" s="45">
        <v>7.4</v>
      </c>
      <c r="AI262" s="45">
        <v>8</v>
      </c>
      <c r="AJ262" s="45">
        <v>7.6</v>
      </c>
      <c r="AK262" s="45">
        <v>7.7</v>
      </c>
      <c r="AL262" s="45">
        <v>7.3</v>
      </c>
      <c r="AM262" s="45">
        <v>7.5</v>
      </c>
      <c r="AN262" s="45">
        <v>7.2</v>
      </c>
      <c r="AO262" s="45">
        <v>7</v>
      </c>
      <c r="AP262" s="45">
        <v>6.2</v>
      </c>
      <c r="AQ262" s="45">
        <v>6</v>
      </c>
      <c r="AR262" s="45">
        <v>6.1</v>
      </c>
      <c r="AS262" s="45">
        <v>6.7</v>
      </c>
      <c r="AT262" s="45">
        <v>7.5</v>
      </c>
      <c r="AU262" s="45">
        <v>10.6</v>
      </c>
      <c r="AV262" s="45">
        <v>6.8</v>
      </c>
      <c r="AW262" s="45">
        <v>3.4</v>
      </c>
      <c r="AX262" s="45">
        <v>5.2</v>
      </c>
      <c r="AY262" s="45">
        <v>0</v>
      </c>
      <c r="AZ262" s="45">
        <v>0</v>
      </c>
      <c r="BA262" s="45">
        <v>0</v>
      </c>
      <c r="BB262" s="45">
        <v>0</v>
      </c>
      <c r="BC262" s="45">
        <v>0</v>
      </c>
      <c r="BD262" s="45">
        <v>0</v>
      </c>
      <c r="BE262" s="45">
        <v>0</v>
      </c>
      <c r="BF262" s="45">
        <v>0</v>
      </c>
      <c r="BG262" s="45">
        <v>0</v>
      </c>
    </row>
    <row r="263" spans="1:59">
      <c r="A263" s="18" t="s">
        <v>93</v>
      </c>
      <c r="B263" s="18" t="s">
        <v>92</v>
      </c>
      <c r="C263" s="18" t="s">
        <v>68</v>
      </c>
      <c r="D263" s="45">
        <v>0</v>
      </c>
      <c r="E263" s="45">
        <v>0</v>
      </c>
      <c r="F263" s="45">
        <v>0</v>
      </c>
      <c r="G263" s="45">
        <v>0</v>
      </c>
      <c r="H263" s="45">
        <v>0</v>
      </c>
      <c r="I263" s="45">
        <v>0</v>
      </c>
      <c r="J263" s="45">
        <v>12.2</v>
      </c>
      <c r="K263" s="45">
        <v>10.7</v>
      </c>
      <c r="L263" s="45">
        <v>13.3</v>
      </c>
      <c r="M263" s="45">
        <v>13.3</v>
      </c>
      <c r="N263" s="45">
        <v>10.6</v>
      </c>
      <c r="O263" s="45">
        <v>12.1</v>
      </c>
      <c r="P263" s="45">
        <v>8.5</v>
      </c>
      <c r="Q263" s="45">
        <v>8.1</v>
      </c>
      <c r="R263" s="45">
        <v>9.5</v>
      </c>
      <c r="S263" s="45">
        <v>9.300000000000001</v>
      </c>
      <c r="T263" s="45">
        <v>8.5</v>
      </c>
      <c r="U263" s="45">
        <v>9.800000000000001</v>
      </c>
      <c r="V263" s="45">
        <v>9.699999999999999</v>
      </c>
      <c r="W263" s="45">
        <v>9.800000000000001</v>
      </c>
      <c r="X263" s="45">
        <v>8.5</v>
      </c>
      <c r="Y263" s="45">
        <v>9.699999999999999</v>
      </c>
      <c r="Z263" s="45">
        <v>9.300000000000001</v>
      </c>
      <c r="AA263" s="45">
        <v>9.300000000000001</v>
      </c>
      <c r="AB263" s="45">
        <v>9.199999999999999</v>
      </c>
      <c r="AC263" s="45">
        <v>9.800000000000001</v>
      </c>
      <c r="AD263" s="45">
        <v>10.3</v>
      </c>
      <c r="AE263" s="45">
        <v>9.300000000000001</v>
      </c>
      <c r="AF263" s="45">
        <v>9.6</v>
      </c>
      <c r="AG263" s="45">
        <v>8.800000000000001</v>
      </c>
      <c r="AH263" s="45">
        <v>8.199999999999999</v>
      </c>
      <c r="AI263" s="45">
        <v>10</v>
      </c>
      <c r="AJ263" s="45">
        <v>11</v>
      </c>
      <c r="AK263" s="45">
        <v>10.1</v>
      </c>
      <c r="AL263" s="45">
        <v>8.199999999999999</v>
      </c>
      <c r="AM263" s="45">
        <v>8.699999999999999</v>
      </c>
      <c r="AN263" s="45">
        <v>9.1</v>
      </c>
      <c r="AO263" s="45">
        <v>9.1</v>
      </c>
      <c r="AP263" s="45">
        <v>7.7</v>
      </c>
      <c r="AQ263" s="45">
        <v>7.1</v>
      </c>
      <c r="AR263" s="45">
        <v>7.4</v>
      </c>
      <c r="AS263" s="45">
        <v>9</v>
      </c>
      <c r="AT263" s="45">
        <v>0</v>
      </c>
      <c r="AU263" s="45">
        <v>0</v>
      </c>
      <c r="AV263" s="45">
        <v>0</v>
      </c>
      <c r="AW263" s="45">
        <v>0</v>
      </c>
      <c r="AX263" s="45">
        <v>0</v>
      </c>
      <c r="AY263" s="45">
        <v>0</v>
      </c>
      <c r="AZ263" s="45">
        <v>0</v>
      </c>
      <c r="BA263" s="45">
        <v>0</v>
      </c>
      <c r="BB263" s="45">
        <v>0</v>
      </c>
      <c r="BC263" s="45">
        <v>0</v>
      </c>
      <c r="BD263" s="45">
        <v>0</v>
      </c>
      <c r="BE263" s="45">
        <v>0</v>
      </c>
      <c r="BF263" s="45">
        <v>0</v>
      </c>
      <c r="BG263" s="45">
        <v>0</v>
      </c>
    </row>
    <row r="264" spans="1:59">
      <c r="A264" s="18" t="s">
        <v>94</v>
      </c>
      <c r="B264" s="18" t="s">
        <v>92</v>
      </c>
      <c r="C264" s="18" t="s">
        <v>70</v>
      </c>
      <c r="D264" s="45">
        <v>0</v>
      </c>
      <c r="E264" s="45">
        <v>0</v>
      </c>
      <c r="F264" s="45">
        <v>0</v>
      </c>
      <c r="G264" s="45">
        <v>0</v>
      </c>
      <c r="H264" s="45">
        <v>0</v>
      </c>
      <c r="I264" s="45">
        <v>0</v>
      </c>
      <c r="J264" s="45">
        <v>8.800000000000001</v>
      </c>
      <c r="K264" s="45">
        <v>13.5</v>
      </c>
      <c r="L264" s="45">
        <v>12.6</v>
      </c>
      <c r="M264" s="45">
        <v>10.9</v>
      </c>
      <c r="N264" s="45">
        <v>11.5</v>
      </c>
      <c r="O264" s="45">
        <v>10.1</v>
      </c>
      <c r="P264" s="45">
        <v>12</v>
      </c>
      <c r="Q264" s="45">
        <v>9.4</v>
      </c>
      <c r="R264" s="45">
        <v>11.1</v>
      </c>
      <c r="S264" s="45">
        <v>10.1</v>
      </c>
      <c r="T264" s="45">
        <v>10.1</v>
      </c>
      <c r="U264" s="45">
        <v>8.300000000000001</v>
      </c>
      <c r="V264" s="45">
        <v>9</v>
      </c>
      <c r="W264" s="45">
        <v>10.2</v>
      </c>
      <c r="X264" s="45">
        <v>9.300000000000001</v>
      </c>
      <c r="Y264" s="45">
        <v>10.4</v>
      </c>
      <c r="Z264" s="45">
        <v>10.4</v>
      </c>
      <c r="AA264" s="45">
        <v>12.3</v>
      </c>
      <c r="AB264" s="45">
        <v>10.1</v>
      </c>
      <c r="AC264" s="45">
        <v>10.9</v>
      </c>
      <c r="AD264" s="45">
        <v>12.4</v>
      </c>
      <c r="AE264" s="45">
        <v>9.800000000000001</v>
      </c>
      <c r="AF264" s="45">
        <v>10</v>
      </c>
      <c r="AG264" s="45">
        <v>9.800000000000001</v>
      </c>
      <c r="AH264" s="45">
        <v>9.1</v>
      </c>
      <c r="AI264" s="45">
        <v>11.4</v>
      </c>
      <c r="AJ264" s="45">
        <v>9.1</v>
      </c>
      <c r="AK264" s="45">
        <v>10</v>
      </c>
      <c r="AL264" s="45">
        <v>9.5</v>
      </c>
      <c r="AM264" s="45">
        <v>10.4</v>
      </c>
      <c r="AN264" s="45">
        <v>9</v>
      </c>
      <c r="AO264" s="45">
        <v>9.300000000000001</v>
      </c>
      <c r="AP264" s="45">
        <v>7.4</v>
      </c>
      <c r="AQ264" s="45">
        <v>7.2</v>
      </c>
      <c r="AR264" s="45">
        <v>6</v>
      </c>
      <c r="AS264" s="45">
        <v>8</v>
      </c>
      <c r="AT264" s="45">
        <v>0</v>
      </c>
      <c r="AU264" s="45">
        <v>0</v>
      </c>
      <c r="AV264" s="45">
        <v>0</v>
      </c>
      <c r="AW264" s="45">
        <v>0</v>
      </c>
      <c r="AX264" s="45">
        <v>0</v>
      </c>
      <c r="AY264" s="45">
        <v>0</v>
      </c>
      <c r="AZ264" s="45">
        <v>0</v>
      </c>
      <c r="BA264" s="45">
        <v>0</v>
      </c>
      <c r="BB264" s="45">
        <v>0</v>
      </c>
      <c r="BC264" s="45">
        <v>0</v>
      </c>
      <c r="BD264" s="45">
        <v>0</v>
      </c>
      <c r="BE264" s="45">
        <v>0</v>
      </c>
      <c r="BF264" s="45">
        <v>0</v>
      </c>
      <c r="BG264" s="45">
        <v>0</v>
      </c>
    </row>
    <row r="265" spans="1:59">
      <c r="A265" s="18" t="s">
        <v>95</v>
      </c>
      <c r="B265" s="18" t="s">
        <v>92</v>
      </c>
      <c r="C265" s="18" t="s">
        <v>72</v>
      </c>
      <c r="D265" s="45">
        <v>0</v>
      </c>
      <c r="E265" s="45">
        <v>0</v>
      </c>
      <c r="F265" s="45">
        <v>0</v>
      </c>
      <c r="G265" s="45">
        <v>0</v>
      </c>
      <c r="H265" s="45">
        <v>0</v>
      </c>
      <c r="I265" s="45">
        <v>0</v>
      </c>
      <c r="J265" s="45">
        <v>12.5</v>
      </c>
      <c r="K265" s="45">
        <v>14.5</v>
      </c>
      <c r="L265" s="45">
        <v>13.3</v>
      </c>
      <c r="M265" s="45">
        <v>14.4</v>
      </c>
      <c r="N265" s="45">
        <v>10.6</v>
      </c>
      <c r="O265" s="45">
        <v>12.7</v>
      </c>
      <c r="P265" s="45">
        <v>11</v>
      </c>
      <c r="Q265" s="45">
        <v>10.3</v>
      </c>
      <c r="R265" s="45">
        <v>10.6</v>
      </c>
      <c r="S265" s="45">
        <v>10.1</v>
      </c>
      <c r="T265" s="45">
        <v>8.300000000000001</v>
      </c>
      <c r="U265" s="45">
        <v>10.8</v>
      </c>
      <c r="V265" s="45">
        <v>10.3</v>
      </c>
      <c r="W265" s="45">
        <v>10.2</v>
      </c>
      <c r="X265" s="45">
        <v>10.9</v>
      </c>
      <c r="Y265" s="45">
        <v>12.5</v>
      </c>
      <c r="Z265" s="45">
        <v>9.4</v>
      </c>
      <c r="AA265" s="45">
        <v>11.9</v>
      </c>
      <c r="AB265" s="45">
        <v>11.8</v>
      </c>
      <c r="AC265" s="45">
        <v>13.2</v>
      </c>
      <c r="AD265" s="45">
        <v>10</v>
      </c>
      <c r="AE265" s="45">
        <v>11.1</v>
      </c>
      <c r="AF265" s="45">
        <v>10.5</v>
      </c>
      <c r="AG265" s="45">
        <v>8.9</v>
      </c>
      <c r="AH265" s="45">
        <v>10.2</v>
      </c>
      <c r="AI265" s="45">
        <v>11.5</v>
      </c>
      <c r="AJ265" s="45">
        <v>9.9</v>
      </c>
      <c r="AK265" s="45">
        <v>10</v>
      </c>
      <c r="AL265" s="45">
        <v>9.300000000000001</v>
      </c>
      <c r="AM265" s="45">
        <v>10</v>
      </c>
      <c r="AN265" s="45">
        <v>9.1</v>
      </c>
      <c r="AO265" s="45">
        <v>10.2</v>
      </c>
      <c r="AP265" s="45">
        <v>7.7</v>
      </c>
      <c r="AQ265" s="45">
        <v>5.8</v>
      </c>
      <c r="AR265" s="45">
        <v>6.2</v>
      </c>
      <c r="AS265" s="45">
        <v>6.6</v>
      </c>
      <c r="AT265" s="45">
        <v>0</v>
      </c>
      <c r="AU265" s="45">
        <v>0</v>
      </c>
      <c r="AV265" s="45">
        <v>0</v>
      </c>
      <c r="AW265" s="45">
        <v>0</v>
      </c>
      <c r="AX265" s="45">
        <v>0</v>
      </c>
      <c r="AY265" s="45">
        <v>0</v>
      </c>
      <c r="AZ265" s="45">
        <v>0</v>
      </c>
      <c r="BA265" s="45">
        <v>0</v>
      </c>
      <c r="BB265" s="45">
        <v>0</v>
      </c>
      <c r="BC265" s="45">
        <v>0</v>
      </c>
      <c r="BD265" s="45">
        <v>0</v>
      </c>
      <c r="BE265" s="45">
        <v>0</v>
      </c>
      <c r="BF265" s="45">
        <v>0</v>
      </c>
      <c r="BG265" s="45">
        <v>0</v>
      </c>
    </row>
    <row r="266" spans="1:59">
      <c r="A266" s="18" t="s">
        <v>96</v>
      </c>
      <c r="B266" s="18" t="s">
        <v>92</v>
      </c>
      <c r="C266" s="18" t="s">
        <v>74</v>
      </c>
      <c r="D266" s="45">
        <v>0</v>
      </c>
      <c r="E266" s="45">
        <v>0</v>
      </c>
      <c r="F266" s="45">
        <v>0</v>
      </c>
      <c r="G266" s="45">
        <v>0</v>
      </c>
      <c r="H266" s="45">
        <v>0</v>
      </c>
      <c r="I266" s="45">
        <v>0</v>
      </c>
      <c r="J266" s="45">
        <v>14.9</v>
      </c>
      <c r="K266" s="45">
        <v>11</v>
      </c>
      <c r="L266" s="45">
        <v>13.2</v>
      </c>
      <c r="M266" s="45">
        <v>10.8</v>
      </c>
      <c r="N266" s="45">
        <v>11.9</v>
      </c>
      <c r="O266" s="45">
        <v>10.1</v>
      </c>
      <c r="P266" s="45">
        <v>9.9</v>
      </c>
      <c r="Q266" s="45">
        <v>9.800000000000001</v>
      </c>
      <c r="R266" s="45">
        <v>8.300000000000001</v>
      </c>
      <c r="S266" s="45">
        <v>8.6</v>
      </c>
      <c r="T266" s="45">
        <v>9.800000000000001</v>
      </c>
      <c r="U266" s="45">
        <v>9.300000000000001</v>
      </c>
      <c r="V266" s="45">
        <v>8.5</v>
      </c>
      <c r="W266" s="45">
        <v>10.2</v>
      </c>
      <c r="X266" s="45">
        <v>11.7</v>
      </c>
      <c r="Y266" s="45">
        <v>11.4</v>
      </c>
      <c r="Z266" s="45">
        <v>11</v>
      </c>
      <c r="AA266" s="45">
        <v>10.5</v>
      </c>
      <c r="AB266" s="45">
        <v>11.8</v>
      </c>
      <c r="AC266" s="45">
        <v>12.9</v>
      </c>
      <c r="AD266" s="45">
        <v>11.7</v>
      </c>
      <c r="AE266" s="45">
        <v>9.699999999999999</v>
      </c>
      <c r="AF266" s="45">
        <v>10.4</v>
      </c>
      <c r="AG266" s="45">
        <v>9.9</v>
      </c>
      <c r="AH266" s="45">
        <v>10.4</v>
      </c>
      <c r="AI266" s="45">
        <v>10.8</v>
      </c>
      <c r="AJ266" s="45">
        <v>10.4</v>
      </c>
      <c r="AK266" s="45">
        <v>10.3</v>
      </c>
      <c r="AL266" s="45">
        <v>10.9</v>
      </c>
      <c r="AM266" s="45">
        <v>10.6</v>
      </c>
      <c r="AN266" s="45">
        <v>9.1</v>
      </c>
      <c r="AO266" s="45">
        <v>8.199999999999999</v>
      </c>
      <c r="AP266" s="45">
        <v>7.4</v>
      </c>
      <c r="AQ266" s="45">
        <v>6.2</v>
      </c>
      <c r="AR266" s="45">
        <v>6.2</v>
      </c>
      <c r="AS266" s="45">
        <v>6</v>
      </c>
      <c r="AT266" s="45">
        <v>0</v>
      </c>
      <c r="AU266" s="45">
        <v>0</v>
      </c>
      <c r="AV266" s="45">
        <v>0</v>
      </c>
      <c r="AW266" s="45">
        <v>0</v>
      </c>
      <c r="AX266" s="45">
        <v>0</v>
      </c>
      <c r="AY266" s="45">
        <v>0</v>
      </c>
      <c r="AZ266" s="45">
        <v>0</v>
      </c>
      <c r="BA266" s="45">
        <v>0</v>
      </c>
      <c r="BB266" s="45">
        <v>0</v>
      </c>
      <c r="BC266" s="45">
        <v>0</v>
      </c>
      <c r="BD266" s="45">
        <v>0</v>
      </c>
      <c r="BE266" s="45">
        <v>0</v>
      </c>
      <c r="BF266" s="45">
        <v>0</v>
      </c>
      <c r="BG266" s="45">
        <v>0</v>
      </c>
    </row>
    <row r="267" spans="1:59">
      <c r="A267" s="18" t="s">
        <v>97</v>
      </c>
      <c r="B267" s="18" t="s">
        <v>92</v>
      </c>
      <c r="C267" s="18" t="s">
        <v>76</v>
      </c>
      <c r="D267" s="45">
        <v>0</v>
      </c>
      <c r="E267" s="45">
        <v>0</v>
      </c>
      <c r="F267" s="45">
        <v>0</v>
      </c>
      <c r="G267" s="45">
        <v>0</v>
      </c>
      <c r="H267" s="45">
        <v>0</v>
      </c>
      <c r="I267" s="45">
        <v>0</v>
      </c>
      <c r="J267" s="45">
        <v>9</v>
      </c>
      <c r="K267" s="45">
        <v>13.5</v>
      </c>
      <c r="L267" s="45">
        <v>12.7</v>
      </c>
      <c r="M267" s="45">
        <v>12.9</v>
      </c>
      <c r="N267" s="45">
        <v>10.6</v>
      </c>
      <c r="O267" s="45">
        <v>9.5</v>
      </c>
      <c r="P267" s="45">
        <v>9.5</v>
      </c>
      <c r="Q267" s="45">
        <v>10.4</v>
      </c>
      <c r="R267" s="45">
        <v>10.2</v>
      </c>
      <c r="S267" s="45">
        <v>9.300000000000001</v>
      </c>
      <c r="T267" s="45">
        <v>10.2</v>
      </c>
      <c r="U267" s="45">
        <v>8</v>
      </c>
      <c r="V267" s="45">
        <v>9.9</v>
      </c>
      <c r="W267" s="45">
        <v>10.9</v>
      </c>
      <c r="X267" s="45">
        <v>11.7</v>
      </c>
      <c r="Y267" s="45">
        <v>12.2</v>
      </c>
      <c r="Z267" s="45">
        <v>11</v>
      </c>
      <c r="AA267" s="45">
        <v>12.4</v>
      </c>
      <c r="AB267" s="45">
        <v>11.4</v>
      </c>
      <c r="AC267" s="45">
        <v>10.5</v>
      </c>
      <c r="AD267" s="45">
        <v>11.5</v>
      </c>
      <c r="AE267" s="45">
        <v>9</v>
      </c>
      <c r="AF267" s="45">
        <v>10.2</v>
      </c>
      <c r="AG267" s="45">
        <v>11.5</v>
      </c>
      <c r="AH267" s="45">
        <v>9.1</v>
      </c>
      <c r="AI267" s="45">
        <v>9</v>
      </c>
      <c r="AJ267" s="45">
        <v>8.9</v>
      </c>
      <c r="AK267" s="45">
        <v>9</v>
      </c>
      <c r="AL267" s="45">
        <v>9.4</v>
      </c>
      <c r="AM267" s="45">
        <v>8.6</v>
      </c>
      <c r="AN267" s="45">
        <v>8.800000000000001</v>
      </c>
      <c r="AO267" s="45">
        <v>8.199999999999999</v>
      </c>
      <c r="AP267" s="45">
        <v>8.1</v>
      </c>
      <c r="AQ267" s="45">
        <v>7.4</v>
      </c>
      <c r="AR267" s="45">
        <v>7</v>
      </c>
      <c r="AS267" s="45">
        <v>5.5</v>
      </c>
      <c r="AT267" s="45">
        <v>0</v>
      </c>
      <c r="AU267" s="45">
        <v>0</v>
      </c>
      <c r="AV267" s="45">
        <v>0</v>
      </c>
      <c r="AW267" s="45">
        <v>0</v>
      </c>
      <c r="AX267" s="45">
        <v>0</v>
      </c>
      <c r="AY267" s="45">
        <v>0</v>
      </c>
      <c r="AZ267" s="45">
        <v>0</v>
      </c>
      <c r="BA267" s="45">
        <v>0</v>
      </c>
      <c r="BB267" s="45">
        <v>0</v>
      </c>
      <c r="BC267" s="45">
        <v>0</v>
      </c>
      <c r="BD267" s="45">
        <v>0</v>
      </c>
      <c r="BE267" s="45">
        <v>0</v>
      </c>
      <c r="BF267" s="45">
        <v>0</v>
      </c>
      <c r="BG267" s="45">
        <v>0</v>
      </c>
    </row>
    <row r="268" spans="1:59">
      <c r="A268" s="18" t="s">
        <v>98</v>
      </c>
      <c r="B268" s="18" t="s">
        <v>92</v>
      </c>
      <c r="C268" s="18" t="s">
        <v>78</v>
      </c>
      <c r="D268" s="45">
        <v>0</v>
      </c>
      <c r="E268" s="45">
        <v>0</v>
      </c>
      <c r="F268" s="45">
        <v>0</v>
      </c>
      <c r="G268" s="45">
        <v>0</v>
      </c>
      <c r="H268" s="45">
        <v>0</v>
      </c>
      <c r="I268" s="45">
        <v>0</v>
      </c>
      <c r="J268" s="45">
        <v>9</v>
      </c>
      <c r="K268" s="45">
        <v>8.9</v>
      </c>
      <c r="L268" s="45">
        <v>14</v>
      </c>
      <c r="M268" s="45">
        <v>12.9</v>
      </c>
      <c r="N268" s="45">
        <v>13.5</v>
      </c>
      <c r="O268" s="45">
        <v>11.5</v>
      </c>
      <c r="P268" s="45">
        <v>10</v>
      </c>
      <c r="Q268" s="45">
        <v>11.5</v>
      </c>
      <c r="R268" s="45">
        <v>9.800000000000001</v>
      </c>
      <c r="S268" s="45">
        <v>8.300000000000001</v>
      </c>
      <c r="T268" s="45">
        <v>11</v>
      </c>
      <c r="U268" s="45">
        <v>9.9</v>
      </c>
      <c r="V268" s="45">
        <v>8.800000000000001</v>
      </c>
      <c r="W268" s="45">
        <v>10.3</v>
      </c>
      <c r="X268" s="45">
        <v>11.4</v>
      </c>
      <c r="Y268" s="45">
        <v>12.5</v>
      </c>
      <c r="Z268" s="45">
        <v>11.1</v>
      </c>
      <c r="AA268" s="45">
        <v>12</v>
      </c>
      <c r="AB268" s="45">
        <v>10.3</v>
      </c>
      <c r="AC268" s="45">
        <v>12</v>
      </c>
      <c r="AD268" s="45">
        <v>12.4</v>
      </c>
      <c r="AE268" s="45">
        <v>10.1</v>
      </c>
      <c r="AF268" s="45">
        <v>9.9</v>
      </c>
      <c r="AG268" s="45">
        <v>11.5</v>
      </c>
      <c r="AH268" s="45">
        <v>10.8</v>
      </c>
      <c r="AI268" s="45">
        <v>10.8</v>
      </c>
      <c r="AJ268" s="45">
        <v>9.800000000000001</v>
      </c>
      <c r="AK268" s="45">
        <v>10.2</v>
      </c>
      <c r="AL268" s="45">
        <v>8.699999999999999</v>
      </c>
      <c r="AM268" s="45">
        <v>10.3</v>
      </c>
      <c r="AN268" s="45">
        <v>8.300000000000001</v>
      </c>
      <c r="AO268" s="45">
        <v>9</v>
      </c>
      <c r="AP268" s="45">
        <v>8.4</v>
      </c>
      <c r="AQ268" s="45">
        <v>7.2</v>
      </c>
      <c r="AR268" s="45">
        <v>6.9</v>
      </c>
      <c r="AS268" s="45">
        <v>5.9</v>
      </c>
      <c r="AT268" s="45">
        <v>0</v>
      </c>
      <c r="AU268" s="45">
        <v>0</v>
      </c>
      <c r="AV268" s="45">
        <v>0</v>
      </c>
      <c r="AW268" s="45">
        <v>0</v>
      </c>
      <c r="AX268" s="45">
        <v>0</v>
      </c>
      <c r="AY268" s="45">
        <v>0</v>
      </c>
      <c r="AZ268" s="45">
        <v>0</v>
      </c>
      <c r="BA268" s="45">
        <v>0</v>
      </c>
      <c r="BB268" s="45">
        <v>0</v>
      </c>
      <c r="BC268" s="45">
        <v>0</v>
      </c>
      <c r="BD268" s="45">
        <v>0</v>
      </c>
      <c r="BE268" s="45">
        <v>0</v>
      </c>
      <c r="BF268" s="45">
        <v>0</v>
      </c>
      <c r="BG268" s="45">
        <v>0</v>
      </c>
    </row>
    <row r="269" spans="1:59">
      <c r="A269" s="18" t="s">
        <v>99</v>
      </c>
      <c r="B269" s="18" t="s">
        <v>92</v>
      </c>
      <c r="C269" s="18" t="s">
        <v>80</v>
      </c>
      <c r="D269" s="45">
        <v>0</v>
      </c>
      <c r="E269" s="45">
        <v>0</v>
      </c>
      <c r="F269" s="45">
        <v>0</v>
      </c>
      <c r="G269" s="45">
        <v>0</v>
      </c>
      <c r="H269" s="45">
        <v>0</v>
      </c>
      <c r="I269" s="45">
        <v>0</v>
      </c>
      <c r="J269" s="45">
        <v>8.699999999999999</v>
      </c>
      <c r="K269" s="45">
        <v>15.9</v>
      </c>
      <c r="L269" s="45">
        <v>16.3</v>
      </c>
      <c r="M269" s="45">
        <v>13.5</v>
      </c>
      <c r="N269" s="45">
        <v>11.9</v>
      </c>
      <c r="O269" s="45">
        <v>10.3</v>
      </c>
      <c r="P269" s="45">
        <v>10.1</v>
      </c>
      <c r="Q269" s="45">
        <v>11.1</v>
      </c>
      <c r="R269" s="45">
        <v>9.6</v>
      </c>
      <c r="S269" s="45">
        <v>10.9</v>
      </c>
      <c r="T269" s="45">
        <v>11.1</v>
      </c>
      <c r="U269" s="45">
        <v>10.2</v>
      </c>
      <c r="V269" s="45">
        <v>9.4</v>
      </c>
      <c r="W269" s="45">
        <v>9.5</v>
      </c>
      <c r="X269" s="45">
        <v>10.3</v>
      </c>
      <c r="Y269" s="45">
        <v>11.6</v>
      </c>
      <c r="Z269" s="45">
        <v>11.8</v>
      </c>
      <c r="AA269" s="45">
        <v>13.1</v>
      </c>
      <c r="AB269" s="45">
        <v>12.2</v>
      </c>
      <c r="AC269" s="45">
        <v>9.699999999999999</v>
      </c>
      <c r="AD269" s="45">
        <v>10.8</v>
      </c>
      <c r="AE269" s="45">
        <v>10.2</v>
      </c>
      <c r="AF269" s="45">
        <v>12</v>
      </c>
      <c r="AG269" s="45">
        <v>10.2</v>
      </c>
      <c r="AH269" s="45">
        <v>9.5</v>
      </c>
      <c r="AI269" s="45">
        <v>10</v>
      </c>
      <c r="AJ269" s="45">
        <v>9.9</v>
      </c>
      <c r="AK269" s="45">
        <v>10.6</v>
      </c>
      <c r="AL269" s="45">
        <v>9.199999999999999</v>
      </c>
      <c r="AM269" s="45">
        <v>9.5</v>
      </c>
      <c r="AN269" s="45">
        <v>9.199999999999999</v>
      </c>
      <c r="AO269" s="45">
        <v>8.9</v>
      </c>
      <c r="AP269" s="45">
        <v>7.6</v>
      </c>
      <c r="AQ269" s="45">
        <v>6.8</v>
      </c>
      <c r="AR269" s="45">
        <v>6.4</v>
      </c>
      <c r="AS269" s="45">
        <v>6.1</v>
      </c>
      <c r="AT269" s="45">
        <v>0</v>
      </c>
      <c r="AU269" s="45">
        <v>0</v>
      </c>
      <c r="AV269" s="45">
        <v>0</v>
      </c>
      <c r="AW269" s="45">
        <v>0</v>
      </c>
      <c r="AX269" s="45">
        <v>0</v>
      </c>
      <c r="AY269" s="45">
        <v>0</v>
      </c>
      <c r="AZ269" s="45">
        <v>0</v>
      </c>
      <c r="BA269" s="45">
        <v>0</v>
      </c>
      <c r="BB269" s="45">
        <v>0</v>
      </c>
      <c r="BC269" s="45">
        <v>0</v>
      </c>
      <c r="BD269" s="45">
        <v>0</v>
      </c>
      <c r="BE269" s="45">
        <v>0</v>
      </c>
      <c r="BF269" s="45">
        <v>0</v>
      </c>
      <c r="BG269" s="45">
        <v>0</v>
      </c>
    </row>
    <row r="270" spans="1:59">
      <c r="A270" s="18" t="s">
        <v>100</v>
      </c>
      <c r="B270" s="18" t="s">
        <v>92</v>
      </c>
      <c r="C270" s="18" t="s">
        <v>82</v>
      </c>
      <c r="D270" s="45">
        <v>0</v>
      </c>
      <c r="E270" s="45">
        <v>0</v>
      </c>
      <c r="F270" s="45">
        <v>0</v>
      </c>
      <c r="G270" s="45">
        <v>0</v>
      </c>
      <c r="H270" s="45">
        <v>0</v>
      </c>
      <c r="I270" s="45">
        <v>0</v>
      </c>
      <c r="J270" s="45">
        <v>0</v>
      </c>
      <c r="K270" s="45">
        <v>11.7</v>
      </c>
      <c r="L270" s="45">
        <v>14.5</v>
      </c>
      <c r="M270" s="45">
        <v>16.2</v>
      </c>
      <c r="N270" s="45">
        <v>15.5</v>
      </c>
      <c r="O270" s="45">
        <v>9.1</v>
      </c>
      <c r="P270" s="45">
        <v>9.6</v>
      </c>
      <c r="Q270" s="45">
        <v>8.6</v>
      </c>
      <c r="R270" s="45">
        <v>7.9</v>
      </c>
      <c r="S270" s="45">
        <v>8.5</v>
      </c>
      <c r="T270" s="45">
        <v>8.1</v>
      </c>
      <c r="U270" s="45">
        <v>10.7</v>
      </c>
      <c r="V270" s="45">
        <v>11</v>
      </c>
      <c r="W270" s="45">
        <v>11.3</v>
      </c>
      <c r="X270" s="45">
        <v>9.4</v>
      </c>
      <c r="Y270" s="45">
        <v>12</v>
      </c>
      <c r="Z270" s="45">
        <v>10.4</v>
      </c>
      <c r="AA270" s="45">
        <v>11</v>
      </c>
      <c r="AB270" s="45">
        <v>12.4</v>
      </c>
      <c r="AC270" s="45">
        <v>10.5</v>
      </c>
      <c r="AD270" s="45">
        <v>8.5</v>
      </c>
      <c r="AE270" s="45">
        <v>8.699999999999999</v>
      </c>
      <c r="AF270" s="45">
        <v>8.4</v>
      </c>
      <c r="AG270" s="45">
        <v>8.699999999999999</v>
      </c>
      <c r="AH270" s="45">
        <v>8.9</v>
      </c>
      <c r="AI270" s="45">
        <v>9.1</v>
      </c>
      <c r="AJ270" s="45">
        <v>10</v>
      </c>
      <c r="AK270" s="45">
        <v>9.199999999999999</v>
      </c>
      <c r="AL270" s="45">
        <v>8</v>
      </c>
      <c r="AM270" s="45">
        <v>8.199999999999999</v>
      </c>
      <c r="AN270" s="45">
        <v>9</v>
      </c>
      <c r="AO270" s="45">
        <v>7.7</v>
      </c>
      <c r="AP270" s="45">
        <v>6.9</v>
      </c>
      <c r="AQ270" s="45">
        <v>6.4</v>
      </c>
      <c r="AR270" s="45">
        <v>5.1</v>
      </c>
      <c r="AS270" s="45">
        <v>5.5</v>
      </c>
      <c r="AT270" s="45">
        <v>0</v>
      </c>
      <c r="AU270" s="45">
        <v>0</v>
      </c>
      <c r="AV270" s="45">
        <v>0</v>
      </c>
      <c r="AW270" s="45">
        <v>0</v>
      </c>
      <c r="AX270" s="45">
        <v>0</v>
      </c>
      <c r="AY270" s="45">
        <v>0</v>
      </c>
      <c r="AZ270" s="45">
        <v>0</v>
      </c>
      <c r="BA270" s="45">
        <v>0</v>
      </c>
      <c r="BB270" s="45">
        <v>0</v>
      </c>
      <c r="BC270" s="45">
        <v>0</v>
      </c>
      <c r="BD270" s="45">
        <v>0</v>
      </c>
      <c r="BE270" s="45">
        <v>0</v>
      </c>
      <c r="BF270" s="45">
        <v>0</v>
      </c>
      <c r="BG270" s="45">
        <v>0</v>
      </c>
    </row>
    <row r="271" spans="1:59">
      <c r="A271" s="18" t="s">
        <v>101</v>
      </c>
      <c r="B271" s="18" t="s">
        <v>92</v>
      </c>
      <c r="C271" s="18" t="s">
        <v>84</v>
      </c>
      <c r="D271" s="45">
        <v>0</v>
      </c>
      <c r="E271" s="45">
        <v>0</v>
      </c>
      <c r="F271" s="45">
        <v>0</v>
      </c>
      <c r="G271" s="45">
        <v>0</v>
      </c>
      <c r="H271" s="45">
        <v>0</v>
      </c>
      <c r="I271" s="45">
        <v>3.3</v>
      </c>
      <c r="J271" s="45">
        <v>4.3</v>
      </c>
      <c r="K271" s="45">
        <v>4.7</v>
      </c>
      <c r="L271" s="45">
        <v>3.7</v>
      </c>
      <c r="M271" s="45">
        <v>2.7</v>
      </c>
      <c r="N271" s="45">
        <v>2.6</v>
      </c>
      <c r="O271" s="45">
        <v>2.5</v>
      </c>
      <c r="P271" s="45">
        <v>2.9</v>
      </c>
      <c r="Q271" s="45">
        <v>3.4</v>
      </c>
      <c r="R271" s="45">
        <v>2.8</v>
      </c>
      <c r="S271" s="45">
        <v>2.8</v>
      </c>
      <c r="T271" s="45">
        <v>3.5</v>
      </c>
      <c r="U271" s="45">
        <v>3.1</v>
      </c>
      <c r="V271" s="45">
        <v>3.5</v>
      </c>
      <c r="W271" s="45">
        <v>2.1</v>
      </c>
      <c r="X271" s="45">
        <v>4</v>
      </c>
      <c r="Y271" s="45">
        <v>2.6</v>
      </c>
      <c r="Z271" s="45">
        <v>3.1</v>
      </c>
      <c r="AA271" s="45">
        <v>2.4</v>
      </c>
      <c r="AB271" s="45">
        <v>3.4</v>
      </c>
      <c r="AC271" s="45">
        <v>2.7</v>
      </c>
      <c r="AD271" s="45">
        <v>3.6</v>
      </c>
      <c r="AE271" s="45">
        <v>3.6</v>
      </c>
      <c r="AF271" s="45">
        <v>3.3</v>
      </c>
      <c r="AG271" s="45">
        <v>2.8</v>
      </c>
      <c r="AH271" s="45">
        <v>3</v>
      </c>
      <c r="AI271" s="45">
        <v>2.5</v>
      </c>
      <c r="AJ271" s="45">
        <v>2.6</v>
      </c>
      <c r="AK271" s="45">
        <v>2.7</v>
      </c>
      <c r="AL271" s="45">
        <v>2.7</v>
      </c>
      <c r="AM271" s="45">
        <v>3.5</v>
      </c>
      <c r="AN271" s="45">
        <v>2.8</v>
      </c>
      <c r="AO271" s="45">
        <v>2.5</v>
      </c>
      <c r="AP271" s="45">
        <v>1.8</v>
      </c>
      <c r="AQ271" s="45">
        <v>3.2</v>
      </c>
      <c r="AR271" s="45">
        <v>3.3</v>
      </c>
      <c r="AS271" s="45">
        <v>0</v>
      </c>
      <c r="AT271" s="45">
        <v>0</v>
      </c>
      <c r="AU271" s="45">
        <v>0</v>
      </c>
      <c r="AV271" s="45">
        <v>0</v>
      </c>
      <c r="AW271" s="45">
        <v>0</v>
      </c>
      <c r="AX271" s="45">
        <v>0</v>
      </c>
      <c r="AY271" s="45">
        <v>0</v>
      </c>
      <c r="AZ271" s="45">
        <v>0</v>
      </c>
      <c r="BA271" s="45">
        <v>0</v>
      </c>
      <c r="BB271" s="45">
        <v>0</v>
      </c>
      <c r="BC271" s="45">
        <v>0</v>
      </c>
      <c r="BD271" s="45">
        <v>0</v>
      </c>
      <c r="BE271" s="45">
        <v>0</v>
      </c>
      <c r="BF271" s="45">
        <v>0</v>
      </c>
      <c r="BG271" s="45">
        <v>0</v>
      </c>
    </row>
    <row r="272" spans="1:59">
      <c r="A272" s="18" t="s">
        <v>102</v>
      </c>
      <c r="B272" s="18" t="s">
        <v>92</v>
      </c>
      <c r="C272" s="18" t="s">
        <v>86</v>
      </c>
      <c r="D272" s="45">
        <v>0</v>
      </c>
      <c r="E272" s="45">
        <v>0</v>
      </c>
      <c r="F272" s="45">
        <v>0</v>
      </c>
      <c r="G272" s="45">
        <v>0</v>
      </c>
      <c r="H272" s="45">
        <v>0</v>
      </c>
      <c r="I272" s="45">
        <v>1.8</v>
      </c>
      <c r="J272" s="45">
        <v>3.7</v>
      </c>
      <c r="K272" s="45">
        <v>3.8</v>
      </c>
      <c r="L272" s="45">
        <v>3.1</v>
      </c>
      <c r="M272" s="45">
        <v>3.2</v>
      </c>
      <c r="N272" s="45">
        <v>3.9</v>
      </c>
      <c r="O272" s="45">
        <v>3.5</v>
      </c>
      <c r="P272" s="45">
        <v>3.2</v>
      </c>
      <c r="Q272" s="45">
        <v>3.4</v>
      </c>
      <c r="R272" s="45">
        <v>3.2</v>
      </c>
      <c r="S272" s="45">
        <v>3</v>
      </c>
      <c r="T272" s="45">
        <v>3.7</v>
      </c>
      <c r="U272" s="45">
        <v>3.9</v>
      </c>
      <c r="V272" s="45">
        <v>3.2</v>
      </c>
      <c r="W272" s="45">
        <v>3.1</v>
      </c>
      <c r="X272" s="45">
        <v>3.9</v>
      </c>
      <c r="Y272" s="45">
        <v>3.7</v>
      </c>
      <c r="Z272" s="45">
        <v>4.1</v>
      </c>
      <c r="AA272" s="45">
        <v>3.1</v>
      </c>
      <c r="AB272" s="45">
        <v>2.7</v>
      </c>
      <c r="AC272" s="45">
        <v>3.1</v>
      </c>
      <c r="AD272" s="45">
        <v>3</v>
      </c>
      <c r="AE272" s="45">
        <v>2.2</v>
      </c>
      <c r="AF272" s="45">
        <v>2.7</v>
      </c>
      <c r="AG272" s="45">
        <v>3</v>
      </c>
      <c r="AH272" s="45">
        <v>3.1</v>
      </c>
      <c r="AI272" s="45">
        <v>2.8</v>
      </c>
      <c r="AJ272" s="45">
        <v>3.1</v>
      </c>
      <c r="AK272" s="45">
        <v>2.8</v>
      </c>
      <c r="AL272" s="45">
        <v>3.6</v>
      </c>
      <c r="AM272" s="45">
        <v>2.9</v>
      </c>
      <c r="AN272" s="45">
        <v>3</v>
      </c>
      <c r="AO272" s="45">
        <v>2.9</v>
      </c>
      <c r="AP272" s="45">
        <v>3.3</v>
      </c>
      <c r="AQ272" s="45">
        <v>4</v>
      </c>
      <c r="AR272" s="45">
        <v>4.5</v>
      </c>
      <c r="AS272" s="45">
        <v>0</v>
      </c>
      <c r="AT272" s="45">
        <v>0</v>
      </c>
      <c r="AU272" s="45">
        <v>0</v>
      </c>
      <c r="AV272" s="45">
        <v>0</v>
      </c>
      <c r="AW272" s="45">
        <v>0</v>
      </c>
      <c r="AX272" s="45">
        <v>0</v>
      </c>
      <c r="AY272" s="45">
        <v>0</v>
      </c>
      <c r="AZ272" s="45">
        <v>0</v>
      </c>
      <c r="BA272" s="45">
        <v>0</v>
      </c>
      <c r="BB272" s="45">
        <v>0</v>
      </c>
      <c r="BC272" s="45">
        <v>0</v>
      </c>
      <c r="BD272" s="45">
        <v>0</v>
      </c>
      <c r="BE272" s="45">
        <v>0</v>
      </c>
      <c r="BF272" s="45">
        <v>0</v>
      </c>
      <c r="BG272" s="45">
        <v>0</v>
      </c>
    </row>
    <row r="273" spans="1:59">
      <c r="A273" s="18" t="s">
        <v>103</v>
      </c>
      <c r="B273" s="18" t="s">
        <v>92</v>
      </c>
      <c r="C273" s="18" t="s">
        <v>88</v>
      </c>
      <c r="D273" s="45">
        <v>0</v>
      </c>
      <c r="E273" s="45">
        <v>0</v>
      </c>
      <c r="F273" s="45">
        <v>0</v>
      </c>
      <c r="G273" s="45">
        <v>0</v>
      </c>
      <c r="H273" s="45">
        <v>0</v>
      </c>
      <c r="I273" s="45">
        <v>3.2</v>
      </c>
      <c r="J273" s="45">
        <v>4.9</v>
      </c>
      <c r="K273" s="45">
        <v>3</v>
      </c>
      <c r="L273" s="45">
        <v>3.9</v>
      </c>
      <c r="M273" s="45">
        <v>3.9</v>
      </c>
      <c r="N273" s="45">
        <v>4</v>
      </c>
      <c r="O273" s="45">
        <v>3.8</v>
      </c>
      <c r="P273" s="45">
        <v>3.1</v>
      </c>
      <c r="Q273" s="45">
        <v>4</v>
      </c>
      <c r="R273" s="45">
        <v>3.3</v>
      </c>
      <c r="S273" s="45">
        <v>3.1</v>
      </c>
      <c r="T273" s="45">
        <v>3.6</v>
      </c>
      <c r="U273" s="45">
        <v>3.9</v>
      </c>
      <c r="V273" s="45">
        <v>3.9</v>
      </c>
      <c r="W273" s="45">
        <v>3.9</v>
      </c>
      <c r="X273" s="45">
        <v>3.7</v>
      </c>
      <c r="Y273" s="45">
        <v>3</v>
      </c>
      <c r="Z273" s="45">
        <v>3.4</v>
      </c>
      <c r="AA273" s="45">
        <v>3.4</v>
      </c>
      <c r="AB273" s="45">
        <v>2.6</v>
      </c>
      <c r="AC273" s="45">
        <v>3.4</v>
      </c>
      <c r="AD273" s="45">
        <v>3.4</v>
      </c>
      <c r="AE273" s="45">
        <v>4</v>
      </c>
      <c r="AF273" s="45">
        <v>3.3</v>
      </c>
      <c r="AG273" s="45">
        <v>3.3</v>
      </c>
      <c r="AH273" s="45">
        <v>3.2</v>
      </c>
      <c r="AI273" s="45">
        <v>3.6</v>
      </c>
      <c r="AJ273" s="45">
        <v>3</v>
      </c>
      <c r="AK273" s="45">
        <v>3.9</v>
      </c>
      <c r="AL273" s="45">
        <v>3.4</v>
      </c>
      <c r="AM273" s="45">
        <v>3.4</v>
      </c>
      <c r="AN273" s="45">
        <v>3.2</v>
      </c>
      <c r="AO273" s="45">
        <v>3.4</v>
      </c>
      <c r="AP273" s="45">
        <v>3.7</v>
      </c>
      <c r="AQ273" s="45">
        <v>3.5</v>
      </c>
      <c r="AR273" s="45">
        <v>4.6</v>
      </c>
      <c r="AS273" s="45">
        <v>0</v>
      </c>
      <c r="AT273" s="45">
        <v>0</v>
      </c>
      <c r="AU273" s="45">
        <v>0</v>
      </c>
      <c r="AV273" s="45">
        <v>0</v>
      </c>
      <c r="AW273" s="45">
        <v>0</v>
      </c>
      <c r="AX273" s="45">
        <v>0</v>
      </c>
      <c r="AY273" s="45">
        <v>0</v>
      </c>
      <c r="AZ273" s="45">
        <v>0</v>
      </c>
      <c r="BA273" s="45">
        <v>0</v>
      </c>
      <c r="BB273" s="45">
        <v>0</v>
      </c>
      <c r="BC273" s="45">
        <v>0</v>
      </c>
      <c r="BD273" s="45">
        <v>0</v>
      </c>
      <c r="BE273" s="45">
        <v>0</v>
      </c>
      <c r="BF273" s="45">
        <v>0</v>
      </c>
      <c r="BG273" s="45">
        <v>0</v>
      </c>
    </row>
    <row r="274" spans="1:59">
      <c r="A274" s="18" t="s">
        <v>104</v>
      </c>
      <c r="B274" s="18" t="s">
        <v>92</v>
      </c>
      <c r="C274" s="18" t="s">
        <v>90</v>
      </c>
      <c r="D274" s="45">
        <v>0</v>
      </c>
      <c r="E274" s="45">
        <v>0</v>
      </c>
      <c r="F274" s="45">
        <v>0</v>
      </c>
      <c r="G274" s="45">
        <v>0</v>
      </c>
      <c r="H274" s="45">
        <v>0</v>
      </c>
      <c r="I274" s="45">
        <v>2.2</v>
      </c>
      <c r="J274" s="45">
        <v>4.6</v>
      </c>
      <c r="K274" s="45">
        <v>4</v>
      </c>
      <c r="L274" s="45">
        <v>3.3</v>
      </c>
      <c r="M274" s="45">
        <v>3.5</v>
      </c>
      <c r="N274" s="45">
        <v>3.5</v>
      </c>
      <c r="O274" s="45">
        <v>4</v>
      </c>
      <c r="P274" s="45">
        <v>3.4</v>
      </c>
      <c r="Q274" s="45">
        <v>3.4</v>
      </c>
      <c r="R274" s="45">
        <v>3.4</v>
      </c>
      <c r="S274" s="45">
        <v>3</v>
      </c>
      <c r="T274" s="45">
        <v>2.8</v>
      </c>
      <c r="U274" s="45">
        <v>3.9</v>
      </c>
      <c r="V274" s="45">
        <v>4.1</v>
      </c>
      <c r="W274" s="45">
        <v>4.2</v>
      </c>
      <c r="X274" s="45">
        <v>3.5</v>
      </c>
      <c r="Y274" s="45">
        <v>3.7</v>
      </c>
      <c r="Z274" s="45">
        <v>3.3</v>
      </c>
      <c r="AA274" s="45">
        <v>3.4</v>
      </c>
      <c r="AB274" s="45">
        <v>3.2</v>
      </c>
      <c r="AC274" s="45">
        <v>3.4</v>
      </c>
      <c r="AD274" s="45">
        <v>3.3</v>
      </c>
      <c r="AE274" s="45">
        <v>3.4</v>
      </c>
      <c r="AF274" s="45">
        <v>2.9</v>
      </c>
      <c r="AG274" s="45">
        <v>3.4</v>
      </c>
      <c r="AH274" s="45">
        <v>3.1</v>
      </c>
      <c r="AI274" s="45">
        <v>3.5</v>
      </c>
      <c r="AJ274" s="45">
        <v>3.4</v>
      </c>
      <c r="AK274" s="45">
        <v>2.9</v>
      </c>
      <c r="AL274" s="45">
        <v>3.7</v>
      </c>
      <c r="AM274" s="45">
        <v>3.1</v>
      </c>
      <c r="AN274" s="45">
        <v>3.2</v>
      </c>
      <c r="AO274" s="45">
        <v>3.8</v>
      </c>
      <c r="AP274" s="45">
        <v>3.5</v>
      </c>
      <c r="AQ274" s="45">
        <v>4.5</v>
      </c>
      <c r="AR274" s="45">
        <v>4</v>
      </c>
      <c r="AS274" s="45">
        <v>0</v>
      </c>
      <c r="AT274" s="45">
        <v>0</v>
      </c>
      <c r="AU274" s="45">
        <v>0</v>
      </c>
      <c r="AV274" s="45">
        <v>0</v>
      </c>
      <c r="AW274" s="45">
        <v>0</v>
      </c>
      <c r="AX274" s="45">
        <v>0</v>
      </c>
      <c r="AY274" s="45">
        <v>0</v>
      </c>
      <c r="AZ274" s="45">
        <v>0</v>
      </c>
      <c r="BA274" s="45">
        <v>0</v>
      </c>
      <c r="BB274" s="45">
        <v>0</v>
      </c>
      <c r="BC274" s="45">
        <v>0</v>
      </c>
      <c r="BD274" s="45">
        <v>0</v>
      </c>
      <c r="BE274" s="45">
        <v>0</v>
      </c>
      <c r="BF274" s="45">
        <v>0</v>
      </c>
      <c r="BG274" s="45">
        <v>0</v>
      </c>
    </row>
    <row r="275" spans="1:59">
      <c r="A275" s="18" t="s">
        <v>105</v>
      </c>
      <c r="B275" s="18" t="s">
        <v>106</v>
      </c>
      <c r="C275" s="18" t="s">
        <v>66</v>
      </c>
      <c r="D275" s="45">
        <v>0</v>
      </c>
      <c r="E275" s="45">
        <v>0</v>
      </c>
      <c r="F275" s="45">
        <v>0</v>
      </c>
      <c r="G275" s="45">
        <v>0</v>
      </c>
      <c r="H275" s="45">
        <v>5.1</v>
      </c>
      <c r="I275" s="45">
        <v>10.3</v>
      </c>
      <c r="J275" s="45">
        <v>10.9</v>
      </c>
      <c r="K275" s="45">
        <v>9.6</v>
      </c>
      <c r="L275" s="45">
        <v>9.6</v>
      </c>
      <c r="M275" s="45">
        <v>9.5</v>
      </c>
      <c r="N275" s="45">
        <v>8.4</v>
      </c>
      <c r="O275" s="45">
        <v>8.199999999999999</v>
      </c>
      <c r="P275" s="45">
        <v>7.7</v>
      </c>
      <c r="Q275" s="45">
        <v>7.2</v>
      </c>
      <c r="R275" s="45">
        <v>8.300000000000001</v>
      </c>
      <c r="S275" s="45">
        <v>7.8</v>
      </c>
      <c r="T275" s="45">
        <v>7.7</v>
      </c>
      <c r="U275" s="45">
        <v>8.699999999999999</v>
      </c>
      <c r="V275" s="45">
        <v>9</v>
      </c>
      <c r="W275" s="45">
        <v>10.3</v>
      </c>
      <c r="X275" s="45">
        <v>9.800000000000001</v>
      </c>
      <c r="Y275" s="45">
        <v>10.1</v>
      </c>
      <c r="Z275" s="45">
        <v>9.9</v>
      </c>
      <c r="AA275" s="45">
        <v>9.9</v>
      </c>
      <c r="AB275" s="45">
        <v>9</v>
      </c>
      <c r="AC275" s="45">
        <v>8.4</v>
      </c>
      <c r="AD275" s="45">
        <v>8.4</v>
      </c>
      <c r="AE275" s="45">
        <v>8.6</v>
      </c>
      <c r="AF275" s="45">
        <v>8.5</v>
      </c>
      <c r="AG275" s="45">
        <v>8.9</v>
      </c>
      <c r="AH275" s="45">
        <v>8.1</v>
      </c>
      <c r="AI275" s="45">
        <v>8.9</v>
      </c>
      <c r="AJ275" s="45">
        <v>8.9</v>
      </c>
      <c r="AK275" s="45">
        <v>8.5</v>
      </c>
      <c r="AL275" s="45">
        <v>8.800000000000001</v>
      </c>
      <c r="AM275" s="45">
        <v>8.5</v>
      </c>
      <c r="AN275" s="45">
        <v>8.1</v>
      </c>
      <c r="AO275" s="45">
        <v>7.2</v>
      </c>
      <c r="AP275" s="45">
        <v>6.7</v>
      </c>
      <c r="AQ275" s="45">
        <v>6</v>
      </c>
      <c r="AR275" s="45">
        <v>4</v>
      </c>
      <c r="AS275" s="45">
        <v>1.3</v>
      </c>
      <c r="AT275" s="45">
        <v>0</v>
      </c>
      <c r="AU275" s="45">
        <v>0</v>
      </c>
      <c r="AV275" s="45">
        <v>0</v>
      </c>
      <c r="AW275" s="45">
        <v>0</v>
      </c>
      <c r="AX275" s="45">
        <v>0</v>
      </c>
      <c r="AY275" s="45">
        <v>0</v>
      </c>
      <c r="AZ275" s="45">
        <v>0</v>
      </c>
      <c r="BA275" s="45">
        <v>0</v>
      </c>
      <c r="BB275" s="45">
        <v>0</v>
      </c>
      <c r="BC275" s="45">
        <v>0</v>
      </c>
      <c r="BD275" s="45">
        <v>0</v>
      </c>
      <c r="BE275" s="45">
        <v>0</v>
      </c>
      <c r="BF275" s="45">
        <v>0</v>
      </c>
      <c r="BG275" s="45">
        <v>0</v>
      </c>
    </row>
    <row r="276" spans="1:59">
      <c r="A276" s="18" t="s">
        <v>107</v>
      </c>
      <c r="B276" s="18" t="s">
        <v>106</v>
      </c>
      <c r="C276" s="18" t="s">
        <v>68</v>
      </c>
      <c r="D276" s="45">
        <v>0</v>
      </c>
      <c r="E276" s="45">
        <v>0</v>
      </c>
      <c r="F276" s="45">
        <v>0</v>
      </c>
      <c r="G276" s="45">
        <v>0</v>
      </c>
      <c r="H276" s="45">
        <v>0</v>
      </c>
      <c r="I276" s="45">
        <v>12</v>
      </c>
      <c r="J276" s="45">
        <v>11.4</v>
      </c>
      <c r="K276" s="45">
        <v>11.2</v>
      </c>
      <c r="L276" s="45">
        <v>9.1</v>
      </c>
      <c r="M276" s="45">
        <v>10.7</v>
      </c>
      <c r="N276" s="45">
        <v>9.1</v>
      </c>
      <c r="O276" s="45">
        <v>7.6</v>
      </c>
      <c r="P276" s="45">
        <v>9</v>
      </c>
      <c r="Q276" s="45">
        <v>8.1</v>
      </c>
      <c r="R276" s="45">
        <v>10.6</v>
      </c>
      <c r="S276" s="45">
        <v>8.6</v>
      </c>
      <c r="T276" s="45">
        <v>9.4</v>
      </c>
      <c r="U276" s="45">
        <v>10.6</v>
      </c>
      <c r="V276" s="45">
        <v>9.199999999999999</v>
      </c>
      <c r="W276" s="45">
        <v>12.1</v>
      </c>
      <c r="X276" s="45">
        <v>12.9</v>
      </c>
      <c r="Y276" s="45">
        <v>10.3</v>
      </c>
      <c r="Z276" s="45">
        <v>11.9</v>
      </c>
      <c r="AA276" s="45">
        <v>10.6</v>
      </c>
      <c r="AB276" s="45">
        <v>11.5</v>
      </c>
      <c r="AC276" s="45">
        <v>9.9</v>
      </c>
      <c r="AD276" s="45">
        <v>8.199999999999999</v>
      </c>
      <c r="AE276" s="45">
        <v>7.9</v>
      </c>
      <c r="AF276" s="45">
        <v>8.6</v>
      </c>
      <c r="AG276" s="45">
        <v>10</v>
      </c>
      <c r="AH276" s="45">
        <v>8.4</v>
      </c>
      <c r="AI276" s="45">
        <v>9.6</v>
      </c>
      <c r="AJ276" s="45">
        <v>10.1</v>
      </c>
      <c r="AK276" s="45">
        <v>8.699999999999999</v>
      </c>
      <c r="AL276" s="45">
        <v>9.4</v>
      </c>
      <c r="AM276" s="45">
        <v>9.4</v>
      </c>
      <c r="AN276" s="45">
        <v>10.1</v>
      </c>
      <c r="AO276" s="45">
        <v>8.4</v>
      </c>
      <c r="AP276" s="45">
        <v>9.300000000000001</v>
      </c>
      <c r="AQ276" s="45">
        <v>8.300000000000001</v>
      </c>
      <c r="AR276" s="45">
        <v>0</v>
      </c>
      <c r="AS276" s="45">
        <v>0</v>
      </c>
      <c r="AT276" s="45">
        <v>0</v>
      </c>
      <c r="AU276" s="45">
        <v>0</v>
      </c>
      <c r="AV276" s="45">
        <v>0</v>
      </c>
      <c r="AW276" s="45">
        <v>0</v>
      </c>
      <c r="AX276" s="45">
        <v>0</v>
      </c>
      <c r="AY276" s="45">
        <v>0</v>
      </c>
      <c r="AZ276" s="45">
        <v>0</v>
      </c>
      <c r="BA276" s="45">
        <v>0</v>
      </c>
      <c r="BB276" s="45">
        <v>0</v>
      </c>
      <c r="BC276" s="45">
        <v>0</v>
      </c>
      <c r="BD276" s="45">
        <v>0</v>
      </c>
      <c r="BE276" s="45">
        <v>0</v>
      </c>
      <c r="BF276" s="45">
        <v>0</v>
      </c>
      <c r="BG276" s="45">
        <v>0</v>
      </c>
    </row>
    <row r="277" spans="1:59">
      <c r="A277" s="18" t="s">
        <v>108</v>
      </c>
      <c r="B277" s="18" t="s">
        <v>106</v>
      </c>
      <c r="C277" s="18" t="s">
        <v>70</v>
      </c>
      <c r="D277" s="45">
        <v>0</v>
      </c>
      <c r="E277" s="45">
        <v>0</v>
      </c>
      <c r="F277" s="45">
        <v>0</v>
      </c>
      <c r="G277" s="45">
        <v>0</v>
      </c>
      <c r="H277" s="45">
        <v>0</v>
      </c>
      <c r="I277" s="45">
        <v>7.4</v>
      </c>
      <c r="J277" s="45">
        <v>10.2</v>
      </c>
      <c r="K277" s="45">
        <v>10.8</v>
      </c>
      <c r="L277" s="45">
        <v>9.6</v>
      </c>
      <c r="M277" s="45">
        <v>10</v>
      </c>
      <c r="N277" s="45">
        <v>9.6</v>
      </c>
      <c r="O277" s="45">
        <v>9.5</v>
      </c>
      <c r="P277" s="45">
        <v>7.2</v>
      </c>
      <c r="Q277" s="45">
        <v>9.1</v>
      </c>
      <c r="R277" s="45">
        <v>10.6</v>
      </c>
      <c r="S277" s="45">
        <v>8.5</v>
      </c>
      <c r="T277" s="45">
        <v>9</v>
      </c>
      <c r="U277" s="45">
        <v>10.6</v>
      </c>
      <c r="V277" s="45">
        <v>12</v>
      </c>
      <c r="W277" s="45">
        <v>11.8</v>
      </c>
      <c r="X277" s="45">
        <v>11.3</v>
      </c>
      <c r="Y277" s="45">
        <v>13.4</v>
      </c>
      <c r="Z277" s="45">
        <v>13.9</v>
      </c>
      <c r="AA277" s="45">
        <v>11.2</v>
      </c>
      <c r="AB277" s="45">
        <v>10.1</v>
      </c>
      <c r="AC277" s="45">
        <v>12.4</v>
      </c>
      <c r="AD277" s="45">
        <v>9.6</v>
      </c>
      <c r="AE277" s="45">
        <v>10.5</v>
      </c>
      <c r="AF277" s="45">
        <v>9.300000000000001</v>
      </c>
      <c r="AG277" s="45">
        <v>10.8</v>
      </c>
      <c r="AH277" s="45">
        <v>9.300000000000001</v>
      </c>
      <c r="AI277" s="45">
        <v>10.9</v>
      </c>
      <c r="AJ277" s="45">
        <v>9.6</v>
      </c>
      <c r="AK277" s="45">
        <v>11.5</v>
      </c>
      <c r="AL277" s="45">
        <v>10.8</v>
      </c>
      <c r="AM277" s="45">
        <v>8.6</v>
      </c>
      <c r="AN277" s="45">
        <v>9.9</v>
      </c>
      <c r="AO277" s="45">
        <v>9.1</v>
      </c>
      <c r="AP277" s="45">
        <v>8.1</v>
      </c>
      <c r="AQ277" s="45">
        <v>6.7</v>
      </c>
      <c r="AR277" s="45">
        <v>0</v>
      </c>
      <c r="AS277" s="45">
        <v>0</v>
      </c>
      <c r="AT277" s="45">
        <v>0</v>
      </c>
      <c r="AU277" s="45">
        <v>0</v>
      </c>
      <c r="AV277" s="45">
        <v>0</v>
      </c>
      <c r="AW277" s="45">
        <v>0</v>
      </c>
      <c r="AX277" s="45">
        <v>0</v>
      </c>
      <c r="AY277" s="45">
        <v>0</v>
      </c>
      <c r="AZ277" s="45">
        <v>0</v>
      </c>
      <c r="BA277" s="45">
        <v>0</v>
      </c>
      <c r="BB277" s="45">
        <v>0</v>
      </c>
      <c r="BC277" s="45">
        <v>0</v>
      </c>
      <c r="BD277" s="45">
        <v>0</v>
      </c>
      <c r="BE277" s="45">
        <v>0</v>
      </c>
      <c r="BF277" s="45">
        <v>0</v>
      </c>
      <c r="BG277" s="45">
        <v>0</v>
      </c>
    </row>
    <row r="278" spans="1:59">
      <c r="A278" s="18" t="s">
        <v>109</v>
      </c>
      <c r="B278" s="18" t="s">
        <v>106</v>
      </c>
      <c r="C278" s="18" t="s">
        <v>72</v>
      </c>
      <c r="D278" s="45">
        <v>0</v>
      </c>
      <c r="E278" s="45">
        <v>0</v>
      </c>
      <c r="F278" s="45">
        <v>0</v>
      </c>
      <c r="G278" s="45">
        <v>0</v>
      </c>
      <c r="H278" s="45">
        <v>0</v>
      </c>
      <c r="I278" s="45">
        <v>13.5</v>
      </c>
      <c r="J278" s="45">
        <v>11.7</v>
      </c>
      <c r="K278" s="45">
        <v>9.4</v>
      </c>
      <c r="L278" s="45">
        <v>12.5</v>
      </c>
      <c r="M278" s="45">
        <v>12.4</v>
      </c>
      <c r="N278" s="45">
        <v>9.800000000000001</v>
      </c>
      <c r="O278" s="45">
        <v>9.5</v>
      </c>
      <c r="P278" s="45">
        <v>9.4</v>
      </c>
      <c r="Q278" s="45">
        <v>8.300000000000001</v>
      </c>
      <c r="R278" s="45">
        <v>10.2</v>
      </c>
      <c r="S278" s="45">
        <v>9.800000000000001</v>
      </c>
      <c r="T278" s="45">
        <v>8.5</v>
      </c>
      <c r="U278" s="45">
        <v>10.7</v>
      </c>
      <c r="V278" s="45">
        <v>10.7</v>
      </c>
      <c r="W278" s="45">
        <v>14.1</v>
      </c>
      <c r="X278" s="45">
        <v>12</v>
      </c>
      <c r="Y278" s="45">
        <v>11.8</v>
      </c>
      <c r="Z278" s="45">
        <v>11.4</v>
      </c>
      <c r="AA278" s="45">
        <v>11.7</v>
      </c>
      <c r="AB278" s="45">
        <v>10.4</v>
      </c>
      <c r="AC278" s="45">
        <v>9.699999999999999</v>
      </c>
      <c r="AD278" s="45">
        <v>10.3</v>
      </c>
      <c r="AE278" s="45">
        <v>10.7</v>
      </c>
      <c r="AF278" s="45">
        <v>10.1</v>
      </c>
      <c r="AG278" s="45">
        <v>11</v>
      </c>
      <c r="AH278" s="45">
        <v>9.300000000000001</v>
      </c>
      <c r="AI278" s="45">
        <v>12</v>
      </c>
      <c r="AJ278" s="45">
        <v>11.6</v>
      </c>
      <c r="AK278" s="45">
        <v>9.6</v>
      </c>
      <c r="AL278" s="45">
        <v>11.7</v>
      </c>
      <c r="AM278" s="45">
        <v>10.6</v>
      </c>
      <c r="AN278" s="45">
        <v>9.6</v>
      </c>
      <c r="AO278" s="45">
        <v>8.4</v>
      </c>
      <c r="AP278" s="45">
        <v>8.4</v>
      </c>
      <c r="AQ278" s="45">
        <v>7.8</v>
      </c>
      <c r="AR278" s="45">
        <v>0</v>
      </c>
      <c r="AS278" s="45">
        <v>0</v>
      </c>
      <c r="AT278" s="45">
        <v>0</v>
      </c>
      <c r="AU278" s="45">
        <v>0</v>
      </c>
      <c r="AV278" s="45">
        <v>0</v>
      </c>
      <c r="AW278" s="45">
        <v>0</v>
      </c>
      <c r="AX278" s="45">
        <v>0</v>
      </c>
      <c r="AY278" s="45">
        <v>0</v>
      </c>
      <c r="AZ278" s="45">
        <v>0</v>
      </c>
      <c r="BA278" s="45">
        <v>0</v>
      </c>
      <c r="BB278" s="45">
        <v>0</v>
      </c>
      <c r="BC278" s="45">
        <v>0</v>
      </c>
      <c r="BD278" s="45">
        <v>0</v>
      </c>
      <c r="BE278" s="45">
        <v>0</v>
      </c>
      <c r="BF278" s="45">
        <v>0</v>
      </c>
      <c r="BG278" s="45">
        <v>0</v>
      </c>
    </row>
    <row r="279" spans="1:59">
      <c r="A279" s="18" t="s">
        <v>110</v>
      </c>
      <c r="B279" s="18" t="s">
        <v>106</v>
      </c>
      <c r="C279" s="18" t="s">
        <v>74</v>
      </c>
      <c r="D279" s="45">
        <v>0</v>
      </c>
      <c r="E279" s="45">
        <v>0</v>
      </c>
      <c r="F279" s="45">
        <v>0</v>
      </c>
      <c r="G279" s="45">
        <v>0</v>
      </c>
      <c r="H279" s="45">
        <v>3</v>
      </c>
      <c r="I279" s="45">
        <v>9.199999999999999</v>
      </c>
      <c r="J279" s="45">
        <v>14.9</v>
      </c>
      <c r="K279" s="45">
        <v>10.4</v>
      </c>
      <c r="L279" s="45">
        <v>9.199999999999999</v>
      </c>
      <c r="M279" s="45">
        <v>12</v>
      </c>
      <c r="N279" s="45">
        <v>8.699999999999999</v>
      </c>
      <c r="O279" s="45">
        <v>9.4</v>
      </c>
      <c r="P279" s="45">
        <v>9</v>
      </c>
      <c r="Q279" s="45">
        <v>8.1</v>
      </c>
      <c r="R279" s="45">
        <v>9.1</v>
      </c>
      <c r="S279" s="45">
        <v>10</v>
      </c>
      <c r="T279" s="45">
        <v>9.199999999999999</v>
      </c>
      <c r="U279" s="45">
        <v>10</v>
      </c>
      <c r="V279" s="45">
        <v>12.5</v>
      </c>
      <c r="W279" s="45">
        <v>12.6</v>
      </c>
      <c r="X279" s="45">
        <v>12.3</v>
      </c>
      <c r="Y279" s="45">
        <v>12.7</v>
      </c>
      <c r="Z279" s="45">
        <v>11.6</v>
      </c>
      <c r="AA279" s="45">
        <v>11.7</v>
      </c>
      <c r="AB279" s="45">
        <v>10.7</v>
      </c>
      <c r="AC279" s="45">
        <v>11.4</v>
      </c>
      <c r="AD279" s="45">
        <v>10.2</v>
      </c>
      <c r="AE279" s="45">
        <v>9.5</v>
      </c>
      <c r="AF279" s="45">
        <v>9.699999999999999</v>
      </c>
      <c r="AG279" s="45">
        <v>11.4</v>
      </c>
      <c r="AH279" s="45">
        <v>9.699999999999999</v>
      </c>
      <c r="AI279" s="45">
        <v>11.1</v>
      </c>
      <c r="AJ279" s="45">
        <v>11.5</v>
      </c>
      <c r="AK279" s="45">
        <v>9.699999999999999</v>
      </c>
      <c r="AL279" s="45">
        <v>9.9</v>
      </c>
      <c r="AM279" s="45">
        <v>12.4</v>
      </c>
      <c r="AN279" s="45">
        <v>11.3</v>
      </c>
      <c r="AO279" s="45">
        <v>8.1</v>
      </c>
      <c r="AP279" s="45">
        <v>7.8</v>
      </c>
      <c r="AQ279" s="45">
        <v>7.8</v>
      </c>
      <c r="AR279" s="45">
        <v>0</v>
      </c>
      <c r="AS279" s="45">
        <v>0</v>
      </c>
      <c r="AT279" s="45">
        <v>0</v>
      </c>
      <c r="AU279" s="45">
        <v>0</v>
      </c>
      <c r="AV279" s="45">
        <v>0</v>
      </c>
      <c r="AW279" s="45">
        <v>0</v>
      </c>
      <c r="AX279" s="45">
        <v>0</v>
      </c>
      <c r="AY279" s="45">
        <v>0</v>
      </c>
      <c r="AZ279" s="45">
        <v>0</v>
      </c>
      <c r="BA279" s="45">
        <v>0</v>
      </c>
      <c r="BB279" s="45">
        <v>0</v>
      </c>
      <c r="BC279" s="45">
        <v>0</v>
      </c>
      <c r="BD279" s="45">
        <v>0</v>
      </c>
      <c r="BE279" s="45">
        <v>0</v>
      </c>
      <c r="BF279" s="45">
        <v>0</v>
      </c>
      <c r="BG279" s="45">
        <v>0</v>
      </c>
    </row>
    <row r="280" spans="1:59">
      <c r="A280" s="18" t="s">
        <v>111</v>
      </c>
      <c r="B280" s="18" t="s">
        <v>106</v>
      </c>
      <c r="C280" s="18" t="s">
        <v>76</v>
      </c>
      <c r="D280" s="45">
        <v>0</v>
      </c>
      <c r="E280" s="45">
        <v>0</v>
      </c>
      <c r="F280" s="45">
        <v>0</v>
      </c>
      <c r="G280" s="45">
        <v>0</v>
      </c>
      <c r="H280" s="45">
        <v>0</v>
      </c>
      <c r="I280" s="45">
        <v>12.5</v>
      </c>
      <c r="J280" s="45">
        <v>12.5</v>
      </c>
      <c r="K280" s="45">
        <v>10.3</v>
      </c>
      <c r="L280" s="45">
        <v>11.1</v>
      </c>
      <c r="M280" s="45">
        <v>11.9</v>
      </c>
      <c r="N280" s="45">
        <v>7</v>
      </c>
      <c r="O280" s="45">
        <v>9.6</v>
      </c>
      <c r="P280" s="45">
        <v>8</v>
      </c>
      <c r="Q280" s="45">
        <v>7.9</v>
      </c>
      <c r="R280" s="45">
        <v>8.300000000000001</v>
      </c>
      <c r="S280" s="45">
        <v>11.9</v>
      </c>
      <c r="T280" s="45">
        <v>9.199999999999999</v>
      </c>
      <c r="U280" s="45">
        <v>8.9</v>
      </c>
      <c r="V280" s="45">
        <v>9.6</v>
      </c>
      <c r="W280" s="45">
        <v>12.8</v>
      </c>
      <c r="X280" s="45">
        <v>11.6</v>
      </c>
      <c r="Y280" s="45">
        <v>11.6</v>
      </c>
      <c r="Z280" s="45">
        <v>12.9</v>
      </c>
      <c r="AA280" s="45">
        <v>11.9</v>
      </c>
      <c r="AB280" s="45">
        <v>11.2</v>
      </c>
      <c r="AC280" s="45">
        <v>8.800000000000001</v>
      </c>
      <c r="AD280" s="45">
        <v>8.300000000000001</v>
      </c>
      <c r="AE280" s="45">
        <v>9.800000000000001</v>
      </c>
      <c r="AF280" s="45">
        <v>11.2</v>
      </c>
      <c r="AG280" s="45">
        <v>9.699999999999999</v>
      </c>
      <c r="AH280" s="45">
        <v>8.5</v>
      </c>
      <c r="AI280" s="45">
        <v>11.2</v>
      </c>
      <c r="AJ280" s="45">
        <v>10.9</v>
      </c>
      <c r="AK280" s="45">
        <v>11.5</v>
      </c>
      <c r="AL280" s="45">
        <v>10.4</v>
      </c>
      <c r="AM280" s="45">
        <v>10.6</v>
      </c>
      <c r="AN280" s="45">
        <v>8.5</v>
      </c>
      <c r="AO280" s="45">
        <v>8.6</v>
      </c>
      <c r="AP280" s="45">
        <v>7.7</v>
      </c>
      <c r="AQ280" s="45">
        <v>6.6</v>
      </c>
      <c r="AR280" s="45">
        <v>0</v>
      </c>
      <c r="AS280" s="45">
        <v>0</v>
      </c>
      <c r="AT280" s="45">
        <v>0</v>
      </c>
      <c r="AU280" s="45">
        <v>0</v>
      </c>
      <c r="AV280" s="45">
        <v>0</v>
      </c>
      <c r="AW280" s="45">
        <v>0</v>
      </c>
      <c r="AX280" s="45">
        <v>0</v>
      </c>
      <c r="AY280" s="45">
        <v>0</v>
      </c>
      <c r="AZ280" s="45">
        <v>0</v>
      </c>
      <c r="BA280" s="45">
        <v>0</v>
      </c>
      <c r="BB280" s="45">
        <v>0</v>
      </c>
      <c r="BC280" s="45">
        <v>0</v>
      </c>
      <c r="BD280" s="45">
        <v>0</v>
      </c>
      <c r="BE280" s="45">
        <v>0</v>
      </c>
      <c r="BF280" s="45">
        <v>0</v>
      </c>
      <c r="BG280" s="45">
        <v>0</v>
      </c>
    </row>
    <row r="281" spans="1:59">
      <c r="A281" s="18" t="s">
        <v>112</v>
      </c>
      <c r="B281" s="18" t="s">
        <v>106</v>
      </c>
      <c r="C281" s="18" t="s">
        <v>78</v>
      </c>
      <c r="D281" s="45">
        <v>0</v>
      </c>
      <c r="E281" s="45">
        <v>0</v>
      </c>
      <c r="F281" s="45">
        <v>0</v>
      </c>
      <c r="G281" s="45">
        <v>0</v>
      </c>
      <c r="H281" s="45">
        <v>0</v>
      </c>
      <c r="I281" s="45">
        <v>9.4</v>
      </c>
      <c r="J281" s="45">
        <v>13</v>
      </c>
      <c r="K281" s="45">
        <v>10.8</v>
      </c>
      <c r="L281" s="45">
        <v>11.4</v>
      </c>
      <c r="M281" s="45">
        <v>10.4</v>
      </c>
      <c r="N281" s="45">
        <v>9.800000000000001</v>
      </c>
      <c r="O281" s="45">
        <v>10.3</v>
      </c>
      <c r="P281" s="45">
        <v>9.800000000000001</v>
      </c>
      <c r="Q281" s="45">
        <v>8.1</v>
      </c>
      <c r="R281" s="45">
        <v>9.199999999999999</v>
      </c>
      <c r="S281" s="45">
        <v>7.8</v>
      </c>
      <c r="T281" s="45">
        <v>8.699999999999999</v>
      </c>
      <c r="U281" s="45">
        <v>10.9</v>
      </c>
      <c r="V281" s="45">
        <v>10.4</v>
      </c>
      <c r="W281" s="45">
        <v>11.6</v>
      </c>
      <c r="X281" s="45">
        <v>11</v>
      </c>
      <c r="Y281" s="45">
        <v>14.2</v>
      </c>
      <c r="Z281" s="45">
        <v>10.6</v>
      </c>
      <c r="AA281" s="45">
        <v>14.6</v>
      </c>
      <c r="AB281" s="45">
        <v>11.1</v>
      </c>
      <c r="AC281" s="45">
        <v>9.800000000000001</v>
      </c>
      <c r="AD281" s="45">
        <v>13.1</v>
      </c>
      <c r="AE281" s="45">
        <v>10.3</v>
      </c>
      <c r="AF281" s="45">
        <v>9.6</v>
      </c>
      <c r="AG281" s="45">
        <v>12.9</v>
      </c>
      <c r="AH281" s="45">
        <v>11.2</v>
      </c>
      <c r="AI281" s="45">
        <v>11.8</v>
      </c>
      <c r="AJ281" s="45">
        <v>13.2</v>
      </c>
      <c r="AK281" s="45">
        <v>11.1</v>
      </c>
      <c r="AL281" s="45">
        <v>11.4</v>
      </c>
      <c r="AM281" s="45">
        <v>9.1</v>
      </c>
      <c r="AN281" s="45">
        <v>9.5</v>
      </c>
      <c r="AO281" s="45">
        <v>8.9</v>
      </c>
      <c r="AP281" s="45">
        <v>7.3</v>
      </c>
      <c r="AQ281" s="45">
        <v>7.5</v>
      </c>
      <c r="AR281" s="45">
        <v>0</v>
      </c>
      <c r="AS281" s="45">
        <v>0</v>
      </c>
      <c r="AT281" s="45">
        <v>0</v>
      </c>
      <c r="AU281" s="45">
        <v>0</v>
      </c>
      <c r="AV281" s="45">
        <v>0</v>
      </c>
      <c r="AW281" s="45">
        <v>0</v>
      </c>
      <c r="AX281" s="45">
        <v>0</v>
      </c>
      <c r="AY281" s="45">
        <v>0</v>
      </c>
      <c r="AZ281" s="45">
        <v>0</v>
      </c>
      <c r="BA281" s="45">
        <v>0</v>
      </c>
      <c r="BB281" s="45">
        <v>0</v>
      </c>
      <c r="BC281" s="45">
        <v>0</v>
      </c>
      <c r="BD281" s="45">
        <v>0</v>
      </c>
      <c r="BE281" s="45">
        <v>0</v>
      </c>
      <c r="BF281" s="45">
        <v>0</v>
      </c>
      <c r="BG281" s="45">
        <v>0</v>
      </c>
    </row>
    <row r="282" spans="1:59">
      <c r="A282" s="18" t="s">
        <v>113</v>
      </c>
      <c r="B282" s="18" t="s">
        <v>106</v>
      </c>
      <c r="C282" s="18" t="s">
        <v>80</v>
      </c>
      <c r="D282" s="45">
        <v>0</v>
      </c>
      <c r="E282" s="45">
        <v>0</v>
      </c>
      <c r="F282" s="45">
        <v>0</v>
      </c>
      <c r="G282" s="45">
        <v>0</v>
      </c>
      <c r="H282" s="45">
        <v>0</v>
      </c>
      <c r="I282" s="45">
        <v>16</v>
      </c>
      <c r="J282" s="45">
        <v>13.8</v>
      </c>
      <c r="K282" s="45">
        <v>14.3</v>
      </c>
      <c r="L282" s="45">
        <v>12.8</v>
      </c>
      <c r="M282" s="45">
        <v>9.4</v>
      </c>
      <c r="N282" s="45">
        <v>10.7</v>
      </c>
      <c r="O282" s="45">
        <v>8.9</v>
      </c>
      <c r="P282" s="45">
        <v>9.9</v>
      </c>
      <c r="Q282" s="45">
        <v>9.5</v>
      </c>
      <c r="R282" s="45">
        <v>10.5</v>
      </c>
      <c r="S282" s="45">
        <v>9.5</v>
      </c>
      <c r="T282" s="45">
        <v>8.4</v>
      </c>
      <c r="U282" s="45">
        <v>10.3</v>
      </c>
      <c r="V282" s="45">
        <v>11.5</v>
      </c>
      <c r="W282" s="45">
        <v>12.9</v>
      </c>
      <c r="X282" s="45">
        <v>11.8</v>
      </c>
      <c r="Y282" s="45">
        <v>11.7</v>
      </c>
      <c r="Z282" s="45">
        <v>11.8</v>
      </c>
      <c r="AA282" s="45">
        <v>12.1</v>
      </c>
      <c r="AB282" s="45">
        <v>10.5</v>
      </c>
      <c r="AC282" s="45">
        <v>8.5</v>
      </c>
      <c r="AD282" s="45">
        <v>10</v>
      </c>
      <c r="AE282" s="45">
        <v>9.9</v>
      </c>
      <c r="AF282" s="45">
        <v>9.800000000000001</v>
      </c>
      <c r="AG282" s="45">
        <v>10.3</v>
      </c>
      <c r="AH282" s="45">
        <v>10.1</v>
      </c>
      <c r="AI282" s="45">
        <v>9.199999999999999</v>
      </c>
      <c r="AJ282" s="45">
        <v>9.4</v>
      </c>
      <c r="AK282" s="45">
        <v>10.7</v>
      </c>
      <c r="AL282" s="45">
        <v>9.699999999999999</v>
      </c>
      <c r="AM282" s="45">
        <v>10.5</v>
      </c>
      <c r="AN282" s="45">
        <v>8.4</v>
      </c>
      <c r="AO282" s="45">
        <v>8.6</v>
      </c>
      <c r="AP282" s="45">
        <v>8.699999999999999</v>
      </c>
      <c r="AQ282" s="45">
        <v>8.699999999999999</v>
      </c>
      <c r="AR282" s="45">
        <v>0</v>
      </c>
      <c r="AS282" s="45">
        <v>0</v>
      </c>
      <c r="AT282" s="45">
        <v>0</v>
      </c>
      <c r="AU282" s="45">
        <v>0</v>
      </c>
      <c r="AV282" s="45">
        <v>0</v>
      </c>
      <c r="AW282" s="45">
        <v>0</v>
      </c>
      <c r="AX282" s="45">
        <v>0</v>
      </c>
      <c r="AY282" s="45">
        <v>0</v>
      </c>
      <c r="AZ282" s="45">
        <v>0</v>
      </c>
      <c r="BA282" s="45">
        <v>0</v>
      </c>
      <c r="BB282" s="45">
        <v>0</v>
      </c>
      <c r="BC282" s="45">
        <v>0</v>
      </c>
      <c r="BD282" s="45">
        <v>0</v>
      </c>
      <c r="BE282" s="45">
        <v>0</v>
      </c>
      <c r="BF282" s="45">
        <v>0</v>
      </c>
      <c r="BG282" s="45">
        <v>0</v>
      </c>
    </row>
    <row r="283" spans="1:59">
      <c r="A283" s="18" t="s">
        <v>114</v>
      </c>
      <c r="B283" s="18" t="s">
        <v>106</v>
      </c>
      <c r="C283" s="18" t="s">
        <v>82</v>
      </c>
      <c r="D283" s="45">
        <v>0</v>
      </c>
      <c r="E283" s="45">
        <v>0</v>
      </c>
      <c r="F283" s="45">
        <v>0</v>
      </c>
      <c r="G283" s="45">
        <v>0</v>
      </c>
      <c r="H283" s="45">
        <v>0</v>
      </c>
      <c r="I283" s="45">
        <v>10.7</v>
      </c>
      <c r="J283" s="45">
        <v>12</v>
      </c>
      <c r="K283" s="45">
        <v>9.6</v>
      </c>
      <c r="L283" s="45">
        <v>10.1</v>
      </c>
      <c r="M283" s="45">
        <v>10.1</v>
      </c>
      <c r="N283" s="45">
        <v>11.6</v>
      </c>
      <c r="O283" s="45">
        <v>8.800000000000001</v>
      </c>
      <c r="P283" s="45">
        <v>7.7</v>
      </c>
      <c r="Q283" s="45">
        <v>7.8</v>
      </c>
      <c r="R283" s="45">
        <v>8.300000000000001</v>
      </c>
      <c r="S283" s="45">
        <v>9.1</v>
      </c>
      <c r="T283" s="45">
        <v>7.7</v>
      </c>
      <c r="U283" s="45">
        <v>9.1</v>
      </c>
      <c r="V283" s="45">
        <v>9</v>
      </c>
      <c r="W283" s="45">
        <v>11.9</v>
      </c>
      <c r="X283" s="45">
        <v>9.6</v>
      </c>
      <c r="Y283" s="45">
        <v>11.1</v>
      </c>
      <c r="Z283" s="45">
        <v>11.7</v>
      </c>
      <c r="AA283" s="45">
        <v>10.7</v>
      </c>
      <c r="AB283" s="45">
        <v>9</v>
      </c>
      <c r="AC283" s="45">
        <v>10.6</v>
      </c>
      <c r="AD283" s="45">
        <v>9.699999999999999</v>
      </c>
      <c r="AE283" s="45">
        <v>9.800000000000001</v>
      </c>
      <c r="AF283" s="45">
        <v>10.2</v>
      </c>
      <c r="AG283" s="45">
        <v>8.199999999999999</v>
      </c>
      <c r="AH283" s="45">
        <v>9.300000000000001</v>
      </c>
      <c r="AI283" s="45">
        <v>8</v>
      </c>
      <c r="AJ283" s="45">
        <v>11.2</v>
      </c>
      <c r="AK283" s="45">
        <v>9.1</v>
      </c>
      <c r="AL283" s="45">
        <v>10</v>
      </c>
      <c r="AM283" s="45">
        <v>8</v>
      </c>
      <c r="AN283" s="45">
        <v>7.7</v>
      </c>
      <c r="AO283" s="45">
        <v>8.300000000000001</v>
      </c>
      <c r="AP283" s="45">
        <v>7.5</v>
      </c>
      <c r="AQ283" s="45">
        <v>9.199999999999999</v>
      </c>
      <c r="AR283" s="45">
        <v>0</v>
      </c>
      <c r="AS283" s="45">
        <v>0</v>
      </c>
      <c r="AT283" s="45">
        <v>0</v>
      </c>
      <c r="AU283" s="45">
        <v>0</v>
      </c>
      <c r="AV283" s="45">
        <v>0</v>
      </c>
      <c r="AW283" s="45">
        <v>0</v>
      </c>
      <c r="AX283" s="45">
        <v>0</v>
      </c>
      <c r="AY283" s="45">
        <v>0</v>
      </c>
      <c r="AZ283" s="45">
        <v>0</v>
      </c>
      <c r="BA283" s="45">
        <v>0</v>
      </c>
      <c r="BB283" s="45">
        <v>0</v>
      </c>
      <c r="BC283" s="45">
        <v>0</v>
      </c>
      <c r="BD283" s="45">
        <v>0</v>
      </c>
      <c r="BE283" s="45">
        <v>0</v>
      </c>
      <c r="BF283" s="45">
        <v>0</v>
      </c>
      <c r="BG283" s="45">
        <v>0</v>
      </c>
    </row>
    <row r="284" spans="1:59">
      <c r="A284" s="18" t="s">
        <v>115</v>
      </c>
      <c r="B284" s="18" t="s">
        <v>106</v>
      </c>
      <c r="C284" s="18" t="s">
        <v>84</v>
      </c>
      <c r="D284" s="45">
        <v>0</v>
      </c>
      <c r="E284" s="45">
        <v>0</v>
      </c>
      <c r="F284" s="45">
        <v>0</v>
      </c>
      <c r="G284" s="45">
        <v>0</v>
      </c>
      <c r="H284" s="45">
        <v>0</v>
      </c>
      <c r="I284" s="45">
        <v>13.8</v>
      </c>
      <c r="J284" s="45">
        <v>16</v>
      </c>
      <c r="K284" s="45">
        <v>13.7</v>
      </c>
      <c r="L284" s="45">
        <v>14.8</v>
      </c>
      <c r="M284" s="45">
        <v>11.8</v>
      </c>
      <c r="N284" s="45">
        <v>10</v>
      </c>
      <c r="O284" s="45">
        <v>10.1</v>
      </c>
      <c r="P284" s="45">
        <v>9</v>
      </c>
      <c r="Q284" s="45">
        <v>7.8</v>
      </c>
      <c r="R284" s="45">
        <v>9.300000000000001</v>
      </c>
      <c r="S284" s="45">
        <v>8.1</v>
      </c>
      <c r="T284" s="45">
        <v>10.3</v>
      </c>
      <c r="U284" s="45">
        <v>9.800000000000001</v>
      </c>
      <c r="V284" s="45">
        <v>11.9</v>
      </c>
      <c r="W284" s="45">
        <v>11.3</v>
      </c>
      <c r="X284" s="45">
        <v>10.4</v>
      </c>
      <c r="Y284" s="45">
        <v>12.2</v>
      </c>
      <c r="Z284" s="45">
        <v>12.1</v>
      </c>
      <c r="AA284" s="45">
        <v>10.6</v>
      </c>
      <c r="AB284" s="45">
        <v>11</v>
      </c>
      <c r="AC284" s="45">
        <v>9.6</v>
      </c>
      <c r="AD284" s="45">
        <v>9.199999999999999</v>
      </c>
      <c r="AE284" s="45">
        <v>10.3</v>
      </c>
      <c r="AF284" s="45">
        <v>9.800000000000001</v>
      </c>
      <c r="AG284" s="45">
        <v>9.4</v>
      </c>
      <c r="AH284" s="45">
        <v>9.6</v>
      </c>
      <c r="AI284" s="45">
        <v>10.1</v>
      </c>
      <c r="AJ284" s="45">
        <v>8.300000000000001</v>
      </c>
      <c r="AK284" s="45">
        <v>9.5</v>
      </c>
      <c r="AL284" s="45">
        <v>11.2</v>
      </c>
      <c r="AM284" s="45">
        <v>9.1</v>
      </c>
      <c r="AN284" s="45">
        <v>11</v>
      </c>
      <c r="AO284" s="45">
        <v>7.1</v>
      </c>
      <c r="AP284" s="45">
        <v>7.7</v>
      </c>
      <c r="AQ284" s="45">
        <v>8.800000000000001</v>
      </c>
      <c r="AR284" s="45">
        <v>0</v>
      </c>
      <c r="AS284" s="45">
        <v>0</v>
      </c>
      <c r="AT284" s="45">
        <v>0</v>
      </c>
      <c r="AU284" s="45">
        <v>0</v>
      </c>
      <c r="AV284" s="45">
        <v>0</v>
      </c>
      <c r="AW284" s="45">
        <v>0</v>
      </c>
      <c r="AX284" s="45">
        <v>0</v>
      </c>
      <c r="AY284" s="45">
        <v>0</v>
      </c>
      <c r="AZ284" s="45">
        <v>0</v>
      </c>
      <c r="BA284" s="45">
        <v>0</v>
      </c>
      <c r="BB284" s="45">
        <v>0</v>
      </c>
      <c r="BC284" s="45">
        <v>0</v>
      </c>
      <c r="BD284" s="45">
        <v>0</v>
      </c>
      <c r="BE284" s="45">
        <v>0</v>
      </c>
      <c r="BF284" s="45">
        <v>0</v>
      </c>
      <c r="BG284" s="45">
        <v>0</v>
      </c>
    </row>
    <row r="285" spans="1:59">
      <c r="A285" s="18" t="s">
        <v>116</v>
      </c>
      <c r="B285" s="18" t="s">
        <v>106</v>
      </c>
      <c r="C285" s="18" t="s">
        <v>86</v>
      </c>
      <c r="D285" s="45">
        <v>0</v>
      </c>
      <c r="E285" s="45">
        <v>0</v>
      </c>
      <c r="F285" s="45">
        <v>0</v>
      </c>
      <c r="G285" s="45">
        <v>0</v>
      </c>
      <c r="H285" s="45">
        <v>0</v>
      </c>
      <c r="I285" s="45">
        <v>0</v>
      </c>
      <c r="J285" s="45">
        <v>5.8</v>
      </c>
      <c r="K285" s="45">
        <v>6.3</v>
      </c>
      <c r="L285" s="45">
        <v>2.9</v>
      </c>
      <c r="M285" s="45">
        <v>6.1</v>
      </c>
      <c r="N285" s="45">
        <v>3.8</v>
      </c>
      <c r="O285" s="45">
        <v>4.5</v>
      </c>
      <c r="P285" s="45">
        <v>5.1</v>
      </c>
      <c r="Q285" s="45">
        <v>2.7</v>
      </c>
      <c r="R285" s="45">
        <v>3</v>
      </c>
      <c r="S285" s="45">
        <v>2</v>
      </c>
      <c r="T285" s="45">
        <v>3.5</v>
      </c>
      <c r="U285" s="45">
        <v>2.2</v>
      </c>
      <c r="V285" s="45">
        <v>3.5</v>
      </c>
      <c r="W285" s="45">
        <v>3.3</v>
      </c>
      <c r="X285" s="45">
        <v>4.7</v>
      </c>
      <c r="Y285" s="45">
        <v>2.1</v>
      </c>
      <c r="Z285" s="45">
        <v>3.7</v>
      </c>
      <c r="AA285" s="45">
        <v>4.3</v>
      </c>
      <c r="AB285" s="45">
        <v>3.9</v>
      </c>
      <c r="AC285" s="45">
        <v>3.7</v>
      </c>
      <c r="AD285" s="45">
        <v>6</v>
      </c>
      <c r="AE285" s="45">
        <v>4.1</v>
      </c>
      <c r="AF285" s="45">
        <v>4</v>
      </c>
      <c r="AG285" s="45">
        <v>2.9</v>
      </c>
      <c r="AH285" s="45">
        <v>4.1</v>
      </c>
      <c r="AI285" s="45">
        <v>3.4</v>
      </c>
      <c r="AJ285" s="45">
        <v>3.4</v>
      </c>
      <c r="AK285" s="45">
        <v>2.9</v>
      </c>
      <c r="AL285" s="45">
        <v>3.8</v>
      </c>
      <c r="AM285" s="45">
        <v>6.1</v>
      </c>
      <c r="AN285" s="45">
        <v>2.4</v>
      </c>
      <c r="AO285" s="45">
        <v>3.9</v>
      </c>
      <c r="AP285" s="45">
        <v>1.3</v>
      </c>
      <c r="AQ285" s="45">
        <v>2.5</v>
      </c>
      <c r="AR285" s="45">
        <v>0</v>
      </c>
      <c r="AS285" s="45">
        <v>0</v>
      </c>
      <c r="AT285" s="45">
        <v>0</v>
      </c>
      <c r="AU285" s="45">
        <v>0</v>
      </c>
      <c r="AV285" s="45">
        <v>0</v>
      </c>
      <c r="AW285" s="45">
        <v>0</v>
      </c>
      <c r="AX285" s="45">
        <v>0</v>
      </c>
      <c r="AY285" s="45">
        <v>0</v>
      </c>
      <c r="AZ285" s="45">
        <v>0</v>
      </c>
      <c r="BA285" s="45">
        <v>0</v>
      </c>
      <c r="BB285" s="45">
        <v>0</v>
      </c>
      <c r="BC285" s="45">
        <v>0</v>
      </c>
      <c r="BD285" s="45">
        <v>0</v>
      </c>
      <c r="BE285" s="45">
        <v>0</v>
      </c>
      <c r="BF285" s="45">
        <v>0</v>
      </c>
      <c r="BG285" s="45">
        <v>0</v>
      </c>
    </row>
    <row r="286" spans="1:59">
      <c r="A286" s="18" t="s">
        <v>117</v>
      </c>
      <c r="B286" s="18" t="s">
        <v>106</v>
      </c>
      <c r="C286" s="18" t="s">
        <v>88</v>
      </c>
      <c r="D286" s="45">
        <v>0</v>
      </c>
      <c r="E286" s="45">
        <v>0</v>
      </c>
      <c r="F286" s="45">
        <v>0</v>
      </c>
      <c r="G286" s="45">
        <v>0</v>
      </c>
      <c r="H286" s="45">
        <v>0</v>
      </c>
      <c r="I286" s="45">
        <v>5</v>
      </c>
      <c r="J286" s="45">
        <v>2.6</v>
      </c>
      <c r="K286" s="45">
        <v>2.6</v>
      </c>
      <c r="L286" s="45">
        <v>3.7</v>
      </c>
      <c r="M286" s="45">
        <v>2.9</v>
      </c>
      <c r="N286" s="45">
        <v>3.6</v>
      </c>
      <c r="O286" s="45">
        <v>2.6</v>
      </c>
      <c r="P286" s="45">
        <v>2.4</v>
      </c>
      <c r="Q286" s="45">
        <v>2.6</v>
      </c>
      <c r="R286" s="45">
        <v>3</v>
      </c>
      <c r="S286" s="45">
        <v>3.1</v>
      </c>
      <c r="T286" s="45">
        <v>3.5</v>
      </c>
      <c r="U286" s="45">
        <v>3.9</v>
      </c>
      <c r="V286" s="45">
        <v>2.8</v>
      </c>
      <c r="W286" s="45">
        <v>3.5</v>
      </c>
      <c r="X286" s="45">
        <v>3.4</v>
      </c>
      <c r="Y286" s="45">
        <v>3.1</v>
      </c>
      <c r="Z286" s="45">
        <v>3</v>
      </c>
      <c r="AA286" s="45">
        <v>3.7</v>
      </c>
      <c r="AB286" s="45">
        <v>3.6</v>
      </c>
      <c r="AC286" s="45">
        <v>2.6</v>
      </c>
      <c r="AD286" s="45">
        <v>3.2</v>
      </c>
      <c r="AE286" s="45">
        <v>4.6</v>
      </c>
      <c r="AF286" s="45">
        <v>3.5</v>
      </c>
      <c r="AG286" s="45">
        <v>3.5</v>
      </c>
      <c r="AH286" s="45">
        <v>3.9</v>
      </c>
      <c r="AI286" s="45">
        <v>3.7</v>
      </c>
      <c r="AJ286" s="45">
        <v>3.6</v>
      </c>
      <c r="AK286" s="45">
        <v>3.3</v>
      </c>
      <c r="AL286" s="45">
        <v>3.7</v>
      </c>
      <c r="AM286" s="45">
        <v>3.6</v>
      </c>
      <c r="AN286" s="45">
        <v>3.4</v>
      </c>
      <c r="AO286" s="45">
        <v>3.5</v>
      </c>
      <c r="AP286" s="45">
        <v>2.9</v>
      </c>
      <c r="AQ286" s="45">
        <v>3.1</v>
      </c>
      <c r="AR286" s="45">
        <v>3</v>
      </c>
      <c r="AS286" s="45">
        <v>0</v>
      </c>
      <c r="AT286" s="45">
        <v>0</v>
      </c>
      <c r="AU286" s="45">
        <v>0</v>
      </c>
      <c r="AV286" s="45">
        <v>0</v>
      </c>
      <c r="AW286" s="45">
        <v>0</v>
      </c>
      <c r="AX286" s="45">
        <v>0</v>
      </c>
      <c r="AY286" s="45">
        <v>0</v>
      </c>
      <c r="AZ286" s="45">
        <v>0</v>
      </c>
      <c r="BA286" s="45">
        <v>0</v>
      </c>
      <c r="BB286" s="45">
        <v>0</v>
      </c>
      <c r="BC286" s="45">
        <v>0</v>
      </c>
      <c r="BD286" s="45">
        <v>0</v>
      </c>
      <c r="BE286" s="45">
        <v>0</v>
      </c>
      <c r="BF286" s="45">
        <v>0</v>
      </c>
      <c r="BG286" s="45">
        <v>0</v>
      </c>
    </row>
    <row r="287" spans="1:59">
      <c r="A287" s="18" t="s">
        <v>118</v>
      </c>
      <c r="B287" s="18" t="s">
        <v>106</v>
      </c>
      <c r="C287" s="18" t="s">
        <v>90</v>
      </c>
      <c r="D287" s="45">
        <v>0</v>
      </c>
      <c r="E287" s="45">
        <v>0</v>
      </c>
      <c r="F287" s="45">
        <v>0</v>
      </c>
      <c r="G287" s="45">
        <v>0</v>
      </c>
      <c r="H287" s="45">
        <v>0</v>
      </c>
      <c r="I287" s="45">
        <v>3.4</v>
      </c>
      <c r="J287" s="45">
        <v>4.3</v>
      </c>
      <c r="K287" s="45">
        <v>3.2</v>
      </c>
      <c r="L287" s="45">
        <v>4</v>
      </c>
      <c r="M287" s="45">
        <v>3.4</v>
      </c>
      <c r="N287" s="45">
        <v>3.8</v>
      </c>
      <c r="O287" s="45">
        <v>4.1</v>
      </c>
      <c r="P287" s="45">
        <v>3.1</v>
      </c>
      <c r="Q287" s="45">
        <v>3.2</v>
      </c>
      <c r="R287" s="45">
        <v>2.9</v>
      </c>
      <c r="S287" s="45">
        <v>3.1</v>
      </c>
      <c r="T287" s="45">
        <v>2.9</v>
      </c>
      <c r="U287" s="45">
        <v>3.1</v>
      </c>
      <c r="V287" s="45">
        <v>3</v>
      </c>
      <c r="W287" s="45">
        <v>3.4</v>
      </c>
      <c r="X287" s="45">
        <v>4</v>
      </c>
      <c r="Y287" s="45">
        <v>3.2</v>
      </c>
      <c r="Z287" s="45">
        <v>2.8</v>
      </c>
      <c r="AA287" s="45">
        <v>3.5</v>
      </c>
      <c r="AB287" s="45">
        <v>3</v>
      </c>
      <c r="AC287" s="45">
        <v>3.4</v>
      </c>
      <c r="AD287" s="45">
        <v>3.9</v>
      </c>
      <c r="AE287" s="45">
        <v>3.8</v>
      </c>
      <c r="AF287" s="45">
        <v>3.7</v>
      </c>
      <c r="AG287" s="45">
        <v>3.9</v>
      </c>
      <c r="AH287" s="45">
        <v>3.2</v>
      </c>
      <c r="AI287" s="45">
        <v>4</v>
      </c>
      <c r="AJ287" s="45">
        <v>3.1</v>
      </c>
      <c r="AK287" s="45">
        <v>4</v>
      </c>
      <c r="AL287" s="45">
        <v>2.9</v>
      </c>
      <c r="AM287" s="45">
        <v>4.4</v>
      </c>
      <c r="AN287" s="45">
        <v>4.2</v>
      </c>
      <c r="AO287" s="45">
        <v>3.4</v>
      </c>
      <c r="AP287" s="45">
        <v>3.5</v>
      </c>
      <c r="AQ287" s="45">
        <v>3.5</v>
      </c>
      <c r="AR287" s="45">
        <v>3.7</v>
      </c>
      <c r="AS287" s="45">
        <v>0</v>
      </c>
      <c r="AT287" s="45">
        <v>0</v>
      </c>
      <c r="AU287" s="45">
        <v>0</v>
      </c>
      <c r="AV287" s="45">
        <v>0</v>
      </c>
      <c r="AW287" s="45">
        <v>0</v>
      </c>
      <c r="AX287" s="45">
        <v>0</v>
      </c>
      <c r="AY287" s="45">
        <v>0</v>
      </c>
      <c r="AZ287" s="45">
        <v>0</v>
      </c>
      <c r="BA287" s="45">
        <v>0</v>
      </c>
      <c r="BB287" s="45">
        <v>0</v>
      </c>
      <c r="BC287" s="45">
        <v>0</v>
      </c>
      <c r="BD287" s="45">
        <v>0</v>
      </c>
      <c r="BE287" s="45">
        <v>0</v>
      </c>
      <c r="BF287" s="45">
        <v>0</v>
      </c>
      <c r="BG287" s="45">
        <v>0</v>
      </c>
    </row>
    <row r="288" spans="1:59">
      <c r="A288" s="18" t="s">
        <v>119</v>
      </c>
      <c r="B288" s="18" t="s">
        <v>120</v>
      </c>
      <c r="C288" s="18" t="s">
        <v>66</v>
      </c>
      <c r="D288" s="45">
        <v>0</v>
      </c>
      <c r="E288" s="45">
        <v>0</v>
      </c>
      <c r="F288" s="45">
        <v>0</v>
      </c>
      <c r="G288" s="45">
        <v>3.9</v>
      </c>
      <c r="H288" s="45">
        <v>4.4</v>
      </c>
      <c r="I288" s="45">
        <v>4.7</v>
      </c>
      <c r="J288" s="45">
        <v>6.9</v>
      </c>
      <c r="K288" s="45">
        <v>6.7</v>
      </c>
      <c r="L288" s="45">
        <v>6.9</v>
      </c>
      <c r="M288" s="45">
        <v>6</v>
      </c>
      <c r="N288" s="45">
        <v>6.3</v>
      </c>
      <c r="O288" s="45">
        <v>6.1</v>
      </c>
      <c r="P288" s="45">
        <v>6</v>
      </c>
      <c r="Q288" s="45">
        <v>6.1</v>
      </c>
      <c r="R288" s="45">
        <v>6.4</v>
      </c>
      <c r="S288" s="45">
        <v>6.2</v>
      </c>
      <c r="T288" s="45">
        <v>6.2</v>
      </c>
      <c r="U288" s="45">
        <v>6.9</v>
      </c>
      <c r="V288" s="45">
        <v>6.8</v>
      </c>
      <c r="W288" s="45">
        <v>7.3</v>
      </c>
      <c r="X288" s="45">
        <v>7.9</v>
      </c>
      <c r="Y288" s="45">
        <v>8.1</v>
      </c>
      <c r="Z288" s="45">
        <v>8.199999999999999</v>
      </c>
      <c r="AA288" s="45">
        <v>7.8</v>
      </c>
      <c r="AB288" s="45">
        <v>6.8</v>
      </c>
      <c r="AC288" s="45">
        <v>6.1</v>
      </c>
      <c r="AD288" s="45">
        <v>6.4</v>
      </c>
      <c r="AE288" s="45">
        <v>6.2</v>
      </c>
      <c r="AF288" s="45">
        <v>6.3</v>
      </c>
      <c r="AG288" s="45">
        <v>6.2</v>
      </c>
      <c r="AH288" s="45">
        <v>6.1</v>
      </c>
      <c r="AI288" s="45">
        <v>6.5</v>
      </c>
      <c r="AJ288" s="45">
        <v>6.6</v>
      </c>
      <c r="AK288" s="45">
        <v>6.5</v>
      </c>
      <c r="AL288" s="45">
        <v>6.1</v>
      </c>
      <c r="AM288" s="45">
        <v>5.7</v>
      </c>
      <c r="AN288" s="45">
        <v>5.6</v>
      </c>
      <c r="AO288" s="45">
        <v>5.2</v>
      </c>
      <c r="AP288" s="45">
        <v>4.6</v>
      </c>
      <c r="AQ288" s="45">
        <v>4.2</v>
      </c>
      <c r="AR288" s="45">
        <v>3.8</v>
      </c>
      <c r="AS288" s="45">
        <v>6.1</v>
      </c>
      <c r="AT288" s="45">
        <v>0</v>
      </c>
      <c r="AU288" s="45">
        <v>0</v>
      </c>
      <c r="AV288" s="45">
        <v>0</v>
      </c>
      <c r="AW288" s="45">
        <v>0</v>
      </c>
      <c r="AX288" s="45">
        <v>0</v>
      </c>
      <c r="AY288" s="45">
        <v>0</v>
      </c>
      <c r="AZ288" s="45">
        <v>0</v>
      </c>
      <c r="BA288" s="45">
        <v>0</v>
      </c>
      <c r="BB288" s="45">
        <v>0</v>
      </c>
      <c r="BC288" s="45">
        <v>0</v>
      </c>
      <c r="BD288" s="45">
        <v>0</v>
      </c>
      <c r="BE288" s="45">
        <v>0</v>
      </c>
      <c r="BF288" s="45">
        <v>0</v>
      </c>
      <c r="BG288" s="45">
        <v>0</v>
      </c>
    </row>
    <row r="289" spans="1:59">
      <c r="A289" s="18" t="s">
        <v>121</v>
      </c>
      <c r="B289" s="18" t="s">
        <v>120</v>
      </c>
      <c r="C289" s="18" t="s">
        <v>68</v>
      </c>
      <c r="D289" s="45">
        <v>0</v>
      </c>
      <c r="E289" s="45">
        <v>0</v>
      </c>
      <c r="F289" s="45">
        <v>0</v>
      </c>
      <c r="G289" s="45">
        <v>0</v>
      </c>
      <c r="H289" s="45">
        <v>3.3</v>
      </c>
      <c r="I289" s="45">
        <v>4.8</v>
      </c>
      <c r="J289" s="45">
        <v>8.1</v>
      </c>
      <c r="K289" s="45">
        <v>7.6</v>
      </c>
      <c r="L289" s="45">
        <v>8.199999999999999</v>
      </c>
      <c r="M289" s="45">
        <v>6</v>
      </c>
      <c r="N289" s="45">
        <v>5.8</v>
      </c>
      <c r="O289" s="45">
        <v>6.1</v>
      </c>
      <c r="P289" s="45">
        <v>5.6</v>
      </c>
      <c r="Q289" s="45">
        <v>7.2</v>
      </c>
      <c r="R289" s="45">
        <v>7.4</v>
      </c>
      <c r="S289" s="45">
        <v>7.1</v>
      </c>
      <c r="T289" s="45">
        <v>6.6</v>
      </c>
      <c r="U289" s="45">
        <v>7.9</v>
      </c>
      <c r="V289" s="45">
        <v>7.3</v>
      </c>
      <c r="W289" s="45">
        <v>8.1</v>
      </c>
      <c r="X289" s="45">
        <v>10.2</v>
      </c>
      <c r="Y289" s="45">
        <v>8.6</v>
      </c>
      <c r="Z289" s="45">
        <v>9.300000000000001</v>
      </c>
      <c r="AA289" s="45">
        <v>7.9</v>
      </c>
      <c r="AB289" s="45">
        <v>8.300000000000001</v>
      </c>
      <c r="AC289" s="45">
        <v>6.8</v>
      </c>
      <c r="AD289" s="45">
        <v>6.3</v>
      </c>
      <c r="AE289" s="45">
        <v>7.7</v>
      </c>
      <c r="AF289" s="45">
        <v>7.9</v>
      </c>
      <c r="AG289" s="45">
        <v>6.4</v>
      </c>
      <c r="AH289" s="45">
        <v>6.6</v>
      </c>
      <c r="AI289" s="45">
        <v>5.8</v>
      </c>
      <c r="AJ289" s="45">
        <v>8.1</v>
      </c>
      <c r="AK289" s="45">
        <v>6.4</v>
      </c>
      <c r="AL289" s="45">
        <v>7.3</v>
      </c>
      <c r="AM289" s="45">
        <v>5.8</v>
      </c>
      <c r="AN289" s="45">
        <v>6.4</v>
      </c>
      <c r="AO289" s="45">
        <v>5.5</v>
      </c>
      <c r="AP289" s="45">
        <v>5.7</v>
      </c>
      <c r="AQ289" s="45">
        <v>4.7</v>
      </c>
      <c r="AR289" s="45">
        <v>5.2</v>
      </c>
      <c r="AS289" s="45">
        <v>0</v>
      </c>
      <c r="AT289" s="45">
        <v>0</v>
      </c>
      <c r="AU289" s="45">
        <v>0</v>
      </c>
      <c r="AV289" s="45">
        <v>0</v>
      </c>
      <c r="AW289" s="45">
        <v>0</v>
      </c>
      <c r="AX289" s="45">
        <v>0</v>
      </c>
      <c r="AY289" s="45">
        <v>0</v>
      </c>
      <c r="AZ289" s="45">
        <v>0</v>
      </c>
      <c r="BA289" s="45">
        <v>0</v>
      </c>
      <c r="BB289" s="45">
        <v>0</v>
      </c>
      <c r="BC289" s="45">
        <v>0</v>
      </c>
      <c r="BD289" s="45">
        <v>0</v>
      </c>
      <c r="BE289" s="45">
        <v>0</v>
      </c>
      <c r="BF289" s="45">
        <v>0</v>
      </c>
      <c r="BG289" s="45">
        <v>0</v>
      </c>
    </row>
    <row r="290" spans="1:59">
      <c r="A290" s="18" t="s">
        <v>122</v>
      </c>
      <c r="B290" s="18" t="s">
        <v>120</v>
      </c>
      <c r="C290" s="18" t="s">
        <v>70</v>
      </c>
      <c r="D290" s="45">
        <v>0</v>
      </c>
      <c r="E290" s="45">
        <v>0</v>
      </c>
      <c r="F290" s="45">
        <v>0</v>
      </c>
      <c r="G290" s="45">
        <v>0</v>
      </c>
      <c r="H290" s="45">
        <v>0</v>
      </c>
      <c r="I290" s="45">
        <v>5.7</v>
      </c>
      <c r="J290" s="45">
        <v>5.1</v>
      </c>
      <c r="K290" s="45">
        <v>7.2</v>
      </c>
      <c r="L290" s="45">
        <v>7.7</v>
      </c>
      <c r="M290" s="45">
        <v>5.7</v>
      </c>
      <c r="N290" s="45">
        <v>5.7</v>
      </c>
      <c r="O290" s="45">
        <v>8.9</v>
      </c>
      <c r="P290" s="45">
        <v>7.4</v>
      </c>
      <c r="Q290" s="45">
        <v>6.8</v>
      </c>
      <c r="R290" s="45">
        <v>8.199999999999999</v>
      </c>
      <c r="S290" s="45">
        <v>6.1</v>
      </c>
      <c r="T290" s="45">
        <v>7.3</v>
      </c>
      <c r="U290" s="45">
        <v>9.1</v>
      </c>
      <c r="V290" s="45">
        <v>8.800000000000001</v>
      </c>
      <c r="W290" s="45">
        <v>10.2</v>
      </c>
      <c r="X290" s="45">
        <v>8.4</v>
      </c>
      <c r="Y290" s="45">
        <v>9.199999999999999</v>
      </c>
      <c r="Z290" s="45">
        <v>11.5</v>
      </c>
      <c r="AA290" s="45">
        <v>7.6</v>
      </c>
      <c r="AB290" s="45">
        <v>6.8</v>
      </c>
      <c r="AC290" s="45">
        <v>8.1</v>
      </c>
      <c r="AD290" s="45">
        <v>7.6</v>
      </c>
      <c r="AE290" s="45">
        <v>7.5</v>
      </c>
      <c r="AF290" s="45">
        <v>7.1</v>
      </c>
      <c r="AG290" s="45">
        <v>7.2</v>
      </c>
      <c r="AH290" s="45">
        <v>7.5</v>
      </c>
      <c r="AI290" s="45">
        <v>7.5</v>
      </c>
      <c r="AJ290" s="45">
        <v>9.199999999999999</v>
      </c>
      <c r="AK290" s="45">
        <v>7.9</v>
      </c>
      <c r="AL290" s="45">
        <v>7.7</v>
      </c>
      <c r="AM290" s="45">
        <v>5.7</v>
      </c>
      <c r="AN290" s="45">
        <v>6.7</v>
      </c>
      <c r="AO290" s="45">
        <v>5.7</v>
      </c>
      <c r="AP290" s="45">
        <v>5.6</v>
      </c>
      <c r="AQ290" s="45">
        <v>5.2</v>
      </c>
      <c r="AR290" s="45">
        <v>4.9</v>
      </c>
      <c r="AS290" s="45">
        <v>0</v>
      </c>
      <c r="AT290" s="45">
        <v>0</v>
      </c>
      <c r="AU290" s="45">
        <v>0</v>
      </c>
      <c r="AV290" s="45">
        <v>0</v>
      </c>
      <c r="AW290" s="45">
        <v>0</v>
      </c>
      <c r="AX290" s="45">
        <v>0</v>
      </c>
      <c r="AY290" s="45">
        <v>0</v>
      </c>
      <c r="AZ290" s="45">
        <v>0</v>
      </c>
      <c r="BA290" s="45">
        <v>0</v>
      </c>
      <c r="BB290" s="45">
        <v>0</v>
      </c>
      <c r="BC290" s="45">
        <v>0</v>
      </c>
      <c r="BD290" s="45">
        <v>0</v>
      </c>
      <c r="BE290" s="45">
        <v>0</v>
      </c>
      <c r="BF290" s="45">
        <v>0</v>
      </c>
      <c r="BG290" s="45">
        <v>0</v>
      </c>
    </row>
    <row r="291" spans="1:59">
      <c r="A291" s="18" t="s">
        <v>123</v>
      </c>
      <c r="B291" s="18" t="s">
        <v>120</v>
      </c>
      <c r="C291" s="18" t="s">
        <v>72</v>
      </c>
      <c r="D291" s="45">
        <v>0</v>
      </c>
      <c r="E291" s="45">
        <v>0</v>
      </c>
      <c r="F291" s="45">
        <v>0</v>
      </c>
      <c r="G291" s="45">
        <v>0</v>
      </c>
      <c r="H291" s="45">
        <v>0</v>
      </c>
      <c r="I291" s="45">
        <v>4.9</v>
      </c>
      <c r="J291" s="45">
        <v>8.4</v>
      </c>
      <c r="K291" s="45">
        <v>7.1</v>
      </c>
      <c r="L291" s="45">
        <v>7.4</v>
      </c>
      <c r="M291" s="45">
        <v>6.1</v>
      </c>
      <c r="N291" s="45">
        <v>6.5</v>
      </c>
      <c r="O291" s="45">
        <v>5.6</v>
      </c>
      <c r="P291" s="45">
        <v>6.8</v>
      </c>
      <c r="Q291" s="45">
        <v>5.9</v>
      </c>
      <c r="R291" s="45">
        <v>8.1</v>
      </c>
      <c r="S291" s="45">
        <v>7.1</v>
      </c>
      <c r="T291" s="45">
        <v>7.3</v>
      </c>
      <c r="U291" s="45">
        <v>9</v>
      </c>
      <c r="V291" s="45">
        <v>9</v>
      </c>
      <c r="W291" s="45">
        <v>8.699999999999999</v>
      </c>
      <c r="X291" s="45">
        <v>10.6</v>
      </c>
      <c r="Y291" s="45">
        <v>9.800000000000001</v>
      </c>
      <c r="Z291" s="45">
        <v>9.4</v>
      </c>
      <c r="AA291" s="45">
        <v>8.199999999999999</v>
      </c>
      <c r="AB291" s="45">
        <v>8.4</v>
      </c>
      <c r="AC291" s="45">
        <v>6.3</v>
      </c>
      <c r="AD291" s="45">
        <v>7.8</v>
      </c>
      <c r="AE291" s="45">
        <v>6.1</v>
      </c>
      <c r="AF291" s="45">
        <v>6.5</v>
      </c>
      <c r="AG291" s="45">
        <v>7.8</v>
      </c>
      <c r="AH291" s="45">
        <v>7.5</v>
      </c>
      <c r="AI291" s="45">
        <v>9</v>
      </c>
      <c r="AJ291" s="45">
        <v>8.199999999999999</v>
      </c>
      <c r="AK291" s="45">
        <v>7.7</v>
      </c>
      <c r="AL291" s="45">
        <v>6.5</v>
      </c>
      <c r="AM291" s="45">
        <v>6.5</v>
      </c>
      <c r="AN291" s="45">
        <v>6.2</v>
      </c>
      <c r="AO291" s="45">
        <v>5.5</v>
      </c>
      <c r="AP291" s="45">
        <v>4.2</v>
      </c>
      <c r="AQ291" s="45">
        <v>4.7</v>
      </c>
      <c r="AR291" s="45">
        <v>4.5</v>
      </c>
      <c r="AS291" s="45">
        <v>0</v>
      </c>
      <c r="AT291" s="45">
        <v>0</v>
      </c>
      <c r="AU291" s="45">
        <v>0</v>
      </c>
      <c r="AV291" s="45">
        <v>0</v>
      </c>
      <c r="AW291" s="45">
        <v>0</v>
      </c>
      <c r="AX291" s="45">
        <v>0</v>
      </c>
      <c r="AY291" s="45">
        <v>0</v>
      </c>
      <c r="AZ291" s="45">
        <v>0</v>
      </c>
      <c r="BA291" s="45">
        <v>0</v>
      </c>
      <c r="BB291" s="45">
        <v>0</v>
      </c>
      <c r="BC291" s="45">
        <v>0</v>
      </c>
      <c r="BD291" s="45">
        <v>0</v>
      </c>
      <c r="BE291" s="45">
        <v>0</v>
      </c>
      <c r="BF291" s="45">
        <v>0</v>
      </c>
      <c r="BG291" s="45">
        <v>0</v>
      </c>
    </row>
    <row r="292" spans="1:59">
      <c r="A292" s="18" t="s">
        <v>124</v>
      </c>
      <c r="B292" s="18" t="s">
        <v>120</v>
      </c>
      <c r="C292" s="18" t="s">
        <v>74</v>
      </c>
      <c r="D292" s="45">
        <v>0</v>
      </c>
      <c r="E292" s="45">
        <v>0</v>
      </c>
      <c r="F292" s="45">
        <v>0</v>
      </c>
      <c r="G292" s="45">
        <v>0</v>
      </c>
      <c r="H292" s="45">
        <v>1.7</v>
      </c>
      <c r="I292" s="45">
        <v>4.3</v>
      </c>
      <c r="J292" s="45">
        <v>7.2</v>
      </c>
      <c r="K292" s="45">
        <v>6.5</v>
      </c>
      <c r="L292" s="45">
        <v>6.7</v>
      </c>
      <c r="M292" s="45">
        <v>6.6</v>
      </c>
      <c r="N292" s="45">
        <v>7.5</v>
      </c>
      <c r="O292" s="45">
        <v>6.7</v>
      </c>
      <c r="P292" s="45">
        <v>7.4</v>
      </c>
      <c r="Q292" s="45">
        <v>6.8</v>
      </c>
      <c r="R292" s="45">
        <v>7</v>
      </c>
      <c r="S292" s="45">
        <v>7.2</v>
      </c>
      <c r="T292" s="45">
        <v>8</v>
      </c>
      <c r="U292" s="45">
        <v>8</v>
      </c>
      <c r="V292" s="45">
        <v>7.6</v>
      </c>
      <c r="W292" s="45">
        <v>9.6</v>
      </c>
      <c r="X292" s="45">
        <v>8.9</v>
      </c>
      <c r="Y292" s="45">
        <v>12.2</v>
      </c>
      <c r="Z292" s="45">
        <v>10</v>
      </c>
      <c r="AA292" s="45">
        <v>10.4</v>
      </c>
      <c r="AB292" s="45">
        <v>8</v>
      </c>
      <c r="AC292" s="45">
        <v>7.6</v>
      </c>
      <c r="AD292" s="45">
        <v>7.4</v>
      </c>
      <c r="AE292" s="45">
        <v>7.4</v>
      </c>
      <c r="AF292" s="45">
        <v>7.9</v>
      </c>
      <c r="AG292" s="45">
        <v>7.1</v>
      </c>
      <c r="AH292" s="45">
        <v>7.2</v>
      </c>
      <c r="AI292" s="45">
        <v>7.3</v>
      </c>
      <c r="AJ292" s="45">
        <v>8.4</v>
      </c>
      <c r="AK292" s="45">
        <v>8</v>
      </c>
      <c r="AL292" s="45">
        <v>7.2</v>
      </c>
      <c r="AM292" s="45">
        <v>7.5</v>
      </c>
      <c r="AN292" s="45">
        <v>6.6</v>
      </c>
      <c r="AO292" s="45">
        <v>6.1</v>
      </c>
      <c r="AP292" s="45">
        <v>4.8</v>
      </c>
      <c r="AQ292" s="45">
        <v>4.8</v>
      </c>
      <c r="AR292" s="45">
        <v>3.7</v>
      </c>
      <c r="AS292" s="45">
        <v>0</v>
      </c>
      <c r="AT292" s="45">
        <v>0</v>
      </c>
      <c r="AU292" s="45">
        <v>0</v>
      </c>
      <c r="AV292" s="45">
        <v>0</v>
      </c>
      <c r="AW292" s="45">
        <v>0</v>
      </c>
      <c r="AX292" s="45">
        <v>0</v>
      </c>
      <c r="AY292" s="45">
        <v>0</v>
      </c>
      <c r="AZ292" s="45">
        <v>0</v>
      </c>
      <c r="BA292" s="45">
        <v>0</v>
      </c>
      <c r="BB292" s="45">
        <v>0</v>
      </c>
      <c r="BC292" s="45">
        <v>0</v>
      </c>
      <c r="BD292" s="45">
        <v>0</v>
      </c>
      <c r="BE292" s="45">
        <v>0</v>
      </c>
      <c r="BF292" s="45">
        <v>0</v>
      </c>
      <c r="BG292" s="45">
        <v>0</v>
      </c>
    </row>
    <row r="293" spans="1:59">
      <c r="A293" s="18" t="s">
        <v>125</v>
      </c>
      <c r="B293" s="18" t="s">
        <v>120</v>
      </c>
      <c r="C293" s="18" t="s">
        <v>76</v>
      </c>
      <c r="D293" s="45">
        <v>0</v>
      </c>
      <c r="E293" s="45">
        <v>0</v>
      </c>
      <c r="F293" s="45">
        <v>0</v>
      </c>
      <c r="G293" s="45">
        <v>0</v>
      </c>
      <c r="H293" s="45">
        <v>0</v>
      </c>
      <c r="I293" s="45">
        <v>4.2</v>
      </c>
      <c r="J293" s="45">
        <v>8.800000000000001</v>
      </c>
      <c r="K293" s="45">
        <v>7.8</v>
      </c>
      <c r="L293" s="45">
        <v>7.4</v>
      </c>
      <c r="M293" s="45">
        <v>7.8</v>
      </c>
      <c r="N293" s="45">
        <v>9.699999999999999</v>
      </c>
      <c r="O293" s="45">
        <v>8.300000000000001</v>
      </c>
      <c r="P293" s="45">
        <v>6.5</v>
      </c>
      <c r="Q293" s="45">
        <v>6.4</v>
      </c>
      <c r="R293" s="45">
        <v>7.9</v>
      </c>
      <c r="S293" s="45">
        <v>7.9</v>
      </c>
      <c r="T293" s="45">
        <v>7.7</v>
      </c>
      <c r="U293" s="45">
        <v>8.5</v>
      </c>
      <c r="V293" s="45">
        <v>7.2</v>
      </c>
      <c r="W293" s="45">
        <v>9.5</v>
      </c>
      <c r="X293" s="45">
        <v>8.300000000000001</v>
      </c>
      <c r="Y293" s="45">
        <v>9.4</v>
      </c>
      <c r="Z293" s="45">
        <v>10.5</v>
      </c>
      <c r="AA293" s="45">
        <v>9.1</v>
      </c>
      <c r="AB293" s="45">
        <v>8.300000000000001</v>
      </c>
      <c r="AC293" s="45">
        <v>8.199999999999999</v>
      </c>
      <c r="AD293" s="45">
        <v>8.199999999999999</v>
      </c>
      <c r="AE293" s="45">
        <v>7.9</v>
      </c>
      <c r="AF293" s="45">
        <v>7.5</v>
      </c>
      <c r="AG293" s="45">
        <v>6.3</v>
      </c>
      <c r="AH293" s="45">
        <v>7.7</v>
      </c>
      <c r="AI293" s="45">
        <v>8.5</v>
      </c>
      <c r="AJ293" s="45">
        <v>6.8</v>
      </c>
      <c r="AK293" s="45">
        <v>8.199999999999999</v>
      </c>
      <c r="AL293" s="45">
        <v>7</v>
      </c>
      <c r="AM293" s="45">
        <v>7</v>
      </c>
      <c r="AN293" s="45">
        <v>6.6</v>
      </c>
      <c r="AO293" s="45">
        <v>6.2</v>
      </c>
      <c r="AP293" s="45">
        <v>5.4</v>
      </c>
      <c r="AQ293" s="45">
        <v>4.3</v>
      </c>
      <c r="AR293" s="45">
        <v>3.9</v>
      </c>
      <c r="AS293" s="45">
        <v>0</v>
      </c>
      <c r="AT293" s="45">
        <v>0</v>
      </c>
      <c r="AU293" s="45">
        <v>0</v>
      </c>
      <c r="AV293" s="45">
        <v>0</v>
      </c>
      <c r="AW293" s="45">
        <v>0</v>
      </c>
      <c r="AX293" s="45">
        <v>0</v>
      </c>
      <c r="AY293" s="45">
        <v>0</v>
      </c>
      <c r="AZ293" s="45">
        <v>0</v>
      </c>
      <c r="BA293" s="45">
        <v>0</v>
      </c>
      <c r="BB293" s="45">
        <v>0</v>
      </c>
      <c r="BC293" s="45">
        <v>0</v>
      </c>
      <c r="BD293" s="45">
        <v>0</v>
      </c>
      <c r="BE293" s="45">
        <v>0</v>
      </c>
      <c r="BF293" s="45">
        <v>0</v>
      </c>
      <c r="BG293" s="45">
        <v>0</v>
      </c>
    </row>
    <row r="294" spans="1:59">
      <c r="A294" s="18" t="s">
        <v>126</v>
      </c>
      <c r="B294" s="18" t="s">
        <v>120</v>
      </c>
      <c r="C294" s="18" t="s">
        <v>78</v>
      </c>
      <c r="D294" s="45">
        <v>0</v>
      </c>
      <c r="E294" s="45">
        <v>0</v>
      </c>
      <c r="F294" s="45">
        <v>0</v>
      </c>
      <c r="G294" s="45">
        <v>0</v>
      </c>
      <c r="H294" s="45">
        <v>0</v>
      </c>
      <c r="I294" s="45">
        <v>7.9</v>
      </c>
      <c r="J294" s="45">
        <v>9.9</v>
      </c>
      <c r="K294" s="45">
        <v>9.300000000000001</v>
      </c>
      <c r="L294" s="45">
        <v>8.5</v>
      </c>
      <c r="M294" s="45">
        <v>8.699999999999999</v>
      </c>
      <c r="N294" s="45">
        <v>8.199999999999999</v>
      </c>
      <c r="O294" s="45">
        <v>6.8</v>
      </c>
      <c r="P294" s="45">
        <v>7.8</v>
      </c>
      <c r="Q294" s="45">
        <v>6.7</v>
      </c>
      <c r="R294" s="45">
        <v>8.5</v>
      </c>
      <c r="S294" s="45">
        <v>8.5</v>
      </c>
      <c r="T294" s="45">
        <v>7.9</v>
      </c>
      <c r="U294" s="45">
        <v>7</v>
      </c>
      <c r="V294" s="45">
        <v>10.4</v>
      </c>
      <c r="W294" s="45">
        <v>7.7</v>
      </c>
      <c r="X294" s="45">
        <v>8.9</v>
      </c>
      <c r="Y294" s="45">
        <v>9.1</v>
      </c>
      <c r="Z294" s="45">
        <v>10.4</v>
      </c>
      <c r="AA294" s="45">
        <v>10.6</v>
      </c>
      <c r="AB294" s="45">
        <v>10.5</v>
      </c>
      <c r="AC294" s="45">
        <v>6.4</v>
      </c>
      <c r="AD294" s="45">
        <v>8.300000000000001</v>
      </c>
      <c r="AE294" s="45">
        <v>8.4</v>
      </c>
      <c r="AF294" s="45">
        <v>7.4</v>
      </c>
      <c r="AG294" s="45">
        <v>8.300000000000001</v>
      </c>
      <c r="AH294" s="45">
        <v>7.5</v>
      </c>
      <c r="AI294" s="45">
        <v>9.1</v>
      </c>
      <c r="AJ294" s="45">
        <v>7.9</v>
      </c>
      <c r="AK294" s="45">
        <v>8.5</v>
      </c>
      <c r="AL294" s="45">
        <v>7.5</v>
      </c>
      <c r="AM294" s="45">
        <v>6.8</v>
      </c>
      <c r="AN294" s="45">
        <v>7.3</v>
      </c>
      <c r="AO294" s="45">
        <v>6.9</v>
      </c>
      <c r="AP294" s="45">
        <v>5.5</v>
      </c>
      <c r="AQ294" s="45">
        <v>5</v>
      </c>
      <c r="AR294" s="45">
        <v>2.7</v>
      </c>
      <c r="AS294" s="45">
        <v>0</v>
      </c>
      <c r="AT294" s="45">
        <v>0</v>
      </c>
      <c r="AU294" s="45">
        <v>0</v>
      </c>
      <c r="AV294" s="45">
        <v>0</v>
      </c>
      <c r="AW294" s="45">
        <v>0</v>
      </c>
      <c r="AX294" s="45">
        <v>0</v>
      </c>
      <c r="AY294" s="45">
        <v>0</v>
      </c>
      <c r="AZ294" s="45">
        <v>0</v>
      </c>
      <c r="BA294" s="45">
        <v>0</v>
      </c>
      <c r="BB294" s="45">
        <v>0</v>
      </c>
      <c r="BC294" s="45">
        <v>0</v>
      </c>
      <c r="BD294" s="45">
        <v>0</v>
      </c>
      <c r="BE294" s="45">
        <v>0</v>
      </c>
      <c r="BF294" s="45">
        <v>0</v>
      </c>
      <c r="BG294" s="45">
        <v>0</v>
      </c>
    </row>
    <row r="295" spans="1:59">
      <c r="A295" s="18" t="s">
        <v>127</v>
      </c>
      <c r="B295" s="18" t="s">
        <v>120</v>
      </c>
      <c r="C295" s="18" t="s">
        <v>80</v>
      </c>
      <c r="D295" s="45">
        <v>0</v>
      </c>
      <c r="E295" s="45">
        <v>0</v>
      </c>
      <c r="F295" s="45">
        <v>0</v>
      </c>
      <c r="G295" s="45">
        <v>0</v>
      </c>
      <c r="H295" s="45">
        <v>0</v>
      </c>
      <c r="I295" s="45">
        <v>6.1</v>
      </c>
      <c r="J295" s="45">
        <v>7.9</v>
      </c>
      <c r="K295" s="45">
        <v>7.9</v>
      </c>
      <c r="L295" s="45">
        <v>10.7</v>
      </c>
      <c r="M295" s="45">
        <v>7.4</v>
      </c>
      <c r="N295" s="45">
        <v>8.6</v>
      </c>
      <c r="O295" s="45">
        <v>7.5</v>
      </c>
      <c r="P295" s="45">
        <v>7.4</v>
      </c>
      <c r="Q295" s="45">
        <v>8.1</v>
      </c>
      <c r="R295" s="45">
        <v>6.5</v>
      </c>
      <c r="S295" s="45">
        <v>7.6</v>
      </c>
      <c r="T295" s="45">
        <v>6.3</v>
      </c>
      <c r="U295" s="45">
        <v>8.199999999999999</v>
      </c>
      <c r="V295" s="45">
        <v>8.4</v>
      </c>
      <c r="W295" s="45">
        <v>8.9</v>
      </c>
      <c r="X295" s="45">
        <v>10.8</v>
      </c>
      <c r="Y295" s="45">
        <v>9.9</v>
      </c>
      <c r="Z295" s="45">
        <v>9.800000000000001</v>
      </c>
      <c r="AA295" s="45">
        <v>8.9</v>
      </c>
      <c r="AB295" s="45">
        <v>8.800000000000001</v>
      </c>
      <c r="AC295" s="45">
        <v>8.199999999999999</v>
      </c>
      <c r="AD295" s="45">
        <v>8.1</v>
      </c>
      <c r="AE295" s="45">
        <v>7.7</v>
      </c>
      <c r="AF295" s="45">
        <v>8.4</v>
      </c>
      <c r="AG295" s="45">
        <v>8.5</v>
      </c>
      <c r="AH295" s="45">
        <v>6.7</v>
      </c>
      <c r="AI295" s="45">
        <v>7.6</v>
      </c>
      <c r="AJ295" s="45">
        <v>7.2</v>
      </c>
      <c r="AK295" s="45">
        <v>7.4</v>
      </c>
      <c r="AL295" s="45">
        <v>7.8</v>
      </c>
      <c r="AM295" s="45">
        <v>7.1</v>
      </c>
      <c r="AN295" s="45">
        <v>6.9</v>
      </c>
      <c r="AO295" s="45">
        <v>5.4</v>
      </c>
      <c r="AP295" s="45">
        <v>5.5</v>
      </c>
      <c r="AQ295" s="45">
        <v>5.7</v>
      </c>
      <c r="AR295" s="45">
        <v>4.9</v>
      </c>
      <c r="AS295" s="45">
        <v>0</v>
      </c>
      <c r="AT295" s="45">
        <v>0</v>
      </c>
      <c r="AU295" s="45">
        <v>0</v>
      </c>
      <c r="AV295" s="45">
        <v>0</v>
      </c>
      <c r="AW295" s="45">
        <v>0</v>
      </c>
      <c r="AX295" s="45">
        <v>0</v>
      </c>
      <c r="AY295" s="45">
        <v>0</v>
      </c>
      <c r="AZ295" s="45">
        <v>0</v>
      </c>
      <c r="BA295" s="45">
        <v>0</v>
      </c>
      <c r="BB295" s="45">
        <v>0</v>
      </c>
      <c r="BC295" s="45">
        <v>0</v>
      </c>
      <c r="BD295" s="45">
        <v>0</v>
      </c>
      <c r="BE295" s="45">
        <v>0</v>
      </c>
      <c r="BF295" s="45">
        <v>0</v>
      </c>
      <c r="BG295" s="45">
        <v>0</v>
      </c>
    </row>
    <row r="296" spans="1:59">
      <c r="A296" s="18" t="s">
        <v>128</v>
      </c>
      <c r="B296" s="18" t="s">
        <v>120</v>
      </c>
      <c r="C296" s="18" t="s">
        <v>82</v>
      </c>
      <c r="D296" s="45">
        <v>0</v>
      </c>
      <c r="E296" s="45">
        <v>0</v>
      </c>
      <c r="F296" s="45">
        <v>0</v>
      </c>
      <c r="G296" s="45">
        <v>0</v>
      </c>
      <c r="H296" s="45">
        <v>0</v>
      </c>
      <c r="I296" s="45">
        <v>0</v>
      </c>
      <c r="J296" s="45">
        <v>0</v>
      </c>
      <c r="K296" s="45">
        <v>0</v>
      </c>
      <c r="L296" s="45">
        <v>0</v>
      </c>
      <c r="M296" s="45">
        <v>0</v>
      </c>
      <c r="N296" s="45">
        <v>0</v>
      </c>
      <c r="O296" s="45">
        <v>0</v>
      </c>
      <c r="P296" s="45">
        <v>0</v>
      </c>
      <c r="Q296" s="45">
        <v>0</v>
      </c>
      <c r="R296" s="45">
        <v>0</v>
      </c>
      <c r="S296" s="45">
        <v>0</v>
      </c>
      <c r="T296" s="45">
        <v>0</v>
      </c>
      <c r="U296" s="45">
        <v>0</v>
      </c>
      <c r="V296" s="45">
        <v>0</v>
      </c>
      <c r="W296" s="45">
        <v>0</v>
      </c>
      <c r="X296" s="45">
        <v>0</v>
      </c>
      <c r="Y296" s="45">
        <v>0</v>
      </c>
      <c r="Z296" s="45">
        <v>0</v>
      </c>
      <c r="AA296" s="45">
        <v>0</v>
      </c>
      <c r="AB296" s="45">
        <v>0</v>
      </c>
      <c r="AC296" s="45">
        <v>0</v>
      </c>
      <c r="AD296" s="45">
        <v>0</v>
      </c>
      <c r="AE296" s="45">
        <v>0</v>
      </c>
      <c r="AF296" s="45">
        <v>0</v>
      </c>
      <c r="AG296" s="45">
        <v>0</v>
      </c>
      <c r="AH296" s="45">
        <v>0</v>
      </c>
      <c r="AI296" s="45">
        <v>0</v>
      </c>
      <c r="AJ296" s="45">
        <v>0</v>
      </c>
      <c r="AK296" s="45">
        <v>0</v>
      </c>
      <c r="AL296" s="45">
        <v>0</v>
      </c>
      <c r="AM296" s="45">
        <v>0</v>
      </c>
      <c r="AN296" s="45">
        <v>0</v>
      </c>
      <c r="AO296" s="45">
        <v>0</v>
      </c>
      <c r="AP296" s="45">
        <v>0</v>
      </c>
      <c r="AQ296" s="45">
        <v>0</v>
      </c>
      <c r="AR296" s="45">
        <v>0</v>
      </c>
      <c r="AS296" s="45">
        <v>0</v>
      </c>
      <c r="AT296" s="45">
        <v>0</v>
      </c>
      <c r="AU296" s="45">
        <v>0</v>
      </c>
      <c r="AV296" s="45">
        <v>0</v>
      </c>
      <c r="AW296" s="45">
        <v>0</v>
      </c>
      <c r="AX296" s="45">
        <v>0</v>
      </c>
      <c r="AY296" s="45">
        <v>0</v>
      </c>
      <c r="AZ296" s="45">
        <v>0</v>
      </c>
      <c r="BA296" s="45">
        <v>0</v>
      </c>
      <c r="BB296" s="45">
        <v>0</v>
      </c>
      <c r="BC296" s="45">
        <v>0</v>
      </c>
      <c r="BD296" s="45">
        <v>0</v>
      </c>
      <c r="BE296" s="45">
        <v>0</v>
      </c>
      <c r="BF296" s="45">
        <v>0</v>
      </c>
      <c r="BG296" s="45">
        <v>0</v>
      </c>
    </row>
    <row r="297" spans="1:59">
      <c r="A297" s="18" t="s">
        <v>129</v>
      </c>
      <c r="B297" s="18" t="s">
        <v>120</v>
      </c>
      <c r="C297" s="18" t="s">
        <v>84</v>
      </c>
      <c r="D297" s="45">
        <v>0</v>
      </c>
      <c r="E297" s="45">
        <v>0</v>
      </c>
      <c r="F297" s="45">
        <v>0</v>
      </c>
      <c r="G297" s="45">
        <v>0</v>
      </c>
      <c r="H297" s="45">
        <v>0</v>
      </c>
      <c r="I297" s="45">
        <v>3.6</v>
      </c>
      <c r="J297" s="45">
        <v>2.9</v>
      </c>
      <c r="K297" s="45">
        <v>2.8</v>
      </c>
      <c r="L297" s="45">
        <v>2.4</v>
      </c>
      <c r="M297" s="45">
        <v>2.5</v>
      </c>
      <c r="N297" s="45">
        <v>2.6</v>
      </c>
      <c r="O297" s="45">
        <v>2.4</v>
      </c>
      <c r="P297" s="45">
        <v>1.9</v>
      </c>
      <c r="Q297" s="45">
        <v>3.8</v>
      </c>
      <c r="R297" s="45">
        <v>4</v>
      </c>
      <c r="S297" s="45">
        <v>3.4</v>
      </c>
      <c r="T297" s="45">
        <v>2.9</v>
      </c>
      <c r="U297" s="45">
        <v>2.3</v>
      </c>
      <c r="V297" s="45">
        <v>3.1</v>
      </c>
      <c r="W297" s="45">
        <v>3</v>
      </c>
      <c r="X297" s="45">
        <v>3</v>
      </c>
      <c r="Y297" s="45">
        <v>3.1</v>
      </c>
      <c r="Z297" s="45">
        <v>3.6</v>
      </c>
      <c r="AA297" s="45">
        <v>5.2</v>
      </c>
      <c r="AB297" s="45">
        <v>2.3</v>
      </c>
      <c r="AC297" s="45">
        <v>2</v>
      </c>
      <c r="AD297" s="45">
        <v>3.2</v>
      </c>
      <c r="AE297" s="45">
        <v>2.6</v>
      </c>
      <c r="AF297" s="45">
        <v>2.3</v>
      </c>
      <c r="AG297" s="45">
        <v>2.5</v>
      </c>
      <c r="AH297" s="45">
        <v>3.1</v>
      </c>
      <c r="AI297" s="45">
        <v>3.3</v>
      </c>
      <c r="AJ297" s="45">
        <v>2.8</v>
      </c>
      <c r="AK297" s="45">
        <v>4.4</v>
      </c>
      <c r="AL297" s="45">
        <v>2.5</v>
      </c>
      <c r="AM297" s="45">
        <v>2.2</v>
      </c>
      <c r="AN297" s="45">
        <v>2.2</v>
      </c>
      <c r="AO297" s="45">
        <v>3.3</v>
      </c>
      <c r="AP297" s="45">
        <v>3.2</v>
      </c>
      <c r="AQ297" s="45">
        <v>3</v>
      </c>
      <c r="AR297" s="45">
        <v>3.1</v>
      </c>
      <c r="AS297" s="45">
        <v>0</v>
      </c>
      <c r="AT297" s="45">
        <v>0</v>
      </c>
      <c r="AU297" s="45">
        <v>0</v>
      </c>
      <c r="AV297" s="45">
        <v>0</v>
      </c>
      <c r="AW297" s="45">
        <v>0</v>
      </c>
      <c r="AX297" s="45">
        <v>0</v>
      </c>
      <c r="AY297" s="45">
        <v>0</v>
      </c>
      <c r="AZ297" s="45">
        <v>0</v>
      </c>
      <c r="BA297" s="45">
        <v>0</v>
      </c>
      <c r="BB297" s="45">
        <v>0</v>
      </c>
      <c r="BC297" s="45">
        <v>0</v>
      </c>
      <c r="BD297" s="45">
        <v>0</v>
      </c>
      <c r="BE297" s="45">
        <v>0</v>
      </c>
      <c r="BF297" s="45">
        <v>0</v>
      </c>
      <c r="BG297" s="45">
        <v>0</v>
      </c>
    </row>
    <row r="298" spans="1:59">
      <c r="A298" s="18" t="s">
        <v>130</v>
      </c>
      <c r="B298" s="18" t="s">
        <v>120</v>
      </c>
      <c r="C298" s="18" t="s">
        <v>86</v>
      </c>
      <c r="D298" s="45">
        <v>0</v>
      </c>
      <c r="E298" s="45">
        <v>0</v>
      </c>
      <c r="F298" s="45">
        <v>0</v>
      </c>
      <c r="G298" s="45">
        <v>0</v>
      </c>
      <c r="H298" s="45">
        <v>0</v>
      </c>
      <c r="I298" s="45">
        <v>2.4</v>
      </c>
      <c r="J298" s="45">
        <v>2.6</v>
      </c>
      <c r="K298" s="45">
        <v>4.2</v>
      </c>
      <c r="L298" s="45">
        <v>2.5</v>
      </c>
      <c r="M298" s="45">
        <v>2.8</v>
      </c>
      <c r="N298" s="45">
        <v>3.9</v>
      </c>
      <c r="O298" s="45">
        <v>3.1</v>
      </c>
      <c r="P298" s="45">
        <v>3.2</v>
      </c>
      <c r="Q298" s="45">
        <v>3.8</v>
      </c>
      <c r="R298" s="45">
        <v>2.8</v>
      </c>
      <c r="S298" s="45">
        <v>3.1</v>
      </c>
      <c r="T298" s="45">
        <v>3.4</v>
      </c>
      <c r="U298" s="45">
        <v>3.8</v>
      </c>
      <c r="V298" s="45">
        <v>3</v>
      </c>
      <c r="W298" s="45">
        <v>3.6</v>
      </c>
      <c r="X298" s="45">
        <v>2.5</v>
      </c>
      <c r="Y298" s="45">
        <v>3.3</v>
      </c>
      <c r="Z298" s="45">
        <v>3.9</v>
      </c>
      <c r="AA298" s="45">
        <v>4.4</v>
      </c>
      <c r="AB298" s="45">
        <v>2.4</v>
      </c>
      <c r="AC298" s="45">
        <v>3</v>
      </c>
      <c r="AD298" s="45">
        <v>2.8</v>
      </c>
      <c r="AE298" s="45">
        <v>3</v>
      </c>
      <c r="AF298" s="45">
        <v>2.6</v>
      </c>
      <c r="AG298" s="45">
        <v>3.4</v>
      </c>
      <c r="AH298" s="45">
        <v>3.5</v>
      </c>
      <c r="AI298" s="45">
        <v>3.2</v>
      </c>
      <c r="AJ298" s="45">
        <v>2.8</v>
      </c>
      <c r="AK298" s="45">
        <v>2.7</v>
      </c>
      <c r="AL298" s="45">
        <v>3.5</v>
      </c>
      <c r="AM298" s="45">
        <v>2.7</v>
      </c>
      <c r="AN298" s="45">
        <v>3.9</v>
      </c>
      <c r="AO298" s="45">
        <v>2.2</v>
      </c>
      <c r="AP298" s="45">
        <v>3.2</v>
      </c>
      <c r="AQ298" s="45">
        <v>2.4</v>
      </c>
      <c r="AR298" s="45">
        <v>1.8</v>
      </c>
      <c r="AS298" s="45">
        <v>0</v>
      </c>
      <c r="AT298" s="45">
        <v>0</v>
      </c>
      <c r="AU298" s="45">
        <v>0</v>
      </c>
      <c r="AV298" s="45">
        <v>0</v>
      </c>
      <c r="AW298" s="45">
        <v>0</v>
      </c>
      <c r="AX298" s="45">
        <v>0</v>
      </c>
      <c r="AY298" s="45">
        <v>0</v>
      </c>
      <c r="AZ298" s="45">
        <v>0</v>
      </c>
      <c r="BA298" s="45">
        <v>0</v>
      </c>
      <c r="BB298" s="45">
        <v>0</v>
      </c>
      <c r="BC298" s="45">
        <v>0</v>
      </c>
      <c r="BD298" s="45">
        <v>0</v>
      </c>
      <c r="BE298" s="45">
        <v>0</v>
      </c>
      <c r="BF298" s="45">
        <v>0</v>
      </c>
      <c r="BG298" s="45">
        <v>0</v>
      </c>
    </row>
    <row r="299" spans="1:59">
      <c r="A299" s="18" t="s">
        <v>131</v>
      </c>
      <c r="B299" s="18" t="s">
        <v>120</v>
      </c>
      <c r="C299" s="18" t="s">
        <v>88</v>
      </c>
      <c r="D299" s="45">
        <v>0</v>
      </c>
      <c r="E299" s="45">
        <v>0</v>
      </c>
      <c r="F299" s="45">
        <v>0</v>
      </c>
      <c r="G299" s="45">
        <v>0</v>
      </c>
      <c r="H299" s="45">
        <v>0</v>
      </c>
      <c r="I299" s="45">
        <v>3.9</v>
      </c>
      <c r="J299" s="45">
        <v>4</v>
      </c>
      <c r="K299" s="45">
        <v>4.1</v>
      </c>
      <c r="L299" s="45">
        <v>4.6</v>
      </c>
      <c r="M299" s="45">
        <v>3.9</v>
      </c>
      <c r="N299" s="45">
        <v>3.5</v>
      </c>
      <c r="O299" s="45">
        <v>4.6</v>
      </c>
      <c r="P299" s="45">
        <v>3.5</v>
      </c>
      <c r="Q299" s="45">
        <v>4</v>
      </c>
      <c r="R299" s="45">
        <v>3.2</v>
      </c>
      <c r="S299" s="45">
        <v>3.7</v>
      </c>
      <c r="T299" s="45">
        <v>3.2</v>
      </c>
      <c r="U299" s="45">
        <v>4.2</v>
      </c>
      <c r="V299" s="45">
        <v>2.5</v>
      </c>
      <c r="W299" s="45">
        <v>3.4</v>
      </c>
      <c r="X299" s="45">
        <v>4.7</v>
      </c>
      <c r="Y299" s="45">
        <v>4.7</v>
      </c>
      <c r="Z299" s="45">
        <v>3.6</v>
      </c>
      <c r="AA299" s="45">
        <v>4.7</v>
      </c>
      <c r="AB299" s="45">
        <v>3</v>
      </c>
      <c r="AC299" s="45">
        <v>3</v>
      </c>
      <c r="AD299" s="45">
        <v>3.2</v>
      </c>
      <c r="AE299" s="45">
        <v>3.2</v>
      </c>
      <c r="AF299" s="45">
        <v>2.6</v>
      </c>
      <c r="AG299" s="45">
        <v>2.7</v>
      </c>
      <c r="AH299" s="45">
        <v>4.5</v>
      </c>
      <c r="AI299" s="45">
        <v>3.5</v>
      </c>
      <c r="AJ299" s="45">
        <v>3.5</v>
      </c>
      <c r="AK299" s="45">
        <v>3.1</v>
      </c>
      <c r="AL299" s="45">
        <v>4.3</v>
      </c>
      <c r="AM299" s="45">
        <v>3.1</v>
      </c>
      <c r="AN299" s="45">
        <v>2.7</v>
      </c>
      <c r="AO299" s="45">
        <v>3.1</v>
      </c>
      <c r="AP299" s="45">
        <v>2.9</v>
      </c>
      <c r="AQ299" s="45">
        <v>2.4</v>
      </c>
      <c r="AR299" s="45">
        <v>3.6</v>
      </c>
      <c r="AS299" s="45">
        <v>0</v>
      </c>
      <c r="AT299" s="45">
        <v>0</v>
      </c>
      <c r="AU299" s="45">
        <v>0</v>
      </c>
      <c r="AV299" s="45">
        <v>0</v>
      </c>
      <c r="AW299" s="45">
        <v>0</v>
      </c>
      <c r="AX299" s="45">
        <v>0</v>
      </c>
      <c r="AY299" s="45">
        <v>0</v>
      </c>
      <c r="AZ299" s="45">
        <v>0</v>
      </c>
      <c r="BA299" s="45">
        <v>0</v>
      </c>
      <c r="BB299" s="45">
        <v>0</v>
      </c>
      <c r="BC299" s="45">
        <v>0</v>
      </c>
      <c r="BD299" s="45">
        <v>0</v>
      </c>
      <c r="BE299" s="45">
        <v>0</v>
      </c>
      <c r="BF299" s="45">
        <v>0</v>
      </c>
      <c r="BG299" s="45">
        <v>0</v>
      </c>
    </row>
    <row r="300" spans="1:59">
      <c r="A300" s="18" t="s">
        <v>132</v>
      </c>
      <c r="B300" s="18" t="s">
        <v>120</v>
      </c>
      <c r="C300" s="18" t="s">
        <v>90</v>
      </c>
      <c r="D300" s="45">
        <v>0</v>
      </c>
      <c r="E300" s="45">
        <v>0</v>
      </c>
      <c r="F300" s="45">
        <v>0</v>
      </c>
      <c r="G300" s="45">
        <v>0</v>
      </c>
      <c r="H300" s="45">
        <v>0</v>
      </c>
      <c r="I300" s="45">
        <v>2.5</v>
      </c>
      <c r="J300" s="45">
        <v>4.6</v>
      </c>
      <c r="K300" s="45">
        <v>4.8</v>
      </c>
      <c r="L300" s="45">
        <v>4.1</v>
      </c>
      <c r="M300" s="45">
        <v>3.5</v>
      </c>
      <c r="N300" s="45">
        <v>3.8</v>
      </c>
      <c r="O300" s="45">
        <v>3.1</v>
      </c>
      <c r="P300" s="45">
        <v>3.7</v>
      </c>
      <c r="Q300" s="45">
        <v>4.1</v>
      </c>
      <c r="R300" s="45">
        <v>3.3</v>
      </c>
      <c r="S300" s="45">
        <v>3.2</v>
      </c>
      <c r="T300" s="45">
        <v>3.7</v>
      </c>
      <c r="U300" s="45">
        <v>3.4</v>
      </c>
      <c r="V300" s="45">
        <v>3.1</v>
      </c>
      <c r="W300" s="45">
        <v>3.3</v>
      </c>
      <c r="X300" s="45">
        <v>5</v>
      </c>
      <c r="Y300" s="45">
        <v>4.2</v>
      </c>
      <c r="Z300" s="45">
        <v>4.1</v>
      </c>
      <c r="AA300" s="45">
        <v>5.3</v>
      </c>
      <c r="AB300" s="45">
        <v>4.3</v>
      </c>
      <c r="AC300" s="45">
        <v>3.4</v>
      </c>
      <c r="AD300" s="45">
        <v>4</v>
      </c>
      <c r="AE300" s="45">
        <v>3.1</v>
      </c>
      <c r="AF300" s="45">
        <v>4.3</v>
      </c>
      <c r="AG300" s="45">
        <v>4.4</v>
      </c>
      <c r="AH300" s="45">
        <v>3.4</v>
      </c>
      <c r="AI300" s="45">
        <v>3.5</v>
      </c>
      <c r="AJ300" s="45">
        <v>3.6</v>
      </c>
      <c r="AK300" s="45">
        <v>3.6</v>
      </c>
      <c r="AL300" s="45">
        <v>3.1</v>
      </c>
      <c r="AM300" s="45">
        <v>3.9</v>
      </c>
      <c r="AN300" s="45">
        <v>3</v>
      </c>
      <c r="AO300" s="45">
        <v>4.2</v>
      </c>
      <c r="AP300" s="45">
        <v>3.1</v>
      </c>
      <c r="AQ300" s="45">
        <v>3.3</v>
      </c>
      <c r="AR300" s="45">
        <v>3.7</v>
      </c>
      <c r="AS300" s="45">
        <v>0</v>
      </c>
      <c r="AT300" s="45">
        <v>0</v>
      </c>
      <c r="AU300" s="45">
        <v>0</v>
      </c>
      <c r="AV300" s="45">
        <v>0</v>
      </c>
      <c r="AW300" s="45">
        <v>0</v>
      </c>
      <c r="AX300" s="45">
        <v>0</v>
      </c>
      <c r="AY300" s="45">
        <v>0</v>
      </c>
      <c r="AZ300" s="45">
        <v>0</v>
      </c>
      <c r="BA300" s="45">
        <v>0</v>
      </c>
      <c r="BB300" s="45">
        <v>0</v>
      </c>
      <c r="BC300" s="45">
        <v>0</v>
      </c>
      <c r="BD300" s="45">
        <v>0</v>
      </c>
      <c r="BE300" s="45">
        <v>0</v>
      </c>
      <c r="BF300" s="45">
        <v>0</v>
      </c>
      <c r="BG300" s="45">
        <v>0</v>
      </c>
    </row>
    <row r="301" spans="1:59">
      <c r="A301" s="18" t="s">
        <v>133</v>
      </c>
      <c r="B301" s="18" t="s">
        <v>134</v>
      </c>
      <c r="C301" s="18" t="s">
        <v>66</v>
      </c>
      <c r="D301" s="45">
        <v>0</v>
      </c>
      <c r="E301" s="45">
        <v>0</v>
      </c>
      <c r="F301" s="45">
        <v>0</v>
      </c>
      <c r="G301" s="45">
        <v>0</v>
      </c>
      <c r="H301" s="45">
        <v>6.8</v>
      </c>
      <c r="I301" s="45">
        <v>4.9</v>
      </c>
      <c r="J301" s="45">
        <v>7.2</v>
      </c>
      <c r="K301" s="45">
        <v>7</v>
      </c>
      <c r="L301" s="45">
        <v>7</v>
      </c>
      <c r="M301" s="45">
        <v>6.7</v>
      </c>
      <c r="N301" s="45">
        <v>6.2</v>
      </c>
      <c r="O301" s="45">
        <v>6</v>
      </c>
      <c r="P301" s="45">
        <v>5.8</v>
      </c>
      <c r="Q301" s="45">
        <v>5.7</v>
      </c>
      <c r="R301" s="45">
        <v>6.1</v>
      </c>
      <c r="S301" s="45">
        <v>5.9</v>
      </c>
      <c r="T301" s="45">
        <v>5.9</v>
      </c>
      <c r="U301" s="45">
        <v>6.1</v>
      </c>
      <c r="V301" s="45">
        <v>6.4</v>
      </c>
      <c r="W301" s="45">
        <v>7.2</v>
      </c>
      <c r="X301" s="45">
        <v>7.2</v>
      </c>
      <c r="Y301" s="45">
        <v>6.7</v>
      </c>
      <c r="Z301" s="45">
        <v>6.3</v>
      </c>
      <c r="AA301" s="45">
        <v>6.8</v>
      </c>
      <c r="AB301" s="45">
        <v>6.9</v>
      </c>
      <c r="AC301" s="45">
        <v>6.3</v>
      </c>
      <c r="AD301" s="45">
        <v>5.8</v>
      </c>
      <c r="AE301" s="45">
        <v>5.7</v>
      </c>
      <c r="AF301" s="45">
        <v>5.8</v>
      </c>
      <c r="AG301" s="45">
        <v>6</v>
      </c>
      <c r="AH301" s="45">
        <v>6</v>
      </c>
      <c r="AI301" s="45">
        <v>6</v>
      </c>
      <c r="AJ301" s="45">
        <v>5.9</v>
      </c>
      <c r="AK301" s="45">
        <v>6.1</v>
      </c>
      <c r="AL301" s="45">
        <v>6</v>
      </c>
      <c r="AM301" s="45">
        <v>5.8</v>
      </c>
      <c r="AN301" s="45">
        <v>5.8</v>
      </c>
      <c r="AO301" s="45">
        <v>5.6</v>
      </c>
      <c r="AP301" s="45">
        <v>5.7</v>
      </c>
      <c r="AQ301" s="45">
        <v>6.1</v>
      </c>
      <c r="AR301" s="45">
        <v>7.4</v>
      </c>
      <c r="AS301" s="45">
        <v>9.9</v>
      </c>
      <c r="AT301" s="45">
        <v>0</v>
      </c>
      <c r="AU301" s="45">
        <v>4.2</v>
      </c>
      <c r="AV301" s="45">
        <v>5.9</v>
      </c>
      <c r="AW301" s="45">
        <v>10.2</v>
      </c>
      <c r="AX301" s="45">
        <v>7.4</v>
      </c>
      <c r="AY301" s="45">
        <v>0</v>
      </c>
      <c r="AZ301" s="45">
        <v>0</v>
      </c>
      <c r="BA301" s="45">
        <v>0</v>
      </c>
      <c r="BB301" s="45">
        <v>0</v>
      </c>
      <c r="BC301" s="45">
        <v>0</v>
      </c>
      <c r="BD301" s="45">
        <v>0</v>
      </c>
      <c r="BE301" s="45">
        <v>0</v>
      </c>
      <c r="BF301" s="45">
        <v>0</v>
      </c>
      <c r="BG301" s="45">
        <v>0</v>
      </c>
    </row>
    <row r="302" spans="1:59">
      <c r="A302" s="18" t="s">
        <v>135</v>
      </c>
      <c r="B302" s="18" t="s">
        <v>134</v>
      </c>
      <c r="C302" s="18" t="s">
        <v>68</v>
      </c>
      <c r="D302" s="45">
        <v>0</v>
      </c>
      <c r="E302" s="45">
        <v>0</v>
      </c>
      <c r="F302" s="45">
        <v>0</v>
      </c>
      <c r="G302" s="45">
        <v>0</v>
      </c>
      <c r="H302" s="45">
        <v>0</v>
      </c>
      <c r="I302" s="45">
        <v>6.6</v>
      </c>
      <c r="J302" s="45">
        <v>9.300000000000001</v>
      </c>
      <c r="K302" s="45">
        <v>6.4</v>
      </c>
      <c r="L302" s="45">
        <v>8.199999999999999</v>
      </c>
      <c r="M302" s="45">
        <v>8</v>
      </c>
      <c r="N302" s="45">
        <v>6.8</v>
      </c>
      <c r="O302" s="45">
        <v>6.8</v>
      </c>
      <c r="P302" s="45">
        <v>7.5</v>
      </c>
      <c r="Q302" s="45">
        <v>5.7</v>
      </c>
      <c r="R302" s="45">
        <v>7.6</v>
      </c>
      <c r="S302" s="45">
        <v>7.2</v>
      </c>
      <c r="T302" s="45">
        <v>7.8</v>
      </c>
      <c r="U302" s="45">
        <v>6.6</v>
      </c>
      <c r="V302" s="45">
        <v>6.4</v>
      </c>
      <c r="W302" s="45">
        <v>7.5</v>
      </c>
      <c r="X302" s="45">
        <v>8.300000000000001</v>
      </c>
      <c r="Y302" s="45">
        <v>7.6</v>
      </c>
      <c r="Z302" s="45">
        <v>6.7</v>
      </c>
      <c r="AA302" s="45">
        <v>8.699999999999999</v>
      </c>
      <c r="AB302" s="45">
        <v>7.9</v>
      </c>
      <c r="AC302" s="45">
        <v>7.3</v>
      </c>
      <c r="AD302" s="45">
        <v>6.8</v>
      </c>
      <c r="AE302" s="45">
        <v>5.8</v>
      </c>
      <c r="AF302" s="45">
        <v>6.4</v>
      </c>
      <c r="AG302" s="45">
        <v>6.7</v>
      </c>
      <c r="AH302" s="45">
        <v>5.8</v>
      </c>
      <c r="AI302" s="45">
        <v>6</v>
      </c>
      <c r="AJ302" s="45">
        <v>6.2</v>
      </c>
      <c r="AK302" s="45">
        <v>6.6</v>
      </c>
      <c r="AL302" s="45">
        <v>6.6</v>
      </c>
      <c r="AM302" s="45">
        <v>6</v>
      </c>
      <c r="AN302" s="45">
        <v>7</v>
      </c>
      <c r="AO302" s="45">
        <v>5.7</v>
      </c>
      <c r="AP302" s="45">
        <v>5.4</v>
      </c>
      <c r="AQ302" s="45">
        <v>6.2</v>
      </c>
      <c r="AR302" s="45">
        <v>6.7</v>
      </c>
      <c r="AS302" s="45">
        <v>0</v>
      </c>
      <c r="AT302" s="45">
        <v>0</v>
      </c>
      <c r="AU302" s="45">
        <v>0</v>
      </c>
      <c r="AV302" s="45">
        <v>0</v>
      </c>
      <c r="AW302" s="45">
        <v>0</v>
      </c>
      <c r="AX302" s="45">
        <v>0</v>
      </c>
      <c r="AY302" s="45">
        <v>0</v>
      </c>
      <c r="AZ302" s="45">
        <v>0</v>
      </c>
      <c r="BA302" s="45">
        <v>0</v>
      </c>
      <c r="BB302" s="45">
        <v>0</v>
      </c>
      <c r="BC302" s="45">
        <v>0</v>
      </c>
      <c r="BD302" s="45">
        <v>0</v>
      </c>
      <c r="BE302" s="45">
        <v>0</v>
      </c>
      <c r="BF302" s="45">
        <v>0</v>
      </c>
      <c r="BG302" s="45">
        <v>0</v>
      </c>
    </row>
    <row r="303" spans="1:59">
      <c r="A303" s="18" t="s">
        <v>136</v>
      </c>
      <c r="B303" s="18" t="s">
        <v>134</v>
      </c>
      <c r="C303" s="18" t="s">
        <v>70</v>
      </c>
      <c r="D303" s="45">
        <v>0</v>
      </c>
      <c r="E303" s="45">
        <v>0</v>
      </c>
      <c r="F303" s="45">
        <v>0</v>
      </c>
      <c r="G303" s="45">
        <v>0</v>
      </c>
      <c r="H303" s="45">
        <v>0</v>
      </c>
      <c r="I303" s="45">
        <v>4.7</v>
      </c>
      <c r="J303" s="45">
        <v>6.8</v>
      </c>
      <c r="K303" s="45">
        <v>8.5</v>
      </c>
      <c r="L303" s="45">
        <v>6.5</v>
      </c>
      <c r="M303" s="45">
        <v>7.5</v>
      </c>
      <c r="N303" s="45">
        <v>6.5</v>
      </c>
      <c r="O303" s="45">
        <v>6.7</v>
      </c>
      <c r="P303" s="45">
        <v>6.3</v>
      </c>
      <c r="Q303" s="45">
        <v>6.1</v>
      </c>
      <c r="R303" s="45">
        <v>6.7</v>
      </c>
      <c r="S303" s="45">
        <v>7</v>
      </c>
      <c r="T303" s="45">
        <v>6.5</v>
      </c>
      <c r="U303" s="45">
        <v>6.5</v>
      </c>
      <c r="V303" s="45">
        <v>7.3</v>
      </c>
      <c r="W303" s="45">
        <v>7.6</v>
      </c>
      <c r="X303" s="45">
        <v>6.8</v>
      </c>
      <c r="Y303" s="45">
        <v>7.9</v>
      </c>
      <c r="Z303" s="45">
        <v>6.8</v>
      </c>
      <c r="AA303" s="45">
        <v>7.8</v>
      </c>
      <c r="AB303" s="45">
        <v>7.4</v>
      </c>
      <c r="AC303" s="45">
        <v>6.4</v>
      </c>
      <c r="AD303" s="45">
        <v>6.4</v>
      </c>
      <c r="AE303" s="45">
        <v>6.6</v>
      </c>
      <c r="AF303" s="45">
        <v>7.2</v>
      </c>
      <c r="AG303" s="45">
        <v>6.5</v>
      </c>
      <c r="AH303" s="45">
        <v>6.4</v>
      </c>
      <c r="AI303" s="45">
        <v>5.9</v>
      </c>
      <c r="AJ303" s="45">
        <v>6.1</v>
      </c>
      <c r="AK303" s="45">
        <v>6.9</v>
      </c>
      <c r="AL303" s="45">
        <v>6.5</v>
      </c>
      <c r="AM303" s="45">
        <v>6.4</v>
      </c>
      <c r="AN303" s="45">
        <v>6.3</v>
      </c>
      <c r="AO303" s="45">
        <v>5.8</v>
      </c>
      <c r="AP303" s="45">
        <v>6.2</v>
      </c>
      <c r="AQ303" s="45">
        <v>5.7</v>
      </c>
      <c r="AR303" s="45">
        <v>8.300000000000001</v>
      </c>
      <c r="AS303" s="45">
        <v>0</v>
      </c>
      <c r="AT303" s="45">
        <v>0</v>
      </c>
      <c r="AU303" s="45">
        <v>0</v>
      </c>
      <c r="AV303" s="45">
        <v>0</v>
      </c>
      <c r="AW303" s="45">
        <v>0</v>
      </c>
      <c r="AX303" s="45">
        <v>0</v>
      </c>
      <c r="AY303" s="45">
        <v>0</v>
      </c>
      <c r="AZ303" s="45">
        <v>0</v>
      </c>
      <c r="BA303" s="45">
        <v>0</v>
      </c>
      <c r="BB303" s="45">
        <v>0</v>
      </c>
      <c r="BC303" s="45">
        <v>0</v>
      </c>
      <c r="BD303" s="45">
        <v>0</v>
      </c>
      <c r="BE303" s="45">
        <v>0</v>
      </c>
      <c r="BF303" s="45">
        <v>0</v>
      </c>
      <c r="BG303" s="45">
        <v>0</v>
      </c>
    </row>
    <row r="304" spans="1:59">
      <c r="A304" s="18" t="s">
        <v>137</v>
      </c>
      <c r="B304" s="18" t="s">
        <v>134</v>
      </c>
      <c r="C304" s="18" t="s">
        <v>72</v>
      </c>
      <c r="D304" s="45">
        <v>0</v>
      </c>
      <c r="E304" s="45">
        <v>0</v>
      </c>
      <c r="F304" s="45">
        <v>0</v>
      </c>
      <c r="G304" s="45">
        <v>0</v>
      </c>
      <c r="H304" s="45">
        <v>0</v>
      </c>
      <c r="I304" s="45">
        <v>4.2</v>
      </c>
      <c r="J304" s="45">
        <v>8</v>
      </c>
      <c r="K304" s="45">
        <v>7.8</v>
      </c>
      <c r="L304" s="45">
        <v>8.199999999999999</v>
      </c>
      <c r="M304" s="45">
        <v>7.2</v>
      </c>
      <c r="N304" s="45">
        <v>7.1</v>
      </c>
      <c r="O304" s="45">
        <v>6.2</v>
      </c>
      <c r="P304" s="45">
        <v>5.5</v>
      </c>
      <c r="Q304" s="45">
        <v>6.8</v>
      </c>
      <c r="R304" s="45">
        <v>7.4</v>
      </c>
      <c r="S304" s="45">
        <v>6.3</v>
      </c>
      <c r="T304" s="45">
        <v>6.7</v>
      </c>
      <c r="U304" s="45">
        <v>6.3</v>
      </c>
      <c r="V304" s="45">
        <v>6.7</v>
      </c>
      <c r="W304" s="45">
        <v>8.199999999999999</v>
      </c>
      <c r="X304" s="45">
        <v>9.4</v>
      </c>
      <c r="Y304" s="45">
        <v>8.6</v>
      </c>
      <c r="Z304" s="45">
        <v>6.8</v>
      </c>
      <c r="AA304" s="45">
        <v>8.5</v>
      </c>
      <c r="AB304" s="45">
        <v>7.9</v>
      </c>
      <c r="AC304" s="45">
        <v>6.4</v>
      </c>
      <c r="AD304" s="45">
        <v>6.2</v>
      </c>
      <c r="AE304" s="45">
        <v>6.7</v>
      </c>
      <c r="AF304" s="45">
        <v>6.6</v>
      </c>
      <c r="AG304" s="45">
        <v>6.7</v>
      </c>
      <c r="AH304" s="45">
        <v>7</v>
      </c>
      <c r="AI304" s="45">
        <v>7.6</v>
      </c>
      <c r="AJ304" s="45">
        <v>7.3</v>
      </c>
      <c r="AK304" s="45">
        <v>6.4</v>
      </c>
      <c r="AL304" s="45">
        <v>6.7</v>
      </c>
      <c r="AM304" s="45">
        <v>7</v>
      </c>
      <c r="AN304" s="45">
        <v>6.2</v>
      </c>
      <c r="AO304" s="45">
        <v>6.6</v>
      </c>
      <c r="AP304" s="45">
        <v>6.8</v>
      </c>
      <c r="AQ304" s="45">
        <v>6.7</v>
      </c>
      <c r="AR304" s="45">
        <v>9.1</v>
      </c>
      <c r="AS304" s="45">
        <v>0</v>
      </c>
      <c r="AT304" s="45">
        <v>0</v>
      </c>
      <c r="AU304" s="45">
        <v>0</v>
      </c>
      <c r="AV304" s="45">
        <v>0</v>
      </c>
      <c r="AW304" s="45">
        <v>0</v>
      </c>
      <c r="AX304" s="45">
        <v>0</v>
      </c>
      <c r="AY304" s="45">
        <v>0</v>
      </c>
      <c r="AZ304" s="45">
        <v>0</v>
      </c>
      <c r="BA304" s="45">
        <v>0</v>
      </c>
      <c r="BB304" s="45">
        <v>0</v>
      </c>
      <c r="BC304" s="45">
        <v>0</v>
      </c>
      <c r="BD304" s="45">
        <v>0</v>
      </c>
      <c r="BE304" s="45">
        <v>0</v>
      </c>
      <c r="BF304" s="45">
        <v>0</v>
      </c>
      <c r="BG304" s="45">
        <v>0</v>
      </c>
    </row>
    <row r="305" spans="1:59">
      <c r="A305" s="18" t="s">
        <v>138</v>
      </c>
      <c r="B305" s="18" t="s">
        <v>134</v>
      </c>
      <c r="C305" s="18" t="s">
        <v>74</v>
      </c>
      <c r="D305" s="45">
        <v>0</v>
      </c>
      <c r="E305" s="45">
        <v>0</v>
      </c>
      <c r="F305" s="45">
        <v>0</v>
      </c>
      <c r="G305" s="45">
        <v>0</v>
      </c>
      <c r="H305" s="45">
        <v>0</v>
      </c>
      <c r="I305" s="45">
        <v>4.9</v>
      </c>
      <c r="J305" s="45">
        <v>7.4</v>
      </c>
      <c r="K305" s="45">
        <v>7.5</v>
      </c>
      <c r="L305" s="45">
        <v>7.9</v>
      </c>
      <c r="M305" s="45">
        <v>7.7</v>
      </c>
      <c r="N305" s="45">
        <v>8</v>
      </c>
      <c r="O305" s="45">
        <v>7.4</v>
      </c>
      <c r="P305" s="45">
        <v>7.1</v>
      </c>
      <c r="Q305" s="45">
        <v>7</v>
      </c>
      <c r="R305" s="45">
        <v>6.7</v>
      </c>
      <c r="S305" s="45">
        <v>6.9</v>
      </c>
      <c r="T305" s="45">
        <v>6.6</v>
      </c>
      <c r="U305" s="45">
        <v>8.4</v>
      </c>
      <c r="V305" s="45">
        <v>7.4</v>
      </c>
      <c r="W305" s="45">
        <v>8.5</v>
      </c>
      <c r="X305" s="45">
        <v>7.5</v>
      </c>
      <c r="Y305" s="45">
        <v>7.1</v>
      </c>
      <c r="Z305" s="45">
        <v>9.4</v>
      </c>
      <c r="AA305" s="45">
        <v>7.3</v>
      </c>
      <c r="AB305" s="45">
        <v>8.9</v>
      </c>
      <c r="AC305" s="45">
        <v>6.6</v>
      </c>
      <c r="AD305" s="45">
        <v>7.1</v>
      </c>
      <c r="AE305" s="45">
        <v>6.4</v>
      </c>
      <c r="AF305" s="45">
        <v>6.6</v>
      </c>
      <c r="AG305" s="45">
        <v>8</v>
      </c>
      <c r="AH305" s="45">
        <v>6.5</v>
      </c>
      <c r="AI305" s="45">
        <v>6.7</v>
      </c>
      <c r="AJ305" s="45">
        <v>7.9</v>
      </c>
      <c r="AK305" s="45">
        <v>7.6</v>
      </c>
      <c r="AL305" s="45">
        <v>6.8</v>
      </c>
      <c r="AM305" s="45">
        <v>6.9</v>
      </c>
      <c r="AN305" s="45">
        <v>7</v>
      </c>
      <c r="AO305" s="45">
        <v>6.5</v>
      </c>
      <c r="AP305" s="45">
        <v>7</v>
      </c>
      <c r="AQ305" s="45">
        <v>6.5</v>
      </c>
      <c r="AR305" s="45">
        <v>11.3</v>
      </c>
      <c r="AS305" s="45">
        <v>0</v>
      </c>
      <c r="AT305" s="45">
        <v>0</v>
      </c>
      <c r="AU305" s="45">
        <v>0</v>
      </c>
      <c r="AV305" s="45">
        <v>0</v>
      </c>
      <c r="AW305" s="45">
        <v>0</v>
      </c>
      <c r="AX305" s="45">
        <v>0</v>
      </c>
      <c r="AY305" s="45">
        <v>0</v>
      </c>
      <c r="AZ305" s="45">
        <v>0</v>
      </c>
      <c r="BA305" s="45">
        <v>0</v>
      </c>
      <c r="BB305" s="45">
        <v>0</v>
      </c>
      <c r="BC305" s="45">
        <v>0</v>
      </c>
      <c r="BD305" s="45">
        <v>0</v>
      </c>
      <c r="BE305" s="45">
        <v>0</v>
      </c>
      <c r="BF305" s="45">
        <v>0</v>
      </c>
      <c r="BG305" s="45">
        <v>0</v>
      </c>
    </row>
    <row r="306" spans="1:59">
      <c r="A306" s="18" t="s">
        <v>139</v>
      </c>
      <c r="B306" s="18" t="s">
        <v>134</v>
      </c>
      <c r="C306" s="18" t="s">
        <v>76</v>
      </c>
      <c r="D306" s="45">
        <v>0</v>
      </c>
      <c r="E306" s="45">
        <v>0</v>
      </c>
      <c r="F306" s="45">
        <v>0</v>
      </c>
      <c r="G306" s="45">
        <v>0</v>
      </c>
      <c r="H306" s="45">
        <v>0</v>
      </c>
      <c r="I306" s="45">
        <v>4.3</v>
      </c>
      <c r="J306" s="45">
        <v>7.8</v>
      </c>
      <c r="K306" s="45">
        <v>7.3</v>
      </c>
      <c r="L306" s="45">
        <v>7.2</v>
      </c>
      <c r="M306" s="45">
        <v>7.9</v>
      </c>
      <c r="N306" s="45">
        <v>7.6</v>
      </c>
      <c r="O306" s="45">
        <v>7.2</v>
      </c>
      <c r="P306" s="45">
        <v>5.6</v>
      </c>
      <c r="Q306" s="45">
        <v>6.9</v>
      </c>
      <c r="R306" s="45">
        <v>6</v>
      </c>
      <c r="S306" s="45">
        <v>7.1</v>
      </c>
      <c r="T306" s="45">
        <v>7</v>
      </c>
      <c r="U306" s="45">
        <v>7.1</v>
      </c>
      <c r="V306" s="45">
        <v>6</v>
      </c>
      <c r="W306" s="45">
        <v>8.199999999999999</v>
      </c>
      <c r="X306" s="45">
        <v>9.6</v>
      </c>
      <c r="Y306" s="45">
        <v>7.7</v>
      </c>
      <c r="Z306" s="45">
        <v>8.6</v>
      </c>
      <c r="AA306" s="45">
        <v>9.4</v>
      </c>
      <c r="AB306" s="45">
        <v>8.6</v>
      </c>
      <c r="AC306" s="45">
        <v>7.3</v>
      </c>
      <c r="AD306" s="45">
        <v>7.1</v>
      </c>
      <c r="AE306" s="45">
        <v>6.5</v>
      </c>
      <c r="AF306" s="45">
        <v>6.6</v>
      </c>
      <c r="AG306" s="45">
        <v>6.6</v>
      </c>
      <c r="AH306" s="45">
        <v>7.1</v>
      </c>
      <c r="AI306" s="45">
        <v>8</v>
      </c>
      <c r="AJ306" s="45">
        <v>6.6</v>
      </c>
      <c r="AK306" s="45">
        <v>6.4</v>
      </c>
      <c r="AL306" s="45">
        <v>7.5</v>
      </c>
      <c r="AM306" s="45">
        <v>7</v>
      </c>
      <c r="AN306" s="45">
        <v>6.1</v>
      </c>
      <c r="AO306" s="45">
        <v>6.5</v>
      </c>
      <c r="AP306" s="45">
        <v>6.2</v>
      </c>
      <c r="AQ306" s="45">
        <v>7.7</v>
      </c>
      <c r="AR306" s="45">
        <v>8.9</v>
      </c>
      <c r="AS306" s="45">
        <v>0</v>
      </c>
      <c r="AT306" s="45">
        <v>0</v>
      </c>
      <c r="AU306" s="45">
        <v>0</v>
      </c>
      <c r="AV306" s="45">
        <v>0</v>
      </c>
      <c r="AW306" s="45">
        <v>0</v>
      </c>
      <c r="AX306" s="45">
        <v>0</v>
      </c>
      <c r="AY306" s="45">
        <v>0</v>
      </c>
      <c r="AZ306" s="45">
        <v>0</v>
      </c>
      <c r="BA306" s="45">
        <v>0</v>
      </c>
      <c r="BB306" s="45">
        <v>0</v>
      </c>
      <c r="BC306" s="45">
        <v>0</v>
      </c>
      <c r="BD306" s="45">
        <v>0</v>
      </c>
      <c r="BE306" s="45">
        <v>0</v>
      </c>
      <c r="BF306" s="45">
        <v>0</v>
      </c>
      <c r="BG306" s="45">
        <v>0</v>
      </c>
    </row>
    <row r="307" spans="1:59">
      <c r="A307" s="18" t="s">
        <v>140</v>
      </c>
      <c r="B307" s="18" t="s">
        <v>134</v>
      </c>
      <c r="C307" s="18" t="s">
        <v>78</v>
      </c>
      <c r="D307" s="45">
        <v>0</v>
      </c>
      <c r="E307" s="45">
        <v>0</v>
      </c>
      <c r="F307" s="45">
        <v>0</v>
      </c>
      <c r="G307" s="45">
        <v>0</v>
      </c>
      <c r="H307" s="45">
        <v>0</v>
      </c>
      <c r="I307" s="45">
        <v>4.7</v>
      </c>
      <c r="J307" s="45">
        <v>8.699999999999999</v>
      </c>
      <c r="K307" s="45">
        <v>8.9</v>
      </c>
      <c r="L307" s="45">
        <v>6.9</v>
      </c>
      <c r="M307" s="45">
        <v>7</v>
      </c>
      <c r="N307" s="45">
        <v>6.7</v>
      </c>
      <c r="O307" s="45">
        <v>6.6</v>
      </c>
      <c r="P307" s="45">
        <v>7.4</v>
      </c>
      <c r="Q307" s="45">
        <v>6.6</v>
      </c>
      <c r="R307" s="45">
        <v>7.4</v>
      </c>
      <c r="S307" s="45">
        <v>7.9</v>
      </c>
      <c r="T307" s="45">
        <v>5.9</v>
      </c>
      <c r="U307" s="45">
        <v>7.8</v>
      </c>
      <c r="V307" s="45">
        <v>8.6</v>
      </c>
      <c r="W307" s="45">
        <v>9.9</v>
      </c>
      <c r="X307" s="45">
        <v>7.6</v>
      </c>
      <c r="Y307" s="45">
        <v>8.1</v>
      </c>
      <c r="Z307" s="45">
        <v>7.2</v>
      </c>
      <c r="AA307" s="45">
        <v>8.800000000000001</v>
      </c>
      <c r="AB307" s="45">
        <v>8.699999999999999</v>
      </c>
      <c r="AC307" s="45">
        <v>8.800000000000001</v>
      </c>
      <c r="AD307" s="45">
        <v>6.5</v>
      </c>
      <c r="AE307" s="45">
        <v>8.199999999999999</v>
      </c>
      <c r="AF307" s="45">
        <v>7.1</v>
      </c>
      <c r="AG307" s="45">
        <v>6.5</v>
      </c>
      <c r="AH307" s="45">
        <v>6.5</v>
      </c>
      <c r="AI307" s="45">
        <v>6.8</v>
      </c>
      <c r="AJ307" s="45">
        <v>6.9</v>
      </c>
      <c r="AK307" s="45">
        <v>7.1</v>
      </c>
      <c r="AL307" s="45">
        <v>7.5</v>
      </c>
      <c r="AM307" s="45">
        <v>6.8</v>
      </c>
      <c r="AN307" s="45">
        <v>6.3</v>
      </c>
      <c r="AO307" s="45">
        <v>6.6</v>
      </c>
      <c r="AP307" s="45">
        <v>6.3</v>
      </c>
      <c r="AQ307" s="45">
        <v>7.8</v>
      </c>
      <c r="AR307" s="45">
        <v>8.5</v>
      </c>
      <c r="AS307" s="45">
        <v>0</v>
      </c>
      <c r="AT307" s="45">
        <v>0</v>
      </c>
      <c r="AU307" s="45">
        <v>0</v>
      </c>
      <c r="AV307" s="45">
        <v>0</v>
      </c>
      <c r="AW307" s="45">
        <v>0</v>
      </c>
      <c r="AX307" s="45">
        <v>0</v>
      </c>
      <c r="AY307" s="45">
        <v>0</v>
      </c>
      <c r="AZ307" s="45">
        <v>0</v>
      </c>
      <c r="BA307" s="45">
        <v>0</v>
      </c>
      <c r="BB307" s="45">
        <v>0</v>
      </c>
      <c r="BC307" s="45">
        <v>0</v>
      </c>
      <c r="BD307" s="45">
        <v>0</v>
      </c>
      <c r="BE307" s="45">
        <v>0</v>
      </c>
      <c r="BF307" s="45">
        <v>0</v>
      </c>
      <c r="BG307" s="45">
        <v>0</v>
      </c>
    </row>
    <row r="308" spans="1:59">
      <c r="A308" s="18" t="s">
        <v>141</v>
      </c>
      <c r="B308" s="18" t="s">
        <v>134</v>
      </c>
      <c r="C308" s="18" t="s">
        <v>80</v>
      </c>
      <c r="D308" s="45">
        <v>0</v>
      </c>
      <c r="E308" s="45">
        <v>0</v>
      </c>
      <c r="F308" s="45">
        <v>0</v>
      </c>
      <c r="G308" s="45">
        <v>0</v>
      </c>
      <c r="H308" s="45">
        <v>0</v>
      </c>
      <c r="I308" s="45">
        <v>8.5</v>
      </c>
      <c r="J308" s="45">
        <v>8.800000000000001</v>
      </c>
      <c r="K308" s="45">
        <v>7.9</v>
      </c>
      <c r="L308" s="45">
        <v>8.800000000000001</v>
      </c>
      <c r="M308" s="45">
        <v>7.9</v>
      </c>
      <c r="N308" s="45">
        <v>7.8</v>
      </c>
      <c r="O308" s="45">
        <v>6.7</v>
      </c>
      <c r="P308" s="45">
        <v>6.4</v>
      </c>
      <c r="Q308" s="45">
        <v>6.3</v>
      </c>
      <c r="R308" s="45">
        <v>7.5</v>
      </c>
      <c r="S308" s="45">
        <v>5.8</v>
      </c>
      <c r="T308" s="45">
        <v>6.2</v>
      </c>
      <c r="U308" s="45">
        <v>6.4</v>
      </c>
      <c r="V308" s="45">
        <v>7.7</v>
      </c>
      <c r="W308" s="45">
        <v>7.6</v>
      </c>
      <c r="X308" s="45">
        <v>10</v>
      </c>
      <c r="Y308" s="45">
        <v>7.6</v>
      </c>
      <c r="Z308" s="45">
        <v>8.800000000000001</v>
      </c>
      <c r="AA308" s="45">
        <v>7.6</v>
      </c>
      <c r="AB308" s="45">
        <v>8.800000000000001</v>
      </c>
      <c r="AC308" s="45">
        <v>7.3</v>
      </c>
      <c r="AD308" s="45">
        <v>7</v>
      </c>
      <c r="AE308" s="45">
        <v>6.2</v>
      </c>
      <c r="AF308" s="45">
        <v>6.7</v>
      </c>
      <c r="AG308" s="45">
        <v>7.5</v>
      </c>
      <c r="AH308" s="45">
        <v>7.4</v>
      </c>
      <c r="AI308" s="45">
        <v>7.2</v>
      </c>
      <c r="AJ308" s="45">
        <v>7.1</v>
      </c>
      <c r="AK308" s="45">
        <v>5.9</v>
      </c>
      <c r="AL308" s="45">
        <v>6.7</v>
      </c>
      <c r="AM308" s="45">
        <v>6.9</v>
      </c>
      <c r="AN308" s="45">
        <v>8.199999999999999</v>
      </c>
      <c r="AO308" s="45">
        <v>6.1</v>
      </c>
      <c r="AP308" s="45">
        <v>6.1</v>
      </c>
      <c r="AQ308" s="45">
        <v>6.7</v>
      </c>
      <c r="AR308" s="45">
        <v>7.5</v>
      </c>
      <c r="AS308" s="45">
        <v>0</v>
      </c>
      <c r="AT308" s="45">
        <v>0</v>
      </c>
      <c r="AU308" s="45">
        <v>0</v>
      </c>
      <c r="AV308" s="45">
        <v>0</v>
      </c>
      <c r="AW308" s="45">
        <v>0</v>
      </c>
      <c r="AX308" s="45">
        <v>0</v>
      </c>
      <c r="AY308" s="45">
        <v>0</v>
      </c>
      <c r="AZ308" s="45">
        <v>0</v>
      </c>
      <c r="BA308" s="45">
        <v>0</v>
      </c>
      <c r="BB308" s="45">
        <v>0</v>
      </c>
      <c r="BC308" s="45">
        <v>0</v>
      </c>
      <c r="BD308" s="45">
        <v>0</v>
      </c>
      <c r="BE308" s="45">
        <v>0</v>
      </c>
      <c r="BF308" s="45">
        <v>0</v>
      </c>
      <c r="BG308" s="45">
        <v>0</v>
      </c>
    </row>
    <row r="309" spans="1:59">
      <c r="A309" s="18" t="s">
        <v>142</v>
      </c>
      <c r="B309" s="18" t="s">
        <v>134</v>
      </c>
      <c r="C309" s="18" t="s">
        <v>82</v>
      </c>
      <c r="D309" s="45">
        <v>0</v>
      </c>
      <c r="E309" s="45">
        <v>0</v>
      </c>
      <c r="F309" s="45">
        <v>0</v>
      </c>
      <c r="G309" s="45">
        <v>0</v>
      </c>
      <c r="H309" s="45">
        <v>0</v>
      </c>
      <c r="I309" s="45">
        <v>5.8</v>
      </c>
      <c r="J309" s="45">
        <v>8.4</v>
      </c>
      <c r="K309" s="45">
        <v>9.5</v>
      </c>
      <c r="L309" s="45">
        <v>7.9</v>
      </c>
      <c r="M309" s="45">
        <v>6.5</v>
      </c>
      <c r="N309" s="45">
        <v>6.3</v>
      </c>
      <c r="O309" s="45">
        <v>7.2</v>
      </c>
      <c r="P309" s="45">
        <v>5.6</v>
      </c>
      <c r="Q309" s="45">
        <v>6</v>
      </c>
      <c r="R309" s="45">
        <v>6.4</v>
      </c>
      <c r="S309" s="45">
        <v>5.6</v>
      </c>
      <c r="T309" s="45">
        <v>6</v>
      </c>
      <c r="U309" s="45">
        <v>6.6</v>
      </c>
      <c r="V309" s="45">
        <v>7.4</v>
      </c>
      <c r="W309" s="45">
        <v>8.1</v>
      </c>
      <c r="X309" s="45">
        <v>8.6</v>
      </c>
      <c r="Y309" s="45">
        <v>5.9</v>
      </c>
      <c r="Z309" s="45">
        <v>6.3</v>
      </c>
      <c r="AA309" s="45">
        <v>7.5</v>
      </c>
      <c r="AB309" s="45">
        <v>6.8</v>
      </c>
      <c r="AC309" s="45">
        <v>6.6</v>
      </c>
      <c r="AD309" s="45">
        <v>6.8</v>
      </c>
      <c r="AE309" s="45">
        <v>6.1</v>
      </c>
      <c r="AF309" s="45">
        <v>5.8</v>
      </c>
      <c r="AG309" s="45">
        <v>5.6</v>
      </c>
      <c r="AH309" s="45">
        <v>6.4</v>
      </c>
      <c r="AI309" s="45">
        <v>6.3</v>
      </c>
      <c r="AJ309" s="45">
        <v>5.7</v>
      </c>
      <c r="AK309" s="45">
        <v>7.2</v>
      </c>
      <c r="AL309" s="45">
        <v>5.9</v>
      </c>
      <c r="AM309" s="45">
        <v>5.7</v>
      </c>
      <c r="AN309" s="45">
        <v>5.2</v>
      </c>
      <c r="AO309" s="45">
        <v>5.9</v>
      </c>
      <c r="AP309" s="45">
        <v>5.9</v>
      </c>
      <c r="AQ309" s="45">
        <v>6.3</v>
      </c>
      <c r="AR309" s="45">
        <v>8.6</v>
      </c>
      <c r="AS309" s="45">
        <v>0</v>
      </c>
      <c r="AT309" s="45">
        <v>0</v>
      </c>
      <c r="AU309" s="45">
        <v>0</v>
      </c>
      <c r="AV309" s="45">
        <v>0</v>
      </c>
      <c r="AW309" s="45">
        <v>0</v>
      </c>
      <c r="AX309" s="45">
        <v>0</v>
      </c>
      <c r="AY309" s="45">
        <v>0</v>
      </c>
      <c r="AZ309" s="45">
        <v>0</v>
      </c>
      <c r="BA309" s="45">
        <v>0</v>
      </c>
      <c r="BB309" s="45">
        <v>0</v>
      </c>
      <c r="BC309" s="45">
        <v>0</v>
      </c>
      <c r="BD309" s="45">
        <v>0</v>
      </c>
      <c r="BE309" s="45">
        <v>0</v>
      </c>
      <c r="BF309" s="45">
        <v>0</v>
      </c>
      <c r="BG309" s="45">
        <v>0</v>
      </c>
    </row>
    <row r="310" spans="1:59">
      <c r="A310" s="18" t="s">
        <v>143</v>
      </c>
      <c r="B310" s="18" t="s">
        <v>134</v>
      </c>
      <c r="C310" s="18" t="s">
        <v>84</v>
      </c>
      <c r="D310" s="45">
        <v>0</v>
      </c>
      <c r="E310" s="45">
        <v>0</v>
      </c>
      <c r="F310" s="45">
        <v>0</v>
      </c>
      <c r="G310" s="45">
        <v>0</v>
      </c>
      <c r="H310" s="45">
        <v>0</v>
      </c>
      <c r="I310" s="45">
        <v>5.8</v>
      </c>
      <c r="J310" s="45">
        <v>8.6</v>
      </c>
      <c r="K310" s="45">
        <v>10.1</v>
      </c>
      <c r="L310" s="45">
        <v>9.300000000000001</v>
      </c>
      <c r="M310" s="45">
        <v>8</v>
      </c>
      <c r="N310" s="45">
        <v>6.8</v>
      </c>
      <c r="O310" s="45">
        <v>6.9</v>
      </c>
      <c r="P310" s="45">
        <v>7.5</v>
      </c>
      <c r="Q310" s="45">
        <v>6.1</v>
      </c>
      <c r="R310" s="45">
        <v>6.7</v>
      </c>
      <c r="S310" s="45">
        <v>6</v>
      </c>
      <c r="T310" s="45">
        <v>7.3</v>
      </c>
      <c r="U310" s="45">
        <v>7.2</v>
      </c>
      <c r="V310" s="45">
        <v>8</v>
      </c>
      <c r="W310" s="45">
        <v>8.199999999999999</v>
      </c>
      <c r="X310" s="45">
        <v>7.8</v>
      </c>
      <c r="Y310" s="45">
        <v>9.1</v>
      </c>
      <c r="Z310" s="45">
        <v>6.2</v>
      </c>
      <c r="AA310" s="45">
        <v>7.3</v>
      </c>
      <c r="AB310" s="45">
        <v>7.6</v>
      </c>
      <c r="AC310" s="45">
        <v>8.300000000000001</v>
      </c>
      <c r="AD310" s="45">
        <v>6.6</v>
      </c>
      <c r="AE310" s="45">
        <v>6.2</v>
      </c>
      <c r="AF310" s="45">
        <v>6.6</v>
      </c>
      <c r="AG310" s="45">
        <v>6.9</v>
      </c>
      <c r="AH310" s="45">
        <v>7.7</v>
      </c>
      <c r="AI310" s="45">
        <v>6.6</v>
      </c>
      <c r="AJ310" s="45">
        <v>5.8</v>
      </c>
      <c r="AK310" s="45">
        <v>6.9</v>
      </c>
      <c r="AL310" s="45">
        <v>6.4</v>
      </c>
      <c r="AM310" s="45">
        <v>6</v>
      </c>
      <c r="AN310" s="45">
        <v>6.1</v>
      </c>
      <c r="AO310" s="45">
        <v>5.4</v>
      </c>
      <c r="AP310" s="45">
        <v>5.3</v>
      </c>
      <c r="AQ310" s="45">
        <v>6.3</v>
      </c>
      <c r="AR310" s="45">
        <v>8</v>
      </c>
      <c r="AS310" s="45">
        <v>0</v>
      </c>
      <c r="AT310" s="45">
        <v>0</v>
      </c>
      <c r="AU310" s="45">
        <v>0</v>
      </c>
      <c r="AV310" s="45">
        <v>0</v>
      </c>
      <c r="AW310" s="45">
        <v>0</v>
      </c>
      <c r="AX310" s="45">
        <v>0</v>
      </c>
      <c r="AY310" s="45">
        <v>0</v>
      </c>
      <c r="AZ310" s="45">
        <v>0</v>
      </c>
      <c r="BA310" s="45">
        <v>0</v>
      </c>
      <c r="BB310" s="45">
        <v>0</v>
      </c>
      <c r="BC310" s="45">
        <v>0</v>
      </c>
      <c r="BD310" s="45">
        <v>0</v>
      </c>
      <c r="BE310" s="45">
        <v>0</v>
      </c>
      <c r="BF310" s="45">
        <v>0</v>
      </c>
      <c r="BG310" s="45">
        <v>0</v>
      </c>
    </row>
    <row r="311" spans="1:59">
      <c r="A311" s="18" t="s">
        <v>144</v>
      </c>
      <c r="B311" s="18" t="s">
        <v>134</v>
      </c>
      <c r="C311" s="18" t="s">
        <v>86</v>
      </c>
      <c r="D311" s="45">
        <v>0</v>
      </c>
      <c r="E311" s="45">
        <v>0</v>
      </c>
      <c r="F311" s="45">
        <v>0</v>
      </c>
      <c r="G311" s="45">
        <v>0</v>
      </c>
      <c r="H311" s="45">
        <v>0</v>
      </c>
      <c r="I311" s="45">
        <v>4.2</v>
      </c>
      <c r="J311" s="45">
        <v>2.7</v>
      </c>
      <c r="K311" s="45">
        <v>2.7</v>
      </c>
      <c r="L311" s="45">
        <v>3.6</v>
      </c>
      <c r="M311" s="45">
        <v>3.4</v>
      </c>
      <c r="N311" s="45">
        <v>3.5</v>
      </c>
      <c r="O311" s="45">
        <v>2.9</v>
      </c>
      <c r="P311" s="45">
        <v>2.7</v>
      </c>
      <c r="Q311" s="45">
        <v>2.9</v>
      </c>
      <c r="R311" s="45">
        <v>2.9</v>
      </c>
      <c r="S311" s="45">
        <v>2.9</v>
      </c>
      <c r="T311" s="45">
        <v>3.3</v>
      </c>
      <c r="U311" s="45">
        <v>3.2</v>
      </c>
      <c r="V311" s="45">
        <v>3.7</v>
      </c>
      <c r="W311" s="45">
        <v>3.5</v>
      </c>
      <c r="X311" s="45">
        <v>3.7</v>
      </c>
      <c r="Y311" s="45">
        <v>3.8</v>
      </c>
      <c r="Z311" s="45">
        <v>2.7</v>
      </c>
      <c r="AA311" s="45">
        <v>2.8</v>
      </c>
      <c r="AB311" s="45">
        <v>2.4</v>
      </c>
      <c r="AC311" s="45">
        <v>3.1</v>
      </c>
      <c r="AD311" s="45">
        <v>2.5</v>
      </c>
      <c r="AE311" s="45">
        <v>3.1</v>
      </c>
      <c r="AF311" s="45">
        <v>2.5</v>
      </c>
      <c r="AG311" s="45">
        <v>3.3</v>
      </c>
      <c r="AH311" s="45">
        <v>2.7</v>
      </c>
      <c r="AI311" s="45">
        <v>2.3</v>
      </c>
      <c r="AJ311" s="45">
        <v>3.2</v>
      </c>
      <c r="AK311" s="45">
        <v>4.4</v>
      </c>
      <c r="AL311" s="45">
        <v>3.7</v>
      </c>
      <c r="AM311" s="45">
        <v>3.6</v>
      </c>
      <c r="AN311" s="45">
        <v>3.4</v>
      </c>
      <c r="AO311" s="45">
        <v>3.4</v>
      </c>
      <c r="AP311" s="45">
        <v>3.9</v>
      </c>
      <c r="AQ311" s="45">
        <v>3.6</v>
      </c>
      <c r="AR311" s="45">
        <v>5</v>
      </c>
      <c r="AS311" s="45">
        <v>0</v>
      </c>
      <c r="AT311" s="45">
        <v>0</v>
      </c>
      <c r="AU311" s="45">
        <v>0</v>
      </c>
      <c r="AV311" s="45">
        <v>0</v>
      </c>
      <c r="AW311" s="45">
        <v>0</v>
      </c>
      <c r="AX311" s="45">
        <v>0</v>
      </c>
      <c r="AY311" s="45">
        <v>0</v>
      </c>
      <c r="AZ311" s="45">
        <v>0</v>
      </c>
      <c r="BA311" s="45">
        <v>0</v>
      </c>
      <c r="BB311" s="45">
        <v>0</v>
      </c>
      <c r="BC311" s="45">
        <v>0</v>
      </c>
      <c r="BD311" s="45">
        <v>0</v>
      </c>
      <c r="BE311" s="45">
        <v>0</v>
      </c>
      <c r="BF311" s="45">
        <v>0</v>
      </c>
      <c r="BG311" s="45">
        <v>0</v>
      </c>
    </row>
    <row r="312" spans="1:59">
      <c r="A312" s="18" t="s">
        <v>145</v>
      </c>
      <c r="B312" s="18" t="s">
        <v>134</v>
      </c>
      <c r="C312" s="18" t="s">
        <v>88</v>
      </c>
      <c r="D312" s="45">
        <v>0</v>
      </c>
      <c r="E312" s="45">
        <v>0</v>
      </c>
      <c r="F312" s="45">
        <v>0</v>
      </c>
      <c r="G312" s="45">
        <v>0</v>
      </c>
      <c r="H312" s="45">
        <v>0</v>
      </c>
      <c r="I312" s="45">
        <v>4</v>
      </c>
      <c r="J312" s="45">
        <v>4</v>
      </c>
      <c r="K312" s="45">
        <v>3.3</v>
      </c>
      <c r="L312" s="45">
        <v>3.9</v>
      </c>
      <c r="M312" s="45">
        <v>3.7</v>
      </c>
      <c r="N312" s="45">
        <v>3.2</v>
      </c>
      <c r="O312" s="45">
        <v>3.5</v>
      </c>
      <c r="P312" s="45">
        <v>3.5</v>
      </c>
      <c r="Q312" s="45">
        <v>3.3</v>
      </c>
      <c r="R312" s="45">
        <v>3.6</v>
      </c>
      <c r="S312" s="45">
        <v>3.9</v>
      </c>
      <c r="T312" s="45">
        <v>3.9</v>
      </c>
      <c r="U312" s="45">
        <v>3.7</v>
      </c>
      <c r="V312" s="45">
        <v>3.5</v>
      </c>
      <c r="W312" s="45">
        <v>4.1</v>
      </c>
      <c r="X312" s="45">
        <v>4.1</v>
      </c>
      <c r="Y312" s="45">
        <v>3.7</v>
      </c>
      <c r="Z312" s="45">
        <v>3.9</v>
      </c>
      <c r="AA312" s="45">
        <v>3.5</v>
      </c>
      <c r="AB312" s="45">
        <v>3.3</v>
      </c>
      <c r="AC312" s="45">
        <v>3.5</v>
      </c>
      <c r="AD312" s="45">
        <v>2.9</v>
      </c>
      <c r="AE312" s="45">
        <v>3.3</v>
      </c>
      <c r="AF312" s="45">
        <v>3.7</v>
      </c>
      <c r="AG312" s="45">
        <v>3.6</v>
      </c>
      <c r="AH312" s="45">
        <v>3.2</v>
      </c>
      <c r="AI312" s="45">
        <v>3.5</v>
      </c>
      <c r="AJ312" s="45">
        <v>3.7</v>
      </c>
      <c r="AK312" s="45">
        <v>3.9</v>
      </c>
      <c r="AL312" s="45">
        <v>3.8</v>
      </c>
      <c r="AM312" s="45">
        <v>4.1</v>
      </c>
      <c r="AN312" s="45">
        <v>4.2</v>
      </c>
      <c r="AO312" s="45">
        <v>3.6</v>
      </c>
      <c r="AP312" s="45">
        <v>3.7</v>
      </c>
      <c r="AQ312" s="45">
        <v>4.5</v>
      </c>
      <c r="AR312" s="45">
        <v>3.6</v>
      </c>
      <c r="AS312" s="45">
        <v>0</v>
      </c>
      <c r="AT312" s="45">
        <v>0</v>
      </c>
      <c r="AU312" s="45">
        <v>0</v>
      </c>
      <c r="AV312" s="45">
        <v>0</v>
      </c>
      <c r="AW312" s="45">
        <v>0</v>
      </c>
      <c r="AX312" s="45">
        <v>0</v>
      </c>
      <c r="AY312" s="45">
        <v>0</v>
      </c>
      <c r="AZ312" s="45">
        <v>0</v>
      </c>
      <c r="BA312" s="45">
        <v>0</v>
      </c>
      <c r="BB312" s="45">
        <v>0</v>
      </c>
      <c r="BC312" s="45">
        <v>0</v>
      </c>
      <c r="BD312" s="45">
        <v>0</v>
      </c>
      <c r="BE312" s="45">
        <v>0</v>
      </c>
      <c r="BF312" s="45">
        <v>0</v>
      </c>
      <c r="BG312" s="45">
        <v>0</v>
      </c>
    </row>
    <row r="313" spans="1:59">
      <c r="A313" s="18" t="s">
        <v>146</v>
      </c>
      <c r="B313" s="18" t="s">
        <v>134</v>
      </c>
      <c r="C313" s="18" t="s">
        <v>90</v>
      </c>
      <c r="D313" s="45">
        <v>0</v>
      </c>
      <c r="E313" s="45">
        <v>0</v>
      </c>
      <c r="F313" s="45">
        <v>0</v>
      </c>
      <c r="G313" s="45">
        <v>0</v>
      </c>
      <c r="H313" s="45">
        <v>6.9</v>
      </c>
      <c r="I313" s="45">
        <v>3.4</v>
      </c>
      <c r="J313" s="45">
        <v>4</v>
      </c>
      <c r="K313" s="45">
        <v>3.6</v>
      </c>
      <c r="L313" s="45">
        <v>4.5</v>
      </c>
      <c r="M313" s="45">
        <v>3.5</v>
      </c>
      <c r="N313" s="45">
        <v>3.7</v>
      </c>
      <c r="O313" s="45">
        <v>3.5</v>
      </c>
      <c r="P313" s="45">
        <v>3.5</v>
      </c>
      <c r="Q313" s="45">
        <v>4.1</v>
      </c>
      <c r="R313" s="45">
        <v>3.6</v>
      </c>
      <c r="S313" s="45">
        <v>3.7</v>
      </c>
      <c r="T313" s="45">
        <v>3.6</v>
      </c>
      <c r="U313" s="45">
        <v>3.2</v>
      </c>
      <c r="V313" s="45">
        <v>4</v>
      </c>
      <c r="W313" s="45">
        <v>4.1</v>
      </c>
      <c r="X313" s="45">
        <v>3.9</v>
      </c>
      <c r="Y313" s="45">
        <v>3.9</v>
      </c>
      <c r="Z313" s="45">
        <v>3.1</v>
      </c>
      <c r="AA313" s="45">
        <v>3.6</v>
      </c>
      <c r="AB313" s="45">
        <v>4.1</v>
      </c>
      <c r="AC313" s="45">
        <v>4.2</v>
      </c>
      <c r="AD313" s="45">
        <v>3.9</v>
      </c>
      <c r="AE313" s="45">
        <v>3.6</v>
      </c>
      <c r="AF313" s="45">
        <v>3.9</v>
      </c>
      <c r="AG313" s="45">
        <v>4.2</v>
      </c>
      <c r="AH313" s="45">
        <v>4.5</v>
      </c>
      <c r="AI313" s="45">
        <v>4.4</v>
      </c>
      <c r="AJ313" s="45">
        <v>3.9</v>
      </c>
      <c r="AK313" s="45">
        <v>4.2</v>
      </c>
      <c r="AL313" s="45">
        <v>4.4</v>
      </c>
      <c r="AM313" s="45">
        <v>3.9</v>
      </c>
      <c r="AN313" s="45">
        <v>4.3</v>
      </c>
      <c r="AO313" s="45">
        <v>4.4</v>
      </c>
      <c r="AP313" s="45">
        <v>5.1</v>
      </c>
      <c r="AQ313" s="45">
        <v>4.5</v>
      </c>
      <c r="AR313" s="45">
        <v>5.7</v>
      </c>
      <c r="AS313" s="45">
        <v>0</v>
      </c>
      <c r="AT313" s="45">
        <v>0</v>
      </c>
      <c r="AU313" s="45">
        <v>0</v>
      </c>
      <c r="AV313" s="45">
        <v>0</v>
      </c>
      <c r="AW313" s="45">
        <v>0</v>
      </c>
      <c r="AX313" s="45">
        <v>0</v>
      </c>
      <c r="AY313" s="45">
        <v>0</v>
      </c>
      <c r="AZ313" s="45">
        <v>0</v>
      </c>
      <c r="BA313" s="45">
        <v>0</v>
      </c>
      <c r="BB313" s="45">
        <v>0</v>
      </c>
      <c r="BC313" s="45">
        <v>0</v>
      </c>
      <c r="BD313" s="45">
        <v>0</v>
      </c>
      <c r="BE313" s="45">
        <v>0</v>
      </c>
      <c r="BF313" s="45">
        <v>0</v>
      </c>
      <c r="BG313" s="45">
        <v>0</v>
      </c>
    </row>
    <row r="314" spans="1:59">
      <c r="A314" s="18" t="s">
        <v>147</v>
      </c>
      <c r="B314" s="18" t="s">
        <v>148</v>
      </c>
      <c r="C314" s="18" t="s">
        <v>66</v>
      </c>
      <c r="D314" s="45">
        <v>0</v>
      </c>
      <c r="E314" s="45">
        <v>0</v>
      </c>
      <c r="F314" s="45">
        <v>0</v>
      </c>
      <c r="G314" s="45">
        <v>11.2</v>
      </c>
      <c r="H314" s="45">
        <v>11.8</v>
      </c>
      <c r="I314" s="45">
        <v>9.800000000000001</v>
      </c>
      <c r="J314" s="45">
        <v>8.5</v>
      </c>
      <c r="K314" s="45">
        <v>8</v>
      </c>
      <c r="L314" s="45">
        <v>7.4</v>
      </c>
      <c r="M314" s="45">
        <v>7.1</v>
      </c>
      <c r="N314" s="45">
        <v>6.5</v>
      </c>
      <c r="O314" s="45">
        <v>6.3</v>
      </c>
      <c r="P314" s="45">
        <v>6.6</v>
      </c>
      <c r="Q314" s="45">
        <v>6.4</v>
      </c>
      <c r="R314" s="45">
        <v>6.5</v>
      </c>
      <c r="S314" s="45">
        <v>6.5</v>
      </c>
      <c r="T314" s="45">
        <v>6.8</v>
      </c>
      <c r="U314" s="45">
        <v>7.5</v>
      </c>
      <c r="V314" s="45">
        <v>7.6</v>
      </c>
      <c r="W314" s="45">
        <v>8.300000000000001</v>
      </c>
      <c r="X314" s="45">
        <v>8</v>
      </c>
      <c r="Y314" s="45">
        <v>8.4</v>
      </c>
      <c r="Z314" s="45">
        <v>7.8</v>
      </c>
      <c r="AA314" s="45">
        <v>7.5</v>
      </c>
      <c r="AB314" s="45">
        <v>7.3</v>
      </c>
      <c r="AC314" s="45">
        <v>7.3</v>
      </c>
      <c r="AD314" s="45">
        <v>7.2</v>
      </c>
      <c r="AE314" s="45">
        <v>7.3</v>
      </c>
      <c r="AF314" s="45">
        <v>7.2</v>
      </c>
      <c r="AG314" s="45">
        <v>7</v>
      </c>
      <c r="AH314" s="45">
        <v>7.4</v>
      </c>
      <c r="AI314" s="45">
        <v>7</v>
      </c>
      <c r="AJ314" s="45">
        <v>7.3</v>
      </c>
      <c r="AK314" s="45">
        <v>7.1</v>
      </c>
      <c r="AL314" s="45">
        <v>7.1</v>
      </c>
      <c r="AM314" s="45">
        <v>7.1</v>
      </c>
      <c r="AN314" s="45">
        <v>6.6</v>
      </c>
      <c r="AO314" s="45">
        <v>6.3</v>
      </c>
      <c r="AP314" s="45">
        <v>5.8</v>
      </c>
      <c r="AQ314" s="45">
        <v>5.2</v>
      </c>
      <c r="AR314" s="45">
        <v>5.4</v>
      </c>
      <c r="AS314" s="45">
        <v>12.7</v>
      </c>
      <c r="AT314" s="45">
        <v>0</v>
      </c>
      <c r="AU314" s="45">
        <v>0</v>
      </c>
      <c r="AV314" s="45">
        <v>0</v>
      </c>
      <c r="AW314" s="45">
        <v>0</v>
      </c>
      <c r="AX314" s="45">
        <v>0</v>
      </c>
      <c r="AY314" s="45">
        <v>0</v>
      </c>
      <c r="AZ314" s="45">
        <v>0</v>
      </c>
      <c r="BA314" s="45">
        <v>0</v>
      </c>
      <c r="BB314" s="45">
        <v>0</v>
      </c>
      <c r="BC314" s="45">
        <v>0</v>
      </c>
      <c r="BD314" s="45">
        <v>0</v>
      </c>
      <c r="BE314" s="45">
        <v>0</v>
      </c>
      <c r="BF314" s="45">
        <v>0</v>
      </c>
      <c r="BG314" s="45">
        <v>0</v>
      </c>
    </row>
    <row r="315" spans="1:59">
      <c r="A315" s="18" t="s">
        <v>149</v>
      </c>
      <c r="B315" s="18" t="s">
        <v>148</v>
      </c>
      <c r="C315" s="18" t="s">
        <v>68</v>
      </c>
      <c r="D315" s="45">
        <v>0</v>
      </c>
      <c r="E315" s="45">
        <v>0</v>
      </c>
      <c r="F315" s="45">
        <v>0</v>
      </c>
      <c r="G315" s="45">
        <v>0</v>
      </c>
      <c r="H315" s="45">
        <v>12.3</v>
      </c>
      <c r="I315" s="45">
        <v>11.6</v>
      </c>
      <c r="J315" s="45">
        <v>10</v>
      </c>
      <c r="K315" s="45">
        <v>9</v>
      </c>
      <c r="L315" s="45">
        <v>9</v>
      </c>
      <c r="M315" s="45">
        <v>9.1</v>
      </c>
      <c r="N315" s="45">
        <v>7.9</v>
      </c>
      <c r="O315" s="45">
        <v>7.5</v>
      </c>
      <c r="P315" s="45">
        <v>8.699999999999999</v>
      </c>
      <c r="Q315" s="45">
        <v>7.5</v>
      </c>
      <c r="R315" s="45">
        <v>6.7</v>
      </c>
      <c r="S315" s="45">
        <v>7.2</v>
      </c>
      <c r="T315" s="45">
        <v>8.699999999999999</v>
      </c>
      <c r="U315" s="45">
        <v>8.4</v>
      </c>
      <c r="V315" s="45">
        <v>7.8</v>
      </c>
      <c r="W315" s="45">
        <v>9.300000000000001</v>
      </c>
      <c r="X315" s="45">
        <v>7.9</v>
      </c>
      <c r="Y315" s="45">
        <v>10.4</v>
      </c>
      <c r="Z315" s="45">
        <v>8.800000000000001</v>
      </c>
      <c r="AA315" s="45">
        <v>9.9</v>
      </c>
      <c r="AB315" s="45">
        <v>8.5</v>
      </c>
      <c r="AC315" s="45">
        <v>10</v>
      </c>
      <c r="AD315" s="45">
        <v>7.7</v>
      </c>
      <c r="AE315" s="45">
        <v>10.3</v>
      </c>
      <c r="AF315" s="45">
        <v>9.4</v>
      </c>
      <c r="AG315" s="45">
        <v>7.7</v>
      </c>
      <c r="AH315" s="45">
        <v>8.5</v>
      </c>
      <c r="AI315" s="45">
        <v>8.199999999999999</v>
      </c>
      <c r="AJ315" s="45">
        <v>8.6</v>
      </c>
      <c r="AK315" s="45">
        <v>8.199999999999999</v>
      </c>
      <c r="AL315" s="45">
        <v>8.6</v>
      </c>
      <c r="AM315" s="45">
        <v>9.1</v>
      </c>
      <c r="AN315" s="45">
        <v>7.7</v>
      </c>
      <c r="AO315" s="45">
        <v>7.9</v>
      </c>
      <c r="AP315" s="45">
        <v>7.2</v>
      </c>
      <c r="AQ315" s="45">
        <v>0</v>
      </c>
      <c r="AR315" s="45">
        <v>0</v>
      </c>
      <c r="AS315" s="45">
        <v>0</v>
      </c>
      <c r="AT315" s="45">
        <v>0</v>
      </c>
      <c r="AU315" s="45">
        <v>0</v>
      </c>
      <c r="AV315" s="45">
        <v>0</v>
      </c>
      <c r="AW315" s="45">
        <v>0</v>
      </c>
      <c r="AX315" s="45">
        <v>0</v>
      </c>
      <c r="AY315" s="45">
        <v>0</v>
      </c>
      <c r="AZ315" s="45">
        <v>0</v>
      </c>
      <c r="BA315" s="45">
        <v>0</v>
      </c>
      <c r="BB315" s="45">
        <v>0</v>
      </c>
      <c r="BC315" s="45">
        <v>0</v>
      </c>
      <c r="BD315" s="45">
        <v>0</v>
      </c>
      <c r="BE315" s="45">
        <v>0</v>
      </c>
      <c r="BF315" s="45">
        <v>0</v>
      </c>
      <c r="BG315" s="45">
        <v>0</v>
      </c>
    </row>
    <row r="316" spans="1:59">
      <c r="A316" s="18" t="s">
        <v>150</v>
      </c>
      <c r="B316" s="18" t="s">
        <v>148</v>
      </c>
      <c r="C316" s="18" t="s">
        <v>70</v>
      </c>
      <c r="D316" s="45">
        <v>0</v>
      </c>
      <c r="E316" s="45">
        <v>0</v>
      </c>
      <c r="F316" s="45">
        <v>0</v>
      </c>
      <c r="G316" s="45">
        <v>0</v>
      </c>
      <c r="H316" s="45">
        <v>12.2</v>
      </c>
      <c r="I316" s="45">
        <v>11.6</v>
      </c>
      <c r="J316" s="45">
        <v>10</v>
      </c>
      <c r="K316" s="45">
        <v>8.300000000000001</v>
      </c>
      <c r="L316" s="45">
        <v>9.199999999999999</v>
      </c>
      <c r="M316" s="45">
        <v>8.5</v>
      </c>
      <c r="N316" s="45">
        <v>9</v>
      </c>
      <c r="O316" s="45">
        <v>8.199999999999999</v>
      </c>
      <c r="P316" s="45">
        <v>8.800000000000001</v>
      </c>
      <c r="Q316" s="45">
        <v>7.5</v>
      </c>
      <c r="R316" s="45">
        <v>9.4</v>
      </c>
      <c r="S316" s="45">
        <v>8.4</v>
      </c>
      <c r="T316" s="45">
        <v>8.1</v>
      </c>
      <c r="U316" s="45">
        <v>8.699999999999999</v>
      </c>
      <c r="V316" s="45">
        <v>9.800000000000001</v>
      </c>
      <c r="W316" s="45">
        <v>11.6</v>
      </c>
      <c r="X316" s="45">
        <v>11</v>
      </c>
      <c r="Y316" s="45">
        <v>10.6</v>
      </c>
      <c r="Z316" s="45">
        <v>10.7</v>
      </c>
      <c r="AA316" s="45">
        <v>10.3</v>
      </c>
      <c r="AB316" s="45">
        <v>7.7</v>
      </c>
      <c r="AC316" s="45">
        <v>10.1</v>
      </c>
      <c r="AD316" s="45">
        <v>7.8</v>
      </c>
      <c r="AE316" s="45">
        <v>9.199999999999999</v>
      </c>
      <c r="AF316" s="45">
        <v>9.800000000000001</v>
      </c>
      <c r="AG316" s="45">
        <v>9.300000000000001</v>
      </c>
      <c r="AH316" s="45">
        <v>8.1</v>
      </c>
      <c r="AI316" s="45">
        <v>8.9</v>
      </c>
      <c r="AJ316" s="45">
        <v>9.300000000000001</v>
      </c>
      <c r="AK316" s="45">
        <v>9.699999999999999</v>
      </c>
      <c r="AL316" s="45">
        <v>8.6</v>
      </c>
      <c r="AM316" s="45">
        <v>9.300000000000001</v>
      </c>
      <c r="AN316" s="45">
        <v>7.3</v>
      </c>
      <c r="AO316" s="45">
        <v>7.5</v>
      </c>
      <c r="AP316" s="45">
        <v>7.3</v>
      </c>
      <c r="AQ316" s="45">
        <v>0</v>
      </c>
      <c r="AR316" s="45">
        <v>0</v>
      </c>
      <c r="AS316" s="45">
        <v>0</v>
      </c>
      <c r="AT316" s="45">
        <v>0</v>
      </c>
      <c r="AU316" s="45">
        <v>0</v>
      </c>
      <c r="AV316" s="45">
        <v>0</v>
      </c>
      <c r="AW316" s="45">
        <v>0</v>
      </c>
      <c r="AX316" s="45">
        <v>0</v>
      </c>
      <c r="AY316" s="45">
        <v>0</v>
      </c>
      <c r="AZ316" s="45">
        <v>0</v>
      </c>
      <c r="BA316" s="45">
        <v>0</v>
      </c>
      <c r="BB316" s="45">
        <v>0</v>
      </c>
      <c r="BC316" s="45">
        <v>0</v>
      </c>
      <c r="BD316" s="45">
        <v>0</v>
      </c>
      <c r="BE316" s="45">
        <v>0</v>
      </c>
      <c r="BF316" s="45">
        <v>0</v>
      </c>
      <c r="BG316" s="45">
        <v>0</v>
      </c>
    </row>
    <row r="317" spans="1:59">
      <c r="A317" s="18" t="s">
        <v>151</v>
      </c>
      <c r="B317" s="18" t="s">
        <v>148</v>
      </c>
      <c r="C317" s="18" t="s">
        <v>72</v>
      </c>
      <c r="D317" s="45">
        <v>0</v>
      </c>
      <c r="E317" s="45">
        <v>0</v>
      </c>
      <c r="F317" s="45">
        <v>0</v>
      </c>
      <c r="G317" s="45">
        <v>0</v>
      </c>
      <c r="H317" s="45">
        <v>12.7</v>
      </c>
      <c r="I317" s="45">
        <v>12.4</v>
      </c>
      <c r="J317" s="45">
        <v>12.2</v>
      </c>
      <c r="K317" s="45">
        <v>9.9</v>
      </c>
      <c r="L317" s="45">
        <v>10.4</v>
      </c>
      <c r="M317" s="45">
        <v>7.9</v>
      </c>
      <c r="N317" s="45">
        <v>8.699999999999999</v>
      </c>
      <c r="O317" s="45">
        <v>7.5</v>
      </c>
      <c r="P317" s="45">
        <v>8.6</v>
      </c>
      <c r="Q317" s="45">
        <v>7.9</v>
      </c>
      <c r="R317" s="45">
        <v>9.300000000000001</v>
      </c>
      <c r="S317" s="45">
        <v>8.199999999999999</v>
      </c>
      <c r="T317" s="45">
        <v>6.5</v>
      </c>
      <c r="U317" s="45">
        <v>10.6</v>
      </c>
      <c r="V317" s="45">
        <v>11.1</v>
      </c>
      <c r="W317" s="45">
        <v>10.5</v>
      </c>
      <c r="X317" s="45">
        <v>10.7</v>
      </c>
      <c r="Y317" s="45">
        <v>9.1</v>
      </c>
      <c r="Z317" s="45">
        <v>12.5</v>
      </c>
      <c r="AA317" s="45">
        <v>8.300000000000001</v>
      </c>
      <c r="AB317" s="45">
        <v>9.699999999999999</v>
      </c>
      <c r="AC317" s="45">
        <v>9.4</v>
      </c>
      <c r="AD317" s="45">
        <v>9.9</v>
      </c>
      <c r="AE317" s="45">
        <v>9.4</v>
      </c>
      <c r="AF317" s="45">
        <v>11.8</v>
      </c>
      <c r="AG317" s="45">
        <v>9.699999999999999</v>
      </c>
      <c r="AH317" s="45">
        <v>10.5</v>
      </c>
      <c r="AI317" s="45">
        <v>8.199999999999999</v>
      </c>
      <c r="AJ317" s="45">
        <v>9.199999999999999</v>
      </c>
      <c r="AK317" s="45">
        <v>8.5</v>
      </c>
      <c r="AL317" s="45">
        <v>8.699999999999999</v>
      </c>
      <c r="AM317" s="45">
        <v>8.1</v>
      </c>
      <c r="AN317" s="45">
        <v>7</v>
      </c>
      <c r="AO317" s="45">
        <v>6.7</v>
      </c>
      <c r="AP317" s="45">
        <v>6.4</v>
      </c>
      <c r="AQ317" s="45">
        <v>0</v>
      </c>
      <c r="AR317" s="45">
        <v>0</v>
      </c>
      <c r="AS317" s="45">
        <v>0</v>
      </c>
      <c r="AT317" s="45">
        <v>0</v>
      </c>
      <c r="AU317" s="45">
        <v>0</v>
      </c>
      <c r="AV317" s="45">
        <v>0</v>
      </c>
      <c r="AW317" s="45">
        <v>0</v>
      </c>
      <c r="AX317" s="45">
        <v>0</v>
      </c>
      <c r="AY317" s="45">
        <v>0</v>
      </c>
      <c r="AZ317" s="45">
        <v>0</v>
      </c>
      <c r="BA317" s="45">
        <v>0</v>
      </c>
      <c r="BB317" s="45">
        <v>0</v>
      </c>
      <c r="BC317" s="45">
        <v>0</v>
      </c>
      <c r="BD317" s="45">
        <v>0</v>
      </c>
      <c r="BE317" s="45">
        <v>0</v>
      </c>
      <c r="BF317" s="45">
        <v>0</v>
      </c>
      <c r="BG317" s="45">
        <v>0</v>
      </c>
    </row>
    <row r="318" spans="1:59">
      <c r="A318" s="18" t="s">
        <v>152</v>
      </c>
      <c r="B318" s="18" t="s">
        <v>148</v>
      </c>
      <c r="C318" s="18" t="s">
        <v>74</v>
      </c>
      <c r="D318" s="45">
        <v>0</v>
      </c>
      <c r="E318" s="45">
        <v>0</v>
      </c>
      <c r="F318" s="45">
        <v>0</v>
      </c>
      <c r="G318" s="45">
        <v>10.2</v>
      </c>
      <c r="H318" s="45">
        <v>11.9</v>
      </c>
      <c r="I318" s="45">
        <v>9.699999999999999</v>
      </c>
      <c r="J318" s="45">
        <v>9.5</v>
      </c>
      <c r="K318" s="45">
        <v>10</v>
      </c>
      <c r="L318" s="45">
        <v>9</v>
      </c>
      <c r="M318" s="45">
        <v>7.7</v>
      </c>
      <c r="N318" s="45">
        <v>7.5</v>
      </c>
      <c r="O318" s="45">
        <v>7.2</v>
      </c>
      <c r="P318" s="45">
        <v>7.8</v>
      </c>
      <c r="Q318" s="45">
        <v>8.300000000000001</v>
      </c>
      <c r="R318" s="45">
        <v>7.4</v>
      </c>
      <c r="S318" s="45">
        <v>8.4</v>
      </c>
      <c r="T318" s="45">
        <v>8.800000000000001</v>
      </c>
      <c r="U318" s="45">
        <v>11.6</v>
      </c>
      <c r="V318" s="45">
        <v>11.2</v>
      </c>
      <c r="W318" s="45">
        <v>11.6</v>
      </c>
      <c r="X318" s="45">
        <v>9.699999999999999</v>
      </c>
      <c r="Y318" s="45">
        <v>10.8</v>
      </c>
      <c r="Z318" s="45">
        <v>9.1</v>
      </c>
      <c r="AA318" s="45">
        <v>11.5</v>
      </c>
      <c r="AB318" s="45">
        <v>11</v>
      </c>
      <c r="AC318" s="45">
        <v>8.5</v>
      </c>
      <c r="AD318" s="45">
        <v>11.7</v>
      </c>
      <c r="AE318" s="45">
        <v>8.800000000000001</v>
      </c>
      <c r="AF318" s="45">
        <v>10</v>
      </c>
      <c r="AG318" s="45">
        <v>9.9</v>
      </c>
      <c r="AH318" s="45">
        <v>10.7</v>
      </c>
      <c r="AI318" s="45">
        <v>9.199999999999999</v>
      </c>
      <c r="AJ318" s="45">
        <v>8.9</v>
      </c>
      <c r="AK318" s="45">
        <v>9.199999999999999</v>
      </c>
      <c r="AL318" s="45">
        <v>9.4</v>
      </c>
      <c r="AM318" s="45">
        <v>9.199999999999999</v>
      </c>
      <c r="AN318" s="45">
        <v>9</v>
      </c>
      <c r="AO318" s="45">
        <v>8.1</v>
      </c>
      <c r="AP318" s="45">
        <v>8.4</v>
      </c>
      <c r="AQ318" s="45">
        <v>0</v>
      </c>
      <c r="AR318" s="45">
        <v>0</v>
      </c>
      <c r="AS318" s="45">
        <v>0</v>
      </c>
      <c r="AT318" s="45">
        <v>0</v>
      </c>
      <c r="AU318" s="45">
        <v>0</v>
      </c>
      <c r="AV318" s="45">
        <v>0</v>
      </c>
      <c r="AW318" s="45">
        <v>0</v>
      </c>
      <c r="AX318" s="45">
        <v>0</v>
      </c>
      <c r="AY318" s="45">
        <v>0</v>
      </c>
      <c r="AZ318" s="45">
        <v>0</v>
      </c>
      <c r="BA318" s="45">
        <v>0</v>
      </c>
      <c r="BB318" s="45">
        <v>0</v>
      </c>
      <c r="BC318" s="45">
        <v>0</v>
      </c>
      <c r="BD318" s="45">
        <v>0</v>
      </c>
      <c r="BE318" s="45">
        <v>0</v>
      </c>
      <c r="BF318" s="45">
        <v>0</v>
      </c>
      <c r="BG318" s="45">
        <v>0</v>
      </c>
    </row>
    <row r="319" spans="1:59">
      <c r="A319" s="18" t="s">
        <v>153</v>
      </c>
      <c r="B319" s="18" t="s">
        <v>148</v>
      </c>
      <c r="C319" s="18" t="s">
        <v>76</v>
      </c>
      <c r="D319" s="45">
        <v>0</v>
      </c>
      <c r="E319" s="45">
        <v>0</v>
      </c>
      <c r="F319" s="45">
        <v>0</v>
      </c>
      <c r="G319" s="45">
        <v>7.8</v>
      </c>
      <c r="H319" s="45">
        <v>10.7</v>
      </c>
      <c r="I319" s="45">
        <v>10.3</v>
      </c>
      <c r="J319" s="45">
        <v>10.4</v>
      </c>
      <c r="K319" s="45">
        <v>9.6</v>
      </c>
      <c r="L319" s="45">
        <v>8.800000000000001</v>
      </c>
      <c r="M319" s="45">
        <v>9.800000000000001</v>
      </c>
      <c r="N319" s="45">
        <v>7.2</v>
      </c>
      <c r="O319" s="45">
        <v>6.8</v>
      </c>
      <c r="P319" s="45">
        <v>8.6</v>
      </c>
      <c r="Q319" s="45">
        <v>8.199999999999999</v>
      </c>
      <c r="R319" s="45">
        <v>8.199999999999999</v>
      </c>
      <c r="S319" s="45">
        <v>7.8</v>
      </c>
      <c r="T319" s="45">
        <v>8.300000000000001</v>
      </c>
      <c r="U319" s="45">
        <v>9.199999999999999</v>
      </c>
      <c r="V319" s="45">
        <v>9.6</v>
      </c>
      <c r="W319" s="45">
        <v>10.4</v>
      </c>
      <c r="X319" s="45">
        <v>9.4</v>
      </c>
      <c r="Y319" s="45">
        <v>12.2</v>
      </c>
      <c r="Z319" s="45">
        <v>9.199999999999999</v>
      </c>
      <c r="AA319" s="45">
        <v>9.5</v>
      </c>
      <c r="AB319" s="45">
        <v>8.5</v>
      </c>
      <c r="AC319" s="45">
        <v>9.5</v>
      </c>
      <c r="AD319" s="45">
        <v>8.1</v>
      </c>
      <c r="AE319" s="45">
        <v>6.7</v>
      </c>
      <c r="AF319" s="45">
        <v>9.800000000000001</v>
      </c>
      <c r="AG319" s="45">
        <v>8.800000000000001</v>
      </c>
      <c r="AH319" s="45">
        <v>9</v>
      </c>
      <c r="AI319" s="45">
        <v>8.6</v>
      </c>
      <c r="AJ319" s="45">
        <v>8.699999999999999</v>
      </c>
      <c r="AK319" s="45">
        <v>9.199999999999999</v>
      </c>
      <c r="AL319" s="45">
        <v>8.5</v>
      </c>
      <c r="AM319" s="45">
        <v>8.4</v>
      </c>
      <c r="AN319" s="45">
        <v>7.1</v>
      </c>
      <c r="AO319" s="45">
        <v>8</v>
      </c>
      <c r="AP319" s="45">
        <v>6.7</v>
      </c>
      <c r="AQ319" s="45">
        <v>0</v>
      </c>
      <c r="AR319" s="45">
        <v>0</v>
      </c>
      <c r="AS319" s="45">
        <v>0</v>
      </c>
      <c r="AT319" s="45">
        <v>0</v>
      </c>
      <c r="AU319" s="45">
        <v>0</v>
      </c>
      <c r="AV319" s="45">
        <v>0</v>
      </c>
      <c r="AW319" s="45">
        <v>0</v>
      </c>
      <c r="AX319" s="45">
        <v>0</v>
      </c>
      <c r="AY319" s="45">
        <v>0</v>
      </c>
      <c r="AZ319" s="45">
        <v>0</v>
      </c>
      <c r="BA319" s="45">
        <v>0</v>
      </c>
      <c r="BB319" s="45">
        <v>0</v>
      </c>
      <c r="BC319" s="45">
        <v>0</v>
      </c>
      <c r="BD319" s="45">
        <v>0</v>
      </c>
      <c r="BE319" s="45">
        <v>0</v>
      </c>
      <c r="BF319" s="45">
        <v>0</v>
      </c>
      <c r="BG319" s="45">
        <v>0</v>
      </c>
    </row>
    <row r="320" spans="1:59">
      <c r="A320" s="18" t="s">
        <v>154</v>
      </c>
      <c r="B320" s="18" t="s">
        <v>148</v>
      </c>
      <c r="C320" s="18" t="s">
        <v>78</v>
      </c>
      <c r="D320" s="45">
        <v>0</v>
      </c>
      <c r="E320" s="45">
        <v>0</v>
      </c>
      <c r="F320" s="45">
        <v>0</v>
      </c>
      <c r="G320" s="45">
        <v>0</v>
      </c>
      <c r="H320" s="45">
        <v>12</v>
      </c>
      <c r="I320" s="45">
        <v>12.9</v>
      </c>
      <c r="J320" s="45">
        <v>12.5</v>
      </c>
      <c r="K320" s="45">
        <v>9.800000000000001</v>
      </c>
      <c r="L320" s="45">
        <v>8.800000000000001</v>
      </c>
      <c r="M320" s="45">
        <v>8.6</v>
      </c>
      <c r="N320" s="45">
        <v>7.8</v>
      </c>
      <c r="O320" s="45">
        <v>9</v>
      </c>
      <c r="P320" s="45">
        <v>9.1</v>
      </c>
      <c r="Q320" s="45">
        <v>8.800000000000001</v>
      </c>
      <c r="R320" s="45">
        <v>8</v>
      </c>
      <c r="S320" s="45">
        <v>9</v>
      </c>
      <c r="T320" s="45">
        <v>8.9</v>
      </c>
      <c r="U320" s="45">
        <v>9.300000000000001</v>
      </c>
      <c r="V320" s="45">
        <v>10.5</v>
      </c>
      <c r="W320" s="45">
        <v>11.2</v>
      </c>
      <c r="X320" s="45">
        <v>10.5</v>
      </c>
      <c r="Y320" s="45">
        <v>12.3</v>
      </c>
      <c r="Z320" s="45">
        <v>11.5</v>
      </c>
      <c r="AA320" s="45">
        <v>8.699999999999999</v>
      </c>
      <c r="AB320" s="45">
        <v>9.300000000000001</v>
      </c>
      <c r="AC320" s="45">
        <v>9.5</v>
      </c>
      <c r="AD320" s="45">
        <v>9.1</v>
      </c>
      <c r="AE320" s="45">
        <v>9.300000000000001</v>
      </c>
      <c r="AF320" s="45">
        <v>10</v>
      </c>
      <c r="AG320" s="45">
        <v>10.2</v>
      </c>
      <c r="AH320" s="45">
        <v>9.300000000000001</v>
      </c>
      <c r="AI320" s="45">
        <v>10.1</v>
      </c>
      <c r="AJ320" s="45">
        <v>10.9</v>
      </c>
      <c r="AK320" s="45">
        <v>10.5</v>
      </c>
      <c r="AL320" s="45">
        <v>10.6</v>
      </c>
      <c r="AM320" s="45">
        <v>9.300000000000001</v>
      </c>
      <c r="AN320" s="45">
        <v>8.199999999999999</v>
      </c>
      <c r="AO320" s="45">
        <v>8.800000000000001</v>
      </c>
      <c r="AP320" s="45">
        <v>8.6</v>
      </c>
      <c r="AQ320" s="45">
        <v>0</v>
      </c>
      <c r="AR320" s="45">
        <v>0</v>
      </c>
      <c r="AS320" s="45">
        <v>0</v>
      </c>
      <c r="AT320" s="45">
        <v>0</v>
      </c>
      <c r="AU320" s="45">
        <v>0</v>
      </c>
      <c r="AV320" s="45">
        <v>0</v>
      </c>
      <c r="AW320" s="45">
        <v>0</v>
      </c>
      <c r="AX320" s="45">
        <v>0</v>
      </c>
      <c r="AY320" s="45">
        <v>0</v>
      </c>
      <c r="AZ320" s="45">
        <v>0</v>
      </c>
      <c r="BA320" s="45">
        <v>0</v>
      </c>
      <c r="BB320" s="45">
        <v>0</v>
      </c>
      <c r="BC320" s="45">
        <v>0</v>
      </c>
      <c r="BD320" s="45">
        <v>0</v>
      </c>
      <c r="BE320" s="45">
        <v>0</v>
      </c>
      <c r="BF320" s="45">
        <v>0</v>
      </c>
      <c r="BG320" s="45">
        <v>0</v>
      </c>
    </row>
    <row r="321" spans="1:59">
      <c r="A321" s="18" t="s">
        <v>155</v>
      </c>
      <c r="B321" s="18" t="s">
        <v>148</v>
      </c>
      <c r="C321" s="18" t="s">
        <v>80</v>
      </c>
      <c r="D321" s="45">
        <v>0</v>
      </c>
      <c r="E321" s="45">
        <v>0</v>
      </c>
      <c r="F321" s="45">
        <v>0</v>
      </c>
      <c r="G321" s="45">
        <v>0</v>
      </c>
      <c r="H321" s="45">
        <v>13</v>
      </c>
      <c r="I321" s="45">
        <v>10.5</v>
      </c>
      <c r="J321" s="45">
        <v>10.5</v>
      </c>
      <c r="K321" s="45">
        <v>11.1</v>
      </c>
      <c r="L321" s="45">
        <v>10.1</v>
      </c>
      <c r="M321" s="45">
        <v>9.9</v>
      </c>
      <c r="N321" s="45">
        <v>8.4</v>
      </c>
      <c r="O321" s="45">
        <v>8.1</v>
      </c>
      <c r="P321" s="45">
        <v>8.1</v>
      </c>
      <c r="Q321" s="45">
        <v>7.2</v>
      </c>
      <c r="R321" s="45">
        <v>9</v>
      </c>
      <c r="S321" s="45">
        <v>8</v>
      </c>
      <c r="T321" s="45">
        <v>9.5</v>
      </c>
      <c r="U321" s="45">
        <v>10.6</v>
      </c>
      <c r="V321" s="45">
        <v>11</v>
      </c>
      <c r="W321" s="45">
        <v>11.9</v>
      </c>
      <c r="X321" s="45">
        <v>11.4</v>
      </c>
      <c r="Y321" s="45">
        <v>11.5</v>
      </c>
      <c r="Z321" s="45">
        <v>9.9</v>
      </c>
      <c r="AA321" s="45">
        <v>7.7</v>
      </c>
      <c r="AB321" s="45">
        <v>9.1</v>
      </c>
      <c r="AC321" s="45">
        <v>9.4</v>
      </c>
      <c r="AD321" s="45">
        <v>11.4</v>
      </c>
      <c r="AE321" s="45">
        <v>10.7</v>
      </c>
      <c r="AF321" s="45">
        <v>8.6</v>
      </c>
      <c r="AG321" s="45">
        <v>9.6</v>
      </c>
      <c r="AH321" s="45">
        <v>11</v>
      </c>
      <c r="AI321" s="45">
        <v>10.6</v>
      </c>
      <c r="AJ321" s="45">
        <v>9.5</v>
      </c>
      <c r="AK321" s="45">
        <v>9.1</v>
      </c>
      <c r="AL321" s="45">
        <v>8.800000000000001</v>
      </c>
      <c r="AM321" s="45">
        <v>9.300000000000001</v>
      </c>
      <c r="AN321" s="45">
        <v>9.199999999999999</v>
      </c>
      <c r="AO321" s="45">
        <v>7.9</v>
      </c>
      <c r="AP321" s="45">
        <v>8.300000000000001</v>
      </c>
      <c r="AQ321" s="45">
        <v>0</v>
      </c>
      <c r="AR321" s="45">
        <v>0</v>
      </c>
      <c r="AS321" s="45">
        <v>0</v>
      </c>
      <c r="AT321" s="45">
        <v>0</v>
      </c>
      <c r="AU321" s="45">
        <v>0</v>
      </c>
      <c r="AV321" s="45">
        <v>0</v>
      </c>
      <c r="AW321" s="45">
        <v>0</v>
      </c>
      <c r="AX321" s="45">
        <v>0</v>
      </c>
      <c r="AY321" s="45">
        <v>0</v>
      </c>
      <c r="AZ321" s="45">
        <v>0</v>
      </c>
      <c r="BA321" s="45">
        <v>0</v>
      </c>
      <c r="BB321" s="45">
        <v>0</v>
      </c>
      <c r="BC321" s="45">
        <v>0</v>
      </c>
      <c r="BD321" s="45">
        <v>0</v>
      </c>
      <c r="BE321" s="45">
        <v>0</v>
      </c>
      <c r="BF321" s="45">
        <v>0</v>
      </c>
      <c r="BG321" s="45">
        <v>0</v>
      </c>
    </row>
    <row r="322" spans="1:59">
      <c r="A322" s="18" t="s">
        <v>156</v>
      </c>
      <c r="B322" s="18" t="s">
        <v>148</v>
      </c>
      <c r="C322" s="18" t="s">
        <v>82</v>
      </c>
      <c r="D322" s="45">
        <v>0</v>
      </c>
      <c r="E322" s="45">
        <v>0</v>
      </c>
      <c r="F322" s="45">
        <v>0</v>
      </c>
      <c r="G322" s="45">
        <v>13.1</v>
      </c>
      <c r="H322" s="45">
        <v>13.1</v>
      </c>
      <c r="I322" s="45">
        <v>12.6</v>
      </c>
      <c r="J322" s="45">
        <v>12.1</v>
      </c>
      <c r="K322" s="45">
        <v>9.199999999999999</v>
      </c>
      <c r="L322" s="45">
        <v>7.9</v>
      </c>
      <c r="M322" s="45">
        <v>9.4</v>
      </c>
      <c r="N322" s="45">
        <v>8</v>
      </c>
      <c r="O322" s="45">
        <v>9</v>
      </c>
      <c r="P322" s="45">
        <v>8</v>
      </c>
      <c r="Q322" s="45">
        <v>7.6</v>
      </c>
      <c r="R322" s="45">
        <v>7.4</v>
      </c>
      <c r="S322" s="45">
        <v>8.800000000000001</v>
      </c>
      <c r="T322" s="45">
        <v>9.199999999999999</v>
      </c>
      <c r="U322" s="45">
        <v>9.300000000000001</v>
      </c>
      <c r="V322" s="45">
        <v>9.5</v>
      </c>
      <c r="W322" s="45">
        <v>9.4</v>
      </c>
      <c r="X322" s="45">
        <v>8.6</v>
      </c>
      <c r="Y322" s="45">
        <v>9.6</v>
      </c>
      <c r="Z322" s="45">
        <v>9.199999999999999</v>
      </c>
      <c r="AA322" s="45">
        <v>8.6</v>
      </c>
      <c r="AB322" s="45">
        <v>10</v>
      </c>
      <c r="AC322" s="45">
        <v>7.6</v>
      </c>
      <c r="AD322" s="45">
        <v>9.1</v>
      </c>
      <c r="AE322" s="45">
        <v>9.300000000000001</v>
      </c>
      <c r="AF322" s="45">
        <v>7.7</v>
      </c>
      <c r="AG322" s="45">
        <v>8.199999999999999</v>
      </c>
      <c r="AH322" s="45">
        <v>8.4</v>
      </c>
      <c r="AI322" s="45">
        <v>8.1</v>
      </c>
      <c r="AJ322" s="45">
        <v>11.2</v>
      </c>
      <c r="AK322" s="45">
        <v>8.300000000000001</v>
      </c>
      <c r="AL322" s="45">
        <v>9.6</v>
      </c>
      <c r="AM322" s="45">
        <v>8.9</v>
      </c>
      <c r="AN322" s="45">
        <v>9.6</v>
      </c>
      <c r="AO322" s="45">
        <v>8.199999999999999</v>
      </c>
      <c r="AP322" s="45">
        <v>7</v>
      </c>
      <c r="AQ322" s="45">
        <v>0</v>
      </c>
      <c r="AR322" s="45">
        <v>0</v>
      </c>
      <c r="AS322" s="45">
        <v>0</v>
      </c>
      <c r="AT322" s="45">
        <v>0</v>
      </c>
      <c r="AU322" s="45">
        <v>0</v>
      </c>
      <c r="AV322" s="45">
        <v>0</v>
      </c>
      <c r="AW322" s="45">
        <v>0</v>
      </c>
      <c r="AX322" s="45">
        <v>0</v>
      </c>
      <c r="AY322" s="45">
        <v>0</v>
      </c>
      <c r="AZ322" s="45">
        <v>0</v>
      </c>
      <c r="BA322" s="45">
        <v>0</v>
      </c>
      <c r="BB322" s="45">
        <v>0</v>
      </c>
      <c r="BC322" s="45">
        <v>0</v>
      </c>
      <c r="BD322" s="45">
        <v>0</v>
      </c>
      <c r="BE322" s="45">
        <v>0</v>
      </c>
      <c r="BF322" s="45">
        <v>0</v>
      </c>
      <c r="BG322" s="45">
        <v>0</v>
      </c>
    </row>
    <row r="323" spans="1:59">
      <c r="A323" s="18" t="s">
        <v>157</v>
      </c>
      <c r="B323" s="18" t="s">
        <v>148</v>
      </c>
      <c r="C323" s="18" t="s">
        <v>84</v>
      </c>
      <c r="D323" s="45">
        <v>0</v>
      </c>
      <c r="E323" s="45">
        <v>0</v>
      </c>
      <c r="F323" s="45">
        <v>0</v>
      </c>
      <c r="G323" s="45">
        <v>0</v>
      </c>
      <c r="H323" s="45">
        <v>0</v>
      </c>
      <c r="I323" s="45">
        <v>3.2</v>
      </c>
      <c r="J323" s="45">
        <v>2.9</v>
      </c>
      <c r="K323" s="45">
        <v>2.7</v>
      </c>
      <c r="L323" s="45">
        <v>3.3</v>
      </c>
      <c r="M323" s="45">
        <v>2.5</v>
      </c>
      <c r="N323" s="45">
        <v>3.1</v>
      </c>
      <c r="O323" s="45">
        <v>2.4</v>
      </c>
      <c r="P323" s="45">
        <v>2.9</v>
      </c>
      <c r="Q323" s="45">
        <v>3.6</v>
      </c>
      <c r="R323" s="45">
        <v>3.7</v>
      </c>
      <c r="S323" s="45">
        <v>3</v>
      </c>
      <c r="T323" s="45">
        <v>3.1</v>
      </c>
      <c r="U323" s="45">
        <v>4.5</v>
      </c>
      <c r="V323" s="45">
        <v>3.3</v>
      </c>
      <c r="W323" s="45">
        <v>4.9</v>
      </c>
      <c r="X323" s="45">
        <v>3.9</v>
      </c>
      <c r="Y323" s="45">
        <v>3.5</v>
      </c>
      <c r="Z323" s="45">
        <v>3.1</v>
      </c>
      <c r="AA323" s="45">
        <v>3.8</v>
      </c>
      <c r="AB323" s="45">
        <v>2.7</v>
      </c>
      <c r="AC323" s="45">
        <v>4.7</v>
      </c>
      <c r="AD323" s="45">
        <v>3.6</v>
      </c>
      <c r="AE323" s="45">
        <v>3.4</v>
      </c>
      <c r="AF323" s="45">
        <v>2.7</v>
      </c>
      <c r="AG323" s="45">
        <v>3.5</v>
      </c>
      <c r="AH323" s="45">
        <v>4.9</v>
      </c>
      <c r="AI323" s="45">
        <v>2.7</v>
      </c>
      <c r="AJ323" s="45">
        <v>4</v>
      </c>
      <c r="AK323" s="45">
        <v>2.8</v>
      </c>
      <c r="AL323" s="45">
        <v>3.7</v>
      </c>
      <c r="AM323" s="45">
        <v>3.2</v>
      </c>
      <c r="AN323" s="45">
        <v>2.9</v>
      </c>
      <c r="AO323" s="45">
        <v>3.2</v>
      </c>
      <c r="AP323" s="45">
        <v>3.4</v>
      </c>
      <c r="AQ323" s="45">
        <v>3.9</v>
      </c>
      <c r="AR323" s="45">
        <v>5.9</v>
      </c>
      <c r="AS323" s="45">
        <v>0</v>
      </c>
      <c r="AT323" s="45">
        <v>0</v>
      </c>
      <c r="AU323" s="45">
        <v>0</v>
      </c>
      <c r="AV323" s="45">
        <v>0</v>
      </c>
      <c r="AW323" s="45">
        <v>0</v>
      </c>
      <c r="AX323" s="45">
        <v>0</v>
      </c>
      <c r="AY323" s="45">
        <v>0</v>
      </c>
      <c r="AZ323" s="45">
        <v>0</v>
      </c>
      <c r="BA323" s="45">
        <v>0</v>
      </c>
      <c r="BB323" s="45">
        <v>0</v>
      </c>
      <c r="BC323" s="45">
        <v>0</v>
      </c>
      <c r="BD323" s="45">
        <v>0</v>
      </c>
      <c r="BE323" s="45">
        <v>0</v>
      </c>
      <c r="BF323" s="45">
        <v>0</v>
      </c>
      <c r="BG323" s="45">
        <v>0</v>
      </c>
    </row>
    <row r="324" spans="1:59">
      <c r="A324" s="18" t="s">
        <v>158</v>
      </c>
      <c r="B324" s="18" t="s">
        <v>148</v>
      </c>
      <c r="C324" s="18" t="s">
        <v>86</v>
      </c>
      <c r="D324" s="45">
        <v>0</v>
      </c>
      <c r="E324" s="45">
        <v>0</v>
      </c>
      <c r="F324" s="45">
        <v>0</v>
      </c>
      <c r="G324" s="45">
        <v>0</v>
      </c>
      <c r="H324" s="45">
        <v>0</v>
      </c>
      <c r="I324" s="45">
        <v>4.2</v>
      </c>
      <c r="J324" s="45">
        <v>3.7</v>
      </c>
      <c r="K324" s="45">
        <v>4</v>
      </c>
      <c r="L324" s="45">
        <v>3.4</v>
      </c>
      <c r="M324" s="45">
        <v>3.4</v>
      </c>
      <c r="N324" s="45">
        <v>3.3</v>
      </c>
      <c r="O324" s="45">
        <v>3.2</v>
      </c>
      <c r="P324" s="45">
        <v>2.6</v>
      </c>
      <c r="Q324" s="45">
        <v>2.9</v>
      </c>
      <c r="R324" s="45">
        <v>3.9</v>
      </c>
      <c r="S324" s="45">
        <v>3.7</v>
      </c>
      <c r="T324" s="45">
        <v>4.5</v>
      </c>
      <c r="U324" s="45">
        <v>3.7</v>
      </c>
      <c r="V324" s="45">
        <v>4.4</v>
      </c>
      <c r="W324" s="45">
        <v>4</v>
      </c>
      <c r="X324" s="45">
        <v>4.1</v>
      </c>
      <c r="Y324" s="45">
        <v>5.4</v>
      </c>
      <c r="Z324" s="45">
        <v>4.5</v>
      </c>
      <c r="AA324" s="45">
        <v>4.9</v>
      </c>
      <c r="AB324" s="45">
        <v>4.2</v>
      </c>
      <c r="AC324" s="45">
        <v>4</v>
      </c>
      <c r="AD324" s="45">
        <v>3.5</v>
      </c>
      <c r="AE324" s="45">
        <v>4.8</v>
      </c>
      <c r="AF324" s="45">
        <v>2.9</v>
      </c>
      <c r="AG324" s="45">
        <v>3.9</v>
      </c>
      <c r="AH324" s="45">
        <v>4.2</v>
      </c>
      <c r="AI324" s="45">
        <v>4.3</v>
      </c>
      <c r="AJ324" s="45">
        <v>4.6</v>
      </c>
      <c r="AK324" s="45">
        <v>4.7</v>
      </c>
      <c r="AL324" s="45">
        <v>4.8</v>
      </c>
      <c r="AM324" s="45">
        <v>4.7</v>
      </c>
      <c r="AN324" s="45">
        <v>5.6</v>
      </c>
      <c r="AO324" s="45">
        <v>4.6</v>
      </c>
      <c r="AP324" s="45">
        <v>4.1</v>
      </c>
      <c r="AQ324" s="45">
        <v>3.4</v>
      </c>
      <c r="AR324" s="45">
        <v>3.3</v>
      </c>
      <c r="AS324" s="45">
        <v>0</v>
      </c>
      <c r="AT324" s="45">
        <v>0</v>
      </c>
      <c r="AU324" s="45">
        <v>0</v>
      </c>
      <c r="AV324" s="45">
        <v>0</v>
      </c>
      <c r="AW324" s="45">
        <v>0</v>
      </c>
      <c r="AX324" s="45">
        <v>0</v>
      </c>
      <c r="AY324" s="45">
        <v>0</v>
      </c>
      <c r="AZ324" s="45">
        <v>0</v>
      </c>
      <c r="BA324" s="45">
        <v>0</v>
      </c>
      <c r="BB324" s="45">
        <v>0</v>
      </c>
      <c r="BC324" s="45">
        <v>0</v>
      </c>
      <c r="BD324" s="45">
        <v>0</v>
      </c>
      <c r="BE324" s="45">
        <v>0</v>
      </c>
      <c r="BF324" s="45">
        <v>0</v>
      </c>
      <c r="BG324" s="45">
        <v>0</v>
      </c>
    </row>
    <row r="325" spans="1:59">
      <c r="A325" s="18" t="s">
        <v>159</v>
      </c>
      <c r="B325" s="18" t="s">
        <v>148</v>
      </c>
      <c r="C325" s="18" t="s">
        <v>88</v>
      </c>
      <c r="D325" s="45">
        <v>0</v>
      </c>
      <c r="E325" s="45">
        <v>0</v>
      </c>
      <c r="F325" s="45">
        <v>0</v>
      </c>
      <c r="G325" s="45">
        <v>0</v>
      </c>
      <c r="H325" s="45">
        <v>0</v>
      </c>
      <c r="I325" s="45">
        <v>2.6</v>
      </c>
      <c r="J325" s="45">
        <v>4.9</v>
      </c>
      <c r="K325" s="45">
        <v>3.6</v>
      </c>
      <c r="L325" s="45">
        <v>3.7</v>
      </c>
      <c r="M325" s="45">
        <v>3.6</v>
      </c>
      <c r="N325" s="45">
        <v>3.2</v>
      </c>
      <c r="O325" s="45">
        <v>3.4</v>
      </c>
      <c r="P325" s="45">
        <v>3.4</v>
      </c>
      <c r="Q325" s="45">
        <v>3.6</v>
      </c>
      <c r="R325" s="45">
        <v>3.5</v>
      </c>
      <c r="S325" s="45">
        <v>3.4</v>
      </c>
      <c r="T325" s="45">
        <v>4</v>
      </c>
      <c r="U325" s="45">
        <v>3.4</v>
      </c>
      <c r="V325" s="45">
        <v>3.2</v>
      </c>
      <c r="W325" s="45">
        <v>4.2</v>
      </c>
      <c r="X325" s="45">
        <v>5.5</v>
      </c>
      <c r="Y325" s="45">
        <v>4.9</v>
      </c>
      <c r="Z325" s="45">
        <v>3.5</v>
      </c>
      <c r="AA325" s="45">
        <v>3.3</v>
      </c>
      <c r="AB325" s="45">
        <v>4.4</v>
      </c>
      <c r="AC325" s="45">
        <v>4</v>
      </c>
      <c r="AD325" s="45">
        <v>3.5</v>
      </c>
      <c r="AE325" s="45">
        <v>4.1</v>
      </c>
      <c r="AF325" s="45">
        <v>3.8</v>
      </c>
      <c r="AG325" s="45">
        <v>3.3</v>
      </c>
      <c r="AH325" s="45">
        <v>4.1</v>
      </c>
      <c r="AI325" s="45">
        <v>3.9</v>
      </c>
      <c r="AJ325" s="45">
        <v>4</v>
      </c>
      <c r="AK325" s="45">
        <v>4.2</v>
      </c>
      <c r="AL325" s="45">
        <v>4.2</v>
      </c>
      <c r="AM325" s="45">
        <v>4.9</v>
      </c>
      <c r="AN325" s="45">
        <v>5.1</v>
      </c>
      <c r="AO325" s="45">
        <v>4.3</v>
      </c>
      <c r="AP325" s="45">
        <v>5.4</v>
      </c>
      <c r="AQ325" s="45">
        <v>4</v>
      </c>
      <c r="AR325" s="45">
        <v>3.8</v>
      </c>
      <c r="AS325" s="45">
        <v>0</v>
      </c>
      <c r="AT325" s="45">
        <v>0</v>
      </c>
      <c r="AU325" s="45">
        <v>0</v>
      </c>
      <c r="AV325" s="45">
        <v>0</v>
      </c>
      <c r="AW325" s="45">
        <v>0</v>
      </c>
      <c r="AX325" s="45">
        <v>0</v>
      </c>
      <c r="AY325" s="45">
        <v>0</v>
      </c>
      <c r="AZ325" s="45">
        <v>0</v>
      </c>
      <c r="BA325" s="45">
        <v>0</v>
      </c>
      <c r="BB325" s="45">
        <v>0</v>
      </c>
      <c r="BC325" s="45">
        <v>0</v>
      </c>
      <c r="BD325" s="45">
        <v>0</v>
      </c>
      <c r="BE325" s="45">
        <v>0</v>
      </c>
      <c r="BF325" s="45">
        <v>0</v>
      </c>
      <c r="BG325" s="45">
        <v>0</v>
      </c>
    </row>
    <row r="326" spans="1:59">
      <c r="A326" s="18" t="s">
        <v>160</v>
      </c>
      <c r="B326" s="18" t="s">
        <v>148</v>
      </c>
      <c r="C326" s="18" t="s">
        <v>90</v>
      </c>
      <c r="D326" s="45">
        <v>0</v>
      </c>
      <c r="E326" s="45">
        <v>0</v>
      </c>
      <c r="F326" s="45">
        <v>0</v>
      </c>
      <c r="G326" s="45">
        <v>0</v>
      </c>
      <c r="H326" s="45">
        <v>2</v>
      </c>
      <c r="I326" s="45">
        <v>3.8</v>
      </c>
      <c r="J326" s="45">
        <v>4.3</v>
      </c>
      <c r="K326" s="45">
        <v>4.6</v>
      </c>
      <c r="L326" s="45">
        <v>3.6</v>
      </c>
      <c r="M326" s="45">
        <v>4</v>
      </c>
      <c r="N326" s="45">
        <v>4.4</v>
      </c>
      <c r="O326" s="45">
        <v>4.5</v>
      </c>
      <c r="P326" s="45">
        <v>4.2</v>
      </c>
      <c r="Q326" s="45">
        <v>4.6</v>
      </c>
      <c r="R326" s="45">
        <v>4.5</v>
      </c>
      <c r="S326" s="45">
        <v>4.3</v>
      </c>
      <c r="T326" s="45">
        <v>4.6</v>
      </c>
      <c r="U326" s="45">
        <v>5.3</v>
      </c>
      <c r="V326" s="45">
        <v>5.8</v>
      </c>
      <c r="W326" s="45">
        <v>5.6</v>
      </c>
      <c r="X326" s="45">
        <v>5.4</v>
      </c>
      <c r="Y326" s="45">
        <v>4.7</v>
      </c>
      <c r="Z326" s="45">
        <v>4.5</v>
      </c>
      <c r="AA326" s="45">
        <v>4.9</v>
      </c>
      <c r="AB326" s="45">
        <v>4.4</v>
      </c>
      <c r="AC326" s="45">
        <v>4.3</v>
      </c>
      <c r="AD326" s="45">
        <v>3.9</v>
      </c>
      <c r="AE326" s="45">
        <v>4.7</v>
      </c>
      <c r="AF326" s="45">
        <v>4.5</v>
      </c>
      <c r="AG326" s="45">
        <v>4.2</v>
      </c>
      <c r="AH326" s="45">
        <v>4.3</v>
      </c>
      <c r="AI326" s="45">
        <v>4.6</v>
      </c>
      <c r="AJ326" s="45">
        <v>4.6</v>
      </c>
      <c r="AK326" s="45">
        <v>4.7</v>
      </c>
      <c r="AL326" s="45">
        <v>4.8</v>
      </c>
      <c r="AM326" s="45">
        <v>4.7</v>
      </c>
      <c r="AN326" s="45">
        <v>4.4</v>
      </c>
      <c r="AO326" s="45">
        <v>5.1</v>
      </c>
      <c r="AP326" s="45">
        <v>5.9</v>
      </c>
      <c r="AQ326" s="45">
        <v>6.6</v>
      </c>
      <c r="AR326" s="45">
        <v>7.7</v>
      </c>
      <c r="AS326" s="45">
        <v>0</v>
      </c>
      <c r="AT326" s="45">
        <v>0</v>
      </c>
      <c r="AU326" s="45">
        <v>0</v>
      </c>
      <c r="AV326" s="45">
        <v>0</v>
      </c>
      <c r="AW326" s="45">
        <v>0</v>
      </c>
      <c r="AX326" s="45">
        <v>0</v>
      </c>
      <c r="AY326" s="45">
        <v>0</v>
      </c>
      <c r="AZ326" s="45">
        <v>0</v>
      </c>
      <c r="BA326" s="45">
        <v>0</v>
      </c>
      <c r="BB326" s="45">
        <v>0</v>
      </c>
      <c r="BC326" s="45">
        <v>0</v>
      </c>
      <c r="BD326" s="45">
        <v>0</v>
      </c>
      <c r="BE326" s="45">
        <v>0</v>
      </c>
      <c r="BF326" s="45">
        <v>0</v>
      </c>
      <c r="BG326" s="45">
        <v>0</v>
      </c>
    </row>
    <row r="327" spans="1:59">
      <c r="A327" s="18" t="s">
        <v>161</v>
      </c>
      <c r="B327" s="18" t="s">
        <v>162</v>
      </c>
      <c r="C327" s="18" t="s">
        <v>66</v>
      </c>
      <c r="D327" s="45">
        <v>0</v>
      </c>
      <c r="E327" s="45">
        <v>0</v>
      </c>
      <c r="F327" s="45">
        <v>0</v>
      </c>
      <c r="G327" s="45">
        <v>0</v>
      </c>
      <c r="H327" s="45">
        <v>0</v>
      </c>
      <c r="I327" s="45">
        <v>5.9</v>
      </c>
      <c r="J327" s="45">
        <v>8.9</v>
      </c>
      <c r="K327" s="45">
        <v>10.9</v>
      </c>
      <c r="L327" s="45">
        <v>9.5</v>
      </c>
      <c r="M327" s="45">
        <v>8.699999999999999</v>
      </c>
      <c r="N327" s="45">
        <v>8.1</v>
      </c>
      <c r="O327" s="45">
        <v>7.4</v>
      </c>
      <c r="P327" s="45">
        <v>7.2</v>
      </c>
      <c r="Q327" s="45">
        <v>7.3</v>
      </c>
      <c r="R327" s="45">
        <v>7.6</v>
      </c>
      <c r="S327" s="45">
        <v>7.1</v>
      </c>
      <c r="T327" s="45">
        <v>7.1</v>
      </c>
      <c r="U327" s="45">
        <v>8.1</v>
      </c>
      <c r="V327" s="45">
        <v>8.4</v>
      </c>
      <c r="W327" s="45">
        <v>9.300000000000001</v>
      </c>
      <c r="X327" s="45">
        <v>11</v>
      </c>
      <c r="Y327" s="45">
        <v>10.3</v>
      </c>
      <c r="Z327" s="45">
        <v>10.3</v>
      </c>
      <c r="AA327" s="45">
        <v>10.4</v>
      </c>
      <c r="AB327" s="45">
        <v>9.300000000000001</v>
      </c>
      <c r="AC327" s="45">
        <v>8.1</v>
      </c>
      <c r="AD327" s="45">
        <v>8.300000000000001</v>
      </c>
      <c r="AE327" s="45">
        <v>8.1</v>
      </c>
      <c r="AF327" s="45">
        <v>7.6</v>
      </c>
      <c r="AG327" s="45">
        <v>8</v>
      </c>
      <c r="AH327" s="45">
        <v>8.300000000000001</v>
      </c>
      <c r="AI327" s="45">
        <v>8.300000000000001</v>
      </c>
      <c r="AJ327" s="45">
        <v>8.9</v>
      </c>
      <c r="AK327" s="45">
        <v>8.4</v>
      </c>
      <c r="AL327" s="45">
        <v>8.9</v>
      </c>
      <c r="AM327" s="45">
        <v>8.1</v>
      </c>
      <c r="AN327" s="45">
        <v>8.5</v>
      </c>
      <c r="AO327" s="45">
        <v>7.9</v>
      </c>
      <c r="AP327" s="45">
        <v>7.1</v>
      </c>
      <c r="AQ327" s="45">
        <v>6.4</v>
      </c>
      <c r="AR327" s="45">
        <v>6.8</v>
      </c>
      <c r="AS327" s="45">
        <v>6.3</v>
      </c>
      <c r="AT327" s="45">
        <v>0</v>
      </c>
      <c r="AU327" s="45">
        <v>0</v>
      </c>
      <c r="AV327" s="45">
        <v>0</v>
      </c>
      <c r="AW327" s="45">
        <v>0</v>
      </c>
      <c r="AX327" s="45">
        <v>0</v>
      </c>
      <c r="AY327" s="45">
        <v>0</v>
      </c>
      <c r="AZ327" s="45">
        <v>0</v>
      </c>
      <c r="BA327" s="45">
        <v>0</v>
      </c>
      <c r="BB327" s="45">
        <v>0</v>
      </c>
      <c r="BC327" s="45">
        <v>0</v>
      </c>
      <c r="BD327" s="45">
        <v>0</v>
      </c>
      <c r="BE327" s="45">
        <v>0</v>
      </c>
      <c r="BF327" s="45">
        <v>0</v>
      </c>
      <c r="BG327" s="45">
        <v>0</v>
      </c>
    </row>
    <row r="328" spans="1:59">
      <c r="A328" s="18" t="s">
        <v>163</v>
      </c>
      <c r="B328" s="18" t="s">
        <v>162</v>
      </c>
      <c r="C328" s="18" t="s">
        <v>68</v>
      </c>
      <c r="D328" s="45">
        <v>0</v>
      </c>
      <c r="E328" s="45">
        <v>0</v>
      </c>
      <c r="F328" s="45">
        <v>0</v>
      </c>
      <c r="G328" s="45">
        <v>0</v>
      </c>
      <c r="H328" s="45">
        <v>0</v>
      </c>
      <c r="I328" s="45">
        <v>0</v>
      </c>
      <c r="J328" s="45">
        <v>8.4</v>
      </c>
      <c r="K328" s="45">
        <v>12.6</v>
      </c>
      <c r="L328" s="45">
        <v>10.9</v>
      </c>
      <c r="M328" s="45">
        <v>10.7</v>
      </c>
      <c r="N328" s="45">
        <v>8.699999999999999</v>
      </c>
      <c r="O328" s="45">
        <v>8.5</v>
      </c>
      <c r="P328" s="45">
        <v>7.7</v>
      </c>
      <c r="Q328" s="45">
        <v>7.9</v>
      </c>
      <c r="R328" s="45">
        <v>7.9</v>
      </c>
      <c r="S328" s="45">
        <v>7.1</v>
      </c>
      <c r="T328" s="45">
        <v>8.199999999999999</v>
      </c>
      <c r="U328" s="45">
        <v>8.6</v>
      </c>
      <c r="V328" s="45">
        <v>10.5</v>
      </c>
      <c r="W328" s="45">
        <v>11.3</v>
      </c>
      <c r="X328" s="45">
        <v>12.7</v>
      </c>
      <c r="Y328" s="45">
        <v>12.3</v>
      </c>
      <c r="Z328" s="45">
        <v>12.1</v>
      </c>
      <c r="AA328" s="45">
        <v>9.9</v>
      </c>
      <c r="AB328" s="45">
        <v>9.699999999999999</v>
      </c>
      <c r="AC328" s="45">
        <v>7.2</v>
      </c>
      <c r="AD328" s="45">
        <v>9.300000000000001</v>
      </c>
      <c r="AE328" s="45">
        <v>9</v>
      </c>
      <c r="AF328" s="45">
        <v>9</v>
      </c>
      <c r="AG328" s="45">
        <v>9.1</v>
      </c>
      <c r="AH328" s="45">
        <v>9.800000000000001</v>
      </c>
      <c r="AI328" s="45">
        <v>10.3</v>
      </c>
      <c r="AJ328" s="45">
        <v>10.1</v>
      </c>
      <c r="AK328" s="45">
        <v>10.2</v>
      </c>
      <c r="AL328" s="45">
        <v>7.7</v>
      </c>
      <c r="AM328" s="45">
        <v>9.6</v>
      </c>
      <c r="AN328" s="45">
        <v>10.8</v>
      </c>
      <c r="AO328" s="45">
        <v>10.1</v>
      </c>
      <c r="AP328" s="45">
        <v>6.2</v>
      </c>
      <c r="AQ328" s="45">
        <v>7.4</v>
      </c>
      <c r="AR328" s="45">
        <v>8.300000000000001</v>
      </c>
      <c r="AS328" s="45">
        <v>0</v>
      </c>
      <c r="AT328" s="45">
        <v>0</v>
      </c>
      <c r="AU328" s="45">
        <v>0</v>
      </c>
      <c r="AV328" s="45">
        <v>0</v>
      </c>
      <c r="AW328" s="45">
        <v>0</v>
      </c>
      <c r="AX328" s="45">
        <v>0</v>
      </c>
      <c r="AY328" s="45">
        <v>0</v>
      </c>
      <c r="AZ328" s="45">
        <v>0</v>
      </c>
      <c r="BA328" s="45">
        <v>0</v>
      </c>
      <c r="BB328" s="45">
        <v>0</v>
      </c>
      <c r="BC328" s="45">
        <v>0</v>
      </c>
      <c r="BD328" s="45">
        <v>0</v>
      </c>
      <c r="BE328" s="45">
        <v>0</v>
      </c>
      <c r="BF328" s="45">
        <v>0</v>
      </c>
      <c r="BG328" s="45">
        <v>0</v>
      </c>
    </row>
    <row r="329" spans="1:59">
      <c r="A329" s="18" t="s">
        <v>164</v>
      </c>
      <c r="B329" s="18" t="s">
        <v>162</v>
      </c>
      <c r="C329" s="18" t="s">
        <v>70</v>
      </c>
      <c r="D329" s="45">
        <v>0</v>
      </c>
      <c r="E329" s="45">
        <v>0</v>
      </c>
      <c r="F329" s="45">
        <v>0</v>
      </c>
      <c r="G329" s="45">
        <v>0</v>
      </c>
      <c r="H329" s="45">
        <v>0</v>
      </c>
      <c r="I329" s="45">
        <v>0</v>
      </c>
      <c r="J329" s="45">
        <v>8.800000000000001</v>
      </c>
      <c r="K329" s="45">
        <v>12.5</v>
      </c>
      <c r="L329" s="45">
        <v>10.2</v>
      </c>
      <c r="M329" s="45">
        <v>10.7</v>
      </c>
      <c r="N329" s="45">
        <v>8.4</v>
      </c>
      <c r="O329" s="45">
        <v>7.2</v>
      </c>
      <c r="P329" s="45">
        <v>8.6</v>
      </c>
      <c r="Q329" s="45">
        <v>7.6</v>
      </c>
      <c r="R329" s="45">
        <v>11.2</v>
      </c>
      <c r="S329" s="45">
        <v>8.199999999999999</v>
      </c>
      <c r="T329" s="45">
        <v>8</v>
      </c>
      <c r="U329" s="45">
        <v>9.300000000000001</v>
      </c>
      <c r="V329" s="45">
        <v>10.9</v>
      </c>
      <c r="W329" s="45">
        <v>11.3</v>
      </c>
      <c r="X329" s="45">
        <v>12.5</v>
      </c>
      <c r="Y329" s="45">
        <v>11.5</v>
      </c>
      <c r="Z329" s="45">
        <v>15.7</v>
      </c>
      <c r="AA329" s="45">
        <v>14.1</v>
      </c>
      <c r="AB329" s="45">
        <v>12.7</v>
      </c>
      <c r="AC329" s="45">
        <v>10.2</v>
      </c>
      <c r="AD329" s="45">
        <v>10.3</v>
      </c>
      <c r="AE329" s="45">
        <v>9.5</v>
      </c>
      <c r="AF329" s="45">
        <v>9</v>
      </c>
      <c r="AG329" s="45">
        <v>8.4</v>
      </c>
      <c r="AH329" s="45">
        <v>11.4</v>
      </c>
      <c r="AI329" s="45">
        <v>10.4</v>
      </c>
      <c r="AJ329" s="45">
        <v>10.4</v>
      </c>
      <c r="AK329" s="45">
        <v>8.9</v>
      </c>
      <c r="AL329" s="45">
        <v>11.1</v>
      </c>
      <c r="AM329" s="45">
        <v>9.1</v>
      </c>
      <c r="AN329" s="45">
        <v>10.8</v>
      </c>
      <c r="AO329" s="45">
        <v>7.2</v>
      </c>
      <c r="AP329" s="45">
        <v>9.5</v>
      </c>
      <c r="AQ329" s="45">
        <v>6.3</v>
      </c>
      <c r="AR329" s="45">
        <v>7.4</v>
      </c>
      <c r="AS329" s="45">
        <v>0</v>
      </c>
      <c r="AT329" s="45">
        <v>0</v>
      </c>
      <c r="AU329" s="45">
        <v>0</v>
      </c>
      <c r="AV329" s="45">
        <v>0</v>
      </c>
      <c r="AW329" s="45">
        <v>0</v>
      </c>
      <c r="AX329" s="45">
        <v>0</v>
      </c>
      <c r="AY329" s="45">
        <v>0</v>
      </c>
      <c r="AZ329" s="45">
        <v>0</v>
      </c>
      <c r="BA329" s="45">
        <v>0</v>
      </c>
      <c r="BB329" s="45">
        <v>0</v>
      </c>
      <c r="BC329" s="45">
        <v>0</v>
      </c>
      <c r="BD329" s="45">
        <v>0</v>
      </c>
      <c r="BE329" s="45">
        <v>0</v>
      </c>
      <c r="BF329" s="45">
        <v>0</v>
      </c>
      <c r="BG329" s="45">
        <v>0</v>
      </c>
    </row>
    <row r="330" spans="1:59">
      <c r="A330" s="18" t="s">
        <v>165</v>
      </c>
      <c r="B330" s="18" t="s">
        <v>162</v>
      </c>
      <c r="C330" s="18" t="s">
        <v>72</v>
      </c>
      <c r="D330" s="45">
        <v>0</v>
      </c>
      <c r="E330" s="45">
        <v>0</v>
      </c>
      <c r="F330" s="45">
        <v>0</v>
      </c>
      <c r="G330" s="45">
        <v>0</v>
      </c>
      <c r="H330" s="45">
        <v>0</v>
      </c>
      <c r="I330" s="45">
        <v>0</v>
      </c>
      <c r="J330" s="45">
        <v>11.5</v>
      </c>
      <c r="K330" s="45">
        <v>11.7</v>
      </c>
      <c r="L330" s="45">
        <v>14</v>
      </c>
      <c r="M330" s="45">
        <v>9.9</v>
      </c>
      <c r="N330" s="45">
        <v>9.4</v>
      </c>
      <c r="O330" s="45">
        <v>8.4</v>
      </c>
      <c r="P330" s="45">
        <v>8.699999999999999</v>
      </c>
      <c r="Q330" s="45">
        <v>9.5</v>
      </c>
      <c r="R330" s="45">
        <v>6.7</v>
      </c>
      <c r="S330" s="45">
        <v>7.8</v>
      </c>
      <c r="T330" s="45">
        <v>8</v>
      </c>
      <c r="U330" s="45">
        <v>11.3</v>
      </c>
      <c r="V330" s="45">
        <v>9.4</v>
      </c>
      <c r="W330" s="45">
        <v>9.300000000000001</v>
      </c>
      <c r="X330" s="45">
        <v>14.3</v>
      </c>
      <c r="Y330" s="45">
        <v>13.6</v>
      </c>
      <c r="Z330" s="45">
        <v>12.6</v>
      </c>
      <c r="AA330" s="45">
        <v>13.4</v>
      </c>
      <c r="AB330" s="45">
        <v>12.5</v>
      </c>
      <c r="AC330" s="45">
        <v>9.5</v>
      </c>
      <c r="AD330" s="45">
        <v>8.800000000000001</v>
      </c>
      <c r="AE330" s="45">
        <v>9</v>
      </c>
      <c r="AF330" s="45">
        <v>10</v>
      </c>
      <c r="AG330" s="45">
        <v>9.699999999999999</v>
      </c>
      <c r="AH330" s="45">
        <v>9.6</v>
      </c>
      <c r="AI330" s="45">
        <v>7.5</v>
      </c>
      <c r="AJ330" s="45">
        <v>11.8</v>
      </c>
      <c r="AK330" s="45">
        <v>9.199999999999999</v>
      </c>
      <c r="AL330" s="45">
        <v>8.6</v>
      </c>
      <c r="AM330" s="45">
        <v>10.9</v>
      </c>
      <c r="AN330" s="45">
        <v>8.800000000000001</v>
      </c>
      <c r="AO330" s="45">
        <v>10.8</v>
      </c>
      <c r="AP330" s="45">
        <v>8.300000000000001</v>
      </c>
      <c r="AQ330" s="45">
        <v>5.7</v>
      </c>
      <c r="AR330" s="45">
        <v>6.9</v>
      </c>
      <c r="AS330" s="45">
        <v>0</v>
      </c>
      <c r="AT330" s="45">
        <v>0</v>
      </c>
      <c r="AU330" s="45">
        <v>0</v>
      </c>
      <c r="AV330" s="45">
        <v>0</v>
      </c>
      <c r="AW330" s="45">
        <v>0</v>
      </c>
      <c r="AX330" s="45">
        <v>0</v>
      </c>
      <c r="AY330" s="45">
        <v>0</v>
      </c>
      <c r="AZ330" s="45">
        <v>0</v>
      </c>
      <c r="BA330" s="45">
        <v>0</v>
      </c>
      <c r="BB330" s="45">
        <v>0</v>
      </c>
      <c r="BC330" s="45">
        <v>0</v>
      </c>
      <c r="BD330" s="45">
        <v>0</v>
      </c>
      <c r="BE330" s="45">
        <v>0</v>
      </c>
      <c r="BF330" s="45">
        <v>0</v>
      </c>
      <c r="BG330" s="45">
        <v>0</v>
      </c>
    </row>
    <row r="331" spans="1:59">
      <c r="A331" s="18" t="s">
        <v>166</v>
      </c>
      <c r="B331" s="18" t="s">
        <v>162</v>
      </c>
      <c r="C331" s="18" t="s">
        <v>74</v>
      </c>
      <c r="D331" s="45">
        <v>0</v>
      </c>
      <c r="E331" s="45">
        <v>0</v>
      </c>
      <c r="F331" s="45">
        <v>0</v>
      </c>
      <c r="G331" s="45">
        <v>0</v>
      </c>
      <c r="H331" s="45">
        <v>0</v>
      </c>
      <c r="I331" s="45">
        <v>0</v>
      </c>
      <c r="J331" s="45">
        <v>11.3</v>
      </c>
      <c r="K331" s="45">
        <v>11.6</v>
      </c>
      <c r="L331" s="45">
        <v>8.800000000000001</v>
      </c>
      <c r="M331" s="45">
        <v>11.6</v>
      </c>
      <c r="N331" s="45">
        <v>8.300000000000001</v>
      </c>
      <c r="O331" s="45">
        <v>8.199999999999999</v>
      </c>
      <c r="P331" s="45">
        <v>7.8</v>
      </c>
      <c r="Q331" s="45">
        <v>8.300000000000001</v>
      </c>
      <c r="R331" s="45">
        <v>8.9</v>
      </c>
      <c r="S331" s="45">
        <v>8.1</v>
      </c>
      <c r="T331" s="45">
        <v>9.300000000000001</v>
      </c>
      <c r="U331" s="45">
        <v>10.4</v>
      </c>
      <c r="V331" s="45">
        <v>11.1</v>
      </c>
      <c r="W331" s="45">
        <v>9.4</v>
      </c>
      <c r="X331" s="45">
        <v>15.9</v>
      </c>
      <c r="Y331" s="45">
        <v>17</v>
      </c>
      <c r="Z331" s="45">
        <v>12.9</v>
      </c>
      <c r="AA331" s="45">
        <v>10.9</v>
      </c>
      <c r="AB331" s="45">
        <v>8.699999999999999</v>
      </c>
      <c r="AC331" s="45">
        <v>8.800000000000001</v>
      </c>
      <c r="AD331" s="45">
        <v>9.4</v>
      </c>
      <c r="AE331" s="45">
        <v>10.3</v>
      </c>
      <c r="AF331" s="45">
        <v>9.1</v>
      </c>
      <c r="AG331" s="45">
        <v>7.5</v>
      </c>
      <c r="AH331" s="45">
        <v>9.300000000000001</v>
      </c>
      <c r="AI331" s="45">
        <v>10.4</v>
      </c>
      <c r="AJ331" s="45">
        <v>9.699999999999999</v>
      </c>
      <c r="AK331" s="45">
        <v>10.7</v>
      </c>
      <c r="AL331" s="45">
        <v>9.199999999999999</v>
      </c>
      <c r="AM331" s="45">
        <v>10</v>
      </c>
      <c r="AN331" s="45">
        <v>9.4</v>
      </c>
      <c r="AO331" s="45">
        <v>8.9</v>
      </c>
      <c r="AP331" s="45">
        <v>7.6</v>
      </c>
      <c r="AQ331" s="45">
        <v>7.8</v>
      </c>
      <c r="AR331" s="45">
        <v>7.1</v>
      </c>
      <c r="AS331" s="45">
        <v>0</v>
      </c>
      <c r="AT331" s="45">
        <v>0</v>
      </c>
      <c r="AU331" s="45">
        <v>0</v>
      </c>
      <c r="AV331" s="45">
        <v>0</v>
      </c>
      <c r="AW331" s="45">
        <v>0</v>
      </c>
      <c r="AX331" s="45">
        <v>0</v>
      </c>
      <c r="AY331" s="45">
        <v>0</v>
      </c>
      <c r="AZ331" s="45">
        <v>0</v>
      </c>
      <c r="BA331" s="45">
        <v>0</v>
      </c>
      <c r="BB331" s="45">
        <v>0</v>
      </c>
      <c r="BC331" s="45">
        <v>0</v>
      </c>
      <c r="BD331" s="45">
        <v>0</v>
      </c>
      <c r="BE331" s="45">
        <v>0</v>
      </c>
      <c r="BF331" s="45">
        <v>0</v>
      </c>
      <c r="BG331" s="45">
        <v>0</v>
      </c>
    </row>
    <row r="332" spans="1:59">
      <c r="A332" s="18" t="s">
        <v>167</v>
      </c>
      <c r="B332" s="18" t="s">
        <v>162</v>
      </c>
      <c r="C332" s="18" t="s">
        <v>76</v>
      </c>
      <c r="D332" s="45">
        <v>0</v>
      </c>
      <c r="E332" s="45">
        <v>0</v>
      </c>
      <c r="F332" s="45">
        <v>0</v>
      </c>
      <c r="G332" s="45">
        <v>0</v>
      </c>
      <c r="H332" s="45">
        <v>0</v>
      </c>
      <c r="I332" s="45">
        <v>0</v>
      </c>
      <c r="J332" s="45">
        <v>10</v>
      </c>
      <c r="K332" s="45">
        <v>12.4</v>
      </c>
      <c r="L332" s="45">
        <v>7.9</v>
      </c>
      <c r="M332" s="45">
        <v>8.300000000000001</v>
      </c>
      <c r="N332" s="45">
        <v>9.6</v>
      </c>
      <c r="O332" s="45">
        <v>8.6</v>
      </c>
      <c r="P332" s="45">
        <v>7.8</v>
      </c>
      <c r="Q332" s="45">
        <v>7.7</v>
      </c>
      <c r="R332" s="45">
        <v>9.699999999999999</v>
      </c>
      <c r="S332" s="45">
        <v>8.800000000000001</v>
      </c>
      <c r="T332" s="45">
        <v>8.800000000000001</v>
      </c>
      <c r="U332" s="45">
        <v>10.1</v>
      </c>
      <c r="V332" s="45">
        <v>7.9</v>
      </c>
      <c r="W332" s="45">
        <v>12.9</v>
      </c>
      <c r="X332" s="45">
        <v>12.1</v>
      </c>
      <c r="Y332" s="45">
        <v>12.2</v>
      </c>
      <c r="Z332" s="45">
        <v>9.199999999999999</v>
      </c>
      <c r="AA332" s="45">
        <v>11.5</v>
      </c>
      <c r="AB332" s="45">
        <v>11.1</v>
      </c>
      <c r="AC332" s="45">
        <v>11.3</v>
      </c>
      <c r="AD332" s="45">
        <v>12.4</v>
      </c>
      <c r="AE332" s="45">
        <v>10.4</v>
      </c>
      <c r="AF332" s="45">
        <v>8.9</v>
      </c>
      <c r="AG332" s="45">
        <v>10.6</v>
      </c>
      <c r="AH332" s="45">
        <v>10.2</v>
      </c>
      <c r="AI332" s="45">
        <v>12.4</v>
      </c>
      <c r="AJ332" s="45">
        <v>12.2</v>
      </c>
      <c r="AK332" s="45">
        <v>13.4</v>
      </c>
      <c r="AL332" s="45">
        <v>9.800000000000001</v>
      </c>
      <c r="AM332" s="45">
        <v>10.8</v>
      </c>
      <c r="AN332" s="45">
        <v>10.4</v>
      </c>
      <c r="AO332" s="45">
        <v>11.6</v>
      </c>
      <c r="AP332" s="45">
        <v>7.8</v>
      </c>
      <c r="AQ332" s="45">
        <v>5.1</v>
      </c>
      <c r="AR332" s="45">
        <v>0</v>
      </c>
      <c r="AS332" s="45">
        <v>0</v>
      </c>
      <c r="AT332" s="45">
        <v>0</v>
      </c>
      <c r="AU332" s="45">
        <v>0</v>
      </c>
      <c r="AV332" s="45">
        <v>0</v>
      </c>
      <c r="AW332" s="45">
        <v>0</v>
      </c>
      <c r="AX332" s="45">
        <v>0</v>
      </c>
      <c r="AY332" s="45">
        <v>0</v>
      </c>
      <c r="AZ332" s="45">
        <v>0</v>
      </c>
      <c r="BA332" s="45">
        <v>0</v>
      </c>
      <c r="BB332" s="45">
        <v>0</v>
      </c>
      <c r="BC332" s="45">
        <v>0</v>
      </c>
      <c r="BD332" s="45">
        <v>0</v>
      </c>
      <c r="BE332" s="45">
        <v>0</v>
      </c>
      <c r="BF332" s="45">
        <v>0</v>
      </c>
      <c r="BG332" s="45">
        <v>0</v>
      </c>
    </row>
    <row r="333" spans="1:59">
      <c r="A333" s="18" t="s">
        <v>168</v>
      </c>
      <c r="B333" s="18" t="s">
        <v>162</v>
      </c>
      <c r="C333" s="18" t="s">
        <v>78</v>
      </c>
      <c r="D333" s="45">
        <v>0</v>
      </c>
      <c r="E333" s="45">
        <v>0</v>
      </c>
      <c r="F333" s="45">
        <v>0</v>
      </c>
      <c r="G333" s="45">
        <v>0</v>
      </c>
      <c r="H333" s="45">
        <v>0</v>
      </c>
      <c r="I333" s="45">
        <v>0</v>
      </c>
      <c r="J333" s="45">
        <v>11.3</v>
      </c>
      <c r="K333" s="45">
        <v>11.4</v>
      </c>
      <c r="L333" s="45">
        <v>13.4</v>
      </c>
      <c r="M333" s="45">
        <v>10.9</v>
      </c>
      <c r="N333" s="45">
        <v>9.9</v>
      </c>
      <c r="O333" s="45">
        <v>8.800000000000001</v>
      </c>
      <c r="P333" s="45">
        <v>6.9</v>
      </c>
      <c r="Q333" s="45">
        <v>11.1</v>
      </c>
      <c r="R333" s="45">
        <v>8.300000000000001</v>
      </c>
      <c r="S333" s="45">
        <v>8.6</v>
      </c>
      <c r="T333" s="45">
        <v>6.3</v>
      </c>
      <c r="U333" s="45">
        <v>8.4</v>
      </c>
      <c r="V333" s="45">
        <v>10.5</v>
      </c>
      <c r="W333" s="45">
        <v>9.5</v>
      </c>
      <c r="X333" s="45">
        <v>11.2</v>
      </c>
      <c r="Y333" s="45">
        <v>9.4</v>
      </c>
      <c r="Z333" s="45">
        <v>12.5</v>
      </c>
      <c r="AA333" s="45">
        <v>12</v>
      </c>
      <c r="AB333" s="45">
        <v>11.5</v>
      </c>
      <c r="AC333" s="45">
        <v>10.1</v>
      </c>
      <c r="AD333" s="45">
        <v>8.4</v>
      </c>
      <c r="AE333" s="45">
        <v>7.8</v>
      </c>
      <c r="AF333" s="45">
        <v>9.199999999999999</v>
      </c>
      <c r="AG333" s="45">
        <v>7.8</v>
      </c>
      <c r="AH333" s="45">
        <v>8.300000000000001</v>
      </c>
      <c r="AI333" s="45">
        <v>9.6</v>
      </c>
      <c r="AJ333" s="45">
        <v>10.2</v>
      </c>
      <c r="AK333" s="45">
        <v>8.5</v>
      </c>
      <c r="AL333" s="45">
        <v>10.7</v>
      </c>
      <c r="AM333" s="45">
        <v>10.8</v>
      </c>
      <c r="AN333" s="45">
        <v>9.199999999999999</v>
      </c>
      <c r="AO333" s="45">
        <v>8</v>
      </c>
      <c r="AP333" s="45">
        <v>8</v>
      </c>
      <c r="AQ333" s="45">
        <v>7.8</v>
      </c>
      <c r="AR333" s="45">
        <v>5.8</v>
      </c>
      <c r="AS333" s="45">
        <v>0</v>
      </c>
      <c r="AT333" s="45">
        <v>0</v>
      </c>
      <c r="AU333" s="45">
        <v>0</v>
      </c>
      <c r="AV333" s="45">
        <v>0</v>
      </c>
      <c r="AW333" s="45">
        <v>0</v>
      </c>
      <c r="AX333" s="45">
        <v>0</v>
      </c>
      <c r="AY333" s="45">
        <v>0</v>
      </c>
      <c r="AZ333" s="45">
        <v>0</v>
      </c>
      <c r="BA333" s="45">
        <v>0</v>
      </c>
      <c r="BB333" s="45">
        <v>0</v>
      </c>
      <c r="BC333" s="45">
        <v>0</v>
      </c>
      <c r="BD333" s="45">
        <v>0</v>
      </c>
      <c r="BE333" s="45">
        <v>0</v>
      </c>
      <c r="BF333" s="45">
        <v>0</v>
      </c>
      <c r="BG333" s="45">
        <v>0</v>
      </c>
    </row>
    <row r="334" spans="1:59">
      <c r="A334" s="18" t="s">
        <v>169</v>
      </c>
      <c r="B334" s="18" t="s">
        <v>162</v>
      </c>
      <c r="C334" s="18" t="s">
        <v>80</v>
      </c>
      <c r="D334" s="45">
        <v>0</v>
      </c>
      <c r="E334" s="45">
        <v>0</v>
      </c>
      <c r="F334" s="45">
        <v>0</v>
      </c>
      <c r="G334" s="45">
        <v>0</v>
      </c>
      <c r="H334" s="45">
        <v>0</v>
      </c>
      <c r="I334" s="45">
        <v>0</v>
      </c>
      <c r="J334" s="45">
        <v>13.1</v>
      </c>
      <c r="K334" s="45">
        <v>12.9</v>
      </c>
      <c r="L334" s="45">
        <v>13.2</v>
      </c>
      <c r="M334" s="45">
        <v>9.699999999999999</v>
      </c>
      <c r="N334" s="45">
        <v>8.5</v>
      </c>
      <c r="O334" s="45">
        <v>10.3</v>
      </c>
      <c r="P334" s="45">
        <v>7.7</v>
      </c>
      <c r="Q334" s="45">
        <v>7.9</v>
      </c>
      <c r="R334" s="45">
        <v>8.300000000000001</v>
      </c>
      <c r="S334" s="45">
        <v>9.300000000000001</v>
      </c>
      <c r="T334" s="45">
        <v>8.800000000000001</v>
      </c>
      <c r="U334" s="45">
        <v>9.800000000000001</v>
      </c>
      <c r="V334" s="45">
        <v>9.4</v>
      </c>
      <c r="W334" s="45">
        <v>11.7</v>
      </c>
      <c r="X334" s="45">
        <v>10.5</v>
      </c>
      <c r="Y334" s="45">
        <v>10.7</v>
      </c>
      <c r="Z334" s="45">
        <v>12.3</v>
      </c>
      <c r="AA334" s="45">
        <v>12.5</v>
      </c>
      <c r="AB334" s="45">
        <v>10.5</v>
      </c>
      <c r="AC334" s="45">
        <v>8.699999999999999</v>
      </c>
      <c r="AD334" s="45">
        <v>8.9</v>
      </c>
      <c r="AE334" s="45">
        <v>9.5</v>
      </c>
      <c r="AF334" s="45">
        <v>8.4</v>
      </c>
      <c r="AG334" s="45">
        <v>9.5</v>
      </c>
      <c r="AH334" s="45">
        <v>10.9</v>
      </c>
      <c r="AI334" s="45">
        <v>7.9</v>
      </c>
      <c r="AJ334" s="45">
        <v>11.3</v>
      </c>
      <c r="AK334" s="45">
        <v>8</v>
      </c>
      <c r="AL334" s="45">
        <v>10.2</v>
      </c>
      <c r="AM334" s="45">
        <v>8.9</v>
      </c>
      <c r="AN334" s="45">
        <v>7.1</v>
      </c>
      <c r="AO334" s="45">
        <v>7.3</v>
      </c>
      <c r="AP334" s="45">
        <v>7.1</v>
      </c>
      <c r="AQ334" s="45">
        <v>8.199999999999999</v>
      </c>
      <c r="AR334" s="45">
        <v>8.6</v>
      </c>
      <c r="AS334" s="45">
        <v>0</v>
      </c>
      <c r="AT334" s="45">
        <v>0</v>
      </c>
      <c r="AU334" s="45">
        <v>0</v>
      </c>
      <c r="AV334" s="45">
        <v>0</v>
      </c>
      <c r="AW334" s="45">
        <v>0</v>
      </c>
      <c r="AX334" s="45">
        <v>0</v>
      </c>
      <c r="AY334" s="45">
        <v>0</v>
      </c>
      <c r="AZ334" s="45">
        <v>0</v>
      </c>
      <c r="BA334" s="45">
        <v>0</v>
      </c>
      <c r="BB334" s="45">
        <v>0</v>
      </c>
      <c r="BC334" s="45">
        <v>0</v>
      </c>
      <c r="BD334" s="45">
        <v>0</v>
      </c>
      <c r="BE334" s="45">
        <v>0</v>
      </c>
      <c r="BF334" s="45">
        <v>0</v>
      </c>
      <c r="BG334" s="45">
        <v>0</v>
      </c>
    </row>
    <row r="335" spans="1:59">
      <c r="A335" s="18" t="s">
        <v>170</v>
      </c>
      <c r="B335" s="18" t="s">
        <v>162</v>
      </c>
      <c r="C335" s="18" t="s">
        <v>82</v>
      </c>
      <c r="D335" s="45">
        <v>0</v>
      </c>
      <c r="E335" s="45">
        <v>0</v>
      </c>
      <c r="F335" s="45">
        <v>0</v>
      </c>
      <c r="G335" s="45">
        <v>0</v>
      </c>
      <c r="H335" s="45">
        <v>0</v>
      </c>
      <c r="I335" s="45">
        <v>0</v>
      </c>
      <c r="J335" s="45">
        <v>9.699999999999999</v>
      </c>
      <c r="K335" s="45">
        <v>12.6</v>
      </c>
      <c r="L335" s="45">
        <v>10.4</v>
      </c>
      <c r="M335" s="45">
        <v>9.9</v>
      </c>
      <c r="N335" s="45">
        <v>9.4</v>
      </c>
      <c r="O335" s="45">
        <v>9.699999999999999</v>
      </c>
      <c r="P335" s="45">
        <v>8.199999999999999</v>
      </c>
      <c r="Q335" s="45">
        <v>7.1</v>
      </c>
      <c r="R335" s="45">
        <v>8.800000000000001</v>
      </c>
      <c r="S335" s="45">
        <v>6.9</v>
      </c>
      <c r="T335" s="45">
        <v>8.6</v>
      </c>
      <c r="U335" s="45">
        <v>8.300000000000001</v>
      </c>
      <c r="V335" s="45">
        <v>9</v>
      </c>
      <c r="W335" s="45">
        <v>11.1</v>
      </c>
      <c r="X335" s="45">
        <v>12.8</v>
      </c>
      <c r="Y335" s="45">
        <v>10.5</v>
      </c>
      <c r="Z335" s="45">
        <v>12.4</v>
      </c>
      <c r="AA335" s="45">
        <v>9.199999999999999</v>
      </c>
      <c r="AB335" s="45">
        <v>12.4</v>
      </c>
      <c r="AC335" s="45">
        <v>7.8</v>
      </c>
      <c r="AD335" s="45">
        <v>8</v>
      </c>
      <c r="AE335" s="45">
        <v>9</v>
      </c>
      <c r="AF335" s="45">
        <v>8</v>
      </c>
      <c r="AG335" s="45">
        <v>7.9</v>
      </c>
      <c r="AH335" s="45">
        <v>9.5</v>
      </c>
      <c r="AI335" s="45">
        <v>8.699999999999999</v>
      </c>
      <c r="AJ335" s="45">
        <v>8.699999999999999</v>
      </c>
      <c r="AK335" s="45">
        <v>8.800000000000001</v>
      </c>
      <c r="AL335" s="45">
        <v>10.8</v>
      </c>
      <c r="AM335" s="45">
        <v>7.2</v>
      </c>
      <c r="AN335" s="45">
        <v>8.699999999999999</v>
      </c>
      <c r="AO335" s="45">
        <v>7.7</v>
      </c>
      <c r="AP335" s="45">
        <v>7.4</v>
      </c>
      <c r="AQ335" s="45">
        <v>6.1</v>
      </c>
      <c r="AR335" s="45">
        <v>5.8</v>
      </c>
      <c r="AS335" s="45">
        <v>0</v>
      </c>
      <c r="AT335" s="45">
        <v>0</v>
      </c>
      <c r="AU335" s="45">
        <v>0</v>
      </c>
      <c r="AV335" s="45">
        <v>0</v>
      </c>
      <c r="AW335" s="45">
        <v>0</v>
      </c>
      <c r="AX335" s="45">
        <v>0</v>
      </c>
      <c r="AY335" s="45">
        <v>0</v>
      </c>
      <c r="AZ335" s="45">
        <v>0</v>
      </c>
      <c r="BA335" s="45">
        <v>0</v>
      </c>
      <c r="BB335" s="45">
        <v>0</v>
      </c>
      <c r="BC335" s="45">
        <v>0</v>
      </c>
      <c r="BD335" s="45">
        <v>0</v>
      </c>
      <c r="BE335" s="45">
        <v>0</v>
      </c>
      <c r="BF335" s="45">
        <v>0</v>
      </c>
      <c r="BG335" s="45">
        <v>0</v>
      </c>
    </row>
    <row r="336" spans="1:59">
      <c r="A336" s="18" t="s">
        <v>171</v>
      </c>
      <c r="B336" s="18" t="s">
        <v>162</v>
      </c>
      <c r="C336" s="18" t="s">
        <v>84</v>
      </c>
      <c r="D336" s="45">
        <v>0</v>
      </c>
      <c r="E336" s="45">
        <v>0</v>
      </c>
      <c r="F336" s="45">
        <v>0</v>
      </c>
      <c r="G336" s="45">
        <v>0</v>
      </c>
      <c r="H336" s="45">
        <v>0</v>
      </c>
      <c r="I336" s="45">
        <v>0</v>
      </c>
      <c r="J336" s="45">
        <v>12.3</v>
      </c>
      <c r="K336" s="45">
        <v>13.5</v>
      </c>
      <c r="L336" s="45">
        <v>17.3</v>
      </c>
      <c r="M336" s="45">
        <v>10.2</v>
      </c>
      <c r="N336" s="45">
        <v>11.5</v>
      </c>
      <c r="O336" s="45">
        <v>7.9</v>
      </c>
      <c r="P336" s="45">
        <v>8.6</v>
      </c>
      <c r="Q336" s="45">
        <v>7.9</v>
      </c>
      <c r="R336" s="45">
        <v>8.800000000000001</v>
      </c>
      <c r="S336" s="45">
        <v>8.300000000000001</v>
      </c>
      <c r="T336" s="45">
        <v>7.9</v>
      </c>
      <c r="U336" s="45">
        <v>9.6</v>
      </c>
      <c r="V336" s="45">
        <v>9.699999999999999</v>
      </c>
      <c r="W336" s="45">
        <v>8.800000000000001</v>
      </c>
      <c r="X336" s="45">
        <v>15.2</v>
      </c>
      <c r="Y336" s="45">
        <v>13.8</v>
      </c>
      <c r="Z336" s="45">
        <v>9.4</v>
      </c>
      <c r="AA336" s="45">
        <v>13.7</v>
      </c>
      <c r="AB336" s="45">
        <v>12.8</v>
      </c>
      <c r="AC336" s="45">
        <v>10.2</v>
      </c>
      <c r="AD336" s="45">
        <v>9.1</v>
      </c>
      <c r="AE336" s="45">
        <v>7.9</v>
      </c>
      <c r="AF336" s="45">
        <v>7</v>
      </c>
      <c r="AG336" s="45">
        <v>10.2</v>
      </c>
      <c r="AH336" s="45">
        <v>9.199999999999999</v>
      </c>
      <c r="AI336" s="45">
        <v>10</v>
      </c>
      <c r="AJ336" s="45">
        <v>8.300000000000001</v>
      </c>
      <c r="AK336" s="45">
        <v>9.1</v>
      </c>
      <c r="AL336" s="45">
        <v>12.6</v>
      </c>
      <c r="AM336" s="45">
        <v>7.2</v>
      </c>
      <c r="AN336" s="45">
        <v>8.800000000000001</v>
      </c>
      <c r="AO336" s="45">
        <v>7.5</v>
      </c>
      <c r="AP336" s="45">
        <v>7</v>
      </c>
      <c r="AQ336" s="45">
        <v>6</v>
      </c>
      <c r="AR336" s="45">
        <v>0</v>
      </c>
      <c r="AS336" s="45">
        <v>0</v>
      </c>
      <c r="AT336" s="45">
        <v>0</v>
      </c>
      <c r="AU336" s="45">
        <v>0</v>
      </c>
      <c r="AV336" s="45">
        <v>0</v>
      </c>
      <c r="AW336" s="45">
        <v>0</v>
      </c>
      <c r="AX336" s="45">
        <v>0</v>
      </c>
      <c r="AY336" s="45">
        <v>0</v>
      </c>
      <c r="AZ336" s="45">
        <v>0</v>
      </c>
      <c r="BA336" s="45">
        <v>0</v>
      </c>
      <c r="BB336" s="45">
        <v>0</v>
      </c>
      <c r="BC336" s="45">
        <v>0</v>
      </c>
      <c r="BD336" s="45">
        <v>0</v>
      </c>
      <c r="BE336" s="45">
        <v>0</v>
      </c>
      <c r="BF336" s="45">
        <v>0</v>
      </c>
      <c r="BG336" s="45">
        <v>0</v>
      </c>
    </row>
    <row r="337" spans="1:59">
      <c r="A337" s="18" t="s">
        <v>172</v>
      </c>
      <c r="B337" s="18" t="s">
        <v>162</v>
      </c>
      <c r="C337" s="18" t="s">
        <v>86</v>
      </c>
      <c r="D337" s="45">
        <v>0</v>
      </c>
      <c r="E337" s="45">
        <v>0</v>
      </c>
      <c r="F337" s="45">
        <v>0</v>
      </c>
      <c r="G337" s="45">
        <v>0</v>
      </c>
      <c r="H337" s="45">
        <v>0</v>
      </c>
      <c r="I337" s="45">
        <v>0</v>
      </c>
      <c r="J337" s="45">
        <v>0</v>
      </c>
      <c r="K337" s="45">
        <v>0</v>
      </c>
      <c r="L337" s="45">
        <v>2.3</v>
      </c>
      <c r="M337" s="45">
        <v>3.2</v>
      </c>
      <c r="N337" s="45">
        <v>3.4</v>
      </c>
      <c r="O337" s="45">
        <v>2.9</v>
      </c>
      <c r="P337" s="45">
        <v>2.1</v>
      </c>
      <c r="Q337" s="45">
        <v>2.8</v>
      </c>
      <c r="R337" s="45">
        <v>2.4</v>
      </c>
      <c r="S337" s="45">
        <v>3.9</v>
      </c>
      <c r="T337" s="45">
        <v>2.1</v>
      </c>
      <c r="U337" s="45">
        <v>2.8</v>
      </c>
      <c r="V337" s="45">
        <v>3.6</v>
      </c>
      <c r="W337" s="45">
        <v>2.9</v>
      </c>
      <c r="X337" s="45">
        <v>3.4</v>
      </c>
      <c r="Y337" s="45">
        <v>4</v>
      </c>
      <c r="Z337" s="45">
        <v>3.3</v>
      </c>
      <c r="AA337" s="45">
        <v>2.7</v>
      </c>
      <c r="AB337" s="45">
        <v>3.9</v>
      </c>
      <c r="AC337" s="45">
        <v>3.1</v>
      </c>
      <c r="AD337" s="45">
        <v>2.4</v>
      </c>
      <c r="AE337" s="45">
        <v>1.6</v>
      </c>
      <c r="AF337" s="45">
        <v>3.2</v>
      </c>
      <c r="AG337" s="45">
        <v>2.5</v>
      </c>
      <c r="AH337" s="45">
        <v>4</v>
      </c>
      <c r="AI337" s="45">
        <v>2.8</v>
      </c>
      <c r="AJ337" s="45">
        <v>2.3</v>
      </c>
      <c r="AK337" s="45">
        <v>3.7</v>
      </c>
      <c r="AL337" s="45">
        <v>7.1</v>
      </c>
      <c r="AM337" s="45">
        <v>1.8</v>
      </c>
      <c r="AN337" s="45">
        <v>7.7</v>
      </c>
      <c r="AO337" s="45">
        <v>1.8</v>
      </c>
      <c r="AP337" s="45">
        <v>3.2</v>
      </c>
      <c r="AQ337" s="45">
        <v>1.1</v>
      </c>
      <c r="AR337" s="45">
        <v>0</v>
      </c>
      <c r="AS337" s="45">
        <v>0</v>
      </c>
      <c r="AT337" s="45">
        <v>0</v>
      </c>
      <c r="AU337" s="45">
        <v>0</v>
      </c>
      <c r="AV337" s="45">
        <v>0</v>
      </c>
      <c r="AW337" s="45">
        <v>0</v>
      </c>
      <c r="AX337" s="45">
        <v>0</v>
      </c>
      <c r="AY337" s="45">
        <v>0</v>
      </c>
      <c r="AZ337" s="45">
        <v>0</v>
      </c>
      <c r="BA337" s="45">
        <v>0</v>
      </c>
      <c r="BB337" s="45">
        <v>0</v>
      </c>
      <c r="BC337" s="45">
        <v>0</v>
      </c>
      <c r="BD337" s="45">
        <v>0</v>
      </c>
      <c r="BE337" s="45">
        <v>0</v>
      </c>
      <c r="BF337" s="45">
        <v>0</v>
      </c>
      <c r="BG337" s="45">
        <v>0</v>
      </c>
    </row>
    <row r="338" spans="1:59">
      <c r="A338" s="18" t="s">
        <v>173</v>
      </c>
      <c r="B338" s="18" t="s">
        <v>162</v>
      </c>
      <c r="C338" s="18" t="s">
        <v>88</v>
      </c>
      <c r="D338" s="45">
        <v>0</v>
      </c>
      <c r="E338" s="45">
        <v>0</v>
      </c>
      <c r="F338" s="45">
        <v>0</v>
      </c>
      <c r="G338" s="45">
        <v>0</v>
      </c>
      <c r="H338" s="45">
        <v>0</v>
      </c>
      <c r="I338" s="45">
        <v>6.8</v>
      </c>
      <c r="J338" s="45">
        <v>6.6</v>
      </c>
      <c r="K338" s="45">
        <v>6</v>
      </c>
      <c r="L338" s="45">
        <v>3.6</v>
      </c>
      <c r="M338" s="45">
        <v>3.4</v>
      </c>
      <c r="N338" s="45">
        <v>4.5</v>
      </c>
      <c r="O338" s="45">
        <v>3.5</v>
      </c>
      <c r="P338" s="45">
        <v>4.6</v>
      </c>
      <c r="Q338" s="45">
        <v>4</v>
      </c>
      <c r="R338" s="45">
        <v>4.2</v>
      </c>
      <c r="S338" s="45">
        <v>4.1</v>
      </c>
      <c r="T338" s="45">
        <v>3.4</v>
      </c>
      <c r="U338" s="45">
        <v>4.1</v>
      </c>
      <c r="V338" s="45">
        <v>4.8</v>
      </c>
      <c r="W338" s="45">
        <v>5.4</v>
      </c>
      <c r="X338" s="45">
        <v>5.2</v>
      </c>
      <c r="Y338" s="45">
        <v>5.4</v>
      </c>
      <c r="Z338" s="45">
        <v>5.6</v>
      </c>
      <c r="AA338" s="45">
        <v>6.1</v>
      </c>
      <c r="AB338" s="45">
        <v>3.8</v>
      </c>
      <c r="AC338" s="45">
        <v>4.7</v>
      </c>
      <c r="AD338" s="45">
        <v>4.7</v>
      </c>
      <c r="AE338" s="45">
        <v>5.8</v>
      </c>
      <c r="AF338" s="45">
        <v>4.3</v>
      </c>
      <c r="AG338" s="45">
        <v>6.7</v>
      </c>
      <c r="AH338" s="45">
        <v>3.9</v>
      </c>
      <c r="AI338" s="45">
        <v>3.9</v>
      </c>
      <c r="AJ338" s="45">
        <v>4.4</v>
      </c>
      <c r="AK338" s="45">
        <v>5.8</v>
      </c>
      <c r="AL338" s="45">
        <v>3.9</v>
      </c>
      <c r="AM338" s="45">
        <v>4.6</v>
      </c>
      <c r="AN338" s="45">
        <v>5.4</v>
      </c>
      <c r="AO338" s="45">
        <v>5.2</v>
      </c>
      <c r="AP338" s="45">
        <v>5.3</v>
      </c>
      <c r="AQ338" s="45">
        <v>5</v>
      </c>
      <c r="AR338" s="45">
        <v>4.2</v>
      </c>
      <c r="AS338" s="45">
        <v>0</v>
      </c>
      <c r="AT338" s="45">
        <v>0</v>
      </c>
      <c r="AU338" s="45">
        <v>0</v>
      </c>
      <c r="AV338" s="45">
        <v>0</v>
      </c>
      <c r="AW338" s="45">
        <v>0</v>
      </c>
      <c r="AX338" s="45">
        <v>0</v>
      </c>
      <c r="AY338" s="45">
        <v>0</v>
      </c>
      <c r="AZ338" s="45">
        <v>0</v>
      </c>
      <c r="BA338" s="45">
        <v>0</v>
      </c>
      <c r="BB338" s="45">
        <v>0</v>
      </c>
      <c r="BC338" s="45">
        <v>0</v>
      </c>
      <c r="BD338" s="45">
        <v>0</v>
      </c>
      <c r="BE338" s="45">
        <v>0</v>
      </c>
      <c r="BF338" s="45">
        <v>0</v>
      </c>
      <c r="BG338" s="45">
        <v>0</v>
      </c>
    </row>
    <row r="339" spans="1:59">
      <c r="A339" s="18" t="s">
        <v>174</v>
      </c>
      <c r="B339" s="18" t="s">
        <v>162</v>
      </c>
      <c r="C339" s="18" t="s">
        <v>90</v>
      </c>
      <c r="D339" s="45">
        <v>0</v>
      </c>
      <c r="E339" s="45">
        <v>0</v>
      </c>
      <c r="F339" s="45">
        <v>0</v>
      </c>
      <c r="G339" s="45">
        <v>0</v>
      </c>
      <c r="H339" s="45">
        <v>0</v>
      </c>
      <c r="I339" s="45">
        <v>3.7</v>
      </c>
      <c r="J339" s="45">
        <v>4.6</v>
      </c>
      <c r="K339" s="45">
        <v>5.5</v>
      </c>
      <c r="L339" s="45">
        <v>4.6</v>
      </c>
      <c r="M339" s="45">
        <v>5.8</v>
      </c>
      <c r="N339" s="45">
        <v>5</v>
      </c>
      <c r="O339" s="45">
        <v>4.7</v>
      </c>
      <c r="P339" s="45">
        <v>5.4</v>
      </c>
      <c r="Q339" s="45">
        <v>4.6</v>
      </c>
      <c r="R339" s="45">
        <v>5.2</v>
      </c>
      <c r="S339" s="45">
        <v>5.3</v>
      </c>
      <c r="T339" s="45">
        <v>5.7</v>
      </c>
      <c r="U339" s="45">
        <v>4.2</v>
      </c>
      <c r="V339" s="45">
        <v>4.6</v>
      </c>
      <c r="W339" s="45">
        <v>6</v>
      </c>
      <c r="X339" s="45">
        <v>6.4</v>
      </c>
      <c r="Y339" s="45">
        <v>5.2</v>
      </c>
      <c r="Z339" s="45">
        <v>4.5</v>
      </c>
      <c r="AA339" s="45">
        <v>6.3</v>
      </c>
      <c r="AB339" s="45">
        <v>5.2</v>
      </c>
      <c r="AC339" s="45">
        <v>5.3</v>
      </c>
      <c r="AD339" s="45">
        <v>6.3</v>
      </c>
      <c r="AE339" s="45">
        <v>5.1</v>
      </c>
      <c r="AF339" s="45">
        <v>5.4</v>
      </c>
      <c r="AG339" s="45">
        <v>5</v>
      </c>
      <c r="AH339" s="45">
        <v>4.6</v>
      </c>
      <c r="AI339" s="45">
        <v>5.9</v>
      </c>
      <c r="AJ339" s="45">
        <v>7</v>
      </c>
      <c r="AK339" s="45">
        <v>5.2</v>
      </c>
      <c r="AL339" s="45">
        <v>6.2</v>
      </c>
      <c r="AM339" s="45">
        <v>5.6</v>
      </c>
      <c r="AN339" s="45">
        <v>6.5</v>
      </c>
      <c r="AO339" s="45">
        <v>6.5</v>
      </c>
      <c r="AP339" s="45">
        <v>7</v>
      </c>
      <c r="AQ339" s="45">
        <v>6.9</v>
      </c>
      <c r="AR339" s="45">
        <v>7.8</v>
      </c>
      <c r="AS339" s="45">
        <v>0</v>
      </c>
      <c r="AT339" s="45">
        <v>0</v>
      </c>
      <c r="AU339" s="45">
        <v>0</v>
      </c>
      <c r="AV339" s="45">
        <v>0</v>
      </c>
      <c r="AW339" s="45">
        <v>0</v>
      </c>
      <c r="AX339" s="45">
        <v>0</v>
      </c>
      <c r="AY339" s="45">
        <v>0</v>
      </c>
      <c r="AZ339" s="45">
        <v>0</v>
      </c>
      <c r="BA339" s="45">
        <v>0</v>
      </c>
      <c r="BB339" s="45">
        <v>0</v>
      </c>
      <c r="BC339" s="45">
        <v>0</v>
      </c>
      <c r="BD339" s="45">
        <v>0</v>
      </c>
      <c r="BE339" s="45">
        <v>0</v>
      </c>
      <c r="BF339" s="45">
        <v>0</v>
      </c>
      <c r="BG339" s="45">
        <v>0</v>
      </c>
    </row>
    <row r="340" spans="1:59">
      <c r="A340" s="18" t="s">
        <v>175</v>
      </c>
      <c r="B340" s="18" t="s">
        <v>176</v>
      </c>
      <c r="C340" s="18" t="s">
        <v>66</v>
      </c>
      <c r="D340" s="45">
        <v>0</v>
      </c>
      <c r="E340" s="45">
        <v>0</v>
      </c>
      <c r="F340" s="45">
        <v>0</v>
      </c>
      <c r="G340" s="45">
        <v>0</v>
      </c>
      <c r="H340" s="45">
        <v>0</v>
      </c>
      <c r="I340" s="45">
        <v>16.5</v>
      </c>
      <c r="J340" s="45">
        <v>19.1</v>
      </c>
      <c r="K340" s="45">
        <v>18.4</v>
      </c>
      <c r="L340" s="45">
        <v>17.3</v>
      </c>
      <c r="M340" s="45">
        <v>15.4</v>
      </c>
      <c r="N340" s="45">
        <v>14.1</v>
      </c>
      <c r="O340" s="45">
        <v>13.9</v>
      </c>
      <c r="P340" s="45">
        <v>14.4</v>
      </c>
      <c r="Q340" s="45">
        <v>12.9</v>
      </c>
      <c r="R340" s="45">
        <v>12.9</v>
      </c>
      <c r="S340" s="45">
        <v>13.1</v>
      </c>
      <c r="T340" s="45">
        <v>13.4</v>
      </c>
      <c r="U340" s="45">
        <v>15.3</v>
      </c>
      <c r="V340" s="45">
        <v>16.2</v>
      </c>
      <c r="W340" s="45">
        <v>18.4</v>
      </c>
      <c r="X340" s="45">
        <v>18.5</v>
      </c>
      <c r="Y340" s="45">
        <v>17.9</v>
      </c>
      <c r="Z340" s="45">
        <v>17.3</v>
      </c>
      <c r="AA340" s="45">
        <v>17.4</v>
      </c>
      <c r="AB340" s="45">
        <v>15.7</v>
      </c>
      <c r="AC340" s="45">
        <v>15.2</v>
      </c>
      <c r="AD340" s="45">
        <v>14.7</v>
      </c>
      <c r="AE340" s="45">
        <v>15.9</v>
      </c>
      <c r="AF340" s="45">
        <v>14.4</v>
      </c>
      <c r="AG340" s="45">
        <v>14.8</v>
      </c>
      <c r="AH340" s="45">
        <v>15.6</v>
      </c>
      <c r="AI340" s="45">
        <v>15</v>
      </c>
      <c r="AJ340" s="45">
        <v>15.6</v>
      </c>
      <c r="AK340" s="45">
        <v>14.8</v>
      </c>
      <c r="AL340" s="45">
        <v>13.7</v>
      </c>
      <c r="AM340" s="45">
        <v>13.9</v>
      </c>
      <c r="AN340" s="45">
        <v>12</v>
      </c>
      <c r="AO340" s="45">
        <v>11.8</v>
      </c>
      <c r="AP340" s="45">
        <v>9.4</v>
      </c>
      <c r="AQ340" s="45">
        <v>6.6</v>
      </c>
      <c r="AR340" s="45">
        <v>2.9</v>
      </c>
      <c r="AS340" s="45">
        <v>0</v>
      </c>
      <c r="AT340" s="45">
        <v>0</v>
      </c>
      <c r="AU340" s="45">
        <v>0</v>
      </c>
      <c r="AV340" s="45">
        <v>0</v>
      </c>
      <c r="AW340" s="45">
        <v>0</v>
      </c>
      <c r="AX340" s="45">
        <v>0</v>
      </c>
      <c r="AY340" s="45">
        <v>0</v>
      </c>
      <c r="AZ340" s="45">
        <v>0</v>
      </c>
      <c r="BA340" s="45">
        <v>0</v>
      </c>
      <c r="BB340" s="45">
        <v>0</v>
      </c>
      <c r="BC340" s="45">
        <v>0</v>
      </c>
      <c r="BD340" s="45">
        <v>0</v>
      </c>
      <c r="BE340" s="45">
        <v>0</v>
      </c>
      <c r="BF340" s="45">
        <v>0</v>
      </c>
      <c r="BG340" s="45">
        <v>0</v>
      </c>
    </row>
    <row r="341" spans="1:59">
      <c r="A341" s="18" t="s">
        <v>177</v>
      </c>
      <c r="B341" s="18" t="s">
        <v>176</v>
      </c>
      <c r="C341" s="18" t="s">
        <v>68</v>
      </c>
      <c r="D341" s="45">
        <v>0</v>
      </c>
      <c r="E341" s="45">
        <v>0</v>
      </c>
      <c r="F341" s="45">
        <v>0</v>
      </c>
      <c r="G341" s="45">
        <v>0</v>
      </c>
      <c r="H341" s="45">
        <v>0</v>
      </c>
      <c r="I341" s="45">
        <v>0</v>
      </c>
      <c r="J341" s="45">
        <v>18</v>
      </c>
      <c r="K341" s="45">
        <v>21.6</v>
      </c>
      <c r="L341" s="45">
        <v>16.8</v>
      </c>
      <c r="M341" s="45">
        <v>17.2</v>
      </c>
      <c r="N341" s="45">
        <v>16.8</v>
      </c>
      <c r="O341" s="45">
        <v>16.1</v>
      </c>
      <c r="P341" s="45">
        <v>13.8</v>
      </c>
      <c r="Q341" s="45">
        <v>11.6</v>
      </c>
      <c r="R341" s="45">
        <v>16</v>
      </c>
      <c r="S341" s="45">
        <v>13.1</v>
      </c>
      <c r="T341" s="45">
        <v>18</v>
      </c>
      <c r="U341" s="45">
        <v>16</v>
      </c>
      <c r="V341" s="45">
        <v>20.5</v>
      </c>
      <c r="W341" s="45">
        <v>16.9</v>
      </c>
      <c r="X341" s="45">
        <v>20.1</v>
      </c>
      <c r="Y341" s="45">
        <v>18.6</v>
      </c>
      <c r="Z341" s="45">
        <v>19.1</v>
      </c>
      <c r="AA341" s="45">
        <v>20.8</v>
      </c>
      <c r="AB341" s="45">
        <v>15.9</v>
      </c>
      <c r="AC341" s="45">
        <v>16</v>
      </c>
      <c r="AD341" s="45">
        <v>16.7</v>
      </c>
      <c r="AE341" s="45">
        <v>18.6</v>
      </c>
      <c r="AF341" s="45">
        <v>14.9</v>
      </c>
      <c r="AG341" s="45">
        <v>13.7</v>
      </c>
      <c r="AH341" s="45">
        <v>17.6</v>
      </c>
      <c r="AI341" s="45">
        <v>18</v>
      </c>
      <c r="AJ341" s="45">
        <v>20.6</v>
      </c>
      <c r="AK341" s="45">
        <v>15.2</v>
      </c>
      <c r="AL341" s="45">
        <v>16.1</v>
      </c>
      <c r="AM341" s="45">
        <v>16.5</v>
      </c>
      <c r="AN341" s="45">
        <v>15.4</v>
      </c>
      <c r="AO341" s="45">
        <v>15.8</v>
      </c>
      <c r="AP341" s="45">
        <v>10.6</v>
      </c>
      <c r="AQ341" s="45">
        <v>0</v>
      </c>
      <c r="AR341" s="45">
        <v>0</v>
      </c>
      <c r="AS341" s="45">
        <v>0</v>
      </c>
      <c r="AT341" s="45">
        <v>0</v>
      </c>
      <c r="AU341" s="45">
        <v>0</v>
      </c>
      <c r="AV341" s="45">
        <v>0</v>
      </c>
      <c r="AW341" s="45">
        <v>0</v>
      </c>
      <c r="AX341" s="45">
        <v>0</v>
      </c>
      <c r="AY341" s="45">
        <v>0</v>
      </c>
      <c r="AZ341" s="45">
        <v>0</v>
      </c>
      <c r="BA341" s="45">
        <v>0</v>
      </c>
      <c r="BB341" s="45">
        <v>0</v>
      </c>
      <c r="BC341" s="45">
        <v>0</v>
      </c>
      <c r="BD341" s="45">
        <v>0</v>
      </c>
      <c r="BE341" s="45">
        <v>0</v>
      </c>
      <c r="BF341" s="45">
        <v>0</v>
      </c>
      <c r="BG341" s="45">
        <v>0</v>
      </c>
    </row>
    <row r="342" spans="1:59">
      <c r="A342" s="18" t="s">
        <v>178</v>
      </c>
      <c r="B342" s="18" t="s">
        <v>176</v>
      </c>
      <c r="C342" s="18" t="s">
        <v>70</v>
      </c>
      <c r="D342" s="45">
        <v>0</v>
      </c>
      <c r="E342" s="45">
        <v>0</v>
      </c>
      <c r="F342" s="45">
        <v>0</v>
      </c>
      <c r="G342" s="45">
        <v>0</v>
      </c>
      <c r="H342" s="45">
        <v>0</v>
      </c>
      <c r="I342" s="45">
        <v>0</v>
      </c>
      <c r="J342" s="45">
        <v>21.9</v>
      </c>
      <c r="K342" s="45">
        <v>21.2</v>
      </c>
      <c r="L342" s="45">
        <v>18.5</v>
      </c>
      <c r="M342" s="45">
        <v>17</v>
      </c>
      <c r="N342" s="45">
        <v>16.6</v>
      </c>
      <c r="O342" s="45">
        <v>19</v>
      </c>
      <c r="P342" s="45">
        <v>16.1</v>
      </c>
      <c r="Q342" s="45">
        <v>17.8</v>
      </c>
      <c r="R342" s="45">
        <v>11.7</v>
      </c>
      <c r="S342" s="45">
        <v>17</v>
      </c>
      <c r="T342" s="45">
        <v>17.2</v>
      </c>
      <c r="U342" s="45">
        <v>18.4</v>
      </c>
      <c r="V342" s="45">
        <v>21.2</v>
      </c>
      <c r="W342" s="45">
        <v>21.2</v>
      </c>
      <c r="X342" s="45">
        <v>19.8</v>
      </c>
      <c r="Y342" s="45">
        <v>23.8</v>
      </c>
      <c r="Z342" s="45">
        <v>20.1</v>
      </c>
      <c r="AA342" s="45">
        <v>26</v>
      </c>
      <c r="AB342" s="45">
        <v>18</v>
      </c>
      <c r="AC342" s="45">
        <v>20.6</v>
      </c>
      <c r="AD342" s="45">
        <v>19.4</v>
      </c>
      <c r="AE342" s="45">
        <v>17.5</v>
      </c>
      <c r="AF342" s="45">
        <v>18.6</v>
      </c>
      <c r="AG342" s="45">
        <v>17</v>
      </c>
      <c r="AH342" s="45">
        <v>18.2</v>
      </c>
      <c r="AI342" s="45">
        <v>19.5</v>
      </c>
      <c r="AJ342" s="45">
        <v>15.9</v>
      </c>
      <c r="AK342" s="45">
        <v>19.5</v>
      </c>
      <c r="AL342" s="45">
        <v>15.2</v>
      </c>
      <c r="AM342" s="45">
        <v>24.9</v>
      </c>
      <c r="AN342" s="45">
        <v>14.7</v>
      </c>
      <c r="AO342" s="45">
        <v>18.6</v>
      </c>
      <c r="AP342" s="45">
        <v>12.8</v>
      </c>
      <c r="AQ342" s="45">
        <v>9.800000000000001</v>
      </c>
      <c r="AR342" s="45">
        <v>0</v>
      </c>
      <c r="AS342" s="45">
        <v>0</v>
      </c>
      <c r="AT342" s="45">
        <v>0</v>
      </c>
      <c r="AU342" s="45">
        <v>0</v>
      </c>
      <c r="AV342" s="45">
        <v>0</v>
      </c>
      <c r="AW342" s="45">
        <v>0</v>
      </c>
      <c r="AX342" s="45">
        <v>0</v>
      </c>
      <c r="AY342" s="45">
        <v>0</v>
      </c>
      <c r="AZ342" s="45">
        <v>0</v>
      </c>
      <c r="BA342" s="45">
        <v>0</v>
      </c>
      <c r="BB342" s="45">
        <v>0</v>
      </c>
      <c r="BC342" s="45">
        <v>0</v>
      </c>
      <c r="BD342" s="45">
        <v>0</v>
      </c>
      <c r="BE342" s="45">
        <v>0</v>
      </c>
      <c r="BF342" s="45">
        <v>0</v>
      </c>
      <c r="BG342" s="45">
        <v>0</v>
      </c>
    </row>
    <row r="343" spans="1:59">
      <c r="A343" s="18" t="s">
        <v>179</v>
      </c>
      <c r="B343" s="18" t="s">
        <v>176</v>
      </c>
      <c r="C343" s="18" t="s">
        <v>72</v>
      </c>
      <c r="D343" s="45">
        <v>0</v>
      </c>
      <c r="E343" s="45">
        <v>0</v>
      </c>
      <c r="F343" s="45">
        <v>0</v>
      </c>
      <c r="G343" s="45">
        <v>0</v>
      </c>
      <c r="H343" s="45">
        <v>0</v>
      </c>
      <c r="I343" s="45">
        <v>0</v>
      </c>
      <c r="J343" s="45">
        <v>22.7</v>
      </c>
      <c r="K343" s="45">
        <v>20.7</v>
      </c>
      <c r="L343" s="45">
        <v>23.2</v>
      </c>
      <c r="M343" s="45">
        <v>23.6</v>
      </c>
      <c r="N343" s="45">
        <v>17.9</v>
      </c>
      <c r="O343" s="45">
        <v>11.2</v>
      </c>
      <c r="P343" s="45">
        <v>18.3</v>
      </c>
      <c r="Q343" s="45">
        <v>13.2</v>
      </c>
      <c r="R343" s="45">
        <v>16.8</v>
      </c>
      <c r="S343" s="45">
        <v>16.2</v>
      </c>
      <c r="T343" s="45">
        <v>14.4</v>
      </c>
      <c r="U343" s="45">
        <v>18.8</v>
      </c>
      <c r="V343" s="45">
        <v>18</v>
      </c>
      <c r="W343" s="45">
        <v>19.9</v>
      </c>
      <c r="X343" s="45">
        <v>24.5</v>
      </c>
      <c r="Y343" s="45">
        <v>21.7</v>
      </c>
      <c r="Z343" s="45">
        <v>18.9</v>
      </c>
      <c r="AA343" s="45">
        <v>20.1</v>
      </c>
      <c r="AB343" s="45">
        <v>15.5</v>
      </c>
      <c r="AC343" s="45">
        <v>15.5</v>
      </c>
      <c r="AD343" s="45">
        <v>16.1</v>
      </c>
      <c r="AE343" s="45">
        <v>18.9</v>
      </c>
      <c r="AF343" s="45">
        <v>16.7</v>
      </c>
      <c r="AG343" s="45">
        <v>20</v>
      </c>
      <c r="AH343" s="45">
        <v>19.2</v>
      </c>
      <c r="AI343" s="45">
        <v>16.6</v>
      </c>
      <c r="AJ343" s="45">
        <v>17.6</v>
      </c>
      <c r="AK343" s="45">
        <v>18.9</v>
      </c>
      <c r="AL343" s="45">
        <v>14.7</v>
      </c>
      <c r="AM343" s="45">
        <v>18.1</v>
      </c>
      <c r="AN343" s="45">
        <v>13.7</v>
      </c>
      <c r="AO343" s="45">
        <v>14.9</v>
      </c>
      <c r="AP343" s="45">
        <v>11.1</v>
      </c>
      <c r="AQ343" s="45">
        <v>6.6</v>
      </c>
      <c r="AR343" s="45">
        <v>0</v>
      </c>
      <c r="AS343" s="45">
        <v>0</v>
      </c>
      <c r="AT343" s="45">
        <v>0</v>
      </c>
      <c r="AU343" s="45">
        <v>0</v>
      </c>
      <c r="AV343" s="45">
        <v>0</v>
      </c>
      <c r="AW343" s="45">
        <v>0</v>
      </c>
      <c r="AX343" s="45">
        <v>0</v>
      </c>
      <c r="AY343" s="45">
        <v>0</v>
      </c>
      <c r="AZ343" s="45">
        <v>0</v>
      </c>
      <c r="BA343" s="45">
        <v>0</v>
      </c>
      <c r="BB343" s="45">
        <v>0</v>
      </c>
      <c r="BC343" s="45">
        <v>0</v>
      </c>
      <c r="BD343" s="45">
        <v>0</v>
      </c>
      <c r="BE343" s="45">
        <v>0</v>
      </c>
      <c r="BF343" s="45">
        <v>0</v>
      </c>
      <c r="BG343" s="45">
        <v>0</v>
      </c>
    </row>
    <row r="344" spans="1:59">
      <c r="A344" s="18" t="s">
        <v>180</v>
      </c>
      <c r="B344" s="18" t="s">
        <v>176</v>
      </c>
      <c r="C344" s="18" t="s">
        <v>74</v>
      </c>
      <c r="D344" s="45">
        <v>0</v>
      </c>
      <c r="E344" s="45">
        <v>0</v>
      </c>
      <c r="F344" s="45">
        <v>0</v>
      </c>
      <c r="G344" s="45">
        <v>0</v>
      </c>
      <c r="H344" s="45">
        <v>0</v>
      </c>
      <c r="I344" s="45">
        <v>12.7</v>
      </c>
      <c r="J344" s="45">
        <v>19.6</v>
      </c>
      <c r="K344" s="45">
        <v>18.6</v>
      </c>
      <c r="L344" s="45">
        <v>18.2</v>
      </c>
      <c r="M344" s="45">
        <v>16.2</v>
      </c>
      <c r="N344" s="45">
        <v>12.3</v>
      </c>
      <c r="O344" s="45">
        <v>17.6</v>
      </c>
      <c r="P344" s="45">
        <v>17</v>
      </c>
      <c r="Q344" s="45">
        <v>13.2</v>
      </c>
      <c r="R344" s="45">
        <v>15.6</v>
      </c>
      <c r="S344" s="45">
        <v>19.5</v>
      </c>
      <c r="T344" s="45">
        <v>15.3</v>
      </c>
      <c r="U344" s="45">
        <v>21</v>
      </c>
      <c r="V344" s="45">
        <v>19.4</v>
      </c>
      <c r="W344" s="45">
        <v>18.6</v>
      </c>
      <c r="X344" s="45">
        <v>25.7</v>
      </c>
      <c r="Y344" s="45">
        <v>20.1</v>
      </c>
      <c r="Z344" s="45">
        <v>18</v>
      </c>
      <c r="AA344" s="45">
        <v>18.6</v>
      </c>
      <c r="AB344" s="45">
        <v>19.1</v>
      </c>
      <c r="AC344" s="45">
        <v>17.3</v>
      </c>
      <c r="AD344" s="45">
        <v>18.6</v>
      </c>
      <c r="AE344" s="45">
        <v>19.7</v>
      </c>
      <c r="AF344" s="45">
        <v>19.5</v>
      </c>
      <c r="AG344" s="45">
        <v>19.5</v>
      </c>
      <c r="AH344" s="45">
        <v>21.6</v>
      </c>
      <c r="AI344" s="45">
        <v>20.8</v>
      </c>
      <c r="AJ344" s="45">
        <v>18.7</v>
      </c>
      <c r="AK344" s="45">
        <v>19.9</v>
      </c>
      <c r="AL344" s="45">
        <v>15.2</v>
      </c>
      <c r="AM344" s="45">
        <v>12.7</v>
      </c>
      <c r="AN344" s="45">
        <v>15</v>
      </c>
      <c r="AO344" s="45">
        <v>13.4</v>
      </c>
      <c r="AP344" s="45">
        <v>12</v>
      </c>
      <c r="AQ344" s="45">
        <v>10.1</v>
      </c>
      <c r="AR344" s="45">
        <v>0</v>
      </c>
      <c r="AS344" s="45">
        <v>0</v>
      </c>
      <c r="AT344" s="45">
        <v>0</v>
      </c>
      <c r="AU344" s="45">
        <v>0</v>
      </c>
      <c r="AV344" s="45">
        <v>0</v>
      </c>
      <c r="AW344" s="45">
        <v>0</v>
      </c>
      <c r="AX344" s="45">
        <v>0</v>
      </c>
      <c r="AY344" s="45">
        <v>0</v>
      </c>
      <c r="AZ344" s="45">
        <v>0</v>
      </c>
      <c r="BA344" s="45">
        <v>0</v>
      </c>
      <c r="BB344" s="45">
        <v>0</v>
      </c>
      <c r="BC344" s="45">
        <v>0</v>
      </c>
      <c r="BD344" s="45">
        <v>0</v>
      </c>
      <c r="BE344" s="45">
        <v>0</v>
      </c>
      <c r="BF344" s="45">
        <v>0</v>
      </c>
      <c r="BG344" s="45">
        <v>0</v>
      </c>
    </row>
    <row r="345" spans="1:59">
      <c r="A345" s="18" t="s">
        <v>181</v>
      </c>
      <c r="B345" s="18" t="s">
        <v>176</v>
      </c>
      <c r="C345" s="18" t="s">
        <v>76</v>
      </c>
      <c r="D345" s="45">
        <v>0</v>
      </c>
      <c r="E345" s="45">
        <v>0</v>
      </c>
      <c r="F345" s="45">
        <v>0</v>
      </c>
      <c r="G345" s="45">
        <v>0</v>
      </c>
      <c r="H345" s="45">
        <v>0</v>
      </c>
      <c r="I345" s="45">
        <v>0</v>
      </c>
      <c r="J345" s="45">
        <v>21.5</v>
      </c>
      <c r="K345" s="45">
        <v>16.7</v>
      </c>
      <c r="L345" s="45">
        <v>17.8</v>
      </c>
      <c r="M345" s="45">
        <v>15.9</v>
      </c>
      <c r="N345" s="45">
        <v>16.4</v>
      </c>
      <c r="O345" s="45">
        <v>17</v>
      </c>
      <c r="P345" s="45">
        <v>16.9</v>
      </c>
      <c r="Q345" s="45">
        <v>17</v>
      </c>
      <c r="R345" s="45">
        <v>12.3</v>
      </c>
      <c r="S345" s="45">
        <v>15.6</v>
      </c>
      <c r="T345" s="45">
        <v>13.6</v>
      </c>
      <c r="U345" s="45">
        <v>17.2</v>
      </c>
      <c r="V345" s="45">
        <v>18.8</v>
      </c>
      <c r="W345" s="45">
        <v>30</v>
      </c>
      <c r="X345" s="45">
        <v>21.5</v>
      </c>
      <c r="Y345" s="45">
        <v>20</v>
      </c>
      <c r="Z345" s="45">
        <v>21.7</v>
      </c>
      <c r="AA345" s="45">
        <v>24.2</v>
      </c>
      <c r="AB345" s="45">
        <v>20.7</v>
      </c>
      <c r="AC345" s="45">
        <v>16.1</v>
      </c>
      <c r="AD345" s="45">
        <v>14.8</v>
      </c>
      <c r="AE345" s="45">
        <v>15</v>
      </c>
      <c r="AF345" s="45">
        <v>16.2</v>
      </c>
      <c r="AG345" s="45">
        <v>19.7</v>
      </c>
      <c r="AH345" s="45">
        <v>17</v>
      </c>
      <c r="AI345" s="45">
        <v>18</v>
      </c>
      <c r="AJ345" s="45">
        <v>14.1</v>
      </c>
      <c r="AK345" s="45">
        <v>16.8</v>
      </c>
      <c r="AL345" s="45">
        <v>14.7</v>
      </c>
      <c r="AM345" s="45">
        <v>20.1</v>
      </c>
      <c r="AN345" s="45">
        <v>14.9</v>
      </c>
      <c r="AO345" s="45">
        <v>15.4</v>
      </c>
      <c r="AP345" s="45">
        <v>14.9</v>
      </c>
      <c r="AQ345" s="45">
        <v>0</v>
      </c>
      <c r="AR345" s="45">
        <v>0</v>
      </c>
      <c r="AS345" s="45">
        <v>0</v>
      </c>
      <c r="AT345" s="45">
        <v>0</v>
      </c>
      <c r="AU345" s="45">
        <v>0</v>
      </c>
      <c r="AV345" s="45">
        <v>0</v>
      </c>
      <c r="AW345" s="45">
        <v>0</v>
      </c>
      <c r="AX345" s="45">
        <v>0</v>
      </c>
      <c r="AY345" s="45">
        <v>0</v>
      </c>
      <c r="AZ345" s="45">
        <v>0</v>
      </c>
      <c r="BA345" s="45">
        <v>0</v>
      </c>
      <c r="BB345" s="45">
        <v>0</v>
      </c>
      <c r="BC345" s="45">
        <v>0</v>
      </c>
      <c r="BD345" s="45">
        <v>0</v>
      </c>
      <c r="BE345" s="45">
        <v>0</v>
      </c>
      <c r="BF345" s="45">
        <v>0</v>
      </c>
      <c r="BG345" s="45">
        <v>0</v>
      </c>
    </row>
    <row r="346" spans="1:59">
      <c r="A346" s="18" t="s">
        <v>182</v>
      </c>
      <c r="B346" s="18" t="s">
        <v>176</v>
      </c>
      <c r="C346" s="18" t="s">
        <v>78</v>
      </c>
      <c r="D346" s="45">
        <v>0</v>
      </c>
      <c r="E346" s="45">
        <v>0</v>
      </c>
      <c r="F346" s="45">
        <v>0</v>
      </c>
      <c r="G346" s="45">
        <v>0</v>
      </c>
      <c r="H346" s="45">
        <v>0</v>
      </c>
      <c r="I346" s="45">
        <v>0</v>
      </c>
      <c r="J346" s="45">
        <v>21.6</v>
      </c>
      <c r="K346" s="45">
        <v>23.4</v>
      </c>
      <c r="L346" s="45">
        <v>24.1</v>
      </c>
      <c r="M346" s="45">
        <v>18.9</v>
      </c>
      <c r="N346" s="45">
        <v>18.4</v>
      </c>
      <c r="O346" s="45">
        <v>19.2</v>
      </c>
      <c r="P346" s="45">
        <v>18.4</v>
      </c>
      <c r="Q346" s="45">
        <v>14.5</v>
      </c>
      <c r="R346" s="45">
        <v>13.9</v>
      </c>
      <c r="S346" s="45">
        <v>13.9</v>
      </c>
      <c r="T346" s="45">
        <v>16.4</v>
      </c>
      <c r="U346" s="45">
        <v>19.6</v>
      </c>
      <c r="V346" s="45">
        <v>18.9</v>
      </c>
      <c r="W346" s="45">
        <v>25.5</v>
      </c>
      <c r="X346" s="45">
        <v>28.7</v>
      </c>
      <c r="Y346" s="45">
        <v>25.7</v>
      </c>
      <c r="Z346" s="45">
        <v>22.6</v>
      </c>
      <c r="AA346" s="45">
        <v>20.4</v>
      </c>
      <c r="AB346" s="45">
        <v>23.5</v>
      </c>
      <c r="AC346" s="45">
        <v>20.3</v>
      </c>
      <c r="AD346" s="45">
        <v>22</v>
      </c>
      <c r="AE346" s="45">
        <v>19.5</v>
      </c>
      <c r="AF346" s="45">
        <v>20.1</v>
      </c>
      <c r="AG346" s="45">
        <v>18.9</v>
      </c>
      <c r="AH346" s="45">
        <v>20.5</v>
      </c>
      <c r="AI346" s="45">
        <v>21.1</v>
      </c>
      <c r="AJ346" s="45">
        <v>19.3</v>
      </c>
      <c r="AK346" s="45">
        <v>17.2</v>
      </c>
      <c r="AL346" s="45">
        <v>18.3</v>
      </c>
      <c r="AM346" s="45">
        <v>18.7</v>
      </c>
      <c r="AN346" s="45">
        <v>15.5</v>
      </c>
      <c r="AO346" s="45">
        <v>15.2</v>
      </c>
      <c r="AP346" s="45">
        <v>12.6</v>
      </c>
      <c r="AQ346" s="45">
        <v>0</v>
      </c>
      <c r="AR346" s="45">
        <v>0</v>
      </c>
      <c r="AS346" s="45">
        <v>0</v>
      </c>
      <c r="AT346" s="45">
        <v>0</v>
      </c>
      <c r="AU346" s="45">
        <v>0</v>
      </c>
      <c r="AV346" s="45">
        <v>0</v>
      </c>
      <c r="AW346" s="45">
        <v>0</v>
      </c>
      <c r="AX346" s="45">
        <v>0</v>
      </c>
      <c r="AY346" s="45">
        <v>0</v>
      </c>
      <c r="AZ346" s="45">
        <v>0</v>
      </c>
      <c r="BA346" s="45">
        <v>0</v>
      </c>
      <c r="BB346" s="45">
        <v>0</v>
      </c>
      <c r="BC346" s="45">
        <v>0</v>
      </c>
      <c r="BD346" s="45">
        <v>0</v>
      </c>
      <c r="BE346" s="45">
        <v>0</v>
      </c>
      <c r="BF346" s="45">
        <v>0</v>
      </c>
      <c r="BG346" s="45">
        <v>0</v>
      </c>
    </row>
    <row r="347" spans="1:59">
      <c r="A347" s="18" t="s">
        <v>183</v>
      </c>
      <c r="B347" s="18" t="s">
        <v>176</v>
      </c>
      <c r="C347" s="18" t="s">
        <v>80</v>
      </c>
      <c r="D347" s="45">
        <v>0</v>
      </c>
      <c r="E347" s="45">
        <v>0</v>
      </c>
      <c r="F347" s="45">
        <v>0</v>
      </c>
      <c r="G347" s="45">
        <v>0</v>
      </c>
      <c r="H347" s="45">
        <v>0</v>
      </c>
      <c r="I347" s="45">
        <v>0</v>
      </c>
      <c r="J347" s="45">
        <v>22.6</v>
      </c>
      <c r="K347" s="45">
        <v>24.3</v>
      </c>
      <c r="L347" s="45">
        <v>22.4</v>
      </c>
      <c r="M347" s="45">
        <v>15.8</v>
      </c>
      <c r="N347" s="45">
        <v>18.1</v>
      </c>
      <c r="O347" s="45">
        <v>19.3</v>
      </c>
      <c r="P347" s="45">
        <v>16.2</v>
      </c>
      <c r="Q347" s="45">
        <v>18.6</v>
      </c>
      <c r="R347" s="45">
        <v>20.2</v>
      </c>
      <c r="S347" s="45">
        <v>19</v>
      </c>
      <c r="T347" s="45">
        <v>14.2</v>
      </c>
      <c r="U347" s="45">
        <v>18.3</v>
      </c>
      <c r="V347" s="45">
        <v>22</v>
      </c>
      <c r="W347" s="45">
        <v>24</v>
      </c>
      <c r="X347" s="45">
        <v>25</v>
      </c>
      <c r="Y347" s="45">
        <v>22.9</v>
      </c>
      <c r="Z347" s="45">
        <v>25.4</v>
      </c>
      <c r="AA347" s="45">
        <v>22.3</v>
      </c>
      <c r="AB347" s="45">
        <v>20.9</v>
      </c>
      <c r="AC347" s="45">
        <v>23.6</v>
      </c>
      <c r="AD347" s="45">
        <v>19.9</v>
      </c>
      <c r="AE347" s="45">
        <v>21.7</v>
      </c>
      <c r="AF347" s="45">
        <v>20.4</v>
      </c>
      <c r="AG347" s="45">
        <v>24.6</v>
      </c>
      <c r="AH347" s="45">
        <v>19.3</v>
      </c>
      <c r="AI347" s="45">
        <v>17.7</v>
      </c>
      <c r="AJ347" s="45">
        <v>20.2</v>
      </c>
      <c r="AK347" s="45">
        <v>20.3</v>
      </c>
      <c r="AL347" s="45">
        <v>18.7</v>
      </c>
      <c r="AM347" s="45">
        <v>13.9</v>
      </c>
      <c r="AN347" s="45">
        <v>11.8</v>
      </c>
      <c r="AO347" s="45">
        <v>13.5</v>
      </c>
      <c r="AP347" s="45">
        <v>11.9</v>
      </c>
      <c r="AQ347" s="45">
        <v>7.1</v>
      </c>
      <c r="AR347" s="45">
        <v>0</v>
      </c>
      <c r="AS347" s="45">
        <v>0</v>
      </c>
      <c r="AT347" s="45">
        <v>0</v>
      </c>
      <c r="AU347" s="45">
        <v>0</v>
      </c>
      <c r="AV347" s="45">
        <v>0</v>
      </c>
      <c r="AW347" s="45">
        <v>0</v>
      </c>
      <c r="AX347" s="45">
        <v>0</v>
      </c>
      <c r="AY347" s="45">
        <v>0</v>
      </c>
      <c r="AZ347" s="45">
        <v>0</v>
      </c>
      <c r="BA347" s="45">
        <v>0</v>
      </c>
      <c r="BB347" s="45">
        <v>0</v>
      </c>
      <c r="BC347" s="45">
        <v>0</v>
      </c>
      <c r="BD347" s="45">
        <v>0</v>
      </c>
      <c r="BE347" s="45">
        <v>0</v>
      </c>
      <c r="BF347" s="45">
        <v>0</v>
      </c>
      <c r="BG347" s="45">
        <v>0</v>
      </c>
    </row>
    <row r="348" spans="1:59">
      <c r="A348" s="18" t="s">
        <v>184</v>
      </c>
      <c r="B348" s="18" t="s">
        <v>176</v>
      </c>
      <c r="C348" s="18" t="s">
        <v>82</v>
      </c>
      <c r="D348" s="45">
        <v>0</v>
      </c>
      <c r="E348" s="45">
        <v>0</v>
      </c>
      <c r="F348" s="45">
        <v>0</v>
      </c>
      <c r="G348" s="45">
        <v>0</v>
      </c>
      <c r="H348" s="45">
        <v>0</v>
      </c>
      <c r="I348" s="45">
        <v>0</v>
      </c>
      <c r="J348" s="45">
        <v>35.2</v>
      </c>
      <c r="K348" s="45">
        <v>20.6</v>
      </c>
      <c r="L348" s="45">
        <v>20.7</v>
      </c>
      <c r="M348" s="45">
        <v>21.1</v>
      </c>
      <c r="N348" s="45">
        <v>18.9</v>
      </c>
      <c r="O348" s="45">
        <v>16.5</v>
      </c>
      <c r="P348" s="45">
        <v>17.5</v>
      </c>
      <c r="Q348" s="45">
        <v>13.4</v>
      </c>
      <c r="R348" s="45">
        <v>14.4</v>
      </c>
      <c r="S348" s="45">
        <v>12.9</v>
      </c>
      <c r="T348" s="45">
        <v>18.9</v>
      </c>
      <c r="U348" s="45">
        <v>15.8</v>
      </c>
      <c r="V348" s="45">
        <v>16.6</v>
      </c>
      <c r="W348" s="45">
        <v>21</v>
      </c>
      <c r="X348" s="45">
        <v>20.4</v>
      </c>
      <c r="Y348" s="45">
        <v>19</v>
      </c>
      <c r="Z348" s="45">
        <v>18.5</v>
      </c>
      <c r="AA348" s="45">
        <v>24.1</v>
      </c>
      <c r="AB348" s="45">
        <v>17.8</v>
      </c>
      <c r="AC348" s="45">
        <v>16.2</v>
      </c>
      <c r="AD348" s="45">
        <v>19.3</v>
      </c>
      <c r="AE348" s="45">
        <v>20</v>
      </c>
      <c r="AF348" s="45">
        <v>19.2</v>
      </c>
      <c r="AG348" s="45">
        <v>16</v>
      </c>
      <c r="AH348" s="45">
        <v>18.9</v>
      </c>
      <c r="AI348" s="45">
        <v>16.3</v>
      </c>
      <c r="AJ348" s="45">
        <v>19</v>
      </c>
      <c r="AK348" s="45">
        <v>16.7</v>
      </c>
      <c r="AL348" s="45">
        <v>18.5</v>
      </c>
      <c r="AM348" s="45">
        <v>15.3</v>
      </c>
      <c r="AN348" s="45">
        <v>14.6</v>
      </c>
      <c r="AO348" s="45">
        <v>13.3</v>
      </c>
      <c r="AP348" s="45">
        <v>9.9</v>
      </c>
      <c r="AQ348" s="45">
        <v>0</v>
      </c>
      <c r="AR348" s="45">
        <v>0</v>
      </c>
      <c r="AS348" s="45">
        <v>0</v>
      </c>
      <c r="AT348" s="45">
        <v>0</v>
      </c>
      <c r="AU348" s="45">
        <v>0</v>
      </c>
      <c r="AV348" s="45">
        <v>0</v>
      </c>
      <c r="AW348" s="45">
        <v>0</v>
      </c>
      <c r="AX348" s="45">
        <v>0</v>
      </c>
      <c r="AY348" s="45">
        <v>0</v>
      </c>
      <c r="AZ348" s="45">
        <v>0</v>
      </c>
      <c r="BA348" s="45">
        <v>0</v>
      </c>
      <c r="BB348" s="45">
        <v>0</v>
      </c>
      <c r="BC348" s="45">
        <v>0</v>
      </c>
      <c r="BD348" s="45">
        <v>0</v>
      </c>
      <c r="BE348" s="45">
        <v>0</v>
      </c>
      <c r="BF348" s="45">
        <v>0</v>
      </c>
      <c r="BG348" s="45">
        <v>0</v>
      </c>
    </row>
    <row r="349" spans="1:59">
      <c r="A349" s="18" t="s">
        <v>185</v>
      </c>
      <c r="B349" s="18" t="s">
        <v>176</v>
      </c>
      <c r="C349" s="18" t="s">
        <v>84</v>
      </c>
      <c r="D349" s="45">
        <v>0</v>
      </c>
      <c r="E349" s="45">
        <v>0</v>
      </c>
      <c r="F349" s="45">
        <v>0</v>
      </c>
      <c r="G349" s="45">
        <v>0</v>
      </c>
      <c r="H349" s="45">
        <v>0</v>
      </c>
      <c r="I349" s="45">
        <v>0</v>
      </c>
      <c r="J349" s="45">
        <v>22.9</v>
      </c>
      <c r="K349" s="45">
        <v>34.9</v>
      </c>
      <c r="L349" s="45">
        <v>22.8</v>
      </c>
      <c r="M349" s="45">
        <v>27</v>
      </c>
      <c r="N349" s="45">
        <v>18.6</v>
      </c>
      <c r="O349" s="45">
        <v>17.5</v>
      </c>
      <c r="P349" s="45">
        <v>15.1</v>
      </c>
      <c r="Q349" s="45">
        <v>14.6</v>
      </c>
      <c r="R349" s="45">
        <v>15.3</v>
      </c>
      <c r="S349" s="45">
        <v>14.9</v>
      </c>
      <c r="T349" s="45">
        <v>13.8</v>
      </c>
      <c r="U349" s="45">
        <v>22.6</v>
      </c>
      <c r="V349" s="45">
        <v>18.4</v>
      </c>
      <c r="W349" s="45">
        <v>22.7</v>
      </c>
      <c r="X349" s="45">
        <v>17.2</v>
      </c>
      <c r="Y349" s="45">
        <v>23.8</v>
      </c>
      <c r="Z349" s="45">
        <v>22.2</v>
      </c>
      <c r="AA349" s="45">
        <v>18.2</v>
      </c>
      <c r="AB349" s="45">
        <v>20.4</v>
      </c>
      <c r="AC349" s="45">
        <v>22.1</v>
      </c>
      <c r="AD349" s="45">
        <v>18.2</v>
      </c>
      <c r="AE349" s="45">
        <v>18.3</v>
      </c>
      <c r="AF349" s="45">
        <v>16.9</v>
      </c>
      <c r="AG349" s="45">
        <v>15.9</v>
      </c>
      <c r="AH349" s="45">
        <v>19.7</v>
      </c>
      <c r="AI349" s="45">
        <v>15.3</v>
      </c>
      <c r="AJ349" s="45">
        <v>21.4</v>
      </c>
      <c r="AK349" s="45">
        <v>20.1</v>
      </c>
      <c r="AL349" s="45">
        <v>18.6</v>
      </c>
      <c r="AM349" s="45">
        <v>15</v>
      </c>
      <c r="AN349" s="45">
        <v>16.7</v>
      </c>
      <c r="AO349" s="45">
        <v>14.7</v>
      </c>
      <c r="AP349" s="45">
        <v>11.8</v>
      </c>
      <c r="AQ349" s="45">
        <v>0</v>
      </c>
      <c r="AR349" s="45">
        <v>0</v>
      </c>
      <c r="AS349" s="45">
        <v>0</v>
      </c>
      <c r="AT349" s="45">
        <v>0</v>
      </c>
      <c r="AU349" s="45">
        <v>0</v>
      </c>
      <c r="AV349" s="45">
        <v>0</v>
      </c>
      <c r="AW349" s="45">
        <v>0</v>
      </c>
      <c r="AX349" s="45">
        <v>0</v>
      </c>
      <c r="AY349" s="45">
        <v>0</v>
      </c>
      <c r="AZ349" s="45">
        <v>0</v>
      </c>
      <c r="BA349" s="45">
        <v>0</v>
      </c>
      <c r="BB349" s="45">
        <v>0</v>
      </c>
      <c r="BC349" s="45">
        <v>0</v>
      </c>
      <c r="BD349" s="45">
        <v>0</v>
      </c>
      <c r="BE349" s="45">
        <v>0</v>
      </c>
      <c r="BF349" s="45">
        <v>0</v>
      </c>
      <c r="BG349" s="45">
        <v>0</v>
      </c>
    </row>
    <row r="350" spans="1:59">
      <c r="A350" s="18" t="s">
        <v>186</v>
      </c>
      <c r="B350" s="18" t="s">
        <v>176</v>
      </c>
      <c r="C350" s="18" t="s">
        <v>86</v>
      </c>
      <c r="D350" s="45">
        <v>0</v>
      </c>
      <c r="E350" s="45">
        <v>0</v>
      </c>
      <c r="F350" s="45">
        <v>0</v>
      </c>
      <c r="G350" s="45">
        <v>0</v>
      </c>
      <c r="H350" s="45">
        <v>0</v>
      </c>
      <c r="I350" s="45">
        <v>0</v>
      </c>
      <c r="J350" s="45">
        <v>2.4</v>
      </c>
      <c r="K350" s="45">
        <v>3.7</v>
      </c>
      <c r="L350" s="45">
        <v>3.6</v>
      </c>
      <c r="M350" s="45">
        <v>3.3</v>
      </c>
      <c r="N350" s="45">
        <v>3.5</v>
      </c>
      <c r="O350" s="45">
        <v>1.7</v>
      </c>
      <c r="P350" s="45">
        <v>2.4</v>
      </c>
      <c r="Q350" s="45">
        <v>3.1</v>
      </c>
      <c r="R350" s="45">
        <v>3.9</v>
      </c>
      <c r="S350" s="45">
        <v>2.8</v>
      </c>
      <c r="T350" s="45">
        <v>4.1</v>
      </c>
      <c r="U350" s="45">
        <v>4.9</v>
      </c>
      <c r="V350" s="45">
        <v>3.3</v>
      </c>
      <c r="W350" s="45">
        <v>4.3</v>
      </c>
      <c r="X350" s="45">
        <v>4.6</v>
      </c>
      <c r="Y350" s="45">
        <v>6</v>
      </c>
      <c r="Z350" s="45">
        <v>5.9</v>
      </c>
      <c r="AA350" s="45">
        <v>2</v>
      </c>
      <c r="AB350" s="45">
        <v>4.7</v>
      </c>
      <c r="AC350" s="45">
        <v>2.5</v>
      </c>
      <c r="AD350" s="45">
        <v>2.8</v>
      </c>
      <c r="AE350" s="45">
        <v>6.6</v>
      </c>
      <c r="AF350" s="45">
        <v>2.5</v>
      </c>
      <c r="AG350" s="45">
        <v>4.1</v>
      </c>
      <c r="AH350" s="45">
        <v>4.9</v>
      </c>
      <c r="AI350" s="45">
        <v>7.8</v>
      </c>
      <c r="AJ350" s="45">
        <v>4.5</v>
      </c>
      <c r="AK350" s="45">
        <v>3</v>
      </c>
      <c r="AL350" s="45">
        <v>3.4</v>
      </c>
      <c r="AM350" s="45">
        <v>3.1</v>
      </c>
      <c r="AN350" s="45">
        <v>2.1</v>
      </c>
      <c r="AO350" s="45">
        <v>1.3</v>
      </c>
      <c r="AP350" s="45">
        <v>4.7</v>
      </c>
      <c r="AQ350" s="45">
        <v>3.2</v>
      </c>
      <c r="AR350" s="45">
        <v>2</v>
      </c>
      <c r="AS350" s="45">
        <v>0</v>
      </c>
      <c r="AT350" s="45">
        <v>0</v>
      </c>
      <c r="AU350" s="45">
        <v>0</v>
      </c>
      <c r="AV350" s="45">
        <v>0</v>
      </c>
      <c r="AW350" s="45">
        <v>0</v>
      </c>
      <c r="AX350" s="45">
        <v>0</v>
      </c>
      <c r="AY350" s="45">
        <v>0</v>
      </c>
      <c r="AZ350" s="45">
        <v>0</v>
      </c>
      <c r="BA350" s="45">
        <v>0</v>
      </c>
      <c r="BB350" s="45">
        <v>0</v>
      </c>
      <c r="BC350" s="45">
        <v>0</v>
      </c>
      <c r="BD350" s="45">
        <v>0</v>
      </c>
      <c r="BE350" s="45">
        <v>0</v>
      </c>
      <c r="BF350" s="45">
        <v>0</v>
      </c>
      <c r="BG350" s="45">
        <v>0</v>
      </c>
    </row>
    <row r="351" spans="1:59">
      <c r="A351" s="18" t="s">
        <v>187</v>
      </c>
      <c r="B351" s="18" t="s">
        <v>176</v>
      </c>
      <c r="C351" s="18" t="s">
        <v>88</v>
      </c>
      <c r="D351" s="45">
        <v>0</v>
      </c>
      <c r="E351" s="45">
        <v>0</v>
      </c>
      <c r="F351" s="45">
        <v>0</v>
      </c>
      <c r="G351" s="45">
        <v>0</v>
      </c>
      <c r="H351" s="45">
        <v>0</v>
      </c>
      <c r="I351" s="45">
        <v>0</v>
      </c>
      <c r="J351" s="45">
        <v>9.800000000000001</v>
      </c>
      <c r="K351" s="45">
        <v>3.7</v>
      </c>
      <c r="L351" s="45">
        <v>6.5</v>
      </c>
      <c r="M351" s="45">
        <v>4.1</v>
      </c>
      <c r="N351" s="45">
        <v>3.6</v>
      </c>
      <c r="O351" s="45">
        <v>4.4</v>
      </c>
      <c r="P351" s="45">
        <v>8</v>
      </c>
      <c r="Q351" s="45">
        <v>3.6</v>
      </c>
      <c r="R351" s="45">
        <v>5.5</v>
      </c>
      <c r="S351" s="45">
        <v>4.9</v>
      </c>
      <c r="T351" s="45">
        <v>3.7</v>
      </c>
      <c r="U351" s="45">
        <v>4.9</v>
      </c>
      <c r="V351" s="45">
        <v>4.2</v>
      </c>
      <c r="W351" s="45">
        <v>6.4</v>
      </c>
      <c r="X351" s="45">
        <v>5.8</v>
      </c>
      <c r="Y351" s="45">
        <v>3.9</v>
      </c>
      <c r="Z351" s="45">
        <v>5.7</v>
      </c>
      <c r="AA351" s="45">
        <v>6.5</v>
      </c>
      <c r="AB351" s="45">
        <v>4.4</v>
      </c>
      <c r="AC351" s="45">
        <v>3.1</v>
      </c>
      <c r="AD351" s="45">
        <v>3.5</v>
      </c>
      <c r="AE351" s="45">
        <v>4.7</v>
      </c>
      <c r="AF351" s="45">
        <v>5.7</v>
      </c>
      <c r="AG351" s="45">
        <v>5.3</v>
      </c>
      <c r="AH351" s="45">
        <v>2.9</v>
      </c>
      <c r="AI351" s="45">
        <v>3.9</v>
      </c>
      <c r="AJ351" s="45">
        <v>5.3</v>
      </c>
      <c r="AK351" s="45">
        <v>5.9</v>
      </c>
      <c r="AL351" s="45">
        <v>5.1</v>
      </c>
      <c r="AM351" s="45">
        <v>4.7</v>
      </c>
      <c r="AN351" s="45">
        <v>4.1</v>
      </c>
      <c r="AO351" s="45">
        <v>3.7</v>
      </c>
      <c r="AP351" s="45">
        <v>5.1</v>
      </c>
      <c r="AQ351" s="45">
        <v>3.6</v>
      </c>
      <c r="AR351" s="45">
        <v>1.3</v>
      </c>
      <c r="AS351" s="45">
        <v>0</v>
      </c>
      <c r="AT351" s="45">
        <v>0</v>
      </c>
      <c r="AU351" s="45">
        <v>0</v>
      </c>
      <c r="AV351" s="45">
        <v>0</v>
      </c>
      <c r="AW351" s="45">
        <v>0</v>
      </c>
      <c r="AX351" s="45">
        <v>0</v>
      </c>
      <c r="AY351" s="45">
        <v>0</v>
      </c>
      <c r="AZ351" s="45">
        <v>0</v>
      </c>
      <c r="BA351" s="45">
        <v>0</v>
      </c>
      <c r="BB351" s="45">
        <v>0</v>
      </c>
      <c r="BC351" s="45">
        <v>0</v>
      </c>
      <c r="BD351" s="45">
        <v>0</v>
      </c>
      <c r="BE351" s="45">
        <v>0</v>
      </c>
      <c r="BF351" s="45">
        <v>0</v>
      </c>
      <c r="BG351" s="45">
        <v>0</v>
      </c>
    </row>
    <row r="352" spans="1:59">
      <c r="A352" s="18" t="s">
        <v>188</v>
      </c>
      <c r="B352" s="18" t="s">
        <v>176</v>
      </c>
      <c r="C352" s="18" t="s">
        <v>90</v>
      </c>
      <c r="D352" s="45">
        <v>0</v>
      </c>
      <c r="E352" s="45">
        <v>0</v>
      </c>
      <c r="F352" s="45">
        <v>0</v>
      </c>
      <c r="G352" s="45">
        <v>0</v>
      </c>
      <c r="H352" s="45">
        <v>0</v>
      </c>
      <c r="I352" s="45">
        <v>10.6</v>
      </c>
      <c r="J352" s="45">
        <v>7.1</v>
      </c>
      <c r="K352" s="45">
        <v>6.1</v>
      </c>
      <c r="L352" s="45">
        <v>4.6</v>
      </c>
      <c r="M352" s="45">
        <v>3.4</v>
      </c>
      <c r="N352" s="45">
        <v>5.7</v>
      </c>
      <c r="O352" s="45">
        <v>4.4</v>
      </c>
      <c r="P352" s="45">
        <v>7.3</v>
      </c>
      <c r="Q352" s="45">
        <v>6.1</v>
      </c>
      <c r="R352" s="45">
        <v>4.5</v>
      </c>
      <c r="S352" s="45">
        <v>5.1</v>
      </c>
      <c r="T352" s="45">
        <v>5.6</v>
      </c>
      <c r="U352" s="45">
        <v>3.1</v>
      </c>
      <c r="V352" s="45">
        <v>6.6</v>
      </c>
      <c r="W352" s="45">
        <v>4.4</v>
      </c>
      <c r="X352" s="45">
        <v>4.4</v>
      </c>
      <c r="Y352" s="45">
        <v>5</v>
      </c>
      <c r="Z352" s="45">
        <v>5.5</v>
      </c>
      <c r="AA352" s="45">
        <v>4.8</v>
      </c>
      <c r="AB352" s="45">
        <v>4.5</v>
      </c>
      <c r="AC352" s="45">
        <v>5.7</v>
      </c>
      <c r="AD352" s="45">
        <v>5.5</v>
      </c>
      <c r="AE352" s="45">
        <v>3.5</v>
      </c>
      <c r="AF352" s="45">
        <v>3.7</v>
      </c>
      <c r="AG352" s="45">
        <v>3.8</v>
      </c>
      <c r="AH352" s="45">
        <v>5.4</v>
      </c>
      <c r="AI352" s="45">
        <v>4</v>
      </c>
      <c r="AJ352" s="45">
        <v>5.1</v>
      </c>
      <c r="AK352" s="45">
        <v>5.8</v>
      </c>
      <c r="AL352" s="45">
        <v>4.1</v>
      </c>
      <c r="AM352" s="45">
        <v>4.4</v>
      </c>
      <c r="AN352" s="45">
        <v>4.8</v>
      </c>
      <c r="AO352" s="45">
        <v>5.5</v>
      </c>
      <c r="AP352" s="45">
        <v>4.7</v>
      </c>
      <c r="AQ352" s="45">
        <v>3.9</v>
      </c>
      <c r="AR352" s="45">
        <v>3.2</v>
      </c>
      <c r="AS352" s="45">
        <v>0</v>
      </c>
      <c r="AT352" s="45">
        <v>0</v>
      </c>
      <c r="AU352" s="45">
        <v>0</v>
      </c>
      <c r="AV352" s="45">
        <v>0</v>
      </c>
      <c r="AW352" s="45">
        <v>0</v>
      </c>
      <c r="AX352" s="45">
        <v>0</v>
      </c>
      <c r="AY352" s="45">
        <v>0</v>
      </c>
      <c r="AZ352" s="45">
        <v>0</v>
      </c>
      <c r="BA352" s="45">
        <v>0</v>
      </c>
      <c r="BB352" s="45">
        <v>0</v>
      </c>
      <c r="BC352" s="45">
        <v>0</v>
      </c>
      <c r="BD352" s="45">
        <v>0</v>
      </c>
      <c r="BE352" s="45">
        <v>0</v>
      </c>
      <c r="BF352" s="45">
        <v>0</v>
      </c>
      <c r="BG352" s="45">
        <v>0</v>
      </c>
    </row>
    <row r="353" spans="1:59">
      <c r="A353" s="18" t="s">
        <v>189</v>
      </c>
      <c r="B353" s="18" t="s">
        <v>190</v>
      </c>
      <c r="C353" s="18" t="s">
        <v>66</v>
      </c>
      <c r="D353" s="45">
        <v>0</v>
      </c>
      <c r="E353" s="45">
        <v>0</v>
      </c>
      <c r="F353" s="45">
        <v>0</v>
      </c>
      <c r="G353" s="45">
        <v>0</v>
      </c>
      <c r="H353" s="45">
        <v>3.3</v>
      </c>
      <c r="I353" s="45">
        <v>5.6</v>
      </c>
      <c r="J353" s="45">
        <v>9.6</v>
      </c>
      <c r="K353" s="45">
        <v>9</v>
      </c>
      <c r="L353" s="45">
        <v>7.9</v>
      </c>
      <c r="M353" s="45">
        <v>7.4</v>
      </c>
      <c r="N353" s="45">
        <v>6.9</v>
      </c>
      <c r="O353" s="45">
        <v>6.7</v>
      </c>
      <c r="P353" s="45">
        <v>6.4</v>
      </c>
      <c r="Q353" s="45">
        <v>6.2</v>
      </c>
      <c r="R353" s="45">
        <v>6</v>
      </c>
      <c r="S353" s="45">
        <v>6.7</v>
      </c>
      <c r="T353" s="45">
        <v>6.4</v>
      </c>
      <c r="U353" s="45">
        <v>6.7</v>
      </c>
      <c r="V353" s="45">
        <v>7.3</v>
      </c>
      <c r="W353" s="45">
        <v>8.199999999999999</v>
      </c>
      <c r="X353" s="45">
        <v>8.6</v>
      </c>
      <c r="Y353" s="45">
        <v>8.699999999999999</v>
      </c>
      <c r="Z353" s="45">
        <v>8.300000000000001</v>
      </c>
      <c r="AA353" s="45">
        <v>9.1</v>
      </c>
      <c r="AB353" s="45">
        <v>8</v>
      </c>
      <c r="AC353" s="45">
        <v>7.9</v>
      </c>
      <c r="AD353" s="45">
        <v>7.6</v>
      </c>
      <c r="AE353" s="45">
        <v>7.6</v>
      </c>
      <c r="AF353" s="45">
        <v>7.3</v>
      </c>
      <c r="AG353" s="45">
        <v>7.4</v>
      </c>
      <c r="AH353" s="45">
        <v>7.7</v>
      </c>
      <c r="AI353" s="45">
        <v>7.5</v>
      </c>
      <c r="AJ353" s="45">
        <v>7.4</v>
      </c>
      <c r="AK353" s="45">
        <v>6.7</v>
      </c>
      <c r="AL353" s="45">
        <v>7.1</v>
      </c>
      <c r="AM353" s="45">
        <v>6.8</v>
      </c>
      <c r="AN353" s="45">
        <v>6.5</v>
      </c>
      <c r="AO353" s="45">
        <v>5.6</v>
      </c>
      <c r="AP353" s="45">
        <v>5</v>
      </c>
      <c r="AQ353" s="45">
        <v>4.5</v>
      </c>
      <c r="AR353" s="45">
        <v>3.5</v>
      </c>
      <c r="AS353" s="45">
        <v>0.7</v>
      </c>
      <c r="AT353" s="45">
        <v>0</v>
      </c>
      <c r="AU353" s="45">
        <v>0</v>
      </c>
      <c r="AV353" s="45">
        <v>0</v>
      </c>
      <c r="AW353" s="45">
        <v>0</v>
      </c>
      <c r="AX353" s="45">
        <v>0</v>
      </c>
      <c r="AY353" s="45">
        <v>0</v>
      </c>
      <c r="AZ353" s="45">
        <v>0</v>
      </c>
      <c r="BA353" s="45">
        <v>0</v>
      </c>
      <c r="BB353" s="45">
        <v>0</v>
      </c>
      <c r="BC353" s="45">
        <v>0</v>
      </c>
      <c r="BD353" s="45">
        <v>0</v>
      </c>
      <c r="BE353" s="45">
        <v>0</v>
      </c>
      <c r="BF353" s="45">
        <v>0</v>
      </c>
      <c r="BG353" s="45">
        <v>0</v>
      </c>
    </row>
    <row r="354" spans="1:59">
      <c r="A354" s="18" t="s">
        <v>191</v>
      </c>
      <c r="B354" s="18" t="s">
        <v>190</v>
      </c>
      <c r="C354" s="18" t="s">
        <v>68</v>
      </c>
      <c r="D354" s="45">
        <v>0</v>
      </c>
      <c r="E354" s="45">
        <v>0</v>
      </c>
      <c r="F354" s="45">
        <v>0</v>
      </c>
      <c r="G354" s="45">
        <v>0</v>
      </c>
      <c r="H354" s="45">
        <v>0</v>
      </c>
      <c r="I354" s="45">
        <v>6.1</v>
      </c>
      <c r="J354" s="45">
        <v>11.2</v>
      </c>
      <c r="K354" s="45">
        <v>12.1</v>
      </c>
      <c r="L354" s="45">
        <v>10.3</v>
      </c>
      <c r="M354" s="45">
        <v>10.6</v>
      </c>
      <c r="N354" s="45">
        <v>10.1</v>
      </c>
      <c r="O354" s="45">
        <v>10</v>
      </c>
      <c r="P354" s="45">
        <v>8.199999999999999</v>
      </c>
      <c r="Q354" s="45">
        <v>8.5</v>
      </c>
      <c r="R354" s="45">
        <v>6.4</v>
      </c>
      <c r="S354" s="45">
        <v>9.5</v>
      </c>
      <c r="T354" s="45">
        <v>7.9</v>
      </c>
      <c r="U354" s="45">
        <v>9.6</v>
      </c>
      <c r="V354" s="45">
        <v>10.2</v>
      </c>
      <c r="W354" s="45">
        <v>10.8</v>
      </c>
      <c r="X354" s="45">
        <v>13.1</v>
      </c>
      <c r="Y354" s="45">
        <v>12.3</v>
      </c>
      <c r="Z354" s="45">
        <v>10.1</v>
      </c>
      <c r="AA354" s="45">
        <v>11.8</v>
      </c>
      <c r="AB354" s="45">
        <v>10.4</v>
      </c>
      <c r="AC354" s="45">
        <v>10.1</v>
      </c>
      <c r="AD354" s="45">
        <v>8.6</v>
      </c>
      <c r="AE354" s="45">
        <v>11.6</v>
      </c>
      <c r="AF354" s="45">
        <v>8.800000000000001</v>
      </c>
      <c r="AG354" s="45">
        <v>9</v>
      </c>
      <c r="AH354" s="45">
        <v>11</v>
      </c>
      <c r="AI354" s="45">
        <v>8.5</v>
      </c>
      <c r="AJ354" s="45">
        <v>9</v>
      </c>
      <c r="AK354" s="45">
        <v>9.6</v>
      </c>
      <c r="AL354" s="45">
        <v>10.1</v>
      </c>
      <c r="AM354" s="45">
        <v>7.7</v>
      </c>
      <c r="AN354" s="45">
        <v>7.1</v>
      </c>
      <c r="AO354" s="45">
        <v>7.3</v>
      </c>
      <c r="AP354" s="45">
        <v>6.2</v>
      </c>
      <c r="AQ354" s="45">
        <v>5.5</v>
      </c>
      <c r="AR354" s="45">
        <v>0</v>
      </c>
      <c r="AS354" s="45">
        <v>0</v>
      </c>
      <c r="AT354" s="45">
        <v>0</v>
      </c>
      <c r="AU354" s="45">
        <v>0</v>
      </c>
      <c r="AV354" s="45">
        <v>0</v>
      </c>
      <c r="AW354" s="45">
        <v>0</v>
      </c>
      <c r="AX354" s="45">
        <v>0</v>
      </c>
      <c r="AY354" s="45">
        <v>0</v>
      </c>
      <c r="AZ354" s="45">
        <v>0</v>
      </c>
      <c r="BA354" s="45">
        <v>0</v>
      </c>
      <c r="BB354" s="45">
        <v>0</v>
      </c>
      <c r="BC354" s="45">
        <v>0</v>
      </c>
      <c r="BD354" s="45">
        <v>0</v>
      </c>
      <c r="BE354" s="45">
        <v>0</v>
      </c>
      <c r="BF354" s="45">
        <v>0</v>
      </c>
      <c r="BG354" s="45">
        <v>0</v>
      </c>
    </row>
    <row r="355" spans="1:59">
      <c r="A355" s="18" t="s">
        <v>192</v>
      </c>
      <c r="B355" s="18" t="s">
        <v>190</v>
      </c>
      <c r="C355" s="18" t="s">
        <v>70</v>
      </c>
      <c r="D355" s="45">
        <v>0</v>
      </c>
      <c r="E355" s="45">
        <v>0</v>
      </c>
      <c r="F355" s="45">
        <v>0</v>
      </c>
      <c r="G355" s="45">
        <v>0</v>
      </c>
      <c r="H355" s="45">
        <v>0</v>
      </c>
      <c r="I355" s="45">
        <v>8.5</v>
      </c>
      <c r="J355" s="45">
        <v>12.6</v>
      </c>
      <c r="K355" s="45">
        <v>14.2</v>
      </c>
      <c r="L355" s="45">
        <v>9.1</v>
      </c>
      <c r="M355" s="45">
        <v>8.300000000000001</v>
      </c>
      <c r="N355" s="45">
        <v>9.1</v>
      </c>
      <c r="O355" s="45">
        <v>8.699999999999999</v>
      </c>
      <c r="P355" s="45">
        <v>6.7</v>
      </c>
      <c r="Q355" s="45">
        <v>6.9</v>
      </c>
      <c r="R355" s="45">
        <v>7.5</v>
      </c>
      <c r="S355" s="45">
        <v>8.5</v>
      </c>
      <c r="T355" s="45">
        <v>7.7</v>
      </c>
      <c r="U355" s="45">
        <v>7.9</v>
      </c>
      <c r="V355" s="45">
        <v>9</v>
      </c>
      <c r="W355" s="45">
        <v>10.6</v>
      </c>
      <c r="X355" s="45">
        <v>10.3</v>
      </c>
      <c r="Y355" s="45">
        <v>11.5</v>
      </c>
      <c r="Z355" s="45">
        <v>10</v>
      </c>
      <c r="AA355" s="45">
        <v>9.5</v>
      </c>
      <c r="AB355" s="45">
        <v>10.3</v>
      </c>
      <c r="AC355" s="45">
        <v>10.7</v>
      </c>
      <c r="AD355" s="45">
        <v>11.8</v>
      </c>
      <c r="AE355" s="45">
        <v>9.199999999999999</v>
      </c>
      <c r="AF355" s="45">
        <v>9.1</v>
      </c>
      <c r="AG355" s="45">
        <v>11.1</v>
      </c>
      <c r="AH355" s="45">
        <v>10.1</v>
      </c>
      <c r="AI355" s="45">
        <v>8.4</v>
      </c>
      <c r="AJ355" s="45">
        <v>10</v>
      </c>
      <c r="AK355" s="45">
        <v>8.5</v>
      </c>
      <c r="AL355" s="45">
        <v>8.199999999999999</v>
      </c>
      <c r="AM355" s="45">
        <v>9</v>
      </c>
      <c r="AN355" s="45">
        <v>7.1</v>
      </c>
      <c r="AO355" s="45">
        <v>6.2</v>
      </c>
      <c r="AP355" s="45">
        <v>5.8</v>
      </c>
      <c r="AQ355" s="45">
        <v>5.6</v>
      </c>
      <c r="AR355" s="45">
        <v>0</v>
      </c>
      <c r="AS355" s="45">
        <v>0</v>
      </c>
      <c r="AT355" s="45">
        <v>0</v>
      </c>
      <c r="AU355" s="45">
        <v>0</v>
      </c>
      <c r="AV355" s="45">
        <v>0</v>
      </c>
      <c r="AW355" s="45">
        <v>0</v>
      </c>
      <c r="AX355" s="45">
        <v>0</v>
      </c>
      <c r="AY355" s="45">
        <v>0</v>
      </c>
      <c r="AZ355" s="45">
        <v>0</v>
      </c>
      <c r="BA355" s="45">
        <v>0</v>
      </c>
      <c r="BB355" s="45">
        <v>0</v>
      </c>
      <c r="BC355" s="45">
        <v>0</v>
      </c>
      <c r="BD355" s="45">
        <v>0</v>
      </c>
      <c r="BE355" s="45">
        <v>0</v>
      </c>
      <c r="BF355" s="45">
        <v>0</v>
      </c>
      <c r="BG355" s="45">
        <v>0</v>
      </c>
    </row>
    <row r="356" spans="1:59">
      <c r="A356" s="18" t="s">
        <v>193</v>
      </c>
      <c r="B356" s="18" t="s">
        <v>190</v>
      </c>
      <c r="C356" s="18" t="s">
        <v>72</v>
      </c>
      <c r="D356" s="45">
        <v>0</v>
      </c>
      <c r="E356" s="45">
        <v>0</v>
      </c>
      <c r="F356" s="45">
        <v>0</v>
      </c>
      <c r="G356" s="45">
        <v>0</v>
      </c>
      <c r="H356" s="45">
        <v>0</v>
      </c>
      <c r="I356" s="45">
        <v>6.2</v>
      </c>
      <c r="J356" s="45">
        <v>10.5</v>
      </c>
      <c r="K356" s="45">
        <v>10.8</v>
      </c>
      <c r="L356" s="45">
        <v>10.1</v>
      </c>
      <c r="M356" s="45">
        <v>8.9</v>
      </c>
      <c r="N356" s="45">
        <v>7.9</v>
      </c>
      <c r="O356" s="45">
        <v>7.8</v>
      </c>
      <c r="P356" s="45">
        <v>6.9</v>
      </c>
      <c r="Q356" s="45">
        <v>7.1</v>
      </c>
      <c r="R356" s="45">
        <v>7.5</v>
      </c>
      <c r="S356" s="45">
        <v>7.1</v>
      </c>
      <c r="T356" s="45">
        <v>7.4</v>
      </c>
      <c r="U356" s="45">
        <v>6.8</v>
      </c>
      <c r="V356" s="45">
        <v>8.199999999999999</v>
      </c>
      <c r="W356" s="45">
        <v>10.6</v>
      </c>
      <c r="X356" s="45">
        <v>10.2</v>
      </c>
      <c r="Y356" s="45">
        <v>9.199999999999999</v>
      </c>
      <c r="Z356" s="45">
        <v>10</v>
      </c>
      <c r="AA356" s="45">
        <v>9.1</v>
      </c>
      <c r="AB356" s="45">
        <v>9.800000000000001</v>
      </c>
      <c r="AC356" s="45">
        <v>10.5</v>
      </c>
      <c r="AD356" s="45">
        <v>8.4</v>
      </c>
      <c r="AE356" s="45">
        <v>9.1</v>
      </c>
      <c r="AF356" s="45">
        <v>9.4</v>
      </c>
      <c r="AG356" s="45">
        <v>7.5</v>
      </c>
      <c r="AH356" s="45">
        <v>11.7</v>
      </c>
      <c r="AI356" s="45">
        <v>11.2</v>
      </c>
      <c r="AJ356" s="45">
        <v>7.1</v>
      </c>
      <c r="AK356" s="45">
        <v>8.5</v>
      </c>
      <c r="AL356" s="45">
        <v>8.300000000000001</v>
      </c>
      <c r="AM356" s="45">
        <v>8</v>
      </c>
      <c r="AN356" s="45">
        <v>7.8</v>
      </c>
      <c r="AO356" s="45">
        <v>5.4</v>
      </c>
      <c r="AP356" s="45">
        <v>5.7</v>
      </c>
      <c r="AQ356" s="45">
        <v>4.2</v>
      </c>
      <c r="AR356" s="45">
        <v>2.7</v>
      </c>
      <c r="AS356" s="45">
        <v>0</v>
      </c>
      <c r="AT356" s="45">
        <v>0</v>
      </c>
      <c r="AU356" s="45">
        <v>0</v>
      </c>
      <c r="AV356" s="45">
        <v>0</v>
      </c>
      <c r="AW356" s="45">
        <v>0</v>
      </c>
      <c r="AX356" s="45">
        <v>0</v>
      </c>
      <c r="AY356" s="45">
        <v>0</v>
      </c>
      <c r="AZ356" s="45">
        <v>0</v>
      </c>
      <c r="BA356" s="45">
        <v>0</v>
      </c>
      <c r="BB356" s="45">
        <v>0</v>
      </c>
      <c r="BC356" s="45">
        <v>0</v>
      </c>
      <c r="BD356" s="45">
        <v>0</v>
      </c>
      <c r="BE356" s="45">
        <v>0</v>
      </c>
      <c r="BF356" s="45">
        <v>0</v>
      </c>
      <c r="BG356" s="45">
        <v>0</v>
      </c>
    </row>
    <row r="357" spans="1:59">
      <c r="A357" s="18" t="s">
        <v>194</v>
      </c>
      <c r="B357" s="18" t="s">
        <v>190</v>
      </c>
      <c r="C357" s="18" t="s">
        <v>74</v>
      </c>
      <c r="D357" s="45">
        <v>0</v>
      </c>
      <c r="E357" s="45">
        <v>0</v>
      </c>
      <c r="F357" s="45">
        <v>0</v>
      </c>
      <c r="G357" s="45">
        <v>0</v>
      </c>
      <c r="H357" s="45">
        <v>0</v>
      </c>
      <c r="I357" s="45">
        <v>6.3</v>
      </c>
      <c r="J357" s="45">
        <v>11.8</v>
      </c>
      <c r="K357" s="45">
        <v>13</v>
      </c>
      <c r="L357" s="45">
        <v>8.199999999999999</v>
      </c>
      <c r="M357" s="45">
        <v>9.9</v>
      </c>
      <c r="N357" s="45">
        <v>8.1</v>
      </c>
      <c r="O357" s="45">
        <v>6.7</v>
      </c>
      <c r="P357" s="45">
        <v>7.2</v>
      </c>
      <c r="Q357" s="45">
        <v>8.199999999999999</v>
      </c>
      <c r="R357" s="45">
        <v>7.6</v>
      </c>
      <c r="S357" s="45">
        <v>7</v>
      </c>
      <c r="T357" s="45">
        <v>6.8</v>
      </c>
      <c r="U357" s="45">
        <v>6.5</v>
      </c>
      <c r="V357" s="45">
        <v>8.5</v>
      </c>
      <c r="W357" s="45">
        <v>9.6</v>
      </c>
      <c r="X357" s="45">
        <v>10</v>
      </c>
      <c r="Y357" s="45">
        <v>12.1</v>
      </c>
      <c r="Z357" s="45">
        <v>10.6</v>
      </c>
      <c r="AA357" s="45">
        <v>11.3</v>
      </c>
      <c r="AB357" s="45">
        <v>11</v>
      </c>
      <c r="AC357" s="45">
        <v>8.699999999999999</v>
      </c>
      <c r="AD357" s="45">
        <v>8.6</v>
      </c>
      <c r="AE357" s="45">
        <v>8.699999999999999</v>
      </c>
      <c r="AF357" s="45">
        <v>8.199999999999999</v>
      </c>
      <c r="AG357" s="45">
        <v>9.699999999999999</v>
      </c>
      <c r="AH357" s="45">
        <v>8.4</v>
      </c>
      <c r="AI357" s="45">
        <v>9.800000000000001</v>
      </c>
      <c r="AJ357" s="45">
        <v>8</v>
      </c>
      <c r="AK357" s="45">
        <v>8.699999999999999</v>
      </c>
      <c r="AL357" s="45">
        <v>9</v>
      </c>
      <c r="AM357" s="45">
        <v>9.1</v>
      </c>
      <c r="AN357" s="45">
        <v>8.5</v>
      </c>
      <c r="AO357" s="45">
        <v>8.6</v>
      </c>
      <c r="AP357" s="45">
        <v>5.6</v>
      </c>
      <c r="AQ357" s="45">
        <v>4.9</v>
      </c>
      <c r="AR357" s="45">
        <v>3</v>
      </c>
      <c r="AS357" s="45">
        <v>0</v>
      </c>
      <c r="AT357" s="45">
        <v>0</v>
      </c>
      <c r="AU357" s="45">
        <v>0</v>
      </c>
      <c r="AV357" s="45">
        <v>0</v>
      </c>
      <c r="AW357" s="45">
        <v>0</v>
      </c>
      <c r="AX357" s="45">
        <v>0</v>
      </c>
      <c r="AY357" s="45">
        <v>0</v>
      </c>
      <c r="AZ357" s="45">
        <v>0</v>
      </c>
      <c r="BA357" s="45">
        <v>0</v>
      </c>
      <c r="BB357" s="45">
        <v>0</v>
      </c>
      <c r="BC357" s="45">
        <v>0</v>
      </c>
      <c r="BD357" s="45">
        <v>0</v>
      </c>
      <c r="BE357" s="45">
        <v>0</v>
      </c>
      <c r="BF357" s="45">
        <v>0</v>
      </c>
      <c r="BG357" s="45">
        <v>0</v>
      </c>
    </row>
    <row r="358" spans="1:59">
      <c r="A358" s="18" t="s">
        <v>195</v>
      </c>
      <c r="B358" s="18" t="s">
        <v>190</v>
      </c>
      <c r="C358" s="18" t="s">
        <v>76</v>
      </c>
      <c r="D358" s="45">
        <v>0</v>
      </c>
      <c r="E358" s="45">
        <v>0</v>
      </c>
      <c r="F358" s="45">
        <v>0</v>
      </c>
      <c r="G358" s="45">
        <v>0</v>
      </c>
      <c r="H358" s="45">
        <v>0</v>
      </c>
      <c r="I358" s="45">
        <v>5.7</v>
      </c>
      <c r="J358" s="45">
        <v>8.9</v>
      </c>
      <c r="K358" s="45">
        <v>7.9</v>
      </c>
      <c r="L358" s="45">
        <v>8.5</v>
      </c>
      <c r="M358" s="45">
        <v>9</v>
      </c>
      <c r="N358" s="45">
        <v>8.4</v>
      </c>
      <c r="O358" s="45">
        <v>7.9</v>
      </c>
      <c r="P358" s="45">
        <v>6.8</v>
      </c>
      <c r="Q358" s="45">
        <v>6.6</v>
      </c>
      <c r="R358" s="45">
        <v>6.1</v>
      </c>
      <c r="S358" s="45">
        <v>6.8</v>
      </c>
      <c r="T358" s="45">
        <v>8.9</v>
      </c>
      <c r="U358" s="45">
        <v>8.6</v>
      </c>
      <c r="V358" s="45">
        <v>7.6</v>
      </c>
      <c r="W358" s="45">
        <v>10.8</v>
      </c>
      <c r="X358" s="45">
        <v>8.800000000000001</v>
      </c>
      <c r="Y358" s="45">
        <v>10.6</v>
      </c>
      <c r="Z358" s="45">
        <v>12.4</v>
      </c>
      <c r="AA358" s="45">
        <v>11.3</v>
      </c>
      <c r="AB358" s="45">
        <v>10</v>
      </c>
      <c r="AC358" s="45">
        <v>9.4</v>
      </c>
      <c r="AD358" s="45">
        <v>9.6</v>
      </c>
      <c r="AE358" s="45">
        <v>9.4</v>
      </c>
      <c r="AF358" s="45">
        <v>8.5</v>
      </c>
      <c r="AG358" s="45">
        <v>7.9</v>
      </c>
      <c r="AH358" s="45">
        <v>8.5</v>
      </c>
      <c r="AI358" s="45">
        <v>8.800000000000001</v>
      </c>
      <c r="AJ358" s="45">
        <v>9.4</v>
      </c>
      <c r="AK358" s="45">
        <v>6.7</v>
      </c>
      <c r="AL358" s="45">
        <v>8</v>
      </c>
      <c r="AM358" s="45">
        <v>7.3</v>
      </c>
      <c r="AN358" s="45">
        <v>6.5</v>
      </c>
      <c r="AO358" s="45">
        <v>7</v>
      </c>
      <c r="AP358" s="45">
        <v>6.2</v>
      </c>
      <c r="AQ358" s="45">
        <v>4.1</v>
      </c>
      <c r="AR358" s="45">
        <v>3.3</v>
      </c>
      <c r="AS358" s="45">
        <v>0</v>
      </c>
      <c r="AT358" s="45">
        <v>0</v>
      </c>
      <c r="AU358" s="45">
        <v>0</v>
      </c>
      <c r="AV358" s="45">
        <v>0</v>
      </c>
      <c r="AW358" s="45">
        <v>0</v>
      </c>
      <c r="AX358" s="45">
        <v>0</v>
      </c>
      <c r="AY358" s="45">
        <v>0</v>
      </c>
      <c r="AZ358" s="45">
        <v>0</v>
      </c>
      <c r="BA358" s="45">
        <v>0</v>
      </c>
      <c r="BB358" s="45">
        <v>0</v>
      </c>
      <c r="BC358" s="45">
        <v>0</v>
      </c>
      <c r="BD358" s="45">
        <v>0</v>
      </c>
      <c r="BE358" s="45">
        <v>0</v>
      </c>
      <c r="BF358" s="45">
        <v>0</v>
      </c>
      <c r="BG358" s="45">
        <v>0</v>
      </c>
    </row>
    <row r="359" spans="1:59">
      <c r="A359" s="18" t="s">
        <v>196</v>
      </c>
      <c r="B359" s="18" t="s">
        <v>190</v>
      </c>
      <c r="C359" s="18" t="s">
        <v>78</v>
      </c>
      <c r="D359" s="45">
        <v>0</v>
      </c>
      <c r="E359" s="45">
        <v>0</v>
      </c>
      <c r="F359" s="45">
        <v>0</v>
      </c>
      <c r="G359" s="45">
        <v>0</v>
      </c>
      <c r="H359" s="45">
        <v>0</v>
      </c>
      <c r="I359" s="45">
        <v>7.8</v>
      </c>
      <c r="J359" s="45">
        <v>8.9</v>
      </c>
      <c r="K359" s="45">
        <v>8.6</v>
      </c>
      <c r="L359" s="45">
        <v>9.300000000000001</v>
      </c>
      <c r="M359" s="45">
        <v>7.3</v>
      </c>
      <c r="N359" s="45">
        <v>7</v>
      </c>
      <c r="O359" s="45">
        <v>7.6</v>
      </c>
      <c r="P359" s="45">
        <v>7.2</v>
      </c>
      <c r="Q359" s="45">
        <v>7.8</v>
      </c>
      <c r="R359" s="45">
        <v>7.3</v>
      </c>
      <c r="S359" s="45">
        <v>7.9</v>
      </c>
      <c r="T359" s="45">
        <v>8.199999999999999</v>
      </c>
      <c r="U359" s="45">
        <v>7.5</v>
      </c>
      <c r="V359" s="45">
        <v>9.699999999999999</v>
      </c>
      <c r="W359" s="45">
        <v>9</v>
      </c>
      <c r="X359" s="45">
        <v>11.1</v>
      </c>
      <c r="Y359" s="45">
        <v>10.5</v>
      </c>
      <c r="Z359" s="45">
        <v>10.3</v>
      </c>
      <c r="AA359" s="45">
        <v>14.9</v>
      </c>
      <c r="AB359" s="45">
        <v>10.3</v>
      </c>
      <c r="AC359" s="45">
        <v>9.199999999999999</v>
      </c>
      <c r="AD359" s="45">
        <v>9.699999999999999</v>
      </c>
      <c r="AE359" s="45">
        <v>8.1</v>
      </c>
      <c r="AF359" s="45">
        <v>7.4</v>
      </c>
      <c r="AG359" s="45">
        <v>9.5</v>
      </c>
      <c r="AH359" s="45">
        <v>9.800000000000001</v>
      </c>
      <c r="AI359" s="45">
        <v>10.6</v>
      </c>
      <c r="AJ359" s="45">
        <v>9.9</v>
      </c>
      <c r="AK359" s="45">
        <v>8.800000000000001</v>
      </c>
      <c r="AL359" s="45">
        <v>7.4</v>
      </c>
      <c r="AM359" s="45">
        <v>8.199999999999999</v>
      </c>
      <c r="AN359" s="45">
        <v>7.7</v>
      </c>
      <c r="AO359" s="45">
        <v>7.1</v>
      </c>
      <c r="AP359" s="45">
        <v>6</v>
      </c>
      <c r="AQ359" s="45">
        <v>5</v>
      </c>
      <c r="AR359" s="45">
        <v>0</v>
      </c>
      <c r="AS359" s="45">
        <v>0</v>
      </c>
      <c r="AT359" s="45">
        <v>0</v>
      </c>
      <c r="AU359" s="45">
        <v>0</v>
      </c>
      <c r="AV359" s="45">
        <v>0</v>
      </c>
      <c r="AW359" s="45">
        <v>0</v>
      </c>
      <c r="AX359" s="45">
        <v>0</v>
      </c>
      <c r="AY359" s="45">
        <v>0</v>
      </c>
      <c r="AZ359" s="45">
        <v>0</v>
      </c>
      <c r="BA359" s="45">
        <v>0</v>
      </c>
      <c r="BB359" s="45">
        <v>0</v>
      </c>
      <c r="BC359" s="45">
        <v>0</v>
      </c>
      <c r="BD359" s="45">
        <v>0</v>
      </c>
      <c r="BE359" s="45">
        <v>0</v>
      </c>
      <c r="BF359" s="45">
        <v>0</v>
      </c>
      <c r="BG359" s="45">
        <v>0</v>
      </c>
    </row>
    <row r="360" spans="1:59">
      <c r="A360" s="18" t="s">
        <v>197</v>
      </c>
      <c r="B360" s="18" t="s">
        <v>190</v>
      </c>
      <c r="C360" s="18" t="s">
        <v>80</v>
      </c>
      <c r="D360" s="45">
        <v>0</v>
      </c>
      <c r="E360" s="45">
        <v>0</v>
      </c>
      <c r="F360" s="45">
        <v>0</v>
      </c>
      <c r="G360" s="45">
        <v>0</v>
      </c>
      <c r="H360" s="45">
        <v>0</v>
      </c>
      <c r="I360" s="45">
        <v>8.9</v>
      </c>
      <c r="J360" s="45">
        <v>13.3</v>
      </c>
      <c r="K360" s="45">
        <v>9.1</v>
      </c>
      <c r="L360" s="45">
        <v>8.5</v>
      </c>
      <c r="M360" s="45">
        <v>8.699999999999999</v>
      </c>
      <c r="N360" s="45">
        <v>8.199999999999999</v>
      </c>
      <c r="O360" s="45">
        <v>7.9</v>
      </c>
      <c r="P360" s="45">
        <v>9</v>
      </c>
      <c r="Q360" s="45">
        <v>6</v>
      </c>
      <c r="R360" s="45">
        <v>6.7</v>
      </c>
      <c r="S360" s="45">
        <v>8.800000000000001</v>
      </c>
      <c r="T360" s="45">
        <v>7.2</v>
      </c>
      <c r="U360" s="45">
        <v>7.8</v>
      </c>
      <c r="V360" s="45">
        <v>7.7</v>
      </c>
      <c r="W360" s="45">
        <v>9.9</v>
      </c>
      <c r="X360" s="45">
        <v>10.4</v>
      </c>
      <c r="Y360" s="45">
        <v>10.5</v>
      </c>
      <c r="Z360" s="45">
        <v>8.800000000000001</v>
      </c>
      <c r="AA360" s="45">
        <v>11.3</v>
      </c>
      <c r="AB360" s="45">
        <v>9.5</v>
      </c>
      <c r="AC360" s="45">
        <v>9.4</v>
      </c>
      <c r="AD360" s="45">
        <v>8.5</v>
      </c>
      <c r="AE360" s="45">
        <v>9.6</v>
      </c>
      <c r="AF360" s="45">
        <v>9.9</v>
      </c>
      <c r="AG360" s="45">
        <v>8.6</v>
      </c>
      <c r="AH360" s="45">
        <v>8.6</v>
      </c>
      <c r="AI360" s="45">
        <v>8</v>
      </c>
      <c r="AJ360" s="45">
        <v>9.4</v>
      </c>
      <c r="AK360" s="45">
        <v>7.1</v>
      </c>
      <c r="AL360" s="45">
        <v>8.699999999999999</v>
      </c>
      <c r="AM360" s="45">
        <v>7.2</v>
      </c>
      <c r="AN360" s="45">
        <v>8</v>
      </c>
      <c r="AO360" s="45">
        <v>5.1</v>
      </c>
      <c r="AP360" s="45">
        <v>5</v>
      </c>
      <c r="AQ360" s="45">
        <v>5.3</v>
      </c>
      <c r="AR360" s="45">
        <v>2.7</v>
      </c>
      <c r="AS360" s="45">
        <v>0</v>
      </c>
      <c r="AT360" s="45">
        <v>0</v>
      </c>
      <c r="AU360" s="45">
        <v>0</v>
      </c>
      <c r="AV360" s="45">
        <v>0</v>
      </c>
      <c r="AW360" s="45">
        <v>0</v>
      </c>
      <c r="AX360" s="45">
        <v>0</v>
      </c>
      <c r="AY360" s="45">
        <v>0</v>
      </c>
      <c r="AZ360" s="45">
        <v>0</v>
      </c>
      <c r="BA360" s="45">
        <v>0</v>
      </c>
      <c r="BB360" s="45">
        <v>0</v>
      </c>
      <c r="BC360" s="45">
        <v>0</v>
      </c>
      <c r="BD360" s="45">
        <v>0</v>
      </c>
      <c r="BE360" s="45">
        <v>0</v>
      </c>
      <c r="BF360" s="45">
        <v>0</v>
      </c>
      <c r="BG360" s="45">
        <v>0</v>
      </c>
    </row>
    <row r="361" spans="1:59">
      <c r="A361" s="18" t="s">
        <v>198</v>
      </c>
      <c r="B361" s="18" t="s">
        <v>190</v>
      </c>
      <c r="C361" s="18" t="s">
        <v>82</v>
      </c>
      <c r="D361" s="45">
        <v>0</v>
      </c>
      <c r="E361" s="45">
        <v>0</v>
      </c>
      <c r="F361" s="45">
        <v>0</v>
      </c>
      <c r="G361" s="45">
        <v>0</v>
      </c>
      <c r="H361" s="45">
        <v>0</v>
      </c>
      <c r="I361" s="45">
        <v>4.5</v>
      </c>
      <c r="J361" s="45">
        <v>14.6</v>
      </c>
      <c r="K361" s="45">
        <v>11.4</v>
      </c>
      <c r="L361" s="45">
        <v>9.6</v>
      </c>
      <c r="M361" s="45">
        <v>7</v>
      </c>
      <c r="N361" s="45">
        <v>6.7</v>
      </c>
      <c r="O361" s="45">
        <v>7.5</v>
      </c>
      <c r="P361" s="45">
        <v>8.199999999999999</v>
      </c>
      <c r="Q361" s="45">
        <v>7.8</v>
      </c>
      <c r="R361" s="45">
        <v>6</v>
      </c>
      <c r="S361" s="45">
        <v>8.4</v>
      </c>
      <c r="T361" s="45">
        <v>6.5</v>
      </c>
      <c r="U361" s="45">
        <v>7.7</v>
      </c>
      <c r="V361" s="45">
        <v>7.8</v>
      </c>
      <c r="W361" s="45">
        <v>8.4</v>
      </c>
      <c r="X361" s="45">
        <v>8.1</v>
      </c>
      <c r="Y361" s="45">
        <v>8.199999999999999</v>
      </c>
      <c r="Z361" s="45">
        <v>10.4</v>
      </c>
      <c r="AA361" s="45">
        <v>10.2</v>
      </c>
      <c r="AB361" s="45">
        <v>7.7</v>
      </c>
      <c r="AC361" s="45">
        <v>8</v>
      </c>
      <c r="AD361" s="45">
        <v>8.5</v>
      </c>
      <c r="AE361" s="45">
        <v>9.4</v>
      </c>
      <c r="AF361" s="45">
        <v>8.800000000000001</v>
      </c>
      <c r="AG361" s="45">
        <v>7.7</v>
      </c>
      <c r="AH361" s="45">
        <v>8.6</v>
      </c>
      <c r="AI361" s="45">
        <v>7.1</v>
      </c>
      <c r="AJ361" s="45">
        <v>9.6</v>
      </c>
      <c r="AK361" s="45">
        <v>7.5</v>
      </c>
      <c r="AL361" s="45">
        <v>8.4</v>
      </c>
      <c r="AM361" s="45">
        <v>7.6</v>
      </c>
      <c r="AN361" s="45">
        <v>7.8</v>
      </c>
      <c r="AO361" s="45">
        <v>4.9</v>
      </c>
      <c r="AP361" s="45">
        <v>5.4</v>
      </c>
      <c r="AQ361" s="45">
        <v>5.1</v>
      </c>
      <c r="AR361" s="45">
        <v>0</v>
      </c>
      <c r="AS361" s="45">
        <v>0</v>
      </c>
      <c r="AT361" s="45">
        <v>0</v>
      </c>
      <c r="AU361" s="45">
        <v>0</v>
      </c>
      <c r="AV361" s="45">
        <v>0</v>
      </c>
      <c r="AW361" s="45">
        <v>0</v>
      </c>
      <c r="AX361" s="45">
        <v>0</v>
      </c>
      <c r="AY361" s="45">
        <v>0</v>
      </c>
      <c r="AZ361" s="45">
        <v>0</v>
      </c>
      <c r="BA361" s="45">
        <v>0</v>
      </c>
      <c r="BB361" s="45">
        <v>0</v>
      </c>
      <c r="BC361" s="45">
        <v>0</v>
      </c>
      <c r="BD361" s="45">
        <v>0</v>
      </c>
      <c r="BE361" s="45">
        <v>0</v>
      </c>
      <c r="BF361" s="45">
        <v>0</v>
      </c>
      <c r="BG361" s="45">
        <v>0</v>
      </c>
    </row>
    <row r="362" spans="1:59">
      <c r="A362" s="18" t="s">
        <v>199</v>
      </c>
      <c r="B362" s="18" t="s">
        <v>190</v>
      </c>
      <c r="C362" s="18" t="s">
        <v>84</v>
      </c>
      <c r="D362" s="45">
        <v>0</v>
      </c>
      <c r="E362" s="45">
        <v>0</v>
      </c>
      <c r="F362" s="45">
        <v>0</v>
      </c>
      <c r="G362" s="45">
        <v>0</v>
      </c>
      <c r="H362" s="45">
        <v>0</v>
      </c>
      <c r="I362" s="45">
        <v>8.800000000000001</v>
      </c>
      <c r="J362" s="45">
        <v>11.7</v>
      </c>
      <c r="K362" s="45">
        <v>11</v>
      </c>
      <c r="L362" s="45">
        <v>9.6</v>
      </c>
      <c r="M362" s="45">
        <v>8.5</v>
      </c>
      <c r="N362" s="45">
        <v>7.9</v>
      </c>
      <c r="O362" s="45">
        <v>7.3</v>
      </c>
      <c r="P362" s="45">
        <v>7.3</v>
      </c>
      <c r="Q362" s="45">
        <v>7.1</v>
      </c>
      <c r="R362" s="45">
        <v>7.4</v>
      </c>
      <c r="S362" s="45">
        <v>7.5</v>
      </c>
      <c r="T362" s="45">
        <v>7.6</v>
      </c>
      <c r="U362" s="45">
        <v>7.7</v>
      </c>
      <c r="V362" s="45">
        <v>8.199999999999999</v>
      </c>
      <c r="W362" s="45">
        <v>7.5</v>
      </c>
      <c r="X362" s="45">
        <v>9.1</v>
      </c>
      <c r="Y362" s="45">
        <v>9.199999999999999</v>
      </c>
      <c r="Z362" s="45">
        <v>8</v>
      </c>
      <c r="AA362" s="45">
        <v>9</v>
      </c>
      <c r="AB362" s="45">
        <v>10</v>
      </c>
      <c r="AC362" s="45">
        <v>9.9</v>
      </c>
      <c r="AD362" s="45">
        <v>8.199999999999999</v>
      </c>
      <c r="AE362" s="45">
        <v>7.4</v>
      </c>
      <c r="AF362" s="45">
        <v>8</v>
      </c>
      <c r="AG362" s="45">
        <v>8.4</v>
      </c>
      <c r="AH362" s="45">
        <v>8.199999999999999</v>
      </c>
      <c r="AI362" s="45">
        <v>7.9</v>
      </c>
      <c r="AJ362" s="45">
        <v>7.6</v>
      </c>
      <c r="AK362" s="45">
        <v>6.3</v>
      </c>
      <c r="AL362" s="45">
        <v>7.2</v>
      </c>
      <c r="AM362" s="45">
        <v>8</v>
      </c>
      <c r="AN362" s="45">
        <v>6.7</v>
      </c>
      <c r="AO362" s="45">
        <v>6</v>
      </c>
      <c r="AP362" s="45">
        <v>5.3</v>
      </c>
      <c r="AQ362" s="45">
        <v>4.5</v>
      </c>
      <c r="AR362" s="45">
        <v>3.8</v>
      </c>
      <c r="AS362" s="45">
        <v>0</v>
      </c>
      <c r="AT362" s="45">
        <v>0</v>
      </c>
      <c r="AU362" s="45">
        <v>0</v>
      </c>
      <c r="AV362" s="45">
        <v>0</v>
      </c>
      <c r="AW362" s="45">
        <v>0</v>
      </c>
      <c r="AX362" s="45">
        <v>0</v>
      </c>
      <c r="AY362" s="45">
        <v>0</v>
      </c>
      <c r="AZ362" s="45">
        <v>0</v>
      </c>
      <c r="BA362" s="45">
        <v>0</v>
      </c>
      <c r="BB362" s="45">
        <v>0</v>
      </c>
      <c r="BC362" s="45">
        <v>0</v>
      </c>
      <c r="BD362" s="45">
        <v>0</v>
      </c>
      <c r="BE362" s="45">
        <v>0</v>
      </c>
      <c r="BF362" s="45">
        <v>0</v>
      </c>
      <c r="BG362" s="45">
        <v>0</v>
      </c>
    </row>
    <row r="363" spans="1:59">
      <c r="A363" s="18" t="s">
        <v>200</v>
      </c>
      <c r="B363" s="18" t="s">
        <v>190</v>
      </c>
      <c r="C363" s="18" t="s">
        <v>86</v>
      </c>
      <c r="D363" s="45">
        <v>0</v>
      </c>
      <c r="E363" s="45">
        <v>0</v>
      </c>
      <c r="F363" s="45">
        <v>0</v>
      </c>
      <c r="G363" s="45">
        <v>0</v>
      </c>
      <c r="H363" s="45">
        <v>0</v>
      </c>
      <c r="I363" s="45">
        <v>2.9</v>
      </c>
      <c r="J363" s="45">
        <v>3.5</v>
      </c>
      <c r="K363" s="45">
        <v>2.7</v>
      </c>
      <c r="L363" s="45">
        <v>3.1</v>
      </c>
      <c r="M363" s="45">
        <v>2.7</v>
      </c>
      <c r="N363" s="45">
        <v>2.2</v>
      </c>
      <c r="O363" s="45">
        <v>2.9</v>
      </c>
      <c r="P363" s="45">
        <v>2.3</v>
      </c>
      <c r="Q363" s="45">
        <v>2.6</v>
      </c>
      <c r="R363" s="45">
        <v>3.2</v>
      </c>
      <c r="S363" s="45">
        <v>1.9</v>
      </c>
      <c r="T363" s="45">
        <v>2.7</v>
      </c>
      <c r="U363" s="45">
        <v>2.8</v>
      </c>
      <c r="V363" s="45">
        <v>3.6</v>
      </c>
      <c r="W363" s="45">
        <v>2.7</v>
      </c>
      <c r="X363" s="45">
        <v>2.4</v>
      </c>
      <c r="Y363" s="45">
        <v>2.5</v>
      </c>
      <c r="Z363" s="45">
        <v>3.5</v>
      </c>
      <c r="AA363" s="45">
        <v>4.3</v>
      </c>
      <c r="AB363" s="45">
        <v>2.5</v>
      </c>
      <c r="AC363" s="45">
        <v>2</v>
      </c>
      <c r="AD363" s="45">
        <v>2.8</v>
      </c>
      <c r="AE363" s="45">
        <v>2.1</v>
      </c>
      <c r="AF363" s="45">
        <v>2.2</v>
      </c>
      <c r="AG363" s="45">
        <v>2.1</v>
      </c>
      <c r="AH363" s="45">
        <v>1.8</v>
      </c>
      <c r="AI363" s="45">
        <v>2.1</v>
      </c>
      <c r="AJ363" s="45">
        <v>2.5</v>
      </c>
      <c r="AK363" s="45">
        <v>2.3</v>
      </c>
      <c r="AL363" s="45">
        <v>3.5</v>
      </c>
      <c r="AM363" s="45">
        <v>2.5</v>
      </c>
      <c r="AN363" s="45">
        <v>4</v>
      </c>
      <c r="AO363" s="45">
        <v>3.2</v>
      </c>
      <c r="AP363" s="45">
        <v>3.4</v>
      </c>
      <c r="AQ363" s="45">
        <v>1.9</v>
      </c>
      <c r="AR363" s="45">
        <v>3.8</v>
      </c>
      <c r="AS363" s="45">
        <v>0</v>
      </c>
      <c r="AT363" s="45">
        <v>0</v>
      </c>
      <c r="AU363" s="45">
        <v>0</v>
      </c>
      <c r="AV363" s="45">
        <v>0</v>
      </c>
      <c r="AW363" s="45">
        <v>0</v>
      </c>
      <c r="AX363" s="45">
        <v>0</v>
      </c>
      <c r="AY363" s="45">
        <v>0</v>
      </c>
      <c r="AZ363" s="45">
        <v>0</v>
      </c>
      <c r="BA363" s="45">
        <v>0</v>
      </c>
      <c r="BB363" s="45">
        <v>0</v>
      </c>
      <c r="BC363" s="45">
        <v>0</v>
      </c>
      <c r="BD363" s="45">
        <v>0</v>
      </c>
      <c r="BE363" s="45">
        <v>0</v>
      </c>
      <c r="BF363" s="45">
        <v>0</v>
      </c>
      <c r="BG363" s="45">
        <v>0</v>
      </c>
    </row>
    <row r="364" spans="1:59">
      <c r="A364" s="18" t="s">
        <v>201</v>
      </c>
      <c r="B364" s="18" t="s">
        <v>190</v>
      </c>
      <c r="C364" s="18" t="s">
        <v>88</v>
      </c>
      <c r="D364" s="45">
        <v>0</v>
      </c>
      <c r="E364" s="45">
        <v>0</v>
      </c>
      <c r="F364" s="45">
        <v>0</v>
      </c>
      <c r="G364" s="45">
        <v>0</v>
      </c>
      <c r="H364" s="45">
        <v>0</v>
      </c>
      <c r="I364" s="45">
        <v>2.1</v>
      </c>
      <c r="J364" s="45">
        <v>2.9</v>
      </c>
      <c r="K364" s="45">
        <v>3.9</v>
      </c>
      <c r="L364" s="45">
        <v>2.9</v>
      </c>
      <c r="M364" s="45">
        <v>2.8</v>
      </c>
      <c r="N364" s="45">
        <v>3</v>
      </c>
      <c r="O364" s="45">
        <v>2.3</v>
      </c>
      <c r="P364" s="45">
        <v>2.8</v>
      </c>
      <c r="Q364" s="45">
        <v>2.4</v>
      </c>
      <c r="R364" s="45">
        <v>2.7</v>
      </c>
      <c r="S364" s="45">
        <v>2.9</v>
      </c>
      <c r="T364" s="45">
        <v>2.9</v>
      </c>
      <c r="U364" s="45">
        <v>3</v>
      </c>
      <c r="V364" s="45">
        <v>2.9</v>
      </c>
      <c r="W364" s="45">
        <v>3.8</v>
      </c>
      <c r="X364" s="45">
        <v>3.7</v>
      </c>
      <c r="Y364" s="45">
        <v>3.4</v>
      </c>
      <c r="Z364" s="45">
        <v>2.4</v>
      </c>
      <c r="AA364" s="45">
        <v>2.1</v>
      </c>
      <c r="AB364" s="45">
        <v>2.5</v>
      </c>
      <c r="AC364" s="45">
        <v>2.2</v>
      </c>
      <c r="AD364" s="45">
        <v>2.1</v>
      </c>
      <c r="AE364" s="45">
        <v>2.6</v>
      </c>
      <c r="AF364" s="45">
        <v>2.9</v>
      </c>
      <c r="AG364" s="45">
        <v>2.9</v>
      </c>
      <c r="AH364" s="45">
        <v>2.8</v>
      </c>
      <c r="AI364" s="45">
        <v>3.1</v>
      </c>
      <c r="AJ364" s="45">
        <v>3</v>
      </c>
      <c r="AK364" s="45">
        <v>3.1</v>
      </c>
      <c r="AL364" s="45">
        <v>3.6</v>
      </c>
      <c r="AM364" s="45">
        <v>3.2</v>
      </c>
      <c r="AN364" s="45">
        <v>3</v>
      </c>
      <c r="AO364" s="45">
        <v>3.2</v>
      </c>
      <c r="AP364" s="45">
        <v>3.6</v>
      </c>
      <c r="AQ364" s="45">
        <v>3.4</v>
      </c>
      <c r="AR364" s="45">
        <v>3.4</v>
      </c>
      <c r="AS364" s="45">
        <v>0</v>
      </c>
      <c r="AT364" s="45">
        <v>0</v>
      </c>
      <c r="AU364" s="45">
        <v>0</v>
      </c>
      <c r="AV364" s="45">
        <v>0</v>
      </c>
      <c r="AW364" s="45">
        <v>0</v>
      </c>
      <c r="AX364" s="45">
        <v>0</v>
      </c>
      <c r="AY364" s="45">
        <v>0</v>
      </c>
      <c r="AZ364" s="45">
        <v>0</v>
      </c>
      <c r="BA364" s="45">
        <v>0</v>
      </c>
      <c r="BB364" s="45">
        <v>0</v>
      </c>
      <c r="BC364" s="45">
        <v>0</v>
      </c>
      <c r="BD364" s="45">
        <v>0</v>
      </c>
      <c r="BE364" s="45">
        <v>0</v>
      </c>
      <c r="BF364" s="45">
        <v>0</v>
      </c>
      <c r="BG364" s="45">
        <v>0</v>
      </c>
    </row>
    <row r="365" spans="1:59">
      <c r="A365" s="18" t="s">
        <v>202</v>
      </c>
      <c r="B365" s="18" t="s">
        <v>190</v>
      </c>
      <c r="C365" s="18" t="s">
        <v>90</v>
      </c>
      <c r="D365" s="45">
        <v>0</v>
      </c>
      <c r="E365" s="45">
        <v>0</v>
      </c>
      <c r="F365" s="45">
        <v>0</v>
      </c>
      <c r="G365" s="45">
        <v>0</v>
      </c>
      <c r="H365" s="45">
        <v>0.7</v>
      </c>
      <c r="I365" s="45">
        <v>2.7</v>
      </c>
      <c r="J365" s="45">
        <v>3.4</v>
      </c>
      <c r="K365" s="45">
        <v>2.7</v>
      </c>
      <c r="L365" s="45">
        <v>2.9</v>
      </c>
      <c r="M365" s="45">
        <v>3</v>
      </c>
      <c r="N365" s="45">
        <v>2.9</v>
      </c>
      <c r="O365" s="45">
        <v>3.2</v>
      </c>
      <c r="P365" s="45">
        <v>2.9</v>
      </c>
      <c r="Q365" s="45">
        <v>2.9</v>
      </c>
      <c r="R365" s="45">
        <v>2.6</v>
      </c>
      <c r="S365" s="45">
        <v>2.6</v>
      </c>
      <c r="T365" s="45">
        <v>2.8</v>
      </c>
      <c r="U365" s="45">
        <v>2.7</v>
      </c>
      <c r="V365" s="45">
        <v>3.7</v>
      </c>
      <c r="W365" s="45">
        <v>3.3</v>
      </c>
      <c r="X365" s="45">
        <v>3.9</v>
      </c>
      <c r="Y365" s="45">
        <v>3.5</v>
      </c>
      <c r="Z365" s="45">
        <v>3.7</v>
      </c>
      <c r="AA365" s="45">
        <v>4.3</v>
      </c>
      <c r="AB365" s="45">
        <v>3.1</v>
      </c>
      <c r="AC365" s="45">
        <v>3.1</v>
      </c>
      <c r="AD365" s="45">
        <v>3.5</v>
      </c>
      <c r="AE365" s="45">
        <v>3</v>
      </c>
      <c r="AF365" s="45">
        <v>2.4</v>
      </c>
      <c r="AG365" s="45">
        <v>3</v>
      </c>
      <c r="AH365" s="45">
        <v>2.6</v>
      </c>
      <c r="AI365" s="45">
        <v>3.2</v>
      </c>
      <c r="AJ365" s="45">
        <v>3.3</v>
      </c>
      <c r="AK365" s="45">
        <v>2.9</v>
      </c>
      <c r="AL365" s="45">
        <v>3.4</v>
      </c>
      <c r="AM365" s="45">
        <v>3.4</v>
      </c>
      <c r="AN365" s="45">
        <v>3.9</v>
      </c>
      <c r="AO365" s="45">
        <v>3.7</v>
      </c>
      <c r="AP365" s="45">
        <v>3.1</v>
      </c>
      <c r="AQ365" s="45">
        <v>4.3</v>
      </c>
      <c r="AR365" s="45">
        <v>4.5</v>
      </c>
      <c r="AS365" s="45">
        <v>0</v>
      </c>
      <c r="AT365" s="45">
        <v>0</v>
      </c>
      <c r="AU365" s="45">
        <v>0</v>
      </c>
      <c r="AV365" s="45">
        <v>0</v>
      </c>
      <c r="AW365" s="45">
        <v>0</v>
      </c>
      <c r="AX365" s="45">
        <v>0</v>
      </c>
      <c r="AY365" s="45">
        <v>0</v>
      </c>
      <c r="AZ365" s="45">
        <v>0</v>
      </c>
      <c r="BA365" s="45">
        <v>0</v>
      </c>
      <c r="BB365" s="45">
        <v>0</v>
      </c>
      <c r="BC365" s="45">
        <v>0</v>
      </c>
      <c r="BD365" s="45">
        <v>0</v>
      </c>
      <c r="BE365" s="45">
        <v>0</v>
      </c>
      <c r="BF365" s="45">
        <v>0</v>
      </c>
      <c r="BG365" s="45">
        <v>0</v>
      </c>
    </row>
    <row r="368" spans="1:59">
      <c r="A368" s="6" t="s">
        <v>205</v>
      </c>
    </row>
    <row r="369" spans="1:60">
      <c r="A369" s="22" t="s">
        <v>3</v>
      </c>
      <c r="B369" s="22" t="s">
        <v>4</v>
      </c>
      <c r="C369" s="22" t="s">
        <v>5</v>
      </c>
      <c r="D369" s="22" t="s">
        <v>6</v>
      </c>
      <c r="E369" s="22" t="s">
        <v>7</v>
      </c>
      <c r="F369" s="22" t="s">
        <v>8</v>
      </c>
      <c r="G369" s="22" t="s">
        <v>9</v>
      </c>
      <c r="H369" s="22" t="s">
        <v>10</v>
      </c>
      <c r="I369" s="22" t="s">
        <v>11</v>
      </c>
      <c r="J369" s="22" t="s">
        <v>12</v>
      </c>
      <c r="K369" s="22" t="s">
        <v>13</v>
      </c>
      <c r="L369" s="22" t="s">
        <v>14</v>
      </c>
      <c r="M369" s="22" t="s">
        <v>15</v>
      </c>
      <c r="N369" s="22" t="s">
        <v>16</v>
      </c>
      <c r="O369" s="22" t="s">
        <v>17</v>
      </c>
      <c r="P369" s="22" t="s">
        <v>18</v>
      </c>
      <c r="Q369" s="22" t="s">
        <v>19</v>
      </c>
      <c r="R369" s="22" t="s">
        <v>20</v>
      </c>
      <c r="S369" s="22" t="s">
        <v>21</v>
      </c>
      <c r="T369" s="22" t="s">
        <v>22</v>
      </c>
      <c r="U369" s="22" t="s">
        <v>23</v>
      </c>
      <c r="V369" s="22" t="s">
        <v>24</v>
      </c>
      <c r="W369" s="22" t="s">
        <v>25</v>
      </c>
      <c r="X369" s="22" t="s">
        <v>26</v>
      </c>
      <c r="Y369" s="22" t="s">
        <v>27</v>
      </c>
      <c r="Z369" s="22" t="s">
        <v>28</v>
      </c>
      <c r="AA369" s="22" t="s">
        <v>29</v>
      </c>
      <c r="AB369" s="22" t="s">
        <v>30</v>
      </c>
      <c r="AC369" s="22" t="s">
        <v>31</v>
      </c>
      <c r="AD369" s="22" t="s">
        <v>32</v>
      </c>
      <c r="AE369" s="22" t="s">
        <v>33</v>
      </c>
      <c r="AF369" s="22" t="s">
        <v>34</v>
      </c>
      <c r="AG369" s="22" t="s">
        <v>35</v>
      </c>
      <c r="AH369" s="22" t="s">
        <v>36</v>
      </c>
      <c r="AI369" s="22" t="s">
        <v>37</v>
      </c>
      <c r="AJ369" s="22" t="s">
        <v>38</v>
      </c>
      <c r="AK369" s="22" t="s">
        <v>39</v>
      </c>
      <c r="AL369" s="22" t="s">
        <v>40</v>
      </c>
      <c r="AM369" s="22" t="s">
        <v>41</v>
      </c>
      <c r="AN369" s="22" t="s">
        <v>42</v>
      </c>
      <c r="AO369" s="22" t="s">
        <v>43</v>
      </c>
      <c r="AP369" s="22" t="s">
        <v>44</v>
      </c>
      <c r="AQ369" s="22" t="s">
        <v>45</v>
      </c>
      <c r="AR369" s="22" t="s">
        <v>46</v>
      </c>
      <c r="AS369" s="22" t="s">
        <v>47</v>
      </c>
      <c r="AT369" s="22" t="s">
        <v>48</v>
      </c>
      <c r="AU369" s="22" t="s">
        <v>49</v>
      </c>
      <c r="AV369" s="22" t="s">
        <v>50</v>
      </c>
      <c r="AW369" s="22" t="s">
        <v>51</v>
      </c>
      <c r="AX369" s="22" t="s">
        <v>52</v>
      </c>
      <c r="AY369" s="22" t="s">
        <v>53</v>
      </c>
      <c r="AZ369" s="22" t="s">
        <v>54</v>
      </c>
      <c r="BA369" s="22" t="s">
        <v>55</v>
      </c>
      <c r="BB369" s="22" t="s">
        <v>56</v>
      </c>
      <c r="BC369" s="22" t="s">
        <v>57</v>
      </c>
      <c r="BD369" s="22" t="s">
        <v>58</v>
      </c>
      <c r="BE369" s="22" t="s">
        <v>59</v>
      </c>
      <c r="BF369" s="22" t="s">
        <v>60</v>
      </c>
      <c r="BG369" s="22" t="s">
        <v>61</v>
      </c>
      <c r="BH369" s="22" t="s">
        <v>62</v>
      </c>
    </row>
    <row r="370" spans="1:60">
      <c r="A370" s="18" t="s">
        <v>64</v>
      </c>
      <c r="B370" s="18" t="s">
        <v>65</v>
      </c>
      <c r="C370" s="18" t="s">
        <v>66</v>
      </c>
      <c r="D370" s="45">
        <v>0</v>
      </c>
      <c r="E370" s="45">
        <v>0</v>
      </c>
      <c r="F370" s="45">
        <v>0</v>
      </c>
      <c r="G370" s="45">
        <v>35.4</v>
      </c>
      <c r="H370" s="45">
        <v>24.8</v>
      </c>
      <c r="I370" s="45">
        <v>17.3</v>
      </c>
      <c r="J370" s="45">
        <v>14.8</v>
      </c>
      <c r="K370" s="45">
        <v>14.8</v>
      </c>
      <c r="L370" s="45">
        <v>14.8</v>
      </c>
      <c r="M370" s="45">
        <v>15</v>
      </c>
      <c r="N370" s="45">
        <v>15.4</v>
      </c>
      <c r="O370" s="45">
        <v>15.5</v>
      </c>
      <c r="P370" s="45">
        <v>15.8</v>
      </c>
      <c r="Q370" s="45">
        <v>15.9</v>
      </c>
      <c r="R370" s="45">
        <v>16.2</v>
      </c>
      <c r="S370" s="45">
        <v>16.4</v>
      </c>
      <c r="T370" s="45">
        <v>16.3</v>
      </c>
      <c r="U370" s="45">
        <v>16.8</v>
      </c>
      <c r="V370" s="45">
        <v>17</v>
      </c>
      <c r="W370" s="45">
        <v>17.6</v>
      </c>
      <c r="X370" s="45">
        <v>16.9</v>
      </c>
      <c r="Y370" s="45">
        <v>16.4</v>
      </c>
      <c r="Z370" s="45">
        <v>15.7</v>
      </c>
      <c r="AA370" s="45">
        <v>15.3</v>
      </c>
      <c r="AB370" s="45">
        <v>14.7</v>
      </c>
      <c r="AC370" s="45">
        <v>14.8</v>
      </c>
      <c r="AD370" s="45">
        <v>15.2</v>
      </c>
      <c r="AE370" s="45">
        <v>15.2</v>
      </c>
      <c r="AF370" s="45">
        <v>15.4</v>
      </c>
      <c r="AG370" s="45">
        <v>15.4</v>
      </c>
      <c r="AH370" s="45">
        <v>15.5</v>
      </c>
      <c r="AI370" s="45">
        <v>15.5</v>
      </c>
      <c r="AJ370" s="45">
        <v>14.9</v>
      </c>
      <c r="AK370" s="45">
        <v>14.7</v>
      </c>
      <c r="AL370" s="45">
        <v>14.7</v>
      </c>
      <c r="AM370" s="45">
        <v>14.3</v>
      </c>
      <c r="AN370" s="45">
        <v>13.8</v>
      </c>
      <c r="AO370" s="45">
        <v>13</v>
      </c>
      <c r="AP370" s="45">
        <v>11.8</v>
      </c>
      <c r="AQ370" s="45">
        <v>10.5</v>
      </c>
      <c r="AR370" s="45">
        <v>9.6</v>
      </c>
      <c r="AS370" s="45">
        <v>11</v>
      </c>
      <c r="AT370" s="45">
        <v>14.8</v>
      </c>
      <c r="AU370" s="45">
        <v>24</v>
      </c>
      <c r="AV370" s="45">
        <v>16.4</v>
      </c>
      <c r="AW370" s="45">
        <v>8.199999999999999</v>
      </c>
      <c r="AX370" s="45">
        <v>8.9</v>
      </c>
      <c r="AY370" s="45">
        <v>6.2</v>
      </c>
      <c r="AZ370" s="45">
        <v>5.9</v>
      </c>
      <c r="BA370" s="45">
        <v>4.1</v>
      </c>
      <c r="BB370" s="45">
        <v>0</v>
      </c>
      <c r="BC370" s="45">
        <v>0</v>
      </c>
      <c r="BD370" s="45">
        <v>0</v>
      </c>
      <c r="BE370" s="45">
        <v>0</v>
      </c>
      <c r="BF370" s="45">
        <v>0</v>
      </c>
      <c r="BG370" s="45">
        <v>0</v>
      </c>
    </row>
    <row r="371" spans="1:60">
      <c r="A371" s="18" t="s">
        <v>67</v>
      </c>
      <c r="B371" s="18" t="s">
        <v>65</v>
      </c>
      <c r="C371" s="18" t="s">
        <v>68</v>
      </c>
      <c r="D371" s="45">
        <v>0</v>
      </c>
      <c r="E371" s="45">
        <v>0</v>
      </c>
      <c r="F371" s="45">
        <v>0</v>
      </c>
      <c r="G371" s="45">
        <v>38.2</v>
      </c>
      <c r="H371" s="45">
        <v>26</v>
      </c>
      <c r="I371" s="45">
        <v>21.6</v>
      </c>
      <c r="J371" s="45">
        <v>20.5</v>
      </c>
      <c r="K371" s="45">
        <v>19.5</v>
      </c>
      <c r="L371" s="45">
        <v>20.1</v>
      </c>
      <c r="M371" s="45">
        <v>21.4</v>
      </c>
      <c r="N371" s="45">
        <v>21.1</v>
      </c>
      <c r="O371" s="45">
        <v>21.9</v>
      </c>
      <c r="P371" s="45">
        <v>23</v>
      </c>
      <c r="Q371" s="45">
        <v>22</v>
      </c>
      <c r="R371" s="45">
        <v>23</v>
      </c>
      <c r="S371" s="45">
        <v>24</v>
      </c>
      <c r="T371" s="45">
        <v>23.5</v>
      </c>
      <c r="U371" s="45">
        <v>23.8</v>
      </c>
      <c r="V371" s="45">
        <v>23.3</v>
      </c>
      <c r="W371" s="45">
        <v>25</v>
      </c>
      <c r="X371" s="45">
        <v>23.3</v>
      </c>
      <c r="Y371" s="45">
        <v>21.6</v>
      </c>
      <c r="Z371" s="45">
        <v>21.1</v>
      </c>
      <c r="AA371" s="45">
        <v>21.4</v>
      </c>
      <c r="AB371" s="45">
        <v>21.1</v>
      </c>
      <c r="AC371" s="45">
        <v>21.1</v>
      </c>
      <c r="AD371" s="45">
        <v>20.8</v>
      </c>
      <c r="AE371" s="45">
        <v>22.3</v>
      </c>
      <c r="AF371" s="45">
        <v>21.5</v>
      </c>
      <c r="AG371" s="45">
        <v>21.2</v>
      </c>
      <c r="AH371" s="45">
        <v>22.9</v>
      </c>
      <c r="AI371" s="45">
        <v>22</v>
      </c>
      <c r="AJ371" s="45">
        <v>21.6</v>
      </c>
      <c r="AK371" s="45">
        <v>20.8</v>
      </c>
      <c r="AL371" s="45">
        <v>20.8</v>
      </c>
      <c r="AM371" s="45">
        <v>19.8</v>
      </c>
      <c r="AN371" s="45">
        <v>19.2</v>
      </c>
      <c r="AO371" s="45">
        <v>19.3</v>
      </c>
      <c r="AP371" s="45">
        <v>16.3</v>
      </c>
      <c r="AQ371" s="45">
        <v>15.8</v>
      </c>
      <c r="AR371" s="45">
        <v>15.2</v>
      </c>
      <c r="AS371" s="45">
        <v>17.8</v>
      </c>
      <c r="AT371" s="45">
        <v>21.2</v>
      </c>
      <c r="AU371" s="45">
        <v>30</v>
      </c>
      <c r="AV371" s="45">
        <v>0</v>
      </c>
      <c r="AW371" s="45">
        <v>0</v>
      </c>
      <c r="AX371" s="45">
        <v>0</v>
      </c>
      <c r="AY371" s="45">
        <v>0</v>
      </c>
      <c r="AZ371" s="45">
        <v>0</v>
      </c>
      <c r="BA371" s="45">
        <v>0</v>
      </c>
      <c r="BB371" s="45">
        <v>0</v>
      </c>
      <c r="BC371" s="45">
        <v>0</v>
      </c>
      <c r="BD371" s="45">
        <v>0</v>
      </c>
      <c r="BE371" s="45">
        <v>0</v>
      </c>
      <c r="BF371" s="45">
        <v>0</v>
      </c>
      <c r="BG371" s="45">
        <v>0</v>
      </c>
    </row>
    <row r="372" spans="1:60">
      <c r="A372" s="18" t="s">
        <v>69</v>
      </c>
      <c r="B372" s="18" t="s">
        <v>65</v>
      </c>
      <c r="C372" s="18" t="s">
        <v>70</v>
      </c>
      <c r="D372" s="45">
        <v>0</v>
      </c>
      <c r="E372" s="45">
        <v>0</v>
      </c>
      <c r="F372" s="45">
        <v>0</v>
      </c>
      <c r="G372" s="45">
        <v>0</v>
      </c>
      <c r="H372" s="45">
        <v>27.9</v>
      </c>
      <c r="I372" s="45">
        <v>19</v>
      </c>
      <c r="J372" s="45">
        <v>18.2</v>
      </c>
      <c r="K372" s="45">
        <v>18.9</v>
      </c>
      <c r="L372" s="45">
        <v>17.7</v>
      </c>
      <c r="M372" s="45">
        <v>18.3</v>
      </c>
      <c r="N372" s="45">
        <v>18.9</v>
      </c>
      <c r="O372" s="45">
        <v>19.9</v>
      </c>
      <c r="P372" s="45">
        <v>19.4</v>
      </c>
      <c r="Q372" s="45">
        <v>19.8</v>
      </c>
      <c r="R372" s="45">
        <v>20.6</v>
      </c>
      <c r="S372" s="45">
        <v>20.5</v>
      </c>
      <c r="T372" s="45">
        <v>21.4</v>
      </c>
      <c r="U372" s="45">
        <v>20.7</v>
      </c>
      <c r="V372" s="45">
        <v>20.9</v>
      </c>
      <c r="W372" s="45">
        <v>20.5</v>
      </c>
      <c r="X372" s="45">
        <v>20</v>
      </c>
      <c r="Y372" s="45">
        <v>20.7</v>
      </c>
      <c r="Z372" s="45">
        <v>19.7</v>
      </c>
      <c r="AA372" s="45">
        <v>18.5</v>
      </c>
      <c r="AB372" s="45">
        <v>17.6</v>
      </c>
      <c r="AC372" s="45">
        <v>18.3</v>
      </c>
      <c r="AD372" s="45">
        <v>18.6</v>
      </c>
      <c r="AE372" s="45">
        <v>18.5</v>
      </c>
      <c r="AF372" s="45">
        <v>20.6</v>
      </c>
      <c r="AG372" s="45">
        <v>19.7</v>
      </c>
      <c r="AH372" s="45">
        <v>18.8</v>
      </c>
      <c r="AI372" s="45">
        <v>19.7</v>
      </c>
      <c r="AJ372" s="45">
        <v>18.4</v>
      </c>
      <c r="AK372" s="45">
        <v>19</v>
      </c>
      <c r="AL372" s="45">
        <v>17.8</v>
      </c>
      <c r="AM372" s="45">
        <v>17.8</v>
      </c>
      <c r="AN372" s="45">
        <v>17.1</v>
      </c>
      <c r="AO372" s="45">
        <v>16.3</v>
      </c>
      <c r="AP372" s="45">
        <v>15</v>
      </c>
      <c r="AQ372" s="45">
        <v>13.6</v>
      </c>
      <c r="AR372" s="45">
        <v>11.4</v>
      </c>
      <c r="AS372" s="45">
        <v>11.4</v>
      </c>
      <c r="AT372" s="45">
        <v>0</v>
      </c>
      <c r="AU372" s="45">
        <v>0</v>
      </c>
      <c r="AV372" s="45">
        <v>0</v>
      </c>
      <c r="AW372" s="45">
        <v>0</v>
      </c>
      <c r="AX372" s="45">
        <v>0</v>
      </c>
      <c r="AY372" s="45">
        <v>0</v>
      </c>
      <c r="AZ372" s="45">
        <v>0</v>
      </c>
      <c r="BA372" s="45">
        <v>0</v>
      </c>
      <c r="BB372" s="45">
        <v>0</v>
      </c>
      <c r="BC372" s="45">
        <v>0</v>
      </c>
      <c r="BD372" s="45">
        <v>0</v>
      </c>
      <c r="BE372" s="45">
        <v>0</v>
      </c>
      <c r="BF372" s="45">
        <v>0</v>
      </c>
      <c r="BG372" s="45">
        <v>0</v>
      </c>
    </row>
    <row r="373" spans="1:60">
      <c r="A373" s="18" t="s">
        <v>71</v>
      </c>
      <c r="B373" s="18" t="s">
        <v>65</v>
      </c>
      <c r="C373" s="18" t="s">
        <v>72</v>
      </c>
      <c r="D373" s="45">
        <v>0</v>
      </c>
      <c r="E373" s="45">
        <v>0</v>
      </c>
      <c r="F373" s="45">
        <v>0</v>
      </c>
      <c r="G373" s="45">
        <v>0</v>
      </c>
      <c r="H373" s="45">
        <v>21.4</v>
      </c>
      <c r="I373" s="45">
        <v>19.2</v>
      </c>
      <c r="J373" s="45">
        <v>17.1</v>
      </c>
      <c r="K373" s="45">
        <v>17.2</v>
      </c>
      <c r="L373" s="45">
        <v>18.4</v>
      </c>
      <c r="M373" s="45">
        <v>17.9</v>
      </c>
      <c r="N373" s="45">
        <v>18</v>
      </c>
      <c r="O373" s="45">
        <v>17.4</v>
      </c>
      <c r="P373" s="45">
        <v>18.6</v>
      </c>
      <c r="Q373" s="45">
        <v>18.4</v>
      </c>
      <c r="R373" s="45">
        <v>18.9</v>
      </c>
      <c r="S373" s="45">
        <v>18</v>
      </c>
      <c r="T373" s="45">
        <v>17.8</v>
      </c>
      <c r="U373" s="45">
        <v>18.9</v>
      </c>
      <c r="V373" s="45">
        <v>18.4</v>
      </c>
      <c r="W373" s="45">
        <v>19</v>
      </c>
      <c r="X373" s="45">
        <v>19.5</v>
      </c>
      <c r="Y373" s="45">
        <v>18.4</v>
      </c>
      <c r="Z373" s="45">
        <v>17</v>
      </c>
      <c r="AA373" s="45">
        <v>17.1</v>
      </c>
      <c r="AB373" s="45">
        <v>16.6</v>
      </c>
      <c r="AC373" s="45">
        <v>16.4</v>
      </c>
      <c r="AD373" s="45">
        <v>16.6</v>
      </c>
      <c r="AE373" s="45">
        <v>17</v>
      </c>
      <c r="AF373" s="45">
        <v>16.4</v>
      </c>
      <c r="AG373" s="45">
        <v>16.8</v>
      </c>
      <c r="AH373" s="45">
        <v>16.5</v>
      </c>
      <c r="AI373" s="45">
        <v>17.7</v>
      </c>
      <c r="AJ373" s="45">
        <v>15.7</v>
      </c>
      <c r="AK373" s="45">
        <v>15.7</v>
      </c>
      <c r="AL373" s="45">
        <v>15.6</v>
      </c>
      <c r="AM373" s="45">
        <v>16.1</v>
      </c>
      <c r="AN373" s="45">
        <v>14.8</v>
      </c>
      <c r="AO373" s="45">
        <v>14.5</v>
      </c>
      <c r="AP373" s="45">
        <v>12.4</v>
      </c>
      <c r="AQ373" s="45">
        <v>10.5</v>
      </c>
      <c r="AR373" s="45">
        <v>9.9</v>
      </c>
      <c r="AS373" s="45">
        <v>10.6</v>
      </c>
      <c r="AT373" s="45">
        <v>0</v>
      </c>
      <c r="AU373" s="45">
        <v>0</v>
      </c>
      <c r="AV373" s="45">
        <v>0</v>
      </c>
      <c r="AW373" s="45">
        <v>0</v>
      </c>
      <c r="AX373" s="45">
        <v>0</v>
      </c>
      <c r="AY373" s="45">
        <v>0</v>
      </c>
      <c r="AZ373" s="45">
        <v>0</v>
      </c>
      <c r="BA373" s="45">
        <v>0</v>
      </c>
      <c r="BB373" s="45">
        <v>0</v>
      </c>
      <c r="BC373" s="45">
        <v>0</v>
      </c>
      <c r="BD373" s="45">
        <v>0</v>
      </c>
      <c r="BE373" s="45">
        <v>0</v>
      </c>
      <c r="BF373" s="45">
        <v>0</v>
      </c>
      <c r="BG373" s="45">
        <v>0</v>
      </c>
    </row>
    <row r="374" spans="1:60">
      <c r="A374" s="18" t="s">
        <v>73</v>
      </c>
      <c r="B374" s="18" t="s">
        <v>65</v>
      </c>
      <c r="C374" s="18" t="s">
        <v>74</v>
      </c>
      <c r="D374" s="45">
        <v>0</v>
      </c>
      <c r="E374" s="45">
        <v>0</v>
      </c>
      <c r="F374" s="45">
        <v>0</v>
      </c>
      <c r="G374" s="45">
        <v>37.7</v>
      </c>
      <c r="H374" s="45">
        <v>27.6</v>
      </c>
      <c r="I374" s="45">
        <v>20.6</v>
      </c>
      <c r="J374" s="45">
        <v>18.2</v>
      </c>
      <c r="K374" s="45">
        <v>17.5</v>
      </c>
      <c r="L374" s="45">
        <v>16.9</v>
      </c>
      <c r="M374" s="45">
        <v>18.1</v>
      </c>
      <c r="N374" s="45">
        <v>18.3</v>
      </c>
      <c r="O374" s="45">
        <v>18</v>
      </c>
      <c r="P374" s="45">
        <v>18.7</v>
      </c>
      <c r="Q374" s="45">
        <v>18.6</v>
      </c>
      <c r="R374" s="45">
        <v>18.1</v>
      </c>
      <c r="S374" s="45">
        <v>18.5</v>
      </c>
      <c r="T374" s="45">
        <v>18</v>
      </c>
      <c r="U374" s="45">
        <v>19</v>
      </c>
      <c r="V374" s="45">
        <v>18.6</v>
      </c>
      <c r="W374" s="45">
        <v>19.6</v>
      </c>
      <c r="X374" s="45">
        <v>19.2</v>
      </c>
      <c r="Y374" s="45">
        <v>19.5</v>
      </c>
      <c r="Z374" s="45">
        <v>18.3</v>
      </c>
      <c r="AA374" s="45">
        <v>17.2</v>
      </c>
      <c r="AB374" s="45">
        <v>16.5</v>
      </c>
      <c r="AC374" s="45">
        <v>16.6</v>
      </c>
      <c r="AD374" s="45">
        <v>16.8</v>
      </c>
      <c r="AE374" s="45">
        <v>16.2</v>
      </c>
      <c r="AF374" s="45">
        <v>16</v>
      </c>
      <c r="AG374" s="45">
        <v>17</v>
      </c>
      <c r="AH374" s="45">
        <v>15.7</v>
      </c>
      <c r="AI374" s="45">
        <v>16.7</v>
      </c>
      <c r="AJ374" s="45">
        <v>15.6</v>
      </c>
      <c r="AK374" s="45">
        <v>15.6</v>
      </c>
      <c r="AL374" s="45">
        <v>15.8</v>
      </c>
      <c r="AM374" s="45">
        <v>15.6</v>
      </c>
      <c r="AN374" s="45">
        <v>14.2</v>
      </c>
      <c r="AO374" s="45">
        <v>13.2</v>
      </c>
      <c r="AP374" s="45">
        <v>12</v>
      </c>
      <c r="AQ374" s="45">
        <v>9.800000000000001</v>
      </c>
      <c r="AR374" s="45">
        <v>9.300000000000001</v>
      </c>
      <c r="AS374" s="45">
        <v>8.199999999999999</v>
      </c>
      <c r="AT374" s="45">
        <v>0</v>
      </c>
      <c r="AU374" s="45">
        <v>0</v>
      </c>
      <c r="AV374" s="45">
        <v>0</v>
      </c>
      <c r="AW374" s="45">
        <v>0</v>
      </c>
      <c r="AX374" s="45">
        <v>0</v>
      </c>
      <c r="AY374" s="45">
        <v>0</v>
      </c>
      <c r="AZ374" s="45">
        <v>0</v>
      </c>
      <c r="BA374" s="45">
        <v>0</v>
      </c>
      <c r="BB374" s="45">
        <v>0</v>
      </c>
      <c r="BC374" s="45">
        <v>0</v>
      </c>
      <c r="BD374" s="45">
        <v>0</v>
      </c>
      <c r="BE374" s="45">
        <v>0</v>
      </c>
      <c r="BF374" s="45">
        <v>0</v>
      </c>
      <c r="BG374" s="45">
        <v>0</v>
      </c>
    </row>
    <row r="375" spans="1:60">
      <c r="A375" s="18" t="s">
        <v>75</v>
      </c>
      <c r="B375" s="18" t="s">
        <v>65</v>
      </c>
      <c r="C375" s="18" t="s">
        <v>76</v>
      </c>
      <c r="D375" s="45">
        <v>0</v>
      </c>
      <c r="E375" s="45">
        <v>0</v>
      </c>
      <c r="F375" s="45">
        <v>0</v>
      </c>
      <c r="G375" s="45">
        <v>28.3</v>
      </c>
      <c r="H375" s="45">
        <v>23.3</v>
      </c>
      <c r="I375" s="45">
        <v>20</v>
      </c>
      <c r="J375" s="45">
        <v>18</v>
      </c>
      <c r="K375" s="45">
        <v>17.5</v>
      </c>
      <c r="L375" s="45">
        <v>17.3</v>
      </c>
      <c r="M375" s="45">
        <v>18.2</v>
      </c>
      <c r="N375" s="45">
        <v>17.9</v>
      </c>
      <c r="O375" s="45">
        <v>17.9</v>
      </c>
      <c r="P375" s="45">
        <v>17.6</v>
      </c>
      <c r="Q375" s="45">
        <v>18.2</v>
      </c>
      <c r="R375" s="45">
        <v>18.6</v>
      </c>
      <c r="S375" s="45">
        <v>19.3</v>
      </c>
      <c r="T375" s="45">
        <v>19.5</v>
      </c>
      <c r="U375" s="45">
        <v>19.5</v>
      </c>
      <c r="V375" s="45">
        <v>19.6</v>
      </c>
      <c r="W375" s="45">
        <v>21.9</v>
      </c>
      <c r="X375" s="45">
        <v>20.4</v>
      </c>
      <c r="Y375" s="45">
        <v>19.5</v>
      </c>
      <c r="Z375" s="45">
        <v>19.4</v>
      </c>
      <c r="AA375" s="45">
        <v>19.6</v>
      </c>
      <c r="AB375" s="45">
        <v>18.7</v>
      </c>
      <c r="AC375" s="45">
        <v>18.1</v>
      </c>
      <c r="AD375" s="45">
        <v>19</v>
      </c>
      <c r="AE375" s="45">
        <v>17</v>
      </c>
      <c r="AF375" s="45">
        <v>18.6</v>
      </c>
      <c r="AG375" s="45">
        <v>18.4</v>
      </c>
      <c r="AH375" s="45">
        <v>18.3</v>
      </c>
      <c r="AI375" s="45">
        <v>18.8</v>
      </c>
      <c r="AJ375" s="45">
        <v>17.3</v>
      </c>
      <c r="AK375" s="45">
        <v>17.5</v>
      </c>
      <c r="AL375" s="45">
        <v>16.4</v>
      </c>
      <c r="AM375" s="45">
        <v>16.5</v>
      </c>
      <c r="AN375" s="45">
        <v>14.3</v>
      </c>
      <c r="AO375" s="45">
        <v>13.9</v>
      </c>
      <c r="AP375" s="45">
        <v>11.7</v>
      </c>
      <c r="AQ375" s="45">
        <v>10.7</v>
      </c>
      <c r="AR375" s="45">
        <v>10.6</v>
      </c>
      <c r="AS375" s="45">
        <v>9.1</v>
      </c>
      <c r="AT375" s="45">
        <v>0</v>
      </c>
      <c r="AU375" s="45">
        <v>0</v>
      </c>
      <c r="AV375" s="45">
        <v>0</v>
      </c>
      <c r="AW375" s="45">
        <v>0</v>
      </c>
      <c r="AX375" s="45">
        <v>0</v>
      </c>
      <c r="AY375" s="45">
        <v>0</v>
      </c>
      <c r="AZ375" s="45">
        <v>0</v>
      </c>
      <c r="BA375" s="45">
        <v>0</v>
      </c>
      <c r="BB375" s="45">
        <v>0</v>
      </c>
      <c r="BC375" s="45">
        <v>0</v>
      </c>
      <c r="BD375" s="45">
        <v>0</v>
      </c>
      <c r="BE375" s="45">
        <v>0</v>
      </c>
      <c r="BF375" s="45">
        <v>0</v>
      </c>
      <c r="BG375" s="45">
        <v>0</v>
      </c>
    </row>
    <row r="376" spans="1:60">
      <c r="A376" s="18" t="s">
        <v>77</v>
      </c>
      <c r="B376" s="18" t="s">
        <v>65</v>
      </c>
      <c r="C376" s="18" t="s">
        <v>78</v>
      </c>
      <c r="D376" s="45">
        <v>0</v>
      </c>
      <c r="E376" s="45">
        <v>0</v>
      </c>
      <c r="F376" s="45">
        <v>0</v>
      </c>
      <c r="G376" s="45">
        <v>0</v>
      </c>
      <c r="H376" s="45">
        <v>20.7</v>
      </c>
      <c r="I376" s="45">
        <v>20.1</v>
      </c>
      <c r="J376" s="45">
        <v>16.9</v>
      </c>
      <c r="K376" s="45">
        <v>15.5</v>
      </c>
      <c r="L376" s="45">
        <v>15.9</v>
      </c>
      <c r="M376" s="45">
        <v>15.9</v>
      </c>
      <c r="N376" s="45">
        <v>16.4</v>
      </c>
      <c r="O376" s="45">
        <v>16.2</v>
      </c>
      <c r="P376" s="45">
        <v>15.8</v>
      </c>
      <c r="Q376" s="45">
        <v>16.4</v>
      </c>
      <c r="R376" s="45">
        <v>15.7</v>
      </c>
      <c r="S376" s="45">
        <v>15.9</v>
      </c>
      <c r="T376" s="45">
        <v>15.2</v>
      </c>
      <c r="U376" s="45">
        <v>15.6</v>
      </c>
      <c r="V376" s="45">
        <v>16.4</v>
      </c>
      <c r="W376" s="45">
        <v>17</v>
      </c>
      <c r="X376" s="45">
        <v>17.3</v>
      </c>
      <c r="Y376" s="45">
        <v>17.6</v>
      </c>
      <c r="Z376" s="45">
        <v>16.1</v>
      </c>
      <c r="AA376" s="45">
        <v>16.7</v>
      </c>
      <c r="AB376" s="45">
        <v>16.2</v>
      </c>
      <c r="AC376" s="45">
        <v>15</v>
      </c>
      <c r="AD376" s="45">
        <v>16</v>
      </c>
      <c r="AE376" s="45">
        <v>15.2</v>
      </c>
      <c r="AF376" s="45">
        <v>15.3</v>
      </c>
      <c r="AG376" s="45">
        <v>16</v>
      </c>
      <c r="AH376" s="45">
        <v>15.4</v>
      </c>
      <c r="AI376" s="45">
        <v>15.4</v>
      </c>
      <c r="AJ376" s="45">
        <v>15.6</v>
      </c>
      <c r="AK376" s="45">
        <v>14.6</v>
      </c>
      <c r="AL376" s="45">
        <v>15</v>
      </c>
      <c r="AM376" s="45">
        <v>14.3</v>
      </c>
      <c r="AN376" s="45">
        <v>13.4</v>
      </c>
      <c r="AO376" s="45">
        <v>12.4</v>
      </c>
      <c r="AP376" s="45">
        <v>11.4</v>
      </c>
      <c r="AQ376" s="45">
        <v>9.800000000000001</v>
      </c>
      <c r="AR376" s="45">
        <v>9.5</v>
      </c>
      <c r="AS376" s="45">
        <v>8.9</v>
      </c>
      <c r="AT376" s="45">
        <v>0</v>
      </c>
      <c r="AU376" s="45">
        <v>0</v>
      </c>
      <c r="AV376" s="45">
        <v>0</v>
      </c>
      <c r="AW376" s="45">
        <v>0</v>
      </c>
      <c r="AX376" s="45">
        <v>0</v>
      </c>
      <c r="AY376" s="45">
        <v>0</v>
      </c>
      <c r="AZ376" s="45">
        <v>0</v>
      </c>
      <c r="BA376" s="45">
        <v>0</v>
      </c>
      <c r="BB376" s="45">
        <v>0</v>
      </c>
      <c r="BC376" s="45">
        <v>0</v>
      </c>
      <c r="BD376" s="45">
        <v>0</v>
      </c>
      <c r="BE376" s="45">
        <v>0</v>
      </c>
      <c r="BF376" s="45">
        <v>0</v>
      </c>
      <c r="BG376" s="45">
        <v>0</v>
      </c>
    </row>
    <row r="377" spans="1:60">
      <c r="A377" s="18" t="s">
        <v>79</v>
      </c>
      <c r="B377" s="18" t="s">
        <v>65</v>
      </c>
      <c r="C377" s="18" t="s">
        <v>80</v>
      </c>
      <c r="D377" s="45">
        <v>0</v>
      </c>
      <c r="E377" s="45">
        <v>0</v>
      </c>
      <c r="F377" s="45">
        <v>0</v>
      </c>
      <c r="G377" s="45">
        <v>0</v>
      </c>
      <c r="H377" s="45">
        <v>26.4</v>
      </c>
      <c r="I377" s="45">
        <v>19</v>
      </c>
      <c r="J377" s="45">
        <v>16.3</v>
      </c>
      <c r="K377" s="45">
        <v>16.3</v>
      </c>
      <c r="L377" s="45">
        <v>17</v>
      </c>
      <c r="M377" s="45">
        <v>15.3</v>
      </c>
      <c r="N377" s="45">
        <v>15.6</v>
      </c>
      <c r="O377" s="45">
        <v>15.4</v>
      </c>
      <c r="P377" s="45">
        <v>15.4</v>
      </c>
      <c r="Q377" s="45">
        <v>15.9</v>
      </c>
      <c r="R377" s="45">
        <v>16.4</v>
      </c>
      <c r="S377" s="45">
        <v>15.9</v>
      </c>
      <c r="T377" s="45">
        <v>15.5</v>
      </c>
      <c r="U377" s="45">
        <v>16.1</v>
      </c>
      <c r="V377" s="45">
        <v>16</v>
      </c>
      <c r="W377" s="45">
        <v>16.9</v>
      </c>
      <c r="X377" s="45">
        <v>17.4</v>
      </c>
      <c r="Y377" s="45">
        <v>16</v>
      </c>
      <c r="Z377" s="45">
        <v>16</v>
      </c>
      <c r="AA377" s="45">
        <v>15.9</v>
      </c>
      <c r="AB377" s="45">
        <v>15.2</v>
      </c>
      <c r="AC377" s="45">
        <v>14.2</v>
      </c>
      <c r="AD377" s="45">
        <v>15</v>
      </c>
      <c r="AE377" s="45">
        <v>14.9</v>
      </c>
      <c r="AF377" s="45">
        <v>15.7</v>
      </c>
      <c r="AG377" s="45">
        <v>15.7</v>
      </c>
      <c r="AH377" s="45">
        <v>15.1</v>
      </c>
      <c r="AI377" s="45">
        <v>14.3</v>
      </c>
      <c r="AJ377" s="45">
        <v>14.4</v>
      </c>
      <c r="AK377" s="45">
        <v>13.7</v>
      </c>
      <c r="AL377" s="45">
        <v>13.5</v>
      </c>
      <c r="AM377" s="45">
        <v>13.3</v>
      </c>
      <c r="AN377" s="45">
        <v>13.2</v>
      </c>
      <c r="AO377" s="45">
        <v>11.7</v>
      </c>
      <c r="AP377" s="45">
        <v>10.7</v>
      </c>
      <c r="AQ377" s="45">
        <v>10.2</v>
      </c>
      <c r="AR377" s="45">
        <v>9.199999999999999</v>
      </c>
      <c r="AS377" s="45">
        <v>8.9</v>
      </c>
      <c r="AT377" s="45">
        <v>0</v>
      </c>
      <c r="AU377" s="45">
        <v>0</v>
      </c>
      <c r="AV377" s="45">
        <v>6.4</v>
      </c>
      <c r="AW377" s="45">
        <v>0</v>
      </c>
      <c r="AX377" s="45">
        <v>0</v>
      </c>
      <c r="AY377" s="45">
        <v>0</v>
      </c>
      <c r="AZ377" s="45">
        <v>0</v>
      </c>
      <c r="BA377" s="45">
        <v>0</v>
      </c>
      <c r="BB377" s="45">
        <v>0</v>
      </c>
      <c r="BC377" s="45">
        <v>0</v>
      </c>
      <c r="BD377" s="45">
        <v>0</v>
      </c>
      <c r="BE377" s="45">
        <v>0</v>
      </c>
      <c r="BF377" s="45">
        <v>0</v>
      </c>
      <c r="BG377" s="45">
        <v>0</v>
      </c>
    </row>
    <row r="378" spans="1:60">
      <c r="A378" s="18" t="s">
        <v>81</v>
      </c>
      <c r="B378" s="18" t="s">
        <v>65</v>
      </c>
      <c r="C378" s="18" t="s">
        <v>82</v>
      </c>
      <c r="D378" s="45">
        <v>0</v>
      </c>
      <c r="E378" s="45">
        <v>0</v>
      </c>
      <c r="F378" s="45">
        <v>0</v>
      </c>
      <c r="G378" s="45">
        <v>37.7</v>
      </c>
      <c r="H378" s="45">
        <v>24.1</v>
      </c>
      <c r="I378" s="45">
        <v>18.5</v>
      </c>
      <c r="J378" s="45">
        <v>16.5</v>
      </c>
      <c r="K378" s="45">
        <v>14.7</v>
      </c>
      <c r="L378" s="45">
        <v>14.6</v>
      </c>
      <c r="M378" s="45">
        <v>14.2</v>
      </c>
      <c r="N378" s="45">
        <v>15.3</v>
      </c>
      <c r="O378" s="45">
        <v>14.8</v>
      </c>
      <c r="P378" s="45">
        <v>15.2</v>
      </c>
      <c r="Q378" s="45">
        <v>14.5</v>
      </c>
      <c r="R378" s="45">
        <v>14.8</v>
      </c>
      <c r="S378" s="45">
        <v>15.6</v>
      </c>
      <c r="T378" s="45">
        <v>15.2</v>
      </c>
      <c r="U378" s="45">
        <v>15.8</v>
      </c>
      <c r="V378" s="45">
        <v>16.1</v>
      </c>
      <c r="W378" s="45">
        <v>16.9</v>
      </c>
      <c r="X378" s="45">
        <v>16.1</v>
      </c>
      <c r="Y378" s="45">
        <v>16.5</v>
      </c>
      <c r="Z378" s="45">
        <v>16.1</v>
      </c>
      <c r="AA378" s="45">
        <v>15.1</v>
      </c>
      <c r="AB378" s="45">
        <v>15.3</v>
      </c>
      <c r="AC378" s="45">
        <v>15</v>
      </c>
      <c r="AD378" s="45">
        <v>15.2</v>
      </c>
      <c r="AE378" s="45">
        <v>15.2</v>
      </c>
      <c r="AF378" s="45">
        <v>14.4</v>
      </c>
      <c r="AG378" s="45">
        <v>13.7</v>
      </c>
      <c r="AH378" s="45">
        <v>14.4</v>
      </c>
      <c r="AI378" s="45">
        <v>13.9</v>
      </c>
      <c r="AJ378" s="45">
        <v>14.7</v>
      </c>
      <c r="AK378" s="45">
        <v>13.8</v>
      </c>
      <c r="AL378" s="45">
        <v>14.1</v>
      </c>
      <c r="AM378" s="45">
        <v>12.8</v>
      </c>
      <c r="AN378" s="45">
        <v>13</v>
      </c>
      <c r="AO378" s="45">
        <v>11.8</v>
      </c>
      <c r="AP378" s="45">
        <v>10.4</v>
      </c>
      <c r="AQ378" s="45">
        <v>9.6</v>
      </c>
      <c r="AR378" s="45">
        <v>9.199999999999999</v>
      </c>
      <c r="AS378" s="45">
        <v>8.6</v>
      </c>
      <c r="AT378" s="45">
        <v>0</v>
      </c>
      <c r="AU378" s="45">
        <v>0</v>
      </c>
      <c r="AV378" s="45">
        <v>0</v>
      </c>
      <c r="AW378" s="45">
        <v>0</v>
      </c>
      <c r="AX378" s="45">
        <v>0</v>
      </c>
      <c r="AY378" s="45">
        <v>0</v>
      </c>
      <c r="AZ378" s="45">
        <v>0</v>
      </c>
      <c r="BA378" s="45">
        <v>0</v>
      </c>
      <c r="BB378" s="45">
        <v>0</v>
      </c>
      <c r="BC378" s="45">
        <v>0</v>
      </c>
      <c r="BD378" s="45">
        <v>0</v>
      </c>
      <c r="BE378" s="45">
        <v>0</v>
      </c>
      <c r="BF378" s="45">
        <v>0</v>
      </c>
      <c r="BG378" s="45">
        <v>0</v>
      </c>
    </row>
    <row r="379" spans="1:60">
      <c r="A379" s="18" t="s">
        <v>83</v>
      </c>
      <c r="B379" s="18" t="s">
        <v>65</v>
      </c>
      <c r="C379" s="18" t="s">
        <v>84</v>
      </c>
      <c r="D379" s="45">
        <v>0</v>
      </c>
      <c r="E379" s="45">
        <v>0</v>
      </c>
      <c r="F379" s="45">
        <v>0</v>
      </c>
      <c r="G379" s="45">
        <v>0</v>
      </c>
      <c r="H379" s="45">
        <v>23.4</v>
      </c>
      <c r="I379" s="45">
        <v>15.3</v>
      </c>
      <c r="J379" s="45">
        <v>12</v>
      </c>
      <c r="K379" s="45">
        <v>12.6</v>
      </c>
      <c r="L379" s="45">
        <v>11.5</v>
      </c>
      <c r="M379" s="45">
        <v>11.2</v>
      </c>
      <c r="N379" s="45">
        <v>11.5</v>
      </c>
      <c r="O379" s="45">
        <v>10.7</v>
      </c>
      <c r="P379" s="45">
        <v>12</v>
      </c>
      <c r="Q379" s="45">
        <v>12</v>
      </c>
      <c r="R379" s="45">
        <v>12.2</v>
      </c>
      <c r="S379" s="45">
        <v>11.7</v>
      </c>
      <c r="T379" s="45">
        <v>13</v>
      </c>
      <c r="U379" s="45">
        <v>15.1</v>
      </c>
      <c r="V379" s="45">
        <v>15.8</v>
      </c>
      <c r="W379" s="45">
        <v>16.7</v>
      </c>
      <c r="X379" s="45">
        <v>13.9</v>
      </c>
      <c r="Y379" s="45">
        <v>13.9</v>
      </c>
      <c r="Z379" s="45">
        <v>13</v>
      </c>
      <c r="AA379" s="45">
        <v>12.5</v>
      </c>
      <c r="AB379" s="45">
        <v>12.6</v>
      </c>
      <c r="AC379" s="45">
        <v>13.1</v>
      </c>
      <c r="AD379" s="45">
        <v>12.9</v>
      </c>
      <c r="AE379" s="45">
        <v>12.9</v>
      </c>
      <c r="AF379" s="45">
        <v>13.1</v>
      </c>
      <c r="AG379" s="45">
        <v>12.6</v>
      </c>
      <c r="AH379" s="45">
        <v>15.2</v>
      </c>
      <c r="AI379" s="45">
        <v>13.5</v>
      </c>
      <c r="AJ379" s="45">
        <v>12.4</v>
      </c>
      <c r="AK379" s="45">
        <v>12.3</v>
      </c>
      <c r="AL379" s="45">
        <v>13.1</v>
      </c>
      <c r="AM379" s="45">
        <v>12.4</v>
      </c>
      <c r="AN379" s="45">
        <v>11.8</v>
      </c>
      <c r="AO379" s="45">
        <v>10.8</v>
      </c>
      <c r="AP379" s="45">
        <v>10.3</v>
      </c>
      <c r="AQ379" s="45">
        <v>8.9</v>
      </c>
      <c r="AR379" s="45">
        <v>8.199999999999999</v>
      </c>
      <c r="AS379" s="45">
        <v>13.1</v>
      </c>
      <c r="AT379" s="45">
        <v>0</v>
      </c>
      <c r="AU379" s="45">
        <v>4.9</v>
      </c>
      <c r="AV379" s="45">
        <v>0</v>
      </c>
      <c r="AW379" s="45">
        <v>8.1</v>
      </c>
      <c r="AX379" s="45">
        <v>0</v>
      </c>
      <c r="AY379" s="45">
        <v>0</v>
      </c>
      <c r="AZ379" s="45">
        <v>0</v>
      </c>
      <c r="BA379" s="45">
        <v>0</v>
      </c>
      <c r="BB379" s="45">
        <v>0</v>
      </c>
      <c r="BC379" s="45">
        <v>0</v>
      </c>
      <c r="BD379" s="45">
        <v>0</v>
      </c>
      <c r="BE379" s="45">
        <v>0</v>
      </c>
      <c r="BF379" s="45">
        <v>0</v>
      </c>
      <c r="BG379" s="45">
        <v>0</v>
      </c>
    </row>
    <row r="380" spans="1:60">
      <c r="A380" s="18" t="s">
        <v>85</v>
      </c>
      <c r="B380" s="18" t="s">
        <v>65</v>
      </c>
      <c r="C380" s="18" t="s">
        <v>86</v>
      </c>
      <c r="D380" s="45">
        <v>0</v>
      </c>
      <c r="E380" s="45">
        <v>0</v>
      </c>
      <c r="F380" s="45">
        <v>0</v>
      </c>
      <c r="G380" s="45">
        <v>0</v>
      </c>
      <c r="H380" s="45">
        <v>25</v>
      </c>
      <c r="I380" s="45">
        <v>9.300000000000001</v>
      </c>
      <c r="J380" s="45">
        <v>6.1</v>
      </c>
      <c r="K380" s="45">
        <v>5.8</v>
      </c>
      <c r="L380" s="45">
        <v>6.1</v>
      </c>
      <c r="M380" s="45">
        <v>6.2</v>
      </c>
      <c r="N380" s="45">
        <v>8.699999999999999</v>
      </c>
      <c r="O380" s="45">
        <v>8.1</v>
      </c>
      <c r="P380" s="45">
        <v>8.5</v>
      </c>
      <c r="Q380" s="45">
        <v>8.300000000000001</v>
      </c>
      <c r="R380" s="45">
        <v>8.800000000000001</v>
      </c>
      <c r="S380" s="45">
        <v>9.4</v>
      </c>
      <c r="T380" s="45">
        <v>10.5</v>
      </c>
      <c r="U380" s="45">
        <v>9.5</v>
      </c>
      <c r="V380" s="45">
        <v>10.1</v>
      </c>
      <c r="W380" s="45">
        <v>10.7</v>
      </c>
      <c r="X380" s="45">
        <v>9.300000000000001</v>
      </c>
      <c r="Y380" s="45">
        <v>8.699999999999999</v>
      </c>
      <c r="Z380" s="45">
        <v>8.5</v>
      </c>
      <c r="AA380" s="45">
        <v>7.5</v>
      </c>
      <c r="AB380" s="45">
        <v>6.8</v>
      </c>
      <c r="AC380" s="45">
        <v>9</v>
      </c>
      <c r="AD380" s="45">
        <v>9.5</v>
      </c>
      <c r="AE380" s="45">
        <v>9</v>
      </c>
      <c r="AF380" s="45">
        <v>9.5</v>
      </c>
      <c r="AG380" s="45">
        <v>10.4</v>
      </c>
      <c r="AH380" s="45">
        <v>10</v>
      </c>
      <c r="AI380" s="45">
        <v>9.6</v>
      </c>
      <c r="AJ380" s="45">
        <v>9.800000000000001</v>
      </c>
      <c r="AK380" s="45">
        <v>9.9</v>
      </c>
      <c r="AL380" s="45">
        <v>10.6</v>
      </c>
      <c r="AM380" s="45">
        <v>10</v>
      </c>
      <c r="AN380" s="45">
        <v>10.9</v>
      </c>
      <c r="AO380" s="45">
        <v>9.300000000000001</v>
      </c>
      <c r="AP380" s="45">
        <v>8.9</v>
      </c>
      <c r="AQ380" s="45">
        <v>7.5</v>
      </c>
      <c r="AR380" s="45">
        <v>7</v>
      </c>
      <c r="AS380" s="45">
        <v>13.8</v>
      </c>
      <c r="AT380" s="45">
        <v>0</v>
      </c>
      <c r="AU380" s="45">
        <v>0</v>
      </c>
      <c r="AV380" s="45">
        <v>0</v>
      </c>
      <c r="AW380" s="45">
        <v>0</v>
      </c>
      <c r="AX380" s="45">
        <v>0</v>
      </c>
      <c r="AY380" s="45">
        <v>0</v>
      </c>
      <c r="AZ380" s="45">
        <v>0</v>
      </c>
      <c r="BA380" s="45">
        <v>0</v>
      </c>
      <c r="BB380" s="45">
        <v>0</v>
      </c>
      <c r="BC380" s="45">
        <v>0</v>
      </c>
      <c r="BD380" s="45">
        <v>0</v>
      </c>
      <c r="BE380" s="45">
        <v>0</v>
      </c>
      <c r="BF380" s="45">
        <v>0</v>
      </c>
      <c r="BG380" s="45">
        <v>0</v>
      </c>
    </row>
    <row r="381" spans="1:60">
      <c r="A381" s="18" t="s">
        <v>87</v>
      </c>
      <c r="B381" s="18" t="s">
        <v>65</v>
      </c>
      <c r="C381" s="18" t="s">
        <v>88</v>
      </c>
      <c r="D381" s="45">
        <v>0</v>
      </c>
      <c r="E381" s="45">
        <v>0</v>
      </c>
      <c r="F381" s="45">
        <v>0</v>
      </c>
      <c r="G381" s="45">
        <v>0</v>
      </c>
      <c r="H381" s="45">
        <v>25.2</v>
      </c>
      <c r="I381" s="45">
        <v>9.800000000000001</v>
      </c>
      <c r="J381" s="45">
        <v>6.5</v>
      </c>
      <c r="K381" s="45">
        <v>6.2</v>
      </c>
      <c r="L381" s="45">
        <v>6.8</v>
      </c>
      <c r="M381" s="45">
        <v>6.9</v>
      </c>
      <c r="N381" s="45">
        <v>7.2</v>
      </c>
      <c r="O381" s="45">
        <v>7.9</v>
      </c>
      <c r="P381" s="45">
        <v>8.6</v>
      </c>
      <c r="Q381" s="45">
        <v>8.699999999999999</v>
      </c>
      <c r="R381" s="45">
        <v>8.9</v>
      </c>
      <c r="S381" s="45">
        <v>9.5</v>
      </c>
      <c r="T381" s="45">
        <v>9.9</v>
      </c>
      <c r="U381" s="45">
        <v>10.3</v>
      </c>
      <c r="V381" s="45">
        <v>9.800000000000001</v>
      </c>
      <c r="W381" s="45">
        <v>10.2</v>
      </c>
      <c r="X381" s="45">
        <v>10.3</v>
      </c>
      <c r="Y381" s="45">
        <v>9.4</v>
      </c>
      <c r="Z381" s="45">
        <v>8.800000000000001</v>
      </c>
      <c r="AA381" s="45">
        <v>8</v>
      </c>
      <c r="AB381" s="45">
        <v>7.5</v>
      </c>
      <c r="AC381" s="45">
        <v>8.6</v>
      </c>
      <c r="AD381" s="45">
        <v>8.699999999999999</v>
      </c>
      <c r="AE381" s="45">
        <v>9.800000000000001</v>
      </c>
      <c r="AF381" s="45">
        <v>9.300000000000001</v>
      </c>
      <c r="AG381" s="45">
        <v>9.199999999999999</v>
      </c>
      <c r="AH381" s="45">
        <v>9.300000000000001</v>
      </c>
      <c r="AI381" s="45">
        <v>9.300000000000001</v>
      </c>
      <c r="AJ381" s="45">
        <v>9.300000000000001</v>
      </c>
      <c r="AK381" s="45">
        <v>10</v>
      </c>
      <c r="AL381" s="45">
        <v>9.800000000000001</v>
      </c>
      <c r="AM381" s="45">
        <v>9.800000000000001</v>
      </c>
      <c r="AN381" s="45">
        <v>10.3</v>
      </c>
      <c r="AO381" s="45">
        <v>9.5</v>
      </c>
      <c r="AP381" s="45">
        <v>9.800000000000001</v>
      </c>
      <c r="AQ381" s="45">
        <v>7.9</v>
      </c>
      <c r="AR381" s="45">
        <v>6.2</v>
      </c>
      <c r="AS381" s="45">
        <v>3.3</v>
      </c>
      <c r="AT381" s="45">
        <v>0</v>
      </c>
      <c r="AU381" s="45">
        <v>0</v>
      </c>
      <c r="AV381" s="45">
        <v>0</v>
      </c>
      <c r="AW381" s="45">
        <v>0</v>
      </c>
      <c r="AX381" s="45">
        <v>6.6</v>
      </c>
      <c r="AY381" s="45">
        <v>0</v>
      </c>
      <c r="AZ381" s="45">
        <v>5.8</v>
      </c>
      <c r="BA381" s="45">
        <v>0</v>
      </c>
      <c r="BB381" s="45">
        <v>0</v>
      </c>
      <c r="BC381" s="45">
        <v>0</v>
      </c>
      <c r="BD381" s="45">
        <v>0</v>
      </c>
      <c r="BE381" s="45">
        <v>0</v>
      </c>
      <c r="BF381" s="45">
        <v>0</v>
      </c>
      <c r="BG381" s="45">
        <v>0</v>
      </c>
    </row>
    <row r="382" spans="1:60">
      <c r="A382" s="18" t="s">
        <v>89</v>
      </c>
      <c r="B382" s="18" t="s">
        <v>65</v>
      </c>
      <c r="C382" s="18" t="s">
        <v>90</v>
      </c>
      <c r="D382" s="45">
        <v>0</v>
      </c>
      <c r="E382" s="45">
        <v>0</v>
      </c>
      <c r="F382" s="45">
        <v>0</v>
      </c>
      <c r="G382" s="45">
        <v>0</v>
      </c>
      <c r="H382" s="45">
        <v>23.8</v>
      </c>
      <c r="I382" s="45">
        <v>10.9</v>
      </c>
      <c r="J382" s="45">
        <v>8.300000000000001</v>
      </c>
      <c r="K382" s="45">
        <v>9</v>
      </c>
      <c r="L382" s="45">
        <v>9.199999999999999</v>
      </c>
      <c r="M382" s="45">
        <v>9.5</v>
      </c>
      <c r="N382" s="45">
        <v>10.7</v>
      </c>
      <c r="O382" s="45">
        <v>12.6</v>
      </c>
      <c r="P382" s="45">
        <v>12.8</v>
      </c>
      <c r="Q382" s="45">
        <v>13.6</v>
      </c>
      <c r="R382" s="45">
        <v>13.9</v>
      </c>
      <c r="S382" s="45">
        <v>14.5</v>
      </c>
      <c r="T382" s="45">
        <v>13.4</v>
      </c>
      <c r="U382" s="45">
        <v>14.1</v>
      </c>
      <c r="V382" s="45">
        <v>16</v>
      </c>
      <c r="W382" s="45">
        <v>14.9</v>
      </c>
      <c r="X382" s="45">
        <v>14</v>
      </c>
      <c r="Y382" s="45">
        <v>13.3</v>
      </c>
      <c r="Z382" s="45">
        <v>12.3</v>
      </c>
      <c r="AA382" s="45">
        <v>11.6</v>
      </c>
      <c r="AB382" s="45">
        <v>11.1</v>
      </c>
      <c r="AC382" s="45">
        <v>11.7</v>
      </c>
      <c r="AD382" s="45">
        <v>12.3</v>
      </c>
      <c r="AE382" s="45">
        <v>12.9</v>
      </c>
      <c r="AF382" s="45">
        <v>13.2</v>
      </c>
      <c r="AG382" s="45">
        <v>12.9</v>
      </c>
      <c r="AH382" s="45">
        <v>13.4</v>
      </c>
      <c r="AI382" s="45">
        <v>13.2</v>
      </c>
      <c r="AJ382" s="45">
        <v>13.1</v>
      </c>
      <c r="AK382" s="45">
        <v>12.4</v>
      </c>
      <c r="AL382" s="45">
        <v>13.1</v>
      </c>
      <c r="AM382" s="45">
        <v>12.5</v>
      </c>
      <c r="AN382" s="45">
        <v>12.6</v>
      </c>
      <c r="AO382" s="45">
        <v>12.2</v>
      </c>
      <c r="AP382" s="45">
        <v>11.5</v>
      </c>
      <c r="AQ382" s="45">
        <v>10.7</v>
      </c>
      <c r="AR382" s="45">
        <v>9.199999999999999</v>
      </c>
      <c r="AS382" s="45">
        <v>14.9</v>
      </c>
      <c r="AT382" s="45">
        <v>20.9</v>
      </c>
      <c r="AU382" s="45">
        <v>16.3</v>
      </c>
      <c r="AV382" s="45">
        <v>16.2</v>
      </c>
      <c r="AW382" s="45">
        <v>8.199999999999999</v>
      </c>
      <c r="AX382" s="45">
        <v>9.1</v>
      </c>
      <c r="AY382" s="45">
        <v>0</v>
      </c>
      <c r="AZ382" s="45">
        <v>0</v>
      </c>
      <c r="BA382" s="45">
        <v>0</v>
      </c>
      <c r="BB382" s="45">
        <v>0</v>
      </c>
      <c r="BC382" s="45">
        <v>0</v>
      </c>
      <c r="BD382" s="45">
        <v>0</v>
      </c>
      <c r="BE382" s="45">
        <v>0</v>
      </c>
      <c r="BF382" s="45">
        <v>0</v>
      </c>
      <c r="BG382" s="45">
        <v>0</v>
      </c>
    </row>
    <row r="383" spans="1:60">
      <c r="A383" s="18" t="s">
        <v>91</v>
      </c>
      <c r="B383" s="18" t="s">
        <v>92</v>
      </c>
      <c r="C383" s="18" t="s">
        <v>66</v>
      </c>
      <c r="D383" s="45">
        <v>0</v>
      </c>
      <c r="E383" s="45">
        <v>0</v>
      </c>
      <c r="F383" s="45">
        <v>0</v>
      </c>
      <c r="G383" s="45">
        <v>0</v>
      </c>
      <c r="H383" s="45">
        <v>23</v>
      </c>
      <c r="I383" s="45">
        <v>11.4</v>
      </c>
      <c r="J383" s="45">
        <v>10.9</v>
      </c>
      <c r="K383" s="45">
        <v>12.5</v>
      </c>
      <c r="L383" s="45">
        <v>13.2</v>
      </c>
      <c r="M383" s="45">
        <v>12.8</v>
      </c>
      <c r="N383" s="45">
        <v>12.9</v>
      </c>
      <c r="O383" s="45">
        <v>11.6</v>
      </c>
      <c r="P383" s="45">
        <v>11.4</v>
      </c>
      <c r="Q383" s="45">
        <v>12.1</v>
      </c>
      <c r="R383" s="45">
        <v>12</v>
      </c>
      <c r="S383" s="45">
        <v>12.1</v>
      </c>
      <c r="T383" s="45">
        <v>12</v>
      </c>
      <c r="U383" s="45">
        <v>13.1</v>
      </c>
      <c r="V383" s="45">
        <v>13.5</v>
      </c>
      <c r="W383" s="45">
        <v>14.4</v>
      </c>
      <c r="X383" s="45">
        <v>13.1</v>
      </c>
      <c r="Y383" s="45">
        <v>13.6</v>
      </c>
      <c r="Z383" s="45">
        <v>13.2</v>
      </c>
      <c r="AA383" s="45">
        <v>13.2</v>
      </c>
      <c r="AB383" s="45">
        <v>12.1</v>
      </c>
      <c r="AC383" s="45">
        <v>12.2</v>
      </c>
      <c r="AD383" s="45">
        <v>12.6</v>
      </c>
      <c r="AE383" s="45">
        <v>12.4</v>
      </c>
      <c r="AF383" s="45">
        <v>12.8</v>
      </c>
      <c r="AG383" s="45">
        <v>12.6</v>
      </c>
      <c r="AH383" s="45">
        <v>12.5</v>
      </c>
      <c r="AI383" s="45">
        <v>13.1</v>
      </c>
      <c r="AJ383" s="45">
        <v>12.4</v>
      </c>
      <c r="AK383" s="45">
        <v>11.9</v>
      </c>
      <c r="AL383" s="45">
        <v>11.9</v>
      </c>
      <c r="AM383" s="45">
        <v>11.8</v>
      </c>
      <c r="AN383" s="45">
        <v>11.7</v>
      </c>
      <c r="AO383" s="45">
        <v>11.8</v>
      </c>
      <c r="AP383" s="45">
        <v>10.9</v>
      </c>
      <c r="AQ383" s="45">
        <v>10.7</v>
      </c>
      <c r="AR383" s="45">
        <v>10.2</v>
      </c>
      <c r="AS383" s="45">
        <v>10.2</v>
      </c>
      <c r="AT383" s="45">
        <v>10.7</v>
      </c>
      <c r="AU383" s="45">
        <v>13.6</v>
      </c>
      <c r="AV383" s="45">
        <v>10.8</v>
      </c>
      <c r="AW383" s="45">
        <v>6.1</v>
      </c>
      <c r="AX383" s="45">
        <v>7</v>
      </c>
      <c r="AY383" s="45">
        <v>0</v>
      </c>
      <c r="AZ383" s="45">
        <v>0</v>
      </c>
      <c r="BA383" s="45">
        <v>0</v>
      </c>
      <c r="BB383" s="45">
        <v>0</v>
      </c>
      <c r="BC383" s="45">
        <v>0</v>
      </c>
      <c r="BD383" s="45">
        <v>0</v>
      </c>
      <c r="BE383" s="45">
        <v>0</v>
      </c>
      <c r="BF383" s="45">
        <v>0</v>
      </c>
      <c r="BG383" s="45">
        <v>0</v>
      </c>
    </row>
    <row r="384" spans="1:60">
      <c r="A384" s="18" t="s">
        <v>93</v>
      </c>
      <c r="B384" s="18" t="s">
        <v>92</v>
      </c>
      <c r="C384" s="18" t="s">
        <v>68</v>
      </c>
      <c r="D384" s="45">
        <v>0</v>
      </c>
      <c r="E384" s="45">
        <v>0</v>
      </c>
      <c r="F384" s="45">
        <v>0</v>
      </c>
      <c r="G384" s="45">
        <v>0</v>
      </c>
      <c r="H384" s="45">
        <v>0</v>
      </c>
      <c r="I384" s="45">
        <v>0</v>
      </c>
      <c r="J384" s="45">
        <v>24.4</v>
      </c>
      <c r="K384" s="45">
        <v>14.5</v>
      </c>
      <c r="L384" s="45">
        <v>17.6</v>
      </c>
      <c r="M384" s="45">
        <v>17.6</v>
      </c>
      <c r="N384" s="45">
        <v>17</v>
      </c>
      <c r="O384" s="45">
        <v>16.6</v>
      </c>
      <c r="P384" s="45">
        <v>16.2</v>
      </c>
      <c r="Q384" s="45">
        <v>15.1</v>
      </c>
      <c r="R384" s="45">
        <v>17.2</v>
      </c>
      <c r="S384" s="45">
        <v>16.6</v>
      </c>
      <c r="T384" s="45">
        <v>15.9</v>
      </c>
      <c r="U384" s="45">
        <v>17.3</v>
      </c>
      <c r="V384" s="45">
        <v>17</v>
      </c>
      <c r="W384" s="45">
        <v>18.5</v>
      </c>
      <c r="X384" s="45">
        <v>16.1</v>
      </c>
      <c r="Y384" s="45">
        <v>17.1</v>
      </c>
      <c r="Z384" s="45">
        <v>16.1</v>
      </c>
      <c r="AA384" s="45">
        <v>15.8</v>
      </c>
      <c r="AB384" s="45">
        <v>14.6</v>
      </c>
      <c r="AC384" s="45">
        <v>15.9</v>
      </c>
      <c r="AD384" s="45">
        <v>16.3</v>
      </c>
      <c r="AE384" s="45">
        <v>17.3</v>
      </c>
      <c r="AF384" s="45">
        <v>18.5</v>
      </c>
      <c r="AG384" s="45">
        <v>18.8</v>
      </c>
      <c r="AH384" s="45">
        <v>17.2</v>
      </c>
      <c r="AI384" s="45">
        <v>18.2</v>
      </c>
      <c r="AJ384" s="45">
        <v>18.9</v>
      </c>
      <c r="AK384" s="45">
        <v>16.8</v>
      </c>
      <c r="AL384" s="45">
        <v>15.5</v>
      </c>
      <c r="AM384" s="45">
        <v>16.8</v>
      </c>
      <c r="AN384" s="45">
        <v>18</v>
      </c>
      <c r="AO384" s="45">
        <v>18.2</v>
      </c>
      <c r="AP384" s="45">
        <v>15.5</v>
      </c>
      <c r="AQ384" s="45">
        <v>14.8</v>
      </c>
      <c r="AR384" s="45">
        <v>14.9</v>
      </c>
      <c r="AS384" s="45">
        <v>15.6</v>
      </c>
      <c r="AT384" s="45">
        <v>0</v>
      </c>
      <c r="AU384" s="45">
        <v>0</v>
      </c>
      <c r="AV384" s="45">
        <v>0</v>
      </c>
      <c r="AW384" s="45">
        <v>0</v>
      </c>
      <c r="AX384" s="45">
        <v>0</v>
      </c>
      <c r="AY384" s="45">
        <v>0</v>
      </c>
      <c r="AZ384" s="45">
        <v>0</v>
      </c>
      <c r="BA384" s="45">
        <v>0</v>
      </c>
      <c r="BB384" s="45">
        <v>0</v>
      </c>
      <c r="BC384" s="45">
        <v>0</v>
      </c>
      <c r="BD384" s="45">
        <v>0</v>
      </c>
      <c r="BE384" s="45">
        <v>0</v>
      </c>
      <c r="BF384" s="45">
        <v>0</v>
      </c>
      <c r="BG384" s="45">
        <v>0</v>
      </c>
    </row>
    <row r="385" spans="1:59">
      <c r="A385" s="18" t="s">
        <v>94</v>
      </c>
      <c r="B385" s="18" t="s">
        <v>92</v>
      </c>
      <c r="C385" s="18" t="s">
        <v>70</v>
      </c>
      <c r="D385" s="45">
        <v>0</v>
      </c>
      <c r="E385" s="45">
        <v>0</v>
      </c>
      <c r="F385" s="45">
        <v>0</v>
      </c>
      <c r="G385" s="45">
        <v>0</v>
      </c>
      <c r="H385" s="45">
        <v>0</v>
      </c>
      <c r="I385" s="45">
        <v>0</v>
      </c>
      <c r="J385" s="45">
        <v>21</v>
      </c>
      <c r="K385" s="45">
        <v>17.1</v>
      </c>
      <c r="L385" s="45">
        <v>15.5</v>
      </c>
      <c r="M385" s="45">
        <v>14.9</v>
      </c>
      <c r="N385" s="45">
        <v>15.4</v>
      </c>
      <c r="O385" s="45">
        <v>14.2</v>
      </c>
      <c r="P385" s="45">
        <v>16.5</v>
      </c>
      <c r="Q385" s="45">
        <v>15</v>
      </c>
      <c r="R385" s="45">
        <v>16.6</v>
      </c>
      <c r="S385" s="45">
        <v>15.5</v>
      </c>
      <c r="T385" s="45">
        <v>15.6</v>
      </c>
      <c r="U385" s="45">
        <v>13.5</v>
      </c>
      <c r="V385" s="45">
        <v>14.3</v>
      </c>
      <c r="W385" s="45">
        <v>16</v>
      </c>
      <c r="X385" s="45">
        <v>15.5</v>
      </c>
      <c r="Y385" s="45">
        <v>16.1</v>
      </c>
      <c r="Z385" s="45">
        <v>15.4</v>
      </c>
      <c r="AA385" s="45">
        <v>16.7</v>
      </c>
      <c r="AB385" s="45">
        <v>13.8</v>
      </c>
      <c r="AC385" s="45">
        <v>14</v>
      </c>
      <c r="AD385" s="45">
        <v>16.2</v>
      </c>
      <c r="AE385" s="45">
        <v>14.8</v>
      </c>
      <c r="AF385" s="45">
        <v>15.4</v>
      </c>
      <c r="AG385" s="45">
        <v>15.3</v>
      </c>
      <c r="AH385" s="45">
        <v>15</v>
      </c>
      <c r="AI385" s="45">
        <v>17.1</v>
      </c>
      <c r="AJ385" s="45">
        <v>14.4</v>
      </c>
      <c r="AK385" s="45">
        <v>13.9</v>
      </c>
      <c r="AL385" s="45">
        <v>13.1</v>
      </c>
      <c r="AM385" s="45">
        <v>14.6</v>
      </c>
      <c r="AN385" s="45">
        <v>13.5</v>
      </c>
      <c r="AO385" s="45">
        <v>13.8</v>
      </c>
      <c r="AP385" s="45">
        <v>12.4</v>
      </c>
      <c r="AQ385" s="45">
        <v>12.8</v>
      </c>
      <c r="AR385" s="45">
        <v>10</v>
      </c>
      <c r="AS385" s="45">
        <v>11.4</v>
      </c>
      <c r="AT385" s="45">
        <v>0</v>
      </c>
      <c r="AU385" s="45">
        <v>0</v>
      </c>
      <c r="AV385" s="45">
        <v>0</v>
      </c>
      <c r="AW385" s="45">
        <v>0</v>
      </c>
      <c r="AX385" s="45">
        <v>0</v>
      </c>
      <c r="AY385" s="45">
        <v>0</v>
      </c>
      <c r="AZ385" s="45">
        <v>0</v>
      </c>
      <c r="BA385" s="45">
        <v>0</v>
      </c>
      <c r="BB385" s="45">
        <v>0</v>
      </c>
      <c r="BC385" s="45">
        <v>0</v>
      </c>
      <c r="BD385" s="45">
        <v>0</v>
      </c>
      <c r="BE385" s="45">
        <v>0</v>
      </c>
      <c r="BF385" s="45">
        <v>0</v>
      </c>
      <c r="BG385" s="45">
        <v>0</v>
      </c>
    </row>
    <row r="386" spans="1:59">
      <c r="A386" s="18" t="s">
        <v>95</v>
      </c>
      <c r="B386" s="18" t="s">
        <v>92</v>
      </c>
      <c r="C386" s="18" t="s">
        <v>72</v>
      </c>
      <c r="D386" s="45">
        <v>0</v>
      </c>
      <c r="E386" s="45">
        <v>0</v>
      </c>
      <c r="F386" s="45">
        <v>0</v>
      </c>
      <c r="G386" s="45">
        <v>0</v>
      </c>
      <c r="H386" s="45">
        <v>0</v>
      </c>
      <c r="I386" s="45">
        <v>0</v>
      </c>
      <c r="J386" s="45">
        <v>24.9</v>
      </c>
      <c r="K386" s="45">
        <v>16.4</v>
      </c>
      <c r="L386" s="45">
        <v>15.6</v>
      </c>
      <c r="M386" s="45">
        <v>16.5</v>
      </c>
      <c r="N386" s="45">
        <v>13.7</v>
      </c>
      <c r="O386" s="45">
        <v>15.7</v>
      </c>
      <c r="P386" s="45">
        <v>13.9</v>
      </c>
      <c r="Q386" s="45">
        <v>14.4</v>
      </c>
      <c r="R386" s="45">
        <v>14.6</v>
      </c>
      <c r="S386" s="45">
        <v>15.2</v>
      </c>
      <c r="T386" s="45">
        <v>13.7</v>
      </c>
      <c r="U386" s="45">
        <v>16</v>
      </c>
      <c r="V386" s="45">
        <v>15.2</v>
      </c>
      <c r="W386" s="45">
        <v>16</v>
      </c>
      <c r="X386" s="45">
        <v>17.1</v>
      </c>
      <c r="Y386" s="45">
        <v>17.7</v>
      </c>
      <c r="Z386" s="45">
        <v>14.2</v>
      </c>
      <c r="AA386" s="45">
        <v>15.4</v>
      </c>
      <c r="AB386" s="45">
        <v>15.2</v>
      </c>
      <c r="AC386" s="45">
        <v>16.9</v>
      </c>
      <c r="AD386" s="45">
        <v>14.1</v>
      </c>
      <c r="AE386" s="45">
        <v>15.2</v>
      </c>
      <c r="AF386" s="45">
        <v>15.3</v>
      </c>
      <c r="AG386" s="45">
        <v>14.2</v>
      </c>
      <c r="AH386" s="45">
        <v>14.8</v>
      </c>
      <c r="AI386" s="45">
        <v>17.1</v>
      </c>
      <c r="AJ386" s="45">
        <v>14.3</v>
      </c>
      <c r="AK386" s="45">
        <v>15.4</v>
      </c>
      <c r="AL386" s="45">
        <v>13.9</v>
      </c>
      <c r="AM386" s="45">
        <v>15</v>
      </c>
      <c r="AN386" s="45">
        <v>14</v>
      </c>
      <c r="AO386" s="45">
        <v>15.5</v>
      </c>
      <c r="AP386" s="45">
        <v>12.4</v>
      </c>
      <c r="AQ386" s="45">
        <v>11.4</v>
      </c>
      <c r="AR386" s="45">
        <v>11</v>
      </c>
      <c r="AS386" s="45">
        <v>10.9</v>
      </c>
      <c r="AT386" s="45">
        <v>0</v>
      </c>
      <c r="AU386" s="45">
        <v>0</v>
      </c>
      <c r="AV386" s="45">
        <v>0</v>
      </c>
      <c r="AW386" s="45">
        <v>0</v>
      </c>
      <c r="AX386" s="45">
        <v>0</v>
      </c>
      <c r="AY386" s="45">
        <v>0</v>
      </c>
      <c r="AZ386" s="45">
        <v>0</v>
      </c>
      <c r="BA386" s="45">
        <v>0</v>
      </c>
      <c r="BB386" s="45">
        <v>0</v>
      </c>
      <c r="BC386" s="45">
        <v>0</v>
      </c>
      <c r="BD386" s="45">
        <v>0</v>
      </c>
      <c r="BE386" s="45">
        <v>0</v>
      </c>
      <c r="BF386" s="45">
        <v>0</v>
      </c>
      <c r="BG386" s="45">
        <v>0</v>
      </c>
    </row>
    <row r="387" spans="1:59">
      <c r="A387" s="18" t="s">
        <v>96</v>
      </c>
      <c r="B387" s="18" t="s">
        <v>92</v>
      </c>
      <c r="C387" s="18" t="s">
        <v>74</v>
      </c>
      <c r="D387" s="45">
        <v>0</v>
      </c>
      <c r="E387" s="45">
        <v>0</v>
      </c>
      <c r="F387" s="45">
        <v>0</v>
      </c>
      <c r="G387" s="45">
        <v>0</v>
      </c>
      <c r="H387" s="45">
        <v>0</v>
      </c>
      <c r="I387" s="45">
        <v>0</v>
      </c>
      <c r="J387" s="45">
        <v>27</v>
      </c>
      <c r="K387" s="45">
        <v>15.5</v>
      </c>
      <c r="L387" s="45">
        <v>16.6</v>
      </c>
      <c r="M387" s="45">
        <v>13.9</v>
      </c>
      <c r="N387" s="45">
        <v>16.4</v>
      </c>
      <c r="O387" s="45">
        <v>13.3</v>
      </c>
      <c r="P387" s="45">
        <v>13.7</v>
      </c>
      <c r="Q387" s="45">
        <v>14.8</v>
      </c>
      <c r="R387" s="45">
        <v>13</v>
      </c>
      <c r="S387" s="45">
        <v>13.3</v>
      </c>
      <c r="T387" s="45">
        <v>14.1</v>
      </c>
      <c r="U387" s="45">
        <v>14</v>
      </c>
      <c r="V387" s="45">
        <v>14</v>
      </c>
      <c r="W387" s="45">
        <v>16.3</v>
      </c>
      <c r="X387" s="45">
        <v>17.1</v>
      </c>
      <c r="Y387" s="45">
        <v>16.5</v>
      </c>
      <c r="Z387" s="45">
        <v>16.5</v>
      </c>
      <c r="AA387" s="45">
        <v>15.5</v>
      </c>
      <c r="AB387" s="45">
        <v>15</v>
      </c>
      <c r="AC387" s="45">
        <v>16.5</v>
      </c>
      <c r="AD387" s="45">
        <v>14.5</v>
      </c>
      <c r="AE387" s="45">
        <v>13</v>
      </c>
      <c r="AF387" s="45">
        <v>13.3</v>
      </c>
      <c r="AG387" s="45">
        <v>13.2</v>
      </c>
      <c r="AH387" s="45">
        <v>13.6</v>
      </c>
      <c r="AI387" s="45">
        <v>14.3</v>
      </c>
      <c r="AJ387" s="45">
        <v>13.6</v>
      </c>
      <c r="AK387" s="45">
        <v>12.6</v>
      </c>
      <c r="AL387" s="45">
        <v>14.7</v>
      </c>
      <c r="AM387" s="45">
        <v>13.7</v>
      </c>
      <c r="AN387" s="45">
        <v>12.1</v>
      </c>
      <c r="AO387" s="45">
        <v>11.2</v>
      </c>
      <c r="AP387" s="45">
        <v>11.2</v>
      </c>
      <c r="AQ387" s="45">
        <v>9.5</v>
      </c>
      <c r="AR387" s="45">
        <v>9.4</v>
      </c>
      <c r="AS387" s="45">
        <v>7.8</v>
      </c>
      <c r="AT387" s="45">
        <v>0</v>
      </c>
      <c r="AU387" s="45">
        <v>0</v>
      </c>
      <c r="AV387" s="45">
        <v>0</v>
      </c>
      <c r="AW387" s="45">
        <v>0</v>
      </c>
      <c r="AX387" s="45">
        <v>0</v>
      </c>
      <c r="AY387" s="45">
        <v>0</v>
      </c>
      <c r="AZ387" s="45">
        <v>0</v>
      </c>
      <c r="BA387" s="45">
        <v>0</v>
      </c>
      <c r="BB387" s="45">
        <v>0</v>
      </c>
      <c r="BC387" s="45">
        <v>0</v>
      </c>
      <c r="BD387" s="45">
        <v>0</v>
      </c>
      <c r="BE387" s="45">
        <v>0</v>
      </c>
      <c r="BF387" s="45">
        <v>0</v>
      </c>
      <c r="BG387" s="45">
        <v>0</v>
      </c>
    </row>
    <row r="388" spans="1:59">
      <c r="A388" s="18" t="s">
        <v>97</v>
      </c>
      <c r="B388" s="18" t="s">
        <v>92</v>
      </c>
      <c r="C388" s="18" t="s">
        <v>76</v>
      </c>
      <c r="D388" s="45">
        <v>0</v>
      </c>
      <c r="E388" s="45">
        <v>0</v>
      </c>
      <c r="F388" s="45">
        <v>0</v>
      </c>
      <c r="G388" s="45">
        <v>0</v>
      </c>
      <c r="H388" s="45">
        <v>0</v>
      </c>
      <c r="I388" s="45">
        <v>0</v>
      </c>
      <c r="J388" s="45">
        <v>20</v>
      </c>
      <c r="K388" s="45">
        <v>16.2</v>
      </c>
      <c r="L388" s="45">
        <v>15.2</v>
      </c>
      <c r="M388" s="45">
        <v>16.4</v>
      </c>
      <c r="N388" s="45">
        <v>14.6</v>
      </c>
      <c r="O388" s="45">
        <v>12.8</v>
      </c>
      <c r="P388" s="45">
        <v>12.2</v>
      </c>
      <c r="Q388" s="45">
        <v>14.5</v>
      </c>
      <c r="R388" s="45">
        <v>14.7</v>
      </c>
      <c r="S388" s="45">
        <v>14.7</v>
      </c>
      <c r="T388" s="45">
        <v>15.3</v>
      </c>
      <c r="U388" s="45">
        <v>13.2</v>
      </c>
      <c r="V388" s="45">
        <v>15.5</v>
      </c>
      <c r="W388" s="45">
        <v>17.4</v>
      </c>
      <c r="X388" s="45">
        <v>16.6</v>
      </c>
      <c r="Y388" s="45">
        <v>17.8</v>
      </c>
      <c r="Z388" s="45">
        <v>15.7</v>
      </c>
      <c r="AA388" s="45">
        <v>17.1</v>
      </c>
      <c r="AB388" s="45">
        <v>14.8</v>
      </c>
      <c r="AC388" s="45">
        <v>13.4</v>
      </c>
      <c r="AD388" s="45">
        <v>14.9</v>
      </c>
      <c r="AE388" s="45">
        <v>12.9</v>
      </c>
      <c r="AF388" s="45">
        <v>14.9</v>
      </c>
      <c r="AG388" s="45">
        <v>16.8</v>
      </c>
      <c r="AH388" s="45">
        <v>14.9</v>
      </c>
      <c r="AI388" s="45">
        <v>13.8</v>
      </c>
      <c r="AJ388" s="45">
        <v>13.2</v>
      </c>
      <c r="AK388" s="45">
        <v>13.4</v>
      </c>
      <c r="AL388" s="45">
        <v>13.6</v>
      </c>
      <c r="AM388" s="45">
        <v>12.5</v>
      </c>
      <c r="AN388" s="45">
        <v>13.4</v>
      </c>
      <c r="AO388" s="45">
        <v>11.7</v>
      </c>
      <c r="AP388" s="45">
        <v>11.6</v>
      </c>
      <c r="AQ388" s="45">
        <v>12.6</v>
      </c>
      <c r="AR388" s="45">
        <v>11.9</v>
      </c>
      <c r="AS388" s="45">
        <v>8</v>
      </c>
      <c r="AT388" s="45">
        <v>0</v>
      </c>
      <c r="AU388" s="45">
        <v>0</v>
      </c>
      <c r="AV388" s="45">
        <v>0</v>
      </c>
      <c r="AW388" s="45">
        <v>0</v>
      </c>
      <c r="AX388" s="45">
        <v>0</v>
      </c>
      <c r="AY388" s="45">
        <v>0</v>
      </c>
      <c r="AZ388" s="45">
        <v>0</v>
      </c>
      <c r="BA388" s="45">
        <v>0</v>
      </c>
      <c r="BB388" s="45">
        <v>0</v>
      </c>
      <c r="BC388" s="45">
        <v>0</v>
      </c>
      <c r="BD388" s="45">
        <v>0</v>
      </c>
      <c r="BE388" s="45">
        <v>0</v>
      </c>
      <c r="BF388" s="45">
        <v>0</v>
      </c>
      <c r="BG388" s="45">
        <v>0</v>
      </c>
    </row>
    <row r="389" spans="1:59">
      <c r="A389" s="18" t="s">
        <v>98</v>
      </c>
      <c r="B389" s="18" t="s">
        <v>92</v>
      </c>
      <c r="C389" s="18" t="s">
        <v>78</v>
      </c>
      <c r="D389" s="45">
        <v>0</v>
      </c>
      <c r="E389" s="45">
        <v>0</v>
      </c>
      <c r="F389" s="45">
        <v>0</v>
      </c>
      <c r="G389" s="45">
        <v>0</v>
      </c>
      <c r="H389" s="45">
        <v>0</v>
      </c>
      <c r="I389" s="45">
        <v>0</v>
      </c>
      <c r="J389" s="45">
        <v>21.3</v>
      </c>
      <c r="K389" s="45">
        <v>12.1</v>
      </c>
      <c r="L389" s="45">
        <v>16</v>
      </c>
      <c r="M389" s="45">
        <v>14.6</v>
      </c>
      <c r="N389" s="45">
        <v>15.5</v>
      </c>
      <c r="O389" s="45">
        <v>13.1</v>
      </c>
      <c r="P389" s="45">
        <v>12</v>
      </c>
      <c r="Q389" s="45">
        <v>14.2</v>
      </c>
      <c r="R389" s="45">
        <v>12.8</v>
      </c>
      <c r="S389" s="45">
        <v>11</v>
      </c>
      <c r="T389" s="45">
        <v>13.9</v>
      </c>
      <c r="U389" s="45">
        <v>13.3</v>
      </c>
      <c r="V389" s="45">
        <v>12.3</v>
      </c>
      <c r="W389" s="45">
        <v>13.6</v>
      </c>
      <c r="X389" s="45">
        <v>15</v>
      </c>
      <c r="Y389" s="45">
        <v>15.3</v>
      </c>
      <c r="Z389" s="45">
        <v>14.5</v>
      </c>
      <c r="AA389" s="45">
        <v>14.5</v>
      </c>
      <c r="AB389" s="45">
        <v>12.6</v>
      </c>
      <c r="AC389" s="45">
        <v>14.3</v>
      </c>
      <c r="AD389" s="45">
        <v>14.5</v>
      </c>
      <c r="AE389" s="45">
        <v>12.5</v>
      </c>
      <c r="AF389" s="45">
        <v>12.9</v>
      </c>
      <c r="AG389" s="45">
        <v>14.3</v>
      </c>
      <c r="AH389" s="45">
        <v>13.8</v>
      </c>
      <c r="AI389" s="45">
        <v>13.5</v>
      </c>
      <c r="AJ389" s="45">
        <v>13.1</v>
      </c>
      <c r="AK389" s="45">
        <v>13.3</v>
      </c>
      <c r="AL389" s="45">
        <v>12.1</v>
      </c>
      <c r="AM389" s="45">
        <v>13.4</v>
      </c>
      <c r="AN389" s="45">
        <v>11.5</v>
      </c>
      <c r="AO389" s="45">
        <v>12</v>
      </c>
      <c r="AP389" s="45">
        <v>11.4</v>
      </c>
      <c r="AQ389" s="45">
        <v>10.2</v>
      </c>
      <c r="AR389" s="45">
        <v>10.6</v>
      </c>
      <c r="AS389" s="45">
        <v>9</v>
      </c>
      <c r="AT389" s="45">
        <v>0</v>
      </c>
      <c r="AU389" s="45">
        <v>0</v>
      </c>
      <c r="AV389" s="45">
        <v>0</v>
      </c>
      <c r="AW389" s="45">
        <v>0</v>
      </c>
      <c r="AX389" s="45">
        <v>0</v>
      </c>
      <c r="AY389" s="45">
        <v>0</v>
      </c>
      <c r="AZ389" s="45">
        <v>0</v>
      </c>
      <c r="BA389" s="45">
        <v>0</v>
      </c>
      <c r="BB389" s="45">
        <v>0</v>
      </c>
      <c r="BC389" s="45">
        <v>0</v>
      </c>
      <c r="BD389" s="45">
        <v>0</v>
      </c>
      <c r="BE389" s="45">
        <v>0</v>
      </c>
      <c r="BF389" s="45">
        <v>0</v>
      </c>
      <c r="BG389" s="45">
        <v>0</v>
      </c>
    </row>
    <row r="390" spans="1:59">
      <c r="A390" s="18" t="s">
        <v>99</v>
      </c>
      <c r="B390" s="18" t="s">
        <v>92</v>
      </c>
      <c r="C390" s="18" t="s">
        <v>80</v>
      </c>
      <c r="D390" s="45">
        <v>0</v>
      </c>
      <c r="E390" s="45">
        <v>0</v>
      </c>
      <c r="F390" s="45">
        <v>0</v>
      </c>
      <c r="G390" s="45">
        <v>0</v>
      </c>
      <c r="H390" s="45">
        <v>0</v>
      </c>
      <c r="I390" s="45">
        <v>0</v>
      </c>
      <c r="J390" s="45">
        <v>20.6</v>
      </c>
      <c r="K390" s="45">
        <v>18.1</v>
      </c>
      <c r="L390" s="45">
        <v>18.1</v>
      </c>
      <c r="M390" s="45">
        <v>16</v>
      </c>
      <c r="N390" s="45">
        <v>14.1</v>
      </c>
      <c r="O390" s="45">
        <v>12.4</v>
      </c>
      <c r="P390" s="45">
        <v>11.9</v>
      </c>
      <c r="Q390" s="45">
        <v>13.6</v>
      </c>
      <c r="R390" s="45">
        <v>13</v>
      </c>
      <c r="S390" s="45">
        <v>13.4</v>
      </c>
      <c r="T390" s="45">
        <v>13.9</v>
      </c>
      <c r="U390" s="45">
        <v>13.2</v>
      </c>
      <c r="V390" s="45">
        <v>13</v>
      </c>
      <c r="W390" s="45">
        <v>12.9</v>
      </c>
      <c r="X390" s="45">
        <v>13.6</v>
      </c>
      <c r="Y390" s="45">
        <v>14.4</v>
      </c>
      <c r="Z390" s="45">
        <v>14.4</v>
      </c>
      <c r="AA390" s="45">
        <v>16.2</v>
      </c>
      <c r="AB390" s="45">
        <v>15</v>
      </c>
      <c r="AC390" s="45">
        <v>12.3</v>
      </c>
      <c r="AD390" s="45">
        <v>13.7</v>
      </c>
      <c r="AE390" s="45">
        <v>13.1</v>
      </c>
      <c r="AF390" s="45">
        <v>15.1</v>
      </c>
      <c r="AG390" s="45">
        <v>13.1</v>
      </c>
      <c r="AH390" s="45">
        <v>12.9</v>
      </c>
      <c r="AI390" s="45">
        <v>12.9</v>
      </c>
      <c r="AJ390" s="45">
        <v>12.9</v>
      </c>
      <c r="AK390" s="45">
        <v>13</v>
      </c>
      <c r="AL390" s="45">
        <v>12.5</v>
      </c>
      <c r="AM390" s="45">
        <v>12.1</v>
      </c>
      <c r="AN390" s="45">
        <v>12.4</v>
      </c>
      <c r="AO390" s="45">
        <v>12.4</v>
      </c>
      <c r="AP390" s="45">
        <v>11.4</v>
      </c>
      <c r="AQ390" s="45">
        <v>10.7</v>
      </c>
      <c r="AR390" s="45">
        <v>9.9</v>
      </c>
      <c r="AS390" s="45">
        <v>8.9</v>
      </c>
      <c r="AT390" s="45">
        <v>0</v>
      </c>
      <c r="AU390" s="45">
        <v>0</v>
      </c>
      <c r="AV390" s="45">
        <v>0</v>
      </c>
      <c r="AW390" s="45">
        <v>0</v>
      </c>
      <c r="AX390" s="45">
        <v>0</v>
      </c>
      <c r="AY390" s="45">
        <v>0</v>
      </c>
      <c r="AZ390" s="45">
        <v>0</v>
      </c>
      <c r="BA390" s="45">
        <v>0</v>
      </c>
      <c r="BB390" s="45">
        <v>0</v>
      </c>
      <c r="BC390" s="45">
        <v>0</v>
      </c>
      <c r="BD390" s="45">
        <v>0</v>
      </c>
      <c r="BE390" s="45">
        <v>0</v>
      </c>
      <c r="BF390" s="45">
        <v>0</v>
      </c>
      <c r="BG390" s="45">
        <v>0</v>
      </c>
    </row>
    <row r="391" spans="1:59">
      <c r="A391" s="18" t="s">
        <v>100</v>
      </c>
      <c r="B391" s="18" t="s">
        <v>92</v>
      </c>
      <c r="C391" s="18" t="s">
        <v>82</v>
      </c>
      <c r="D391" s="45">
        <v>0</v>
      </c>
      <c r="E391" s="45">
        <v>0</v>
      </c>
      <c r="F391" s="45">
        <v>0</v>
      </c>
      <c r="G391" s="45">
        <v>0</v>
      </c>
      <c r="H391" s="45">
        <v>0</v>
      </c>
      <c r="I391" s="45">
        <v>0</v>
      </c>
      <c r="J391" s="45">
        <v>0</v>
      </c>
      <c r="K391" s="45">
        <v>14.5</v>
      </c>
      <c r="L391" s="45">
        <v>16.4</v>
      </c>
      <c r="M391" s="45">
        <v>18.1</v>
      </c>
      <c r="N391" s="45">
        <v>18.1</v>
      </c>
      <c r="O391" s="45">
        <v>11.1</v>
      </c>
      <c r="P391" s="45">
        <v>12.1</v>
      </c>
      <c r="Q391" s="45">
        <v>10.8</v>
      </c>
      <c r="R391" s="45">
        <v>10.3</v>
      </c>
      <c r="S391" s="45">
        <v>10.9</v>
      </c>
      <c r="T391" s="45">
        <v>10.5</v>
      </c>
      <c r="U391" s="45">
        <v>13.2</v>
      </c>
      <c r="V391" s="45">
        <v>13.5</v>
      </c>
      <c r="W391" s="45">
        <v>13.9</v>
      </c>
      <c r="X391" s="45">
        <v>12.9</v>
      </c>
      <c r="Y391" s="45">
        <v>14.5</v>
      </c>
      <c r="Z391" s="45">
        <v>13</v>
      </c>
      <c r="AA391" s="45">
        <v>13.7</v>
      </c>
      <c r="AB391" s="45">
        <v>15.2</v>
      </c>
      <c r="AC391" s="45">
        <v>13.5</v>
      </c>
      <c r="AD391" s="45">
        <v>11.4</v>
      </c>
      <c r="AE391" s="45">
        <v>12.2</v>
      </c>
      <c r="AF391" s="45">
        <v>12.5</v>
      </c>
      <c r="AG391" s="45">
        <v>13.1</v>
      </c>
      <c r="AH391" s="45">
        <v>13.7</v>
      </c>
      <c r="AI391" s="45">
        <v>13</v>
      </c>
      <c r="AJ391" s="45">
        <v>13.3</v>
      </c>
      <c r="AK391" s="45">
        <v>11.7</v>
      </c>
      <c r="AL391" s="45">
        <v>11.5</v>
      </c>
      <c r="AM391" s="45">
        <v>11.5</v>
      </c>
      <c r="AN391" s="45">
        <v>12.3</v>
      </c>
      <c r="AO391" s="45">
        <v>10.5</v>
      </c>
      <c r="AP391" s="45">
        <v>10</v>
      </c>
      <c r="AQ391" s="45">
        <v>10</v>
      </c>
      <c r="AR391" s="45">
        <v>9.300000000000001</v>
      </c>
      <c r="AS391" s="45">
        <v>9</v>
      </c>
      <c r="AT391" s="45">
        <v>0</v>
      </c>
      <c r="AU391" s="45">
        <v>0</v>
      </c>
      <c r="AV391" s="45">
        <v>0</v>
      </c>
      <c r="AW391" s="45">
        <v>0</v>
      </c>
      <c r="AX391" s="45">
        <v>0</v>
      </c>
      <c r="AY391" s="45">
        <v>0</v>
      </c>
      <c r="AZ391" s="45">
        <v>0</v>
      </c>
      <c r="BA391" s="45">
        <v>0</v>
      </c>
      <c r="BB391" s="45">
        <v>0</v>
      </c>
      <c r="BC391" s="45">
        <v>0</v>
      </c>
      <c r="BD391" s="45">
        <v>0</v>
      </c>
      <c r="BE391" s="45">
        <v>0</v>
      </c>
      <c r="BF391" s="45">
        <v>0</v>
      </c>
      <c r="BG391" s="45">
        <v>0</v>
      </c>
    </row>
    <row r="392" spans="1:59">
      <c r="A392" s="18" t="s">
        <v>101</v>
      </c>
      <c r="B392" s="18" t="s">
        <v>92</v>
      </c>
      <c r="C392" s="18" t="s">
        <v>84</v>
      </c>
      <c r="D392" s="45">
        <v>0</v>
      </c>
      <c r="E392" s="45">
        <v>0</v>
      </c>
      <c r="F392" s="45">
        <v>0</v>
      </c>
      <c r="G392" s="45">
        <v>0</v>
      </c>
      <c r="H392" s="45">
        <v>0</v>
      </c>
      <c r="I392" s="45">
        <v>8.9</v>
      </c>
      <c r="J392" s="45">
        <v>5.6</v>
      </c>
      <c r="K392" s="45">
        <v>6.3</v>
      </c>
      <c r="L392" s="45">
        <v>5.3</v>
      </c>
      <c r="M392" s="45">
        <v>5.5</v>
      </c>
      <c r="N392" s="45">
        <v>7.5</v>
      </c>
      <c r="O392" s="45">
        <v>3.8</v>
      </c>
      <c r="P392" s="45">
        <v>6.4</v>
      </c>
      <c r="Q392" s="45">
        <v>5</v>
      </c>
      <c r="R392" s="45">
        <v>4.2</v>
      </c>
      <c r="S392" s="45">
        <v>6</v>
      </c>
      <c r="T392" s="45">
        <v>7.6</v>
      </c>
      <c r="U392" s="45">
        <v>17.7</v>
      </c>
      <c r="V392" s="45">
        <v>16.9</v>
      </c>
      <c r="W392" s="45">
        <v>24.5</v>
      </c>
      <c r="X392" s="45">
        <v>8</v>
      </c>
      <c r="Y392" s="45">
        <v>6.1</v>
      </c>
      <c r="Z392" s="45">
        <v>10.2</v>
      </c>
      <c r="AA392" s="45">
        <v>7</v>
      </c>
      <c r="AB392" s="45">
        <v>7.1</v>
      </c>
      <c r="AC392" s="45">
        <v>6.3</v>
      </c>
      <c r="AD392" s="45">
        <v>9.199999999999999</v>
      </c>
      <c r="AE392" s="45">
        <v>7</v>
      </c>
      <c r="AF392" s="45">
        <v>7.3</v>
      </c>
      <c r="AG392" s="45">
        <v>7.8</v>
      </c>
      <c r="AH392" s="45">
        <v>5.8</v>
      </c>
      <c r="AI392" s="45">
        <v>8.699999999999999</v>
      </c>
      <c r="AJ392" s="45">
        <v>6.8</v>
      </c>
      <c r="AK392" s="45">
        <v>5.8</v>
      </c>
      <c r="AL392" s="45">
        <v>5.4</v>
      </c>
      <c r="AM392" s="45">
        <v>6.3</v>
      </c>
      <c r="AN392" s="45">
        <v>6.1</v>
      </c>
      <c r="AO392" s="45">
        <v>6.3</v>
      </c>
      <c r="AP392" s="45">
        <v>6.8</v>
      </c>
      <c r="AQ392" s="45">
        <v>7.7</v>
      </c>
      <c r="AR392" s="45">
        <v>4.7</v>
      </c>
      <c r="AS392" s="45">
        <v>0</v>
      </c>
      <c r="AT392" s="45">
        <v>0</v>
      </c>
      <c r="AU392" s="45">
        <v>0</v>
      </c>
      <c r="AV392" s="45">
        <v>0</v>
      </c>
      <c r="AW392" s="45">
        <v>0</v>
      </c>
      <c r="AX392" s="45">
        <v>0</v>
      </c>
      <c r="AY392" s="45">
        <v>0</v>
      </c>
      <c r="AZ392" s="45">
        <v>0</v>
      </c>
      <c r="BA392" s="45">
        <v>0</v>
      </c>
      <c r="BB392" s="45">
        <v>0</v>
      </c>
      <c r="BC392" s="45">
        <v>0</v>
      </c>
      <c r="BD392" s="45">
        <v>0</v>
      </c>
      <c r="BE392" s="45">
        <v>0</v>
      </c>
      <c r="BF392" s="45">
        <v>0</v>
      </c>
      <c r="BG392" s="45">
        <v>0</v>
      </c>
    </row>
    <row r="393" spans="1:59">
      <c r="A393" s="18" t="s">
        <v>102</v>
      </c>
      <c r="B393" s="18" t="s">
        <v>92</v>
      </c>
      <c r="C393" s="18" t="s">
        <v>86</v>
      </c>
      <c r="D393" s="45">
        <v>0</v>
      </c>
      <c r="E393" s="45">
        <v>0</v>
      </c>
      <c r="F393" s="45">
        <v>0</v>
      </c>
      <c r="G393" s="45">
        <v>0</v>
      </c>
      <c r="H393" s="45">
        <v>0</v>
      </c>
      <c r="I393" s="45">
        <v>6.7</v>
      </c>
      <c r="J393" s="45">
        <v>5.5</v>
      </c>
      <c r="K393" s="45">
        <v>5.6</v>
      </c>
      <c r="L393" s="45">
        <v>5.8</v>
      </c>
      <c r="M393" s="45">
        <v>4.9</v>
      </c>
      <c r="N393" s="45">
        <v>5.9</v>
      </c>
      <c r="O393" s="45">
        <v>5.5</v>
      </c>
      <c r="P393" s="45">
        <v>5.6</v>
      </c>
      <c r="Q393" s="45">
        <v>6.3</v>
      </c>
      <c r="R393" s="45">
        <v>6.1</v>
      </c>
      <c r="S393" s="45">
        <v>6.3</v>
      </c>
      <c r="T393" s="45">
        <v>6.9</v>
      </c>
      <c r="U393" s="45">
        <v>7.5</v>
      </c>
      <c r="V393" s="45">
        <v>7.4</v>
      </c>
      <c r="W393" s="45">
        <v>7.7</v>
      </c>
      <c r="X393" s="45">
        <v>7.7</v>
      </c>
      <c r="Y393" s="45">
        <v>7.8</v>
      </c>
      <c r="Z393" s="45">
        <v>7.4</v>
      </c>
      <c r="AA393" s="45">
        <v>5.8</v>
      </c>
      <c r="AB393" s="45">
        <v>6.3</v>
      </c>
      <c r="AC393" s="45">
        <v>7.4</v>
      </c>
      <c r="AD393" s="45">
        <v>8.1</v>
      </c>
      <c r="AE393" s="45">
        <v>7.7</v>
      </c>
      <c r="AF393" s="45">
        <v>8</v>
      </c>
      <c r="AG393" s="45">
        <v>8.199999999999999</v>
      </c>
      <c r="AH393" s="45">
        <v>8.6</v>
      </c>
      <c r="AI393" s="45">
        <v>8</v>
      </c>
      <c r="AJ393" s="45">
        <v>7.7</v>
      </c>
      <c r="AK393" s="45">
        <v>7.8</v>
      </c>
      <c r="AL393" s="45">
        <v>8.9</v>
      </c>
      <c r="AM393" s="45">
        <v>7.7</v>
      </c>
      <c r="AN393" s="45">
        <v>7.6</v>
      </c>
      <c r="AO393" s="45">
        <v>9</v>
      </c>
      <c r="AP393" s="45">
        <v>9.1</v>
      </c>
      <c r="AQ393" s="45">
        <v>7.4</v>
      </c>
      <c r="AR393" s="45">
        <v>6.9</v>
      </c>
      <c r="AS393" s="45">
        <v>0</v>
      </c>
      <c r="AT393" s="45">
        <v>0</v>
      </c>
      <c r="AU393" s="45">
        <v>0</v>
      </c>
      <c r="AV393" s="45">
        <v>0</v>
      </c>
      <c r="AW393" s="45">
        <v>0</v>
      </c>
      <c r="AX393" s="45">
        <v>0</v>
      </c>
      <c r="AY393" s="45">
        <v>0</v>
      </c>
      <c r="AZ393" s="45">
        <v>0</v>
      </c>
      <c r="BA393" s="45">
        <v>0</v>
      </c>
      <c r="BB393" s="45">
        <v>0</v>
      </c>
      <c r="BC393" s="45">
        <v>0</v>
      </c>
      <c r="BD393" s="45">
        <v>0</v>
      </c>
      <c r="BE393" s="45">
        <v>0</v>
      </c>
      <c r="BF393" s="45">
        <v>0</v>
      </c>
      <c r="BG393" s="45">
        <v>0</v>
      </c>
    </row>
    <row r="394" spans="1:59">
      <c r="A394" s="18" t="s">
        <v>103</v>
      </c>
      <c r="B394" s="18" t="s">
        <v>92</v>
      </c>
      <c r="C394" s="18" t="s">
        <v>88</v>
      </c>
      <c r="D394" s="45">
        <v>0</v>
      </c>
      <c r="E394" s="45">
        <v>0</v>
      </c>
      <c r="F394" s="45">
        <v>0</v>
      </c>
      <c r="G394" s="45">
        <v>0</v>
      </c>
      <c r="H394" s="45">
        <v>0</v>
      </c>
      <c r="I394" s="45">
        <v>9.1</v>
      </c>
      <c r="J394" s="45">
        <v>7</v>
      </c>
      <c r="K394" s="45">
        <v>4.5</v>
      </c>
      <c r="L394" s="45">
        <v>6.4</v>
      </c>
      <c r="M394" s="45">
        <v>6.6</v>
      </c>
      <c r="N394" s="45">
        <v>6</v>
      </c>
      <c r="O394" s="45">
        <v>6.1</v>
      </c>
      <c r="P394" s="45">
        <v>6.7</v>
      </c>
      <c r="Q394" s="45">
        <v>7.1</v>
      </c>
      <c r="R394" s="45">
        <v>6.6</v>
      </c>
      <c r="S394" s="45">
        <v>6.3</v>
      </c>
      <c r="T394" s="45">
        <v>6.8</v>
      </c>
      <c r="U394" s="45">
        <v>7.2</v>
      </c>
      <c r="V394" s="45">
        <v>7.6</v>
      </c>
      <c r="W394" s="45">
        <v>7.2</v>
      </c>
      <c r="X394" s="45">
        <v>7.6</v>
      </c>
      <c r="Y394" s="45">
        <v>5.8</v>
      </c>
      <c r="Z394" s="45">
        <v>6.7</v>
      </c>
      <c r="AA394" s="45">
        <v>6</v>
      </c>
      <c r="AB394" s="45">
        <v>6.1</v>
      </c>
      <c r="AC394" s="45">
        <v>8.300000000000001</v>
      </c>
      <c r="AD394" s="45">
        <v>9.1</v>
      </c>
      <c r="AE394" s="45">
        <v>9.9</v>
      </c>
      <c r="AF394" s="45">
        <v>9</v>
      </c>
      <c r="AG394" s="45">
        <v>8.300000000000001</v>
      </c>
      <c r="AH394" s="45">
        <v>7.9</v>
      </c>
      <c r="AI394" s="45">
        <v>8.5</v>
      </c>
      <c r="AJ394" s="45">
        <v>7.7</v>
      </c>
      <c r="AK394" s="45">
        <v>8.4</v>
      </c>
      <c r="AL394" s="45">
        <v>8.699999999999999</v>
      </c>
      <c r="AM394" s="45">
        <v>7.9</v>
      </c>
      <c r="AN394" s="45">
        <v>7.8</v>
      </c>
      <c r="AO394" s="45">
        <v>8.800000000000001</v>
      </c>
      <c r="AP394" s="45">
        <v>8.6</v>
      </c>
      <c r="AQ394" s="45">
        <v>7</v>
      </c>
      <c r="AR394" s="45">
        <v>7</v>
      </c>
      <c r="AS394" s="45">
        <v>0</v>
      </c>
      <c r="AT394" s="45">
        <v>0</v>
      </c>
      <c r="AU394" s="45">
        <v>0</v>
      </c>
      <c r="AV394" s="45">
        <v>0</v>
      </c>
      <c r="AW394" s="45">
        <v>0</v>
      </c>
      <c r="AX394" s="45">
        <v>0</v>
      </c>
      <c r="AY394" s="45">
        <v>0</v>
      </c>
      <c r="AZ394" s="45">
        <v>0</v>
      </c>
      <c r="BA394" s="45">
        <v>0</v>
      </c>
      <c r="BB394" s="45">
        <v>0</v>
      </c>
      <c r="BC394" s="45">
        <v>0</v>
      </c>
      <c r="BD394" s="45">
        <v>0</v>
      </c>
      <c r="BE394" s="45">
        <v>0</v>
      </c>
      <c r="BF394" s="45">
        <v>0</v>
      </c>
      <c r="BG394" s="45">
        <v>0</v>
      </c>
    </row>
    <row r="395" spans="1:59">
      <c r="A395" s="18" t="s">
        <v>104</v>
      </c>
      <c r="B395" s="18" t="s">
        <v>92</v>
      </c>
      <c r="C395" s="18" t="s">
        <v>90</v>
      </c>
      <c r="D395" s="45">
        <v>0</v>
      </c>
      <c r="E395" s="45">
        <v>0</v>
      </c>
      <c r="F395" s="45">
        <v>0</v>
      </c>
      <c r="G395" s="45">
        <v>0</v>
      </c>
      <c r="H395" s="45">
        <v>0</v>
      </c>
      <c r="I395" s="45">
        <v>7.9</v>
      </c>
      <c r="J395" s="45">
        <v>6.4</v>
      </c>
      <c r="K395" s="45">
        <v>6.8</v>
      </c>
      <c r="L395" s="45">
        <v>7</v>
      </c>
      <c r="M395" s="45">
        <v>7</v>
      </c>
      <c r="N395" s="45">
        <v>7.9</v>
      </c>
      <c r="O395" s="45">
        <v>9.199999999999999</v>
      </c>
      <c r="P395" s="45">
        <v>7.3</v>
      </c>
      <c r="Q395" s="45">
        <v>9</v>
      </c>
      <c r="R395" s="45">
        <v>9.9</v>
      </c>
      <c r="S395" s="45">
        <v>11.6</v>
      </c>
      <c r="T395" s="45">
        <v>7.6</v>
      </c>
      <c r="U395" s="45">
        <v>12.4</v>
      </c>
      <c r="V395" s="45">
        <v>14.6</v>
      </c>
      <c r="W395" s="45">
        <v>13.7</v>
      </c>
      <c r="X395" s="45">
        <v>8.800000000000001</v>
      </c>
      <c r="Y395" s="45">
        <v>12</v>
      </c>
      <c r="Z395" s="45">
        <v>11</v>
      </c>
      <c r="AA395" s="45">
        <v>10.4</v>
      </c>
      <c r="AB395" s="45">
        <v>10.3</v>
      </c>
      <c r="AC395" s="45">
        <v>9.300000000000001</v>
      </c>
      <c r="AD395" s="45">
        <v>9.300000000000001</v>
      </c>
      <c r="AE395" s="45">
        <v>10.6</v>
      </c>
      <c r="AF395" s="45">
        <v>9.5</v>
      </c>
      <c r="AG395" s="45">
        <v>8</v>
      </c>
      <c r="AH395" s="45">
        <v>9.6</v>
      </c>
      <c r="AI395" s="45">
        <v>10.3</v>
      </c>
      <c r="AJ395" s="45">
        <v>10.9</v>
      </c>
      <c r="AK395" s="45">
        <v>8.5</v>
      </c>
      <c r="AL395" s="45">
        <v>10.2</v>
      </c>
      <c r="AM395" s="45">
        <v>8.6</v>
      </c>
      <c r="AN395" s="45">
        <v>8.1</v>
      </c>
      <c r="AO395" s="45">
        <v>10</v>
      </c>
      <c r="AP395" s="45">
        <v>9</v>
      </c>
      <c r="AQ395" s="45">
        <v>9.699999999999999</v>
      </c>
      <c r="AR395" s="45">
        <v>7.6</v>
      </c>
      <c r="AS395" s="45">
        <v>0</v>
      </c>
      <c r="AT395" s="45">
        <v>0</v>
      </c>
      <c r="AU395" s="45">
        <v>0</v>
      </c>
      <c r="AV395" s="45">
        <v>0</v>
      </c>
      <c r="AW395" s="45">
        <v>0</v>
      </c>
      <c r="AX395" s="45">
        <v>0</v>
      </c>
      <c r="AY395" s="45">
        <v>0</v>
      </c>
      <c r="AZ395" s="45">
        <v>0</v>
      </c>
      <c r="BA395" s="45">
        <v>0</v>
      </c>
      <c r="BB395" s="45">
        <v>0</v>
      </c>
      <c r="BC395" s="45">
        <v>0</v>
      </c>
      <c r="BD395" s="45">
        <v>0</v>
      </c>
      <c r="BE395" s="45">
        <v>0</v>
      </c>
      <c r="BF395" s="45">
        <v>0</v>
      </c>
      <c r="BG395" s="45">
        <v>0</v>
      </c>
    </row>
    <row r="396" spans="1:59">
      <c r="A396" s="18" t="s">
        <v>105</v>
      </c>
      <c r="B396" s="18" t="s">
        <v>106</v>
      </c>
      <c r="C396" s="18" t="s">
        <v>66</v>
      </c>
      <c r="D396" s="45">
        <v>0</v>
      </c>
      <c r="E396" s="45">
        <v>0</v>
      </c>
      <c r="F396" s="45">
        <v>0</v>
      </c>
      <c r="G396" s="45">
        <v>0</v>
      </c>
      <c r="H396" s="45">
        <v>21.3</v>
      </c>
      <c r="I396" s="45">
        <v>14.7</v>
      </c>
      <c r="J396" s="45">
        <v>13.6</v>
      </c>
      <c r="K396" s="45">
        <v>12.7</v>
      </c>
      <c r="L396" s="45">
        <v>12.6</v>
      </c>
      <c r="M396" s="45">
        <v>13</v>
      </c>
      <c r="N396" s="45">
        <v>12.8</v>
      </c>
      <c r="O396" s="45">
        <v>12.7</v>
      </c>
      <c r="P396" s="45">
        <v>12.8</v>
      </c>
      <c r="Q396" s="45">
        <v>12.2</v>
      </c>
      <c r="R396" s="45">
        <v>13</v>
      </c>
      <c r="S396" s="45">
        <v>12.4</v>
      </c>
      <c r="T396" s="45">
        <v>12.3</v>
      </c>
      <c r="U396" s="45">
        <v>13.3</v>
      </c>
      <c r="V396" s="45">
        <v>13.6</v>
      </c>
      <c r="W396" s="45">
        <v>14.8</v>
      </c>
      <c r="X396" s="45">
        <v>14.5</v>
      </c>
      <c r="Y396" s="45">
        <v>14.3</v>
      </c>
      <c r="Z396" s="45">
        <v>14.1</v>
      </c>
      <c r="AA396" s="45">
        <v>13.8</v>
      </c>
      <c r="AB396" s="45">
        <v>13.3</v>
      </c>
      <c r="AC396" s="45">
        <v>13.3</v>
      </c>
      <c r="AD396" s="45">
        <v>13.6</v>
      </c>
      <c r="AE396" s="45">
        <v>13.3</v>
      </c>
      <c r="AF396" s="45">
        <v>12.7</v>
      </c>
      <c r="AG396" s="45">
        <v>13.2</v>
      </c>
      <c r="AH396" s="45">
        <v>12.2</v>
      </c>
      <c r="AI396" s="45">
        <v>12.8</v>
      </c>
      <c r="AJ396" s="45">
        <v>13.1</v>
      </c>
      <c r="AK396" s="45">
        <v>13</v>
      </c>
      <c r="AL396" s="45">
        <v>13.6</v>
      </c>
      <c r="AM396" s="45">
        <v>13.2</v>
      </c>
      <c r="AN396" s="45">
        <v>12.7</v>
      </c>
      <c r="AO396" s="45">
        <v>11.4</v>
      </c>
      <c r="AP396" s="45">
        <v>10.6</v>
      </c>
      <c r="AQ396" s="45">
        <v>9.199999999999999</v>
      </c>
      <c r="AR396" s="45">
        <v>6.3</v>
      </c>
      <c r="AS396" s="45">
        <v>2.2</v>
      </c>
      <c r="AT396" s="45">
        <v>0</v>
      </c>
      <c r="AU396" s="45">
        <v>0</v>
      </c>
      <c r="AV396" s="45">
        <v>0</v>
      </c>
      <c r="AW396" s="45">
        <v>0</v>
      </c>
      <c r="AX396" s="45">
        <v>0</v>
      </c>
      <c r="AY396" s="45">
        <v>0</v>
      </c>
      <c r="AZ396" s="45">
        <v>0</v>
      </c>
      <c r="BA396" s="45">
        <v>0</v>
      </c>
      <c r="BB396" s="45">
        <v>0</v>
      </c>
      <c r="BC396" s="45">
        <v>0</v>
      </c>
      <c r="BD396" s="45">
        <v>0</v>
      </c>
      <c r="BE396" s="45">
        <v>0</v>
      </c>
      <c r="BF396" s="45">
        <v>0</v>
      </c>
      <c r="BG396" s="45">
        <v>0</v>
      </c>
    </row>
    <row r="397" spans="1:59">
      <c r="A397" s="18" t="s">
        <v>107</v>
      </c>
      <c r="B397" s="18" t="s">
        <v>106</v>
      </c>
      <c r="C397" s="18" t="s">
        <v>68</v>
      </c>
      <c r="D397" s="45">
        <v>0</v>
      </c>
      <c r="E397" s="45">
        <v>0</v>
      </c>
      <c r="F397" s="45">
        <v>0</v>
      </c>
      <c r="G397" s="45">
        <v>0</v>
      </c>
      <c r="H397" s="45">
        <v>0</v>
      </c>
      <c r="I397" s="45">
        <v>16.4</v>
      </c>
      <c r="J397" s="45">
        <v>14.9</v>
      </c>
      <c r="K397" s="45">
        <v>15</v>
      </c>
      <c r="L397" s="45">
        <v>13.7</v>
      </c>
      <c r="M397" s="45">
        <v>15.5</v>
      </c>
      <c r="N397" s="45">
        <v>14.8</v>
      </c>
      <c r="O397" s="45">
        <v>14.2</v>
      </c>
      <c r="P397" s="45">
        <v>15.8</v>
      </c>
      <c r="Q397" s="45">
        <v>14.5</v>
      </c>
      <c r="R397" s="45">
        <v>16.4</v>
      </c>
      <c r="S397" s="45">
        <v>14.8</v>
      </c>
      <c r="T397" s="45">
        <v>14.5</v>
      </c>
      <c r="U397" s="45">
        <v>16.3</v>
      </c>
      <c r="V397" s="45">
        <v>13.9</v>
      </c>
      <c r="W397" s="45">
        <v>16.1</v>
      </c>
      <c r="X397" s="45">
        <v>17.9</v>
      </c>
      <c r="Y397" s="45">
        <v>15.9</v>
      </c>
      <c r="Z397" s="45">
        <v>19.3</v>
      </c>
      <c r="AA397" s="45">
        <v>16.7</v>
      </c>
      <c r="AB397" s="45">
        <v>20</v>
      </c>
      <c r="AC397" s="45">
        <v>15.9</v>
      </c>
      <c r="AD397" s="45">
        <v>15.6</v>
      </c>
      <c r="AE397" s="45">
        <v>13.1</v>
      </c>
      <c r="AF397" s="45">
        <v>13.5</v>
      </c>
      <c r="AG397" s="45">
        <v>14.7</v>
      </c>
      <c r="AH397" s="45">
        <v>12.8</v>
      </c>
      <c r="AI397" s="45">
        <v>14.7</v>
      </c>
      <c r="AJ397" s="45">
        <v>14.3</v>
      </c>
      <c r="AK397" s="45">
        <v>13.4</v>
      </c>
      <c r="AL397" s="45">
        <v>14.9</v>
      </c>
      <c r="AM397" s="45">
        <v>13.9</v>
      </c>
      <c r="AN397" s="45">
        <v>15.2</v>
      </c>
      <c r="AO397" s="45">
        <v>13.3</v>
      </c>
      <c r="AP397" s="45">
        <v>13.6</v>
      </c>
      <c r="AQ397" s="45">
        <v>11.7</v>
      </c>
      <c r="AR397" s="45">
        <v>0</v>
      </c>
      <c r="AS397" s="45">
        <v>0</v>
      </c>
      <c r="AT397" s="45">
        <v>0</v>
      </c>
      <c r="AU397" s="45">
        <v>0</v>
      </c>
      <c r="AV397" s="45">
        <v>0</v>
      </c>
      <c r="AW397" s="45">
        <v>0</v>
      </c>
      <c r="AX397" s="45">
        <v>0</v>
      </c>
      <c r="AY397" s="45">
        <v>0</v>
      </c>
      <c r="AZ397" s="45">
        <v>0</v>
      </c>
      <c r="BA397" s="45">
        <v>0</v>
      </c>
      <c r="BB397" s="45">
        <v>0</v>
      </c>
      <c r="BC397" s="45">
        <v>0</v>
      </c>
      <c r="BD397" s="45">
        <v>0</v>
      </c>
      <c r="BE397" s="45">
        <v>0</v>
      </c>
      <c r="BF397" s="45">
        <v>0</v>
      </c>
      <c r="BG397" s="45">
        <v>0</v>
      </c>
    </row>
    <row r="398" spans="1:59">
      <c r="A398" s="18" t="s">
        <v>108</v>
      </c>
      <c r="B398" s="18" t="s">
        <v>106</v>
      </c>
      <c r="C398" s="18" t="s">
        <v>70</v>
      </c>
      <c r="D398" s="45">
        <v>0</v>
      </c>
      <c r="E398" s="45">
        <v>0</v>
      </c>
      <c r="F398" s="45">
        <v>0</v>
      </c>
      <c r="G398" s="45">
        <v>0</v>
      </c>
      <c r="H398" s="45">
        <v>0</v>
      </c>
      <c r="I398" s="45">
        <v>12.6</v>
      </c>
      <c r="J398" s="45">
        <v>14.3</v>
      </c>
      <c r="K398" s="45">
        <v>15.5</v>
      </c>
      <c r="L398" s="45">
        <v>12.9</v>
      </c>
      <c r="M398" s="45">
        <v>13.5</v>
      </c>
      <c r="N398" s="45">
        <v>14.2</v>
      </c>
      <c r="O398" s="45">
        <v>14.7</v>
      </c>
      <c r="P398" s="45">
        <v>12.6</v>
      </c>
      <c r="Q398" s="45">
        <v>13.5</v>
      </c>
      <c r="R398" s="45">
        <v>14</v>
      </c>
      <c r="S398" s="45">
        <v>11.8</v>
      </c>
      <c r="T398" s="45">
        <v>12.4</v>
      </c>
      <c r="U398" s="45">
        <v>14.2</v>
      </c>
      <c r="V398" s="45">
        <v>15.7</v>
      </c>
      <c r="W398" s="45">
        <v>15.4</v>
      </c>
      <c r="X398" s="45">
        <v>16</v>
      </c>
      <c r="Y398" s="45">
        <v>16.7</v>
      </c>
      <c r="Z398" s="45">
        <v>17.9</v>
      </c>
      <c r="AA398" s="45">
        <v>14</v>
      </c>
      <c r="AB398" s="45">
        <v>13.2</v>
      </c>
      <c r="AC398" s="45">
        <v>16.1</v>
      </c>
      <c r="AD398" s="45">
        <v>13.1</v>
      </c>
      <c r="AE398" s="45">
        <v>13.5</v>
      </c>
      <c r="AF398" s="45">
        <v>13.1</v>
      </c>
      <c r="AG398" s="45">
        <v>14.4</v>
      </c>
      <c r="AH398" s="45">
        <v>12.7</v>
      </c>
      <c r="AI398" s="45">
        <v>13.7</v>
      </c>
      <c r="AJ398" s="45">
        <v>12.1</v>
      </c>
      <c r="AK398" s="45">
        <v>15.5</v>
      </c>
      <c r="AL398" s="45">
        <v>14.8</v>
      </c>
      <c r="AM398" s="45">
        <v>13.6</v>
      </c>
      <c r="AN398" s="45">
        <v>13.5</v>
      </c>
      <c r="AO398" s="45">
        <v>12.9</v>
      </c>
      <c r="AP398" s="45">
        <v>12</v>
      </c>
      <c r="AQ398" s="45">
        <v>10.8</v>
      </c>
      <c r="AR398" s="45">
        <v>0</v>
      </c>
      <c r="AS398" s="45">
        <v>0</v>
      </c>
      <c r="AT398" s="45">
        <v>0</v>
      </c>
      <c r="AU398" s="45">
        <v>0</v>
      </c>
      <c r="AV398" s="45">
        <v>0</v>
      </c>
      <c r="AW398" s="45">
        <v>0</v>
      </c>
      <c r="AX398" s="45">
        <v>0</v>
      </c>
      <c r="AY398" s="45">
        <v>0</v>
      </c>
      <c r="AZ398" s="45">
        <v>0</v>
      </c>
      <c r="BA398" s="45">
        <v>0</v>
      </c>
      <c r="BB398" s="45">
        <v>0</v>
      </c>
      <c r="BC398" s="45">
        <v>0</v>
      </c>
      <c r="BD398" s="45">
        <v>0</v>
      </c>
      <c r="BE398" s="45">
        <v>0</v>
      </c>
      <c r="BF398" s="45">
        <v>0</v>
      </c>
      <c r="BG398" s="45">
        <v>0</v>
      </c>
    </row>
    <row r="399" spans="1:59">
      <c r="A399" s="18" t="s">
        <v>109</v>
      </c>
      <c r="B399" s="18" t="s">
        <v>106</v>
      </c>
      <c r="C399" s="18" t="s">
        <v>72</v>
      </c>
      <c r="D399" s="45">
        <v>0</v>
      </c>
      <c r="E399" s="45">
        <v>0</v>
      </c>
      <c r="F399" s="45">
        <v>0</v>
      </c>
      <c r="G399" s="45">
        <v>0</v>
      </c>
      <c r="H399" s="45">
        <v>0</v>
      </c>
      <c r="I399" s="45">
        <v>17.1</v>
      </c>
      <c r="J399" s="45">
        <v>14.3</v>
      </c>
      <c r="K399" s="45">
        <v>13</v>
      </c>
      <c r="L399" s="45">
        <v>14.8</v>
      </c>
      <c r="M399" s="45">
        <v>15.8</v>
      </c>
      <c r="N399" s="45">
        <v>13</v>
      </c>
      <c r="O399" s="45">
        <v>13.6</v>
      </c>
      <c r="P399" s="45">
        <v>14.8</v>
      </c>
      <c r="Q399" s="45">
        <v>12.7</v>
      </c>
      <c r="R399" s="45">
        <v>15</v>
      </c>
      <c r="S399" s="45">
        <v>13.9</v>
      </c>
      <c r="T399" s="45">
        <v>12.2</v>
      </c>
      <c r="U399" s="45">
        <v>15</v>
      </c>
      <c r="V399" s="45">
        <v>14.5</v>
      </c>
      <c r="W399" s="45">
        <v>18.2</v>
      </c>
      <c r="X399" s="45">
        <v>17.4</v>
      </c>
      <c r="Y399" s="45">
        <v>16.6</v>
      </c>
      <c r="Z399" s="45">
        <v>15.8</v>
      </c>
      <c r="AA399" s="45">
        <v>15.3</v>
      </c>
      <c r="AB399" s="45">
        <v>14.8</v>
      </c>
      <c r="AC399" s="45">
        <v>14.4</v>
      </c>
      <c r="AD399" s="45">
        <v>15.1</v>
      </c>
      <c r="AE399" s="45">
        <v>14.9</v>
      </c>
      <c r="AF399" s="45">
        <v>13.6</v>
      </c>
      <c r="AG399" s="45">
        <v>14.4</v>
      </c>
      <c r="AH399" s="45">
        <v>11.9</v>
      </c>
      <c r="AI399" s="45">
        <v>16.2</v>
      </c>
      <c r="AJ399" s="45">
        <v>14.9</v>
      </c>
      <c r="AK399" s="45">
        <v>13</v>
      </c>
      <c r="AL399" s="45">
        <v>15.1</v>
      </c>
      <c r="AM399" s="45">
        <v>13.8</v>
      </c>
      <c r="AN399" s="45">
        <v>13.1</v>
      </c>
      <c r="AO399" s="45">
        <v>11.6</v>
      </c>
      <c r="AP399" s="45">
        <v>10.9</v>
      </c>
      <c r="AQ399" s="45">
        <v>9.699999999999999</v>
      </c>
      <c r="AR399" s="45">
        <v>0</v>
      </c>
      <c r="AS399" s="45">
        <v>0</v>
      </c>
      <c r="AT399" s="45">
        <v>0</v>
      </c>
      <c r="AU399" s="45">
        <v>0</v>
      </c>
      <c r="AV399" s="45">
        <v>0</v>
      </c>
      <c r="AW399" s="45">
        <v>0</v>
      </c>
      <c r="AX399" s="45">
        <v>0</v>
      </c>
      <c r="AY399" s="45">
        <v>0</v>
      </c>
      <c r="AZ399" s="45">
        <v>0</v>
      </c>
      <c r="BA399" s="45">
        <v>0</v>
      </c>
      <c r="BB399" s="45">
        <v>0</v>
      </c>
      <c r="BC399" s="45">
        <v>0</v>
      </c>
      <c r="BD399" s="45">
        <v>0</v>
      </c>
      <c r="BE399" s="45">
        <v>0</v>
      </c>
      <c r="BF399" s="45">
        <v>0</v>
      </c>
      <c r="BG399" s="45">
        <v>0</v>
      </c>
    </row>
    <row r="400" spans="1:59">
      <c r="A400" s="18" t="s">
        <v>110</v>
      </c>
      <c r="B400" s="18" t="s">
        <v>106</v>
      </c>
      <c r="C400" s="18" t="s">
        <v>74</v>
      </c>
      <c r="D400" s="45">
        <v>0</v>
      </c>
      <c r="E400" s="45">
        <v>0</v>
      </c>
      <c r="F400" s="45">
        <v>0</v>
      </c>
      <c r="G400" s="45">
        <v>0</v>
      </c>
      <c r="H400" s="45">
        <v>20</v>
      </c>
      <c r="I400" s="45">
        <v>15.1</v>
      </c>
      <c r="J400" s="45">
        <v>19.6</v>
      </c>
      <c r="K400" s="45">
        <v>15.1</v>
      </c>
      <c r="L400" s="45">
        <v>12.8</v>
      </c>
      <c r="M400" s="45">
        <v>16.4</v>
      </c>
      <c r="N400" s="45">
        <v>13</v>
      </c>
      <c r="O400" s="45">
        <v>14</v>
      </c>
      <c r="P400" s="45">
        <v>13.9</v>
      </c>
      <c r="Q400" s="45">
        <v>14.2</v>
      </c>
      <c r="R400" s="45">
        <v>13.6</v>
      </c>
      <c r="S400" s="45">
        <v>14</v>
      </c>
      <c r="T400" s="45">
        <v>13.5</v>
      </c>
      <c r="U400" s="45">
        <v>13.7</v>
      </c>
      <c r="V400" s="45">
        <v>15.6</v>
      </c>
      <c r="W400" s="45">
        <v>16.5</v>
      </c>
      <c r="X400" s="45">
        <v>15.3</v>
      </c>
      <c r="Y400" s="45">
        <v>16.2</v>
      </c>
      <c r="Z400" s="45">
        <v>15.2</v>
      </c>
      <c r="AA400" s="45">
        <v>14.3</v>
      </c>
      <c r="AB400" s="45">
        <v>13.8</v>
      </c>
      <c r="AC400" s="45">
        <v>15.7</v>
      </c>
      <c r="AD400" s="45">
        <v>14.1</v>
      </c>
      <c r="AE400" s="45">
        <v>14.4</v>
      </c>
      <c r="AF400" s="45">
        <v>12.3</v>
      </c>
      <c r="AG400" s="45">
        <v>15.4</v>
      </c>
      <c r="AH400" s="45">
        <v>12.7</v>
      </c>
      <c r="AI400" s="45">
        <v>13.2</v>
      </c>
      <c r="AJ400" s="45">
        <v>15.2</v>
      </c>
      <c r="AK400" s="45">
        <v>13.4</v>
      </c>
      <c r="AL400" s="45">
        <v>12.9</v>
      </c>
      <c r="AM400" s="45">
        <v>15.7</v>
      </c>
      <c r="AN400" s="45">
        <v>14.8</v>
      </c>
      <c r="AO400" s="45">
        <v>11.2</v>
      </c>
      <c r="AP400" s="45">
        <v>11.4</v>
      </c>
      <c r="AQ400" s="45">
        <v>10.7</v>
      </c>
      <c r="AR400" s="45">
        <v>0</v>
      </c>
      <c r="AS400" s="45">
        <v>0</v>
      </c>
      <c r="AT400" s="45">
        <v>0</v>
      </c>
      <c r="AU400" s="45">
        <v>0</v>
      </c>
      <c r="AV400" s="45">
        <v>0</v>
      </c>
      <c r="AW400" s="45">
        <v>0</v>
      </c>
      <c r="AX400" s="45">
        <v>0</v>
      </c>
      <c r="AY400" s="45">
        <v>0</v>
      </c>
      <c r="AZ400" s="45">
        <v>0</v>
      </c>
      <c r="BA400" s="45">
        <v>0</v>
      </c>
      <c r="BB400" s="45">
        <v>0</v>
      </c>
      <c r="BC400" s="45">
        <v>0</v>
      </c>
      <c r="BD400" s="45">
        <v>0</v>
      </c>
      <c r="BE400" s="45">
        <v>0</v>
      </c>
      <c r="BF400" s="45">
        <v>0</v>
      </c>
      <c r="BG400" s="45">
        <v>0</v>
      </c>
    </row>
    <row r="401" spans="1:59">
      <c r="A401" s="18" t="s">
        <v>111</v>
      </c>
      <c r="B401" s="18" t="s">
        <v>106</v>
      </c>
      <c r="C401" s="18" t="s">
        <v>76</v>
      </c>
      <c r="D401" s="45">
        <v>0</v>
      </c>
      <c r="E401" s="45">
        <v>0</v>
      </c>
      <c r="F401" s="45">
        <v>0</v>
      </c>
      <c r="G401" s="45">
        <v>0</v>
      </c>
      <c r="H401" s="45">
        <v>0</v>
      </c>
      <c r="I401" s="45">
        <v>16.3</v>
      </c>
      <c r="J401" s="45">
        <v>14.2</v>
      </c>
      <c r="K401" s="45">
        <v>12.5</v>
      </c>
      <c r="L401" s="45">
        <v>13.9</v>
      </c>
      <c r="M401" s="45">
        <v>14.6</v>
      </c>
      <c r="N401" s="45">
        <v>10.4</v>
      </c>
      <c r="O401" s="45">
        <v>13.2</v>
      </c>
      <c r="P401" s="45">
        <v>12.1</v>
      </c>
      <c r="Q401" s="45">
        <v>11.7</v>
      </c>
      <c r="R401" s="45">
        <v>11.8</v>
      </c>
      <c r="S401" s="45">
        <v>15</v>
      </c>
      <c r="T401" s="45">
        <v>12.4</v>
      </c>
      <c r="U401" s="45">
        <v>11.9</v>
      </c>
      <c r="V401" s="45">
        <v>12.8</v>
      </c>
      <c r="W401" s="45">
        <v>16.9</v>
      </c>
      <c r="X401" s="45">
        <v>16</v>
      </c>
      <c r="Y401" s="45">
        <v>14.7</v>
      </c>
      <c r="Z401" s="45">
        <v>16.1</v>
      </c>
      <c r="AA401" s="45">
        <v>15.2</v>
      </c>
      <c r="AB401" s="45">
        <v>14.4</v>
      </c>
      <c r="AC401" s="45">
        <v>12.1</v>
      </c>
      <c r="AD401" s="45">
        <v>12.2</v>
      </c>
      <c r="AE401" s="45">
        <v>13.1</v>
      </c>
      <c r="AF401" s="45">
        <v>13.9</v>
      </c>
      <c r="AG401" s="45">
        <v>12.2</v>
      </c>
      <c r="AH401" s="45">
        <v>11.7</v>
      </c>
      <c r="AI401" s="45">
        <v>14</v>
      </c>
      <c r="AJ401" s="45">
        <v>13.5</v>
      </c>
      <c r="AK401" s="45">
        <v>14.4</v>
      </c>
      <c r="AL401" s="45">
        <v>12.8</v>
      </c>
      <c r="AM401" s="45">
        <v>13.4</v>
      </c>
      <c r="AN401" s="45">
        <v>11.6</v>
      </c>
      <c r="AO401" s="45">
        <v>11.9</v>
      </c>
      <c r="AP401" s="45">
        <v>9.5</v>
      </c>
      <c r="AQ401" s="45">
        <v>8.199999999999999</v>
      </c>
      <c r="AR401" s="45">
        <v>0</v>
      </c>
      <c r="AS401" s="45">
        <v>0</v>
      </c>
      <c r="AT401" s="45">
        <v>0</v>
      </c>
      <c r="AU401" s="45">
        <v>0</v>
      </c>
      <c r="AV401" s="45">
        <v>0</v>
      </c>
      <c r="AW401" s="45">
        <v>0</v>
      </c>
      <c r="AX401" s="45">
        <v>0</v>
      </c>
      <c r="AY401" s="45">
        <v>0</v>
      </c>
      <c r="AZ401" s="45">
        <v>0</v>
      </c>
      <c r="BA401" s="45">
        <v>0</v>
      </c>
      <c r="BB401" s="45">
        <v>0</v>
      </c>
      <c r="BC401" s="45">
        <v>0</v>
      </c>
      <c r="BD401" s="45">
        <v>0</v>
      </c>
      <c r="BE401" s="45">
        <v>0</v>
      </c>
      <c r="BF401" s="45">
        <v>0</v>
      </c>
      <c r="BG401" s="45">
        <v>0</v>
      </c>
    </row>
    <row r="402" spans="1:59">
      <c r="A402" s="18" t="s">
        <v>112</v>
      </c>
      <c r="B402" s="18" t="s">
        <v>106</v>
      </c>
      <c r="C402" s="18" t="s">
        <v>78</v>
      </c>
      <c r="D402" s="45">
        <v>0</v>
      </c>
      <c r="E402" s="45">
        <v>0</v>
      </c>
      <c r="F402" s="45">
        <v>0</v>
      </c>
      <c r="G402" s="45">
        <v>0</v>
      </c>
      <c r="H402" s="45">
        <v>0</v>
      </c>
      <c r="I402" s="45">
        <v>12.8</v>
      </c>
      <c r="J402" s="45">
        <v>13.9</v>
      </c>
      <c r="K402" s="45">
        <v>11.9</v>
      </c>
      <c r="L402" s="45">
        <v>13.4</v>
      </c>
      <c r="M402" s="45">
        <v>12.6</v>
      </c>
      <c r="N402" s="45">
        <v>12.5</v>
      </c>
      <c r="O402" s="45">
        <v>12.7</v>
      </c>
      <c r="P402" s="45">
        <v>12.4</v>
      </c>
      <c r="Q402" s="45">
        <v>10.6</v>
      </c>
      <c r="R402" s="45">
        <v>12.6</v>
      </c>
      <c r="S402" s="45">
        <v>11.2</v>
      </c>
      <c r="T402" s="45">
        <v>11.2</v>
      </c>
      <c r="U402" s="45">
        <v>13.2</v>
      </c>
      <c r="V402" s="45">
        <v>13</v>
      </c>
      <c r="W402" s="45">
        <v>13.9</v>
      </c>
      <c r="X402" s="45">
        <v>12.9</v>
      </c>
      <c r="Y402" s="45">
        <v>16.2</v>
      </c>
      <c r="Z402" s="45">
        <v>11.9</v>
      </c>
      <c r="AA402" s="45">
        <v>16.2</v>
      </c>
      <c r="AB402" s="45">
        <v>13</v>
      </c>
      <c r="AC402" s="45">
        <v>11.8</v>
      </c>
      <c r="AD402" s="45">
        <v>15.3</v>
      </c>
      <c r="AE402" s="45">
        <v>12.2</v>
      </c>
      <c r="AF402" s="45">
        <v>11.6</v>
      </c>
      <c r="AG402" s="45">
        <v>14.9</v>
      </c>
      <c r="AH402" s="45">
        <v>13.1</v>
      </c>
      <c r="AI402" s="45">
        <v>14</v>
      </c>
      <c r="AJ402" s="45">
        <v>15.2</v>
      </c>
      <c r="AK402" s="45">
        <v>13.7</v>
      </c>
      <c r="AL402" s="45">
        <v>14.2</v>
      </c>
      <c r="AM402" s="45">
        <v>11.1</v>
      </c>
      <c r="AN402" s="45">
        <v>11.4</v>
      </c>
      <c r="AO402" s="45">
        <v>11.4</v>
      </c>
      <c r="AP402" s="45">
        <v>9.699999999999999</v>
      </c>
      <c r="AQ402" s="45">
        <v>8.5</v>
      </c>
      <c r="AR402" s="45">
        <v>0</v>
      </c>
      <c r="AS402" s="45">
        <v>0</v>
      </c>
      <c r="AT402" s="45">
        <v>0</v>
      </c>
      <c r="AU402" s="45">
        <v>0</v>
      </c>
      <c r="AV402" s="45">
        <v>0</v>
      </c>
      <c r="AW402" s="45">
        <v>0</v>
      </c>
      <c r="AX402" s="45">
        <v>0</v>
      </c>
      <c r="AY402" s="45">
        <v>0</v>
      </c>
      <c r="AZ402" s="45">
        <v>0</v>
      </c>
      <c r="BA402" s="45">
        <v>0</v>
      </c>
      <c r="BB402" s="45">
        <v>0</v>
      </c>
      <c r="BC402" s="45">
        <v>0</v>
      </c>
      <c r="BD402" s="45">
        <v>0</v>
      </c>
      <c r="BE402" s="45">
        <v>0</v>
      </c>
      <c r="BF402" s="45">
        <v>0</v>
      </c>
      <c r="BG402" s="45">
        <v>0</v>
      </c>
    </row>
    <row r="403" spans="1:59">
      <c r="A403" s="18" t="s">
        <v>113</v>
      </c>
      <c r="B403" s="18" t="s">
        <v>106</v>
      </c>
      <c r="C403" s="18" t="s">
        <v>80</v>
      </c>
      <c r="D403" s="45">
        <v>0</v>
      </c>
      <c r="E403" s="45">
        <v>0</v>
      </c>
      <c r="F403" s="45">
        <v>0</v>
      </c>
      <c r="G403" s="45">
        <v>0</v>
      </c>
      <c r="H403" s="45">
        <v>0</v>
      </c>
      <c r="I403" s="45">
        <v>18.8</v>
      </c>
      <c r="J403" s="45">
        <v>14.8</v>
      </c>
      <c r="K403" s="45">
        <v>15.7</v>
      </c>
      <c r="L403" s="45">
        <v>14.2</v>
      </c>
      <c r="M403" s="45">
        <v>11.1</v>
      </c>
      <c r="N403" s="45">
        <v>13.1</v>
      </c>
      <c r="O403" s="45">
        <v>11.6</v>
      </c>
      <c r="P403" s="45">
        <v>13.1</v>
      </c>
      <c r="Q403" s="45">
        <v>12.3</v>
      </c>
      <c r="R403" s="45">
        <v>13</v>
      </c>
      <c r="S403" s="45">
        <v>11.6</v>
      </c>
      <c r="T403" s="45">
        <v>11</v>
      </c>
      <c r="U403" s="45">
        <v>13.2</v>
      </c>
      <c r="V403" s="45">
        <v>14.1</v>
      </c>
      <c r="W403" s="45">
        <v>14.9</v>
      </c>
      <c r="X403" s="45">
        <v>15.3</v>
      </c>
      <c r="Y403" s="45">
        <v>14.6</v>
      </c>
      <c r="Z403" s="45">
        <v>14.9</v>
      </c>
      <c r="AA403" s="45">
        <v>14.3</v>
      </c>
      <c r="AB403" s="45">
        <v>13.4</v>
      </c>
      <c r="AC403" s="45">
        <v>11.9</v>
      </c>
      <c r="AD403" s="45">
        <v>13.6</v>
      </c>
      <c r="AE403" s="45">
        <v>12.9</v>
      </c>
      <c r="AF403" s="45">
        <v>12.5</v>
      </c>
      <c r="AG403" s="45">
        <v>12.5</v>
      </c>
      <c r="AH403" s="45">
        <v>12.6</v>
      </c>
      <c r="AI403" s="45">
        <v>11.4</v>
      </c>
      <c r="AJ403" s="45">
        <v>11.6</v>
      </c>
      <c r="AK403" s="45">
        <v>13.8</v>
      </c>
      <c r="AL403" s="45">
        <v>12.5</v>
      </c>
      <c r="AM403" s="45">
        <v>13.6</v>
      </c>
      <c r="AN403" s="45">
        <v>11.4</v>
      </c>
      <c r="AO403" s="45">
        <v>10.9</v>
      </c>
      <c r="AP403" s="45">
        <v>11</v>
      </c>
      <c r="AQ403" s="45">
        <v>10.6</v>
      </c>
      <c r="AR403" s="45">
        <v>0</v>
      </c>
      <c r="AS403" s="45">
        <v>0</v>
      </c>
      <c r="AT403" s="45">
        <v>0</v>
      </c>
      <c r="AU403" s="45">
        <v>0</v>
      </c>
      <c r="AV403" s="45">
        <v>0</v>
      </c>
      <c r="AW403" s="45">
        <v>0</v>
      </c>
      <c r="AX403" s="45">
        <v>0</v>
      </c>
      <c r="AY403" s="45">
        <v>0</v>
      </c>
      <c r="AZ403" s="45">
        <v>0</v>
      </c>
      <c r="BA403" s="45">
        <v>0</v>
      </c>
      <c r="BB403" s="45">
        <v>0</v>
      </c>
      <c r="BC403" s="45">
        <v>0</v>
      </c>
      <c r="BD403" s="45">
        <v>0</v>
      </c>
      <c r="BE403" s="45">
        <v>0</v>
      </c>
      <c r="BF403" s="45">
        <v>0</v>
      </c>
      <c r="BG403" s="45">
        <v>0</v>
      </c>
    </row>
    <row r="404" spans="1:59">
      <c r="A404" s="18" t="s">
        <v>114</v>
      </c>
      <c r="B404" s="18" t="s">
        <v>106</v>
      </c>
      <c r="C404" s="18" t="s">
        <v>82</v>
      </c>
      <c r="D404" s="45">
        <v>0</v>
      </c>
      <c r="E404" s="45">
        <v>0</v>
      </c>
      <c r="F404" s="45">
        <v>0</v>
      </c>
      <c r="G404" s="45">
        <v>0</v>
      </c>
      <c r="H404" s="45">
        <v>0</v>
      </c>
      <c r="I404" s="45">
        <v>14.1</v>
      </c>
      <c r="J404" s="45">
        <v>14.2</v>
      </c>
      <c r="K404" s="45">
        <v>11.7</v>
      </c>
      <c r="L404" s="45">
        <v>13</v>
      </c>
      <c r="M404" s="45">
        <v>13.2</v>
      </c>
      <c r="N404" s="45">
        <v>16</v>
      </c>
      <c r="O404" s="45">
        <v>12.2</v>
      </c>
      <c r="P404" s="45">
        <v>11.9</v>
      </c>
      <c r="Q404" s="45">
        <v>11.7</v>
      </c>
      <c r="R404" s="45">
        <v>11.7</v>
      </c>
      <c r="S404" s="45">
        <v>11.9</v>
      </c>
      <c r="T404" s="45">
        <v>10.9</v>
      </c>
      <c r="U404" s="45">
        <v>13.1</v>
      </c>
      <c r="V404" s="45">
        <v>12.5</v>
      </c>
      <c r="W404" s="45">
        <v>15.3</v>
      </c>
      <c r="X404" s="45">
        <v>13.3</v>
      </c>
      <c r="Y404" s="45">
        <v>14.7</v>
      </c>
      <c r="Z404" s="45">
        <v>15.8</v>
      </c>
      <c r="AA404" s="45">
        <v>13.5</v>
      </c>
      <c r="AB404" s="45">
        <v>12.7</v>
      </c>
      <c r="AC404" s="45">
        <v>15.9</v>
      </c>
      <c r="AD404" s="45">
        <v>14.7</v>
      </c>
      <c r="AE404" s="45">
        <v>12.1</v>
      </c>
      <c r="AF404" s="45">
        <v>13</v>
      </c>
      <c r="AG404" s="45">
        <v>10.2</v>
      </c>
      <c r="AH404" s="45">
        <v>11.8</v>
      </c>
      <c r="AI404" s="45">
        <v>10.1</v>
      </c>
      <c r="AJ404" s="45">
        <v>13.5</v>
      </c>
      <c r="AK404" s="45">
        <v>11.1</v>
      </c>
      <c r="AL404" s="45">
        <v>13</v>
      </c>
      <c r="AM404" s="45">
        <v>11.9</v>
      </c>
      <c r="AN404" s="45">
        <v>11.5</v>
      </c>
      <c r="AO404" s="45">
        <v>12.3</v>
      </c>
      <c r="AP404" s="45">
        <v>10.3</v>
      </c>
      <c r="AQ404" s="45">
        <v>11.1</v>
      </c>
      <c r="AR404" s="45">
        <v>0</v>
      </c>
      <c r="AS404" s="45">
        <v>0</v>
      </c>
      <c r="AT404" s="45">
        <v>0</v>
      </c>
      <c r="AU404" s="45">
        <v>0</v>
      </c>
      <c r="AV404" s="45">
        <v>0</v>
      </c>
      <c r="AW404" s="45">
        <v>0</v>
      </c>
      <c r="AX404" s="45">
        <v>0</v>
      </c>
      <c r="AY404" s="45">
        <v>0</v>
      </c>
      <c r="AZ404" s="45">
        <v>0</v>
      </c>
      <c r="BA404" s="45">
        <v>0</v>
      </c>
      <c r="BB404" s="45">
        <v>0</v>
      </c>
      <c r="BC404" s="45">
        <v>0</v>
      </c>
      <c r="BD404" s="45">
        <v>0</v>
      </c>
      <c r="BE404" s="45">
        <v>0</v>
      </c>
      <c r="BF404" s="45">
        <v>0</v>
      </c>
      <c r="BG404" s="45">
        <v>0</v>
      </c>
    </row>
    <row r="405" spans="1:59">
      <c r="A405" s="18" t="s">
        <v>115</v>
      </c>
      <c r="B405" s="18" t="s">
        <v>106</v>
      </c>
      <c r="C405" s="18" t="s">
        <v>84</v>
      </c>
      <c r="D405" s="45">
        <v>0</v>
      </c>
      <c r="E405" s="45">
        <v>0</v>
      </c>
      <c r="F405" s="45">
        <v>0</v>
      </c>
      <c r="G405" s="45">
        <v>0</v>
      </c>
      <c r="H405" s="45">
        <v>0</v>
      </c>
      <c r="I405" s="45">
        <v>18.5</v>
      </c>
      <c r="J405" s="45">
        <v>17.4</v>
      </c>
      <c r="K405" s="45">
        <v>15.1</v>
      </c>
      <c r="L405" s="45">
        <v>16.9</v>
      </c>
      <c r="M405" s="45">
        <v>13</v>
      </c>
      <c r="N405" s="45">
        <v>13.7</v>
      </c>
      <c r="O405" s="45">
        <v>13.6</v>
      </c>
      <c r="P405" s="45">
        <v>12.9</v>
      </c>
      <c r="Q405" s="45">
        <v>11.4</v>
      </c>
      <c r="R405" s="45">
        <v>12.9</v>
      </c>
      <c r="S405" s="45">
        <v>11.1</v>
      </c>
      <c r="T405" s="45">
        <v>13.2</v>
      </c>
      <c r="U405" s="45">
        <v>13.1</v>
      </c>
      <c r="V405" s="45">
        <v>15</v>
      </c>
      <c r="W405" s="45">
        <v>15.2</v>
      </c>
      <c r="X405" s="45">
        <v>13.3</v>
      </c>
      <c r="Y405" s="45">
        <v>14.9</v>
      </c>
      <c r="Z405" s="45">
        <v>14.9</v>
      </c>
      <c r="AA405" s="45">
        <v>12.5</v>
      </c>
      <c r="AB405" s="45">
        <v>14.4</v>
      </c>
      <c r="AC405" s="45">
        <v>13.2</v>
      </c>
      <c r="AD405" s="45">
        <v>13.5</v>
      </c>
      <c r="AE405" s="45">
        <v>13.4</v>
      </c>
      <c r="AF405" s="45">
        <v>13.2</v>
      </c>
      <c r="AG405" s="45">
        <v>12.7</v>
      </c>
      <c r="AH405" s="45">
        <v>13.2</v>
      </c>
      <c r="AI405" s="45">
        <v>12.9</v>
      </c>
      <c r="AJ405" s="45">
        <v>12</v>
      </c>
      <c r="AK405" s="45">
        <v>12.8</v>
      </c>
      <c r="AL405" s="45">
        <v>14.6</v>
      </c>
      <c r="AM405" s="45">
        <v>12.4</v>
      </c>
      <c r="AN405" s="45">
        <v>13.8</v>
      </c>
      <c r="AO405" s="45">
        <v>10.4</v>
      </c>
      <c r="AP405" s="45">
        <v>10.2</v>
      </c>
      <c r="AQ405" s="45">
        <v>10.4</v>
      </c>
      <c r="AR405" s="45">
        <v>0</v>
      </c>
      <c r="AS405" s="45">
        <v>0</v>
      </c>
      <c r="AT405" s="45">
        <v>0</v>
      </c>
      <c r="AU405" s="45">
        <v>0</v>
      </c>
      <c r="AV405" s="45">
        <v>0</v>
      </c>
      <c r="AW405" s="45">
        <v>0</v>
      </c>
      <c r="AX405" s="45">
        <v>0</v>
      </c>
      <c r="AY405" s="45">
        <v>0</v>
      </c>
      <c r="AZ405" s="45">
        <v>0</v>
      </c>
      <c r="BA405" s="45">
        <v>0</v>
      </c>
      <c r="BB405" s="45">
        <v>0</v>
      </c>
      <c r="BC405" s="45">
        <v>0</v>
      </c>
      <c r="BD405" s="45">
        <v>0</v>
      </c>
      <c r="BE405" s="45">
        <v>0</v>
      </c>
      <c r="BF405" s="45">
        <v>0</v>
      </c>
      <c r="BG405" s="45">
        <v>0</v>
      </c>
    </row>
    <row r="406" spans="1:59">
      <c r="A406" s="18" t="s">
        <v>116</v>
      </c>
      <c r="B406" s="18" t="s">
        <v>106</v>
      </c>
      <c r="C406" s="18" t="s">
        <v>86</v>
      </c>
      <c r="D406" s="45">
        <v>0</v>
      </c>
      <c r="E406" s="45">
        <v>0</v>
      </c>
      <c r="F406" s="45">
        <v>0</v>
      </c>
      <c r="G406" s="45">
        <v>0</v>
      </c>
      <c r="H406" s="45">
        <v>0</v>
      </c>
      <c r="I406" s="45">
        <v>0</v>
      </c>
      <c r="J406" s="45">
        <v>7.1</v>
      </c>
      <c r="K406" s="45">
        <v>8.1</v>
      </c>
      <c r="L406" s="45">
        <v>5.8</v>
      </c>
      <c r="M406" s="45">
        <v>8</v>
      </c>
      <c r="N406" s="45">
        <v>17.5</v>
      </c>
      <c r="O406" s="45">
        <v>11.3</v>
      </c>
      <c r="P406" s="45">
        <v>11.3</v>
      </c>
      <c r="Q406" s="45">
        <v>8.300000000000001</v>
      </c>
      <c r="R406" s="45">
        <v>9.5</v>
      </c>
      <c r="S406" s="45">
        <v>11.8</v>
      </c>
      <c r="T406" s="45">
        <v>14.7</v>
      </c>
      <c r="U406" s="45">
        <v>5.1</v>
      </c>
      <c r="V406" s="45">
        <v>8.1</v>
      </c>
      <c r="W406" s="45">
        <v>7.6</v>
      </c>
      <c r="X406" s="45">
        <v>7.9</v>
      </c>
      <c r="Y406" s="45">
        <v>3.8</v>
      </c>
      <c r="Z406" s="45">
        <v>5.9</v>
      </c>
      <c r="AA406" s="45">
        <v>10.4</v>
      </c>
      <c r="AB406" s="45">
        <v>6</v>
      </c>
      <c r="AC406" s="45">
        <v>14</v>
      </c>
      <c r="AD406" s="45">
        <v>18.2</v>
      </c>
      <c r="AE406" s="45">
        <v>8.300000000000001</v>
      </c>
      <c r="AF406" s="45">
        <v>8.1</v>
      </c>
      <c r="AG406" s="45">
        <v>8.4</v>
      </c>
      <c r="AH406" s="45">
        <v>8.4</v>
      </c>
      <c r="AI406" s="45">
        <v>7.1</v>
      </c>
      <c r="AJ406" s="45">
        <v>12.6</v>
      </c>
      <c r="AK406" s="45">
        <v>10</v>
      </c>
      <c r="AL406" s="45">
        <v>21.4</v>
      </c>
      <c r="AM406" s="45">
        <v>15.5</v>
      </c>
      <c r="AN406" s="45">
        <v>8.4</v>
      </c>
      <c r="AO406" s="45">
        <v>8.9</v>
      </c>
      <c r="AP406" s="45">
        <v>8.9</v>
      </c>
      <c r="AQ406" s="45">
        <v>5.8</v>
      </c>
      <c r="AR406" s="45">
        <v>0</v>
      </c>
      <c r="AS406" s="45">
        <v>0</v>
      </c>
      <c r="AT406" s="45">
        <v>0</v>
      </c>
      <c r="AU406" s="45">
        <v>0</v>
      </c>
      <c r="AV406" s="45">
        <v>0</v>
      </c>
      <c r="AW406" s="45">
        <v>0</v>
      </c>
      <c r="AX406" s="45">
        <v>0</v>
      </c>
      <c r="AY406" s="45">
        <v>0</v>
      </c>
      <c r="AZ406" s="45">
        <v>0</v>
      </c>
      <c r="BA406" s="45">
        <v>0</v>
      </c>
      <c r="BB406" s="45">
        <v>0</v>
      </c>
      <c r="BC406" s="45">
        <v>0</v>
      </c>
      <c r="BD406" s="45">
        <v>0</v>
      </c>
      <c r="BE406" s="45">
        <v>0</v>
      </c>
      <c r="BF406" s="45">
        <v>0</v>
      </c>
      <c r="BG406" s="45">
        <v>0</v>
      </c>
    </row>
    <row r="407" spans="1:59">
      <c r="A407" s="18" t="s">
        <v>117</v>
      </c>
      <c r="B407" s="18" t="s">
        <v>106</v>
      </c>
      <c r="C407" s="18" t="s">
        <v>88</v>
      </c>
      <c r="D407" s="45">
        <v>0</v>
      </c>
      <c r="E407" s="45">
        <v>0</v>
      </c>
      <c r="F407" s="45">
        <v>0</v>
      </c>
      <c r="G407" s="45">
        <v>0</v>
      </c>
      <c r="H407" s="45">
        <v>0</v>
      </c>
      <c r="I407" s="45">
        <v>11.4</v>
      </c>
      <c r="J407" s="45">
        <v>4.4</v>
      </c>
      <c r="K407" s="45">
        <v>6</v>
      </c>
      <c r="L407" s="45">
        <v>7</v>
      </c>
      <c r="M407" s="45">
        <v>8.4</v>
      </c>
      <c r="N407" s="45">
        <v>7.7</v>
      </c>
      <c r="O407" s="45">
        <v>6.8</v>
      </c>
      <c r="P407" s="45">
        <v>7.9</v>
      </c>
      <c r="Q407" s="45">
        <v>9.300000000000001</v>
      </c>
      <c r="R407" s="45">
        <v>8.199999999999999</v>
      </c>
      <c r="S407" s="45">
        <v>8.800000000000001</v>
      </c>
      <c r="T407" s="45">
        <v>10.5</v>
      </c>
      <c r="U407" s="45">
        <v>9.5</v>
      </c>
      <c r="V407" s="45">
        <v>8.300000000000001</v>
      </c>
      <c r="W407" s="45">
        <v>8.699999999999999</v>
      </c>
      <c r="X407" s="45">
        <v>9.699999999999999</v>
      </c>
      <c r="Y407" s="45">
        <v>8</v>
      </c>
      <c r="Z407" s="45">
        <v>8.300000000000001</v>
      </c>
      <c r="AA407" s="45">
        <v>9.800000000000001</v>
      </c>
      <c r="AB407" s="45">
        <v>8.1</v>
      </c>
      <c r="AC407" s="45">
        <v>8.1</v>
      </c>
      <c r="AD407" s="45">
        <v>9.199999999999999</v>
      </c>
      <c r="AE407" s="45">
        <v>10.9</v>
      </c>
      <c r="AF407" s="45">
        <v>11.5</v>
      </c>
      <c r="AG407" s="45">
        <v>9.300000000000001</v>
      </c>
      <c r="AH407" s="45">
        <v>9.4</v>
      </c>
      <c r="AI407" s="45">
        <v>9.1</v>
      </c>
      <c r="AJ407" s="45">
        <v>9</v>
      </c>
      <c r="AK407" s="45">
        <v>9.1</v>
      </c>
      <c r="AL407" s="45">
        <v>9.199999999999999</v>
      </c>
      <c r="AM407" s="45">
        <v>9.6</v>
      </c>
      <c r="AN407" s="45">
        <v>9.300000000000001</v>
      </c>
      <c r="AO407" s="45">
        <v>9.6</v>
      </c>
      <c r="AP407" s="45">
        <v>8.6</v>
      </c>
      <c r="AQ407" s="45">
        <v>6</v>
      </c>
      <c r="AR407" s="45">
        <v>5.4</v>
      </c>
      <c r="AS407" s="45">
        <v>0</v>
      </c>
      <c r="AT407" s="45">
        <v>0</v>
      </c>
      <c r="AU407" s="45">
        <v>0</v>
      </c>
      <c r="AV407" s="45">
        <v>0</v>
      </c>
      <c r="AW407" s="45">
        <v>0</v>
      </c>
      <c r="AX407" s="45">
        <v>0</v>
      </c>
      <c r="AY407" s="45">
        <v>0</v>
      </c>
      <c r="AZ407" s="45">
        <v>0</v>
      </c>
      <c r="BA407" s="45">
        <v>0</v>
      </c>
      <c r="BB407" s="45">
        <v>0</v>
      </c>
      <c r="BC407" s="45">
        <v>0</v>
      </c>
      <c r="BD407" s="45">
        <v>0</v>
      </c>
      <c r="BE407" s="45">
        <v>0</v>
      </c>
      <c r="BF407" s="45">
        <v>0</v>
      </c>
      <c r="BG407" s="45">
        <v>0</v>
      </c>
    </row>
    <row r="408" spans="1:59">
      <c r="A408" s="18" t="s">
        <v>118</v>
      </c>
      <c r="B408" s="18" t="s">
        <v>106</v>
      </c>
      <c r="C408" s="18" t="s">
        <v>90</v>
      </c>
      <c r="D408" s="45">
        <v>0</v>
      </c>
      <c r="E408" s="45">
        <v>0</v>
      </c>
      <c r="F408" s="45">
        <v>0</v>
      </c>
      <c r="G408" s="45">
        <v>0</v>
      </c>
      <c r="H408" s="45">
        <v>0</v>
      </c>
      <c r="I408" s="45">
        <v>8</v>
      </c>
      <c r="J408" s="45">
        <v>7.5</v>
      </c>
      <c r="K408" s="45">
        <v>7.3</v>
      </c>
      <c r="L408" s="45">
        <v>7.6</v>
      </c>
      <c r="M408" s="45">
        <v>8.5</v>
      </c>
      <c r="N408" s="45">
        <v>10.4</v>
      </c>
      <c r="O408" s="45">
        <v>12.9</v>
      </c>
      <c r="P408" s="45">
        <v>12.3</v>
      </c>
      <c r="Q408" s="45">
        <v>12.4</v>
      </c>
      <c r="R408" s="45">
        <v>13.2</v>
      </c>
      <c r="S408" s="45">
        <v>12.4</v>
      </c>
      <c r="T408" s="45">
        <v>12.8</v>
      </c>
      <c r="U408" s="45">
        <v>13.8</v>
      </c>
      <c r="V408" s="45">
        <v>14.6</v>
      </c>
      <c r="W408" s="45">
        <v>13.8</v>
      </c>
      <c r="X408" s="45">
        <v>13</v>
      </c>
      <c r="Y408" s="45">
        <v>12.2</v>
      </c>
      <c r="Z408" s="45">
        <v>8.800000000000001</v>
      </c>
      <c r="AA408" s="45">
        <v>11.2</v>
      </c>
      <c r="AB408" s="45">
        <v>10.5</v>
      </c>
      <c r="AC408" s="45">
        <v>11.8</v>
      </c>
      <c r="AD408" s="45">
        <v>13</v>
      </c>
      <c r="AE408" s="45">
        <v>15.5</v>
      </c>
      <c r="AF408" s="45">
        <v>12.5</v>
      </c>
      <c r="AG408" s="45">
        <v>15.3</v>
      </c>
      <c r="AH408" s="45">
        <v>13.1</v>
      </c>
      <c r="AI408" s="45">
        <v>13.4</v>
      </c>
      <c r="AJ408" s="45">
        <v>13.5</v>
      </c>
      <c r="AK408" s="45">
        <v>13.9</v>
      </c>
      <c r="AL408" s="45">
        <v>13.3</v>
      </c>
      <c r="AM408" s="45">
        <v>15.1</v>
      </c>
      <c r="AN408" s="45">
        <v>15.8</v>
      </c>
      <c r="AO408" s="45">
        <v>11.4</v>
      </c>
      <c r="AP408" s="45">
        <v>10.4</v>
      </c>
      <c r="AQ408" s="45">
        <v>9.4</v>
      </c>
      <c r="AR408" s="45">
        <v>6.4</v>
      </c>
      <c r="AS408" s="45">
        <v>0</v>
      </c>
      <c r="AT408" s="45">
        <v>0</v>
      </c>
      <c r="AU408" s="45">
        <v>0</v>
      </c>
      <c r="AV408" s="45">
        <v>0</v>
      </c>
      <c r="AW408" s="45">
        <v>0</v>
      </c>
      <c r="AX408" s="45">
        <v>0</v>
      </c>
      <c r="AY408" s="45">
        <v>0</v>
      </c>
      <c r="AZ408" s="45">
        <v>0</v>
      </c>
      <c r="BA408" s="45">
        <v>0</v>
      </c>
      <c r="BB408" s="45">
        <v>0</v>
      </c>
      <c r="BC408" s="45">
        <v>0</v>
      </c>
      <c r="BD408" s="45">
        <v>0</v>
      </c>
      <c r="BE408" s="45">
        <v>0</v>
      </c>
      <c r="BF408" s="45">
        <v>0</v>
      </c>
      <c r="BG408" s="45">
        <v>0</v>
      </c>
    </row>
    <row r="409" spans="1:59">
      <c r="A409" s="18" t="s">
        <v>119</v>
      </c>
      <c r="B409" s="18" t="s">
        <v>120</v>
      </c>
      <c r="C409" s="18" t="s">
        <v>66</v>
      </c>
      <c r="D409" s="45">
        <v>0</v>
      </c>
      <c r="E409" s="45">
        <v>0</v>
      </c>
      <c r="F409" s="45">
        <v>0</v>
      </c>
      <c r="G409" s="45">
        <v>48.1</v>
      </c>
      <c r="H409" s="45">
        <v>32.9</v>
      </c>
      <c r="I409" s="45">
        <v>20.5</v>
      </c>
      <c r="J409" s="45">
        <v>18.9</v>
      </c>
      <c r="K409" s="45">
        <v>18.9</v>
      </c>
      <c r="L409" s="45">
        <v>19.6</v>
      </c>
      <c r="M409" s="45">
        <v>20</v>
      </c>
      <c r="N409" s="45">
        <v>20.7</v>
      </c>
      <c r="O409" s="45">
        <v>20.4</v>
      </c>
      <c r="P409" s="45">
        <v>21.2</v>
      </c>
      <c r="Q409" s="45">
        <v>21.2</v>
      </c>
      <c r="R409" s="45">
        <v>21.4</v>
      </c>
      <c r="S409" s="45">
        <v>22</v>
      </c>
      <c r="T409" s="45">
        <v>22</v>
      </c>
      <c r="U409" s="45">
        <v>23.6</v>
      </c>
      <c r="V409" s="45">
        <v>23.6</v>
      </c>
      <c r="W409" s="45">
        <v>22.6</v>
      </c>
      <c r="X409" s="45">
        <v>20.6</v>
      </c>
      <c r="Y409" s="45">
        <v>20.3</v>
      </c>
      <c r="Z409" s="45">
        <v>20.5</v>
      </c>
      <c r="AA409" s="45">
        <v>20.9</v>
      </c>
      <c r="AB409" s="45">
        <v>18.8</v>
      </c>
      <c r="AC409" s="45">
        <v>18.9</v>
      </c>
      <c r="AD409" s="45">
        <v>20.4</v>
      </c>
      <c r="AE409" s="45">
        <v>20.8</v>
      </c>
      <c r="AF409" s="45">
        <v>21.1</v>
      </c>
      <c r="AG409" s="45">
        <v>21.4</v>
      </c>
      <c r="AH409" s="45">
        <v>21.7</v>
      </c>
      <c r="AI409" s="45">
        <v>21.8</v>
      </c>
      <c r="AJ409" s="45">
        <v>20.4</v>
      </c>
      <c r="AK409" s="45">
        <v>20.8</v>
      </c>
      <c r="AL409" s="45">
        <v>21.1</v>
      </c>
      <c r="AM409" s="45">
        <v>19.8</v>
      </c>
      <c r="AN409" s="45">
        <v>18</v>
      </c>
      <c r="AO409" s="45">
        <v>18</v>
      </c>
      <c r="AP409" s="45">
        <v>15.9</v>
      </c>
      <c r="AQ409" s="45">
        <v>12.4</v>
      </c>
      <c r="AR409" s="45">
        <v>10.1</v>
      </c>
      <c r="AS409" s="45">
        <v>12.4</v>
      </c>
      <c r="AT409" s="45">
        <v>0</v>
      </c>
      <c r="AU409" s="45">
        <v>0</v>
      </c>
      <c r="AV409" s="45">
        <v>0</v>
      </c>
      <c r="AW409" s="45">
        <v>0</v>
      </c>
      <c r="AX409" s="45">
        <v>0</v>
      </c>
      <c r="AY409" s="45">
        <v>0</v>
      </c>
      <c r="AZ409" s="45">
        <v>0</v>
      </c>
      <c r="BA409" s="45">
        <v>0</v>
      </c>
      <c r="BB409" s="45">
        <v>0</v>
      </c>
      <c r="BC409" s="45">
        <v>0</v>
      </c>
      <c r="BD409" s="45">
        <v>0</v>
      </c>
      <c r="BE409" s="45">
        <v>0</v>
      </c>
      <c r="BF409" s="45">
        <v>0</v>
      </c>
      <c r="BG409" s="45">
        <v>0</v>
      </c>
    </row>
    <row r="410" spans="1:59">
      <c r="A410" s="18" t="s">
        <v>121</v>
      </c>
      <c r="B410" s="18" t="s">
        <v>120</v>
      </c>
      <c r="C410" s="18" t="s">
        <v>68</v>
      </c>
      <c r="D410" s="45">
        <v>0</v>
      </c>
      <c r="E410" s="45">
        <v>0</v>
      </c>
      <c r="F410" s="45">
        <v>0</v>
      </c>
      <c r="G410" s="45">
        <v>0</v>
      </c>
      <c r="H410" s="45">
        <v>32.2</v>
      </c>
      <c r="I410" s="45">
        <v>25.8</v>
      </c>
      <c r="J410" s="45">
        <v>27.4</v>
      </c>
      <c r="K410" s="45">
        <v>26</v>
      </c>
      <c r="L410" s="45">
        <v>27.4</v>
      </c>
      <c r="M410" s="45">
        <v>25.9</v>
      </c>
      <c r="N410" s="45">
        <v>27.9</v>
      </c>
      <c r="O410" s="45">
        <v>28.7</v>
      </c>
      <c r="P410" s="45">
        <v>30.4</v>
      </c>
      <c r="Q410" s="45">
        <v>30.3</v>
      </c>
      <c r="R410" s="45">
        <v>29.9</v>
      </c>
      <c r="S410" s="45">
        <v>33.2</v>
      </c>
      <c r="T410" s="45">
        <v>31.1</v>
      </c>
      <c r="U410" s="45">
        <v>31.5</v>
      </c>
      <c r="V410" s="45">
        <v>32.3</v>
      </c>
      <c r="W410" s="45">
        <v>36.8</v>
      </c>
      <c r="X410" s="45">
        <v>32.9</v>
      </c>
      <c r="Y410" s="45">
        <v>29</v>
      </c>
      <c r="Z410" s="45">
        <v>31.2</v>
      </c>
      <c r="AA410" s="45">
        <v>32.3</v>
      </c>
      <c r="AB410" s="45">
        <v>31.6</v>
      </c>
      <c r="AC410" s="45">
        <v>30.6</v>
      </c>
      <c r="AD410" s="45">
        <v>30</v>
      </c>
      <c r="AE410" s="45">
        <v>36.5</v>
      </c>
      <c r="AF410" s="45">
        <v>32.4</v>
      </c>
      <c r="AG410" s="45">
        <v>30</v>
      </c>
      <c r="AH410" s="45">
        <v>35.4</v>
      </c>
      <c r="AI410" s="45">
        <v>31.5</v>
      </c>
      <c r="AJ410" s="45">
        <v>31.7</v>
      </c>
      <c r="AK410" s="45">
        <v>32</v>
      </c>
      <c r="AL410" s="45">
        <v>35.6</v>
      </c>
      <c r="AM410" s="45">
        <v>31.5</v>
      </c>
      <c r="AN410" s="45">
        <v>24.1</v>
      </c>
      <c r="AO410" s="45">
        <v>26.8</v>
      </c>
      <c r="AP410" s="45">
        <v>25.7</v>
      </c>
      <c r="AQ410" s="45">
        <v>20.7</v>
      </c>
      <c r="AR410" s="45">
        <v>22</v>
      </c>
      <c r="AS410" s="45">
        <v>0</v>
      </c>
      <c r="AT410" s="45">
        <v>0</v>
      </c>
      <c r="AU410" s="45">
        <v>0</v>
      </c>
      <c r="AV410" s="45">
        <v>0</v>
      </c>
      <c r="AW410" s="45">
        <v>0</v>
      </c>
      <c r="AX410" s="45">
        <v>0</v>
      </c>
      <c r="AY410" s="45">
        <v>0</v>
      </c>
      <c r="AZ410" s="45">
        <v>0</v>
      </c>
      <c r="BA410" s="45">
        <v>0</v>
      </c>
      <c r="BB410" s="45">
        <v>0</v>
      </c>
      <c r="BC410" s="45">
        <v>0</v>
      </c>
      <c r="BD410" s="45">
        <v>0</v>
      </c>
      <c r="BE410" s="45">
        <v>0</v>
      </c>
      <c r="BF410" s="45">
        <v>0</v>
      </c>
      <c r="BG410" s="45">
        <v>0</v>
      </c>
    </row>
    <row r="411" spans="1:59">
      <c r="A411" s="18" t="s">
        <v>122</v>
      </c>
      <c r="B411" s="18" t="s">
        <v>120</v>
      </c>
      <c r="C411" s="18" t="s">
        <v>70</v>
      </c>
      <c r="D411" s="45">
        <v>0</v>
      </c>
      <c r="E411" s="45">
        <v>0</v>
      </c>
      <c r="F411" s="45">
        <v>0</v>
      </c>
      <c r="G411" s="45">
        <v>0</v>
      </c>
      <c r="H411" s="45">
        <v>0</v>
      </c>
      <c r="I411" s="45">
        <v>23</v>
      </c>
      <c r="J411" s="45">
        <v>21.6</v>
      </c>
      <c r="K411" s="45">
        <v>22.5</v>
      </c>
      <c r="L411" s="45">
        <v>24.2</v>
      </c>
      <c r="M411" s="45">
        <v>26.3</v>
      </c>
      <c r="N411" s="45">
        <v>24.1</v>
      </c>
      <c r="O411" s="45">
        <v>29.3</v>
      </c>
      <c r="P411" s="45">
        <v>27.7</v>
      </c>
      <c r="Q411" s="45">
        <v>28.4</v>
      </c>
      <c r="R411" s="45">
        <v>28.4</v>
      </c>
      <c r="S411" s="45">
        <v>26.8</v>
      </c>
      <c r="T411" s="45">
        <v>29.8</v>
      </c>
      <c r="U411" s="45">
        <v>31.6</v>
      </c>
      <c r="V411" s="45">
        <v>30.5</v>
      </c>
      <c r="W411" s="45">
        <v>29.7</v>
      </c>
      <c r="X411" s="45">
        <v>23.4</v>
      </c>
      <c r="Y411" s="45">
        <v>28.2</v>
      </c>
      <c r="Z411" s="45">
        <v>29.7</v>
      </c>
      <c r="AA411" s="45">
        <v>24.8</v>
      </c>
      <c r="AB411" s="45">
        <v>24.5</v>
      </c>
      <c r="AC411" s="45">
        <v>25.4</v>
      </c>
      <c r="AD411" s="45">
        <v>26.8</v>
      </c>
      <c r="AE411" s="45">
        <v>27.8</v>
      </c>
      <c r="AF411" s="45">
        <v>32.2</v>
      </c>
      <c r="AG411" s="45">
        <v>28.7</v>
      </c>
      <c r="AH411" s="45">
        <v>28.2</v>
      </c>
      <c r="AI411" s="45">
        <v>30.5</v>
      </c>
      <c r="AJ411" s="45">
        <v>31.6</v>
      </c>
      <c r="AK411" s="45">
        <v>33.7</v>
      </c>
      <c r="AL411" s="45">
        <v>31.2</v>
      </c>
      <c r="AM411" s="45">
        <v>25.3</v>
      </c>
      <c r="AN411" s="45">
        <v>29.5</v>
      </c>
      <c r="AO411" s="45">
        <v>27.3</v>
      </c>
      <c r="AP411" s="45">
        <v>29.8</v>
      </c>
      <c r="AQ411" s="45">
        <v>24.5</v>
      </c>
      <c r="AR411" s="45">
        <v>21.6</v>
      </c>
      <c r="AS411" s="45">
        <v>0</v>
      </c>
      <c r="AT411" s="45">
        <v>0</v>
      </c>
      <c r="AU411" s="45">
        <v>0</v>
      </c>
      <c r="AV411" s="45">
        <v>0</v>
      </c>
      <c r="AW411" s="45">
        <v>0</v>
      </c>
      <c r="AX411" s="45">
        <v>0</v>
      </c>
      <c r="AY411" s="45">
        <v>0</v>
      </c>
      <c r="AZ411" s="45">
        <v>0</v>
      </c>
      <c r="BA411" s="45">
        <v>0</v>
      </c>
      <c r="BB411" s="45">
        <v>0</v>
      </c>
      <c r="BC411" s="45">
        <v>0</v>
      </c>
      <c r="BD411" s="45">
        <v>0</v>
      </c>
      <c r="BE411" s="45">
        <v>0</v>
      </c>
      <c r="BF411" s="45">
        <v>0</v>
      </c>
      <c r="BG411" s="45">
        <v>0</v>
      </c>
    </row>
    <row r="412" spans="1:59">
      <c r="A412" s="18" t="s">
        <v>123</v>
      </c>
      <c r="B412" s="18" t="s">
        <v>120</v>
      </c>
      <c r="C412" s="18" t="s">
        <v>72</v>
      </c>
      <c r="D412" s="45">
        <v>0</v>
      </c>
      <c r="E412" s="45">
        <v>0</v>
      </c>
      <c r="F412" s="45">
        <v>0</v>
      </c>
      <c r="G412" s="45">
        <v>0</v>
      </c>
      <c r="H412" s="45">
        <v>0</v>
      </c>
      <c r="I412" s="45">
        <v>20.6</v>
      </c>
      <c r="J412" s="45">
        <v>22</v>
      </c>
      <c r="K412" s="45">
        <v>23.4</v>
      </c>
      <c r="L412" s="45">
        <v>25.4</v>
      </c>
      <c r="M412" s="45">
        <v>26.6</v>
      </c>
      <c r="N412" s="45">
        <v>26.9</v>
      </c>
      <c r="O412" s="45">
        <v>26.8</v>
      </c>
      <c r="P412" s="45">
        <v>30.6</v>
      </c>
      <c r="Q412" s="45">
        <v>27.2</v>
      </c>
      <c r="R412" s="45">
        <v>28</v>
      </c>
      <c r="S412" s="45">
        <v>26.4</v>
      </c>
      <c r="T412" s="45">
        <v>29.7</v>
      </c>
      <c r="U412" s="45">
        <v>29.5</v>
      </c>
      <c r="V412" s="45">
        <v>28.7</v>
      </c>
      <c r="W412" s="45">
        <v>24.7</v>
      </c>
      <c r="X412" s="45">
        <v>24.8</v>
      </c>
      <c r="Y412" s="45">
        <v>23.4</v>
      </c>
      <c r="Z412" s="45">
        <v>23.2</v>
      </c>
      <c r="AA412" s="45">
        <v>24.4</v>
      </c>
      <c r="AB412" s="45">
        <v>20.9</v>
      </c>
      <c r="AC412" s="45">
        <v>19.3</v>
      </c>
      <c r="AD412" s="45">
        <v>20.7</v>
      </c>
      <c r="AE412" s="45">
        <v>21.3</v>
      </c>
      <c r="AF412" s="45">
        <v>19.6</v>
      </c>
      <c r="AG412" s="45">
        <v>23.1</v>
      </c>
      <c r="AH412" s="45">
        <v>20.8</v>
      </c>
      <c r="AI412" s="45">
        <v>24.4</v>
      </c>
      <c r="AJ412" s="45">
        <v>19.7</v>
      </c>
      <c r="AK412" s="45">
        <v>20.5</v>
      </c>
      <c r="AL412" s="45">
        <v>21.9</v>
      </c>
      <c r="AM412" s="45">
        <v>22.5</v>
      </c>
      <c r="AN412" s="45">
        <v>20.4</v>
      </c>
      <c r="AO412" s="45">
        <v>21.2</v>
      </c>
      <c r="AP412" s="45">
        <v>16</v>
      </c>
      <c r="AQ412" s="45">
        <v>14.4</v>
      </c>
      <c r="AR412" s="45">
        <v>8.699999999999999</v>
      </c>
      <c r="AS412" s="45">
        <v>0</v>
      </c>
      <c r="AT412" s="45">
        <v>0</v>
      </c>
      <c r="AU412" s="45">
        <v>0</v>
      </c>
      <c r="AV412" s="45">
        <v>0</v>
      </c>
      <c r="AW412" s="45">
        <v>0</v>
      </c>
      <c r="AX412" s="45">
        <v>0</v>
      </c>
      <c r="AY412" s="45">
        <v>0</v>
      </c>
      <c r="AZ412" s="45">
        <v>0</v>
      </c>
      <c r="BA412" s="45">
        <v>0</v>
      </c>
      <c r="BB412" s="45">
        <v>0</v>
      </c>
      <c r="BC412" s="45">
        <v>0</v>
      </c>
      <c r="BD412" s="45">
        <v>0</v>
      </c>
      <c r="BE412" s="45">
        <v>0</v>
      </c>
      <c r="BF412" s="45">
        <v>0</v>
      </c>
      <c r="BG412" s="45">
        <v>0</v>
      </c>
    </row>
    <row r="413" spans="1:59">
      <c r="A413" s="18" t="s">
        <v>124</v>
      </c>
      <c r="B413" s="18" t="s">
        <v>120</v>
      </c>
      <c r="C413" s="18" t="s">
        <v>74</v>
      </c>
      <c r="D413" s="45">
        <v>0</v>
      </c>
      <c r="E413" s="45">
        <v>0</v>
      </c>
      <c r="F413" s="45">
        <v>0</v>
      </c>
      <c r="G413" s="45">
        <v>0</v>
      </c>
      <c r="H413" s="45">
        <v>29.4</v>
      </c>
      <c r="I413" s="45">
        <v>22.3</v>
      </c>
      <c r="J413" s="45">
        <v>20.8</v>
      </c>
      <c r="K413" s="45">
        <v>18.8</v>
      </c>
      <c r="L413" s="45">
        <v>21.7</v>
      </c>
      <c r="M413" s="45">
        <v>24</v>
      </c>
      <c r="N413" s="45">
        <v>26.4</v>
      </c>
      <c r="O413" s="45">
        <v>23.9</v>
      </c>
      <c r="P413" s="45">
        <v>26.1</v>
      </c>
      <c r="Q413" s="45">
        <v>24.8</v>
      </c>
      <c r="R413" s="45">
        <v>25.1</v>
      </c>
      <c r="S413" s="45">
        <v>27.5</v>
      </c>
      <c r="T413" s="45">
        <v>24.5</v>
      </c>
      <c r="U413" s="45">
        <v>29.9</v>
      </c>
      <c r="V413" s="45">
        <v>27.1</v>
      </c>
      <c r="W413" s="45">
        <v>28</v>
      </c>
      <c r="X413" s="45">
        <v>23.2</v>
      </c>
      <c r="Y413" s="45">
        <v>26.9</v>
      </c>
      <c r="Z413" s="45">
        <v>24.7</v>
      </c>
      <c r="AA413" s="45">
        <v>24.1</v>
      </c>
      <c r="AB413" s="45">
        <v>20.1</v>
      </c>
      <c r="AC413" s="45">
        <v>23.6</v>
      </c>
      <c r="AD413" s="45">
        <v>22.4</v>
      </c>
      <c r="AE413" s="45">
        <v>22.1</v>
      </c>
      <c r="AF413" s="45">
        <v>21.3</v>
      </c>
      <c r="AG413" s="45">
        <v>23.7</v>
      </c>
      <c r="AH413" s="45">
        <v>20.7</v>
      </c>
      <c r="AI413" s="45">
        <v>23</v>
      </c>
      <c r="AJ413" s="45">
        <v>20.7</v>
      </c>
      <c r="AK413" s="45">
        <v>21.9</v>
      </c>
      <c r="AL413" s="45">
        <v>22.7</v>
      </c>
      <c r="AM413" s="45">
        <v>20.2</v>
      </c>
      <c r="AN413" s="45">
        <v>17.5</v>
      </c>
      <c r="AO413" s="45">
        <v>18.4</v>
      </c>
      <c r="AP413" s="45">
        <v>14.1</v>
      </c>
      <c r="AQ413" s="45">
        <v>10.5</v>
      </c>
      <c r="AR413" s="45">
        <v>5.2</v>
      </c>
      <c r="AS413" s="45">
        <v>0</v>
      </c>
      <c r="AT413" s="45">
        <v>0</v>
      </c>
      <c r="AU413" s="45">
        <v>0</v>
      </c>
      <c r="AV413" s="45">
        <v>0</v>
      </c>
      <c r="AW413" s="45">
        <v>0</v>
      </c>
      <c r="AX413" s="45">
        <v>0</v>
      </c>
      <c r="AY413" s="45">
        <v>0</v>
      </c>
      <c r="AZ413" s="45">
        <v>0</v>
      </c>
      <c r="BA413" s="45">
        <v>0</v>
      </c>
      <c r="BB413" s="45">
        <v>0</v>
      </c>
      <c r="BC413" s="45">
        <v>0</v>
      </c>
      <c r="BD413" s="45">
        <v>0</v>
      </c>
      <c r="BE413" s="45">
        <v>0</v>
      </c>
      <c r="BF413" s="45">
        <v>0</v>
      </c>
      <c r="BG413" s="45">
        <v>0</v>
      </c>
    </row>
    <row r="414" spans="1:59">
      <c r="A414" s="18" t="s">
        <v>125</v>
      </c>
      <c r="B414" s="18" t="s">
        <v>120</v>
      </c>
      <c r="C414" s="18" t="s">
        <v>76</v>
      </c>
      <c r="D414" s="45">
        <v>0</v>
      </c>
      <c r="E414" s="45">
        <v>0</v>
      </c>
      <c r="F414" s="45">
        <v>0</v>
      </c>
      <c r="G414" s="45">
        <v>0</v>
      </c>
      <c r="H414" s="45">
        <v>0</v>
      </c>
      <c r="I414" s="45">
        <v>22.9</v>
      </c>
      <c r="J414" s="45">
        <v>25.7</v>
      </c>
      <c r="K414" s="45">
        <v>29.4</v>
      </c>
      <c r="L414" s="45">
        <v>25.8</v>
      </c>
      <c r="M414" s="45">
        <v>25.8</v>
      </c>
      <c r="N414" s="45">
        <v>26.6</v>
      </c>
      <c r="O414" s="45">
        <v>24.4</v>
      </c>
      <c r="P414" s="45">
        <v>22.2</v>
      </c>
      <c r="Q414" s="45">
        <v>23.1</v>
      </c>
      <c r="R414" s="45">
        <v>27.6</v>
      </c>
      <c r="S414" s="45">
        <v>26.3</v>
      </c>
      <c r="T414" s="45">
        <v>27.3</v>
      </c>
      <c r="U414" s="45">
        <v>27.9</v>
      </c>
      <c r="V414" s="45">
        <v>29.4</v>
      </c>
      <c r="W414" s="45">
        <v>28.2</v>
      </c>
      <c r="X414" s="45">
        <v>25.9</v>
      </c>
      <c r="Y414" s="45">
        <v>23.4</v>
      </c>
      <c r="Z414" s="45">
        <v>27.9</v>
      </c>
      <c r="AA414" s="45">
        <v>31.2</v>
      </c>
      <c r="AB414" s="45">
        <v>24.2</v>
      </c>
      <c r="AC414" s="45">
        <v>26.6</v>
      </c>
      <c r="AD414" s="45">
        <v>31.6</v>
      </c>
      <c r="AE414" s="45">
        <v>27.5</v>
      </c>
      <c r="AF414" s="45">
        <v>29.5</v>
      </c>
      <c r="AG414" s="45">
        <v>28.3</v>
      </c>
      <c r="AH414" s="45">
        <v>30.7</v>
      </c>
      <c r="AI414" s="45">
        <v>29.9</v>
      </c>
      <c r="AJ414" s="45">
        <v>28</v>
      </c>
      <c r="AK414" s="45">
        <v>27.6</v>
      </c>
      <c r="AL414" s="45">
        <v>25.1</v>
      </c>
      <c r="AM414" s="45">
        <v>26.9</v>
      </c>
      <c r="AN414" s="45">
        <v>21.4</v>
      </c>
      <c r="AO414" s="45">
        <v>20.6</v>
      </c>
      <c r="AP414" s="45">
        <v>15.8</v>
      </c>
      <c r="AQ414" s="45">
        <v>11.4</v>
      </c>
      <c r="AR414" s="45">
        <v>9.5</v>
      </c>
      <c r="AS414" s="45">
        <v>0</v>
      </c>
      <c r="AT414" s="45">
        <v>0</v>
      </c>
      <c r="AU414" s="45">
        <v>0</v>
      </c>
      <c r="AV414" s="45">
        <v>0</v>
      </c>
      <c r="AW414" s="45">
        <v>0</v>
      </c>
      <c r="AX414" s="45">
        <v>0</v>
      </c>
      <c r="AY414" s="45">
        <v>0</v>
      </c>
      <c r="AZ414" s="45">
        <v>0</v>
      </c>
      <c r="BA414" s="45">
        <v>0</v>
      </c>
      <c r="BB414" s="45">
        <v>0</v>
      </c>
      <c r="BC414" s="45">
        <v>0</v>
      </c>
      <c r="BD414" s="45">
        <v>0</v>
      </c>
      <c r="BE414" s="45">
        <v>0</v>
      </c>
      <c r="BF414" s="45">
        <v>0</v>
      </c>
      <c r="BG414" s="45">
        <v>0</v>
      </c>
    </row>
    <row r="415" spans="1:59">
      <c r="A415" s="18" t="s">
        <v>126</v>
      </c>
      <c r="B415" s="18" t="s">
        <v>120</v>
      </c>
      <c r="C415" s="18" t="s">
        <v>78</v>
      </c>
      <c r="D415" s="45">
        <v>0</v>
      </c>
      <c r="E415" s="45">
        <v>0</v>
      </c>
      <c r="F415" s="45">
        <v>0</v>
      </c>
      <c r="G415" s="45">
        <v>0</v>
      </c>
      <c r="H415" s="45">
        <v>0</v>
      </c>
      <c r="I415" s="45">
        <v>24.8</v>
      </c>
      <c r="J415" s="45">
        <v>20.5</v>
      </c>
      <c r="K415" s="45">
        <v>18.3</v>
      </c>
      <c r="L415" s="45">
        <v>18.3</v>
      </c>
      <c r="M415" s="45">
        <v>20.1</v>
      </c>
      <c r="N415" s="45">
        <v>20</v>
      </c>
      <c r="O415" s="45">
        <v>19.2</v>
      </c>
      <c r="P415" s="45">
        <v>18.2</v>
      </c>
      <c r="Q415" s="45">
        <v>17.8</v>
      </c>
      <c r="R415" s="45">
        <v>18.1</v>
      </c>
      <c r="S415" s="45">
        <v>19.7</v>
      </c>
      <c r="T415" s="45">
        <v>17.1</v>
      </c>
      <c r="U415" s="45">
        <v>16.6</v>
      </c>
      <c r="V415" s="45">
        <v>19.4</v>
      </c>
      <c r="W415" s="45">
        <v>17.8</v>
      </c>
      <c r="X415" s="45">
        <v>18.3</v>
      </c>
      <c r="Y415" s="45">
        <v>18.7</v>
      </c>
      <c r="Z415" s="45">
        <v>19.9</v>
      </c>
      <c r="AA415" s="45">
        <v>19.2</v>
      </c>
      <c r="AB415" s="45">
        <v>20.8</v>
      </c>
      <c r="AC415" s="45">
        <v>15.8</v>
      </c>
      <c r="AD415" s="45">
        <v>17.7</v>
      </c>
      <c r="AE415" s="45">
        <v>18.4</v>
      </c>
      <c r="AF415" s="45">
        <v>19.1</v>
      </c>
      <c r="AG415" s="45">
        <v>18.9</v>
      </c>
      <c r="AH415" s="45">
        <v>16.6</v>
      </c>
      <c r="AI415" s="45">
        <v>16.7</v>
      </c>
      <c r="AJ415" s="45">
        <v>18</v>
      </c>
      <c r="AK415" s="45">
        <v>17.8</v>
      </c>
      <c r="AL415" s="45">
        <v>19.3</v>
      </c>
      <c r="AM415" s="45">
        <v>16.8</v>
      </c>
      <c r="AN415" s="45">
        <v>16.9</v>
      </c>
      <c r="AO415" s="45">
        <v>14.7</v>
      </c>
      <c r="AP415" s="45">
        <v>13.5</v>
      </c>
      <c r="AQ415" s="45">
        <v>10.6</v>
      </c>
      <c r="AR415" s="45">
        <v>4.9</v>
      </c>
      <c r="AS415" s="45">
        <v>0</v>
      </c>
      <c r="AT415" s="45">
        <v>0</v>
      </c>
      <c r="AU415" s="45">
        <v>0</v>
      </c>
      <c r="AV415" s="45">
        <v>0</v>
      </c>
      <c r="AW415" s="45">
        <v>0</v>
      </c>
      <c r="AX415" s="45">
        <v>0</v>
      </c>
      <c r="AY415" s="45">
        <v>0</v>
      </c>
      <c r="AZ415" s="45">
        <v>0</v>
      </c>
      <c r="BA415" s="45">
        <v>0</v>
      </c>
      <c r="BB415" s="45">
        <v>0</v>
      </c>
      <c r="BC415" s="45">
        <v>0</v>
      </c>
      <c r="BD415" s="45">
        <v>0</v>
      </c>
      <c r="BE415" s="45">
        <v>0</v>
      </c>
      <c r="BF415" s="45">
        <v>0</v>
      </c>
      <c r="BG415" s="45">
        <v>0</v>
      </c>
    </row>
    <row r="416" spans="1:59">
      <c r="A416" s="18" t="s">
        <v>127</v>
      </c>
      <c r="B416" s="18" t="s">
        <v>120</v>
      </c>
      <c r="C416" s="18" t="s">
        <v>80</v>
      </c>
      <c r="D416" s="45">
        <v>0</v>
      </c>
      <c r="E416" s="45">
        <v>0</v>
      </c>
      <c r="F416" s="45">
        <v>0</v>
      </c>
      <c r="G416" s="45">
        <v>0</v>
      </c>
      <c r="H416" s="45">
        <v>0</v>
      </c>
      <c r="I416" s="45">
        <v>17.7</v>
      </c>
      <c r="J416" s="45">
        <v>14.9</v>
      </c>
      <c r="K416" s="45">
        <v>16</v>
      </c>
      <c r="L416" s="45">
        <v>22</v>
      </c>
      <c r="M416" s="45">
        <v>16.9</v>
      </c>
      <c r="N416" s="45">
        <v>19.1</v>
      </c>
      <c r="O416" s="45">
        <v>18.9</v>
      </c>
      <c r="P416" s="45">
        <v>19.1</v>
      </c>
      <c r="Q416" s="45">
        <v>20.4</v>
      </c>
      <c r="R416" s="45">
        <v>17.5</v>
      </c>
      <c r="S416" s="45">
        <v>18.7</v>
      </c>
      <c r="T416" s="45">
        <v>18.1</v>
      </c>
      <c r="U416" s="45">
        <v>22.7</v>
      </c>
      <c r="V416" s="45">
        <v>20.5</v>
      </c>
      <c r="W416" s="45">
        <v>20.1</v>
      </c>
      <c r="X416" s="45">
        <v>21.6</v>
      </c>
      <c r="Y416" s="45">
        <v>18</v>
      </c>
      <c r="Z416" s="45">
        <v>18.6</v>
      </c>
      <c r="AA416" s="45">
        <v>20</v>
      </c>
      <c r="AB416" s="45">
        <v>17.8</v>
      </c>
      <c r="AC416" s="45">
        <v>17.3</v>
      </c>
      <c r="AD416" s="45">
        <v>19.5</v>
      </c>
      <c r="AE416" s="45">
        <v>19.8</v>
      </c>
      <c r="AF416" s="45">
        <v>21.7</v>
      </c>
      <c r="AG416" s="45">
        <v>22.4</v>
      </c>
      <c r="AH416" s="45">
        <v>18.2</v>
      </c>
      <c r="AI416" s="45">
        <v>17.9</v>
      </c>
      <c r="AJ416" s="45">
        <v>17.9</v>
      </c>
      <c r="AK416" s="45">
        <v>17.5</v>
      </c>
      <c r="AL416" s="45">
        <v>17.2</v>
      </c>
      <c r="AM416" s="45">
        <v>16.3</v>
      </c>
      <c r="AN416" s="45">
        <v>16.1</v>
      </c>
      <c r="AO416" s="45">
        <v>15.2</v>
      </c>
      <c r="AP416" s="45">
        <v>12.9</v>
      </c>
      <c r="AQ416" s="45">
        <v>10.8</v>
      </c>
      <c r="AR416" s="45">
        <v>8</v>
      </c>
      <c r="AS416" s="45">
        <v>0</v>
      </c>
      <c r="AT416" s="45">
        <v>0</v>
      </c>
      <c r="AU416" s="45">
        <v>0</v>
      </c>
      <c r="AV416" s="45">
        <v>0</v>
      </c>
      <c r="AW416" s="45">
        <v>0</v>
      </c>
      <c r="AX416" s="45">
        <v>0</v>
      </c>
      <c r="AY416" s="45">
        <v>0</v>
      </c>
      <c r="AZ416" s="45">
        <v>0</v>
      </c>
      <c r="BA416" s="45">
        <v>0</v>
      </c>
      <c r="BB416" s="45">
        <v>0</v>
      </c>
      <c r="BC416" s="45">
        <v>0</v>
      </c>
      <c r="BD416" s="45">
        <v>0</v>
      </c>
      <c r="BE416" s="45">
        <v>0</v>
      </c>
      <c r="BF416" s="45">
        <v>0</v>
      </c>
      <c r="BG416" s="45">
        <v>0</v>
      </c>
    </row>
    <row r="417" spans="1:59">
      <c r="A417" s="18" t="s">
        <v>128</v>
      </c>
      <c r="B417" s="18" t="s">
        <v>120</v>
      </c>
      <c r="C417" s="18" t="s">
        <v>82</v>
      </c>
      <c r="D417" s="45">
        <v>0</v>
      </c>
      <c r="E417" s="45">
        <v>0</v>
      </c>
      <c r="F417" s="45">
        <v>0</v>
      </c>
      <c r="G417" s="45">
        <v>0</v>
      </c>
      <c r="H417" s="45">
        <v>0</v>
      </c>
      <c r="I417" s="45">
        <v>0</v>
      </c>
      <c r="J417" s="45">
        <v>0</v>
      </c>
      <c r="K417" s="45">
        <v>0</v>
      </c>
      <c r="L417" s="45">
        <v>0</v>
      </c>
      <c r="M417" s="45">
        <v>0</v>
      </c>
      <c r="N417" s="45">
        <v>0</v>
      </c>
      <c r="O417" s="45">
        <v>0</v>
      </c>
      <c r="P417" s="45">
        <v>0</v>
      </c>
      <c r="Q417" s="45">
        <v>0</v>
      </c>
      <c r="R417" s="45">
        <v>0</v>
      </c>
      <c r="S417" s="45">
        <v>0</v>
      </c>
      <c r="T417" s="45">
        <v>0</v>
      </c>
      <c r="U417" s="45">
        <v>0</v>
      </c>
      <c r="V417" s="45">
        <v>0</v>
      </c>
      <c r="W417" s="45">
        <v>0</v>
      </c>
      <c r="X417" s="45">
        <v>0</v>
      </c>
      <c r="Y417" s="45">
        <v>0</v>
      </c>
      <c r="Z417" s="45">
        <v>0</v>
      </c>
      <c r="AA417" s="45">
        <v>0</v>
      </c>
      <c r="AB417" s="45">
        <v>0</v>
      </c>
      <c r="AC417" s="45">
        <v>0</v>
      </c>
      <c r="AD417" s="45">
        <v>0</v>
      </c>
      <c r="AE417" s="45">
        <v>0</v>
      </c>
      <c r="AF417" s="45">
        <v>0</v>
      </c>
      <c r="AG417" s="45">
        <v>0</v>
      </c>
      <c r="AH417" s="45">
        <v>0</v>
      </c>
      <c r="AI417" s="45">
        <v>0</v>
      </c>
      <c r="AJ417" s="45">
        <v>0</v>
      </c>
      <c r="AK417" s="45">
        <v>0</v>
      </c>
      <c r="AL417" s="45">
        <v>0</v>
      </c>
      <c r="AM417" s="45">
        <v>0</v>
      </c>
      <c r="AN417" s="45">
        <v>0</v>
      </c>
      <c r="AO417" s="45">
        <v>0</v>
      </c>
      <c r="AP417" s="45">
        <v>0</v>
      </c>
      <c r="AQ417" s="45">
        <v>0</v>
      </c>
      <c r="AR417" s="45">
        <v>0</v>
      </c>
      <c r="AS417" s="45">
        <v>0</v>
      </c>
      <c r="AT417" s="45">
        <v>0</v>
      </c>
      <c r="AU417" s="45">
        <v>0</v>
      </c>
      <c r="AV417" s="45">
        <v>0</v>
      </c>
      <c r="AW417" s="45">
        <v>0</v>
      </c>
      <c r="AX417" s="45">
        <v>0</v>
      </c>
      <c r="AY417" s="45">
        <v>0</v>
      </c>
      <c r="AZ417" s="45">
        <v>0</v>
      </c>
      <c r="BA417" s="45">
        <v>0</v>
      </c>
      <c r="BB417" s="45">
        <v>0</v>
      </c>
      <c r="BC417" s="45">
        <v>0</v>
      </c>
      <c r="BD417" s="45">
        <v>0</v>
      </c>
      <c r="BE417" s="45">
        <v>0</v>
      </c>
      <c r="BF417" s="45">
        <v>0</v>
      </c>
      <c r="BG417" s="45">
        <v>0</v>
      </c>
    </row>
    <row r="418" spans="1:59">
      <c r="A418" s="18" t="s">
        <v>129</v>
      </c>
      <c r="B418" s="18" t="s">
        <v>120</v>
      </c>
      <c r="C418" s="18" t="s">
        <v>84</v>
      </c>
      <c r="D418" s="45">
        <v>0</v>
      </c>
      <c r="E418" s="45">
        <v>0</v>
      </c>
      <c r="F418" s="45">
        <v>0</v>
      </c>
      <c r="G418" s="45">
        <v>0</v>
      </c>
      <c r="H418" s="45">
        <v>0</v>
      </c>
      <c r="I418" s="45">
        <v>11.7</v>
      </c>
      <c r="J418" s="45">
        <v>6.3</v>
      </c>
      <c r="K418" s="45">
        <v>6.4</v>
      </c>
      <c r="L418" s="45">
        <v>6.1</v>
      </c>
      <c r="M418" s="45">
        <v>6.5</v>
      </c>
      <c r="N418" s="45">
        <v>6.2</v>
      </c>
      <c r="O418" s="45">
        <v>7.7</v>
      </c>
      <c r="P418" s="45">
        <v>9.800000000000001</v>
      </c>
      <c r="Q418" s="45">
        <v>11.9</v>
      </c>
      <c r="R418" s="45">
        <v>13</v>
      </c>
      <c r="S418" s="45">
        <v>10.6</v>
      </c>
      <c r="T418" s="45">
        <v>11.8</v>
      </c>
      <c r="U418" s="45">
        <v>13.5</v>
      </c>
      <c r="V418" s="45">
        <v>22.4</v>
      </c>
      <c r="W418" s="45">
        <v>16.7</v>
      </c>
      <c r="X418" s="45">
        <v>9.9</v>
      </c>
      <c r="Y418" s="45">
        <v>10.2</v>
      </c>
      <c r="Z418" s="45">
        <v>11.6</v>
      </c>
      <c r="AA418" s="45">
        <v>11.2</v>
      </c>
      <c r="AB418" s="45">
        <v>10.7</v>
      </c>
      <c r="AC418" s="45">
        <v>8.699999999999999</v>
      </c>
      <c r="AD418" s="45">
        <v>12.4</v>
      </c>
      <c r="AE418" s="45">
        <v>12.4</v>
      </c>
      <c r="AF418" s="45">
        <v>9.699999999999999</v>
      </c>
      <c r="AG418" s="45">
        <v>9.4</v>
      </c>
      <c r="AH418" s="45">
        <v>25.6</v>
      </c>
      <c r="AI418" s="45">
        <v>16.5</v>
      </c>
      <c r="AJ418" s="45">
        <v>13</v>
      </c>
      <c r="AK418" s="45">
        <v>14</v>
      </c>
      <c r="AL418" s="45">
        <v>12.5</v>
      </c>
      <c r="AM418" s="45">
        <v>11.9</v>
      </c>
      <c r="AN418" s="45">
        <v>8.800000000000001</v>
      </c>
      <c r="AO418" s="45">
        <v>11.7</v>
      </c>
      <c r="AP418" s="45">
        <v>12.2</v>
      </c>
      <c r="AQ418" s="45">
        <v>8.199999999999999</v>
      </c>
      <c r="AR418" s="45">
        <v>8.1</v>
      </c>
      <c r="AS418" s="45">
        <v>0</v>
      </c>
      <c r="AT418" s="45">
        <v>0</v>
      </c>
      <c r="AU418" s="45">
        <v>0</v>
      </c>
      <c r="AV418" s="45">
        <v>0</v>
      </c>
      <c r="AW418" s="45">
        <v>0</v>
      </c>
      <c r="AX418" s="45">
        <v>0</v>
      </c>
      <c r="AY418" s="45">
        <v>0</v>
      </c>
      <c r="AZ418" s="45">
        <v>0</v>
      </c>
      <c r="BA418" s="45">
        <v>0</v>
      </c>
      <c r="BB418" s="45">
        <v>0</v>
      </c>
      <c r="BC418" s="45">
        <v>0</v>
      </c>
      <c r="BD418" s="45">
        <v>0</v>
      </c>
      <c r="BE418" s="45">
        <v>0</v>
      </c>
      <c r="BF418" s="45">
        <v>0</v>
      </c>
      <c r="BG418" s="45">
        <v>0</v>
      </c>
    </row>
    <row r="419" spans="1:59">
      <c r="A419" s="18" t="s">
        <v>130</v>
      </c>
      <c r="B419" s="18" t="s">
        <v>120</v>
      </c>
      <c r="C419" s="18" t="s">
        <v>86</v>
      </c>
      <c r="D419" s="45">
        <v>0</v>
      </c>
      <c r="E419" s="45">
        <v>0</v>
      </c>
      <c r="F419" s="45">
        <v>0</v>
      </c>
      <c r="G419" s="45">
        <v>0</v>
      </c>
      <c r="H419" s="45">
        <v>0</v>
      </c>
      <c r="I419" s="45">
        <v>13.2</v>
      </c>
      <c r="J419" s="45">
        <v>7.3</v>
      </c>
      <c r="K419" s="45">
        <v>7.6</v>
      </c>
      <c r="L419" s="45">
        <v>8.1</v>
      </c>
      <c r="M419" s="45">
        <v>7.2</v>
      </c>
      <c r="N419" s="45">
        <v>10</v>
      </c>
      <c r="O419" s="45">
        <v>8</v>
      </c>
      <c r="P419" s="45">
        <v>10.5</v>
      </c>
      <c r="Q419" s="45">
        <v>11.3</v>
      </c>
      <c r="R419" s="45">
        <v>11.9</v>
      </c>
      <c r="S419" s="45">
        <v>12.5</v>
      </c>
      <c r="T419" s="45">
        <v>12.6</v>
      </c>
      <c r="U419" s="45">
        <v>12.2</v>
      </c>
      <c r="V419" s="45">
        <v>12.4</v>
      </c>
      <c r="W419" s="45">
        <v>13.2</v>
      </c>
      <c r="X419" s="45">
        <v>10.2</v>
      </c>
      <c r="Y419" s="45">
        <v>10.5</v>
      </c>
      <c r="Z419" s="45">
        <v>9.1</v>
      </c>
      <c r="AA419" s="45">
        <v>9.5</v>
      </c>
      <c r="AB419" s="45">
        <v>8</v>
      </c>
      <c r="AC419" s="45">
        <v>10</v>
      </c>
      <c r="AD419" s="45">
        <v>10.2</v>
      </c>
      <c r="AE419" s="45">
        <v>9.9</v>
      </c>
      <c r="AF419" s="45">
        <v>10.5</v>
      </c>
      <c r="AG419" s="45">
        <v>12.6</v>
      </c>
      <c r="AH419" s="45">
        <v>12.3</v>
      </c>
      <c r="AI419" s="45">
        <v>12.4</v>
      </c>
      <c r="AJ419" s="45">
        <v>11.5</v>
      </c>
      <c r="AK419" s="45">
        <v>11.7</v>
      </c>
      <c r="AL419" s="45">
        <v>12.5</v>
      </c>
      <c r="AM419" s="45">
        <v>10</v>
      </c>
      <c r="AN419" s="45">
        <v>13.1</v>
      </c>
      <c r="AO419" s="45">
        <v>10.2</v>
      </c>
      <c r="AP419" s="45">
        <v>8</v>
      </c>
      <c r="AQ419" s="45">
        <v>6.7</v>
      </c>
      <c r="AR419" s="45">
        <v>4.7</v>
      </c>
      <c r="AS419" s="45">
        <v>0</v>
      </c>
      <c r="AT419" s="45">
        <v>0</v>
      </c>
      <c r="AU419" s="45">
        <v>0</v>
      </c>
      <c r="AV419" s="45">
        <v>0</v>
      </c>
      <c r="AW419" s="45">
        <v>0</v>
      </c>
      <c r="AX419" s="45">
        <v>0</v>
      </c>
      <c r="AY419" s="45">
        <v>0</v>
      </c>
      <c r="AZ419" s="45">
        <v>0</v>
      </c>
      <c r="BA419" s="45">
        <v>0</v>
      </c>
      <c r="BB419" s="45">
        <v>0</v>
      </c>
      <c r="BC419" s="45">
        <v>0</v>
      </c>
      <c r="BD419" s="45">
        <v>0</v>
      </c>
      <c r="BE419" s="45">
        <v>0</v>
      </c>
      <c r="BF419" s="45">
        <v>0</v>
      </c>
      <c r="BG419" s="45">
        <v>0</v>
      </c>
    </row>
    <row r="420" spans="1:59">
      <c r="A420" s="18" t="s">
        <v>131</v>
      </c>
      <c r="B420" s="18" t="s">
        <v>120</v>
      </c>
      <c r="C420" s="18" t="s">
        <v>88</v>
      </c>
      <c r="D420" s="45">
        <v>0</v>
      </c>
      <c r="E420" s="45">
        <v>0</v>
      </c>
      <c r="F420" s="45">
        <v>0</v>
      </c>
      <c r="G420" s="45">
        <v>0</v>
      </c>
      <c r="H420" s="45">
        <v>0</v>
      </c>
      <c r="I420" s="45">
        <v>10.4</v>
      </c>
      <c r="J420" s="45">
        <v>6.5</v>
      </c>
      <c r="K420" s="45">
        <v>7.2</v>
      </c>
      <c r="L420" s="45">
        <v>7.6</v>
      </c>
      <c r="M420" s="45">
        <v>7.6</v>
      </c>
      <c r="N420" s="45">
        <v>8</v>
      </c>
      <c r="O420" s="45">
        <v>11.1</v>
      </c>
      <c r="P420" s="45">
        <v>9.300000000000001</v>
      </c>
      <c r="Q420" s="45">
        <v>11.5</v>
      </c>
      <c r="R420" s="45">
        <v>10.6</v>
      </c>
      <c r="S420" s="45">
        <v>13.2</v>
      </c>
      <c r="T420" s="45">
        <v>12.9</v>
      </c>
      <c r="U420" s="45">
        <v>15.3</v>
      </c>
      <c r="V420" s="45">
        <v>12.1</v>
      </c>
      <c r="W420" s="45">
        <v>11.8</v>
      </c>
      <c r="X420" s="45">
        <v>12</v>
      </c>
      <c r="Y420" s="45">
        <v>10.8</v>
      </c>
      <c r="Z420" s="45">
        <v>10</v>
      </c>
      <c r="AA420" s="45">
        <v>12</v>
      </c>
      <c r="AB420" s="45">
        <v>7</v>
      </c>
      <c r="AC420" s="45">
        <v>8.800000000000001</v>
      </c>
      <c r="AD420" s="45">
        <v>8.6</v>
      </c>
      <c r="AE420" s="45">
        <v>9.6</v>
      </c>
      <c r="AF420" s="45">
        <v>9</v>
      </c>
      <c r="AG420" s="45">
        <v>9.6</v>
      </c>
      <c r="AH420" s="45">
        <v>10.9</v>
      </c>
      <c r="AI420" s="45">
        <v>12.1</v>
      </c>
      <c r="AJ420" s="45">
        <v>11.3</v>
      </c>
      <c r="AK420" s="45">
        <v>10.6</v>
      </c>
      <c r="AL420" s="45">
        <v>12.7</v>
      </c>
      <c r="AM420" s="45">
        <v>11</v>
      </c>
      <c r="AN420" s="45">
        <v>10.8</v>
      </c>
      <c r="AO420" s="45">
        <v>9.1</v>
      </c>
      <c r="AP420" s="45">
        <v>10.1</v>
      </c>
      <c r="AQ420" s="45">
        <v>6.1</v>
      </c>
      <c r="AR420" s="45">
        <v>6.6</v>
      </c>
      <c r="AS420" s="45">
        <v>0</v>
      </c>
      <c r="AT420" s="45">
        <v>0</v>
      </c>
      <c r="AU420" s="45">
        <v>0</v>
      </c>
      <c r="AV420" s="45">
        <v>0</v>
      </c>
      <c r="AW420" s="45">
        <v>0</v>
      </c>
      <c r="AX420" s="45">
        <v>0</v>
      </c>
      <c r="AY420" s="45">
        <v>0</v>
      </c>
      <c r="AZ420" s="45">
        <v>0</v>
      </c>
      <c r="BA420" s="45">
        <v>0</v>
      </c>
      <c r="BB420" s="45">
        <v>0</v>
      </c>
      <c r="BC420" s="45">
        <v>0</v>
      </c>
      <c r="BD420" s="45">
        <v>0</v>
      </c>
      <c r="BE420" s="45">
        <v>0</v>
      </c>
      <c r="BF420" s="45">
        <v>0</v>
      </c>
      <c r="BG420" s="45">
        <v>0</v>
      </c>
    </row>
    <row r="421" spans="1:59">
      <c r="A421" s="18" t="s">
        <v>132</v>
      </c>
      <c r="B421" s="18" t="s">
        <v>120</v>
      </c>
      <c r="C421" s="18" t="s">
        <v>90</v>
      </c>
      <c r="D421" s="45">
        <v>0</v>
      </c>
      <c r="E421" s="45">
        <v>0</v>
      </c>
      <c r="F421" s="45">
        <v>0</v>
      </c>
      <c r="G421" s="45">
        <v>0</v>
      </c>
      <c r="H421" s="45">
        <v>0</v>
      </c>
      <c r="I421" s="45">
        <v>12.8</v>
      </c>
      <c r="J421" s="45">
        <v>8.5</v>
      </c>
      <c r="K421" s="45">
        <v>10.5</v>
      </c>
      <c r="L421" s="45">
        <v>9</v>
      </c>
      <c r="M421" s="45">
        <v>8.5</v>
      </c>
      <c r="N421" s="45">
        <v>9.5</v>
      </c>
      <c r="O421" s="45">
        <v>9.1</v>
      </c>
      <c r="P421" s="45">
        <v>11.3</v>
      </c>
      <c r="Q421" s="45">
        <v>11.8</v>
      </c>
      <c r="R421" s="45">
        <v>11.3</v>
      </c>
      <c r="S421" s="45">
        <v>12.1</v>
      </c>
      <c r="T421" s="45">
        <v>13.8</v>
      </c>
      <c r="U421" s="45">
        <v>13.4</v>
      </c>
      <c r="V421" s="45">
        <v>13.4</v>
      </c>
      <c r="W421" s="45">
        <v>10.2</v>
      </c>
      <c r="X421" s="45">
        <v>11.5</v>
      </c>
      <c r="Y421" s="45">
        <v>9.6</v>
      </c>
      <c r="Z421" s="45">
        <v>10.1</v>
      </c>
      <c r="AA421" s="45">
        <v>10.1</v>
      </c>
      <c r="AB421" s="45">
        <v>9.1</v>
      </c>
      <c r="AC421" s="45">
        <v>7.8</v>
      </c>
      <c r="AD421" s="45">
        <v>11.4</v>
      </c>
      <c r="AE421" s="45">
        <v>11.3</v>
      </c>
      <c r="AF421" s="45">
        <v>12.6</v>
      </c>
      <c r="AG421" s="45">
        <v>13.1</v>
      </c>
      <c r="AH421" s="45">
        <v>11.9</v>
      </c>
      <c r="AI421" s="45">
        <v>12.3</v>
      </c>
      <c r="AJ421" s="45">
        <v>11.2</v>
      </c>
      <c r="AK421" s="45">
        <v>11.9</v>
      </c>
      <c r="AL421" s="45">
        <v>12.1</v>
      </c>
      <c r="AM421" s="45">
        <v>12.9</v>
      </c>
      <c r="AN421" s="45">
        <v>11.9</v>
      </c>
      <c r="AO421" s="45">
        <v>10.9</v>
      </c>
      <c r="AP421" s="45">
        <v>10.3</v>
      </c>
      <c r="AQ421" s="45">
        <v>8.5</v>
      </c>
      <c r="AR421" s="45">
        <v>10.1</v>
      </c>
      <c r="AS421" s="45">
        <v>0</v>
      </c>
      <c r="AT421" s="45">
        <v>0</v>
      </c>
      <c r="AU421" s="45">
        <v>0</v>
      </c>
      <c r="AV421" s="45">
        <v>0</v>
      </c>
      <c r="AW421" s="45">
        <v>0</v>
      </c>
      <c r="AX421" s="45">
        <v>0</v>
      </c>
      <c r="AY421" s="45">
        <v>0</v>
      </c>
      <c r="AZ421" s="45">
        <v>0</v>
      </c>
      <c r="BA421" s="45">
        <v>0</v>
      </c>
      <c r="BB421" s="45">
        <v>0</v>
      </c>
      <c r="BC421" s="45">
        <v>0</v>
      </c>
      <c r="BD421" s="45">
        <v>0</v>
      </c>
      <c r="BE421" s="45">
        <v>0</v>
      </c>
      <c r="BF421" s="45">
        <v>0</v>
      </c>
      <c r="BG421" s="45">
        <v>0</v>
      </c>
    </row>
    <row r="422" spans="1:59">
      <c r="A422" s="18" t="s">
        <v>133</v>
      </c>
      <c r="B422" s="18" t="s">
        <v>134</v>
      </c>
      <c r="C422" s="18" t="s">
        <v>66</v>
      </c>
      <c r="D422" s="45">
        <v>0</v>
      </c>
      <c r="E422" s="45">
        <v>0</v>
      </c>
      <c r="F422" s="45">
        <v>0</v>
      </c>
      <c r="G422" s="45">
        <v>0</v>
      </c>
      <c r="H422" s="45">
        <v>29.7</v>
      </c>
      <c r="I422" s="45">
        <v>15.2</v>
      </c>
      <c r="J422" s="45">
        <v>12.8</v>
      </c>
      <c r="K422" s="45">
        <v>13.1</v>
      </c>
      <c r="L422" s="45">
        <v>13.4</v>
      </c>
      <c r="M422" s="45">
        <v>14.3</v>
      </c>
      <c r="N422" s="45">
        <v>14.7</v>
      </c>
      <c r="O422" s="45">
        <v>16.1</v>
      </c>
      <c r="P422" s="45">
        <v>16.4</v>
      </c>
      <c r="Q422" s="45">
        <v>16.9</v>
      </c>
      <c r="R422" s="45">
        <v>17.3</v>
      </c>
      <c r="S422" s="45">
        <v>17.6</v>
      </c>
      <c r="T422" s="45">
        <v>17.5</v>
      </c>
      <c r="U422" s="45">
        <v>17.7</v>
      </c>
      <c r="V422" s="45">
        <v>17.7</v>
      </c>
      <c r="W422" s="45">
        <v>19</v>
      </c>
      <c r="X422" s="45">
        <v>17.2</v>
      </c>
      <c r="Y422" s="45">
        <v>16.1</v>
      </c>
      <c r="Z422" s="45">
        <v>14.7</v>
      </c>
      <c r="AA422" s="45">
        <v>13.6</v>
      </c>
      <c r="AB422" s="45">
        <v>13.7</v>
      </c>
      <c r="AC422" s="45">
        <v>13.6</v>
      </c>
      <c r="AD422" s="45">
        <v>13.1</v>
      </c>
      <c r="AE422" s="45">
        <v>14</v>
      </c>
      <c r="AF422" s="45">
        <v>14.5</v>
      </c>
      <c r="AG422" s="45">
        <v>14.6</v>
      </c>
      <c r="AH422" s="45">
        <v>14.9</v>
      </c>
      <c r="AI422" s="45">
        <v>14.2</v>
      </c>
      <c r="AJ422" s="45">
        <v>13.9</v>
      </c>
      <c r="AK422" s="45">
        <v>14.5</v>
      </c>
      <c r="AL422" s="45">
        <v>13.7</v>
      </c>
      <c r="AM422" s="45">
        <v>13.1</v>
      </c>
      <c r="AN422" s="45">
        <v>13.1</v>
      </c>
      <c r="AO422" s="45">
        <v>12.5</v>
      </c>
      <c r="AP422" s="45">
        <v>11.5</v>
      </c>
      <c r="AQ422" s="45">
        <v>10.8</v>
      </c>
      <c r="AR422" s="45">
        <v>10.5</v>
      </c>
      <c r="AS422" s="45">
        <v>15.7</v>
      </c>
      <c r="AT422" s="45">
        <v>0</v>
      </c>
      <c r="AU422" s="45">
        <v>6.3</v>
      </c>
      <c r="AV422" s="45">
        <v>7.6</v>
      </c>
      <c r="AW422" s="45">
        <v>10.5</v>
      </c>
      <c r="AX422" s="45">
        <v>7.8</v>
      </c>
      <c r="AY422" s="45">
        <v>0</v>
      </c>
      <c r="AZ422" s="45">
        <v>0</v>
      </c>
      <c r="BA422" s="45">
        <v>0</v>
      </c>
      <c r="BB422" s="45">
        <v>0</v>
      </c>
      <c r="BC422" s="45">
        <v>0</v>
      </c>
      <c r="BD422" s="45">
        <v>0</v>
      </c>
      <c r="BE422" s="45">
        <v>0</v>
      </c>
      <c r="BF422" s="45">
        <v>0</v>
      </c>
      <c r="BG422" s="45">
        <v>0</v>
      </c>
    </row>
    <row r="423" spans="1:59">
      <c r="A423" s="18" t="s">
        <v>135</v>
      </c>
      <c r="B423" s="18" t="s">
        <v>134</v>
      </c>
      <c r="C423" s="18" t="s">
        <v>68</v>
      </c>
      <c r="D423" s="45">
        <v>0</v>
      </c>
      <c r="E423" s="45">
        <v>0</v>
      </c>
      <c r="F423" s="45">
        <v>0</v>
      </c>
      <c r="G423" s="45">
        <v>0</v>
      </c>
      <c r="H423" s="45">
        <v>0</v>
      </c>
      <c r="I423" s="45">
        <v>17.3</v>
      </c>
      <c r="J423" s="45">
        <v>19.9</v>
      </c>
      <c r="K423" s="45">
        <v>19.9</v>
      </c>
      <c r="L423" s="45">
        <v>21</v>
      </c>
      <c r="M423" s="45">
        <v>24.5</v>
      </c>
      <c r="N423" s="45">
        <v>24.3</v>
      </c>
      <c r="O423" s="45">
        <v>26.9</v>
      </c>
      <c r="P423" s="45">
        <v>28.9</v>
      </c>
      <c r="Q423" s="45">
        <v>27.2</v>
      </c>
      <c r="R423" s="45">
        <v>27.9</v>
      </c>
      <c r="S423" s="45">
        <v>28.4</v>
      </c>
      <c r="T423" s="45">
        <v>27.6</v>
      </c>
      <c r="U423" s="45">
        <v>28</v>
      </c>
      <c r="V423" s="45">
        <v>27.8</v>
      </c>
      <c r="W423" s="45">
        <v>30.2</v>
      </c>
      <c r="X423" s="45">
        <v>25</v>
      </c>
      <c r="Y423" s="45">
        <v>23.5</v>
      </c>
      <c r="Z423" s="45">
        <v>21.3</v>
      </c>
      <c r="AA423" s="45">
        <v>23.6</v>
      </c>
      <c r="AB423" s="45">
        <v>22.4</v>
      </c>
      <c r="AC423" s="45">
        <v>22.1</v>
      </c>
      <c r="AD423" s="45">
        <v>22</v>
      </c>
      <c r="AE423" s="45">
        <v>24.3</v>
      </c>
      <c r="AF423" s="45">
        <v>22.3</v>
      </c>
      <c r="AG423" s="45">
        <v>22.8</v>
      </c>
      <c r="AH423" s="45">
        <v>25</v>
      </c>
      <c r="AI423" s="45">
        <v>22.2</v>
      </c>
      <c r="AJ423" s="45">
        <v>21.9</v>
      </c>
      <c r="AK423" s="45">
        <v>22.1</v>
      </c>
      <c r="AL423" s="45">
        <v>21.3</v>
      </c>
      <c r="AM423" s="45">
        <v>17.7</v>
      </c>
      <c r="AN423" s="45">
        <v>20.4</v>
      </c>
      <c r="AO423" s="45">
        <v>19.3</v>
      </c>
      <c r="AP423" s="45">
        <v>15.3</v>
      </c>
      <c r="AQ423" s="45">
        <v>18.4</v>
      </c>
      <c r="AR423" s="45">
        <v>15.6</v>
      </c>
      <c r="AS423" s="45">
        <v>0</v>
      </c>
      <c r="AT423" s="45">
        <v>0</v>
      </c>
      <c r="AU423" s="45">
        <v>0</v>
      </c>
      <c r="AV423" s="45">
        <v>0</v>
      </c>
      <c r="AW423" s="45">
        <v>0</v>
      </c>
      <c r="AX423" s="45">
        <v>0</v>
      </c>
      <c r="AY423" s="45">
        <v>0</v>
      </c>
      <c r="AZ423" s="45">
        <v>0</v>
      </c>
      <c r="BA423" s="45">
        <v>0</v>
      </c>
      <c r="BB423" s="45">
        <v>0</v>
      </c>
      <c r="BC423" s="45">
        <v>0</v>
      </c>
      <c r="BD423" s="45">
        <v>0</v>
      </c>
      <c r="BE423" s="45">
        <v>0</v>
      </c>
      <c r="BF423" s="45">
        <v>0</v>
      </c>
      <c r="BG423" s="45">
        <v>0</v>
      </c>
    </row>
    <row r="424" spans="1:59">
      <c r="A424" s="18" t="s">
        <v>136</v>
      </c>
      <c r="B424" s="18" t="s">
        <v>134</v>
      </c>
      <c r="C424" s="18" t="s">
        <v>70</v>
      </c>
      <c r="D424" s="45">
        <v>0</v>
      </c>
      <c r="E424" s="45">
        <v>0</v>
      </c>
      <c r="F424" s="45">
        <v>0</v>
      </c>
      <c r="G424" s="45">
        <v>0</v>
      </c>
      <c r="H424" s="45">
        <v>0</v>
      </c>
      <c r="I424" s="45">
        <v>16.5</v>
      </c>
      <c r="J424" s="45">
        <v>14.5</v>
      </c>
      <c r="K424" s="45">
        <v>16.1</v>
      </c>
      <c r="L424" s="45">
        <v>16.2</v>
      </c>
      <c r="M424" s="45">
        <v>19</v>
      </c>
      <c r="N424" s="45">
        <v>20.2</v>
      </c>
      <c r="O424" s="45">
        <v>21.4</v>
      </c>
      <c r="P424" s="45">
        <v>20.2</v>
      </c>
      <c r="Q424" s="45">
        <v>21.5</v>
      </c>
      <c r="R424" s="45">
        <v>23.6</v>
      </c>
      <c r="S424" s="45">
        <v>23.8</v>
      </c>
      <c r="T424" s="45">
        <v>27</v>
      </c>
      <c r="U424" s="45">
        <v>24.8</v>
      </c>
      <c r="V424" s="45">
        <v>22.5</v>
      </c>
      <c r="W424" s="45">
        <v>21.6</v>
      </c>
      <c r="X424" s="45">
        <v>20.7</v>
      </c>
      <c r="Y424" s="45">
        <v>20.1</v>
      </c>
      <c r="Z424" s="45">
        <v>19.1</v>
      </c>
      <c r="AA424" s="45">
        <v>19.6</v>
      </c>
      <c r="AB424" s="45">
        <v>17.6</v>
      </c>
      <c r="AC424" s="45">
        <v>17</v>
      </c>
      <c r="AD424" s="45">
        <v>15.7</v>
      </c>
      <c r="AE424" s="45">
        <v>18.8</v>
      </c>
      <c r="AF424" s="45">
        <v>21.2</v>
      </c>
      <c r="AG424" s="45">
        <v>20.8</v>
      </c>
      <c r="AH424" s="45">
        <v>19</v>
      </c>
      <c r="AI424" s="45">
        <v>20</v>
      </c>
      <c r="AJ424" s="45">
        <v>17.6</v>
      </c>
      <c r="AK424" s="45">
        <v>18.1</v>
      </c>
      <c r="AL424" s="45">
        <v>15.7</v>
      </c>
      <c r="AM424" s="45">
        <v>17.8</v>
      </c>
      <c r="AN424" s="45">
        <v>16.3</v>
      </c>
      <c r="AO424" s="45">
        <v>14.8</v>
      </c>
      <c r="AP424" s="45">
        <v>13.2</v>
      </c>
      <c r="AQ424" s="45">
        <v>11.7</v>
      </c>
      <c r="AR424" s="45">
        <v>12.4</v>
      </c>
      <c r="AS424" s="45">
        <v>0</v>
      </c>
      <c r="AT424" s="45">
        <v>0</v>
      </c>
      <c r="AU424" s="45">
        <v>0</v>
      </c>
      <c r="AV424" s="45">
        <v>0</v>
      </c>
      <c r="AW424" s="45">
        <v>0</v>
      </c>
      <c r="AX424" s="45">
        <v>0</v>
      </c>
      <c r="AY424" s="45">
        <v>0</v>
      </c>
      <c r="AZ424" s="45">
        <v>0</v>
      </c>
      <c r="BA424" s="45">
        <v>0</v>
      </c>
      <c r="BB424" s="45">
        <v>0</v>
      </c>
      <c r="BC424" s="45">
        <v>0</v>
      </c>
      <c r="BD424" s="45">
        <v>0</v>
      </c>
      <c r="BE424" s="45">
        <v>0</v>
      </c>
      <c r="BF424" s="45">
        <v>0</v>
      </c>
      <c r="BG424" s="45">
        <v>0</v>
      </c>
    </row>
    <row r="425" spans="1:59">
      <c r="A425" s="18" t="s">
        <v>137</v>
      </c>
      <c r="B425" s="18" t="s">
        <v>134</v>
      </c>
      <c r="C425" s="18" t="s">
        <v>72</v>
      </c>
      <c r="D425" s="45">
        <v>0</v>
      </c>
      <c r="E425" s="45">
        <v>0</v>
      </c>
      <c r="F425" s="45">
        <v>0</v>
      </c>
      <c r="G425" s="45">
        <v>0</v>
      </c>
      <c r="H425" s="45">
        <v>0</v>
      </c>
      <c r="I425" s="45">
        <v>15</v>
      </c>
      <c r="J425" s="45">
        <v>13.2</v>
      </c>
      <c r="K425" s="45">
        <v>12.9</v>
      </c>
      <c r="L425" s="45">
        <v>13.5</v>
      </c>
      <c r="M425" s="45">
        <v>13.8</v>
      </c>
      <c r="N425" s="45">
        <v>14.2</v>
      </c>
      <c r="O425" s="45">
        <v>14.6</v>
      </c>
      <c r="P425" s="45">
        <v>15.7</v>
      </c>
      <c r="Q425" s="45">
        <v>19.1</v>
      </c>
      <c r="R425" s="45">
        <v>19.7</v>
      </c>
      <c r="S425" s="45">
        <v>17.6</v>
      </c>
      <c r="T425" s="45">
        <v>19.9</v>
      </c>
      <c r="U425" s="45">
        <v>18.3</v>
      </c>
      <c r="V425" s="45">
        <v>18.1</v>
      </c>
      <c r="W425" s="45">
        <v>19.6</v>
      </c>
      <c r="X425" s="45">
        <v>20</v>
      </c>
      <c r="Y425" s="45">
        <v>17.3</v>
      </c>
      <c r="Z425" s="45">
        <v>14.3</v>
      </c>
      <c r="AA425" s="45">
        <v>13.5</v>
      </c>
      <c r="AB425" s="45">
        <v>15.1</v>
      </c>
      <c r="AC425" s="45">
        <v>14</v>
      </c>
      <c r="AD425" s="45">
        <v>13.3</v>
      </c>
      <c r="AE425" s="45">
        <v>14.2</v>
      </c>
      <c r="AF425" s="45">
        <v>13.6</v>
      </c>
      <c r="AG425" s="45">
        <v>14.5</v>
      </c>
      <c r="AH425" s="45">
        <v>14.2</v>
      </c>
      <c r="AI425" s="45">
        <v>14.6</v>
      </c>
      <c r="AJ425" s="45">
        <v>14.7</v>
      </c>
      <c r="AK425" s="45">
        <v>13.9</v>
      </c>
      <c r="AL425" s="45">
        <v>13.2</v>
      </c>
      <c r="AM425" s="45">
        <v>13.4</v>
      </c>
      <c r="AN425" s="45">
        <v>12</v>
      </c>
      <c r="AO425" s="45">
        <v>12.9</v>
      </c>
      <c r="AP425" s="45">
        <v>11.7</v>
      </c>
      <c r="AQ425" s="45">
        <v>9.1</v>
      </c>
      <c r="AR425" s="45">
        <v>10.6</v>
      </c>
      <c r="AS425" s="45">
        <v>0</v>
      </c>
      <c r="AT425" s="45">
        <v>0</v>
      </c>
      <c r="AU425" s="45">
        <v>0</v>
      </c>
      <c r="AV425" s="45">
        <v>0</v>
      </c>
      <c r="AW425" s="45">
        <v>0</v>
      </c>
      <c r="AX425" s="45">
        <v>0</v>
      </c>
      <c r="AY425" s="45">
        <v>0</v>
      </c>
      <c r="AZ425" s="45">
        <v>0</v>
      </c>
      <c r="BA425" s="45">
        <v>0</v>
      </c>
      <c r="BB425" s="45">
        <v>0</v>
      </c>
      <c r="BC425" s="45">
        <v>0</v>
      </c>
      <c r="BD425" s="45">
        <v>0</v>
      </c>
      <c r="BE425" s="45">
        <v>0</v>
      </c>
      <c r="BF425" s="45">
        <v>0</v>
      </c>
      <c r="BG425" s="45">
        <v>0</v>
      </c>
    </row>
    <row r="426" spans="1:59">
      <c r="A426" s="18" t="s">
        <v>138</v>
      </c>
      <c r="B426" s="18" t="s">
        <v>134</v>
      </c>
      <c r="C426" s="18" t="s">
        <v>74</v>
      </c>
      <c r="D426" s="45">
        <v>0</v>
      </c>
      <c r="E426" s="45">
        <v>0</v>
      </c>
      <c r="F426" s="45">
        <v>0</v>
      </c>
      <c r="G426" s="45">
        <v>0</v>
      </c>
      <c r="H426" s="45">
        <v>0</v>
      </c>
      <c r="I426" s="45">
        <v>16.6</v>
      </c>
      <c r="J426" s="45">
        <v>13.4</v>
      </c>
      <c r="K426" s="45">
        <v>14.3</v>
      </c>
      <c r="L426" s="45">
        <v>14.1</v>
      </c>
      <c r="M426" s="45">
        <v>15.2</v>
      </c>
      <c r="N426" s="45">
        <v>17.4</v>
      </c>
      <c r="O426" s="45">
        <v>18.8</v>
      </c>
      <c r="P426" s="45">
        <v>18.8</v>
      </c>
      <c r="Q426" s="45">
        <v>18.9</v>
      </c>
      <c r="R426" s="45">
        <v>18.5</v>
      </c>
      <c r="S426" s="45">
        <v>17.4</v>
      </c>
      <c r="T426" s="45">
        <v>17.8</v>
      </c>
      <c r="U426" s="45">
        <v>20.2</v>
      </c>
      <c r="V426" s="45">
        <v>17.9</v>
      </c>
      <c r="W426" s="45">
        <v>20</v>
      </c>
      <c r="X426" s="45">
        <v>17.8</v>
      </c>
      <c r="Y426" s="45">
        <v>16.7</v>
      </c>
      <c r="Z426" s="45">
        <v>17.2</v>
      </c>
      <c r="AA426" s="45">
        <v>14.1</v>
      </c>
      <c r="AB426" s="45">
        <v>15.9</v>
      </c>
      <c r="AC426" s="45">
        <v>12.5</v>
      </c>
      <c r="AD426" s="45">
        <v>12.7</v>
      </c>
      <c r="AE426" s="45">
        <v>13.2</v>
      </c>
      <c r="AF426" s="45">
        <v>13.8</v>
      </c>
      <c r="AG426" s="45">
        <v>15.7</v>
      </c>
      <c r="AH426" s="45">
        <v>12.9</v>
      </c>
      <c r="AI426" s="45">
        <v>12.8</v>
      </c>
      <c r="AJ426" s="45">
        <v>12.9</v>
      </c>
      <c r="AK426" s="45">
        <v>13</v>
      </c>
      <c r="AL426" s="45">
        <v>12</v>
      </c>
      <c r="AM426" s="45">
        <v>12.1</v>
      </c>
      <c r="AN426" s="45">
        <v>12.1</v>
      </c>
      <c r="AO426" s="45">
        <v>11.2</v>
      </c>
      <c r="AP426" s="45">
        <v>11.7</v>
      </c>
      <c r="AQ426" s="45">
        <v>10.3</v>
      </c>
      <c r="AR426" s="45">
        <v>13.3</v>
      </c>
      <c r="AS426" s="45">
        <v>0</v>
      </c>
      <c r="AT426" s="45">
        <v>0</v>
      </c>
      <c r="AU426" s="45">
        <v>0</v>
      </c>
      <c r="AV426" s="45">
        <v>0</v>
      </c>
      <c r="AW426" s="45">
        <v>0</v>
      </c>
      <c r="AX426" s="45">
        <v>0</v>
      </c>
      <c r="AY426" s="45">
        <v>0</v>
      </c>
      <c r="AZ426" s="45">
        <v>0</v>
      </c>
      <c r="BA426" s="45">
        <v>0</v>
      </c>
      <c r="BB426" s="45">
        <v>0</v>
      </c>
      <c r="BC426" s="45">
        <v>0</v>
      </c>
      <c r="BD426" s="45">
        <v>0</v>
      </c>
      <c r="BE426" s="45">
        <v>0</v>
      </c>
      <c r="BF426" s="45">
        <v>0</v>
      </c>
      <c r="BG426" s="45">
        <v>0</v>
      </c>
    </row>
    <row r="427" spans="1:59">
      <c r="A427" s="18" t="s">
        <v>139</v>
      </c>
      <c r="B427" s="18" t="s">
        <v>134</v>
      </c>
      <c r="C427" s="18" t="s">
        <v>76</v>
      </c>
      <c r="D427" s="45">
        <v>0</v>
      </c>
      <c r="E427" s="45">
        <v>0</v>
      </c>
      <c r="F427" s="45">
        <v>0</v>
      </c>
      <c r="G427" s="45">
        <v>0</v>
      </c>
      <c r="H427" s="45">
        <v>0</v>
      </c>
      <c r="I427" s="45">
        <v>17.3</v>
      </c>
      <c r="J427" s="45">
        <v>14.3</v>
      </c>
      <c r="K427" s="45">
        <v>13.9</v>
      </c>
      <c r="L427" s="45">
        <v>15</v>
      </c>
      <c r="M427" s="45">
        <v>14.8</v>
      </c>
      <c r="N427" s="45">
        <v>15.8</v>
      </c>
      <c r="O427" s="45">
        <v>17.9</v>
      </c>
      <c r="P427" s="45">
        <v>17</v>
      </c>
      <c r="Q427" s="45">
        <v>19.2</v>
      </c>
      <c r="R427" s="45">
        <v>18.5</v>
      </c>
      <c r="S427" s="45">
        <v>19.3</v>
      </c>
      <c r="T427" s="45">
        <v>19</v>
      </c>
      <c r="U427" s="45">
        <v>22.1</v>
      </c>
      <c r="V427" s="45">
        <v>19.4</v>
      </c>
      <c r="W427" s="45">
        <v>21.6</v>
      </c>
      <c r="X427" s="45">
        <v>21.6</v>
      </c>
      <c r="Y427" s="45">
        <v>17.4</v>
      </c>
      <c r="Z427" s="45">
        <v>17.5</v>
      </c>
      <c r="AA427" s="45">
        <v>16.1</v>
      </c>
      <c r="AB427" s="45">
        <v>16.9</v>
      </c>
      <c r="AC427" s="45">
        <v>14.9</v>
      </c>
      <c r="AD427" s="45">
        <v>15.1</v>
      </c>
      <c r="AE427" s="45">
        <v>13.8</v>
      </c>
      <c r="AF427" s="45">
        <v>15.4</v>
      </c>
      <c r="AG427" s="45">
        <v>14.9</v>
      </c>
      <c r="AH427" s="45">
        <v>14.4</v>
      </c>
      <c r="AI427" s="45">
        <v>16.7</v>
      </c>
      <c r="AJ427" s="45">
        <v>16</v>
      </c>
      <c r="AK427" s="45">
        <v>16.4</v>
      </c>
      <c r="AL427" s="45">
        <v>14.8</v>
      </c>
      <c r="AM427" s="45">
        <v>13.8</v>
      </c>
      <c r="AN427" s="45">
        <v>11.6</v>
      </c>
      <c r="AO427" s="45">
        <v>12</v>
      </c>
      <c r="AP427" s="45">
        <v>10.4</v>
      </c>
      <c r="AQ427" s="45">
        <v>11.2</v>
      </c>
      <c r="AR427" s="45">
        <v>10.7</v>
      </c>
      <c r="AS427" s="45">
        <v>0</v>
      </c>
      <c r="AT427" s="45">
        <v>0</v>
      </c>
      <c r="AU427" s="45">
        <v>0</v>
      </c>
      <c r="AV427" s="45">
        <v>0</v>
      </c>
      <c r="AW427" s="45">
        <v>0</v>
      </c>
      <c r="AX427" s="45">
        <v>0</v>
      </c>
      <c r="AY427" s="45">
        <v>0</v>
      </c>
      <c r="AZ427" s="45">
        <v>0</v>
      </c>
      <c r="BA427" s="45">
        <v>0</v>
      </c>
      <c r="BB427" s="45">
        <v>0</v>
      </c>
      <c r="BC427" s="45">
        <v>0</v>
      </c>
      <c r="BD427" s="45">
        <v>0</v>
      </c>
      <c r="BE427" s="45">
        <v>0</v>
      </c>
      <c r="BF427" s="45">
        <v>0</v>
      </c>
      <c r="BG427" s="45">
        <v>0</v>
      </c>
    </row>
    <row r="428" spans="1:59">
      <c r="A428" s="18" t="s">
        <v>140</v>
      </c>
      <c r="B428" s="18" t="s">
        <v>134</v>
      </c>
      <c r="C428" s="18" t="s">
        <v>78</v>
      </c>
      <c r="D428" s="45">
        <v>0</v>
      </c>
      <c r="E428" s="45">
        <v>0</v>
      </c>
      <c r="F428" s="45">
        <v>0</v>
      </c>
      <c r="G428" s="45">
        <v>0</v>
      </c>
      <c r="H428" s="45">
        <v>0</v>
      </c>
      <c r="I428" s="45">
        <v>14.9</v>
      </c>
      <c r="J428" s="45">
        <v>13</v>
      </c>
      <c r="K428" s="45">
        <v>12.6</v>
      </c>
      <c r="L428" s="45">
        <v>12.2</v>
      </c>
      <c r="M428" s="45">
        <v>12.8</v>
      </c>
      <c r="N428" s="45">
        <v>13.3</v>
      </c>
      <c r="O428" s="45">
        <v>15.4</v>
      </c>
      <c r="P428" s="45">
        <v>15.2</v>
      </c>
      <c r="Q428" s="45">
        <v>15.7</v>
      </c>
      <c r="R428" s="45">
        <v>15</v>
      </c>
      <c r="S428" s="45">
        <v>17.3</v>
      </c>
      <c r="T428" s="45">
        <v>13.9</v>
      </c>
      <c r="U428" s="45">
        <v>15.6</v>
      </c>
      <c r="V428" s="45">
        <v>16.7</v>
      </c>
      <c r="W428" s="45">
        <v>18.6</v>
      </c>
      <c r="X428" s="45">
        <v>14.2</v>
      </c>
      <c r="Y428" s="45">
        <v>14.9</v>
      </c>
      <c r="Z428" s="45">
        <v>13.4</v>
      </c>
      <c r="AA428" s="45">
        <v>14.8</v>
      </c>
      <c r="AB428" s="45">
        <v>12.8</v>
      </c>
      <c r="AC428" s="45">
        <v>13.5</v>
      </c>
      <c r="AD428" s="45">
        <v>12</v>
      </c>
      <c r="AE428" s="45">
        <v>13.4</v>
      </c>
      <c r="AF428" s="45">
        <v>13.3</v>
      </c>
      <c r="AG428" s="45">
        <v>12.3</v>
      </c>
      <c r="AH428" s="45">
        <v>13.5</v>
      </c>
      <c r="AI428" s="45">
        <v>13.4</v>
      </c>
      <c r="AJ428" s="45">
        <v>13</v>
      </c>
      <c r="AK428" s="45">
        <v>12.7</v>
      </c>
      <c r="AL428" s="45">
        <v>13.2</v>
      </c>
      <c r="AM428" s="45">
        <v>12.2</v>
      </c>
      <c r="AN428" s="45">
        <v>12.1</v>
      </c>
      <c r="AO428" s="45">
        <v>10.8</v>
      </c>
      <c r="AP428" s="45">
        <v>11.1</v>
      </c>
      <c r="AQ428" s="45">
        <v>10.4</v>
      </c>
      <c r="AR428" s="45">
        <v>9.199999999999999</v>
      </c>
      <c r="AS428" s="45">
        <v>0</v>
      </c>
      <c r="AT428" s="45">
        <v>0</v>
      </c>
      <c r="AU428" s="45">
        <v>0</v>
      </c>
      <c r="AV428" s="45">
        <v>0</v>
      </c>
      <c r="AW428" s="45">
        <v>0</v>
      </c>
      <c r="AX428" s="45">
        <v>0</v>
      </c>
      <c r="AY428" s="45">
        <v>0</v>
      </c>
      <c r="AZ428" s="45">
        <v>0</v>
      </c>
      <c r="BA428" s="45">
        <v>0</v>
      </c>
      <c r="BB428" s="45">
        <v>0</v>
      </c>
      <c r="BC428" s="45">
        <v>0</v>
      </c>
      <c r="BD428" s="45">
        <v>0</v>
      </c>
      <c r="BE428" s="45">
        <v>0</v>
      </c>
      <c r="BF428" s="45">
        <v>0</v>
      </c>
      <c r="BG428" s="45">
        <v>0</v>
      </c>
    </row>
    <row r="429" spans="1:59">
      <c r="A429" s="18" t="s">
        <v>141</v>
      </c>
      <c r="B429" s="18" t="s">
        <v>134</v>
      </c>
      <c r="C429" s="18" t="s">
        <v>80</v>
      </c>
      <c r="D429" s="45">
        <v>0</v>
      </c>
      <c r="E429" s="45">
        <v>0</v>
      </c>
      <c r="F429" s="45">
        <v>0</v>
      </c>
      <c r="G429" s="45">
        <v>0</v>
      </c>
      <c r="H429" s="45">
        <v>0</v>
      </c>
      <c r="I429" s="45">
        <v>19.4</v>
      </c>
      <c r="J429" s="45">
        <v>12.8</v>
      </c>
      <c r="K429" s="45">
        <v>11.6</v>
      </c>
      <c r="L429" s="45">
        <v>13.8</v>
      </c>
      <c r="M429" s="45">
        <v>14.8</v>
      </c>
      <c r="N429" s="45">
        <v>14</v>
      </c>
      <c r="O429" s="45">
        <v>14.2</v>
      </c>
      <c r="P429" s="45">
        <v>14.9</v>
      </c>
      <c r="Q429" s="45">
        <v>15.9</v>
      </c>
      <c r="R429" s="45">
        <v>19.6</v>
      </c>
      <c r="S429" s="45">
        <v>16.5</v>
      </c>
      <c r="T429" s="45">
        <v>15.9</v>
      </c>
      <c r="U429" s="45">
        <v>15.2</v>
      </c>
      <c r="V429" s="45">
        <v>15.8</v>
      </c>
      <c r="W429" s="45">
        <v>16.5</v>
      </c>
      <c r="X429" s="45">
        <v>16.7</v>
      </c>
      <c r="Y429" s="45">
        <v>14.2</v>
      </c>
      <c r="Z429" s="45">
        <v>14.5</v>
      </c>
      <c r="AA429" s="45">
        <v>11.3</v>
      </c>
      <c r="AB429" s="45">
        <v>12.6</v>
      </c>
      <c r="AC429" s="45">
        <v>11.1</v>
      </c>
      <c r="AD429" s="45">
        <v>10.9</v>
      </c>
      <c r="AE429" s="45">
        <v>10.5</v>
      </c>
      <c r="AF429" s="45">
        <v>11.5</v>
      </c>
      <c r="AG429" s="45">
        <v>12.3</v>
      </c>
      <c r="AH429" s="45">
        <v>13</v>
      </c>
      <c r="AI429" s="45">
        <v>12.3</v>
      </c>
      <c r="AJ429" s="45">
        <v>11.2</v>
      </c>
      <c r="AK429" s="45">
        <v>10.7</v>
      </c>
      <c r="AL429" s="45">
        <v>11</v>
      </c>
      <c r="AM429" s="45">
        <v>11.3</v>
      </c>
      <c r="AN429" s="45">
        <v>13</v>
      </c>
      <c r="AO429" s="45">
        <v>9.9</v>
      </c>
      <c r="AP429" s="45">
        <v>10.2</v>
      </c>
      <c r="AQ429" s="45">
        <v>10.3</v>
      </c>
      <c r="AR429" s="45">
        <v>8.9</v>
      </c>
      <c r="AS429" s="45">
        <v>0</v>
      </c>
      <c r="AT429" s="45">
        <v>0</v>
      </c>
      <c r="AU429" s="45">
        <v>0</v>
      </c>
      <c r="AV429" s="45">
        <v>0</v>
      </c>
      <c r="AW429" s="45">
        <v>0</v>
      </c>
      <c r="AX429" s="45">
        <v>0</v>
      </c>
      <c r="AY429" s="45">
        <v>0</v>
      </c>
      <c r="AZ429" s="45">
        <v>0</v>
      </c>
      <c r="BA429" s="45">
        <v>0</v>
      </c>
      <c r="BB429" s="45">
        <v>0</v>
      </c>
      <c r="BC429" s="45">
        <v>0</v>
      </c>
      <c r="BD429" s="45">
        <v>0</v>
      </c>
      <c r="BE429" s="45">
        <v>0</v>
      </c>
      <c r="BF429" s="45">
        <v>0</v>
      </c>
      <c r="BG429" s="45">
        <v>0</v>
      </c>
    </row>
    <row r="430" spans="1:59">
      <c r="A430" s="18" t="s">
        <v>142</v>
      </c>
      <c r="B430" s="18" t="s">
        <v>134</v>
      </c>
      <c r="C430" s="18" t="s">
        <v>82</v>
      </c>
      <c r="D430" s="45">
        <v>0</v>
      </c>
      <c r="E430" s="45">
        <v>0</v>
      </c>
      <c r="F430" s="45">
        <v>0</v>
      </c>
      <c r="G430" s="45">
        <v>0</v>
      </c>
      <c r="H430" s="45">
        <v>0</v>
      </c>
      <c r="I430" s="45">
        <v>16.8</v>
      </c>
      <c r="J430" s="45">
        <v>12.7</v>
      </c>
      <c r="K430" s="45">
        <v>14.3</v>
      </c>
      <c r="L430" s="45">
        <v>10.8</v>
      </c>
      <c r="M430" s="45">
        <v>11.4</v>
      </c>
      <c r="N430" s="45">
        <v>12.3</v>
      </c>
      <c r="O430" s="45">
        <v>15.4</v>
      </c>
      <c r="P430" s="45">
        <v>15.5</v>
      </c>
      <c r="Q430" s="45">
        <v>16.5</v>
      </c>
      <c r="R430" s="45">
        <v>17.5</v>
      </c>
      <c r="S430" s="45">
        <v>17.2</v>
      </c>
      <c r="T430" s="45">
        <v>16.9</v>
      </c>
      <c r="U430" s="45">
        <v>18.5</v>
      </c>
      <c r="V430" s="45">
        <v>18.2</v>
      </c>
      <c r="W430" s="45">
        <v>18.5</v>
      </c>
      <c r="X430" s="45">
        <v>18.5</v>
      </c>
      <c r="Y430" s="45">
        <v>17.4</v>
      </c>
      <c r="Z430" s="45">
        <v>14.8</v>
      </c>
      <c r="AA430" s="45">
        <v>12.9</v>
      </c>
      <c r="AB430" s="45">
        <v>12.5</v>
      </c>
      <c r="AC430" s="45">
        <v>12.9</v>
      </c>
      <c r="AD430" s="45">
        <v>13.4</v>
      </c>
      <c r="AE430" s="45">
        <v>13.8</v>
      </c>
      <c r="AF430" s="45">
        <v>13.1</v>
      </c>
      <c r="AG430" s="45">
        <v>12.8</v>
      </c>
      <c r="AH430" s="45">
        <v>13.1</v>
      </c>
      <c r="AI430" s="45">
        <v>13.3</v>
      </c>
      <c r="AJ430" s="45">
        <v>13.1</v>
      </c>
      <c r="AK430" s="45">
        <v>14.6</v>
      </c>
      <c r="AL430" s="45">
        <v>14.6</v>
      </c>
      <c r="AM430" s="45">
        <v>12.9</v>
      </c>
      <c r="AN430" s="45">
        <v>12.2</v>
      </c>
      <c r="AO430" s="45">
        <v>12.5</v>
      </c>
      <c r="AP430" s="45">
        <v>11.6</v>
      </c>
      <c r="AQ430" s="45">
        <v>10.2</v>
      </c>
      <c r="AR430" s="45">
        <v>10.9</v>
      </c>
      <c r="AS430" s="45">
        <v>0</v>
      </c>
      <c r="AT430" s="45">
        <v>0</v>
      </c>
      <c r="AU430" s="45">
        <v>0</v>
      </c>
      <c r="AV430" s="45">
        <v>0</v>
      </c>
      <c r="AW430" s="45">
        <v>0</v>
      </c>
      <c r="AX430" s="45">
        <v>0</v>
      </c>
      <c r="AY430" s="45">
        <v>0</v>
      </c>
      <c r="AZ430" s="45">
        <v>0</v>
      </c>
      <c r="BA430" s="45">
        <v>0</v>
      </c>
      <c r="BB430" s="45">
        <v>0</v>
      </c>
      <c r="BC430" s="45">
        <v>0</v>
      </c>
      <c r="BD430" s="45">
        <v>0</v>
      </c>
      <c r="BE430" s="45">
        <v>0</v>
      </c>
      <c r="BF430" s="45">
        <v>0</v>
      </c>
      <c r="BG430" s="45">
        <v>0</v>
      </c>
    </row>
    <row r="431" spans="1:59">
      <c r="A431" s="18" t="s">
        <v>143</v>
      </c>
      <c r="B431" s="18" t="s">
        <v>134</v>
      </c>
      <c r="C431" s="18" t="s">
        <v>84</v>
      </c>
      <c r="D431" s="45">
        <v>0</v>
      </c>
      <c r="E431" s="45">
        <v>0</v>
      </c>
      <c r="F431" s="45">
        <v>0</v>
      </c>
      <c r="G431" s="45">
        <v>0</v>
      </c>
      <c r="H431" s="45">
        <v>0</v>
      </c>
      <c r="I431" s="45">
        <v>16.7</v>
      </c>
      <c r="J431" s="45">
        <v>12.1</v>
      </c>
      <c r="K431" s="45">
        <v>12.6</v>
      </c>
      <c r="L431" s="45">
        <v>12.1</v>
      </c>
      <c r="M431" s="45">
        <v>12.5</v>
      </c>
      <c r="N431" s="45">
        <v>11.9</v>
      </c>
      <c r="O431" s="45">
        <v>11</v>
      </c>
      <c r="P431" s="45">
        <v>12.5</v>
      </c>
      <c r="Q431" s="45">
        <v>12.3</v>
      </c>
      <c r="R431" s="45">
        <v>11.3</v>
      </c>
      <c r="S431" s="45">
        <v>12.7</v>
      </c>
      <c r="T431" s="45">
        <v>14.4</v>
      </c>
      <c r="U431" s="45">
        <v>13.6</v>
      </c>
      <c r="V431" s="45">
        <v>15.1</v>
      </c>
      <c r="W431" s="45">
        <v>16</v>
      </c>
      <c r="X431" s="45">
        <v>15.8</v>
      </c>
      <c r="Y431" s="45">
        <v>16.2</v>
      </c>
      <c r="Z431" s="45">
        <v>12.6</v>
      </c>
      <c r="AA431" s="45">
        <v>14.2</v>
      </c>
      <c r="AB431" s="45">
        <v>14.3</v>
      </c>
      <c r="AC431" s="45">
        <v>14.8</v>
      </c>
      <c r="AD431" s="45">
        <v>11.9</v>
      </c>
      <c r="AE431" s="45">
        <v>14.6</v>
      </c>
      <c r="AF431" s="45">
        <v>15.6</v>
      </c>
      <c r="AG431" s="45">
        <v>13.8</v>
      </c>
      <c r="AH431" s="45">
        <v>16</v>
      </c>
      <c r="AI431" s="45">
        <v>15</v>
      </c>
      <c r="AJ431" s="45">
        <v>13.1</v>
      </c>
      <c r="AK431" s="45">
        <v>14.5</v>
      </c>
      <c r="AL431" s="45">
        <v>15.1</v>
      </c>
      <c r="AM431" s="45">
        <v>14.1</v>
      </c>
      <c r="AN431" s="45">
        <v>13.3</v>
      </c>
      <c r="AO431" s="45">
        <v>12</v>
      </c>
      <c r="AP431" s="45">
        <v>11.4</v>
      </c>
      <c r="AQ431" s="45">
        <v>9.4</v>
      </c>
      <c r="AR431" s="45">
        <v>10.6</v>
      </c>
      <c r="AS431" s="45">
        <v>0</v>
      </c>
      <c r="AT431" s="45">
        <v>0</v>
      </c>
      <c r="AU431" s="45">
        <v>0</v>
      </c>
      <c r="AV431" s="45">
        <v>0</v>
      </c>
      <c r="AW431" s="45">
        <v>0</v>
      </c>
      <c r="AX431" s="45">
        <v>0</v>
      </c>
      <c r="AY431" s="45">
        <v>0</v>
      </c>
      <c r="AZ431" s="45">
        <v>0</v>
      </c>
      <c r="BA431" s="45">
        <v>0</v>
      </c>
      <c r="BB431" s="45">
        <v>0</v>
      </c>
      <c r="BC431" s="45">
        <v>0</v>
      </c>
      <c r="BD431" s="45">
        <v>0</v>
      </c>
      <c r="BE431" s="45">
        <v>0</v>
      </c>
      <c r="BF431" s="45">
        <v>0</v>
      </c>
      <c r="BG431" s="45">
        <v>0</v>
      </c>
    </row>
    <row r="432" spans="1:59">
      <c r="A432" s="18" t="s">
        <v>144</v>
      </c>
      <c r="B432" s="18" t="s">
        <v>134</v>
      </c>
      <c r="C432" s="18" t="s">
        <v>86</v>
      </c>
      <c r="D432" s="45">
        <v>0</v>
      </c>
      <c r="E432" s="45">
        <v>0</v>
      </c>
      <c r="F432" s="45">
        <v>0</v>
      </c>
      <c r="G432" s="45">
        <v>0</v>
      </c>
      <c r="H432" s="45">
        <v>0</v>
      </c>
      <c r="I432" s="45">
        <v>9.9</v>
      </c>
      <c r="J432" s="45">
        <v>4.8</v>
      </c>
      <c r="K432" s="45">
        <v>4.2</v>
      </c>
      <c r="L432" s="45">
        <v>5.6</v>
      </c>
      <c r="M432" s="45">
        <v>6.7</v>
      </c>
      <c r="N432" s="45">
        <v>7.9</v>
      </c>
      <c r="O432" s="45">
        <v>8.199999999999999</v>
      </c>
      <c r="P432" s="45">
        <v>9.6</v>
      </c>
      <c r="Q432" s="45">
        <v>7.4</v>
      </c>
      <c r="R432" s="45">
        <v>8.300000000000001</v>
      </c>
      <c r="S432" s="45">
        <v>8.800000000000001</v>
      </c>
      <c r="T432" s="45">
        <v>7.7</v>
      </c>
      <c r="U432" s="45">
        <v>8.5</v>
      </c>
      <c r="V432" s="45">
        <v>9.699999999999999</v>
      </c>
      <c r="W432" s="45">
        <v>13.1</v>
      </c>
      <c r="X432" s="45">
        <v>8.699999999999999</v>
      </c>
      <c r="Y432" s="45">
        <v>8.300000000000001</v>
      </c>
      <c r="Z432" s="45">
        <v>7.2</v>
      </c>
      <c r="AA432" s="45">
        <v>5.3</v>
      </c>
      <c r="AB432" s="45">
        <v>5.5</v>
      </c>
      <c r="AC432" s="45">
        <v>11.5</v>
      </c>
      <c r="AD432" s="45">
        <v>7.3</v>
      </c>
      <c r="AE432" s="45">
        <v>7.8</v>
      </c>
      <c r="AF432" s="45">
        <v>9.800000000000001</v>
      </c>
      <c r="AG432" s="45">
        <v>10.6</v>
      </c>
      <c r="AH432" s="45">
        <v>8.9</v>
      </c>
      <c r="AI432" s="45">
        <v>7.7</v>
      </c>
      <c r="AJ432" s="45">
        <v>9.300000000000001</v>
      </c>
      <c r="AK432" s="45">
        <v>12.1</v>
      </c>
      <c r="AL432" s="45">
        <v>8.699999999999999</v>
      </c>
      <c r="AM432" s="45">
        <v>9.1</v>
      </c>
      <c r="AN432" s="45">
        <v>10.5</v>
      </c>
      <c r="AO432" s="45">
        <v>9.6</v>
      </c>
      <c r="AP432" s="45">
        <v>9.4</v>
      </c>
      <c r="AQ432" s="45">
        <v>7</v>
      </c>
      <c r="AR432" s="45">
        <v>7.5</v>
      </c>
      <c r="AS432" s="45">
        <v>0</v>
      </c>
      <c r="AT432" s="45">
        <v>0</v>
      </c>
      <c r="AU432" s="45">
        <v>0</v>
      </c>
      <c r="AV432" s="45">
        <v>0</v>
      </c>
      <c r="AW432" s="45">
        <v>0</v>
      </c>
      <c r="AX432" s="45">
        <v>0</v>
      </c>
      <c r="AY432" s="45">
        <v>0</v>
      </c>
      <c r="AZ432" s="45">
        <v>0</v>
      </c>
      <c r="BA432" s="45">
        <v>0</v>
      </c>
      <c r="BB432" s="45">
        <v>0</v>
      </c>
      <c r="BC432" s="45">
        <v>0</v>
      </c>
      <c r="BD432" s="45">
        <v>0</v>
      </c>
      <c r="BE432" s="45">
        <v>0</v>
      </c>
      <c r="BF432" s="45">
        <v>0</v>
      </c>
      <c r="BG432" s="45">
        <v>0</v>
      </c>
    </row>
    <row r="433" spans="1:59">
      <c r="A433" s="18" t="s">
        <v>145</v>
      </c>
      <c r="B433" s="18" t="s">
        <v>134</v>
      </c>
      <c r="C433" s="18" t="s">
        <v>88</v>
      </c>
      <c r="D433" s="45">
        <v>0</v>
      </c>
      <c r="E433" s="45">
        <v>0</v>
      </c>
      <c r="F433" s="45">
        <v>0</v>
      </c>
      <c r="G433" s="45">
        <v>0</v>
      </c>
      <c r="H433" s="45">
        <v>0</v>
      </c>
      <c r="I433" s="45">
        <v>10.9</v>
      </c>
      <c r="J433" s="45">
        <v>6.4</v>
      </c>
      <c r="K433" s="45">
        <v>6.2</v>
      </c>
      <c r="L433" s="45">
        <v>8</v>
      </c>
      <c r="M433" s="45">
        <v>8.199999999999999</v>
      </c>
      <c r="N433" s="45">
        <v>8.300000000000001</v>
      </c>
      <c r="O433" s="45">
        <v>9.9</v>
      </c>
      <c r="P433" s="45">
        <v>10.4</v>
      </c>
      <c r="Q433" s="45">
        <v>10</v>
      </c>
      <c r="R433" s="45">
        <v>9.6</v>
      </c>
      <c r="S433" s="45">
        <v>10.6</v>
      </c>
      <c r="T433" s="45">
        <v>10.2</v>
      </c>
      <c r="U433" s="45">
        <v>10.4</v>
      </c>
      <c r="V433" s="45">
        <v>9.699999999999999</v>
      </c>
      <c r="W433" s="45">
        <v>11</v>
      </c>
      <c r="X433" s="45">
        <v>10.5</v>
      </c>
      <c r="Y433" s="45">
        <v>10.6</v>
      </c>
      <c r="Z433" s="45">
        <v>10.4</v>
      </c>
      <c r="AA433" s="45">
        <v>8.300000000000001</v>
      </c>
      <c r="AB433" s="45">
        <v>7.2</v>
      </c>
      <c r="AC433" s="45">
        <v>7.9</v>
      </c>
      <c r="AD433" s="45">
        <v>8.199999999999999</v>
      </c>
      <c r="AE433" s="45">
        <v>9.5</v>
      </c>
      <c r="AF433" s="45">
        <v>8.800000000000001</v>
      </c>
      <c r="AG433" s="45">
        <v>9.5</v>
      </c>
      <c r="AH433" s="45">
        <v>8.9</v>
      </c>
      <c r="AI433" s="45">
        <v>8.800000000000001</v>
      </c>
      <c r="AJ433" s="45">
        <v>9.4</v>
      </c>
      <c r="AK433" s="45">
        <v>10.1</v>
      </c>
      <c r="AL433" s="45">
        <v>8.9</v>
      </c>
      <c r="AM433" s="45">
        <v>9.800000000000001</v>
      </c>
      <c r="AN433" s="45">
        <v>10.9</v>
      </c>
      <c r="AO433" s="45">
        <v>8.800000000000001</v>
      </c>
      <c r="AP433" s="45">
        <v>9.300000000000001</v>
      </c>
      <c r="AQ433" s="45">
        <v>8.199999999999999</v>
      </c>
      <c r="AR433" s="45">
        <v>5.5</v>
      </c>
      <c r="AS433" s="45">
        <v>0</v>
      </c>
      <c r="AT433" s="45">
        <v>0</v>
      </c>
      <c r="AU433" s="45">
        <v>0</v>
      </c>
      <c r="AV433" s="45">
        <v>0</v>
      </c>
      <c r="AW433" s="45">
        <v>0</v>
      </c>
      <c r="AX433" s="45">
        <v>0</v>
      </c>
      <c r="AY433" s="45">
        <v>0</v>
      </c>
      <c r="AZ433" s="45">
        <v>0</v>
      </c>
      <c r="BA433" s="45">
        <v>0</v>
      </c>
      <c r="BB433" s="45">
        <v>0</v>
      </c>
      <c r="BC433" s="45">
        <v>0</v>
      </c>
      <c r="BD433" s="45">
        <v>0</v>
      </c>
      <c r="BE433" s="45">
        <v>0</v>
      </c>
      <c r="BF433" s="45">
        <v>0</v>
      </c>
      <c r="BG433" s="45">
        <v>0</v>
      </c>
    </row>
    <row r="434" spans="1:59">
      <c r="A434" s="18" t="s">
        <v>146</v>
      </c>
      <c r="B434" s="18" t="s">
        <v>134</v>
      </c>
      <c r="C434" s="18" t="s">
        <v>90</v>
      </c>
      <c r="D434" s="45">
        <v>0</v>
      </c>
      <c r="E434" s="45">
        <v>0</v>
      </c>
      <c r="F434" s="45">
        <v>0</v>
      </c>
      <c r="G434" s="45">
        <v>0</v>
      </c>
      <c r="H434" s="45">
        <v>28.6</v>
      </c>
      <c r="I434" s="45">
        <v>11.4</v>
      </c>
      <c r="J434" s="45">
        <v>9.800000000000001</v>
      </c>
      <c r="K434" s="45">
        <v>10.8</v>
      </c>
      <c r="L434" s="45">
        <v>11.5</v>
      </c>
      <c r="M434" s="45">
        <v>11.5</v>
      </c>
      <c r="N434" s="45">
        <v>12</v>
      </c>
      <c r="O434" s="45">
        <v>14.5</v>
      </c>
      <c r="P434" s="45">
        <v>15.5</v>
      </c>
      <c r="Q434" s="45">
        <v>15.7</v>
      </c>
      <c r="R434" s="45">
        <v>14.9</v>
      </c>
      <c r="S434" s="45">
        <v>16.9</v>
      </c>
      <c r="T434" s="45">
        <v>15</v>
      </c>
      <c r="U434" s="45">
        <v>15.1</v>
      </c>
      <c r="V434" s="45">
        <v>18.8</v>
      </c>
      <c r="W434" s="45">
        <v>17.8</v>
      </c>
      <c r="X434" s="45">
        <v>15.4</v>
      </c>
      <c r="Y434" s="45">
        <v>14.4</v>
      </c>
      <c r="Z434" s="45">
        <v>11.6</v>
      </c>
      <c r="AA434" s="45">
        <v>9.300000000000001</v>
      </c>
      <c r="AB434" s="45">
        <v>9.300000000000001</v>
      </c>
      <c r="AC434" s="45">
        <v>10.5</v>
      </c>
      <c r="AD434" s="45">
        <v>11.8</v>
      </c>
      <c r="AE434" s="45">
        <v>12.3</v>
      </c>
      <c r="AF434" s="45">
        <v>14.1</v>
      </c>
      <c r="AG434" s="45">
        <v>12.6</v>
      </c>
      <c r="AH434" s="45">
        <v>15</v>
      </c>
      <c r="AI434" s="45">
        <v>12.6</v>
      </c>
      <c r="AJ434" s="45">
        <v>14.1</v>
      </c>
      <c r="AK434" s="45">
        <v>14.6</v>
      </c>
      <c r="AL434" s="45">
        <v>14.5</v>
      </c>
      <c r="AM434" s="45">
        <v>12.4</v>
      </c>
      <c r="AN434" s="45">
        <v>12.2</v>
      </c>
      <c r="AO434" s="45">
        <v>14.2</v>
      </c>
      <c r="AP434" s="45">
        <v>12</v>
      </c>
      <c r="AQ434" s="45">
        <v>10.6</v>
      </c>
      <c r="AR434" s="45">
        <v>11.3</v>
      </c>
      <c r="AS434" s="45">
        <v>0</v>
      </c>
      <c r="AT434" s="45">
        <v>0</v>
      </c>
      <c r="AU434" s="45">
        <v>0</v>
      </c>
      <c r="AV434" s="45">
        <v>0</v>
      </c>
      <c r="AW434" s="45">
        <v>0</v>
      </c>
      <c r="AX434" s="45">
        <v>0</v>
      </c>
      <c r="AY434" s="45">
        <v>0</v>
      </c>
      <c r="AZ434" s="45">
        <v>0</v>
      </c>
      <c r="BA434" s="45">
        <v>0</v>
      </c>
      <c r="BB434" s="45">
        <v>0</v>
      </c>
      <c r="BC434" s="45">
        <v>0</v>
      </c>
      <c r="BD434" s="45">
        <v>0</v>
      </c>
      <c r="BE434" s="45">
        <v>0</v>
      </c>
      <c r="BF434" s="45">
        <v>0</v>
      </c>
      <c r="BG434" s="45">
        <v>0</v>
      </c>
    </row>
    <row r="435" spans="1:59">
      <c r="A435" s="18" t="s">
        <v>147</v>
      </c>
      <c r="B435" s="18" t="s">
        <v>148</v>
      </c>
      <c r="C435" s="18" t="s">
        <v>66</v>
      </c>
      <c r="D435" s="45">
        <v>0</v>
      </c>
      <c r="E435" s="45">
        <v>0</v>
      </c>
      <c r="F435" s="45">
        <v>0</v>
      </c>
      <c r="G435" s="45">
        <v>33.5</v>
      </c>
      <c r="H435" s="45">
        <v>24.1</v>
      </c>
      <c r="I435" s="45">
        <v>20.5</v>
      </c>
      <c r="J435" s="45">
        <v>17.9</v>
      </c>
      <c r="K435" s="45">
        <v>18.9</v>
      </c>
      <c r="L435" s="45">
        <v>18.9</v>
      </c>
      <c r="M435" s="45">
        <v>19.3</v>
      </c>
      <c r="N435" s="45">
        <v>20.4</v>
      </c>
      <c r="O435" s="45">
        <v>21</v>
      </c>
      <c r="P435" s="45">
        <v>22.6</v>
      </c>
      <c r="Q435" s="45">
        <v>23.3</v>
      </c>
      <c r="R435" s="45">
        <v>23.4</v>
      </c>
      <c r="S435" s="45">
        <v>24.3</v>
      </c>
      <c r="T435" s="45">
        <v>24.7</v>
      </c>
      <c r="U435" s="45">
        <v>24.5</v>
      </c>
      <c r="V435" s="45">
        <v>23.5</v>
      </c>
      <c r="W435" s="45">
        <v>24</v>
      </c>
      <c r="X435" s="45">
        <v>23.6</v>
      </c>
      <c r="Y435" s="45">
        <v>22.6</v>
      </c>
      <c r="Z435" s="45">
        <v>20.9</v>
      </c>
      <c r="AA435" s="45">
        <v>19.5</v>
      </c>
      <c r="AB435" s="45">
        <v>19.9</v>
      </c>
      <c r="AC435" s="45">
        <v>20.2</v>
      </c>
      <c r="AD435" s="45">
        <v>20.9</v>
      </c>
      <c r="AE435" s="45">
        <v>20.7</v>
      </c>
      <c r="AF435" s="45">
        <v>22.1</v>
      </c>
      <c r="AG435" s="45">
        <v>21.5</v>
      </c>
      <c r="AH435" s="45">
        <v>21.9</v>
      </c>
      <c r="AI435" s="45">
        <v>21.8</v>
      </c>
      <c r="AJ435" s="45">
        <v>20</v>
      </c>
      <c r="AK435" s="45">
        <v>19.2</v>
      </c>
      <c r="AL435" s="45">
        <v>18.6</v>
      </c>
      <c r="AM435" s="45">
        <v>18.9</v>
      </c>
      <c r="AN435" s="45">
        <v>17.6</v>
      </c>
      <c r="AO435" s="45">
        <v>15.1</v>
      </c>
      <c r="AP435" s="45">
        <v>14.1</v>
      </c>
      <c r="AQ435" s="45">
        <v>13.6</v>
      </c>
      <c r="AR435" s="45">
        <v>10</v>
      </c>
      <c r="AS435" s="45">
        <v>27</v>
      </c>
      <c r="AT435" s="45">
        <v>0</v>
      </c>
      <c r="AU435" s="45">
        <v>0</v>
      </c>
      <c r="AV435" s="45">
        <v>0</v>
      </c>
      <c r="AW435" s="45">
        <v>0</v>
      </c>
      <c r="AX435" s="45">
        <v>0</v>
      </c>
      <c r="AY435" s="45">
        <v>0</v>
      </c>
      <c r="AZ435" s="45">
        <v>0</v>
      </c>
      <c r="BA435" s="45">
        <v>0</v>
      </c>
      <c r="BB435" s="45">
        <v>0</v>
      </c>
      <c r="BC435" s="45">
        <v>0</v>
      </c>
      <c r="BD435" s="45">
        <v>0</v>
      </c>
      <c r="BE435" s="45">
        <v>0</v>
      </c>
      <c r="BF435" s="45">
        <v>0</v>
      </c>
      <c r="BG435" s="45">
        <v>0</v>
      </c>
    </row>
    <row r="436" spans="1:59">
      <c r="A436" s="18" t="s">
        <v>149</v>
      </c>
      <c r="B436" s="18" t="s">
        <v>148</v>
      </c>
      <c r="C436" s="18" t="s">
        <v>68</v>
      </c>
      <c r="D436" s="45">
        <v>0</v>
      </c>
      <c r="E436" s="45">
        <v>0</v>
      </c>
      <c r="F436" s="45">
        <v>0</v>
      </c>
      <c r="G436" s="45">
        <v>0</v>
      </c>
      <c r="H436" s="45">
        <v>25.3</v>
      </c>
      <c r="I436" s="45">
        <v>25.6</v>
      </c>
      <c r="J436" s="45">
        <v>23.8</v>
      </c>
      <c r="K436" s="45">
        <v>22.1</v>
      </c>
      <c r="L436" s="45">
        <v>27.8</v>
      </c>
      <c r="M436" s="45">
        <v>29.4</v>
      </c>
      <c r="N436" s="45">
        <v>26.9</v>
      </c>
      <c r="O436" s="45">
        <v>30.2</v>
      </c>
      <c r="P436" s="45">
        <v>34.3</v>
      </c>
      <c r="Q436" s="45">
        <v>34.3</v>
      </c>
      <c r="R436" s="45">
        <v>35.6</v>
      </c>
      <c r="S436" s="45">
        <v>38.1</v>
      </c>
      <c r="T436" s="45">
        <v>41.6</v>
      </c>
      <c r="U436" s="45">
        <v>38.1</v>
      </c>
      <c r="V436" s="45">
        <v>34.3</v>
      </c>
      <c r="W436" s="45">
        <v>35</v>
      </c>
      <c r="X436" s="45">
        <v>30.7</v>
      </c>
      <c r="Y436" s="45">
        <v>29.8</v>
      </c>
      <c r="Z436" s="45">
        <v>27.3</v>
      </c>
      <c r="AA436" s="45">
        <v>28.4</v>
      </c>
      <c r="AB436" s="45">
        <v>27.4</v>
      </c>
      <c r="AC436" s="45">
        <v>32.2</v>
      </c>
      <c r="AD436" s="45">
        <v>29.2</v>
      </c>
      <c r="AE436" s="45">
        <v>28.1</v>
      </c>
      <c r="AF436" s="45">
        <v>32.3</v>
      </c>
      <c r="AG436" s="45">
        <v>27.2</v>
      </c>
      <c r="AH436" s="45">
        <v>31.2</v>
      </c>
      <c r="AI436" s="45">
        <v>30.7</v>
      </c>
      <c r="AJ436" s="45">
        <v>28.9</v>
      </c>
      <c r="AK436" s="45">
        <v>26.6</v>
      </c>
      <c r="AL436" s="45">
        <v>23.4</v>
      </c>
      <c r="AM436" s="45">
        <v>26.9</v>
      </c>
      <c r="AN436" s="45">
        <v>24.9</v>
      </c>
      <c r="AO436" s="45">
        <v>23.4</v>
      </c>
      <c r="AP436" s="45">
        <v>17.8</v>
      </c>
      <c r="AQ436" s="45">
        <v>0</v>
      </c>
      <c r="AR436" s="45">
        <v>0</v>
      </c>
      <c r="AS436" s="45">
        <v>0</v>
      </c>
      <c r="AT436" s="45">
        <v>0</v>
      </c>
      <c r="AU436" s="45">
        <v>0</v>
      </c>
      <c r="AV436" s="45">
        <v>0</v>
      </c>
      <c r="AW436" s="45">
        <v>0</v>
      </c>
      <c r="AX436" s="45">
        <v>0</v>
      </c>
      <c r="AY436" s="45">
        <v>0</v>
      </c>
      <c r="AZ436" s="45">
        <v>0</v>
      </c>
      <c r="BA436" s="45">
        <v>0</v>
      </c>
      <c r="BB436" s="45">
        <v>0</v>
      </c>
      <c r="BC436" s="45">
        <v>0</v>
      </c>
      <c r="BD436" s="45">
        <v>0</v>
      </c>
      <c r="BE436" s="45">
        <v>0</v>
      </c>
      <c r="BF436" s="45">
        <v>0</v>
      </c>
      <c r="BG436" s="45">
        <v>0</v>
      </c>
    </row>
    <row r="437" spans="1:59">
      <c r="A437" s="18" t="s">
        <v>150</v>
      </c>
      <c r="B437" s="18" t="s">
        <v>148</v>
      </c>
      <c r="C437" s="18" t="s">
        <v>70</v>
      </c>
      <c r="D437" s="45">
        <v>0</v>
      </c>
      <c r="E437" s="45">
        <v>0</v>
      </c>
      <c r="F437" s="45">
        <v>0</v>
      </c>
      <c r="G437" s="45">
        <v>0</v>
      </c>
      <c r="H437" s="45">
        <v>27</v>
      </c>
      <c r="I437" s="45">
        <v>21.7</v>
      </c>
      <c r="J437" s="45">
        <v>26.4</v>
      </c>
      <c r="K437" s="45">
        <v>25.2</v>
      </c>
      <c r="L437" s="45">
        <v>25.5</v>
      </c>
      <c r="M437" s="45">
        <v>24.4</v>
      </c>
      <c r="N437" s="45">
        <v>26.4</v>
      </c>
      <c r="O437" s="45">
        <v>26.7</v>
      </c>
      <c r="P437" s="45">
        <v>28.6</v>
      </c>
      <c r="Q437" s="45">
        <v>28.9</v>
      </c>
      <c r="R437" s="45">
        <v>29.5</v>
      </c>
      <c r="S437" s="45">
        <v>30.5</v>
      </c>
      <c r="T437" s="45">
        <v>29.7</v>
      </c>
      <c r="U437" s="45">
        <v>31</v>
      </c>
      <c r="V437" s="45">
        <v>31.1</v>
      </c>
      <c r="W437" s="45">
        <v>26.6</v>
      </c>
      <c r="X437" s="45">
        <v>30.3</v>
      </c>
      <c r="Y437" s="45">
        <v>29.1</v>
      </c>
      <c r="Z437" s="45">
        <v>24.6</v>
      </c>
      <c r="AA437" s="45">
        <v>22.3</v>
      </c>
      <c r="AB437" s="45">
        <v>23.2</v>
      </c>
      <c r="AC437" s="45">
        <v>25</v>
      </c>
      <c r="AD437" s="45">
        <v>25.9</v>
      </c>
      <c r="AE437" s="45">
        <v>23.6</v>
      </c>
      <c r="AF437" s="45">
        <v>30.1</v>
      </c>
      <c r="AG437" s="45">
        <v>26</v>
      </c>
      <c r="AH437" s="45">
        <v>24.6</v>
      </c>
      <c r="AI437" s="45">
        <v>24.1</v>
      </c>
      <c r="AJ437" s="45">
        <v>22.5</v>
      </c>
      <c r="AK437" s="45">
        <v>23</v>
      </c>
      <c r="AL437" s="45">
        <v>23.8</v>
      </c>
      <c r="AM437" s="45">
        <v>23.9</v>
      </c>
      <c r="AN437" s="45">
        <v>18.8</v>
      </c>
      <c r="AO437" s="45">
        <v>15.9</v>
      </c>
      <c r="AP437" s="45">
        <v>13.4</v>
      </c>
      <c r="AQ437" s="45">
        <v>0</v>
      </c>
      <c r="AR437" s="45">
        <v>0</v>
      </c>
      <c r="AS437" s="45">
        <v>0</v>
      </c>
      <c r="AT437" s="45">
        <v>0</v>
      </c>
      <c r="AU437" s="45">
        <v>0</v>
      </c>
      <c r="AV437" s="45">
        <v>0</v>
      </c>
      <c r="AW437" s="45">
        <v>0</v>
      </c>
      <c r="AX437" s="45">
        <v>0</v>
      </c>
      <c r="AY437" s="45">
        <v>0</v>
      </c>
      <c r="AZ437" s="45">
        <v>0</v>
      </c>
      <c r="BA437" s="45">
        <v>0</v>
      </c>
      <c r="BB437" s="45">
        <v>0</v>
      </c>
      <c r="BC437" s="45">
        <v>0</v>
      </c>
      <c r="BD437" s="45">
        <v>0</v>
      </c>
      <c r="BE437" s="45">
        <v>0</v>
      </c>
      <c r="BF437" s="45">
        <v>0</v>
      </c>
      <c r="BG437" s="45">
        <v>0</v>
      </c>
    </row>
    <row r="438" spans="1:59">
      <c r="A438" s="18" t="s">
        <v>151</v>
      </c>
      <c r="B438" s="18" t="s">
        <v>148</v>
      </c>
      <c r="C438" s="18" t="s">
        <v>72</v>
      </c>
      <c r="D438" s="45">
        <v>0</v>
      </c>
      <c r="E438" s="45">
        <v>0</v>
      </c>
      <c r="F438" s="45">
        <v>0</v>
      </c>
      <c r="G438" s="45">
        <v>0</v>
      </c>
      <c r="H438" s="45">
        <v>20.1</v>
      </c>
      <c r="I438" s="45">
        <v>22.4</v>
      </c>
      <c r="J438" s="45">
        <v>20.9</v>
      </c>
      <c r="K438" s="45">
        <v>23.2</v>
      </c>
      <c r="L438" s="45">
        <v>25.3</v>
      </c>
      <c r="M438" s="45">
        <v>21.7</v>
      </c>
      <c r="N438" s="45">
        <v>27.1</v>
      </c>
      <c r="O438" s="45">
        <v>24.2</v>
      </c>
      <c r="P438" s="45">
        <v>26.2</v>
      </c>
      <c r="Q438" s="45">
        <v>28.6</v>
      </c>
      <c r="R438" s="45">
        <v>27.4</v>
      </c>
      <c r="S438" s="45">
        <v>27.1</v>
      </c>
      <c r="T438" s="45">
        <v>23.6</v>
      </c>
      <c r="U438" s="45">
        <v>24.1</v>
      </c>
      <c r="V438" s="45">
        <v>25.9</v>
      </c>
      <c r="W438" s="45">
        <v>24.6</v>
      </c>
      <c r="X438" s="45">
        <v>23.6</v>
      </c>
      <c r="Y438" s="45">
        <v>21.1</v>
      </c>
      <c r="Z438" s="45">
        <v>23.5</v>
      </c>
      <c r="AA438" s="45">
        <v>20</v>
      </c>
      <c r="AB438" s="45">
        <v>21.6</v>
      </c>
      <c r="AC438" s="45">
        <v>20.7</v>
      </c>
      <c r="AD438" s="45">
        <v>25.4</v>
      </c>
      <c r="AE438" s="45">
        <v>24.9</v>
      </c>
      <c r="AF438" s="45">
        <v>24.3</v>
      </c>
      <c r="AG438" s="45">
        <v>24.7</v>
      </c>
      <c r="AH438" s="45">
        <v>22.5</v>
      </c>
      <c r="AI438" s="45">
        <v>23</v>
      </c>
      <c r="AJ438" s="45">
        <v>20.4</v>
      </c>
      <c r="AK438" s="45">
        <v>18.8</v>
      </c>
      <c r="AL438" s="45">
        <v>19.3</v>
      </c>
      <c r="AM438" s="45">
        <v>18.5</v>
      </c>
      <c r="AN438" s="45">
        <v>16.8</v>
      </c>
      <c r="AO438" s="45">
        <v>14.8</v>
      </c>
      <c r="AP438" s="45">
        <v>12.5</v>
      </c>
      <c r="AQ438" s="45">
        <v>0</v>
      </c>
      <c r="AR438" s="45">
        <v>0</v>
      </c>
      <c r="AS438" s="45">
        <v>0</v>
      </c>
      <c r="AT438" s="45">
        <v>0</v>
      </c>
      <c r="AU438" s="45">
        <v>0</v>
      </c>
      <c r="AV438" s="45">
        <v>0</v>
      </c>
      <c r="AW438" s="45">
        <v>0</v>
      </c>
      <c r="AX438" s="45">
        <v>0</v>
      </c>
      <c r="AY438" s="45">
        <v>0</v>
      </c>
      <c r="AZ438" s="45">
        <v>0</v>
      </c>
      <c r="BA438" s="45">
        <v>0</v>
      </c>
      <c r="BB438" s="45">
        <v>0</v>
      </c>
      <c r="BC438" s="45">
        <v>0</v>
      </c>
      <c r="BD438" s="45">
        <v>0</v>
      </c>
      <c r="BE438" s="45">
        <v>0</v>
      </c>
      <c r="BF438" s="45">
        <v>0</v>
      </c>
      <c r="BG438" s="45">
        <v>0</v>
      </c>
    </row>
    <row r="439" spans="1:59">
      <c r="A439" s="18" t="s">
        <v>152</v>
      </c>
      <c r="B439" s="18" t="s">
        <v>148</v>
      </c>
      <c r="C439" s="18" t="s">
        <v>74</v>
      </c>
      <c r="D439" s="45">
        <v>0</v>
      </c>
      <c r="E439" s="45">
        <v>0</v>
      </c>
      <c r="F439" s="45">
        <v>0</v>
      </c>
      <c r="G439" s="45">
        <v>35.6</v>
      </c>
      <c r="H439" s="45">
        <v>28.6</v>
      </c>
      <c r="I439" s="45">
        <v>26.9</v>
      </c>
      <c r="J439" s="45">
        <v>23.8</v>
      </c>
      <c r="K439" s="45">
        <v>24.3</v>
      </c>
      <c r="L439" s="45">
        <v>23.8</v>
      </c>
      <c r="M439" s="45">
        <v>24.6</v>
      </c>
      <c r="N439" s="45">
        <v>24.4</v>
      </c>
      <c r="O439" s="45">
        <v>24.7</v>
      </c>
      <c r="P439" s="45">
        <v>28.5</v>
      </c>
      <c r="Q439" s="45">
        <v>27.5</v>
      </c>
      <c r="R439" s="45">
        <v>24.5</v>
      </c>
      <c r="S439" s="45">
        <v>27.9</v>
      </c>
      <c r="T439" s="45">
        <v>27.6</v>
      </c>
      <c r="U439" s="45">
        <v>27.3</v>
      </c>
      <c r="V439" s="45">
        <v>26.6</v>
      </c>
      <c r="W439" s="45">
        <v>27.2</v>
      </c>
      <c r="X439" s="45">
        <v>24.7</v>
      </c>
      <c r="Y439" s="45">
        <v>24.6</v>
      </c>
      <c r="Z439" s="45">
        <v>22.1</v>
      </c>
      <c r="AA439" s="45">
        <v>23.4</v>
      </c>
      <c r="AB439" s="45">
        <v>23</v>
      </c>
      <c r="AC439" s="45">
        <v>20</v>
      </c>
      <c r="AD439" s="45">
        <v>25.2</v>
      </c>
      <c r="AE439" s="45">
        <v>22.5</v>
      </c>
      <c r="AF439" s="45">
        <v>23.2</v>
      </c>
      <c r="AG439" s="45">
        <v>23.2</v>
      </c>
      <c r="AH439" s="45">
        <v>21.1</v>
      </c>
      <c r="AI439" s="45">
        <v>23.2</v>
      </c>
      <c r="AJ439" s="45">
        <v>20.5</v>
      </c>
      <c r="AK439" s="45">
        <v>20</v>
      </c>
      <c r="AL439" s="45">
        <v>20.3</v>
      </c>
      <c r="AM439" s="45">
        <v>19.6</v>
      </c>
      <c r="AN439" s="45">
        <v>16.9</v>
      </c>
      <c r="AO439" s="45">
        <v>13.8</v>
      </c>
      <c r="AP439" s="45">
        <v>14.1</v>
      </c>
      <c r="AQ439" s="45">
        <v>0</v>
      </c>
      <c r="AR439" s="45">
        <v>0</v>
      </c>
      <c r="AS439" s="45">
        <v>0</v>
      </c>
      <c r="AT439" s="45">
        <v>0</v>
      </c>
      <c r="AU439" s="45">
        <v>0</v>
      </c>
      <c r="AV439" s="45">
        <v>0</v>
      </c>
      <c r="AW439" s="45">
        <v>0</v>
      </c>
      <c r="AX439" s="45">
        <v>0</v>
      </c>
      <c r="AY439" s="45">
        <v>0</v>
      </c>
      <c r="AZ439" s="45">
        <v>0</v>
      </c>
      <c r="BA439" s="45">
        <v>0</v>
      </c>
      <c r="BB439" s="45">
        <v>0</v>
      </c>
      <c r="BC439" s="45">
        <v>0</v>
      </c>
      <c r="BD439" s="45">
        <v>0</v>
      </c>
      <c r="BE439" s="45">
        <v>0</v>
      </c>
      <c r="BF439" s="45">
        <v>0</v>
      </c>
      <c r="BG439" s="45">
        <v>0</v>
      </c>
    </row>
    <row r="440" spans="1:59">
      <c r="A440" s="18" t="s">
        <v>153</v>
      </c>
      <c r="B440" s="18" t="s">
        <v>148</v>
      </c>
      <c r="C440" s="18" t="s">
        <v>76</v>
      </c>
      <c r="D440" s="45">
        <v>0</v>
      </c>
      <c r="E440" s="45">
        <v>0</v>
      </c>
      <c r="F440" s="45">
        <v>0</v>
      </c>
      <c r="G440" s="45">
        <v>25.9</v>
      </c>
      <c r="H440" s="45">
        <v>21</v>
      </c>
      <c r="I440" s="45">
        <v>21.5</v>
      </c>
      <c r="J440" s="45">
        <v>21.4</v>
      </c>
      <c r="K440" s="45">
        <v>20.8</v>
      </c>
      <c r="L440" s="45">
        <v>21.9</v>
      </c>
      <c r="M440" s="45">
        <v>24.9</v>
      </c>
      <c r="N440" s="45">
        <v>27.5</v>
      </c>
      <c r="O440" s="45">
        <v>25</v>
      </c>
      <c r="P440" s="45">
        <v>27.1</v>
      </c>
      <c r="Q440" s="45">
        <v>30.2</v>
      </c>
      <c r="R440" s="45">
        <v>27.4</v>
      </c>
      <c r="S440" s="45">
        <v>27.8</v>
      </c>
      <c r="T440" s="45">
        <v>30.8</v>
      </c>
      <c r="U440" s="45">
        <v>32.2</v>
      </c>
      <c r="V440" s="45">
        <v>28.1</v>
      </c>
      <c r="W440" s="45">
        <v>28.5</v>
      </c>
      <c r="X440" s="45">
        <v>28.5</v>
      </c>
      <c r="Y440" s="45">
        <v>27.3</v>
      </c>
      <c r="Z440" s="45">
        <v>24.5</v>
      </c>
      <c r="AA440" s="45">
        <v>25.2</v>
      </c>
      <c r="AB440" s="45">
        <v>28.5</v>
      </c>
      <c r="AC440" s="45">
        <v>27.6</v>
      </c>
      <c r="AD440" s="45">
        <v>28.6</v>
      </c>
      <c r="AE440" s="45">
        <v>20.8</v>
      </c>
      <c r="AF440" s="45">
        <v>28</v>
      </c>
      <c r="AG440" s="45">
        <v>26</v>
      </c>
      <c r="AH440" s="45">
        <v>25.7</v>
      </c>
      <c r="AI440" s="45">
        <v>28.5</v>
      </c>
      <c r="AJ440" s="45">
        <v>22.1</v>
      </c>
      <c r="AK440" s="45">
        <v>24.2</v>
      </c>
      <c r="AL440" s="45">
        <v>20.7</v>
      </c>
      <c r="AM440" s="45">
        <v>20.2</v>
      </c>
      <c r="AN440" s="45">
        <v>15.1</v>
      </c>
      <c r="AO440" s="45">
        <v>16.5</v>
      </c>
      <c r="AP440" s="45">
        <v>12.3</v>
      </c>
      <c r="AQ440" s="45">
        <v>0</v>
      </c>
      <c r="AR440" s="45">
        <v>0</v>
      </c>
      <c r="AS440" s="45">
        <v>0</v>
      </c>
      <c r="AT440" s="45">
        <v>0</v>
      </c>
      <c r="AU440" s="45">
        <v>0</v>
      </c>
      <c r="AV440" s="45">
        <v>0</v>
      </c>
      <c r="AW440" s="45">
        <v>0</v>
      </c>
      <c r="AX440" s="45">
        <v>0</v>
      </c>
      <c r="AY440" s="45">
        <v>0</v>
      </c>
      <c r="AZ440" s="45">
        <v>0</v>
      </c>
      <c r="BA440" s="45">
        <v>0</v>
      </c>
      <c r="BB440" s="45">
        <v>0</v>
      </c>
      <c r="BC440" s="45">
        <v>0</v>
      </c>
      <c r="BD440" s="45">
        <v>0</v>
      </c>
      <c r="BE440" s="45">
        <v>0</v>
      </c>
      <c r="BF440" s="45">
        <v>0</v>
      </c>
      <c r="BG440" s="45">
        <v>0</v>
      </c>
    </row>
    <row r="441" spans="1:59">
      <c r="A441" s="18" t="s">
        <v>154</v>
      </c>
      <c r="B441" s="18" t="s">
        <v>148</v>
      </c>
      <c r="C441" s="18" t="s">
        <v>78</v>
      </c>
      <c r="D441" s="45">
        <v>0</v>
      </c>
      <c r="E441" s="45">
        <v>0</v>
      </c>
      <c r="F441" s="45">
        <v>0</v>
      </c>
      <c r="G441" s="45">
        <v>0</v>
      </c>
      <c r="H441" s="45">
        <v>20.1</v>
      </c>
      <c r="I441" s="45">
        <v>23</v>
      </c>
      <c r="J441" s="45">
        <v>24</v>
      </c>
      <c r="K441" s="45">
        <v>23.8</v>
      </c>
      <c r="L441" s="45">
        <v>21</v>
      </c>
      <c r="M441" s="45">
        <v>24.8</v>
      </c>
      <c r="N441" s="45">
        <v>26.3</v>
      </c>
      <c r="O441" s="45">
        <v>23.8</v>
      </c>
      <c r="P441" s="45">
        <v>25</v>
      </c>
      <c r="Q441" s="45">
        <v>25.7</v>
      </c>
      <c r="R441" s="45">
        <v>27.1</v>
      </c>
      <c r="S441" s="45">
        <v>26.9</v>
      </c>
      <c r="T441" s="45">
        <v>26</v>
      </c>
      <c r="U441" s="45">
        <v>26.1</v>
      </c>
      <c r="V441" s="45">
        <v>25.1</v>
      </c>
      <c r="W441" s="45">
        <v>25.2</v>
      </c>
      <c r="X441" s="45">
        <v>22</v>
      </c>
      <c r="Y441" s="45">
        <v>27.4</v>
      </c>
      <c r="Z441" s="45">
        <v>22.1</v>
      </c>
      <c r="AA441" s="45">
        <v>19.3</v>
      </c>
      <c r="AB441" s="45">
        <v>23</v>
      </c>
      <c r="AC441" s="45">
        <v>21.3</v>
      </c>
      <c r="AD441" s="45">
        <v>22.2</v>
      </c>
      <c r="AE441" s="45">
        <v>23.9</v>
      </c>
      <c r="AF441" s="45">
        <v>24.3</v>
      </c>
      <c r="AG441" s="45">
        <v>25.6</v>
      </c>
      <c r="AH441" s="45">
        <v>22.3</v>
      </c>
      <c r="AI441" s="45">
        <v>22.2</v>
      </c>
      <c r="AJ441" s="45">
        <v>21.8</v>
      </c>
      <c r="AK441" s="45">
        <v>18.8</v>
      </c>
      <c r="AL441" s="45">
        <v>20.8</v>
      </c>
      <c r="AM441" s="45">
        <v>19.4</v>
      </c>
      <c r="AN441" s="45">
        <v>16.7</v>
      </c>
      <c r="AO441" s="45">
        <v>13.8</v>
      </c>
      <c r="AP441" s="45">
        <v>13</v>
      </c>
      <c r="AQ441" s="45">
        <v>0</v>
      </c>
      <c r="AR441" s="45">
        <v>0</v>
      </c>
      <c r="AS441" s="45">
        <v>0</v>
      </c>
      <c r="AT441" s="45">
        <v>0</v>
      </c>
      <c r="AU441" s="45">
        <v>0</v>
      </c>
      <c r="AV441" s="45">
        <v>0</v>
      </c>
      <c r="AW441" s="45">
        <v>0</v>
      </c>
      <c r="AX441" s="45">
        <v>0</v>
      </c>
      <c r="AY441" s="45">
        <v>0</v>
      </c>
      <c r="AZ441" s="45">
        <v>0</v>
      </c>
      <c r="BA441" s="45">
        <v>0</v>
      </c>
      <c r="BB441" s="45">
        <v>0</v>
      </c>
      <c r="BC441" s="45">
        <v>0</v>
      </c>
      <c r="BD441" s="45">
        <v>0</v>
      </c>
      <c r="BE441" s="45">
        <v>0</v>
      </c>
      <c r="BF441" s="45">
        <v>0</v>
      </c>
      <c r="BG441" s="45">
        <v>0</v>
      </c>
    </row>
    <row r="442" spans="1:59">
      <c r="A442" s="18" t="s">
        <v>155</v>
      </c>
      <c r="B442" s="18" t="s">
        <v>148</v>
      </c>
      <c r="C442" s="18" t="s">
        <v>80</v>
      </c>
      <c r="D442" s="45">
        <v>0</v>
      </c>
      <c r="E442" s="45">
        <v>0</v>
      </c>
      <c r="F442" s="45">
        <v>0</v>
      </c>
      <c r="G442" s="45">
        <v>0</v>
      </c>
      <c r="H442" s="45">
        <v>25.7</v>
      </c>
      <c r="I442" s="45">
        <v>18.6</v>
      </c>
      <c r="J442" s="45">
        <v>23.8</v>
      </c>
      <c r="K442" s="45">
        <v>25.2</v>
      </c>
      <c r="L442" s="45">
        <v>21.5</v>
      </c>
      <c r="M442" s="45">
        <v>23.1</v>
      </c>
      <c r="N442" s="45">
        <v>23.5</v>
      </c>
      <c r="O442" s="45">
        <v>25.6</v>
      </c>
      <c r="P442" s="45">
        <v>23.1</v>
      </c>
      <c r="Q442" s="45">
        <v>23.4</v>
      </c>
      <c r="R442" s="45">
        <v>27.1</v>
      </c>
      <c r="S442" s="45">
        <v>22.5</v>
      </c>
      <c r="T442" s="45">
        <v>25.9</v>
      </c>
      <c r="U442" s="45">
        <v>24.5</v>
      </c>
      <c r="V442" s="45">
        <v>22.5</v>
      </c>
      <c r="W442" s="45">
        <v>26.3</v>
      </c>
      <c r="X442" s="45">
        <v>23.5</v>
      </c>
      <c r="Y442" s="45">
        <v>22.8</v>
      </c>
      <c r="Z442" s="45">
        <v>19.7</v>
      </c>
      <c r="AA442" s="45">
        <v>17.2</v>
      </c>
      <c r="AB442" s="45">
        <v>19.5</v>
      </c>
      <c r="AC442" s="45">
        <v>18.8</v>
      </c>
      <c r="AD442" s="45">
        <v>20.6</v>
      </c>
      <c r="AE442" s="45">
        <v>21.5</v>
      </c>
      <c r="AF442" s="45">
        <v>20.6</v>
      </c>
      <c r="AG442" s="45">
        <v>21.7</v>
      </c>
      <c r="AH442" s="45">
        <v>24.1</v>
      </c>
      <c r="AI442" s="45">
        <v>23.7</v>
      </c>
      <c r="AJ442" s="45">
        <v>22.7</v>
      </c>
      <c r="AK442" s="45">
        <v>19.2</v>
      </c>
      <c r="AL442" s="45">
        <v>16.3</v>
      </c>
      <c r="AM442" s="45">
        <v>18.3</v>
      </c>
      <c r="AN442" s="45">
        <v>17.2</v>
      </c>
      <c r="AO442" s="45">
        <v>12.7</v>
      </c>
      <c r="AP442" s="45">
        <v>10.9</v>
      </c>
      <c r="AQ442" s="45">
        <v>0</v>
      </c>
      <c r="AR442" s="45">
        <v>0</v>
      </c>
      <c r="AS442" s="45">
        <v>0</v>
      </c>
      <c r="AT442" s="45">
        <v>0</v>
      </c>
      <c r="AU442" s="45">
        <v>0</v>
      </c>
      <c r="AV442" s="45">
        <v>0</v>
      </c>
      <c r="AW442" s="45">
        <v>0</v>
      </c>
      <c r="AX442" s="45">
        <v>0</v>
      </c>
      <c r="AY442" s="45">
        <v>0</v>
      </c>
      <c r="AZ442" s="45">
        <v>0</v>
      </c>
      <c r="BA442" s="45">
        <v>0</v>
      </c>
      <c r="BB442" s="45">
        <v>0</v>
      </c>
      <c r="BC442" s="45">
        <v>0</v>
      </c>
      <c r="BD442" s="45">
        <v>0</v>
      </c>
      <c r="BE442" s="45">
        <v>0</v>
      </c>
      <c r="BF442" s="45">
        <v>0</v>
      </c>
      <c r="BG442" s="45">
        <v>0</v>
      </c>
    </row>
    <row r="443" spans="1:59">
      <c r="A443" s="18" t="s">
        <v>156</v>
      </c>
      <c r="B443" s="18" t="s">
        <v>148</v>
      </c>
      <c r="C443" s="18" t="s">
        <v>82</v>
      </c>
      <c r="D443" s="45">
        <v>0</v>
      </c>
      <c r="E443" s="45">
        <v>0</v>
      </c>
      <c r="F443" s="45">
        <v>0</v>
      </c>
      <c r="G443" s="45">
        <v>37.8</v>
      </c>
      <c r="H443" s="45">
        <v>24.6</v>
      </c>
      <c r="I443" s="45">
        <v>22.4</v>
      </c>
      <c r="J443" s="45">
        <v>22.1</v>
      </c>
      <c r="K443" s="45">
        <v>18</v>
      </c>
      <c r="L443" s="45">
        <v>20.2</v>
      </c>
      <c r="M443" s="45">
        <v>19.4</v>
      </c>
      <c r="N443" s="45">
        <v>20.6</v>
      </c>
      <c r="O443" s="45">
        <v>23.4</v>
      </c>
      <c r="P443" s="45">
        <v>23.8</v>
      </c>
      <c r="Q443" s="45">
        <v>23.1</v>
      </c>
      <c r="R443" s="45">
        <v>24.3</v>
      </c>
      <c r="S443" s="45">
        <v>27.3</v>
      </c>
      <c r="T443" s="45">
        <v>27.4</v>
      </c>
      <c r="U443" s="45">
        <v>24.6</v>
      </c>
      <c r="V443" s="45">
        <v>26.2</v>
      </c>
      <c r="W443" s="45">
        <v>27.6</v>
      </c>
      <c r="X443" s="45">
        <v>22.4</v>
      </c>
      <c r="Y443" s="45">
        <v>24.3</v>
      </c>
      <c r="Z443" s="45">
        <v>22.6</v>
      </c>
      <c r="AA443" s="45">
        <v>21.7</v>
      </c>
      <c r="AB443" s="45">
        <v>25.1</v>
      </c>
      <c r="AC443" s="45">
        <v>23.2</v>
      </c>
      <c r="AD443" s="45">
        <v>25.1</v>
      </c>
      <c r="AE443" s="45">
        <v>27.9</v>
      </c>
      <c r="AF443" s="45">
        <v>22.8</v>
      </c>
      <c r="AG443" s="45">
        <v>22.5</v>
      </c>
      <c r="AH443" s="45">
        <v>22.4</v>
      </c>
      <c r="AI443" s="45">
        <v>23.9</v>
      </c>
      <c r="AJ443" s="45">
        <v>25.3</v>
      </c>
      <c r="AK443" s="45">
        <v>22</v>
      </c>
      <c r="AL443" s="45">
        <v>18.4</v>
      </c>
      <c r="AM443" s="45">
        <v>16.4</v>
      </c>
      <c r="AN443" s="45">
        <v>17.9</v>
      </c>
      <c r="AO443" s="45">
        <v>16.2</v>
      </c>
      <c r="AP443" s="45">
        <v>11.2</v>
      </c>
      <c r="AQ443" s="45">
        <v>0</v>
      </c>
      <c r="AR443" s="45">
        <v>0</v>
      </c>
      <c r="AS443" s="45">
        <v>0</v>
      </c>
      <c r="AT443" s="45">
        <v>0</v>
      </c>
      <c r="AU443" s="45">
        <v>0</v>
      </c>
      <c r="AV443" s="45">
        <v>0</v>
      </c>
      <c r="AW443" s="45">
        <v>0</v>
      </c>
      <c r="AX443" s="45">
        <v>0</v>
      </c>
      <c r="AY443" s="45">
        <v>0</v>
      </c>
      <c r="AZ443" s="45">
        <v>0</v>
      </c>
      <c r="BA443" s="45">
        <v>0</v>
      </c>
      <c r="BB443" s="45">
        <v>0</v>
      </c>
      <c r="BC443" s="45">
        <v>0</v>
      </c>
      <c r="BD443" s="45">
        <v>0</v>
      </c>
      <c r="BE443" s="45">
        <v>0</v>
      </c>
      <c r="BF443" s="45">
        <v>0</v>
      </c>
      <c r="BG443" s="45">
        <v>0</v>
      </c>
    </row>
    <row r="444" spans="1:59">
      <c r="A444" s="18" t="s">
        <v>157</v>
      </c>
      <c r="B444" s="18" t="s">
        <v>148</v>
      </c>
      <c r="C444" s="18" t="s">
        <v>84</v>
      </c>
      <c r="D444" s="45">
        <v>0</v>
      </c>
      <c r="E444" s="45">
        <v>0</v>
      </c>
      <c r="F444" s="45">
        <v>0</v>
      </c>
      <c r="G444" s="45">
        <v>0</v>
      </c>
      <c r="H444" s="45">
        <v>0</v>
      </c>
      <c r="I444" s="45">
        <v>8.199999999999999</v>
      </c>
      <c r="J444" s="45">
        <v>4.7</v>
      </c>
      <c r="K444" s="45">
        <v>5</v>
      </c>
      <c r="L444" s="45">
        <v>5.7</v>
      </c>
      <c r="M444" s="45">
        <v>6.8</v>
      </c>
      <c r="N444" s="45">
        <v>8</v>
      </c>
      <c r="O444" s="45">
        <v>9.699999999999999</v>
      </c>
      <c r="P444" s="45">
        <v>10.9</v>
      </c>
      <c r="Q444" s="45">
        <v>13</v>
      </c>
      <c r="R444" s="45">
        <v>12.4</v>
      </c>
      <c r="S444" s="45">
        <v>10.9</v>
      </c>
      <c r="T444" s="45">
        <v>13.9</v>
      </c>
      <c r="U444" s="45">
        <v>18</v>
      </c>
      <c r="V444" s="45">
        <v>13.4</v>
      </c>
      <c r="W444" s="45">
        <v>16</v>
      </c>
      <c r="X444" s="45">
        <v>13.5</v>
      </c>
      <c r="Y444" s="45">
        <v>12.7</v>
      </c>
      <c r="Z444" s="45">
        <v>11.8</v>
      </c>
      <c r="AA444" s="45">
        <v>9.5</v>
      </c>
      <c r="AB444" s="45">
        <v>8.699999999999999</v>
      </c>
      <c r="AC444" s="45">
        <v>14.3</v>
      </c>
      <c r="AD444" s="45">
        <v>11.3</v>
      </c>
      <c r="AE444" s="45">
        <v>11.3</v>
      </c>
      <c r="AF444" s="45">
        <v>13</v>
      </c>
      <c r="AG444" s="45">
        <v>11</v>
      </c>
      <c r="AH444" s="45">
        <v>13.7</v>
      </c>
      <c r="AI444" s="45">
        <v>11.8</v>
      </c>
      <c r="AJ444" s="45">
        <v>11.5</v>
      </c>
      <c r="AK444" s="45">
        <v>10.3</v>
      </c>
      <c r="AL444" s="45">
        <v>11.4</v>
      </c>
      <c r="AM444" s="45">
        <v>11.3</v>
      </c>
      <c r="AN444" s="45">
        <v>9.199999999999999</v>
      </c>
      <c r="AO444" s="45">
        <v>8.5</v>
      </c>
      <c r="AP444" s="45">
        <v>7.5</v>
      </c>
      <c r="AQ444" s="45">
        <v>8.4</v>
      </c>
      <c r="AR444" s="45">
        <v>8.6</v>
      </c>
      <c r="AS444" s="45">
        <v>0</v>
      </c>
      <c r="AT444" s="45">
        <v>0</v>
      </c>
      <c r="AU444" s="45">
        <v>0</v>
      </c>
      <c r="AV444" s="45">
        <v>0</v>
      </c>
      <c r="AW444" s="45">
        <v>0</v>
      </c>
      <c r="AX444" s="45">
        <v>0</v>
      </c>
      <c r="AY444" s="45">
        <v>0</v>
      </c>
      <c r="AZ444" s="45">
        <v>0</v>
      </c>
      <c r="BA444" s="45">
        <v>0</v>
      </c>
      <c r="BB444" s="45">
        <v>0</v>
      </c>
      <c r="BC444" s="45">
        <v>0</v>
      </c>
      <c r="BD444" s="45">
        <v>0</v>
      </c>
      <c r="BE444" s="45">
        <v>0</v>
      </c>
      <c r="BF444" s="45">
        <v>0</v>
      </c>
      <c r="BG444" s="45">
        <v>0</v>
      </c>
    </row>
    <row r="445" spans="1:59">
      <c r="A445" s="18" t="s">
        <v>158</v>
      </c>
      <c r="B445" s="18" t="s">
        <v>148</v>
      </c>
      <c r="C445" s="18" t="s">
        <v>86</v>
      </c>
      <c r="D445" s="45">
        <v>0</v>
      </c>
      <c r="E445" s="45">
        <v>0</v>
      </c>
      <c r="F445" s="45">
        <v>0</v>
      </c>
      <c r="G445" s="45">
        <v>0</v>
      </c>
      <c r="H445" s="45">
        <v>0</v>
      </c>
      <c r="I445" s="45">
        <v>9.300000000000001</v>
      </c>
      <c r="J445" s="45">
        <v>6.7</v>
      </c>
      <c r="K445" s="45">
        <v>6.5</v>
      </c>
      <c r="L445" s="45">
        <v>6.6</v>
      </c>
      <c r="M445" s="45">
        <v>6.9</v>
      </c>
      <c r="N445" s="45">
        <v>7.3</v>
      </c>
      <c r="O445" s="45">
        <v>7.4</v>
      </c>
      <c r="P445" s="45">
        <v>9</v>
      </c>
      <c r="Q445" s="45">
        <v>10.4</v>
      </c>
      <c r="R445" s="45">
        <v>10.4</v>
      </c>
      <c r="S445" s="45">
        <v>12.2</v>
      </c>
      <c r="T445" s="45">
        <v>14.8</v>
      </c>
      <c r="U445" s="45">
        <v>13.5</v>
      </c>
      <c r="V445" s="45">
        <v>13.9</v>
      </c>
      <c r="W445" s="45">
        <v>12.7</v>
      </c>
      <c r="X445" s="45">
        <v>13.5</v>
      </c>
      <c r="Y445" s="45">
        <v>11.6</v>
      </c>
      <c r="Z445" s="45">
        <v>12.6</v>
      </c>
      <c r="AA445" s="45">
        <v>11.2</v>
      </c>
      <c r="AB445" s="45">
        <v>8.300000000000001</v>
      </c>
      <c r="AC445" s="45">
        <v>9.300000000000001</v>
      </c>
      <c r="AD445" s="45">
        <v>9.699999999999999</v>
      </c>
      <c r="AE445" s="45">
        <v>12.6</v>
      </c>
      <c r="AF445" s="45">
        <v>12.1</v>
      </c>
      <c r="AG445" s="45">
        <v>14.6</v>
      </c>
      <c r="AH445" s="45">
        <v>15.4</v>
      </c>
      <c r="AI445" s="45">
        <v>14</v>
      </c>
      <c r="AJ445" s="45">
        <v>13.5</v>
      </c>
      <c r="AK445" s="45">
        <v>13.5</v>
      </c>
      <c r="AL445" s="45">
        <v>13.2</v>
      </c>
      <c r="AM445" s="45">
        <v>14.5</v>
      </c>
      <c r="AN445" s="45">
        <v>14.5</v>
      </c>
      <c r="AO445" s="45">
        <v>11.8</v>
      </c>
      <c r="AP445" s="45">
        <v>10.8</v>
      </c>
      <c r="AQ445" s="45">
        <v>9.6</v>
      </c>
      <c r="AR445" s="45">
        <v>7.4</v>
      </c>
      <c r="AS445" s="45">
        <v>0</v>
      </c>
      <c r="AT445" s="45">
        <v>0</v>
      </c>
      <c r="AU445" s="45">
        <v>0</v>
      </c>
      <c r="AV445" s="45">
        <v>0</v>
      </c>
      <c r="AW445" s="45">
        <v>0</v>
      </c>
      <c r="AX445" s="45">
        <v>0</v>
      </c>
      <c r="AY445" s="45">
        <v>0</v>
      </c>
      <c r="AZ445" s="45">
        <v>0</v>
      </c>
      <c r="BA445" s="45">
        <v>0</v>
      </c>
      <c r="BB445" s="45">
        <v>0</v>
      </c>
      <c r="BC445" s="45">
        <v>0</v>
      </c>
      <c r="BD445" s="45">
        <v>0</v>
      </c>
      <c r="BE445" s="45">
        <v>0</v>
      </c>
      <c r="BF445" s="45">
        <v>0</v>
      </c>
      <c r="BG445" s="45">
        <v>0</v>
      </c>
    </row>
    <row r="446" spans="1:59">
      <c r="A446" s="18" t="s">
        <v>159</v>
      </c>
      <c r="B446" s="18" t="s">
        <v>148</v>
      </c>
      <c r="C446" s="18" t="s">
        <v>88</v>
      </c>
      <c r="D446" s="45">
        <v>0</v>
      </c>
      <c r="E446" s="45">
        <v>0</v>
      </c>
      <c r="F446" s="45">
        <v>0</v>
      </c>
      <c r="G446" s="45">
        <v>0</v>
      </c>
      <c r="H446" s="45">
        <v>0</v>
      </c>
      <c r="I446" s="45">
        <v>9.199999999999999</v>
      </c>
      <c r="J446" s="45">
        <v>7.4</v>
      </c>
      <c r="K446" s="45">
        <v>7</v>
      </c>
      <c r="L446" s="45">
        <v>6.4</v>
      </c>
      <c r="M446" s="45">
        <v>6.6</v>
      </c>
      <c r="N446" s="45">
        <v>7.2</v>
      </c>
      <c r="O446" s="45">
        <v>8.4</v>
      </c>
      <c r="P446" s="45">
        <v>9.4</v>
      </c>
      <c r="Q446" s="45">
        <v>10</v>
      </c>
      <c r="R446" s="45">
        <v>11.9</v>
      </c>
      <c r="S446" s="45">
        <v>13</v>
      </c>
      <c r="T446" s="45">
        <v>14.3</v>
      </c>
      <c r="U446" s="45">
        <v>14.7</v>
      </c>
      <c r="V446" s="45">
        <v>14.8</v>
      </c>
      <c r="W446" s="45">
        <v>15.6</v>
      </c>
      <c r="X446" s="45">
        <v>15.5</v>
      </c>
      <c r="Y446" s="45">
        <v>14.8</v>
      </c>
      <c r="Z446" s="45">
        <v>11.8</v>
      </c>
      <c r="AA446" s="45">
        <v>7.8</v>
      </c>
      <c r="AB446" s="45">
        <v>9.800000000000001</v>
      </c>
      <c r="AC446" s="45">
        <v>11.6</v>
      </c>
      <c r="AD446" s="45">
        <v>10.2</v>
      </c>
      <c r="AE446" s="45">
        <v>11.7</v>
      </c>
      <c r="AF446" s="45">
        <v>11.4</v>
      </c>
      <c r="AG446" s="45">
        <v>11.9</v>
      </c>
      <c r="AH446" s="45">
        <v>13.7</v>
      </c>
      <c r="AI446" s="45">
        <v>12.8</v>
      </c>
      <c r="AJ446" s="45">
        <v>12.4</v>
      </c>
      <c r="AK446" s="45">
        <v>14.1</v>
      </c>
      <c r="AL446" s="45">
        <v>13.1</v>
      </c>
      <c r="AM446" s="45">
        <v>14.6</v>
      </c>
      <c r="AN446" s="45">
        <v>16.1</v>
      </c>
      <c r="AO446" s="45">
        <v>11.8</v>
      </c>
      <c r="AP446" s="45">
        <v>12.6</v>
      </c>
      <c r="AQ446" s="45">
        <v>11</v>
      </c>
      <c r="AR446" s="45">
        <v>8</v>
      </c>
      <c r="AS446" s="45">
        <v>0</v>
      </c>
      <c r="AT446" s="45">
        <v>0</v>
      </c>
      <c r="AU446" s="45">
        <v>0</v>
      </c>
      <c r="AV446" s="45">
        <v>0</v>
      </c>
      <c r="AW446" s="45">
        <v>0</v>
      </c>
      <c r="AX446" s="45">
        <v>0</v>
      </c>
      <c r="AY446" s="45">
        <v>0</v>
      </c>
      <c r="AZ446" s="45">
        <v>0</v>
      </c>
      <c r="BA446" s="45">
        <v>0</v>
      </c>
      <c r="BB446" s="45">
        <v>0</v>
      </c>
      <c r="BC446" s="45">
        <v>0</v>
      </c>
      <c r="BD446" s="45">
        <v>0</v>
      </c>
      <c r="BE446" s="45">
        <v>0</v>
      </c>
      <c r="BF446" s="45">
        <v>0</v>
      </c>
      <c r="BG446" s="45">
        <v>0</v>
      </c>
    </row>
    <row r="447" spans="1:59">
      <c r="A447" s="18" t="s">
        <v>160</v>
      </c>
      <c r="B447" s="18" t="s">
        <v>148</v>
      </c>
      <c r="C447" s="18" t="s">
        <v>90</v>
      </c>
      <c r="D447" s="45">
        <v>0</v>
      </c>
      <c r="E447" s="45">
        <v>0</v>
      </c>
      <c r="F447" s="45">
        <v>0</v>
      </c>
      <c r="G447" s="45">
        <v>0</v>
      </c>
      <c r="H447" s="45">
        <v>25.2</v>
      </c>
      <c r="I447" s="45">
        <v>13.2</v>
      </c>
      <c r="J447" s="45">
        <v>10.4</v>
      </c>
      <c r="K447" s="45">
        <v>11.9</v>
      </c>
      <c r="L447" s="45">
        <v>13.7</v>
      </c>
      <c r="M447" s="45">
        <v>15.2</v>
      </c>
      <c r="N447" s="45">
        <v>18</v>
      </c>
      <c r="O447" s="45">
        <v>21.3</v>
      </c>
      <c r="P447" s="45">
        <v>22.8</v>
      </c>
      <c r="Q447" s="45">
        <v>26.2</v>
      </c>
      <c r="R447" s="45">
        <v>26.8</v>
      </c>
      <c r="S447" s="45">
        <v>28.5</v>
      </c>
      <c r="T447" s="45">
        <v>25.4</v>
      </c>
      <c r="U447" s="45">
        <v>25.5</v>
      </c>
      <c r="V447" s="45">
        <v>27.6</v>
      </c>
      <c r="W447" s="45">
        <v>28</v>
      </c>
      <c r="X447" s="45">
        <v>31.9</v>
      </c>
      <c r="Y447" s="45">
        <v>27.6</v>
      </c>
      <c r="Z447" s="45">
        <v>26.5</v>
      </c>
      <c r="AA447" s="45">
        <v>24.7</v>
      </c>
      <c r="AB447" s="45">
        <v>21.9</v>
      </c>
      <c r="AC447" s="45">
        <v>22.8</v>
      </c>
      <c r="AD447" s="45">
        <v>21.6</v>
      </c>
      <c r="AE447" s="45">
        <v>23</v>
      </c>
      <c r="AF447" s="45">
        <v>26.9</v>
      </c>
      <c r="AG447" s="45">
        <v>25.7</v>
      </c>
      <c r="AH447" s="45">
        <v>27.7</v>
      </c>
      <c r="AI447" s="45">
        <v>25.9</v>
      </c>
      <c r="AJ447" s="45">
        <v>22.7</v>
      </c>
      <c r="AK447" s="45">
        <v>21.2</v>
      </c>
      <c r="AL447" s="45">
        <v>24.1</v>
      </c>
      <c r="AM447" s="45">
        <v>23.5</v>
      </c>
      <c r="AN447" s="45">
        <v>23.8</v>
      </c>
      <c r="AO447" s="45">
        <v>21.1</v>
      </c>
      <c r="AP447" s="45">
        <v>23.2</v>
      </c>
      <c r="AQ447" s="45">
        <v>21.3</v>
      </c>
      <c r="AR447" s="45">
        <v>13.9</v>
      </c>
      <c r="AS447" s="45">
        <v>0</v>
      </c>
      <c r="AT447" s="45">
        <v>0</v>
      </c>
      <c r="AU447" s="45">
        <v>0</v>
      </c>
      <c r="AV447" s="45">
        <v>0</v>
      </c>
      <c r="AW447" s="45">
        <v>0</v>
      </c>
      <c r="AX447" s="45">
        <v>0</v>
      </c>
      <c r="AY447" s="45">
        <v>0</v>
      </c>
      <c r="AZ447" s="45">
        <v>0</v>
      </c>
      <c r="BA447" s="45">
        <v>0</v>
      </c>
      <c r="BB447" s="45">
        <v>0</v>
      </c>
      <c r="BC447" s="45">
        <v>0</v>
      </c>
      <c r="BD447" s="45">
        <v>0</v>
      </c>
      <c r="BE447" s="45">
        <v>0</v>
      </c>
      <c r="BF447" s="45">
        <v>0</v>
      </c>
      <c r="BG447" s="45">
        <v>0</v>
      </c>
    </row>
    <row r="448" spans="1:59">
      <c r="A448" s="18" t="s">
        <v>161</v>
      </c>
      <c r="B448" s="18" t="s">
        <v>162</v>
      </c>
      <c r="C448" s="18" t="s">
        <v>66</v>
      </c>
      <c r="D448" s="45">
        <v>0</v>
      </c>
      <c r="E448" s="45">
        <v>0</v>
      </c>
      <c r="F448" s="45">
        <v>0</v>
      </c>
      <c r="G448" s="45">
        <v>0</v>
      </c>
      <c r="H448" s="45">
        <v>0</v>
      </c>
      <c r="I448" s="45">
        <v>14.1</v>
      </c>
      <c r="J448" s="45">
        <v>11.6</v>
      </c>
      <c r="K448" s="45">
        <v>12.8</v>
      </c>
      <c r="L448" s="45">
        <v>11.7</v>
      </c>
      <c r="M448" s="45">
        <v>11.4</v>
      </c>
      <c r="N448" s="45">
        <v>11.8</v>
      </c>
      <c r="O448" s="45">
        <v>11.3</v>
      </c>
      <c r="P448" s="45">
        <v>11.2</v>
      </c>
      <c r="Q448" s="45">
        <v>11.4</v>
      </c>
      <c r="R448" s="45">
        <v>12.2</v>
      </c>
      <c r="S448" s="45">
        <v>11.5</v>
      </c>
      <c r="T448" s="45">
        <v>11.3</v>
      </c>
      <c r="U448" s="45">
        <v>12.1</v>
      </c>
      <c r="V448" s="45">
        <v>12.2</v>
      </c>
      <c r="W448" s="45">
        <v>12.7</v>
      </c>
      <c r="X448" s="45">
        <v>13.9</v>
      </c>
      <c r="Y448" s="45">
        <v>12.9</v>
      </c>
      <c r="Z448" s="45">
        <v>12.9</v>
      </c>
      <c r="AA448" s="45">
        <v>12.6</v>
      </c>
      <c r="AB448" s="45">
        <v>11.6</v>
      </c>
      <c r="AC448" s="45">
        <v>11.4</v>
      </c>
      <c r="AD448" s="45">
        <v>12.1</v>
      </c>
      <c r="AE448" s="45">
        <v>12.1</v>
      </c>
      <c r="AF448" s="45">
        <v>11.9</v>
      </c>
      <c r="AG448" s="45">
        <v>11.9</v>
      </c>
      <c r="AH448" s="45">
        <v>12.2</v>
      </c>
      <c r="AI448" s="45">
        <v>12</v>
      </c>
      <c r="AJ448" s="45">
        <v>12.2</v>
      </c>
      <c r="AK448" s="45">
        <v>11.7</v>
      </c>
      <c r="AL448" s="45">
        <v>11.9</v>
      </c>
      <c r="AM448" s="45">
        <v>11.5</v>
      </c>
      <c r="AN448" s="45">
        <v>12</v>
      </c>
      <c r="AO448" s="45">
        <v>11.6</v>
      </c>
      <c r="AP448" s="45">
        <v>10.6</v>
      </c>
      <c r="AQ448" s="45">
        <v>9.9</v>
      </c>
      <c r="AR448" s="45">
        <v>9.1</v>
      </c>
      <c r="AS448" s="45">
        <v>7.6</v>
      </c>
      <c r="AT448" s="45">
        <v>0</v>
      </c>
      <c r="AU448" s="45">
        <v>0</v>
      </c>
      <c r="AV448" s="45">
        <v>0</v>
      </c>
      <c r="AW448" s="45">
        <v>0</v>
      </c>
      <c r="AX448" s="45">
        <v>0</v>
      </c>
      <c r="AY448" s="45">
        <v>0</v>
      </c>
      <c r="AZ448" s="45">
        <v>0</v>
      </c>
      <c r="BA448" s="45">
        <v>0</v>
      </c>
      <c r="BB448" s="45">
        <v>0</v>
      </c>
      <c r="BC448" s="45">
        <v>0</v>
      </c>
      <c r="BD448" s="45">
        <v>0</v>
      </c>
      <c r="BE448" s="45">
        <v>0</v>
      </c>
      <c r="BF448" s="45">
        <v>0</v>
      </c>
      <c r="BG448" s="45">
        <v>0</v>
      </c>
    </row>
    <row r="449" spans="1:59">
      <c r="A449" s="18" t="s">
        <v>163</v>
      </c>
      <c r="B449" s="18" t="s">
        <v>162</v>
      </c>
      <c r="C449" s="18" t="s">
        <v>68</v>
      </c>
      <c r="D449" s="45">
        <v>0</v>
      </c>
      <c r="E449" s="45">
        <v>0</v>
      </c>
      <c r="F449" s="45">
        <v>0</v>
      </c>
      <c r="G449" s="45">
        <v>0</v>
      </c>
      <c r="H449" s="45">
        <v>0</v>
      </c>
      <c r="I449" s="45">
        <v>0</v>
      </c>
      <c r="J449" s="45">
        <v>12</v>
      </c>
      <c r="K449" s="45">
        <v>15.8</v>
      </c>
      <c r="L449" s="45">
        <v>13.6</v>
      </c>
      <c r="M449" s="45">
        <v>13.4</v>
      </c>
      <c r="N449" s="45">
        <v>11.8</v>
      </c>
      <c r="O449" s="45">
        <v>12.8</v>
      </c>
      <c r="P449" s="45">
        <v>12.9</v>
      </c>
      <c r="Q449" s="45">
        <v>13.4</v>
      </c>
      <c r="R449" s="45">
        <v>13.3</v>
      </c>
      <c r="S449" s="45">
        <v>13.5</v>
      </c>
      <c r="T449" s="45">
        <v>12.7</v>
      </c>
      <c r="U449" s="45">
        <v>12.4</v>
      </c>
      <c r="V449" s="45">
        <v>13.2</v>
      </c>
      <c r="W449" s="45">
        <v>13.6</v>
      </c>
      <c r="X449" s="45">
        <v>14.7</v>
      </c>
      <c r="Y449" s="45">
        <v>14.8</v>
      </c>
      <c r="Z449" s="45">
        <v>15.2</v>
      </c>
      <c r="AA449" s="45">
        <v>12.2</v>
      </c>
      <c r="AB449" s="45">
        <v>12.6</v>
      </c>
      <c r="AC449" s="45">
        <v>11.3</v>
      </c>
      <c r="AD449" s="45">
        <v>14</v>
      </c>
      <c r="AE449" s="45">
        <v>13.6</v>
      </c>
      <c r="AF449" s="45">
        <v>13.1</v>
      </c>
      <c r="AG449" s="45">
        <v>13.8</v>
      </c>
      <c r="AH449" s="45">
        <v>14.7</v>
      </c>
      <c r="AI449" s="45">
        <v>15</v>
      </c>
      <c r="AJ449" s="45">
        <v>13.2</v>
      </c>
      <c r="AK449" s="45">
        <v>16.7</v>
      </c>
      <c r="AL449" s="45">
        <v>11</v>
      </c>
      <c r="AM449" s="45">
        <v>12.5</v>
      </c>
      <c r="AN449" s="45">
        <v>13.6</v>
      </c>
      <c r="AO449" s="45">
        <v>13.4</v>
      </c>
      <c r="AP449" s="45">
        <v>9.699999999999999</v>
      </c>
      <c r="AQ449" s="45">
        <v>12.6</v>
      </c>
      <c r="AR449" s="45">
        <v>11.2</v>
      </c>
      <c r="AS449" s="45">
        <v>0</v>
      </c>
      <c r="AT449" s="45">
        <v>0</v>
      </c>
      <c r="AU449" s="45">
        <v>0</v>
      </c>
      <c r="AV449" s="45">
        <v>0</v>
      </c>
      <c r="AW449" s="45">
        <v>0</v>
      </c>
      <c r="AX449" s="45">
        <v>0</v>
      </c>
      <c r="AY449" s="45">
        <v>0</v>
      </c>
      <c r="AZ449" s="45">
        <v>0</v>
      </c>
      <c r="BA449" s="45">
        <v>0</v>
      </c>
      <c r="BB449" s="45">
        <v>0</v>
      </c>
      <c r="BC449" s="45">
        <v>0</v>
      </c>
      <c r="BD449" s="45">
        <v>0</v>
      </c>
      <c r="BE449" s="45">
        <v>0</v>
      </c>
      <c r="BF449" s="45">
        <v>0</v>
      </c>
      <c r="BG449" s="45">
        <v>0</v>
      </c>
    </row>
    <row r="450" spans="1:59">
      <c r="A450" s="18" t="s">
        <v>164</v>
      </c>
      <c r="B450" s="18" t="s">
        <v>162</v>
      </c>
      <c r="C450" s="18" t="s">
        <v>70</v>
      </c>
      <c r="D450" s="45">
        <v>0</v>
      </c>
      <c r="E450" s="45">
        <v>0</v>
      </c>
      <c r="F450" s="45">
        <v>0</v>
      </c>
      <c r="G450" s="45">
        <v>0</v>
      </c>
      <c r="H450" s="45">
        <v>0</v>
      </c>
      <c r="I450" s="45">
        <v>0</v>
      </c>
      <c r="J450" s="45">
        <v>11.4</v>
      </c>
      <c r="K450" s="45">
        <v>14.8</v>
      </c>
      <c r="L450" s="45">
        <v>11.9</v>
      </c>
      <c r="M450" s="45">
        <v>13.1</v>
      </c>
      <c r="N450" s="45">
        <v>12.9</v>
      </c>
      <c r="O450" s="45">
        <v>10.8</v>
      </c>
      <c r="P450" s="45">
        <v>11.8</v>
      </c>
      <c r="Q450" s="45">
        <v>13.2</v>
      </c>
      <c r="R450" s="45">
        <v>17.5</v>
      </c>
      <c r="S450" s="45">
        <v>12.9</v>
      </c>
      <c r="T450" s="45">
        <v>12.1</v>
      </c>
      <c r="U450" s="45">
        <v>13.8</v>
      </c>
      <c r="V450" s="45">
        <v>15.9</v>
      </c>
      <c r="W450" s="45">
        <v>15.8</v>
      </c>
      <c r="X450" s="45">
        <v>15.7</v>
      </c>
      <c r="Y450" s="45">
        <v>14.1</v>
      </c>
      <c r="Z450" s="45">
        <v>18.9</v>
      </c>
      <c r="AA450" s="45">
        <v>15.8</v>
      </c>
      <c r="AB450" s="45">
        <v>15.4</v>
      </c>
      <c r="AC450" s="45">
        <v>12.9</v>
      </c>
      <c r="AD450" s="45">
        <v>14.7</v>
      </c>
      <c r="AE450" s="45">
        <v>16.3</v>
      </c>
      <c r="AF450" s="45">
        <v>15.6</v>
      </c>
      <c r="AG450" s="45">
        <v>14.4</v>
      </c>
      <c r="AH450" s="45">
        <v>16.9</v>
      </c>
      <c r="AI450" s="45">
        <v>15.3</v>
      </c>
      <c r="AJ450" s="45">
        <v>15.1</v>
      </c>
      <c r="AK450" s="45">
        <v>12.3</v>
      </c>
      <c r="AL450" s="45">
        <v>14.1</v>
      </c>
      <c r="AM450" s="45">
        <v>12.7</v>
      </c>
      <c r="AN450" s="45">
        <v>15</v>
      </c>
      <c r="AO450" s="45">
        <v>11.7</v>
      </c>
      <c r="AP450" s="45">
        <v>13.5</v>
      </c>
      <c r="AQ450" s="45">
        <v>12.5</v>
      </c>
      <c r="AR450" s="45">
        <v>11.3</v>
      </c>
      <c r="AS450" s="45">
        <v>0</v>
      </c>
      <c r="AT450" s="45">
        <v>0</v>
      </c>
      <c r="AU450" s="45">
        <v>0</v>
      </c>
      <c r="AV450" s="45">
        <v>0</v>
      </c>
      <c r="AW450" s="45">
        <v>0</v>
      </c>
      <c r="AX450" s="45">
        <v>0</v>
      </c>
      <c r="AY450" s="45">
        <v>0</v>
      </c>
      <c r="AZ450" s="45">
        <v>0</v>
      </c>
      <c r="BA450" s="45">
        <v>0</v>
      </c>
      <c r="BB450" s="45">
        <v>0</v>
      </c>
      <c r="BC450" s="45">
        <v>0</v>
      </c>
      <c r="BD450" s="45">
        <v>0</v>
      </c>
      <c r="BE450" s="45">
        <v>0</v>
      </c>
      <c r="BF450" s="45">
        <v>0</v>
      </c>
      <c r="BG450" s="45">
        <v>0</v>
      </c>
    </row>
    <row r="451" spans="1:59">
      <c r="A451" s="18" t="s">
        <v>165</v>
      </c>
      <c r="B451" s="18" t="s">
        <v>162</v>
      </c>
      <c r="C451" s="18" t="s">
        <v>72</v>
      </c>
      <c r="D451" s="45">
        <v>0</v>
      </c>
      <c r="E451" s="45">
        <v>0</v>
      </c>
      <c r="F451" s="45">
        <v>0</v>
      </c>
      <c r="G451" s="45">
        <v>0</v>
      </c>
      <c r="H451" s="45">
        <v>0</v>
      </c>
      <c r="I451" s="45">
        <v>0</v>
      </c>
      <c r="J451" s="45">
        <v>14.2</v>
      </c>
      <c r="K451" s="45">
        <v>12.9</v>
      </c>
      <c r="L451" s="45">
        <v>16.2</v>
      </c>
      <c r="M451" s="45">
        <v>13</v>
      </c>
      <c r="N451" s="45">
        <v>12.7</v>
      </c>
      <c r="O451" s="45">
        <v>12.4</v>
      </c>
      <c r="P451" s="45">
        <v>11.9</v>
      </c>
      <c r="Q451" s="45">
        <v>12.3</v>
      </c>
      <c r="R451" s="45">
        <v>11.5</v>
      </c>
      <c r="S451" s="45">
        <v>12.7</v>
      </c>
      <c r="T451" s="45">
        <v>11.9</v>
      </c>
      <c r="U451" s="45">
        <v>15.9</v>
      </c>
      <c r="V451" s="45">
        <v>14.7</v>
      </c>
      <c r="W451" s="45">
        <v>13.5</v>
      </c>
      <c r="X451" s="45">
        <v>16.8</v>
      </c>
      <c r="Y451" s="45">
        <v>15</v>
      </c>
      <c r="Z451" s="45">
        <v>14.6</v>
      </c>
      <c r="AA451" s="45">
        <v>15.3</v>
      </c>
      <c r="AB451" s="45">
        <v>14.7</v>
      </c>
      <c r="AC451" s="45">
        <v>12.6</v>
      </c>
      <c r="AD451" s="45">
        <v>14.1</v>
      </c>
      <c r="AE451" s="45">
        <v>14</v>
      </c>
      <c r="AF451" s="45">
        <v>13.6</v>
      </c>
      <c r="AG451" s="45">
        <v>13</v>
      </c>
      <c r="AH451" s="45">
        <v>11.8</v>
      </c>
      <c r="AI451" s="45">
        <v>10.4</v>
      </c>
      <c r="AJ451" s="45">
        <v>14.2</v>
      </c>
      <c r="AK451" s="45">
        <v>11.3</v>
      </c>
      <c r="AL451" s="45">
        <v>10.8</v>
      </c>
      <c r="AM451" s="45">
        <v>12.8</v>
      </c>
      <c r="AN451" s="45">
        <v>11.6</v>
      </c>
      <c r="AO451" s="45">
        <v>13.4</v>
      </c>
      <c r="AP451" s="45">
        <v>11.8</v>
      </c>
      <c r="AQ451" s="45">
        <v>8</v>
      </c>
      <c r="AR451" s="45">
        <v>9.5</v>
      </c>
      <c r="AS451" s="45">
        <v>0</v>
      </c>
      <c r="AT451" s="45">
        <v>0</v>
      </c>
      <c r="AU451" s="45">
        <v>0</v>
      </c>
      <c r="AV451" s="45">
        <v>0</v>
      </c>
      <c r="AW451" s="45">
        <v>0</v>
      </c>
      <c r="AX451" s="45">
        <v>0</v>
      </c>
      <c r="AY451" s="45">
        <v>0</v>
      </c>
      <c r="AZ451" s="45">
        <v>0</v>
      </c>
      <c r="BA451" s="45">
        <v>0</v>
      </c>
      <c r="BB451" s="45">
        <v>0</v>
      </c>
      <c r="BC451" s="45">
        <v>0</v>
      </c>
      <c r="BD451" s="45">
        <v>0</v>
      </c>
      <c r="BE451" s="45">
        <v>0</v>
      </c>
      <c r="BF451" s="45">
        <v>0</v>
      </c>
      <c r="BG451" s="45">
        <v>0</v>
      </c>
    </row>
    <row r="452" spans="1:59">
      <c r="A452" s="18" t="s">
        <v>166</v>
      </c>
      <c r="B452" s="18" t="s">
        <v>162</v>
      </c>
      <c r="C452" s="18" t="s">
        <v>74</v>
      </c>
      <c r="D452" s="45">
        <v>0</v>
      </c>
      <c r="E452" s="45">
        <v>0</v>
      </c>
      <c r="F452" s="45">
        <v>0</v>
      </c>
      <c r="G452" s="45">
        <v>0</v>
      </c>
      <c r="H452" s="45">
        <v>0</v>
      </c>
      <c r="I452" s="45">
        <v>0</v>
      </c>
      <c r="J452" s="45">
        <v>14.9</v>
      </c>
      <c r="K452" s="45">
        <v>14.4</v>
      </c>
      <c r="L452" s="45">
        <v>13.9</v>
      </c>
      <c r="M452" s="45">
        <v>16.6</v>
      </c>
      <c r="N452" s="45">
        <v>15.5</v>
      </c>
      <c r="O452" s="45">
        <v>16.4</v>
      </c>
      <c r="P452" s="45">
        <v>14.1</v>
      </c>
      <c r="Q452" s="45">
        <v>13.7</v>
      </c>
      <c r="R452" s="45">
        <v>15</v>
      </c>
      <c r="S452" s="45">
        <v>14.3</v>
      </c>
      <c r="T452" s="45">
        <v>14.7</v>
      </c>
      <c r="U452" s="45">
        <v>15.7</v>
      </c>
      <c r="V452" s="45">
        <v>15.9</v>
      </c>
      <c r="W452" s="45">
        <v>12.9</v>
      </c>
      <c r="X452" s="45">
        <v>18.5</v>
      </c>
      <c r="Y452" s="45">
        <v>19</v>
      </c>
      <c r="Z452" s="45">
        <v>16</v>
      </c>
      <c r="AA452" s="45">
        <v>13.8</v>
      </c>
      <c r="AB452" s="45">
        <v>10.9</v>
      </c>
      <c r="AC452" s="45">
        <v>12.5</v>
      </c>
      <c r="AD452" s="45">
        <v>14.3</v>
      </c>
      <c r="AE452" s="45">
        <v>14.6</v>
      </c>
      <c r="AF452" s="45">
        <v>14.9</v>
      </c>
      <c r="AG452" s="45">
        <v>13.1</v>
      </c>
      <c r="AH452" s="45">
        <v>14.6</v>
      </c>
      <c r="AI452" s="45">
        <v>14.9</v>
      </c>
      <c r="AJ452" s="45">
        <v>13.5</v>
      </c>
      <c r="AK452" s="45">
        <v>14.8</v>
      </c>
      <c r="AL452" s="45">
        <v>13.5</v>
      </c>
      <c r="AM452" s="45">
        <v>17.3</v>
      </c>
      <c r="AN452" s="45">
        <v>14.2</v>
      </c>
      <c r="AO452" s="45">
        <v>14.2</v>
      </c>
      <c r="AP452" s="45">
        <v>13</v>
      </c>
      <c r="AQ452" s="45">
        <v>11.9</v>
      </c>
      <c r="AR452" s="45">
        <v>9.4</v>
      </c>
      <c r="AS452" s="45">
        <v>0</v>
      </c>
      <c r="AT452" s="45">
        <v>0</v>
      </c>
      <c r="AU452" s="45">
        <v>0</v>
      </c>
      <c r="AV452" s="45">
        <v>0</v>
      </c>
      <c r="AW452" s="45">
        <v>0</v>
      </c>
      <c r="AX452" s="45">
        <v>0</v>
      </c>
      <c r="AY452" s="45">
        <v>0</v>
      </c>
      <c r="AZ452" s="45">
        <v>0</v>
      </c>
      <c r="BA452" s="45">
        <v>0</v>
      </c>
      <c r="BB452" s="45">
        <v>0</v>
      </c>
      <c r="BC452" s="45">
        <v>0</v>
      </c>
      <c r="BD452" s="45">
        <v>0</v>
      </c>
      <c r="BE452" s="45">
        <v>0</v>
      </c>
      <c r="BF452" s="45">
        <v>0</v>
      </c>
      <c r="BG452" s="45">
        <v>0</v>
      </c>
    </row>
    <row r="453" spans="1:59">
      <c r="A453" s="18" t="s">
        <v>167</v>
      </c>
      <c r="B453" s="18" t="s">
        <v>162</v>
      </c>
      <c r="C453" s="18" t="s">
        <v>76</v>
      </c>
      <c r="D453" s="45">
        <v>0</v>
      </c>
      <c r="E453" s="45">
        <v>0</v>
      </c>
      <c r="F453" s="45">
        <v>0</v>
      </c>
      <c r="G453" s="45">
        <v>0</v>
      </c>
      <c r="H453" s="45">
        <v>0</v>
      </c>
      <c r="I453" s="45">
        <v>0</v>
      </c>
      <c r="J453" s="45">
        <v>13.2</v>
      </c>
      <c r="K453" s="45">
        <v>14.6</v>
      </c>
      <c r="L453" s="45">
        <v>11.2</v>
      </c>
      <c r="M453" s="45">
        <v>11.8</v>
      </c>
      <c r="N453" s="45">
        <v>12.8</v>
      </c>
      <c r="O453" s="45">
        <v>11.2</v>
      </c>
      <c r="P453" s="45">
        <v>10.8</v>
      </c>
      <c r="Q453" s="45">
        <v>11.4</v>
      </c>
      <c r="R453" s="45">
        <v>14.7</v>
      </c>
      <c r="S453" s="45">
        <v>13.2</v>
      </c>
      <c r="T453" s="45">
        <v>12.9</v>
      </c>
      <c r="U453" s="45">
        <v>14.1</v>
      </c>
      <c r="V453" s="45">
        <v>10.6</v>
      </c>
      <c r="W453" s="45">
        <v>16.5</v>
      </c>
      <c r="X453" s="45">
        <v>14.6</v>
      </c>
      <c r="Y453" s="45">
        <v>14.3</v>
      </c>
      <c r="Z453" s="45">
        <v>10.9</v>
      </c>
      <c r="AA453" s="45">
        <v>13.6</v>
      </c>
      <c r="AB453" s="45">
        <v>13.5</v>
      </c>
      <c r="AC453" s="45">
        <v>14.8</v>
      </c>
      <c r="AD453" s="45">
        <v>16.2</v>
      </c>
      <c r="AE453" s="45">
        <v>13.6</v>
      </c>
      <c r="AF453" s="45">
        <v>12.4</v>
      </c>
      <c r="AG453" s="45">
        <v>13.9</v>
      </c>
      <c r="AH453" s="45">
        <v>13.8</v>
      </c>
      <c r="AI453" s="45">
        <v>15.9</v>
      </c>
      <c r="AJ453" s="45">
        <v>15.4</v>
      </c>
      <c r="AK453" s="45">
        <v>15.6</v>
      </c>
      <c r="AL453" s="45">
        <v>11.7</v>
      </c>
      <c r="AM453" s="45">
        <v>14.1</v>
      </c>
      <c r="AN453" s="45">
        <v>14</v>
      </c>
      <c r="AO453" s="45">
        <v>14</v>
      </c>
      <c r="AP453" s="45">
        <v>11</v>
      </c>
      <c r="AQ453" s="45">
        <v>8.300000000000001</v>
      </c>
      <c r="AR453" s="45">
        <v>0</v>
      </c>
      <c r="AS453" s="45">
        <v>0</v>
      </c>
      <c r="AT453" s="45">
        <v>0</v>
      </c>
      <c r="AU453" s="45">
        <v>0</v>
      </c>
      <c r="AV453" s="45">
        <v>0</v>
      </c>
      <c r="AW453" s="45">
        <v>0</v>
      </c>
      <c r="AX453" s="45">
        <v>0</v>
      </c>
      <c r="AY453" s="45">
        <v>0</v>
      </c>
      <c r="AZ453" s="45">
        <v>0</v>
      </c>
      <c r="BA453" s="45">
        <v>0</v>
      </c>
      <c r="BB453" s="45">
        <v>0</v>
      </c>
      <c r="BC453" s="45">
        <v>0</v>
      </c>
      <c r="BD453" s="45">
        <v>0</v>
      </c>
      <c r="BE453" s="45">
        <v>0</v>
      </c>
      <c r="BF453" s="45">
        <v>0</v>
      </c>
      <c r="BG453" s="45">
        <v>0</v>
      </c>
    </row>
    <row r="454" spans="1:59">
      <c r="A454" s="18" t="s">
        <v>168</v>
      </c>
      <c r="B454" s="18" t="s">
        <v>162</v>
      </c>
      <c r="C454" s="18" t="s">
        <v>78</v>
      </c>
      <c r="D454" s="45">
        <v>0</v>
      </c>
      <c r="E454" s="45">
        <v>0</v>
      </c>
      <c r="F454" s="45">
        <v>0</v>
      </c>
      <c r="G454" s="45">
        <v>0</v>
      </c>
      <c r="H454" s="45">
        <v>0</v>
      </c>
      <c r="I454" s="45">
        <v>0</v>
      </c>
      <c r="J454" s="45">
        <v>14.8</v>
      </c>
      <c r="K454" s="45">
        <v>13.6</v>
      </c>
      <c r="L454" s="45">
        <v>14.8</v>
      </c>
      <c r="M454" s="45">
        <v>13.1</v>
      </c>
      <c r="N454" s="45">
        <v>14.3</v>
      </c>
      <c r="O454" s="45">
        <v>12.8</v>
      </c>
      <c r="P454" s="45">
        <v>11.5</v>
      </c>
      <c r="Q454" s="45">
        <v>16.2</v>
      </c>
      <c r="R454" s="45">
        <v>14.3</v>
      </c>
      <c r="S454" s="45">
        <v>12.7</v>
      </c>
      <c r="T454" s="45">
        <v>10.1</v>
      </c>
      <c r="U454" s="45">
        <v>12.1</v>
      </c>
      <c r="V454" s="45">
        <v>13.4</v>
      </c>
      <c r="W454" s="45">
        <v>13.5</v>
      </c>
      <c r="X454" s="45">
        <v>16</v>
      </c>
      <c r="Y454" s="45">
        <v>14.8</v>
      </c>
      <c r="Z454" s="45">
        <v>15.5</v>
      </c>
      <c r="AA454" s="45">
        <v>13.9</v>
      </c>
      <c r="AB454" s="45">
        <v>13.4</v>
      </c>
      <c r="AC454" s="45">
        <v>12.7</v>
      </c>
      <c r="AD454" s="45">
        <v>13.7</v>
      </c>
      <c r="AE454" s="45">
        <v>12.3</v>
      </c>
      <c r="AF454" s="45">
        <v>14.4</v>
      </c>
      <c r="AG454" s="45">
        <v>11.3</v>
      </c>
      <c r="AH454" s="45">
        <v>12.6</v>
      </c>
      <c r="AI454" s="45">
        <v>13.5</v>
      </c>
      <c r="AJ454" s="45">
        <v>14.8</v>
      </c>
      <c r="AK454" s="45">
        <v>11.2</v>
      </c>
      <c r="AL454" s="45">
        <v>13.4</v>
      </c>
      <c r="AM454" s="45">
        <v>13.2</v>
      </c>
      <c r="AN454" s="45">
        <v>13</v>
      </c>
      <c r="AO454" s="45">
        <v>11.9</v>
      </c>
      <c r="AP454" s="45">
        <v>11.4</v>
      </c>
      <c r="AQ454" s="45">
        <v>11.1</v>
      </c>
      <c r="AR454" s="45">
        <v>7.6</v>
      </c>
      <c r="AS454" s="45">
        <v>0</v>
      </c>
      <c r="AT454" s="45">
        <v>0</v>
      </c>
      <c r="AU454" s="45">
        <v>0</v>
      </c>
      <c r="AV454" s="45">
        <v>0</v>
      </c>
      <c r="AW454" s="45">
        <v>0</v>
      </c>
      <c r="AX454" s="45">
        <v>0</v>
      </c>
      <c r="AY454" s="45">
        <v>0</v>
      </c>
      <c r="AZ454" s="45">
        <v>0</v>
      </c>
      <c r="BA454" s="45">
        <v>0</v>
      </c>
      <c r="BB454" s="45">
        <v>0</v>
      </c>
      <c r="BC454" s="45">
        <v>0</v>
      </c>
      <c r="BD454" s="45">
        <v>0</v>
      </c>
      <c r="BE454" s="45">
        <v>0</v>
      </c>
      <c r="BF454" s="45">
        <v>0</v>
      </c>
      <c r="BG454" s="45">
        <v>0</v>
      </c>
    </row>
    <row r="455" spans="1:59">
      <c r="A455" s="18" t="s">
        <v>169</v>
      </c>
      <c r="B455" s="18" t="s">
        <v>162</v>
      </c>
      <c r="C455" s="18" t="s">
        <v>80</v>
      </c>
      <c r="D455" s="45">
        <v>0</v>
      </c>
      <c r="E455" s="45">
        <v>0</v>
      </c>
      <c r="F455" s="45">
        <v>0</v>
      </c>
      <c r="G455" s="45">
        <v>0</v>
      </c>
      <c r="H455" s="45">
        <v>0</v>
      </c>
      <c r="I455" s="45">
        <v>0</v>
      </c>
      <c r="J455" s="45">
        <v>16.3</v>
      </c>
      <c r="K455" s="45">
        <v>14.4</v>
      </c>
      <c r="L455" s="45">
        <v>14.9</v>
      </c>
      <c r="M455" s="45">
        <v>11.6</v>
      </c>
      <c r="N455" s="45">
        <v>9.9</v>
      </c>
      <c r="O455" s="45">
        <v>12.6</v>
      </c>
      <c r="P455" s="45">
        <v>10.4</v>
      </c>
      <c r="Q455" s="45">
        <v>10.7</v>
      </c>
      <c r="R455" s="45">
        <v>11.2</v>
      </c>
      <c r="S455" s="45">
        <v>11.7</v>
      </c>
      <c r="T455" s="45">
        <v>11.6</v>
      </c>
      <c r="U455" s="45">
        <v>12.2</v>
      </c>
      <c r="V455" s="45">
        <v>12</v>
      </c>
      <c r="W455" s="45">
        <v>13.9</v>
      </c>
      <c r="X455" s="45">
        <v>13</v>
      </c>
      <c r="Y455" s="45">
        <v>12.5</v>
      </c>
      <c r="Z455" s="45">
        <v>14.7</v>
      </c>
      <c r="AA455" s="45">
        <v>15</v>
      </c>
      <c r="AB455" s="45">
        <v>12.1</v>
      </c>
      <c r="AC455" s="45">
        <v>11.1</v>
      </c>
      <c r="AD455" s="45">
        <v>11.6</v>
      </c>
      <c r="AE455" s="45">
        <v>11.2</v>
      </c>
      <c r="AF455" s="45">
        <v>10.7</v>
      </c>
      <c r="AG455" s="45">
        <v>11.7</v>
      </c>
      <c r="AH455" s="45">
        <v>12.7</v>
      </c>
      <c r="AI455" s="45">
        <v>10.9</v>
      </c>
      <c r="AJ455" s="45">
        <v>13.2</v>
      </c>
      <c r="AK455" s="45">
        <v>10</v>
      </c>
      <c r="AL455" s="45">
        <v>12.2</v>
      </c>
      <c r="AM455" s="45">
        <v>10.9</v>
      </c>
      <c r="AN455" s="45">
        <v>8.800000000000001</v>
      </c>
      <c r="AO455" s="45">
        <v>10</v>
      </c>
      <c r="AP455" s="45">
        <v>9</v>
      </c>
      <c r="AQ455" s="45">
        <v>10.4</v>
      </c>
      <c r="AR455" s="45">
        <v>10.2</v>
      </c>
      <c r="AS455" s="45">
        <v>0</v>
      </c>
      <c r="AT455" s="45">
        <v>0</v>
      </c>
      <c r="AU455" s="45">
        <v>0</v>
      </c>
      <c r="AV455" s="45">
        <v>0</v>
      </c>
      <c r="AW455" s="45">
        <v>0</v>
      </c>
      <c r="AX455" s="45">
        <v>0</v>
      </c>
      <c r="AY455" s="45">
        <v>0</v>
      </c>
      <c r="AZ455" s="45">
        <v>0</v>
      </c>
      <c r="BA455" s="45">
        <v>0</v>
      </c>
      <c r="BB455" s="45">
        <v>0</v>
      </c>
      <c r="BC455" s="45">
        <v>0</v>
      </c>
      <c r="BD455" s="45">
        <v>0</v>
      </c>
      <c r="BE455" s="45">
        <v>0</v>
      </c>
      <c r="BF455" s="45">
        <v>0</v>
      </c>
      <c r="BG455" s="45">
        <v>0</v>
      </c>
    </row>
    <row r="456" spans="1:59">
      <c r="A456" s="18" t="s">
        <v>170</v>
      </c>
      <c r="B456" s="18" t="s">
        <v>162</v>
      </c>
      <c r="C456" s="18" t="s">
        <v>82</v>
      </c>
      <c r="D456" s="45">
        <v>0</v>
      </c>
      <c r="E456" s="45">
        <v>0</v>
      </c>
      <c r="F456" s="45">
        <v>0</v>
      </c>
      <c r="G456" s="45">
        <v>0</v>
      </c>
      <c r="H456" s="45">
        <v>0</v>
      </c>
      <c r="I456" s="45">
        <v>0</v>
      </c>
      <c r="J456" s="45">
        <v>12.9</v>
      </c>
      <c r="K456" s="45">
        <v>14.1</v>
      </c>
      <c r="L456" s="45">
        <v>12</v>
      </c>
      <c r="M456" s="45">
        <v>12.1</v>
      </c>
      <c r="N456" s="45">
        <v>12.5</v>
      </c>
      <c r="O456" s="45">
        <v>13.2</v>
      </c>
      <c r="P456" s="45">
        <v>11.4</v>
      </c>
      <c r="Q456" s="45">
        <v>10.4</v>
      </c>
      <c r="R456" s="45">
        <v>12.3</v>
      </c>
      <c r="S456" s="45">
        <v>10.4</v>
      </c>
      <c r="T456" s="45">
        <v>12.3</v>
      </c>
      <c r="U456" s="45">
        <v>11.3</v>
      </c>
      <c r="V456" s="45">
        <v>12.2</v>
      </c>
      <c r="W456" s="45">
        <v>13.6</v>
      </c>
      <c r="X456" s="45">
        <v>15.2</v>
      </c>
      <c r="Y456" s="45">
        <v>12.9</v>
      </c>
      <c r="Z456" s="45">
        <v>15.6</v>
      </c>
      <c r="AA456" s="45">
        <v>11.6</v>
      </c>
      <c r="AB456" s="45">
        <v>14.7</v>
      </c>
      <c r="AC456" s="45">
        <v>10.4</v>
      </c>
      <c r="AD456" s="45">
        <v>10.3</v>
      </c>
      <c r="AE456" s="45">
        <v>11.5</v>
      </c>
      <c r="AF456" s="45">
        <v>11.3</v>
      </c>
      <c r="AG456" s="45">
        <v>10.8</v>
      </c>
      <c r="AH456" s="45">
        <v>13.1</v>
      </c>
      <c r="AI456" s="45">
        <v>12.2</v>
      </c>
      <c r="AJ456" s="45">
        <v>10.8</v>
      </c>
      <c r="AK456" s="45">
        <v>11.1</v>
      </c>
      <c r="AL456" s="45">
        <v>13.9</v>
      </c>
      <c r="AM456" s="45">
        <v>9.5</v>
      </c>
      <c r="AN456" s="45">
        <v>10.6</v>
      </c>
      <c r="AO456" s="45">
        <v>10.2</v>
      </c>
      <c r="AP456" s="45">
        <v>9.199999999999999</v>
      </c>
      <c r="AQ456" s="45">
        <v>7.8</v>
      </c>
      <c r="AR456" s="45">
        <v>8.300000000000001</v>
      </c>
      <c r="AS456" s="45">
        <v>0</v>
      </c>
      <c r="AT456" s="45">
        <v>0</v>
      </c>
      <c r="AU456" s="45">
        <v>0</v>
      </c>
      <c r="AV456" s="45">
        <v>0</v>
      </c>
      <c r="AW456" s="45">
        <v>0</v>
      </c>
      <c r="AX456" s="45">
        <v>0</v>
      </c>
      <c r="AY456" s="45">
        <v>0</v>
      </c>
      <c r="AZ456" s="45">
        <v>0</v>
      </c>
      <c r="BA456" s="45">
        <v>0</v>
      </c>
      <c r="BB456" s="45">
        <v>0</v>
      </c>
      <c r="BC456" s="45">
        <v>0</v>
      </c>
      <c r="BD456" s="45">
        <v>0</v>
      </c>
      <c r="BE456" s="45">
        <v>0</v>
      </c>
      <c r="BF456" s="45">
        <v>0</v>
      </c>
      <c r="BG456" s="45">
        <v>0</v>
      </c>
    </row>
    <row r="457" spans="1:59">
      <c r="A457" s="18" t="s">
        <v>171</v>
      </c>
      <c r="B457" s="18" t="s">
        <v>162</v>
      </c>
      <c r="C457" s="18" t="s">
        <v>84</v>
      </c>
      <c r="D457" s="45">
        <v>0</v>
      </c>
      <c r="E457" s="45">
        <v>0</v>
      </c>
      <c r="F457" s="45">
        <v>0</v>
      </c>
      <c r="G457" s="45">
        <v>0</v>
      </c>
      <c r="H457" s="45">
        <v>0</v>
      </c>
      <c r="I457" s="45">
        <v>0</v>
      </c>
      <c r="J457" s="45">
        <v>16.1</v>
      </c>
      <c r="K457" s="45">
        <v>14.3</v>
      </c>
      <c r="L457" s="45">
        <v>17.9</v>
      </c>
      <c r="M457" s="45">
        <v>11.4</v>
      </c>
      <c r="N457" s="45">
        <v>14</v>
      </c>
      <c r="O457" s="45">
        <v>11.1</v>
      </c>
      <c r="P457" s="45">
        <v>11.8</v>
      </c>
      <c r="Q457" s="45">
        <v>11.5</v>
      </c>
      <c r="R457" s="45">
        <v>13</v>
      </c>
      <c r="S457" s="45">
        <v>12.9</v>
      </c>
      <c r="T457" s="45">
        <v>12</v>
      </c>
      <c r="U457" s="45">
        <v>14.6</v>
      </c>
      <c r="V457" s="45">
        <v>12.8</v>
      </c>
      <c r="W457" s="45">
        <v>12.6</v>
      </c>
      <c r="X457" s="45">
        <v>17.9</v>
      </c>
      <c r="Y457" s="45">
        <v>16.8</v>
      </c>
      <c r="Z457" s="45">
        <v>11.6</v>
      </c>
      <c r="AA457" s="45">
        <v>16.7</v>
      </c>
      <c r="AB457" s="45">
        <v>14.9</v>
      </c>
      <c r="AC457" s="45">
        <v>12.9</v>
      </c>
      <c r="AD457" s="45">
        <v>13</v>
      </c>
      <c r="AE457" s="45">
        <v>12.1</v>
      </c>
      <c r="AF457" s="45">
        <v>12.6</v>
      </c>
      <c r="AG457" s="45">
        <v>15.3</v>
      </c>
      <c r="AH457" s="45">
        <v>14.6</v>
      </c>
      <c r="AI457" s="45">
        <v>14.7</v>
      </c>
      <c r="AJ457" s="45">
        <v>11.2</v>
      </c>
      <c r="AK457" s="45">
        <v>12.6</v>
      </c>
      <c r="AL457" s="45">
        <v>16.5</v>
      </c>
      <c r="AM457" s="45">
        <v>12.5</v>
      </c>
      <c r="AN457" s="45">
        <v>13.8</v>
      </c>
      <c r="AO457" s="45">
        <v>13.5</v>
      </c>
      <c r="AP457" s="45">
        <v>11</v>
      </c>
      <c r="AQ457" s="45">
        <v>9.1</v>
      </c>
      <c r="AR457" s="45">
        <v>0</v>
      </c>
      <c r="AS457" s="45">
        <v>0</v>
      </c>
      <c r="AT457" s="45">
        <v>0</v>
      </c>
      <c r="AU457" s="45">
        <v>0</v>
      </c>
      <c r="AV457" s="45">
        <v>0</v>
      </c>
      <c r="AW457" s="45">
        <v>0</v>
      </c>
      <c r="AX457" s="45">
        <v>0</v>
      </c>
      <c r="AY457" s="45">
        <v>0</v>
      </c>
      <c r="AZ457" s="45">
        <v>0</v>
      </c>
      <c r="BA457" s="45">
        <v>0</v>
      </c>
      <c r="BB457" s="45">
        <v>0</v>
      </c>
      <c r="BC457" s="45">
        <v>0</v>
      </c>
      <c r="BD457" s="45">
        <v>0</v>
      </c>
      <c r="BE457" s="45">
        <v>0</v>
      </c>
      <c r="BF457" s="45">
        <v>0</v>
      </c>
      <c r="BG457" s="45">
        <v>0</v>
      </c>
    </row>
    <row r="458" spans="1:59">
      <c r="A458" s="18" t="s">
        <v>172</v>
      </c>
      <c r="B458" s="18" t="s">
        <v>162</v>
      </c>
      <c r="C458" s="18" t="s">
        <v>86</v>
      </c>
      <c r="D458" s="45">
        <v>0</v>
      </c>
      <c r="E458" s="45">
        <v>0</v>
      </c>
      <c r="F458" s="45">
        <v>0</v>
      </c>
      <c r="G458" s="45">
        <v>0</v>
      </c>
      <c r="H458" s="45">
        <v>0</v>
      </c>
      <c r="I458" s="45">
        <v>0</v>
      </c>
      <c r="J458" s="45">
        <v>0</v>
      </c>
      <c r="K458" s="45">
        <v>0</v>
      </c>
      <c r="L458" s="45">
        <v>3.1</v>
      </c>
      <c r="M458" s="45">
        <v>8.300000000000001</v>
      </c>
      <c r="N458" s="45">
        <v>13</v>
      </c>
      <c r="O458" s="45">
        <v>8.9</v>
      </c>
      <c r="P458" s="45">
        <v>8.4</v>
      </c>
      <c r="Q458" s="45">
        <v>8.300000000000001</v>
      </c>
      <c r="R458" s="45">
        <v>6.5</v>
      </c>
      <c r="S458" s="45">
        <v>7.3</v>
      </c>
      <c r="T458" s="45">
        <v>9.199999999999999</v>
      </c>
      <c r="U458" s="45">
        <v>5.3</v>
      </c>
      <c r="V458" s="45">
        <v>8.1</v>
      </c>
      <c r="W458" s="45">
        <v>5.8</v>
      </c>
      <c r="X458" s="45">
        <v>5.9</v>
      </c>
      <c r="Y458" s="45">
        <v>4.8</v>
      </c>
      <c r="Z458" s="45">
        <v>5.2</v>
      </c>
      <c r="AA458" s="45">
        <v>4.2</v>
      </c>
      <c r="AB458" s="45">
        <v>5.4</v>
      </c>
      <c r="AC458" s="45">
        <v>4.9</v>
      </c>
      <c r="AD458" s="45">
        <v>4.1</v>
      </c>
      <c r="AE458" s="45">
        <v>3.6</v>
      </c>
      <c r="AF458" s="45">
        <v>12.2</v>
      </c>
      <c r="AG458" s="45">
        <v>6</v>
      </c>
      <c r="AH458" s="45">
        <v>8.199999999999999</v>
      </c>
      <c r="AI458" s="45">
        <v>7.1</v>
      </c>
      <c r="AJ458" s="45">
        <v>5.3</v>
      </c>
      <c r="AK458" s="45">
        <v>4.9</v>
      </c>
      <c r="AL458" s="45">
        <v>10.1</v>
      </c>
      <c r="AM458" s="45">
        <v>4.6</v>
      </c>
      <c r="AN458" s="45">
        <v>16</v>
      </c>
      <c r="AO458" s="45">
        <v>6.7</v>
      </c>
      <c r="AP458" s="45">
        <v>6.2</v>
      </c>
      <c r="AQ458" s="45">
        <v>7.2</v>
      </c>
      <c r="AR458" s="45">
        <v>0</v>
      </c>
      <c r="AS458" s="45">
        <v>0</v>
      </c>
      <c r="AT458" s="45">
        <v>0</v>
      </c>
      <c r="AU458" s="45">
        <v>0</v>
      </c>
      <c r="AV458" s="45">
        <v>0</v>
      </c>
      <c r="AW458" s="45">
        <v>0</v>
      </c>
      <c r="AX458" s="45">
        <v>0</v>
      </c>
      <c r="AY458" s="45">
        <v>0</v>
      </c>
      <c r="AZ458" s="45">
        <v>0</v>
      </c>
      <c r="BA458" s="45">
        <v>0</v>
      </c>
      <c r="BB458" s="45">
        <v>0</v>
      </c>
      <c r="BC458" s="45">
        <v>0</v>
      </c>
      <c r="BD458" s="45">
        <v>0</v>
      </c>
      <c r="BE458" s="45">
        <v>0</v>
      </c>
      <c r="BF458" s="45">
        <v>0</v>
      </c>
      <c r="BG458" s="45">
        <v>0</v>
      </c>
    </row>
    <row r="459" spans="1:59">
      <c r="A459" s="18" t="s">
        <v>173</v>
      </c>
      <c r="B459" s="18" t="s">
        <v>162</v>
      </c>
      <c r="C459" s="18" t="s">
        <v>88</v>
      </c>
      <c r="D459" s="45">
        <v>0</v>
      </c>
      <c r="E459" s="45">
        <v>0</v>
      </c>
      <c r="F459" s="45">
        <v>0</v>
      </c>
      <c r="G459" s="45">
        <v>0</v>
      </c>
      <c r="H459" s="45">
        <v>0</v>
      </c>
      <c r="I459" s="45">
        <v>10.5</v>
      </c>
      <c r="J459" s="45">
        <v>8</v>
      </c>
      <c r="K459" s="45">
        <v>7.4</v>
      </c>
      <c r="L459" s="45">
        <v>5.3</v>
      </c>
      <c r="M459" s="45">
        <v>5.8</v>
      </c>
      <c r="N459" s="45">
        <v>7.3</v>
      </c>
      <c r="O459" s="45">
        <v>6.4</v>
      </c>
      <c r="P459" s="45">
        <v>8.4</v>
      </c>
      <c r="Q459" s="45">
        <v>7.5</v>
      </c>
      <c r="R459" s="45">
        <v>7.3</v>
      </c>
      <c r="S459" s="45">
        <v>7.1</v>
      </c>
      <c r="T459" s="45">
        <v>7.3</v>
      </c>
      <c r="U459" s="45">
        <v>8.6</v>
      </c>
      <c r="V459" s="45">
        <v>9.699999999999999</v>
      </c>
      <c r="W459" s="45">
        <v>9.5</v>
      </c>
      <c r="X459" s="45">
        <v>8.9</v>
      </c>
      <c r="Y459" s="45">
        <v>9</v>
      </c>
      <c r="Z459" s="45">
        <v>8.1</v>
      </c>
      <c r="AA459" s="45">
        <v>8.1</v>
      </c>
      <c r="AB459" s="45">
        <v>6.9</v>
      </c>
      <c r="AC459" s="45">
        <v>10.2</v>
      </c>
      <c r="AD459" s="45">
        <v>8.4</v>
      </c>
      <c r="AE459" s="45">
        <v>9.6</v>
      </c>
      <c r="AF459" s="45">
        <v>7.6</v>
      </c>
      <c r="AG459" s="45">
        <v>9.5</v>
      </c>
      <c r="AH459" s="45">
        <v>6.8</v>
      </c>
      <c r="AI459" s="45">
        <v>6.3</v>
      </c>
      <c r="AJ459" s="45">
        <v>8.800000000000001</v>
      </c>
      <c r="AK459" s="45">
        <v>9.6</v>
      </c>
      <c r="AL459" s="45">
        <v>7.7</v>
      </c>
      <c r="AM459" s="45">
        <v>7.8</v>
      </c>
      <c r="AN459" s="45">
        <v>9.1</v>
      </c>
      <c r="AO459" s="45">
        <v>10.1</v>
      </c>
      <c r="AP459" s="45">
        <v>9.699999999999999</v>
      </c>
      <c r="AQ459" s="45">
        <v>7.9</v>
      </c>
      <c r="AR459" s="45">
        <v>6.8</v>
      </c>
      <c r="AS459" s="45">
        <v>0</v>
      </c>
      <c r="AT459" s="45">
        <v>0</v>
      </c>
      <c r="AU459" s="45">
        <v>0</v>
      </c>
      <c r="AV459" s="45">
        <v>0</v>
      </c>
      <c r="AW459" s="45">
        <v>0</v>
      </c>
      <c r="AX459" s="45">
        <v>0</v>
      </c>
      <c r="AY459" s="45">
        <v>0</v>
      </c>
      <c r="AZ459" s="45">
        <v>0</v>
      </c>
      <c r="BA459" s="45">
        <v>0</v>
      </c>
      <c r="BB459" s="45">
        <v>0</v>
      </c>
      <c r="BC459" s="45">
        <v>0</v>
      </c>
      <c r="BD459" s="45">
        <v>0</v>
      </c>
      <c r="BE459" s="45">
        <v>0</v>
      </c>
      <c r="BF459" s="45">
        <v>0</v>
      </c>
      <c r="BG459" s="45">
        <v>0</v>
      </c>
    </row>
    <row r="460" spans="1:59">
      <c r="A460" s="18" t="s">
        <v>174</v>
      </c>
      <c r="B460" s="18" t="s">
        <v>162</v>
      </c>
      <c r="C460" s="18" t="s">
        <v>90</v>
      </c>
      <c r="D460" s="45">
        <v>0</v>
      </c>
      <c r="E460" s="45">
        <v>0</v>
      </c>
      <c r="F460" s="45">
        <v>0</v>
      </c>
      <c r="G460" s="45">
        <v>0</v>
      </c>
      <c r="H460" s="45">
        <v>0</v>
      </c>
      <c r="I460" s="45">
        <v>8.5</v>
      </c>
      <c r="J460" s="45">
        <v>6</v>
      </c>
      <c r="K460" s="45">
        <v>6.8</v>
      </c>
      <c r="L460" s="45">
        <v>6</v>
      </c>
      <c r="M460" s="45">
        <v>8.1</v>
      </c>
      <c r="N460" s="45">
        <v>6.9</v>
      </c>
      <c r="O460" s="45">
        <v>7</v>
      </c>
      <c r="P460" s="45">
        <v>9.5</v>
      </c>
      <c r="Q460" s="45">
        <v>7.8</v>
      </c>
      <c r="R460" s="45">
        <v>9.5</v>
      </c>
      <c r="S460" s="45">
        <v>9.800000000000001</v>
      </c>
      <c r="T460" s="45">
        <v>9.800000000000001</v>
      </c>
      <c r="U460" s="45">
        <v>7.8</v>
      </c>
      <c r="V460" s="45">
        <v>7.7</v>
      </c>
      <c r="W460" s="45">
        <v>8.699999999999999</v>
      </c>
      <c r="X460" s="45">
        <v>9.1</v>
      </c>
      <c r="Y460" s="45">
        <v>7.6</v>
      </c>
      <c r="Z460" s="45">
        <v>6.8</v>
      </c>
      <c r="AA460" s="45">
        <v>8</v>
      </c>
      <c r="AB460" s="45">
        <v>7</v>
      </c>
      <c r="AC460" s="45">
        <v>8</v>
      </c>
      <c r="AD460" s="45">
        <v>8.6</v>
      </c>
      <c r="AE460" s="45">
        <v>8.1</v>
      </c>
      <c r="AF460" s="45">
        <v>8.4</v>
      </c>
      <c r="AG460" s="45">
        <v>8.4</v>
      </c>
      <c r="AH460" s="45">
        <v>8.699999999999999</v>
      </c>
      <c r="AI460" s="45">
        <v>9.800000000000001</v>
      </c>
      <c r="AJ460" s="45">
        <v>10.2</v>
      </c>
      <c r="AK460" s="45">
        <v>8.199999999999999</v>
      </c>
      <c r="AL460" s="45">
        <v>8.6</v>
      </c>
      <c r="AM460" s="45">
        <v>8.800000000000001</v>
      </c>
      <c r="AN460" s="45">
        <v>9.6</v>
      </c>
      <c r="AO460" s="45">
        <v>9</v>
      </c>
      <c r="AP460" s="45">
        <v>10.1</v>
      </c>
      <c r="AQ460" s="45">
        <v>10.2</v>
      </c>
      <c r="AR460" s="45">
        <v>9.199999999999999</v>
      </c>
      <c r="AS460" s="45">
        <v>0</v>
      </c>
      <c r="AT460" s="45">
        <v>0</v>
      </c>
      <c r="AU460" s="45">
        <v>0</v>
      </c>
      <c r="AV460" s="45">
        <v>0</v>
      </c>
      <c r="AW460" s="45">
        <v>0</v>
      </c>
      <c r="AX460" s="45">
        <v>0</v>
      </c>
      <c r="AY460" s="45">
        <v>0</v>
      </c>
      <c r="AZ460" s="45">
        <v>0</v>
      </c>
      <c r="BA460" s="45">
        <v>0</v>
      </c>
      <c r="BB460" s="45">
        <v>0</v>
      </c>
      <c r="BC460" s="45">
        <v>0</v>
      </c>
      <c r="BD460" s="45">
        <v>0</v>
      </c>
      <c r="BE460" s="45">
        <v>0</v>
      </c>
      <c r="BF460" s="45">
        <v>0</v>
      </c>
      <c r="BG460" s="45">
        <v>0</v>
      </c>
    </row>
    <row r="461" spans="1:59">
      <c r="A461" s="18" t="s">
        <v>175</v>
      </c>
      <c r="B461" s="18" t="s">
        <v>176</v>
      </c>
      <c r="C461" s="18" t="s">
        <v>66</v>
      </c>
      <c r="D461" s="45">
        <v>0</v>
      </c>
      <c r="E461" s="45">
        <v>0</v>
      </c>
      <c r="F461" s="45">
        <v>0</v>
      </c>
      <c r="G461" s="45">
        <v>0</v>
      </c>
      <c r="H461" s="45">
        <v>0</v>
      </c>
      <c r="I461" s="45">
        <v>21</v>
      </c>
      <c r="J461" s="45">
        <v>20.2</v>
      </c>
      <c r="K461" s="45">
        <v>19.9</v>
      </c>
      <c r="L461" s="45">
        <v>18.8</v>
      </c>
      <c r="M461" s="45">
        <v>17.2</v>
      </c>
      <c r="N461" s="45">
        <v>16.4</v>
      </c>
      <c r="O461" s="45">
        <v>17.2</v>
      </c>
      <c r="P461" s="45">
        <v>17.2</v>
      </c>
      <c r="Q461" s="45">
        <v>15.3</v>
      </c>
      <c r="R461" s="45">
        <v>15.6</v>
      </c>
      <c r="S461" s="45">
        <v>16</v>
      </c>
      <c r="T461" s="45">
        <v>16.1</v>
      </c>
      <c r="U461" s="45">
        <v>17.7</v>
      </c>
      <c r="V461" s="45">
        <v>18.5</v>
      </c>
      <c r="W461" s="45">
        <v>20.4</v>
      </c>
      <c r="X461" s="45">
        <v>21.6</v>
      </c>
      <c r="Y461" s="45">
        <v>20.8</v>
      </c>
      <c r="Z461" s="45">
        <v>19.5</v>
      </c>
      <c r="AA461" s="45">
        <v>18.8</v>
      </c>
      <c r="AB461" s="45">
        <v>17.9</v>
      </c>
      <c r="AC461" s="45">
        <v>17.7</v>
      </c>
      <c r="AD461" s="45">
        <v>18.3</v>
      </c>
      <c r="AE461" s="45">
        <v>18.3</v>
      </c>
      <c r="AF461" s="45">
        <v>16.8</v>
      </c>
      <c r="AG461" s="45">
        <v>17</v>
      </c>
      <c r="AH461" s="45">
        <v>17.7</v>
      </c>
      <c r="AI461" s="45">
        <v>17.1</v>
      </c>
      <c r="AJ461" s="45">
        <v>17.7</v>
      </c>
      <c r="AK461" s="45">
        <v>16.7</v>
      </c>
      <c r="AL461" s="45">
        <v>15.7</v>
      </c>
      <c r="AM461" s="45">
        <v>16.1</v>
      </c>
      <c r="AN461" s="45">
        <v>14.5</v>
      </c>
      <c r="AO461" s="45">
        <v>13.8</v>
      </c>
      <c r="AP461" s="45">
        <v>11.6</v>
      </c>
      <c r="AQ461" s="45">
        <v>8.699999999999999</v>
      </c>
      <c r="AR461" s="45">
        <v>5</v>
      </c>
      <c r="AS461" s="45">
        <v>0</v>
      </c>
      <c r="AT461" s="45">
        <v>0</v>
      </c>
      <c r="AU461" s="45">
        <v>0</v>
      </c>
      <c r="AV461" s="45">
        <v>0</v>
      </c>
      <c r="AW461" s="45">
        <v>0</v>
      </c>
      <c r="AX461" s="45">
        <v>0</v>
      </c>
      <c r="AY461" s="45">
        <v>0</v>
      </c>
      <c r="AZ461" s="45">
        <v>0</v>
      </c>
      <c r="BA461" s="45">
        <v>0</v>
      </c>
      <c r="BB461" s="45">
        <v>0</v>
      </c>
      <c r="BC461" s="45">
        <v>0</v>
      </c>
      <c r="BD461" s="45">
        <v>0</v>
      </c>
      <c r="BE461" s="45">
        <v>0</v>
      </c>
      <c r="BF461" s="45">
        <v>0</v>
      </c>
      <c r="BG461" s="45">
        <v>0</v>
      </c>
    </row>
    <row r="462" spans="1:59">
      <c r="A462" s="18" t="s">
        <v>177</v>
      </c>
      <c r="B462" s="18" t="s">
        <v>176</v>
      </c>
      <c r="C462" s="18" t="s">
        <v>68</v>
      </c>
      <c r="D462" s="45">
        <v>0</v>
      </c>
      <c r="E462" s="45">
        <v>0</v>
      </c>
      <c r="F462" s="45">
        <v>0</v>
      </c>
      <c r="G462" s="45">
        <v>0</v>
      </c>
      <c r="H462" s="45">
        <v>0</v>
      </c>
      <c r="I462" s="45">
        <v>0</v>
      </c>
      <c r="J462" s="45">
        <v>19.7</v>
      </c>
      <c r="K462" s="45">
        <v>23.4</v>
      </c>
      <c r="L462" s="45">
        <v>18.4</v>
      </c>
      <c r="M462" s="45">
        <v>19.3</v>
      </c>
      <c r="N462" s="45">
        <v>19.7</v>
      </c>
      <c r="O462" s="45">
        <v>18.2</v>
      </c>
      <c r="P462" s="45">
        <v>16.7</v>
      </c>
      <c r="Q462" s="45">
        <v>14.3</v>
      </c>
      <c r="R462" s="45">
        <v>18.8</v>
      </c>
      <c r="S462" s="45">
        <v>16.4</v>
      </c>
      <c r="T462" s="45">
        <v>21.3</v>
      </c>
      <c r="U462" s="45">
        <v>19.1</v>
      </c>
      <c r="V462" s="45">
        <v>23.4</v>
      </c>
      <c r="W462" s="45">
        <v>20</v>
      </c>
      <c r="X462" s="45">
        <v>24.9</v>
      </c>
      <c r="Y462" s="45">
        <v>23.3</v>
      </c>
      <c r="Z462" s="45">
        <v>23.3</v>
      </c>
      <c r="AA462" s="45">
        <v>23.6</v>
      </c>
      <c r="AB462" s="45">
        <v>18.6</v>
      </c>
      <c r="AC462" s="45">
        <v>18.5</v>
      </c>
      <c r="AD462" s="45">
        <v>18.7</v>
      </c>
      <c r="AE462" s="45">
        <v>20.7</v>
      </c>
      <c r="AF462" s="45">
        <v>17</v>
      </c>
      <c r="AG462" s="45">
        <v>15.8</v>
      </c>
      <c r="AH462" s="45">
        <v>18.7</v>
      </c>
      <c r="AI462" s="45">
        <v>19.7</v>
      </c>
      <c r="AJ462" s="45">
        <v>21.9</v>
      </c>
      <c r="AK462" s="45">
        <v>17</v>
      </c>
      <c r="AL462" s="45">
        <v>18.2</v>
      </c>
      <c r="AM462" s="45">
        <v>18.5</v>
      </c>
      <c r="AN462" s="45">
        <v>17.8</v>
      </c>
      <c r="AO462" s="45">
        <v>18.2</v>
      </c>
      <c r="AP462" s="45">
        <v>14.4</v>
      </c>
      <c r="AQ462" s="45">
        <v>0</v>
      </c>
      <c r="AR462" s="45">
        <v>0</v>
      </c>
      <c r="AS462" s="45">
        <v>0</v>
      </c>
      <c r="AT462" s="45">
        <v>0</v>
      </c>
      <c r="AU462" s="45">
        <v>0</v>
      </c>
      <c r="AV462" s="45">
        <v>0</v>
      </c>
      <c r="AW462" s="45">
        <v>0</v>
      </c>
      <c r="AX462" s="45">
        <v>0</v>
      </c>
      <c r="AY462" s="45">
        <v>0</v>
      </c>
      <c r="AZ462" s="45">
        <v>0</v>
      </c>
      <c r="BA462" s="45">
        <v>0</v>
      </c>
      <c r="BB462" s="45">
        <v>0</v>
      </c>
      <c r="BC462" s="45">
        <v>0</v>
      </c>
      <c r="BD462" s="45">
        <v>0</v>
      </c>
      <c r="BE462" s="45">
        <v>0</v>
      </c>
      <c r="BF462" s="45">
        <v>0</v>
      </c>
      <c r="BG462" s="45">
        <v>0</v>
      </c>
    </row>
    <row r="463" spans="1:59">
      <c r="A463" s="18" t="s">
        <v>178</v>
      </c>
      <c r="B463" s="18" t="s">
        <v>176</v>
      </c>
      <c r="C463" s="18" t="s">
        <v>70</v>
      </c>
      <c r="D463" s="45">
        <v>0</v>
      </c>
      <c r="E463" s="45">
        <v>0</v>
      </c>
      <c r="F463" s="45">
        <v>0</v>
      </c>
      <c r="G463" s="45">
        <v>0</v>
      </c>
      <c r="H463" s="45">
        <v>0</v>
      </c>
      <c r="I463" s="45">
        <v>0</v>
      </c>
      <c r="J463" s="45">
        <v>23.7</v>
      </c>
      <c r="K463" s="45">
        <v>23.8</v>
      </c>
      <c r="L463" s="45">
        <v>20.6</v>
      </c>
      <c r="M463" s="45">
        <v>19.9</v>
      </c>
      <c r="N463" s="45">
        <v>19.8</v>
      </c>
      <c r="O463" s="45">
        <v>21.4</v>
      </c>
      <c r="P463" s="45">
        <v>19.1</v>
      </c>
      <c r="Q463" s="45">
        <v>20.7</v>
      </c>
      <c r="R463" s="45">
        <v>15.6</v>
      </c>
      <c r="S463" s="45">
        <v>20.2</v>
      </c>
      <c r="T463" s="45">
        <v>19.5</v>
      </c>
      <c r="U463" s="45">
        <v>21.4</v>
      </c>
      <c r="V463" s="45">
        <v>23.2</v>
      </c>
      <c r="W463" s="45">
        <v>23.7</v>
      </c>
      <c r="X463" s="45">
        <v>23.1</v>
      </c>
      <c r="Y463" s="45">
        <v>27.8</v>
      </c>
      <c r="Z463" s="45">
        <v>22.4</v>
      </c>
      <c r="AA463" s="45">
        <v>27.5</v>
      </c>
      <c r="AB463" s="45">
        <v>20.8</v>
      </c>
      <c r="AC463" s="45">
        <v>22</v>
      </c>
      <c r="AD463" s="45">
        <v>21.9</v>
      </c>
      <c r="AE463" s="45">
        <v>20.2</v>
      </c>
      <c r="AF463" s="45">
        <v>21.8</v>
      </c>
      <c r="AG463" s="45">
        <v>19.6</v>
      </c>
      <c r="AH463" s="45">
        <v>21.2</v>
      </c>
      <c r="AI463" s="45">
        <v>21.5</v>
      </c>
      <c r="AJ463" s="45">
        <v>18.2</v>
      </c>
      <c r="AK463" s="45">
        <v>21.9</v>
      </c>
      <c r="AL463" s="45">
        <v>17.4</v>
      </c>
      <c r="AM463" s="45">
        <v>27.2</v>
      </c>
      <c r="AN463" s="45">
        <v>16.9</v>
      </c>
      <c r="AO463" s="45">
        <v>20</v>
      </c>
      <c r="AP463" s="45">
        <v>14.6</v>
      </c>
      <c r="AQ463" s="45">
        <v>11.3</v>
      </c>
      <c r="AR463" s="45">
        <v>0</v>
      </c>
      <c r="AS463" s="45">
        <v>0</v>
      </c>
      <c r="AT463" s="45">
        <v>0</v>
      </c>
      <c r="AU463" s="45">
        <v>0</v>
      </c>
      <c r="AV463" s="45">
        <v>0</v>
      </c>
      <c r="AW463" s="45">
        <v>0</v>
      </c>
      <c r="AX463" s="45">
        <v>0</v>
      </c>
      <c r="AY463" s="45">
        <v>0</v>
      </c>
      <c r="AZ463" s="45">
        <v>0</v>
      </c>
      <c r="BA463" s="45">
        <v>0</v>
      </c>
      <c r="BB463" s="45">
        <v>0</v>
      </c>
      <c r="BC463" s="45">
        <v>0</v>
      </c>
      <c r="BD463" s="45">
        <v>0</v>
      </c>
      <c r="BE463" s="45">
        <v>0</v>
      </c>
      <c r="BF463" s="45">
        <v>0</v>
      </c>
      <c r="BG463" s="45">
        <v>0</v>
      </c>
    </row>
    <row r="464" spans="1:59">
      <c r="A464" s="18" t="s">
        <v>179</v>
      </c>
      <c r="B464" s="18" t="s">
        <v>176</v>
      </c>
      <c r="C464" s="18" t="s">
        <v>72</v>
      </c>
      <c r="D464" s="45">
        <v>0</v>
      </c>
      <c r="E464" s="45">
        <v>0</v>
      </c>
      <c r="F464" s="45">
        <v>0</v>
      </c>
      <c r="G464" s="45">
        <v>0</v>
      </c>
      <c r="H464" s="45">
        <v>0</v>
      </c>
      <c r="I464" s="45">
        <v>0</v>
      </c>
      <c r="J464" s="45">
        <v>23.4</v>
      </c>
      <c r="K464" s="45">
        <v>21.6</v>
      </c>
      <c r="L464" s="45">
        <v>24.4</v>
      </c>
      <c r="M464" s="45">
        <v>25.3</v>
      </c>
      <c r="N464" s="45">
        <v>19.8</v>
      </c>
      <c r="O464" s="45">
        <v>13.9</v>
      </c>
      <c r="P464" s="45">
        <v>20.4</v>
      </c>
      <c r="Q464" s="45">
        <v>15.3</v>
      </c>
      <c r="R464" s="45">
        <v>18.8</v>
      </c>
      <c r="S464" s="45">
        <v>17.8</v>
      </c>
      <c r="T464" s="45">
        <v>16.1</v>
      </c>
      <c r="U464" s="45">
        <v>20.9</v>
      </c>
      <c r="V464" s="45">
        <v>19.7</v>
      </c>
      <c r="W464" s="45">
        <v>22.5</v>
      </c>
      <c r="X464" s="45">
        <v>26.9</v>
      </c>
      <c r="Y464" s="45">
        <v>23.8</v>
      </c>
      <c r="Z464" s="45">
        <v>21.6</v>
      </c>
      <c r="AA464" s="45">
        <v>21.8</v>
      </c>
      <c r="AB464" s="45">
        <v>17.9</v>
      </c>
      <c r="AC464" s="45">
        <v>18.2</v>
      </c>
      <c r="AD464" s="45">
        <v>19.3</v>
      </c>
      <c r="AE464" s="45">
        <v>21.1</v>
      </c>
      <c r="AF464" s="45">
        <v>19.2</v>
      </c>
      <c r="AG464" s="45">
        <v>22.1</v>
      </c>
      <c r="AH464" s="45">
        <v>20.7</v>
      </c>
      <c r="AI464" s="45">
        <v>18.1</v>
      </c>
      <c r="AJ464" s="45">
        <v>18.9</v>
      </c>
      <c r="AK464" s="45">
        <v>20.2</v>
      </c>
      <c r="AL464" s="45">
        <v>16.9</v>
      </c>
      <c r="AM464" s="45">
        <v>19.3</v>
      </c>
      <c r="AN464" s="45">
        <v>15.1</v>
      </c>
      <c r="AO464" s="45">
        <v>15.9</v>
      </c>
      <c r="AP464" s="45">
        <v>12.4</v>
      </c>
      <c r="AQ464" s="45">
        <v>8.199999999999999</v>
      </c>
      <c r="AR464" s="45">
        <v>0</v>
      </c>
      <c r="AS464" s="45">
        <v>0</v>
      </c>
      <c r="AT464" s="45">
        <v>0</v>
      </c>
      <c r="AU464" s="45">
        <v>0</v>
      </c>
      <c r="AV464" s="45">
        <v>0</v>
      </c>
      <c r="AW464" s="45">
        <v>0</v>
      </c>
      <c r="AX464" s="45">
        <v>0</v>
      </c>
      <c r="AY464" s="45">
        <v>0</v>
      </c>
      <c r="AZ464" s="45">
        <v>0</v>
      </c>
      <c r="BA464" s="45">
        <v>0</v>
      </c>
      <c r="BB464" s="45">
        <v>0</v>
      </c>
      <c r="BC464" s="45">
        <v>0</v>
      </c>
      <c r="BD464" s="45">
        <v>0</v>
      </c>
      <c r="BE464" s="45">
        <v>0</v>
      </c>
      <c r="BF464" s="45">
        <v>0</v>
      </c>
      <c r="BG464" s="45">
        <v>0</v>
      </c>
    </row>
    <row r="465" spans="1:59">
      <c r="A465" s="18" t="s">
        <v>180</v>
      </c>
      <c r="B465" s="18" t="s">
        <v>176</v>
      </c>
      <c r="C465" s="18" t="s">
        <v>74</v>
      </c>
      <c r="D465" s="45">
        <v>0</v>
      </c>
      <c r="E465" s="45">
        <v>0</v>
      </c>
      <c r="F465" s="45">
        <v>0</v>
      </c>
      <c r="G465" s="45">
        <v>0</v>
      </c>
      <c r="H465" s="45">
        <v>0</v>
      </c>
      <c r="I465" s="45">
        <v>20.4</v>
      </c>
      <c r="J465" s="45">
        <v>20.4</v>
      </c>
      <c r="K465" s="45">
        <v>20.2</v>
      </c>
      <c r="L465" s="45">
        <v>19.5</v>
      </c>
      <c r="M465" s="45">
        <v>18.5</v>
      </c>
      <c r="N465" s="45">
        <v>14.3</v>
      </c>
      <c r="O465" s="45">
        <v>21.7</v>
      </c>
      <c r="P465" s="45">
        <v>21.2</v>
      </c>
      <c r="Q465" s="45">
        <v>16.3</v>
      </c>
      <c r="R465" s="45">
        <v>19.6</v>
      </c>
      <c r="S465" s="45">
        <v>21.4</v>
      </c>
      <c r="T465" s="45">
        <v>18.1</v>
      </c>
      <c r="U465" s="45">
        <v>23.5</v>
      </c>
      <c r="V465" s="45">
        <v>21</v>
      </c>
      <c r="W465" s="45">
        <v>20.1</v>
      </c>
      <c r="X465" s="45">
        <v>29.2</v>
      </c>
      <c r="Y465" s="45">
        <v>23.8</v>
      </c>
      <c r="Z465" s="45">
        <v>21.1</v>
      </c>
      <c r="AA465" s="45">
        <v>19.3</v>
      </c>
      <c r="AB465" s="45">
        <v>20.2</v>
      </c>
      <c r="AC465" s="45">
        <v>19.9</v>
      </c>
      <c r="AD465" s="45">
        <v>20.9</v>
      </c>
      <c r="AE465" s="45">
        <v>21.4</v>
      </c>
      <c r="AF465" s="45">
        <v>20.9</v>
      </c>
      <c r="AG465" s="45">
        <v>20.7</v>
      </c>
      <c r="AH465" s="45">
        <v>23.2</v>
      </c>
      <c r="AI465" s="45">
        <v>22.9</v>
      </c>
      <c r="AJ465" s="45">
        <v>20</v>
      </c>
      <c r="AK465" s="45">
        <v>22.1</v>
      </c>
      <c r="AL465" s="45">
        <v>16.9</v>
      </c>
      <c r="AM465" s="45">
        <v>15.2</v>
      </c>
      <c r="AN465" s="45">
        <v>16.7</v>
      </c>
      <c r="AO465" s="45">
        <v>14.5</v>
      </c>
      <c r="AP465" s="45">
        <v>13.1</v>
      </c>
      <c r="AQ465" s="45">
        <v>10.8</v>
      </c>
      <c r="AR465" s="45">
        <v>0</v>
      </c>
      <c r="AS465" s="45">
        <v>0</v>
      </c>
      <c r="AT465" s="45">
        <v>0</v>
      </c>
      <c r="AU465" s="45">
        <v>0</v>
      </c>
      <c r="AV465" s="45">
        <v>0</v>
      </c>
      <c r="AW465" s="45">
        <v>0</v>
      </c>
      <c r="AX465" s="45">
        <v>0</v>
      </c>
      <c r="AY465" s="45">
        <v>0</v>
      </c>
      <c r="AZ465" s="45">
        <v>0</v>
      </c>
      <c r="BA465" s="45">
        <v>0</v>
      </c>
      <c r="BB465" s="45">
        <v>0</v>
      </c>
      <c r="BC465" s="45">
        <v>0</v>
      </c>
      <c r="BD465" s="45">
        <v>0</v>
      </c>
      <c r="BE465" s="45">
        <v>0</v>
      </c>
      <c r="BF465" s="45">
        <v>0</v>
      </c>
      <c r="BG465" s="45">
        <v>0</v>
      </c>
    </row>
    <row r="466" spans="1:59">
      <c r="A466" s="18" t="s">
        <v>181</v>
      </c>
      <c r="B466" s="18" t="s">
        <v>176</v>
      </c>
      <c r="C466" s="18" t="s">
        <v>76</v>
      </c>
      <c r="D466" s="45">
        <v>0</v>
      </c>
      <c r="E466" s="45">
        <v>0</v>
      </c>
      <c r="F466" s="45">
        <v>0</v>
      </c>
      <c r="G466" s="45">
        <v>0</v>
      </c>
      <c r="H466" s="45">
        <v>0</v>
      </c>
      <c r="I466" s="45">
        <v>0</v>
      </c>
      <c r="J466" s="45">
        <v>22.8</v>
      </c>
      <c r="K466" s="45">
        <v>18.7</v>
      </c>
      <c r="L466" s="45">
        <v>19.3</v>
      </c>
      <c r="M466" s="45">
        <v>17.6</v>
      </c>
      <c r="N466" s="45">
        <v>18.1</v>
      </c>
      <c r="O466" s="45">
        <v>19</v>
      </c>
      <c r="P466" s="45">
        <v>18.5</v>
      </c>
      <c r="Q466" s="45">
        <v>19.3</v>
      </c>
      <c r="R466" s="45">
        <v>14.1</v>
      </c>
      <c r="S466" s="45">
        <v>18.6</v>
      </c>
      <c r="T466" s="45">
        <v>15.7</v>
      </c>
      <c r="U466" s="45">
        <v>18.9</v>
      </c>
      <c r="V466" s="45">
        <v>21</v>
      </c>
      <c r="W466" s="45">
        <v>31.4</v>
      </c>
      <c r="X466" s="45">
        <v>23.2</v>
      </c>
      <c r="Y466" s="45">
        <v>22.4</v>
      </c>
      <c r="Z466" s="45">
        <v>23.1</v>
      </c>
      <c r="AA466" s="45">
        <v>25.5</v>
      </c>
      <c r="AB466" s="45">
        <v>22.8</v>
      </c>
      <c r="AC466" s="45">
        <v>18.5</v>
      </c>
      <c r="AD466" s="45">
        <v>17.9</v>
      </c>
      <c r="AE466" s="45">
        <v>18.5</v>
      </c>
      <c r="AF466" s="45">
        <v>18.6</v>
      </c>
      <c r="AG466" s="45">
        <v>21.5</v>
      </c>
      <c r="AH466" s="45">
        <v>18.6</v>
      </c>
      <c r="AI466" s="45">
        <v>19.3</v>
      </c>
      <c r="AJ466" s="45">
        <v>16.4</v>
      </c>
      <c r="AK466" s="45">
        <v>19.1</v>
      </c>
      <c r="AL466" s="45">
        <v>16.9</v>
      </c>
      <c r="AM466" s="45">
        <v>21.5</v>
      </c>
      <c r="AN466" s="45">
        <v>16</v>
      </c>
      <c r="AO466" s="45">
        <v>17.1</v>
      </c>
      <c r="AP466" s="45">
        <v>16.6</v>
      </c>
      <c r="AQ466" s="45">
        <v>0</v>
      </c>
      <c r="AR466" s="45">
        <v>0</v>
      </c>
      <c r="AS466" s="45">
        <v>0</v>
      </c>
      <c r="AT466" s="45">
        <v>0</v>
      </c>
      <c r="AU466" s="45">
        <v>0</v>
      </c>
      <c r="AV466" s="45">
        <v>0</v>
      </c>
      <c r="AW466" s="45">
        <v>0</v>
      </c>
      <c r="AX466" s="45">
        <v>0</v>
      </c>
      <c r="AY466" s="45">
        <v>0</v>
      </c>
      <c r="AZ466" s="45">
        <v>0</v>
      </c>
      <c r="BA466" s="45">
        <v>0</v>
      </c>
      <c r="BB466" s="45">
        <v>0</v>
      </c>
      <c r="BC466" s="45">
        <v>0</v>
      </c>
      <c r="BD466" s="45">
        <v>0</v>
      </c>
      <c r="BE466" s="45">
        <v>0</v>
      </c>
      <c r="BF466" s="45">
        <v>0</v>
      </c>
      <c r="BG466" s="45">
        <v>0</v>
      </c>
    </row>
    <row r="467" spans="1:59">
      <c r="A467" s="18" t="s">
        <v>182</v>
      </c>
      <c r="B467" s="18" t="s">
        <v>176</v>
      </c>
      <c r="C467" s="18" t="s">
        <v>78</v>
      </c>
      <c r="D467" s="45">
        <v>0</v>
      </c>
      <c r="E467" s="45">
        <v>0</v>
      </c>
      <c r="F467" s="45">
        <v>0</v>
      </c>
      <c r="G467" s="45">
        <v>0</v>
      </c>
      <c r="H467" s="45">
        <v>0</v>
      </c>
      <c r="I467" s="45">
        <v>0</v>
      </c>
      <c r="J467" s="45">
        <v>22.5</v>
      </c>
      <c r="K467" s="45">
        <v>24.5</v>
      </c>
      <c r="L467" s="45">
        <v>26</v>
      </c>
      <c r="M467" s="45">
        <v>20.9</v>
      </c>
      <c r="N467" s="45">
        <v>20.9</v>
      </c>
      <c r="O467" s="45">
        <v>22.4</v>
      </c>
      <c r="P467" s="45">
        <v>22.1</v>
      </c>
      <c r="Q467" s="45">
        <v>17</v>
      </c>
      <c r="R467" s="45">
        <v>15.4</v>
      </c>
      <c r="S467" s="45">
        <v>15.7</v>
      </c>
      <c r="T467" s="45">
        <v>18.9</v>
      </c>
      <c r="U467" s="45">
        <v>21.4</v>
      </c>
      <c r="V467" s="45">
        <v>21.2</v>
      </c>
      <c r="W467" s="45">
        <v>27.5</v>
      </c>
      <c r="X467" s="45">
        <v>31.4</v>
      </c>
      <c r="Y467" s="45">
        <v>27.9</v>
      </c>
      <c r="Z467" s="45">
        <v>23.7</v>
      </c>
      <c r="AA467" s="45">
        <v>22.1</v>
      </c>
      <c r="AB467" s="45">
        <v>25.7</v>
      </c>
      <c r="AC467" s="45">
        <v>22.8</v>
      </c>
      <c r="AD467" s="45">
        <v>25.3</v>
      </c>
      <c r="AE467" s="45">
        <v>20.9</v>
      </c>
      <c r="AF467" s="45">
        <v>22.6</v>
      </c>
      <c r="AG467" s="45">
        <v>21.5</v>
      </c>
      <c r="AH467" s="45">
        <v>23.8</v>
      </c>
      <c r="AI467" s="45">
        <v>22.9</v>
      </c>
      <c r="AJ467" s="45">
        <v>20.9</v>
      </c>
      <c r="AK467" s="45">
        <v>19.9</v>
      </c>
      <c r="AL467" s="45">
        <v>20.5</v>
      </c>
      <c r="AM467" s="45">
        <v>20.6</v>
      </c>
      <c r="AN467" s="45">
        <v>17.2</v>
      </c>
      <c r="AO467" s="45">
        <v>16.8</v>
      </c>
      <c r="AP467" s="45">
        <v>14.2</v>
      </c>
      <c r="AQ467" s="45">
        <v>0</v>
      </c>
      <c r="AR467" s="45">
        <v>0</v>
      </c>
      <c r="AS467" s="45">
        <v>0</v>
      </c>
      <c r="AT467" s="45">
        <v>0</v>
      </c>
      <c r="AU467" s="45">
        <v>0</v>
      </c>
      <c r="AV467" s="45">
        <v>0</v>
      </c>
      <c r="AW467" s="45">
        <v>0</v>
      </c>
      <c r="AX467" s="45">
        <v>0</v>
      </c>
      <c r="AY467" s="45">
        <v>0</v>
      </c>
      <c r="AZ467" s="45">
        <v>0</v>
      </c>
      <c r="BA467" s="45">
        <v>0</v>
      </c>
      <c r="BB467" s="45">
        <v>0</v>
      </c>
      <c r="BC467" s="45">
        <v>0</v>
      </c>
      <c r="BD467" s="45">
        <v>0</v>
      </c>
      <c r="BE467" s="45">
        <v>0</v>
      </c>
      <c r="BF467" s="45">
        <v>0</v>
      </c>
      <c r="BG467" s="45">
        <v>0</v>
      </c>
    </row>
    <row r="468" spans="1:59">
      <c r="A468" s="18" t="s">
        <v>183</v>
      </c>
      <c r="B468" s="18" t="s">
        <v>176</v>
      </c>
      <c r="C468" s="18" t="s">
        <v>80</v>
      </c>
      <c r="D468" s="45">
        <v>0</v>
      </c>
      <c r="E468" s="45">
        <v>0</v>
      </c>
      <c r="F468" s="45">
        <v>0</v>
      </c>
      <c r="G468" s="45">
        <v>0</v>
      </c>
      <c r="H468" s="45">
        <v>0</v>
      </c>
      <c r="I468" s="45">
        <v>0</v>
      </c>
      <c r="J468" s="45">
        <v>23.4</v>
      </c>
      <c r="K468" s="45">
        <v>24.8</v>
      </c>
      <c r="L468" s="45">
        <v>22.9</v>
      </c>
      <c r="M468" s="45">
        <v>16.9</v>
      </c>
      <c r="N468" s="45">
        <v>19.2</v>
      </c>
      <c r="O468" s="45">
        <v>20.5</v>
      </c>
      <c r="P468" s="45">
        <v>17.3</v>
      </c>
      <c r="Q468" s="45">
        <v>19.5</v>
      </c>
      <c r="R468" s="45">
        <v>20.8</v>
      </c>
      <c r="S468" s="45">
        <v>20.1</v>
      </c>
      <c r="T468" s="45">
        <v>16</v>
      </c>
      <c r="U468" s="45">
        <v>19.1</v>
      </c>
      <c r="V468" s="45">
        <v>23.2</v>
      </c>
      <c r="W468" s="45">
        <v>25.8</v>
      </c>
      <c r="X468" s="45">
        <v>27.7</v>
      </c>
      <c r="Y468" s="45">
        <v>25.4</v>
      </c>
      <c r="Z468" s="45">
        <v>26.7</v>
      </c>
      <c r="AA468" s="45">
        <v>23.4</v>
      </c>
      <c r="AB468" s="45">
        <v>22.2</v>
      </c>
      <c r="AC468" s="45">
        <v>24.9</v>
      </c>
      <c r="AD468" s="45">
        <v>21.6</v>
      </c>
      <c r="AE468" s="45">
        <v>22.7</v>
      </c>
      <c r="AF468" s="45">
        <v>21.7</v>
      </c>
      <c r="AG468" s="45">
        <v>25.8</v>
      </c>
      <c r="AH468" s="45">
        <v>19.9</v>
      </c>
      <c r="AI468" s="45">
        <v>18.9</v>
      </c>
      <c r="AJ468" s="45">
        <v>21.3</v>
      </c>
      <c r="AK468" s="45">
        <v>21.1</v>
      </c>
      <c r="AL468" s="45">
        <v>19.9</v>
      </c>
      <c r="AM468" s="45">
        <v>16</v>
      </c>
      <c r="AN468" s="45">
        <v>14</v>
      </c>
      <c r="AO468" s="45">
        <v>16.1</v>
      </c>
      <c r="AP468" s="45">
        <v>13.8</v>
      </c>
      <c r="AQ468" s="45">
        <v>9.699999999999999</v>
      </c>
      <c r="AR468" s="45">
        <v>0</v>
      </c>
      <c r="AS468" s="45">
        <v>0</v>
      </c>
      <c r="AT468" s="45">
        <v>0</v>
      </c>
      <c r="AU468" s="45">
        <v>0</v>
      </c>
      <c r="AV468" s="45">
        <v>0</v>
      </c>
      <c r="AW468" s="45">
        <v>0</v>
      </c>
      <c r="AX468" s="45">
        <v>0</v>
      </c>
      <c r="AY468" s="45">
        <v>0</v>
      </c>
      <c r="AZ468" s="45">
        <v>0</v>
      </c>
      <c r="BA468" s="45">
        <v>0</v>
      </c>
      <c r="BB468" s="45">
        <v>0</v>
      </c>
      <c r="BC468" s="45">
        <v>0</v>
      </c>
      <c r="BD468" s="45">
        <v>0</v>
      </c>
      <c r="BE468" s="45">
        <v>0</v>
      </c>
      <c r="BF468" s="45">
        <v>0</v>
      </c>
      <c r="BG468" s="45">
        <v>0</v>
      </c>
    </row>
    <row r="469" spans="1:59">
      <c r="A469" s="18" t="s">
        <v>184</v>
      </c>
      <c r="B469" s="18" t="s">
        <v>176</v>
      </c>
      <c r="C469" s="18" t="s">
        <v>82</v>
      </c>
      <c r="D469" s="45">
        <v>0</v>
      </c>
      <c r="E469" s="45">
        <v>0</v>
      </c>
      <c r="F469" s="45">
        <v>0</v>
      </c>
      <c r="G469" s="45">
        <v>0</v>
      </c>
      <c r="H469" s="45">
        <v>0</v>
      </c>
      <c r="I469" s="45">
        <v>0</v>
      </c>
      <c r="J469" s="45">
        <v>35.6</v>
      </c>
      <c r="K469" s="45">
        <v>21.1</v>
      </c>
      <c r="L469" s="45">
        <v>21.7</v>
      </c>
      <c r="M469" s="45">
        <v>21.8</v>
      </c>
      <c r="N469" s="45">
        <v>19.8</v>
      </c>
      <c r="O469" s="45">
        <v>17.7</v>
      </c>
      <c r="P469" s="45">
        <v>19.3</v>
      </c>
      <c r="Q469" s="45">
        <v>14.8</v>
      </c>
      <c r="R469" s="45">
        <v>16.4</v>
      </c>
      <c r="S469" s="45">
        <v>15.2</v>
      </c>
      <c r="T469" s="45">
        <v>21.5</v>
      </c>
      <c r="U469" s="45">
        <v>17.5</v>
      </c>
      <c r="V469" s="45">
        <v>19.4</v>
      </c>
      <c r="W469" s="45">
        <v>22.6</v>
      </c>
      <c r="X469" s="45">
        <v>22</v>
      </c>
      <c r="Y469" s="45">
        <v>22</v>
      </c>
      <c r="Z469" s="45">
        <v>20.4</v>
      </c>
      <c r="AA469" s="45">
        <v>25.2</v>
      </c>
      <c r="AB469" s="45">
        <v>19</v>
      </c>
      <c r="AC469" s="45">
        <v>17.6</v>
      </c>
      <c r="AD469" s="45">
        <v>20.9</v>
      </c>
      <c r="AE469" s="45">
        <v>21.2</v>
      </c>
      <c r="AF469" s="45">
        <v>20</v>
      </c>
      <c r="AG469" s="45">
        <v>17.3</v>
      </c>
      <c r="AH469" s="45">
        <v>19.8</v>
      </c>
      <c r="AI469" s="45">
        <v>17.3</v>
      </c>
      <c r="AJ469" s="45">
        <v>20.3</v>
      </c>
      <c r="AK469" s="45">
        <v>18.4</v>
      </c>
      <c r="AL469" s="45">
        <v>19.6</v>
      </c>
      <c r="AM469" s="45">
        <v>16.9</v>
      </c>
      <c r="AN469" s="45">
        <v>16.2</v>
      </c>
      <c r="AO469" s="45">
        <v>14.9</v>
      </c>
      <c r="AP469" s="45">
        <v>11.8</v>
      </c>
      <c r="AQ469" s="45">
        <v>0</v>
      </c>
      <c r="AR469" s="45">
        <v>0</v>
      </c>
      <c r="AS469" s="45">
        <v>0</v>
      </c>
      <c r="AT469" s="45">
        <v>0</v>
      </c>
      <c r="AU469" s="45">
        <v>0</v>
      </c>
      <c r="AV469" s="45">
        <v>0</v>
      </c>
      <c r="AW469" s="45">
        <v>0</v>
      </c>
      <c r="AX469" s="45">
        <v>0</v>
      </c>
      <c r="AY469" s="45">
        <v>0</v>
      </c>
      <c r="AZ469" s="45">
        <v>0</v>
      </c>
      <c r="BA469" s="45">
        <v>0</v>
      </c>
      <c r="BB469" s="45">
        <v>0</v>
      </c>
      <c r="BC469" s="45">
        <v>0</v>
      </c>
      <c r="BD469" s="45">
        <v>0</v>
      </c>
      <c r="BE469" s="45">
        <v>0</v>
      </c>
      <c r="BF469" s="45">
        <v>0</v>
      </c>
      <c r="BG469" s="45">
        <v>0</v>
      </c>
    </row>
    <row r="470" spans="1:59">
      <c r="A470" s="18" t="s">
        <v>185</v>
      </c>
      <c r="B470" s="18" t="s">
        <v>176</v>
      </c>
      <c r="C470" s="18" t="s">
        <v>84</v>
      </c>
      <c r="D470" s="45">
        <v>0</v>
      </c>
      <c r="E470" s="45">
        <v>0</v>
      </c>
      <c r="F470" s="45">
        <v>0</v>
      </c>
      <c r="G470" s="45">
        <v>0</v>
      </c>
      <c r="H470" s="45">
        <v>0</v>
      </c>
      <c r="I470" s="45">
        <v>0</v>
      </c>
      <c r="J470" s="45">
        <v>23.7</v>
      </c>
      <c r="K470" s="45">
        <v>36</v>
      </c>
      <c r="L470" s="45">
        <v>24.2</v>
      </c>
      <c r="M470" s="45">
        <v>27.6</v>
      </c>
      <c r="N470" s="45">
        <v>19.2</v>
      </c>
      <c r="O470" s="45">
        <v>18.5</v>
      </c>
      <c r="P470" s="45">
        <v>16.7</v>
      </c>
      <c r="Q470" s="45">
        <v>16.3</v>
      </c>
      <c r="R470" s="45">
        <v>17.3</v>
      </c>
      <c r="S470" s="45">
        <v>17.4</v>
      </c>
      <c r="T470" s="45">
        <v>16.7</v>
      </c>
      <c r="U470" s="45">
        <v>24.8</v>
      </c>
      <c r="V470" s="45">
        <v>21.1</v>
      </c>
      <c r="W470" s="45">
        <v>24</v>
      </c>
      <c r="X470" s="45">
        <v>19.7</v>
      </c>
      <c r="Y470" s="45">
        <v>25.5</v>
      </c>
      <c r="Z470" s="45">
        <v>23.7</v>
      </c>
      <c r="AA470" s="45">
        <v>18.9</v>
      </c>
      <c r="AB470" s="45">
        <v>21.8</v>
      </c>
      <c r="AC470" s="45">
        <v>23.6</v>
      </c>
      <c r="AD470" s="45">
        <v>19.9</v>
      </c>
      <c r="AE470" s="45">
        <v>19.4</v>
      </c>
      <c r="AF470" s="45">
        <v>18.2</v>
      </c>
      <c r="AG470" s="45">
        <v>17.6</v>
      </c>
      <c r="AH470" s="45">
        <v>21.5</v>
      </c>
      <c r="AI470" s="45">
        <v>16.4</v>
      </c>
      <c r="AJ470" s="45">
        <v>23.3</v>
      </c>
      <c r="AK470" s="45">
        <v>21.3</v>
      </c>
      <c r="AL470" s="45">
        <v>19.9</v>
      </c>
      <c r="AM470" s="45">
        <v>16.6</v>
      </c>
      <c r="AN470" s="45">
        <v>18</v>
      </c>
      <c r="AO470" s="45">
        <v>15.8</v>
      </c>
      <c r="AP470" s="45">
        <v>13.3</v>
      </c>
      <c r="AQ470" s="45">
        <v>0</v>
      </c>
      <c r="AR470" s="45">
        <v>0</v>
      </c>
      <c r="AS470" s="45">
        <v>0</v>
      </c>
      <c r="AT470" s="45">
        <v>0</v>
      </c>
      <c r="AU470" s="45">
        <v>0</v>
      </c>
      <c r="AV470" s="45">
        <v>0</v>
      </c>
      <c r="AW470" s="45">
        <v>0</v>
      </c>
      <c r="AX470" s="45">
        <v>0</v>
      </c>
      <c r="AY470" s="45">
        <v>0</v>
      </c>
      <c r="AZ470" s="45">
        <v>0</v>
      </c>
      <c r="BA470" s="45">
        <v>0</v>
      </c>
      <c r="BB470" s="45">
        <v>0</v>
      </c>
      <c r="BC470" s="45">
        <v>0</v>
      </c>
      <c r="BD470" s="45">
        <v>0</v>
      </c>
      <c r="BE470" s="45">
        <v>0</v>
      </c>
      <c r="BF470" s="45">
        <v>0</v>
      </c>
      <c r="BG470" s="45">
        <v>0</v>
      </c>
    </row>
    <row r="471" spans="1:59">
      <c r="A471" s="18" t="s">
        <v>186</v>
      </c>
      <c r="B471" s="18" t="s">
        <v>176</v>
      </c>
      <c r="C471" s="18" t="s">
        <v>86</v>
      </c>
      <c r="D471" s="45">
        <v>0</v>
      </c>
      <c r="E471" s="45">
        <v>0</v>
      </c>
      <c r="F471" s="45">
        <v>0</v>
      </c>
      <c r="G471" s="45">
        <v>0</v>
      </c>
      <c r="H471" s="45">
        <v>0</v>
      </c>
      <c r="I471" s="45">
        <v>0</v>
      </c>
      <c r="J471" s="45">
        <v>3.5</v>
      </c>
      <c r="K471" s="45">
        <v>4.3</v>
      </c>
      <c r="L471" s="45">
        <v>4.9</v>
      </c>
      <c r="M471" s="45">
        <v>4.3</v>
      </c>
      <c r="N471" s="45">
        <v>9.199999999999999</v>
      </c>
      <c r="O471" s="45">
        <v>15.4</v>
      </c>
      <c r="P471" s="45">
        <v>8.699999999999999</v>
      </c>
      <c r="Q471" s="45">
        <v>4</v>
      </c>
      <c r="R471" s="45">
        <v>5.4</v>
      </c>
      <c r="S471" s="45">
        <v>11</v>
      </c>
      <c r="T471" s="45">
        <v>8</v>
      </c>
      <c r="U471" s="45">
        <v>6.9</v>
      </c>
      <c r="V471" s="45">
        <v>6.4</v>
      </c>
      <c r="W471" s="45">
        <v>6.2</v>
      </c>
      <c r="X471" s="45">
        <v>7.2</v>
      </c>
      <c r="Y471" s="45">
        <v>7.1</v>
      </c>
      <c r="Z471" s="45">
        <v>6.5</v>
      </c>
      <c r="AA471" s="45">
        <v>2.6</v>
      </c>
      <c r="AB471" s="45">
        <v>5.7</v>
      </c>
      <c r="AC471" s="45">
        <v>3.3</v>
      </c>
      <c r="AD471" s="45">
        <v>18.3</v>
      </c>
      <c r="AE471" s="45">
        <v>8</v>
      </c>
      <c r="AF471" s="45">
        <v>5.7</v>
      </c>
      <c r="AG471" s="45">
        <v>9.199999999999999</v>
      </c>
      <c r="AH471" s="45">
        <v>6.3</v>
      </c>
      <c r="AI471" s="45">
        <v>8.9</v>
      </c>
      <c r="AJ471" s="45">
        <v>11.3</v>
      </c>
      <c r="AK471" s="45">
        <v>5.6</v>
      </c>
      <c r="AL471" s="45">
        <v>7.4</v>
      </c>
      <c r="AM471" s="45">
        <v>8.4</v>
      </c>
      <c r="AN471" s="45">
        <v>12.5</v>
      </c>
      <c r="AO471" s="45">
        <v>2.9</v>
      </c>
      <c r="AP471" s="45">
        <v>6.2</v>
      </c>
      <c r="AQ471" s="45">
        <v>11</v>
      </c>
      <c r="AR471" s="45">
        <v>9.4</v>
      </c>
      <c r="AS471" s="45">
        <v>0</v>
      </c>
      <c r="AT471" s="45">
        <v>0</v>
      </c>
      <c r="AU471" s="45">
        <v>0</v>
      </c>
      <c r="AV471" s="45">
        <v>0</v>
      </c>
      <c r="AW471" s="45">
        <v>0</v>
      </c>
      <c r="AX471" s="45">
        <v>0</v>
      </c>
      <c r="AY471" s="45">
        <v>0</v>
      </c>
      <c r="AZ471" s="45">
        <v>0</v>
      </c>
      <c r="BA471" s="45">
        <v>0</v>
      </c>
      <c r="BB471" s="45">
        <v>0</v>
      </c>
      <c r="BC471" s="45">
        <v>0</v>
      </c>
      <c r="BD471" s="45">
        <v>0</v>
      </c>
      <c r="BE471" s="45">
        <v>0</v>
      </c>
      <c r="BF471" s="45">
        <v>0</v>
      </c>
      <c r="BG471" s="45">
        <v>0</v>
      </c>
    </row>
    <row r="472" spans="1:59">
      <c r="A472" s="18" t="s">
        <v>187</v>
      </c>
      <c r="B472" s="18" t="s">
        <v>176</v>
      </c>
      <c r="C472" s="18" t="s">
        <v>88</v>
      </c>
      <c r="D472" s="45">
        <v>0</v>
      </c>
      <c r="E472" s="45">
        <v>0</v>
      </c>
      <c r="F472" s="45">
        <v>0</v>
      </c>
      <c r="G472" s="45">
        <v>0</v>
      </c>
      <c r="H472" s="45">
        <v>0</v>
      </c>
      <c r="I472" s="45">
        <v>0</v>
      </c>
      <c r="J472" s="45">
        <v>10.5</v>
      </c>
      <c r="K472" s="45">
        <v>4.5</v>
      </c>
      <c r="L472" s="45">
        <v>8.5</v>
      </c>
      <c r="M472" s="45">
        <v>4.9</v>
      </c>
      <c r="N472" s="45">
        <v>5.2</v>
      </c>
      <c r="O472" s="45">
        <v>5.6</v>
      </c>
      <c r="P472" s="45">
        <v>10</v>
      </c>
      <c r="Q472" s="45">
        <v>5.5</v>
      </c>
      <c r="R472" s="45">
        <v>8.199999999999999</v>
      </c>
      <c r="S472" s="45">
        <v>6.3</v>
      </c>
      <c r="T472" s="45">
        <v>5.9</v>
      </c>
      <c r="U472" s="45">
        <v>6.2</v>
      </c>
      <c r="V472" s="45">
        <v>6.3</v>
      </c>
      <c r="W472" s="45">
        <v>7.5</v>
      </c>
      <c r="X472" s="45">
        <v>8.699999999999999</v>
      </c>
      <c r="Y472" s="45">
        <v>6.7</v>
      </c>
      <c r="Z472" s="45">
        <v>7.7</v>
      </c>
      <c r="AA472" s="45">
        <v>8</v>
      </c>
      <c r="AB472" s="45">
        <v>6.4</v>
      </c>
      <c r="AC472" s="45">
        <v>5</v>
      </c>
      <c r="AD472" s="45">
        <v>5.6</v>
      </c>
      <c r="AE472" s="45">
        <v>6.5</v>
      </c>
      <c r="AF472" s="45">
        <v>6.9</v>
      </c>
      <c r="AG472" s="45">
        <v>6.9</v>
      </c>
      <c r="AH472" s="45">
        <v>5.1</v>
      </c>
      <c r="AI472" s="45">
        <v>7.2</v>
      </c>
      <c r="AJ472" s="45">
        <v>7.5</v>
      </c>
      <c r="AK472" s="45">
        <v>7.5</v>
      </c>
      <c r="AL472" s="45">
        <v>6.7</v>
      </c>
      <c r="AM472" s="45">
        <v>6</v>
      </c>
      <c r="AN472" s="45">
        <v>5.7</v>
      </c>
      <c r="AO472" s="45">
        <v>6.6</v>
      </c>
      <c r="AP472" s="45">
        <v>6.7</v>
      </c>
      <c r="AQ472" s="45">
        <v>6</v>
      </c>
      <c r="AR472" s="45">
        <v>2</v>
      </c>
      <c r="AS472" s="45">
        <v>0</v>
      </c>
      <c r="AT472" s="45">
        <v>0</v>
      </c>
      <c r="AU472" s="45">
        <v>0</v>
      </c>
      <c r="AV472" s="45">
        <v>0</v>
      </c>
      <c r="AW472" s="45">
        <v>0</v>
      </c>
      <c r="AX472" s="45">
        <v>0</v>
      </c>
      <c r="AY472" s="45">
        <v>0</v>
      </c>
      <c r="AZ472" s="45">
        <v>0</v>
      </c>
      <c r="BA472" s="45">
        <v>0</v>
      </c>
      <c r="BB472" s="45">
        <v>0</v>
      </c>
      <c r="BC472" s="45">
        <v>0</v>
      </c>
      <c r="BD472" s="45">
        <v>0</v>
      </c>
      <c r="BE472" s="45">
        <v>0</v>
      </c>
      <c r="BF472" s="45">
        <v>0</v>
      </c>
      <c r="BG472" s="45">
        <v>0</v>
      </c>
    </row>
    <row r="473" spans="1:59">
      <c r="A473" s="18" t="s">
        <v>188</v>
      </c>
      <c r="B473" s="18" t="s">
        <v>176</v>
      </c>
      <c r="C473" s="18" t="s">
        <v>90</v>
      </c>
      <c r="D473" s="45">
        <v>0</v>
      </c>
      <c r="E473" s="45">
        <v>0</v>
      </c>
      <c r="F473" s="45">
        <v>0</v>
      </c>
      <c r="G473" s="45">
        <v>0</v>
      </c>
      <c r="H473" s="45">
        <v>0</v>
      </c>
      <c r="I473" s="45">
        <v>14.3</v>
      </c>
      <c r="J473" s="45">
        <v>8.5</v>
      </c>
      <c r="K473" s="45">
        <v>9.1</v>
      </c>
      <c r="L473" s="45">
        <v>7.3</v>
      </c>
      <c r="M473" s="45">
        <v>6.2</v>
      </c>
      <c r="N473" s="45">
        <v>9.4</v>
      </c>
      <c r="O473" s="45">
        <v>11.5</v>
      </c>
      <c r="P473" s="45">
        <v>11.3</v>
      </c>
      <c r="Q473" s="45">
        <v>10.5</v>
      </c>
      <c r="R473" s="45">
        <v>10.3</v>
      </c>
      <c r="S473" s="45">
        <v>10.2</v>
      </c>
      <c r="T473" s="45">
        <v>9.5</v>
      </c>
      <c r="U473" s="45">
        <v>8.199999999999999</v>
      </c>
      <c r="V473" s="45">
        <v>11.4</v>
      </c>
      <c r="W473" s="45">
        <v>7.2</v>
      </c>
      <c r="X473" s="45">
        <v>8.699999999999999</v>
      </c>
      <c r="Y473" s="45">
        <v>8</v>
      </c>
      <c r="Z473" s="45">
        <v>8.300000000000001</v>
      </c>
      <c r="AA473" s="45">
        <v>6.4</v>
      </c>
      <c r="AB473" s="45">
        <v>10.5</v>
      </c>
      <c r="AC473" s="45">
        <v>13</v>
      </c>
      <c r="AD473" s="45">
        <v>13.9</v>
      </c>
      <c r="AE473" s="45">
        <v>10.1</v>
      </c>
      <c r="AF473" s="45">
        <v>8.9</v>
      </c>
      <c r="AG473" s="45">
        <v>7.8</v>
      </c>
      <c r="AH473" s="45">
        <v>9.699999999999999</v>
      </c>
      <c r="AI473" s="45">
        <v>9</v>
      </c>
      <c r="AJ473" s="45">
        <v>8.699999999999999</v>
      </c>
      <c r="AK473" s="45">
        <v>8.9</v>
      </c>
      <c r="AL473" s="45">
        <v>6.7</v>
      </c>
      <c r="AM473" s="45">
        <v>7.6</v>
      </c>
      <c r="AN473" s="45">
        <v>8.300000000000001</v>
      </c>
      <c r="AO473" s="45">
        <v>8.699999999999999</v>
      </c>
      <c r="AP473" s="45">
        <v>8.5</v>
      </c>
      <c r="AQ473" s="45">
        <v>6.2</v>
      </c>
      <c r="AR473" s="45">
        <v>5.1</v>
      </c>
      <c r="AS473" s="45">
        <v>0</v>
      </c>
      <c r="AT473" s="45">
        <v>0</v>
      </c>
      <c r="AU473" s="45">
        <v>0</v>
      </c>
      <c r="AV473" s="45">
        <v>0</v>
      </c>
      <c r="AW473" s="45">
        <v>0</v>
      </c>
      <c r="AX473" s="45">
        <v>0</v>
      </c>
      <c r="AY473" s="45">
        <v>0</v>
      </c>
      <c r="AZ473" s="45">
        <v>0</v>
      </c>
      <c r="BA473" s="45">
        <v>0</v>
      </c>
      <c r="BB473" s="45">
        <v>0</v>
      </c>
      <c r="BC473" s="45">
        <v>0</v>
      </c>
      <c r="BD473" s="45">
        <v>0</v>
      </c>
      <c r="BE473" s="45">
        <v>0</v>
      </c>
      <c r="BF473" s="45">
        <v>0</v>
      </c>
      <c r="BG473" s="45">
        <v>0</v>
      </c>
    </row>
    <row r="474" spans="1:59">
      <c r="A474" s="18" t="s">
        <v>189</v>
      </c>
      <c r="B474" s="18" t="s">
        <v>190</v>
      </c>
      <c r="C474" s="18" t="s">
        <v>66</v>
      </c>
      <c r="D474" s="45">
        <v>0</v>
      </c>
      <c r="E474" s="45">
        <v>0</v>
      </c>
      <c r="F474" s="45">
        <v>0</v>
      </c>
      <c r="G474" s="45">
        <v>0</v>
      </c>
      <c r="H474" s="45">
        <v>26.3</v>
      </c>
      <c r="I474" s="45">
        <v>14.6</v>
      </c>
      <c r="J474" s="45">
        <v>12.6</v>
      </c>
      <c r="K474" s="45">
        <v>12.1</v>
      </c>
      <c r="L474" s="45">
        <v>11.2</v>
      </c>
      <c r="M474" s="45">
        <v>11.7</v>
      </c>
      <c r="N474" s="45">
        <v>12.4</v>
      </c>
      <c r="O474" s="45">
        <v>13.1</v>
      </c>
      <c r="P474" s="45">
        <v>13.1</v>
      </c>
      <c r="Q474" s="45">
        <v>13.5</v>
      </c>
      <c r="R474" s="45">
        <v>13.3</v>
      </c>
      <c r="S474" s="45">
        <v>14</v>
      </c>
      <c r="T474" s="45">
        <v>13.6</v>
      </c>
      <c r="U474" s="45">
        <v>13.4</v>
      </c>
      <c r="V474" s="45">
        <v>14.4</v>
      </c>
      <c r="W474" s="45">
        <v>15.3</v>
      </c>
      <c r="X474" s="45">
        <v>15.9</v>
      </c>
      <c r="Y474" s="45">
        <v>14.5</v>
      </c>
      <c r="Z474" s="45">
        <v>13.2</v>
      </c>
      <c r="AA474" s="45">
        <v>12.6</v>
      </c>
      <c r="AB474" s="45">
        <v>12.2</v>
      </c>
      <c r="AC474" s="45">
        <v>12.8</v>
      </c>
      <c r="AD474" s="45">
        <v>13.1</v>
      </c>
      <c r="AE474" s="45">
        <v>13.2</v>
      </c>
      <c r="AF474" s="45">
        <v>12.8</v>
      </c>
      <c r="AG474" s="45">
        <v>12.8</v>
      </c>
      <c r="AH474" s="45">
        <v>13</v>
      </c>
      <c r="AI474" s="45">
        <v>12.8</v>
      </c>
      <c r="AJ474" s="45">
        <v>12.2</v>
      </c>
      <c r="AK474" s="45">
        <v>11.8</v>
      </c>
      <c r="AL474" s="45">
        <v>12.6</v>
      </c>
      <c r="AM474" s="45">
        <v>12.4</v>
      </c>
      <c r="AN474" s="45">
        <v>12.3</v>
      </c>
      <c r="AO474" s="45">
        <v>10.7</v>
      </c>
      <c r="AP474" s="45">
        <v>9.800000000000001</v>
      </c>
      <c r="AQ474" s="45">
        <v>8.199999999999999</v>
      </c>
      <c r="AR474" s="45">
        <v>6</v>
      </c>
      <c r="AS474" s="45">
        <v>14.6</v>
      </c>
      <c r="AT474" s="45">
        <v>0</v>
      </c>
      <c r="AU474" s="45">
        <v>0</v>
      </c>
      <c r="AV474" s="45">
        <v>0</v>
      </c>
      <c r="AW474" s="45">
        <v>0</v>
      </c>
      <c r="AX474" s="45">
        <v>0</v>
      </c>
      <c r="AY474" s="45">
        <v>0</v>
      </c>
      <c r="AZ474" s="45">
        <v>0</v>
      </c>
      <c r="BA474" s="45">
        <v>0</v>
      </c>
      <c r="BB474" s="45">
        <v>0</v>
      </c>
      <c r="BC474" s="45">
        <v>0</v>
      </c>
      <c r="BD474" s="45">
        <v>0</v>
      </c>
      <c r="BE474" s="45">
        <v>0</v>
      </c>
      <c r="BF474" s="45">
        <v>0</v>
      </c>
      <c r="BG474" s="45">
        <v>0</v>
      </c>
    </row>
    <row r="475" spans="1:59">
      <c r="A475" s="18" t="s">
        <v>191</v>
      </c>
      <c r="B475" s="18" t="s">
        <v>190</v>
      </c>
      <c r="C475" s="18" t="s">
        <v>68</v>
      </c>
      <c r="D475" s="45">
        <v>0</v>
      </c>
      <c r="E475" s="45">
        <v>0</v>
      </c>
      <c r="F475" s="45">
        <v>0</v>
      </c>
      <c r="G475" s="45">
        <v>0</v>
      </c>
      <c r="H475" s="45">
        <v>0</v>
      </c>
      <c r="I475" s="45">
        <v>15.1</v>
      </c>
      <c r="J475" s="45">
        <v>15.8</v>
      </c>
      <c r="K475" s="45">
        <v>16.4</v>
      </c>
      <c r="L475" s="45">
        <v>14.1</v>
      </c>
      <c r="M475" s="45">
        <v>17.4</v>
      </c>
      <c r="N475" s="45">
        <v>18.8</v>
      </c>
      <c r="O475" s="45">
        <v>18.6</v>
      </c>
      <c r="P475" s="45">
        <v>17</v>
      </c>
      <c r="Q475" s="45">
        <v>19.5</v>
      </c>
      <c r="R475" s="45">
        <v>17.3</v>
      </c>
      <c r="S475" s="45">
        <v>21.8</v>
      </c>
      <c r="T475" s="45">
        <v>18</v>
      </c>
      <c r="U475" s="45">
        <v>22</v>
      </c>
      <c r="V475" s="45">
        <v>22.1</v>
      </c>
      <c r="W475" s="45">
        <v>21.8</v>
      </c>
      <c r="X475" s="45">
        <v>23.9</v>
      </c>
      <c r="Y475" s="45">
        <v>20</v>
      </c>
      <c r="Z475" s="45">
        <v>17.1</v>
      </c>
      <c r="AA475" s="45">
        <v>16.4</v>
      </c>
      <c r="AB475" s="45">
        <v>15.5</v>
      </c>
      <c r="AC475" s="45">
        <v>16.1</v>
      </c>
      <c r="AD475" s="45">
        <v>15.6</v>
      </c>
      <c r="AE475" s="45">
        <v>19.5</v>
      </c>
      <c r="AF475" s="45">
        <v>16.7</v>
      </c>
      <c r="AG475" s="45">
        <v>17.9</v>
      </c>
      <c r="AH475" s="45">
        <v>18.9</v>
      </c>
      <c r="AI475" s="45">
        <v>16.8</v>
      </c>
      <c r="AJ475" s="45">
        <v>15.7</v>
      </c>
      <c r="AK475" s="45">
        <v>16.7</v>
      </c>
      <c r="AL475" s="45">
        <v>18</v>
      </c>
      <c r="AM475" s="45">
        <v>15.3</v>
      </c>
      <c r="AN475" s="45">
        <v>15.8</v>
      </c>
      <c r="AO475" s="45">
        <v>14.8</v>
      </c>
      <c r="AP475" s="45">
        <v>12.4</v>
      </c>
      <c r="AQ475" s="45">
        <v>10.4</v>
      </c>
      <c r="AR475" s="45">
        <v>0</v>
      </c>
      <c r="AS475" s="45">
        <v>0</v>
      </c>
      <c r="AT475" s="45">
        <v>0</v>
      </c>
      <c r="AU475" s="45">
        <v>0</v>
      </c>
      <c r="AV475" s="45">
        <v>0</v>
      </c>
      <c r="AW475" s="45">
        <v>0</v>
      </c>
      <c r="AX475" s="45">
        <v>0</v>
      </c>
      <c r="AY475" s="45">
        <v>0</v>
      </c>
      <c r="AZ475" s="45">
        <v>0</v>
      </c>
      <c r="BA475" s="45">
        <v>0</v>
      </c>
      <c r="BB475" s="45">
        <v>0</v>
      </c>
      <c r="BC475" s="45">
        <v>0</v>
      </c>
      <c r="BD475" s="45">
        <v>0</v>
      </c>
      <c r="BE475" s="45">
        <v>0</v>
      </c>
      <c r="BF475" s="45">
        <v>0</v>
      </c>
      <c r="BG475" s="45">
        <v>0</v>
      </c>
    </row>
    <row r="476" spans="1:59">
      <c r="A476" s="18" t="s">
        <v>192</v>
      </c>
      <c r="B476" s="18" t="s">
        <v>190</v>
      </c>
      <c r="C476" s="18" t="s">
        <v>70</v>
      </c>
      <c r="D476" s="45">
        <v>0</v>
      </c>
      <c r="E476" s="45">
        <v>0</v>
      </c>
      <c r="F476" s="45">
        <v>0</v>
      </c>
      <c r="G476" s="45">
        <v>0</v>
      </c>
      <c r="H476" s="45">
        <v>0</v>
      </c>
      <c r="I476" s="45">
        <v>18</v>
      </c>
      <c r="J476" s="45">
        <v>15.7</v>
      </c>
      <c r="K476" s="45">
        <v>16.7</v>
      </c>
      <c r="L476" s="45">
        <v>13</v>
      </c>
      <c r="M476" s="45">
        <v>12.6</v>
      </c>
      <c r="N476" s="45">
        <v>15.5</v>
      </c>
      <c r="O476" s="45">
        <v>16.3</v>
      </c>
      <c r="P476" s="45">
        <v>13.6</v>
      </c>
      <c r="Q476" s="45">
        <v>15.6</v>
      </c>
      <c r="R476" s="45">
        <v>15.8</v>
      </c>
      <c r="S476" s="45">
        <v>17.3</v>
      </c>
      <c r="T476" s="45">
        <v>17</v>
      </c>
      <c r="U476" s="45">
        <v>15</v>
      </c>
      <c r="V476" s="45">
        <v>16.5</v>
      </c>
      <c r="W476" s="45">
        <v>18</v>
      </c>
      <c r="X476" s="45">
        <v>20.8</v>
      </c>
      <c r="Y476" s="45">
        <v>17.5</v>
      </c>
      <c r="Z476" s="45">
        <v>14.3</v>
      </c>
      <c r="AA476" s="45">
        <v>12.1</v>
      </c>
      <c r="AB476" s="45">
        <v>13.8</v>
      </c>
      <c r="AC476" s="45">
        <v>14.1</v>
      </c>
      <c r="AD476" s="45">
        <v>15.9</v>
      </c>
      <c r="AE476" s="45">
        <v>14.1</v>
      </c>
      <c r="AF476" s="45">
        <v>14</v>
      </c>
      <c r="AG476" s="45">
        <v>15.5</v>
      </c>
      <c r="AH476" s="45">
        <v>15.2</v>
      </c>
      <c r="AI476" s="45">
        <v>13.2</v>
      </c>
      <c r="AJ476" s="45">
        <v>13.8</v>
      </c>
      <c r="AK476" s="45">
        <v>13</v>
      </c>
      <c r="AL476" s="45">
        <v>13.3</v>
      </c>
      <c r="AM476" s="45">
        <v>13.4</v>
      </c>
      <c r="AN476" s="45">
        <v>11.3</v>
      </c>
      <c r="AO476" s="45">
        <v>10.8</v>
      </c>
      <c r="AP476" s="45">
        <v>8.800000000000001</v>
      </c>
      <c r="AQ476" s="45">
        <v>8.300000000000001</v>
      </c>
      <c r="AR476" s="45">
        <v>0</v>
      </c>
      <c r="AS476" s="45">
        <v>0</v>
      </c>
      <c r="AT476" s="45">
        <v>0</v>
      </c>
      <c r="AU476" s="45">
        <v>0</v>
      </c>
      <c r="AV476" s="45">
        <v>0</v>
      </c>
      <c r="AW476" s="45">
        <v>0</v>
      </c>
      <c r="AX476" s="45">
        <v>0</v>
      </c>
      <c r="AY476" s="45">
        <v>0</v>
      </c>
      <c r="AZ476" s="45">
        <v>0</v>
      </c>
      <c r="BA476" s="45">
        <v>0</v>
      </c>
      <c r="BB476" s="45">
        <v>0</v>
      </c>
      <c r="BC476" s="45">
        <v>0</v>
      </c>
      <c r="BD476" s="45">
        <v>0</v>
      </c>
      <c r="BE476" s="45">
        <v>0</v>
      </c>
      <c r="BF476" s="45">
        <v>0</v>
      </c>
      <c r="BG476" s="45">
        <v>0</v>
      </c>
    </row>
    <row r="477" spans="1:59">
      <c r="A477" s="18" t="s">
        <v>193</v>
      </c>
      <c r="B477" s="18" t="s">
        <v>190</v>
      </c>
      <c r="C477" s="18" t="s">
        <v>72</v>
      </c>
      <c r="D477" s="45">
        <v>0</v>
      </c>
      <c r="E477" s="45">
        <v>0</v>
      </c>
      <c r="F477" s="45">
        <v>0</v>
      </c>
      <c r="G477" s="45">
        <v>0</v>
      </c>
      <c r="H477" s="45">
        <v>0</v>
      </c>
      <c r="I477" s="45">
        <v>15.9</v>
      </c>
      <c r="J477" s="45">
        <v>12.8</v>
      </c>
      <c r="K477" s="45">
        <v>13.7</v>
      </c>
      <c r="L477" s="45">
        <v>13.1</v>
      </c>
      <c r="M477" s="45">
        <v>12.6</v>
      </c>
      <c r="N477" s="45">
        <v>12.1</v>
      </c>
      <c r="O477" s="45">
        <v>12.5</v>
      </c>
      <c r="P477" s="45">
        <v>12.2</v>
      </c>
      <c r="Q477" s="45">
        <v>12.4</v>
      </c>
      <c r="R477" s="45">
        <v>13.9</v>
      </c>
      <c r="S477" s="45">
        <v>12.4</v>
      </c>
      <c r="T477" s="45">
        <v>13</v>
      </c>
      <c r="U477" s="45">
        <v>11.9</v>
      </c>
      <c r="V477" s="45">
        <v>13.5</v>
      </c>
      <c r="W477" s="45">
        <v>15.8</v>
      </c>
      <c r="X477" s="45">
        <v>14.3</v>
      </c>
      <c r="Y477" s="45">
        <v>13.4</v>
      </c>
      <c r="Z477" s="45">
        <v>13.6</v>
      </c>
      <c r="AA477" s="45">
        <v>13.2</v>
      </c>
      <c r="AB477" s="45">
        <v>13.5</v>
      </c>
      <c r="AC477" s="45">
        <v>14.7</v>
      </c>
      <c r="AD477" s="45">
        <v>13.5</v>
      </c>
      <c r="AE477" s="45">
        <v>13.7</v>
      </c>
      <c r="AF477" s="45">
        <v>14.9</v>
      </c>
      <c r="AG477" s="45">
        <v>12.7</v>
      </c>
      <c r="AH477" s="45">
        <v>17.1</v>
      </c>
      <c r="AI477" s="45">
        <v>16.4</v>
      </c>
      <c r="AJ477" s="45">
        <v>11.4</v>
      </c>
      <c r="AK477" s="45">
        <v>13.3</v>
      </c>
      <c r="AL477" s="45">
        <v>13.2</v>
      </c>
      <c r="AM477" s="45">
        <v>13</v>
      </c>
      <c r="AN477" s="45">
        <v>13.6</v>
      </c>
      <c r="AO477" s="45">
        <v>9.699999999999999</v>
      </c>
      <c r="AP477" s="45">
        <v>10.5</v>
      </c>
      <c r="AQ477" s="45">
        <v>7.7</v>
      </c>
      <c r="AR477" s="45">
        <v>4.2</v>
      </c>
      <c r="AS477" s="45">
        <v>0</v>
      </c>
      <c r="AT477" s="45">
        <v>0</v>
      </c>
      <c r="AU477" s="45">
        <v>0</v>
      </c>
      <c r="AV477" s="45">
        <v>0</v>
      </c>
      <c r="AW477" s="45">
        <v>0</v>
      </c>
      <c r="AX477" s="45">
        <v>0</v>
      </c>
      <c r="AY477" s="45">
        <v>0</v>
      </c>
      <c r="AZ477" s="45">
        <v>0</v>
      </c>
      <c r="BA477" s="45">
        <v>0</v>
      </c>
      <c r="BB477" s="45">
        <v>0</v>
      </c>
      <c r="BC477" s="45">
        <v>0</v>
      </c>
      <c r="BD477" s="45">
        <v>0</v>
      </c>
      <c r="BE477" s="45">
        <v>0</v>
      </c>
      <c r="BF477" s="45">
        <v>0</v>
      </c>
      <c r="BG477" s="45">
        <v>0</v>
      </c>
    </row>
    <row r="478" spans="1:59">
      <c r="A478" s="18" t="s">
        <v>194</v>
      </c>
      <c r="B478" s="18" t="s">
        <v>190</v>
      </c>
      <c r="C478" s="18" t="s">
        <v>74</v>
      </c>
      <c r="D478" s="45">
        <v>0</v>
      </c>
      <c r="E478" s="45">
        <v>0</v>
      </c>
      <c r="F478" s="45">
        <v>0</v>
      </c>
      <c r="G478" s="45">
        <v>0</v>
      </c>
      <c r="H478" s="45">
        <v>0</v>
      </c>
      <c r="I478" s="45">
        <v>16.5</v>
      </c>
      <c r="J478" s="45">
        <v>15.1</v>
      </c>
      <c r="K478" s="45">
        <v>17.2</v>
      </c>
      <c r="L478" s="45">
        <v>12</v>
      </c>
      <c r="M478" s="45">
        <v>14.4</v>
      </c>
      <c r="N478" s="45">
        <v>13.1</v>
      </c>
      <c r="O478" s="45">
        <v>13.7</v>
      </c>
      <c r="P478" s="45">
        <v>13.3</v>
      </c>
      <c r="Q478" s="45">
        <v>16.1</v>
      </c>
      <c r="R478" s="45">
        <v>15.7</v>
      </c>
      <c r="S478" s="45">
        <v>15.3</v>
      </c>
      <c r="T478" s="45">
        <v>14.7</v>
      </c>
      <c r="U478" s="45">
        <v>12.9</v>
      </c>
      <c r="V478" s="45">
        <v>15.1</v>
      </c>
      <c r="W478" s="45">
        <v>15.5</v>
      </c>
      <c r="X478" s="45">
        <v>15.6</v>
      </c>
      <c r="Y478" s="45">
        <v>16.9</v>
      </c>
      <c r="Z478" s="45">
        <v>15.9</v>
      </c>
      <c r="AA478" s="45">
        <v>14.6</v>
      </c>
      <c r="AB478" s="45">
        <v>13.7</v>
      </c>
      <c r="AC478" s="45">
        <v>12.5</v>
      </c>
      <c r="AD478" s="45">
        <v>13.3</v>
      </c>
      <c r="AE478" s="45">
        <v>14.2</v>
      </c>
      <c r="AF478" s="45">
        <v>13.2</v>
      </c>
      <c r="AG478" s="45">
        <v>14</v>
      </c>
      <c r="AH478" s="45">
        <v>13.5</v>
      </c>
      <c r="AI478" s="45">
        <v>14.3</v>
      </c>
      <c r="AJ478" s="45">
        <v>12.4</v>
      </c>
      <c r="AK478" s="45">
        <v>13.3</v>
      </c>
      <c r="AL478" s="45">
        <v>13.5</v>
      </c>
      <c r="AM478" s="45">
        <v>13.9</v>
      </c>
      <c r="AN478" s="45">
        <v>13.4</v>
      </c>
      <c r="AO478" s="45">
        <v>12.9</v>
      </c>
      <c r="AP478" s="45">
        <v>10</v>
      </c>
      <c r="AQ478" s="45">
        <v>7.4</v>
      </c>
      <c r="AR478" s="45">
        <v>4.8</v>
      </c>
      <c r="AS478" s="45">
        <v>0</v>
      </c>
      <c r="AT478" s="45">
        <v>0</v>
      </c>
      <c r="AU478" s="45">
        <v>0</v>
      </c>
      <c r="AV478" s="45">
        <v>0</v>
      </c>
      <c r="AW478" s="45">
        <v>0</v>
      </c>
      <c r="AX478" s="45">
        <v>0</v>
      </c>
      <c r="AY478" s="45">
        <v>0</v>
      </c>
      <c r="AZ478" s="45">
        <v>0</v>
      </c>
      <c r="BA478" s="45">
        <v>0</v>
      </c>
      <c r="BB478" s="45">
        <v>0</v>
      </c>
      <c r="BC478" s="45">
        <v>0</v>
      </c>
      <c r="BD478" s="45">
        <v>0</v>
      </c>
      <c r="BE478" s="45">
        <v>0</v>
      </c>
      <c r="BF478" s="45">
        <v>0</v>
      </c>
      <c r="BG478" s="45">
        <v>0</v>
      </c>
    </row>
    <row r="479" spans="1:59">
      <c r="A479" s="18" t="s">
        <v>195</v>
      </c>
      <c r="B479" s="18" t="s">
        <v>190</v>
      </c>
      <c r="C479" s="18" t="s">
        <v>76</v>
      </c>
      <c r="D479" s="45">
        <v>0</v>
      </c>
      <c r="E479" s="45">
        <v>0</v>
      </c>
      <c r="F479" s="45">
        <v>0</v>
      </c>
      <c r="G479" s="45">
        <v>0</v>
      </c>
      <c r="H479" s="45">
        <v>0</v>
      </c>
      <c r="I479" s="45">
        <v>17.2</v>
      </c>
      <c r="J479" s="45">
        <v>13.2</v>
      </c>
      <c r="K479" s="45">
        <v>12.5</v>
      </c>
      <c r="L479" s="45">
        <v>13.5</v>
      </c>
      <c r="M479" s="45">
        <v>16.1</v>
      </c>
      <c r="N479" s="45">
        <v>16.1</v>
      </c>
      <c r="O479" s="45">
        <v>17.5</v>
      </c>
      <c r="P479" s="45">
        <v>18.8</v>
      </c>
      <c r="Q479" s="45">
        <v>16.4</v>
      </c>
      <c r="R479" s="45">
        <v>15.8</v>
      </c>
      <c r="S479" s="45">
        <v>16.8</v>
      </c>
      <c r="T479" s="45">
        <v>18.9</v>
      </c>
      <c r="U479" s="45">
        <v>17.9</v>
      </c>
      <c r="V479" s="45">
        <v>17.9</v>
      </c>
      <c r="W479" s="45">
        <v>22</v>
      </c>
      <c r="X479" s="45">
        <v>19.7</v>
      </c>
      <c r="Y479" s="45">
        <v>19</v>
      </c>
      <c r="Z479" s="45">
        <v>18</v>
      </c>
      <c r="AA479" s="45">
        <v>14.6</v>
      </c>
      <c r="AB479" s="45">
        <v>14.4</v>
      </c>
      <c r="AC479" s="45">
        <v>15.2</v>
      </c>
      <c r="AD479" s="45">
        <v>15.4</v>
      </c>
      <c r="AE479" s="45">
        <v>15.9</v>
      </c>
      <c r="AF479" s="45">
        <v>14.6</v>
      </c>
      <c r="AG479" s="45">
        <v>13.4</v>
      </c>
      <c r="AH479" s="45">
        <v>14.4</v>
      </c>
      <c r="AI479" s="45">
        <v>15</v>
      </c>
      <c r="AJ479" s="45">
        <v>13.8</v>
      </c>
      <c r="AK479" s="45">
        <v>11.9</v>
      </c>
      <c r="AL479" s="45">
        <v>14.2</v>
      </c>
      <c r="AM479" s="45">
        <v>12.8</v>
      </c>
      <c r="AN479" s="45">
        <v>12.4</v>
      </c>
      <c r="AO479" s="45">
        <v>11.8</v>
      </c>
      <c r="AP479" s="45">
        <v>10.1</v>
      </c>
      <c r="AQ479" s="45">
        <v>6.8</v>
      </c>
      <c r="AR479" s="45">
        <v>4.4</v>
      </c>
      <c r="AS479" s="45">
        <v>0</v>
      </c>
      <c r="AT479" s="45">
        <v>0</v>
      </c>
      <c r="AU479" s="45">
        <v>0</v>
      </c>
      <c r="AV479" s="45">
        <v>0</v>
      </c>
      <c r="AW479" s="45">
        <v>0</v>
      </c>
      <c r="AX479" s="45">
        <v>0</v>
      </c>
      <c r="AY479" s="45">
        <v>0</v>
      </c>
      <c r="AZ479" s="45">
        <v>0</v>
      </c>
      <c r="BA479" s="45">
        <v>0</v>
      </c>
      <c r="BB479" s="45">
        <v>0</v>
      </c>
      <c r="BC479" s="45">
        <v>0</v>
      </c>
      <c r="BD479" s="45">
        <v>0</v>
      </c>
      <c r="BE479" s="45">
        <v>0</v>
      </c>
      <c r="BF479" s="45">
        <v>0</v>
      </c>
      <c r="BG479" s="45">
        <v>0</v>
      </c>
    </row>
    <row r="480" spans="1:59">
      <c r="A480" s="18" t="s">
        <v>196</v>
      </c>
      <c r="B480" s="18" t="s">
        <v>190</v>
      </c>
      <c r="C480" s="18" t="s">
        <v>78</v>
      </c>
      <c r="D480" s="45">
        <v>0</v>
      </c>
      <c r="E480" s="45">
        <v>0</v>
      </c>
      <c r="F480" s="45">
        <v>0</v>
      </c>
      <c r="G480" s="45">
        <v>0</v>
      </c>
      <c r="H480" s="45">
        <v>0</v>
      </c>
      <c r="I480" s="45">
        <v>17.8</v>
      </c>
      <c r="J480" s="45">
        <v>12.4</v>
      </c>
      <c r="K480" s="45">
        <v>11.1</v>
      </c>
      <c r="L480" s="45">
        <v>11.8</v>
      </c>
      <c r="M480" s="45">
        <v>11.5</v>
      </c>
      <c r="N480" s="45">
        <v>11.6</v>
      </c>
      <c r="O480" s="45">
        <v>13.7</v>
      </c>
      <c r="P480" s="45">
        <v>14</v>
      </c>
      <c r="Q480" s="45">
        <v>14.5</v>
      </c>
      <c r="R480" s="45">
        <v>12.6</v>
      </c>
      <c r="S480" s="45">
        <v>12.8</v>
      </c>
      <c r="T480" s="45">
        <v>13.1</v>
      </c>
      <c r="U480" s="45">
        <v>12.6</v>
      </c>
      <c r="V480" s="45">
        <v>15.8</v>
      </c>
      <c r="W480" s="45">
        <v>15.2</v>
      </c>
      <c r="X480" s="45">
        <v>18.8</v>
      </c>
      <c r="Y480" s="45">
        <v>15.2</v>
      </c>
      <c r="Z480" s="45">
        <v>14.1</v>
      </c>
      <c r="AA480" s="45">
        <v>17.6</v>
      </c>
      <c r="AB480" s="45">
        <v>13.7</v>
      </c>
      <c r="AC480" s="45">
        <v>13</v>
      </c>
      <c r="AD480" s="45">
        <v>14</v>
      </c>
      <c r="AE480" s="45">
        <v>12.8</v>
      </c>
      <c r="AF480" s="45">
        <v>11.7</v>
      </c>
      <c r="AG480" s="45">
        <v>14</v>
      </c>
      <c r="AH480" s="45">
        <v>14.4</v>
      </c>
      <c r="AI480" s="45">
        <v>14.9</v>
      </c>
      <c r="AJ480" s="45">
        <v>14.2</v>
      </c>
      <c r="AK480" s="45">
        <v>12.7</v>
      </c>
      <c r="AL480" s="45">
        <v>12.5</v>
      </c>
      <c r="AM480" s="45">
        <v>12.5</v>
      </c>
      <c r="AN480" s="45">
        <v>12.5</v>
      </c>
      <c r="AO480" s="45">
        <v>11.4</v>
      </c>
      <c r="AP480" s="45">
        <v>9.1</v>
      </c>
      <c r="AQ480" s="45">
        <v>7</v>
      </c>
      <c r="AR480" s="45">
        <v>0</v>
      </c>
      <c r="AS480" s="45">
        <v>0</v>
      </c>
      <c r="AT480" s="45">
        <v>0</v>
      </c>
      <c r="AU480" s="45">
        <v>0</v>
      </c>
      <c r="AV480" s="45">
        <v>0</v>
      </c>
      <c r="AW480" s="45">
        <v>0</v>
      </c>
      <c r="AX480" s="45">
        <v>0</v>
      </c>
      <c r="AY480" s="45">
        <v>0</v>
      </c>
      <c r="AZ480" s="45">
        <v>0</v>
      </c>
      <c r="BA480" s="45">
        <v>0</v>
      </c>
      <c r="BB480" s="45">
        <v>0</v>
      </c>
      <c r="BC480" s="45">
        <v>0</v>
      </c>
      <c r="BD480" s="45">
        <v>0</v>
      </c>
      <c r="BE480" s="45">
        <v>0</v>
      </c>
      <c r="BF480" s="45">
        <v>0</v>
      </c>
      <c r="BG480" s="45">
        <v>0</v>
      </c>
    </row>
    <row r="481" spans="1:60">
      <c r="A481" s="18" t="s">
        <v>197</v>
      </c>
      <c r="B481" s="18" t="s">
        <v>190</v>
      </c>
      <c r="C481" s="18" t="s">
        <v>80</v>
      </c>
      <c r="D481" s="45">
        <v>0</v>
      </c>
      <c r="E481" s="45">
        <v>0</v>
      </c>
      <c r="F481" s="45">
        <v>0</v>
      </c>
      <c r="G481" s="45">
        <v>0</v>
      </c>
      <c r="H481" s="45">
        <v>0</v>
      </c>
      <c r="I481" s="45">
        <v>19.4</v>
      </c>
      <c r="J481" s="45">
        <v>15.1</v>
      </c>
      <c r="K481" s="45">
        <v>11.4</v>
      </c>
      <c r="L481" s="45">
        <v>10.7</v>
      </c>
      <c r="M481" s="45">
        <v>11.6</v>
      </c>
      <c r="N481" s="45">
        <v>11.3</v>
      </c>
      <c r="O481" s="45">
        <v>11.7</v>
      </c>
      <c r="P481" s="45">
        <v>13.8</v>
      </c>
      <c r="Q481" s="45">
        <v>11.6</v>
      </c>
      <c r="R481" s="45">
        <v>11.8</v>
      </c>
      <c r="S481" s="45">
        <v>13.9</v>
      </c>
      <c r="T481" s="45">
        <v>12</v>
      </c>
      <c r="U481" s="45">
        <v>12.3</v>
      </c>
      <c r="V481" s="45">
        <v>12.6</v>
      </c>
      <c r="W481" s="45">
        <v>14.6</v>
      </c>
      <c r="X481" s="45">
        <v>15</v>
      </c>
      <c r="Y481" s="45">
        <v>14.9</v>
      </c>
      <c r="Z481" s="45">
        <v>12.4</v>
      </c>
      <c r="AA481" s="45">
        <v>14.2</v>
      </c>
      <c r="AB481" s="45">
        <v>12.6</v>
      </c>
      <c r="AC481" s="45">
        <v>13.2</v>
      </c>
      <c r="AD481" s="45">
        <v>12.9</v>
      </c>
      <c r="AE481" s="45">
        <v>13.5</v>
      </c>
      <c r="AF481" s="45">
        <v>14.5</v>
      </c>
      <c r="AG481" s="45">
        <v>12.6</v>
      </c>
      <c r="AH481" s="45">
        <v>11.6</v>
      </c>
      <c r="AI481" s="45">
        <v>11.5</v>
      </c>
      <c r="AJ481" s="45">
        <v>12.6</v>
      </c>
      <c r="AK481" s="45">
        <v>10.3</v>
      </c>
      <c r="AL481" s="45">
        <v>12.1</v>
      </c>
      <c r="AM481" s="45">
        <v>11.4</v>
      </c>
      <c r="AN481" s="45">
        <v>12</v>
      </c>
      <c r="AO481" s="45">
        <v>8.1</v>
      </c>
      <c r="AP481" s="45">
        <v>8.1</v>
      </c>
      <c r="AQ481" s="45">
        <v>7.6</v>
      </c>
      <c r="AR481" s="45">
        <v>4.2</v>
      </c>
      <c r="AS481" s="45">
        <v>0</v>
      </c>
      <c r="AT481" s="45">
        <v>0</v>
      </c>
      <c r="AU481" s="45">
        <v>0</v>
      </c>
      <c r="AV481" s="45">
        <v>0</v>
      </c>
      <c r="AW481" s="45">
        <v>0</v>
      </c>
      <c r="AX481" s="45">
        <v>0</v>
      </c>
      <c r="AY481" s="45">
        <v>0</v>
      </c>
      <c r="AZ481" s="45">
        <v>0</v>
      </c>
      <c r="BA481" s="45">
        <v>0</v>
      </c>
      <c r="BB481" s="45">
        <v>0</v>
      </c>
      <c r="BC481" s="45">
        <v>0</v>
      </c>
      <c r="BD481" s="45">
        <v>0</v>
      </c>
      <c r="BE481" s="45">
        <v>0</v>
      </c>
      <c r="BF481" s="45">
        <v>0</v>
      </c>
      <c r="BG481" s="45">
        <v>0</v>
      </c>
    </row>
    <row r="482" spans="1:60">
      <c r="A482" s="18" t="s">
        <v>198</v>
      </c>
      <c r="B482" s="18" t="s">
        <v>190</v>
      </c>
      <c r="C482" s="18" t="s">
        <v>82</v>
      </c>
      <c r="D482" s="45">
        <v>0</v>
      </c>
      <c r="E482" s="45">
        <v>0</v>
      </c>
      <c r="F482" s="45">
        <v>0</v>
      </c>
      <c r="G482" s="45">
        <v>0</v>
      </c>
      <c r="H482" s="45">
        <v>0</v>
      </c>
      <c r="I482" s="45">
        <v>14.6</v>
      </c>
      <c r="J482" s="45">
        <v>16.5</v>
      </c>
      <c r="K482" s="45">
        <v>13.7</v>
      </c>
      <c r="L482" s="45">
        <v>12.8</v>
      </c>
      <c r="M482" s="45">
        <v>11.3</v>
      </c>
      <c r="N482" s="45">
        <v>12</v>
      </c>
      <c r="O482" s="45">
        <v>12.7</v>
      </c>
      <c r="P482" s="45">
        <v>13.9</v>
      </c>
      <c r="Q482" s="45">
        <v>13.9</v>
      </c>
      <c r="R482" s="45">
        <v>12.7</v>
      </c>
      <c r="S482" s="45">
        <v>16</v>
      </c>
      <c r="T482" s="45">
        <v>13.1</v>
      </c>
      <c r="U482" s="45">
        <v>14.2</v>
      </c>
      <c r="V482" s="45">
        <v>14</v>
      </c>
      <c r="W482" s="45">
        <v>13.5</v>
      </c>
      <c r="X482" s="45">
        <v>15.2</v>
      </c>
      <c r="Y482" s="45">
        <v>14</v>
      </c>
      <c r="Z482" s="45">
        <v>15.9</v>
      </c>
      <c r="AA482" s="45">
        <v>13.4</v>
      </c>
      <c r="AB482" s="45">
        <v>12.2</v>
      </c>
      <c r="AC482" s="45">
        <v>13.2</v>
      </c>
      <c r="AD482" s="45">
        <v>14</v>
      </c>
      <c r="AE482" s="45">
        <v>14.5</v>
      </c>
      <c r="AF482" s="45">
        <v>13.6</v>
      </c>
      <c r="AG482" s="45">
        <v>11.8</v>
      </c>
      <c r="AH482" s="45">
        <v>13</v>
      </c>
      <c r="AI482" s="45">
        <v>10.9</v>
      </c>
      <c r="AJ482" s="45">
        <v>14</v>
      </c>
      <c r="AK482" s="45">
        <v>12.4</v>
      </c>
      <c r="AL482" s="45">
        <v>14.3</v>
      </c>
      <c r="AM482" s="45">
        <v>13.4</v>
      </c>
      <c r="AN482" s="45">
        <v>14.3</v>
      </c>
      <c r="AO482" s="45">
        <v>10</v>
      </c>
      <c r="AP482" s="45">
        <v>9</v>
      </c>
      <c r="AQ482" s="45">
        <v>8.699999999999999</v>
      </c>
      <c r="AR482" s="45">
        <v>0</v>
      </c>
      <c r="AS482" s="45">
        <v>0</v>
      </c>
      <c r="AT482" s="45">
        <v>0</v>
      </c>
      <c r="AU482" s="45">
        <v>0</v>
      </c>
      <c r="AV482" s="45">
        <v>0</v>
      </c>
      <c r="AW482" s="45">
        <v>0</v>
      </c>
      <c r="AX482" s="45">
        <v>0</v>
      </c>
      <c r="AY482" s="45">
        <v>0</v>
      </c>
      <c r="AZ482" s="45">
        <v>0</v>
      </c>
      <c r="BA482" s="45">
        <v>0</v>
      </c>
      <c r="BB482" s="45">
        <v>0</v>
      </c>
      <c r="BC482" s="45">
        <v>0</v>
      </c>
      <c r="BD482" s="45">
        <v>0</v>
      </c>
      <c r="BE482" s="45">
        <v>0</v>
      </c>
      <c r="BF482" s="45">
        <v>0</v>
      </c>
      <c r="BG482" s="45">
        <v>0</v>
      </c>
    </row>
    <row r="483" spans="1:60">
      <c r="A483" s="18" t="s">
        <v>199</v>
      </c>
      <c r="B483" s="18" t="s">
        <v>190</v>
      </c>
      <c r="C483" s="18" t="s">
        <v>84</v>
      </c>
      <c r="D483" s="45">
        <v>0</v>
      </c>
      <c r="E483" s="45">
        <v>0</v>
      </c>
      <c r="F483" s="45">
        <v>0</v>
      </c>
      <c r="G483" s="45">
        <v>0</v>
      </c>
      <c r="H483" s="45">
        <v>0</v>
      </c>
      <c r="I483" s="45">
        <v>18.6</v>
      </c>
      <c r="J483" s="45">
        <v>14.1</v>
      </c>
      <c r="K483" s="45">
        <v>13.1</v>
      </c>
      <c r="L483" s="45">
        <v>12</v>
      </c>
      <c r="M483" s="45">
        <v>11.3</v>
      </c>
      <c r="N483" s="45">
        <v>12.8</v>
      </c>
      <c r="O483" s="45">
        <v>11.8</v>
      </c>
      <c r="P483" s="45">
        <v>13.9</v>
      </c>
      <c r="Q483" s="45">
        <v>14.2</v>
      </c>
      <c r="R483" s="45">
        <v>13.9</v>
      </c>
      <c r="S483" s="45">
        <v>13.2</v>
      </c>
      <c r="T483" s="45">
        <v>13.4</v>
      </c>
      <c r="U483" s="45">
        <v>12.9</v>
      </c>
      <c r="V483" s="45">
        <v>14.3</v>
      </c>
      <c r="W483" s="45">
        <v>13.4</v>
      </c>
      <c r="X483" s="45">
        <v>15.2</v>
      </c>
      <c r="Y483" s="45">
        <v>15</v>
      </c>
      <c r="Z483" s="45">
        <v>13</v>
      </c>
      <c r="AA483" s="45">
        <v>12.8</v>
      </c>
      <c r="AB483" s="45">
        <v>13.4</v>
      </c>
      <c r="AC483" s="45">
        <v>14.6</v>
      </c>
      <c r="AD483" s="45">
        <v>15.3</v>
      </c>
      <c r="AE483" s="45">
        <v>14.1</v>
      </c>
      <c r="AF483" s="45">
        <v>14.4</v>
      </c>
      <c r="AG483" s="45">
        <v>14.3</v>
      </c>
      <c r="AH483" s="45">
        <v>13.9</v>
      </c>
      <c r="AI483" s="45">
        <v>13.9</v>
      </c>
      <c r="AJ483" s="45">
        <v>12.8</v>
      </c>
      <c r="AK483" s="45">
        <v>11.3</v>
      </c>
      <c r="AL483" s="45">
        <v>13.4</v>
      </c>
      <c r="AM483" s="45">
        <v>14.4</v>
      </c>
      <c r="AN483" s="45">
        <v>13.4</v>
      </c>
      <c r="AO483" s="45">
        <v>12</v>
      </c>
      <c r="AP483" s="45">
        <v>11.5</v>
      </c>
      <c r="AQ483" s="45">
        <v>9.5</v>
      </c>
      <c r="AR483" s="45">
        <v>5.8</v>
      </c>
      <c r="AS483" s="45">
        <v>0</v>
      </c>
      <c r="AT483" s="45">
        <v>0</v>
      </c>
      <c r="AU483" s="45">
        <v>0</v>
      </c>
      <c r="AV483" s="45">
        <v>0</v>
      </c>
      <c r="AW483" s="45">
        <v>0</v>
      </c>
      <c r="AX483" s="45">
        <v>0</v>
      </c>
      <c r="AY483" s="45">
        <v>0</v>
      </c>
      <c r="AZ483" s="45">
        <v>0</v>
      </c>
      <c r="BA483" s="45">
        <v>0</v>
      </c>
      <c r="BB483" s="45">
        <v>0</v>
      </c>
      <c r="BC483" s="45">
        <v>0</v>
      </c>
      <c r="BD483" s="45">
        <v>0</v>
      </c>
      <c r="BE483" s="45">
        <v>0</v>
      </c>
      <c r="BF483" s="45">
        <v>0</v>
      </c>
      <c r="BG483" s="45">
        <v>0</v>
      </c>
    </row>
    <row r="484" spans="1:60">
      <c r="A484" s="18" t="s">
        <v>200</v>
      </c>
      <c r="B484" s="18" t="s">
        <v>190</v>
      </c>
      <c r="C484" s="18" t="s">
        <v>86</v>
      </c>
      <c r="D484" s="45">
        <v>0</v>
      </c>
      <c r="E484" s="45">
        <v>0</v>
      </c>
      <c r="F484" s="45">
        <v>0</v>
      </c>
      <c r="G484" s="45">
        <v>0</v>
      </c>
      <c r="H484" s="45">
        <v>0</v>
      </c>
      <c r="I484" s="45">
        <v>8.800000000000001</v>
      </c>
      <c r="J484" s="45">
        <v>7.5</v>
      </c>
      <c r="K484" s="45">
        <v>4.4</v>
      </c>
      <c r="L484" s="45">
        <v>4.8</v>
      </c>
      <c r="M484" s="45">
        <v>5.2</v>
      </c>
      <c r="N484" s="45">
        <v>10.3</v>
      </c>
      <c r="O484" s="45">
        <v>10</v>
      </c>
      <c r="P484" s="45">
        <v>8.1</v>
      </c>
      <c r="Q484" s="45">
        <v>7.4</v>
      </c>
      <c r="R484" s="45">
        <v>9.1</v>
      </c>
      <c r="S484" s="45">
        <v>8.199999999999999</v>
      </c>
      <c r="T484" s="45">
        <v>11.2</v>
      </c>
      <c r="U484" s="45">
        <v>8.699999999999999</v>
      </c>
      <c r="V484" s="45">
        <v>10.1</v>
      </c>
      <c r="W484" s="45">
        <v>11.9</v>
      </c>
      <c r="X484" s="45">
        <v>10.1</v>
      </c>
      <c r="Y484" s="45">
        <v>7.7</v>
      </c>
      <c r="Z484" s="45">
        <v>8.300000000000001</v>
      </c>
      <c r="AA484" s="45">
        <v>7.8</v>
      </c>
      <c r="AB484" s="45">
        <v>6.7</v>
      </c>
      <c r="AC484" s="45">
        <v>8.699999999999999</v>
      </c>
      <c r="AD484" s="45">
        <v>10</v>
      </c>
      <c r="AE484" s="45">
        <v>8.1</v>
      </c>
      <c r="AF484" s="45">
        <v>8.4</v>
      </c>
      <c r="AG484" s="45">
        <v>8.300000000000001</v>
      </c>
      <c r="AH484" s="45">
        <v>5.9</v>
      </c>
      <c r="AI484" s="45">
        <v>5.6</v>
      </c>
      <c r="AJ484" s="45">
        <v>7.4</v>
      </c>
      <c r="AK484" s="45">
        <v>6.6</v>
      </c>
      <c r="AL484" s="45">
        <v>6.7</v>
      </c>
      <c r="AM484" s="45">
        <v>10.1</v>
      </c>
      <c r="AN484" s="45">
        <v>9.199999999999999</v>
      </c>
      <c r="AO484" s="45">
        <v>7.2</v>
      </c>
      <c r="AP484" s="45">
        <v>7.4</v>
      </c>
      <c r="AQ484" s="45">
        <v>6.8</v>
      </c>
      <c r="AR484" s="45">
        <v>9.4</v>
      </c>
      <c r="AS484" s="45">
        <v>0</v>
      </c>
      <c r="AT484" s="45">
        <v>0</v>
      </c>
      <c r="AU484" s="45">
        <v>0</v>
      </c>
      <c r="AV484" s="45">
        <v>0</v>
      </c>
      <c r="AW484" s="45">
        <v>0</v>
      </c>
      <c r="AX484" s="45">
        <v>0</v>
      </c>
      <c r="AY484" s="45">
        <v>0</v>
      </c>
      <c r="AZ484" s="45">
        <v>0</v>
      </c>
      <c r="BA484" s="45">
        <v>0</v>
      </c>
      <c r="BB484" s="45">
        <v>0</v>
      </c>
      <c r="BC484" s="45">
        <v>0</v>
      </c>
      <c r="BD484" s="45">
        <v>0</v>
      </c>
      <c r="BE484" s="45">
        <v>0</v>
      </c>
      <c r="BF484" s="45">
        <v>0</v>
      </c>
      <c r="BG484" s="45">
        <v>0</v>
      </c>
    </row>
    <row r="485" spans="1:60">
      <c r="A485" s="18" t="s">
        <v>201</v>
      </c>
      <c r="B485" s="18" t="s">
        <v>190</v>
      </c>
      <c r="C485" s="18" t="s">
        <v>88</v>
      </c>
      <c r="D485" s="45">
        <v>0</v>
      </c>
      <c r="E485" s="45">
        <v>0</v>
      </c>
      <c r="F485" s="45">
        <v>0</v>
      </c>
      <c r="G485" s="45">
        <v>0</v>
      </c>
      <c r="H485" s="45">
        <v>0</v>
      </c>
      <c r="I485" s="45">
        <v>7.2</v>
      </c>
      <c r="J485" s="45">
        <v>4.9</v>
      </c>
      <c r="K485" s="45">
        <v>6.4</v>
      </c>
      <c r="L485" s="45">
        <v>5.1</v>
      </c>
      <c r="M485" s="45">
        <v>6</v>
      </c>
      <c r="N485" s="45">
        <v>6.5</v>
      </c>
      <c r="O485" s="45">
        <v>6.8</v>
      </c>
      <c r="P485" s="45">
        <v>7.1</v>
      </c>
      <c r="Q485" s="45">
        <v>6.7</v>
      </c>
      <c r="R485" s="45">
        <v>8.5</v>
      </c>
      <c r="S485" s="45">
        <v>8.4</v>
      </c>
      <c r="T485" s="45">
        <v>9.5</v>
      </c>
      <c r="U485" s="45">
        <v>9.4</v>
      </c>
      <c r="V485" s="45">
        <v>9</v>
      </c>
      <c r="W485" s="45">
        <v>10.1</v>
      </c>
      <c r="X485" s="45">
        <v>10.9</v>
      </c>
      <c r="Y485" s="45">
        <v>9.800000000000001</v>
      </c>
      <c r="Z485" s="45">
        <v>7.5</v>
      </c>
      <c r="AA485" s="45">
        <v>5.6</v>
      </c>
      <c r="AB485" s="45">
        <v>8.199999999999999</v>
      </c>
      <c r="AC485" s="45">
        <v>7.7</v>
      </c>
      <c r="AD485" s="45">
        <v>8.199999999999999</v>
      </c>
      <c r="AE485" s="45">
        <v>8.800000000000001</v>
      </c>
      <c r="AF485" s="45">
        <v>8.4</v>
      </c>
      <c r="AG485" s="45">
        <v>8.1</v>
      </c>
      <c r="AH485" s="45">
        <v>8.5</v>
      </c>
      <c r="AI485" s="45">
        <v>8</v>
      </c>
      <c r="AJ485" s="45">
        <v>8.300000000000001</v>
      </c>
      <c r="AK485" s="45">
        <v>10.4</v>
      </c>
      <c r="AL485" s="45">
        <v>9.300000000000001</v>
      </c>
      <c r="AM485" s="45">
        <v>9.6</v>
      </c>
      <c r="AN485" s="45">
        <v>10.2</v>
      </c>
      <c r="AO485" s="45">
        <v>10.2</v>
      </c>
      <c r="AP485" s="45">
        <v>11.6</v>
      </c>
      <c r="AQ485" s="45">
        <v>10</v>
      </c>
      <c r="AR485" s="45">
        <v>6.7</v>
      </c>
      <c r="AS485" s="45">
        <v>0</v>
      </c>
      <c r="AT485" s="45">
        <v>0</v>
      </c>
      <c r="AU485" s="45">
        <v>0</v>
      </c>
      <c r="AV485" s="45">
        <v>0</v>
      </c>
      <c r="AW485" s="45">
        <v>0</v>
      </c>
      <c r="AX485" s="45">
        <v>0</v>
      </c>
      <c r="AY485" s="45">
        <v>0</v>
      </c>
      <c r="AZ485" s="45">
        <v>0</v>
      </c>
      <c r="BA485" s="45">
        <v>0</v>
      </c>
      <c r="BB485" s="45">
        <v>0</v>
      </c>
      <c r="BC485" s="45">
        <v>0</v>
      </c>
      <c r="BD485" s="45">
        <v>0</v>
      </c>
      <c r="BE485" s="45">
        <v>0</v>
      </c>
      <c r="BF485" s="45">
        <v>0</v>
      </c>
      <c r="BG485" s="45">
        <v>0</v>
      </c>
    </row>
    <row r="486" spans="1:60">
      <c r="A486" s="18" t="s">
        <v>202</v>
      </c>
      <c r="B486" s="18" t="s">
        <v>190</v>
      </c>
      <c r="C486" s="18" t="s">
        <v>90</v>
      </c>
      <c r="D486" s="45">
        <v>0</v>
      </c>
      <c r="E486" s="45">
        <v>0</v>
      </c>
      <c r="F486" s="45">
        <v>0</v>
      </c>
      <c r="G486" s="45">
        <v>0</v>
      </c>
      <c r="H486" s="45">
        <v>19.5</v>
      </c>
      <c r="I486" s="45">
        <v>10.5</v>
      </c>
      <c r="J486" s="45">
        <v>6.6</v>
      </c>
      <c r="K486" s="45">
        <v>6.8</v>
      </c>
      <c r="L486" s="45">
        <v>7.1</v>
      </c>
      <c r="M486" s="45">
        <v>7.6</v>
      </c>
      <c r="N486" s="45">
        <v>8.1</v>
      </c>
      <c r="O486" s="45">
        <v>10.1</v>
      </c>
      <c r="P486" s="45">
        <v>9.4</v>
      </c>
      <c r="Q486" s="45">
        <v>11.7</v>
      </c>
      <c r="R486" s="45">
        <v>10.5</v>
      </c>
      <c r="S486" s="45">
        <v>10</v>
      </c>
      <c r="T486" s="45">
        <v>10.5</v>
      </c>
      <c r="U486" s="45">
        <v>10.3</v>
      </c>
      <c r="V486" s="45">
        <v>11.6</v>
      </c>
      <c r="W486" s="45">
        <v>11.7</v>
      </c>
      <c r="X486" s="45">
        <v>10.5</v>
      </c>
      <c r="Y486" s="45">
        <v>10.6</v>
      </c>
      <c r="Z486" s="45">
        <v>9.199999999999999</v>
      </c>
      <c r="AA486" s="45">
        <v>8.9</v>
      </c>
      <c r="AB486" s="45">
        <v>9.4</v>
      </c>
      <c r="AC486" s="45">
        <v>9.699999999999999</v>
      </c>
      <c r="AD486" s="45">
        <v>9.9</v>
      </c>
      <c r="AE486" s="45">
        <v>8.800000000000001</v>
      </c>
      <c r="AF486" s="45">
        <v>8.4</v>
      </c>
      <c r="AG486" s="45">
        <v>9.800000000000001</v>
      </c>
      <c r="AH486" s="45">
        <v>9.1</v>
      </c>
      <c r="AI486" s="45">
        <v>10.3</v>
      </c>
      <c r="AJ486" s="45">
        <v>9.9</v>
      </c>
      <c r="AK486" s="45">
        <v>9.5</v>
      </c>
      <c r="AL486" s="45">
        <v>10</v>
      </c>
      <c r="AM486" s="45">
        <v>9.199999999999999</v>
      </c>
      <c r="AN486" s="45">
        <v>9.4</v>
      </c>
      <c r="AO486" s="45">
        <v>8.800000000000001</v>
      </c>
      <c r="AP486" s="45">
        <v>8.300000000000001</v>
      </c>
      <c r="AQ486" s="45">
        <v>7.7</v>
      </c>
      <c r="AR486" s="45">
        <v>6.1</v>
      </c>
      <c r="AS486" s="45">
        <v>0</v>
      </c>
      <c r="AT486" s="45">
        <v>0</v>
      </c>
      <c r="AU486" s="45">
        <v>0</v>
      </c>
      <c r="AV486" s="45">
        <v>0</v>
      </c>
      <c r="AW486" s="45">
        <v>0</v>
      </c>
      <c r="AX486" s="45">
        <v>0</v>
      </c>
      <c r="AY486" s="45">
        <v>0</v>
      </c>
      <c r="AZ486" s="45">
        <v>0</v>
      </c>
      <c r="BA486" s="45">
        <v>0</v>
      </c>
      <c r="BB486" s="45">
        <v>0</v>
      </c>
      <c r="BC486" s="45">
        <v>0</v>
      </c>
      <c r="BD486" s="45">
        <v>0</v>
      </c>
      <c r="BE486" s="45">
        <v>0</v>
      </c>
      <c r="BF486" s="45">
        <v>0</v>
      </c>
      <c r="BG486" s="45">
        <v>0</v>
      </c>
    </row>
    <row r="489" spans="1:60">
      <c r="A489" s="6" t="s">
        <v>206</v>
      </c>
    </row>
    <row r="490" spans="1:60">
      <c r="A490" s="22" t="s">
        <v>3</v>
      </c>
      <c r="B490" s="22" t="s">
        <v>4</v>
      </c>
      <c r="C490" s="22" t="s">
        <v>207</v>
      </c>
      <c r="D490" s="22" t="s">
        <v>6</v>
      </c>
      <c r="E490" s="22" t="s">
        <v>7</v>
      </c>
      <c r="F490" s="22" t="s">
        <v>8</v>
      </c>
      <c r="G490" s="22" t="s">
        <v>9</v>
      </c>
      <c r="H490" s="22" t="s">
        <v>10</v>
      </c>
      <c r="I490" s="22" t="s">
        <v>11</v>
      </c>
      <c r="J490" s="22" t="s">
        <v>12</v>
      </c>
      <c r="K490" s="22" t="s">
        <v>13</v>
      </c>
      <c r="L490" s="22" t="s">
        <v>14</v>
      </c>
      <c r="M490" s="22" t="s">
        <v>15</v>
      </c>
      <c r="N490" s="22" t="s">
        <v>16</v>
      </c>
      <c r="O490" s="22" t="s">
        <v>17</v>
      </c>
      <c r="P490" s="22" t="s">
        <v>18</v>
      </c>
      <c r="Q490" s="22" t="s">
        <v>19</v>
      </c>
      <c r="R490" s="22" t="s">
        <v>20</v>
      </c>
      <c r="S490" s="22" t="s">
        <v>21</v>
      </c>
      <c r="T490" s="22" t="s">
        <v>22</v>
      </c>
      <c r="U490" s="22" t="s">
        <v>23</v>
      </c>
      <c r="V490" s="22" t="s">
        <v>24</v>
      </c>
      <c r="W490" s="22" t="s">
        <v>25</v>
      </c>
      <c r="X490" s="22" t="s">
        <v>26</v>
      </c>
      <c r="Y490" s="22" t="s">
        <v>27</v>
      </c>
      <c r="Z490" s="22" t="s">
        <v>28</v>
      </c>
      <c r="AA490" s="22" t="s">
        <v>29</v>
      </c>
      <c r="AB490" s="22" t="s">
        <v>30</v>
      </c>
      <c r="AC490" s="22" t="s">
        <v>31</v>
      </c>
      <c r="AD490" s="22" t="s">
        <v>32</v>
      </c>
      <c r="AE490" s="22" t="s">
        <v>33</v>
      </c>
      <c r="AF490" s="22" t="s">
        <v>34</v>
      </c>
      <c r="AG490" s="22" t="s">
        <v>35</v>
      </c>
      <c r="AH490" s="22" t="s">
        <v>36</v>
      </c>
      <c r="AI490" s="22" t="s">
        <v>37</v>
      </c>
      <c r="AJ490" s="22" t="s">
        <v>38</v>
      </c>
      <c r="AK490" s="22" t="s">
        <v>39</v>
      </c>
      <c r="AL490" s="22" t="s">
        <v>40</v>
      </c>
      <c r="AM490" s="22" t="s">
        <v>41</v>
      </c>
      <c r="AN490" s="22" t="s">
        <v>42</v>
      </c>
      <c r="AO490" s="22" t="s">
        <v>43</v>
      </c>
      <c r="AP490" s="22" t="s">
        <v>44</v>
      </c>
      <c r="AQ490" s="22" t="s">
        <v>45</v>
      </c>
      <c r="AR490" s="22" t="s">
        <v>46</v>
      </c>
      <c r="AS490" s="22" t="s">
        <v>47</v>
      </c>
      <c r="AT490" s="22" t="s">
        <v>48</v>
      </c>
      <c r="AU490" s="22" t="s">
        <v>49</v>
      </c>
      <c r="AV490" s="22" t="s">
        <v>50</v>
      </c>
      <c r="AW490" s="22" t="s">
        <v>51</v>
      </c>
      <c r="AX490" s="22" t="s">
        <v>52</v>
      </c>
      <c r="AY490" s="22" t="s">
        <v>53</v>
      </c>
      <c r="AZ490" s="22" t="s">
        <v>54</v>
      </c>
      <c r="BA490" s="22" t="s">
        <v>55</v>
      </c>
      <c r="BB490" s="22" t="s">
        <v>56</v>
      </c>
      <c r="BC490" s="22" t="s">
        <v>57</v>
      </c>
      <c r="BD490" s="22" t="s">
        <v>58</v>
      </c>
      <c r="BE490" s="22" t="s">
        <v>59</v>
      </c>
      <c r="BF490" s="22" t="s">
        <v>60</v>
      </c>
      <c r="BG490" s="22" t="s">
        <v>61</v>
      </c>
      <c r="BH490" s="22" t="s">
        <v>62</v>
      </c>
    </row>
    <row r="491" spans="1:60">
      <c r="A491" s="18" t="s">
        <v>208</v>
      </c>
      <c r="B491" s="18" t="s">
        <v>65</v>
      </c>
      <c r="C491" s="18" t="s">
        <v>5</v>
      </c>
      <c r="D491" s="24">
        <v>0</v>
      </c>
      <c r="E491" s="24">
        <v>0</v>
      </c>
      <c r="F491" s="24">
        <v>0</v>
      </c>
      <c r="G491" s="24">
        <v>43</v>
      </c>
      <c r="H491" s="24">
        <v>314</v>
      </c>
      <c r="I491" s="24">
        <v>1645</v>
      </c>
      <c r="J491" s="24">
        <v>3375</v>
      </c>
      <c r="K491" s="24">
        <v>3651</v>
      </c>
      <c r="L491" s="24">
        <v>4070</v>
      </c>
      <c r="M491" s="24">
        <v>4388</v>
      </c>
      <c r="N491" s="24">
        <v>4651</v>
      </c>
      <c r="O491" s="24">
        <v>5014</v>
      </c>
      <c r="P491" s="24">
        <v>5180</v>
      </c>
      <c r="Q491" s="24">
        <v>5358</v>
      </c>
      <c r="R491" s="24">
        <v>5364</v>
      </c>
      <c r="S491" s="24">
        <v>5315</v>
      </c>
      <c r="T491" s="24">
        <v>5315</v>
      </c>
      <c r="U491" s="24">
        <v>5151</v>
      </c>
      <c r="V491" s="24">
        <v>4651</v>
      </c>
      <c r="W491" s="24">
        <v>4340</v>
      </c>
      <c r="X491" s="24">
        <v>4053</v>
      </c>
      <c r="Y491" s="24">
        <v>3956</v>
      </c>
      <c r="Z491" s="24">
        <v>3912</v>
      </c>
      <c r="AA491" s="24">
        <v>3861</v>
      </c>
      <c r="AB491" s="24">
        <v>4098</v>
      </c>
      <c r="AC491" s="24">
        <v>4396</v>
      </c>
      <c r="AD491" s="24">
        <v>4585</v>
      </c>
      <c r="AE491" s="24">
        <v>4738</v>
      </c>
      <c r="AF491" s="24">
        <v>4644</v>
      </c>
      <c r="AG491" s="24">
        <v>4648</v>
      </c>
      <c r="AH491" s="24">
        <v>4449</v>
      </c>
      <c r="AI491" s="24">
        <v>4363</v>
      </c>
      <c r="AJ491" s="24">
        <v>4279</v>
      </c>
      <c r="AK491" s="24">
        <v>4086</v>
      </c>
      <c r="AL491" s="24">
        <v>4051</v>
      </c>
      <c r="AM491" s="24">
        <v>3915</v>
      </c>
      <c r="AN491" s="24">
        <v>3831</v>
      </c>
      <c r="AO491" s="24">
        <v>3812</v>
      </c>
      <c r="AP491" s="24">
        <v>3524</v>
      </c>
      <c r="AQ491" s="24">
        <v>2601</v>
      </c>
      <c r="AR491" s="24">
        <v>1421</v>
      </c>
      <c r="AS491" s="24">
        <v>314</v>
      </c>
      <c r="AT491" s="24">
        <v>75</v>
      </c>
      <c r="AU491" s="24">
        <v>20</v>
      </c>
      <c r="AV491" s="24">
        <v>6</v>
      </c>
      <c r="AW491" s="24">
        <v>14</v>
      </c>
      <c r="AX491" s="24">
        <v>17</v>
      </c>
      <c r="AY491" s="24">
        <v>5</v>
      </c>
      <c r="AZ491" s="24">
        <v>3</v>
      </c>
      <c r="BA491" s="24">
        <v>3</v>
      </c>
      <c r="BB491" s="24">
        <v>0</v>
      </c>
      <c r="BC491" s="24">
        <v>0</v>
      </c>
      <c r="BD491" s="24">
        <v>0</v>
      </c>
      <c r="BE491" s="24">
        <v>0</v>
      </c>
      <c r="BF491" s="24">
        <v>0</v>
      </c>
      <c r="BG491" s="24">
        <v>0</v>
      </c>
      <c r="BH491" s="24">
        <f>SUM(D491:BG491)</f>
        <v>151505</v>
      </c>
    </row>
    <row r="492" spans="1:60">
      <c r="A492" s="18" t="s">
        <v>209</v>
      </c>
      <c r="B492" s="18" t="s">
        <v>65</v>
      </c>
      <c r="C492" s="18" t="s">
        <v>210</v>
      </c>
      <c r="D492" s="24">
        <v>0</v>
      </c>
      <c r="E492" s="24">
        <v>0</v>
      </c>
      <c r="F492" s="24">
        <v>2</v>
      </c>
      <c r="G492" s="24">
        <v>33</v>
      </c>
      <c r="H492" s="24">
        <v>344</v>
      </c>
      <c r="I492" s="24">
        <v>1404</v>
      </c>
      <c r="J492" s="24">
        <v>3116</v>
      </c>
      <c r="K492" s="24">
        <v>3250</v>
      </c>
      <c r="L492" s="24">
        <v>3918</v>
      </c>
      <c r="M492" s="24">
        <v>4194</v>
      </c>
      <c r="N492" s="24">
        <v>4543</v>
      </c>
      <c r="O492" s="24">
        <v>4846</v>
      </c>
      <c r="P492" s="24">
        <v>5149</v>
      </c>
      <c r="Q492" s="24">
        <v>5340</v>
      </c>
      <c r="R492" s="24">
        <v>5499</v>
      </c>
      <c r="S492" s="24">
        <v>5280</v>
      </c>
      <c r="T492" s="24">
        <v>5310</v>
      </c>
      <c r="U492" s="24">
        <v>4975</v>
      </c>
      <c r="V492" s="24">
        <v>4825</v>
      </c>
      <c r="W492" s="24">
        <v>4335</v>
      </c>
      <c r="X492" s="24">
        <v>4075</v>
      </c>
      <c r="Y492" s="24">
        <v>3978</v>
      </c>
      <c r="Z492" s="24">
        <v>3974</v>
      </c>
      <c r="AA492" s="24">
        <v>3916</v>
      </c>
      <c r="AB492" s="24">
        <v>4201</v>
      </c>
      <c r="AC492" s="24">
        <v>4699</v>
      </c>
      <c r="AD492" s="24">
        <v>4745</v>
      </c>
      <c r="AE492" s="24">
        <v>4901</v>
      </c>
      <c r="AF492" s="24">
        <v>4930</v>
      </c>
      <c r="AG492" s="24">
        <v>4789</v>
      </c>
      <c r="AH492" s="24">
        <v>4858</v>
      </c>
      <c r="AI492" s="24">
        <v>4526</v>
      </c>
      <c r="AJ492" s="24">
        <v>4440</v>
      </c>
      <c r="AK492" s="24">
        <v>4365</v>
      </c>
      <c r="AL492" s="24">
        <v>4284</v>
      </c>
      <c r="AM492" s="24">
        <v>4295</v>
      </c>
      <c r="AN492" s="24">
        <v>4218</v>
      </c>
      <c r="AO492" s="24">
        <v>3982</v>
      </c>
      <c r="AP492" s="24">
        <v>3540</v>
      </c>
      <c r="AQ492" s="24">
        <v>2872</v>
      </c>
      <c r="AR492" s="24">
        <v>1482</v>
      </c>
      <c r="AS492" s="24">
        <v>334</v>
      </c>
      <c r="AT492" s="24">
        <v>88</v>
      </c>
      <c r="AU492" s="24">
        <v>43</v>
      </c>
      <c r="AV492" s="24">
        <v>26</v>
      </c>
      <c r="AW492" s="24">
        <v>33</v>
      </c>
      <c r="AX492" s="24">
        <v>19</v>
      </c>
      <c r="AY492" s="24">
        <v>8</v>
      </c>
      <c r="AZ492" s="24">
        <v>11</v>
      </c>
      <c r="BA492" s="24">
        <v>0</v>
      </c>
      <c r="BB492" s="24">
        <v>0</v>
      </c>
      <c r="BC492" s="24">
        <v>1</v>
      </c>
      <c r="BD492" s="24">
        <v>2</v>
      </c>
      <c r="BE492" s="24">
        <v>0</v>
      </c>
      <c r="BF492" s="24">
        <v>0</v>
      </c>
      <c r="BG492" s="24">
        <v>0</v>
      </c>
      <c r="BH492" s="24">
        <f>SUM(D492:BG492)</f>
        <v>153998</v>
      </c>
    </row>
    <row r="493" spans="1:60">
      <c r="A493" s="18" t="s">
        <v>211</v>
      </c>
      <c r="B493" s="18" t="s">
        <v>65</v>
      </c>
      <c r="C493" s="18" t="s">
        <v>212</v>
      </c>
      <c r="D493" s="24">
        <v>0</v>
      </c>
      <c r="E493" s="24">
        <v>0</v>
      </c>
      <c r="F493" s="24">
        <v>0</v>
      </c>
      <c r="G493" s="24">
        <v>24</v>
      </c>
      <c r="H493" s="24">
        <v>287</v>
      </c>
      <c r="I493" s="24">
        <v>1258</v>
      </c>
      <c r="J493" s="24">
        <v>2958</v>
      </c>
      <c r="K493" s="24">
        <v>2987</v>
      </c>
      <c r="L493" s="24">
        <v>3620</v>
      </c>
      <c r="M493" s="24">
        <v>4089</v>
      </c>
      <c r="N493" s="24">
        <v>4421</v>
      </c>
      <c r="O493" s="24">
        <v>4691</v>
      </c>
      <c r="P493" s="24">
        <v>5003</v>
      </c>
      <c r="Q493" s="24">
        <v>5211</v>
      </c>
      <c r="R493" s="24">
        <v>5084</v>
      </c>
      <c r="S493" s="24">
        <v>5154</v>
      </c>
      <c r="T493" s="24">
        <v>5161</v>
      </c>
      <c r="U493" s="24">
        <v>4803</v>
      </c>
      <c r="V493" s="24">
        <v>4633</v>
      </c>
      <c r="W493" s="24">
        <v>4194</v>
      </c>
      <c r="X493" s="24">
        <v>4017</v>
      </c>
      <c r="Y493" s="24">
        <v>3842</v>
      </c>
      <c r="Z493" s="24">
        <v>3892</v>
      </c>
      <c r="AA493" s="24">
        <v>3838</v>
      </c>
      <c r="AB493" s="24">
        <v>4145</v>
      </c>
      <c r="AC493" s="24">
        <v>4477</v>
      </c>
      <c r="AD493" s="24">
        <v>4628</v>
      </c>
      <c r="AE493" s="24">
        <v>4931</v>
      </c>
      <c r="AF493" s="24">
        <v>4800</v>
      </c>
      <c r="AG493" s="24">
        <v>4737</v>
      </c>
      <c r="AH493" s="24">
        <v>4808</v>
      </c>
      <c r="AI493" s="24">
        <v>4575</v>
      </c>
      <c r="AJ493" s="24">
        <v>4404</v>
      </c>
      <c r="AK493" s="24">
        <v>4410</v>
      </c>
      <c r="AL493" s="24">
        <v>4405</v>
      </c>
      <c r="AM493" s="24">
        <v>4012</v>
      </c>
      <c r="AN493" s="24">
        <v>4079</v>
      </c>
      <c r="AO493" s="24">
        <v>3928</v>
      </c>
      <c r="AP493" s="24">
        <v>3550</v>
      </c>
      <c r="AQ493" s="24">
        <v>2689</v>
      </c>
      <c r="AR493" s="24">
        <v>1448</v>
      </c>
      <c r="AS493" s="24">
        <v>309</v>
      </c>
      <c r="AT493" s="24">
        <v>60</v>
      </c>
      <c r="AU493" s="24">
        <v>16</v>
      </c>
      <c r="AV493" s="24">
        <v>7</v>
      </c>
      <c r="AW493" s="24">
        <v>6</v>
      </c>
      <c r="AX493" s="24">
        <v>8</v>
      </c>
      <c r="AY493" s="24">
        <v>3</v>
      </c>
      <c r="AZ493" s="24">
        <v>0</v>
      </c>
      <c r="BA493" s="24">
        <v>0</v>
      </c>
      <c r="BB493" s="24">
        <v>0</v>
      </c>
      <c r="BC493" s="24">
        <v>0</v>
      </c>
      <c r="BD493" s="24">
        <v>0</v>
      </c>
      <c r="BE493" s="24">
        <v>0</v>
      </c>
      <c r="BF493" s="24">
        <v>0</v>
      </c>
      <c r="BG493" s="24">
        <v>0</v>
      </c>
      <c r="BH493" s="24">
        <f>SUM(D493:BG493)</f>
        <v>149602</v>
      </c>
    </row>
    <row r="494" spans="1:60">
      <c r="A494" s="18" t="s">
        <v>213</v>
      </c>
      <c r="B494" s="18" t="s">
        <v>65</v>
      </c>
      <c r="C494" s="18" t="s">
        <v>214</v>
      </c>
      <c r="D494" s="24">
        <v>0</v>
      </c>
      <c r="E494" s="24">
        <v>0</v>
      </c>
      <c r="F494" s="24">
        <v>0</v>
      </c>
      <c r="G494" s="24">
        <v>36</v>
      </c>
      <c r="H494" s="24">
        <v>266</v>
      </c>
      <c r="I494" s="24">
        <v>1215</v>
      </c>
      <c r="J494" s="24">
        <v>2748</v>
      </c>
      <c r="K494" s="24">
        <v>3056</v>
      </c>
      <c r="L494" s="24">
        <v>3414</v>
      </c>
      <c r="M494" s="24">
        <v>4033</v>
      </c>
      <c r="N494" s="24">
        <v>4356</v>
      </c>
      <c r="O494" s="24">
        <v>4671</v>
      </c>
      <c r="P494" s="24">
        <v>4894</v>
      </c>
      <c r="Q494" s="24">
        <v>5092</v>
      </c>
      <c r="R494" s="24">
        <v>4995</v>
      </c>
      <c r="S494" s="24">
        <v>5089</v>
      </c>
      <c r="T494" s="24">
        <v>5119</v>
      </c>
      <c r="U494" s="24">
        <v>4853</v>
      </c>
      <c r="V494" s="24">
        <v>4557</v>
      </c>
      <c r="W494" s="24">
        <v>4132</v>
      </c>
      <c r="X494" s="24">
        <v>3916</v>
      </c>
      <c r="Y494" s="24">
        <v>3829</v>
      </c>
      <c r="Z494" s="24">
        <v>3775</v>
      </c>
      <c r="AA494" s="24">
        <v>3886</v>
      </c>
      <c r="AB494" s="24">
        <v>4207</v>
      </c>
      <c r="AC494" s="24">
        <v>4642</v>
      </c>
      <c r="AD494" s="24">
        <v>4672</v>
      </c>
      <c r="AE494" s="24">
        <v>4834</v>
      </c>
      <c r="AF494" s="24">
        <v>4917</v>
      </c>
      <c r="AG494" s="24">
        <v>4893</v>
      </c>
      <c r="AH494" s="24">
        <v>4921</v>
      </c>
      <c r="AI494" s="24">
        <v>4766</v>
      </c>
      <c r="AJ494" s="24">
        <v>4698</v>
      </c>
      <c r="AK494" s="24">
        <v>4598</v>
      </c>
      <c r="AL494" s="24">
        <v>4462</v>
      </c>
      <c r="AM494" s="24">
        <v>4305</v>
      </c>
      <c r="AN494" s="24">
        <v>4079</v>
      </c>
      <c r="AO494" s="24">
        <v>4044</v>
      </c>
      <c r="AP494" s="24">
        <v>3685</v>
      </c>
      <c r="AQ494" s="24">
        <v>2755</v>
      </c>
      <c r="AR494" s="24">
        <v>1481</v>
      </c>
      <c r="AS494" s="24">
        <v>364</v>
      </c>
      <c r="AT494" s="24">
        <v>92</v>
      </c>
      <c r="AU494" s="24">
        <v>66</v>
      </c>
      <c r="AV494" s="24">
        <v>71</v>
      </c>
      <c r="AW494" s="24">
        <v>74</v>
      </c>
      <c r="AX494" s="24">
        <v>72</v>
      </c>
      <c r="AY494" s="24">
        <v>57</v>
      </c>
      <c r="AZ494" s="24">
        <v>63</v>
      </c>
      <c r="BA494" s="24">
        <v>37</v>
      </c>
      <c r="BB494" s="24">
        <v>14</v>
      </c>
      <c r="BC494" s="24">
        <v>4</v>
      </c>
      <c r="BD494" s="24">
        <v>1</v>
      </c>
      <c r="BE494" s="24">
        <v>0</v>
      </c>
      <c r="BF494" s="24">
        <v>0</v>
      </c>
      <c r="BG494" s="24">
        <v>0</v>
      </c>
      <c r="BH494" s="24">
        <f>SUM(D494:BG494)</f>
        <v>150806</v>
      </c>
    </row>
    <row r="495" spans="1:60">
      <c r="A495" s="18" t="s">
        <v>215</v>
      </c>
      <c r="B495" s="18" t="s">
        <v>65</v>
      </c>
      <c r="C495" s="18" t="s">
        <v>216</v>
      </c>
      <c r="D495" s="24">
        <v>0</v>
      </c>
      <c r="E495" s="24">
        <v>0</v>
      </c>
      <c r="F495" s="24">
        <v>1</v>
      </c>
      <c r="G495" s="24">
        <v>37</v>
      </c>
      <c r="H495" s="24">
        <v>315</v>
      </c>
      <c r="I495" s="24">
        <v>1264</v>
      </c>
      <c r="J495" s="24">
        <v>2932</v>
      </c>
      <c r="K495" s="24">
        <v>3282</v>
      </c>
      <c r="L495" s="24">
        <v>3617</v>
      </c>
      <c r="M495" s="24">
        <v>4162</v>
      </c>
      <c r="N495" s="24">
        <v>4403</v>
      </c>
      <c r="O495" s="24">
        <v>4515</v>
      </c>
      <c r="P495" s="24">
        <v>4835</v>
      </c>
      <c r="Q495" s="24">
        <v>5048</v>
      </c>
      <c r="R495" s="24">
        <v>5137</v>
      </c>
      <c r="S495" s="24">
        <v>5207</v>
      </c>
      <c r="T495" s="24">
        <v>4933</v>
      </c>
      <c r="U495" s="24">
        <v>4811</v>
      </c>
      <c r="V495" s="24">
        <v>4546</v>
      </c>
      <c r="W495" s="24">
        <v>4233</v>
      </c>
      <c r="X495" s="24">
        <v>3944</v>
      </c>
      <c r="Y495" s="24">
        <v>3891</v>
      </c>
      <c r="Z495" s="24">
        <v>3844</v>
      </c>
      <c r="AA495" s="24">
        <v>3937</v>
      </c>
      <c r="AB495" s="24">
        <v>4286</v>
      </c>
      <c r="AC495" s="24">
        <v>4619</v>
      </c>
      <c r="AD495" s="24">
        <v>4832</v>
      </c>
      <c r="AE495" s="24">
        <v>4901</v>
      </c>
      <c r="AF495" s="24">
        <v>4850</v>
      </c>
      <c r="AG495" s="24">
        <v>5012</v>
      </c>
      <c r="AH495" s="24">
        <v>4697</v>
      </c>
      <c r="AI495" s="24">
        <v>4696</v>
      </c>
      <c r="AJ495" s="24">
        <v>4567</v>
      </c>
      <c r="AK495" s="24">
        <v>4410</v>
      </c>
      <c r="AL495" s="24">
        <v>4580</v>
      </c>
      <c r="AM495" s="24">
        <v>4379</v>
      </c>
      <c r="AN495" s="24">
        <v>4453</v>
      </c>
      <c r="AO495" s="24">
        <v>4384</v>
      </c>
      <c r="AP495" s="24">
        <v>4053</v>
      </c>
      <c r="AQ495" s="24">
        <v>3100</v>
      </c>
      <c r="AR495" s="24">
        <v>1624</v>
      </c>
      <c r="AS495" s="24">
        <v>439</v>
      </c>
      <c r="AT495" s="24">
        <v>101</v>
      </c>
      <c r="AU495" s="24">
        <v>30</v>
      </c>
      <c r="AV495" s="24">
        <v>13</v>
      </c>
      <c r="AW495" s="24">
        <v>12</v>
      </c>
      <c r="AX495" s="24">
        <v>8</v>
      </c>
      <c r="AY495" s="24">
        <v>6</v>
      </c>
      <c r="AZ495" s="24">
        <v>0</v>
      </c>
      <c r="BA495" s="24">
        <v>0</v>
      </c>
      <c r="BB495" s="24">
        <v>0</v>
      </c>
      <c r="BC495" s="24">
        <v>0</v>
      </c>
      <c r="BD495" s="24">
        <v>0</v>
      </c>
      <c r="BE495" s="24">
        <v>0</v>
      </c>
      <c r="BF495" s="24">
        <v>0</v>
      </c>
      <c r="BG495" s="24">
        <v>0</v>
      </c>
      <c r="BH495" s="24">
        <f>SUM(D495:BG495)</f>
        <v>152946</v>
      </c>
    </row>
    <row r="496" spans="1:60">
      <c r="A496" s="18" t="s">
        <v>217</v>
      </c>
      <c r="B496" s="18" t="s">
        <v>65</v>
      </c>
      <c r="C496" s="18" t="s">
        <v>218</v>
      </c>
      <c r="D496" s="24">
        <v>0</v>
      </c>
      <c r="E496" s="24">
        <v>0</v>
      </c>
      <c r="F496" s="24">
        <v>0</v>
      </c>
      <c r="G496" s="24">
        <v>0</v>
      </c>
      <c r="H496" s="24">
        <v>1</v>
      </c>
      <c r="I496" s="24">
        <v>10</v>
      </c>
      <c r="J496" s="24">
        <v>19</v>
      </c>
      <c r="K496" s="24">
        <v>11</v>
      </c>
      <c r="L496" s="24">
        <v>10</v>
      </c>
      <c r="M496" s="24">
        <v>12</v>
      </c>
      <c r="N496" s="24">
        <v>14</v>
      </c>
      <c r="O496" s="24">
        <v>10</v>
      </c>
      <c r="P496" s="24">
        <v>9</v>
      </c>
      <c r="Q496" s="24">
        <v>8</v>
      </c>
      <c r="R496" s="24">
        <v>6</v>
      </c>
      <c r="S496" s="24">
        <v>11</v>
      </c>
      <c r="T496" s="24">
        <v>8</v>
      </c>
      <c r="U496" s="24">
        <v>12</v>
      </c>
      <c r="V496" s="24">
        <v>6</v>
      </c>
      <c r="W496" s="24">
        <v>13</v>
      </c>
      <c r="X496" s="24">
        <v>1</v>
      </c>
      <c r="Y496" s="24">
        <v>0</v>
      </c>
      <c r="Z496" s="24">
        <v>0</v>
      </c>
      <c r="AA496" s="24">
        <v>0</v>
      </c>
      <c r="AB496" s="24">
        <v>0</v>
      </c>
      <c r="AC496" s="24">
        <v>0</v>
      </c>
      <c r="AD496" s="24">
        <v>0</v>
      </c>
      <c r="AE496" s="24">
        <v>0</v>
      </c>
      <c r="AF496" s="24">
        <v>0</v>
      </c>
      <c r="AG496" s="24">
        <v>0</v>
      </c>
      <c r="AH496" s="24">
        <v>0</v>
      </c>
      <c r="AI496" s="24">
        <v>0</v>
      </c>
      <c r="AJ496" s="24">
        <v>0</v>
      </c>
      <c r="AK496" s="24">
        <v>0</v>
      </c>
      <c r="AL496" s="24">
        <v>3</v>
      </c>
      <c r="AM496" s="24">
        <v>3</v>
      </c>
      <c r="AN496" s="24">
        <v>31</v>
      </c>
      <c r="AO496" s="24">
        <v>8</v>
      </c>
      <c r="AP496" s="24">
        <v>10</v>
      </c>
      <c r="AQ496" s="24">
        <v>19</v>
      </c>
      <c r="AR496" s="24">
        <v>40</v>
      </c>
      <c r="AS496" s="24">
        <v>10</v>
      </c>
      <c r="AT496" s="24">
        <v>4</v>
      </c>
      <c r="AU496" s="24">
        <v>18</v>
      </c>
      <c r="AV496" s="24">
        <v>10</v>
      </c>
      <c r="AW496" s="24">
        <v>0</v>
      </c>
      <c r="AX496" s="24">
        <v>0</v>
      </c>
      <c r="AY496" s="24">
        <v>0</v>
      </c>
      <c r="AZ496" s="24">
        <v>0</v>
      </c>
      <c r="BA496" s="24">
        <v>0</v>
      </c>
      <c r="BB496" s="24">
        <v>0</v>
      </c>
      <c r="BC496" s="24">
        <v>0</v>
      </c>
      <c r="BD496" s="24">
        <v>0</v>
      </c>
      <c r="BE496" s="24">
        <v>0</v>
      </c>
      <c r="BF496" s="24">
        <v>0</v>
      </c>
      <c r="BG496" s="24">
        <v>0</v>
      </c>
      <c r="BH496" s="24">
        <f>SUM(D496:BG496)</f>
        <v>317</v>
      </c>
    </row>
    <row r="497" spans="1:60">
      <c r="A497" s="18" t="s">
        <v>219</v>
      </c>
      <c r="B497" s="18" t="s">
        <v>65</v>
      </c>
      <c r="C497" s="18" t="s">
        <v>220</v>
      </c>
      <c r="D497" s="24">
        <v>0</v>
      </c>
      <c r="E497" s="24">
        <v>0</v>
      </c>
      <c r="F497" s="24">
        <v>0</v>
      </c>
      <c r="G497" s="24">
        <v>10</v>
      </c>
      <c r="H497" s="24">
        <v>83</v>
      </c>
      <c r="I497" s="24">
        <v>189</v>
      </c>
      <c r="J497" s="24">
        <v>218</v>
      </c>
      <c r="K497" s="24">
        <v>190</v>
      </c>
      <c r="L497" s="24">
        <v>146</v>
      </c>
      <c r="M497" s="24">
        <v>164</v>
      </c>
      <c r="N497" s="24">
        <v>142</v>
      </c>
      <c r="O497" s="24">
        <v>164</v>
      </c>
      <c r="P497" s="24">
        <v>130</v>
      </c>
      <c r="Q497" s="24">
        <v>149</v>
      </c>
      <c r="R497" s="24">
        <v>132</v>
      </c>
      <c r="S497" s="24">
        <v>130</v>
      </c>
      <c r="T497" s="24">
        <v>139</v>
      </c>
      <c r="U497" s="24">
        <v>171</v>
      </c>
      <c r="V497" s="24">
        <v>148</v>
      </c>
      <c r="W497" s="24">
        <v>55</v>
      </c>
      <c r="X497" s="24">
        <v>22</v>
      </c>
      <c r="Y497" s="24">
        <v>1</v>
      </c>
      <c r="Z497" s="24">
        <v>0</v>
      </c>
      <c r="AA497" s="24">
        <v>0</v>
      </c>
      <c r="AB497" s="24">
        <v>10</v>
      </c>
      <c r="AC497" s="24">
        <v>8</v>
      </c>
      <c r="AD497" s="24">
        <v>13</v>
      </c>
      <c r="AE497" s="24">
        <v>25</v>
      </c>
      <c r="AF497" s="24">
        <v>5</v>
      </c>
      <c r="AG497" s="24">
        <v>40</v>
      </c>
      <c r="AH497" s="24">
        <v>38</v>
      </c>
      <c r="AI497" s="24">
        <v>1</v>
      </c>
      <c r="AJ497" s="24">
        <v>3</v>
      </c>
      <c r="AK497" s="24">
        <v>44</v>
      </c>
      <c r="AL497" s="24">
        <v>45</v>
      </c>
      <c r="AM497" s="24">
        <v>24</v>
      </c>
      <c r="AN497" s="24">
        <v>23</v>
      </c>
      <c r="AO497" s="24">
        <v>18</v>
      </c>
      <c r="AP497" s="24">
        <v>41</v>
      </c>
      <c r="AQ497" s="24">
        <v>14</v>
      </c>
      <c r="AR497" s="24">
        <v>39</v>
      </c>
      <c r="AS497" s="24">
        <v>24</v>
      </c>
      <c r="AT497" s="24">
        <v>12</v>
      </c>
      <c r="AU497" s="24">
        <v>16</v>
      </c>
      <c r="AV497" s="24">
        <v>2</v>
      </c>
      <c r="AW497" s="24">
        <v>0</v>
      </c>
      <c r="AX497" s="24">
        <v>0</v>
      </c>
      <c r="AY497" s="24">
        <v>0</v>
      </c>
      <c r="AZ497" s="24">
        <v>0</v>
      </c>
      <c r="BA497" s="24">
        <v>0</v>
      </c>
      <c r="BB497" s="24">
        <v>0</v>
      </c>
      <c r="BC497" s="24">
        <v>0</v>
      </c>
      <c r="BD497" s="24">
        <v>0</v>
      </c>
      <c r="BE497" s="24">
        <v>0</v>
      </c>
      <c r="BF497" s="24">
        <v>0</v>
      </c>
      <c r="BG497" s="24">
        <v>0</v>
      </c>
      <c r="BH497" s="24">
        <f>SUM(D497:BG497)</f>
        <v>2828</v>
      </c>
    </row>
    <row r="498" spans="1:60">
      <c r="A498" s="18" t="s">
        <v>221</v>
      </c>
      <c r="B498" s="18" t="s">
        <v>92</v>
      </c>
      <c r="C498" s="18" t="s">
        <v>5</v>
      </c>
      <c r="D498" s="24">
        <v>0</v>
      </c>
      <c r="E498" s="24">
        <v>0</v>
      </c>
      <c r="F498" s="24">
        <v>0</v>
      </c>
      <c r="G498" s="24">
        <v>0</v>
      </c>
      <c r="H498" s="24">
        <v>11</v>
      </c>
      <c r="I498" s="24">
        <v>92</v>
      </c>
      <c r="J498" s="24">
        <v>233</v>
      </c>
      <c r="K498" s="24">
        <v>510</v>
      </c>
      <c r="L498" s="24">
        <v>569</v>
      </c>
      <c r="M498" s="24">
        <v>648</v>
      </c>
      <c r="N498" s="24">
        <v>749</v>
      </c>
      <c r="O498" s="24">
        <v>802</v>
      </c>
      <c r="P498" s="24">
        <v>806</v>
      </c>
      <c r="Q498" s="24">
        <v>881</v>
      </c>
      <c r="R498" s="24">
        <v>923</v>
      </c>
      <c r="S498" s="24">
        <v>1009</v>
      </c>
      <c r="T498" s="24">
        <v>1005</v>
      </c>
      <c r="U498" s="24">
        <v>1027</v>
      </c>
      <c r="V498" s="24">
        <v>930</v>
      </c>
      <c r="W498" s="24">
        <v>914</v>
      </c>
      <c r="X498" s="24">
        <v>865</v>
      </c>
      <c r="Y498" s="24">
        <v>903</v>
      </c>
      <c r="Z498" s="24">
        <v>867</v>
      </c>
      <c r="AA498" s="24">
        <v>789</v>
      </c>
      <c r="AB498" s="24">
        <v>706</v>
      </c>
      <c r="AC498" s="24">
        <v>807</v>
      </c>
      <c r="AD498" s="24">
        <v>856</v>
      </c>
      <c r="AE498" s="24">
        <v>893</v>
      </c>
      <c r="AF498" s="24">
        <v>896</v>
      </c>
      <c r="AG498" s="24">
        <v>918</v>
      </c>
      <c r="AH498" s="24">
        <v>904</v>
      </c>
      <c r="AI498" s="24">
        <v>911</v>
      </c>
      <c r="AJ498" s="24">
        <v>846</v>
      </c>
      <c r="AK498" s="24">
        <v>867</v>
      </c>
      <c r="AL498" s="24">
        <v>857</v>
      </c>
      <c r="AM498" s="24">
        <v>877</v>
      </c>
      <c r="AN498" s="24">
        <v>799</v>
      </c>
      <c r="AO498" s="24">
        <v>754</v>
      </c>
      <c r="AP498" s="24">
        <v>763</v>
      </c>
      <c r="AQ498" s="24">
        <v>650</v>
      </c>
      <c r="AR498" s="24">
        <v>515</v>
      </c>
      <c r="AS498" s="24">
        <v>237</v>
      </c>
      <c r="AT498" s="24">
        <v>60</v>
      </c>
      <c r="AU498" s="24">
        <v>13</v>
      </c>
      <c r="AV498" s="24">
        <v>3</v>
      </c>
      <c r="AW498" s="24">
        <v>2</v>
      </c>
      <c r="AX498" s="24">
        <v>0</v>
      </c>
      <c r="AY498" s="24">
        <v>1</v>
      </c>
      <c r="AZ498" s="24">
        <v>0</v>
      </c>
      <c r="BA498" s="24">
        <v>0</v>
      </c>
      <c r="BB498" s="24">
        <v>0</v>
      </c>
      <c r="BC498" s="24">
        <v>0</v>
      </c>
      <c r="BD498" s="24">
        <v>0</v>
      </c>
      <c r="BE498" s="24">
        <v>0</v>
      </c>
      <c r="BF498" s="24">
        <v>0</v>
      </c>
      <c r="BG498" s="24">
        <v>0</v>
      </c>
      <c r="BH498" s="24">
        <f>SUM(D498:BG498)</f>
        <v>28668</v>
      </c>
    </row>
    <row r="499" spans="1:60">
      <c r="A499" s="18" t="s">
        <v>222</v>
      </c>
      <c r="B499" s="18" t="s">
        <v>92</v>
      </c>
      <c r="C499" s="18" t="s">
        <v>210</v>
      </c>
      <c r="D499" s="24">
        <v>0</v>
      </c>
      <c r="E499" s="24">
        <v>0</v>
      </c>
      <c r="F499" s="24">
        <v>0</v>
      </c>
      <c r="G499" s="24">
        <v>0</v>
      </c>
      <c r="H499" s="24">
        <v>13</v>
      </c>
      <c r="I499" s="24">
        <v>72</v>
      </c>
      <c r="J499" s="24">
        <v>244</v>
      </c>
      <c r="K499" s="24">
        <v>473</v>
      </c>
      <c r="L499" s="24">
        <v>545</v>
      </c>
      <c r="M499" s="24">
        <v>614</v>
      </c>
      <c r="N499" s="24">
        <v>719</v>
      </c>
      <c r="O499" s="24">
        <v>802</v>
      </c>
      <c r="P499" s="24">
        <v>822</v>
      </c>
      <c r="Q499" s="24">
        <v>940</v>
      </c>
      <c r="R499" s="24">
        <v>956</v>
      </c>
      <c r="S499" s="24">
        <v>927</v>
      </c>
      <c r="T499" s="24">
        <v>958</v>
      </c>
      <c r="U499" s="24">
        <v>1003</v>
      </c>
      <c r="V499" s="24">
        <v>932</v>
      </c>
      <c r="W499" s="24">
        <v>889</v>
      </c>
      <c r="X499" s="24">
        <v>883</v>
      </c>
      <c r="Y499" s="24">
        <v>854</v>
      </c>
      <c r="Z499" s="24">
        <v>831</v>
      </c>
      <c r="AA499" s="24">
        <v>790</v>
      </c>
      <c r="AB499" s="24">
        <v>777</v>
      </c>
      <c r="AC499" s="24">
        <v>839</v>
      </c>
      <c r="AD499" s="24">
        <v>908</v>
      </c>
      <c r="AE499" s="24">
        <v>983</v>
      </c>
      <c r="AF499" s="24">
        <v>953</v>
      </c>
      <c r="AG499" s="24">
        <v>950</v>
      </c>
      <c r="AH499" s="24">
        <v>943</v>
      </c>
      <c r="AI499" s="24">
        <v>926</v>
      </c>
      <c r="AJ499" s="24">
        <v>869</v>
      </c>
      <c r="AK499" s="24">
        <v>876</v>
      </c>
      <c r="AL499" s="24">
        <v>890</v>
      </c>
      <c r="AM499" s="24">
        <v>965</v>
      </c>
      <c r="AN499" s="24">
        <v>913</v>
      </c>
      <c r="AO499" s="24">
        <v>811</v>
      </c>
      <c r="AP499" s="24">
        <v>788</v>
      </c>
      <c r="AQ499" s="24">
        <v>778</v>
      </c>
      <c r="AR499" s="24">
        <v>574</v>
      </c>
      <c r="AS499" s="24">
        <v>248</v>
      </c>
      <c r="AT499" s="24">
        <v>74</v>
      </c>
      <c r="AU499" s="24">
        <v>21</v>
      </c>
      <c r="AV499" s="24">
        <v>10</v>
      </c>
      <c r="AW499" s="24">
        <v>9</v>
      </c>
      <c r="AX499" s="24">
        <v>8</v>
      </c>
      <c r="AY499" s="24">
        <v>4</v>
      </c>
      <c r="AZ499" s="24">
        <v>1</v>
      </c>
      <c r="BA499" s="24">
        <v>0</v>
      </c>
      <c r="BB499" s="24">
        <v>0</v>
      </c>
      <c r="BC499" s="24">
        <v>0</v>
      </c>
      <c r="BD499" s="24">
        <v>0</v>
      </c>
      <c r="BE499" s="24">
        <v>0</v>
      </c>
      <c r="BF499" s="24">
        <v>0</v>
      </c>
      <c r="BG499" s="24">
        <v>0</v>
      </c>
      <c r="BH499" s="24">
        <f>SUM(D499:BG499)</f>
        <v>29385</v>
      </c>
    </row>
    <row r="500" spans="1:60">
      <c r="A500" s="18" t="s">
        <v>223</v>
      </c>
      <c r="B500" s="18" t="s">
        <v>92</v>
      </c>
      <c r="C500" s="18" t="s">
        <v>212</v>
      </c>
      <c r="D500" s="24">
        <v>0</v>
      </c>
      <c r="E500" s="24">
        <v>0</v>
      </c>
      <c r="F500" s="24">
        <v>0</v>
      </c>
      <c r="G500" s="24">
        <v>0</v>
      </c>
      <c r="H500" s="24">
        <v>7</v>
      </c>
      <c r="I500" s="24">
        <v>43</v>
      </c>
      <c r="J500" s="24">
        <v>178</v>
      </c>
      <c r="K500" s="24">
        <v>377</v>
      </c>
      <c r="L500" s="24">
        <v>485</v>
      </c>
      <c r="M500" s="24">
        <v>523</v>
      </c>
      <c r="N500" s="24">
        <v>650</v>
      </c>
      <c r="O500" s="24">
        <v>756</v>
      </c>
      <c r="P500" s="24">
        <v>801</v>
      </c>
      <c r="Q500" s="24">
        <v>909</v>
      </c>
      <c r="R500" s="24">
        <v>909</v>
      </c>
      <c r="S500" s="24">
        <v>919</v>
      </c>
      <c r="T500" s="24">
        <v>875</v>
      </c>
      <c r="U500" s="24">
        <v>898</v>
      </c>
      <c r="V500" s="24">
        <v>953</v>
      </c>
      <c r="W500" s="24">
        <v>850</v>
      </c>
      <c r="X500" s="24">
        <v>874</v>
      </c>
      <c r="Y500" s="24">
        <v>824</v>
      </c>
      <c r="Z500" s="24">
        <v>845</v>
      </c>
      <c r="AA500" s="24">
        <v>767</v>
      </c>
      <c r="AB500" s="24">
        <v>778</v>
      </c>
      <c r="AC500" s="24">
        <v>771</v>
      </c>
      <c r="AD500" s="24">
        <v>867</v>
      </c>
      <c r="AE500" s="24">
        <v>906</v>
      </c>
      <c r="AF500" s="24">
        <v>923</v>
      </c>
      <c r="AG500" s="24">
        <v>972</v>
      </c>
      <c r="AH500" s="24">
        <v>956</v>
      </c>
      <c r="AI500" s="24">
        <v>881</v>
      </c>
      <c r="AJ500" s="24">
        <v>864</v>
      </c>
      <c r="AK500" s="24">
        <v>901</v>
      </c>
      <c r="AL500" s="24">
        <v>919</v>
      </c>
      <c r="AM500" s="24">
        <v>884</v>
      </c>
      <c r="AN500" s="24">
        <v>845</v>
      </c>
      <c r="AO500" s="24">
        <v>793</v>
      </c>
      <c r="AP500" s="24">
        <v>780</v>
      </c>
      <c r="AQ500" s="24">
        <v>739</v>
      </c>
      <c r="AR500" s="24">
        <v>520</v>
      </c>
      <c r="AS500" s="24">
        <v>238</v>
      </c>
      <c r="AT500" s="24">
        <v>50</v>
      </c>
      <c r="AU500" s="24">
        <v>8</v>
      </c>
      <c r="AV500" s="24">
        <v>4</v>
      </c>
      <c r="AW500" s="24">
        <v>0</v>
      </c>
      <c r="AX500" s="24">
        <v>4</v>
      </c>
      <c r="AY500" s="24">
        <v>1</v>
      </c>
      <c r="AZ500" s="24">
        <v>0</v>
      </c>
      <c r="BA500" s="24">
        <v>0</v>
      </c>
      <c r="BB500" s="24">
        <v>0</v>
      </c>
      <c r="BC500" s="24">
        <v>0</v>
      </c>
      <c r="BD500" s="24">
        <v>0</v>
      </c>
      <c r="BE500" s="24">
        <v>0</v>
      </c>
      <c r="BF500" s="24">
        <v>0</v>
      </c>
      <c r="BG500" s="24">
        <v>0</v>
      </c>
      <c r="BH500" s="24">
        <f>SUM(D500:BG500)</f>
        <v>28047</v>
      </c>
    </row>
    <row r="501" spans="1:60">
      <c r="A501" s="18" t="s">
        <v>224</v>
      </c>
      <c r="B501" s="18" t="s">
        <v>92</v>
      </c>
      <c r="C501" s="18" t="s">
        <v>214</v>
      </c>
      <c r="D501" s="24">
        <v>0</v>
      </c>
      <c r="E501" s="24">
        <v>0</v>
      </c>
      <c r="F501" s="24">
        <v>0</v>
      </c>
      <c r="G501" s="24">
        <v>0</v>
      </c>
      <c r="H501" s="24">
        <v>10</v>
      </c>
      <c r="I501" s="24">
        <v>55</v>
      </c>
      <c r="J501" s="24">
        <v>178</v>
      </c>
      <c r="K501" s="24">
        <v>430</v>
      </c>
      <c r="L501" s="24">
        <v>426</v>
      </c>
      <c r="M501" s="24">
        <v>579</v>
      </c>
      <c r="N501" s="24">
        <v>624</v>
      </c>
      <c r="O501" s="24">
        <v>739</v>
      </c>
      <c r="P501" s="24">
        <v>769</v>
      </c>
      <c r="Q501" s="24">
        <v>838</v>
      </c>
      <c r="R501" s="24">
        <v>857</v>
      </c>
      <c r="S501" s="24">
        <v>901</v>
      </c>
      <c r="T501" s="24">
        <v>925</v>
      </c>
      <c r="U501" s="24">
        <v>943</v>
      </c>
      <c r="V501" s="24">
        <v>876</v>
      </c>
      <c r="W501" s="24">
        <v>823</v>
      </c>
      <c r="X501" s="24">
        <v>856</v>
      </c>
      <c r="Y501" s="24">
        <v>752</v>
      </c>
      <c r="Z501" s="24">
        <v>845</v>
      </c>
      <c r="AA501" s="24">
        <v>807</v>
      </c>
      <c r="AB501" s="24">
        <v>758</v>
      </c>
      <c r="AC501" s="24">
        <v>761</v>
      </c>
      <c r="AD501" s="24">
        <v>883</v>
      </c>
      <c r="AE501" s="24">
        <v>901</v>
      </c>
      <c r="AF501" s="24">
        <v>941</v>
      </c>
      <c r="AG501" s="24">
        <v>984</v>
      </c>
      <c r="AH501" s="24">
        <v>976</v>
      </c>
      <c r="AI501" s="24">
        <v>967</v>
      </c>
      <c r="AJ501" s="24">
        <v>942</v>
      </c>
      <c r="AK501" s="24">
        <v>913</v>
      </c>
      <c r="AL501" s="24">
        <v>909</v>
      </c>
      <c r="AM501" s="24">
        <v>928</v>
      </c>
      <c r="AN501" s="24">
        <v>826</v>
      </c>
      <c r="AO501" s="24">
        <v>863</v>
      </c>
      <c r="AP501" s="24">
        <v>805</v>
      </c>
      <c r="AQ501" s="24">
        <v>750</v>
      </c>
      <c r="AR501" s="24">
        <v>529</v>
      </c>
      <c r="AS501" s="24">
        <v>253</v>
      </c>
      <c r="AT501" s="24">
        <v>61</v>
      </c>
      <c r="AU501" s="24">
        <v>15</v>
      </c>
      <c r="AV501" s="24">
        <v>13</v>
      </c>
      <c r="AW501" s="24">
        <v>20</v>
      </c>
      <c r="AX501" s="24">
        <v>11</v>
      </c>
      <c r="AY501" s="24">
        <v>13</v>
      </c>
      <c r="AZ501" s="24">
        <v>14</v>
      </c>
      <c r="BA501" s="24">
        <v>10</v>
      </c>
      <c r="BB501" s="24">
        <v>8</v>
      </c>
      <c r="BC501" s="24">
        <v>2</v>
      </c>
      <c r="BD501" s="24">
        <v>1</v>
      </c>
      <c r="BE501" s="24">
        <v>0</v>
      </c>
      <c r="BF501" s="24">
        <v>0</v>
      </c>
      <c r="BG501" s="24">
        <v>0</v>
      </c>
      <c r="BH501" s="24">
        <f>SUM(D501:BG501)</f>
        <v>28290</v>
      </c>
    </row>
    <row r="502" spans="1:60">
      <c r="A502" s="18" t="s">
        <v>225</v>
      </c>
      <c r="B502" s="18" t="s">
        <v>92</v>
      </c>
      <c r="C502" s="18" t="s">
        <v>216</v>
      </c>
      <c r="D502" s="24">
        <v>0</v>
      </c>
      <c r="E502" s="24">
        <v>0</v>
      </c>
      <c r="F502" s="24">
        <v>1</v>
      </c>
      <c r="G502" s="24">
        <v>0</v>
      </c>
      <c r="H502" s="24">
        <v>3</v>
      </c>
      <c r="I502" s="24">
        <v>70</v>
      </c>
      <c r="J502" s="24">
        <v>192</v>
      </c>
      <c r="K502" s="24">
        <v>450</v>
      </c>
      <c r="L502" s="24">
        <v>538</v>
      </c>
      <c r="M502" s="24">
        <v>622</v>
      </c>
      <c r="N502" s="24">
        <v>664</v>
      </c>
      <c r="O502" s="24">
        <v>708</v>
      </c>
      <c r="P502" s="24">
        <v>737</v>
      </c>
      <c r="Q502" s="24">
        <v>845</v>
      </c>
      <c r="R502" s="24">
        <v>906</v>
      </c>
      <c r="S502" s="24">
        <v>943</v>
      </c>
      <c r="T502" s="24">
        <v>916</v>
      </c>
      <c r="U502" s="24">
        <v>896</v>
      </c>
      <c r="V502" s="24">
        <v>886</v>
      </c>
      <c r="W502" s="24">
        <v>894</v>
      </c>
      <c r="X502" s="24">
        <v>881</v>
      </c>
      <c r="Y502" s="24">
        <v>855</v>
      </c>
      <c r="Z502" s="24">
        <v>891</v>
      </c>
      <c r="AA502" s="24">
        <v>776</v>
      </c>
      <c r="AB502" s="24">
        <v>802</v>
      </c>
      <c r="AC502" s="24">
        <v>834</v>
      </c>
      <c r="AD502" s="24">
        <v>916</v>
      </c>
      <c r="AE502" s="24">
        <v>941</v>
      </c>
      <c r="AF502" s="24">
        <v>864</v>
      </c>
      <c r="AG502" s="24">
        <v>926</v>
      </c>
      <c r="AH502" s="24">
        <v>906</v>
      </c>
      <c r="AI502" s="24">
        <v>891</v>
      </c>
      <c r="AJ502" s="24">
        <v>923</v>
      </c>
      <c r="AK502" s="24">
        <v>894</v>
      </c>
      <c r="AL502" s="24">
        <v>937</v>
      </c>
      <c r="AM502" s="24">
        <v>902</v>
      </c>
      <c r="AN502" s="24">
        <v>912</v>
      </c>
      <c r="AO502" s="24">
        <v>911</v>
      </c>
      <c r="AP502" s="24">
        <v>863</v>
      </c>
      <c r="AQ502" s="24">
        <v>744</v>
      </c>
      <c r="AR502" s="24">
        <v>570</v>
      </c>
      <c r="AS502" s="24">
        <v>327</v>
      </c>
      <c r="AT502" s="24">
        <v>84</v>
      </c>
      <c r="AU502" s="24">
        <v>20</v>
      </c>
      <c r="AV502" s="24">
        <v>7</v>
      </c>
      <c r="AW502" s="24">
        <v>1</v>
      </c>
      <c r="AX502" s="24">
        <v>1</v>
      </c>
      <c r="AY502" s="24">
        <v>0</v>
      </c>
      <c r="AZ502" s="24">
        <v>0</v>
      </c>
      <c r="BA502" s="24">
        <v>0</v>
      </c>
      <c r="BB502" s="24">
        <v>0</v>
      </c>
      <c r="BC502" s="24">
        <v>0</v>
      </c>
      <c r="BD502" s="24">
        <v>0</v>
      </c>
      <c r="BE502" s="24">
        <v>0</v>
      </c>
      <c r="BF502" s="24">
        <v>0</v>
      </c>
      <c r="BG502" s="24">
        <v>0</v>
      </c>
      <c r="BH502" s="24">
        <f>SUM(D502:BG502)</f>
        <v>28850</v>
      </c>
    </row>
    <row r="503" spans="1:60">
      <c r="A503" s="18" t="s">
        <v>226</v>
      </c>
      <c r="B503" s="18" t="s">
        <v>92</v>
      </c>
      <c r="C503" s="18" t="s">
        <v>218</v>
      </c>
      <c r="D503" s="24">
        <v>0</v>
      </c>
      <c r="E503" s="24">
        <v>0</v>
      </c>
      <c r="F503" s="24">
        <v>0</v>
      </c>
      <c r="G503" s="24">
        <v>0</v>
      </c>
      <c r="H503" s="24">
        <v>0</v>
      </c>
      <c r="I503" s="24">
        <v>1</v>
      </c>
      <c r="J503" s="24">
        <v>1</v>
      </c>
      <c r="K503" s="24">
        <v>2</v>
      </c>
      <c r="L503" s="24">
        <v>2</v>
      </c>
      <c r="M503" s="24">
        <v>2</v>
      </c>
      <c r="N503" s="24">
        <v>3</v>
      </c>
      <c r="O503" s="24">
        <v>3</v>
      </c>
      <c r="P503" s="24">
        <v>2</v>
      </c>
      <c r="Q503" s="24">
        <v>2</v>
      </c>
      <c r="R503" s="24">
        <v>1</v>
      </c>
      <c r="S503" s="24">
        <v>0</v>
      </c>
      <c r="T503" s="24">
        <v>1</v>
      </c>
      <c r="U503" s="24">
        <v>1</v>
      </c>
      <c r="V503" s="24">
        <v>0</v>
      </c>
      <c r="W503" s="24">
        <v>0</v>
      </c>
      <c r="X503" s="24">
        <v>0</v>
      </c>
      <c r="Y503" s="24">
        <v>0</v>
      </c>
      <c r="Z503" s="24">
        <v>0</v>
      </c>
      <c r="AA503" s="24">
        <v>0</v>
      </c>
      <c r="AB503" s="24">
        <v>0</v>
      </c>
      <c r="AC503" s="24">
        <v>0</v>
      </c>
      <c r="AD503" s="24">
        <v>0</v>
      </c>
      <c r="AE503" s="24">
        <v>0</v>
      </c>
      <c r="AF503" s="24">
        <v>0</v>
      </c>
      <c r="AG503" s="24">
        <v>0</v>
      </c>
      <c r="AH503" s="24">
        <v>0</v>
      </c>
      <c r="AI503" s="24">
        <v>0</v>
      </c>
      <c r="AJ503" s="24">
        <v>0</v>
      </c>
      <c r="AK503" s="24">
        <v>0</v>
      </c>
      <c r="AL503" s="24">
        <v>0</v>
      </c>
      <c r="AM503" s="24">
        <v>0</v>
      </c>
      <c r="AN503" s="24">
        <v>0</v>
      </c>
      <c r="AO503" s="24">
        <v>0</v>
      </c>
      <c r="AP503" s="24">
        <v>0</v>
      </c>
      <c r="AQ503" s="24">
        <v>0</v>
      </c>
      <c r="AR503" s="24">
        <v>0</v>
      </c>
      <c r="AS503" s="24">
        <v>0</v>
      </c>
      <c r="AT503" s="24">
        <v>0</v>
      </c>
      <c r="AU503" s="24">
        <v>0</v>
      </c>
      <c r="AV503" s="24">
        <v>0</v>
      </c>
      <c r="AW503" s="24">
        <v>0</v>
      </c>
      <c r="AX503" s="24">
        <v>0</v>
      </c>
      <c r="AY503" s="24">
        <v>0</v>
      </c>
      <c r="AZ503" s="24">
        <v>0</v>
      </c>
      <c r="BA503" s="24">
        <v>0</v>
      </c>
      <c r="BB503" s="24">
        <v>0</v>
      </c>
      <c r="BC503" s="24">
        <v>0</v>
      </c>
      <c r="BD503" s="24">
        <v>0</v>
      </c>
      <c r="BE503" s="24">
        <v>0</v>
      </c>
      <c r="BF503" s="24">
        <v>0</v>
      </c>
      <c r="BG503" s="24">
        <v>0</v>
      </c>
      <c r="BH503" s="24">
        <f>SUM(D503:BG503)</f>
        <v>21</v>
      </c>
    </row>
    <row r="504" spans="1:60">
      <c r="A504" s="18" t="s">
        <v>227</v>
      </c>
      <c r="B504" s="18" t="s">
        <v>92</v>
      </c>
      <c r="C504" s="18" t="s">
        <v>220</v>
      </c>
      <c r="D504" s="24">
        <v>0</v>
      </c>
      <c r="E504" s="24">
        <v>0</v>
      </c>
      <c r="F504" s="24">
        <v>0</v>
      </c>
      <c r="G504" s="24">
        <v>0</v>
      </c>
      <c r="H504" s="24">
        <v>2</v>
      </c>
      <c r="I504" s="24">
        <v>12</v>
      </c>
      <c r="J504" s="24">
        <v>38</v>
      </c>
      <c r="K504" s="24">
        <v>68</v>
      </c>
      <c r="L504" s="24">
        <v>44</v>
      </c>
      <c r="M504" s="24">
        <v>47</v>
      </c>
      <c r="N504" s="24">
        <v>43</v>
      </c>
      <c r="O504" s="24">
        <v>40</v>
      </c>
      <c r="P504" s="24">
        <v>41</v>
      </c>
      <c r="Q504" s="24">
        <v>41</v>
      </c>
      <c r="R504" s="24">
        <v>35</v>
      </c>
      <c r="S504" s="24">
        <v>27</v>
      </c>
      <c r="T504" s="24">
        <v>44</v>
      </c>
      <c r="U504" s="24">
        <v>75</v>
      </c>
      <c r="V504" s="24">
        <v>65</v>
      </c>
      <c r="W504" s="24">
        <v>30</v>
      </c>
      <c r="X504" s="24">
        <v>22</v>
      </c>
      <c r="Y504" s="24">
        <v>1</v>
      </c>
      <c r="Z504" s="24">
        <v>0</v>
      </c>
      <c r="AA504" s="24">
        <v>0</v>
      </c>
      <c r="AB504" s="24">
        <v>0</v>
      </c>
      <c r="AC504" s="24">
        <v>7</v>
      </c>
      <c r="AD504" s="24">
        <v>5</v>
      </c>
      <c r="AE504" s="24">
        <v>15</v>
      </c>
      <c r="AF504" s="24">
        <v>1</v>
      </c>
      <c r="AG504" s="24">
        <v>10</v>
      </c>
      <c r="AH504" s="24">
        <v>0</v>
      </c>
      <c r="AI504" s="24">
        <v>0</v>
      </c>
      <c r="AJ504" s="24">
        <v>0</v>
      </c>
      <c r="AK504" s="24">
        <v>0</v>
      </c>
      <c r="AL504" s="24">
        <v>0</v>
      </c>
      <c r="AM504" s="24">
        <v>0</v>
      </c>
      <c r="AN504" s="24">
        <v>0</v>
      </c>
      <c r="AO504" s="24">
        <v>0</v>
      </c>
      <c r="AP504" s="24">
        <v>0</v>
      </c>
      <c r="AQ504" s="24">
        <v>0</v>
      </c>
      <c r="AR504" s="24">
        <v>0</v>
      </c>
      <c r="AS504" s="24">
        <v>0</v>
      </c>
      <c r="AT504" s="24">
        <v>0</v>
      </c>
      <c r="AU504" s="24">
        <v>0</v>
      </c>
      <c r="AV504" s="24">
        <v>0</v>
      </c>
      <c r="AW504" s="24">
        <v>0</v>
      </c>
      <c r="AX504" s="24">
        <v>0</v>
      </c>
      <c r="AY504" s="24">
        <v>0</v>
      </c>
      <c r="AZ504" s="24">
        <v>0</v>
      </c>
      <c r="BA504" s="24">
        <v>0</v>
      </c>
      <c r="BB504" s="24">
        <v>0</v>
      </c>
      <c r="BC504" s="24">
        <v>0</v>
      </c>
      <c r="BD504" s="24">
        <v>0</v>
      </c>
      <c r="BE504" s="24">
        <v>0</v>
      </c>
      <c r="BF504" s="24">
        <v>0</v>
      </c>
      <c r="BG504" s="24">
        <v>0</v>
      </c>
      <c r="BH504" s="24">
        <f>SUM(D504:BG504)</f>
        <v>713</v>
      </c>
    </row>
    <row r="505" spans="1:60">
      <c r="A505" s="18" t="s">
        <v>228</v>
      </c>
      <c r="B505" s="18" t="s">
        <v>106</v>
      </c>
      <c r="C505" s="18" t="s">
        <v>5</v>
      </c>
      <c r="D505" s="24">
        <v>0</v>
      </c>
      <c r="E505" s="24">
        <v>0</v>
      </c>
      <c r="F505" s="24">
        <v>0</v>
      </c>
      <c r="G505" s="24">
        <v>2</v>
      </c>
      <c r="H505" s="24">
        <v>25</v>
      </c>
      <c r="I505" s="24">
        <v>233</v>
      </c>
      <c r="J505" s="24">
        <v>357</v>
      </c>
      <c r="K505" s="24">
        <v>399</v>
      </c>
      <c r="L505" s="24">
        <v>439</v>
      </c>
      <c r="M505" s="24">
        <v>491</v>
      </c>
      <c r="N505" s="24">
        <v>501</v>
      </c>
      <c r="O505" s="24">
        <v>532</v>
      </c>
      <c r="P505" s="24">
        <v>558</v>
      </c>
      <c r="Q505" s="24">
        <v>609</v>
      </c>
      <c r="R505" s="24">
        <v>575</v>
      </c>
      <c r="S505" s="24">
        <v>558</v>
      </c>
      <c r="T505" s="24">
        <v>597</v>
      </c>
      <c r="U505" s="24">
        <v>500</v>
      </c>
      <c r="V505" s="24">
        <v>507</v>
      </c>
      <c r="W505" s="24">
        <v>428</v>
      </c>
      <c r="X505" s="24">
        <v>441</v>
      </c>
      <c r="Y505" s="24">
        <v>390</v>
      </c>
      <c r="Z505" s="24">
        <v>440</v>
      </c>
      <c r="AA505" s="24">
        <v>412</v>
      </c>
      <c r="AB505" s="24">
        <v>433</v>
      </c>
      <c r="AC505" s="24">
        <v>491</v>
      </c>
      <c r="AD505" s="24">
        <v>503</v>
      </c>
      <c r="AE505" s="24">
        <v>511</v>
      </c>
      <c r="AF505" s="24">
        <v>479</v>
      </c>
      <c r="AG505" s="24">
        <v>496</v>
      </c>
      <c r="AH505" s="24">
        <v>443</v>
      </c>
      <c r="AI505" s="24">
        <v>436</v>
      </c>
      <c r="AJ505" s="24">
        <v>432</v>
      </c>
      <c r="AK505" s="24">
        <v>427</v>
      </c>
      <c r="AL505" s="24">
        <v>424</v>
      </c>
      <c r="AM505" s="24">
        <v>406</v>
      </c>
      <c r="AN505" s="24">
        <v>389</v>
      </c>
      <c r="AO505" s="24">
        <v>411</v>
      </c>
      <c r="AP505" s="24">
        <v>331</v>
      </c>
      <c r="AQ505" s="24">
        <v>231</v>
      </c>
      <c r="AR505" s="24">
        <v>105</v>
      </c>
      <c r="AS505" s="24">
        <v>5</v>
      </c>
      <c r="AT505" s="24">
        <v>0</v>
      </c>
      <c r="AU505" s="24">
        <v>0</v>
      </c>
      <c r="AV505" s="24">
        <v>0</v>
      </c>
      <c r="AW505" s="24">
        <v>1</v>
      </c>
      <c r="AX505" s="24">
        <v>1</v>
      </c>
      <c r="AY505" s="24">
        <v>0</v>
      </c>
      <c r="AZ505" s="24">
        <v>1</v>
      </c>
      <c r="BA505" s="24">
        <v>0</v>
      </c>
      <c r="BB505" s="24">
        <v>0</v>
      </c>
      <c r="BC505" s="24">
        <v>0</v>
      </c>
      <c r="BD505" s="24">
        <v>0</v>
      </c>
      <c r="BE505" s="24">
        <v>0</v>
      </c>
      <c r="BF505" s="24">
        <v>0</v>
      </c>
      <c r="BG505" s="24">
        <v>0</v>
      </c>
      <c r="BH505" s="24">
        <f>SUM(D505:BG505)</f>
        <v>15950</v>
      </c>
    </row>
    <row r="506" spans="1:60">
      <c r="A506" s="18" t="s">
        <v>229</v>
      </c>
      <c r="B506" s="18" t="s">
        <v>106</v>
      </c>
      <c r="C506" s="18" t="s">
        <v>210</v>
      </c>
      <c r="D506" s="24">
        <v>0</v>
      </c>
      <c r="E506" s="24">
        <v>0</v>
      </c>
      <c r="F506" s="24">
        <v>0</v>
      </c>
      <c r="G506" s="24">
        <v>4</v>
      </c>
      <c r="H506" s="24">
        <v>16</v>
      </c>
      <c r="I506" s="24">
        <v>204</v>
      </c>
      <c r="J506" s="24">
        <v>339</v>
      </c>
      <c r="K506" s="24">
        <v>343</v>
      </c>
      <c r="L506" s="24">
        <v>444</v>
      </c>
      <c r="M506" s="24">
        <v>404</v>
      </c>
      <c r="N506" s="24">
        <v>465</v>
      </c>
      <c r="O506" s="24">
        <v>503</v>
      </c>
      <c r="P506" s="24">
        <v>604</v>
      </c>
      <c r="Q506" s="24">
        <v>561</v>
      </c>
      <c r="R506" s="24">
        <v>560</v>
      </c>
      <c r="S506" s="24">
        <v>578</v>
      </c>
      <c r="T506" s="24">
        <v>608</v>
      </c>
      <c r="U506" s="24">
        <v>571</v>
      </c>
      <c r="V506" s="24">
        <v>533</v>
      </c>
      <c r="W506" s="24">
        <v>498</v>
      </c>
      <c r="X506" s="24">
        <v>434</v>
      </c>
      <c r="Y506" s="24">
        <v>429</v>
      </c>
      <c r="Z506" s="24">
        <v>440</v>
      </c>
      <c r="AA506" s="24">
        <v>435</v>
      </c>
      <c r="AB506" s="24">
        <v>480</v>
      </c>
      <c r="AC506" s="24">
        <v>498</v>
      </c>
      <c r="AD506" s="24">
        <v>488</v>
      </c>
      <c r="AE506" s="24">
        <v>542</v>
      </c>
      <c r="AF506" s="24">
        <v>501</v>
      </c>
      <c r="AG506" s="24">
        <v>452</v>
      </c>
      <c r="AH506" s="24">
        <v>522</v>
      </c>
      <c r="AI506" s="24">
        <v>502</v>
      </c>
      <c r="AJ506" s="24">
        <v>506</v>
      </c>
      <c r="AK506" s="24">
        <v>488</v>
      </c>
      <c r="AL506" s="24">
        <v>459</v>
      </c>
      <c r="AM506" s="24">
        <v>459</v>
      </c>
      <c r="AN506" s="24">
        <v>416</v>
      </c>
      <c r="AO506" s="24">
        <v>376</v>
      </c>
      <c r="AP506" s="24">
        <v>313</v>
      </c>
      <c r="AQ506" s="24">
        <v>228</v>
      </c>
      <c r="AR506" s="24">
        <v>93</v>
      </c>
      <c r="AS506" s="24">
        <v>11</v>
      </c>
      <c r="AT506" s="24">
        <v>3</v>
      </c>
      <c r="AU506" s="24">
        <v>2</v>
      </c>
      <c r="AV506" s="24">
        <v>3</v>
      </c>
      <c r="AW506" s="24">
        <v>4</v>
      </c>
      <c r="AX506" s="24">
        <v>2</v>
      </c>
      <c r="AY506" s="24">
        <v>1</v>
      </c>
      <c r="AZ506" s="24">
        <v>0</v>
      </c>
      <c r="BA506" s="24">
        <v>0</v>
      </c>
      <c r="BB506" s="24">
        <v>0</v>
      </c>
      <c r="BC506" s="24">
        <v>0</v>
      </c>
      <c r="BD506" s="24">
        <v>0</v>
      </c>
      <c r="BE506" s="24">
        <v>0</v>
      </c>
      <c r="BF506" s="24">
        <v>0</v>
      </c>
      <c r="BG506" s="24">
        <v>0</v>
      </c>
      <c r="BH506" s="24">
        <f>SUM(D506:BG506)</f>
        <v>16322</v>
      </c>
    </row>
    <row r="507" spans="1:60">
      <c r="A507" s="18" t="s">
        <v>230</v>
      </c>
      <c r="B507" s="18" t="s">
        <v>106</v>
      </c>
      <c r="C507" s="18" t="s">
        <v>212</v>
      </c>
      <c r="D507" s="24">
        <v>0</v>
      </c>
      <c r="E507" s="24">
        <v>0</v>
      </c>
      <c r="F507" s="24">
        <v>0</v>
      </c>
      <c r="G507" s="24">
        <v>0</v>
      </c>
      <c r="H507" s="24">
        <v>21</v>
      </c>
      <c r="I507" s="24">
        <v>186</v>
      </c>
      <c r="J507" s="24">
        <v>312</v>
      </c>
      <c r="K507" s="24">
        <v>301</v>
      </c>
      <c r="L507" s="24">
        <v>406</v>
      </c>
      <c r="M507" s="24">
        <v>462</v>
      </c>
      <c r="N507" s="24">
        <v>497</v>
      </c>
      <c r="O507" s="24">
        <v>530</v>
      </c>
      <c r="P507" s="24">
        <v>582</v>
      </c>
      <c r="Q507" s="24">
        <v>546</v>
      </c>
      <c r="R507" s="24">
        <v>574</v>
      </c>
      <c r="S507" s="24">
        <v>559</v>
      </c>
      <c r="T507" s="24">
        <v>550</v>
      </c>
      <c r="U507" s="24">
        <v>500</v>
      </c>
      <c r="V507" s="24">
        <v>475</v>
      </c>
      <c r="W507" s="24">
        <v>414</v>
      </c>
      <c r="X507" s="24">
        <v>411</v>
      </c>
      <c r="Y507" s="24">
        <v>431</v>
      </c>
      <c r="Z507" s="24">
        <v>389</v>
      </c>
      <c r="AA507" s="24">
        <v>430</v>
      </c>
      <c r="AB507" s="24">
        <v>480</v>
      </c>
      <c r="AC507" s="24">
        <v>498</v>
      </c>
      <c r="AD507" s="24">
        <v>542</v>
      </c>
      <c r="AE507" s="24">
        <v>541</v>
      </c>
      <c r="AF507" s="24">
        <v>556</v>
      </c>
      <c r="AG507" s="24">
        <v>486</v>
      </c>
      <c r="AH507" s="24">
        <v>508</v>
      </c>
      <c r="AI507" s="24">
        <v>459</v>
      </c>
      <c r="AJ507" s="24">
        <v>450</v>
      </c>
      <c r="AK507" s="24">
        <v>467</v>
      </c>
      <c r="AL507" s="24">
        <v>464</v>
      </c>
      <c r="AM507" s="24">
        <v>449</v>
      </c>
      <c r="AN507" s="24">
        <v>407</v>
      </c>
      <c r="AO507" s="24">
        <v>396</v>
      </c>
      <c r="AP507" s="24">
        <v>298</v>
      </c>
      <c r="AQ507" s="24">
        <v>201</v>
      </c>
      <c r="AR507" s="24">
        <v>88</v>
      </c>
      <c r="AS507" s="24">
        <v>6</v>
      </c>
      <c r="AT507" s="24">
        <v>1</v>
      </c>
      <c r="AU507" s="24">
        <v>1</v>
      </c>
      <c r="AV507" s="24">
        <v>0</v>
      </c>
      <c r="AW507" s="24">
        <v>1</v>
      </c>
      <c r="AX507" s="24">
        <v>1</v>
      </c>
      <c r="AY507" s="24">
        <v>0</v>
      </c>
      <c r="AZ507" s="24">
        <v>0</v>
      </c>
      <c r="BA507" s="24">
        <v>0</v>
      </c>
      <c r="BB507" s="24">
        <v>0</v>
      </c>
      <c r="BC507" s="24">
        <v>0</v>
      </c>
      <c r="BD507" s="24">
        <v>0</v>
      </c>
      <c r="BE507" s="24">
        <v>0</v>
      </c>
      <c r="BF507" s="24">
        <v>0</v>
      </c>
      <c r="BG507" s="24">
        <v>0</v>
      </c>
      <c r="BH507" s="24">
        <f>SUM(D507:BG507)</f>
        <v>15876</v>
      </c>
    </row>
    <row r="508" spans="1:60">
      <c r="A508" s="18" t="s">
        <v>231</v>
      </c>
      <c r="B508" s="18" t="s">
        <v>106</v>
      </c>
      <c r="C508" s="18" t="s">
        <v>214</v>
      </c>
      <c r="D508" s="24">
        <v>0</v>
      </c>
      <c r="E508" s="24">
        <v>0</v>
      </c>
      <c r="F508" s="24">
        <v>0</v>
      </c>
      <c r="G508" s="24">
        <v>2</v>
      </c>
      <c r="H508" s="24">
        <v>23</v>
      </c>
      <c r="I508" s="24">
        <v>154</v>
      </c>
      <c r="J508" s="24">
        <v>271</v>
      </c>
      <c r="K508" s="24">
        <v>340</v>
      </c>
      <c r="L508" s="24">
        <v>370</v>
      </c>
      <c r="M508" s="24">
        <v>423</v>
      </c>
      <c r="N508" s="24">
        <v>494</v>
      </c>
      <c r="O508" s="24">
        <v>520</v>
      </c>
      <c r="P508" s="24">
        <v>571</v>
      </c>
      <c r="Q508" s="24">
        <v>595</v>
      </c>
      <c r="R508" s="24">
        <v>553</v>
      </c>
      <c r="S508" s="24">
        <v>544</v>
      </c>
      <c r="T508" s="24">
        <v>549</v>
      </c>
      <c r="U508" s="24">
        <v>527</v>
      </c>
      <c r="V508" s="24">
        <v>450</v>
      </c>
      <c r="W508" s="24">
        <v>444</v>
      </c>
      <c r="X508" s="24">
        <v>426</v>
      </c>
      <c r="Y508" s="24">
        <v>398</v>
      </c>
      <c r="Z508" s="24">
        <v>391</v>
      </c>
      <c r="AA508" s="24">
        <v>438</v>
      </c>
      <c r="AB508" s="24">
        <v>524</v>
      </c>
      <c r="AC508" s="24">
        <v>540</v>
      </c>
      <c r="AD508" s="24">
        <v>527</v>
      </c>
      <c r="AE508" s="24">
        <v>584</v>
      </c>
      <c r="AF508" s="24">
        <v>553</v>
      </c>
      <c r="AG508" s="24">
        <v>493</v>
      </c>
      <c r="AH508" s="24">
        <v>561</v>
      </c>
      <c r="AI508" s="24">
        <v>489</v>
      </c>
      <c r="AJ508" s="24">
        <v>517</v>
      </c>
      <c r="AK508" s="24">
        <v>490</v>
      </c>
      <c r="AL508" s="24">
        <v>456</v>
      </c>
      <c r="AM508" s="24">
        <v>407</v>
      </c>
      <c r="AN508" s="24">
        <v>431</v>
      </c>
      <c r="AO508" s="24">
        <v>429</v>
      </c>
      <c r="AP508" s="24">
        <v>352</v>
      </c>
      <c r="AQ508" s="24">
        <v>215</v>
      </c>
      <c r="AR508" s="24">
        <v>96</v>
      </c>
      <c r="AS508" s="24">
        <v>18</v>
      </c>
      <c r="AT508" s="24">
        <v>6</v>
      </c>
      <c r="AU508" s="24">
        <v>4</v>
      </c>
      <c r="AV508" s="24">
        <v>5</v>
      </c>
      <c r="AW508" s="24">
        <v>10</v>
      </c>
      <c r="AX508" s="24">
        <v>9</v>
      </c>
      <c r="AY508" s="24">
        <v>10</v>
      </c>
      <c r="AZ508" s="24">
        <v>6</v>
      </c>
      <c r="BA508" s="24">
        <v>3</v>
      </c>
      <c r="BB508" s="24">
        <v>0</v>
      </c>
      <c r="BC508" s="24">
        <v>0</v>
      </c>
      <c r="BD508" s="24">
        <v>0</v>
      </c>
      <c r="BE508" s="24">
        <v>0</v>
      </c>
      <c r="BF508" s="24">
        <v>0</v>
      </c>
      <c r="BG508" s="24">
        <v>0</v>
      </c>
      <c r="BH508" s="24">
        <f>SUM(D508:BG508)</f>
        <v>16218</v>
      </c>
    </row>
    <row r="509" spans="1:60">
      <c r="A509" s="18" t="s">
        <v>232</v>
      </c>
      <c r="B509" s="18" t="s">
        <v>106</v>
      </c>
      <c r="C509" s="18" t="s">
        <v>216</v>
      </c>
      <c r="D509" s="24">
        <v>0</v>
      </c>
      <c r="E509" s="24">
        <v>0</v>
      </c>
      <c r="F509" s="24">
        <v>0</v>
      </c>
      <c r="G509" s="24">
        <v>1</v>
      </c>
      <c r="H509" s="24">
        <v>34</v>
      </c>
      <c r="I509" s="24">
        <v>195</v>
      </c>
      <c r="J509" s="24">
        <v>342</v>
      </c>
      <c r="K509" s="24">
        <v>389</v>
      </c>
      <c r="L509" s="24">
        <v>412</v>
      </c>
      <c r="M509" s="24">
        <v>489</v>
      </c>
      <c r="N509" s="24">
        <v>476</v>
      </c>
      <c r="O509" s="24">
        <v>548</v>
      </c>
      <c r="P509" s="24">
        <v>566</v>
      </c>
      <c r="Q509" s="24">
        <v>566</v>
      </c>
      <c r="R509" s="24">
        <v>575</v>
      </c>
      <c r="S509" s="24">
        <v>562</v>
      </c>
      <c r="T509" s="24">
        <v>556</v>
      </c>
      <c r="U509" s="24">
        <v>550</v>
      </c>
      <c r="V509" s="24">
        <v>500</v>
      </c>
      <c r="W509" s="24">
        <v>461</v>
      </c>
      <c r="X509" s="24">
        <v>450</v>
      </c>
      <c r="Y509" s="24">
        <v>422</v>
      </c>
      <c r="Z509" s="24">
        <v>387</v>
      </c>
      <c r="AA509" s="24">
        <v>427</v>
      </c>
      <c r="AB509" s="24">
        <v>513</v>
      </c>
      <c r="AC509" s="24">
        <v>490</v>
      </c>
      <c r="AD509" s="24">
        <v>540</v>
      </c>
      <c r="AE509" s="24">
        <v>577</v>
      </c>
      <c r="AF509" s="24">
        <v>543</v>
      </c>
      <c r="AG509" s="24">
        <v>537</v>
      </c>
      <c r="AH509" s="24">
        <v>470</v>
      </c>
      <c r="AI509" s="24">
        <v>511</v>
      </c>
      <c r="AJ509" s="24">
        <v>479</v>
      </c>
      <c r="AK509" s="24">
        <v>479</v>
      </c>
      <c r="AL509" s="24">
        <v>502</v>
      </c>
      <c r="AM509" s="24">
        <v>493</v>
      </c>
      <c r="AN509" s="24">
        <v>507</v>
      </c>
      <c r="AO509" s="24">
        <v>467</v>
      </c>
      <c r="AP509" s="24">
        <v>387</v>
      </c>
      <c r="AQ509" s="24">
        <v>285</v>
      </c>
      <c r="AR509" s="24">
        <v>117</v>
      </c>
      <c r="AS509" s="24">
        <v>12</v>
      </c>
      <c r="AT509" s="24">
        <v>1</v>
      </c>
      <c r="AU509" s="24">
        <v>3</v>
      </c>
      <c r="AV509" s="24">
        <v>1</v>
      </c>
      <c r="AW509" s="24">
        <v>0</v>
      </c>
      <c r="AX509" s="24">
        <v>0</v>
      </c>
      <c r="AY509" s="24">
        <v>5</v>
      </c>
      <c r="AZ509" s="24">
        <v>0</v>
      </c>
      <c r="BA509" s="24">
        <v>0</v>
      </c>
      <c r="BB509" s="24">
        <v>0</v>
      </c>
      <c r="BC509" s="24">
        <v>0</v>
      </c>
      <c r="BD509" s="24">
        <v>0</v>
      </c>
      <c r="BE509" s="24">
        <v>0</v>
      </c>
      <c r="BF509" s="24">
        <v>0</v>
      </c>
      <c r="BG509" s="24">
        <v>0</v>
      </c>
      <c r="BH509" s="24">
        <f>SUM(D509:BG509)</f>
        <v>16827</v>
      </c>
    </row>
    <row r="510" spans="1:60">
      <c r="A510" s="18" t="s">
        <v>233</v>
      </c>
      <c r="B510" s="18" t="s">
        <v>106</v>
      </c>
      <c r="C510" s="18" t="s">
        <v>218</v>
      </c>
      <c r="D510" s="24">
        <v>0</v>
      </c>
      <c r="E510" s="24">
        <v>0</v>
      </c>
      <c r="F510" s="24">
        <v>0</v>
      </c>
      <c r="G510" s="24">
        <v>0</v>
      </c>
      <c r="H510" s="24">
        <v>0</v>
      </c>
      <c r="I510" s="24">
        <v>0</v>
      </c>
      <c r="J510" s="24">
        <v>2</v>
      </c>
      <c r="K510" s="24">
        <v>3</v>
      </c>
      <c r="L510" s="24">
        <v>2</v>
      </c>
      <c r="M510" s="24">
        <v>1</v>
      </c>
      <c r="N510" s="24">
        <v>3</v>
      </c>
      <c r="O510" s="24">
        <v>2</v>
      </c>
      <c r="P510" s="24">
        <v>3</v>
      </c>
      <c r="Q510" s="24">
        <v>1</v>
      </c>
      <c r="R510" s="24">
        <v>0</v>
      </c>
      <c r="S510" s="24">
        <v>0</v>
      </c>
      <c r="T510" s="24">
        <v>1</v>
      </c>
      <c r="U510" s="24">
        <v>1</v>
      </c>
      <c r="V510" s="24">
        <v>1</v>
      </c>
      <c r="W510" s="24">
        <v>1</v>
      </c>
      <c r="X510" s="24">
        <v>1</v>
      </c>
      <c r="Y510" s="24">
        <v>0</v>
      </c>
      <c r="Z510" s="24">
        <v>0</v>
      </c>
      <c r="AA510" s="24">
        <v>0</v>
      </c>
      <c r="AB510" s="24">
        <v>0</v>
      </c>
      <c r="AC510" s="24">
        <v>0</v>
      </c>
      <c r="AD510" s="24">
        <v>0</v>
      </c>
      <c r="AE510" s="24">
        <v>0</v>
      </c>
      <c r="AF510" s="24">
        <v>0</v>
      </c>
      <c r="AG510" s="24">
        <v>0</v>
      </c>
      <c r="AH510" s="24">
        <v>0</v>
      </c>
      <c r="AI510" s="24">
        <v>0</v>
      </c>
      <c r="AJ510" s="24">
        <v>0</v>
      </c>
      <c r="AK510" s="24">
        <v>0</v>
      </c>
      <c r="AL510" s="24">
        <v>0</v>
      </c>
      <c r="AM510" s="24">
        <v>0</v>
      </c>
      <c r="AN510" s="24">
        <v>0</v>
      </c>
      <c r="AO510" s="24">
        <v>0</v>
      </c>
      <c r="AP510" s="24">
        <v>0</v>
      </c>
      <c r="AQ510" s="24">
        <v>0</v>
      </c>
      <c r="AR510" s="24">
        <v>0</v>
      </c>
      <c r="AS510" s="24">
        <v>0</v>
      </c>
      <c r="AT510" s="24">
        <v>0</v>
      </c>
      <c r="AU510" s="24">
        <v>0</v>
      </c>
      <c r="AV510" s="24">
        <v>0</v>
      </c>
      <c r="AW510" s="24">
        <v>0</v>
      </c>
      <c r="AX510" s="24">
        <v>0</v>
      </c>
      <c r="AY510" s="24">
        <v>0</v>
      </c>
      <c r="AZ510" s="24">
        <v>0</v>
      </c>
      <c r="BA510" s="24">
        <v>0</v>
      </c>
      <c r="BB510" s="24">
        <v>0</v>
      </c>
      <c r="BC510" s="24">
        <v>0</v>
      </c>
      <c r="BD510" s="24">
        <v>0</v>
      </c>
      <c r="BE510" s="24">
        <v>0</v>
      </c>
      <c r="BF510" s="24">
        <v>0</v>
      </c>
      <c r="BG510" s="24">
        <v>0</v>
      </c>
      <c r="BH510" s="24">
        <f>SUM(D510:BG510)</f>
        <v>22</v>
      </c>
    </row>
    <row r="511" spans="1:60">
      <c r="A511" s="18" t="s">
        <v>234</v>
      </c>
      <c r="B511" s="18" t="s">
        <v>106</v>
      </c>
      <c r="C511" s="18" t="s">
        <v>220</v>
      </c>
      <c r="D511" s="24">
        <v>0</v>
      </c>
      <c r="E511" s="24">
        <v>0</v>
      </c>
      <c r="F511" s="24">
        <v>0</v>
      </c>
      <c r="G511" s="24">
        <v>0</v>
      </c>
      <c r="H511" s="24">
        <v>18</v>
      </c>
      <c r="I511" s="24">
        <v>55</v>
      </c>
      <c r="J511" s="24">
        <v>58</v>
      </c>
      <c r="K511" s="24">
        <v>39</v>
      </c>
      <c r="L511" s="24">
        <v>23</v>
      </c>
      <c r="M511" s="24">
        <v>30</v>
      </c>
      <c r="N511" s="24">
        <v>37</v>
      </c>
      <c r="O511" s="24">
        <v>39</v>
      </c>
      <c r="P511" s="24">
        <v>32</v>
      </c>
      <c r="Q511" s="24">
        <v>36</v>
      </c>
      <c r="R511" s="24">
        <v>34</v>
      </c>
      <c r="S511" s="24">
        <v>44</v>
      </c>
      <c r="T511" s="24">
        <v>29</v>
      </c>
      <c r="U511" s="24">
        <v>35</v>
      </c>
      <c r="V511" s="24">
        <v>25</v>
      </c>
      <c r="W511" s="24">
        <v>7</v>
      </c>
      <c r="X511" s="24">
        <v>0</v>
      </c>
      <c r="Y511" s="24">
        <v>0</v>
      </c>
      <c r="Z511" s="24">
        <v>0</v>
      </c>
      <c r="AA511" s="24">
        <v>0</v>
      </c>
      <c r="AB511" s="24">
        <v>0</v>
      </c>
      <c r="AC511" s="24">
        <v>0</v>
      </c>
      <c r="AD511" s="24">
        <v>0</v>
      </c>
      <c r="AE511" s="24">
        <v>0</v>
      </c>
      <c r="AF511" s="24">
        <v>0</v>
      </c>
      <c r="AG511" s="24">
        <v>0</v>
      </c>
      <c r="AH511" s="24">
        <v>0</v>
      </c>
      <c r="AI511" s="24">
        <v>0</v>
      </c>
      <c r="AJ511" s="24">
        <v>0</v>
      </c>
      <c r="AK511" s="24">
        <v>15</v>
      </c>
      <c r="AL511" s="24">
        <v>21</v>
      </c>
      <c r="AM511" s="24">
        <v>7</v>
      </c>
      <c r="AN511" s="24">
        <v>1</v>
      </c>
      <c r="AO511" s="24">
        <v>2</v>
      </c>
      <c r="AP511" s="24">
        <v>9</v>
      </c>
      <c r="AQ511" s="24">
        <v>5</v>
      </c>
      <c r="AR511" s="24">
        <v>2</v>
      </c>
      <c r="AS511" s="24">
        <v>0</v>
      </c>
      <c r="AT511" s="24">
        <v>0</v>
      </c>
      <c r="AU511" s="24">
        <v>0</v>
      </c>
      <c r="AV511" s="24">
        <v>0</v>
      </c>
      <c r="AW511" s="24">
        <v>0</v>
      </c>
      <c r="AX511" s="24">
        <v>0</v>
      </c>
      <c r="AY511" s="24">
        <v>0</v>
      </c>
      <c r="AZ511" s="24">
        <v>0</v>
      </c>
      <c r="BA511" s="24">
        <v>0</v>
      </c>
      <c r="BB511" s="24">
        <v>0</v>
      </c>
      <c r="BC511" s="24">
        <v>0</v>
      </c>
      <c r="BD511" s="24">
        <v>0</v>
      </c>
      <c r="BE511" s="24">
        <v>0</v>
      </c>
      <c r="BF511" s="24">
        <v>0</v>
      </c>
      <c r="BG511" s="24">
        <v>0</v>
      </c>
      <c r="BH511" s="24">
        <f>SUM(D511:BG511)</f>
        <v>603</v>
      </c>
    </row>
    <row r="512" spans="1:60">
      <c r="A512" s="18" t="s">
        <v>235</v>
      </c>
      <c r="B512" s="18" t="s">
        <v>120</v>
      </c>
      <c r="C512" s="18" t="s">
        <v>5</v>
      </c>
      <c r="D512" s="24">
        <v>0</v>
      </c>
      <c r="E512" s="24">
        <v>0</v>
      </c>
      <c r="F512" s="24">
        <v>0</v>
      </c>
      <c r="G512" s="24">
        <v>7</v>
      </c>
      <c r="H512" s="24">
        <v>24</v>
      </c>
      <c r="I512" s="24">
        <v>347</v>
      </c>
      <c r="J512" s="24">
        <v>675</v>
      </c>
      <c r="K512" s="24">
        <v>647</v>
      </c>
      <c r="L512" s="24">
        <v>710</v>
      </c>
      <c r="M512" s="24">
        <v>704</v>
      </c>
      <c r="N512" s="24">
        <v>729</v>
      </c>
      <c r="O512" s="24">
        <v>761</v>
      </c>
      <c r="P512" s="24">
        <v>833</v>
      </c>
      <c r="Q512" s="24">
        <v>820</v>
      </c>
      <c r="R512" s="24">
        <v>844</v>
      </c>
      <c r="S512" s="24">
        <v>797</v>
      </c>
      <c r="T512" s="24">
        <v>783</v>
      </c>
      <c r="U512" s="24">
        <v>747</v>
      </c>
      <c r="V512" s="24">
        <v>666</v>
      </c>
      <c r="W512" s="24">
        <v>663</v>
      </c>
      <c r="X512" s="24">
        <v>636</v>
      </c>
      <c r="Y512" s="24">
        <v>591</v>
      </c>
      <c r="Z512" s="24">
        <v>594</v>
      </c>
      <c r="AA512" s="24">
        <v>576</v>
      </c>
      <c r="AB512" s="24">
        <v>641</v>
      </c>
      <c r="AC512" s="24">
        <v>666</v>
      </c>
      <c r="AD512" s="24">
        <v>665</v>
      </c>
      <c r="AE512" s="24">
        <v>756</v>
      </c>
      <c r="AF512" s="24">
        <v>706</v>
      </c>
      <c r="AG512" s="24">
        <v>665</v>
      </c>
      <c r="AH512" s="24">
        <v>674</v>
      </c>
      <c r="AI512" s="24">
        <v>689</v>
      </c>
      <c r="AJ512" s="24">
        <v>685</v>
      </c>
      <c r="AK512" s="24">
        <v>602</v>
      </c>
      <c r="AL512" s="24">
        <v>638</v>
      </c>
      <c r="AM512" s="24">
        <v>603</v>
      </c>
      <c r="AN512" s="24">
        <v>612</v>
      </c>
      <c r="AO512" s="24">
        <v>627</v>
      </c>
      <c r="AP512" s="24">
        <v>546</v>
      </c>
      <c r="AQ512" s="24">
        <v>369</v>
      </c>
      <c r="AR512" s="24">
        <v>177</v>
      </c>
      <c r="AS512" s="24">
        <v>10</v>
      </c>
      <c r="AT512" s="24">
        <v>6</v>
      </c>
      <c r="AU512" s="24">
        <v>2</v>
      </c>
      <c r="AV512" s="24">
        <v>1</v>
      </c>
      <c r="AW512" s="24">
        <v>4</v>
      </c>
      <c r="AX512" s="24">
        <v>2</v>
      </c>
      <c r="AY512" s="24">
        <v>2</v>
      </c>
      <c r="AZ512" s="24">
        <v>2</v>
      </c>
      <c r="BA512" s="24">
        <v>3</v>
      </c>
      <c r="BB512" s="24">
        <v>0</v>
      </c>
      <c r="BC512" s="24">
        <v>0</v>
      </c>
      <c r="BD512" s="24">
        <v>0</v>
      </c>
      <c r="BE512" s="24">
        <v>0</v>
      </c>
      <c r="BF512" s="24">
        <v>0</v>
      </c>
      <c r="BG512" s="24">
        <v>0</v>
      </c>
      <c r="BH512" s="24">
        <f>SUM(D512:BG512)</f>
        <v>23507</v>
      </c>
    </row>
    <row r="513" spans="1:60">
      <c r="A513" s="18" t="s">
        <v>236</v>
      </c>
      <c r="B513" s="18" t="s">
        <v>120</v>
      </c>
      <c r="C513" s="18" t="s">
        <v>210</v>
      </c>
      <c r="D513" s="24">
        <v>0</v>
      </c>
      <c r="E513" s="24">
        <v>0</v>
      </c>
      <c r="F513" s="24">
        <v>1</v>
      </c>
      <c r="G513" s="24">
        <v>3</v>
      </c>
      <c r="H513" s="24">
        <v>39</v>
      </c>
      <c r="I513" s="24">
        <v>296</v>
      </c>
      <c r="J513" s="24">
        <v>598</v>
      </c>
      <c r="K513" s="24">
        <v>539</v>
      </c>
      <c r="L513" s="24">
        <v>647</v>
      </c>
      <c r="M513" s="24">
        <v>624</v>
      </c>
      <c r="N513" s="24">
        <v>701</v>
      </c>
      <c r="O513" s="24">
        <v>725</v>
      </c>
      <c r="P513" s="24">
        <v>757</v>
      </c>
      <c r="Q513" s="24">
        <v>778</v>
      </c>
      <c r="R513" s="24">
        <v>832</v>
      </c>
      <c r="S513" s="24">
        <v>811</v>
      </c>
      <c r="T513" s="24">
        <v>768</v>
      </c>
      <c r="U513" s="24">
        <v>703</v>
      </c>
      <c r="V513" s="24">
        <v>655</v>
      </c>
      <c r="W513" s="24">
        <v>595</v>
      </c>
      <c r="X513" s="24">
        <v>560</v>
      </c>
      <c r="Y513" s="24">
        <v>620</v>
      </c>
      <c r="Z513" s="24">
        <v>552</v>
      </c>
      <c r="AA513" s="24">
        <v>570</v>
      </c>
      <c r="AB513" s="24">
        <v>625</v>
      </c>
      <c r="AC513" s="24">
        <v>751</v>
      </c>
      <c r="AD513" s="24">
        <v>677</v>
      </c>
      <c r="AE513" s="24">
        <v>708</v>
      </c>
      <c r="AF513" s="24">
        <v>742</v>
      </c>
      <c r="AG513" s="24">
        <v>739</v>
      </c>
      <c r="AH513" s="24">
        <v>765</v>
      </c>
      <c r="AI513" s="24">
        <v>683</v>
      </c>
      <c r="AJ513" s="24">
        <v>670</v>
      </c>
      <c r="AK513" s="24">
        <v>661</v>
      </c>
      <c r="AL513" s="24">
        <v>626</v>
      </c>
      <c r="AM513" s="24">
        <v>668</v>
      </c>
      <c r="AN513" s="24">
        <v>612</v>
      </c>
      <c r="AO513" s="24">
        <v>633</v>
      </c>
      <c r="AP513" s="24">
        <v>532</v>
      </c>
      <c r="AQ513" s="24">
        <v>412</v>
      </c>
      <c r="AR513" s="24">
        <v>191</v>
      </c>
      <c r="AS513" s="24">
        <v>12</v>
      </c>
      <c r="AT513" s="24">
        <v>2</v>
      </c>
      <c r="AU513" s="24">
        <v>6</v>
      </c>
      <c r="AV513" s="24">
        <v>5</v>
      </c>
      <c r="AW513" s="24">
        <v>9</v>
      </c>
      <c r="AX513" s="24">
        <v>4</v>
      </c>
      <c r="AY513" s="24">
        <v>1</v>
      </c>
      <c r="AZ513" s="24">
        <v>5</v>
      </c>
      <c r="BA513" s="24">
        <v>0</v>
      </c>
      <c r="BB513" s="24">
        <v>0</v>
      </c>
      <c r="BC513" s="24">
        <v>0</v>
      </c>
      <c r="BD513" s="24">
        <v>0</v>
      </c>
      <c r="BE513" s="24">
        <v>0</v>
      </c>
      <c r="BF513" s="24">
        <v>0</v>
      </c>
      <c r="BG513" s="24">
        <v>0</v>
      </c>
      <c r="BH513" s="24">
        <f>SUM(D513:BG513)</f>
        <v>23113</v>
      </c>
    </row>
    <row r="514" spans="1:60">
      <c r="A514" s="18" t="s">
        <v>237</v>
      </c>
      <c r="B514" s="18" t="s">
        <v>120</v>
      </c>
      <c r="C514" s="18" t="s">
        <v>212</v>
      </c>
      <c r="D514" s="24">
        <v>0</v>
      </c>
      <c r="E514" s="24">
        <v>0</v>
      </c>
      <c r="F514" s="24">
        <v>0</v>
      </c>
      <c r="G514" s="24">
        <v>2</v>
      </c>
      <c r="H514" s="24">
        <v>24</v>
      </c>
      <c r="I514" s="24">
        <v>260</v>
      </c>
      <c r="J514" s="24">
        <v>549</v>
      </c>
      <c r="K514" s="24">
        <v>511</v>
      </c>
      <c r="L514" s="24">
        <v>602</v>
      </c>
      <c r="M514" s="24">
        <v>677</v>
      </c>
      <c r="N514" s="24">
        <v>700</v>
      </c>
      <c r="O514" s="24">
        <v>678</v>
      </c>
      <c r="P514" s="24">
        <v>751</v>
      </c>
      <c r="Q514" s="24">
        <v>761</v>
      </c>
      <c r="R514" s="24">
        <v>764</v>
      </c>
      <c r="S514" s="24">
        <v>805</v>
      </c>
      <c r="T514" s="24">
        <v>747</v>
      </c>
      <c r="U514" s="24">
        <v>700</v>
      </c>
      <c r="V514" s="24">
        <v>641</v>
      </c>
      <c r="W514" s="24">
        <v>607</v>
      </c>
      <c r="X514" s="24">
        <v>554</v>
      </c>
      <c r="Y514" s="24">
        <v>543</v>
      </c>
      <c r="Z514" s="24">
        <v>543</v>
      </c>
      <c r="AA514" s="24">
        <v>571</v>
      </c>
      <c r="AB514" s="24">
        <v>561</v>
      </c>
      <c r="AC514" s="24">
        <v>658</v>
      </c>
      <c r="AD514" s="24">
        <v>714</v>
      </c>
      <c r="AE514" s="24">
        <v>722</v>
      </c>
      <c r="AF514" s="24">
        <v>728</v>
      </c>
      <c r="AG514" s="24">
        <v>715</v>
      </c>
      <c r="AH514" s="24">
        <v>715</v>
      </c>
      <c r="AI514" s="24">
        <v>673</v>
      </c>
      <c r="AJ514" s="24">
        <v>657</v>
      </c>
      <c r="AK514" s="24">
        <v>674</v>
      </c>
      <c r="AL514" s="24">
        <v>676</v>
      </c>
      <c r="AM514" s="24">
        <v>545</v>
      </c>
      <c r="AN514" s="24">
        <v>624</v>
      </c>
      <c r="AO514" s="24">
        <v>590</v>
      </c>
      <c r="AP514" s="24">
        <v>523</v>
      </c>
      <c r="AQ514" s="24">
        <v>398</v>
      </c>
      <c r="AR514" s="24">
        <v>194</v>
      </c>
      <c r="AS514" s="24">
        <v>12</v>
      </c>
      <c r="AT514" s="24">
        <v>3</v>
      </c>
      <c r="AU514" s="24">
        <v>2</v>
      </c>
      <c r="AV514" s="24">
        <v>0</v>
      </c>
      <c r="AW514" s="24">
        <v>0</v>
      </c>
      <c r="AX514" s="24">
        <v>0</v>
      </c>
      <c r="AY514" s="24">
        <v>0</v>
      </c>
      <c r="AZ514" s="24">
        <v>0</v>
      </c>
      <c r="BA514" s="24">
        <v>0</v>
      </c>
      <c r="BB514" s="24">
        <v>0</v>
      </c>
      <c r="BC514" s="24">
        <v>0</v>
      </c>
      <c r="BD514" s="24">
        <v>0</v>
      </c>
      <c r="BE514" s="24">
        <v>0</v>
      </c>
      <c r="BF514" s="24">
        <v>0</v>
      </c>
      <c r="BG514" s="24">
        <v>0</v>
      </c>
      <c r="BH514" s="24">
        <f>SUM(D514:BG514)</f>
        <v>22374</v>
      </c>
    </row>
    <row r="515" spans="1:60">
      <c r="A515" s="18" t="s">
        <v>238</v>
      </c>
      <c r="B515" s="18" t="s">
        <v>120</v>
      </c>
      <c r="C515" s="18" t="s">
        <v>214</v>
      </c>
      <c r="D515" s="24">
        <v>0</v>
      </c>
      <c r="E515" s="24">
        <v>0</v>
      </c>
      <c r="F515" s="24">
        <v>0</v>
      </c>
      <c r="G515" s="24">
        <v>6</v>
      </c>
      <c r="H515" s="24">
        <v>27</v>
      </c>
      <c r="I515" s="24">
        <v>260</v>
      </c>
      <c r="J515" s="24">
        <v>561</v>
      </c>
      <c r="K515" s="24">
        <v>539</v>
      </c>
      <c r="L515" s="24">
        <v>572</v>
      </c>
      <c r="M515" s="24">
        <v>612</v>
      </c>
      <c r="N515" s="24">
        <v>702</v>
      </c>
      <c r="O515" s="24">
        <v>700</v>
      </c>
      <c r="P515" s="24">
        <v>737</v>
      </c>
      <c r="Q515" s="24">
        <v>748</v>
      </c>
      <c r="R515" s="24">
        <v>747</v>
      </c>
      <c r="S515" s="24">
        <v>767</v>
      </c>
      <c r="T515" s="24">
        <v>769</v>
      </c>
      <c r="U515" s="24">
        <v>741</v>
      </c>
      <c r="V515" s="24">
        <v>707</v>
      </c>
      <c r="W515" s="24">
        <v>586</v>
      </c>
      <c r="X515" s="24">
        <v>570</v>
      </c>
      <c r="Y515" s="24">
        <v>575</v>
      </c>
      <c r="Z515" s="24">
        <v>595</v>
      </c>
      <c r="AA515" s="24">
        <v>586</v>
      </c>
      <c r="AB515" s="24">
        <v>637</v>
      </c>
      <c r="AC515" s="24">
        <v>719</v>
      </c>
      <c r="AD515" s="24">
        <v>723</v>
      </c>
      <c r="AE515" s="24">
        <v>710</v>
      </c>
      <c r="AF515" s="24">
        <v>710</v>
      </c>
      <c r="AG515" s="24">
        <v>744</v>
      </c>
      <c r="AH515" s="24">
        <v>761</v>
      </c>
      <c r="AI515" s="24">
        <v>670</v>
      </c>
      <c r="AJ515" s="24">
        <v>705</v>
      </c>
      <c r="AK515" s="24">
        <v>672</v>
      </c>
      <c r="AL515" s="24">
        <v>694</v>
      </c>
      <c r="AM515" s="24">
        <v>607</v>
      </c>
      <c r="AN515" s="24">
        <v>643</v>
      </c>
      <c r="AO515" s="24">
        <v>657</v>
      </c>
      <c r="AP515" s="24">
        <v>553</v>
      </c>
      <c r="AQ515" s="24">
        <v>426</v>
      </c>
      <c r="AR515" s="24">
        <v>202</v>
      </c>
      <c r="AS515" s="24">
        <v>13</v>
      </c>
      <c r="AT515" s="24">
        <v>4</v>
      </c>
      <c r="AU515" s="24">
        <v>11</v>
      </c>
      <c r="AV515" s="24">
        <v>10</v>
      </c>
      <c r="AW515" s="24">
        <v>12</v>
      </c>
      <c r="AX515" s="24">
        <v>15</v>
      </c>
      <c r="AY515" s="24">
        <v>8</v>
      </c>
      <c r="AZ515" s="24">
        <v>8</v>
      </c>
      <c r="BA515" s="24">
        <v>11</v>
      </c>
      <c r="BB515" s="24">
        <v>0</v>
      </c>
      <c r="BC515" s="24">
        <v>0</v>
      </c>
      <c r="BD515" s="24">
        <v>0</v>
      </c>
      <c r="BE515" s="24">
        <v>0</v>
      </c>
      <c r="BF515" s="24">
        <v>0</v>
      </c>
      <c r="BG515" s="24">
        <v>0</v>
      </c>
      <c r="BH515" s="24">
        <f>SUM(D515:BG515)</f>
        <v>23032</v>
      </c>
    </row>
    <row r="516" spans="1:60">
      <c r="A516" s="18" t="s">
        <v>239</v>
      </c>
      <c r="B516" s="18" t="s">
        <v>120</v>
      </c>
      <c r="C516" s="18" t="s">
        <v>216</v>
      </c>
      <c r="D516" s="24">
        <v>0</v>
      </c>
      <c r="E516" s="24">
        <v>0</v>
      </c>
      <c r="F516" s="24">
        <v>0</v>
      </c>
      <c r="G516" s="24">
        <v>5</v>
      </c>
      <c r="H516" s="24">
        <v>26</v>
      </c>
      <c r="I516" s="24">
        <v>240</v>
      </c>
      <c r="J516" s="24">
        <v>539</v>
      </c>
      <c r="K516" s="24">
        <v>581</v>
      </c>
      <c r="L516" s="24">
        <v>563</v>
      </c>
      <c r="M516" s="24">
        <v>649</v>
      </c>
      <c r="N516" s="24">
        <v>696</v>
      </c>
      <c r="O516" s="24">
        <v>689</v>
      </c>
      <c r="P516" s="24">
        <v>750</v>
      </c>
      <c r="Q516" s="24">
        <v>768</v>
      </c>
      <c r="R516" s="24">
        <v>743</v>
      </c>
      <c r="S516" s="24">
        <v>767</v>
      </c>
      <c r="T516" s="24">
        <v>730</v>
      </c>
      <c r="U516" s="24">
        <v>738</v>
      </c>
      <c r="V516" s="24">
        <v>633</v>
      </c>
      <c r="W516" s="24">
        <v>570</v>
      </c>
      <c r="X516" s="24">
        <v>546</v>
      </c>
      <c r="Y516" s="24">
        <v>549</v>
      </c>
      <c r="Z516" s="24">
        <v>532</v>
      </c>
      <c r="AA516" s="24">
        <v>546</v>
      </c>
      <c r="AB516" s="24">
        <v>607</v>
      </c>
      <c r="AC516" s="24">
        <v>728</v>
      </c>
      <c r="AD516" s="24">
        <v>746</v>
      </c>
      <c r="AE516" s="24">
        <v>727</v>
      </c>
      <c r="AF516" s="24">
        <v>760</v>
      </c>
      <c r="AG516" s="24">
        <v>785</v>
      </c>
      <c r="AH516" s="24">
        <v>742</v>
      </c>
      <c r="AI516" s="24">
        <v>714</v>
      </c>
      <c r="AJ516" s="24">
        <v>710</v>
      </c>
      <c r="AK516" s="24">
        <v>680</v>
      </c>
      <c r="AL516" s="24">
        <v>717</v>
      </c>
      <c r="AM516" s="24">
        <v>656</v>
      </c>
      <c r="AN516" s="24">
        <v>694</v>
      </c>
      <c r="AO516" s="24">
        <v>661</v>
      </c>
      <c r="AP516" s="24">
        <v>653</v>
      </c>
      <c r="AQ516" s="24">
        <v>461</v>
      </c>
      <c r="AR516" s="24">
        <v>222</v>
      </c>
      <c r="AS516" s="24">
        <v>10</v>
      </c>
      <c r="AT516" s="24">
        <v>6</v>
      </c>
      <c r="AU516" s="24">
        <v>3</v>
      </c>
      <c r="AV516" s="24">
        <v>1</v>
      </c>
      <c r="AW516" s="24">
        <v>1</v>
      </c>
      <c r="AX516" s="24">
        <v>0</v>
      </c>
      <c r="AY516" s="24">
        <v>0</v>
      </c>
      <c r="AZ516" s="24">
        <v>0</v>
      </c>
      <c r="BA516" s="24">
        <v>0</v>
      </c>
      <c r="BB516" s="24">
        <v>0</v>
      </c>
      <c r="BC516" s="24">
        <v>0</v>
      </c>
      <c r="BD516" s="24">
        <v>0</v>
      </c>
      <c r="BE516" s="24">
        <v>0</v>
      </c>
      <c r="BF516" s="24">
        <v>0</v>
      </c>
      <c r="BG516" s="24">
        <v>0</v>
      </c>
      <c r="BH516" s="24">
        <f>SUM(D516:BG516)</f>
        <v>23144</v>
      </c>
    </row>
    <row r="517" spans="1:60">
      <c r="A517" s="18" t="s">
        <v>240</v>
      </c>
      <c r="B517" s="18" t="s">
        <v>120</v>
      </c>
      <c r="C517" s="18" t="s">
        <v>218</v>
      </c>
      <c r="D517" s="24">
        <v>0</v>
      </c>
      <c r="E517" s="24">
        <v>0</v>
      </c>
      <c r="F517" s="24">
        <v>0</v>
      </c>
      <c r="G517" s="24">
        <v>0</v>
      </c>
      <c r="H517" s="24">
        <v>1</v>
      </c>
      <c r="I517" s="24">
        <v>0</v>
      </c>
      <c r="J517" s="24">
        <v>2</v>
      </c>
      <c r="K517" s="24">
        <v>0</v>
      </c>
      <c r="L517" s="24">
        <v>2</v>
      </c>
      <c r="M517" s="24">
        <v>1</v>
      </c>
      <c r="N517" s="24">
        <v>3</v>
      </c>
      <c r="O517" s="24">
        <v>2</v>
      </c>
      <c r="P517" s="24">
        <v>0</v>
      </c>
      <c r="Q517" s="24">
        <v>1</v>
      </c>
      <c r="R517" s="24">
        <v>1</v>
      </c>
      <c r="S517" s="24">
        <v>1</v>
      </c>
      <c r="T517" s="24">
        <v>0</v>
      </c>
      <c r="U517" s="24">
        <v>3</v>
      </c>
      <c r="V517" s="24">
        <v>2</v>
      </c>
      <c r="W517" s="24">
        <v>4</v>
      </c>
      <c r="X517" s="24">
        <v>0</v>
      </c>
      <c r="Y517" s="24">
        <v>0</v>
      </c>
      <c r="Z517" s="24">
        <v>0</v>
      </c>
      <c r="AA517" s="24">
        <v>0</v>
      </c>
      <c r="AB517" s="24">
        <v>0</v>
      </c>
      <c r="AC517" s="24">
        <v>0</v>
      </c>
      <c r="AD517" s="24">
        <v>0</v>
      </c>
      <c r="AE517" s="24">
        <v>0</v>
      </c>
      <c r="AF517" s="24">
        <v>0</v>
      </c>
      <c r="AG517" s="24">
        <v>0</v>
      </c>
      <c r="AH517" s="24">
        <v>0</v>
      </c>
      <c r="AI517" s="24">
        <v>0</v>
      </c>
      <c r="AJ517" s="24">
        <v>0</v>
      </c>
      <c r="AK517" s="24">
        <v>0</v>
      </c>
      <c r="AL517" s="24">
        <v>0</v>
      </c>
      <c r="AM517" s="24">
        <v>0</v>
      </c>
      <c r="AN517" s="24">
        <v>0</v>
      </c>
      <c r="AO517" s="24">
        <v>0</v>
      </c>
      <c r="AP517" s="24">
        <v>0</v>
      </c>
      <c r="AQ517" s="24">
        <v>0</v>
      </c>
      <c r="AR517" s="24">
        <v>0</v>
      </c>
      <c r="AS517" s="24">
        <v>0</v>
      </c>
      <c r="AT517" s="24">
        <v>0</v>
      </c>
      <c r="AU517" s="24">
        <v>0</v>
      </c>
      <c r="AV517" s="24">
        <v>0</v>
      </c>
      <c r="AW517" s="24">
        <v>0</v>
      </c>
      <c r="AX517" s="24">
        <v>0</v>
      </c>
      <c r="AY517" s="24">
        <v>0</v>
      </c>
      <c r="AZ517" s="24">
        <v>0</v>
      </c>
      <c r="BA517" s="24">
        <v>0</v>
      </c>
      <c r="BB517" s="24">
        <v>0</v>
      </c>
      <c r="BC517" s="24">
        <v>0</v>
      </c>
      <c r="BD517" s="24">
        <v>0</v>
      </c>
      <c r="BE517" s="24">
        <v>0</v>
      </c>
      <c r="BF517" s="24">
        <v>0</v>
      </c>
      <c r="BG517" s="24">
        <v>0</v>
      </c>
      <c r="BH517" s="24">
        <f>SUM(D517:BG517)</f>
        <v>23</v>
      </c>
    </row>
    <row r="518" spans="1:60">
      <c r="A518" s="18" t="s">
        <v>241</v>
      </c>
      <c r="B518" s="18" t="s">
        <v>120</v>
      </c>
      <c r="C518" s="18" t="s">
        <v>220</v>
      </c>
      <c r="D518" s="24">
        <v>0</v>
      </c>
      <c r="E518" s="24">
        <v>0</v>
      </c>
      <c r="F518" s="24">
        <v>0</v>
      </c>
      <c r="G518" s="24">
        <v>1</v>
      </c>
      <c r="H518" s="24">
        <v>11</v>
      </c>
      <c r="I518" s="24">
        <v>63</v>
      </c>
      <c r="J518" s="24">
        <v>78</v>
      </c>
      <c r="K518" s="24">
        <v>34</v>
      </c>
      <c r="L518" s="24">
        <v>37</v>
      </c>
      <c r="M518" s="24">
        <v>54</v>
      </c>
      <c r="N518" s="24">
        <v>25</v>
      </c>
      <c r="O518" s="24">
        <v>41</v>
      </c>
      <c r="P518" s="24">
        <v>29</v>
      </c>
      <c r="Q518" s="24">
        <v>36</v>
      </c>
      <c r="R518" s="24">
        <v>23</v>
      </c>
      <c r="S518" s="24">
        <v>31</v>
      </c>
      <c r="T518" s="24">
        <v>31</v>
      </c>
      <c r="U518" s="24">
        <v>34</v>
      </c>
      <c r="V518" s="24">
        <v>45</v>
      </c>
      <c r="W518" s="24">
        <v>16</v>
      </c>
      <c r="X518" s="24">
        <v>0</v>
      </c>
      <c r="Y518" s="24">
        <v>0</v>
      </c>
      <c r="Z518" s="24">
        <v>0</v>
      </c>
      <c r="AA518" s="24">
        <v>0</v>
      </c>
      <c r="AB518" s="24">
        <v>10</v>
      </c>
      <c r="AC518" s="24">
        <v>1</v>
      </c>
      <c r="AD518" s="24">
        <v>7</v>
      </c>
      <c r="AE518" s="24">
        <v>0</v>
      </c>
      <c r="AF518" s="24">
        <v>0</v>
      </c>
      <c r="AG518" s="24">
        <v>0</v>
      </c>
      <c r="AH518" s="24">
        <v>27</v>
      </c>
      <c r="AI518" s="24">
        <v>1</v>
      </c>
      <c r="AJ518" s="24">
        <v>0</v>
      </c>
      <c r="AK518" s="24">
        <v>0</v>
      </c>
      <c r="AL518" s="24">
        <v>8</v>
      </c>
      <c r="AM518" s="24">
        <v>7</v>
      </c>
      <c r="AN518" s="24">
        <v>1</v>
      </c>
      <c r="AO518" s="24">
        <v>6</v>
      </c>
      <c r="AP518" s="24">
        <v>26</v>
      </c>
      <c r="AQ518" s="24">
        <v>2</v>
      </c>
      <c r="AR518" s="24">
        <v>3</v>
      </c>
      <c r="AS518" s="24">
        <v>3</v>
      </c>
      <c r="AT518" s="24">
        <v>0</v>
      </c>
      <c r="AU518" s="24">
        <v>3</v>
      </c>
      <c r="AV518" s="24">
        <v>0</v>
      </c>
      <c r="AW518" s="24">
        <v>0</v>
      </c>
      <c r="AX518" s="24">
        <v>0</v>
      </c>
      <c r="AY518" s="24">
        <v>0</v>
      </c>
      <c r="AZ518" s="24">
        <v>0</v>
      </c>
      <c r="BA518" s="24">
        <v>0</v>
      </c>
      <c r="BB518" s="24">
        <v>0</v>
      </c>
      <c r="BC518" s="24">
        <v>0</v>
      </c>
      <c r="BD518" s="24">
        <v>0</v>
      </c>
      <c r="BE518" s="24">
        <v>0</v>
      </c>
      <c r="BF518" s="24">
        <v>0</v>
      </c>
      <c r="BG518" s="24">
        <v>0</v>
      </c>
      <c r="BH518" s="24">
        <f>SUM(D518:BG518)</f>
        <v>694</v>
      </c>
    </row>
    <row r="519" spans="1:60">
      <c r="A519" s="18" t="s">
        <v>242</v>
      </c>
      <c r="B519" s="18" t="s">
        <v>134</v>
      </c>
      <c r="C519" s="18" t="s">
        <v>5</v>
      </c>
      <c r="D519" s="24">
        <v>0</v>
      </c>
      <c r="E519" s="24">
        <v>0</v>
      </c>
      <c r="F519" s="24">
        <v>0</v>
      </c>
      <c r="G519" s="24">
        <v>1</v>
      </c>
      <c r="H519" s="24">
        <v>8</v>
      </c>
      <c r="I519" s="24">
        <v>309</v>
      </c>
      <c r="J519" s="24">
        <v>845</v>
      </c>
      <c r="K519" s="24">
        <v>744</v>
      </c>
      <c r="L519" s="24">
        <v>815</v>
      </c>
      <c r="M519" s="24">
        <v>867</v>
      </c>
      <c r="N519" s="24">
        <v>835</v>
      </c>
      <c r="O519" s="24">
        <v>933</v>
      </c>
      <c r="P519" s="24">
        <v>949</v>
      </c>
      <c r="Q519" s="24">
        <v>981</v>
      </c>
      <c r="R519" s="24">
        <v>911</v>
      </c>
      <c r="S519" s="24">
        <v>911</v>
      </c>
      <c r="T519" s="24">
        <v>919</v>
      </c>
      <c r="U519" s="24">
        <v>944</v>
      </c>
      <c r="V519" s="24">
        <v>880</v>
      </c>
      <c r="W519" s="24">
        <v>776</v>
      </c>
      <c r="X519" s="24">
        <v>749</v>
      </c>
      <c r="Y519" s="24">
        <v>734</v>
      </c>
      <c r="Z519" s="24">
        <v>655</v>
      </c>
      <c r="AA519" s="24">
        <v>710</v>
      </c>
      <c r="AB519" s="24">
        <v>725</v>
      </c>
      <c r="AC519" s="24">
        <v>792</v>
      </c>
      <c r="AD519" s="24">
        <v>800</v>
      </c>
      <c r="AE519" s="24">
        <v>889</v>
      </c>
      <c r="AF519" s="24">
        <v>875</v>
      </c>
      <c r="AG519" s="24">
        <v>852</v>
      </c>
      <c r="AH519" s="24">
        <v>821</v>
      </c>
      <c r="AI519" s="24">
        <v>792</v>
      </c>
      <c r="AJ519" s="24">
        <v>807</v>
      </c>
      <c r="AK519" s="24">
        <v>772</v>
      </c>
      <c r="AL519" s="24">
        <v>726</v>
      </c>
      <c r="AM519" s="24">
        <v>664</v>
      </c>
      <c r="AN519" s="24">
        <v>688</v>
      </c>
      <c r="AO519" s="24">
        <v>716</v>
      </c>
      <c r="AP519" s="24">
        <v>688</v>
      </c>
      <c r="AQ519" s="24">
        <v>540</v>
      </c>
      <c r="AR519" s="24">
        <v>241</v>
      </c>
      <c r="AS519" s="24">
        <v>27</v>
      </c>
      <c r="AT519" s="24">
        <v>3</v>
      </c>
      <c r="AU519" s="24">
        <v>2</v>
      </c>
      <c r="AV519" s="24">
        <v>2</v>
      </c>
      <c r="AW519" s="24">
        <v>3</v>
      </c>
      <c r="AX519" s="24">
        <v>1</v>
      </c>
      <c r="AY519" s="24">
        <v>1</v>
      </c>
      <c r="AZ519" s="24">
        <v>0</v>
      </c>
      <c r="BA519" s="24">
        <v>0</v>
      </c>
      <c r="BB519" s="24">
        <v>0</v>
      </c>
      <c r="BC519" s="24">
        <v>0</v>
      </c>
      <c r="BD519" s="24">
        <v>0</v>
      </c>
      <c r="BE519" s="24">
        <v>0</v>
      </c>
      <c r="BF519" s="24">
        <v>0</v>
      </c>
      <c r="BG519" s="24">
        <v>0</v>
      </c>
      <c r="BH519" s="24">
        <f>SUM(D519:BG519)</f>
        <v>27903</v>
      </c>
    </row>
    <row r="520" spans="1:60">
      <c r="A520" s="18" t="s">
        <v>243</v>
      </c>
      <c r="B520" s="18" t="s">
        <v>134</v>
      </c>
      <c r="C520" s="18" t="s">
        <v>210</v>
      </c>
      <c r="D520" s="24">
        <v>0</v>
      </c>
      <c r="E520" s="24">
        <v>0</v>
      </c>
      <c r="F520" s="24">
        <v>0</v>
      </c>
      <c r="G520" s="24">
        <v>1</v>
      </c>
      <c r="H520" s="24">
        <v>13</v>
      </c>
      <c r="I520" s="24">
        <v>271</v>
      </c>
      <c r="J520" s="24">
        <v>772</v>
      </c>
      <c r="K520" s="24">
        <v>668</v>
      </c>
      <c r="L520" s="24">
        <v>776</v>
      </c>
      <c r="M520" s="24">
        <v>867</v>
      </c>
      <c r="N520" s="24">
        <v>828</v>
      </c>
      <c r="O520" s="24">
        <v>921</v>
      </c>
      <c r="P520" s="24">
        <v>970</v>
      </c>
      <c r="Q520" s="24">
        <v>980</v>
      </c>
      <c r="R520" s="24">
        <v>949</v>
      </c>
      <c r="S520" s="24">
        <v>927</v>
      </c>
      <c r="T520" s="24">
        <v>938</v>
      </c>
      <c r="U520" s="24">
        <v>890</v>
      </c>
      <c r="V520" s="24">
        <v>865</v>
      </c>
      <c r="W520" s="24">
        <v>781</v>
      </c>
      <c r="X520" s="24">
        <v>741</v>
      </c>
      <c r="Y520" s="24">
        <v>670</v>
      </c>
      <c r="Z520" s="24">
        <v>712</v>
      </c>
      <c r="AA520" s="24">
        <v>695</v>
      </c>
      <c r="AB520" s="24">
        <v>791</v>
      </c>
      <c r="AC520" s="24">
        <v>862</v>
      </c>
      <c r="AD520" s="24">
        <v>859</v>
      </c>
      <c r="AE520" s="24">
        <v>908</v>
      </c>
      <c r="AF520" s="24">
        <v>895</v>
      </c>
      <c r="AG520" s="24">
        <v>935</v>
      </c>
      <c r="AH520" s="24">
        <v>887</v>
      </c>
      <c r="AI520" s="24">
        <v>841</v>
      </c>
      <c r="AJ520" s="24">
        <v>811</v>
      </c>
      <c r="AK520" s="24">
        <v>796</v>
      </c>
      <c r="AL520" s="24">
        <v>787</v>
      </c>
      <c r="AM520" s="24">
        <v>744</v>
      </c>
      <c r="AN520" s="24">
        <v>792</v>
      </c>
      <c r="AO520" s="24">
        <v>798</v>
      </c>
      <c r="AP520" s="24">
        <v>671</v>
      </c>
      <c r="AQ520" s="24">
        <v>553</v>
      </c>
      <c r="AR520" s="24">
        <v>235</v>
      </c>
      <c r="AS520" s="24">
        <v>27</v>
      </c>
      <c r="AT520" s="24">
        <v>2</v>
      </c>
      <c r="AU520" s="24">
        <v>3</v>
      </c>
      <c r="AV520" s="24">
        <v>2</v>
      </c>
      <c r="AW520" s="24">
        <v>5</v>
      </c>
      <c r="AX520" s="24">
        <v>2</v>
      </c>
      <c r="AY520" s="24">
        <v>2</v>
      </c>
      <c r="AZ520" s="24">
        <v>5</v>
      </c>
      <c r="BA520" s="24">
        <v>0</v>
      </c>
      <c r="BB520" s="24">
        <v>0</v>
      </c>
      <c r="BC520" s="24">
        <v>0</v>
      </c>
      <c r="BD520" s="24">
        <v>2</v>
      </c>
      <c r="BE520" s="24">
        <v>0</v>
      </c>
      <c r="BF520" s="24">
        <v>0</v>
      </c>
      <c r="BG520" s="24">
        <v>0</v>
      </c>
      <c r="BH520" s="24">
        <f>SUM(D520:BG520)</f>
        <v>28450</v>
      </c>
    </row>
    <row r="521" spans="1:60">
      <c r="A521" s="18" t="s">
        <v>244</v>
      </c>
      <c r="B521" s="18" t="s">
        <v>134</v>
      </c>
      <c r="C521" s="18" t="s">
        <v>212</v>
      </c>
      <c r="D521" s="24">
        <v>0</v>
      </c>
      <c r="E521" s="24">
        <v>0</v>
      </c>
      <c r="F521" s="24">
        <v>0</v>
      </c>
      <c r="G521" s="24">
        <v>0</v>
      </c>
      <c r="H521" s="24">
        <v>4</v>
      </c>
      <c r="I521" s="24">
        <v>263</v>
      </c>
      <c r="J521" s="24">
        <v>802</v>
      </c>
      <c r="K521" s="24">
        <v>610</v>
      </c>
      <c r="L521" s="24">
        <v>740</v>
      </c>
      <c r="M521" s="24">
        <v>834</v>
      </c>
      <c r="N521" s="24">
        <v>872</v>
      </c>
      <c r="O521" s="24">
        <v>911</v>
      </c>
      <c r="P521" s="24">
        <v>998</v>
      </c>
      <c r="Q521" s="24">
        <v>935</v>
      </c>
      <c r="R521" s="24">
        <v>885</v>
      </c>
      <c r="S521" s="24">
        <v>919</v>
      </c>
      <c r="T521" s="24">
        <v>986</v>
      </c>
      <c r="U521" s="24">
        <v>898</v>
      </c>
      <c r="V521" s="24">
        <v>863</v>
      </c>
      <c r="W521" s="24">
        <v>802</v>
      </c>
      <c r="X521" s="24">
        <v>732</v>
      </c>
      <c r="Y521" s="24">
        <v>713</v>
      </c>
      <c r="Z521" s="24">
        <v>718</v>
      </c>
      <c r="AA521" s="24">
        <v>661</v>
      </c>
      <c r="AB521" s="24">
        <v>779</v>
      </c>
      <c r="AC521" s="24">
        <v>891</v>
      </c>
      <c r="AD521" s="24">
        <v>844</v>
      </c>
      <c r="AE521" s="24">
        <v>1030</v>
      </c>
      <c r="AF521" s="24">
        <v>873</v>
      </c>
      <c r="AG521" s="24">
        <v>899</v>
      </c>
      <c r="AH521" s="24">
        <v>920</v>
      </c>
      <c r="AI521" s="24">
        <v>912</v>
      </c>
      <c r="AJ521" s="24">
        <v>834</v>
      </c>
      <c r="AK521" s="24">
        <v>825</v>
      </c>
      <c r="AL521" s="24">
        <v>862</v>
      </c>
      <c r="AM521" s="24">
        <v>704</v>
      </c>
      <c r="AN521" s="24">
        <v>763</v>
      </c>
      <c r="AO521" s="24">
        <v>753</v>
      </c>
      <c r="AP521" s="24">
        <v>694</v>
      </c>
      <c r="AQ521" s="24">
        <v>528</v>
      </c>
      <c r="AR521" s="24">
        <v>270</v>
      </c>
      <c r="AS521" s="24">
        <v>24</v>
      </c>
      <c r="AT521" s="24">
        <v>2</v>
      </c>
      <c r="AU521" s="24">
        <v>3</v>
      </c>
      <c r="AV521" s="24">
        <v>0</v>
      </c>
      <c r="AW521" s="24">
        <v>1</v>
      </c>
      <c r="AX521" s="24">
        <v>2</v>
      </c>
      <c r="AY521" s="24">
        <v>1</v>
      </c>
      <c r="AZ521" s="24">
        <v>0</v>
      </c>
      <c r="BA521" s="24">
        <v>0</v>
      </c>
      <c r="BB521" s="24">
        <v>0</v>
      </c>
      <c r="BC521" s="24">
        <v>0</v>
      </c>
      <c r="BD521" s="24">
        <v>0</v>
      </c>
      <c r="BE521" s="24">
        <v>0</v>
      </c>
      <c r="BF521" s="24">
        <v>0</v>
      </c>
      <c r="BG521" s="24">
        <v>0</v>
      </c>
      <c r="BH521" s="24">
        <f>SUM(D521:BG521)</f>
        <v>28560</v>
      </c>
    </row>
    <row r="522" spans="1:60">
      <c r="A522" s="18" t="s">
        <v>245</v>
      </c>
      <c r="B522" s="18" t="s">
        <v>134</v>
      </c>
      <c r="C522" s="18" t="s">
        <v>214</v>
      </c>
      <c r="D522" s="24">
        <v>0</v>
      </c>
      <c r="E522" s="24">
        <v>0</v>
      </c>
      <c r="F522" s="24">
        <v>0</v>
      </c>
      <c r="G522" s="24">
        <v>1</v>
      </c>
      <c r="H522" s="24">
        <v>9</v>
      </c>
      <c r="I522" s="24">
        <v>243</v>
      </c>
      <c r="J522" s="24">
        <v>661</v>
      </c>
      <c r="K522" s="24">
        <v>575</v>
      </c>
      <c r="L522" s="24">
        <v>671</v>
      </c>
      <c r="M522" s="24">
        <v>785</v>
      </c>
      <c r="N522" s="24">
        <v>776</v>
      </c>
      <c r="O522" s="24">
        <v>878</v>
      </c>
      <c r="P522" s="24">
        <v>946</v>
      </c>
      <c r="Q522" s="24">
        <v>918</v>
      </c>
      <c r="R522" s="24">
        <v>956</v>
      </c>
      <c r="S522" s="24">
        <v>956</v>
      </c>
      <c r="T522" s="24">
        <v>933</v>
      </c>
      <c r="U522" s="24">
        <v>858</v>
      </c>
      <c r="V522" s="24">
        <v>798</v>
      </c>
      <c r="W522" s="24">
        <v>787</v>
      </c>
      <c r="X522" s="24">
        <v>692</v>
      </c>
      <c r="Y522" s="24">
        <v>698</v>
      </c>
      <c r="Z522" s="24">
        <v>614</v>
      </c>
      <c r="AA522" s="24">
        <v>680</v>
      </c>
      <c r="AB522" s="24">
        <v>703</v>
      </c>
      <c r="AC522" s="24">
        <v>862</v>
      </c>
      <c r="AD522" s="24">
        <v>872</v>
      </c>
      <c r="AE522" s="24">
        <v>921</v>
      </c>
      <c r="AF522" s="24">
        <v>880</v>
      </c>
      <c r="AG522" s="24">
        <v>917</v>
      </c>
      <c r="AH522" s="24">
        <v>862</v>
      </c>
      <c r="AI522" s="24">
        <v>920</v>
      </c>
      <c r="AJ522" s="24">
        <v>904</v>
      </c>
      <c r="AK522" s="24">
        <v>906</v>
      </c>
      <c r="AL522" s="24">
        <v>813</v>
      </c>
      <c r="AM522" s="24">
        <v>836</v>
      </c>
      <c r="AN522" s="24">
        <v>751</v>
      </c>
      <c r="AO522" s="24">
        <v>678</v>
      </c>
      <c r="AP522" s="24">
        <v>739</v>
      </c>
      <c r="AQ522" s="24">
        <v>538</v>
      </c>
      <c r="AR522" s="24">
        <v>263</v>
      </c>
      <c r="AS522" s="24">
        <v>40</v>
      </c>
      <c r="AT522" s="24">
        <v>8</v>
      </c>
      <c r="AU522" s="24">
        <v>26</v>
      </c>
      <c r="AV522" s="24">
        <v>26</v>
      </c>
      <c r="AW522" s="24">
        <v>18</v>
      </c>
      <c r="AX522" s="24">
        <v>20</v>
      </c>
      <c r="AY522" s="24">
        <v>11</v>
      </c>
      <c r="AZ522" s="24">
        <v>20</v>
      </c>
      <c r="BA522" s="24">
        <v>7</v>
      </c>
      <c r="BB522" s="24">
        <v>3</v>
      </c>
      <c r="BC522" s="24">
        <v>1</v>
      </c>
      <c r="BD522" s="24">
        <v>0</v>
      </c>
      <c r="BE522" s="24">
        <v>0</v>
      </c>
      <c r="BF522" s="24">
        <v>0</v>
      </c>
      <c r="BG522" s="24">
        <v>0</v>
      </c>
      <c r="BH522" s="24">
        <f>SUM(D522:BG522)</f>
        <v>27980</v>
      </c>
    </row>
    <row r="523" spans="1:60">
      <c r="A523" s="18" t="s">
        <v>246</v>
      </c>
      <c r="B523" s="18" t="s">
        <v>134</v>
      </c>
      <c r="C523" s="18" t="s">
        <v>216</v>
      </c>
      <c r="D523" s="24">
        <v>0</v>
      </c>
      <c r="E523" s="24">
        <v>0</v>
      </c>
      <c r="F523" s="24">
        <v>0</v>
      </c>
      <c r="G523" s="24">
        <v>0</v>
      </c>
      <c r="H523" s="24">
        <v>14</v>
      </c>
      <c r="I523" s="24">
        <v>261</v>
      </c>
      <c r="J523" s="24">
        <v>735</v>
      </c>
      <c r="K523" s="24">
        <v>665</v>
      </c>
      <c r="L523" s="24">
        <v>690</v>
      </c>
      <c r="M523" s="24">
        <v>798</v>
      </c>
      <c r="N523" s="24">
        <v>776</v>
      </c>
      <c r="O523" s="24">
        <v>849</v>
      </c>
      <c r="P523" s="24">
        <v>885</v>
      </c>
      <c r="Q523" s="24">
        <v>962</v>
      </c>
      <c r="R523" s="24">
        <v>987</v>
      </c>
      <c r="S523" s="24">
        <v>968</v>
      </c>
      <c r="T523" s="24">
        <v>875</v>
      </c>
      <c r="U523" s="24">
        <v>853</v>
      </c>
      <c r="V523" s="24">
        <v>795</v>
      </c>
      <c r="W523" s="24">
        <v>724</v>
      </c>
      <c r="X523" s="24">
        <v>709</v>
      </c>
      <c r="Y523" s="24">
        <v>724</v>
      </c>
      <c r="Z523" s="24">
        <v>680</v>
      </c>
      <c r="AA523" s="24">
        <v>758</v>
      </c>
      <c r="AB523" s="24">
        <v>779</v>
      </c>
      <c r="AC523" s="24">
        <v>832</v>
      </c>
      <c r="AD523" s="24">
        <v>902</v>
      </c>
      <c r="AE523" s="24">
        <v>865</v>
      </c>
      <c r="AF523" s="24">
        <v>935</v>
      </c>
      <c r="AG523" s="24">
        <v>971</v>
      </c>
      <c r="AH523" s="24">
        <v>831</v>
      </c>
      <c r="AI523" s="24">
        <v>878</v>
      </c>
      <c r="AJ523" s="24">
        <v>802</v>
      </c>
      <c r="AK523" s="24">
        <v>786</v>
      </c>
      <c r="AL523" s="24">
        <v>805</v>
      </c>
      <c r="AM523" s="24">
        <v>751</v>
      </c>
      <c r="AN523" s="24">
        <v>798</v>
      </c>
      <c r="AO523" s="24">
        <v>795</v>
      </c>
      <c r="AP523" s="24">
        <v>743</v>
      </c>
      <c r="AQ523" s="24">
        <v>617</v>
      </c>
      <c r="AR523" s="24">
        <v>268</v>
      </c>
      <c r="AS523" s="24">
        <v>46</v>
      </c>
      <c r="AT523" s="24">
        <v>4</v>
      </c>
      <c r="AU523" s="24">
        <v>2</v>
      </c>
      <c r="AV523" s="24">
        <v>0</v>
      </c>
      <c r="AW523" s="24">
        <v>4</v>
      </c>
      <c r="AX523" s="24">
        <v>3</v>
      </c>
      <c r="AY523" s="24">
        <v>0</v>
      </c>
      <c r="AZ523" s="24">
        <v>0</v>
      </c>
      <c r="BA523" s="24">
        <v>0</v>
      </c>
      <c r="BB523" s="24">
        <v>0</v>
      </c>
      <c r="BC523" s="24">
        <v>0</v>
      </c>
      <c r="BD523" s="24">
        <v>0</v>
      </c>
      <c r="BE523" s="24">
        <v>0</v>
      </c>
      <c r="BF523" s="24">
        <v>0</v>
      </c>
      <c r="BG523" s="24">
        <v>0</v>
      </c>
      <c r="BH523" s="24">
        <f>SUM(D523:BG523)</f>
        <v>28125</v>
      </c>
    </row>
    <row r="524" spans="1:60">
      <c r="A524" s="18" t="s">
        <v>247</v>
      </c>
      <c r="B524" s="18" t="s">
        <v>134</v>
      </c>
      <c r="C524" s="18" t="s">
        <v>218</v>
      </c>
      <c r="D524" s="24">
        <v>0</v>
      </c>
      <c r="E524" s="24">
        <v>0</v>
      </c>
      <c r="F524" s="24">
        <v>0</v>
      </c>
      <c r="G524" s="24">
        <v>0</v>
      </c>
      <c r="H524" s="24">
        <v>0</v>
      </c>
      <c r="I524" s="24">
        <v>4</v>
      </c>
      <c r="J524" s="24">
        <v>3</v>
      </c>
      <c r="K524" s="24">
        <v>2</v>
      </c>
      <c r="L524" s="24">
        <v>1</v>
      </c>
      <c r="M524" s="24">
        <v>1</v>
      </c>
      <c r="N524" s="24">
        <v>0</v>
      </c>
      <c r="O524" s="24">
        <v>2</v>
      </c>
      <c r="P524" s="24">
        <v>0</v>
      </c>
      <c r="Q524" s="24">
        <v>3</v>
      </c>
      <c r="R524" s="24">
        <v>0</v>
      </c>
      <c r="S524" s="24">
        <v>1</v>
      </c>
      <c r="T524" s="24">
        <v>0</v>
      </c>
      <c r="U524" s="24">
        <v>1</v>
      </c>
      <c r="V524" s="24">
        <v>2</v>
      </c>
      <c r="W524" s="24">
        <v>2</v>
      </c>
      <c r="X524" s="24">
        <v>0</v>
      </c>
      <c r="Y524" s="24">
        <v>0</v>
      </c>
      <c r="Z524" s="24">
        <v>0</v>
      </c>
      <c r="AA524" s="24">
        <v>0</v>
      </c>
      <c r="AB524" s="24">
        <v>0</v>
      </c>
      <c r="AC524" s="24">
        <v>0</v>
      </c>
      <c r="AD524" s="24">
        <v>0</v>
      </c>
      <c r="AE524" s="24">
        <v>0</v>
      </c>
      <c r="AF524" s="24">
        <v>0</v>
      </c>
      <c r="AG524" s="24">
        <v>0</v>
      </c>
      <c r="AH524" s="24">
        <v>0</v>
      </c>
      <c r="AI524" s="24">
        <v>0</v>
      </c>
      <c r="AJ524" s="24">
        <v>0</v>
      </c>
      <c r="AK524" s="24">
        <v>0</v>
      </c>
      <c r="AL524" s="24">
        <v>0</v>
      </c>
      <c r="AM524" s="24">
        <v>0</v>
      </c>
      <c r="AN524" s="24">
        <v>0</v>
      </c>
      <c r="AO524" s="24">
        <v>0</v>
      </c>
      <c r="AP524" s="24">
        <v>0</v>
      </c>
      <c r="AQ524" s="24">
        <v>0</v>
      </c>
      <c r="AR524" s="24">
        <v>0</v>
      </c>
      <c r="AS524" s="24">
        <v>0</v>
      </c>
      <c r="AT524" s="24">
        <v>0</v>
      </c>
      <c r="AU524" s="24">
        <v>0</v>
      </c>
      <c r="AV524" s="24">
        <v>0</v>
      </c>
      <c r="AW524" s="24">
        <v>0</v>
      </c>
      <c r="AX524" s="24">
        <v>0</v>
      </c>
      <c r="AY524" s="24">
        <v>0</v>
      </c>
      <c r="AZ524" s="24">
        <v>0</v>
      </c>
      <c r="BA524" s="24">
        <v>0</v>
      </c>
      <c r="BB524" s="24">
        <v>0</v>
      </c>
      <c r="BC524" s="24">
        <v>0</v>
      </c>
      <c r="BD524" s="24">
        <v>0</v>
      </c>
      <c r="BE524" s="24">
        <v>0</v>
      </c>
      <c r="BF524" s="24">
        <v>0</v>
      </c>
      <c r="BG524" s="24">
        <v>0</v>
      </c>
      <c r="BH524" s="24">
        <f>SUM(D524:BG524)</f>
        <v>22</v>
      </c>
    </row>
    <row r="525" spans="1:60">
      <c r="A525" s="18" t="s">
        <v>248</v>
      </c>
      <c r="B525" s="18" t="s">
        <v>134</v>
      </c>
      <c r="C525" s="18" t="s">
        <v>220</v>
      </c>
      <c r="D525" s="24">
        <v>0</v>
      </c>
      <c r="E525" s="24">
        <v>0</v>
      </c>
      <c r="F525" s="24">
        <v>0</v>
      </c>
      <c r="G525" s="24">
        <v>0</v>
      </c>
      <c r="H525" s="24">
        <v>0</v>
      </c>
      <c r="I525" s="24">
        <v>9</v>
      </c>
      <c r="J525" s="24">
        <v>14</v>
      </c>
      <c r="K525" s="24">
        <v>11</v>
      </c>
      <c r="L525" s="24">
        <v>6</v>
      </c>
      <c r="M525" s="24">
        <v>7</v>
      </c>
      <c r="N525" s="24">
        <v>7</v>
      </c>
      <c r="O525" s="24">
        <v>7</v>
      </c>
      <c r="P525" s="24">
        <v>4</v>
      </c>
      <c r="Q525" s="24">
        <v>9</v>
      </c>
      <c r="R525" s="24">
        <v>6</v>
      </c>
      <c r="S525" s="24">
        <v>5</v>
      </c>
      <c r="T525" s="24">
        <v>8</v>
      </c>
      <c r="U525" s="24">
        <v>5</v>
      </c>
      <c r="V525" s="24">
        <v>0</v>
      </c>
      <c r="W525" s="24">
        <v>0</v>
      </c>
      <c r="X525" s="24">
        <v>0</v>
      </c>
      <c r="Y525" s="24">
        <v>0</v>
      </c>
      <c r="Z525" s="24">
        <v>0</v>
      </c>
      <c r="AA525" s="24">
        <v>0</v>
      </c>
      <c r="AB525" s="24">
        <v>0</v>
      </c>
      <c r="AC525" s="24">
        <v>0</v>
      </c>
      <c r="AD525" s="24">
        <v>0</v>
      </c>
      <c r="AE525" s="24">
        <v>0</v>
      </c>
      <c r="AF525" s="24">
        <v>0</v>
      </c>
      <c r="AG525" s="24">
        <v>0</v>
      </c>
      <c r="AH525" s="24">
        <v>0</v>
      </c>
      <c r="AI525" s="24">
        <v>0</v>
      </c>
      <c r="AJ525" s="24">
        <v>2</v>
      </c>
      <c r="AK525" s="24">
        <v>29</v>
      </c>
      <c r="AL525" s="24">
        <v>16</v>
      </c>
      <c r="AM525" s="24">
        <v>10</v>
      </c>
      <c r="AN525" s="24">
        <v>21</v>
      </c>
      <c r="AO525" s="24">
        <v>10</v>
      </c>
      <c r="AP525" s="24">
        <v>6</v>
      </c>
      <c r="AQ525" s="24">
        <v>4</v>
      </c>
      <c r="AR525" s="24">
        <v>7</v>
      </c>
      <c r="AS525" s="24">
        <v>0</v>
      </c>
      <c r="AT525" s="24">
        <v>0</v>
      </c>
      <c r="AU525" s="24">
        <v>0</v>
      </c>
      <c r="AV525" s="24">
        <v>0</v>
      </c>
      <c r="AW525" s="24">
        <v>0</v>
      </c>
      <c r="AX525" s="24">
        <v>0</v>
      </c>
      <c r="AY525" s="24">
        <v>0</v>
      </c>
      <c r="AZ525" s="24">
        <v>0</v>
      </c>
      <c r="BA525" s="24">
        <v>0</v>
      </c>
      <c r="BB525" s="24">
        <v>0</v>
      </c>
      <c r="BC525" s="24">
        <v>0</v>
      </c>
      <c r="BD525" s="24">
        <v>0</v>
      </c>
      <c r="BE525" s="24">
        <v>0</v>
      </c>
      <c r="BF525" s="24">
        <v>0</v>
      </c>
      <c r="BG525" s="24">
        <v>0</v>
      </c>
      <c r="BH525" s="24">
        <f>SUM(D525:BG525)</f>
        <v>203</v>
      </c>
    </row>
    <row r="526" spans="1:60">
      <c r="A526" s="18" t="s">
        <v>249</v>
      </c>
      <c r="B526" s="18" t="s">
        <v>148</v>
      </c>
      <c r="C526" s="18" t="s">
        <v>5</v>
      </c>
      <c r="D526" s="24">
        <v>0</v>
      </c>
      <c r="E526" s="24">
        <v>0</v>
      </c>
      <c r="F526" s="24">
        <v>0</v>
      </c>
      <c r="G526" s="24">
        <v>32</v>
      </c>
      <c r="H526" s="24">
        <v>215</v>
      </c>
      <c r="I526" s="24">
        <v>393</v>
      </c>
      <c r="J526" s="24">
        <v>426</v>
      </c>
      <c r="K526" s="24">
        <v>460</v>
      </c>
      <c r="L526" s="24">
        <v>522</v>
      </c>
      <c r="M526" s="24">
        <v>544</v>
      </c>
      <c r="N526" s="24">
        <v>564</v>
      </c>
      <c r="O526" s="24">
        <v>650</v>
      </c>
      <c r="P526" s="24">
        <v>663</v>
      </c>
      <c r="Q526" s="24">
        <v>610</v>
      </c>
      <c r="R526" s="24">
        <v>632</v>
      </c>
      <c r="S526" s="24">
        <v>607</v>
      </c>
      <c r="T526" s="24">
        <v>601</v>
      </c>
      <c r="U526" s="24">
        <v>567</v>
      </c>
      <c r="V526" s="24">
        <v>467</v>
      </c>
      <c r="W526" s="24">
        <v>440</v>
      </c>
      <c r="X526" s="24">
        <v>420</v>
      </c>
      <c r="Y526" s="24">
        <v>369</v>
      </c>
      <c r="Z526" s="24">
        <v>449</v>
      </c>
      <c r="AA526" s="24">
        <v>503</v>
      </c>
      <c r="AB526" s="24">
        <v>559</v>
      </c>
      <c r="AC526" s="24">
        <v>515</v>
      </c>
      <c r="AD526" s="24">
        <v>571</v>
      </c>
      <c r="AE526" s="24">
        <v>507</v>
      </c>
      <c r="AF526" s="24">
        <v>532</v>
      </c>
      <c r="AG526" s="24">
        <v>557</v>
      </c>
      <c r="AH526" s="24">
        <v>492</v>
      </c>
      <c r="AI526" s="24">
        <v>461</v>
      </c>
      <c r="AJ526" s="24">
        <v>467</v>
      </c>
      <c r="AK526" s="24">
        <v>461</v>
      </c>
      <c r="AL526" s="24">
        <v>429</v>
      </c>
      <c r="AM526" s="24">
        <v>433</v>
      </c>
      <c r="AN526" s="24">
        <v>400</v>
      </c>
      <c r="AO526" s="24">
        <v>392</v>
      </c>
      <c r="AP526" s="24">
        <v>289</v>
      </c>
      <c r="AQ526" s="24">
        <v>148</v>
      </c>
      <c r="AR526" s="24">
        <v>62</v>
      </c>
      <c r="AS526" s="24">
        <v>7</v>
      </c>
      <c r="AT526" s="24">
        <v>2</v>
      </c>
      <c r="AU526" s="24">
        <v>2</v>
      </c>
      <c r="AV526" s="24">
        <v>0</v>
      </c>
      <c r="AW526" s="24">
        <v>2</v>
      </c>
      <c r="AX526" s="24">
        <v>13</v>
      </c>
      <c r="AY526" s="24">
        <v>1</v>
      </c>
      <c r="AZ526" s="24">
        <v>0</v>
      </c>
      <c r="BA526" s="24">
        <v>0</v>
      </c>
      <c r="BB526" s="24">
        <v>0</v>
      </c>
      <c r="BC526" s="24">
        <v>0</v>
      </c>
      <c r="BD526" s="24">
        <v>0</v>
      </c>
      <c r="BE526" s="24">
        <v>0</v>
      </c>
      <c r="BF526" s="24">
        <v>0</v>
      </c>
      <c r="BG526" s="24">
        <v>0</v>
      </c>
      <c r="BH526" s="24">
        <f>SUM(D526:BG526)</f>
        <v>17436</v>
      </c>
    </row>
    <row r="527" spans="1:60">
      <c r="A527" s="18" t="s">
        <v>250</v>
      </c>
      <c r="B527" s="18" t="s">
        <v>148</v>
      </c>
      <c r="C527" s="18" t="s">
        <v>210</v>
      </c>
      <c r="D527" s="24">
        <v>0</v>
      </c>
      <c r="E527" s="24">
        <v>0</v>
      </c>
      <c r="F527" s="24">
        <v>1</v>
      </c>
      <c r="G527" s="24">
        <v>24</v>
      </c>
      <c r="H527" s="24">
        <v>233</v>
      </c>
      <c r="I527" s="24">
        <v>356</v>
      </c>
      <c r="J527" s="24">
        <v>409</v>
      </c>
      <c r="K527" s="24">
        <v>458</v>
      </c>
      <c r="L527" s="24">
        <v>511</v>
      </c>
      <c r="M527" s="24">
        <v>530</v>
      </c>
      <c r="N527" s="24">
        <v>614</v>
      </c>
      <c r="O527" s="24">
        <v>640</v>
      </c>
      <c r="P527" s="24">
        <v>648</v>
      </c>
      <c r="Q527" s="24">
        <v>654</v>
      </c>
      <c r="R527" s="24">
        <v>741</v>
      </c>
      <c r="S527" s="24">
        <v>612</v>
      </c>
      <c r="T527" s="24">
        <v>651</v>
      </c>
      <c r="U527" s="24">
        <v>555</v>
      </c>
      <c r="V527" s="24">
        <v>546</v>
      </c>
      <c r="W527" s="24">
        <v>407</v>
      </c>
      <c r="X527" s="24">
        <v>438</v>
      </c>
      <c r="Y527" s="24">
        <v>443</v>
      </c>
      <c r="Z527" s="24">
        <v>461</v>
      </c>
      <c r="AA527" s="24">
        <v>497</v>
      </c>
      <c r="AB527" s="24">
        <v>495</v>
      </c>
      <c r="AC527" s="24">
        <v>549</v>
      </c>
      <c r="AD527" s="24">
        <v>606</v>
      </c>
      <c r="AE527" s="24">
        <v>549</v>
      </c>
      <c r="AF527" s="24">
        <v>584</v>
      </c>
      <c r="AG527" s="24">
        <v>557</v>
      </c>
      <c r="AH527" s="24">
        <v>522</v>
      </c>
      <c r="AI527" s="24">
        <v>508</v>
      </c>
      <c r="AJ527" s="24">
        <v>491</v>
      </c>
      <c r="AK527" s="24">
        <v>499</v>
      </c>
      <c r="AL527" s="24">
        <v>492</v>
      </c>
      <c r="AM527" s="24">
        <v>507</v>
      </c>
      <c r="AN527" s="24">
        <v>460</v>
      </c>
      <c r="AO527" s="24">
        <v>431</v>
      </c>
      <c r="AP527" s="24">
        <v>338</v>
      </c>
      <c r="AQ527" s="24">
        <v>167</v>
      </c>
      <c r="AR527" s="24">
        <v>58</v>
      </c>
      <c r="AS527" s="24">
        <v>8</v>
      </c>
      <c r="AT527" s="24">
        <v>1</v>
      </c>
      <c r="AU527" s="24">
        <v>8</v>
      </c>
      <c r="AV527" s="24">
        <v>4</v>
      </c>
      <c r="AW527" s="24">
        <v>4</v>
      </c>
      <c r="AX527" s="24">
        <v>3</v>
      </c>
      <c r="AY527" s="24">
        <v>0</v>
      </c>
      <c r="AZ527" s="24">
        <v>0</v>
      </c>
      <c r="BA527" s="24">
        <v>0</v>
      </c>
      <c r="BB527" s="24">
        <v>0</v>
      </c>
      <c r="BC527" s="24">
        <v>0</v>
      </c>
      <c r="BD527" s="24">
        <v>0</v>
      </c>
      <c r="BE527" s="24">
        <v>0</v>
      </c>
      <c r="BF527" s="24">
        <v>0</v>
      </c>
      <c r="BG527" s="24">
        <v>0</v>
      </c>
      <c r="BH527" s="24">
        <f>SUM(D527:BG527)</f>
        <v>18270</v>
      </c>
    </row>
    <row r="528" spans="1:60">
      <c r="A528" s="18" t="s">
        <v>251</v>
      </c>
      <c r="B528" s="18" t="s">
        <v>148</v>
      </c>
      <c r="C528" s="18" t="s">
        <v>212</v>
      </c>
      <c r="D528" s="24">
        <v>0</v>
      </c>
      <c r="E528" s="24">
        <v>0</v>
      </c>
      <c r="F528" s="24">
        <v>0</v>
      </c>
      <c r="G528" s="24">
        <v>22</v>
      </c>
      <c r="H528" s="24">
        <v>200</v>
      </c>
      <c r="I528" s="24">
        <v>325</v>
      </c>
      <c r="J528" s="24">
        <v>408</v>
      </c>
      <c r="K528" s="24">
        <v>445</v>
      </c>
      <c r="L528" s="24">
        <v>490</v>
      </c>
      <c r="M528" s="24">
        <v>509</v>
      </c>
      <c r="N528" s="24">
        <v>545</v>
      </c>
      <c r="O528" s="24">
        <v>595</v>
      </c>
      <c r="P528" s="24">
        <v>599</v>
      </c>
      <c r="Q528" s="24">
        <v>645</v>
      </c>
      <c r="R528" s="24">
        <v>609</v>
      </c>
      <c r="S528" s="24">
        <v>627</v>
      </c>
      <c r="T528" s="24">
        <v>625</v>
      </c>
      <c r="U528" s="24">
        <v>525</v>
      </c>
      <c r="V528" s="24">
        <v>483</v>
      </c>
      <c r="W528" s="24">
        <v>442</v>
      </c>
      <c r="X528" s="24">
        <v>408</v>
      </c>
      <c r="Y528" s="24">
        <v>412</v>
      </c>
      <c r="Z528" s="24">
        <v>447</v>
      </c>
      <c r="AA528" s="24">
        <v>484</v>
      </c>
      <c r="AB528" s="24">
        <v>496</v>
      </c>
      <c r="AC528" s="24">
        <v>567</v>
      </c>
      <c r="AD528" s="24">
        <v>542</v>
      </c>
      <c r="AE528" s="24">
        <v>590</v>
      </c>
      <c r="AF528" s="24">
        <v>518</v>
      </c>
      <c r="AG528" s="24">
        <v>532</v>
      </c>
      <c r="AH528" s="24">
        <v>509</v>
      </c>
      <c r="AI528" s="24">
        <v>513</v>
      </c>
      <c r="AJ528" s="24">
        <v>446</v>
      </c>
      <c r="AK528" s="24">
        <v>460</v>
      </c>
      <c r="AL528" s="24">
        <v>460</v>
      </c>
      <c r="AM528" s="24">
        <v>439</v>
      </c>
      <c r="AN528" s="24">
        <v>439</v>
      </c>
      <c r="AO528" s="24">
        <v>404</v>
      </c>
      <c r="AP528" s="24">
        <v>299</v>
      </c>
      <c r="AQ528" s="24">
        <v>137</v>
      </c>
      <c r="AR528" s="24">
        <v>47</v>
      </c>
      <c r="AS528" s="24">
        <v>2</v>
      </c>
      <c r="AT528" s="24">
        <v>3</v>
      </c>
      <c r="AU528" s="24">
        <v>2</v>
      </c>
      <c r="AV528" s="24">
        <v>2</v>
      </c>
      <c r="AW528" s="24">
        <v>4</v>
      </c>
      <c r="AX528" s="24">
        <v>1</v>
      </c>
      <c r="AY528" s="24">
        <v>1</v>
      </c>
      <c r="AZ528" s="24">
        <v>0</v>
      </c>
      <c r="BA528" s="24">
        <v>0</v>
      </c>
      <c r="BB528" s="24">
        <v>0</v>
      </c>
      <c r="BC528" s="24">
        <v>0</v>
      </c>
      <c r="BD528" s="24">
        <v>0</v>
      </c>
      <c r="BE528" s="24">
        <v>0</v>
      </c>
      <c r="BF528" s="24">
        <v>0</v>
      </c>
      <c r="BG528" s="24">
        <v>0</v>
      </c>
      <c r="BH528" s="24">
        <f>SUM(D528:BG528)</f>
        <v>17258</v>
      </c>
    </row>
    <row r="529" spans="1:60">
      <c r="A529" s="18" t="s">
        <v>252</v>
      </c>
      <c r="B529" s="18" t="s">
        <v>148</v>
      </c>
      <c r="C529" s="18" t="s">
        <v>214</v>
      </c>
      <c r="D529" s="24">
        <v>0</v>
      </c>
      <c r="E529" s="24">
        <v>0</v>
      </c>
      <c r="F529" s="24">
        <v>0</v>
      </c>
      <c r="G529" s="24">
        <v>27</v>
      </c>
      <c r="H529" s="24">
        <v>168</v>
      </c>
      <c r="I529" s="24">
        <v>309</v>
      </c>
      <c r="J529" s="24">
        <v>375</v>
      </c>
      <c r="K529" s="24">
        <v>433</v>
      </c>
      <c r="L529" s="24">
        <v>476</v>
      </c>
      <c r="M529" s="24">
        <v>511</v>
      </c>
      <c r="N529" s="24">
        <v>591</v>
      </c>
      <c r="O529" s="24">
        <v>577</v>
      </c>
      <c r="P529" s="24">
        <v>613</v>
      </c>
      <c r="Q529" s="24">
        <v>607</v>
      </c>
      <c r="R529" s="24">
        <v>563</v>
      </c>
      <c r="S529" s="24">
        <v>556</v>
      </c>
      <c r="T529" s="24">
        <v>594</v>
      </c>
      <c r="U529" s="24">
        <v>478</v>
      </c>
      <c r="V529" s="24">
        <v>470</v>
      </c>
      <c r="W529" s="24">
        <v>404</v>
      </c>
      <c r="X529" s="24">
        <v>395</v>
      </c>
      <c r="Y529" s="24">
        <v>421</v>
      </c>
      <c r="Z529" s="24">
        <v>434</v>
      </c>
      <c r="AA529" s="24">
        <v>431</v>
      </c>
      <c r="AB529" s="24">
        <v>535</v>
      </c>
      <c r="AC529" s="24">
        <v>511</v>
      </c>
      <c r="AD529" s="24">
        <v>540</v>
      </c>
      <c r="AE529" s="24">
        <v>513</v>
      </c>
      <c r="AF529" s="24">
        <v>594</v>
      </c>
      <c r="AG529" s="24">
        <v>499</v>
      </c>
      <c r="AH529" s="24">
        <v>566</v>
      </c>
      <c r="AI529" s="24">
        <v>558</v>
      </c>
      <c r="AJ529" s="24">
        <v>485</v>
      </c>
      <c r="AK529" s="24">
        <v>494</v>
      </c>
      <c r="AL529" s="24">
        <v>491</v>
      </c>
      <c r="AM529" s="24">
        <v>476</v>
      </c>
      <c r="AN529" s="24">
        <v>456</v>
      </c>
      <c r="AO529" s="24">
        <v>438</v>
      </c>
      <c r="AP529" s="24">
        <v>330</v>
      </c>
      <c r="AQ529" s="24">
        <v>156</v>
      </c>
      <c r="AR529" s="24">
        <v>39</v>
      </c>
      <c r="AS529" s="24">
        <v>6</v>
      </c>
      <c r="AT529" s="24">
        <v>4</v>
      </c>
      <c r="AU529" s="24">
        <v>3</v>
      </c>
      <c r="AV529" s="24">
        <v>11</v>
      </c>
      <c r="AW529" s="24">
        <v>8</v>
      </c>
      <c r="AX529" s="24">
        <v>8</v>
      </c>
      <c r="AY529" s="24">
        <v>6</v>
      </c>
      <c r="AZ529" s="24">
        <v>13</v>
      </c>
      <c r="BA529" s="24">
        <v>0</v>
      </c>
      <c r="BB529" s="24">
        <v>0</v>
      </c>
      <c r="BC529" s="24">
        <v>0</v>
      </c>
      <c r="BD529" s="24">
        <v>0</v>
      </c>
      <c r="BE529" s="24">
        <v>0</v>
      </c>
      <c r="BF529" s="24">
        <v>0</v>
      </c>
      <c r="BG529" s="24">
        <v>0</v>
      </c>
      <c r="BH529" s="24">
        <f>SUM(D529:BG529)</f>
        <v>17173</v>
      </c>
    </row>
    <row r="530" spans="1:60">
      <c r="A530" s="18" t="s">
        <v>253</v>
      </c>
      <c r="B530" s="18" t="s">
        <v>148</v>
      </c>
      <c r="C530" s="18" t="s">
        <v>216</v>
      </c>
      <c r="D530" s="24">
        <v>0</v>
      </c>
      <c r="E530" s="24">
        <v>0</v>
      </c>
      <c r="F530" s="24">
        <v>0</v>
      </c>
      <c r="G530" s="24">
        <v>30</v>
      </c>
      <c r="H530" s="24">
        <v>213</v>
      </c>
      <c r="I530" s="24">
        <v>300</v>
      </c>
      <c r="J530" s="24">
        <v>408</v>
      </c>
      <c r="K530" s="24">
        <v>430</v>
      </c>
      <c r="L530" s="24">
        <v>504</v>
      </c>
      <c r="M530" s="24">
        <v>497</v>
      </c>
      <c r="N530" s="24">
        <v>568</v>
      </c>
      <c r="O530" s="24">
        <v>562</v>
      </c>
      <c r="P530" s="24">
        <v>620</v>
      </c>
      <c r="Q530" s="24">
        <v>593</v>
      </c>
      <c r="R530" s="24">
        <v>579</v>
      </c>
      <c r="S530" s="24">
        <v>602</v>
      </c>
      <c r="T530" s="24">
        <v>572</v>
      </c>
      <c r="U530" s="24">
        <v>492</v>
      </c>
      <c r="V530" s="24">
        <v>522</v>
      </c>
      <c r="W530" s="24">
        <v>472</v>
      </c>
      <c r="X530" s="24">
        <v>395</v>
      </c>
      <c r="Y530" s="24">
        <v>403</v>
      </c>
      <c r="Z530" s="24">
        <v>443</v>
      </c>
      <c r="AA530" s="24">
        <v>488</v>
      </c>
      <c r="AB530" s="24">
        <v>544</v>
      </c>
      <c r="AC530" s="24">
        <v>552</v>
      </c>
      <c r="AD530" s="24">
        <v>578</v>
      </c>
      <c r="AE530" s="24">
        <v>579</v>
      </c>
      <c r="AF530" s="24">
        <v>521</v>
      </c>
      <c r="AG530" s="24">
        <v>556</v>
      </c>
      <c r="AH530" s="24">
        <v>526</v>
      </c>
      <c r="AI530" s="24">
        <v>547</v>
      </c>
      <c r="AJ530" s="24">
        <v>488</v>
      </c>
      <c r="AK530" s="24">
        <v>437</v>
      </c>
      <c r="AL530" s="24">
        <v>501</v>
      </c>
      <c r="AM530" s="24">
        <v>486</v>
      </c>
      <c r="AN530" s="24">
        <v>501</v>
      </c>
      <c r="AO530" s="24">
        <v>437</v>
      </c>
      <c r="AP530" s="24">
        <v>344</v>
      </c>
      <c r="AQ530" s="24">
        <v>191</v>
      </c>
      <c r="AR530" s="24">
        <v>63</v>
      </c>
      <c r="AS530" s="24">
        <v>7</v>
      </c>
      <c r="AT530" s="24">
        <v>2</v>
      </c>
      <c r="AU530" s="24">
        <v>2</v>
      </c>
      <c r="AV530" s="24">
        <v>3</v>
      </c>
      <c r="AW530" s="24">
        <v>4</v>
      </c>
      <c r="AX530" s="24">
        <v>3</v>
      </c>
      <c r="AY530" s="24">
        <v>1</v>
      </c>
      <c r="AZ530" s="24">
        <v>0</v>
      </c>
      <c r="BA530" s="24">
        <v>0</v>
      </c>
      <c r="BB530" s="24">
        <v>0</v>
      </c>
      <c r="BC530" s="24">
        <v>0</v>
      </c>
      <c r="BD530" s="24">
        <v>0</v>
      </c>
      <c r="BE530" s="24">
        <v>0</v>
      </c>
      <c r="BF530" s="24">
        <v>0</v>
      </c>
      <c r="BG530" s="24">
        <v>0</v>
      </c>
      <c r="BH530" s="24">
        <f>SUM(D530:BG530)</f>
        <v>17566</v>
      </c>
    </row>
    <row r="531" spans="1:60">
      <c r="A531" s="18" t="s">
        <v>254</v>
      </c>
      <c r="B531" s="18" t="s">
        <v>148</v>
      </c>
      <c r="C531" s="18" t="s">
        <v>218</v>
      </c>
      <c r="D531" s="24">
        <v>0</v>
      </c>
      <c r="E531" s="24">
        <v>0</v>
      </c>
      <c r="F531" s="24">
        <v>0</v>
      </c>
      <c r="G531" s="24">
        <v>0</v>
      </c>
      <c r="H531" s="24">
        <v>0</v>
      </c>
      <c r="I531" s="24">
        <v>0</v>
      </c>
      <c r="J531" s="24">
        <v>6</v>
      </c>
      <c r="K531" s="24">
        <v>2</v>
      </c>
      <c r="L531" s="24">
        <v>2</v>
      </c>
      <c r="M531" s="24">
        <v>3</v>
      </c>
      <c r="N531" s="24">
        <v>3</v>
      </c>
      <c r="O531" s="24">
        <v>0</v>
      </c>
      <c r="P531" s="24">
        <v>1</v>
      </c>
      <c r="Q531" s="24">
        <v>1</v>
      </c>
      <c r="R531" s="24">
        <v>3</v>
      </c>
      <c r="S531" s="24">
        <v>9</v>
      </c>
      <c r="T531" s="24">
        <v>6</v>
      </c>
      <c r="U531" s="24">
        <v>6</v>
      </c>
      <c r="V531" s="24">
        <v>1</v>
      </c>
      <c r="W531" s="24">
        <v>5</v>
      </c>
      <c r="X531" s="24">
        <v>0</v>
      </c>
      <c r="Y531" s="24">
        <v>0</v>
      </c>
      <c r="Z531" s="24">
        <v>0</v>
      </c>
      <c r="AA531" s="24">
        <v>0</v>
      </c>
      <c r="AB531" s="24">
        <v>0</v>
      </c>
      <c r="AC531" s="24">
        <v>0</v>
      </c>
      <c r="AD531" s="24">
        <v>0</v>
      </c>
      <c r="AE531" s="24">
        <v>0</v>
      </c>
      <c r="AF531" s="24">
        <v>0</v>
      </c>
      <c r="AG531" s="24">
        <v>0</v>
      </c>
      <c r="AH531" s="24">
        <v>0</v>
      </c>
      <c r="AI531" s="24">
        <v>0</v>
      </c>
      <c r="AJ531" s="24">
        <v>0</v>
      </c>
      <c r="AK531" s="24">
        <v>0</v>
      </c>
      <c r="AL531" s="24">
        <v>0</v>
      </c>
      <c r="AM531" s="24">
        <v>0</v>
      </c>
      <c r="AN531" s="24">
        <v>0</v>
      </c>
      <c r="AO531" s="24">
        <v>0</v>
      </c>
      <c r="AP531" s="24">
        <v>0</v>
      </c>
      <c r="AQ531" s="24">
        <v>0</v>
      </c>
      <c r="AR531" s="24">
        <v>0</v>
      </c>
      <c r="AS531" s="24">
        <v>0</v>
      </c>
      <c r="AT531" s="24">
        <v>0</v>
      </c>
      <c r="AU531" s="24">
        <v>0</v>
      </c>
      <c r="AV531" s="24">
        <v>0</v>
      </c>
      <c r="AW531" s="24">
        <v>0</v>
      </c>
      <c r="AX531" s="24">
        <v>0</v>
      </c>
      <c r="AY531" s="24">
        <v>0</v>
      </c>
      <c r="AZ531" s="24">
        <v>0</v>
      </c>
      <c r="BA531" s="24">
        <v>0</v>
      </c>
      <c r="BB531" s="24">
        <v>0</v>
      </c>
      <c r="BC531" s="24">
        <v>0</v>
      </c>
      <c r="BD531" s="24">
        <v>0</v>
      </c>
      <c r="BE531" s="24">
        <v>0</v>
      </c>
      <c r="BF531" s="24">
        <v>0</v>
      </c>
      <c r="BG531" s="24">
        <v>0</v>
      </c>
      <c r="BH531" s="24">
        <f>SUM(D531:BG531)</f>
        <v>48</v>
      </c>
    </row>
    <row r="532" spans="1:60">
      <c r="A532" s="18" t="s">
        <v>255</v>
      </c>
      <c r="B532" s="18" t="s">
        <v>148</v>
      </c>
      <c r="C532" s="18" t="s">
        <v>220</v>
      </c>
      <c r="D532" s="24">
        <v>0</v>
      </c>
      <c r="E532" s="24">
        <v>0</v>
      </c>
      <c r="F532" s="24">
        <v>0</v>
      </c>
      <c r="G532" s="24">
        <v>9</v>
      </c>
      <c r="H532" s="24">
        <v>52</v>
      </c>
      <c r="I532" s="24">
        <v>36</v>
      </c>
      <c r="J532" s="24">
        <v>21</v>
      </c>
      <c r="K532" s="24">
        <v>29</v>
      </c>
      <c r="L532" s="24">
        <v>25</v>
      </c>
      <c r="M532" s="24">
        <v>22</v>
      </c>
      <c r="N532" s="24">
        <v>25</v>
      </c>
      <c r="O532" s="24">
        <v>25</v>
      </c>
      <c r="P532" s="24">
        <v>17</v>
      </c>
      <c r="Q532" s="24">
        <v>23</v>
      </c>
      <c r="R532" s="24">
        <v>25</v>
      </c>
      <c r="S532" s="24">
        <v>18</v>
      </c>
      <c r="T532" s="24">
        <v>20</v>
      </c>
      <c r="U532" s="24">
        <v>14</v>
      </c>
      <c r="V532" s="24">
        <v>11</v>
      </c>
      <c r="W532" s="24">
        <v>1</v>
      </c>
      <c r="X532" s="24">
        <v>0</v>
      </c>
      <c r="Y532" s="24">
        <v>0</v>
      </c>
      <c r="Z532" s="24">
        <v>0</v>
      </c>
      <c r="AA532" s="24">
        <v>0</v>
      </c>
      <c r="AB532" s="24">
        <v>0</v>
      </c>
      <c r="AC532" s="24">
        <v>0</v>
      </c>
      <c r="AD532" s="24">
        <v>1</v>
      </c>
      <c r="AE532" s="24">
        <v>10</v>
      </c>
      <c r="AF532" s="24">
        <v>4</v>
      </c>
      <c r="AG532" s="24">
        <v>30</v>
      </c>
      <c r="AH532" s="24">
        <v>11</v>
      </c>
      <c r="AI532" s="24">
        <v>0</v>
      </c>
      <c r="AJ532" s="24">
        <v>1</v>
      </c>
      <c r="AK532" s="24">
        <v>0</v>
      </c>
      <c r="AL532" s="24">
        <v>0</v>
      </c>
      <c r="AM532" s="24">
        <v>0</v>
      </c>
      <c r="AN532" s="24">
        <v>0</v>
      </c>
      <c r="AO532" s="24">
        <v>0</v>
      </c>
      <c r="AP532" s="24">
        <v>0</v>
      </c>
      <c r="AQ532" s="24">
        <v>0</v>
      </c>
      <c r="AR532" s="24">
        <v>0</v>
      </c>
      <c r="AS532" s="24">
        <v>0</v>
      </c>
      <c r="AT532" s="24">
        <v>0</v>
      </c>
      <c r="AU532" s="24">
        <v>0</v>
      </c>
      <c r="AV532" s="24">
        <v>0</v>
      </c>
      <c r="AW532" s="24">
        <v>0</v>
      </c>
      <c r="AX532" s="24">
        <v>0</v>
      </c>
      <c r="AY532" s="24">
        <v>0</v>
      </c>
      <c r="AZ532" s="24">
        <v>0</v>
      </c>
      <c r="BA532" s="24">
        <v>0</v>
      </c>
      <c r="BB532" s="24">
        <v>0</v>
      </c>
      <c r="BC532" s="24">
        <v>0</v>
      </c>
      <c r="BD532" s="24">
        <v>0</v>
      </c>
      <c r="BE532" s="24">
        <v>0</v>
      </c>
      <c r="BF532" s="24">
        <v>0</v>
      </c>
      <c r="BG532" s="24">
        <v>0</v>
      </c>
      <c r="BH532" s="24">
        <f>SUM(D532:BG532)</f>
        <v>430</v>
      </c>
    </row>
    <row r="533" spans="1:60">
      <c r="A533" s="18" t="s">
        <v>256</v>
      </c>
      <c r="B533" s="18" t="s">
        <v>162</v>
      </c>
      <c r="C533" s="18" t="s">
        <v>5</v>
      </c>
      <c r="D533" s="24">
        <v>0</v>
      </c>
      <c r="E533" s="24">
        <v>0</v>
      </c>
      <c r="F533" s="24">
        <v>0</v>
      </c>
      <c r="G533" s="24">
        <v>0</v>
      </c>
      <c r="H533" s="24">
        <v>4</v>
      </c>
      <c r="I533" s="24">
        <v>36</v>
      </c>
      <c r="J533" s="24">
        <v>186</v>
      </c>
      <c r="K533" s="24">
        <v>225</v>
      </c>
      <c r="L533" s="24">
        <v>253</v>
      </c>
      <c r="M533" s="24">
        <v>282</v>
      </c>
      <c r="N533" s="24">
        <v>316</v>
      </c>
      <c r="O533" s="24">
        <v>336</v>
      </c>
      <c r="P533" s="24">
        <v>358</v>
      </c>
      <c r="Q533" s="24">
        <v>363</v>
      </c>
      <c r="R533" s="24">
        <v>392</v>
      </c>
      <c r="S533" s="24">
        <v>374</v>
      </c>
      <c r="T533" s="24">
        <v>378</v>
      </c>
      <c r="U533" s="24">
        <v>371</v>
      </c>
      <c r="V533" s="24">
        <v>302</v>
      </c>
      <c r="W533" s="24">
        <v>298</v>
      </c>
      <c r="X533" s="24">
        <v>226</v>
      </c>
      <c r="Y533" s="24">
        <v>253</v>
      </c>
      <c r="Z533" s="24">
        <v>249</v>
      </c>
      <c r="AA533" s="24">
        <v>228</v>
      </c>
      <c r="AB533" s="24">
        <v>242</v>
      </c>
      <c r="AC533" s="24">
        <v>261</v>
      </c>
      <c r="AD533" s="24">
        <v>331</v>
      </c>
      <c r="AE533" s="24">
        <v>285</v>
      </c>
      <c r="AF533" s="24">
        <v>287</v>
      </c>
      <c r="AG533" s="24">
        <v>287</v>
      </c>
      <c r="AH533" s="24">
        <v>281</v>
      </c>
      <c r="AI533" s="24">
        <v>275</v>
      </c>
      <c r="AJ533" s="24">
        <v>246</v>
      </c>
      <c r="AK533" s="24">
        <v>245</v>
      </c>
      <c r="AL533" s="24">
        <v>243</v>
      </c>
      <c r="AM533" s="24">
        <v>259</v>
      </c>
      <c r="AN533" s="24">
        <v>264</v>
      </c>
      <c r="AO533" s="24">
        <v>233</v>
      </c>
      <c r="AP533" s="24">
        <v>266</v>
      </c>
      <c r="AQ533" s="24">
        <v>187</v>
      </c>
      <c r="AR533" s="24">
        <v>101</v>
      </c>
      <c r="AS533" s="24">
        <v>20</v>
      </c>
      <c r="AT533" s="24">
        <v>2</v>
      </c>
      <c r="AU533" s="24">
        <v>1</v>
      </c>
      <c r="AV533" s="24">
        <v>0</v>
      </c>
      <c r="AW533" s="24">
        <v>0</v>
      </c>
      <c r="AX533" s="24">
        <v>0</v>
      </c>
      <c r="AY533" s="24">
        <v>0</v>
      </c>
      <c r="AZ533" s="24">
        <v>0</v>
      </c>
      <c r="BA533" s="24">
        <v>0</v>
      </c>
      <c r="BB533" s="24">
        <v>0</v>
      </c>
      <c r="BC533" s="24">
        <v>0</v>
      </c>
      <c r="BD533" s="24">
        <v>0</v>
      </c>
      <c r="BE533" s="24">
        <v>0</v>
      </c>
      <c r="BF533" s="24">
        <v>0</v>
      </c>
      <c r="BG533" s="24">
        <v>0</v>
      </c>
      <c r="BH533" s="24">
        <f>SUM(D533:BG533)</f>
        <v>9746</v>
      </c>
    </row>
    <row r="534" spans="1:60">
      <c r="A534" s="18" t="s">
        <v>257</v>
      </c>
      <c r="B534" s="18" t="s">
        <v>162</v>
      </c>
      <c r="C534" s="18" t="s">
        <v>210</v>
      </c>
      <c r="D534" s="24">
        <v>0</v>
      </c>
      <c r="E534" s="24">
        <v>0</v>
      </c>
      <c r="F534" s="24">
        <v>0</v>
      </c>
      <c r="G534" s="24">
        <v>0</v>
      </c>
      <c r="H534" s="24">
        <v>2</v>
      </c>
      <c r="I534" s="24">
        <v>26</v>
      </c>
      <c r="J534" s="24">
        <v>180</v>
      </c>
      <c r="K534" s="24">
        <v>225</v>
      </c>
      <c r="L534" s="24">
        <v>235</v>
      </c>
      <c r="M534" s="24">
        <v>293</v>
      </c>
      <c r="N534" s="24">
        <v>300</v>
      </c>
      <c r="O534" s="24">
        <v>333</v>
      </c>
      <c r="P534" s="24">
        <v>335</v>
      </c>
      <c r="Q534" s="24">
        <v>398</v>
      </c>
      <c r="R534" s="24">
        <v>392</v>
      </c>
      <c r="S534" s="24">
        <v>372</v>
      </c>
      <c r="T534" s="24">
        <v>370</v>
      </c>
      <c r="U534" s="24">
        <v>320</v>
      </c>
      <c r="V534" s="24">
        <v>316</v>
      </c>
      <c r="W534" s="24">
        <v>308</v>
      </c>
      <c r="X534" s="24">
        <v>267</v>
      </c>
      <c r="Y534" s="24">
        <v>252</v>
      </c>
      <c r="Z534" s="24">
        <v>252</v>
      </c>
      <c r="AA534" s="24">
        <v>255</v>
      </c>
      <c r="AB534" s="24">
        <v>258</v>
      </c>
      <c r="AC534" s="24">
        <v>287</v>
      </c>
      <c r="AD534" s="24">
        <v>274</v>
      </c>
      <c r="AE534" s="24">
        <v>288</v>
      </c>
      <c r="AF534" s="24">
        <v>316</v>
      </c>
      <c r="AG534" s="24">
        <v>294</v>
      </c>
      <c r="AH534" s="24">
        <v>286</v>
      </c>
      <c r="AI534" s="24">
        <v>256</v>
      </c>
      <c r="AJ534" s="24">
        <v>249</v>
      </c>
      <c r="AK534" s="24">
        <v>262</v>
      </c>
      <c r="AL534" s="24">
        <v>262</v>
      </c>
      <c r="AM534" s="24">
        <v>250</v>
      </c>
      <c r="AN534" s="24">
        <v>252</v>
      </c>
      <c r="AO534" s="24">
        <v>224</v>
      </c>
      <c r="AP534" s="24">
        <v>243</v>
      </c>
      <c r="AQ534" s="24">
        <v>228</v>
      </c>
      <c r="AR534" s="24">
        <v>120</v>
      </c>
      <c r="AS534" s="24">
        <v>23</v>
      </c>
      <c r="AT534" s="24">
        <v>5</v>
      </c>
      <c r="AU534" s="24">
        <v>2</v>
      </c>
      <c r="AV534" s="24">
        <v>2</v>
      </c>
      <c r="AW534" s="24">
        <v>1</v>
      </c>
      <c r="AX534" s="24">
        <v>0</v>
      </c>
      <c r="AY534" s="24">
        <v>0</v>
      </c>
      <c r="AZ534" s="24">
        <v>0</v>
      </c>
      <c r="BA534" s="24">
        <v>0</v>
      </c>
      <c r="BB534" s="24">
        <v>0</v>
      </c>
      <c r="BC534" s="24">
        <v>0</v>
      </c>
      <c r="BD534" s="24">
        <v>0</v>
      </c>
      <c r="BE534" s="24">
        <v>0</v>
      </c>
      <c r="BF534" s="24">
        <v>0</v>
      </c>
      <c r="BG534" s="24">
        <v>0</v>
      </c>
      <c r="BH534" s="24">
        <f>SUM(D534:BG534)</f>
        <v>9813</v>
      </c>
    </row>
    <row r="535" spans="1:60">
      <c r="A535" s="18" t="s">
        <v>258</v>
      </c>
      <c r="B535" s="18" t="s">
        <v>162</v>
      </c>
      <c r="C535" s="18" t="s">
        <v>212</v>
      </c>
      <c r="D535" s="24">
        <v>0</v>
      </c>
      <c r="E535" s="24">
        <v>0</v>
      </c>
      <c r="F535" s="24">
        <v>0</v>
      </c>
      <c r="G535" s="24">
        <v>0</v>
      </c>
      <c r="H535" s="24">
        <v>1</v>
      </c>
      <c r="I535" s="24">
        <v>21</v>
      </c>
      <c r="J535" s="24">
        <v>128</v>
      </c>
      <c r="K535" s="24">
        <v>194</v>
      </c>
      <c r="L535" s="24">
        <v>218</v>
      </c>
      <c r="M535" s="24">
        <v>271</v>
      </c>
      <c r="N535" s="24">
        <v>290</v>
      </c>
      <c r="O535" s="24">
        <v>300</v>
      </c>
      <c r="P535" s="24">
        <v>336</v>
      </c>
      <c r="Q535" s="24">
        <v>359</v>
      </c>
      <c r="R535" s="24">
        <v>337</v>
      </c>
      <c r="S535" s="24">
        <v>361</v>
      </c>
      <c r="T535" s="24">
        <v>377</v>
      </c>
      <c r="U535" s="24">
        <v>351</v>
      </c>
      <c r="V535" s="24">
        <v>303</v>
      </c>
      <c r="W535" s="24">
        <v>263</v>
      </c>
      <c r="X535" s="24">
        <v>248</v>
      </c>
      <c r="Y535" s="24">
        <v>221</v>
      </c>
      <c r="Z535" s="24">
        <v>231</v>
      </c>
      <c r="AA535" s="24">
        <v>235</v>
      </c>
      <c r="AB535" s="24">
        <v>265</v>
      </c>
      <c r="AC535" s="24">
        <v>273</v>
      </c>
      <c r="AD535" s="24">
        <v>266</v>
      </c>
      <c r="AE535" s="24">
        <v>261</v>
      </c>
      <c r="AF535" s="24">
        <v>305</v>
      </c>
      <c r="AG535" s="24">
        <v>277</v>
      </c>
      <c r="AH535" s="24">
        <v>329</v>
      </c>
      <c r="AI535" s="24">
        <v>309</v>
      </c>
      <c r="AJ535" s="24">
        <v>283</v>
      </c>
      <c r="AK535" s="24">
        <v>244</v>
      </c>
      <c r="AL535" s="24">
        <v>239</v>
      </c>
      <c r="AM535" s="24">
        <v>256</v>
      </c>
      <c r="AN535" s="24">
        <v>263</v>
      </c>
      <c r="AO535" s="24">
        <v>233</v>
      </c>
      <c r="AP535" s="24">
        <v>251</v>
      </c>
      <c r="AQ535" s="24">
        <v>181</v>
      </c>
      <c r="AR535" s="24">
        <v>112</v>
      </c>
      <c r="AS535" s="24">
        <v>23</v>
      </c>
      <c r="AT535" s="24">
        <v>1</v>
      </c>
      <c r="AU535" s="24">
        <v>0</v>
      </c>
      <c r="AV535" s="24">
        <v>0</v>
      </c>
      <c r="AW535" s="24">
        <v>0</v>
      </c>
      <c r="AX535" s="24">
        <v>0</v>
      </c>
      <c r="AY535" s="24">
        <v>0</v>
      </c>
      <c r="AZ535" s="24">
        <v>0</v>
      </c>
      <c r="BA535" s="24">
        <v>0</v>
      </c>
      <c r="BB535" s="24">
        <v>0</v>
      </c>
      <c r="BC535" s="24">
        <v>0</v>
      </c>
      <c r="BD535" s="24">
        <v>0</v>
      </c>
      <c r="BE535" s="24">
        <v>0</v>
      </c>
      <c r="BF535" s="24">
        <v>0</v>
      </c>
      <c r="BG535" s="24">
        <v>0</v>
      </c>
      <c r="BH535" s="24">
        <f>SUM(D535:BG535)</f>
        <v>9416</v>
      </c>
    </row>
    <row r="536" spans="1:60">
      <c r="A536" s="18" t="s">
        <v>259</v>
      </c>
      <c r="B536" s="18" t="s">
        <v>162</v>
      </c>
      <c r="C536" s="18" t="s">
        <v>214</v>
      </c>
      <c r="D536" s="24">
        <v>0</v>
      </c>
      <c r="E536" s="24">
        <v>0</v>
      </c>
      <c r="F536" s="24">
        <v>0</v>
      </c>
      <c r="G536" s="24">
        <v>0</v>
      </c>
      <c r="H536" s="24">
        <v>5</v>
      </c>
      <c r="I536" s="24">
        <v>24</v>
      </c>
      <c r="J536" s="24">
        <v>168</v>
      </c>
      <c r="K536" s="24">
        <v>177</v>
      </c>
      <c r="L536" s="24">
        <v>213</v>
      </c>
      <c r="M536" s="24">
        <v>279</v>
      </c>
      <c r="N536" s="24">
        <v>293</v>
      </c>
      <c r="O536" s="24">
        <v>326</v>
      </c>
      <c r="P536" s="24">
        <v>293</v>
      </c>
      <c r="Q536" s="24">
        <v>329</v>
      </c>
      <c r="R536" s="24">
        <v>312</v>
      </c>
      <c r="S536" s="24">
        <v>338</v>
      </c>
      <c r="T536" s="24">
        <v>363</v>
      </c>
      <c r="U536" s="24">
        <v>310</v>
      </c>
      <c r="V536" s="24">
        <v>312</v>
      </c>
      <c r="W536" s="24">
        <v>286</v>
      </c>
      <c r="X536" s="24">
        <v>247</v>
      </c>
      <c r="Y536" s="24">
        <v>248</v>
      </c>
      <c r="Z536" s="24">
        <v>220</v>
      </c>
      <c r="AA536" s="24">
        <v>237</v>
      </c>
      <c r="AB536" s="24">
        <v>266</v>
      </c>
      <c r="AC536" s="24">
        <v>288</v>
      </c>
      <c r="AD536" s="24">
        <v>295</v>
      </c>
      <c r="AE536" s="24">
        <v>304</v>
      </c>
      <c r="AF536" s="24">
        <v>321</v>
      </c>
      <c r="AG536" s="24">
        <v>346</v>
      </c>
      <c r="AH536" s="24">
        <v>301</v>
      </c>
      <c r="AI536" s="24">
        <v>298</v>
      </c>
      <c r="AJ536" s="24">
        <v>280</v>
      </c>
      <c r="AK536" s="24">
        <v>273</v>
      </c>
      <c r="AL536" s="24">
        <v>292</v>
      </c>
      <c r="AM536" s="24">
        <v>257</v>
      </c>
      <c r="AN536" s="24">
        <v>243</v>
      </c>
      <c r="AO536" s="24">
        <v>242</v>
      </c>
      <c r="AP536" s="24">
        <v>228</v>
      </c>
      <c r="AQ536" s="24">
        <v>203</v>
      </c>
      <c r="AR536" s="24">
        <v>108</v>
      </c>
      <c r="AS536" s="24">
        <v>29</v>
      </c>
      <c r="AT536" s="24">
        <v>1</v>
      </c>
      <c r="AU536" s="24">
        <v>5</v>
      </c>
      <c r="AV536" s="24">
        <v>4</v>
      </c>
      <c r="AW536" s="24">
        <v>4</v>
      </c>
      <c r="AX536" s="24">
        <v>4</v>
      </c>
      <c r="AY536" s="24">
        <v>5</v>
      </c>
      <c r="AZ536" s="24">
        <v>2</v>
      </c>
      <c r="BA536" s="24">
        <v>4</v>
      </c>
      <c r="BB536" s="24">
        <v>3</v>
      </c>
      <c r="BC536" s="24">
        <v>1</v>
      </c>
      <c r="BD536" s="24">
        <v>0</v>
      </c>
      <c r="BE536" s="24">
        <v>0</v>
      </c>
      <c r="BF536" s="24">
        <v>0</v>
      </c>
      <c r="BG536" s="24">
        <v>0</v>
      </c>
      <c r="BH536" s="24">
        <f>SUM(D536:BG536)</f>
        <v>9587</v>
      </c>
    </row>
    <row r="537" spans="1:60">
      <c r="A537" s="18" t="s">
        <v>260</v>
      </c>
      <c r="B537" s="18" t="s">
        <v>162</v>
      </c>
      <c r="C537" s="18" t="s">
        <v>216</v>
      </c>
      <c r="D537" s="24">
        <v>0</v>
      </c>
      <c r="E537" s="24">
        <v>0</v>
      </c>
      <c r="F537" s="24">
        <v>0</v>
      </c>
      <c r="G537" s="24">
        <v>1</v>
      </c>
      <c r="H537" s="24">
        <v>0</v>
      </c>
      <c r="I537" s="24">
        <v>19</v>
      </c>
      <c r="J537" s="24">
        <v>143</v>
      </c>
      <c r="K537" s="24">
        <v>200</v>
      </c>
      <c r="L537" s="24">
        <v>236</v>
      </c>
      <c r="M537" s="24">
        <v>268</v>
      </c>
      <c r="N537" s="24">
        <v>330</v>
      </c>
      <c r="O537" s="24">
        <v>305</v>
      </c>
      <c r="P537" s="24">
        <v>325</v>
      </c>
      <c r="Q537" s="24">
        <v>349</v>
      </c>
      <c r="R537" s="24">
        <v>328</v>
      </c>
      <c r="S537" s="24">
        <v>351</v>
      </c>
      <c r="T537" s="24">
        <v>318</v>
      </c>
      <c r="U537" s="24">
        <v>332</v>
      </c>
      <c r="V537" s="24">
        <v>300</v>
      </c>
      <c r="W537" s="24">
        <v>290</v>
      </c>
      <c r="X537" s="24">
        <v>231</v>
      </c>
      <c r="Y537" s="24">
        <v>214</v>
      </c>
      <c r="Z537" s="24">
        <v>228</v>
      </c>
      <c r="AA537" s="24">
        <v>254</v>
      </c>
      <c r="AB537" s="24">
        <v>254</v>
      </c>
      <c r="AC537" s="24">
        <v>314</v>
      </c>
      <c r="AD537" s="24">
        <v>302</v>
      </c>
      <c r="AE537" s="24">
        <v>292</v>
      </c>
      <c r="AF537" s="24">
        <v>326</v>
      </c>
      <c r="AG537" s="24">
        <v>316</v>
      </c>
      <c r="AH537" s="24">
        <v>318</v>
      </c>
      <c r="AI537" s="24">
        <v>312</v>
      </c>
      <c r="AJ537" s="24">
        <v>291</v>
      </c>
      <c r="AK537" s="24">
        <v>300</v>
      </c>
      <c r="AL537" s="24">
        <v>280</v>
      </c>
      <c r="AM537" s="24">
        <v>278</v>
      </c>
      <c r="AN537" s="24">
        <v>275</v>
      </c>
      <c r="AO537" s="24">
        <v>297</v>
      </c>
      <c r="AP537" s="24">
        <v>305</v>
      </c>
      <c r="AQ537" s="24">
        <v>255</v>
      </c>
      <c r="AR537" s="24">
        <v>129</v>
      </c>
      <c r="AS537" s="24">
        <v>32</v>
      </c>
      <c r="AT537" s="24">
        <v>3</v>
      </c>
      <c r="AU537" s="24">
        <v>0</v>
      </c>
      <c r="AV537" s="24">
        <v>0</v>
      </c>
      <c r="AW537" s="24">
        <v>1</v>
      </c>
      <c r="AX537" s="24">
        <v>1</v>
      </c>
      <c r="AY537" s="24">
        <v>0</v>
      </c>
      <c r="AZ537" s="24">
        <v>0</v>
      </c>
      <c r="BA537" s="24">
        <v>0</v>
      </c>
      <c r="BB537" s="24">
        <v>0</v>
      </c>
      <c r="BC537" s="24">
        <v>0</v>
      </c>
      <c r="BD537" s="24">
        <v>0</v>
      </c>
      <c r="BE537" s="24">
        <v>0</v>
      </c>
      <c r="BF537" s="24">
        <v>0</v>
      </c>
      <c r="BG537" s="24">
        <v>0</v>
      </c>
      <c r="BH537" s="24">
        <f>SUM(D537:BG537)</f>
        <v>9903</v>
      </c>
    </row>
    <row r="538" spans="1:60">
      <c r="A538" s="18" t="s">
        <v>261</v>
      </c>
      <c r="B538" s="18" t="s">
        <v>162</v>
      </c>
      <c r="C538" s="18" t="s">
        <v>218</v>
      </c>
      <c r="D538" s="24">
        <v>0</v>
      </c>
      <c r="E538" s="24">
        <v>0</v>
      </c>
      <c r="F538" s="24">
        <v>0</v>
      </c>
      <c r="G538" s="24">
        <v>0</v>
      </c>
      <c r="H538" s="24">
        <v>0</v>
      </c>
      <c r="I538" s="24">
        <v>1</v>
      </c>
      <c r="J538" s="24">
        <v>2</v>
      </c>
      <c r="K538" s="24">
        <v>2</v>
      </c>
      <c r="L538" s="24">
        <v>0</v>
      </c>
      <c r="M538" s="24">
        <v>1</v>
      </c>
      <c r="N538" s="24">
        <v>0</v>
      </c>
      <c r="O538" s="24">
        <v>0</v>
      </c>
      <c r="P538" s="24">
        <v>1</v>
      </c>
      <c r="Q538" s="24">
        <v>0</v>
      </c>
      <c r="R538" s="24">
        <v>0</v>
      </c>
      <c r="S538" s="24">
        <v>0</v>
      </c>
      <c r="T538" s="24">
        <v>0</v>
      </c>
      <c r="U538" s="24">
        <v>0</v>
      </c>
      <c r="V538" s="24">
        <v>0</v>
      </c>
      <c r="W538" s="24">
        <v>0</v>
      </c>
      <c r="X538" s="24">
        <v>0</v>
      </c>
      <c r="Y538" s="24">
        <v>0</v>
      </c>
      <c r="Z538" s="24">
        <v>0</v>
      </c>
      <c r="AA538" s="24">
        <v>0</v>
      </c>
      <c r="AB538" s="24">
        <v>0</v>
      </c>
      <c r="AC538" s="24">
        <v>0</v>
      </c>
      <c r="AD538" s="24">
        <v>0</v>
      </c>
      <c r="AE538" s="24">
        <v>0</v>
      </c>
      <c r="AF538" s="24">
        <v>0</v>
      </c>
      <c r="AG538" s="24">
        <v>0</v>
      </c>
      <c r="AH538" s="24">
        <v>0</v>
      </c>
      <c r="AI538" s="24">
        <v>0</v>
      </c>
      <c r="AJ538" s="24">
        <v>0</v>
      </c>
      <c r="AK538" s="24">
        <v>0</v>
      </c>
      <c r="AL538" s="24">
        <v>0</v>
      </c>
      <c r="AM538" s="24">
        <v>0</v>
      </c>
      <c r="AN538" s="24">
        <v>11</v>
      </c>
      <c r="AO538" s="24">
        <v>7</v>
      </c>
      <c r="AP538" s="24">
        <v>10</v>
      </c>
      <c r="AQ538" s="24">
        <v>13</v>
      </c>
      <c r="AR538" s="24">
        <v>19</v>
      </c>
      <c r="AS538" s="24">
        <v>8</v>
      </c>
      <c r="AT538" s="24">
        <v>2</v>
      </c>
      <c r="AU538" s="24">
        <v>0</v>
      </c>
      <c r="AV538" s="24">
        <v>0</v>
      </c>
      <c r="AW538" s="24">
        <v>0</v>
      </c>
      <c r="AX538" s="24">
        <v>0</v>
      </c>
      <c r="AY538" s="24">
        <v>0</v>
      </c>
      <c r="AZ538" s="24">
        <v>0</v>
      </c>
      <c r="BA538" s="24">
        <v>0</v>
      </c>
      <c r="BB538" s="24">
        <v>0</v>
      </c>
      <c r="BC538" s="24">
        <v>0</v>
      </c>
      <c r="BD538" s="24">
        <v>0</v>
      </c>
      <c r="BE538" s="24">
        <v>0</v>
      </c>
      <c r="BF538" s="24">
        <v>0</v>
      </c>
      <c r="BG538" s="24">
        <v>0</v>
      </c>
      <c r="BH538" s="24">
        <f>SUM(D538:BG538)</f>
        <v>77</v>
      </c>
    </row>
    <row r="539" spans="1:60">
      <c r="A539" s="18" t="s">
        <v>262</v>
      </c>
      <c r="B539" s="18" t="s">
        <v>162</v>
      </c>
      <c r="C539" s="18" t="s">
        <v>220</v>
      </c>
      <c r="D539" s="24">
        <v>0</v>
      </c>
      <c r="E539" s="24">
        <v>0</v>
      </c>
      <c r="F539" s="24">
        <v>0</v>
      </c>
      <c r="G539" s="24">
        <v>0</v>
      </c>
      <c r="H539" s="24">
        <v>0</v>
      </c>
      <c r="I539" s="24">
        <v>6</v>
      </c>
      <c r="J539" s="24">
        <v>3</v>
      </c>
      <c r="K539" s="24">
        <v>2</v>
      </c>
      <c r="L539" s="24">
        <v>3</v>
      </c>
      <c r="M539" s="24">
        <v>1</v>
      </c>
      <c r="N539" s="24">
        <v>1</v>
      </c>
      <c r="O539" s="24">
        <v>3</v>
      </c>
      <c r="P539" s="24">
        <v>1</v>
      </c>
      <c r="Q539" s="24">
        <v>0</v>
      </c>
      <c r="R539" s="24">
        <v>2</v>
      </c>
      <c r="S539" s="24">
        <v>1</v>
      </c>
      <c r="T539" s="24">
        <v>2</v>
      </c>
      <c r="U539" s="24">
        <v>0</v>
      </c>
      <c r="V539" s="24">
        <v>1</v>
      </c>
      <c r="W539" s="24">
        <v>0</v>
      </c>
      <c r="X539" s="24">
        <v>0</v>
      </c>
      <c r="Y539" s="24">
        <v>0</v>
      </c>
      <c r="Z539" s="24">
        <v>0</v>
      </c>
      <c r="AA539" s="24">
        <v>0</v>
      </c>
      <c r="AB539" s="24">
        <v>0</v>
      </c>
      <c r="AC539" s="24">
        <v>0</v>
      </c>
      <c r="AD539" s="24">
        <v>0</v>
      </c>
      <c r="AE539" s="24">
        <v>0</v>
      </c>
      <c r="AF539" s="24">
        <v>0</v>
      </c>
      <c r="AG539" s="24">
        <v>0</v>
      </c>
      <c r="AH539" s="24">
        <v>0</v>
      </c>
      <c r="AI539" s="24">
        <v>0</v>
      </c>
      <c r="AJ539" s="24">
        <v>0</v>
      </c>
      <c r="AK539" s="24">
        <v>0</v>
      </c>
      <c r="AL539" s="24">
        <v>0</v>
      </c>
      <c r="AM539" s="24">
        <v>0</v>
      </c>
      <c r="AN539" s="24">
        <v>0</v>
      </c>
      <c r="AO539" s="24">
        <v>0</v>
      </c>
      <c r="AP539" s="24">
        <v>0</v>
      </c>
      <c r="AQ539" s="24">
        <v>0</v>
      </c>
      <c r="AR539" s="24">
        <v>0</v>
      </c>
      <c r="AS539" s="24">
        <v>0</v>
      </c>
      <c r="AT539" s="24">
        <v>0</v>
      </c>
      <c r="AU539" s="24">
        <v>0</v>
      </c>
      <c r="AV539" s="24">
        <v>0</v>
      </c>
      <c r="AW539" s="24">
        <v>0</v>
      </c>
      <c r="AX539" s="24">
        <v>0</v>
      </c>
      <c r="AY539" s="24">
        <v>0</v>
      </c>
      <c r="AZ539" s="24">
        <v>0</v>
      </c>
      <c r="BA539" s="24">
        <v>0</v>
      </c>
      <c r="BB539" s="24">
        <v>0</v>
      </c>
      <c r="BC539" s="24">
        <v>0</v>
      </c>
      <c r="BD539" s="24">
        <v>0</v>
      </c>
      <c r="BE539" s="24">
        <v>0</v>
      </c>
      <c r="BF539" s="24">
        <v>0</v>
      </c>
      <c r="BG539" s="24">
        <v>0</v>
      </c>
      <c r="BH539" s="24">
        <f>SUM(D539:BG539)</f>
        <v>26</v>
      </c>
    </row>
    <row r="540" spans="1:60">
      <c r="A540" s="18" t="s">
        <v>263</v>
      </c>
      <c r="B540" s="18" t="s">
        <v>176</v>
      </c>
      <c r="C540" s="18" t="s">
        <v>5</v>
      </c>
      <c r="D540" s="24">
        <v>0</v>
      </c>
      <c r="E540" s="24">
        <v>0</v>
      </c>
      <c r="F540" s="24">
        <v>0</v>
      </c>
      <c r="G540" s="24">
        <v>0</v>
      </c>
      <c r="H540" s="24">
        <v>0</v>
      </c>
      <c r="I540" s="24">
        <v>58</v>
      </c>
      <c r="J540" s="24">
        <v>175</v>
      </c>
      <c r="K540" s="24">
        <v>169</v>
      </c>
      <c r="L540" s="24">
        <v>210</v>
      </c>
      <c r="M540" s="24">
        <v>253</v>
      </c>
      <c r="N540" s="24">
        <v>284</v>
      </c>
      <c r="O540" s="24">
        <v>286</v>
      </c>
      <c r="P540" s="24">
        <v>295</v>
      </c>
      <c r="Q540" s="24">
        <v>327</v>
      </c>
      <c r="R540" s="24">
        <v>329</v>
      </c>
      <c r="S540" s="24">
        <v>303</v>
      </c>
      <c r="T540" s="24">
        <v>276</v>
      </c>
      <c r="U540" s="24">
        <v>279</v>
      </c>
      <c r="V540" s="24">
        <v>276</v>
      </c>
      <c r="W540" s="24">
        <v>224</v>
      </c>
      <c r="X540" s="24">
        <v>203</v>
      </c>
      <c r="Y540" s="24">
        <v>201</v>
      </c>
      <c r="Z540" s="24">
        <v>193</v>
      </c>
      <c r="AA540" s="24">
        <v>158</v>
      </c>
      <c r="AB540" s="24">
        <v>198</v>
      </c>
      <c r="AC540" s="24">
        <v>236</v>
      </c>
      <c r="AD540" s="24">
        <v>250</v>
      </c>
      <c r="AE540" s="24">
        <v>235</v>
      </c>
      <c r="AF540" s="24">
        <v>232</v>
      </c>
      <c r="AG540" s="24">
        <v>241</v>
      </c>
      <c r="AH540" s="24">
        <v>224</v>
      </c>
      <c r="AI540" s="24">
        <v>215</v>
      </c>
      <c r="AJ540" s="24">
        <v>213</v>
      </c>
      <c r="AK540" s="24">
        <v>187</v>
      </c>
      <c r="AL540" s="24">
        <v>205</v>
      </c>
      <c r="AM540" s="24">
        <v>176</v>
      </c>
      <c r="AN540" s="24">
        <v>175</v>
      </c>
      <c r="AO540" s="24">
        <v>192</v>
      </c>
      <c r="AP540" s="24">
        <v>180</v>
      </c>
      <c r="AQ540" s="24">
        <v>116</v>
      </c>
      <c r="AR540" s="24">
        <v>73</v>
      </c>
      <c r="AS540" s="24">
        <v>5</v>
      </c>
      <c r="AT540" s="24">
        <v>0</v>
      </c>
      <c r="AU540" s="24">
        <v>0</v>
      </c>
      <c r="AV540" s="24">
        <v>0</v>
      </c>
      <c r="AW540" s="24">
        <v>1</v>
      </c>
      <c r="AX540" s="24">
        <v>0</v>
      </c>
      <c r="AY540" s="24">
        <v>0</v>
      </c>
      <c r="AZ540" s="24">
        <v>0</v>
      </c>
      <c r="BA540" s="24">
        <v>0</v>
      </c>
      <c r="BB540" s="24">
        <v>0</v>
      </c>
      <c r="BC540" s="24">
        <v>0</v>
      </c>
      <c r="BD540" s="24">
        <v>0</v>
      </c>
      <c r="BE540" s="24">
        <v>0</v>
      </c>
      <c r="BF540" s="24">
        <v>0</v>
      </c>
      <c r="BG540" s="24">
        <v>0</v>
      </c>
      <c r="BH540" s="24">
        <f>SUM(D540:BG540)</f>
        <v>7853</v>
      </c>
    </row>
    <row r="541" spans="1:60">
      <c r="A541" s="18" t="s">
        <v>264</v>
      </c>
      <c r="B541" s="18" t="s">
        <v>176</v>
      </c>
      <c r="C541" s="18" t="s">
        <v>210</v>
      </c>
      <c r="D541" s="24">
        <v>0</v>
      </c>
      <c r="E541" s="24">
        <v>0</v>
      </c>
      <c r="F541" s="24">
        <v>0</v>
      </c>
      <c r="G541" s="24">
        <v>0</v>
      </c>
      <c r="H541" s="24">
        <v>2</v>
      </c>
      <c r="I541" s="24">
        <v>33</v>
      </c>
      <c r="J541" s="24">
        <v>119</v>
      </c>
      <c r="K541" s="24">
        <v>147</v>
      </c>
      <c r="L541" s="24">
        <v>190</v>
      </c>
      <c r="M541" s="24">
        <v>227</v>
      </c>
      <c r="N541" s="24">
        <v>228</v>
      </c>
      <c r="O541" s="24">
        <v>230</v>
      </c>
      <c r="P541" s="24">
        <v>277</v>
      </c>
      <c r="Q541" s="24">
        <v>256</v>
      </c>
      <c r="R541" s="24">
        <v>290</v>
      </c>
      <c r="S541" s="24">
        <v>303</v>
      </c>
      <c r="T541" s="24">
        <v>285</v>
      </c>
      <c r="U541" s="24">
        <v>242</v>
      </c>
      <c r="V541" s="24">
        <v>276</v>
      </c>
      <c r="W541" s="24">
        <v>207</v>
      </c>
      <c r="X541" s="24">
        <v>184</v>
      </c>
      <c r="Y541" s="24">
        <v>199</v>
      </c>
      <c r="Z541" s="24">
        <v>175</v>
      </c>
      <c r="AA541" s="24">
        <v>147</v>
      </c>
      <c r="AB541" s="24">
        <v>184</v>
      </c>
      <c r="AC541" s="24">
        <v>251</v>
      </c>
      <c r="AD541" s="24">
        <v>234</v>
      </c>
      <c r="AE541" s="24">
        <v>228</v>
      </c>
      <c r="AF541" s="24">
        <v>241</v>
      </c>
      <c r="AG541" s="24">
        <v>207</v>
      </c>
      <c r="AH541" s="24">
        <v>232</v>
      </c>
      <c r="AI541" s="24">
        <v>194</v>
      </c>
      <c r="AJ541" s="24">
        <v>192</v>
      </c>
      <c r="AK541" s="24">
        <v>203</v>
      </c>
      <c r="AL541" s="24">
        <v>187</v>
      </c>
      <c r="AM541" s="24">
        <v>178</v>
      </c>
      <c r="AN541" s="24">
        <v>218</v>
      </c>
      <c r="AO541" s="24">
        <v>187</v>
      </c>
      <c r="AP541" s="24">
        <v>161</v>
      </c>
      <c r="AQ541" s="24">
        <v>121</v>
      </c>
      <c r="AR541" s="24">
        <v>88</v>
      </c>
      <c r="AS541" s="24">
        <v>4</v>
      </c>
      <c r="AT541" s="24">
        <v>0</v>
      </c>
      <c r="AU541" s="24">
        <v>0</v>
      </c>
      <c r="AV541" s="24">
        <v>0</v>
      </c>
      <c r="AW541" s="24">
        <v>0</v>
      </c>
      <c r="AX541" s="24">
        <v>0</v>
      </c>
      <c r="AY541" s="24">
        <v>0</v>
      </c>
      <c r="AZ541" s="24">
        <v>0</v>
      </c>
      <c r="BA541" s="24">
        <v>0</v>
      </c>
      <c r="BB541" s="24">
        <v>0</v>
      </c>
      <c r="BC541" s="24">
        <v>1</v>
      </c>
      <c r="BD541" s="24">
        <v>0</v>
      </c>
      <c r="BE541" s="24">
        <v>0</v>
      </c>
      <c r="BF541" s="24">
        <v>0</v>
      </c>
      <c r="BG541" s="24">
        <v>0</v>
      </c>
      <c r="BH541" s="24">
        <f>SUM(D541:BG541)</f>
        <v>7328</v>
      </c>
    </row>
    <row r="542" spans="1:60">
      <c r="A542" s="18" t="s">
        <v>265</v>
      </c>
      <c r="B542" s="18" t="s">
        <v>176</v>
      </c>
      <c r="C542" s="18" t="s">
        <v>212</v>
      </c>
      <c r="D542" s="24">
        <v>0</v>
      </c>
      <c r="E542" s="24">
        <v>0</v>
      </c>
      <c r="F542" s="24">
        <v>0</v>
      </c>
      <c r="G542" s="24">
        <v>0</v>
      </c>
      <c r="H542" s="24">
        <v>1</v>
      </c>
      <c r="I542" s="24">
        <v>21</v>
      </c>
      <c r="J542" s="24">
        <v>123</v>
      </c>
      <c r="K542" s="24">
        <v>132</v>
      </c>
      <c r="L542" s="24">
        <v>156</v>
      </c>
      <c r="M542" s="24">
        <v>207</v>
      </c>
      <c r="N542" s="24">
        <v>232</v>
      </c>
      <c r="O542" s="24">
        <v>240</v>
      </c>
      <c r="P542" s="24">
        <v>226</v>
      </c>
      <c r="Q542" s="24">
        <v>254</v>
      </c>
      <c r="R542" s="24">
        <v>251</v>
      </c>
      <c r="S542" s="24">
        <v>247</v>
      </c>
      <c r="T542" s="24">
        <v>252</v>
      </c>
      <c r="U542" s="24">
        <v>243</v>
      </c>
      <c r="V542" s="24">
        <v>245</v>
      </c>
      <c r="W542" s="24">
        <v>210</v>
      </c>
      <c r="X542" s="24">
        <v>212</v>
      </c>
      <c r="Y542" s="24">
        <v>164</v>
      </c>
      <c r="Z542" s="24">
        <v>170</v>
      </c>
      <c r="AA542" s="24">
        <v>196</v>
      </c>
      <c r="AB542" s="24">
        <v>222</v>
      </c>
      <c r="AC542" s="24">
        <v>214</v>
      </c>
      <c r="AD542" s="24">
        <v>201</v>
      </c>
      <c r="AE542" s="24">
        <v>217</v>
      </c>
      <c r="AF542" s="24">
        <v>251</v>
      </c>
      <c r="AG542" s="24">
        <v>206</v>
      </c>
      <c r="AH542" s="24">
        <v>230</v>
      </c>
      <c r="AI542" s="24">
        <v>188</v>
      </c>
      <c r="AJ542" s="24">
        <v>197</v>
      </c>
      <c r="AK542" s="24">
        <v>195</v>
      </c>
      <c r="AL542" s="24">
        <v>204</v>
      </c>
      <c r="AM542" s="24">
        <v>176</v>
      </c>
      <c r="AN542" s="24">
        <v>186</v>
      </c>
      <c r="AO542" s="24">
        <v>200</v>
      </c>
      <c r="AP542" s="24">
        <v>167</v>
      </c>
      <c r="AQ542" s="24">
        <v>127</v>
      </c>
      <c r="AR542" s="24">
        <v>81</v>
      </c>
      <c r="AS542" s="24">
        <v>4</v>
      </c>
      <c r="AT542" s="24">
        <v>0</v>
      </c>
      <c r="AU542" s="24">
        <v>0</v>
      </c>
      <c r="AV542" s="24">
        <v>0</v>
      </c>
      <c r="AW542" s="24">
        <v>0</v>
      </c>
      <c r="AX542" s="24">
        <v>0</v>
      </c>
      <c r="AY542" s="24">
        <v>0</v>
      </c>
      <c r="AZ542" s="24">
        <v>0</v>
      </c>
      <c r="BA542" s="24">
        <v>0</v>
      </c>
      <c r="BB542" s="24">
        <v>0</v>
      </c>
      <c r="BC542" s="24">
        <v>0</v>
      </c>
      <c r="BD542" s="24">
        <v>0</v>
      </c>
      <c r="BE542" s="24">
        <v>0</v>
      </c>
      <c r="BF542" s="24">
        <v>0</v>
      </c>
      <c r="BG542" s="24">
        <v>0</v>
      </c>
      <c r="BH542" s="24">
        <f>SUM(D542:BG542)</f>
        <v>7048</v>
      </c>
    </row>
    <row r="543" spans="1:60">
      <c r="A543" s="18" t="s">
        <v>266</v>
      </c>
      <c r="B543" s="18" t="s">
        <v>176</v>
      </c>
      <c r="C543" s="18" t="s">
        <v>214</v>
      </c>
      <c r="D543" s="24">
        <v>0</v>
      </c>
      <c r="E543" s="24">
        <v>0</v>
      </c>
      <c r="F543" s="24">
        <v>0</v>
      </c>
      <c r="G543" s="24">
        <v>0</v>
      </c>
      <c r="H543" s="24">
        <v>0</v>
      </c>
      <c r="I543" s="24">
        <v>31</v>
      </c>
      <c r="J543" s="24">
        <v>102</v>
      </c>
      <c r="K543" s="24">
        <v>137</v>
      </c>
      <c r="L543" s="24">
        <v>189</v>
      </c>
      <c r="M543" s="24">
        <v>215</v>
      </c>
      <c r="N543" s="24">
        <v>235</v>
      </c>
      <c r="O543" s="24">
        <v>213</v>
      </c>
      <c r="P543" s="24">
        <v>258</v>
      </c>
      <c r="Q543" s="24">
        <v>281</v>
      </c>
      <c r="R543" s="24">
        <v>292</v>
      </c>
      <c r="S543" s="24">
        <v>266</v>
      </c>
      <c r="T543" s="24">
        <v>273</v>
      </c>
      <c r="U543" s="24">
        <v>263</v>
      </c>
      <c r="V543" s="24">
        <v>257</v>
      </c>
      <c r="W543" s="24">
        <v>198</v>
      </c>
      <c r="X543" s="24">
        <v>193</v>
      </c>
      <c r="Y543" s="24">
        <v>216</v>
      </c>
      <c r="Z543" s="24">
        <v>184</v>
      </c>
      <c r="AA543" s="24">
        <v>179</v>
      </c>
      <c r="AB543" s="24">
        <v>209</v>
      </c>
      <c r="AC543" s="24">
        <v>252</v>
      </c>
      <c r="AD543" s="24">
        <v>235</v>
      </c>
      <c r="AE543" s="24">
        <v>227</v>
      </c>
      <c r="AF543" s="24">
        <v>255</v>
      </c>
      <c r="AG543" s="24">
        <v>262</v>
      </c>
      <c r="AH543" s="24">
        <v>232</v>
      </c>
      <c r="AI543" s="24">
        <v>215</v>
      </c>
      <c r="AJ543" s="24">
        <v>227</v>
      </c>
      <c r="AK543" s="24">
        <v>201</v>
      </c>
      <c r="AL543" s="24">
        <v>198</v>
      </c>
      <c r="AM543" s="24">
        <v>194</v>
      </c>
      <c r="AN543" s="24">
        <v>162</v>
      </c>
      <c r="AO543" s="24">
        <v>173</v>
      </c>
      <c r="AP543" s="24">
        <v>166</v>
      </c>
      <c r="AQ543" s="24">
        <v>108</v>
      </c>
      <c r="AR543" s="24">
        <v>75</v>
      </c>
      <c r="AS543" s="24">
        <v>3</v>
      </c>
      <c r="AT543" s="24">
        <v>0</v>
      </c>
      <c r="AU543" s="24">
        <v>2</v>
      </c>
      <c r="AV543" s="24">
        <v>1</v>
      </c>
      <c r="AW543" s="24">
        <v>2</v>
      </c>
      <c r="AX543" s="24">
        <v>4</v>
      </c>
      <c r="AY543" s="24">
        <v>2</v>
      </c>
      <c r="AZ543" s="24">
        <v>0</v>
      </c>
      <c r="BA543" s="24">
        <v>2</v>
      </c>
      <c r="BB543" s="24">
        <v>0</v>
      </c>
      <c r="BC543" s="24">
        <v>0</v>
      </c>
      <c r="BD543" s="24">
        <v>0</v>
      </c>
      <c r="BE543" s="24">
        <v>0</v>
      </c>
      <c r="BF543" s="24">
        <v>0</v>
      </c>
      <c r="BG543" s="24">
        <v>0</v>
      </c>
      <c r="BH543" s="24">
        <f>SUM(D543:BG543)</f>
        <v>7389</v>
      </c>
    </row>
    <row r="544" spans="1:60">
      <c r="A544" s="18" t="s">
        <v>267</v>
      </c>
      <c r="B544" s="18" t="s">
        <v>176</v>
      </c>
      <c r="C544" s="18" t="s">
        <v>216</v>
      </c>
      <c r="D544" s="24">
        <v>0</v>
      </c>
      <c r="E544" s="24">
        <v>0</v>
      </c>
      <c r="F544" s="24">
        <v>0</v>
      </c>
      <c r="G544" s="24">
        <v>0</v>
      </c>
      <c r="H544" s="24">
        <v>0</v>
      </c>
      <c r="I544" s="24">
        <v>36</v>
      </c>
      <c r="J544" s="24">
        <v>151</v>
      </c>
      <c r="K544" s="24">
        <v>156</v>
      </c>
      <c r="L544" s="24">
        <v>181</v>
      </c>
      <c r="M544" s="24">
        <v>224</v>
      </c>
      <c r="N544" s="24">
        <v>262</v>
      </c>
      <c r="O544" s="24">
        <v>242</v>
      </c>
      <c r="P544" s="24">
        <v>256</v>
      </c>
      <c r="Q544" s="24">
        <v>243</v>
      </c>
      <c r="R544" s="24">
        <v>271</v>
      </c>
      <c r="S544" s="24">
        <v>291</v>
      </c>
      <c r="T544" s="24">
        <v>267</v>
      </c>
      <c r="U544" s="24">
        <v>261</v>
      </c>
      <c r="V544" s="24">
        <v>258</v>
      </c>
      <c r="W544" s="24">
        <v>210</v>
      </c>
      <c r="X544" s="24">
        <v>204</v>
      </c>
      <c r="Y544" s="24">
        <v>188</v>
      </c>
      <c r="Z544" s="24">
        <v>173</v>
      </c>
      <c r="AA544" s="24">
        <v>208</v>
      </c>
      <c r="AB544" s="24">
        <v>224</v>
      </c>
      <c r="AC544" s="24">
        <v>287</v>
      </c>
      <c r="AD544" s="24">
        <v>246</v>
      </c>
      <c r="AE544" s="24">
        <v>258</v>
      </c>
      <c r="AF544" s="24">
        <v>258</v>
      </c>
      <c r="AG544" s="24">
        <v>250</v>
      </c>
      <c r="AH544" s="24">
        <v>259</v>
      </c>
      <c r="AI544" s="24">
        <v>236</v>
      </c>
      <c r="AJ544" s="24">
        <v>235</v>
      </c>
      <c r="AK544" s="24">
        <v>216</v>
      </c>
      <c r="AL544" s="24">
        <v>226</v>
      </c>
      <c r="AM544" s="24">
        <v>221</v>
      </c>
      <c r="AN544" s="24">
        <v>211</v>
      </c>
      <c r="AO544" s="24">
        <v>200</v>
      </c>
      <c r="AP544" s="24">
        <v>195</v>
      </c>
      <c r="AQ544" s="24">
        <v>117</v>
      </c>
      <c r="AR544" s="24">
        <v>68</v>
      </c>
      <c r="AS544" s="24">
        <v>4</v>
      </c>
      <c r="AT544" s="24">
        <v>1</v>
      </c>
      <c r="AU544" s="24">
        <v>0</v>
      </c>
      <c r="AV544" s="24">
        <v>0</v>
      </c>
      <c r="AW544" s="24">
        <v>1</v>
      </c>
      <c r="AX544" s="24">
        <v>0</v>
      </c>
      <c r="AY544" s="24">
        <v>0</v>
      </c>
      <c r="AZ544" s="24">
        <v>0</v>
      </c>
      <c r="BA544" s="24">
        <v>0</v>
      </c>
      <c r="BB544" s="24">
        <v>0</v>
      </c>
      <c r="BC544" s="24">
        <v>0</v>
      </c>
      <c r="BD544" s="24">
        <v>0</v>
      </c>
      <c r="BE544" s="24">
        <v>0</v>
      </c>
      <c r="BF544" s="24">
        <v>0</v>
      </c>
      <c r="BG544" s="24">
        <v>0</v>
      </c>
      <c r="BH544" s="24">
        <f>SUM(D544:BG544)</f>
        <v>7795</v>
      </c>
    </row>
    <row r="545" spans="1:60">
      <c r="A545" s="18" t="s">
        <v>268</v>
      </c>
      <c r="B545" s="18" t="s">
        <v>176</v>
      </c>
      <c r="C545" s="18" t="s">
        <v>218</v>
      </c>
      <c r="D545" s="24">
        <v>0</v>
      </c>
      <c r="E545" s="24">
        <v>0</v>
      </c>
      <c r="F545" s="24">
        <v>0</v>
      </c>
      <c r="G545" s="24">
        <v>0</v>
      </c>
      <c r="H545" s="24">
        <v>0</v>
      </c>
      <c r="I545" s="24">
        <v>3</v>
      </c>
      <c r="J545" s="24">
        <v>1</v>
      </c>
      <c r="K545" s="24">
        <v>0</v>
      </c>
      <c r="L545" s="24">
        <v>1</v>
      </c>
      <c r="M545" s="24">
        <v>2</v>
      </c>
      <c r="N545" s="24">
        <v>0</v>
      </c>
      <c r="O545" s="24">
        <v>1</v>
      </c>
      <c r="P545" s="24">
        <v>0</v>
      </c>
      <c r="Q545" s="24">
        <v>0</v>
      </c>
      <c r="R545" s="24">
        <v>1</v>
      </c>
      <c r="S545" s="24">
        <v>0</v>
      </c>
      <c r="T545" s="24">
        <v>0</v>
      </c>
      <c r="U545" s="24">
        <v>0</v>
      </c>
      <c r="V545" s="24">
        <v>0</v>
      </c>
      <c r="W545" s="24">
        <v>1</v>
      </c>
      <c r="X545" s="24">
        <v>0</v>
      </c>
      <c r="Y545" s="24">
        <v>0</v>
      </c>
      <c r="Z545" s="24">
        <v>0</v>
      </c>
      <c r="AA545" s="24">
        <v>0</v>
      </c>
      <c r="AB545" s="24">
        <v>0</v>
      </c>
      <c r="AC545" s="24">
        <v>0</v>
      </c>
      <c r="AD545" s="24">
        <v>0</v>
      </c>
      <c r="AE545" s="24">
        <v>0</v>
      </c>
      <c r="AF545" s="24">
        <v>0</v>
      </c>
      <c r="AG545" s="24">
        <v>0</v>
      </c>
      <c r="AH545" s="24">
        <v>0</v>
      </c>
      <c r="AI545" s="24">
        <v>0</v>
      </c>
      <c r="AJ545" s="24">
        <v>0</v>
      </c>
      <c r="AK545" s="24">
        <v>0</v>
      </c>
      <c r="AL545" s="24">
        <v>3</v>
      </c>
      <c r="AM545" s="24">
        <v>3</v>
      </c>
      <c r="AN545" s="24">
        <v>20</v>
      </c>
      <c r="AO545" s="24">
        <v>1</v>
      </c>
      <c r="AP545" s="24">
        <v>0</v>
      </c>
      <c r="AQ545" s="24">
        <v>6</v>
      </c>
      <c r="AR545" s="24">
        <v>21</v>
      </c>
      <c r="AS545" s="24">
        <v>2</v>
      </c>
      <c r="AT545" s="24">
        <v>2</v>
      </c>
      <c r="AU545" s="24">
        <v>10</v>
      </c>
      <c r="AV545" s="24">
        <v>6</v>
      </c>
      <c r="AW545" s="24">
        <v>0</v>
      </c>
      <c r="AX545" s="24">
        <v>0</v>
      </c>
      <c r="AY545" s="24">
        <v>0</v>
      </c>
      <c r="AZ545" s="24">
        <v>0</v>
      </c>
      <c r="BA545" s="24">
        <v>0</v>
      </c>
      <c r="BB545" s="24">
        <v>0</v>
      </c>
      <c r="BC545" s="24">
        <v>0</v>
      </c>
      <c r="BD545" s="24">
        <v>0</v>
      </c>
      <c r="BE545" s="24">
        <v>0</v>
      </c>
      <c r="BF545" s="24">
        <v>0</v>
      </c>
      <c r="BG545" s="24">
        <v>0</v>
      </c>
      <c r="BH545" s="24">
        <f>SUM(D545:BG545)</f>
        <v>84</v>
      </c>
    </row>
    <row r="546" spans="1:60">
      <c r="A546" s="18" t="s">
        <v>269</v>
      </c>
      <c r="B546" s="18" t="s">
        <v>176</v>
      </c>
      <c r="C546" s="18" t="s">
        <v>220</v>
      </c>
      <c r="D546" s="24">
        <v>0</v>
      </c>
      <c r="E546" s="24">
        <v>0</v>
      </c>
      <c r="F546" s="24">
        <v>0</v>
      </c>
      <c r="G546" s="24">
        <v>0</v>
      </c>
      <c r="H546" s="24">
        <v>0</v>
      </c>
      <c r="I546" s="24">
        <v>8</v>
      </c>
      <c r="J546" s="24">
        <v>5</v>
      </c>
      <c r="K546" s="24">
        <v>5</v>
      </c>
      <c r="L546" s="24">
        <v>7</v>
      </c>
      <c r="M546" s="24">
        <v>2</v>
      </c>
      <c r="N546" s="24">
        <v>4</v>
      </c>
      <c r="O546" s="24">
        <v>8</v>
      </c>
      <c r="P546" s="24">
        <v>6</v>
      </c>
      <c r="Q546" s="24">
        <v>4</v>
      </c>
      <c r="R546" s="24">
        <v>6</v>
      </c>
      <c r="S546" s="24">
        <v>3</v>
      </c>
      <c r="T546" s="24">
        <v>3</v>
      </c>
      <c r="U546" s="24">
        <v>7</v>
      </c>
      <c r="V546" s="24">
        <v>1</v>
      </c>
      <c r="W546" s="24">
        <v>1</v>
      </c>
      <c r="X546" s="24">
        <v>0</v>
      </c>
      <c r="Y546" s="24">
        <v>0</v>
      </c>
      <c r="Z546" s="24">
        <v>0</v>
      </c>
      <c r="AA546" s="24">
        <v>0</v>
      </c>
      <c r="AB546" s="24">
        <v>0</v>
      </c>
      <c r="AC546" s="24">
        <v>0</v>
      </c>
      <c r="AD546" s="24">
        <v>0</v>
      </c>
      <c r="AE546" s="24">
        <v>0</v>
      </c>
      <c r="AF546" s="24">
        <v>0</v>
      </c>
      <c r="AG546" s="24">
        <v>0</v>
      </c>
      <c r="AH546" s="24">
        <v>0</v>
      </c>
      <c r="AI546" s="24">
        <v>0</v>
      </c>
      <c r="AJ546" s="24">
        <v>0</v>
      </c>
      <c r="AK546" s="24">
        <v>0</v>
      </c>
      <c r="AL546" s="24">
        <v>0</v>
      </c>
      <c r="AM546" s="24">
        <v>0</v>
      </c>
      <c r="AN546" s="24">
        <v>0</v>
      </c>
      <c r="AO546" s="24">
        <v>0</v>
      </c>
      <c r="AP546" s="24">
        <v>0</v>
      </c>
      <c r="AQ546" s="24">
        <v>0</v>
      </c>
      <c r="AR546" s="24">
        <v>0</v>
      </c>
      <c r="AS546" s="24">
        <v>0</v>
      </c>
      <c r="AT546" s="24">
        <v>0</v>
      </c>
      <c r="AU546" s="24">
        <v>0</v>
      </c>
      <c r="AV546" s="24">
        <v>0</v>
      </c>
      <c r="AW546" s="24">
        <v>0</v>
      </c>
      <c r="AX546" s="24">
        <v>0</v>
      </c>
      <c r="AY546" s="24">
        <v>0</v>
      </c>
      <c r="AZ546" s="24">
        <v>0</v>
      </c>
      <c r="BA546" s="24">
        <v>0</v>
      </c>
      <c r="BB546" s="24">
        <v>0</v>
      </c>
      <c r="BC546" s="24">
        <v>0</v>
      </c>
      <c r="BD546" s="24">
        <v>0</v>
      </c>
      <c r="BE546" s="24">
        <v>0</v>
      </c>
      <c r="BF546" s="24">
        <v>0</v>
      </c>
      <c r="BG546" s="24">
        <v>0</v>
      </c>
      <c r="BH546" s="24">
        <f>SUM(D546:BG546)</f>
        <v>70</v>
      </c>
    </row>
    <row r="547" spans="1:60">
      <c r="A547" s="18" t="s">
        <v>270</v>
      </c>
      <c r="B547" s="18" t="s">
        <v>190</v>
      </c>
      <c r="C547" s="18" t="s">
        <v>5</v>
      </c>
      <c r="D547" s="24">
        <v>0</v>
      </c>
      <c r="E547" s="24">
        <v>0</v>
      </c>
      <c r="F547" s="24">
        <v>0</v>
      </c>
      <c r="G547" s="24">
        <v>1</v>
      </c>
      <c r="H547" s="24">
        <v>27</v>
      </c>
      <c r="I547" s="24">
        <v>177</v>
      </c>
      <c r="J547" s="24">
        <v>478</v>
      </c>
      <c r="K547" s="24">
        <v>497</v>
      </c>
      <c r="L547" s="24">
        <v>552</v>
      </c>
      <c r="M547" s="24">
        <v>599</v>
      </c>
      <c r="N547" s="24">
        <v>673</v>
      </c>
      <c r="O547" s="24">
        <v>714</v>
      </c>
      <c r="P547" s="24">
        <v>718</v>
      </c>
      <c r="Q547" s="24">
        <v>767</v>
      </c>
      <c r="R547" s="24">
        <v>758</v>
      </c>
      <c r="S547" s="24">
        <v>756</v>
      </c>
      <c r="T547" s="24">
        <v>756</v>
      </c>
      <c r="U547" s="24">
        <v>716</v>
      </c>
      <c r="V547" s="24">
        <v>623</v>
      </c>
      <c r="W547" s="24">
        <v>597</v>
      </c>
      <c r="X547" s="24">
        <v>513</v>
      </c>
      <c r="Y547" s="24">
        <v>515</v>
      </c>
      <c r="Z547" s="24">
        <v>465</v>
      </c>
      <c r="AA547" s="24">
        <v>485</v>
      </c>
      <c r="AB547" s="24">
        <v>594</v>
      </c>
      <c r="AC547" s="24">
        <v>628</v>
      </c>
      <c r="AD547" s="24">
        <v>609</v>
      </c>
      <c r="AE547" s="24">
        <v>662</v>
      </c>
      <c r="AF547" s="24">
        <v>637</v>
      </c>
      <c r="AG547" s="24">
        <v>632</v>
      </c>
      <c r="AH547" s="24">
        <v>610</v>
      </c>
      <c r="AI547" s="24">
        <v>584</v>
      </c>
      <c r="AJ547" s="24">
        <v>583</v>
      </c>
      <c r="AK547" s="24">
        <v>525</v>
      </c>
      <c r="AL547" s="24">
        <v>529</v>
      </c>
      <c r="AM547" s="24">
        <v>497</v>
      </c>
      <c r="AN547" s="24">
        <v>504</v>
      </c>
      <c r="AO547" s="24">
        <v>487</v>
      </c>
      <c r="AP547" s="24">
        <v>461</v>
      </c>
      <c r="AQ547" s="24">
        <v>360</v>
      </c>
      <c r="AR547" s="24">
        <v>147</v>
      </c>
      <c r="AS547" s="24">
        <v>3</v>
      </c>
      <c r="AT547" s="24">
        <v>2</v>
      </c>
      <c r="AU547" s="24">
        <v>0</v>
      </c>
      <c r="AV547" s="24">
        <v>0</v>
      </c>
      <c r="AW547" s="24">
        <v>1</v>
      </c>
      <c r="AX547" s="24">
        <v>0</v>
      </c>
      <c r="AY547" s="24">
        <v>0</v>
      </c>
      <c r="AZ547" s="24">
        <v>0</v>
      </c>
      <c r="BA547" s="24">
        <v>0</v>
      </c>
      <c r="BB547" s="24">
        <v>0</v>
      </c>
      <c r="BC547" s="24">
        <v>0</v>
      </c>
      <c r="BD547" s="24">
        <v>0</v>
      </c>
      <c r="BE547" s="24">
        <v>0</v>
      </c>
      <c r="BF547" s="24">
        <v>0</v>
      </c>
      <c r="BG547" s="24">
        <v>0</v>
      </c>
      <c r="BH547" s="24">
        <f>SUM(D547:BG547)</f>
        <v>20442</v>
      </c>
    </row>
    <row r="548" spans="1:60">
      <c r="A548" s="18" t="s">
        <v>271</v>
      </c>
      <c r="B548" s="18" t="s">
        <v>190</v>
      </c>
      <c r="C548" s="18" t="s">
        <v>210</v>
      </c>
      <c r="D548" s="24">
        <v>0</v>
      </c>
      <c r="E548" s="24">
        <v>0</v>
      </c>
      <c r="F548" s="24">
        <v>0</v>
      </c>
      <c r="G548" s="24">
        <v>1</v>
      </c>
      <c r="H548" s="24">
        <v>26</v>
      </c>
      <c r="I548" s="24">
        <v>146</v>
      </c>
      <c r="J548" s="24">
        <v>455</v>
      </c>
      <c r="K548" s="24">
        <v>397</v>
      </c>
      <c r="L548" s="24">
        <v>570</v>
      </c>
      <c r="M548" s="24">
        <v>635</v>
      </c>
      <c r="N548" s="24">
        <v>688</v>
      </c>
      <c r="O548" s="24">
        <v>692</v>
      </c>
      <c r="P548" s="24">
        <v>736</v>
      </c>
      <c r="Q548" s="24">
        <v>773</v>
      </c>
      <c r="R548" s="24">
        <v>779</v>
      </c>
      <c r="S548" s="24">
        <v>750</v>
      </c>
      <c r="T548" s="24">
        <v>732</v>
      </c>
      <c r="U548" s="24">
        <v>691</v>
      </c>
      <c r="V548" s="24">
        <v>702</v>
      </c>
      <c r="W548" s="24">
        <v>650</v>
      </c>
      <c r="X548" s="24">
        <v>568</v>
      </c>
      <c r="Y548" s="24">
        <v>511</v>
      </c>
      <c r="Z548" s="24">
        <v>551</v>
      </c>
      <c r="AA548" s="24">
        <v>527</v>
      </c>
      <c r="AB548" s="24">
        <v>591</v>
      </c>
      <c r="AC548" s="24">
        <v>662</v>
      </c>
      <c r="AD548" s="24">
        <v>699</v>
      </c>
      <c r="AE548" s="24">
        <v>695</v>
      </c>
      <c r="AF548" s="24">
        <v>698</v>
      </c>
      <c r="AG548" s="24">
        <v>655</v>
      </c>
      <c r="AH548" s="24">
        <v>701</v>
      </c>
      <c r="AI548" s="24">
        <v>616</v>
      </c>
      <c r="AJ548" s="24">
        <v>652</v>
      </c>
      <c r="AK548" s="24">
        <v>580</v>
      </c>
      <c r="AL548" s="24">
        <v>581</v>
      </c>
      <c r="AM548" s="24">
        <v>524</v>
      </c>
      <c r="AN548" s="24">
        <v>555</v>
      </c>
      <c r="AO548" s="24">
        <v>522</v>
      </c>
      <c r="AP548" s="24">
        <v>494</v>
      </c>
      <c r="AQ548" s="24">
        <v>385</v>
      </c>
      <c r="AR548" s="24">
        <v>123</v>
      </c>
      <c r="AS548" s="24">
        <v>1</v>
      </c>
      <c r="AT548" s="24">
        <v>1</v>
      </c>
      <c r="AU548" s="24">
        <v>1</v>
      </c>
      <c r="AV548" s="24">
        <v>0</v>
      </c>
      <c r="AW548" s="24">
        <v>1</v>
      </c>
      <c r="AX548" s="24">
        <v>0</v>
      </c>
      <c r="AY548" s="24">
        <v>0</v>
      </c>
      <c r="AZ548" s="24">
        <v>0</v>
      </c>
      <c r="BA548" s="24">
        <v>0</v>
      </c>
      <c r="BB548" s="24">
        <v>0</v>
      </c>
      <c r="BC548" s="24">
        <v>0</v>
      </c>
      <c r="BD548" s="24">
        <v>0</v>
      </c>
      <c r="BE548" s="24">
        <v>0</v>
      </c>
      <c r="BF548" s="24">
        <v>0</v>
      </c>
      <c r="BG548" s="24">
        <v>0</v>
      </c>
      <c r="BH548" s="24">
        <f>SUM(D548:BG548)</f>
        <v>21317</v>
      </c>
    </row>
    <row r="549" spans="1:60">
      <c r="A549" s="18" t="s">
        <v>272</v>
      </c>
      <c r="B549" s="18" t="s">
        <v>190</v>
      </c>
      <c r="C549" s="18" t="s">
        <v>212</v>
      </c>
      <c r="D549" s="24">
        <v>0</v>
      </c>
      <c r="E549" s="24">
        <v>0</v>
      </c>
      <c r="F549" s="24">
        <v>0</v>
      </c>
      <c r="G549" s="24">
        <v>0</v>
      </c>
      <c r="H549" s="24">
        <v>29</v>
      </c>
      <c r="I549" s="24">
        <v>139</v>
      </c>
      <c r="J549" s="24">
        <v>458</v>
      </c>
      <c r="K549" s="24">
        <v>417</v>
      </c>
      <c r="L549" s="24">
        <v>523</v>
      </c>
      <c r="M549" s="24">
        <v>606</v>
      </c>
      <c r="N549" s="24">
        <v>635</v>
      </c>
      <c r="O549" s="24">
        <v>681</v>
      </c>
      <c r="P549" s="24">
        <v>710</v>
      </c>
      <c r="Q549" s="24">
        <v>802</v>
      </c>
      <c r="R549" s="24">
        <v>755</v>
      </c>
      <c r="S549" s="24">
        <v>717</v>
      </c>
      <c r="T549" s="24">
        <v>749</v>
      </c>
      <c r="U549" s="24">
        <v>688</v>
      </c>
      <c r="V549" s="24">
        <v>670</v>
      </c>
      <c r="W549" s="24">
        <v>606</v>
      </c>
      <c r="X549" s="24">
        <v>578</v>
      </c>
      <c r="Y549" s="24">
        <v>534</v>
      </c>
      <c r="Z549" s="24">
        <v>549</v>
      </c>
      <c r="AA549" s="24">
        <v>494</v>
      </c>
      <c r="AB549" s="24">
        <v>564</v>
      </c>
      <c r="AC549" s="24">
        <v>605</v>
      </c>
      <c r="AD549" s="24">
        <v>652</v>
      </c>
      <c r="AE549" s="24">
        <v>664</v>
      </c>
      <c r="AF549" s="24">
        <v>646</v>
      </c>
      <c r="AG549" s="24">
        <v>650</v>
      </c>
      <c r="AH549" s="24">
        <v>641</v>
      </c>
      <c r="AI549" s="24">
        <v>640</v>
      </c>
      <c r="AJ549" s="24">
        <v>673</v>
      </c>
      <c r="AK549" s="24">
        <v>644</v>
      </c>
      <c r="AL549" s="24">
        <v>581</v>
      </c>
      <c r="AM549" s="24">
        <v>559</v>
      </c>
      <c r="AN549" s="24">
        <v>552</v>
      </c>
      <c r="AO549" s="24">
        <v>559</v>
      </c>
      <c r="AP549" s="24">
        <v>538</v>
      </c>
      <c r="AQ549" s="24">
        <v>378</v>
      </c>
      <c r="AR549" s="24">
        <v>136</v>
      </c>
      <c r="AS549" s="24">
        <v>0</v>
      </c>
      <c r="AT549" s="24">
        <v>0</v>
      </c>
      <c r="AU549" s="24">
        <v>0</v>
      </c>
      <c r="AV549" s="24">
        <v>1</v>
      </c>
      <c r="AW549" s="24">
        <v>0</v>
      </c>
      <c r="AX549" s="24">
        <v>0</v>
      </c>
      <c r="AY549" s="24">
        <v>0</v>
      </c>
      <c r="AZ549" s="24">
        <v>0</v>
      </c>
      <c r="BA549" s="24">
        <v>0</v>
      </c>
      <c r="BB549" s="24">
        <v>0</v>
      </c>
      <c r="BC549" s="24">
        <v>0</v>
      </c>
      <c r="BD549" s="24">
        <v>0</v>
      </c>
      <c r="BE549" s="24">
        <v>0</v>
      </c>
      <c r="BF549" s="24">
        <v>0</v>
      </c>
      <c r="BG549" s="24">
        <v>0</v>
      </c>
      <c r="BH549" s="24">
        <f>SUM(D549:BG549)</f>
        <v>21023</v>
      </c>
    </row>
    <row r="550" spans="1:60">
      <c r="A550" s="18" t="s">
        <v>273</v>
      </c>
      <c r="B550" s="18" t="s">
        <v>190</v>
      </c>
      <c r="C550" s="18" t="s">
        <v>214</v>
      </c>
      <c r="D550" s="24">
        <v>0</v>
      </c>
      <c r="E550" s="24">
        <v>0</v>
      </c>
      <c r="F550" s="24">
        <v>0</v>
      </c>
      <c r="G550" s="24">
        <v>0</v>
      </c>
      <c r="H550" s="24">
        <v>24</v>
      </c>
      <c r="I550" s="24">
        <v>139</v>
      </c>
      <c r="J550" s="24">
        <v>432</v>
      </c>
      <c r="K550" s="24">
        <v>425</v>
      </c>
      <c r="L550" s="24">
        <v>497</v>
      </c>
      <c r="M550" s="24">
        <v>629</v>
      </c>
      <c r="N550" s="24">
        <v>641</v>
      </c>
      <c r="O550" s="24">
        <v>718</v>
      </c>
      <c r="P550" s="24">
        <v>707</v>
      </c>
      <c r="Q550" s="24">
        <v>776</v>
      </c>
      <c r="R550" s="24">
        <v>715</v>
      </c>
      <c r="S550" s="24">
        <v>761</v>
      </c>
      <c r="T550" s="24">
        <v>713</v>
      </c>
      <c r="U550" s="24">
        <v>733</v>
      </c>
      <c r="V550" s="24">
        <v>687</v>
      </c>
      <c r="W550" s="24">
        <v>604</v>
      </c>
      <c r="X550" s="24">
        <v>537</v>
      </c>
      <c r="Y550" s="24">
        <v>521</v>
      </c>
      <c r="Z550" s="24">
        <v>492</v>
      </c>
      <c r="AA550" s="24">
        <v>528</v>
      </c>
      <c r="AB550" s="24">
        <v>575</v>
      </c>
      <c r="AC550" s="24">
        <v>709</v>
      </c>
      <c r="AD550" s="24">
        <v>597</v>
      </c>
      <c r="AE550" s="24">
        <v>674</v>
      </c>
      <c r="AF550" s="24">
        <v>663</v>
      </c>
      <c r="AG550" s="24">
        <v>648</v>
      </c>
      <c r="AH550" s="24">
        <v>662</v>
      </c>
      <c r="AI550" s="24">
        <v>649</v>
      </c>
      <c r="AJ550" s="24">
        <v>638</v>
      </c>
      <c r="AK550" s="24">
        <v>649</v>
      </c>
      <c r="AL550" s="24">
        <v>609</v>
      </c>
      <c r="AM550" s="24">
        <v>600</v>
      </c>
      <c r="AN550" s="24">
        <v>567</v>
      </c>
      <c r="AO550" s="24">
        <v>564</v>
      </c>
      <c r="AP550" s="24">
        <v>512</v>
      </c>
      <c r="AQ550" s="24">
        <v>359</v>
      </c>
      <c r="AR550" s="24">
        <v>169</v>
      </c>
      <c r="AS550" s="24">
        <v>2</v>
      </c>
      <c r="AT550" s="24">
        <v>8</v>
      </c>
      <c r="AU550" s="24">
        <v>0</v>
      </c>
      <c r="AV550" s="24">
        <v>1</v>
      </c>
      <c r="AW550" s="24">
        <v>0</v>
      </c>
      <c r="AX550" s="24">
        <v>1</v>
      </c>
      <c r="AY550" s="24">
        <v>2</v>
      </c>
      <c r="AZ550" s="24">
        <v>0</v>
      </c>
      <c r="BA550" s="24">
        <v>0</v>
      </c>
      <c r="BB550" s="24">
        <v>0</v>
      </c>
      <c r="BC550" s="24">
        <v>0</v>
      </c>
      <c r="BD550" s="24">
        <v>0</v>
      </c>
      <c r="BE550" s="24">
        <v>0</v>
      </c>
      <c r="BF550" s="24">
        <v>0</v>
      </c>
      <c r="BG550" s="24">
        <v>0</v>
      </c>
      <c r="BH550" s="24">
        <f>SUM(D550:BG550)</f>
        <v>21137</v>
      </c>
    </row>
    <row r="551" spans="1:60">
      <c r="A551" s="18" t="s">
        <v>274</v>
      </c>
      <c r="B551" s="18" t="s">
        <v>190</v>
      </c>
      <c r="C551" s="18" t="s">
        <v>216</v>
      </c>
      <c r="D551" s="24">
        <v>0</v>
      </c>
      <c r="E551" s="24">
        <v>0</v>
      </c>
      <c r="F551" s="24">
        <v>0</v>
      </c>
      <c r="G551" s="24">
        <v>0</v>
      </c>
      <c r="H551" s="24">
        <v>25</v>
      </c>
      <c r="I551" s="24">
        <v>143</v>
      </c>
      <c r="J551" s="24">
        <v>422</v>
      </c>
      <c r="K551" s="24">
        <v>411</v>
      </c>
      <c r="L551" s="24">
        <v>493</v>
      </c>
      <c r="M551" s="24">
        <v>615</v>
      </c>
      <c r="N551" s="24">
        <v>631</v>
      </c>
      <c r="O551" s="24">
        <v>612</v>
      </c>
      <c r="P551" s="24">
        <v>696</v>
      </c>
      <c r="Q551" s="24">
        <v>722</v>
      </c>
      <c r="R551" s="24">
        <v>748</v>
      </c>
      <c r="S551" s="24">
        <v>723</v>
      </c>
      <c r="T551" s="24">
        <v>699</v>
      </c>
      <c r="U551" s="24">
        <v>689</v>
      </c>
      <c r="V551" s="24">
        <v>652</v>
      </c>
      <c r="W551" s="24">
        <v>612</v>
      </c>
      <c r="X551" s="24">
        <v>528</v>
      </c>
      <c r="Y551" s="24">
        <v>536</v>
      </c>
      <c r="Z551" s="24">
        <v>510</v>
      </c>
      <c r="AA551" s="24">
        <v>480</v>
      </c>
      <c r="AB551" s="24">
        <v>563</v>
      </c>
      <c r="AC551" s="24">
        <v>582</v>
      </c>
      <c r="AD551" s="24">
        <v>602</v>
      </c>
      <c r="AE551" s="24">
        <v>662</v>
      </c>
      <c r="AF551" s="24">
        <v>643</v>
      </c>
      <c r="AG551" s="24">
        <v>671</v>
      </c>
      <c r="AH551" s="24">
        <v>645</v>
      </c>
      <c r="AI551" s="24">
        <v>607</v>
      </c>
      <c r="AJ551" s="24">
        <v>639</v>
      </c>
      <c r="AK551" s="24">
        <v>618</v>
      </c>
      <c r="AL551" s="24">
        <v>612</v>
      </c>
      <c r="AM551" s="24">
        <v>592</v>
      </c>
      <c r="AN551" s="24">
        <v>555</v>
      </c>
      <c r="AO551" s="24">
        <v>616</v>
      </c>
      <c r="AP551" s="24">
        <v>563</v>
      </c>
      <c r="AQ551" s="24">
        <v>430</v>
      </c>
      <c r="AR551" s="24">
        <v>187</v>
      </c>
      <c r="AS551" s="24">
        <v>1</v>
      </c>
      <c r="AT551" s="24">
        <v>0</v>
      </c>
      <c r="AU551" s="24">
        <v>0</v>
      </c>
      <c r="AV551" s="24">
        <v>1</v>
      </c>
      <c r="AW551" s="24">
        <v>0</v>
      </c>
      <c r="AX551" s="24">
        <v>0</v>
      </c>
      <c r="AY551" s="24">
        <v>0</v>
      </c>
      <c r="AZ551" s="24">
        <v>0</v>
      </c>
      <c r="BA551" s="24">
        <v>0</v>
      </c>
      <c r="BB551" s="24">
        <v>0</v>
      </c>
      <c r="BC551" s="24">
        <v>0</v>
      </c>
      <c r="BD551" s="24">
        <v>0</v>
      </c>
      <c r="BE551" s="24">
        <v>0</v>
      </c>
      <c r="BF551" s="24">
        <v>0</v>
      </c>
      <c r="BG551" s="24">
        <v>0</v>
      </c>
      <c r="BH551" s="24">
        <f>SUM(D551:BG551)</f>
        <v>20736</v>
      </c>
    </row>
    <row r="552" spans="1:60">
      <c r="A552" s="18" t="s">
        <v>275</v>
      </c>
      <c r="B552" s="18" t="s">
        <v>190</v>
      </c>
      <c r="C552" s="18" t="s">
        <v>218</v>
      </c>
      <c r="D552" s="24">
        <v>0</v>
      </c>
      <c r="E552" s="24">
        <v>0</v>
      </c>
      <c r="F552" s="24">
        <v>0</v>
      </c>
      <c r="G552" s="24">
        <v>0</v>
      </c>
      <c r="H552" s="24">
        <v>0</v>
      </c>
      <c r="I552" s="24">
        <v>1</v>
      </c>
      <c r="J552" s="24">
        <v>2</v>
      </c>
      <c r="K552" s="24">
        <v>0</v>
      </c>
      <c r="L552" s="24">
        <v>0</v>
      </c>
      <c r="M552" s="24">
        <v>1</v>
      </c>
      <c r="N552" s="24">
        <v>2</v>
      </c>
      <c r="O552" s="24">
        <v>0</v>
      </c>
      <c r="P552" s="24">
        <v>2</v>
      </c>
      <c r="Q552" s="24">
        <v>0</v>
      </c>
      <c r="R552" s="24">
        <v>0</v>
      </c>
      <c r="S552" s="24">
        <v>0</v>
      </c>
      <c r="T552" s="24">
        <v>0</v>
      </c>
      <c r="U552" s="24">
        <v>0</v>
      </c>
      <c r="V552" s="24">
        <v>0</v>
      </c>
      <c r="W552" s="24">
        <v>0</v>
      </c>
      <c r="X552" s="24">
        <v>0</v>
      </c>
      <c r="Y552" s="24">
        <v>0</v>
      </c>
      <c r="Z552" s="24">
        <v>0</v>
      </c>
      <c r="AA552" s="24">
        <v>0</v>
      </c>
      <c r="AB552" s="24">
        <v>0</v>
      </c>
      <c r="AC552" s="24">
        <v>0</v>
      </c>
      <c r="AD552" s="24">
        <v>0</v>
      </c>
      <c r="AE552" s="24">
        <v>0</v>
      </c>
      <c r="AF552" s="24">
        <v>0</v>
      </c>
      <c r="AG552" s="24">
        <v>0</v>
      </c>
      <c r="AH552" s="24">
        <v>0</v>
      </c>
      <c r="AI552" s="24">
        <v>0</v>
      </c>
      <c r="AJ552" s="24">
        <v>0</v>
      </c>
      <c r="AK552" s="24">
        <v>0</v>
      </c>
      <c r="AL552" s="24">
        <v>0</v>
      </c>
      <c r="AM552" s="24">
        <v>0</v>
      </c>
      <c r="AN552" s="24">
        <v>0</v>
      </c>
      <c r="AO552" s="24">
        <v>0</v>
      </c>
      <c r="AP552" s="24">
        <v>0</v>
      </c>
      <c r="AQ552" s="24">
        <v>0</v>
      </c>
      <c r="AR552" s="24">
        <v>0</v>
      </c>
      <c r="AS552" s="24">
        <v>0</v>
      </c>
      <c r="AT552" s="24">
        <v>0</v>
      </c>
      <c r="AU552" s="24">
        <v>8</v>
      </c>
      <c r="AV552" s="24">
        <v>4</v>
      </c>
      <c r="AW552" s="24">
        <v>0</v>
      </c>
      <c r="AX552" s="24">
        <v>0</v>
      </c>
      <c r="AY552" s="24">
        <v>0</v>
      </c>
      <c r="AZ552" s="24">
        <v>0</v>
      </c>
      <c r="BA552" s="24">
        <v>0</v>
      </c>
      <c r="BB552" s="24">
        <v>0</v>
      </c>
      <c r="BC552" s="24">
        <v>0</v>
      </c>
      <c r="BD552" s="24">
        <v>0</v>
      </c>
      <c r="BE552" s="24">
        <v>0</v>
      </c>
      <c r="BF552" s="24">
        <v>0</v>
      </c>
      <c r="BG552" s="24">
        <v>0</v>
      </c>
      <c r="BH552" s="24">
        <f>SUM(D552:BG552)</f>
        <v>20</v>
      </c>
    </row>
    <row r="553" spans="1:60">
      <c r="A553" s="18" t="s">
        <v>276</v>
      </c>
      <c r="B553" s="18" t="s">
        <v>190</v>
      </c>
      <c r="C553" s="18" t="s">
        <v>220</v>
      </c>
      <c r="D553" s="24">
        <v>0</v>
      </c>
      <c r="E553" s="24">
        <v>0</v>
      </c>
      <c r="F553" s="24">
        <v>0</v>
      </c>
      <c r="G553" s="24">
        <v>0</v>
      </c>
      <c r="H553" s="24">
        <v>0</v>
      </c>
      <c r="I553" s="24">
        <v>0</v>
      </c>
      <c r="J553" s="24">
        <v>1</v>
      </c>
      <c r="K553" s="24">
        <v>2</v>
      </c>
      <c r="L553" s="24">
        <v>1</v>
      </c>
      <c r="M553" s="24">
        <v>1</v>
      </c>
      <c r="N553" s="24">
        <v>0</v>
      </c>
      <c r="O553" s="24">
        <v>1</v>
      </c>
      <c r="P553" s="24">
        <v>0</v>
      </c>
      <c r="Q553" s="24">
        <v>0</v>
      </c>
      <c r="R553" s="24">
        <v>1</v>
      </c>
      <c r="S553" s="24">
        <v>1</v>
      </c>
      <c r="T553" s="24">
        <v>2</v>
      </c>
      <c r="U553" s="24">
        <v>1</v>
      </c>
      <c r="V553" s="24">
        <v>0</v>
      </c>
      <c r="W553" s="24">
        <v>0</v>
      </c>
      <c r="X553" s="24">
        <v>0</v>
      </c>
      <c r="Y553" s="24">
        <v>0</v>
      </c>
      <c r="Z553" s="24">
        <v>0</v>
      </c>
      <c r="AA553" s="24">
        <v>0</v>
      </c>
      <c r="AB553" s="24">
        <v>0</v>
      </c>
      <c r="AC553" s="24">
        <v>0</v>
      </c>
      <c r="AD553" s="24">
        <v>0</v>
      </c>
      <c r="AE553" s="24">
        <v>0</v>
      </c>
      <c r="AF553" s="24">
        <v>0</v>
      </c>
      <c r="AG553" s="24">
        <v>0</v>
      </c>
      <c r="AH553" s="24">
        <v>0</v>
      </c>
      <c r="AI553" s="24">
        <v>0</v>
      </c>
      <c r="AJ553" s="24">
        <v>0</v>
      </c>
      <c r="AK553" s="24">
        <v>0</v>
      </c>
      <c r="AL553" s="24">
        <v>0</v>
      </c>
      <c r="AM553" s="24">
        <v>0</v>
      </c>
      <c r="AN553" s="24">
        <v>0</v>
      </c>
      <c r="AO553" s="24">
        <v>0</v>
      </c>
      <c r="AP553" s="24">
        <v>0</v>
      </c>
      <c r="AQ553" s="24">
        <v>3</v>
      </c>
      <c r="AR553" s="24">
        <v>27</v>
      </c>
      <c r="AS553" s="24">
        <v>21</v>
      </c>
      <c r="AT553" s="24">
        <v>12</v>
      </c>
      <c r="AU553" s="24">
        <v>13</v>
      </c>
      <c r="AV553" s="24">
        <v>2</v>
      </c>
      <c r="AW553" s="24">
        <v>0</v>
      </c>
      <c r="AX553" s="24">
        <v>0</v>
      </c>
      <c r="AY553" s="24">
        <v>0</v>
      </c>
      <c r="AZ553" s="24">
        <v>0</v>
      </c>
      <c r="BA553" s="24">
        <v>0</v>
      </c>
      <c r="BB553" s="24">
        <v>0</v>
      </c>
      <c r="BC553" s="24">
        <v>0</v>
      </c>
      <c r="BD553" s="24">
        <v>0</v>
      </c>
      <c r="BE553" s="24">
        <v>0</v>
      </c>
      <c r="BF553" s="24">
        <v>0</v>
      </c>
      <c r="BG553" s="24">
        <v>0</v>
      </c>
      <c r="BH553" s="24">
        <f>SUM(D553:BG553)</f>
        <v>89</v>
      </c>
    </row>
    <row r="556" spans="1:60">
      <c r="A556" s="6" t="s">
        <v>277</v>
      </c>
    </row>
    <row r="557" spans="1:60">
      <c r="A557" s="22" t="s">
        <v>3</v>
      </c>
      <c r="B557" s="22" t="s">
        <v>4</v>
      </c>
      <c r="C557" s="22" t="s">
        <v>207</v>
      </c>
      <c r="D557" s="22" t="s">
        <v>6</v>
      </c>
      <c r="E557" s="22" t="s">
        <v>7</v>
      </c>
      <c r="F557" s="22" t="s">
        <v>8</v>
      </c>
      <c r="G557" s="22" t="s">
        <v>9</v>
      </c>
      <c r="H557" s="22" t="s">
        <v>10</v>
      </c>
      <c r="I557" s="22" t="s">
        <v>11</v>
      </c>
      <c r="J557" s="22" t="s">
        <v>12</v>
      </c>
      <c r="K557" s="22" t="s">
        <v>13</v>
      </c>
      <c r="L557" s="22" t="s">
        <v>14</v>
      </c>
      <c r="M557" s="22" t="s">
        <v>15</v>
      </c>
      <c r="N557" s="22" t="s">
        <v>16</v>
      </c>
      <c r="O557" s="22" t="s">
        <v>17</v>
      </c>
      <c r="P557" s="22" t="s">
        <v>18</v>
      </c>
      <c r="Q557" s="22" t="s">
        <v>19</v>
      </c>
      <c r="R557" s="22" t="s">
        <v>20</v>
      </c>
      <c r="S557" s="22" t="s">
        <v>21</v>
      </c>
      <c r="T557" s="22" t="s">
        <v>22</v>
      </c>
      <c r="U557" s="22" t="s">
        <v>23</v>
      </c>
      <c r="V557" s="22" t="s">
        <v>24</v>
      </c>
      <c r="W557" s="22" t="s">
        <v>25</v>
      </c>
      <c r="X557" s="22" t="s">
        <v>26</v>
      </c>
      <c r="Y557" s="22" t="s">
        <v>27</v>
      </c>
      <c r="Z557" s="22" t="s">
        <v>28</v>
      </c>
      <c r="AA557" s="22" t="s">
        <v>29</v>
      </c>
      <c r="AB557" s="22" t="s">
        <v>30</v>
      </c>
      <c r="AC557" s="22" t="s">
        <v>31</v>
      </c>
      <c r="AD557" s="22" t="s">
        <v>32</v>
      </c>
      <c r="AE557" s="22" t="s">
        <v>33</v>
      </c>
      <c r="AF557" s="22" t="s">
        <v>34</v>
      </c>
      <c r="AG557" s="22" t="s">
        <v>35</v>
      </c>
      <c r="AH557" s="22" t="s">
        <v>36</v>
      </c>
      <c r="AI557" s="22" t="s">
        <v>37</v>
      </c>
      <c r="AJ557" s="22" t="s">
        <v>38</v>
      </c>
      <c r="AK557" s="22" t="s">
        <v>39</v>
      </c>
      <c r="AL557" s="22" t="s">
        <v>40</v>
      </c>
      <c r="AM557" s="22" t="s">
        <v>41</v>
      </c>
      <c r="AN557" s="22" t="s">
        <v>42</v>
      </c>
      <c r="AO557" s="22" t="s">
        <v>43</v>
      </c>
      <c r="AP557" s="22" t="s">
        <v>44</v>
      </c>
      <c r="AQ557" s="22" t="s">
        <v>45</v>
      </c>
      <c r="AR557" s="22" t="s">
        <v>46</v>
      </c>
      <c r="AS557" s="22" t="s">
        <v>47</v>
      </c>
      <c r="AT557" s="22" t="s">
        <v>48</v>
      </c>
      <c r="AU557" s="22" t="s">
        <v>49</v>
      </c>
      <c r="AV557" s="22" t="s">
        <v>50</v>
      </c>
      <c r="AW557" s="22" t="s">
        <v>51</v>
      </c>
      <c r="AX557" s="22" t="s">
        <v>52</v>
      </c>
      <c r="AY557" s="22" t="s">
        <v>53</v>
      </c>
      <c r="AZ557" s="22" t="s">
        <v>54</v>
      </c>
      <c r="BA557" s="22" t="s">
        <v>55</v>
      </c>
      <c r="BB557" s="22" t="s">
        <v>56</v>
      </c>
      <c r="BC557" s="22" t="s">
        <v>57</v>
      </c>
      <c r="BD557" s="22" t="s">
        <v>58</v>
      </c>
      <c r="BE557" s="22" t="s">
        <v>59</v>
      </c>
      <c r="BF557" s="22" t="s">
        <v>60</v>
      </c>
      <c r="BG557" s="22" t="s">
        <v>61</v>
      </c>
      <c r="BH557" s="22" t="s">
        <v>62</v>
      </c>
    </row>
    <row r="558" spans="1:60">
      <c r="A558" s="18" t="s">
        <v>208</v>
      </c>
      <c r="B558" s="18" t="s">
        <v>65</v>
      </c>
      <c r="C558" s="18" t="s">
        <v>5</v>
      </c>
      <c r="D558" s="45">
        <v>0</v>
      </c>
      <c r="E558" s="45">
        <v>0</v>
      </c>
      <c r="F558" s="45">
        <v>0</v>
      </c>
      <c r="G558" s="45">
        <v>26.8</v>
      </c>
      <c r="H558" s="45">
        <v>16.4</v>
      </c>
      <c r="I558" s="45">
        <v>10.7</v>
      </c>
      <c r="J558" s="45">
        <v>7.4</v>
      </c>
      <c r="K558" s="45">
        <v>7.8</v>
      </c>
      <c r="L558" s="45">
        <v>8.1</v>
      </c>
      <c r="M558" s="45">
        <v>8.699999999999999</v>
      </c>
      <c r="N558" s="45">
        <v>10.1</v>
      </c>
      <c r="O558" s="45">
        <v>11.3</v>
      </c>
      <c r="P558" s="45">
        <v>11.9</v>
      </c>
      <c r="Q558" s="45">
        <v>12.5</v>
      </c>
      <c r="R558" s="45">
        <v>12.2</v>
      </c>
      <c r="S558" s="45">
        <v>12.8</v>
      </c>
      <c r="T558" s="45">
        <v>12.2</v>
      </c>
      <c r="U558" s="45">
        <v>12.1</v>
      </c>
      <c r="V558" s="45">
        <v>12.6</v>
      </c>
      <c r="W558" s="45">
        <v>13.2</v>
      </c>
      <c r="X558" s="45">
        <v>11.5</v>
      </c>
      <c r="Y558" s="45">
        <v>10.3</v>
      </c>
      <c r="Z558" s="45">
        <v>10</v>
      </c>
      <c r="AA558" s="45">
        <v>9.6</v>
      </c>
      <c r="AB558" s="45">
        <v>9.4</v>
      </c>
      <c r="AC558" s="45">
        <v>9.300000000000001</v>
      </c>
      <c r="AD558" s="45">
        <v>9.699999999999999</v>
      </c>
      <c r="AE558" s="45">
        <v>10.6</v>
      </c>
      <c r="AF558" s="45">
        <v>10.4</v>
      </c>
      <c r="AG558" s="45">
        <v>10.4</v>
      </c>
      <c r="AH558" s="45">
        <v>10.9</v>
      </c>
      <c r="AI558" s="45">
        <v>10.7</v>
      </c>
      <c r="AJ558" s="45">
        <v>9.300000000000001</v>
      </c>
      <c r="AK558" s="45">
        <v>9.699999999999999</v>
      </c>
      <c r="AL558" s="45">
        <v>9.300000000000001</v>
      </c>
      <c r="AM558" s="45">
        <v>9</v>
      </c>
      <c r="AN558" s="45">
        <v>8.9</v>
      </c>
      <c r="AO558" s="45">
        <v>8.4</v>
      </c>
      <c r="AP558" s="45">
        <v>7.4</v>
      </c>
      <c r="AQ558" s="45">
        <v>6.4</v>
      </c>
      <c r="AR558" s="45">
        <v>4.4</v>
      </c>
      <c r="AS558" s="45">
        <v>4.3</v>
      </c>
      <c r="AT558" s="45">
        <v>5</v>
      </c>
      <c r="AU558" s="45">
        <v>5.8</v>
      </c>
      <c r="AV558" s="45">
        <v>0</v>
      </c>
      <c r="AW558" s="45">
        <v>0</v>
      </c>
      <c r="AX558" s="45">
        <v>0</v>
      </c>
      <c r="AY558" s="45">
        <v>0</v>
      </c>
      <c r="AZ558" s="45">
        <v>0</v>
      </c>
      <c r="BA558" s="45">
        <v>0</v>
      </c>
      <c r="BB558" s="45">
        <v>0</v>
      </c>
      <c r="BC558" s="45">
        <v>0</v>
      </c>
      <c r="BD558" s="45">
        <v>0</v>
      </c>
      <c r="BE558" s="45">
        <v>0</v>
      </c>
      <c r="BF558" s="45">
        <v>0</v>
      </c>
      <c r="BG558" s="45">
        <v>0</v>
      </c>
    </row>
    <row r="559" spans="1:60">
      <c r="A559" s="18" t="s">
        <v>209</v>
      </c>
      <c r="B559" s="18" t="s">
        <v>65</v>
      </c>
      <c r="C559" s="18" t="s">
        <v>210</v>
      </c>
      <c r="D559" s="45">
        <v>0</v>
      </c>
      <c r="E559" s="45">
        <v>0</v>
      </c>
      <c r="F559" s="45">
        <v>0</v>
      </c>
      <c r="G559" s="45">
        <v>23.3</v>
      </c>
      <c r="H559" s="45">
        <v>15.7</v>
      </c>
      <c r="I559" s="45">
        <v>9.800000000000001</v>
      </c>
      <c r="J559" s="45">
        <v>6.2</v>
      </c>
      <c r="K559" s="45">
        <v>6.1</v>
      </c>
      <c r="L559" s="45">
        <v>6.3</v>
      </c>
      <c r="M559" s="45">
        <v>7</v>
      </c>
      <c r="N559" s="45">
        <v>7.7</v>
      </c>
      <c r="O559" s="45">
        <v>8.5</v>
      </c>
      <c r="P559" s="45">
        <v>8.800000000000001</v>
      </c>
      <c r="Q559" s="45">
        <v>9.199999999999999</v>
      </c>
      <c r="R559" s="45">
        <v>9.699999999999999</v>
      </c>
      <c r="S559" s="45">
        <v>9.4</v>
      </c>
      <c r="T559" s="45">
        <v>8.800000000000001</v>
      </c>
      <c r="U559" s="45">
        <v>9.4</v>
      </c>
      <c r="V559" s="45">
        <v>8.9</v>
      </c>
      <c r="W559" s="45">
        <v>8.5</v>
      </c>
      <c r="X559" s="45">
        <v>8.199999999999999</v>
      </c>
      <c r="Y559" s="45">
        <v>7.4</v>
      </c>
      <c r="Z559" s="45">
        <v>7.2</v>
      </c>
      <c r="AA559" s="45">
        <v>7.1</v>
      </c>
      <c r="AB559" s="45">
        <v>6.9</v>
      </c>
      <c r="AC559" s="45">
        <v>7.2</v>
      </c>
      <c r="AD559" s="45">
        <v>7.9</v>
      </c>
      <c r="AE559" s="45">
        <v>8.199999999999999</v>
      </c>
      <c r="AF559" s="45">
        <v>8.9</v>
      </c>
      <c r="AG559" s="45">
        <v>8.6</v>
      </c>
      <c r="AH559" s="45">
        <v>8.4</v>
      </c>
      <c r="AI559" s="45">
        <v>8.300000000000001</v>
      </c>
      <c r="AJ559" s="45">
        <v>7.1</v>
      </c>
      <c r="AK559" s="45">
        <v>7.2</v>
      </c>
      <c r="AL559" s="45">
        <v>7.3</v>
      </c>
      <c r="AM559" s="45">
        <v>7.3</v>
      </c>
      <c r="AN559" s="45">
        <v>7</v>
      </c>
      <c r="AO559" s="45">
        <v>6.7</v>
      </c>
      <c r="AP559" s="45">
        <v>5.9</v>
      </c>
      <c r="AQ559" s="45">
        <v>4.7</v>
      </c>
      <c r="AR559" s="45">
        <v>4</v>
      </c>
      <c r="AS559" s="45">
        <v>4</v>
      </c>
      <c r="AT559" s="45">
        <v>3.7</v>
      </c>
      <c r="AU559" s="45">
        <v>11.8</v>
      </c>
      <c r="AV559" s="45">
        <v>13.5</v>
      </c>
      <c r="AW559" s="45">
        <v>4.6</v>
      </c>
      <c r="AX559" s="45">
        <v>0</v>
      </c>
      <c r="AY559" s="45">
        <v>0</v>
      </c>
      <c r="AZ559" s="45">
        <v>0</v>
      </c>
      <c r="BA559" s="45">
        <v>0</v>
      </c>
      <c r="BB559" s="45">
        <v>0</v>
      </c>
      <c r="BC559" s="45">
        <v>0</v>
      </c>
      <c r="BD559" s="45">
        <v>0</v>
      </c>
      <c r="BE559" s="45">
        <v>0</v>
      </c>
      <c r="BF559" s="45">
        <v>0</v>
      </c>
      <c r="BG559" s="45">
        <v>0</v>
      </c>
    </row>
    <row r="560" spans="1:60">
      <c r="A560" s="18" t="s">
        <v>211</v>
      </c>
      <c r="B560" s="18" t="s">
        <v>65</v>
      </c>
      <c r="C560" s="18" t="s">
        <v>212</v>
      </c>
      <c r="D560" s="45">
        <v>0</v>
      </c>
      <c r="E560" s="45">
        <v>0</v>
      </c>
      <c r="F560" s="45">
        <v>0</v>
      </c>
      <c r="G560" s="45">
        <v>23.3</v>
      </c>
      <c r="H560" s="45">
        <v>14.2</v>
      </c>
      <c r="I560" s="45">
        <v>10.1</v>
      </c>
      <c r="J560" s="45">
        <v>6.4</v>
      </c>
      <c r="K560" s="45">
        <v>6.1</v>
      </c>
      <c r="L560" s="45">
        <v>6.3</v>
      </c>
      <c r="M560" s="45">
        <v>7.3</v>
      </c>
      <c r="N560" s="45">
        <v>8.1</v>
      </c>
      <c r="O560" s="45">
        <v>7.9</v>
      </c>
      <c r="P560" s="45">
        <v>8.699999999999999</v>
      </c>
      <c r="Q560" s="45">
        <v>8.199999999999999</v>
      </c>
      <c r="R560" s="45">
        <v>8.6</v>
      </c>
      <c r="S560" s="45">
        <v>9.1</v>
      </c>
      <c r="T560" s="45">
        <v>8.9</v>
      </c>
      <c r="U560" s="45">
        <v>9</v>
      </c>
      <c r="V560" s="45">
        <v>8.6</v>
      </c>
      <c r="W560" s="45">
        <v>8.699999999999999</v>
      </c>
      <c r="X560" s="45">
        <v>8</v>
      </c>
      <c r="Y560" s="45">
        <v>7.5</v>
      </c>
      <c r="Z560" s="45">
        <v>6.9</v>
      </c>
      <c r="AA560" s="45">
        <v>6.4</v>
      </c>
      <c r="AB560" s="45">
        <v>6.3</v>
      </c>
      <c r="AC560" s="45">
        <v>7</v>
      </c>
      <c r="AD560" s="45">
        <v>7.5</v>
      </c>
      <c r="AE560" s="45">
        <v>7.8</v>
      </c>
      <c r="AF560" s="45">
        <v>7.9</v>
      </c>
      <c r="AG560" s="45">
        <v>7.8</v>
      </c>
      <c r="AH560" s="45">
        <v>7.6</v>
      </c>
      <c r="AI560" s="45">
        <v>7.6</v>
      </c>
      <c r="AJ560" s="45">
        <v>7</v>
      </c>
      <c r="AK560" s="45">
        <v>7.1</v>
      </c>
      <c r="AL560" s="45">
        <v>7.3</v>
      </c>
      <c r="AM560" s="45">
        <v>6.8</v>
      </c>
      <c r="AN560" s="45">
        <v>6.4</v>
      </c>
      <c r="AO560" s="45">
        <v>6.4</v>
      </c>
      <c r="AP560" s="45">
        <v>5.4</v>
      </c>
      <c r="AQ560" s="45">
        <v>4.6</v>
      </c>
      <c r="AR560" s="45">
        <v>3.4</v>
      </c>
      <c r="AS560" s="45">
        <v>2.9</v>
      </c>
      <c r="AT560" s="45">
        <v>1.6</v>
      </c>
      <c r="AU560" s="45">
        <v>0</v>
      </c>
      <c r="AV560" s="45">
        <v>0</v>
      </c>
      <c r="AW560" s="45">
        <v>0</v>
      </c>
      <c r="AX560" s="45">
        <v>0</v>
      </c>
      <c r="AY560" s="45">
        <v>0</v>
      </c>
      <c r="AZ560" s="45">
        <v>0</v>
      </c>
      <c r="BA560" s="45">
        <v>0</v>
      </c>
      <c r="BB560" s="45">
        <v>0</v>
      </c>
      <c r="BC560" s="45">
        <v>0</v>
      </c>
      <c r="BD560" s="45">
        <v>0</v>
      </c>
      <c r="BE560" s="45">
        <v>0</v>
      </c>
      <c r="BF560" s="45">
        <v>0</v>
      </c>
      <c r="BG560" s="45">
        <v>0</v>
      </c>
    </row>
    <row r="561" spans="1:59">
      <c r="A561" s="18" t="s">
        <v>213</v>
      </c>
      <c r="B561" s="18" t="s">
        <v>65</v>
      </c>
      <c r="C561" s="18" t="s">
        <v>214</v>
      </c>
      <c r="D561" s="45">
        <v>0</v>
      </c>
      <c r="E561" s="45">
        <v>0</v>
      </c>
      <c r="F561" s="45">
        <v>0</v>
      </c>
      <c r="G561" s="45">
        <v>29</v>
      </c>
      <c r="H561" s="45">
        <v>15</v>
      </c>
      <c r="I561" s="45">
        <v>9.800000000000001</v>
      </c>
      <c r="J561" s="45">
        <v>5.4</v>
      </c>
      <c r="K561" s="45">
        <v>5.2</v>
      </c>
      <c r="L561" s="45">
        <v>5.6</v>
      </c>
      <c r="M561" s="45">
        <v>5.8</v>
      </c>
      <c r="N561" s="45">
        <v>6.6</v>
      </c>
      <c r="O561" s="45">
        <v>7.2</v>
      </c>
      <c r="P561" s="45">
        <v>7.6</v>
      </c>
      <c r="Q561" s="45">
        <v>8.199999999999999</v>
      </c>
      <c r="R561" s="45">
        <v>7.9</v>
      </c>
      <c r="S561" s="45">
        <v>8.5</v>
      </c>
      <c r="T561" s="45">
        <v>8.4</v>
      </c>
      <c r="U561" s="45">
        <v>8</v>
      </c>
      <c r="V561" s="45">
        <v>7.5</v>
      </c>
      <c r="W561" s="45">
        <v>7.6</v>
      </c>
      <c r="X561" s="45">
        <v>6.5</v>
      </c>
      <c r="Y561" s="45">
        <v>6.5</v>
      </c>
      <c r="Z561" s="45">
        <v>5.8</v>
      </c>
      <c r="AA561" s="45">
        <v>4.9</v>
      </c>
      <c r="AB561" s="45">
        <v>5</v>
      </c>
      <c r="AC561" s="45">
        <v>6.5</v>
      </c>
      <c r="AD561" s="45">
        <v>6.7</v>
      </c>
      <c r="AE561" s="45">
        <v>6.4</v>
      </c>
      <c r="AF561" s="45">
        <v>7.1</v>
      </c>
      <c r="AG561" s="45">
        <v>6.9</v>
      </c>
      <c r="AH561" s="45">
        <v>7.2</v>
      </c>
      <c r="AI561" s="45">
        <v>7.2</v>
      </c>
      <c r="AJ561" s="45">
        <v>6.9</v>
      </c>
      <c r="AK561" s="45">
        <v>6.3</v>
      </c>
      <c r="AL561" s="45">
        <v>6.6</v>
      </c>
      <c r="AM561" s="45">
        <v>6.5</v>
      </c>
      <c r="AN561" s="45">
        <v>6.1</v>
      </c>
      <c r="AO561" s="45">
        <v>5.8</v>
      </c>
      <c r="AP561" s="45">
        <v>5</v>
      </c>
      <c r="AQ561" s="45">
        <v>4.3</v>
      </c>
      <c r="AR561" s="45">
        <v>2.8</v>
      </c>
      <c r="AS561" s="45">
        <v>2.5</v>
      </c>
      <c r="AT561" s="45">
        <v>1.8</v>
      </c>
      <c r="AU561" s="45">
        <v>0.5</v>
      </c>
      <c r="AV561" s="45">
        <v>0.6</v>
      </c>
      <c r="AW561" s="45">
        <v>1.2</v>
      </c>
      <c r="AX561" s="45">
        <v>0.7</v>
      </c>
      <c r="AY561" s="45">
        <v>0.8</v>
      </c>
      <c r="AZ561" s="45">
        <v>0.8</v>
      </c>
      <c r="BA561" s="45">
        <v>1.2</v>
      </c>
      <c r="BB561" s="45">
        <v>0</v>
      </c>
      <c r="BC561" s="45">
        <v>0</v>
      </c>
      <c r="BD561" s="45">
        <v>0</v>
      </c>
      <c r="BE561" s="45">
        <v>0</v>
      </c>
      <c r="BF561" s="45">
        <v>0</v>
      </c>
      <c r="BG561" s="45">
        <v>0</v>
      </c>
    </row>
    <row r="562" spans="1:59">
      <c r="A562" s="18" t="s">
        <v>215</v>
      </c>
      <c r="B562" s="18" t="s">
        <v>65</v>
      </c>
      <c r="C562" s="18" t="s">
        <v>216</v>
      </c>
      <c r="D562" s="45">
        <v>0</v>
      </c>
      <c r="E562" s="45">
        <v>0</v>
      </c>
      <c r="F562" s="45">
        <v>0</v>
      </c>
      <c r="G562" s="45">
        <v>25.2</v>
      </c>
      <c r="H562" s="45">
        <v>13.7</v>
      </c>
      <c r="I562" s="45">
        <v>9.300000000000001</v>
      </c>
      <c r="J562" s="45">
        <v>5.3</v>
      </c>
      <c r="K562" s="45">
        <v>5.2</v>
      </c>
      <c r="L562" s="45">
        <v>5.2</v>
      </c>
      <c r="M562" s="45">
        <v>5.8</v>
      </c>
      <c r="N562" s="45">
        <v>7</v>
      </c>
      <c r="O562" s="45">
        <v>6.6</v>
      </c>
      <c r="P562" s="45">
        <v>7.2</v>
      </c>
      <c r="Q562" s="45">
        <v>7.4</v>
      </c>
      <c r="R562" s="45">
        <v>7.2</v>
      </c>
      <c r="S562" s="45">
        <v>7.6</v>
      </c>
      <c r="T562" s="45">
        <v>8</v>
      </c>
      <c r="U562" s="45">
        <v>7.3</v>
      </c>
      <c r="V562" s="45">
        <v>7.9</v>
      </c>
      <c r="W562" s="45">
        <v>7.4</v>
      </c>
      <c r="X562" s="45">
        <v>6.9</v>
      </c>
      <c r="Y562" s="45">
        <v>6.5</v>
      </c>
      <c r="Z562" s="45">
        <v>6</v>
      </c>
      <c r="AA562" s="45">
        <v>5</v>
      </c>
      <c r="AB562" s="45">
        <v>5.8</v>
      </c>
      <c r="AC562" s="45">
        <v>6.3</v>
      </c>
      <c r="AD562" s="45">
        <v>6.8</v>
      </c>
      <c r="AE562" s="45">
        <v>6.8</v>
      </c>
      <c r="AF562" s="45">
        <v>7.2</v>
      </c>
      <c r="AG562" s="45">
        <v>7.4</v>
      </c>
      <c r="AH562" s="45">
        <v>7.1</v>
      </c>
      <c r="AI562" s="45">
        <v>7.3</v>
      </c>
      <c r="AJ562" s="45">
        <v>7</v>
      </c>
      <c r="AK562" s="45">
        <v>7.1</v>
      </c>
      <c r="AL562" s="45">
        <v>7.2</v>
      </c>
      <c r="AM562" s="45">
        <v>7.1</v>
      </c>
      <c r="AN562" s="45">
        <v>7.2</v>
      </c>
      <c r="AO562" s="45">
        <v>6.5</v>
      </c>
      <c r="AP562" s="45">
        <v>6.1</v>
      </c>
      <c r="AQ562" s="45">
        <v>4.8</v>
      </c>
      <c r="AR562" s="45">
        <v>3.1</v>
      </c>
      <c r="AS562" s="45">
        <v>2.5</v>
      </c>
      <c r="AT562" s="45">
        <v>2.6</v>
      </c>
      <c r="AU562" s="45">
        <v>2.8</v>
      </c>
      <c r="AV562" s="45">
        <v>0</v>
      </c>
      <c r="AW562" s="45">
        <v>0</v>
      </c>
      <c r="AX562" s="45">
        <v>0</v>
      </c>
      <c r="AY562" s="45">
        <v>0</v>
      </c>
      <c r="AZ562" s="45">
        <v>0</v>
      </c>
      <c r="BA562" s="45">
        <v>0</v>
      </c>
      <c r="BB562" s="45">
        <v>0</v>
      </c>
      <c r="BC562" s="45">
        <v>0</v>
      </c>
      <c r="BD562" s="45">
        <v>0</v>
      </c>
      <c r="BE562" s="45">
        <v>0</v>
      </c>
      <c r="BF562" s="45">
        <v>0</v>
      </c>
      <c r="BG562" s="45">
        <v>0</v>
      </c>
    </row>
    <row r="563" spans="1:59">
      <c r="A563" s="18" t="s">
        <v>217</v>
      </c>
      <c r="B563" s="18" t="s">
        <v>65</v>
      </c>
      <c r="C563" s="18" t="s">
        <v>218</v>
      </c>
      <c r="D563" s="45">
        <v>0</v>
      </c>
      <c r="E563" s="45">
        <v>0</v>
      </c>
      <c r="F563" s="45">
        <v>0</v>
      </c>
      <c r="G563" s="45">
        <v>0</v>
      </c>
      <c r="H563" s="45">
        <v>0</v>
      </c>
      <c r="I563" s="45">
        <v>0</v>
      </c>
      <c r="J563" s="45">
        <v>0</v>
      </c>
      <c r="K563" s="45">
        <v>0</v>
      </c>
      <c r="L563" s="45">
        <v>0</v>
      </c>
      <c r="M563" s="45">
        <v>0</v>
      </c>
      <c r="N563" s="45">
        <v>0</v>
      </c>
      <c r="O563" s="45">
        <v>0</v>
      </c>
      <c r="P563" s="45">
        <v>0</v>
      </c>
      <c r="Q563" s="45">
        <v>0</v>
      </c>
      <c r="R563" s="45">
        <v>0</v>
      </c>
      <c r="S563" s="45">
        <v>0</v>
      </c>
      <c r="T563" s="45">
        <v>0</v>
      </c>
      <c r="U563" s="45">
        <v>0</v>
      </c>
      <c r="V563" s="45">
        <v>0</v>
      </c>
      <c r="W563" s="45">
        <v>0</v>
      </c>
      <c r="X563" s="45">
        <v>0</v>
      </c>
      <c r="Y563" s="45">
        <v>0</v>
      </c>
      <c r="Z563" s="45">
        <v>0</v>
      </c>
      <c r="AA563" s="45">
        <v>0</v>
      </c>
      <c r="AB563" s="45">
        <v>0</v>
      </c>
      <c r="AC563" s="45">
        <v>0</v>
      </c>
      <c r="AD563" s="45">
        <v>0</v>
      </c>
      <c r="AE563" s="45">
        <v>0</v>
      </c>
      <c r="AF563" s="45">
        <v>0</v>
      </c>
      <c r="AG563" s="45">
        <v>0</v>
      </c>
      <c r="AH563" s="45">
        <v>0</v>
      </c>
      <c r="AI563" s="45">
        <v>0</v>
      </c>
      <c r="AJ563" s="45">
        <v>0</v>
      </c>
      <c r="AK563" s="45">
        <v>0</v>
      </c>
      <c r="AL563" s="45">
        <v>0</v>
      </c>
      <c r="AM563" s="45">
        <v>0</v>
      </c>
      <c r="AN563" s="45">
        <v>50</v>
      </c>
      <c r="AO563" s="45">
        <v>0</v>
      </c>
      <c r="AP563" s="45">
        <v>0</v>
      </c>
      <c r="AQ563" s="45">
        <v>0</v>
      </c>
      <c r="AR563" s="45">
        <v>0</v>
      </c>
      <c r="AS563" s="45">
        <v>0</v>
      </c>
      <c r="AT563" s="45">
        <v>0</v>
      </c>
      <c r="AU563" s="45">
        <v>0</v>
      </c>
      <c r="AV563" s="45">
        <v>0</v>
      </c>
      <c r="AW563" s="45">
        <v>0</v>
      </c>
      <c r="AX563" s="45">
        <v>0</v>
      </c>
      <c r="AY563" s="45">
        <v>0</v>
      </c>
      <c r="AZ563" s="45">
        <v>0</v>
      </c>
      <c r="BA563" s="45">
        <v>0</v>
      </c>
      <c r="BB563" s="45">
        <v>0</v>
      </c>
      <c r="BC563" s="45">
        <v>0</v>
      </c>
      <c r="BD563" s="45">
        <v>0</v>
      </c>
      <c r="BE563" s="45">
        <v>0</v>
      </c>
      <c r="BF563" s="45">
        <v>0</v>
      </c>
      <c r="BG563" s="45">
        <v>0</v>
      </c>
    </row>
    <row r="564" spans="1:59">
      <c r="A564" s="18" t="s">
        <v>219</v>
      </c>
      <c r="B564" s="18" t="s">
        <v>65</v>
      </c>
      <c r="C564" s="18" t="s">
        <v>220</v>
      </c>
      <c r="D564" s="45">
        <v>0</v>
      </c>
      <c r="E564" s="45">
        <v>0</v>
      </c>
      <c r="F564" s="45">
        <v>0</v>
      </c>
      <c r="G564" s="45">
        <v>0</v>
      </c>
      <c r="H564" s="45">
        <v>21.5</v>
      </c>
      <c r="I564" s="45">
        <v>15.6</v>
      </c>
      <c r="J564" s="45">
        <v>14.9</v>
      </c>
      <c r="K564" s="45">
        <v>14.1</v>
      </c>
      <c r="L564" s="45">
        <v>11.1</v>
      </c>
      <c r="M564" s="45">
        <v>13.4</v>
      </c>
      <c r="N564" s="45">
        <v>11.1</v>
      </c>
      <c r="O564" s="45">
        <v>8.9</v>
      </c>
      <c r="P564" s="45">
        <v>10.7</v>
      </c>
      <c r="Q564" s="45">
        <v>7.9</v>
      </c>
      <c r="R564" s="45">
        <v>7.9</v>
      </c>
      <c r="S564" s="45">
        <v>6.4</v>
      </c>
      <c r="T564" s="45">
        <v>6.7</v>
      </c>
      <c r="U564" s="45">
        <v>23.2</v>
      </c>
      <c r="V564" s="45">
        <v>25.4</v>
      </c>
      <c r="W564" s="45">
        <v>21.6</v>
      </c>
      <c r="X564" s="45">
        <v>16.4</v>
      </c>
      <c r="Y564" s="45">
        <v>0</v>
      </c>
      <c r="Z564" s="45">
        <v>0</v>
      </c>
      <c r="AA564" s="45">
        <v>0</v>
      </c>
      <c r="AB564" s="45">
        <v>0</v>
      </c>
      <c r="AC564" s="45">
        <v>0</v>
      </c>
      <c r="AD564" s="45">
        <v>0</v>
      </c>
      <c r="AE564" s="45">
        <v>0</v>
      </c>
      <c r="AF564" s="45">
        <v>0</v>
      </c>
      <c r="AG564" s="45">
        <v>11.4</v>
      </c>
      <c r="AH564" s="45">
        <v>133.3</v>
      </c>
      <c r="AI564" s="45">
        <v>0</v>
      </c>
      <c r="AJ564" s="45">
        <v>0</v>
      </c>
      <c r="AK564" s="45">
        <v>25.6</v>
      </c>
      <c r="AL564" s="45">
        <v>43</v>
      </c>
      <c r="AM564" s="45">
        <v>0</v>
      </c>
      <c r="AN564" s="45">
        <v>0</v>
      </c>
      <c r="AO564" s="45">
        <v>0</v>
      </c>
      <c r="AP564" s="45">
        <v>41.7</v>
      </c>
      <c r="AQ564" s="45">
        <v>0</v>
      </c>
      <c r="AR564" s="45">
        <v>13.5</v>
      </c>
      <c r="AS564" s="45">
        <v>14.5</v>
      </c>
      <c r="AT564" s="45">
        <v>0</v>
      </c>
      <c r="AU564" s="45">
        <v>0</v>
      </c>
      <c r="AV564" s="45">
        <v>0</v>
      </c>
      <c r="AW564" s="45">
        <v>0</v>
      </c>
      <c r="AX564" s="45">
        <v>0</v>
      </c>
      <c r="AY564" s="45">
        <v>0</v>
      </c>
      <c r="AZ564" s="45">
        <v>0</v>
      </c>
      <c r="BA564" s="45">
        <v>0</v>
      </c>
      <c r="BB564" s="45">
        <v>0</v>
      </c>
      <c r="BC564" s="45">
        <v>0</v>
      </c>
      <c r="BD564" s="45">
        <v>0</v>
      </c>
      <c r="BE564" s="45">
        <v>0</v>
      </c>
      <c r="BF564" s="45">
        <v>0</v>
      </c>
      <c r="BG564" s="45">
        <v>0</v>
      </c>
    </row>
    <row r="565" spans="1:59">
      <c r="A565" s="18" t="s">
        <v>221</v>
      </c>
      <c r="B565" s="18" t="s">
        <v>92</v>
      </c>
      <c r="C565" s="18" t="s">
        <v>5</v>
      </c>
      <c r="D565" s="45">
        <v>0</v>
      </c>
      <c r="E565" s="45">
        <v>0</v>
      </c>
      <c r="F565" s="45">
        <v>0</v>
      </c>
      <c r="G565" s="45">
        <v>0</v>
      </c>
      <c r="H565" s="45">
        <v>0</v>
      </c>
      <c r="I565" s="45">
        <v>8.9</v>
      </c>
      <c r="J565" s="45">
        <v>4.1</v>
      </c>
      <c r="K565" s="45">
        <v>3.4</v>
      </c>
      <c r="L565" s="45">
        <v>3.6</v>
      </c>
      <c r="M565" s="45">
        <v>3.2</v>
      </c>
      <c r="N565" s="45">
        <v>4.1</v>
      </c>
      <c r="O565" s="45">
        <v>4.6</v>
      </c>
      <c r="P565" s="45">
        <v>4.8</v>
      </c>
      <c r="Q565" s="45">
        <v>5.7</v>
      </c>
      <c r="R565" s="45">
        <v>6.1</v>
      </c>
      <c r="S565" s="45">
        <v>7.1</v>
      </c>
      <c r="T565" s="45">
        <v>5.5</v>
      </c>
      <c r="U565" s="45">
        <v>7</v>
      </c>
      <c r="V565" s="45">
        <v>7.6</v>
      </c>
      <c r="W565" s="45">
        <v>11.5</v>
      </c>
      <c r="X565" s="45">
        <v>6</v>
      </c>
      <c r="Y565" s="45">
        <v>6.9</v>
      </c>
      <c r="Z565" s="45">
        <v>8.699999999999999</v>
      </c>
      <c r="AA565" s="45">
        <v>6.4</v>
      </c>
      <c r="AB565" s="45">
        <v>7</v>
      </c>
      <c r="AC565" s="45">
        <v>6.1</v>
      </c>
      <c r="AD565" s="45">
        <v>6</v>
      </c>
      <c r="AE565" s="45">
        <v>7.3</v>
      </c>
      <c r="AF565" s="45">
        <v>7.5</v>
      </c>
      <c r="AG565" s="45">
        <v>6.3</v>
      </c>
      <c r="AH565" s="45">
        <v>8.1</v>
      </c>
      <c r="AI565" s="45">
        <v>8.4</v>
      </c>
      <c r="AJ565" s="45">
        <v>7</v>
      </c>
      <c r="AK565" s="45">
        <v>6</v>
      </c>
      <c r="AL565" s="45">
        <v>6.6</v>
      </c>
      <c r="AM565" s="45">
        <v>6.3</v>
      </c>
      <c r="AN565" s="45">
        <v>5.6</v>
      </c>
      <c r="AO565" s="45">
        <v>6.2</v>
      </c>
      <c r="AP565" s="45">
        <v>5.4</v>
      </c>
      <c r="AQ565" s="45">
        <v>5.1</v>
      </c>
      <c r="AR565" s="45">
        <v>4.9</v>
      </c>
      <c r="AS565" s="45">
        <v>3.3</v>
      </c>
      <c r="AT565" s="45">
        <v>2.8</v>
      </c>
      <c r="AU565" s="45">
        <v>0</v>
      </c>
      <c r="AV565" s="45">
        <v>0</v>
      </c>
      <c r="AW565" s="45">
        <v>0</v>
      </c>
      <c r="AX565" s="45">
        <v>0</v>
      </c>
      <c r="AY565" s="45">
        <v>0</v>
      </c>
      <c r="AZ565" s="45">
        <v>0</v>
      </c>
      <c r="BA565" s="45">
        <v>0</v>
      </c>
      <c r="BB565" s="45">
        <v>0</v>
      </c>
      <c r="BC565" s="45">
        <v>0</v>
      </c>
      <c r="BD565" s="45">
        <v>0</v>
      </c>
      <c r="BE565" s="45">
        <v>0</v>
      </c>
      <c r="BF565" s="45">
        <v>0</v>
      </c>
      <c r="BG565" s="45">
        <v>0</v>
      </c>
    </row>
    <row r="566" spans="1:59">
      <c r="A566" s="18" t="s">
        <v>222</v>
      </c>
      <c r="B566" s="18" t="s">
        <v>92</v>
      </c>
      <c r="C566" s="18" t="s">
        <v>210</v>
      </c>
      <c r="D566" s="45">
        <v>0</v>
      </c>
      <c r="E566" s="45">
        <v>0</v>
      </c>
      <c r="F566" s="45">
        <v>0</v>
      </c>
      <c r="G566" s="45">
        <v>0</v>
      </c>
      <c r="H566" s="45">
        <v>0</v>
      </c>
      <c r="I566" s="45">
        <v>7.4</v>
      </c>
      <c r="J566" s="45">
        <v>4.9</v>
      </c>
      <c r="K566" s="45">
        <v>2.7</v>
      </c>
      <c r="L566" s="45">
        <v>2.6</v>
      </c>
      <c r="M566" s="45">
        <v>3.1</v>
      </c>
      <c r="N566" s="45">
        <v>3.5</v>
      </c>
      <c r="O566" s="45">
        <v>3.1</v>
      </c>
      <c r="P566" s="45">
        <v>3.6</v>
      </c>
      <c r="Q566" s="45">
        <v>5</v>
      </c>
      <c r="R566" s="45">
        <v>4.7</v>
      </c>
      <c r="S566" s="45">
        <v>5.3</v>
      </c>
      <c r="T566" s="45">
        <v>4.6</v>
      </c>
      <c r="U566" s="45">
        <v>4.8</v>
      </c>
      <c r="V566" s="45">
        <v>5.2</v>
      </c>
      <c r="W566" s="45">
        <v>5</v>
      </c>
      <c r="X566" s="45">
        <v>5.6</v>
      </c>
      <c r="Y566" s="45">
        <v>4.7</v>
      </c>
      <c r="Z566" s="45">
        <v>3.6</v>
      </c>
      <c r="AA566" s="45">
        <v>4.1</v>
      </c>
      <c r="AB566" s="45">
        <v>3.3</v>
      </c>
      <c r="AC566" s="45">
        <v>3.8</v>
      </c>
      <c r="AD566" s="45">
        <v>4.1</v>
      </c>
      <c r="AE566" s="45">
        <v>4.6</v>
      </c>
      <c r="AF566" s="45">
        <v>4.6</v>
      </c>
      <c r="AG566" s="45">
        <v>5.6</v>
      </c>
      <c r="AH566" s="45">
        <v>4.5</v>
      </c>
      <c r="AI566" s="45">
        <v>4.8</v>
      </c>
      <c r="AJ566" s="45">
        <v>4.3</v>
      </c>
      <c r="AK566" s="45">
        <v>4.2</v>
      </c>
      <c r="AL566" s="45">
        <v>4</v>
      </c>
      <c r="AM566" s="45">
        <v>4</v>
      </c>
      <c r="AN566" s="45">
        <v>4.2</v>
      </c>
      <c r="AO566" s="45">
        <v>4.5</v>
      </c>
      <c r="AP566" s="45">
        <v>4.4</v>
      </c>
      <c r="AQ566" s="45">
        <v>4.6</v>
      </c>
      <c r="AR566" s="45">
        <v>4.5</v>
      </c>
      <c r="AS566" s="45">
        <v>3</v>
      </c>
      <c r="AT566" s="45">
        <v>1.3</v>
      </c>
      <c r="AU566" s="45">
        <v>2.6</v>
      </c>
      <c r="AV566" s="45">
        <v>0</v>
      </c>
      <c r="AW566" s="45">
        <v>0</v>
      </c>
      <c r="AX566" s="45">
        <v>0</v>
      </c>
      <c r="AY566" s="45">
        <v>0</v>
      </c>
      <c r="AZ566" s="45">
        <v>0</v>
      </c>
      <c r="BA566" s="45">
        <v>0</v>
      </c>
      <c r="BB566" s="45">
        <v>0</v>
      </c>
      <c r="BC566" s="45">
        <v>0</v>
      </c>
      <c r="BD566" s="45">
        <v>0</v>
      </c>
      <c r="BE566" s="45">
        <v>0</v>
      </c>
      <c r="BF566" s="45">
        <v>0</v>
      </c>
      <c r="BG566" s="45">
        <v>0</v>
      </c>
    </row>
    <row r="567" spans="1:59">
      <c r="A567" s="18" t="s">
        <v>223</v>
      </c>
      <c r="B567" s="18" t="s">
        <v>92</v>
      </c>
      <c r="C567" s="18" t="s">
        <v>212</v>
      </c>
      <c r="D567" s="45">
        <v>0</v>
      </c>
      <c r="E567" s="45">
        <v>0</v>
      </c>
      <c r="F567" s="45">
        <v>0</v>
      </c>
      <c r="G567" s="45">
        <v>0</v>
      </c>
      <c r="H567" s="45">
        <v>0</v>
      </c>
      <c r="I567" s="45">
        <v>6.8</v>
      </c>
      <c r="J567" s="45">
        <v>5.2</v>
      </c>
      <c r="K567" s="45">
        <v>2.4</v>
      </c>
      <c r="L567" s="45">
        <v>2.1</v>
      </c>
      <c r="M567" s="45">
        <v>2.5</v>
      </c>
      <c r="N567" s="45">
        <v>2.8</v>
      </c>
      <c r="O567" s="45">
        <v>2.4</v>
      </c>
      <c r="P567" s="45">
        <v>3</v>
      </c>
      <c r="Q567" s="45">
        <v>3.3</v>
      </c>
      <c r="R567" s="45">
        <v>4.2</v>
      </c>
      <c r="S567" s="45">
        <v>3.9</v>
      </c>
      <c r="T567" s="45">
        <v>3.9</v>
      </c>
      <c r="U567" s="45">
        <v>4.4</v>
      </c>
      <c r="V567" s="45">
        <v>4.3</v>
      </c>
      <c r="W567" s="45">
        <v>4.8</v>
      </c>
      <c r="X567" s="45">
        <v>4.5</v>
      </c>
      <c r="Y567" s="45">
        <v>4.3</v>
      </c>
      <c r="Z567" s="45">
        <v>4.1</v>
      </c>
      <c r="AA567" s="45">
        <v>3.7</v>
      </c>
      <c r="AB567" s="45">
        <v>3.2</v>
      </c>
      <c r="AC567" s="45">
        <v>3.6</v>
      </c>
      <c r="AD567" s="45">
        <v>4.3</v>
      </c>
      <c r="AE567" s="45">
        <v>4.5</v>
      </c>
      <c r="AF567" s="45">
        <v>4.8</v>
      </c>
      <c r="AG567" s="45">
        <v>5</v>
      </c>
      <c r="AH567" s="45">
        <v>4.8</v>
      </c>
      <c r="AI567" s="45">
        <v>4.3</v>
      </c>
      <c r="AJ567" s="45">
        <v>4.4</v>
      </c>
      <c r="AK567" s="45">
        <v>4.3</v>
      </c>
      <c r="AL567" s="45">
        <v>4.5</v>
      </c>
      <c r="AM567" s="45">
        <v>4.3</v>
      </c>
      <c r="AN567" s="45">
        <v>4.8</v>
      </c>
      <c r="AO567" s="45">
        <v>4.9</v>
      </c>
      <c r="AP567" s="45">
        <v>4.4</v>
      </c>
      <c r="AQ567" s="45">
        <v>4.4</v>
      </c>
      <c r="AR567" s="45">
        <v>4</v>
      </c>
      <c r="AS567" s="45">
        <v>3.2</v>
      </c>
      <c r="AT567" s="45">
        <v>1.7</v>
      </c>
      <c r="AU567" s="45">
        <v>0</v>
      </c>
      <c r="AV567" s="45">
        <v>0</v>
      </c>
      <c r="AW567" s="45">
        <v>0</v>
      </c>
      <c r="AX567" s="45">
        <v>0</v>
      </c>
      <c r="AY567" s="45">
        <v>0</v>
      </c>
      <c r="AZ567" s="45">
        <v>0</v>
      </c>
      <c r="BA567" s="45">
        <v>0</v>
      </c>
      <c r="BB567" s="45">
        <v>0</v>
      </c>
      <c r="BC567" s="45">
        <v>0</v>
      </c>
      <c r="BD567" s="45">
        <v>0</v>
      </c>
      <c r="BE567" s="45">
        <v>0</v>
      </c>
      <c r="BF567" s="45">
        <v>0</v>
      </c>
      <c r="BG567" s="45">
        <v>0</v>
      </c>
    </row>
    <row r="568" spans="1:59">
      <c r="A568" s="18" t="s">
        <v>224</v>
      </c>
      <c r="B568" s="18" t="s">
        <v>92</v>
      </c>
      <c r="C568" s="18" t="s">
        <v>214</v>
      </c>
      <c r="D568" s="45">
        <v>0</v>
      </c>
      <c r="E568" s="45">
        <v>0</v>
      </c>
      <c r="F568" s="45">
        <v>0</v>
      </c>
      <c r="G568" s="45">
        <v>0</v>
      </c>
      <c r="H568" s="45">
        <v>0</v>
      </c>
      <c r="I568" s="45">
        <v>6.8</v>
      </c>
      <c r="J568" s="45">
        <v>3.9</v>
      </c>
      <c r="K568" s="45">
        <v>1.7</v>
      </c>
      <c r="L568" s="45">
        <v>1.8</v>
      </c>
      <c r="M568" s="45">
        <v>2.2</v>
      </c>
      <c r="N568" s="45">
        <v>2.5</v>
      </c>
      <c r="O568" s="45">
        <v>2.6</v>
      </c>
      <c r="P568" s="45">
        <v>3</v>
      </c>
      <c r="Q568" s="45">
        <v>3.2</v>
      </c>
      <c r="R568" s="45">
        <v>2.9</v>
      </c>
      <c r="S568" s="45">
        <v>3.1</v>
      </c>
      <c r="T568" s="45">
        <v>3</v>
      </c>
      <c r="U568" s="45">
        <v>3.2</v>
      </c>
      <c r="V568" s="45">
        <v>3.8</v>
      </c>
      <c r="W568" s="45">
        <v>4</v>
      </c>
      <c r="X568" s="45">
        <v>3.5</v>
      </c>
      <c r="Y568" s="45">
        <v>3.4</v>
      </c>
      <c r="Z568" s="45">
        <v>3.2</v>
      </c>
      <c r="AA568" s="45">
        <v>2.4</v>
      </c>
      <c r="AB568" s="45">
        <v>2.7</v>
      </c>
      <c r="AC568" s="45">
        <v>3.7</v>
      </c>
      <c r="AD568" s="45">
        <v>3.2</v>
      </c>
      <c r="AE568" s="45">
        <v>4</v>
      </c>
      <c r="AF568" s="45">
        <v>4.6</v>
      </c>
      <c r="AG568" s="45">
        <v>4.2</v>
      </c>
      <c r="AH568" s="45">
        <v>5</v>
      </c>
      <c r="AI568" s="45">
        <v>4.5</v>
      </c>
      <c r="AJ568" s="45">
        <v>3.9</v>
      </c>
      <c r="AK568" s="45">
        <v>3.5</v>
      </c>
      <c r="AL568" s="45">
        <v>4</v>
      </c>
      <c r="AM568" s="45">
        <v>3.8</v>
      </c>
      <c r="AN568" s="45">
        <v>3.8</v>
      </c>
      <c r="AO568" s="45">
        <v>3.7</v>
      </c>
      <c r="AP568" s="45">
        <v>4.1</v>
      </c>
      <c r="AQ568" s="45">
        <v>4</v>
      </c>
      <c r="AR568" s="45">
        <v>3</v>
      </c>
      <c r="AS568" s="45">
        <v>3</v>
      </c>
      <c r="AT568" s="45">
        <v>2.1</v>
      </c>
      <c r="AU568" s="45">
        <v>0</v>
      </c>
      <c r="AV568" s="45">
        <v>0</v>
      </c>
      <c r="AW568" s="45">
        <v>2.9</v>
      </c>
      <c r="AX568" s="45">
        <v>0</v>
      </c>
      <c r="AY568" s="45">
        <v>0</v>
      </c>
      <c r="AZ568" s="45">
        <v>0</v>
      </c>
      <c r="BA568" s="45">
        <v>0</v>
      </c>
      <c r="BB568" s="45">
        <v>0</v>
      </c>
      <c r="BC568" s="45">
        <v>0</v>
      </c>
      <c r="BD568" s="45">
        <v>0</v>
      </c>
      <c r="BE568" s="45">
        <v>0</v>
      </c>
      <c r="BF568" s="45">
        <v>0</v>
      </c>
      <c r="BG568" s="45">
        <v>0</v>
      </c>
    </row>
    <row r="569" spans="1:59">
      <c r="A569" s="18" t="s">
        <v>225</v>
      </c>
      <c r="B569" s="18" t="s">
        <v>92</v>
      </c>
      <c r="C569" s="18" t="s">
        <v>216</v>
      </c>
      <c r="D569" s="45">
        <v>0</v>
      </c>
      <c r="E569" s="45">
        <v>0</v>
      </c>
      <c r="F569" s="45">
        <v>0</v>
      </c>
      <c r="G569" s="45">
        <v>0</v>
      </c>
      <c r="H569" s="45">
        <v>0</v>
      </c>
      <c r="I569" s="45">
        <v>9.800000000000001</v>
      </c>
      <c r="J569" s="45">
        <v>3.9</v>
      </c>
      <c r="K569" s="45">
        <v>2.2</v>
      </c>
      <c r="L569" s="45">
        <v>2.5</v>
      </c>
      <c r="M569" s="45">
        <v>2.7</v>
      </c>
      <c r="N569" s="45">
        <v>4.1</v>
      </c>
      <c r="O569" s="45">
        <v>2.3</v>
      </c>
      <c r="P569" s="45">
        <v>2.7</v>
      </c>
      <c r="Q569" s="45">
        <v>3</v>
      </c>
      <c r="R569" s="45">
        <v>3.6</v>
      </c>
      <c r="S569" s="45">
        <v>4</v>
      </c>
      <c r="T569" s="45">
        <v>4.3</v>
      </c>
      <c r="U569" s="45">
        <v>4.1</v>
      </c>
      <c r="V569" s="45">
        <v>5</v>
      </c>
      <c r="W569" s="45">
        <v>5.7</v>
      </c>
      <c r="X569" s="45">
        <v>4.7</v>
      </c>
      <c r="Y569" s="45">
        <v>4.7</v>
      </c>
      <c r="Z569" s="45">
        <v>4.5</v>
      </c>
      <c r="AA569" s="45">
        <v>4.5</v>
      </c>
      <c r="AB569" s="45">
        <v>3.8</v>
      </c>
      <c r="AC569" s="45">
        <v>3.6</v>
      </c>
      <c r="AD569" s="45">
        <v>4.3</v>
      </c>
      <c r="AE569" s="45">
        <v>4.1</v>
      </c>
      <c r="AF569" s="45">
        <v>4.7</v>
      </c>
      <c r="AG569" s="45">
        <v>4.5</v>
      </c>
      <c r="AH569" s="45">
        <v>4</v>
      </c>
      <c r="AI569" s="45">
        <v>3.7</v>
      </c>
      <c r="AJ569" s="45">
        <v>4.2</v>
      </c>
      <c r="AK569" s="45">
        <v>3.2</v>
      </c>
      <c r="AL569" s="45">
        <v>4.1</v>
      </c>
      <c r="AM569" s="45">
        <v>3.7</v>
      </c>
      <c r="AN569" s="45">
        <v>4.4</v>
      </c>
      <c r="AO569" s="45">
        <v>4.7</v>
      </c>
      <c r="AP569" s="45">
        <v>4.9</v>
      </c>
      <c r="AQ569" s="45">
        <v>4.5</v>
      </c>
      <c r="AR569" s="45">
        <v>3.3</v>
      </c>
      <c r="AS569" s="45">
        <v>2.7</v>
      </c>
      <c r="AT569" s="45">
        <v>1.6</v>
      </c>
      <c r="AU569" s="45">
        <v>3.8</v>
      </c>
      <c r="AV569" s="45">
        <v>0</v>
      </c>
      <c r="AW569" s="45">
        <v>0</v>
      </c>
      <c r="AX569" s="45">
        <v>0</v>
      </c>
      <c r="AY569" s="45">
        <v>0</v>
      </c>
      <c r="AZ569" s="45">
        <v>0</v>
      </c>
      <c r="BA569" s="45">
        <v>0</v>
      </c>
      <c r="BB569" s="45">
        <v>0</v>
      </c>
      <c r="BC569" s="45">
        <v>0</v>
      </c>
      <c r="BD569" s="45">
        <v>0</v>
      </c>
      <c r="BE569" s="45">
        <v>0</v>
      </c>
      <c r="BF569" s="45">
        <v>0</v>
      </c>
      <c r="BG569" s="45">
        <v>0</v>
      </c>
    </row>
    <row r="570" spans="1:59">
      <c r="A570" s="18" t="s">
        <v>226</v>
      </c>
      <c r="B570" s="18" t="s">
        <v>92</v>
      </c>
      <c r="C570" s="18" t="s">
        <v>218</v>
      </c>
      <c r="D570" s="45">
        <v>0</v>
      </c>
      <c r="E570" s="45">
        <v>0</v>
      </c>
      <c r="F570" s="45">
        <v>0</v>
      </c>
      <c r="G570" s="45">
        <v>0</v>
      </c>
      <c r="H570" s="45">
        <v>0</v>
      </c>
      <c r="I570" s="45">
        <v>0</v>
      </c>
      <c r="J570" s="45">
        <v>0</v>
      </c>
      <c r="K570" s="45">
        <v>0</v>
      </c>
      <c r="L570" s="45">
        <v>0</v>
      </c>
      <c r="M570" s="45">
        <v>0</v>
      </c>
      <c r="N570" s="45">
        <v>0</v>
      </c>
      <c r="O570" s="45">
        <v>0</v>
      </c>
      <c r="P570" s="45">
        <v>0</v>
      </c>
      <c r="Q570" s="45">
        <v>0</v>
      </c>
      <c r="R570" s="45">
        <v>0</v>
      </c>
      <c r="S570" s="45">
        <v>0</v>
      </c>
      <c r="T570" s="45">
        <v>0</v>
      </c>
      <c r="U570" s="45">
        <v>0</v>
      </c>
      <c r="V570" s="45">
        <v>0</v>
      </c>
      <c r="W570" s="45">
        <v>0</v>
      </c>
      <c r="X570" s="45">
        <v>0</v>
      </c>
      <c r="Y570" s="45">
        <v>0</v>
      </c>
      <c r="Z570" s="45">
        <v>0</v>
      </c>
      <c r="AA570" s="45">
        <v>0</v>
      </c>
      <c r="AB570" s="45">
        <v>0</v>
      </c>
      <c r="AC570" s="45">
        <v>0</v>
      </c>
      <c r="AD570" s="45">
        <v>0</v>
      </c>
      <c r="AE570" s="45">
        <v>0</v>
      </c>
      <c r="AF570" s="45">
        <v>0</v>
      </c>
      <c r="AG570" s="45">
        <v>0</v>
      </c>
      <c r="AH570" s="45">
        <v>0</v>
      </c>
      <c r="AI570" s="45">
        <v>0</v>
      </c>
      <c r="AJ570" s="45">
        <v>0</v>
      </c>
      <c r="AK570" s="45">
        <v>0</v>
      </c>
      <c r="AL570" s="45">
        <v>0</v>
      </c>
      <c r="AM570" s="45">
        <v>0</v>
      </c>
      <c r="AN570" s="45">
        <v>0</v>
      </c>
      <c r="AO570" s="45">
        <v>0</v>
      </c>
      <c r="AP570" s="45">
        <v>0</v>
      </c>
      <c r="AQ570" s="45">
        <v>0</v>
      </c>
      <c r="AR570" s="45">
        <v>0</v>
      </c>
      <c r="AS570" s="45">
        <v>0</v>
      </c>
      <c r="AT570" s="45">
        <v>0</v>
      </c>
      <c r="AU570" s="45">
        <v>0</v>
      </c>
      <c r="AV570" s="45">
        <v>0</v>
      </c>
      <c r="AW570" s="45">
        <v>0</v>
      </c>
      <c r="AX570" s="45">
        <v>0</v>
      </c>
      <c r="AY570" s="45">
        <v>0</v>
      </c>
      <c r="AZ570" s="45">
        <v>0</v>
      </c>
      <c r="BA570" s="45">
        <v>0</v>
      </c>
      <c r="BB570" s="45">
        <v>0</v>
      </c>
      <c r="BC570" s="45">
        <v>0</v>
      </c>
      <c r="BD570" s="45">
        <v>0</v>
      </c>
      <c r="BE570" s="45">
        <v>0</v>
      </c>
      <c r="BF570" s="45">
        <v>0</v>
      </c>
      <c r="BG570" s="45">
        <v>0</v>
      </c>
    </row>
    <row r="571" spans="1:59">
      <c r="A571" s="18" t="s">
        <v>227</v>
      </c>
      <c r="B571" s="18" t="s">
        <v>92</v>
      </c>
      <c r="C571" s="18" t="s">
        <v>220</v>
      </c>
      <c r="D571" s="45">
        <v>0</v>
      </c>
      <c r="E571" s="45">
        <v>0</v>
      </c>
      <c r="F571" s="45">
        <v>0</v>
      </c>
      <c r="G571" s="45">
        <v>0</v>
      </c>
      <c r="H571" s="45">
        <v>0</v>
      </c>
      <c r="I571" s="45">
        <v>0</v>
      </c>
      <c r="J571" s="45">
        <v>10.7</v>
      </c>
      <c r="K571" s="45">
        <v>14.3</v>
      </c>
      <c r="L571" s="45">
        <v>14</v>
      </c>
      <c r="M571" s="45">
        <v>15.4</v>
      </c>
      <c r="N571" s="45">
        <v>16.9</v>
      </c>
      <c r="O571" s="45">
        <v>10</v>
      </c>
      <c r="P571" s="45">
        <v>13.1</v>
      </c>
      <c r="Q571" s="45">
        <v>11.9</v>
      </c>
      <c r="R571" s="45">
        <v>10.5</v>
      </c>
      <c r="S571" s="45">
        <v>8.9</v>
      </c>
      <c r="T571" s="45">
        <v>10.2</v>
      </c>
      <c r="U571" s="45">
        <v>48.2</v>
      </c>
      <c r="V571" s="45">
        <v>41</v>
      </c>
      <c r="W571" s="45">
        <v>18</v>
      </c>
      <c r="X571" s="45">
        <v>16.4</v>
      </c>
      <c r="Y571" s="45">
        <v>0</v>
      </c>
      <c r="Z571" s="45">
        <v>0</v>
      </c>
      <c r="AA571" s="45">
        <v>0</v>
      </c>
      <c r="AB571" s="45">
        <v>0</v>
      </c>
      <c r="AC571" s="45">
        <v>0</v>
      </c>
      <c r="AD571" s="45">
        <v>0</v>
      </c>
      <c r="AE571" s="45">
        <v>0</v>
      </c>
      <c r="AF571" s="45">
        <v>0</v>
      </c>
      <c r="AG571" s="45">
        <v>0</v>
      </c>
      <c r="AH571" s="45">
        <v>0</v>
      </c>
      <c r="AI571" s="45">
        <v>0</v>
      </c>
      <c r="AJ571" s="45">
        <v>0</v>
      </c>
      <c r="AK571" s="45">
        <v>0</v>
      </c>
      <c r="AL571" s="45">
        <v>0</v>
      </c>
      <c r="AM571" s="45">
        <v>0</v>
      </c>
      <c r="AN571" s="45">
        <v>0</v>
      </c>
      <c r="AO571" s="45">
        <v>0</v>
      </c>
      <c r="AP571" s="45">
        <v>0</v>
      </c>
      <c r="AQ571" s="45">
        <v>0</v>
      </c>
      <c r="AR571" s="45">
        <v>0</v>
      </c>
      <c r="AS571" s="45">
        <v>0</v>
      </c>
      <c r="AT571" s="45">
        <v>0</v>
      </c>
      <c r="AU571" s="45">
        <v>0</v>
      </c>
      <c r="AV571" s="45">
        <v>0</v>
      </c>
      <c r="AW571" s="45">
        <v>0</v>
      </c>
      <c r="AX571" s="45">
        <v>0</v>
      </c>
      <c r="AY571" s="45">
        <v>0</v>
      </c>
      <c r="AZ571" s="45">
        <v>0</v>
      </c>
      <c r="BA571" s="45">
        <v>0</v>
      </c>
      <c r="BB571" s="45">
        <v>0</v>
      </c>
      <c r="BC571" s="45">
        <v>0</v>
      </c>
      <c r="BD571" s="45">
        <v>0</v>
      </c>
      <c r="BE571" s="45">
        <v>0</v>
      </c>
      <c r="BF571" s="45">
        <v>0</v>
      </c>
      <c r="BG571" s="45">
        <v>0</v>
      </c>
    </row>
    <row r="572" spans="1:59">
      <c r="A572" s="18" t="s">
        <v>228</v>
      </c>
      <c r="B572" s="18" t="s">
        <v>106</v>
      </c>
      <c r="C572" s="18" t="s">
        <v>5</v>
      </c>
      <c r="D572" s="45">
        <v>0</v>
      </c>
      <c r="E572" s="45">
        <v>0</v>
      </c>
      <c r="F572" s="45">
        <v>0</v>
      </c>
      <c r="G572" s="45">
        <v>0</v>
      </c>
      <c r="H572" s="45">
        <v>14.5</v>
      </c>
      <c r="I572" s="45">
        <v>5</v>
      </c>
      <c r="J572" s="45">
        <v>2.9</v>
      </c>
      <c r="K572" s="45">
        <v>4.2</v>
      </c>
      <c r="L572" s="45">
        <v>3.8</v>
      </c>
      <c r="M572" s="45">
        <v>4</v>
      </c>
      <c r="N572" s="45">
        <v>5.2</v>
      </c>
      <c r="O572" s="45">
        <v>5.4</v>
      </c>
      <c r="P572" s="45">
        <v>6.9</v>
      </c>
      <c r="Q572" s="45">
        <v>6</v>
      </c>
      <c r="R572" s="45">
        <v>7.3</v>
      </c>
      <c r="S572" s="45">
        <v>6.6</v>
      </c>
      <c r="T572" s="45">
        <v>7.1</v>
      </c>
      <c r="U572" s="45">
        <v>6.6</v>
      </c>
      <c r="V572" s="45">
        <v>6.8</v>
      </c>
      <c r="W572" s="45">
        <v>6.7</v>
      </c>
      <c r="X572" s="45">
        <v>6.5</v>
      </c>
      <c r="Y572" s="45">
        <v>6.6</v>
      </c>
      <c r="Z572" s="45">
        <v>5.5</v>
      </c>
      <c r="AA572" s="45">
        <v>5.4</v>
      </c>
      <c r="AB572" s="45">
        <v>5.8</v>
      </c>
      <c r="AC572" s="45">
        <v>5.2</v>
      </c>
      <c r="AD572" s="45">
        <v>6.3</v>
      </c>
      <c r="AE572" s="45">
        <v>6.9</v>
      </c>
      <c r="AF572" s="45">
        <v>6.5</v>
      </c>
      <c r="AG572" s="45">
        <v>7.9</v>
      </c>
      <c r="AH572" s="45">
        <v>6.6</v>
      </c>
      <c r="AI572" s="45">
        <v>5.6</v>
      </c>
      <c r="AJ572" s="45">
        <v>6.4</v>
      </c>
      <c r="AK572" s="45">
        <v>6.7</v>
      </c>
      <c r="AL572" s="45">
        <v>6</v>
      </c>
      <c r="AM572" s="45">
        <v>6.1</v>
      </c>
      <c r="AN572" s="45">
        <v>5.7</v>
      </c>
      <c r="AO572" s="45">
        <v>5.7</v>
      </c>
      <c r="AP572" s="45">
        <v>4.4</v>
      </c>
      <c r="AQ572" s="45">
        <v>3.7</v>
      </c>
      <c r="AR572" s="45">
        <v>2</v>
      </c>
      <c r="AS572" s="45">
        <v>0</v>
      </c>
      <c r="AT572" s="45">
        <v>0</v>
      </c>
      <c r="AU572" s="45">
        <v>0</v>
      </c>
      <c r="AV572" s="45">
        <v>0</v>
      </c>
      <c r="AW572" s="45">
        <v>0</v>
      </c>
      <c r="AX572" s="45">
        <v>0</v>
      </c>
      <c r="AY572" s="45">
        <v>0</v>
      </c>
      <c r="AZ572" s="45">
        <v>0</v>
      </c>
      <c r="BA572" s="45">
        <v>0</v>
      </c>
      <c r="BB572" s="45">
        <v>0</v>
      </c>
      <c r="BC572" s="45">
        <v>0</v>
      </c>
      <c r="BD572" s="45">
        <v>0</v>
      </c>
      <c r="BE572" s="45">
        <v>0</v>
      </c>
      <c r="BF572" s="45">
        <v>0</v>
      </c>
      <c r="BG572" s="45">
        <v>0</v>
      </c>
    </row>
    <row r="573" spans="1:59">
      <c r="A573" s="18" t="s">
        <v>229</v>
      </c>
      <c r="B573" s="18" t="s">
        <v>106</v>
      </c>
      <c r="C573" s="18" t="s">
        <v>210</v>
      </c>
      <c r="D573" s="45">
        <v>0</v>
      </c>
      <c r="E573" s="45">
        <v>0</v>
      </c>
      <c r="F573" s="45">
        <v>0</v>
      </c>
      <c r="G573" s="45">
        <v>0</v>
      </c>
      <c r="H573" s="45">
        <v>0</v>
      </c>
      <c r="I573" s="45">
        <v>3.8</v>
      </c>
      <c r="J573" s="45">
        <v>2.3</v>
      </c>
      <c r="K573" s="45">
        <v>2.2</v>
      </c>
      <c r="L573" s="45">
        <v>3.1</v>
      </c>
      <c r="M573" s="45">
        <v>3.5</v>
      </c>
      <c r="N573" s="45">
        <v>4.3</v>
      </c>
      <c r="O573" s="45">
        <v>4.9</v>
      </c>
      <c r="P573" s="45">
        <v>5.4</v>
      </c>
      <c r="Q573" s="45">
        <v>5.3</v>
      </c>
      <c r="R573" s="45">
        <v>4</v>
      </c>
      <c r="S573" s="45">
        <v>4.3</v>
      </c>
      <c r="T573" s="45">
        <v>4.6</v>
      </c>
      <c r="U573" s="45">
        <v>5.2</v>
      </c>
      <c r="V573" s="45">
        <v>4.8</v>
      </c>
      <c r="W573" s="45">
        <v>4.6</v>
      </c>
      <c r="X573" s="45">
        <v>5.1</v>
      </c>
      <c r="Y573" s="45">
        <v>3.7</v>
      </c>
      <c r="Z573" s="45">
        <v>4.8</v>
      </c>
      <c r="AA573" s="45">
        <v>4.6</v>
      </c>
      <c r="AB573" s="45">
        <v>5.8</v>
      </c>
      <c r="AC573" s="45">
        <v>5.1</v>
      </c>
      <c r="AD573" s="45">
        <v>5.5</v>
      </c>
      <c r="AE573" s="45">
        <v>5.2</v>
      </c>
      <c r="AF573" s="45">
        <v>4.8</v>
      </c>
      <c r="AG573" s="45">
        <v>4.7</v>
      </c>
      <c r="AH573" s="45">
        <v>4.1</v>
      </c>
      <c r="AI573" s="45">
        <v>4.7</v>
      </c>
      <c r="AJ573" s="45">
        <v>4.8</v>
      </c>
      <c r="AK573" s="45">
        <v>4.2</v>
      </c>
      <c r="AL573" s="45">
        <v>4.5</v>
      </c>
      <c r="AM573" s="45">
        <v>4.2</v>
      </c>
      <c r="AN573" s="45">
        <v>4.6</v>
      </c>
      <c r="AO573" s="45">
        <v>4.4</v>
      </c>
      <c r="AP573" s="45">
        <v>3.8</v>
      </c>
      <c r="AQ573" s="45">
        <v>2.4</v>
      </c>
      <c r="AR573" s="45">
        <v>1.2</v>
      </c>
      <c r="AS573" s="45">
        <v>0</v>
      </c>
      <c r="AT573" s="45">
        <v>0</v>
      </c>
      <c r="AU573" s="45">
        <v>0</v>
      </c>
      <c r="AV573" s="45">
        <v>0</v>
      </c>
      <c r="AW573" s="45">
        <v>0</v>
      </c>
      <c r="AX573" s="45">
        <v>0</v>
      </c>
      <c r="AY573" s="45">
        <v>0</v>
      </c>
      <c r="AZ573" s="45">
        <v>0</v>
      </c>
      <c r="BA573" s="45">
        <v>0</v>
      </c>
      <c r="BB573" s="45">
        <v>0</v>
      </c>
      <c r="BC573" s="45">
        <v>0</v>
      </c>
      <c r="BD573" s="45">
        <v>0</v>
      </c>
      <c r="BE573" s="45">
        <v>0</v>
      </c>
      <c r="BF573" s="45">
        <v>0</v>
      </c>
      <c r="BG573" s="45">
        <v>0</v>
      </c>
    </row>
    <row r="574" spans="1:59">
      <c r="A574" s="18" t="s">
        <v>230</v>
      </c>
      <c r="B574" s="18" t="s">
        <v>106</v>
      </c>
      <c r="C574" s="18" t="s">
        <v>212</v>
      </c>
      <c r="D574" s="45">
        <v>0</v>
      </c>
      <c r="E574" s="45">
        <v>0</v>
      </c>
      <c r="F574" s="45">
        <v>0</v>
      </c>
      <c r="G574" s="45">
        <v>0</v>
      </c>
      <c r="H574" s="45">
        <v>15.6</v>
      </c>
      <c r="I574" s="45">
        <v>3.9</v>
      </c>
      <c r="J574" s="45">
        <v>2.5</v>
      </c>
      <c r="K574" s="45">
        <v>2.2</v>
      </c>
      <c r="L574" s="45">
        <v>2.3</v>
      </c>
      <c r="M574" s="45">
        <v>3.6</v>
      </c>
      <c r="N574" s="45">
        <v>4.8</v>
      </c>
      <c r="O574" s="45">
        <v>4.4</v>
      </c>
      <c r="P574" s="45">
        <v>5</v>
      </c>
      <c r="Q574" s="45">
        <v>4.9</v>
      </c>
      <c r="R574" s="45">
        <v>4.3</v>
      </c>
      <c r="S574" s="45">
        <v>4.2</v>
      </c>
      <c r="T574" s="45">
        <v>3.9</v>
      </c>
      <c r="U574" s="45">
        <v>4</v>
      </c>
      <c r="V574" s="45">
        <v>4.4</v>
      </c>
      <c r="W574" s="45">
        <v>4.2</v>
      </c>
      <c r="X574" s="45">
        <v>4</v>
      </c>
      <c r="Y574" s="45">
        <v>4.3</v>
      </c>
      <c r="Z574" s="45">
        <v>4</v>
      </c>
      <c r="AA574" s="45">
        <v>3.5</v>
      </c>
      <c r="AB574" s="45">
        <v>3.7</v>
      </c>
      <c r="AC574" s="45">
        <v>4.6</v>
      </c>
      <c r="AD574" s="45">
        <v>4.4</v>
      </c>
      <c r="AE574" s="45">
        <v>3.8</v>
      </c>
      <c r="AF574" s="45">
        <v>3.9</v>
      </c>
      <c r="AG574" s="45">
        <v>3.1</v>
      </c>
      <c r="AH574" s="45">
        <v>3</v>
      </c>
      <c r="AI574" s="45">
        <v>3.2</v>
      </c>
      <c r="AJ574" s="45">
        <v>3</v>
      </c>
      <c r="AK574" s="45">
        <v>3.9</v>
      </c>
      <c r="AL574" s="45">
        <v>4</v>
      </c>
      <c r="AM574" s="45">
        <v>4.1</v>
      </c>
      <c r="AN574" s="45">
        <v>3.9</v>
      </c>
      <c r="AO574" s="45">
        <v>3.1</v>
      </c>
      <c r="AP574" s="45">
        <v>2.7</v>
      </c>
      <c r="AQ574" s="45">
        <v>2</v>
      </c>
      <c r="AR574" s="45">
        <v>0.8</v>
      </c>
      <c r="AS574" s="45">
        <v>0</v>
      </c>
      <c r="AT574" s="45">
        <v>0</v>
      </c>
      <c r="AU574" s="45">
        <v>0</v>
      </c>
      <c r="AV574" s="45">
        <v>0</v>
      </c>
      <c r="AW574" s="45">
        <v>0</v>
      </c>
      <c r="AX574" s="45">
        <v>0</v>
      </c>
      <c r="AY574" s="45">
        <v>0</v>
      </c>
      <c r="AZ574" s="45">
        <v>0</v>
      </c>
      <c r="BA574" s="45">
        <v>0</v>
      </c>
      <c r="BB574" s="45">
        <v>0</v>
      </c>
      <c r="BC574" s="45">
        <v>0</v>
      </c>
      <c r="BD574" s="45">
        <v>0</v>
      </c>
      <c r="BE574" s="45">
        <v>0</v>
      </c>
      <c r="BF574" s="45">
        <v>0</v>
      </c>
      <c r="BG574" s="45">
        <v>0</v>
      </c>
    </row>
    <row r="575" spans="1:59">
      <c r="A575" s="18" t="s">
        <v>231</v>
      </c>
      <c r="B575" s="18" t="s">
        <v>106</v>
      </c>
      <c r="C575" s="18" t="s">
        <v>214</v>
      </c>
      <c r="D575" s="45">
        <v>0</v>
      </c>
      <c r="E575" s="45">
        <v>0</v>
      </c>
      <c r="F575" s="45">
        <v>0</v>
      </c>
      <c r="G575" s="45">
        <v>0</v>
      </c>
      <c r="H575" s="45">
        <v>17.5</v>
      </c>
      <c r="I575" s="45">
        <v>3.7</v>
      </c>
      <c r="J575" s="45">
        <v>1.9</v>
      </c>
      <c r="K575" s="45">
        <v>3.1</v>
      </c>
      <c r="L575" s="45">
        <v>2.7</v>
      </c>
      <c r="M575" s="45">
        <v>2.5</v>
      </c>
      <c r="N575" s="45">
        <v>4.1</v>
      </c>
      <c r="O575" s="45">
        <v>4.4</v>
      </c>
      <c r="P575" s="45">
        <v>4.2</v>
      </c>
      <c r="Q575" s="45">
        <v>4.8</v>
      </c>
      <c r="R575" s="45">
        <v>4.5</v>
      </c>
      <c r="S575" s="45">
        <v>4</v>
      </c>
      <c r="T575" s="45">
        <v>3.9</v>
      </c>
      <c r="U575" s="45">
        <v>4</v>
      </c>
      <c r="V575" s="45">
        <v>3.4</v>
      </c>
      <c r="W575" s="45">
        <v>3.3</v>
      </c>
      <c r="X575" s="45">
        <v>3.3</v>
      </c>
      <c r="Y575" s="45">
        <v>3.8</v>
      </c>
      <c r="Z575" s="45">
        <v>3.1</v>
      </c>
      <c r="AA575" s="45">
        <v>3.4</v>
      </c>
      <c r="AB575" s="45">
        <v>3.3</v>
      </c>
      <c r="AC575" s="45">
        <v>5.7</v>
      </c>
      <c r="AD575" s="45">
        <v>5.4</v>
      </c>
      <c r="AE575" s="45">
        <v>4.5</v>
      </c>
      <c r="AF575" s="45">
        <v>3.7</v>
      </c>
      <c r="AG575" s="45">
        <v>3</v>
      </c>
      <c r="AH575" s="45">
        <v>3.8</v>
      </c>
      <c r="AI575" s="45">
        <v>3.5</v>
      </c>
      <c r="AJ575" s="45">
        <v>3.8</v>
      </c>
      <c r="AK575" s="45">
        <v>4.2</v>
      </c>
      <c r="AL575" s="45">
        <v>3.8</v>
      </c>
      <c r="AM575" s="45">
        <v>4.3</v>
      </c>
      <c r="AN575" s="45">
        <v>3.8</v>
      </c>
      <c r="AO575" s="45">
        <v>3.7</v>
      </c>
      <c r="AP575" s="45">
        <v>3.4</v>
      </c>
      <c r="AQ575" s="45">
        <v>2.8</v>
      </c>
      <c r="AR575" s="45">
        <v>1.8</v>
      </c>
      <c r="AS575" s="45">
        <v>0</v>
      </c>
      <c r="AT575" s="45">
        <v>0</v>
      </c>
      <c r="AU575" s="45">
        <v>0</v>
      </c>
      <c r="AV575" s="45">
        <v>0</v>
      </c>
      <c r="AW575" s="45">
        <v>0</v>
      </c>
      <c r="AX575" s="45">
        <v>0</v>
      </c>
      <c r="AY575" s="45">
        <v>0</v>
      </c>
      <c r="AZ575" s="45">
        <v>0</v>
      </c>
      <c r="BA575" s="45">
        <v>0</v>
      </c>
      <c r="BB575" s="45">
        <v>0</v>
      </c>
      <c r="BC575" s="45">
        <v>0</v>
      </c>
      <c r="BD575" s="45">
        <v>0</v>
      </c>
      <c r="BE575" s="45">
        <v>0</v>
      </c>
      <c r="BF575" s="45">
        <v>0</v>
      </c>
      <c r="BG575" s="45">
        <v>0</v>
      </c>
    </row>
    <row r="576" spans="1:59">
      <c r="A576" s="18" t="s">
        <v>232</v>
      </c>
      <c r="B576" s="18" t="s">
        <v>106</v>
      </c>
      <c r="C576" s="18" t="s">
        <v>216</v>
      </c>
      <c r="D576" s="45">
        <v>0</v>
      </c>
      <c r="E576" s="45">
        <v>0</v>
      </c>
      <c r="F576" s="45">
        <v>0</v>
      </c>
      <c r="G576" s="45">
        <v>0</v>
      </c>
      <c r="H576" s="45">
        <v>16.8</v>
      </c>
      <c r="I576" s="45">
        <v>4</v>
      </c>
      <c r="J576" s="45">
        <v>1.7</v>
      </c>
      <c r="K576" s="45">
        <v>2.6</v>
      </c>
      <c r="L576" s="45">
        <v>2.8</v>
      </c>
      <c r="M576" s="45">
        <v>3.4</v>
      </c>
      <c r="N576" s="45">
        <v>4.1</v>
      </c>
      <c r="O576" s="45">
        <v>4.2</v>
      </c>
      <c r="P576" s="45">
        <v>4.8</v>
      </c>
      <c r="Q576" s="45">
        <v>4.3</v>
      </c>
      <c r="R576" s="45">
        <v>3.6</v>
      </c>
      <c r="S576" s="45">
        <v>4</v>
      </c>
      <c r="T576" s="45">
        <v>3.7</v>
      </c>
      <c r="U576" s="45">
        <v>3.6</v>
      </c>
      <c r="V576" s="45">
        <v>3.5</v>
      </c>
      <c r="W576" s="45">
        <v>3.7</v>
      </c>
      <c r="X576" s="45">
        <v>4.6</v>
      </c>
      <c r="Y576" s="45">
        <v>3.3</v>
      </c>
      <c r="Z576" s="45">
        <v>3.8</v>
      </c>
      <c r="AA576" s="45">
        <v>3</v>
      </c>
      <c r="AB576" s="45">
        <v>3.5</v>
      </c>
      <c r="AC576" s="45">
        <v>4</v>
      </c>
      <c r="AD576" s="45">
        <v>4.7</v>
      </c>
      <c r="AE576" s="45">
        <v>3.5</v>
      </c>
      <c r="AF576" s="45">
        <v>3.6</v>
      </c>
      <c r="AG576" s="45">
        <v>3.5</v>
      </c>
      <c r="AH576" s="45">
        <v>3.3</v>
      </c>
      <c r="AI576" s="45">
        <v>3.1</v>
      </c>
      <c r="AJ576" s="45">
        <v>3.6</v>
      </c>
      <c r="AK576" s="45">
        <v>3.6</v>
      </c>
      <c r="AL576" s="45">
        <v>4.4</v>
      </c>
      <c r="AM576" s="45">
        <v>4.5</v>
      </c>
      <c r="AN576" s="45">
        <v>5.1</v>
      </c>
      <c r="AO576" s="45">
        <v>4.4</v>
      </c>
      <c r="AP576" s="45">
        <v>4.1</v>
      </c>
      <c r="AQ576" s="45">
        <v>2.8</v>
      </c>
      <c r="AR576" s="45">
        <v>1.7</v>
      </c>
      <c r="AS576" s="45">
        <v>0</v>
      </c>
      <c r="AT576" s="45">
        <v>0</v>
      </c>
      <c r="AU576" s="45">
        <v>0</v>
      </c>
      <c r="AV576" s="45">
        <v>0</v>
      </c>
      <c r="AW576" s="45">
        <v>0</v>
      </c>
      <c r="AX576" s="45">
        <v>0</v>
      </c>
      <c r="AY576" s="45">
        <v>0</v>
      </c>
      <c r="AZ576" s="45">
        <v>0</v>
      </c>
      <c r="BA576" s="45">
        <v>0</v>
      </c>
      <c r="BB576" s="45">
        <v>0</v>
      </c>
      <c r="BC576" s="45">
        <v>0</v>
      </c>
      <c r="BD576" s="45">
        <v>0</v>
      </c>
      <c r="BE576" s="45">
        <v>0</v>
      </c>
      <c r="BF576" s="45">
        <v>0</v>
      </c>
      <c r="BG576" s="45">
        <v>0</v>
      </c>
    </row>
    <row r="577" spans="1:59">
      <c r="A577" s="18" t="s">
        <v>233</v>
      </c>
      <c r="B577" s="18" t="s">
        <v>106</v>
      </c>
      <c r="C577" s="18" t="s">
        <v>218</v>
      </c>
      <c r="D577" s="45">
        <v>0</v>
      </c>
      <c r="E577" s="45">
        <v>0</v>
      </c>
      <c r="F577" s="45">
        <v>0</v>
      </c>
      <c r="G577" s="45">
        <v>0</v>
      </c>
      <c r="H577" s="45">
        <v>0</v>
      </c>
      <c r="I577" s="45">
        <v>0</v>
      </c>
      <c r="J577" s="45">
        <v>0</v>
      </c>
      <c r="K577" s="45">
        <v>0</v>
      </c>
      <c r="L577" s="45">
        <v>0</v>
      </c>
      <c r="M577" s="45">
        <v>0</v>
      </c>
      <c r="N577" s="45">
        <v>0</v>
      </c>
      <c r="O577" s="45">
        <v>0</v>
      </c>
      <c r="P577" s="45">
        <v>0</v>
      </c>
      <c r="Q577" s="45">
        <v>0</v>
      </c>
      <c r="R577" s="45">
        <v>0</v>
      </c>
      <c r="S577" s="45">
        <v>0</v>
      </c>
      <c r="T577" s="45">
        <v>0</v>
      </c>
      <c r="U577" s="45">
        <v>0</v>
      </c>
      <c r="V577" s="45">
        <v>0</v>
      </c>
      <c r="W577" s="45">
        <v>0</v>
      </c>
      <c r="X577" s="45">
        <v>0</v>
      </c>
      <c r="Y577" s="45">
        <v>0</v>
      </c>
      <c r="Z577" s="45">
        <v>0</v>
      </c>
      <c r="AA577" s="45">
        <v>0</v>
      </c>
      <c r="AB577" s="45">
        <v>0</v>
      </c>
      <c r="AC577" s="45">
        <v>0</v>
      </c>
      <c r="AD577" s="45">
        <v>0</v>
      </c>
      <c r="AE577" s="45">
        <v>0</v>
      </c>
      <c r="AF577" s="45">
        <v>0</v>
      </c>
      <c r="AG577" s="45">
        <v>0</v>
      </c>
      <c r="AH577" s="45">
        <v>0</v>
      </c>
      <c r="AI577" s="45">
        <v>0</v>
      </c>
      <c r="AJ577" s="45">
        <v>0</v>
      </c>
      <c r="AK577" s="45">
        <v>0</v>
      </c>
      <c r="AL577" s="45">
        <v>0</v>
      </c>
      <c r="AM577" s="45">
        <v>0</v>
      </c>
      <c r="AN577" s="45">
        <v>0</v>
      </c>
      <c r="AO577" s="45">
        <v>0</v>
      </c>
      <c r="AP577" s="45">
        <v>0</v>
      </c>
      <c r="AQ577" s="45">
        <v>0</v>
      </c>
      <c r="AR577" s="45">
        <v>0</v>
      </c>
      <c r="AS577" s="45">
        <v>0</v>
      </c>
      <c r="AT577" s="45">
        <v>0</v>
      </c>
      <c r="AU577" s="45">
        <v>0</v>
      </c>
      <c r="AV577" s="45">
        <v>0</v>
      </c>
      <c r="AW577" s="45">
        <v>0</v>
      </c>
      <c r="AX577" s="45">
        <v>0</v>
      </c>
      <c r="AY577" s="45">
        <v>0</v>
      </c>
      <c r="AZ577" s="45">
        <v>0</v>
      </c>
      <c r="BA577" s="45">
        <v>0</v>
      </c>
      <c r="BB577" s="45">
        <v>0</v>
      </c>
      <c r="BC577" s="45">
        <v>0</v>
      </c>
      <c r="BD577" s="45">
        <v>0</v>
      </c>
      <c r="BE577" s="45">
        <v>0</v>
      </c>
      <c r="BF577" s="45">
        <v>0</v>
      </c>
      <c r="BG577" s="45">
        <v>0</v>
      </c>
    </row>
    <row r="578" spans="1:59">
      <c r="A578" s="18" t="s">
        <v>234</v>
      </c>
      <c r="B578" s="18" t="s">
        <v>106</v>
      </c>
      <c r="C578" s="18" t="s">
        <v>220</v>
      </c>
      <c r="D578" s="45">
        <v>0</v>
      </c>
      <c r="E578" s="45">
        <v>0</v>
      </c>
      <c r="F578" s="45">
        <v>0</v>
      </c>
      <c r="G578" s="45">
        <v>0</v>
      </c>
      <c r="H578" s="45">
        <v>0</v>
      </c>
      <c r="I578" s="45">
        <v>9.699999999999999</v>
      </c>
      <c r="J578" s="45">
        <v>12.3</v>
      </c>
      <c r="K578" s="45">
        <v>10.2</v>
      </c>
      <c r="L578" s="45">
        <v>5.9</v>
      </c>
      <c r="M578" s="45">
        <v>3.1</v>
      </c>
      <c r="N578" s="45">
        <v>3.3</v>
      </c>
      <c r="O578" s="45">
        <v>1.5</v>
      </c>
      <c r="P578" s="45">
        <v>1.9</v>
      </c>
      <c r="Q578" s="45">
        <v>1.1</v>
      </c>
      <c r="R578" s="45">
        <v>2.3</v>
      </c>
      <c r="S578" s="45">
        <v>3.1</v>
      </c>
      <c r="T578" s="45">
        <v>1.2</v>
      </c>
      <c r="U578" s="45">
        <v>1.6</v>
      </c>
      <c r="V578" s="45">
        <v>3.1</v>
      </c>
      <c r="W578" s="45">
        <v>0</v>
      </c>
      <c r="X578" s="45">
        <v>0</v>
      </c>
      <c r="Y578" s="45">
        <v>0</v>
      </c>
      <c r="Z578" s="45">
        <v>0</v>
      </c>
      <c r="AA578" s="45">
        <v>0</v>
      </c>
      <c r="AB578" s="45">
        <v>0</v>
      </c>
      <c r="AC578" s="45">
        <v>0</v>
      </c>
      <c r="AD578" s="45">
        <v>0</v>
      </c>
      <c r="AE578" s="45">
        <v>0</v>
      </c>
      <c r="AF578" s="45">
        <v>0</v>
      </c>
      <c r="AG578" s="45">
        <v>0</v>
      </c>
      <c r="AH578" s="45">
        <v>0</v>
      </c>
      <c r="AI578" s="45">
        <v>0</v>
      </c>
      <c r="AJ578" s="45">
        <v>0</v>
      </c>
      <c r="AK578" s="45">
        <v>0</v>
      </c>
      <c r="AL578" s="45">
        <v>44.3</v>
      </c>
      <c r="AM578" s="45">
        <v>0</v>
      </c>
      <c r="AN578" s="45">
        <v>0</v>
      </c>
      <c r="AO578" s="45">
        <v>0</v>
      </c>
      <c r="AP578" s="45">
        <v>0</v>
      </c>
      <c r="AQ578" s="45">
        <v>0</v>
      </c>
      <c r="AR578" s="45">
        <v>0</v>
      </c>
      <c r="AS578" s="45">
        <v>0</v>
      </c>
      <c r="AT578" s="45">
        <v>0</v>
      </c>
      <c r="AU578" s="45">
        <v>0</v>
      </c>
      <c r="AV578" s="45">
        <v>0</v>
      </c>
      <c r="AW578" s="45">
        <v>0</v>
      </c>
      <c r="AX578" s="45">
        <v>0</v>
      </c>
      <c r="AY578" s="45">
        <v>0</v>
      </c>
      <c r="AZ578" s="45">
        <v>0</v>
      </c>
      <c r="BA578" s="45">
        <v>0</v>
      </c>
      <c r="BB578" s="45">
        <v>0</v>
      </c>
      <c r="BC578" s="45">
        <v>0</v>
      </c>
      <c r="BD578" s="45">
        <v>0</v>
      </c>
      <c r="BE578" s="45">
        <v>0</v>
      </c>
      <c r="BF578" s="45">
        <v>0</v>
      </c>
      <c r="BG578" s="45">
        <v>0</v>
      </c>
    </row>
    <row r="579" spans="1:59">
      <c r="A579" s="18" t="s">
        <v>235</v>
      </c>
      <c r="B579" s="18" t="s">
        <v>120</v>
      </c>
      <c r="C579" s="18" t="s">
        <v>5</v>
      </c>
      <c r="D579" s="45">
        <v>0</v>
      </c>
      <c r="E579" s="45">
        <v>0</v>
      </c>
      <c r="F579" s="45">
        <v>0</v>
      </c>
      <c r="G579" s="45">
        <v>0</v>
      </c>
      <c r="H579" s="45">
        <v>28.8</v>
      </c>
      <c r="I579" s="45">
        <v>14.6</v>
      </c>
      <c r="J579" s="45">
        <v>14.6</v>
      </c>
      <c r="K579" s="45">
        <v>15.3</v>
      </c>
      <c r="L579" s="45">
        <v>16.7</v>
      </c>
      <c r="M579" s="45">
        <v>17.3</v>
      </c>
      <c r="N579" s="45">
        <v>19.5</v>
      </c>
      <c r="O579" s="45">
        <v>19.6</v>
      </c>
      <c r="P579" s="45">
        <v>19.6</v>
      </c>
      <c r="Q579" s="45">
        <v>20.4</v>
      </c>
      <c r="R579" s="45">
        <v>19.8</v>
      </c>
      <c r="S579" s="45">
        <v>20.3</v>
      </c>
      <c r="T579" s="45">
        <v>20.2</v>
      </c>
      <c r="U579" s="45">
        <v>20.3</v>
      </c>
      <c r="V579" s="45">
        <v>19.9</v>
      </c>
      <c r="W579" s="45">
        <v>18.8</v>
      </c>
      <c r="X579" s="45">
        <v>17.3</v>
      </c>
      <c r="Y579" s="45">
        <v>14.8</v>
      </c>
      <c r="Z579" s="45">
        <v>14.4</v>
      </c>
      <c r="AA579" s="45">
        <v>17.5</v>
      </c>
      <c r="AB579" s="45">
        <v>14.9</v>
      </c>
      <c r="AC579" s="45">
        <v>15.9</v>
      </c>
      <c r="AD579" s="45">
        <v>16.3</v>
      </c>
      <c r="AE579" s="45">
        <v>19.2</v>
      </c>
      <c r="AF579" s="45">
        <v>16.7</v>
      </c>
      <c r="AG579" s="45">
        <v>18.1</v>
      </c>
      <c r="AH579" s="45">
        <v>17.6</v>
      </c>
      <c r="AI579" s="45">
        <v>16.8</v>
      </c>
      <c r="AJ579" s="45">
        <v>14.6</v>
      </c>
      <c r="AK579" s="45">
        <v>17.5</v>
      </c>
      <c r="AL579" s="45">
        <v>17</v>
      </c>
      <c r="AM579" s="45">
        <v>15.9</v>
      </c>
      <c r="AN579" s="45">
        <v>16.9</v>
      </c>
      <c r="AO579" s="45">
        <v>15.1</v>
      </c>
      <c r="AP579" s="45">
        <v>13.7</v>
      </c>
      <c r="AQ579" s="45">
        <v>11.2</v>
      </c>
      <c r="AR579" s="45">
        <v>7.6</v>
      </c>
      <c r="AS579" s="45">
        <v>0</v>
      </c>
      <c r="AT579" s="45">
        <v>0</v>
      </c>
      <c r="AU579" s="45">
        <v>0</v>
      </c>
      <c r="AV579" s="45">
        <v>0</v>
      </c>
      <c r="AW579" s="45">
        <v>0</v>
      </c>
      <c r="AX579" s="45">
        <v>0</v>
      </c>
      <c r="AY579" s="45">
        <v>0</v>
      </c>
      <c r="AZ579" s="45">
        <v>0</v>
      </c>
      <c r="BA579" s="45">
        <v>0</v>
      </c>
      <c r="BB579" s="45">
        <v>0</v>
      </c>
      <c r="BC579" s="45">
        <v>0</v>
      </c>
      <c r="BD579" s="45">
        <v>0</v>
      </c>
      <c r="BE579" s="45">
        <v>0</v>
      </c>
      <c r="BF579" s="45">
        <v>0</v>
      </c>
      <c r="BG579" s="45">
        <v>0</v>
      </c>
    </row>
    <row r="580" spans="1:59">
      <c r="A580" s="18" t="s">
        <v>236</v>
      </c>
      <c r="B580" s="18" t="s">
        <v>120</v>
      </c>
      <c r="C580" s="18" t="s">
        <v>210</v>
      </c>
      <c r="D580" s="45">
        <v>0</v>
      </c>
      <c r="E580" s="45">
        <v>0</v>
      </c>
      <c r="F580" s="45">
        <v>0</v>
      </c>
      <c r="G580" s="45">
        <v>0</v>
      </c>
      <c r="H580" s="45">
        <v>30.7</v>
      </c>
      <c r="I580" s="45">
        <v>14.9</v>
      </c>
      <c r="J580" s="45">
        <v>10.8</v>
      </c>
      <c r="K580" s="45">
        <v>13.3</v>
      </c>
      <c r="L580" s="45">
        <v>11.9</v>
      </c>
      <c r="M580" s="45">
        <v>14.3</v>
      </c>
      <c r="N580" s="45">
        <v>13.5</v>
      </c>
      <c r="O580" s="45">
        <v>15</v>
      </c>
      <c r="P580" s="45">
        <v>14.1</v>
      </c>
      <c r="Q580" s="45">
        <v>15.5</v>
      </c>
      <c r="R580" s="45">
        <v>16.2</v>
      </c>
      <c r="S580" s="45">
        <v>16</v>
      </c>
      <c r="T580" s="45">
        <v>14.8</v>
      </c>
      <c r="U580" s="45">
        <v>17.8</v>
      </c>
      <c r="V580" s="45">
        <v>16.5</v>
      </c>
      <c r="W580" s="45">
        <v>15.5</v>
      </c>
      <c r="X580" s="45">
        <v>13</v>
      </c>
      <c r="Y580" s="45">
        <v>13.3</v>
      </c>
      <c r="Z580" s="45">
        <v>13.3</v>
      </c>
      <c r="AA580" s="45">
        <v>16.1</v>
      </c>
      <c r="AB580" s="45">
        <v>11.9</v>
      </c>
      <c r="AC580" s="45">
        <v>13.4</v>
      </c>
      <c r="AD580" s="45">
        <v>15.3</v>
      </c>
      <c r="AE580" s="45">
        <v>15.8</v>
      </c>
      <c r="AF580" s="45">
        <v>16.9</v>
      </c>
      <c r="AG580" s="45">
        <v>16</v>
      </c>
      <c r="AH580" s="45">
        <v>16.4</v>
      </c>
      <c r="AI580" s="45">
        <v>15.1</v>
      </c>
      <c r="AJ580" s="45">
        <v>13.8</v>
      </c>
      <c r="AK580" s="45">
        <v>13.1</v>
      </c>
      <c r="AL580" s="45">
        <v>13.9</v>
      </c>
      <c r="AM580" s="45">
        <v>13.7</v>
      </c>
      <c r="AN580" s="45">
        <v>13.1</v>
      </c>
      <c r="AO580" s="45">
        <v>11.8</v>
      </c>
      <c r="AP580" s="45">
        <v>11.9</v>
      </c>
      <c r="AQ580" s="45">
        <v>8.199999999999999</v>
      </c>
      <c r="AR580" s="45">
        <v>8</v>
      </c>
      <c r="AS580" s="45">
        <v>0</v>
      </c>
      <c r="AT580" s="45">
        <v>0</v>
      </c>
      <c r="AU580" s="45">
        <v>0</v>
      </c>
      <c r="AV580" s="45">
        <v>0</v>
      </c>
      <c r="AW580" s="45">
        <v>0</v>
      </c>
      <c r="AX580" s="45">
        <v>0</v>
      </c>
      <c r="AY580" s="45">
        <v>0</v>
      </c>
      <c r="AZ580" s="45">
        <v>0</v>
      </c>
      <c r="BA580" s="45">
        <v>0</v>
      </c>
      <c r="BB580" s="45">
        <v>0</v>
      </c>
      <c r="BC580" s="45">
        <v>0</v>
      </c>
      <c r="BD580" s="45">
        <v>0</v>
      </c>
      <c r="BE580" s="45">
        <v>0</v>
      </c>
      <c r="BF580" s="45">
        <v>0</v>
      </c>
      <c r="BG580" s="45">
        <v>0</v>
      </c>
    </row>
    <row r="581" spans="1:59">
      <c r="A581" s="18" t="s">
        <v>237</v>
      </c>
      <c r="B581" s="18" t="s">
        <v>120</v>
      </c>
      <c r="C581" s="18" t="s">
        <v>212</v>
      </c>
      <c r="D581" s="45">
        <v>0</v>
      </c>
      <c r="E581" s="45">
        <v>0</v>
      </c>
      <c r="F581" s="45">
        <v>0</v>
      </c>
      <c r="G581" s="45">
        <v>0</v>
      </c>
      <c r="H581" s="45">
        <v>24.4</v>
      </c>
      <c r="I581" s="45">
        <v>15.6</v>
      </c>
      <c r="J581" s="45">
        <v>12.6</v>
      </c>
      <c r="K581" s="45">
        <v>13.1</v>
      </c>
      <c r="L581" s="45">
        <v>13.6</v>
      </c>
      <c r="M581" s="45">
        <v>14.2</v>
      </c>
      <c r="N581" s="45">
        <v>15.6</v>
      </c>
      <c r="O581" s="45">
        <v>14</v>
      </c>
      <c r="P581" s="45">
        <v>14.8</v>
      </c>
      <c r="Q581" s="45">
        <v>14.8</v>
      </c>
      <c r="R581" s="45">
        <v>14.9</v>
      </c>
      <c r="S581" s="45">
        <v>15.8</v>
      </c>
      <c r="T581" s="45">
        <v>15.5</v>
      </c>
      <c r="U581" s="45">
        <v>17.9</v>
      </c>
      <c r="V581" s="45">
        <v>17.7</v>
      </c>
      <c r="W581" s="45">
        <v>15.6</v>
      </c>
      <c r="X581" s="45">
        <v>13.7</v>
      </c>
      <c r="Y581" s="45">
        <v>13</v>
      </c>
      <c r="Z581" s="45">
        <v>13.9</v>
      </c>
      <c r="AA581" s="45">
        <v>13.4</v>
      </c>
      <c r="AB581" s="45">
        <v>11.8</v>
      </c>
      <c r="AC581" s="45">
        <v>13.6</v>
      </c>
      <c r="AD581" s="45">
        <v>14.6</v>
      </c>
      <c r="AE581" s="45">
        <v>14.5</v>
      </c>
      <c r="AF581" s="45">
        <v>14.2</v>
      </c>
      <c r="AG581" s="45">
        <v>16</v>
      </c>
      <c r="AH581" s="45">
        <v>14.8</v>
      </c>
      <c r="AI581" s="45">
        <v>15.2</v>
      </c>
      <c r="AJ581" s="45">
        <v>13.5</v>
      </c>
      <c r="AK581" s="45">
        <v>13.8</v>
      </c>
      <c r="AL581" s="45">
        <v>15.8</v>
      </c>
      <c r="AM581" s="45">
        <v>14.1</v>
      </c>
      <c r="AN581" s="45">
        <v>10.3</v>
      </c>
      <c r="AO581" s="45">
        <v>12.3</v>
      </c>
      <c r="AP581" s="45">
        <v>10.6</v>
      </c>
      <c r="AQ581" s="45">
        <v>8.699999999999999</v>
      </c>
      <c r="AR581" s="45">
        <v>5.2</v>
      </c>
      <c r="AS581" s="45">
        <v>0</v>
      </c>
      <c r="AT581" s="45">
        <v>0</v>
      </c>
      <c r="AU581" s="45">
        <v>0</v>
      </c>
      <c r="AV581" s="45">
        <v>0</v>
      </c>
      <c r="AW581" s="45">
        <v>0</v>
      </c>
      <c r="AX581" s="45">
        <v>0</v>
      </c>
      <c r="AY581" s="45">
        <v>0</v>
      </c>
      <c r="AZ581" s="45">
        <v>0</v>
      </c>
      <c r="BA581" s="45">
        <v>0</v>
      </c>
      <c r="BB581" s="45">
        <v>0</v>
      </c>
      <c r="BC581" s="45">
        <v>0</v>
      </c>
      <c r="BD581" s="45">
        <v>0</v>
      </c>
      <c r="BE581" s="45">
        <v>0</v>
      </c>
      <c r="BF581" s="45">
        <v>0</v>
      </c>
      <c r="BG581" s="45">
        <v>0</v>
      </c>
    </row>
    <row r="582" spans="1:59">
      <c r="A582" s="18" t="s">
        <v>238</v>
      </c>
      <c r="B582" s="18" t="s">
        <v>120</v>
      </c>
      <c r="C582" s="18" t="s">
        <v>214</v>
      </c>
      <c r="D582" s="45">
        <v>0</v>
      </c>
      <c r="E582" s="45">
        <v>0</v>
      </c>
      <c r="F582" s="45">
        <v>0</v>
      </c>
      <c r="G582" s="45">
        <v>0</v>
      </c>
      <c r="H582" s="45">
        <v>27.3</v>
      </c>
      <c r="I582" s="45">
        <v>15.6</v>
      </c>
      <c r="J582" s="45">
        <v>11</v>
      </c>
      <c r="K582" s="45">
        <v>9.5</v>
      </c>
      <c r="L582" s="45">
        <v>11.1</v>
      </c>
      <c r="M582" s="45">
        <v>13.3</v>
      </c>
      <c r="N582" s="45">
        <v>11.9</v>
      </c>
      <c r="O582" s="45">
        <v>12.5</v>
      </c>
      <c r="P582" s="45">
        <v>13.2</v>
      </c>
      <c r="Q582" s="45">
        <v>13.4</v>
      </c>
      <c r="R582" s="45">
        <v>13.5</v>
      </c>
      <c r="S582" s="45">
        <v>14.9</v>
      </c>
      <c r="T582" s="45">
        <v>14.6</v>
      </c>
      <c r="U582" s="45">
        <v>14.6</v>
      </c>
      <c r="V582" s="45">
        <v>14.5</v>
      </c>
      <c r="W582" s="45">
        <v>13.6</v>
      </c>
      <c r="X582" s="45">
        <v>10.2</v>
      </c>
      <c r="Y582" s="45">
        <v>11.3</v>
      </c>
      <c r="Z582" s="45">
        <v>10.1</v>
      </c>
      <c r="AA582" s="45">
        <v>9.199999999999999</v>
      </c>
      <c r="AB582" s="45">
        <v>9.699999999999999</v>
      </c>
      <c r="AC582" s="45">
        <v>11.5</v>
      </c>
      <c r="AD582" s="45">
        <v>11.8</v>
      </c>
      <c r="AE582" s="45">
        <v>12.3</v>
      </c>
      <c r="AF582" s="45">
        <v>14.2</v>
      </c>
      <c r="AG582" s="45">
        <v>13.3</v>
      </c>
      <c r="AH582" s="45">
        <v>12.6</v>
      </c>
      <c r="AI582" s="45">
        <v>15.2</v>
      </c>
      <c r="AJ582" s="45">
        <v>13.6</v>
      </c>
      <c r="AK582" s="45">
        <v>12.3</v>
      </c>
      <c r="AL582" s="45">
        <v>13.2</v>
      </c>
      <c r="AM582" s="45">
        <v>14.5</v>
      </c>
      <c r="AN582" s="45">
        <v>10.2</v>
      </c>
      <c r="AO582" s="45">
        <v>11.8</v>
      </c>
      <c r="AP582" s="45">
        <v>9.800000000000001</v>
      </c>
      <c r="AQ582" s="45">
        <v>8.4</v>
      </c>
      <c r="AR582" s="45">
        <v>6.3</v>
      </c>
      <c r="AS582" s="45">
        <v>0</v>
      </c>
      <c r="AT582" s="45">
        <v>0</v>
      </c>
      <c r="AU582" s="45">
        <v>0</v>
      </c>
      <c r="AV582" s="45">
        <v>0</v>
      </c>
      <c r="AW582" s="45">
        <v>0</v>
      </c>
      <c r="AX582" s="45">
        <v>0</v>
      </c>
      <c r="AY582" s="45">
        <v>0</v>
      </c>
      <c r="AZ582" s="45">
        <v>0</v>
      </c>
      <c r="BA582" s="45">
        <v>0</v>
      </c>
      <c r="BB582" s="45">
        <v>0</v>
      </c>
      <c r="BC582" s="45">
        <v>0</v>
      </c>
      <c r="BD582" s="45">
        <v>0</v>
      </c>
      <c r="BE582" s="45">
        <v>0</v>
      </c>
      <c r="BF582" s="45">
        <v>0</v>
      </c>
      <c r="BG582" s="45">
        <v>0</v>
      </c>
    </row>
    <row r="583" spans="1:59">
      <c r="A583" s="18" t="s">
        <v>239</v>
      </c>
      <c r="B583" s="18" t="s">
        <v>120</v>
      </c>
      <c r="C583" s="18" t="s">
        <v>216</v>
      </c>
      <c r="D583" s="45">
        <v>0</v>
      </c>
      <c r="E583" s="45">
        <v>0</v>
      </c>
      <c r="F583" s="45">
        <v>0</v>
      </c>
      <c r="G583" s="45">
        <v>0</v>
      </c>
      <c r="H583" s="45">
        <v>23.8</v>
      </c>
      <c r="I583" s="45">
        <v>13.5</v>
      </c>
      <c r="J583" s="45">
        <v>10.6</v>
      </c>
      <c r="K583" s="45">
        <v>10.4</v>
      </c>
      <c r="L583" s="45">
        <v>10.8</v>
      </c>
      <c r="M583" s="45">
        <v>12.2</v>
      </c>
      <c r="N583" s="45">
        <v>13.3</v>
      </c>
      <c r="O583" s="45">
        <v>12.8</v>
      </c>
      <c r="P583" s="45">
        <v>14.1</v>
      </c>
      <c r="Q583" s="45">
        <v>13.9</v>
      </c>
      <c r="R583" s="45">
        <v>12.6</v>
      </c>
      <c r="S583" s="45">
        <v>13.6</v>
      </c>
      <c r="T583" s="45">
        <v>14.2</v>
      </c>
      <c r="U583" s="45">
        <v>13.3</v>
      </c>
      <c r="V583" s="45">
        <v>15.3</v>
      </c>
      <c r="W583" s="45">
        <v>12.8</v>
      </c>
      <c r="X583" s="45">
        <v>11</v>
      </c>
      <c r="Y583" s="45">
        <v>10.3</v>
      </c>
      <c r="Z583" s="45">
        <v>9.9</v>
      </c>
      <c r="AA583" s="45">
        <v>8.800000000000001</v>
      </c>
      <c r="AB583" s="45">
        <v>11.4</v>
      </c>
      <c r="AC583" s="45">
        <v>11.6</v>
      </c>
      <c r="AD583" s="45">
        <v>12.1</v>
      </c>
      <c r="AE583" s="45">
        <v>13.2</v>
      </c>
      <c r="AF583" s="45">
        <v>14.2</v>
      </c>
      <c r="AG583" s="45">
        <v>14.7</v>
      </c>
      <c r="AH583" s="45">
        <v>14.9</v>
      </c>
      <c r="AI583" s="45">
        <v>15.2</v>
      </c>
      <c r="AJ583" s="45">
        <v>14.5</v>
      </c>
      <c r="AK583" s="45">
        <v>16.2</v>
      </c>
      <c r="AL583" s="45">
        <v>15.2</v>
      </c>
      <c r="AM583" s="45">
        <v>14.4</v>
      </c>
      <c r="AN583" s="45">
        <v>13.9</v>
      </c>
      <c r="AO583" s="45">
        <v>12.5</v>
      </c>
      <c r="AP583" s="45">
        <v>11.2</v>
      </c>
      <c r="AQ583" s="45">
        <v>8.699999999999999</v>
      </c>
      <c r="AR583" s="45">
        <v>5.8</v>
      </c>
      <c r="AS583" s="45">
        <v>0</v>
      </c>
      <c r="AT583" s="45">
        <v>0</v>
      </c>
      <c r="AU583" s="45">
        <v>0</v>
      </c>
      <c r="AV583" s="45">
        <v>0</v>
      </c>
      <c r="AW583" s="45">
        <v>0</v>
      </c>
      <c r="AX583" s="45">
        <v>0</v>
      </c>
      <c r="AY583" s="45">
        <v>0</v>
      </c>
      <c r="AZ583" s="45">
        <v>0</v>
      </c>
      <c r="BA583" s="45">
        <v>0</v>
      </c>
      <c r="BB583" s="45">
        <v>0</v>
      </c>
      <c r="BC583" s="45">
        <v>0</v>
      </c>
      <c r="BD583" s="45">
        <v>0</v>
      </c>
      <c r="BE583" s="45">
        <v>0</v>
      </c>
      <c r="BF583" s="45">
        <v>0</v>
      </c>
      <c r="BG583" s="45">
        <v>0</v>
      </c>
    </row>
    <row r="584" spans="1:59">
      <c r="A584" s="18" t="s">
        <v>240</v>
      </c>
      <c r="B584" s="18" t="s">
        <v>120</v>
      </c>
      <c r="C584" s="18" t="s">
        <v>218</v>
      </c>
      <c r="D584" s="45">
        <v>0</v>
      </c>
      <c r="E584" s="45">
        <v>0</v>
      </c>
      <c r="F584" s="45">
        <v>0</v>
      </c>
      <c r="G584" s="45">
        <v>0</v>
      </c>
      <c r="H584" s="45">
        <v>0</v>
      </c>
      <c r="I584" s="45">
        <v>0</v>
      </c>
      <c r="J584" s="45">
        <v>0</v>
      </c>
      <c r="K584" s="45">
        <v>0</v>
      </c>
      <c r="L584" s="45">
        <v>0</v>
      </c>
      <c r="M584" s="45">
        <v>0</v>
      </c>
      <c r="N584" s="45">
        <v>0</v>
      </c>
      <c r="O584" s="45">
        <v>0</v>
      </c>
      <c r="P584" s="45">
        <v>0</v>
      </c>
      <c r="Q584" s="45">
        <v>0</v>
      </c>
      <c r="R584" s="45">
        <v>0</v>
      </c>
      <c r="S584" s="45">
        <v>0</v>
      </c>
      <c r="T584" s="45">
        <v>0</v>
      </c>
      <c r="U584" s="45">
        <v>0</v>
      </c>
      <c r="V584" s="45">
        <v>0</v>
      </c>
      <c r="W584" s="45">
        <v>0</v>
      </c>
      <c r="X584" s="45">
        <v>0</v>
      </c>
      <c r="Y584" s="45">
        <v>0</v>
      </c>
      <c r="Z584" s="45">
        <v>0</v>
      </c>
      <c r="AA584" s="45">
        <v>0</v>
      </c>
      <c r="AB584" s="45">
        <v>0</v>
      </c>
      <c r="AC584" s="45">
        <v>0</v>
      </c>
      <c r="AD584" s="45">
        <v>0</v>
      </c>
      <c r="AE584" s="45">
        <v>0</v>
      </c>
      <c r="AF584" s="45">
        <v>0</v>
      </c>
      <c r="AG584" s="45">
        <v>0</v>
      </c>
      <c r="AH584" s="45">
        <v>0</v>
      </c>
      <c r="AI584" s="45">
        <v>0</v>
      </c>
      <c r="AJ584" s="45">
        <v>0</v>
      </c>
      <c r="AK584" s="45">
        <v>0</v>
      </c>
      <c r="AL584" s="45">
        <v>0</v>
      </c>
      <c r="AM584" s="45">
        <v>0</v>
      </c>
      <c r="AN584" s="45">
        <v>0</v>
      </c>
      <c r="AO584" s="45">
        <v>0</v>
      </c>
      <c r="AP584" s="45">
        <v>0</v>
      </c>
      <c r="AQ584" s="45">
        <v>0</v>
      </c>
      <c r="AR584" s="45">
        <v>0</v>
      </c>
      <c r="AS584" s="45">
        <v>0</v>
      </c>
      <c r="AT584" s="45">
        <v>0</v>
      </c>
      <c r="AU584" s="45">
        <v>0</v>
      </c>
      <c r="AV584" s="45">
        <v>0</v>
      </c>
      <c r="AW584" s="45">
        <v>0</v>
      </c>
      <c r="AX584" s="45">
        <v>0</v>
      </c>
      <c r="AY584" s="45">
        <v>0</v>
      </c>
      <c r="AZ584" s="45">
        <v>0</v>
      </c>
      <c r="BA584" s="45">
        <v>0</v>
      </c>
      <c r="BB584" s="45">
        <v>0</v>
      </c>
      <c r="BC584" s="45">
        <v>0</v>
      </c>
      <c r="BD584" s="45">
        <v>0</v>
      </c>
      <c r="BE584" s="45">
        <v>0</v>
      </c>
      <c r="BF584" s="45">
        <v>0</v>
      </c>
      <c r="BG584" s="45">
        <v>0</v>
      </c>
    </row>
    <row r="585" spans="1:59">
      <c r="A585" s="18" t="s">
        <v>241</v>
      </c>
      <c r="B585" s="18" t="s">
        <v>120</v>
      </c>
      <c r="C585" s="18" t="s">
        <v>220</v>
      </c>
      <c r="D585" s="45">
        <v>0</v>
      </c>
      <c r="E585" s="45">
        <v>0</v>
      </c>
      <c r="F585" s="45">
        <v>0</v>
      </c>
      <c r="G585" s="45">
        <v>0</v>
      </c>
      <c r="H585" s="45">
        <v>0</v>
      </c>
      <c r="I585" s="45">
        <v>19.8</v>
      </c>
      <c r="J585" s="45">
        <v>19.3</v>
      </c>
      <c r="K585" s="45">
        <v>21.5</v>
      </c>
      <c r="L585" s="45">
        <v>12.1</v>
      </c>
      <c r="M585" s="45">
        <v>18.2</v>
      </c>
      <c r="N585" s="45">
        <v>14.2</v>
      </c>
      <c r="O585" s="45">
        <v>18.2</v>
      </c>
      <c r="P585" s="45">
        <v>19.2</v>
      </c>
      <c r="Q585" s="45">
        <v>11.3</v>
      </c>
      <c r="R585" s="45">
        <v>14.5</v>
      </c>
      <c r="S585" s="45">
        <v>11.2</v>
      </c>
      <c r="T585" s="45">
        <v>8.699999999999999</v>
      </c>
      <c r="U585" s="45">
        <v>6.3</v>
      </c>
      <c r="V585" s="45">
        <v>22.2</v>
      </c>
      <c r="W585" s="45">
        <v>0</v>
      </c>
      <c r="X585" s="45">
        <v>0</v>
      </c>
      <c r="Y585" s="45">
        <v>0</v>
      </c>
      <c r="Z585" s="45">
        <v>0</v>
      </c>
      <c r="AA585" s="45">
        <v>0</v>
      </c>
      <c r="AB585" s="45">
        <v>0</v>
      </c>
      <c r="AC585" s="45">
        <v>0</v>
      </c>
      <c r="AD585" s="45">
        <v>0</v>
      </c>
      <c r="AE585" s="45">
        <v>0</v>
      </c>
      <c r="AF585" s="45">
        <v>0</v>
      </c>
      <c r="AG585" s="45">
        <v>0</v>
      </c>
      <c r="AH585" s="45">
        <v>0</v>
      </c>
      <c r="AI585" s="45">
        <v>0</v>
      </c>
      <c r="AJ585" s="45">
        <v>0</v>
      </c>
      <c r="AK585" s="45">
        <v>0</v>
      </c>
      <c r="AL585" s="45">
        <v>0</v>
      </c>
      <c r="AM585" s="45">
        <v>0</v>
      </c>
      <c r="AN585" s="45">
        <v>0</v>
      </c>
      <c r="AO585" s="45">
        <v>0</v>
      </c>
      <c r="AP585" s="45">
        <v>0</v>
      </c>
      <c r="AQ585" s="45">
        <v>0</v>
      </c>
      <c r="AR585" s="45">
        <v>0</v>
      </c>
      <c r="AS585" s="45">
        <v>0</v>
      </c>
      <c r="AT585" s="45">
        <v>0</v>
      </c>
      <c r="AU585" s="45">
        <v>0</v>
      </c>
      <c r="AV585" s="45">
        <v>0</v>
      </c>
      <c r="AW585" s="45">
        <v>0</v>
      </c>
      <c r="AX585" s="45">
        <v>0</v>
      </c>
      <c r="AY585" s="45">
        <v>0</v>
      </c>
      <c r="AZ585" s="45">
        <v>0</v>
      </c>
      <c r="BA585" s="45">
        <v>0</v>
      </c>
      <c r="BB585" s="45">
        <v>0</v>
      </c>
      <c r="BC585" s="45">
        <v>0</v>
      </c>
      <c r="BD585" s="45">
        <v>0</v>
      </c>
      <c r="BE585" s="45">
        <v>0</v>
      </c>
      <c r="BF585" s="45">
        <v>0</v>
      </c>
      <c r="BG585" s="45">
        <v>0</v>
      </c>
    </row>
    <row r="586" spans="1:59">
      <c r="A586" s="18" t="s">
        <v>242</v>
      </c>
      <c r="B586" s="18" t="s">
        <v>134</v>
      </c>
      <c r="C586" s="18" t="s">
        <v>5</v>
      </c>
      <c r="D586" s="45">
        <v>0</v>
      </c>
      <c r="E586" s="45">
        <v>0</v>
      </c>
      <c r="F586" s="45">
        <v>0</v>
      </c>
      <c r="G586" s="45">
        <v>0</v>
      </c>
      <c r="H586" s="45">
        <v>0</v>
      </c>
      <c r="I586" s="45">
        <v>10.8</v>
      </c>
      <c r="J586" s="45">
        <v>6.8</v>
      </c>
      <c r="K586" s="45">
        <v>8.300000000000001</v>
      </c>
      <c r="L586" s="45">
        <v>8.699999999999999</v>
      </c>
      <c r="M586" s="45">
        <v>10.5</v>
      </c>
      <c r="N586" s="45">
        <v>11.8</v>
      </c>
      <c r="O586" s="45">
        <v>14</v>
      </c>
      <c r="P586" s="45">
        <v>14.3</v>
      </c>
      <c r="Q586" s="45">
        <v>15.6</v>
      </c>
      <c r="R586" s="45">
        <v>14.1</v>
      </c>
      <c r="S586" s="45">
        <v>16.8</v>
      </c>
      <c r="T586" s="45">
        <v>14.9</v>
      </c>
      <c r="U586" s="45">
        <v>15.5</v>
      </c>
      <c r="V586" s="45">
        <v>16.6</v>
      </c>
      <c r="W586" s="45">
        <v>16.6</v>
      </c>
      <c r="X586" s="45">
        <v>14.1</v>
      </c>
      <c r="Y586" s="45">
        <v>13.4</v>
      </c>
      <c r="Z586" s="45">
        <v>11.2</v>
      </c>
      <c r="AA586" s="45">
        <v>10.4</v>
      </c>
      <c r="AB586" s="45">
        <v>8.6</v>
      </c>
      <c r="AC586" s="45">
        <v>8.4</v>
      </c>
      <c r="AD586" s="45">
        <v>9.800000000000001</v>
      </c>
      <c r="AE586" s="45">
        <v>10.2</v>
      </c>
      <c r="AF586" s="45">
        <v>10.4</v>
      </c>
      <c r="AG586" s="45">
        <v>10.8</v>
      </c>
      <c r="AH586" s="45">
        <v>11.8</v>
      </c>
      <c r="AI586" s="45">
        <v>10.2</v>
      </c>
      <c r="AJ586" s="45">
        <v>10.7</v>
      </c>
      <c r="AK586" s="45">
        <v>10.8</v>
      </c>
      <c r="AL586" s="45">
        <v>8.800000000000001</v>
      </c>
      <c r="AM586" s="45">
        <v>8.800000000000001</v>
      </c>
      <c r="AN586" s="45">
        <v>8.699999999999999</v>
      </c>
      <c r="AO586" s="45">
        <v>9.1</v>
      </c>
      <c r="AP586" s="45">
        <v>7.2</v>
      </c>
      <c r="AQ586" s="45">
        <v>7.5</v>
      </c>
      <c r="AR586" s="45">
        <v>4.6</v>
      </c>
      <c r="AS586" s="45">
        <v>17.9</v>
      </c>
      <c r="AT586" s="45">
        <v>0</v>
      </c>
      <c r="AU586" s="45">
        <v>0</v>
      </c>
      <c r="AV586" s="45">
        <v>0</v>
      </c>
      <c r="AW586" s="45">
        <v>0</v>
      </c>
      <c r="AX586" s="45">
        <v>0</v>
      </c>
      <c r="AY586" s="45">
        <v>0</v>
      </c>
      <c r="AZ586" s="45">
        <v>0</v>
      </c>
      <c r="BA586" s="45">
        <v>0</v>
      </c>
      <c r="BB586" s="45">
        <v>0</v>
      </c>
      <c r="BC586" s="45">
        <v>0</v>
      </c>
      <c r="BD586" s="45">
        <v>0</v>
      </c>
      <c r="BE586" s="45">
        <v>0</v>
      </c>
      <c r="BF586" s="45">
        <v>0</v>
      </c>
      <c r="BG586" s="45">
        <v>0</v>
      </c>
    </row>
    <row r="587" spans="1:59">
      <c r="A587" s="18" t="s">
        <v>243</v>
      </c>
      <c r="B587" s="18" t="s">
        <v>134</v>
      </c>
      <c r="C587" s="18" t="s">
        <v>210</v>
      </c>
      <c r="D587" s="45">
        <v>0</v>
      </c>
      <c r="E587" s="45">
        <v>0</v>
      </c>
      <c r="F587" s="45">
        <v>0</v>
      </c>
      <c r="G587" s="45">
        <v>0</v>
      </c>
      <c r="H587" s="45">
        <v>0</v>
      </c>
      <c r="I587" s="45">
        <v>10</v>
      </c>
      <c r="J587" s="45">
        <v>6.2</v>
      </c>
      <c r="K587" s="45">
        <v>6</v>
      </c>
      <c r="L587" s="45">
        <v>6.9</v>
      </c>
      <c r="M587" s="45">
        <v>8</v>
      </c>
      <c r="N587" s="45">
        <v>8.699999999999999</v>
      </c>
      <c r="O587" s="45">
        <v>10.3</v>
      </c>
      <c r="P587" s="45">
        <v>11.1</v>
      </c>
      <c r="Q587" s="45">
        <v>11.4</v>
      </c>
      <c r="R587" s="45">
        <v>11.3</v>
      </c>
      <c r="S587" s="45">
        <v>10.7</v>
      </c>
      <c r="T587" s="45">
        <v>10.6</v>
      </c>
      <c r="U587" s="45">
        <v>12.3</v>
      </c>
      <c r="V587" s="45">
        <v>10.8</v>
      </c>
      <c r="W587" s="45">
        <v>11.5</v>
      </c>
      <c r="X587" s="45">
        <v>9.4</v>
      </c>
      <c r="Y587" s="45">
        <v>8.1</v>
      </c>
      <c r="Z587" s="45">
        <v>8</v>
      </c>
      <c r="AA587" s="45">
        <v>6.4</v>
      </c>
      <c r="AB587" s="45">
        <v>7.2</v>
      </c>
      <c r="AC587" s="45">
        <v>6.9</v>
      </c>
      <c r="AD587" s="45">
        <v>6.6</v>
      </c>
      <c r="AE587" s="45">
        <v>8.300000000000001</v>
      </c>
      <c r="AF587" s="45">
        <v>8.9</v>
      </c>
      <c r="AG587" s="45">
        <v>8.800000000000001</v>
      </c>
      <c r="AH587" s="45">
        <v>9</v>
      </c>
      <c r="AI587" s="45">
        <v>8.699999999999999</v>
      </c>
      <c r="AJ587" s="45">
        <v>7.5</v>
      </c>
      <c r="AK587" s="45">
        <v>8.199999999999999</v>
      </c>
      <c r="AL587" s="45">
        <v>7.8</v>
      </c>
      <c r="AM587" s="45">
        <v>6.7</v>
      </c>
      <c r="AN587" s="45">
        <v>6.8</v>
      </c>
      <c r="AO587" s="45">
        <v>6.8</v>
      </c>
      <c r="AP587" s="45">
        <v>5.3</v>
      </c>
      <c r="AQ587" s="45">
        <v>3.9</v>
      </c>
      <c r="AR587" s="45">
        <v>2.7</v>
      </c>
      <c r="AS587" s="45">
        <v>2.5</v>
      </c>
      <c r="AT587" s="45">
        <v>0</v>
      </c>
      <c r="AU587" s="45">
        <v>0</v>
      </c>
      <c r="AV587" s="45">
        <v>0</v>
      </c>
      <c r="AW587" s="45">
        <v>0</v>
      </c>
      <c r="AX587" s="45">
        <v>0</v>
      </c>
      <c r="AY587" s="45">
        <v>0</v>
      </c>
      <c r="AZ587" s="45">
        <v>0</v>
      </c>
      <c r="BA587" s="45">
        <v>0</v>
      </c>
      <c r="BB587" s="45">
        <v>0</v>
      </c>
      <c r="BC587" s="45">
        <v>0</v>
      </c>
      <c r="BD587" s="45">
        <v>0</v>
      </c>
      <c r="BE587" s="45">
        <v>0</v>
      </c>
      <c r="BF587" s="45">
        <v>0</v>
      </c>
      <c r="BG587" s="45">
        <v>0</v>
      </c>
    </row>
    <row r="588" spans="1:59">
      <c r="A588" s="18" t="s">
        <v>244</v>
      </c>
      <c r="B588" s="18" t="s">
        <v>134</v>
      </c>
      <c r="C588" s="18" t="s">
        <v>212</v>
      </c>
      <c r="D588" s="45">
        <v>0</v>
      </c>
      <c r="E588" s="45">
        <v>0</v>
      </c>
      <c r="F588" s="45">
        <v>0</v>
      </c>
      <c r="G588" s="45">
        <v>0</v>
      </c>
      <c r="H588" s="45">
        <v>0</v>
      </c>
      <c r="I588" s="45">
        <v>10.4</v>
      </c>
      <c r="J588" s="45">
        <v>5.7</v>
      </c>
      <c r="K588" s="45">
        <v>6.4</v>
      </c>
      <c r="L588" s="45">
        <v>6.5</v>
      </c>
      <c r="M588" s="45">
        <v>7.9</v>
      </c>
      <c r="N588" s="45">
        <v>9.800000000000001</v>
      </c>
      <c r="O588" s="45">
        <v>11.3</v>
      </c>
      <c r="P588" s="45">
        <v>12.3</v>
      </c>
      <c r="Q588" s="45">
        <v>10.7</v>
      </c>
      <c r="R588" s="45">
        <v>11.4</v>
      </c>
      <c r="S588" s="45">
        <v>11.3</v>
      </c>
      <c r="T588" s="45">
        <v>10.8</v>
      </c>
      <c r="U588" s="45">
        <v>10.8</v>
      </c>
      <c r="V588" s="45">
        <v>10.2</v>
      </c>
      <c r="W588" s="45">
        <v>12.7</v>
      </c>
      <c r="X588" s="45">
        <v>9.6</v>
      </c>
      <c r="Y588" s="45">
        <v>9.5</v>
      </c>
      <c r="Z588" s="45">
        <v>8.6</v>
      </c>
      <c r="AA588" s="45">
        <v>7</v>
      </c>
      <c r="AB588" s="45">
        <v>7</v>
      </c>
      <c r="AC588" s="45">
        <v>7.6</v>
      </c>
      <c r="AD588" s="45">
        <v>7</v>
      </c>
      <c r="AE588" s="45">
        <v>8.699999999999999</v>
      </c>
      <c r="AF588" s="45">
        <v>10</v>
      </c>
      <c r="AG588" s="45">
        <v>8.699999999999999</v>
      </c>
      <c r="AH588" s="45">
        <v>9.1</v>
      </c>
      <c r="AI588" s="45">
        <v>8.5</v>
      </c>
      <c r="AJ588" s="45">
        <v>8.300000000000001</v>
      </c>
      <c r="AK588" s="45">
        <v>8.5</v>
      </c>
      <c r="AL588" s="45">
        <v>7.9</v>
      </c>
      <c r="AM588" s="45">
        <v>7.6</v>
      </c>
      <c r="AN588" s="45">
        <v>7.2</v>
      </c>
      <c r="AO588" s="45">
        <v>7.1</v>
      </c>
      <c r="AP588" s="45">
        <v>6.1</v>
      </c>
      <c r="AQ588" s="45">
        <v>4.8</v>
      </c>
      <c r="AR588" s="45">
        <v>3.5</v>
      </c>
      <c r="AS588" s="45">
        <v>2.2</v>
      </c>
      <c r="AT588" s="45">
        <v>0</v>
      </c>
      <c r="AU588" s="45">
        <v>0</v>
      </c>
      <c r="AV588" s="45">
        <v>0</v>
      </c>
      <c r="AW588" s="45">
        <v>0</v>
      </c>
      <c r="AX588" s="45">
        <v>0</v>
      </c>
      <c r="AY588" s="45">
        <v>0</v>
      </c>
      <c r="AZ588" s="45">
        <v>0</v>
      </c>
      <c r="BA588" s="45">
        <v>0</v>
      </c>
      <c r="BB588" s="45">
        <v>0</v>
      </c>
      <c r="BC588" s="45">
        <v>0</v>
      </c>
      <c r="BD588" s="45">
        <v>0</v>
      </c>
      <c r="BE588" s="45">
        <v>0</v>
      </c>
      <c r="BF588" s="45">
        <v>0</v>
      </c>
      <c r="BG588" s="45">
        <v>0</v>
      </c>
    </row>
    <row r="589" spans="1:59">
      <c r="A589" s="18" t="s">
        <v>245</v>
      </c>
      <c r="B589" s="18" t="s">
        <v>134</v>
      </c>
      <c r="C589" s="18" t="s">
        <v>214</v>
      </c>
      <c r="D589" s="45">
        <v>0</v>
      </c>
      <c r="E589" s="45">
        <v>0</v>
      </c>
      <c r="F589" s="45">
        <v>0</v>
      </c>
      <c r="G589" s="45">
        <v>0</v>
      </c>
      <c r="H589" s="45">
        <v>0</v>
      </c>
      <c r="I589" s="45">
        <v>9.6</v>
      </c>
      <c r="J589" s="45">
        <v>4.6</v>
      </c>
      <c r="K589" s="45">
        <v>4.6</v>
      </c>
      <c r="L589" s="45">
        <v>4.7</v>
      </c>
      <c r="M589" s="45">
        <v>5.8</v>
      </c>
      <c r="N589" s="45">
        <v>5.8</v>
      </c>
      <c r="O589" s="45">
        <v>7.6</v>
      </c>
      <c r="P589" s="45">
        <v>8.199999999999999</v>
      </c>
      <c r="Q589" s="45">
        <v>10.2</v>
      </c>
      <c r="R589" s="45">
        <v>10.9</v>
      </c>
      <c r="S589" s="45">
        <v>11</v>
      </c>
      <c r="T589" s="45">
        <v>11.6</v>
      </c>
      <c r="U589" s="45">
        <v>10.2</v>
      </c>
      <c r="V589" s="45">
        <v>10</v>
      </c>
      <c r="W589" s="45">
        <v>10.2</v>
      </c>
      <c r="X589" s="45">
        <v>9.4</v>
      </c>
      <c r="Y589" s="45">
        <v>8</v>
      </c>
      <c r="Z589" s="45">
        <v>7.4</v>
      </c>
      <c r="AA589" s="45">
        <v>5.1</v>
      </c>
      <c r="AB589" s="45">
        <v>5.3</v>
      </c>
      <c r="AC589" s="45">
        <v>8</v>
      </c>
      <c r="AD589" s="45">
        <v>6.9</v>
      </c>
      <c r="AE589" s="45">
        <v>6.9</v>
      </c>
      <c r="AF589" s="45">
        <v>7.2</v>
      </c>
      <c r="AG589" s="45">
        <v>7.2</v>
      </c>
      <c r="AH589" s="45">
        <v>7.5</v>
      </c>
      <c r="AI589" s="45">
        <v>6.8</v>
      </c>
      <c r="AJ589" s="45">
        <v>6.9</v>
      </c>
      <c r="AK589" s="45">
        <v>7</v>
      </c>
      <c r="AL589" s="45">
        <v>7.1</v>
      </c>
      <c r="AM589" s="45">
        <v>6.5</v>
      </c>
      <c r="AN589" s="45">
        <v>6.9</v>
      </c>
      <c r="AO589" s="45">
        <v>5.7</v>
      </c>
      <c r="AP589" s="45">
        <v>4.7</v>
      </c>
      <c r="AQ589" s="45">
        <v>3.7</v>
      </c>
      <c r="AR589" s="45">
        <v>2.1</v>
      </c>
      <c r="AS589" s="45">
        <v>1.2</v>
      </c>
      <c r="AT589" s="45">
        <v>0</v>
      </c>
      <c r="AU589" s="45">
        <v>0.3</v>
      </c>
      <c r="AV589" s="45">
        <v>0.3</v>
      </c>
      <c r="AW589" s="45">
        <v>0</v>
      </c>
      <c r="AX589" s="45">
        <v>0</v>
      </c>
      <c r="AY589" s="45">
        <v>0</v>
      </c>
      <c r="AZ589" s="45">
        <v>0.2</v>
      </c>
      <c r="BA589" s="45">
        <v>0</v>
      </c>
      <c r="BB589" s="45">
        <v>0</v>
      </c>
      <c r="BC589" s="45">
        <v>0</v>
      </c>
      <c r="BD589" s="45">
        <v>0</v>
      </c>
      <c r="BE589" s="45">
        <v>0</v>
      </c>
      <c r="BF589" s="45">
        <v>0</v>
      </c>
      <c r="BG589" s="45">
        <v>0</v>
      </c>
    </row>
    <row r="590" spans="1:59">
      <c r="A590" s="18" t="s">
        <v>246</v>
      </c>
      <c r="B590" s="18" t="s">
        <v>134</v>
      </c>
      <c r="C590" s="18" t="s">
        <v>216</v>
      </c>
      <c r="D590" s="45">
        <v>0</v>
      </c>
      <c r="E590" s="45">
        <v>0</v>
      </c>
      <c r="F590" s="45">
        <v>0</v>
      </c>
      <c r="G590" s="45">
        <v>0</v>
      </c>
      <c r="H590" s="45">
        <v>0</v>
      </c>
      <c r="I590" s="45">
        <v>10.5</v>
      </c>
      <c r="J590" s="45">
        <v>4.9</v>
      </c>
      <c r="K590" s="45">
        <v>5.1</v>
      </c>
      <c r="L590" s="45">
        <v>4.8</v>
      </c>
      <c r="M590" s="45">
        <v>6</v>
      </c>
      <c r="N590" s="45">
        <v>6.5</v>
      </c>
      <c r="O590" s="45">
        <v>7.1</v>
      </c>
      <c r="P590" s="45">
        <v>7.5</v>
      </c>
      <c r="Q590" s="45">
        <v>8.300000000000001</v>
      </c>
      <c r="R590" s="45">
        <v>8.9</v>
      </c>
      <c r="S590" s="45">
        <v>9.199999999999999</v>
      </c>
      <c r="T590" s="45">
        <v>10</v>
      </c>
      <c r="U590" s="45">
        <v>9.199999999999999</v>
      </c>
      <c r="V590" s="45">
        <v>9.4</v>
      </c>
      <c r="W590" s="45">
        <v>8</v>
      </c>
      <c r="X590" s="45">
        <v>7.7</v>
      </c>
      <c r="Y590" s="45">
        <v>7.9</v>
      </c>
      <c r="Z590" s="45">
        <v>6.8</v>
      </c>
      <c r="AA590" s="45">
        <v>5.1</v>
      </c>
      <c r="AB590" s="45">
        <v>6</v>
      </c>
      <c r="AC590" s="45">
        <v>5.8</v>
      </c>
      <c r="AD590" s="45">
        <v>6.3</v>
      </c>
      <c r="AE590" s="45">
        <v>7.3</v>
      </c>
      <c r="AF590" s="45">
        <v>7.1</v>
      </c>
      <c r="AG590" s="45">
        <v>7.9</v>
      </c>
      <c r="AH590" s="45">
        <v>7.4</v>
      </c>
      <c r="AI590" s="45">
        <v>8.1</v>
      </c>
      <c r="AJ590" s="45">
        <v>7.7</v>
      </c>
      <c r="AK590" s="45">
        <v>8</v>
      </c>
      <c r="AL590" s="45">
        <v>7.4</v>
      </c>
      <c r="AM590" s="45">
        <v>7.4</v>
      </c>
      <c r="AN590" s="45">
        <v>7.3</v>
      </c>
      <c r="AO590" s="45">
        <v>6.4</v>
      </c>
      <c r="AP590" s="45">
        <v>6.2</v>
      </c>
      <c r="AQ590" s="45">
        <v>4.2</v>
      </c>
      <c r="AR590" s="45">
        <v>2.5</v>
      </c>
      <c r="AS590" s="45">
        <v>1.4</v>
      </c>
      <c r="AT590" s="45">
        <v>0</v>
      </c>
      <c r="AU590" s="45">
        <v>0</v>
      </c>
      <c r="AV590" s="45">
        <v>0</v>
      </c>
      <c r="AW590" s="45">
        <v>0</v>
      </c>
      <c r="AX590" s="45">
        <v>0</v>
      </c>
      <c r="AY590" s="45">
        <v>0</v>
      </c>
      <c r="AZ590" s="45">
        <v>0</v>
      </c>
      <c r="BA590" s="45">
        <v>0</v>
      </c>
      <c r="BB590" s="45">
        <v>0</v>
      </c>
      <c r="BC590" s="45">
        <v>0</v>
      </c>
      <c r="BD590" s="45">
        <v>0</v>
      </c>
      <c r="BE590" s="45">
        <v>0</v>
      </c>
      <c r="BF590" s="45">
        <v>0</v>
      </c>
      <c r="BG590" s="45">
        <v>0</v>
      </c>
    </row>
    <row r="591" spans="1:59">
      <c r="A591" s="18" t="s">
        <v>247</v>
      </c>
      <c r="B591" s="18" t="s">
        <v>134</v>
      </c>
      <c r="C591" s="18" t="s">
        <v>218</v>
      </c>
      <c r="D591" s="45">
        <v>0</v>
      </c>
      <c r="E591" s="45">
        <v>0</v>
      </c>
      <c r="F591" s="45">
        <v>0</v>
      </c>
      <c r="G591" s="45">
        <v>0</v>
      </c>
      <c r="H591" s="45">
        <v>0</v>
      </c>
      <c r="I591" s="45">
        <v>0</v>
      </c>
      <c r="J591" s="45">
        <v>0</v>
      </c>
      <c r="K591" s="45">
        <v>0</v>
      </c>
      <c r="L591" s="45">
        <v>0</v>
      </c>
      <c r="M591" s="45">
        <v>0</v>
      </c>
      <c r="N591" s="45">
        <v>0</v>
      </c>
      <c r="O591" s="45">
        <v>0</v>
      </c>
      <c r="P591" s="45">
        <v>0</v>
      </c>
      <c r="Q591" s="45">
        <v>0</v>
      </c>
      <c r="R591" s="45">
        <v>0</v>
      </c>
      <c r="S591" s="45">
        <v>0</v>
      </c>
      <c r="T591" s="45">
        <v>0</v>
      </c>
      <c r="U591" s="45">
        <v>0</v>
      </c>
      <c r="V591" s="45">
        <v>0</v>
      </c>
      <c r="W591" s="45">
        <v>0</v>
      </c>
      <c r="X591" s="45">
        <v>0</v>
      </c>
      <c r="Y591" s="45">
        <v>0</v>
      </c>
      <c r="Z591" s="45">
        <v>0</v>
      </c>
      <c r="AA591" s="45">
        <v>0</v>
      </c>
      <c r="AB591" s="45">
        <v>0</v>
      </c>
      <c r="AC591" s="45">
        <v>0</v>
      </c>
      <c r="AD591" s="45">
        <v>0</v>
      </c>
      <c r="AE591" s="45">
        <v>0</v>
      </c>
      <c r="AF591" s="45">
        <v>0</v>
      </c>
      <c r="AG591" s="45">
        <v>0</v>
      </c>
      <c r="AH591" s="45">
        <v>0</v>
      </c>
      <c r="AI591" s="45">
        <v>0</v>
      </c>
      <c r="AJ591" s="45">
        <v>0</v>
      </c>
      <c r="AK591" s="45">
        <v>0</v>
      </c>
      <c r="AL591" s="45">
        <v>0</v>
      </c>
      <c r="AM591" s="45">
        <v>0</v>
      </c>
      <c r="AN591" s="45">
        <v>0</v>
      </c>
      <c r="AO591" s="45">
        <v>0</v>
      </c>
      <c r="AP591" s="45">
        <v>0</v>
      </c>
      <c r="AQ591" s="45">
        <v>0</v>
      </c>
      <c r="AR591" s="45">
        <v>0</v>
      </c>
      <c r="AS591" s="45">
        <v>0</v>
      </c>
      <c r="AT591" s="45">
        <v>0</v>
      </c>
      <c r="AU591" s="45">
        <v>0</v>
      </c>
      <c r="AV591" s="45">
        <v>0</v>
      </c>
      <c r="AW591" s="45">
        <v>0</v>
      </c>
      <c r="AX591" s="45">
        <v>0</v>
      </c>
      <c r="AY591" s="45">
        <v>0</v>
      </c>
      <c r="AZ591" s="45">
        <v>0</v>
      </c>
      <c r="BA591" s="45">
        <v>0</v>
      </c>
      <c r="BB591" s="45">
        <v>0</v>
      </c>
      <c r="BC591" s="45">
        <v>0</v>
      </c>
      <c r="BD591" s="45">
        <v>0</v>
      </c>
      <c r="BE591" s="45">
        <v>0</v>
      </c>
      <c r="BF591" s="45">
        <v>0</v>
      </c>
      <c r="BG591" s="45">
        <v>0</v>
      </c>
    </row>
    <row r="592" spans="1:59">
      <c r="A592" s="18" t="s">
        <v>248</v>
      </c>
      <c r="B592" s="18" t="s">
        <v>134</v>
      </c>
      <c r="C592" s="18" t="s">
        <v>220</v>
      </c>
      <c r="D592" s="45">
        <v>0</v>
      </c>
      <c r="E592" s="45">
        <v>0</v>
      </c>
      <c r="F592" s="45">
        <v>0</v>
      </c>
      <c r="G592" s="45">
        <v>0</v>
      </c>
      <c r="H592" s="45">
        <v>0</v>
      </c>
      <c r="I592" s="45">
        <v>0</v>
      </c>
      <c r="J592" s="45">
        <v>0</v>
      </c>
      <c r="K592" s="45">
        <v>0</v>
      </c>
      <c r="L592" s="45">
        <v>0</v>
      </c>
      <c r="M592" s="45">
        <v>0</v>
      </c>
      <c r="N592" s="45">
        <v>0</v>
      </c>
      <c r="O592" s="45">
        <v>0</v>
      </c>
      <c r="P592" s="45">
        <v>0</v>
      </c>
      <c r="Q592" s="45">
        <v>0</v>
      </c>
      <c r="R592" s="45">
        <v>0</v>
      </c>
      <c r="S592" s="45">
        <v>0</v>
      </c>
      <c r="T592" s="45">
        <v>0</v>
      </c>
      <c r="U592" s="45">
        <v>0</v>
      </c>
      <c r="V592" s="45">
        <v>0</v>
      </c>
      <c r="W592" s="45">
        <v>0</v>
      </c>
      <c r="X592" s="45">
        <v>0</v>
      </c>
      <c r="Y592" s="45">
        <v>0</v>
      </c>
      <c r="Z592" s="45">
        <v>0</v>
      </c>
      <c r="AA592" s="45">
        <v>0</v>
      </c>
      <c r="AB592" s="45">
        <v>0</v>
      </c>
      <c r="AC592" s="45">
        <v>0</v>
      </c>
      <c r="AD592" s="45">
        <v>0</v>
      </c>
      <c r="AE592" s="45">
        <v>0</v>
      </c>
      <c r="AF592" s="45">
        <v>0</v>
      </c>
      <c r="AG592" s="45">
        <v>0</v>
      </c>
      <c r="AH592" s="45">
        <v>0</v>
      </c>
      <c r="AI592" s="45">
        <v>0</v>
      </c>
      <c r="AJ592" s="45">
        <v>0</v>
      </c>
      <c r="AK592" s="45">
        <v>27.2</v>
      </c>
      <c r="AL592" s="45">
        <v>0</v>
      </c>
      <c r="AM592" s="45">
        <v>0</v>
      </c>
      <c r="AN592" s="45">
        <v>0</v>
      </c>
      <c r="AO592" s="45">
        <v>0</v>
      </c>
      <c r="AP592" s="45">
        <v>0</v>
      </c>
      <c r="AQ592" s="45">
        <v>0</v>
      </c>
      <c r="AR592" s="45">
        <v>0</v>
      </c>
      <c r="AS592" s="45">
        <v>0</v>
      </c>
      <c r="AT592" s="45">
        <v>0</v>
      </c>
      <c r="AU592" s="45">
        <v>0</v>
      </c>
      <c r="AV592" s="45">
        <v>0</v>
      </c>
      <c r="AW592" s="45">
        <v>0</v>
      </c>
      <c r="AX592" s="45">
        <v>0</v>
      </c>
      <c r="AY592" s="45">
        <v>0</v>
      </c>
      <c r="AZ592" s="45">
        <v>0</v>
      </c>
      <c r="BA592" s="45">
        <v>0</v>
      </c>
      <c r="BB592" s="45">
        <v>0</v>
      </c>
      <c r="BC592" s="45">
        <v>0</v>
      </c>
      <c r="BD592" s="45">
        <v>0</v>
      </c>
      <c r="BE592" s="45">
        <v>0</v>
      </c>
      <c r="BF592" s="45">
        <v>0</v>
      </c>
      <c r="BG592" s="45">
        <v>0</v>
      </c>
    </row>
    <row r="593" spans="1:59">
      <c r="A593" s="18" t="s">
        <v>249</v>
      </c>
      <c r="B593" s="18" t="s">
        <v>148</v>
      </c>
      <c r="C593" s="18" t="s">
        <v>5</v>
      </c>
      <c r="D593" s="45">
        <v>0</v>
      </c>
      <c r="E593" s="45">
        <v>0</v>
      </c>
      <c r="F593" s="45">
        <v>0</v>
      </c>
      <c r="G593" s="45">
        <v>21.9</v>
      </c>
      <c r="H593" s="45">
        <v>14</v>
      </c>
      <c r="I593" s="45">
        <v>13</v>
      </c>
      <c r="J593" s="45">
        <v>11.9</v>
      </c>
      <c r="K593" s="45">
        <v>13.4</v>
      </c>
      <c r="L593" s="45">
        <v>12.7</v>
      </c>
      <c r="M593" s="45">
        <v>15.5</v>
      </c>
      <c r="N593" s="45">
        <v>18.2</v>
      </c>
      <c r="O593" s="45">
        <v>19.4</v>
      </c>
      <c r="P593" s="45">
        <v>23.5</v>
      </c>
      <c r="Q593" s="45">
        <v>27.2</v>
      </c>
      <c r="R593" s="45">
        <v>24.6</v>
      </c>
      <c r="S593" s="45">
        <v>25.8</v>
      </c>
      <c r="T593" s="45">
        <v>25.5</v>
      </c>
      <c r="U593" s="45">
        <v>22.9</v>
      </c>
      <c r="V593" s="45">
        <v>26.8</v>
      </c>
      <c r="W593" s="45">
        <v>25.3</v>
      </c>
      <c r="X593" s="45">
        <v>25.1</v>
      </c>
      <c r="Y593" s="45">
        <v>21.5</v>
      </c>
      <c r="Z593" s="45">
        <v>19.2</v>
      </c>
      <c r="AA593" s="45">
        <v>17.6</v>
      </c>
      <c r="AB593" s="45">
        <v>18.9</v>
      </c>
      <c r="AC593" s="45">
        <v>20.3</v>
      </c>
      <c r="AD593" s="45">
        <v>19</v>
      </c>
      <c r="AE593" s="45">
        <v>19.2</v>
      </c>
      <c r="AF593" s="45">
        <v>20.5</v>
      </c>
      <c r="AG593" s="45">
        <v>20.3</v>
      </c>
      <c r="AH593" s="45">
        <v>20.9</v>
      </c>
      <c r="AI593" s="45">
        <v>23.4</v>
      </c>
      <c r="AJ593" s="45">
        <v>16.2</v>
      </c>
      <c r="AK593" s="45">
        <v>17.6</v>
      </c>
      <c r="AL593" s="45">
        <v>17.5</v>
      </c>
      <c r="AM593" s="45">
        <v>17</v>
      </c>
      <c r="AN593" s="45">
        <v>15.1</v>
      </c>
      <c r="AO593" s="45">
        <v>12.9</v>
      </c>
      <c r="AP593" s="45">
        <v>13.2</v>
      </c>
      <c r="AQ593" s="45">
        <v>11.4</v>
      </c>
      <c r="AR593" s="45">
        <v>6.8</v>
      </c>
      <c r="AS593" s="45">
        <v>0</v>
      </c>
      <c r="AT593" s="45">
        <v>0</v>
      </c>
      <c r="AU593" s="45">
        <v>0</v>
      </c>
      <c r="AV593" s="45">
        <v>0</v>
      </c>
      <c r="AW593" s="45">
        <v>0</v>
      </c>
      <c r="AX593" s="45">
        <v>0</v>
      </c>
      <c r="AY593" s="45">
        <v>0</v>
      </c>
      <c r="AZ593" s="45">
        <v>0</v>
      </c>
      <c r="BA593" s="45">
        <v>0</v>
      </c>
      <c r="BB593" s="45">
        <v>0</v>
      </c>
      <c r="BC593" s="45">
        <v>0</v>
      </c>
      <c r="BD593" s="45">
        <v>0</v>
      </c>
      <c r="BE593" s="45">
        <v>0</v>
      </c>
      <c r="BF593" s="45">
        <v>0</v>
      </c>
      <c r="BG593" s="45">
        <v>0</v>
      </c>
    </row>
    <row r="594" spans="1:59">
      <c r="A594" s="18" t="s">
        <v>250</v>
      </c>
      <c r="B594" s="18" t="s">
        <v>148</v>
      </c>
      <c r="C594" s="18" t="s">
        <v>210</v>
      </c>
      <c r="D594" s="45">
        <v>0</v>
      </c>
      <c r="E594" s="45">
        <v>0</v>
      </c>
      <c r="F594" s="45">
        <v>0</v>
      </c>
      <c r="G594" s="45">
        <v>19.9</v>
      </c>
      <c r="H594" s="45">
        <v>12</v>
      </c>
      <c r="I594" s="45">
        <v>10.3</v>
      </c>
      <c r="J594" s="45">
        <v>9.699999999999999</v>
      </c>
      <c r="K594" s="45">
        <v>9.800000000000001</v>
      </c>
      <c r="L594" s="45">
        <v>11.3</v>
      </c>
      <c r="M594" s="45">
        <v>11</v>
      </c>
      <c r="N594" s="45">
        <v>13.6</v>
      </c>
      <c r="O594" s="45">
        <v>14.7</v>
      </c>
      <c r="P594" s="45">
        <v>15.1</v>
      </c>
      <c r="Q594" s="45">
        <v>15.9</v>
      </c>
      <c r="R594" s="45">
        <v>18.3</v>
      </c>
      <c r="S594" s="45">
        <v>18.1</v>
      </c>
      <c r="T594" s="45">
        <v>17.9</v>
      </c>
      <c r="U594" s="45">
        <v>17.4</v>
      </c>
      <c r="V594" s="45">
        <v>16.8</v>
      </c>
      <c r="W594" s="45">
        <v>14.1</v>
      </c>
      <c r="X594" s="45">
        <v>15.7</v>
      </c>
      <c r="Y594" s="45">
        <v>13.3</v>
      </c>
      <c r="Z594" s="45">
        <v>14.5</v>
      </c>
      <c r="AA594" s="45">
        <v>13</v>
      </c>
      <c r="AB594" s="45">
        <v>14.3</v>
      </c>
      <c r="AC594" s="45">
        <v>13.1</v>
      </c>
      <c r="AD594" s="45">
        <v>14.4</v>
      </c>
      <c r="AE594" s="45">
        <v>14.8</v>
      </c>
      <c r="AF594" s="45">
        <v>17.5</v>
      </c>
      <c r="AG594" s="45">
        <v>14.8</v>
      </c>
      <c r="AH594" s="45">
        <v>16</v>
      </c>
      <c r="AI594" s="45">
        <v>17</v>
      </c>
      <c r="AJ594" s="45">
        <v>12.5</v>
      </c>
      <c r="AK594" s="45">
        <v>13.2</v>
      </c>
      <c r="AL594" s="45">
        <v>12.7</v>
      </c>
      <c r="AM594" s="45">
        <v>14.2</v>
      </c>
      <c r="AN594" s="45">
        <v>13.5</v>
      </c>
      <c r="AO594" s="45">
        <v>11.6</v>
      </c>
      <c r="AP594" s="45">
        <v>9.800000000000001</v>
      </c>
      <c r="AQ594" s="45">
        <v>10.7</v>
      </c>
      <c r="AR594" s="45">
        <v>7.6</v>
      </c>
      <c r="AS594" s="45">
        <v>0</v>
      </c>
      <c r="AT594" s="45">
        <v>0</v>
      </c>
      <c r="AU594" s="45">
        <v>0</v>
      </c>
      <c r="AV594" s="45">
        <v>0</v>
      </c>
      <c r="AW594" s="45">
        <v>0</v>
      </c>
      <c r="AX594" s="45">
        <v>0</v>
      </c>
      <c r="AY594" s="45">
        <v>0</v>
      </c>
      <c r="AZ594" s="45">
        <v>0</v>
      </c>
      <c r="BA594" s="45">
        <v>0</v>
      </c>
      <c r="BB594" s="45">
        <v>0</v>
      </c>
      <c r="BC594" s="45">
        <v>0</v>
      </c>
      <c r="BD594" s="45">
        <v>0</v>
      </c>
      <c r="BE594" s="45">
        <v>0</v>
      </c>
      <c r="BF594" s="45">
        <v>0</v>
      </c>
      <c r="BG594" s="45">
        <v>0</v>
      </c>
    </row>
    <row r="595" spans="1:59">
      <c r="A595" s="18" t="s">
        <v>251</v>
      </c>
      <c r="B595" s="18" t="s">
        <v>148</v>
      </c>
      <c r="C595" s="18" t="s">
        <v>212</v>
      </c>
      <c r="D595" s="45">
        <v>0</v>
      </c>
      <c r="E595" s="45">
        <v>0</v>
      </c>
      <c r="F595" s="45">
        <v>0</v>
      </c>
      <c r="G595" s="45">
        <v>22.4</v>
      </c>
      <c r="H595" s="45">
        <v>11.2</v>
      </c>
      <c r="I595" s="45">
        <v>9.9</v>
      </c>
      <c r="J595" s="45">
        <v>9.300000000000001</v>
      </c>
      <c r="K595" s="45">
        <v>9.6</v>
      </c>
      <c r="L595" s="45">
        <v>11.2</v>
      </c>
      <c r="M595" s="45">
        <v>14.3</v>
      </c>
      <c r="N595" s="45">
        <v>13.6</v>
      </c>
      <c r="O595" s="45">
        <v>13.3</v>
      </c>
      <c r="P595" s="45">
        <v>14</v>
      </c>
      <c r="Q595" s="45">
        <v>13.5</v>
      </c>
      <c r="R595" s="45">
        <v>14.9</v>
      </c>
      <c r="S595" s="45">
        <v>16.7</v>
      </c>
      <c r="T595" s="45">
        <v>17.2</v>
      </c>
      <c r="U595" s="45">
        <v>16.3</v>
      </c>
      <c r="V595" s="45">
        <v>14.2</v>
      </c>
      <c r="W595" s="45">
        <v>14.2</v>
      </c>
      <c r="X595" s="45">
        <v>15.2</v>
      </c>
      <c r="Y595" s="45">
        <v>13.6</v>
      </c>
      <c r="Z595" s="45">
        <v>10.7</v>
      </c>
      <c r="AA595" s="45">
        <v>11.4</v>
      </c>
      <c r="AB595" s="45">
        <v>12</v>
      </c>
      <c r="AC595" s="45">
        <v>11.1</v>
      </c>
      <c r="AD595" s="45">
        <v>13.2</v>
      </c>
      <c r="AE595" s="45">
        <v>12.6</v>
      </c>
      <c r="AF595" s="45">
        <v>12.9</v>
      </c>
      <c r="AG595" s="45">
        <v>12.8</v>
      </c>
      <c r="AH595" s="45">
        <v>13.6</v>
      </c>
      <c r="AI595" s="45">
        <v>13.1</v>
      </c>
      <c r="AJ595" s="45">
        <v>11.2</v>
      </c>
      <c r="AK595" s="45">
        <v>10</v>
      </c>
      <c r="AL595" s="45">
        <v>10.3</v>
      </c>
      <c r="AM595" s="45">
        <v>9.6</v>
      </c>
      <c r="AN595" s="45">
        <v>10.2</v>
      </c>
      <c r="AO595" s="45">
        <v>8.1</v>
      </c>
      <c r="AP595" s="45">
        <v>5.4</v>
      </c>
      <c r="AQ595" s="45">
        <v>3.7</v>
      </c>
      <c r="AR595" s="45">
        <v>3.6</v>
      </c>
      <c r="AS595" s="45">
        <v>0</v>
      </c>
      <c r="AT595" s="45">
        <v>0</v>
      </c>
      <c r="AU595" s="45">
        <v>0</v>
      </c>
      <c r="AV595" s="45">
        <v>0</v>
      </c>
      <c r="AW595" s="45">
        <v>0</v>
      </c>
      <c r="AX595" s="45">
        <v>0</v>
      </c>
      <c r="AY595" s="45">
        <v>0</v>
      </c>
      <c r="AZ595" s="45">
        <v>0</v>
      </c>
      <c r="BA595" s="45">
        <v>0</v>
      </c>
      <c r="BB595" s="45">
        <v>0</v>
      </c>
      <c r="BC595" s="45">
        <v>0</v>
      </c>
      <c r="BD595" s="45">
        <v>0</v>
      </c>
      <c r="BE595" s="45">
        <v>0</v>
      </c>
      <c r="BF595" s="45">
        <v>0</v>
      </c>
      <c r="BG595" s="45">
        <v>0</v>
      </c>
    </row>
    <row r="596" spans="1:59">
      <c r="A596" s="18" t="s">
        <v>252</v>
      </c>
      <c r="B596" s="18" t="s">
        <v>148</v>
      </c>
      <c r="C596" s="18" t="s">
        <v>214</v>
      </c>
      <c r="D596" s="45">
        <v>0</v>
      </c>
      <c r="E596" s="45">
        <v>0</v>
      </c>
      <c r="F596" s="45">
        <v>0</v>
      </c>
      <c r="G596" s="45">
        <v>24.7</v>
      </c>
      <c r="H596" s="45">
        <v>11.4</v>
      </c>
      <c r="I596" s="45">
        <v>9.699999999999999</v>
      </c>
      <c r="J596" s="45">
        <v>8.1</v>
      </c>
      <c r="K596" s="45">
        <v>11</v>
      </c>
      <c r="L596" s="45">
        <v>12.1</v>
      </c>
      <c r="M596" s="45">
        <v>10.3</v>
      </c>
      <c r="N596" s="45">
        <v>12.3</v>
      </c>
      <c r="O596" s="45">
        <v>13.6</v>
      </c>
      <c r="P596" s="45">
        <v>14.5</v>
      </c>
      <c r="Q596" s="45">
        <v>15.1</v>
      </c>
      <c r="R596" s="45">
        <v>13.1</v>
      </c>
      <c r="S596" s="45">
        <v>15.9</v>
      </c>
      <c r="T596" s="45">
        <v>15.8</v>
      </c>
      <c r="U596" s="45">
        <v>15.5</v>
      </c>
      <c r="V596" s="45">
        <v>11.7</v>
      </c>
      <c r="W596" s="45">
        <v>12.4</v>
      </c>
      <c r="X596" s="45">
        <v>11.1</v>
      </c>
      <c r="Y596" s="45">
        <v>11.9</v>
      </c>
      <c r="Z596" s="45">
        <v>11.1</v>
      </c>
      <c r="AA596" s="45">
        <v>11.1</v>
      </c>
      <c r="AB596" s="45">
        <v>9.199999999999999</v>
      </c>
      <c r="AC596" s="45">
        <v>9.6</v>
      </c>
      <c r="AD596" s="45">
        <v>11.6</v>
      </c>
      <c r="AE596" s="45">
        <v>10.3</v>
      </c>
      <c r="AF596" s="45">
        <v>12.9</v>
      </c>
      <c r="AG596" s="45">
        <v>13.3</v>
      </c>
      <c r="AH596" s="45">
        <v>13.7</v>
      </c>
      <c r="AI596" s="45">
        <v>13</v>
      </c>
      <c r="AJ596" s="45">
        <v>14.4</v>
      </c>
      <c r="AK596" s="45">
        <v>11</v>
      </c>
      <c r="AL596" s="45">
        <v>10</v>
      </c>
      <c r="AM596" s="45">
        <v>9.5</v>
      </c>
      <c r="AN596" s="45">
        <v>10.7</v>
      </c>
      <c r="AO596" s="45">
        <v>8</v>
      </c>
      <c r="AP596" s="45">
        <v>6.3</v>
      </c>
      <c r="AQ596" s="45">
        <v>5.9</v>
      </c>
      <c r="AR596" s="45">
        <v>4.3</v>
      </c>
      <c r="AS596" s="45">
        <v>0</v>
      </c>
      <c r="AT596" s="45">
        <v>0</v>
      </c>
      <c r="AU596" s="45">
        <v>0</v>
      </c>
      <c r="AV596" s="45">
        <v>0</v>
      </c>
      <c r="AW596" s="45">
        <v>0</v>
      </c>
      <c r="AX596" s="45">
        <v>0</v>
      </c>
      <c r="AY596" s="45">
        <v>0</v>
      </c>
      <c r="AZ596" s="45">
        <v>0</v>
      </c>
      <c r="BA596" s="45">
        <v>0</v>
      </c>
      <c r="BB596" s="45">
        <v>0</v>
      </c>
      <c r="BC596" s="45">
        <v>0</v>
      </c>
      <c r="BD596" s="45">
        <v>0</v>
      </c>
      <c r="BE596" s="45">
        <v>0</v>
      </c>
      <c r="BF596" s="45">
        <v>0</v>
      </c>
      <c r="BG596" s="45">
        <v>0</v>
      </c>
    </row>
    <row r="597" spans="1:59">
      <c r="A597" s="18" t="s">
        <v>253</v>
      </c>
      <c r="B597" s="18" t="s">
        <v>148</v>
      </c>
      <c r="C597" s="18" t="s">
        <v>216</v>
      </c>
      <c r="D597" s="45">
        <v>0</v>
      </c>
      <c r="E597" s="45">
        <v>0</v>
      </c>
      <c r="F597" s="45">
        <v>0</v>
      </c>
      <c r="G597" s="45">
        <v>21</v>
      </c>
      <c r="H597" s="45">
        <v>10.2</v>
      </c>
      <c r="I597" s="45">
        <v>9.1</v>
      </c>
      <c r="J597" s="45">
        <v>7.5</v>
      </c>
      <c r="K597" s="45">
        <v>9.5</v>
      </c>
      <c r="L597" s="45">
        <v>9.9</v>
      </c>
      <c r="M597" s="45">
        <v>9.800000000000001</v>
      </c>
      <c r="N597" s="45">
        <v>12.4</v>
      </c>
      <c r="O597" s="45">
        <v>11.9</v>
      </c>
      <c r="P597" s="45">
        <v>12.5</v>
      </c>
      <c r="Q597" s="45">
        <v>13.6</v>
      </c>
      <c r="R597" s="45">
        <v>13.3</v>
      </c>
      <c r="S597" s="45">
        <v>13.8</v>
      </c>
      <c r="T597" s="45">
        <v>14.6</v>
      </c>
      <c r="U597" s="45">
        <v>13.4</v>
      </c>
      <c r="V597" s="45">
        <v>13.4</v>
      </c>
      <c r="W597" s="45">
        <v>15</v>
      </c>
      <c r="X597" s="45">
        <v>12.1</v>
      </c>
      <c r="Y597" s="45">
        <v>12.4</v>
      </c>
      <c r="Z597" s="45">
        <v>10.7</v>
      </c>
      <c r="AA597" s="45">
        <v>8.4</v>
      </c>
      <c r="AB597" s="45">
        <v>10.4</v>
      </c>
      <c r="AC597" s="45">
        <v>12.8</v>
      </c>
      <c r="AD597" s="45">
        <v>11.4</v>
      </c>
      <c r="AE597" s="45">
        <v>12.1</v>
      </c>
      <c r="AF597" s="45">
        <v>12</v>
      </c>
      <c r="AG597" s="45">
        <v>12.6</v>
      </c>
      <c r="AH597" s="45">
        <v>11.9</v>
      </c>
      <c r="AI597" s="45">
        <v>12.4</v>
      </c>
      <c r="AJ597" s="45">
        <v>11.6</v>
      </c>
      <c r="AK597" s="45">
        <v>11.3</v>
      </c>
      <c r="AL597" s="45">
        <v>11</v>
      </c>
      <c r="AM597" s="45">
        <v>11.7</v>
      </c>
      <c r="AN597" s="45">
        <v>10.5</v>
      </c>
      <c r="AO597" s="45">
        <v>8.300000000000001</v>
      </c>
      <c r="AP597" s="45">
        <v>6.9</v>
      </c>
      <c r="AQ597" s="45">
        <v>6.3</v>
      </c>
      <c r="AR597" s="45">
        <v>3.6</v>
      </c>
      <c r="AS597" s="45">
        <v>0</v>
      </c>
      <c r="AT597" s="45">
        <v>0</v>
      </c>
      <c r="AU597" s="45">
        <v>0</v>
      </c>
      <c r="AV597" s="45">
        <v>0</v>
      </c>
      <c r="AW597" s="45">
        <v>0</v>
      </c>
      <c r="AX597" s="45">
        <v>0</v>
      </c>
      <c r="AY597" s="45">
        <v>0</v>
      </c>
      <c r="AZ597" s="45">
        <v>0</v>
      </c>
      <c r="BA597" s="45">
        <v>0</v>
      </c>
      <c r="BB597" s="45">
        <v>0</v>
      </c>
      <c r="BC597" s="45">
        <v>0</v>
      </c>
      <c r="BD597" s="45">
        <v>0</v>
      </c>
      <c r="BE597" s="45">
        <v>0</v>
      </c>
      <c r="BF597" s="45">
        <v>0</v>
      </c>
      <c r="BG597" s="45">
        <v>0</v>
      </c>
    </row>
    <row r="598" spans="1:59">
      <c r="A598" s="18" t="s">
        <v>254</v>
      </c>
      <c r="B598" s="18" t="s">
        <v>148</v>
      </c>
      <c r="C598" s="18" t="s">
        <v>218</v>
      </c>
      <c r="D598" s="45">
        <v>0</v>
      </c>
      <c r="E598" s="45">
        <v>0</v>
      </c>
      <c r="F598" s="45">
        <v>0</v>
      </c>
      <c r="G598" s="45">
        <v>0</v>
      </c>
      <c r="H598" s="45">
        <v>0</v>
      </c>
      <c r="I598" s="45">
        <v>0</v>
      </c>
      <c r="J598" s="45">
        <v>0</v>
      </c>
      <c r="K598" s="45">
        <v>0</v>
      </c>
      <c r="L598" s="45">
        <v>0</v>
      </c>
      <c r="M598" s="45">
        <v>0</v>
      </c>
      <c r="N598" s="45">
        <v>0</v>
      </c>
      <c r="O598" s="45">
        <v>0</v>
      </c>
      <c r="P598" s="45">
        <v>0</v>
      </c>
      <c r="Q598" s="45">
        <v>0</v>
      </c>
      <c r="R598" s="45">
        <v>0</v>
      </c>
      <c r="S598" s="45">
        <v>0</v>
      </c>
      <c r="T598" s="45">
        <v>0</v>
      </c>
      <c r="U598" s="45">
        <v>0</v>
      </c>
      <c r="V598" s="45">
        <v>0</v>
      </c>
      <c r="W598" s="45">
        <v>0</v>
      </c>
      <c r="X598" s="45">
        <v>0</v>
      </c>
      <c r="Y598" s="45">
        <v>0</v>
      </c>
      <c r="Z598" s="45">
        <v>0</v>
      </c>
      <c r="AA598" s="45">
        <v>0</v>
      </c>
      <c r="AB598" s="45">
        <v>0</v>
      </c>
      <c r="AC598" s="45">
        <v>0</v>
      </c>
      <c r="AD598" s="45">
        <v>0</v>
      </c>
      <c r="AE598" s="45">
        <v>0</v>
      </c>
      <c r="AF598" s="45">
        <v>0</v>
      </c>
      <c r="AG598" s="45">
        <v>0</v>
      </c>
      <c r="AH598" s="45">
        <v>0</v>
      </c>
      <c r="AI598" s="45">
        <v>0</v>
      </c>
      <c r="AJ598" s="45">
        <v>0</v>
      </c>
      <c r="AK598" s="45">
        <v>0</v>
      </c>
      <c r="AL598" s="45">
        <v>0</v>
      </c>
      <c r="AM598" s="45">
        <v>0</v>
      </c>
      <c r="AN598" s="45">
        <v>0</v>
      </c>
      <c r="AO598" s="45">
        <v>0</v>
      </c>
      <c r="AP598" s="45">
        <v>0</v>
      </c>
      <c r="AQ598" s="45">
        <v>0</v>
      </c>
      <c r="AR598" s="45">
        <v>0</v>
      </c>
      <c r="AS598" s="45">
        <v>0</v>
      </c>
      <c r="AT598" s="45">
        <v>0</v>
      </c>
      <c r="AU598" s="45">
        <v>0</v>
      </c>
      <c r="AV598" s="45">
        <v>0</v>
      </c>
      <c r="AW598" s="45">
        <v>0</v>
      </c>
      <c r="AX598" s="45">
        <v>0</v>
      </c>
      <c r="AY598" s="45">
        <v>0</v>
      </c>
      <c r="AZ598" s="45">
        <v>0</v>
      </c>
      <c r="BA598" s="45">
        <v>0</v>
      </c>
      <c r="BB598" s="45">
        <v>0</v>
      </c>
      <c r="BC598" s="45">
        <v>0</v>
      </c>
      <c r="BD598" s="45">
        <v>0</v>
      </c>
      <c r="BE598" s="45">
        <v>0</v>
      </c>
      <c r="BF598" s="45">
        <v>0</v>
      </c>
      <c r="BG598" s="45">
        <v>0</v>
      </c>
    </row>
    <row r="599" spans="1:59">
      <c r="A599" s="18" t="s">
        <v>255</v>
      </c>
      <c r="B599" s="18" t="s">
        <v>148</v>
      </c>
      <c r="C599" s="18" t="s">
        <v>220</v>
      </c>
      <c r="D599" s="45">
        <v>0</v>
      </c>
      <c r="E599" s="45">
        <v>0</v>
      </c>
      <c r="F599" s="45">
        <v>0</v>
      </c>
      <c r="G599" s="45">
        <v>0</v>
      </c>
      <c r="H599" s="45">
        <v>22.5</v>
      </c>
      <c r="I599" s="45">
        <v>22.7</v>
      </c>
      <c r="J599" s="45">
        <v>25.5</v>
      </c>
      <c r="K599" s="45">
        <v>19</v>
      </c>
      <c r="L599" s="45">
        <v>15</v>
      </c>
      <c r="M599" s="45">
        <v>17.8</v>
      </c>
      <c r="N599" s="45">
        <v>13.6</v>
      </c>
      <c r="O599" s="45">
        <v>9.300000000000001</v>
      </c>
      <c r="P599" s="45">
        <v>0</v>
      </c>
      <c r="Q599" s="45">
        <v>10</v>
      </c>
      <c r="R599" s="45">
        <v>10.3</v>
      </c>
      <c r="S599" s="45">
        <v>0</v>
      </c>
      <c r="T599" s="45">
        <v>8.199999999999999</v>
      </c>
      <c r="U599" s="45">
        <v>0</v>
      </c>
      <c r="V599" s="45">
        <v>0</v>
      </c>
      <c r="W599" s="45">
        <v>0</v>
      </c>
      <c r="X599" s="45">
        <v>0</v>
      </c>
      <c r="Y599" s="45">
        <v>0</v>
      </c>
      <c r="Z599" s="45">
        <v>0</v>
      </c>
      <c r="AA599" s="45">
        <v>0</v>
      </c>
      <c r="AB599" s="45">
        <v>0</v>
      </c>
      <c r="AC599" s="45">
        <v>0</v>
      </c>
      <c r="AD599" s="45">
        <v>0</v>
      </c>
      <c r="AE599" s="45">
        <v>0</v>
      </c>
      <c r="AF599" s="45">
        <v>0</v>
      </c>
      <c r="AG599" s="45">
        <v>12</v>
      </c>
      <c r="AH599" s="45">
        <v>0</v>
      </c>
      <c r="AI599" s="45">
        <v>0</v>
      </c>
      <c r="AJ599" s="45">
        <v>0</v>
      </c>
      <c r="AK599" s="45">
        <v>0</v>
      </c>
      <c r="AL599" s="45">
        <v>0</v>
      </c>
      <c r="AM599" s="45">
        <v>0</v>
      </c>
      <c r="AN599" s="45">
        <v>0</v>
      </c>
      <c r="AO599" s="45">
        <v>0</v>
      </c>
      <c r="AP599" s="45">
        <v>0</v>
      </c>
      <c r="AQ599" s="45">
        <v>0</v>
      </c>
      <c r="AR599" s="45">
        <v>0</v>
      </c>
      <c r="AS599" s="45">
        <v>0</v>
      </c>
      <c r="AT599" s="45">
        <v>0</v>
      </c>
      <c r="AU599" s="45">
        <v>0</v>
      </c>
      <c r="AV599" s="45">
        <v>0</v>
      </c>
      <c r="AW599" s="45">
        <v>0</v>
      </c>
      <c r="AX599" s="45">
        <v>0</v>
      </c>
      <c r="AY599" s="45">
        <v>0</v>
      </c>
      <c r="AZ599" s="45">
        <v>0</v>
      </c>
      <c r="BA599" s="45">
        <v>0</v>
      </c>
      <c r="BB599" s="45">
        <v>0</v>
      </c>
      <c r="BC599" s="45">
        <v>0</v>
      </c>
      <c r="BD599" s="45">
        <v>0</v>
      </c>
      <c r="BE599" s="45">
        <v>0</v>
      </c>
      <c r="BF599" s="45">
        <v>0</v>
      </c>
      <c r="BG599" s="45">
        <v>0</v>
      </c>
    </row>
    <row r="600" spans="1:59">
      <c r="A600" s="18" t="s">
        <v>256</v>
      </c>
      <c r="B600" s="18" t="s">
        <v>162</v>
      </c>
      <c r="C600" s="18" t="s">
        <v>5</v>
      </c>
      <c r="D600" s="45">
        <v>0</v>
      </c>
      <c r="E600" s="45">
        <v>0</v>
      </c>
      <c r="F600" s="45">
        <v>0</v>
      </c>
      <c r="G600" s="45">
        <v>0</v>
      </c>
      <c r="H600" s="45">
        <v>0</v>
      </c>
      <c r="I600" s="45">
        <v>7.4</v>
      </c>
      <c r="J600" s="45">
        <v>2.7</v>
      </c>
      <c r="K600" s="45">
        <v>2</v>
      </c>
      <c r="L600" s="45">
        <v>2.5</v>
      </c>
      <c r="M600" s="45">
        <v>3.4</v>
      </c>
      <c r="N600" s="45">
        <v>5.1</v>
      </c>
      <c r="O600" s="45">
        <v>6.5</v>
      </c>
      <c r="P600" s="45">
        <v>5.9</v>
      </c>
      <c r="Q600" s="45">
        <v>5.8</v>
      </c>
      <c r="R600" s="45">
        <v>6.7</v>
      </c>
      <c r="S600" s="45">
        <v>7.3</v>
      </c>
      <c r="T600" s="45">
        <v>6.1</v>
      </c>
      <c r="U600" s="45">
        <v>5.6</v>
      </c>
      <c r="V600" s="45">
        <v>5</v>
      </c>
      <c r="W600" s="45">
        <v>4.3</v>
      </c>
      <c r="X600" s="45">
        <v>4.1</v>
      </c>
      <c r="Y600" s="45">
        <v>3.3</v>
      </c>
      <c r="Z600" s="45">
        <v>3.1</v>
      </c>
      <c r="AA600" s="45">
        <v>2.7</v>
      </c>
      <c r="AB600" s="45">
        <v>3.4</v>
      </c>
      <c r="AC600" s="45">
        <v>4</v>
      </c>
      <c r="AD600" s="45">
        <v>4.7</v>
      </c>
      <c r="AE600" s="45">
        <v>4.6</v>
      </c>
      <c r="AF600" s="45">
        <v>4.1</v>
      </c>
      <c r="AG600" s="45">
        <v>4.3</v>
      </c>
      <c r="AH600" s="45">
        <v>4.7</v>
      </c>
      <c r="AI600" s="45">
        <v>3.9</v>
      </c>
      <c r="AJ600" s="45">
        <v>3.3</v>
      </c>
      <c r="AK600" s="45">
        <v>3.5</v>
      </c>
      <c r="AL600" s="45">
        <v>3</v>
      </c>
      <c r="AM600" s="45">
        <v>3.4</v>
      </c>
      <c r="AN600" s="45">
        <v>3.9</v>
      </c>
      <c r="AO600" s="45">
        <v>4</v>
      </c>
      <c r="AP600" s="45">
        <v>4.5</v>
      </c>
      <c r="AQ600" s="45">
        <v>5</v>
      </c>
      <c r="AR600" s="45">
        <v>3.4</v>
      </c>
      <c r="AS600" s="45">
        <v>1.5</v>
      </c>
      <c r="AT600" s="45">
        <v>0</v>
      </c>
      <c r="AU600" s="45">
        <v>0</v>
      </c>
      <c r="AV600" s="45">
        <v>0</v>
      </c>
      <c r="AW600" s="45">
        <v>0</v>
      </c>
      <c r="AX600" s="45">
        <v>0</v>
      </c>
      <c r="AY600" s="45">
        <v>0</v>
      </c>
      <c r="AZ600" s="45">
        <v>0</v>
      </c>
      <c r="BA600" s="45">
        <v>0</v>
      </c>
      <c r="BB600" s="45">
        <v>0</v>
      </c>
      <c r="BC600" s="45">
        <v>0</v>
      </c>
      <c r="BD600" s="45">
        <v>0</v>
      </c>
      <c r="BE600" s="45">
        <v>0</v>
      </c>
      <c r="BF600" s="45">
        <v>0</v>
      </c>
      <c r="BG600" s="45">
        <v>0</v>
      </c>
    </row>
    <row r="601" spans="1:59">
      <c r="A601" s="18" t="s">
        <v>257</v>
      </c>
      <c r="B601" s="18" t="s">
        <v>162</v>
      </c>
      <c r="C601" s="18" t="s">
        <v>210</v>
      </c>
      <c r="D601" s="45">
        <v>0</v>
      </c>
      <c r="E601" s="45">
        <v>0</v>
      </c>
      <c r="F601" s="45">
        <v>0</v>
      </c>
      <c r="G601" s="45">
        <v>0</v>
      </c>
      <c r="H601" s="45">
        <v>0</v>
      </c>
      <c r="I601" s="45">
        <v>8.1</v>
      </c>
      <c r="J601" s="45">
        <v>2.2</v>
      </c>
      <c r="K601" s="45">
        <v>2.4</v>
      </c>
      <c r="L601" s="45">
        <v>2.9</v>
      </c>
      <c r="M601" s="45">
        <v>3.2</v>
      </c>
      <c r="N601" s="45">
        <v>3.4</v>
      </c>
      <c r="O601" s="45">
        <v>3.4</v>
      </c>
      <c r="P601" s="45">
        <v>4.1</v>
      </c>
      <c r="Q601" s="45">
        <v>4.5</v>
      </c>
      <c r="R601" s="45">
        <v>5.3</v>
      </c>
      <c r="S601" s="45">
        <v>4.3</v>
      </c>
      <c r="T601" s="45">
        <v>3.7</v>
      </c>
      <c r="U601" s="45">
        <v>3.4</v>
      </c>
      <c r="V601" s="45">
        <v>2.9</v>
      </c>
      <c r="W601" s="45">
        <v>3.2</v>
      </c>
      <c r="X601" s="45">
        <v>2.8</v>
      </c>
      <c r="Y601" s="45">
        <v>2.8</v>
      </c>
      <c r="Z601" s="45">
        <v>2.7</v>
      </c>
      <c r="AA601" s="45">
        <v>2.4</v>
      </c>
      <c r="AB601" s="45">
        <v>2</v>
      </c>
      <c r="AC601" s="45">
        <v>3.3</v>
      </c>
      <c r="AD601" s="45">
        <v>4</v>
      </c>
      <c r="AE601" s="45">
        <v>3.9</v>
      </c>
      <c r="AF601" s="45">
        <v>4.1</v>
      </c>
      <c r="AG601" s="45">
        <v>4.2</v>
      </c>
      <c r="AH601" s="45">
        <v>3.6</v>
      </c>
      <c r="AI601" s="45">
        <v>3.1</v>
      </c>
      <c r="AJ601" s="45">
        <v>2.6</v>
      </c>
      <c r="AK601" s="45">
        <v>3.1</v>
      </c>
      <c r="AL601" s="45">
        <v>2.7</v>
      </c>
      <c r="AM601" s="45">
        <v>2.7</v>
      </c>
      <c r="AN601" s="45">
        <v>3</v>
      </c>
      <c r="AO601" s="45">
        <v>2.7</v>
      </c>
      <c r="AP601" s="45">
        <v>2.8</v>
      </c>
      <c r="AQ601" s="45">
        <v>2.9</v>
      </c>
      <c r="AR601" s="45">
        <v>2.3</v>
      </c>
      <c r="AS601" s="45">
        <v>1.1</v>
      </c>
      <c r="AT601" s="45">
        <v>0</v>
      </c>
      <c r="AU601" s="45">
        <v>0</v>
      </c>
      <c r="AV601" s="45">
        <v>0</v>
      </c>
      <c r="AW601" s="45">
        <v>0</v>
      </c>
      <c r="AX601" s="45">
        <v>0</v>
      </c>
      <c r="AY601" s="45">
        <v>0</v>
      </c>
      <c r="AZ601" s="45">
        <v>0</v>
      </c>
      <c r="BA601" s="45">
        <v>0</v>
      </c>
      <c r="BB601" s="45">
        <v>0</v>
      </c>
      <c r="BC601" s="45">
        <v>0</v>
      </c>
      <c r="BD601" s="45">
        <v>0</v>
      </c>
      <c r="BE601" s="45">
        <v>0</v>
      </c>
      <c r="BF601" s="45">
        <v>0</v>
      </c>
      <c r="BG601" s="45">
        <v>0</v>
      </c>
    </row>
    <row r="602" spans="1:59">
      <c r="A602" s="18" t="s">
        <v>258</v>
      </c>
      <c r="B602" s="18" t="s">
        <v>162</v>
      </c>
      <c r="C602" s="18" t="s">
        <v>212</v>
      </c>
      <c r="D602" s="45">
        <v>0</v>
      </c>
      <c r="E602" s="45">
        <v>0</v>
      </c>
      <c r="F602" s="45">
        <v>0</v>
      </c>
      <c r="G602" s="45">
        <v>0</v>
      </c>
      <c r="H602" s="45">
        <v>0</v>
      </c>
      <c r="I602" s="45">
        <v>10.5</v>
      </c>
      <c r="J602" s="45">
        <v>3</v>
      </c>
      <c r="K602" s="45">
        <v>2.2</v>
      </c>
      <c r="L602" s="45">
        <v>2.2</v>
      </c>
      <c r="M602" s="45">
        <v>2</v>
      </c>
      <c r="N602" s="45">
        <v>2.9</v>
      </c>
      <c r="O602" s="45">
        <v>3.2</v>
      </c>
      <c r="P602" s="45">
        <v>3.5</v>
      </c>
      <c r="Q602" s="45">
        <v>3.7</v>
      </c>
      <c r="R602" s="45">
        <v>4.4</v>
      </c>
      <c r="S602" s="45">
        <v>4.6</v>
      </c>
      <c r="T602" s="45">
        <v>4.7</v>
      </c>
      <c r="U602" s="45">
        <v>4.5</v>
      </c>
      <c r="V602" s="45">
        <v>4.8</v>
      </c>
      <c r="W602" s="45">
        <v>3.3</v>
      </c>
      <c r="X602" s="45">
        <v>3</v>
      </c>
      <c r="Y602" s="45">
        <v>2.2</v>
      </c>
      <c r="Z602" s="45">
        <v>2.7</v>
      </c>
      <c r="AA602" s="45">
        <v>2.2</v>
      </c>
      <c r="AB602" s="45">
        <v>2</v>
      </c>
      <c r="AC602" s="45">
        <v>3.1</v>
      </c>
      <c r="AD602" s="45">
        <v>3.2</v>
      </c>
      <c r="AE602" s="45">
        <v>3.7</v>
      </c>
      <c r="AF602" s="45">
        <v>4.5</v>
      </c>
      <c r="AG602" s="45">
        <v>3.7</v>
      </c>
      <c r="AH602" s="45">
        <v>3.7</v>
      </c>
      <c r="AI602" s="45">
        <v>4.2</v>
      </c>
      <c r="AJ602" s="45">
        <v>4</v>
      </c>
      <c r="AK602" s="45">
        <v>3.6</v>
      </c>
      <c r="AL602" s="45">
        <v>2.7</v>
      </c>
      <c r="AM602" s="45">
        <v>2.8</v>
      </c>
      <c r="AN602" s="45">
        <v>2.9</v>
      </c>
      <c r="AO602" s="45">
        <v>3.3</v>
      </c>
      <c r="AP602" s="45">
        <v>2.8</v>
      </c>
      <c r="AQ602" s="45">
        <v>3.2</v>
      </c>
      <c r="AR602" s="45">
        <v>2.3</v>
      </c>
      <c r="AS602" s="45">
        <v>1.1</v>
      </c>
      <c r="AT602" s="45">
        <v>0</v>
      </c>
      <c r="AU602" s="45">
        <v>0</v>
      </c>
      <c r="AV602" s="45">
        <v>0</v>
      </c>
      <c r="AW602" s="45">
        <v>0</v>
      </c>
      <c r="AX602" s="45">
        <v>0</v>
      </c>
      <c r="AY602" s="45">
        <v>0</v>
      </c>
      <c r="AZ602" s="45">
        <v>0</v>
      </c>
      <c r="BA602" s="45">
        <v>0</v>
      </c>
      <c r="BB602" s="45">
        <v>0</v>
      </c>
      <c r="BC602" s="45">
        <v>0</v>
      </c>
      <c r="BD602" s="45">
        <v>0</v>
      </c>
      <c r="BE602" s="45">
        <v>0</v>
      </c>
      <c r="BF602" s="45">
        <v>0</v>
      </c>
      <c r="BG602" s="45">
        <v>0</v>
      </c>
    </row>
    <row r="603" spans="1:59">
      <c r="A603" s="18" t="s">
        <v>259</v>
      </c>
      <c r="B603" s="18" t="s">
        <v>162</v>
      </c>
      <c r="C603" s="18" t="s">
        <v>214</v>
      </c>
      <c r="D603" s="45">
        <v>0</v>
      </c>
      <c r="E603" s="45">
        <v>0</v>
      </c>
      <c r="F603" s="45">
        <v>0</v>
      </c>
      <c r="G603" s="45">
        <v>0</v>
      </c>
      <c r="H603" s="45">
        <v>0</v>
      </c>
      <c r="I603" s="45">
        <v>6.8</v>
      </c>
      <c r="J603" s="45">
        <v>2.2</v>
      </c>
      <c r="K603" s="45">
        <v>1</v>
      </c>
      <c r="L603" s="45">
        <v>1.6</v>
      </c>
      <c r="M603" s="45">
        <v>2.3</v>
      </c>
      <c r="N603" s="45">
        <v>3</v>
      </c>
      <c r="O603" s="45">
        <v>3.3</v>
      </c>
      <c r="P603" s="45">
        <v>2.7</v>
      </c>
      <c r="Q603" s="45">
        <v>3.2</v>
      </c>
      <c r="R603" s="45">
        <v>3.3</v>
      </c>
      <c r="S603" s="45">
        <v>2.6</v>
      </c>
      <c r="T603" s="45">
        <v>2.7</v>
      </c>
      <c r="U603" s="45">
        <v>2.8</v>
      </c>
      <c r="V603" s="45">
        <v>2.6</v>
      </c>
      <c r="W603" s="45">
        <v>2.9</v>
      </c>
      <c r="X603" s="45">
        <v>2.6</v>
      </c>
      <c r="Y603" s="45">
        <v>2.2</v>
      </c>
      <c r="Z603" s="45">
        <v>2.3</v>
      </c>
      <c r="AA603" s="45">
        <v>1.9</v>
      </c>
      <c r="AB603" s="45">
        <v>2.3</v>
      </c>
      <c r="AC603" s="45">
        <v>3.5</v>
      </c>
      <c r="AD603" s="45">
        <v>3.4</v>
      </c>
      <c r="AE603" s="45">
        <v>4.1</v>
      </c>
      <c r="AF603" s="45">
        <v>3.9</v>
      </c>
      <c r="AG603" s="45">
        <v>3.8</v>
      </c>
      <c r="AH603" s="45">
        <v>4.2</v>
      </c>
      <c r="AI603" s="45">
        <v>3.3</v>
      </c>
      <c r="AJ603" s="45">
        <v>2.8</v>
      </c>
      <c r="AK603" s="45">
        <v>2.4</v>
      </c>
      <c r="AL603" s="45">
        <v>3</v>
      </c>
      <c r="AM603" s="45">
        <v>3.5</v>
      </c>
      <c r="AN603" s="45">
        <v>2.6</v>
      </c>
      <c r="AO603" s="45">
        <v>2.7</v>
      </c>
      <c r="AP603" s="45">
        <v>2.1</v>
      </c>
      <c r="AQ603" s="45">
        <v>2.6</v>
      </c>
      <c r="AR603" s="45">
        <v>1</v>
      </c>
      <c r="AS603" s="45">
        <v>0.8</v>
      </c>
      <c r="AT603" s="45">
        <v>0</v>
      </c>
      <c r="AU603" s="45">
        <v>0</v>
      </c>
      <c r="AV603" s="45">
        <v>0</v>
      </c>
      <c r="AW603" s="45">
        <v>0</v>
      </c>
      <c r="AX603" s="45">
        <v>0</v>
      </c>
      <c r="AY603" s="45">
        <v>0</v>
      </c>
      <c r="AZ603" s="45">
        <v>0</v>
      </c>
      <c r="BA603" s="45">
        <v>0</v>
      </c>
      <c r="BB603" s="45">
        <v>0</v>
      </c>
      <c r="BC603" s="45">
        <v>0</v>
      </c>
      <c r="BD603" s="45">
        <v>0</v>
      </c>
      <c r="BE603" s="45">
        <v>0</v>
      </c>
      <c r="BF603" s="45">
        <v>0</v>
      </c>
      <c r="BG603" s="45">
        <v>0</v>
      </c>
    </row>
    <row r="604" spans="1:59">
      <c r="A604" s="18" t="s">
        <v>260</v>
      </c>
      <c r="B604" s="18" t="s">
        <v>162</v>
      </c>
      <c r="C604" s="18" t="s">
        <v>216</v>
      </c>
      <c r="D604" s="45">
        <v>0</v>
      </c>
      <c r="E604" s="45">
        <v>0</v>
      </c>
      <c r="F604" s="45">
        <v>0</v>
      </c>
      <c r="G604" s="45">
        <v>0</v>
      </c>
      <c r="H604" s="45">
        <v>0</v>
      </c>
      <c r="I604" s="45">
        <v>0</v>
      </c>
      <c r="J604" s="45">
        <v>3.2</v>
      </c>
      <c r="K604" s="45">
        <v>1.5</v>
      </c>
      <c r="L604" s="45">
        <v>1.7</v>
      </c>
      <c r="M604" s="45">
        <v>2.7</v>
      </c>
      <c r="N604" s="45">
        <v>3.8</v>
      </c>
      <c r="O604" s="45">
        <v>2.5</v>
      </c>
      <c r="P604" s="45">
        <v>3.5</v>
      </c>
      <c r="Q604" s="45">
        <v>3.2</v>
      </c>
      <c r="R604" s="45">
        <v>3.1</v>
      </c>
      <c r="S604" s="45">
        <v>2.7</v>
      </c>
      <c r="T604" s="45">
        <v>3.3</v>
      </c>
      <c r="U604" s="45">
        <v>3.2</v>
      </c>
      <c r="V604" s="45">
        <v>3.5</v>
      </c>
      <c r="W604" s="45">
        <v>2.9</v>
      </c>
      <c r="X604" s="45">
        <v>2.1</v>
      </c>
      <c r="Y604" s="45">
        <v>2.7</v>
      </c>
      <c r="Z604" s="45">
        <v>2.3</v>
      </c>
      <c r="AA604" s="45">
        <v>1.8</v>
      </c>
      <c r="AB604" s="45">
        <v>1.8</v>
      </c>
      <c r="AC604" s="45">
        <v>3</v>
      </c>
      <c r="AD604" s="45">
        <v>3.7</v>
      </c>
      <c r="AE604" s="45">
        <v>3.4</v>
      </c>
      <c r="AF604" s="45">
        <v>4.7</v>
      </c>
      <c r="AG604" s="45">
        <v>3.4</v>
      </c>
      <c r="AH604" s="45">
        <v>3.7</v>
      </c>
      <c r="AI604" s="45">
        <v>4.3</v>
      </c>
      <c r="AJ604" s="45">
        <v>3.9</v>
      </c>
      <c r="AK604" s="45">
        <v>3.9</v>
      </c>
      <c r="AL604" s="45">
        <v>3.6</v>
      </c>
      <c r="AM604" s="45">
        <v>4.7</v>
      </c>
      <c r="AN604" s="45">
        <v>4</v>
      </c>
      <c r="AO604" s="45">
        <v>5</v>
      </c>
      <c r="AP604" s="45">
        <v>4.7</v>
      </c>
      <c r="AQ604" s="45">
        <v>3.5</v>
      </c>
      <c r="AR604" s="45">
        <v>2.4</v>
      </c>
      <c r="AS604" s="45">
        <v>1</v>
      </c>
      <c r="AT604" s="45">
        <v>0</v>
      </c>
      <c r="AU604" s="45">
        <v>0</v>
      </c>
      <c r="AV604" s="45">
        <v>0</v>
      </c>
      <c r="AW604" s="45">
        <v>0</v>
      </c>
      <c r="AX604" s="45">
        <v>0</v>
      </c>
      <c r="AY604" s="45">
        <v>0</v>
      </c>
      <c r="AZ604" s="45">
        <v>0</v>
      </c>
      <c r="BA604" s="45">
        <v>0</v>
      </c>
      <c r="BB604" s="45">
        <v>0</v>
      </c>
      <c r="BC604" s="45">
        <v>0</v>
      </c>
      <c r="BD604" s="45">
        <v>0</v>
      </c>
      <c r="BE604" s="45">
        <v>0</v>
      </c>
      <c r="BF604" s="45">
        <v>0</v>
      </c>
      <c r="BG604" s="45">
        <v>0</v>
      </c>
    </row>
    <row r="605" spans="1:59">
      <c r="A605" s="18" t="s">
        <v>261</v>
      </c>
      <c r="B605" s="18" t="s">
        <v>162</v>
      </c>
      <c r="C605" s="18" t="s">
        <v>218</v>
      </c>
      <c r="D605" s="45">
        <v>0</v>
      </c>
      <c r="E605" s="45">
        <v>0</v>
      </c>
      <c r="F605" s="45">
        <v>0</v>
      </c>
      <c r="G605" s="45">
        <v>0</v>
      </c>
      <c r="H605" s="45">
        <v>0</v>
      </c>
      <c r="I605" s="45">
        <v>0</v>
      </c>
      <c r="J605" s="45">
        <v>0</v>
      </c>
      <c r="K605" s="45">
        <v>0</v>
      </c>
      <c r="L605" s="45">
        <v>0</v>
      </c>
      <c r="M605" s="45">
        <v>0</v>
      </c>
      <c r="N605" s="45">
        <v>0</v>
      </c>
      <c r="O605" s="45">
        <v>0</v>
      </c>
      <c r="P605" s="45">
        <v>0</v>
      </c>
      <c r="Q605" s="45">
        <v>0</v>
      </c>
      <c r="R605" s="45">
        <v>0</v>
      </c>
      <c r="S605" s="45">
        <v>0</v>
      </c>
      <c r="T605" s="45">
        <v>0</v>
      </c>
      <c r="U605" s="45">
        <v>0</v>
      </c>
      <c r="V605" s="45">
        <v>0</v>
      </c>
      <c r="W605" s="45">
        <v>0</v>
      </c>
      <c r="X605" s="45">
        <v>0</v>
      </c>
      <c r="Y605" s="45">
        <v>0</v>
      </c>
      <c r="Z605" s="45">
        <v>0</v>
      </c>
      <c r="AA605" s="45">
        <v>0</v>
      </c>
      <c r="AB605" s="45">
        <v>0</v>
      </c>
      <c r="AC605" s="45">
        <v>0</v>
      </c>
      <c r="AD605" s="45">
        <v>0</v>
      </c>
      <c r="AE605" s="45">
        <v>0</v>
      </c>
      <c r="AF605" s="45">
        <v>0</v>
      </c>
      <c r="AG605" s="45">
        <v>0</v>
      </c>
      <c r="AH605" s="45">
        <v>0</v>
      </c>
      <c r="AI605" s="45">
        <v>0</v>
      </c>
      <c r="AJ605" s="45">
        <v>0</v>
      </c>
      <c r="AK605" s="45">
        <v>0</v>
      </c>
      <c r="AL605" s="45">
        <v>0</v>
      </c>
      <c r="AM605" s="45">
        <v>0</v>
      </c>
      <c r="AN605" s="45">
        <v>0</v>
      </c>
      <c r="AO605" s="45">
        <v>0</v>
      </c>
      <c r="AP605" s="45">
        <v>0</v>
      </c>
      <c r="AQ605" s="45">
        <v>0</v>
      </c>
      <c r="AR605" s="45">
        <v>0</v>
      </c>
      <c r="AS605" s="45">
        <v>0</v>
      </c>
      <c r="AT605" s="45">
        <v>0</v>
      </c>
      <c r="AU605" s="45">
        <v>0</v>
      </c>
      <c r="AV605" s="45">
        <v>0</v>
      </c>
      <c r="AW605" s="45">
        <v>0</v>
      </c>
      <c r="AX605" s="45">
        <v>0</v>
      </c>
      <c r="AY605" s="45">
        <v>0</v>
      </c>
      <c r="AZ605" s="45">
        <v>0</v>
      </c>
      <c r="BA605" s="45">
        <v>0</v>
      </c>
      <c r="BB605" s="45">
        <v>0</v>
      </c>
      <c r="BC605" s="45">
        <v>0</v>
      </c>
      <c r="BD605" s="45">
        <v>0</v>
      </c>
      <c r="BE605" s="45">
        <v>0</v>
      </c>
      <c r="BF605" s="45">
        <v>0</v>
      </c>
      <c r="BG605" s="45">
        <v>0</v>
      </c>
    </row>
    <row r="606" spans="1:59">
      <c r="A606" s="18" t="s">
        <v>262</v>
      </c>
      <c r="B606" s="18" t="s">
        <v>162</v>
      </c>
      <c r="C606" s="18" t="s">
        <v>220</v>
      </c>
      <c r="D606" s="45">
        <v>0</v>
      </c>
      <c r="E606" s="45">
        <v>0</v>
      </c>
      <c r="F606" s="45">
        <v>0</v>
      </c>
      <c r="G606" s="45">
        <v>0</v>
      </c>
      <c r="H606" s="45">
        <v>0</v>
      </c>
      <c r="I606" s="45">
        <v>0</v>
      </c>
      <c r="J606" s="45">
        <v>0</v>
      </c>
      <c r="K606" s="45">
        <v>0</v>
      </c>
      <c r="L606" s="45">
        <v>0</v>
      </c>
      <c r="M606" s="45">
        <v>0</v>
      </c>
      <c r="N606" s="45">
        <v>0</v>
      </c>
      <c r="O606" s="45">
        <v>0</v>
      </c>
      <c r="P606" s="45">
        <v>0</v>
      </c>
      <c r="Q606" s="45">
        <v>0</v>
      </c>
      <c r="R606" s="45">
        <v>0</v>
      </c>
      <c r="S606" s="45">
        <v>0</v>
      </c>
      <c r="T606" s="45">
        <v>0</v>
      </c>
      <c r="U606" s="45">
        <v>0</v>
      </c>
      <c r="V606" s="45">
        <v>0</v>
      </c>
      <c r="W606" s="45">
        <v>0</v>
      </c>
      <c r="X606" s="45">
        <v>0</v>
      </c>
      <c r="Y606" s="45">
        <v>0</v>
      </c>
      <c r="Z606" s="45">
        <v>0</v>
      </c>
      <c r="AA606" s="45">
        <v>0</v>
      </c>
      <c r="AB606" s="45">
        <v>0</v>
      </c>
      <c r="AC606" s="45">
        <v>0</v>
      </c>
      <c r="AD606" s="45">
        <v>0</v>
      </c>
      <c r="AE606" s="45">
        <v>0</v>
      </c>
      <c r="AF606" s="45">
        <v>0</v>
      </c>
      <c r="AG606" s="45">
        <v>0</v>
      </c>
      <c r="AH606" s="45">
        <v>0</v>
      </c>
      <c r="AI606" s="45">
        <v>0</v>
      </c>
      <c r="AJ606" s="45">
        <v>0</v>
      </c>
      <c r="AK606" s="45">
        <v>0</v>
      </c>
      <c r="AL606" s="45">
        <v>0</v>
      </c>
      <c r="AM606" s="45">
        <v>0</v>
      </c>
      <c r="AN606" s="45">
        <v>0</v>
      </c>
      <c r="AO606" s="45">
        <v>0</v>
      </c>
      <c r="AP606" s="45">
        <v>0</v>
      </c>
      <c r="AQ606" s="45">
        <v>0</v>
      </c>
      <c r="AR606" s="45">
        <v>0</v>
      </c>
      <c r="AS606" s="45">
        <v>0</v>
      </c>
      <c r="AT606" s="45">
        <v>0</v>
      </c>
      <c r="AU606" s="45">
        <v>0</v>
      </c>
      <c r="AV606" s="45">
        <v>0</v>
      </c>
      <c r="AW606" s="45">
        <v>0</v>
      </c>
      <c r="AX606" s="45">
        <v>0</v>
      </c>
      <c r="AY606" s="45">
        <v>0</v>
      </c>
      <c r="AZ606" s="45">
        <v>0</v>
      </c>
      <c r="BA606" s="45">
        <v>0</v>
      </c>
      <c r="BB606" s="45">
        <v>0</v>
      </c>
      <c r="BC606" s="45">
        <v>0</v>
      </c>
      <c r="BD606" s="45">
        <v>0</v>
      </c>
      <c r="BE606" s="45">
        <v>0</v>
      </c>
      <c r="BF606" s="45">
        <v>0</v>
      </c>
      <c r="BG606" s="45">
        <v>0</v>
      </c>
    </row>
    <row r="607" spans="1:59">
      <c r="A607" s="18" t="s">
        <v>263</v>
      </c>
      <c r="B607" s="18" t="s">
        <v>176</v>
      </c>
      <c r="C607" s="18" t="s">
        <v>5</v>
      </c>
      <c r="D607" s="45">
        <v>0</v>
      </c>
      <c r="E607" s="45">
        <v>0</v>
      </c>
      <c r="F607" s="45">
        <v>0</v>
      </c>
      <c r="G607" s="45">
        <v>0</v>
      </c>
      <c r="H607" s="45">
        <v>0</v>
      </c>
      <c r="I607" s="45">
        <v>5.3</v>
      </c>
      <c r="J607" s="45">
        <v>1.1</v>
      </c>
      <c r="K607" s="45">
        <v>2.2</v>
      </c>
      <c r="L607" s="45">
        <v>2.4</v>
      </c>
      <c r="M607" s="45">
        <v>2.9</v>
      </c>
      <c r="N607" s="45">
        <v>3.3</v>
      </c>
      <c r="O607" s="45">
        <v>6.3</v>
      </c>
      <c r="P607" s="45">
        <v>4.9</v>
      </c>
      <c r="Q607" s="45">
        <v>4.3</v>
      </c>
      <c r="R607" s="45">
        <v>5.3</v>
      </c>
      <c r="S607" s="45">
        <v>4.3</v>
      </c>
      <c r="T607" s="45">
        <v>4.5</v>
      </c>
      <c r="U607" s="45">
        <v>4.3</v>
      </c>
      <c r="V607" s="45">
        <v>4</v>
      </c>
      <c r="W607" s="45">
        <v>3.9</v>
      </c>
      <c r="X607" s="45">
        <v>6</v>
      </c>
      <c r="Y607" s="45">
        <v>5</v>
      </c>
      <c r="Z607" s="45">
        <v>3.9</v>
      </c>
      <c r="AA607" s="45">
        <v>3.1</v>
      </c>
      <c r="AB607" s="45">
        <v>3.7</v>
      </c>
      <c r="AC607" s="45">
        <v>4.3</v>
      </c>
      <c r="AD607" s="45">
        <v>4.4</v>
      </c>
      <c r="AE607" s="45">
        <v>3.3</v>
      </c>
      <c r="AF607" s="45">
        <v>4.3</v>
      </c>
      <c r="AG607" s="45">
        <v>3.5</v>
      </c>
      <c r="AH607" s="45">
        <v>3.5</v>
      </c>
      <c r="AI607" s="45">
        <v>4.1</v>
      </c>
      <c r="AJ607" s="45">
        <v>2.9</v>
      </c>
      <c r="AK607" s="45">
        <v>2.9</v>
      </c>
      <c r="AL607" s="45">
        <v>2.2</v>
      </c>
      <c r="AM607" s="45">
        <v>2.4</v>
      </c>
      <c r="AN607" s="45">
        <v>3.2</v>
      </c>
      <c r="AO607" s="45">
        <v>2.5</v>
      </c>
      <c r="AP607" s="45">
        <v>2.4</v>
      </c>
      <c r="AQ607" s="45">
        <v>2.3</v>
      </c>
      <c r="AR607" s="45">
        <v>0.5</v>
      </c>
      <c r="AS607" s="45">
        <v>0</v>
      </c>
      <c r="AT607" s="45">
        <v>0</v>
      </c>
      <c r="AU607" s="45">
        <v>0</v>
      </c>
      <c r="AV607" s="45">
        <v>0</v>
      </c>
      <c r="AW607" s="45">
        <v>0</v>
      </c>
      <c r="AX607" s="45">
        <v>0</v>
      </c>
      <c r="AY607" s="45">
        <v>0</v>
      </c>
      <c r="AZ607" s="45">
        <v>0</v>
      </c>
      <c r="BA607" s="45">
        <v>0</v>
      </c>
      <c r="BB607" s="45">
        <v>0</v>
      </c>
      <c r="BC607" s="45">
        <v>0</v>
      </c>
      <c r="BD607" s="45">
        <v>0</v>
      </c>
      <c r="BE607" s="45">
        <v>0</v>
      </c>
      <c r="BF607" s="45">
        <v>0</v>
      </c>
      <c r="BG607" s="45">
        <v>0</v>
      </c>
    </row>
    <row r="608" spans="1:59">
      <c r="A608" s="18" t="s">
        <v>264</v>
      </c>
      <c r="B608" s="18" t="s">
        <v>176</v>
      </c>
      <c r="C608" s="18" t="s">
        <v>210</v>
      </c>
      <c r="D608" s="45">
        <v>0</v>
      </c>
      <c r="E608" s="45">
        <v>0</v>
      </c>
      <c r="F608" s="45">
        <v>0</v>
      </c>
      <c r="G608" s="45">
        <v>0</v>
      </c>
      <c r="H608" s="45">
        <v>0</v>
      </c>
      <c r="I608" s="45">
        <v>4.5</v>
      </c>
      <c r="J608" s="45">
        <v>0.8</v>
      </c>
      <c r="K608" s="45">
        <v>0.9</v>
      </c>
      <c r="L608" s="45">
        <v>1.3</v>
      </c>
      <c r="M608" s="45">
        <v>1.6</v>
      </c>
      <c r="N608" s="45">
        <v>1.6</v>
      </c>
      <c r="O608" s="45">
        <v>1.1</v>
      </c>
      <c r="P608" s="45">
        <v>2.1</v>
      </c>
      <c r="Q608" s="45">
        <v>1.8</v>
      </c>
      <c r="R608" s="45">
        <v>2</v>
      </c>
      <c r="S608" s="45">
        <v>2.6</v>
      </c>
      <c r="T608" s="45">
        <v>2.8</v>
      </c>
      <c r="U608" s="45">
        <v>2.9</v>
      </c>
      <c r="V608" s="45">
        <v>2.4</v>
      </c>
      <c r="W608" s="45">
        <v>2.5</v>
      </c>
      <c r="X608" s="45">
        <v>2.4</v>
      </c>
      <c r="Y608" s="45">
        <v>2.3</v>
      </c>
      <c r="Z608" s="45">
        <v>2</v>
      </c>
      <c r="AA608" s="45">
        <v>1.1</v>
      </c>
      <c r="AB608" s="45">
        <v>1.7</v>
      </c>
      <c r="AC608" s="45">
        <v>2.1</v>
      </c>
      <c r="AD608" s="45">
        <v>3.1</v>
      </c>
      <c r="AE608" s="45">
        <v>2.9</v>
      </c>
      <c r="AF608" s="45">
        <v>2.3</v>
      </c>
      <c r="AG608" s="45">
        <v>2</v>
      </c>
      <c r="AH608" s="45">
        <v>1.6</v>
      </c>
      <c r="AI608" s="45">
        <v>1.8</v>
      </c>
      <c r="AJ608" s="45">
        <v>2</v>
      </c>
      <c r="AK608" s="45">
        <v>2.1</v>
      </c>
      <c r="AL608" s="45">
        <v>2.4</v>
      </c>
      <c r="AM608" s="45">
        <v>2.3</v>
      </c>
      <c r="AN608" s="45">
        <v>2</v>
      </c>
      <c r="AO608" s="45">
        <v>2.4</v>
      </c>
      <c r="AP608" s="45">
        <v>2.5</v>
      </c>
      <c r="AQ608" s="45">
        <v>1.9</v>
      </c>
      <c r="AR608" s="45">
        <v>1.3</v>
      </c>
      <c r="AS608" s="45">
        <v>0</v>
      </c>
      <c r="AT608" s="45">
        <v>0</v>
      </c>
      <c r="AU608" s="45">
        <v>0</v>
      </c>
      <c r="AV608" s="45">
        <v>0</v>
      </c>
      <c r="AW608" s="45">
        <v>0</v>
      </c>
      <c r="AX608" s="45">
        <v>0</v>
      </c>
      <c r="AY608" s="45">
        <v>0</v>
      </c>
      <c r="AZ608" s="45">
        <v>0</v>
      </c>
      <c r="BA608" s="45">
        <v>0</v>
      </c>
      <c r="BB608" s="45">
        <v>0</v>
      </c>
      <c r="BC608" s="45">
        <v>0</v>
      </c>
      <c r="BD608" s="45">
        <v>0</v>
      </c>
      <c r="BE608" s="45">
        <v>0</v>
      </c>
      <c r="BF608" s="45">
        <v>0</v>
      </c>
      <c r="BG608" s="45">
        <v>0</v>
      </c>
    </row>
    <row r="609" spans="1:60">
      <c r="A609" s="18" t="s">
        <v>265</v>
      </c>
      <c r="B609" s="18" t="s">
        <v>176</v>
      </c>
      <c r="C609" s="18" t="s">
        <v>212</v>
      </c>
      <c r="D609" s="45">
        <v>0</v>
      </c>
      <c r="E609" s="45">
        <v>0</v>
      </c>
      <c r="F609" s="45">
        <v>0</v>
      </c>
      <c r="G609" s="45">
        <v>0</v>
      </c>
      <c r="H609" s="45">
        <v>0</v>
      </c>
      <c r="I609" s="45">
        <v>3.7</v>
      </c>
      <c r="J609" s="45">
        <v>1.1</v>
      </c>
      <c r="K609" s="45">
        <v>1.6</v>
      </c>
      <c r="L609" s="45">
        <v>1.3</v>
      </c>
      <c r="M609" s="45">
        <v>1.5</v>
      </c>
      <c r="N609" s="45">
        <v>2</v>
      </c>
      <c r="O609" s="45">
        <v>1.8</v>
      </c>
      <c r="P609" s="45">
        <v>1.9</v>
      </c>
      <c r="Q609" s="45">
        <v>2.1</v>
      </c>
      <c r="R609" s="45">
        <v>2.4</v>
      </c>
      <c r="S609" s="45">
        <v>2.1</v>
      </c>
      <c r="T609" s="45">
        <v>2</v>
      </c>
      <c r="U609" s="45">
        <v>1.6</v>
      </c>
      <c r="V609" s="45">
        <v>2.1</v>
      </c>
      <c r="W609" s="45">
        <v>1.6</v>
      </c>
      <c r="X609" s="45">
        <v>3</v>
      </c>
      <c r="Y609" s="45">
        <v>2.4</v>
      </c>
      <c r="Z609" s="45">
        <v>1.8</v>
      </c>
      <c r="AA609" s="45">
        <v>1.3</v>
      </c>
      <c r="AB609" s="45">
        <v>2.7</v>
      </c>
      <c r="AC609" s="45">
        <v>2.6</v>
      </c>
      <c r="AD609" s="45">
        <v>3</v>
      </c>
      <c r="AE609" s="45">
        <v>1.7</v>
      </c>
      <c r="AF609" s="45">
        <v>1.8</v>
      </c>
      <c r="AG609" s="45">
        <v>1.7</v>
      </c>
      <c r="AH609" s="45">
        <v>1.4</v>
      </c>
      <c r="AI609" s="45">
        <v>1.6</v>
      </c>
      <c r="AJ609" s="45">
        <v>1.1</v>
      </c>
      <c r="AK609" s="45">
        <v>1.6</v>
      </c>
      <c r="AL609" s="45">
        <v>1.4</v>
      </c>
      <c r="AM609" s="45">
        <v>1.9</v>
      </c>
      <c r="AN609" s="45">
        <v>1.7</v>
      </c>
      <c r="AO609" s="45">
        <v>1.4</v>
      </c>
      <c r="AP609" s="45">
        <v>2</v>
      </c>
      <c r="AQ609" s="45">
        <v>1.2</v>
      </c>
      <c r="AR609" s="45">
        <v>0.4</v>
      </c>
      <c r="AS609" s="45">
        <v>0</v>
      </c>
      <c r="AT609" s="45">
        <v>0</v>
      </c>
      <c r="AU609" s="45">
        <v>0</v>
      </c>
      <c r="AV609" s="45">
        <v>0</v>
      </c>
      <c r="AW609" s="45">
        <v>0</v>
      </c>
      <c r="AX609" s="45">
        <v>0</v>
      </c>
      <c r="AY609" s="45">
        <v>0</v>
      </c>
      <c r="AZ609" s="45">
        <v>0</v>
      </c>
      <c r="BA609" s="45">
        <v>0</v>
      </c>
      <c r="BB609" s="45">
        <v>0</v>
      </c>
      <c r="BC609" s="45">
        <v>0</v>
      </c>
      <c r="BD609" s="45">
        <v>0</v>
      </c>
      <c r="BE609" s="45">
        <v>0</v>
      </c>
      <c r="BF609" s="45">
        <v>0</v>
      </c>
      <c r="BG609" s="45">
        <v>0</v>
      </c>
    </row>
    <row r="610" spans="1:60">
      <c r="A610" s="18" t="s">
        <v>266</v>
      </c>
      <c r="B610" s="18" t="s">
        <v>176</v>
      </c>
      <c r="C610" s="18" t="s">
        <v>214</v>
      </c>
      <c r="D610" s="45">
        <v>0</v>
      </c>
      <c r="E610" s="45">
        <v>0</v>
      </c>
      <c r="F610" s="45">
        <v>0</v>
      </c>
      <c r="G610" s="45">
        <v>0</v>
      </c>
      <c r="H610" s="45">
        <v>0</v>
      </c>
      <c r="I610" s="45">
        <v>3.5</v>
      </c>
      <c r="J610" s="45">
        <v>0.5</v>
      </c>
      <c r="K610" s="45">
        <v>0.8</v>
      </c>
      <c r="L610" s="45">
        <v>1</v>
      </c>
      <c r="M610" s="45">
        <v>1.3</v>
      </c>
      <c r="N610" s="45">
        <v>1.3</v>
      </c>
      <c r="O610" s="45">
        <v>2.7</v>
      </c>
      <c r="P610" s="45">
        <v>1.8</v>
      </c>
      <c r="Q610" s="45">
        <v>1.9</v>
      </c>
      <c r="R610" s="45">
        <v>1.5</v>
      </c>
      <c r="S610" s="45">
        <v>2.3</v>
      </c>
      <c r="T610" s="45">
        <v>1.8</v>
      </c>
      <c r="U610" s="45">
        <v>1.9</v>
      </c>
      <c r="V610" s="45">
        <v>1.3</v>
      </c>
      <c r="W610" s="45">
        <v>1.3</v>
      </c>
      <c r="X610" s="45">
        <v>2.1</v>
      </c>
      <c r="Y610" s="45">
        <v>2.6</v>
      </c>
      <c r="Z610" s="45">
        <v>1.9</v>
      </c>
      <c r="AA610" s="45">
        <v>0.9</v>
      </c>
      <c r="AB610" s="45">
        <v>1.4</v>
      </c>
      <c r="AC610" s="45">
        <v>1.8</v>
      </c>
      <c r="AD610" s="45">
        <v>2.6</v>
      </c>
      <c r="AE610" s="45">
        <v>2</v>
      </c>
      <c r="AF610" s="45">
        <v>1.3</v>
      </c>
      <c r="AG610" s="45">
        <v>1.9</v>
      </c>
      <c r="AH610" s="45">
        <v>1.8</v>
      </c>
      <c r="AI610" s="45">
        <v>1.6</v>
      </c>
      <c r="AJ610" s="45">
        <v>2</v>
      </c>
      <c r="AK610" s="45">
        <v>1.6</v>
      </c>
      <c r="AL610" s="45">
        <v>1.9</v>
      </c>
      <c r="AM610" s="45">
        <v>1.7</v>
      </c>
      <c r="AN610" s="45">
        <v>1.3</v>
      </c>
      <c r="AO610" s="45">
        <v>1.2</v>
      </c>
      <c r="AP610" s="45">
        <v>1.8</v>
      </c>
      <c r="AQ610" s="45">
        <v>0.9</v>
      </c>
      <c r="AR610" s="45">
        <v>0.4</v>
      </c>
      <c r="AS610" s="45">
        <v>0</v>
      </c>
      <c r="AT610" s="45">
        <v>0</v>
      </c>
      <c r="AU610" s="45">
        <v>0</v>
      </c>
      <c r="AV610" s="45">
        <v>0</v>
      </c>
      <c r="AW610" s="45">
        <v>0</v>
      </c>
      <c r="AX610" s="45">
        <v>0</v>
      </c>
      <c r="AY610" s="45">
        <v>0</v>
      </c>
      <c r="AZ610" s="45">
        <v>0</v>
      </c>
      <c r="BA610" s="45">
        <v>0</v>
      </c>
      <c r="BB610" s="45">
        <v>0</v>
      </c>
      <c r="BC610" s="45">
        <v>0</v>
      </c>
      <c r="BD610" s="45">
        <v>0</v>
      </c>
      <c r="BE610" s="45">
        <v>0</v>
      </c>
      <c r="BF610" s="45">
        <v>0</v>
      </c>
      <c r="BG610" s="45">
        <v>0</v>
      </c>
    </row>
    <row r="611" spans="1:60">
      <c r="A611" s="18" t="s">
        <v>267</v>
      </c>
      <c r="B611" s="18" t="s">
        <v>176</v>
      </c>
      <c r="C611" s="18" t="s">
        <v>216</v>
      </c>
      <c r="D611" s="45">
        <v>0</v>
      </c>
      <c r="E611" s="45">
        <v>0</v>
      </c>
      <c r="F611" s="45">
        <v>0</v>
      </c>
      <c r="G611" s="45">
        <v>0</v>
      </c>
      <c r="H611" s="45">
        <v>0</v>
      </c>
      <c r="I611" s="45">
        <v>3.8</v>
      </c>
      <c r="J611" s="45">
        <v>1.4</v>
      </c>
      <c r="K611" s="45">
        <v>1.7</v>
      </c>
      <c r="L611" s="45">
        <v>1.3</v>
      </c>
      <c r="M611" s="45">
        <v>1.6</v>
      </c>
      <c r="N611" s="45">
        <v>3.1</v>
      </c>
      <c r="O611" s="45">
        <v>3.5</v>
      </c>
      <c r="P611" s="45">
        <v>2.7</v>
      </c>
      <c r="Q611" s="45">
        <v>1.3</v>
      </c>
      <c r="R611" s="45">
        <v>1.9</v>
      </c>
      <c r="S611" s="45">
        <v>2.9</v>
      </c>
      <c r="T611" s="45">
        <v>2.8</v>
      </c>
      <c r="U611" s="45">
        <v>1.5</v>
      </c>
      <c r="V611" s="45">
        <v>2.6</v>
      </c>
      <c r="W611" s="45">
        <v>1.2</v>
      </c>
      <c r="X611" s="45">
        <v>1.8</v>
      </c>
      <c r="Y611" s="45">
        <v>2.1</v>
      </c>
      <c r="Z611" s="45">
        <v>1.2</v>
      </c>
      <c r="AA611" s="45">
        <v>1.1</v>
      </c>
      <c r="AB611" s="45">
        <v>1.9</v>
      </c>
      <c r="AC611" s="45">
        <v>2.5</v>
      </c>
      <c r="AD611" s="45">
        <v>5.1</v>
      </c>
      <c r="AE611" s="45">
        <v>1.8</v>
      </c>
      <c r="AF611" s="45">
        <v>2.5</v>
      </c>
      <c r="AG611" s="45">
        <v>2.3</v>
      </c>
      <c r="AH611" s="45">
        <v>2.1</v>
      </c>
      <c r="AI611" s="45">
        <v>1.8</v>
      </c>
      <c r="AJ611" s="45">
        <v>2.2</v>
      </c>
      <c r="AK611" s="45">
        <v>1.7</v>
      </c>
      <c r="AL611" s="45">
        <v>1.6</v>
      </c>
      <c r="AM611" s="45">
        <v>1.6</v>
      </c>
      <c r="AN611" s="45">
        <v>1.3</v>
      </c>
      <c r="AO611" s="45">
        <v>1.9</v>
      </c>
      <c r="AP611" s="45">
        <v>1.8</v>
      </c>
      <c r="AQ611" s="45">
        <v>2.7</v>
      </c>
      <c r="AR611" s="45">
        <v>0.7</v>
      </c>
      <c r="AS611" s="45">
        <v>0</v>
      </c>
      <c r="AT611" s="45">
        <v>0</v>
      </c>
      <c r="AU611" s="45">
        <v>0</v>
      </c>
      <c r="AV611" s="45">
        <v>0</v>
      </c>
      <c r="AW611" s="45">
        <v>0</v>
      </c>
      <c r="AX611" s="45">
        <v>0</v>
      </c>
      <c r="AY611" s="45">
        <v>0</v>
      </c>
      <c r="AZ611" s="45">
        <v>0</v>
      </c>
      <c r="BA611" s="45">
        <v>0</v>
      </c>
      <c r="BB611" s="45">
        <v>0</v>
      </c>
      <c r="BC611" s="45">
        <v>0</v>
      </c>
      <c r="BD611" s="45">
        <v>0</v>
      </c>
      <c r="BE611" s="45">
        <v>0</v>
      </c>
      <c r="BF611" s="45">
        <v>0</v>
      </c>
      <c r="BG611" s="45">
        <v>0</v>
      </c>
    </row>
    <row r="612" spans="1:60">
      <c r="A612" s="18" t="s">
        <v>268</v>
      </c>
      <c r="B612" s="18" t="s">
        <v>176</v>
      </c>
      <c r="C612" s="18" t="s">
        <v>218</v>
      </c>
      <c r="D612" s="45">
        <v>0</v>
      </c>
      <c r="E612" s="45">
        <v>0</v>
      </c>
      <c r="F612" s="45">
        <v>0</v>
      </c>
      <c r="G612" s="45">
        <v>0</v>
      </c>
      <c r="H612" s="45">
        <v>0</v>
      </c>
      <c r="I612" s="45">
        <v>0</v>
      </c>
      <c r="J612" s="45">
        <v>0</v>
      </c>
      <c r="K612" s="45">
        <v>0</v>
      </c>
      <c r="L612" s="45">
        <v>0</v>
      </c>
      <c r="M612" s="45">
        <v>0</v>
      </c>
      <c r="N612" s="45">
        <v>0</v>
      </c>
      <c r="O612" s="45">
        <v>0</v>
      </c>
      <c r="P612" s="45">
        <v>0</v>
      </c>
      <c r="Q612" s="45">
        <v>0</v>
      </c>
      <c r="R612" s="45">
        <v>0</v>
      </c>
      <c r="S612" s="45">
        <v>0</v>
      </c>
      <c r="T612" s="45">
        <v>0</v>
      </c>
      <c r="U612" s="45">
        <v>0</v>
      </c>
      <c r="V612" s="45">
        <v>0</v>
      </c>
      <c r="W612" s="45">
        <v>0</v>
      </c>
      <c r="X612" s="45">
        <v>0</v>
      </c>
      <c r="Y612" s="45">
        <v>0</v>
      </c>
      <c r="Z612" s="45">
        <v>0</v>
      </c>
      <c r="AA612" s="45">
        <v>0</v>
      </c>
      <c r="AB612" s="45">
        <v>0</v>
      </c>
      <c r="AC612" s="45">
        <v>0</v>
      </c>
      <c r="AD612" s="45">
        <v>0</v>
      </c>
      <c r="AE612" s="45">
        <v>0</v>
      </c>
      <c r="AF612" s="45">
        <v>0</v>
      </c>
      <c r="AG612" s="45">
        <v>0</v>
      </c>
      <c r="AH612" s="45">
        <v>0</v>
      </c>
      <c r="AI612" s="45">
        <v>0</v>
      </c>
      <c r="AJ612" s="45">
        <v>0</v>
      </c>
      <c r="AK612" s="45">
        <v>0</v>
      </c>
      <c r="AL612" s="45">
        <v>0</v>
      </c>
      <c r="AM612" s="45">
        <v>0</v>
      </c>
      <c r="AN612" s="45">
        <v>0</v>
      </c>
      <c r="AO612" s="45">
        <v>0</v>
      </c>
      <c r="AP612" s="45">
        <v>0</v>
      </c>
      <c r="AQ612" s="45">
        <v>0</v>
      </c>
      <c r="AR612" s="45">
        <v>0</v>
      </c>
      <c r="AS612" s="45">
        <v>0</v>
      </c>
      <c r="AT612" s="45">
        <v>0</v>
      </c>
      <c r="AU612" s="45">
        <v>0</v>
      </c>
      <c r="AV612" s="45">
        <v>0</v>
      </c>
      <c r="AW612" s="45">
        <v>0</v>
      </c>
      <c r="AX612" s="45">
        <v>0</v>
      </c>
      <c r="AY612" s="45">
        <v>0</v>
      </c>
      <c r="AZ612" s="45">
        <v>0</v>
      </c>
      <c r="BA612" s="45">
        <v>0</v>
      </c>
      <c r="BB612" s="45">
        <v>0</v>
      </c>
      <c r="BC612" s="45">
        <v>0</v>
      </c>
      <c r="BD612" s="45">
        <v>0</v>
      </c>
      <c r="BE612" s="45">
        <v>0</v>
      </c>
      <c r="BF612" s="45">
        <v>0</v>
      </c>
      <c r="BG612" s="45">
        <v>0</v>
      </c>
    </row>
    <row r="613" spans="1:60">
      <c r="A613" s="18" t="s">
        <v>269</v>
      </c>
      <c r="B613" s="18" t="s">
        <v>176</v>
      </c>
      <c r="C613" s="18" t="s">
        <v>220</v>
      </c>
      <c r="D613" s="45">
        <v>0</v>
      </c>
      <c r="E613" s="45">
        <v>0</v>
      </c>
      <c r="F613" s="45">
        <v>0</v>
      </c>
      <c r="G613" s="45">
        <v>0</v>
      </c>
      <c r="H613" s="45">
        <v>0</v>
      </c>
      <c r="I613" s="45">
        <v>0</v>
      </c>
      <c r="J613" s="45">
        <v>0</v>
      </c>
      <c r="K613" s="45">
        <v>0</v>
      </c>
      <c r="L613" s="45">
        <v>0</v>
      </c>
      <c r="M613" s="45">
        <v>0</v>
      </c>
      <c r="N613" s="45">
        <v>0</v>
      </c>
      <c r="O613" s="45">
        <v>0</v>
      </c>
      <c r="P613" s="45">
        <v>0</v>
      </c>
      <c r="Q613" s="45">
        <v>0</v>
      </c>
      <c r="R613" s="45">
        <v>0</v>
      </c>
      <c r="S613" s="45">
        <v>0</v>
      </c>
      <c r="T613" s="45">
        <v>0</v>
      </c>
      <c r="U613" s="45">
        <v>0</v>
      </c>
      <c r="V613" s="45">
        <v>0</v>
      </c>
      <c r="W613" s="45">
        <v>0</v>
      </c>
      <c r="X613" s="45">
        <v>0</v>
      </c>
      <c r="Y613" s="45">
        <v>0</v>
      </c>
      <c r="Z613" s="45">
        <v>0</v>
      </c>
      <c r="AA613" s="45">
        <v>0</v>
      </c>
      <c r="AB613" s="45">
        <v>0</v>
      </c>
      <c r="AC613" s="45">
        <v>0</v>
      </c>
      <c r="AD613" s="45">
        <v>0</v>
      </c>
      <c r="AE613" s="45">
        <v>0</v>
      </c>
      <c r="AF613" s="45">
        <v>0</v>
      </c>
      <c r="AG613" s="45">
        <v>0</v>
      </c>
      <c r="AH613" s="45">
        <v>0</v>
      </c>
      <c r="AI613" s="45">
        <v>0</v>
      </c>
      <c r="AJ613" s="45">
        <v>0</v>
      </c>
      <c r="AK613" s="45">
        <v>0</v>
      </c>
      <c r="AL613" s="45">
        <v>0</v>
      </c>
      <c r="AM613" s="45">
        <v>0</v>
      </c>
      <c r="AN613" s="45">
        <v>0</v>
      </c>
      <c r="AO613" s="45">
        <v>0</v>
      </c>
      <c r="AP613" s="45">
        <v>0</v>
      </c>
      <c r="AQ613" s="45">
        <v>0</v>
      </c>
      <c r="AR613" s="45">
        <v>0</v>
      </c>
      <c r="AS613" s="45">
        <v>0</v>
      </c>
      <c r="AT613" s="45">
        <v>0</v>
      </c>
      <c r="AU613" s="45">
        <v>0</v>
      </c>
      <c r="AV613" s="45">
        <v>0</v>
      </c>
      <c r="AW613" s="45">
        <v>0</v>
      </c>
      <c r="AX613" s="45">
        <v>0</v>
      </c>
      <c r="AY613" s="45">
        <v>0</v>
      </c>
      <c r="AZ613" s="45">
        <v>0</v>
      </c>
      <c r="BA613" s="45">
        <v>0</v>
      </c>
      <c r="BB613" s="45">
        <v>0</v>
      </c>
      <c r="BC613" s="45">
        <v>0</v>
      </c>
      <c r="BD613" s="45">
        <v>0</v>
      </c>
      <c r="BE613" s="45">
        <v>0</v>
      </c>
      <c r="BF613" s="45">
        <v>0</v>
      </c>
      <c r="BG613" s="45">
        <v>0</v>
      </c>
    </row>
    <row r="614" spans="1:60">
      <c r="A614" s="18" t="s">
        <v>270</v>
      </c>
      <c r="B614" s="18" t="s">
        <v>190</v>
      </c>
      <c r="C614" s="18" t="s">
        <v>5</v>
      </c>
      <c r="D614" s="45">
        <v>0</v>
      </c>
      <c r="E614" s="45">
        <v>0</v>
      </c>
      <c r="F614" s="45">
        <v>0</v>
      </c>
      <c r="G614" s="45">
        <v>0</v>
      </c>
      <c r="H614" s="45">
        <v>22.5</v>
      </c>
      <c r="I614" s="45">
        <v>8.4</v>
      </c>
      <c r="J614" s="45">
        <v>3.5</v>
      </c>
      <c r="K614" s="45">
        <v>3.8</v>
      </c>
      <c r="L614" s="45">
        <v>4.1</v>
      </c>
      <c r="M614" s="45">
        <v>4.7</v>
      </c>
      <c r="N614" s="45">
        <v>6.4</v>
      </c>
      <c r="O614" s="45">
        <v>7.7</v>
      </c>
      <c r="P614" s="45">
        <v>7.2</v>
      </c>
      <c r="Q614" s="45">
        <v>8.5</v>
      </c>
      <c r="R614" s="45">
        <v>8.5</v>
      </c>
      <c r="S614" s="45">
        <v>8.1</v>
      </c>
      <c r="T614" s="45">
        <v>9.300000000000001</v>
      </c>
      <c r="U614" s="45">
        <v>8.4</v>
      </c>
      <c r="V614" s="45">
        <v>8.699999999999999</v>
      </c>
      <c r="W614" s="45">
        <v>8.9</v>
      </c>
      <c r="X614" s="45">
        <v>8.800000000000001</v>
      </c>
      <c r="Y614" s="45">
        <v>7.1</v>
      </c>
      <c r="Z614" s="45">
        <v>6.5</v>
      </c>
      <c r="AA614" s="45">
        <v>5.4</v>
      </c>
      <c r="AB614" s="45">
        <v>5.7</v>
      </c>
      <c r="AC614" s="45">
        <v>6.1</v>
      </c>
      <c r="AD614" s="45">
        <v>6.7</v>
      </c>
      <c r="AE614" s="45">
        <v>7.2</v>
      </c>
      <c r="AF614" s="45">
        <v>7.2</v>
      </c>
      <c r="AG614" s="45">
        <v>6.8</v>
      </c>
      <c r="AH614" s="45">
        <v>7.2</v>
      </c>
      <c r="AI614" s="45">
        <v>7.4</v>
      </c>
      <c r="AJ614" s="45">
        <v>6.3</v>
      </c>
      <c r="AK614" s="45">
        <v>6.4</v>
      </c>
      <c r="AL614" s="45">
        <v>6.8</v>
      </c>
      <c r="AM614" s="45">
        <v>6.6</v>
      </c>
      <c r="AN614" s="45">
        <v>6.7</v>
      </c>
      <c r="AO614" s="45">
        <v>5.1</v>
      </c>
      <c r="AP614" s="45">
        <v>5.8</v>
      </c>
      <c r="AQ614" s="45">
        <v>4.1</v>
      </c>
      <c r="AR614" s="45">
        <v>1.6</v>
      </c>
      <c r="AS614" s="45">
        <v>0</v>
      </c>
      <c r="AT614" s="45">
        <v>0</v>
      </c>
      <c r="AU614" s="45">
        <v>0</v>
      </c>
      <c r="AV614" s="45">
        <v>0</v>
      </c>
      <c r="AW614" s="45">
        <v>0</v>
      </c>
      <c r="AX614" s="45">
        <v>0</v>
      </c>
      <c r="AY614" s="45">
        <v>0</v>
      </c>
      <c r="AZ614" s="45">
        <v>0</v>
      </c>
      <c r="BA614" s="45">
        <v>0</v>
      </c>
      <c r="BB614" s="45">
        <v>0</v>
      </c>
      <c r="BC614" s="45">
        <v>0</v>
      </c>
      <c r="BD614" s="45">
        <v>0</v>
      </c>
      <c r="BE614" s="45">
        <v>0</v>
      </c>
      <c r="BF614" s="45">
        <v>0</v>
      </c>
      <c r="BG614" s="45">
        <v>0</v>
      </c>
    </row>
    <row r="615" spans="1:60">
      <c r="A615" s="18" t="s">
        <v>271</v>
      </c>
      <c r="B615" s="18" t="s">
        <v>190</v>
      </c>
      <c r="C615" s="18" t="s">
        <v>210</v>
      </c>
      <c r="D615" s="45">
        <v>0</v>
      </c>
      <c r="E615" s="45">
        <v>0</v>
      </c>
      <c r="F615" s="45">
        <v>0</v>
      </c>
      <c r="G615" s="45">
        <v>0</v>
      </c>
      <c r="H615" s="45">
        <v>24.1</v>
      </c>
      <c r="I615" s="45">
        <v>8.800000000000001</v>
      </c>
      <c r="J615" s="45">
        <v>3.4</v>
      </c>
      <c r="K615" s="45">
        <v>3.5</v>
      </c>
      <c r="L615" s="45">
        <v>3.6</v>
      </c>
      <c r="M615" s="45">
        <v>4.8</v>
      </c>
      <c r="N615" s="45">
        <v>5.7</v>
      </c>
      <c r="O615" s="45">
        <v>7.6</v>
      </c>
      <c r="P615" s="45">
        <v>7.8</v>
      </c>
      <c r="Q615" s="45">
        <v>7.6</v>
      </c>
      <c r="R615" s="45">
        <v>7.9</v>
      </c>
      <c r="S615" s="45">
        <v>8.1</v>
      </c>
      <c r="T615" s="45">
        <v>6.5</v>
      </c>
      <c r="U615" s="45">
        <v>6.3</v>
      </c>
      <c r="V615" s="45">
        <v>7</v>
      </c>
      <c r="W615" s="45">
        <v>7.3</v>
      </c>
      <c r="X615" s="45">
        <v>7.1</v>
      </c>
      <c r="Y615" s="45">
        <v>6.5</v>
      </c>
      <c r="Z615" s="45">
        <v>5.2</v>
      </c>
      <c r="AA615" s="45">
        <v>3.8</v>
      </c>
      <c r="AB615" s="45">
        <v>4.5</v>
      </c>
      <c r="AC615" s="45">
        <v>5.3</v>
      </c>
      <c r="AD615" s="45">
        <v>6.5</v>
      </c>
      <c r="AE615" s="45">
        <v>6.3</v>
      </c>
      <c r="AF615" s="45">
        <v>6.3</v>
      </c>
      <c r="AG615" s="45">
        <v>6</v>
      </c>
      <c r="AH615" s="45">
        <v>6</v>
      </c>
      <c r="AI615" s="45">
        <v>5.5</v>
      </c>
      <c r="AJ615" s="45">
        <v>4.5</v>
      </c>
      <c r="AK615" s="45">
        <v>5</v>
      </c>
      <c r="AL615" s="45">
        <v>5.6</v>
      </c>
      <c r="AM615" s="45">
        <v>5.6</v>
      </c>
      <c r="AN615" s="45">
        <v>5.5</v>
      </c>
      <c r="AO615" s="45">
        <v>4.9</v>
      </c>
      <c r="AP615" s="45">
        <v>4.2</v>
      </c>
      <c r="AQ615" s="45">
        <v>3.3</v>
      </c>
      <c r="AR615" s="45">
        <v>1.6</v>
      </c>
      <c r="AS615" s="45">
        <v>0</v>
      </c>
      <c r="AT615" s="45">
        <v>0</v>
      </c>
      <c r="AU615" s="45">
        <v>0</v>
      </c>
      <c r="AV615" s="45">
        <v>0</v>
      </c>
      <c r="AW615" s="45">
        <v>0</v>
      </c>
      <c r="AX615" s="45">
        <v>0</v>
      </c>
      <c r="AY615" s="45">
        <v>0</v>
      </c>
      <c r="AZ615" s="45">
        <v>0</v>
      </c>
      <c r="BA615" s="45">
        <v>0</v>
      </c>
      <c r="BB615" s="45">
        <v>0</v>
      </c>
      <c r="BC615" s="45">
        <v>0</v>
      </c>
      <c r="BD615" s="45">
        <v>0</v>
      </c>
      <c r="BE615" s="45">
        <v>0</v>
      </c>
      <c r="BF615" s="45">
        <v>0</v>
      </c>
      <c r="BG615" s="45">
        <v>0</v>
      </c>
    </row>
    <row r="616" spans="1:60">
      <c r="A616" s="18" t="s">
        <v>272</v>
      </c>
      <c r="B616" s="18" t="s">
        <v>190</v>
      </c>
      <c r="C616" s="18" t="s">
        <v>212</v>
      </c>
      <c r="D616" s="45">
        <v>0</v>
      </c>
      <c r="E616" s="45">
        <v>0</v>
      </c>
      <c r="F616" s="45">
        <v>0</v>
      </c>
      <c r="G616" s="45">
        <v>0</v>
      </c>
      <c r="H616" s="45">
        <v>23.4</v>
      </c>
      <c r="I616" s="45">
        <v>10.2</v>
      </c>
      <c r="J616" s="45">
        <v>3</v>
      </c>
      <c r="K616" s="45">
        <v>2.9</v>
      </c>
      <c r="L616" s="45">
        <v>3.1</v>
      </c>
      <c r="M616" s="45">
        <v>4.6</v>
      </c>
      <c r="N616" s="45">
        <v>5.6</v>
      </c>
      <c r="O616" s="45">
        <v>5.4</v>
      </c>
      <c r="P616" s="45">
        <v>6.6</v>
      </c>
      <c r="Q616" s="45">
        <v>6.8</v>
      </c>
      <c r="R616" s="45">
        <v>6.7</v>
      </c>
      <c r="S616" s="45">
        <v>7.3</v>
      </c>
      <c r="T616" s="45">
        <v>6.8</v>
      </c>
      <c r="U616" s="45">
        <v>6.4</v>
      </c>
      <c r="V616" s="45">
        <v>7.4</v>
      </c>
      <c r="W616" s="45">
        <v>6.1</v>
      </c>
      <c r="X616" s="45">
        <v>7.3</v>
      </c>
      <c r="Y616" s="45">
        <v>6.1</v>
      </c>
      <c r="Z616" s="45">
        <v>4.7</v>
      </c>
      <c r="AA616" s="45">
        <v>3.2</v>
      </c>
      <c r="AB616" s="45">
        <v>4.7</v>
      </c>
      <c r="AC616" s="45">
        <v>4.9</v>
      </c>
      <c r="AD616" s="45">
        <v>5.6</v>
      </c>
      <c r="AE616" s="45">
        <v>6.2</v>
      </c>
      <c r="AF616" s="45">
        <v>5.7</v>
      </c>
      <c r="AG616" s="45">
        <v>5.2</v>
      </c>
      <c r="AH616" s="45">
        <v>5</v>
      </c>
      <c r="AI616" s="45">
        <v>4.8</v>
      </c>
      <c r="AJ616" s="45">
        <v>4.9</v>
      </c>
      <c r="AK616" s="45">
        <v>5.7</v>
      </c>
      <c r="AL616" s="45">
        <v>5.2</v>
      </c>
      <c r="AM616" s="45">
        <v>5.9</v>
      </c>
      <c r="AN616" s="45">
        <v>5.7</v>
      </c>
      <c r="AO616" s="45">
        <v>5.4</v>
      </c>
      <c r="AP616" s="45">
        <v>4.5</v>
      </c>
      <c r="AQ616" s="45">
        <v>3.4</v>
      </c>
      <c r="AR616" s="45">
        <v>2.1</v>
      </c>
      <c r="AS616" s="45">
        <v>0</v>
      </c>
      <c r="AT616" s="45">
        <v>0</v>
      </c>
      <c r="AU616" s="45">
        <v>0</v>
      </c>
      <c r="AV616" s="45">
        <v>0</v>
      </c>
      <c r="AW616" s="45">
        <v>0</v>
      </c>
      <c r="AX616" s="45">
        <v>0</v>
      </c>
      <c r="AY616" s="45">
        <v>0</v>
      </c>
      <c r="AZ616" s="45">
        <v>0</v>
      </c>
      <c r="BA616" s="45">
        <v>0</v>
      </c>
      <c r="BB616" s="45">
        <v>0</v>
      </c>
      <c r="BC616" s="45">
        <v>0</v>
      </c>
      <c r="BD616" s="45">
        <v>0</v>
      </c>
      <c r="BE616" s="45">
        <v>0</v>
      </c>
      <c r="BF616" s="45">
        <v>0</v>
      </c>
      <c r="BG616" s="45">
        <v>0</v>
      </c>
    </row>
    <row r="617" spans="1:60">
      <c r="A617" s="18" t="s">
        <v>273</v>
      </c>
      <c r="B617" s="18" t="s">
        <v>190</v>
      </c>
      <c r="C617" s="18" t="s">
        <v>214</v>
      </c>
      <c r="D617" s="45">
        <v>0</v>
      </c>
      <c r="E617" s="45">
        <v>0</v>
      </c>
      <c r="F617" s="45">
        <v>0</v>
      </c>
      <c r="G617" s="45">
        <v>0</v>
      </c>
      <c r="H617" s="45">
        <v>21.2</v>
      </c>
      <c r="I617" s="45">
        <v>9.4</v>
      </c>
      <c r="J617" s="45">
        <v>2.3</v>
      </c>
      <c r="K617" s="45">
        <v>2.9</v>
      </c>
      <c r="L617" s="45">
        <v>3.1</v>
      </c>
      <c r="M617" s="45">
        <v>3.8</v>
      </c>
      <c r="N617" s="45">
        <v>5.9</v>
      </c>
      <c r="O617" s="45">
        <v>6.1</v>
      </c>
      <c r="P617" s="45">
        <v>6.8</v>
      </c>
      <c r="Q617" s="45">
        <v>7.5</v>
      </c>
      <c r="R617" s="45">
        <v>7.1</v>
      </c>
      <c r="S617" s="45">
        <v>7.6</v>
      </c>
      <c r="T617" s="45">
        <v>7.5</v>
      </c>
      <c r="U617" s="45">
        <v>7</v>
      </c>
      <c r="V617" s="45">
        <v>6.8</v>
      </c>
      <c r="W617" s="45">
        <v>7.3</v>
      </c>
      <c r="X617" s="45">
        <v>5.9</v>
      </c>
      <c r="Y617" s="45">
        <v>4.6</v>
      </c>
      <c r="Z617" s="45">
        <v>3.7</v>
      </c>
      <c r="AA617" s="45">
        <v>2.2</v>
      </c>
      <c r="AB617" s="45">
        <v>2.7</v>
      </c>
      <c r="AC617" s="45">
        <v>4.2</v>
      </c>
      <c r="AD617" s="45">
        <v>4.9</v>
      </c>
      <c r="AE617" s="45">
        <v>4</v>
      </c>
      <c r="AF617" s="45">
        <v>4.1</v>
      </c>
      <c r="AG617" s="45">
        <v>4.8</v>
      </c>
      <c r="AH617" s="45">
        <v>4.2</v>
      </c>
      <c r="AI617" s="45">
        <v>4.8</v>
      </c>
      <c r="AJ617" s="45">
        <v>4.5</v>
      </c>
      <c r="AK617" s="45">
        <v>4.5</v>
      </c>
      <c r="AL617" s="45">
        <v>4.8</v>
      </c>
      <c r="AM617" s="45">
        <v>4.8</v>
      </c>
      <c r="AN617" s="45">
        <v>5</v>
      </c>
      <c r="AO617" s="45">
        <v>4.6</v>
      </c>
      <c r="AP617" s="45">
        <v>4.4</v>
      </c>
      <c r="AQ617" s="45">
        <v>2.7</v>
      </c>
      <c r="AR617" s="45">
        <v>1.3</v>
      </c>
      <c r="AS617" s="45">
        <v>0</v>
      </c>
      <c r="AT617" s="45">
        <v>0</v>
      </c>
      <c r="AU617" s="45">
        <v>0</v>
      </c>
      <c r="AV617" s="45">
        <v>0</v>
      </c>
      <c r="AW617" s="45">
        <v>0</v>
      </c>
      <c r="AX617" s="45">
        <v>0</v>
      </c>
      <c r="AY617" s="45">
        <v>0</v>
      </c>
      <c r="AZ617" s="45">
        <v>0</v>
      </c>
      <c r="BA617" s="45">
        <v>0</v>
      </c>
      <c r="BB617" s="45">
        <v>0</v>
      </c>
      <c r="BC617" s="45">
        <v>0</v>
      </c>
      <c r="BD617" s="45">
        <v>0</v>
      </c>
      <c r="BE617" s="45">
        <v>0</v>
      </c>
      <c r="BF617" s="45">
        <v>0</v>
      </c>
      <c r="BG617" s="45">
        <v>0</v>
      </c>
    </row>
    <row r="618" spans="1:60">
      <c r="A618" s="18" t="s">
        <v>274</v>
      </c>
      <c r="B618" s="18" t="s">
        <v>190</v>
      </c>
      <c r="C618" s="18" t="s">
        <v>216</v>
      </c>
      <c r="D618" s="45">
        <v>0</v>
      </c>
      <c r="E618" s="45">
        <v>0</v>
      </c>
      <c r="F618" s="45">
        <v>0</v>
      </c>
      <c r="G618" s="45">
        <v>0</v>
      </c>
      <c r="H618" s="45">
        <v>23.3</v>
      </c>
      <c r="I618" s="45">
        <v>8.800000000000001</v>
      </c>
      <c r="J618" s="45">
        <v>2.8</v>
      </c>
      <c r="K618" s="45">
        <v>2.4</v>
      </c>
      <c r="L618" s="45">
        <v>2.7</v>
      </c>
      <c r="M618" s="45">
        <v>3.7</v>
      </c>
      <c r="N618" s="45">
        <v>4.2</v>
      </c>
      <c r="O618" s="45">
        <v>4.5</v>
      </c>
      <c r="P618" s="45">
        <v>4.9</v>
      </c>
      <c r="Q618" s="45">
        <v>5.8</v>
      </c>
      <c r="R618" s="45">
        <v>6</v>
      </c>
      <c r="S618" s="45">
        <v>5.8</v>
      </c>
      <c r="T618" s="45">
        <v>5.8</v>
      </c>
      <c r="U618" s="45">
        <v>5.4</v>
      </c>
      <c r="V618" s="45">
        <v>5.6</v>
      </c>
      <c r="W618" s="45">
        <v>5.6</v>
      </c>
      <c r="X618" s="45">
        <v>7.4</v>
      </c>
      <c r="Y618" s="45">
        <v>5.1</v>
      </c>
      <c r="Z618" s="45">
        <v>4.4</v>
      </c>
      <c r="AA618" s="45">
        <v>3.1</v>
      </c>
      <c r="AB618" s="45">
        <v>3.7</v>
      </c>
      <c r="AC618" s="45">
        <v>4</v>
      </c>
      <c r="AD618" s="45">
        <v>4.5</v>
      </c>
      <c r="AE618" s="45">
        <v>4.6</v>
      </c>
      <c r="AF618" s="45">
        <v>4.6</v>
      </c>
      <c r="AG618" s="45">
        <v>4.6</v>
      </c>
      <c r="AH618" s="45">
        <v>4.4</v>
      </c>
      <c r="AI618" s="45">
        <v>4.6</v>
      </c>
      <c r="AJ618" s="45">
        <v>4.2</v>
      </c>
      <c r="AK618" s="45">
        <v>4.9</v>
      </c>
      <c r="AL618" s="45">
        <v>4.9</v>
      </c>
      <c r="AM618" s="45">
        <v>5.2</v>
      </c>
      <c r="AN618" s="45">
        <v>5.6</v>
      </c>
      <c r="AO618" s="45">
        <v>5.3</v>
      </c>
      <c r="AP618" s="45">
        <v>4.8</v>
      </c>
      <c r="AQ618" s="45">
        <v>3.9</v>
      </c>
      <c r="AR618" s="45">
        <v>2</v>
      </c>
      <c r="AS618" s="45">
        <v>0</v>
      </c>
      <c r="AT618" s="45">
        <v>0</v>
      </c>
      <c r="AU618" s="45">
        <v>0</v>
      </c>
      <c r="AV618" s="45">
        <v>0</v>
      </c>
      <c r="AW618" s="45">
        <v>0</v>
      </c>
      <c r="AX618" s="45">
        <v>0</v>
      </c>
      <c r="AY618" s="45">
        <v>0</v>
      </c>
      <c r="AZ618" s="45">
        <v>0</v>
      </c>
      <c r="BA618" s="45">
        <v>0</v>
      </c>
      <c r="BB618" s="45">
        <v>0</v>
      </c>
      <c r="BC618" s="45">
        <v>0</v>
      </c>
      <c r="BD618" s="45">
        <v>0</v>
      </c>
      <c r="BE618" s="45">
        <v>0</v>
      </c>
      <c r="BF618" s="45">
        <v>0</v>
      </c>
      <c r="BG618" s="45">
        <v>0</v>
      </c>
    </row>
    <row r="619" spans="1:60">
      <c r="A619" s="18" t="s">
        <v>275</v>
      </c>
      <c r="B619" s="18" t="s">
        <v>190</v>
      </c>
      <c r="C619" s="18" t="s">
        <v>218</v>
      </c>
      <c r="D619" s="45">
        <v>0</v>
      </c>
      <c r="E619" s="45">
        <v>0</v>
      </c>
      <c r="F619" s="45">
        <v>0</v>
      </c>
      <c r="G619" s="45">
        <v>0</v>
      </c>
      <c r="H619" s="45">
        <v>0</v>
      </c>
      <c r="I619" s="45">
        <v>0</v>
      </c>
      <c r="J619" s="45">
        <v>0</v>
      </c>
      <c r="K619" s="45">
        <v>0</v>
      </c>
      <c r="L619" s="45">
        <v>0</v>
      </c>
      <c r="M619" s="45">
        <v>0</v>
      </c>
      <c r="N619" s="45">
        <v>0</v>
      </c>
      <c r="O619" s="45">
        <v>0</v>
      </c>
      <c r="P619" s="45">
        <v>0</v>
      </c>
      <c r="Q619" s="45">
        <v>0</v>
      </c>
      <c r="R619" s="45">
        <v>0</v>
      </c>
      <c r="S619" s="45">
        <v>0</v>
      </c>
      <c r="T619" s="45">
        <v>0</v>
      </c>
      <c r="U619" s="45">
        <v>0</v>
      </c>
      <c r="V619" s="45">
        <v>0</v>
      </c>
      <c r="W619" s="45">
        <v>0</v>
      </c>
      <c r="X619" s="45">
        <v>0</v>
      </c>
      <c r="Y619" s="45">
        <v>0</v>
      </c>
      <c r="Z619" s="45">
        <v>0</v>
      </c>
      <c r="AA619" s="45">
        <v>0</v>
      </c>
      <c r="AB619" s="45">
        <v>0</v>
      </c>
      <c r="AC619" s="45">
        <v>0</v>
      </c>
      <c r="AD619" s="45">
        <v>0</v>
      </c>
      <c r="AE619" s="45">
        <v>0</v>
      </c>
      <c r="AF619" s="45">
        <v>0</v>
      </c>
      <c r="AG619" s="45">
        <v>0</v>
      </c>
      <c r="AH619" s="45">
        <v>0</v>
      </c>
      <c r="AI619" s="45">
        <v>0</v>
      </c>
      <c r="AJ619" s="45">
        <v>0</v>
      </c>
      <c r="AK619" s="45">
        <v>0</v>
      </c>
      <c r="AL619" s="45">
        <v>0</v>
      </c>
      <c r="AM619" s="45">
        <v>0</v>
      </c>
      <c r="AN619" s="45">
        <v>0</v>
      </c>
      <c r="AO619" s="45">
        <v>0</v>
      </c>
      <c r="AP619" s="45">
        <v>0</v>
      </c>
      <c r="AQ619" s="45">
        <v>0</v>
      </c>
      <c r="AR619" s="45">
        <v>0</v>
      </c>
      <c r="AS619" s="45">
        <v>0</v>
      </c>
      <c r="AT619" s="45">
        <v>0</v>
      </c>
      <c r="AU619" s="45">
        <v>0</v>
      </c>
      <c r="AV619" s="45">
        <v>0</v>
      </c>
      <c r="AW619" s="45">
        <v>0</v>
      </c>
      <c r="AX619" s="45">
        <v>0</v>
      </c>
      <c r="AY619" s="45">
        <v>0</v>
      </c>
      <c r="AZ619" s="45">
        <v>0</v>
      </c>
      <c r="BA619" s="45">
        <v>0</v>
      </c>
      <c r="BB619" s="45">
        <v>0</v>
      </c>
      <c r="BC619" s="45">
        <v>0</v>
      </c>
      <c r="BD619" s="45">
        <v>0</v>
      </c>
      <c r="BE619" s="45">
        <v>0</v>
      </c>
      <c r="BF619" s="45">
        <v>0</v>
      </c>
      <c r="BG619" s="45">
        <v>0</v>
      </c>
    </row>
    <row r="620" spans="1:60">
      <c r="A620" s="18" t="s">
        <v>276</v>
      </c>
      <c r="B620" s="18" t="s">
        <v>190</v>
      </c>
      <c r="C620" s="18" t="s">
        <v>220</v>
      </c>
      <c r="D620" s="45">
        <v>0</v>
      </c>
      <c r="E620" s="45">
        <v>0</v>
      </c>
      <c r="F620" s="45">
        <v>0</v>
      </c>
      <c r="G620" s="45">
        <v>0</v>
      </c>
      <c r="H620" s="45">
        <v>0</v>
      </c>
      <c r="I620" s="45">
        <v>0</v>
      </c>
      <c r="J620" s="45">
        <v>0</v>
      </c>
      <c r="K620" s="45">
        <v>0</v>
      </c>
      <c r="L620" s="45">
        <v>0</v>
      </c>
      <c r="M620" s="45">
        <v>0</v>
      </c>
      <c r="N620" s="45">
        <v>0</v>
      </c>
      <c r="O620" s="45">
        <v>0</v>
      </c>
      <c r="P620" s="45">
        <v>0</v>
      </c>
      <c r="Q620" s="45">
        <v>0</v>
      </c>
      <c r="R620" s="45">
        <v>0</v>
      </c>
      <c r="S620" s="45">
        <v>0</v>
      </c>
      <c r="T620" s="45">
        <v>0</v>
      </c>
      <c r="U620" s="45">
        <v>0</v>
      </c>
      <c r="V620" s="45">
        <v>0</v>
      </c>
      <c r="W620" s="45">
        <v>0</v>
      </c>
      <c r="X620" s="45">
        <v>0</v>
      </c>
      <c r="Y620" s="45">
        <v>0</v>
      </c>
      <c r="Z620" s="45">
        <v>0</v>
      </c>
      <c r="AA620" s="45">
        <v>0</v>
      </c>
      <c r="AB620" s="45">
        <v>0</v>
      </c>
      <c r="AC620" s="45">
        <v>0</v>
      </c>
      <c r="AD620" s="45">
        <v>0</v>
      </c>
      <c r="AE620" s="45">
        <v>0</v>
      </c>
      <c r="AF620" s="45">
        <v>0</v>
      </c>
      <c r="AG620" s="45">
        <v>0</v>
      </c>
      <c r="AH620" s="45">
        <v>0</v>
      </c>
      <c r="AI620" s="45">
        <v>0</v>
      </c>
      <c r="AJ620" s="45">
        <v>0</v>
      </c>
      <c r="AK620" s="45">
        <v>0</v>
      </c>
      <c r="AL620" s="45">
        <v>0</v>
      </c>
      <c r="AM620" s="45">
        <v>0</v>
      </c>
      <c r="AN620" s="45">
        <v>0</v>
      </c>
      <c r="AO620" s="45">
        <v>0</v>
      </c>
      <c r="AP620" s="45">
        <v>0</v>
      </c>
      <c r="AQ620" s="45">
        <v>0</v>
      </c>
      <c r="AR620" s="45">
        <v>14.1</v>
      </c>
      <c r="AS620" s="45">
        <v>14.8</v>
      </c>
      <c r="AT620" s="45">
        <v>0</v>
      </c>
      <c r="AU620" s="45">
        <v>0</v>
      </c>
      <c r="AV620" s="45">
        <v>0</v>
      </c>
      <c r="AW620" s="45">
        <v>0</v>
      </c>
      <c r="AX620" s="45">
        <v>0</v>
      </c>
      <c r="AY620" s="45">
        <v>0</v>
      </c>
      <c r="AZ620" s="45">
        <v>0</v>
      </c>
      <c r="BA620" s="45">
        <v>0</v>
      </c>
      <c r="BB620" s="45">
        <v>0</v>
      </c>
      <c r="BC620" s="45">
        <v>0</v>
      </c>
      <c r="BD620" s="45">
        <v>0</v>
      </c>
      <c r="BE620" s="45">
        <v>0</v>
      </c>
      <c r="BF620" s="45">
        <v>0</v>
      </c>
      <c r="BG620" s="45">
        <v>0</v>
      </c>
    </row>
    <row r="623" spans="1:60">
      <c r="A623" s="6" t="s">
        <v>278</v>
      </c>
    </row>
    <row r="624" spans="1:60">
      <c r="A624" s="22" t="s">
        <v>3</v>
      </c>
      <c r="B624" s="22" t="s">
        <v>4</v>
      </c>
      <c r="C624" s="22" t="s">
        <v>207</v>
      </c>
      <c r="D624" s="22" t="s">
        <v>6</v>
      </c>
      <c r="E624" s="22" t="s">
        <v>7</v>
      </c>
      <c r="F624" s="22" t="s">
        <v>8</v>
      </c>
      <c r="G624" s="22" t="s">
        <v>9</v>
      </c>
      <c r="H624" s="22" t="s">
        <v>10</v>
      </c>
      <c r="I624" s="22" t="s">
        <v>11</v>
      </c>
      <c r="J624" s="22" t="s">
        <v>12</v>
      </c>
      <c r="K624" s="22" t="s">
        <v>13</v>
      </c>
      <c r="L624" s="22" t="s">
        <v>14</v>
      </c>
      <c r="M624" s="22" t="s">
        <v>15</v>
      </c>
      <c r="N624" s="22" t="s">
        <v>16</v>
      </c>
      <c r="O624" s="22" t="s">
        <v>17</v>
      </c>
      <c r="P624" s="22" t="s">
        <v>18</v>
      </c>
      <c r="Q624" s="22" t="s">
        <v>19</v>
      </c>
      <c r="R624" s="22" t="s">
        <v>20</v>
      </c>
      <c r="S624" s="22" t="s">
        <v>21</v>
      </c>
      <c r="T624" s="22" t="s">
        <v>22</v>
      </c>
      <c r="U624" s="22" t="s">
        <v>23</v>
      </c>
      <c r="V624" s="22" t="s">
        <v>24</v>
      </c>
      <c r="W624" s="22" t="s">
        <v>25</v>
      </c>
      <c r="X624" s="22" t="s">
        <v>26</v>
      </c>
      <c r="Y624" s="22" t="s">
        <v>27</v>
      </c>
      <c r="Z624" s="22" t="s">
        <v>28</v>
      </c>
      <c r="AA624" s="22" t="s">
        <v>29</v>
      </c>
      <c r="AB624" s="22" t="s">
        <v>30</v>
      </c>
      <c r="AC624" s="22" t="s">
        <v>31</v>
      </c>
      <c r="AD624" s="22" t="s">
        <v>32</v>
      </c>
      <c r="AE624" s="22" t="s">
        <v>33</v>
      </c>
      <c r="AF624" s="22" t="s">
        <v>34</v>
      </c>
      <c r="AG624" s="22" t="s">
        <v>35</v>
      </c>
      <c r="AH624" s="22" t="s">
        <v>36</v>
      </c>
      <c r="AI624" s="22" t="s">
        <v>37</v>
      </c>
      <c r="AJ624" s="22" t="s">
        <v>38</v>
      </c>
      <c r="AK624" s="22" t="s">
        <v>39</v>
      </c>
      <c r="AL624" s="22" t="s">
        <v>40</v>
      </c>
      <c r="AM624" s="22" t="s">
        <v>41</v>
      </c>
      <c r="AN624" s="22" t="s">
        <v>42</v>
      </c>
      <c r="AO624" s="22" t="s">
        <v>43</v>
      </c>
      <c r="AP624" s="22" t="s">
        <v>44</v>
      </c>
      <c r="AQ624" s="22" t="s">
        <v>45</v>
      </c>
      <c r="AR624" s="22" t="s">
        <v>46</v>
      </c>
      <c r="AS624" s="22" t="s">
        <v>47</v>
      </c>
      <c r="AT624" s="22" t="s">
        <v>48</v>
      </c>
      <c r="AU624" s="22" t="s">
        <v>49</v>
      </c>
      <c r="AV624" s="22" t="s">
        <v>50</v>
      </c>
      <c r="AW624" s="22" t="s">
        <v>51</v>
      </c>
      <c r="AX624" s="22" t="s">
        <v>52</v>
      </c>
      <c r="AY624" s="22" t="s">
        <v>53</v>
      </c>
      <c r="AZ624" s="22" t="s">
        <v>54</v>
      </c>
      <c r="BA624" s="22" t="s">
        <v>55</v>
      </c>
      <c r="BB624" s="22" t="s">
        <v>56</v>
      </c>
      <c r="BC624" s="22" t="s">
        <v>57</v>
      </c>
      <c r="BD624" s="22" t="s">
        <v>58</v>
      </c>
      <c r="BE624" s="22" t="s">
        <v>59</v>
      </c>
      <c r="BF624" s="22" t="s">
        <v>60</v>
      </c>
      <c r="BG624" s="22" t="s">
        <v>61</v>
      </c>
      <c r="BH624" s="22" t="s">
        <v>62</v>
      </c>
    </row>
    <row r="625" spans="1:59">
      <c r="A625" s="18" t="s">
        <v>208</v>
      </c>
      <c r="B625" s="18" t="s">
        <v>65</v>
      </c>
      <c r="C625" s="18" t="s">
        <v>5</v>
      </c>
      <c r="D625" s="45">
        <v>0</v>
      </c>
      <c r="E625" s="45">
        <v>0</v>
      </c>
      <c r="F625" s="45">
        <v>0</v>
      </c>
      <c r="G625" s="45">
        <v>6.7</v>
      </c>
      <c r="H625" s="45">
        <v>8.4</v>
      </c>
      <c r="I625" s="45">
        <v>6.4</v>
      </c>
      <c r="J625" s="45">
        <v>7.2</v>
      </c>
      <c r="K625" s="45">
        <v>7.7</v>
      </c>
      <c r="L625" s="45">
        <v>7.2</v>
      </c>
      <c r="M625" s="45">
        <v>7.1</v>
      </c>
      <c r="N625" s="45">
        <v>6.7</v>
      </c>
      <c r="O625" s="45">
        <v>6.4</v>
      </c>
      <c r="P625" s="45">
        <v>6.3</v>
      </c>
      <c r="Q625" s="45">
        <v>6</v>
      </c>
      <c r="R625" s="45">
        <v>6.3</v>
      </c>
      <c r="S625" s="45">
        <v>6.3</v>
      </c>
      <c r="T625" s="45">
        <v>6.2</v>
      </c>
      <c r="U625" s="45">
        <v>6.5</v>
      </c>
      <c r="V625" s="45">
        <v>7</v>
      </c>
      <c r="W625" s="45">
        <v>7.3</v>
      </c>
      <c r="X625" s="45">
        <v>7.8</v>
      </c>
      <c r="Y625" s="45">
        <v>7.6</v>
      </c>
      <c r="Z625" s="45">
        <v>7.7</v>
      </c>
      <c r="AA625" s="45">
        <v>7.7</v>
      </c>
      <c r="AB625" s="45">
        <v>7.2</v>
      </c>
      <c r="AC625" s="45">
        <v>6.7</v>
      </c>
      <c r="AD625" s="45">
        <v>7</v>
      </c>
      <c r="AE625" s="45">
        <v>6.7</v>
      </c>
      <c r="AF625" s="45">
        <v>6.8</v>
      </c>
      <c r="AG625" s="45">
        <v>7</v>
      </c>
      <c r="AH625" s="45">
        <v>7.3</v>
      </c>
      <c r="AI625" s="45">
        <v>7</v>
      </c>
      <c r="AJ625" s="45">
        <v>7</v>
      </c>
      <c r="AK625" s="45">
        <v>7.1</v>
      </c>
      <c r="AL625" s="45">
        <v>7.1</v>
      </c>
      <c r="AM625" s="45">
        <v>6.9</v>
      </c>
      <c r="AN625" s="45">
        <v>6.7</v>
      </c>
      <c r="AO625" s="45">
        <v>6.2</v>
      </c>
      <c r="AP625" s="45">
        <v>5.7</v>
      </c>
      <c r="AQ625" s="45">
        <v>5.4</v>
      </c>
      <c r="AR625" s="45">
        <v>6</v>
      </c>
      <c r="AS625" s="45">
        <v>6.1</v>
      </c>
      <c r="AT625" s="45">
        <v>10.3</v>
      </c>
      <c r="AU625" s="45">
        <v>0</v>
      </c>
      <c r="AV625" s="45">
        <v>0</v>
      </c>
      <c r="AW625" s="45">
        <v>0</v>
      </c>
      <c r="AX625" s="45">
        <v>0</v>
      </c>
      <c r="AY625" s="45">
        <v>0</v>
      </c>
      <c r="AZ625" s="45">
        <v>0</v>
      </c>
      <c r="BA625" s="45">
        <v>0</v>
      </c>
      <c r="BB625" s="45">
        <v>0</v>
      </c>
      <c r="BC625" s="45">
        <v>0</v>
      </c>
      <c r="BD625" s="45">
        <v>0</v>
      </c>
      <c r="BE625" s="45">
        <v>0</v>
      </c>
      <c r="BF625" s="45">
        <v>0</v>
      </c>
      <c r="BG625" s="45">
        <v>0</v>
      </c>
    </row>
    <row r="626" spans="1:59">
      <c r="A626" s="18" t="s">
        <v>209</v>
      </c>
      <c r="B626" s="18" t="s">
        <v>65</v>
      </c>
      <c r="C626" s="18" t="s">
        <v>210</v>
      </c>
      <c r="D626" s="45">
        <v>0</v>
      </c>
      <c r="E626" s="45">
        <v>0</v>
      </c>
      <c r="F626" s="45">
        <v>0</v>
      </c>
      <c r="G626" s="45">
        <v>7.9</v>
      </c>
      <c r="H626" s="45">
        <v>8.9</v>
      </c>
      <c r="I626" s="45">
        <v>7.1</v>
      </c>
      <c r="J626" s="45">
        <v>8.699999999999999</v>
      </c>
      <c r="K626" s="45">
        <v>8.300000000000001</v>
      </c>
      <c r="L626" s="45">
        <v>8.300000000000001</v>
      </c>
      <c r="M626" s="45">
        <v>8</v>
      </c>
      <c r="N626" s="45">
        <v>7.4</v>
      </c>
      <c r="O626" s="45">
        <v>7.1</v>
      </c>
      <c r="P626" s="45">
        <v>6.9</v>
      </c>
      <c r="Q626" s="45">
        <v>7.2</v>
      </c>
      <c r="R626" s="45">
        <v>7.1</v>
      </c>
      <c r="S626" s="45">
        <v>6.9</v>
      </c>
      <c r="T626" s="45">
        <v>6.8</v>
      </c>
      <c r="U626" s="45">
        <v>7.3</v>
      </c>
      <c r="V626" s="45">
        <v>7.9</v>
      </c>
      <c r="W626" s="45">
        <v>8.699999999999999</v>
      </c>
      <c r="X626" s="45">
        <v>8.5</v>
      </c>
      <c r="Y626" s="45">
        <v>8.699999999999999</v>
      </c>
      <c r="Z626" s="45">
        <v>8.5</v>
      </c>
      <c r="AA626" s="45">
        <v>8.800000000000001</v>
      </c>
      <c r="AB626" s="45">
        <v>8</v>
      </c>
      <c r="AC626" s="45">
        <v>8</v>
      </c>
      <c r="AD626" s="45">
        <v>7.3</v>
      </c>
      <c r="AE626" s="45">
        <v>7.4</v>
      </c>
      <c r="AF626" s="45">
        <v>7.5</v>
      </c>
      <c r="AG626" s="45">
        <v>7.5</v>
      </c>
      <c r="AH626" s="45">
        <v>7.4</v>
      </c>
      <c r="AI626" s="45">
        <v>7.5</v>
      </c>
      <c r="AJ626" s="45">
        <v>7.6</v>
      </c>
      <c r="AK626" s="45">
        <v>7.3</v>
      </c>
      <c r="AL626" s="45">
        <v>7.2</v>
      </c>
      <c r="AM626" s="45">
        <v>7.3</v>
      </c>
      <c r="AN626" s="45">
        <v>6.7</v>
      </c>
      <c r="AO626" s="45">
        <v>6.4</v>
      </c>
      <c r="AP626" s="45">
        <v>5.8</v>
      </c>
      <c r="AQ626" s="45">
        <v>5.7</v>
      </c>
      <c r="AR626" s="45">
        <v>5.5</v>
      </c>
      <c r="AS626" s="45">
        <v>8.300000000000001</v>
      </c>
      <c r="AT626" s="45">
        <v>11.3</v>
      </c>
      <c r="AU626" s="45">
        <v>10.6</v>
      </c>
      <c r="AV626" s="45">
        <v>0</v>
      </c>
      <c r="AW626" s="45">
        <v>9.1</v>
      </c>
      <c r="AX626" s="45">
        <v>0</v>
      </c>
      <c r="AY626" s="45">
        <v>0</v>
      </c>
      <c r="AZ626" s="45">
        <v>0</v>
      </c>
      <c r="BA626" s="45">
        <v>0</v>
      </c>
      <c r="BB626" s="45">
        <v>0</v>
      </c>
      <c r="BC626" s="45">
        <v>0</v>
      </c>
      <c r="BD626" s="45">
        <v>0</v>
      </c>
      <c r="BE626" s="45">
        <v>0</v>
      </c>
      <c r="BF626" s="45">
        <v>0</v>
      </c>
      <c r="BG626" s="45">
        <v>0</v>
      </c>
    </row>
    <row r="627" spans="1:59">
      <c r="A627" s="18" t="s">
        <v>211</v>
      </c>
      <c r="B627" s="18" t="s">
        <v>65</v>
      </c>
      <c r="C627" s="18" t="s">
        <v>212</v>
      </c>
      <c r="D627" s="45">
        <v>0</v>
      </c>
      <c r="E627" s="45">
        <v>0</v>
      </c>
      <c r="F627" s="45">
        <v>0</v>
      </c>
      <c r="G627" s="45">
        <v>7.2</v>
      </c>
      <c r="H627" s="45">
        <v>9.4</v>
      </c>
      <c r="I627" s="45">
        <v>7.4</v>
      </c>
      <c r="J627" s="45">
        <v>9.199999999999999</v>
      </c>
      <c r="K627" s="45">
        <v>9.5</v>
      </c>
      <c r="L627" s="45">
        <v>8.800000000000001</v>
      </c>
      <c r="M627" s="45">
        <v>8.5</v>
      </c>
      <c r="N627" s="45">
        <v>8.300000000000001</v>
      </c>
      <c r="O627" s="45">
        <v>7.5</v>
      </c>
      <c r="P627" s="45">
        <v>7.2</v>
      </c>
      <c r="Q627" s="45">
        <v>7.2</v>
      </c>
      <c r="R627" s="45">
        <v>7.4</v>
      </c>
      <c r="S627" s="45">
        <v>7.4</v>
      </c>
      <c r="T627" s="45">
        <v>7.4</v>
      </c>
      <c r="U627" s="45">
        <v>7.8</v>
      </c>
      <c r="V627" s="45">
        <v>8.300000000000001</v>
      </c>
      <c r="W627" s="45">
        <v>9.300000000000001</v>
      </c>
      <c r="X627" s="45">
        <v>9.199999999999999</v>
      </c>
      <c r="Y627" s="45">
        <v>9.1</v>
      </c>
      <c r="Z627" s="45">
        <v>8.5</v>
      </c>
      <c r="AA627" s="45">
        <v>9.300000000000001</v>
      </c>
      <c r="AB627" s="45">
        <v>8.4</v>
      </c>
      <c r="AC627" s="45">
        <v>8</v>
      </c>
      <c r="AD627" s="45">
        <v>8</v>
      </c>
      <c r="AE627" s="45">
        <v>7.7</v>
      </c>
      <c r="AF627" s="45">
        <v>7.7</v>
      </c>
      <c r="AG627" s="45">
        <v>7.3</v>
      </c>
      <c r="AH627" s="45">
        <v>7.7</v>
      </c>
      <c r="AI627" s="45">
        <v>7.7</v>
      </c>
      <c r="AJ627" s="45">
        <v>7.8</v>
      </c>
      <c r="AK627" s="45">
        <v>8</v>
      </c>
      <c r="AL627" s="45">
        <v>7.5</v>
      </c>
      <c r="AM627" s="45">
        <v>7.4</v>
      </c>
      <c r="AN627" s="45">
        <v>7.1</v>
      </c>
      <c r="AO627" s="45">
        <v>6.6</v>
      </c>
      <c r="AP627" s="45">
        <v>5.9</v>
      </c>
      <c r="AQ627" s="45">
        <v>5.6</v>
      </c>
      <c r="AR627" s="45">
        <v>5.5</v>
      </c>
      <c r="AS627" s="45">
        <v>6.1</v>
      </c>
      <c r="AT627" s="45">
        <v>0</v>
      </c>
      <c r="AU627" s="45">
        <v>0</v>
      </c>
      <c r="AV627" s="45">
        <v>0</v>
      </c>
      <c r="AW627" s="45">
        <v>0</v>
      </c>
      <c r="AX627" s="45">
        <v>0</v>
      </c>
      <c r="AY627" s="45">
        <v>0</v>
      </c>
      <c r="AZ627" s="45">
        <v>0</v>
      </c>
      <c r="BA627" s="45">
        <v>0</v>
      </c>
      <c r="BB627" s="45">
        <v>0</v>
      </c>
      <c r="BC627" s="45">
        <v>0</v>
      </c>
      <c r="BD627" s="45">
        <v>0</v>
      </c>
      <c r="BE627" s="45">
        <v>0</v>
      </c>
      <c r="BF627" s="45">
        <v>0</v>
      </c>
      <c r="BG627" s="45">
        <v>0</v>
      </c>
    </row>
    <row r="628" spans="1:59">
      <c r="A628" s="18" t="s">
        <v>213</v>
      </c>
      <c r="B628" s="18" t="s">
        <v>65</v>
      </c>
      <c r="C628" s="18" t="s">
        <v>214</v>
      </c>
      <c r="D628" s="45">
        <v>0</v>
      </c>
      <c r="E628" s="45">
        <v>0</v>
      </c>
      <c r="F628" s="45">
        <v>0</v>
      </c>
      <c r="G628" s="45">
        <v>11.1</v>
      </c>
      <c r="H628" s="45">
        <v>11.1</v>
      </c>
      <c r="I628" s="45">
        <v>8.199999999999999</v>
      </c>
      <c r="J628" s="45">
        <v>9.5</v>
      </c>
      <c r="K628" s="45">
        <v>9.6</v>
      </c>
      <c r="L628" s="45">
        <v>9.5</v>
      </c>
      <c r="M628" s="45">
        <v>8.6</v>
      </c>
      <c r="N628" s="45">
        <v>8.300000000000001</v>
      </c>
      <c r="O628" s="45">
        <v>7.7</v>
      </c>
      <c r="P628" s="45">
        <v>7.7</v>
      </c>
      <c r="Q628" s="45">
        <v>7.1</v>
      </c>
      <c r="R628" s="45">
        <v>7.7</v>
      </c>
      <c r="S628" s="45">
        <v>7.6</v>
      </c>
      <c r="T628" s="45">
        <v>7.7</v>
      </c>
      <c r="U628" s="45">
        <v>8.4</v>
      </c>
      <c r="V628" s="45">
        <v>8.6</v>
      </c>
      <c r="W628" s="45">
        <v>9</v>
      </c>
      <c r="X628" s="45">
        <v>9.4</v>
      </c>
      <c r="Y628" s="45">
        <v>9.9</v>
      </c>
      <c r="Z628" s="45">
        <v>9.5</v>
      </c>
      <c r="AA628" s="45">
        <v>9.5</v>
      </c>
      <c r="AB628" s="45">
        <v>8.6</v>
      </c>
      <c r="AC628" s="45">
        <v>8.199999999999999</v>
      </c>
      <c r="AD628" s="45">
        <v>7.9</v>
      </c>
      <c r="AE628" s="45">
        <v>7.9</v>
      </c>
      <c r="AF628" s="45">
        <v>7.7</v>
      </c>
      <c r="AG628" s="45">
        <v>7.9</v>
      </c>
      <c r="AH628" s="45">
        <v>7.4</v>
      </c>
      <c r="AI628" s="45">
        <v>7.8</v>
      </c>
      <c r="AJ628" s="45">
        <v>7.7</v>
      </c>
      <c r="AK628" s="45">
        <v>7.5</v>
      </c>
      <c r="AL628" s="45">
        <v>7.6</v>
      </c>
      <c r="AM628" s="45">
        <v>7.4</v>
      </c>
      <c r="AN628" s="45">
        <v>7.1</v>
      </c>
      <c r="AO628" s="45">
        <v>6.7</v>
      </c>
      <c r="AP628" s="45">
        <v>6.2</v>
      </c>
      <c r="AQ628" s="45">
        <v>5.7</v>
      </c>
      <c r="AR628" s="45">
        <v>5.7</v>
      </c>
      <c r="AS628" s="45">
        <v>6.8</v>
      </c>
      <c r="AT628" s="45">
        <v>7.9</v>
      </c>
      <c r="AU628" s="45">
        <v>9</v>
      </c>
      <c r="AV628" s="45">
        <v>6.1</v>
      </c>
      <c r="AW628" s="45">
        <v>5.3</v>
      </c>
      <c r="AX628" s="45">
        <v>6.4</v>
      </c>
      <c r="AY628" s="45">
        <v>4.9</v>
      </c>
      <c r="AZ628" s="45">
        <v>4.9</v>
      </c>
      <c r="BA628" s="45">
        <v>2.7</v>
      </c>
      <c r="BB628" s="45">
        <v>0</v>
      </c>
      <c r="BC628" s="45">
        <v>0</v>
      </c>
      <c r="BD628" s="45">
        <v>0</v>
      </c>
      <c r="BE628" s="45">
        <v>0</v>
      </c>
      <c r="BF628" s="45">
        <v>0</v>
      </c>
      <c r="BG628" s="45">
        <v>0</v>
      </c>
    </row>
    <row r="629" spans="1:59">
      <c r="A629" s="18" t="s">
        <v>215</v>
      </c>
      <c r="B629" s="18" t="s">
        <v>65</v>
      </c>
      <c r="C629" s="18" t="s">
        <v>216</v>
      </c>
      <c r="D629" s="45">
        <v>0</v>
      </c>
      <c r="E629" s="45">
        <v>0</v>
      </c>
      <c r="F629" s="45">
        <v>0</v>
      </c>
      <c r="G629" s="45">
        <v>16.7</v>
      </c>
      <c r="H629" s="45">
        <v>11.7</v>
      </c>
      <c r="I629" s="45">
        <v>7.9</v>
      </c>
      <c r="J629" s="45">
        <v>9</v>
      </c>
      <c r="K629" s="45">
        <v>9.4</v>
      </c>
      <c r="L629" s="45">
        <v>9.6</v>
      </c>
      <c r="M629" s="45">
        <v>8.6</v>
      </c>
      <c r="N629" s="45">
        <v>7.9</v>
      </c>
      <c r="O629" s="45">
        <v>8</v>
      </c>
      <c r="P629" s="45">
        <v>7.6</v>
      </c>
      <c r="Q629" s="45">
        <v>7.5</v>
      </c>
      <c r="R629" s="45">
        <v>7.5</v>
      </c>
      <c r="S629" s="45">
        <v>7.4</v>
      </c>
      <c r="T629" s="45">
        <v>7.6</v>
      </c>
      <c r="U629" s="45">
        <v>8.699999999999999</v>
      </c>
      <c r="V629" s="45">
        <v>8.199999999999999</v>
      </c>
      <c r="W629" s="45">
        <v>9.199999999999999</v>
      </c>
      <c r="X629" s="45">
        <v>9.5</v>
      </c>
      <c r="Y629" s="45">
        <v>9.4</v>
      </c>
      <c r="Z629" s="45">
        <v>8.9</v>
      </c>
      <c r="AA629" s="45">
        <v>8.9</v>
      </c>
      <c r="AB629" s="45">
        <v>8.6</v>
      </c>
      <c r="AC629" s="45">
        <v>8</v>
      </c>
      <c r="AD629" s="45">
        <v>8.300000000000001</v>
      </c>
      <c r="AE629" s="45">
        <v>8.199999999999999</v>
      </c>
      <c r="AF629" s="45">
        <v>7.5</v>
      </c>
      <c r="AG629" s="45">
        <v>7.9</v>
      </c>
      <c r="AH629" s="45">
        <v>8</v>
      </c>
      <c r="AI629" s="45">
        <v>8.1</v>
      </c>
      <c r="AJ629" s="45">
        <v>8.199999999999999</v>
      </c>
      <c r="AK629" s="45">
        <v>7.3</v>
      </c>
      <c r="AL629" s="45">
        <v>7.6</v>
      </c>
      <c r="AM629" s="45">
        <v>7.2</v>
      </c>
      <c r="AN629" s="45">
        <v>7.1</v>
      </c>
      <c r="AO629" s="45">
        <v>6.5</v>
      </c>
      <c r="AP629" s="45">
        <v>5.9</v>
      </c>
      <c r="AQ629" s="45">
        <v>5.6</v>
      </c>
      <c r="AR629" s="45">
        <v>6</v>
      </c>
      <c r="AS629" s="45">
        <v>6.9</v>
      </c>
      <c r="AT629" s="45">
        <v>10.4</v>
      </c>
      <c r="AU629" s="45">
        <v>0</v>
      </c>
      <c r="AV629" s="45">
        <v>0</v>
      </c>
      <c r="AW629" s="45">
        <v>0</v>
      </c>
      <c r="AX629" s="45">
        <v>0</v>
      </c>
      <c r="AY629" s="45">
        <v>0</v>
      </c>
      <c r="AZ629" s="45">
        <v>0</v>
      </c>
      <c r="BA629" s="45">
        <v>0</v>
      </c>
      <c r="BB629" s="45">
        <v>0</v>
      </c>
      <c r="BC629" s="45">
        <v>0</v>
      </c>
      <c r="BD629" s="45">
        <v>0</v>
      </c>
      <c r="BE629" s="45">
        <v>0</v>
      </c>
      <c r="BF629" s="45">
        <v>0</v>
      </c>
      <c r="BG629" s="45">
        <v>0</v>
      </c>
    </row>
    <row r="630" spans="1:59">
      <c r="A630" s="18" t="s">
        <v>217</v>
      </c>
      <c r="B630" s="18" t="s">
        <v>65</v>
      </c>
      <c r="C630" s="18" t="s">
        <v>218</v>
      </c>
      <c r="D630" s="45">
        <v>0</v>
      </c>
      <c r="E630" s="45">
        <v>0</v>
      </c>
      <c r="F630" s="45">
        <v>0</v>
      </c>
      <c r="G630" s="45">
        <v>0</v>
      </c>
      <c r="H630" s="45">
        <v>0</v>
      </c>
      <c r="I630" s="45">
        <v>0</v>
      </c>
      <c r="J630" s="45">
        <v>0</v>
      </c>
      <c r="K630" s="45">
        <v>0</v>
      </c>
      <c r="L630" s="45">
        <v>0</v>
      </c>
      <c r="M630" s="45">
        <v>0</v>
      </c>
      <c r="N630" s="45">
        <v>0</v>
      </c>
      <c r="O630" s="45">
        <v>0</v>
      </c>
      <c r="P630" s="45">
        <v>0</v>
      </c>
      <c r="Q630" s="45">
        <v>0</v>
      </c>
      <c r="R630" s="45">
        <v>0</v>
      </c>
      <c r="S630" s="45">
        <v>0</v>
      </c>
      <c r="T630" s="45">
        <v>0</v>
      </c>
      <c r="U630" s="45">
        <v>0</v>
      </c>
      <c r="V630" s="45">
        <v>0</v>
      </c>
      <c r="W630" s="45">
        <v>0</v>
      </c>
      <c r="X630" s="45">
        <v>0</v>
      </c>
      <c r="Y630" s="45">
        <v>0</v>
      </c>
      <c r="Z630" s="45">
        <v>0</v>
      </c>
      <c r="AA630" s="45">
        <v>0</v>
      </c>
      <c r="AB630" s="45">
        <v>0</v>
      </c>
      <c r="AC630" s="45">
        <v>0</v>
      </c>
      <c r="AD630" s="45">
        <v>0</v>
      </c>
      <c r="AE630" s="45">
        <v>0</v>
      </c>
      <c r="AF630" s="45">
        <v>0</v>
      </c>
      <c r="AG630" s="45">
        <v>0</v>
      </c>
      <c r="AH630" s="45">
        <v>0</v>
      </c>
      <c r="AI630" s="45">
        <v>0</v>
      </c>
      <c r="AJ630" s="45">
        <v>0</v>
      </c>
      <c r="AK630" s="45">
        <v>0</v>
      </c>
      <c r="AL630" s="45">
        <v>0</v>
      </c>
      <c r="AM630" s="45">
        <v>0</v>
      </c>
      <c r="AN630" s="45">
        <v>0</v>
      </c>
      <c r="AO630" s="45">
        <v>0</v>
      </c>
      <c r="AP630" s="45">
        <v>0</v>
      </c>
      <c r="AQ630" s="45">
        <v>0</v>
      </c>
      <c r="AR630" s="45">
        <v>0</v>
      </c>
      <c r="AS630" s="45">
        <v>0</v>
      </c>
      <c r="AT630" s="45">
        <v>0</v>
      </c>
      <c r="AU630" s="45">
        <v>0</v>
      </c>
      <c r="AV630" s="45">
        <v>0</v>
      </c>
      <c r="AW630" s="45">
        <v>0</v>
      </c>
      <c r="AX630" s="45">
        <v>0</v>
      </c>
      <c r="AY630" s="45">
        <v>0</v>
      </c>
      <c r="AZ630" s="45">
        <v>0</v>
      </c>
      <c r="BA630" s="45">
        <v>0</v>
      </c>
      <c r="BB630" s="45">
        <v>0</v>
      </c>
      <c r="BC630" s="45">
        <v>0</v>
      </c>
      <c r="BD630" s="45">
        <v>0</v>
      </c>
      <c r="BE630" s="45">
        <v>0</v>
      </c>
      <c r="BF630" s="45">
        <v>0</v>
      </c>
      <c r="BG630" s="45">
        <v>0</v>
      </c>
    </row>
    <row r="631" spans="1:59">
      <c r="A631" s="18" t="s">
        <v>219</v>
      </c>
      <c r="B631" s="18" t="s">
        <v>65</v>
      </c>
      <c r="C631" s="18" t="s">
        <v>220</v>
      </c>
      <c r="D631" s="45">
        <v>0</v>
      </c>
      <c r="E631" s="45">
        <v>0</v>
      </c>
      <c r="F631" s="45">
        <v>0</v>
      </c>
      <c r="G631" s="45">
        <v>0</v>
      </c>
      <c r="H631" s="45">
        <v>3.5</v>
      </c>
      <c r="I631" s="45">
        <v>3.3</v>
      </c>
      <c r="J631" s="45">
        <v>4.2</v>
      </c>
      <c r="K631" s="45">
        <v>5.5</v>
      </c>
      <c r="L631" s="45">
        <v>5.3</v>
      </c>
      <c r="M631" s="45">
        <v>4.4</v>
      </c>
      <c r="N631" s="45">
        <v>4.3</v>
      </c>
      <c r="O631" s="45">
        <v>6</v>
      </c>
      <c r="P631" s="45">
        <v>4.8</v>
      </c>
      <c r="Q631" s="45">
        <v>4.8</v>
      </c>
      <c r="R631" s="45">
        <v>4.6</v>
      </c>
      <c r="S631" s="45">
        <v>4.8</v>
      </c>
      <c r="T631" s="45">
        <v>4.4</v>
      </c>
      <c r="U631" s="45">
        <v>3.7</v>
      </c>
      <c r="V631" s="45">
        <v>4.2</v>
      </c>
      <c r="W631" s="45">
        <v>3.1</v>
      </c>
      <c r="X631" s="45">
        <v>0</v>
      </c>
      <c r="Y631" s="45">
        <v>0</v>
      </c>
      <c r="Z631" s="45">
        <v>0</v>
      </c>
      <c r="AA631" s="45">
        <v>0</v>
      </c>
      <c r="AB631" s="45">
        <v>0</v>
      </c>
      <c r="AC631" s="45">
        <v>0</v>
      </c>
      <c r="AD631" s="45">
        <v>0</v>
      </c>
      <c r="AE631" s="45">
        <v>0</v>
      </c>
      <c r="AF631" s="45">
        <v>0</v>
      </c>
      <c r="AG631" s="45">
        <v>0</v>
      </c>
      <c r="AH631" s="45">
        <v>1.1</v>
      </c>
      <c r="AI631" s="45">
        <v>0</v>
      </c>
      <c r="AJ631" s="45">
        <v>0</v>
      </c>
      <c r="AK631" s="45">
        <v>8.699999999999999</v>
      </c>
      <c r="AL631" s="45">
        <v>4.2</v>
      </c>
      <c r="AM631" s="45">
        <v>0</v>
      </c>
      <c r="AN631" s="45">
        <v>0</v>
      </c>
      <c r="AO631" s="45">
        <v>0</v>
      </c>
      <c r="AP631" s="45">
        <v>1.8</v>
      </c>
      <c r="AQ631" s="45">
        <v>0</v>
      </c>
      <c r="AR631" s="45">
        <v>0</v>
      </c>
      <c r="AS631" s="45">
        <v>0</v>
      </c>
      <c r="AT631" s="45">
        <v>0</v>
      </c>
      <c r="AU631" s="45">
        <v>0</v>
      </c>
      <c r="AV631" s="45">
        <v>0</v>
      </c>
      <c r="AW631" s="45">
        <v>0</v>
      </c>
      <c r="AX631" s="45">
        <v>0</v>
      </c>
      <c r="AY631" s="45">
        <v>0</v>
      </c>
      <c r="AZ631" s="45">
        <v>0</v>
      </c>
      <c r="BA631" s="45">
        <v>0</v>
      </c>
      <c r="BB631" s="45">
        <v>0</v>
      </c>
      <c r="BC631" s="45">
        <v>0</v>
      </c>
      <c r="BD631" s="45">
        <v>0</v>
      </c>
      <c r="BE631" s="45">
        <v>0</v>
      </c>
      <c r="BF631" s="45">
        <v>0</v>
      </c>
      <c r="BG631" s="45">
        <v>0</v>
      </c>
    </row>
    <row r="632" spans="1:59">
      <c r="A632" s="18" t="s">
        <v>221</v>
      </c>
      <c r="B632" s="18" t="s">
        <v>92</v>
      </c>
      <c r="C632" s="18" t="s">
        <v>5</v>
      </c>
      <c r="D632" s="45">
        <v>0</v>
      </c>
      <c r="E632" s="45">
        <v>0</v>
      </c>
      <c r="F632" s="45">
        <v>0</v>
      </c>
      <c r="G632" s="45">
        <v>0</v>
      </c>
      <c r="H632" s="45">
        <v>0</v>
      </c>
      <c r="I632" s="45">
        <v>2.5</v>
      </c>
      <c r="J632" s="45">
        <v>4.9</v>
      </c>
      <c r="K632" s="45">
        <v>8</v>
      </c>
      <c r="L632" s="45">
        <v>8</v>
      </c>
      <c r="M632" s="45">
        <v>8.199999999999999</v>
      </c>
      <c r="N632" s="45">
        <v>7.4</v>
      </c>
      <c r="O632" s="45">
        <v>8</v>
      </c>
      <c r="P632" s="45">
        <v>6.2</v>
      </c>
      <c r="Q632" s="45">
        <v>6.5</v>
      </c>
      <c r="R632" s="45">
        <v>6.9</v>
      </c>
      <c r="S632" s="45">
        <v>6.3</v>
      </c>
      <c r="T632" s="45">
        <v>6.1</v>
      </c>
      <c r="U632" s="45">
        <v>6.4</v>
      </c>
      <c r="V632" s="45">
        <v>6.8</v>
      </c>
      <c r="W632" s="45">
        <v>6.9</v>
      </c>
      <c r="X632" s="45">
        <v>7.6</v>
      </c>
      <c r="Y632" s="45">
        <v>7</v>
      </c>
      <c r="Z632" s="45">
        <v>7.3</v>
      </c>
      <c r="AA632" s="45">
        <v>7.1</v>
      </c>
      <c r="AB632" s="45">
        <v>8</v>
      </c>
      <c r="AC632" s="45">
        <v>7.2</v>
      </c>
      <c r="AD632" s="45">
        <v>7.6</v>
      </c>
      <c r="AE632" s="45">
        <v>6.5</v>
      </c>
      <c r="AF632" s="45">
        <v>7.8</v>
      </c>
      <c r="AG632" s="45">
        <v>6.7</v>
      </c>
      <c r="AH632" s="45">
        <v>7.1</v>
      </c>
      <c r="AI632" s="45">
        <v>6.5</v>
      </c>
      <c r="AJ632" s="45">
        <v>6.3</v>
      </c>
      <c r="AK632" s="45">
        <v>7.4</v>
      </c>
      <c r="AL632" s="45">
        <v>7</v>
      </c>
      <c r="AM632" s="45">
        <v>6.9</v>
      </c>
      <c r="AN632" s="45">
        <v>7</v>
      </c>
      <c r="AO632" s="45">
        <v>6.9</v>
      </c>
      <c r="AP632" s="45">
        <v>6.1</v>
      </c>
      <c r="AQ632" s="45">
        <v>5.4</v>
      </c>
      <c r="AR632" s="45">
        <v>6</v>
      </c>
      <c r="AS632" s="45">
        <v>6.5</v>
      </c>
      <c r="AT632" s="45">
        <v>0</v>
      </c>
      <c r="AU632" s="45">
        <v>0</v>
      </c>
      <c r="AV632" s="45">
        <v>0</v>
      </c>
      <c r="AW632" s="45">
        <v>0</v>
      </c>
      <c r="AX632" s="45">
        <v>0</v>
      </c>
      <c r="AY632" s="45">
        <v>0</v>
      </c>
      <c r="AZ632" s="45">
        <v>0</v>
      </c>
      <c r="BA632" s="45">
        <v>0</v>
      </c>
      <c r="BB632" s="45">
        <v>0</v>
      </c>
      <c r="BC632" s="45">
        <v>0</v>
      </c>
      <c r="BD632" s="45">
        <v>0</v>
      </c>
      <c r="BE632" s="45">
        <v>0</v>
      </c>
      <c r="BF632" s="45">
        <v>0</v>
      </c>
      <c r="BG632" s="45">
        <v>0</v>
      </c>
    </row>
    <row r="633" spans="1:59">
      <c r="A633" s="18" t="s">
        <v>222</v>
      </c>
      <c r="B633" s="18" t="s">
        <v>92</v>
      </c>
      <c r="C633" s="18" t="s">
        <v>210</v>
      </c>
      <c r="D633" s="45">
        <v>0</v>
      </c>
      <c r="E633" s="45">
        <v>0</v>
      </c>
      <c r="F633" s="45">
        <v>0</v>
      </c>
      <c r="G633" s="45">
        <v>0</v>
      </c>
      <c r="H633" s="45">
        <v>0</v>
      </c>
      <c r="I633" s="45">
        <v>3.3</v>
      </c>
      <c r="J633" s="45">
        <v>5</v>
      </c>
      <c r="K633" s="45">
        <v>8.6</v>
      </c>
      <c r="L633" s="45">
        <v>10.6</v>
      </c>
      <c r="M633" s="45">
        <v>10.2</v>
      </c>
      <c r="N633" s="45">
        <v>8.6</v>
      </c>
      <c r="O633" s="45">
        <v>8</v>
      </c>
      <c r="P633" s="45">
        <v>7.9</v>
      </c>
      <c r="Q633" s="45">
        <v>8.1</v>
      </c>
      <c r="R633" s="45">
        <v>8.300000000000001</v>
      </c>
      <c r="S633" s="45">
        <v>6.9</v>
      </c>
      <c r="T633" s="45">
        <v>7.4</v>
      </c>
      <c r="U633" s="45">
        <v>7.4</v>
      </c>
      <c r="V633" s="45">
        <v>8.300000000000001</v>
      </c>
      <c r="W633" s="45">
        <v>8.5</v>
      </c>
      <c r="X633" s="45">
        <v>7.4</v>
      </c>
      <c r="Y633" s="45">
        <v>7.8</v>
      </c>
      <c r="Z633" s="45">
        <v>8.6</v>
      </c>
      <c r="AA633" s="45">
        <v>10</v>
      </c>
      <c r="AB633" s="45">
        <v>7.8</v>
      </c>
      <c r="AC633" s="45">
        <v>8.699999999999999</v>
      </c>
      <c r="AD633" s="45">
        <v>7.8</v>
      </c>
      <c r="AE633" s="45">
        <v>7.4</v>
      </c>
      <c r="AF633" s="45">
        <v>7.6</v>
      </c>
      <c r="AG633" s="45">
        <v>7.9</v>
      </c>
      <c r="AH633" s="45">
        <v>7.3</v>
      </c>
      <c r="AI633" s="45">
        <v>7.8</v>
      </c>
      <c r="AJ633" s="45">
        <v>7.7</v>
      </c>
      <c r="AK633" s="45">
        <v>7.7</v>
      </c>
      <c r="AL633" s="45">
        <v>7.5</v>
      </c>
      <c r="AM633" s="45">
        <v>7.9</v>
      </c>
      <c r="AN633" s="45">
        <v>6.6</v>
      </c>
      <c r="AO633" s="45">
        <v>6.7</v>
      </c>
      <c r="AP633" s="45">
        <v>5.8</v>
      </c>
      <c r="AQ633" s="45">
        <v>6.1</v>
      </c>
      <c r="AR633" s="45">
        <v>5.9</v>
      </c>
      <c r="AS633" s="45">
        <v>7.6</v>
      </c>
      <c r="AT633" s="45">
        <v>0</v>
      </c>
      <c r="AU633" s="45">
        <v>0</v>
      </c>
      <c r="AV633" s="45">
        <v>0</v>
      </c>
      <c r="AW633" s="45">
        <v>0</v>
      </c>
      <c r="AX633" s="45">
        <v>0</v>
      </c>
      <c r="AY633" s="45">
        <v>0</v>
      </c>
      <c r="AZ633" s="45">
        <v>0</v>
      </c>
      <c r="BA633" s="45">
        <v>0</v>
      </c>
      <c r="BB633" s="45">
        <v>0</v>
      </c>
      <c r="BC633" s="45">
        <v>0</v>
      </c>
      <c r="BD633" s="45">
        <v>0</v>
      </c>
      <c r="BE633" s="45">
        <v>0</v>
      </c>
      <c r="BF633" s="45">
        <v>0</v>
      </c>
      <c r="BG633" s="45">
        <v>0</v>
      </c>
    </row>
    <row r="634" spans="1:59">
      <c r="A634" s="18" t="s">
        <v>223</v>
      </c>
      <c r="B634" s="18" t="s">
        <v>92</v>
      </c>
      <c r="C634" s="18" t="s">
        <v>212</v>
      </c>
      <c r="D634" s="45">
        <v>0</v>
      </c>
      <c r="E634" s="45">
        <v>0</v>
      </c>
      <c r="F634" s="45">
        <v>0</v>
      </c>
      <c r="G634" s="45">
        <v>0</v>
      </c>
      <c r="H634" s="45">
        <v>0</v>
      </c>
      <c r="I634" s="45">
        <v>3.4</v>
      </c>
      <c r="J634" s="45">
        <v>8.300000000000001</v>
      </c>
      <c r="K634" s="45">
        <v>11.1</v>
      </c>
      <c r="L634" s="45">
        <v>10.3</v>
      </c>
      <c r="M634" s="45">
        <v>10.4</v>
      </c>
      <c r="N634" s="45">
        <v>11.7</v>
      </c>
      <c r="O634" s="45">
        <v>8.4</v>
      </c>
      <c r="P634" s="45">
        <v>8.199999999999999</v>
      </c>
      <c r="Q634" s="45">
        <v>8.300000000000001</v>
      </c>
      <c r="R634" s="45">
        <v>7.6</v>
      </c>
      <c r="S634" s="45">
        <v>8.300000000000001</v>
      </c>
      <c r="T634" s="45">
        <v>7.8</v>
      </c>
      <c r="U634" s="45">
        <v>8.1</v>
      </c>
      <c r="V634" s="45">
        <v>8</v>
      </c>
      <c r="W634" s="45">
        <v>9.1</v>
      </c>
      <c r="X634" s="45">
        <v>8.300000000000001</v>
      </c>
      <c r="Y634" s="45">
        <v>9</v>
      </c>
      <c r="Z634" s="45">
        <v>9</v>
      </c>
      <c r="AA634" s="45">
        <v>8.6</v>
      </c>
      <c r="AB634" s="45">
        <v>7.7</v>
      </c>
      <c r="AC634" s="45">
        <v>9</v>
      </c>
      <c r="AD634" s="45">
        <v>8.199999999999999</v>
      </c>
      <c r="AE634" s="45">
        <v>8.4</v>
      </c>
      <c r="AF634" s="45">
        <v>7.7</v>
      </c>
      <c r="AG634" s="45">
        <v>7.3</v>
      </c>
      <c r="AH634" s="45">
        <v>7.7</v>
      </c>
      <c r="AI634" s="45">
        <v>8.300000000000001</v>
      </c>
      <c r="AJ634" s="45">
        <v>7.7</v>
      </c>
      <c r="AK634" s="45">
        <v>7.9</v>
      </c>
      <c r="AL634" s="45">
        <v>6.8</v>
      </c>
      <c r="AM634" s="45">
        <v>7.6</v>
      </c>
      <c r="AN634" s="45">
        <v>7.7</v>
      </c>
      <c r="AO634" s="45">
        <v>6.8</v>
      </c>
      <c r="AP634" s="45">
        <v>6.2</v>
      </c>
      <c r="AQ634" s="45">
        <v>6.2</v>
      </c>
      <c r="AR634" s="45">
        <v>5.7</v>
      </c>
      <c r="AS634" s="45">
        <v>7</v>
      </c>
      <c r="AT634" s="45">
        <v>0</v>
      </c>
      <c r="AU634" s="45">
        <v>0</v>
      </c>
      <c r="AV634" s="45">
        <v>0</v>
      </c>
      <c r="AW634" s="45">
        <v>0</v>
      </c>
      <c r="AX634" s="45">
        <v>0</v>
      </c>
      <c r="AY634" s="45">
        <v>0</v>
      </c>
      <c r="AZ634" s="45">
        <v>0</v>
      </c>
      <c r="BA634" s="45">
        <v>0</v>
      </c>
      <c r="BB634" s="45">
        <v>0</v>
      </c>
      <c r="BC634" s="45">
        <v>0</v>
      </c>
      <c r="BD634" s="45">
        <v>0</v>
      </c>
      <c r="BE634" s="45">
        <v>0</v>
      </c>
      <c r="BF634" s="45">
        <v>0</v>
      </c>
      <c r="BG634" s="45">
        <v>0</v>
      </c>
    </row>
    <row r="635" spans="1:59">
      <c r="A635" s="18" t="s">
        <v>224</v>
      </c>
      <c r="B635" s="18" t="s">
        <v>92</v>
      </c>
      <c r="C635" s="18" t="s">
        <v>214</v>
      </c>
      <c r="D635" s="45">
        <v>0</v>
      </c>
      <c r="E635" s="45">
        <v>0</v>
      </c>
      <c r="F635" s="45">
        <v>0</v>
      </c>
      <c r="G635" s="45">
        <v>0</v>
      </c>
      <c r="H635" s="45">
        <v>0</v>
      </c>
      <c r="I635" s="45">
        <v>3.4</v>
      </c>
      <c r="J635" s="45">
        <v>8.199999999999999</v>
      </c>
      <c r="K635" s="45">
        <v>11.4</v>
      </c>
      <c r="L635" s="45">
        <v>12.4</v>
      </c>
      <c r="M635" s="45">
        <v>9.9</v>
      </c>
      <c r="N635" s="45">
        <v>10.9</v>
      </c>
      <c r="O635" s="45">
        <v>9.199999999999999</v>
      </c>
      <c r="P635" s="45">
        <v>8.699999999999999</v>
      </c>
      <c r="Q635" s="45">
        <v>8.199999999999999</v>
      </c>
      <c r="R635" s="45">
        <v>8</v>
      </c>
      <c r="S635" s="45">
        <v>7.9</v>
      </c>
      <c r="T635" s="45">
        <v>8.800000000000001</v>
      </c>
      <c r="U635" s="45">
        <v>9.1</v>
      </c>
      <c r="V635" s="45">
        <v>8.9</v>
      </c>
      <c r="W635" s="45">
        <v>8.699999999999999</v>
      </c>
      <c r="X635" s="45">
        <v>8.5</v>
      </c>
      <c r="Y635" s="45">
        <v>11.1</v>
      </c>
      <c r="Z635" s="45">
        <v>8.9</v>
      </c>
      <c r="AA635" s="45">
        <v>10.3</v>
      </c>
      <c r="AB635" s="45">
        <v>9</v>
      </c>
      <c r="AC635" s="45">
        <v>8.699999999999999</v>
      </c>
      <c r="AD635" s="45">
        <v>9</v>
      </c>
      <c r="AE635" s="45">
        <v>7.1</v>
      </c>
      <c r="AF635" s="45">
        <v>8.4</v>
      </c>
      <c r="AG635" s="45">
        <v>7.5</v>
      </c>
      <c r="AH635" s="45">
        <v>7.4</v>
      </c>
      <c r="AI635" s="45">
        <v>8.199999999999999</v>
      </c>
      <c r="AJ635" s="45">
        <v>9</v>
      </c>
      <c r="AK635" s="45">
        <v>7.5</v>
      </c>
      <c r="AL635" s="45">
        <v>7.3</v>
      </c>
      <c r="AM635" s="45">
        <v>7.7</v>
      </c>
      <c r="AN635" s="45">
        <v>7.5</v>
      </c>
      <c r="AO635" s="45">
        <v>7.7</v>
      </c>
      <c r="AP635" s="45">
        <v>6.7</v>
      </c>
      <c r="AQ635" s="45">
        <v>6</v>
      </c>
      <c r="AR635" s="45">
        <v>6.4</v>
      </c>
      <c r="AS635" s="45">
        <v>7.1</v>
      </c>
      <c r="AT635" s="45">
        <v>0</v>
      </c>
      <c r="AU635" s="45">
        <v>0</v>
      </c>
      <c r="AV635" s="45">
        <v>0</v>
      </c>
      <c r="AW635" s="45">
        <v>0</v>
      </c>
      <c r="AX635" s="45">
        <v>0</v>
      </c>
      <c r="AY635" s="45">
        <v>0</v>
      </c>
      <c r="AZ635" s="45">
        <v>0</v>
      </c>
      <c r="BA635" s="45">
        <v>0</v>
      </c>
      <c r="BB635" s="45">
        <v>0</v>
      </c>
      <c r="BC635" s="45">
        <v>0</v>
      </c>
      <c r="BD635" s="45">
        <v>0</v>
      </c>
      <c r="BE635" s="45">
        <v>0</v>
      </c>
      <c r="BF635" s="45">
        <v>0</v>
      </c>
      <c r="BG635" s="45">
        <v>0</v>
      </c>
    </row>
    <row r="636" spans="1:59">
      <c r="A636" s="18" t="s">
        <v>225</v>
      </c>
      <c r="B636" s="18" t="s">
        <v>92</v>
      </c>
      <c r="C636" s="18" t="s">
        <v>216</v>
      </c>
      <c r="D636" s="45">
        <v>0</v>
      </c>
      <c r="E636" s="45">
        <v>0</v>
      </c>
      <c r="F636" s="45">
        <v>0</v>
      </c>
      <c r="G636" s="45">
        <v>0</v>
      </c>
      <c r="H636" s="45">
        <v>0</v>
      </c>
      <c r="I636" s="45">
        <v>3.2</v>
      </c>
      <c r="J636" s="45">
        <v>6.2</v>
      </c>
      <c r="K636" s="45">
        <v>10.9</v>
      </c>
      <c r="L636" s="45">
        <v>11.7</v>
      </c>
      <c r="M636" s="45">
        <v>11.4</v>
      </c>
      <c r="N636" s="45">
        <v>8.699999999999999</v>
      </c>
      <c r="O636" s="45">
        <v>9.199999999999999</v>
      </c>
      <c r="P636" s="45">
        <v>8.699999999999999</v>
      </c>
      <c r="Q636" s="45">
        <v>9</v>
      </c>
      <c r="R636" s="45">
        <v>7.9</v>
      </c>
      <c r="S636" s="45">
        <v>8.1</v>
      </c>
      <c r="T636" s="45">
        <v>8.5</v>
      </c>
      <c r="U636" s="45">
        <v>8.6</v>
      </c>
      <c r="V636" s="45">
        <v>7.7</v>
      </c>
      <c r="W636" s="45">
        <v>7.9</v>
      </c>
      <c r="X636" s="45">
        <v>9.300000000000001</v>
      </c>
      <c r="Y636" s="45">
        <v>9.4</v>
      </c>
      <c r="Z636" s="45">
        <v>8.1</v>
      </c>
      <c r="AA636" s="45">
        <v>8.6</v>
      </c>
      <c r="AB636" s="45">
        <v>8.699999999999999</v>
      </c>
      <c r="AC636" s="45">
        <v>7.6</v>
      </c>
      <c r="AD636" s="45">
        <v>8.9</v>
      </c>
      <c r="AE636" s="45">
        <v>8.9</v>
      </c>
      <c r="AF636" s="45">
        <v>7.3</v>
      </c>
      <c r="AG636" s="45">
        <v>8.5</v>
      </c>
      <c r="AH636" s="45">
        <v>7.5</v>
      </c>
      <c r="AI636" s="45">
        <v>9.300000000000001</v>
      </c>
      <c r="AJ636" s="45">
        <v>7.3</v>
      </c>
      <c r="AK636" s="45">
        <v>7.8</v>
      </c>
      <c r="AL636" s="45">
        <v>7.8</v>
      </c>
      <c r="AM636" s="45">
        <v>7.1</v>
      </c>
      <c r="AN636" s="45">
        <v>7.1</v>
      </c>
      <c r="AO636" s="45">
        <v>6.9</v>
      </c>
      <c r="AP636" s="45">
        <v>6.2</v>
      </c>
      <c r="AQ636" s="45">
        <v>6.3</v>
      </c>
      <c r="AR636" s="45">
        <v>6.3</v>
      </c>
      <c r="AS636" s="45">
        <v>5.8</v>
      </c>
      <c r="AT636" s="45">
        <v>9.4</v>
      </c>
      <c r="AU636" s="45">
        <v>0</v>
      </c>
      <c r="AV636" s="45">
        <v>0</v>
      </c>
      <c r="AW636" s="45">
        <v>0</v>
      </c>
      <c r="AX636" s="45">
        <v>0</v>
      </c>
      <c r="AY636" s="45">
        <v>0</v>
      </c>
      <c r="AZ636" s="45">
        <v>0</v>
      </c>
      <c r="BA636" s="45">
        <v>0</v>
      </c>
      <c r="BB636" s="45">
        <v>0</v>
      </c>
      <c r="BC636" s="45">
        <v>0</v>
      </c>
      <c r="BD636" s="45">
        <v>0</v>
      </c>
      <c r="BE636" s="45">
        <v>0</v>
      </c>
      <c r="BF636" s="45">
        <v>0</v>
      </c>
      <c r="BG636" s="45">
        <v>0</v>
      </c>
    </row>
    <row r="637" spans="1:59">
      <c r="A637" s="18" t="s">
        <v>226</v>
      </c>
      <c r="B637" s="18" t="s">
        <v>92</v>
      </c>
      <c r="C637" s="18" t="s">
        <v>218</v>
      </c>
      <c r="D637" s="45">
        <v>0</v>
      </c>
      <c r="E637" s="45">
        <v>0</v>
      </c>
      <c r="F637" s="45">
        <v>0</v>
      </c>
      <c r="G637" s="45">
        <v>0</v>
      </c>
      <c r="H637" s="45">
        <v>0</v>
      </c>
      <c r="I637" s="45">
        <v>0</v>
      </c>
      <c r="J637" s="45">
        <v>0</v>
      </c>
      <c r="K637" s="45">
        <v>0</v>
      </c>
      <c r="L637" s="45">
        <v>0</v>
      </c>
      <c r="M637" s="45">
        <v>0</v>
      </c>
      <c r="N637" s="45">
        <v>0</v>
      </c>
      <c r="O637" s="45">
        <v>0</v>
      </c>
      <c r="P637" s="45">
        <v>0</v>
      </c>
      <c r="Q637" s="45">
        <v>0</v>
      </c>
      <c r="R637" s="45">
        <v>0</v>
      </c>
      <c r="S637" s="45">
        <v>0</v>
      </c>
      <c r="T637" s="45">
        <v>0</v>
      </c>
      <c r="U637" s="45">
        <v>0</v>
      </c>
      <c r="V637" s="45">
        <v>0</v>
      </c>
      <c r="W637" s="45">
        <v>0</v>
      </c>
      <c r="X637" s="45">
        <v>0</v>
      </c>
      <c r="Y637" s="45">
        <v>0</v>
      </c>
      <c r="Z637" s="45">
        <v>0</v>
      </c>
      <c r="AA637" s="45">
        <v>0</v>
      </c>
      <c r="AB637" s="45">
        <v>0</v>
      </c>
      <c r="AC637" s="45">
        <v>0</v>
      </c>
      <c r="AD637" s="45">
        <v>0</v>
      </c>
      <c r="AE637" s="45">
        <v>0</v>
      </c>
      <c r="AF637" s="45">
        <v>0</v>
      </c>
      <c r="AG637" s="45">
        <v>0</v>
      </c>
      <c r="AH637" s="45">
        <v>0</v>
      </c>
      <c r="AI637" s="45">
        <v>0</v>
      </c>
      <c r="AJ637" s="45">
        <v>0</v>
      </c>
      <c r="AK637" s="45">
        <v>0</v>
      </c>
      <c r="AL637" s="45">
        <v>0</v>
      </c>
      <c r="AM637" s="45">
        <v>0</v>
      </c>
      <c r="AN637" s="45">
        <v>0</v>
      </c>
      <c r="AO637" s="45">
        <v>0</v>
      </c>
      <c r="AP637" s="45">
        <v>0</v>
      </c>
      <c r="AQ637" s="45">
        <v>0</v>
      </c>
      <c r="AR637" s="45">
        <v>0</v>
      </c>
      <c r="AS637" s="45">
        <v>0</v>
      </c>
      <c r="AT637" s="45">
        <v>0</v>
      </c>
      <c r="AU637" s="45">
        <v>0</v>
      </c>
      <c r="AV637" s="45">
        <v>0</v>
      </c>
      <c r="AW637" s="45">
        <v>0</v>
      </c>
      <c r="AX637" s="45">
        <v>0</v>
      </c>
      <c r="AY637" s="45">
        <v>0</v>
      </c>
      <c r="AZ637" s="45">
        <v>0</v>
      </c>
      <c r="BA637" s="45">
        <v>0</v>
      </c>
      <c r="BB637" s="45">
        <v>0</v>
      </c>
      <c r="BC637" s="45">
        <v>0</v>
      </c>
      <c r="BD637" s="45">
        <v>0</v>
      </c>
      <c r="BE637" s="45">
        <v>0</v>
      </c>
      <c r="BF637" s="45">
        <v>0</v>
      </c>
      <c r="BG637" s="45">
        <v>0</v>
      </c>
    </row>
    <row r="638" spans="1:59">
      <c r="A638" s="18" t="s">
        <v>227</v>
      </c>
      <c r="B638" s="18" t="s">
        <v>92</v>
      </c>
      <c r="C638" s="18" t="s">
        <v>220</v>
      </c>
      <c r="D638" s="45">
        <v>0</v>
      </c>
      <c r="E638" s="45">
        <v>0</v>
      </c>
      <c r="F638" s="45">
        <v>0</v>
      </c>
      <c r="G638" s="45">
        <v>0</v>
      </c>
      <c r="H638" s="45">
        <v>0</v>
      </c>
      <c r="I638" s="45">
        <v>0</v>
      </c>
      <c r="J638" s="45">
        <v>3.6</v>
      </c>
      <c r="K638" s="45">
        <v>3.4</v>
      </c>
      <c r="L638" s="45">
        <v>5.6</v>
      </c>
      <c r="M638" s="45">
        <v>3.9</v>
      </c>
      <c r="N638" s="45">
        <v>4.7</v>
      </c>
      <c r="O638" s="45">
        <v>2.9</v>
      </c>
      <c r="P638" s="45">
        <v>4.6</v>
      </c>
      <c r="Q638" s="45">
        <v>4.8</v>
      </c>
      <c r="R638" s="45">
        <v>4.4</v>
      </c>
      <c r="S638" s="45">
        <v>5.1</v>
      </c>
      <c r="T638" s="45">
        <v>4.8</v>
      </c>
      <c r="U638" s="45">
        <v>4</v>
      </c>
      <c r="V638" s="45">
        <v>2.8</v>
      </c>
      <c r="W638" s="45">
        <v>3.6</v>
      </c>
      <c r="X638" s="45">
        <v>0</v>
      </c>
      <c r="Y638" s="45">
        <v>0</v>
      </c>
      <c r="Z638" s="45">
        <v>0</v>
      </c>
      <c r="AA638" s="45">
        <v>0</v>
      </c>
      <c r="AB638" s="45">
        <v>0</v>
      </c>
      <c r="AC638" s="45">
        <v>0</v>
      </c>
      <c r="AD638" s="45">
        <v>0</v>
      </c>
      <c r="AE638" s="45">
        <v>0</v>
      </c>
      <c r="AF638" s="45">
        <v>0</v>
      </c>
      <c r="AG638" s="45">
        <v>0</v>
      </c>
      <c r="AH638" s="45">
        <v>0</v>
      </c>
      <c r="AI638" s="45">
        <v>0</v>
      </c>
      <c r="AJ638" s="45">
        <v>0</v>
      </c>
      <c r="AK638" s="45">
        <v>0</v>
      </c>
      <c r="AL638" s="45">
        <v>0</v>
      </c>
      <c r="AM638" s="45">
        <v>0</v>
      </c>
      <c r="AN638" s="45">
        <v>0</v>
      </c>
      <c r="AO638" s="45">
        <v>0</v>
      </c>
      <c r="AP638" s="45">
        <v>0</v>
      </c>
      <c r="AQ638" s="45">
        <v>0</v>
      </c>
      <c r="AR638" s="45">
        <v>0</v>
      </c>
      <c r="AS638" s="45">
        <v>0</v>
      </c>
      <c r="AT638" s="45">
        <v>0</v>
      </c>
      <c r="AU638" s="45">
        <v>0</v>
      </c>
      <c r="AV638" s="45">
        <v>0</v>
      </c>
      <c r="AW638" s="45">
        <v>0</v>
      </c>
      <c r="AX638" s="45">
        <v>0</v>
      </c>
      <c r="AY638" s="45">
        <v>0</v>
      </c>
      <c r="AZ638" s="45">
        <v>0</v>
      </c>
      <c r="BA638" s="45">
        <v>0</v>
      </c>
      <c r="BB638" s="45">
        <v>0</v>
      </c>
      <c r="BC638" s="45">
        <v>0</v>
      </c>
      <c r="BD638" s="45">
        <v>0</v>
      </c>
      <c r="BE638" s="45">
        <v>0</v>
      </c>
      <c r="BF638" s="45">
        <v>0</v>
      </c>
      <c r="BG638" s="45">
        <v>0</v>
      </c>
    </row>
    <row r="639" spans="1:59">
      <c r="A639" s="18" t="s">
        <v>228</v>
      </c>
      <c r="B639" s="18" t="s">
        <v>106</v>
      </c>
      <c r="C639" s="18" t="s">
        <v>5</v>
      </c>
      <c r="D639" s="45">
        <v>0</v>
      </c>
      <c r="E639" s="45">
        <v>0</v>
      </c>
      <c r="F639" s="45">
        <v>0</v>
      </c>
      <c r="G639" s="45">
        <v>0</v>
      </c>
      <c r="H639" s="45">
        <v>2.9</v>
      </c>
      <c r="I639" s="45">
        <v>7.6</v>
      </c>
      <c r="J639" s="45">
        <v>9.800000000000001</v>
      </c>
      <c r="K639" s="45">
        <v>8.699999999999999</v>
      </c>
      <c r="L639" s="45">
        <v>8.5</v>
      </c>
      <c r="M639" s="45">
        <v>8</v>
      </c>
      <c r="N639" s="45">
        <v>7.8</v>
      </c>
      <c r="O639" s="45">
        <v>6.3</v>
      </c>
      <c r="P639" s="45">
        <v>6.3</v>
      </c>
      <c r="Q639" s="45">
        <v>5.8</v>
      </c>
      <c r="R639" s="45">
        <v>7.6</v>
      </c>
      <c r="S639" s="45">
        <v>7</v>
      </c>
      <c r="T639" s="45">
        <v>6.8</v>
      </c>
      <c r="U639" s="45">
        <v>7.5</v>
      </c>
      <c r="V639" s="45">
        <v>7.2</v>
      </c>
      <c r="W639" s="45">
        <v>9.699999999999999</v>
      </c>
      <c r="X639" s="45">
        <v>8.5</v>
      </c>
      <c r="Y639" s="45">
        <v>9</v>
      </c>
      <c r="Z639" s="45">
        <v>8.300000000000001</v>
      </c>
      <c r="AA639" s="45">
        <v>9.300000000000001</v>
      </c>
      <c r="AB639" s="45">
        <v>7.8</v>
      </c>
      <c r="AC639" s="45">
        <v>6.5</v>
      </c>
      <c r="AD639" s="45">
        <v>8.300000000000001</v>
      </c>
      <c r="AE639" s="45">
        <v>8.1</v>
      </c>
      <c r="AF639" s="45">
        <v>7.3</v>
      </c>
      <c r="AG639" s="45">
        <v>8.4</v>
      </c>
      <c r="AH639" s="45">
        <v>7.4</v>
      </c>
      <c r="AI639" s="45">
        <v>8.9</v>
      </c>
      <c r="AJ639" s="45">
        <v>8.300000000000001</v>
      </c>
      <c r="AK639" s="45">
        <v>7.8</v>
      </c>
      <c r="AL639" s="45">
        <v>8.6</v>
      </c>
      <c r="AM639" s="45">
        <v>8.199999999999999</v>
      </c>
      <c r="AN639" s="45">
        <v>7.1</v>
      </c>
      <c r="AO639" s="45">
        <v>6.6</v>
      </c>
      <c r="AP639" s="45">
        <v>6.8</v>
      </c>
      <c r="AQ639" s="45">
        <v>5.2</v>
      </c>
      <c r="AR639" s="45">
        <v>4.9</v>
      </c>
      <c r="AS639" s="45">
        <v>0</v>
      </c>
      <c r="AT639" s="45">
        <v>0</v>
      </c>
      <c r="AU639" s="45">
        <v>0</v>
      </c>
      <c r="AV639" s="45">
        <v>0</v>
      </c>
      <c r="AW639" s="45">
        <v>0</v>
      </c>
      <c r="AX639" s="45">
        <v>0</v>
      </c>
      <c r="AY639" s="45">
        <v>0</v>
      </c>
      <c r="AZ639" s="45">
        <v>0</v>
      </c>
      <c r="BA639" s="45">
        <v>0</v>
      </c>
      <c r="BB639" s="45">
        <v>0</v>
      </c>
      <c r="BC639" s="45">
        <v>0</v>
      </c>
      <c r="BD639" s="45">
        <v>0</v>
      </c>
      <c r="BE639" s="45">
        <v>0</v>
      </c>
      <c r="BF639" s="45">
        <v>0</v>
      </c>
      <c r="BG639" s="45">
        <v>0</v>
      </c>
    </row>
    <row r="640" spans="1:59">
      <c r="A640" s="18" t="s">
        <v>229</v>
      </c>
      <c r="B640" s="18" t="s">
        <v>106</v>
      </c>
      <c r="C640" s="18" t="s">
        <v>210</v>
      </c>
      <c r="D640" s="45">
        <v>0</v>
      </c>
      <c r="E640" s="45">
        <v>0</v>
      </c>
      <c r="F640" s="45">
        <v>0</v>
      </c>
      <c r="G640" s="45">
        <v>0</v>
      </c>
      <c r="H640" s="45">
        <v>0</v>
      </c>
      <c r="I640" s="45">
        <v>10.1</v>
      </c>
      <c r="J640" s="45">
        <v>10.5</v>
      </c>
      <c r="K640" s="45">
        <v>10</v>
      </c>
      <c r="L640" s="45">
        <v>9.5</v>
      </c>
      <c r="M640" s="45">
        <v>9.199999999999999</v>
      </c>
      <c r="N640" s="45">
        <v>8.5</v>
      </c>
      <c r="O640" s="45">
        <v>8.6</v>
      </c>
      <c r="P640" s="45">
        <v>7.9</v>
      </c>
      <c r="Q640" s="45">
        <v>7.6</v>
      </c>
      <c r="R640" s="45">
        <v>7.8</v>
      </c>
      <c r="S640" s="45">
        <v>7</v>
      </c>
      <c r="T640" s="45">
        <v>7.1</v>
      </c>
      <c r="U640" s="45">
        <v>7.9</v>
      </c>
      <c r="V640" s="45">
        <v>8</v>
      </c>
      <c r="W640" s="45">
        <v>9.800000000000001</v>
      </c>
      <c r="X640" s="45">
        <v>8.1</v>
      </c>
      <c r="Y640" s="45">
        <v>9.4</v>
      </c>
      <c r="Z640" s="45">
        <v>9.1</v>
      </c>
      <c r="AA640" s="45">
        <v>9.300000000000001</v>
      </c>
      <c r="AB640" s="45">
        <v>9.6</v>
      </c>
      <c r="AC640" s="45">
        <v>10.1</v>
      </c>
      <c r="AD640" s="45">
        <v>8.300000000000001</v>
      </c>
      <c r="AE640" s="45">
        <v>7.6</v>
      </c>
      <c r="AF640" s="45">
        <v>9.1</v>
      </c>
      <c r="AG640" s="45">
        <v>8.800000000000001</v>
      </c>
      <c r="AH640" s="45">
        <v>7.8</v>
      </c>
      <c r="AI640" s="45">
        <v>7.4</v>
      </c>
      <c r="AJ640" s="45">
        <v>8.699999999999999</v>
      </c>
      <c r="AK640" s="45">
        <v>8.4</v>
      </c>
      <c r="AL640" s="45">
        <v>8.300000000000001</v>
      </c>
      <c r="AM640" s="45">
        <v>9.199999999999999</v>
      </c>
      <c r="AN640" s="45">
        <v>8.6</v>
      </c>
      <c r="AO640" s="45">
        <v>7.1</v>
      </c>
      <c r="AP640" s="45">
        <v>6.6</v>
      </c>
      <c r="AQ640" s="45">
        <v>6</v>
      </c>
      <c r="AR640" s="45">
        <v>3.8</v>
      </c>
      <c r="AS640" s="45">
        <v>0</v>
      </c>
      <c r="AT640" s="45">
        <v>0</v>
      </c>
      <c r="AU640" s="45">
        <v>0</v>
      </c>
      <c r="AV640" s="45">
        <v>0</v>
      </c>
      <c r="AW640" s="45">
        <v>0</v>
      </c>
      <c r="AX640" s="45">
        <v>0</v>
      </c>
      <c r="AY640" s="45">
        <v>0</v>
      </c>
      <c r="AZ640" s="45">
        <v>0</v>
      </c>
      <c r="BA640" s="45">
        <v>0</v>
      </c>
      <c r="BB640" s="45">
        <v>0</v>
      </c>
      <c r="BC640" s="45">
        <v>0</v>
      </c>
      <c r="BD640" s="45">
        <v>0</v>
      </c>
      <c r="BE640" s="45">
        <v>0</v>
      </c>
      <c r="BF640" s="45">
        <v>0</v>
      </c>
      <c r="BG640" s="45">
        <v>0</v>
      </c>
    </row>
    <row r="641" spans="1:59">
      <c r="A641" s="18" t="s">
        <v>230</v>
      </c>
      <c r="B641" s="18" t="s">
        <v>106</v>
      </c>
      <c r="C641" s="18" t="s">
        <v>212</v>
      </c>
      <c r="D641" s="45">
        <v>0</v>
      </c>
      <c r="E641" s="45">
        <v>0</v>
      </c>
      <c r="F641" s="45">
        <v>0</v>
      </c>
      <c r="G641" s="45">
        <v>0</v>
      </c>
      <c r="H641" s="45">
        <v>3.8</v>
      </c>
      <c r="I641" s="45">
        <v>13.2</v>
      </c>
      <c r="J641" s="45">
        <v>12.8</v>
      </c>
      <c r="K641" s="45">
        <v>11.3</v>
      </c>
      <c r="L641" s="45">
        <v>9.9</v>
      </c>
      <c r="M641" s="45">
        <v>10.4</v>
      </c>
      <c r="N641" s="45">
        <v>8.9</v>
      </c>
      <c r="O641" s="45">
        <v>8.800000000000001</v>
      </c>
      <c r="P641" s="45">
        <v>8.699999999999999</v>
      </c>
      <c r="Q641" s="45">
        <v>7.4</v>
      </c>
      <c r="R641" s="45">
        <v>8.4</v>
      </c>
      <c r="S641" s="45">
        <v>7.9</v>
      </c>
      <c r="T641" s="45">
        <v>8.9</v>
      </c>
      <c r="U641" s="45">
        <v>9.4</v>
      </c>
      <c r="V641" s="45">
        <v>9.800000000000001</v>
      </c>
      <c r="W641" s="45">
        <v>10.7</v>
      </c>
      <c r="X641" s="45">
        <v>11.6</v>
      </c>
      <c r="Y641" s="45">
        <v>10.3</v>
      </c>
      <c r="Z641" s="45">
        <v>10.5</v>
      </c>
      <c r="AA641" s="45">
        <v>10.1</v>
      </c>
      <c r="AB641" s="45">
        <v>8.9</v>
      </c>
      <c r="AC641" s="45">
        <v>8</v>
      </c>
      <c r="AD641" s="45">
        <v>8.5</v>
      </c>
      <c r="AE641" s="45">
        <v>9.199999999999999</v>
      </c>
      <c r="AF641" s="45">
        <v>8.1</v>
      </c>
      <c r="AG641" s="45">
        <v>9.300000000000001</v>
      </c>
      <c r="AH641" s="45">
        <v>8.6</v>
      </c>
      <c r="AI641" s="45">
        <v>9.300000000000001</v>
      </c>
      <c r="AJ641" s="45">
        <v>9.800000000000001</v>
      </c>
      <c r="AK641" s="45">
        <v>9.199999999999999</v>
      </c>
      <c r="AL641" s="45">
        <v>9</v>
      </c>
      <c r="AM641" s="45">
        <v>8.6</v>
      </c>
      <c r="AN641" s="45">
        <v>8.199999999999999</v>
      </c>
      <c r="AO641" s="45">
        <v>7.9</v>
      </c>
      <c r="AP641" s="45">
        <v>7</v>
      </c>
      <c r="AQ641" s="45">
        <v>5.9</v>
      </c>
      <c r="AR641" s="45">
        <v>3.5</v>
      </c>
      <c r="AS641" s="45">
        <v>0</v>
      </c>
      <c r="AT641" s="45">
        <v>0</v>
      </c>
      <c r="AU641" s="45">
        <v>0</v>
      </c>
      <c r="AV641" s="45">
        <v>0</v>
      </c>
      <c r="AW641" s="45">
        <v>0</v>
      </c>
      <c r="AX641" s="45">
        <v>0</v>
      </c>
      <c r="AY641" s="45">
        <v>0</v>
      </c>
      <c r="AZ641" s="45">
        <v>0</v>
      </c>
      <c r="BA641" s="45">
        <v>0</v>
      </c>
      <c r="BB641" s="45">
        <v>0</v>
      </c>
      <c r="BC641" s="45">
        <v>0</v>
      </c>
      <c r="BD641" s="45">
        <v>0</v>
      </c>
      <c r="BE641" s="45">
        <v>0</v>
      </c>
      <c r="BF641" s="45">
        <v>0</v>
      </c>
      <c r="BG641" s="45">
        <v>0</v>
      </c>
    </row>
    <row r="642" spans="1:59">
      <c r="A642" s="18" t="s">
        <v>231</v>
      </c>
      <c r="B642" s="18" t="s">
        <v>106</v>
      </c>
      <c r="C642" s="18" t="s">
        <v>214</v>
      </c>
      <c r="D642" s="45">
        <v>0</v>
      </c>
      <c r="E642" s="45">
        <v>0</v>
      </c>
      <c r="F642" s="45">
        <v>0</v>
      </c>
      <c r="G642" s="45">
        <v>0</v>
      </c>
      <c r="H642" s="45">
        <v>7.4</v>
      </c>
      <c r="I642" s="45">
        <v>12.1</v>
      </c>
      <c r="J642" s="45">
        <v>12.7</v>
      </c>
      <c r="K642" s="45">
        <v>9.4</v>
      </c>
      <c r="L642" s="45">
        <v>10.5</v>
      </c>
      <c r="M642" s="45">
        <v>10.3</v>
      </c>
      <c r="N642" s="45">
        <v>9.1</v>
      </c>
      <c r="O642" s="45">
        <v>8.300000000000001</v>
      </c>
      <c r="P642" s="45">
        <v>8.199999999999999</v>
      </c>
      <c r="Q642" s="45">
        <v>7.7</v>
      </c>
      <c r="R642" s="45">
        <v>9</v>
      </c>
      <c r="S642" s="45">
        <v>9</v>
      </c>
      <c r="T642" s="45">
        <v>7.9</v>
      </c>
      <c r="U642" s="45">
        <v>9.6</v>
      </c>
      <c r="V642" s="45">
        <v>10.9</v>
      </c>
      <c r="W642" s="45">
        <v>9.5</v>
      </c>
      <c r="X642" s="45">
        <v>10.9</v>
      </c>
      <c r="Y642" s="45">
        <v>10.9</v>
      </c>
      <c r="Z642" s="45">
        <v>11.4</v>
      </c>
      <c r="AA642" s="45">
        <v>10.3</v>
      </c>
      <c r="AB642" s="45">
        <v>9.5</v>
      </c>
      <c r="AC642" s="45">
        <v>8.699999999999999</v>
      </c>
      <c r="AD642" s="45">
        <v>8</v>
      </c>
      <c r="AE642" s="45">
        <v>9</v>
      </c>
      <c r="AF642" s="45">
        <v>8.5</v>
      </c>
      <c r="AG642" s="45">
        <v>8.699999999999999</v>
      </c>
      <c r="AH642" s="45">
        <v>8.4</v>
      </c>
      <c r="AI642" s="45">
        <v>9.4</v>
      </c>
      <c r="AJ642" s="45">
        <v>8.5</v>
      </c>
      <c r="AK642" s="45">
        <v>8.6</v>
      </c>
      <c r="AL642" s="45">
        <v>10.3</v>
      </c>
      <c r="AM642" s="45">
        <v>8.199999999999999</v>
      </c>
      <c r="AN642" s="45">
        <v>8.9</v>
      </c>
      <c r="AO642" s="45">
        <v>7.2</v>
      </c>
      <c r="AP642" s="45">
        <v>6.8</v>
      </c>
      <c r="AQ642" s="45">
        <v>7.2</v>
      </c>
      <c r="AR642" s="45">
        <v>3.7</v>
      </c>
      <c r="AS642" s="45">
        <v>0</v>
      </c>
      <c r="AT642" s="45">
        <v>0</v>
      </c>
      <c r="AU642" s="45">
        <v>0</v>
      </c>
      <c r="AV642" s="45">
        <v>0</v>
      </c>
      <c r="AW642" s="45">
        <v>0</v>
      </c>
      <c r="AX642" s="45">
        <v>0</v>
      </c>
      <c r="AY642" s="45">
        <v>0</v>
      </c>
      <c r="AZ642" s="45">
        <v>0</v>
      </c>
      <c r="BA642" s="45">
        <v>0</v>
      </c>
      <c r="BB642" s="45">
        <v>0</v>
      </c>
      <c r="BC642" s="45">
        <v>0</v>
      </c>
      <c r="BD642" s="45">
        <v>0</v>
      </c>
      <c r="BE642" s="45">
        <v>0</v>
      </c>
      <c r="BF642" s="45">
        <v>0</v>
      </c>
      <c r="BG642" s="45">
        <v>0</v>
      </c>
    </row>
    <row r="643" spans="1:59">
      <c r="A643" s="18" t="s">
        <v>232</v>
      </c>
      <c r="B643" s="18" t="s">
        <v>106</v>
      </c>
      <c r="C643" s="18" t="s">
        <v>216</v>
      </c>
      <c r="D643" s="45">
        <v>0</v>
      </c>
      <c r="E643" s="45">
        <v>0</v>
      </c>
      <c r="F643" s="45">
        <v>0</v>
      </c>
      <c r="G643" s="45">
        <v>0</v>
      </c>
      <c r="H643" s="45">
        <v>7.7</v>
      </c>
      <c r="I643" s="45">
        <v>12</v>
      </c>
      <c r="J643" s="45">
        <v>11</v>
      </c>
      <c r="K643" s="45">
        <v>9.800000000000001</v>
      </c>
      <c r="L643" s="45">
        <v>9.9</v>
      </c>
      <c r="M643" s="45">
        <v>10.2</v>
      </c>
      <c r="N643" s="45">
        <v>8.199999999999999</v>
      </c>
      <c r="O643" s="45">
        <v>9.1</v>
      </c>
      <c r="P643" s="45">
        <v>7.5</v>
      </c>
      <c r="Q643" s="45">
        <v>7.9</v>
      </c>
      <c r="R643" s="45">
        <v>8.9</v>
      </c>
      <c r="S643" s="45">
        <v>8.699999999999999</v>
      </c>
      <c r="T643" s="45">
        <v>8.199999999999999</v>
      </c>
      <c r="U643" s="45">
        <v>9.4</v>
      </c>
      <c r="V643" s="45">
        <v>9.800000000000001</v>
      </c>
      <c r="W643" s="45">
        <v>11.8</v>
      </c>
      <c r="X643" s="45">
        <v>10</v>
      </c>
      <c r="Y643" s="45">
        <v>10.6</v>
      </c>
      <c r="Z643" s="45">
        <v>10.5</v>
      </c>
      <c r="AA643" s="45">
        <v>10.5</v>
      </c>
      <c r="AB643" s="45">
        <v>9.1</v>
      </c>
      <c r="AC643" s="45">
        <v>8.800000000000001</v>
      </c>
      <c r="AD643" s="45">
        <v>8.699999999999999</v>
      </c>
      <c r="AE643" s="45">
        <v>8.800000000000001</v>
      </c>
      <c r="AF643" s="45">
        <v>9.300000000000001</v>
      </c>
      <c r="AG643" s="45">
        <v>9.5</v>
      </c>
      <c r="AH643" s="45">
        <v>8.4</v>
      </c>
      <c r="AI643" s="45">
        <v>9.4</v>
      </c>
      <c r="AJ643" s="45">
        <v>9.4</v>
      </c>
      <c r="AK643" s="45">
        <v>8.6</v>
      </c>
      <c r="AL643" s="45">
        <v>8.300000000000001</v>
      </c>
      <c r="AM643" s="45">
        <v>8.5</v>
      </c>
      <c r="AN643" s="45">
        <v>7.7</v>
      </c>
      <c r="AO643" s="45">
        <v>7</v>
      </c>
      <c r="AP643" s="45">
        <v>6.7</v>
      </c>
      <c r="AQ643" s="45">
        <v>6.1</v>
      </c>
      <c r="AR643" s="45">
        <v>3.8</v>
      </c>
      <c r="AS643" s="45">
        <v>0</v>
      </c>
      <c r="AT643" s="45">
        <v>0</v>
      </c>
      <c r="AU643" s="45">
        <v>0</v>
      </c>
      <c r="AV643" s="45">
        <v>0</v>
      </c>
      <c r="AW643" s="45">
        <v>0</v>
      </c>
      <c r="AX643" s="45">
        <v>0</v>
      </c>
      <c r="AY643" s="45">
        <v>0</v>
      </c>
      <c r="AZ643" s="45">
        <v>0</v>
      </c>
      <c r="BA643" s="45">
        <v>0</v>
      </c>
      <c r="BB643" s="45">
        <v>0</v>
      </c>
      <c r="BC643" s="45">
        <v>0</v>
      </c>
      <c r="BD643" s="45">
        <v>0</v>
      </c>
      <c r="BE643" s="45">
        <v>0</v>
      </c>
      <c r="BF643" s="45">
        <v>0</v>
      </c>
      <c r="BG643" s="45">
        <v>0</v>
      </c>
    </row>
    <row r="644" spans="1:59">
      <c r="A644" s="18" t="s">
        <v>233</v>
      </c>
      <c r="B644" s="18" t="s">
        <v>106</v>
      </c>
      <c r="C644" s="18" t="s">
        <v>218</v>
      </c>
      <c r="D644" s="45">
        <v>0</v>
      </c>
      <c r="E644" s="45">
        <v>0</v>
      </c>
      <c r="F644" s="45">
        <v>0</v>
      </c>
      <c r="G644" s="45">
        <v>0</v>
      </c>
      <c r="H644" s="45">
        <v>0</v>
      </c>
      <c r="I644" s="45">
        <v>0</v>
      </c>
      <c r="J644" s="45">
        <v>0</v>
      </c>
      <c r="K644" s="45">
        <v>0</v>
      </c>
      <c r="L644" s="45">
        <v>0</v>
      </c>
      <c r="M644" s="45">
        <v>0</v>
      </c>
      <c r="N644" s="45">
        <v>0</v>
      </c>
      <c r="O644" s="45">
        <v>0</v>
      </c>
      <c r="P644" s="45">
        <v>0</v>
      </c>
      <c r="Q644" s="45">
        <v>0</v>
      </c>
      <c r="R644" s="45">
        <v>0</v>
      </c>
      <c r="S644" s="45">
        <v>0</v>
      </c>
      <c r="T644" s="45">
        <v>0</v>
      </c>
      <c r="U644" s="45">
        <v>0</v>
      </c>
      <c r="V644" s="45">
        <v>0</v>
      </c>
      <c r="W644" s="45">
        <v>0</v>
      </c>
      <c r="X644" s="45">
        <v>0</v>
      </c>
      <c r="Y644" s="45">
        <v>0</v>
      </c>
      <c r="Z644" s="45">
        <v>0</v>
      </c>
      <c r="AA644" s="45">
        <v>0</v>
      </c>
      <c r="AB644" s="45">
        <v>0</v>
      </c>
      <c r="AC644" s="45">
        <v>0</v>
      </c>
      <c r="AD644" s="45">
        <v>0</v>
      </c>
      <c r="AE644" s="45">
        <v>0</v>
      </c>
      <c r="AF644" s="45">
        <v>0</v>
      </c>
      <c r="AG644" s="45">
        <v>0</v>
      </c>
      <c r="AH644" s="45">
        <v>0</v>
      </c>
      <c r="AI644" s="45">
        <v>0</v>
      </c>
      <c r="AJ644" s="45">
        <v>0</v>
      </c>
      <c r="AK644" s="45">
        <v>0</v>
      </c>
      <c r="AL644" s="45">
        <v>0</v>
      </c>
      <c r="AM644" s="45">
        <v>0</v>
      </c>
      <c r="AN644" s="45">
        <v>0</v>
      </c>
      <c r="AO644" s="45">
        <v>0</v>
      </c>
      <c r="AP644" s="45">
        <v>0</v>
      </c>
      <c r="AQ644" s="45">
        <v>0</v>
      </c>
      <c r="AR644" s="45">
        <v>0</v>
      </c>
      <c r="AS644" s="45">
        <v>0</v>
      </c>
      <c r="AT644" s="45">
        <v>0</v>
      </c>
      <c r="AU644" s="45">
        <v>0</v>
      </c>
      <c r="AV644" s="45">
        <v>0</v>
      </c>
      <c r="AW644" s="45">
        <v>0</v>
      </c>
      <c r="AX644" s="45">
        <v>0</v>
      </c>
      <c r="AY644" s="45">
        <v>0</v>
      </c>
      <c r="AZ644" s="45">
        <v>0</v>
      </c>
      <c r="BA644" s="45">
        <v>0</v>
      </c>
      <c r="BB644" s="45">
        <v>0</v>
      </c>
      <c r="BC644" s="45">
        <v>0</v>
      </c>
      <c r="BD644" s="45">
        <v>0</v>
      </c>
      <c r="BE644" s="45">
        <v>0</v>
      </c>
      <c r="BF644" s="45">
        <v>0</v>
      </c>
      <c r="BG644" s="45">
        <v>0</v>
      </c>
    </row>
    <row r="645" spans="1:59">
      <c r="A645" s="18" t="s">
        <v>234</v>
      </c>
      <c r="B645" s="18" t="s">
        <v>106</v>
      </c>
      <c r="C645" s="18" t="s">
        <v>220</v>
      </c>
      <c r="D645" s="45">
        <v>0</v>
      </c>
      <c r="E645" s="45">
        <v>0</v>
      </c>
      <c r="F645" s="45">
        <v>0</v>
      </c>
      <c r="G645" s="45">
        <v>0</v>
      </c>
      <c r="H645" s="45">
        <v>0</v>
      </c>
      <c r="I645" s="45">
        <v>1.1</v>
      </c>
      <c r="J645" s="45">
        <v>1.6</v>
      </c>
      <c r="K645" s="45">
        <v>1.5</v>
      </c>
      <c r="L645" s="45">
        <v>2.5</v>
      </c>
      <c r="M645" s="45">
        <v>2</v>
      </c>
      <c r="N645" s="45">
        <v>1.2</v>
      </c>
      <c r="O645" s="45">
        <v>2.6</v>
      </c>
      <c r="P645" s="45">
        <v>1.6</v>
      </c>
      <c r="Q645" s="45">
        <v>1.7</v>
      </c>
      <c r="R645" s="45">
        <v>2.2</v>
      </c>
      <c r="S645" s="45">
        <v>1.9</v>
      </c>
      <c r="T645" s="45">
        <v>1.8</v>
      </c>
      <c r="U645" s="45">
        <v>2.3</v>
      </c>
      <c r="V645" s="45">
        <v>3.3</v>
      </c>
      <c r="W645" s="45">
        <v>0</v>
      </c>
      <c r="X645" s="45">
        <v>0</v>
      </c>
      <c r="Y645" s="45">
        <v>0</v>
      </c>
      <c r="Z645" s="45">
        <v>0</v>
      </c>
      <c r="AA645" s="45">
        <v>0</v>
      </c>
      <c r="AB645" s="45">
        <v>0</v>
      </c>
      <c r="AC645" s="45">
        <v>0</v>
      </c>
      <c r="AD645" s="45">
        <v>0</v>
      </c>
      <c r="AE645" s="45">
        <v>0</v>
      </c>
      <c r="AF645" s="45">
        <v>0</v>
      </c>
      <c r="AG645" s="45">
        <v>0</v>
      </c>
      <c r="AH645" s="45">
        <v>0</v>
      </c>
      <c r="AI645" s="45">
        <v>0</v>
      </c>
      <c r="AJ645" s="45">
        <v>0</v>
      </c>
      <c r="AK645" s="45">
        <v>0</v>
      </c>
      <c r="AL645" s="45">
        <v>1.4</v>
      </c>
      <c r="AM645" s="45">
        <v>0</v>
      </c>
      <c r="AN645" s="45">
        <v>0</v>
      </c>
      <c r="AO645" s="45">
        <v>0</v>
      </c>
      <c r="AP645" s="45">
        <v>0</v>
      </c>
      <c r="AQ645" s="45">
        <v>0</v>
      </c>
      <c r="AR645" s="45">
        <v>0</v>
      </c>
      <c r="AS645" s="45">
        <v>0</v>
      </c>
      <c r="AT645" s="45">
        <v>0</v>
      </c>
      <c r="AU645" s="45">
        <v>0</v>
      </c>
      <c r="AV645" s="45">
        <v>0</v>
      </c>
      <c r="AW645" s="45">
        <v>0</v>
      </c>
      <c r="AX645" s="45">
        <v>0</v>
      </c>
      <c r="AY645" s="45">
        <v>0</v>
      </c>
      <c r="AZ645" s="45">
        <v>0</v>
      </c>
      <c r="BA645" s="45">
        <v>0</v>
      </c>
      <c r="BB645" s="45">
        <v>0</v>
      </c>
      <c r="BC645" s="45">
        <v>0</v>
      </c>
      <c r="BD645" s="45">
        <v>0</v>
      </c>
      <c r="BE645" s="45">
        <v>0</v>
      </c>
      <c r="BF645" s="45">
        <v>0</v>
      </c>
      <c r="BG645" s="45">
        <v>0</v>
      </c>
    </row>
    <row r="646" spans="1:59">
      <c r="A646" s="18" t="s">
        <v>235</v>
      </c>
      <c r="B646" s="18" t="s">
        <v>120</v>
      </c>
      <c r="C646" s="18" t="s">
        <v>5</v>
      </c>
      <c r="D646" s="45">
        <v>0</v>
      </c>
      <c r="E646" s="45">
        <v>0</v>
      </c>
      <c r="F646" s="45">
        <v>0</v>
      </c>
      <c r="G646" s="45">
        <v>0</v>
      </c>
      <c r="H646" s="45">
        <v>0</v>
      </c>
      <c r="I646" s="45">
        <v>5.4</v>
      </c>
      <c r="J646" s="45">
        <v>5.9</v>
      </c>
      <c r="K646" s="45">
        <v>5.6</v>
      </c>
      <c r="L646" s="45">
        <v>5.6</v>
      </c>
      <c r="M646" s="45">
        <v>5.8</v>
      </c>
      <c r="N646" s="45">
        <v>5.3</v>
      </c>
      <c r="O646" s="45">
        <v>5.3</v>
      </c>
      <c r="P646" s="45">
        <v>5.3</v>
      </c>
      <c r="Q646" s="45">
        <v>5.6</v>
      </c>
      <c r="R646" s="45">
        <v>6</v>
      </c>
      <c r="S646" s="45">
        <v>5.5</v>
      </c>
      <c r="T646" s="45">
        <v>5.6</v>
      </c>
      <c r="U646" s="45">
        <v>5.2</v>
      </c>
      <c r="V646" s="45">
        <v>6.1</v>
      </c>
      <c r="W646" s="45">
        <v>5.6</v>
      </c>
      <c r="X646" s="45">
        <v>7.1</v>
      </c>
      <c r="Y646" s="45">
        <v>6.3</v>
      </c>
      <c r="Z646" s="45">
        <v>7.1</v>
      </c>
      <c r="AA646" s="45">
        <v>7.1</v>
      </c>
      <c r="AB646" s="45">
        <v>6.4</v>
      </c>
      <c r="AC646" s="45">
        <v>5.3</v>
      </c>
      <c r="AD646" s="45">
        <v>6</v>
      </c>
      <c r="AE646" s="45">
        <v>5.8</v>
      </c>
      <c r="AF646" s="45">
        <v>5.7</v>
      </c>
      <c r="AG646" s="45">
        <v>5.7</v>
      </c>
      <c r="AH646" s="45">
        <v>5.9</v>
      </c>
      <c r="AI646" s="45">
        <v>6.3</v>
      </c>
      <c r="AJ646" s="45">
        <v>6.4</v>
      </c>
      <c r="AK646" s="45">
        <v>6</v>
      </c>
      <c r="AL646" s="45">
        <v>5.6</v>
      </c>
      <c r="AM646" s="45">
        <v>5</v>
      </c>
      <c r="AN646" s="45">
        <v>5.3</v>
      </c>
      <c r="AO646" s="45">
        <v>5.3</v>
      </c>
      <c r="AP646" s="45">
        <v>4.5</v>
      </c>
      <c r="AQ646" s="45">
        <v>4.4</v>
      </c>
      <c r="AR646" s="45">
        <v>3.2</v>
      </c>
      <c r="AS646" s="45">
        <v>0</v>
      </c>
      <c r="AT646" s="45">
        <v>0</v>
      </c>
      <c r="AU646" s="45">
        <v>0</v>
      </c>
      <c r="AV646" s="45">
        <v>0</v>
      </c>
      <c r="AW646" s="45">
        <v>0</v>
      </c>
      <c r="AX646" s="45">
        <v>0</v>
      </c>
      <c r="AY646" s="45">
        <v>0</v>
      </c>
      <c r="AZ646" s="45">
        <v>0</v>
      </c>
      <c r="BA646" s="45">
        <v>0</v>
      </c>
      <c r="BB646" s="45">
        <v>0</v>
      </c>
      <c r="BC646" s="45">
        <v>0</v>
      </c>
      <c r="BD646" s="45">
        <v>0</v>
      </c>
      <c r="BE646" s="45">
        <v>0</v>
      </c>
      <c r="BF646" s="45">
        <v>0</v>
      </c>
      <c r="BG646" s="45">
        <v>0</v>
      </c>
    </row>
    <row r="647" spans="1:59">
      <c r="A647" s="18" t="s">
        <v>236</v>
      </c>
      <c r="B647" s="18" t="s">
        <v>120</v>
      </c>
      <c r="C647" s="18" t="s">
        <v>210</v>
      </c>
      <c r="D647" s="45">
        <v>0</v>
      </c>
      <c r="E647" s="45">
        <v>0</v>
      </c>
      <c r="F647" s="45">
        <v>0</v>
      </c>
      <c r="G647" s="45">
        <v>0</v>
      </c>
      <c r="H647" s="45">
        <v>3.5</v>
      </c>
      <c r="I647" s="45">
        <v>4</v>
      </c>
      <c r="J647" s="45">
        <v>7.3</v>
      </c>
      <c r="K647" s="45">
        <v>5.7</v>
      </c>
      <c r="L647" s="45">
        <v>6.5</v>
      </c>
      <c r="M647" s="45">
        <v>6.3</v>
      </c>
      <c r="N647" s="45">
        <v>6.9</v>
      </c>
      <c r="O647" s="45">
        <v>5.9</v>
      </c>
      <c r="P647" s="45">
        <v>5.5</v>
      </c>
      <c r="Q647" s="45">
        <v>6.6</v>
      </c>
      <c r="R647" s="45">
        <v>6.5</v>
      </c>
      <c r="S647" s="45">
        <v>6</v>
      </c>
      <c r="T647" s="45">
        <v>5.6</v>
      </c>
      <c r="U647" s="45">
        <v>7.7</v>
      </c>
      <c r="V647" s="45">
        <v>6.9</v>
      </c>
      <c r="W647" s="45">
        <v>7.2</v>
      </c>
      <c r="X647" s="45">
        <v>7.7</v>
      </c>
      <c r="Y647" s="45">
        <v>8.6</v>
      </c>
      <c r="Z647" s="45">
        <v>7.6</v>
      </c>
      <c r="AA647" s="45">
        <v>8.4</v>
      </c>
      <c r="AB647" s="45">
        <v>6.5</v>
      </c>
      <c r="AC647" s="45">
        <v>5.7</v>
      </c>
      <c r="AD647" s="45">
        <v>6.1</v>
      </c>
      <c r="AE647" s="45">
        <v>6.7</v>
      </c>
      <c r="AF647" s="45">
        <v>6</v>
      </c>
      <c r="AG647" s="45">
        <v>5.6</v>
      </c>
      <c r="AH647" s="45">
        <v>6.1</v>
      </c>
      <c r="AI647" s="45">
        <v>6.9</v>
      </c>
      <c r="AJ647" s="45">
        <v>6.3</v>
      </c>
      <c r="AK647" s="45">
        <v>6.2</v>
      </c>
      <c r="AL647" s="45">
        <v>5.8</v>
      </c>
      <c r="AM647" s="45">
        <v>5.8</v>
      </c>
      <c r="AN647" s="45">
        <v>5.5</v>
      </c>
      <c r="AO647" s="45">
        <v>4.9</v>
      </c>
      <c r="AP647" s="45">
        <v>4</v>
      </c>
      <c r="AQ647" s="45">
        <v>4.2</v>
      </c>
      <c r="AR647" s="45">
        <v>3.8</v>
      </c>
      <c r="AS647" s="45">
        <v>0</v>
      </c>
      <c r="AT647" s="45">
        <v>0</v>
      </c>
      <c r="AU647" s="45">
        <v>0</v>
      </c>
      <c r="AV647" s="45">
        <v>0</v>
      </c>
      <c r="AW647" s="45">
        <v>0</v>
      </c>
      <c r="AX647" s="45">
        <v>0</v>
      </c>
      <c r="AY647" s="45">
        <v>0</v>
      </c>
      <c r="AZ647" s="45">
        <v>0</v>
      </c>
      <c r="BA647" s="45">
        <v>0</v>
      </c>
      <c r="BB647" s="45">
        <v>0</v>
      </c>
      <c r="BC647" s="45">
        <v>0</v>
      </c>
      <c r="BD647" s="45">
        <v>0</v>
      </c>
      <c r="BE647" s="45">
        <v>0</v>
      </c>
      <c r="BF647" s="45">
        <v>0</v>
      </c>
      <c r="BG647" s="45">
        <v>0</v>
      </c>
    </row>
    <row r="648" spans="1:59">
      <c r="A648" s="18" t="s">
        <v>237</v>
      </c>
      <c r="B648" s="18" t="s">
        <v>120</v>
      </c>
      <c r="C648" s="18" t="s">
        <v>212</v>
      </c>
      <c r="D648" s="45">
        <v>0</v>
      </c>
      <c r="E648" s="45">
        <v>0</v>
      </c>
      <c r="F648" s="45">
        <v>0</v>
      </c>
      <c r="G648" s="45">
        <v>0</v>
      </c>
      <c r="H648" s="45">
        <v>0</v>
      </c>
      <c r="I648" s="45">
        <v>4.1</v>
      </c>
      <c r="J648" s="45">
        <v>7.2</v>
      </c>
      <c r="K648" s="45">
        <v>7.1</v>
      </c>
      <c r="L648" s="45">
        <v>7.5</v>
      </c>
      <c r="M648" s="45">
        <v>5.4</v>
      </c>
      <c r="N648" s="45">
        <v>6.6</v>
      </c>
      <c r="O648" s="45">
        <v>6.3</v>
      </c>
      <c r="P648" s="45">
        <v>6.4</v>
      </c>
      <c r="Q648" s="45">
        <v>6.1</v>
      </c>
      <c r="R648" s="45">
        <v>6.7</v>
      </c>
      <c r="S648" s="45">
        <v>7.1</v>
      </c>
      <c r="T648" s="45">
        <v>6.1</v>
      </c>
      <c r="U648" s="45">
        <v>7.6</v>
      </c>
      <c r="V648" s="45">
        <v>7</v>
      </c>
      <c r="W648" s="45">
        <v>7.8</v>
      </c>
      <c r="X648" s="45">
        <v>8.199999999999999</v>
      </c>
      <c r="Y648" s="45">
        <v>9.199999999999999</v>
      </c>
      <c r="Z648" s="45">
        <v>8.4</v>
      </c>
      <c r="AA648" s="45">
        <v>7</v>
      </c>
      <c r="AB648" s="45">
        <v>6.9</v>
      </c>
      <c r="AC648" s="45">
        <v>6.8</v>
      </c>
      <c r="AD648" s="45">
        <v>6.6</v>
      </c>
      <c r="AE648" s="45">
        <v>5.7</v>
      </c>
      <c r="AF648" s="45">
        <v>6.6</v>
      </c>
      <c r="AG648" s="45">
        <v>6.2</v>
      </c>
      <c r="AH648" s="45">
        <v>6.3</v>
      </c>
      <c r="AI648" s="45">
        <v>6.7</v>
      </c>
      <c r="AJ648" s="45">
        <v>6.4</v>
      </c>
      <c r="AK648" s="45">
        <v>6.9</v>
      </c>
      <c r="AL648" s="45">
        <v>6.5</v>
      </c>
      <c r="AM648" s="45">
        <v>5.9</v>
      </c>
      <c r="AN648" s="45">
        <v>5.8</v>
      </c>
      <c r="AO648" s="45">
        <v>5.2</v>
      </c>
      <c r="AP648" s="45">
        <v>4.5</v>
      </c>
      <c r="AQ648" s="45">
        <v>3.8</v>
      </c>
      <c r="AR648" s="45">
        <v>4</v>
      </c>
      <c r="AS648" s="45">
        <v>0</v>
      </c>
      <c r="AT648" s="45">
        <v>0</v>
      </c>
      <c r="AU648" s="45">
        <v>0</v>
      </c>
      <c r="AV648" s="45">
        <v>0</v>
      </c>
      <c r="AW648" s="45">
        <v>0</v>
      </c>
      <c r="AX648" s="45">
        <v>0</v>
      </c>
      <c r="AY648" s="45">
        <v>0</v>
      </c>
      <c r="AZ648" s="45">
        <v>0</v>
      </c>
      <c r="BA648" s="45">
        <v>0</v>
      </c>
      <c r="BB648" s="45">
        <v>0</v>
      </c>
      <c r="BC648" s="45">
        <v>0</v>
      </c>
      <c r="BD648" s="45">
        <v>0</v>
      </c>
      <c r="BE648" s="45">
        <v>0</v>
      </c>
      <c r="BF648" s="45">
        <v>0</v>
      </c>
      <c r="BG648" s="45">
        <v>0</v>
      </c>
    </row>
    <row r="649" spans="1:59">
      <c r="A649" s="18" t="s">
        <v>238</v>
      </c>
      <c r="B649" s="18" t="s">
        <v>120</v>
      </c>
      <c r="C649" s="18" t="s">
        <v>214</v>
      </c>
      <c r="D649" s="45">
        <v>0</v>
      </c>
      <c r="E649" s="45">
        <v>0</v>
      </c>
      <c r="F649" s="45">
        <v>0</v>
      </c>
      <c r="G649" s="45">
        <v>0</v>
      </c>
      <c r="H649" s="45">
        <v>4.3</v>
      </c>
      <c r="I649" s="45">
        <v>5.3</v>
      </c>
      <c r="J649" s="45">
        <v>8.4</v>
      </c>
      <c r="K649" s="45">
        <v>7.4</v>
      </c>
      <c r="L649" s="45">
        <v>7.3</v>
      </c>
      <c r="M649" s="45">
        <v>6.3</v>
      </c>
      <c r="N649" s="45">
        <v>6.7</v>
      </c>
      <c r="O649" s="45">
        <v>6.6</v>
      </c>
      <c r="P649" s="45">
        <v>6.3</v>
      </c>
      <c r="Q649" s="45">
        <v>5.8</v>
      </c>
      <c r="R649" s="45">
        <v>7.3</v>
      </c>
      <c r="S649" s="45">
        <v>7</v>
      </c>
      <c r="T649" s="45">
        <v>6.7</v>
      </c>
      <c r="U649" s="45">
        <v>7.5</v>
      </c>
      <c r="V649" s="45">
        <v>6.5</v>
      </c>
      <c r="W649" s="45">
        <v>7.3</v>
      </c>
      <c r="X649" s="45">
        <v>8.4</v>
      </c>
      <c r="Y649" s="45">
        <v>6.8</v>
      </c>
      <c r="Z649" s="45">
        <v>8.9</v>
      </c>
      <c r="AA649" s="45">
        <v>8</v>
      </c>
      <c r="AB649" s="45">
        <v>7.4</v>
      </c>
      <c r="AC649" s="45">
        <v>7.2</v>
      </c>
      <c r="AD649" s="45">
        <v>6</v>
      </c>
      <c r="AE649" s="45">
        <v>6.3</v>
      </c>
      <c r="AF649" s="45">
        <v>6.9</v>
      </c>
      <c r="AG649" s="45">
        <v>7</v>
      </c>
      <c r="AH649" s="45">
        <v>6</v>
      </c>
      <c r="AI649" s="45">
        <v>6.5</v>
      </c>
      <c r="AJ649" s="45">
        <v>6.4</v>
      </c>
      <c r="AK649" s="45">
        <v>7.5</v>
      </c>
      <c r="AL649" s="45">
        <v>6.6</v>
      </c>
      <c r="AM649" s="45">
        <v>5.7</v>
      </c>
      <c r="AN649" s="45">
        <v>4.9</v>
      </c>
      <c r="AO649" s="45">
        <v>5.1</v>
      </c>
      <c r="AP649" s="45">
        <v>5.2</v>
      </c>
      <c r="AQ649" s="45">
        <v>4.3</v>
      </c>
      <c r="AR649" s="45">
        <v>3.9</v>
      </c>
      <c r="AS649" s="45">
        <v>0</v>
      </c>
      <c r="AT649" s="45">
        <v>0</v>
      </c>
      <c r="AU649" s="45">
        <v>0</v>
      </c>
      <c r="AV649" s="45">
        <v>0</v>
      </c>
      <c r="AW649" s="45">
        <v>0</v>
      </c>
      <c r="AX649" s="45">
        <v>0</v>
      </c>
      <c r="AY649" s="45">
        <v>0</v>
      </c>
      <c r="AZ649" s="45">
        <v>0</v>
      </c>
      <c r="BA649" s="45">
        <v>0</v>
      </c>
      <c r="BB649" s="45">
        <v>0</v>
      </c>
      <c r="BC649" s="45">
        <v>0</v>
      </c>
      <c r="BD649" s="45">
        <v>0</v>
      </c>
      <c r="BE649" s="45">
        <v>0</v>
      </c>
      <c r="BF649" s="45">
        <v>0</v>
      </c>
      <c r="BG649" s="45">
        <v>0</v>
      </c>
    </row>
    <row r="650" spans="1:59">
      <c r="A650" s="18" t="s">
        <v>239</v>
      </c>
      <c r="B650" s="18" t="s">
        <v>120</v>
      </c>
      <c r="C650" s="18" t="s">
        <v>216</v>
      </c>
      <c r="D650" s="45">
        <v>0</v>
      </c>
      <c r="E650" s="45">
        <v>0</v>
      </c>
      <c r="F650" s="45">
        <v>0</v>
      </c>
      <c r="G650" s="45">
        <v>0</v>
      </c>
      <c r="H650" s="45">
        <v>4.8</v>
      </c>
      <c r="I650" s="45">
        <v>5.1</v>
      </c>
      <c r="J650" s="45">
        <v>6.2</v>
      </c>
      <c r="K650" s="45">
        <v>7.6</v>
      </c>
      <c r="L650" s="45">
        <v>8.1</v>
      </c>
      <c r="M650" s="45">
        <v>6.2</v>
      </c>
      <c r="N650" s="45">
        <v>6.4</v>
      </c>
      <c r="O650" s="45">
        <v>6.2</v>
      </c>
      <c r="P650" s="45">
        <v>6.3</v>
      </c>
      <c r="Q650" s="45">
        <v>6.5</v>
      </c>
      <c r="R650" s="45">
        <v>5.8</v>
      </c>
      <c r="S650" s="45">
        <v>5.4</v>
      </c>
      <c r="T650" s="45">
        <v>7.2</v>
      </c>
      <c r="U650" s="45">
        <v>6.8</v>
      </c>
      <c r="V650" s="45">
        <v>7.7</v>
      </c>
      <c r="W650" s="45">
        <v>8.800000000000001</v>
      </c>
      <c r="X650" s="45">
        <v>8</v>
      </c>
      <c r="Y650" s="45">
        <v>9.800000000000001</v>
      </c>
      <c r="Z650" s="45">
        <v>8.9</v>
      </c>
      <c r="AA650" s="45">
        <v>8.4</v>
      </c>
      <c r="AB650" s="45">
        <v>7</v>
      </c>
      <c r="AC650" s="45">
        <v>5.7</v>
      </c>
      <c r="AD650" s="45">
        <v>7.4</v>
      </c>
      <c r="AE650" s="45">
        <v>6.5</v>
      </c>
      <c r="AF650" s="45">
        <v>6.2</v>
      </c>
      <c r="AG650" s="45">
        <v>6.6</v>
      </c>
      <c r="AH650" s="45">
        <v>6.7</v>
      </c>
      <c r="AI650" s="45">
        <v>6.1</v>
      </c>
      <c r="AJ650" s="45">
        <v>7.3</v>
      </c>
      <c r="AK650" s="45">
        <v>5.7</v>
      </c>
      <c r="AL650" s="45">
        <v>6.2</v>
      </c>
      <c r="AM650" s="45">
        <v>5.8</v>
      </c>
      <c r="AN650" s="45">
        <v>6.3</v>
      </c>
      <c r="AO650" s="45">
        <v>5.4</v>
      </c>
      <c r="AP650" s="45">
        <v>4.7</v>
      </c>
      <c r="AQ650" s="45">
        <v>4</v>
      </c>
      <c r="AR650" s="45">
        <v>3.7</v>
      </c>
      <c r="AS650" s="45">
        <v>0</v>
      </c>
      <c r="AT650" s="45">
        <v>0</v>
      </c>
      <c r="AU650" s="45">
        <v>0</v>
      </c>
      <c r="AV650" s="45">
        <v>0</v>
      </c>
      <c r="AW650" s="45">
        <v>0</v>
      </c>
      <c r="AX650" s="45">
        <v>0</v>
      </c>
      <c r="AY650" s="45">
        <v>0</v>
      </c>
      <c r="AZ650" s="45">
        <v>0</v>
      </c>
      <c r="BA650" s="45">
        <v>0</v>
      </c>
      <c r="BB650" s="45">
        <v>0</v>
      </c>
      <c r="BC650" s="45">
        <v>0</v>
      </c>
      <c r="BD650" s="45">
        <v>0</v>
      </c>
      <c r="BE650" s="45">
        <v>0</v>
      </c>
      <c r="BF650" s="45">
        <v>0</v>
      </c>
      <c r="BG650" s="45">
        <v>0</v>
      </c>
    </row>
    <row r="651" spans="1:59">
      <c r="A651" s="18" t="s">
        <v>240</v>
      </c>
      <c r="B651" s="18" t="s">
        <v>120</v>
      </c>
      <c r="C651" s="18" t="s">
        <v>218</v>
      </c>
      <c r="D651" s="45">
        <v>0</v>
      </c>
      <c r="E651" s="45">
        <v>0</v>
      </c>
      <c r="F651" s="45">
        <v>0</v>
      </c>
      <c r="G651" s="45">
        <v>0</v>
      </c>
      <c r="H651" s="45">
        <v>0</v>
      </c>
      <c r="I651" s="45">
        <v>0</v>
      </c>
      <c r="J651" s="45">
        <v>0</v>
      </c>
      <c r="K651" s="45">
        <v>0</v>
      </c>
      <c r="L651" s="45">
        <v>0</v>
      </c>
      <c r="M651" s="45">
        <v>0</v>
      </c>
      <c r="N651" s="45">
        <v>0</v>
      </c>
      <c r="O651" s="45">
        <v>0</v>
      </c>
      <c r="P651" s="45">
        <v>0</v>
      </c>
      <c r="Q651" s="45">
        <v>0</v>
      </c>
      <c r="R651" s="45">
        <v>0</v>
      </c>
      <c r="S651" s="45">
        <v>0</v>
      </c>
      <c r="T651" s="45">
        <v>0</v>
      </c>
      <c r="U651" s="45">
        <v>0</v>
      </c>
      <c r="V651" s="45">
        <v>0</v>
      </c>
      <c r="W651" s="45">
        <v>0</v>
      </c>
      <c r="X651" s="45">
        <v>0</v>
      </c>
      <c r="Y651" s="45">
        <v>0</v>
      </c>
      <c r="Z651" s="45">
        <v>0</v>
      </c>
      <c r="AA651" s="45">
        <v>0</v>
      </c>
      <c r="AB651" s="45">
        <v>0</v>
      </c>
      <c r="AC651" s="45">
        <v>0</v>
      </c>
      <c r="AD651" s="45">
        <v>0</v>
      </c>
      <c r="AE651" s="45">
        <v>0</v>
      </c>
      <c r="AF651" s="45">
        <v>0</v>
      </c>
      <c r="AG651" s="45">
        <v>0</v>
      </c>
      <c r="AH651" s="45">
        <v>0</v>
      </c>
      <c r="AI651" s="45">
        <v>0</v>
      </c>
      <c r="AJ651" s="45">
        <v>0</v>
      </c>
      <c r="AK651" s="45">
        <v>0</v>
      </c>
      <c r="AL651" s="45">
        <v>0</v>
      </c>
      <c r="AM651" s="45">
        <v>0</v>
      </c>
      <c r="AN651" s="45">
        <v>0</v>
      </c>
      <c r="AO651" s="45">
        <v>0</v>
      </c>
      <c r="AP651" s="45">
        <v>0</v>
      </c>
      <c r="AQ651" s="45">
        <v>0</v>
      </c>
      <c r="AR651" s="45">
        <v>0</v>
      </c>
      <c r="AS651" s="45">
        <v>0</v>
      </c>
      <c r="AT651" s="45">
        <v>0</v>
      </c>
      <c r="AU651" s="45">
        <v>0</v>
      </c>
      <c r="AV651" s="45">
        <v>0</v>
      </c>
      <c r="AW651" s="45">
        <v>0</v>
      </c>
      <c r="AX651" s="45">
        <v>0</v>
      </c>
      <c r="AY651" s="45">
        <v>0</v>
      </c>
      <c r="AZ651" s="45">
        <v>0</v>
      </c>
      <c r="BA651" s="45">
        <v>0</v>
      </c>
      <c r="BB651" s="45">
        <v>0</v>
      </c>
      <c r="BC651" s="45">
        <v>0</v>
      </c>
      <c r="BD651" s="45">
        <v>0</v>
      </c>
      <c r="BE651" s="45">
        <v>0</v>
      </c>
      <c r="BF651" s="45">
        <v>0</v>
      </c>
      <c r="BG651" s="45">
        <v>0</v>
      </c>
    </row>
    <row r="652" spans="1:59">
      <c r="A652" s="18" t="s">
        <v>241</v>
      </c>
      <c r="B652" s="18" t="s">
        <v>120</v>
      </c>
      <c r="C652" s="18" t="s">
        <v>220</v>
      </c>
      <c r="D652" s="45">
        <v>0</v>
      </c>
      <c r="E652" s="45">
        <v>0</v>
      </c>
      <c r="F652" s="45">
        <v>0</v>
      </c>
      <c r="G652" s="45">
        <v>0</v>
      </c>
      <c r="H652" s="45">
        <v>0</v>
      </c>
      <c r="I652" s="45">
        <v>3.1</v>
      </c>
      <c r="J652" s="45">
        <v>5.9</v>
      </c>
      <c r="K652" s="45">
        <v>11.9</v>
      </c>
      <c r="L652" s="45">
        <v>3.3</v>
      </c>
      <c r="M652" s="45">
        <v>4.5</v>
      </c>
      <c r="N652" s="45">
        <v>4.5</v>
      </c>
      <c r="O652" s="45">
        <v>7.4</v>
      </c>
      <c r="P652" s="45">
        <v>7.6</v>
      </c>
      <c r="Q652" s="45">
        <v>4.5</v>
      </c>
      <c r="R652" s="45">
        <v>0</v>
      </c>
      <c r="S652" s="45">
        <v>6.8</v>
      </c>
      <c r="T652" s="45">
        <v>4.5</v>
      </c>
      <c r="U652" s="45">
        <v>4.1</v>
      </c>
      <c r="V652" s="45">
        <v>8</v>
      </c>
      <c r="W652" s="45">
        <v>0</v>
      </c>
      <c r="X652" s="45">
        <v>0</v>
      </c>
      <c r="Y652" s="45">
        <v>0</v>
      </c>
      <c r="Z652" s="45">
        <v>0</v>
      </c>
      <c r="AA652" s="45">
        <v>0</v>
      </c>
      <c r="AB652" s="45">
        <v>0</v>
      </c>
      <c r="AC652" s="45">
        <v>0</v>
      </c>
      <c r="AD652" s="45">
        <v>0</v>
      </c>
      <c r="AE652" s="45">
        <v>0</v>
      </c>
      <c r="AF652" s="45">
        <v>0</v>
      </c>
      <c r="AG652" s="45">
        <v>0</v>
      </c>
      <c r="AH652" s="45">
        <v>1.2</v>
      </c>
      <c r="AI652" s="45">
        <v>0</v>
      </c>
      <c r="AJ652" s="45">
        <v>0</v>
      </c>
      <c r="AK652" s="45">
        <v>0</v>
      </c>
      <c r="AL652" s="45">
        <v>0</v>
      </c>
      <c r="AM652" s="45">
        <v>0</v>
      </c>
      <c r="AN652" s="45">
        <v>0</v>
      </c>
      <c r="AO652" s="45">
        <v>0</v>
      </c>
      <c r="AP652" s="45">
        <v>0</v>
      </c>
      <c r="AQ652" s="45">
        <v>0</v>
      </c>
      <c r="AR652" s="45">
        <v>0</v>
      </c>
      <c r="AS652" s="45">
        <v>0</v>
      </c>
      <c r="AT652" s="45">
        <v>0</v>
      </c>
      <c r="AU652" s="45">
        <v>0</v>
      </c>
      <c r="AV652" s="45">
        <v>0</v>
      </c>
      <c r="AW652" s="45">
        <v>0</v>
      </c>
      <c r="AX652" s="45">
        <v>0</v>
      </c>
      <c r="AY652" s="45">
        <v>0</v>
      </c>
      <c r="AZ652" s="45">
        <v>0</v>
      </c>
      <c r="BA652" s="45">
        <v>0</v>
      </c>
      <c r="BB652" s="45">
        <v>0</v>
      </c>
      <c r="BC652" s="45">
        <v>0</v>
      </c>
      <c r="BD652" s="45">
        <v>0</v>
      </c>
      <c r="BE652" s="45">
        <v>0</v>
      </c>
      <c r="BF652" s="45">
        <v>0</v>
      </c>
      <c r="BG652" s="45">
        <v>0</v>
      </c>
    </row>
    <row r="653" spans="1:59">
      <c r="A653" s="18" t="s">
        <v>242</v>
      </c>
      <c r="B653" s="18" t="s">
        <v>134</v>
      </c>
      <c r="C653" s="18" t="s">
        <v>5</v>
      </c>
      <c r="D653" s="45">
        <v>0</v>
      </c>
      <c r="E653" s="45">
        <v>0</v>
      </c>
      <c r="F653" s="45">
        <v>0</v>
      </c>
      <c r="G653" s="45">
        <v>0</v>
      </c>
      <c r="H653" s="45">
        <v>0</v>
      </c>
      <c r="I653" s="45">
        <v>4.9</v>
      </c>
      <c r="J653" s="45">
        <v>5.6</v>
      </c>
      <c r="K653" s="45">
        <v>6.2</v>
      </c>
      <c r="L653" s="45">
        <v>6.2</v>
      </c>
      <c r="M653" s="45">
        <v>5.6</v>
      </c>
      <c r="N653" s="45">
        <v>5.8</v>
      </c>
      <c r="O653" s="45">
        <v>5.4</v>
      </c>
      <c r="P653" s="45">
        <v>5.2</v>
      </c>
      <c r="Q653" s="45">
        <v>5.2</v>
      </c>
      <c r="R653" s="45">
        <v>5.3</v>
      </c>
      <c r="S653" s="45">
        <v>5.4</v>
      </c>
      <c r="T653" s="45">
        <v>5.3</v>
      </c>
      <c r="U653" s="45">
        <v>5.7</v>
      </c>
      <c r="V653" s="45">
        <v>5.5</v>
      </c>
      <c r="W653" s="45">
        <v>5.7</v>
      </c>
      <c r="X653" s="45">
        <v>6.9</v>
      </c>
      <c r="Y653" s="45">
        <v>5.7</v>
      </c>
      <c r="Z653" s="45">
        <v>5.8</v>
      </c>
      <c r="AA653" s="45">
        <v>5.8</v>
      </c>
      <c r="AB653" s="45">
        <v>6.1</v>
      </c>
      <c r="AC653" s="45">
        <v>5.5</v>
      </c>
      <c r="AD653" s="45">
        <v>5.2</v>
      </c>
      <c r="AE653" s="45">
        <v>5.3</v>
      </c>
      <c r="AF653" s="45">
        <v>5.5</v>
      </c>
      <c r="AG653" s="45">
        <v>5.2</v>
      </c>
      <c r="AH653" s="45">
        <v>5.9</v>
      </c>
      <c r="AI653" s="45">
        <v>5.8</v>
      </c>
      <c r="AJ653" s="45">
        <v>5.4</v>
      </c>
      <c r="AK653" s="45">
        <v>6.2</v>
      </c>
      <c r="AL653" s="45">
        <v>6</v>
      </c>
      <c r="AM653" s="45">
        <v>5.6</v>
      </c>
      <c r="AN653" s="45">
        <v>5.8</v>
      </c>
      <c r="AO653" s="45">
        <v>5.4</v>
      </c>
      <c r="AP653" s="45">
        <v>5.6</v>
      </c>
      <c r="AQ653" s="45">
        <v>5.6</v>
      </c>
      <c r="AR653" s="45">
        <v>8.699999999999999</v>
      </c>
      <c r="AS653" s="45">
        <v>0</v>
      </c>
      <c r="AT653" s="45">
        <v>0</v>
      </c>
      <c r="AU653" s="45">
        <v>0</v>
      </c>
      <c r="AV653" s="45">
        <v>0</v>
      </c>
      <c r="AW653" s="45">
        <v>0</v>
      </c>
      <c r="AX653" s="45">
        <v>0</v>
      </c>
      <c r="AY653" s="45">
        <v>0</v>
      </c>
      <c r="AZ653" s="45">
        <v>0</v>
      </c>
      <c r="BA653" s="45">
        <v>0</v>
      </c>
      <c r="BB653" s="45">
        <v>0</v>
      </c>
      <c r="BC653" s="45">
        <v>0</v>
      </c>
      <c r="BD653" s="45">
        <v>0</v>
      </c>
      <c r="BE653" s="45">
        <v>0</v>
      </c>
      <c r="BF653" s="45">
        <v>0</v>
      </c>
      <c r="BG653" s="45">
        <v>0</v>
      </c>
    </row>
    <row r="654" spans="1:59">
      <c r="A654" s="18" t="s">
        <v>243</v>
      </c>
      <c r="B654" s="18" t="s">
        <v>134</v>
      </c>
      <c r="C654" s="18" t="s">
        <v>210</v>
      </c>
      <c r="D654" s="45">
        <v>0</v>
      </c>
      <c r="E654" s="45">
        <v>0</v>
      </c>
      <c r="F654" s="45">
        <v>0</v>
      </c>
      <c r="G654" s="45">
        <v>0</v>
      </c>
      <c r="H654" s="45">
        <v>0</v>
      </c>
      <c r="I654" s="45">
        <v>4.8</v>
      </c>
      <c r="J654" s="45">
        <v>7.9</v>
      </c>
      <c r="K654" s="45">
        <v>6.6</v>
      </c>
      <c r="L654" s="45">
        <v>6.5</v>
      </c>
      <c r="M654" s="45">
        <v>6.5</v>
      </c>
      <c r="N654" s="45">
        <v>5.8</v>
      </c>
      <c r="O654" s="45">
        <v>6.4</v>
      </c>
      <c r="P654" s="45">
        <v>5.4</v>
      </c>
      <c r="Q654" s="45">
        <v>5.4</v>
      </c>
      <c r="R654" s="45">
        <v>6</v>
      </c>
      <c r="S654" s="45">
        <v>5.5</v>
      </c>
      <c r="T654" s="45">
        <v>5.8</v>
      </c>
      <c r="U654" s="45">
        <v>5.9</v>
      </c>
      <c r="V654" s="45">
        <v>6.5</v>
      </c>
      <c r="W654" s="45">
        <v>7.1</v>
      </c>
      <c r="X654" s="45">
        <v>6.9</v>
      </c>
      <c r="Y654" s="45">
        <v>6.7</v>
      </c>
      <c r="Z654" s="45">
        <v>5.9</v>
      </c>
      <c r="AA654" s="45">
        <v>6.9</v>
      </c>
      <c r="AB654" s="45">
        <v>6.5</v>
      </c>
      <c r="AC654" s="45">
        <v>6.3</v>
      </c>
      <c r="AD654" s="45">
        <v>6.1</v>
      </c>
      <c r="AE654" s="45">
        <v>5.5</v>
      </c>
      <c r="AF654" s="45">
        <v>6</v>
      </c>
      <c r="AG654" s="45">
        <v>5.9</v>
      </c>
      <c r="AH654" s="45">
        <v>6.6</v>
      </c>
      <c r="AI654" s="45">
        <v>5.9</v>
      </c>
      <c r="AJ654" s="45">
        <v>5.7</v>
      </c>
      <c r="AK654" s="45">
        <v>6.1</v>
      </c>
      <c r="AL654" s="45">
        <v>6.2</v>
      </c>
      <c r="AM654" s="45">
        <v>5.7</v>
      </c>
      <c r="AN654" s="45">
        <v>5.6</v>
      </c>
      <c r="AO654" s="45">
        <v>5.5</v>
      </c>
      <c r="AP654" s="45">
        <v>5.4</v>
      </c>
      <c r="AQ654" s="45">
        <v>6.2</v>
      </c>
      <c r="AR654" s="45">
        <v>6.4</v>
      </c>
      <c r="AS654" s="45">
        <v>0</v>
      </c>
      <c r="AT654" s="45">
        <v>0</v>
      </c>
      <c r="AU654" s="45">
        <v>0</v>
      </c>
      <c r="AV654" s="45">
        <v>0</v>
      </c>
      <c r="AW654" s="45">
        <v>0</v>
      </c>
      <c r="AX654" s="45">
        <v>0</v>
      </c>
      <c r="AY654" s="45">
        <v>0</v>
      </c>
      <c r="AZ654" s="45">
        <v>0</v>
      </c>
      <c r="BA654" s="45">
        <v>0</v>
      </c>
      <c r="BB654" s="45">
        <v>0</v>
      </c>
      <c r="BC654" s="45">
        <v>0</v>
      </c>
      <c r="BD654" s="45">
        <v>0</v>
      </c>
      <c r="BE654" s="45">
        <v>0</v>
      </c>
      <c r="BF654" s="45">
        <v>0</v>
      </c>
      <c r="BG654" s="45">
        <v>0</v>
      </c>
    </row>
    <row r="655" spans="1:59">
      <c r="A655" s="18" t="s">
        <v>244</v>
      </c>
      <c r="B655" s="18" t="s">
        <v>134</v>
      </c>
      <c r="C655" s="18" t="s">
        <v>212</v>
      </c>
      <c r="D655" s="45">
        <v>0</v>
      </c>
      <c r="E655" s="45">
        <v>0</v>
      </c>
      <c r="F655" s="45">
        <v>0</v>
      </c>
      <c r="G655" s="45">
        <v>0</v>
      </c>
      <c r="H655" s="45">
        <v>0</v>
      </c>
      <c r="I655" s="45">
        <v>4.7</v>
      </c>
      <c r="J655" s="45">
        <v>6.7</v>
      </c>
      <c r="K655" s="45">
        <v>7</v>
      </c>
      <c r="L655" s="45">
        <v>7.2</v>
      </c>
      <c r="M655" s="45">
        <v>7.4</v>
      </c>
      <c r="N655" s="45">
        <v>6</v>
      </c>
      <c r="O655" s="45">
        <v>5.8</v>
      </c>
      <c r="P655" s="45">
        <v>5.4</v>
      </c>
      <c r="Q655" s="45">
        <v>5.9</v>
      </c>
      <c r="R655" s="45">
        <v>6.2</v>
      </c>
      <c r="S655" s="45">
        <v>6</v>
      </c>
      <c r="T655" s="45">
        <v>6.1</v>
      </c>
      <c r="U655" s="45">
        <v>5.8</v>
      </c>
      <c r="V655" s="45">
        <v>6.5</v>
      </c>
      <c r="W655" s="45">
        <v>7.5</v>
      </c>
      <c r="X655" s="45">
        <v>6.9</v>
      </c>
      <c r="Y655" s="45">
        <v>6.5</v>
      </c>
      <c r="Z655" s="45">
        <v>6.3</v>
      </c>
      <c r="AA655" s="45">
        <v>7.3</v>
      </c>
      <c r="AB655" s="45">
        <v>7.6</v>
      </c>
      <c r="AC655" s="45">
        <v>6.3</v>
      </c>
      <c r="AD655" s="45">
        <v>5.7</v>
      </c>
      <c r="AE655" s="45">
        <v>5.6</v>
      </c>
      <c r="AF655" s="45">
        <v>6.1</v>
      </c>
      <c r="AG655" s="45">
        <v>5.6</v>
      </c>
      <c r="AH655" s="45">
        <v>5.9</v>
      </c>
      <c r="AI655" s="45">
        <v>5.6</v>
      </c>
      <c r="AJ655" s="45">
        <v>5.7</v>
      </c>
      <c r="AK655" s="45">
        <v>6</v>
      </c>
      <c r="AL655" s="45">
        <v>6.1</v>
      </c>
      <c r="AM655" s="45">
        <v>5.8</v>
      </c>
      <c r="AN655" s="45">
        <v>5.5</v>
      </c>
      <c r="AO655" s="45">
        <v>5.4</v>
      </c>
      <c r="AP655" s="45">
        <v>6.3</v>
      </c>
      <c r="AQ655" s="45">
        <v>6</v>
      </c>
      <c r="AR655" s="45">
        <v>7.5</v>
      </c>
      <c r="AS655" s="45">
        <v>0</v>
      </c>
      <c r="AT655" s="45">
        <v>0</v>
      </c>
      <c r="AU655" s="45">
        <v>0</v>
      </c>
      <c r="AV655" s="45">
        <v>0</v>
      </c>
      <c r="AW655" s="45">
        <v>0</v>
      </c>
      <c r="AX655" s="45">
        <v>0</v>
      </c>
      <c r="AY655" s="45">
        <v>0</v>
      </c>
      <c r="AZ655" s="45">
        <v>0</v>
      </c>
      <c r="BA655" s="45">
        <v>0</v>
      </c>
      <c r="BB655" s="45">
        <v>0</v>
      </c>
      <c r="BC655" s="45">
        <v>0</v>
      </c>
      <c r="BD655" s="45">
        <v>0</v>
      </c>
      <c r="BE655" s="45">
        <v>0</v>
      </c>
      <c r="BF655" s="45">
        <v>0</v>
      </c>
      <c r="BG655" s="45">
        <v>0</v>
      </c>
    </row>
    <row r="656" spans="1:59">
      <c r="A656" s="18" t="s">
        <v>245</v>
      </c>
      <c r="B656" s="18" t="s">
        <v>134</v>
      </c>
      <c r="C656" s="18" t="s">
        <v>214</v>
      </c>
      <c r="D656" s="45">
        <v>0</v>
      </c>
      <c r="E656" s="45">
        <v>0</v>
      </c>
      <c r="F656" s="45">
        <v>0</v>
      </c>
      <c r="G656" s="45">
        <v>0</v>
      </c>
      <c r="H656" s="45">
        <v>0</v>
      </c>
      <c r="I656" s="45">
        <v>5.4</v>
      </c>
      <c r="J656" s="45">
        <v>7.8</v>
      </c>
      <c r="K656" s="45">
        <v>7.6</v>
      </c>
      <c r="L656" s="45">
        <v>7.5</v>
      </c>
      <c r="M656" s="45">
        <v>7.2</v>
      </c>
      <c r="N656" s="45">
        <v>7</v>
      </c>
      <c r="O656" s="45">
        <v>6</v>
      </c>
      <c r="P656" s="45">
        <v>6.9</v>
      </c>
      <c r="Q656" s="45">
        <v>5.9</v>
      </c>
      <c r="R656" s="45">
        <v>6.7</v>
      </c>
      <c r="S656" s="45">
        <v>6.1</v>
      </c>
      <c r="T656" s="45">
        <v>6.4</v>
      </c>
      <c r="U656" s="45">
        <v>6.2</v>
      </c>
      <c r="V656" s="45">
        <v>7.1</v>
      </c>
      <c r="W656" s="45">
        <v>8</v>
      </c>
      <c r="X656" s="45">
        <v>7.6</v>
      </c>
      <c r="Y656" s="45">
        <v>7.8</v>
      </c>
      <c r="Z656" s="45">
        <v>7.7</v>
      </c>
      <c r="AA656" s="45">
        <v>7.7</v>
      </c>
      <c r="AB656" s="45">
        <v>6.9</v>
      </c>
      <c r="AC656" s="45">
        <v>6.5</v>
      </c>
      <c r="AD656" s="45">
        <v>5.9</v>
      </c>
      <c r="AE656" s="45">
        <v>6.1</v>
      </c>
      <c r="AF656" s="45">
        <v>5.4</v>
      </c>
      <c r="AG656" s="45">
        <v>6.8</v>
      </c>
      <c r="AH656" s="45">
        <v>5.8</v>
      </c>
      <c r="AI656" s="45">
        <v>6</v>
      </c>
      <c r="AJ656" s="45">
        <v>5.6</v>
      </c>
      <c r="AK656" s="45">
        <v>5.9</v>
      </c>
      <c r="AL656" s="45">
        <v>5.6</v>
      </c>
      <c r="AM656" s="45">
        <v>5.8</v>
      </c>
      <c r="AN656" s="45">
        <v>5.8</v>
      </c>
      <c r="AO656" s="45">
        <v>5.8</v>
      </c>
      <c r="AP656" s="45">
        <v>5.6</v>
      </c>
      <c r="AQ656" s="45">
        <v>6.1</v>
      </c>
      <c r="AR656" s="45">
        <v>6.7</v>
      </c>
      <c r="AS656" s="45">
        <v>0</v>
      </c>
      <c r="AT656" s="45">
        <v>0</v>
      </c>
      <c r="AU656" s="45">
        <v>3.8</v>
      </c>
      <c r="AV656" s="45">
        <v>5.6</v>
      </c>
      <c r="AW656" s="45">
        <v>0</v>
      </c>
      <c r="AX656" s="45">
        <v>0</v>
      </c>
      <c r="AY656" s="45">
        <v>0</v>
      </c>
      <c r="AZ656" s="45">
        <v>0</v>
      </c>
      <c r="BA656" s="45">
        <v>0</v>
      </c>
      <c r="BB656" s="45">
        <v>0</v>
      </c>
      <c r="BC656" s="45">
        <v>0</v>
      </c>
      <c r="BD656" s="45">
        <v>0</v>
      </c>
      <c r="BE656" s="45">
        <v>0</v>
      </c>
      <c r="BF656" s="45">
        <v>0</v>
      </c>
      <c r="BG656" s="45">
        <v>0</v>
      </c>
    </row>
    <row r="657" spans="1:59">
      <c r="A657" s="18" t="s">
        <v>246</v>
      </c>
      <c r="B657" s="18" t="s">
        <v>134</v>
      </c>
      <c r="C657" s="18" t="s">
        <v>216</v>
      </c>
      <c r="D657" s="45">
        <v>0</v>
      </c>
      <c r="E657" s="45">
        <v>0</v>
      </c>
      <c r="F657" s="45">
        <v>0</v>
      </c>
      <c r="G657" s="45">
        <v>0</v>
      </c>
      <c r="H657" s="45">
        <v>0</v>
      </c>
      <c r="I657" s="45">
        <v>4.7</v>
      </c>
      <c r="J657" s="45">
        <v>8.1</v>
      </c>
      <c r="K657" s="45">
        <v>8</v>
      </c>
      <c r="L657" s="45">
        <v>7.7</v>
      </c>
      <c r="M657" s="45">
        <v>6.6</v>
      </c>
      <c r="N657" s="45">
        <v>6.8</v>
      </c>
      <c r="O657" s="45">
        <v>6.6</v>
      </c>
      <c r="P657" s="45">
        <v>6</v>
      </c>
      <c r="Q657" s="45">
        <v>6.2</v>
      </c>
      <c r="R657" s="45">
        <v>6.2</v>
      </c>
      <c r="S657" s="45">
        <v>6.6</v>
      </c>
      <c r="T657" s="45">
        <v>6</v>
      </c>
      <c r="U657" s="45">
        <v>6.9</v>
      </c>
      <c r="V657" s="45">
        <v>6.3</v>
      </c>
      <c r="W657" s="45">
        <v>7.7</v>
      </c>
      <c r="X657" s="45">
        <v>7.9</v>
      </c>
      <c r="Y657" s="45">
        <v>6.9</v>
      </c>
      <c r="Z657" s="45">
        <v>6.1</v>
      </c>
      <c r="AA657" s="45">
        <v>6.5</v>
      </c>
      <c r="AB657" s="45">
        <v>7.1</v>
      </c>
      <c r="AC657" s="45">
        <v>6.8</v>
      </c>
      <c r="AD657" s="45">
        <v>6.2</v>
      </c>
      <c r="AE657" s="45">
        <v>6.1</v>
      </c>
      <c r="AF657" s="45">
        <v>6.1</v>
      </c>
      <c r="AG657" s="45">
        <v>6.6</v>
      </c>
      <c r="AH657" s="45">
        <v>5.7</v>
      </c>
      <c r="AI657" s="45">
        <v>6.5</v>
      </c>
      <c r="AJ657" s="45">
        <v>6.8</v>
      </c>
      <c r="AK657" s="45">
        <v>6.1</v>
      </c>
      <c r="AL657" s="45">
        <v>6.2</v>
      </c>
      <c r="AM657" s="45">
        <v>6</v>
      </c>
      <c r="AN657" s="45">
        <v>6.3</v>
      </c>
      <c r="AO657" s="45">
        <v>5.8</v>
      </c>
      <c r="AP657" s="45">
        <v>5.6</v>
      </c>
      <c r="AQ657" s="45">
        <v>6.3</v>
      </c>
      <c r="AR657" s="45">
        <v>7.6</v>
      </c>
      <c r="AS657" s="45">
        <v>10.2</v>
      </c>
      <c r="AT657" s="45">
        <v>0</v>
      </c>
      <c r="AU657" s="45">
        <v>0</v>
      </c>
      <c r="AV657" s="45">
        <v>0</v>
      </c>
      <c r="AW657" s="45">
        <v>0</v>
      </c>
      <c r="AX657" s="45">
        <v>0</v>
      </c>
      <c r="AY657" s="45">
        <v>0</v>
      </c>
      <c r="AZ657" s="45">
        <v>0</v>
      </c>
      <c r="BA657" s="45">
        <v>0</v>
      </c>
      <c r="BB657" s="45">
        <v>0</v>
      </c>
      <c r="BC657" s="45">
        <v>0</v>
      </c>
      <c r="BD657" s="45">
        <v>0</v>
      </c>
      <c r="BE657" s="45">
        <v>0</v>
      </c>
      <c r="BF657" s="45">
        <v>0</v>
      </c>
      <c r="BG657" s="45">
        <v>0</v>
      </c>
    </row>
    <row r="658" spans="1:59">
      <c r="A658" s="18" t="s">
        <v>247</v>
      </c>
      <c r="B658" s="18" t="s">
        <v>134</v>
      </c>
      <c r="C658" s="18" t="s">
        <v>218</v>
      </c>
      <c r="D658" s="45">
        <v>0</v>
      </c>
      <c r="E658" s="45">
        <v>0</v>
      </c>
      <c r="F658" s="45">
        <v>0</v>
      </c>
      <c r="G658" s="45">
        <v>0</v>
      </c>
      <c r="H658" s="45">
        <v>0</v>
      </c>
      <c r="I658" s="45">
        <v>0</v>
      </c>
      <c r="J658" s="45">
        <v>0</v>
      </c>
      <c r="K658" s="45">
        <v>0</v>
      </c>
      <c r="L658" s="45">
        <v>0</v>
      </c>
      <c r="M658" s="45">
        <v>0</v>
      </c>
      <c r="N658" s="45">
        <v>0</v>
      </c>
      <c r="O658" s="45">
        <v>0</v>
      </c>
      <c r="P658" s="45">
        <v>0</v>
      </c>
      <c r="Q658" s="45">
        <v>0</v>
      </c>
      <c r="R658" s="45">
        <v>0</v>
      </c>
      <c r="S658" s="45">
        <v>0</v>
      </c>
      <c r="T658" s="45">
        <v>0</v>
      </c>
      <c r="U658" s="45">
        <v>0</v>
      </c>
      <c r="V658" s="45">
        <v>0</v>
      </c>
      <c r="W658" s="45">
        <v>0</v>
      </c>
      <c r="X658" s="45">
        <v>0</v>
      </c>
      <c r="Y658" s="45">
        <v>0</v>
      </c>
      <c r="Z658" s="45">
        <v>0</v>
      </c>
      <c r="AA658" s="45">
        <v>0</v>
      </c>
      <c r="AB658" s="45">
        <v>0</v>
      </c>
      <c r="AC658" s="45">
        <v>0</v>
      </c>
      <c r="AD658" s="45">
        <v>0</v>
      </c>
      <c r="AE658" s="45">
        <v>0</v>
      </c>
      <c r="AF658" s="45">
        <v>0</v>
      </c>
      <c r="AG658" s="45">
        <v>0</v>
      </c>
      <c r="AH658" s="45">
        <v>0</v>
      </c>
      <c r="AI658" s="45">
        <v>0</v>
      </c>
      <c r="AJ658" s="45">
        <v>0</v>
      </c>
      <c r="AK658" s="45">
        <v>0</v>
      </c>
      <c r="AL658" s="45">
        <v>0</v>
      </c>
      <c r="AM658" s="45">
        <v>0</v>
      </c>
      <c r="AN658" s="45">
        <v>0</v>
      </c>
      <c r="AO658" s="45">
        <v>0</v>
      </c>
      <c r="AP658" s="45">
        <v>0</v>
      </c>
      <c r="AQ658" s="45">
        <v>0</v>
      </c>
      <c r="AR658" s="45">
        <v>0</v>
      </c>
      <c r="AS658" s="45">
        <v>0</v>
      </c>
      <c r="AT658" s="45">
        <v>0</v>
      </c>
      <c r="AU658" s="45">
        <v>0</v>
      </c>
      <c r="AV658" s="45">
        <v>0</v>
      </c>
      <c r="AW658" s="45">
        <v>0</v>
      </c>
      <c r="AX658" s="45">
        <v>0</v>
      </c>
      <c r="AY658" s="45">
        <v>0</v>
      </c>
      <c r="AZ658" s="45">
        <v>0</v>
      </c>
      <c r="BA658" s="45">
        <v>0</v>
      </c>
      <c r="BB658" s="45">
        <v>0</v>
      </c>
      <c r="BC658" s="45">
        <v>0</v>
      </c>
      <c r="BD658" s="45">
        <v>0</v>
      </c>
      <c r="BE658" s="45">
        <v>0</v>
      </c>
      <c r="BF658" s="45">
        <v>0</v>
      </c>
      <c r="BG658" s="45">
        <v>0</v>
      </c>
    </row>
    <row r="659" spans="1:59">
      <c r="A659" s="18" t="s">
        <v>248</v>
      </c>
      <c r="B659" s="18" t="s">
        <v>134</v>
      </c>
      <c r="C659" s="18" t="s">
        <v>220</v>
      </c>
      <c r="D659" s="45">
        <v>0</v>
      </c>
      <c r="E659" s="45">
        <v>0</v>
      </c>
      <c r="F659" s="45">
        <v>0</v>
      </c>
      <c r="G659" s="45">
        <v>0</v>
      </c>
      <c r="H659" s="45">
        <v>0</v>
      </c>
      <c r="I659" s="45">
        <v>0</v>
      </c>
      <c r="J659" s="45">
        <v>0</v>
      </c>
      <c r="K659" s="45">
        <v>0</v>
      </c>
      <c r="L659" s="45">
        <v>0</v>
      </c>
      <c r="M659" s="45">
        <v>0</v>
      </c>
      <c r="N659" s="45">
        <v>0</v>
      </c>
      <c r="O659" s="45">
        <v>0</v>
      </c>
      <c r="P659" s="45">
        <v>0</v>
      </c>
      <c r="Q659" s="45">
        <v>0</v>
      </c>
      <c r="R659" s="45">
        <v>0</v>
      </c>
      <c r="S659" s="45">
        <v>0</v>
      </c>
      <c r="T659" s="45">
        <v>0</v>
      </c>
      <c r="U659" s="45">
        <v>0</v>
      </c>
      <c r="V659" s="45">
        <v>0</v>
      </c>
      <c r="W659" s="45">
        <v>0</v>
      </c>
      <c r="X659" s="45">
        <v>0</v>
      </c>
      <c r="Y659" s="45">
        <v>0</v>
      </c>
      <c r="Z659" s="45">
        <v>0</v>
      </c>
      <c r="AA659" s="45">
        <v>0</v>
      </c>
      <c r="AB659" s="45">
        <v>0</v>
      </c>
      <c r="AC659" s="45">
        <v>0</v>
      </c>
      <c r="AD659" s="45">
        <v>0</v>
      </c>
      <c r="AE659" s="45">
        <v>0</v>
      </c>
      <c r="AF659" s="45">
        <v>0</v>
      </c>
      <c r="AG659" s="45">
        <v>0</v>
      </c>
      <c r="AH659" s="45">
        <v>0</v>
      </c>
      <c r="AI659" s="45">
        <v>0</v>
      </c>
      <c r="AJ659" s="45">
        <v>0</v>
      </c>
      <c r="AK659" s="45">
        <v>13.4</v>
      </c>
      <c r="AL659" s="45">
        <v>0</v>
      </c>
      <c r="AM659" s="45">
        <v>0</v>
      </c>
      <c r="AN659" s="45">
        <v>0</v>
      </c>
      <c r="AO659" s="45">
        <v>0</v>
      </c>
      <c r="AP659" s="45">
        <v>0</v>
      </c>
      <c r="AQ659" s="45">
        <v>0</v>
      </c>
      <c r="AR659" s="45">
        <v>0</v>
      </c>
      <c r="AS659" s="45">
        <v>0</v>
      </c>
      <c r="AT659" s="45">
        <v>0</v>
      </c>
      <c r="AU659" s="45">
        <v>0</v>
      </c>
      <c r="AV659" s="45">
        <v>0</v>
      </c>
      <c r="AW659" s="45">
        <v>0</v>
      </c>
      <c r="AX659" s="45">
        <v>0</v>
      </c>
      <c r="AY659" s="45">
        <v>0</v>
      </c>
      <c r="AZ659" s="45">
        <v>0</v>
      </c>
      <c r="BA659" s="45">
        <v>0</v>
      </c>
      <c r="BB659" s="45">
        <v>0</v>
      </c>
      <c r="BC659" s="45">
        <v>0</v>
      </c>
      <c r="BD659" s="45">
        <v>0</v>
      </c>
      <c r="BE659" s="45">
        <v>0</v>
      </c>
      <c r="BF659" s="45">
        <v>0</v>
      </c>
      <c r="BG659" s="45">
        <v>0</v>
      </c>
    </row>
    <row r="660" spans="1:59">
      <c r="A660" s="18" t="s">
        <v>249</v>
      </c>
      <c r="B660" s="18" t="s">
        <v>148</v>
      </c>
      <c r="C660" s="18" t="s">
        <v>5</v>
      </c>
      <c r="D660" s="45">
        <v>0</v>
      </c>
      <c r="E660" s="45">
        <v>0</v>
      </c>
      <c r="F660" s="45">
        <v>0</v>
      </c>
      <c r="G660" s="45">
        <v>8.300000000000001</v>
      </c>
      <c r="H660" s="45">
        <v>10.7</v>
      </c>
      <c r="I660" s="45">
        <v>8.800000000000001</v>
      </c>
      <c r="J660" s="45">
        <v>7.1</v>
      </c>
      <c r="K660" s="45">
        <v>7</v>
      </c>
      <c r="L660" s="45">
        <v>6.4</v>
      </c>
      <c r="M660" s="45">
        <v>6</v>
      </c>
      <c r="N660" s="45">
        <v>5.5</v>
      </c>
      <c r="O660" s="45">
        <v>5.1</v>
      </c>
      <c r="P660" s="45">
        <v>6.1</v>
      </c>
      <c r="Q660" s="45">
        <v>5.2</v>
      </c>
      <c r="R660" s="45">
        <v>5.3</v>
      </c>
      <c r="S660" s="45">
        <v>5.8</v>
      </c>
      <c r="T660" s="45">
        <v>5.8</v>
      </c>
      <c r="U660" s="45">
        <v>5.7</v>
      </c>
      <c r="V660" s="45">
        <v>6.2</v>
      </c>
      <c r="W660" s="45">
        <v>6.2</v>
      </c>
      <c r="X660" s="45">
        <v>6.5</v>
      </c>
      <c r="Y660" s="45">
        <v>6.8</v>
      </c>
      <c r="Z660" s="45">
        <v>6.7</v>
      </c>
      <c r="AA660" s="45">
        <v>6</v>
      </c>
      <c r="AB660" s="45">
        <v>5.6</v>
      </c>
      <c r="AC660" s="45">
        <v>6.1</v>
      </c>
      <c r="AD660" s="45">
        <v>5.9</v>
      </c>
      <c r="AE660" s="45">
        <v>5.6</v>
      </c>
      <c r="AF660" s="45">
        <v>6.3</v>
      </c>
      <c r="AG660" s="45">
        <v>6.4</v>
      </c>
      <c r="AH660" s="45">
        <v>7.2</v>
      </c>
      <c r="AI660" s="45">
        <v>5.6</v>
      </c>
      <c r="AJ660" s="45">
        <v>7</v>
      </c>
      <c r="AK660" s="45">
        <v>6.1</v>
      </c>
      <c r="AL660" s="45">
        <v>6.6</v>
      </c>
      <c r="AM660" s="45">
        <v>6.9</v>
      </c>
      <c r="AN660" s="45">
        <v>5.7</v>
      </c>
      <c r="AO660" s="45">
        <v>6</v>
      </c>
      <c r="AP660" s="45">
        <v>4.5</v>
      </c>
      <c r="AQ660" s="45">
        <v>5.7</v>
      </c>
      <c r="AR660" s="45">
        <v>5.8</v>
      </c>
      <c r="AS660" s="45">
        <v>0</v>
      </c>
      <c r="AT660" s="45">
        <v>0</v>
      </c>
      <c r="AU660" s="45">
        <v>0</v>
      </c>
      <c r="AV660" s="45">
        <v>0</v>
      </c>
      <c r="AW660" s="45">
        <v>0</v>
      </c>
      <c r="AX660" s="45">
        <v>0</v>
      </c>
      <c r="AY660" s="45">
        <v>0</v>
      </c>
      <c r="AZ660" s="45">
        <v>0</v>
      </c>
      <c r="BA660" s="45">
        <v>0</v>
      </c>
      <c r="BB660" s="45">
        <v>0</v>
      </c>
      <c r="BC660" s="45">
        <v>0</v>
      </c>
      <c r="BD660" s="45">
        <v>0</v>
      </c>
      <c r="BE660" s="45">
        <v>0</v>
      </c>
      <c r="BF660" s="45">
        <v>0</v>
      </c>
      <c r="BG660" s="45">
        <v>0</v>
      </c>
    </row>
    <row r="661" spans="1:59">
      <c r="A661" s="18" t="s">
        <v>250</v>
      </c>
      <c r="B661" s="18" t="s">
        <v>148</v>
      </c>
      <c r="C661" s="18" t="s">
        <v>210</v>
      </c>
      <c r="D661" s="45">
        <v>0</v>
      </c>
      <c r="E661" s="45">
        <v>0</v>
      </c>
      <c r="F661" s="45">
        <v>0</v>
      </c>
      <c r="G661" s="45">
        <v>9.300000000000001</v>
      </c>
      <c r="H661" s="45">
        <v>10.6</v>
      </c>
      <c r="I661" s="45">
        <v>9.6</v>
      </c>
      <c r="J661" s="45">
        <v>8.4</v>
      </c>
      <c r="K661" s="45">
        <v>7.7</v>
      </c>
      <c r="L661" s="45">
        <v>7</v>
      </c>
      <c r="M661" s="45">
        <v>7.2</v>
      </c>
      <c r="N661" s="45">
        <v>6.1</v>
      </c>
      <c r="O661" s="45">
        <v>6.1</v>
      </c>
      <c r="P661" s="45">
        <v>6.2</v>
      </c>
      <c r="Q661" s="45">
        <v>6.1</v>
      </c>
      <c r="R661" s="45">
        <v>6.4</v>
      </c>
      <c r="S661" s="45">
        <v>6.6</v>
      </c>
      <c r="T661" s="45">
        <v>5.9</v>
      </c>
      <c r="U661" s="45">
        <v>6.7</v>
      </c>
      <c r="V661" s="45">
        <v>8.1</v>
      </c>
      <c r="W661" s="45">
        <v>9.300000000000001</v>
      </c>
      <c r="X661" s="45">
        <v>7.9</v>
      </c>
      <c r="Y661" s="45">
        <v>8.9</v>
      </c>
      <c r="Z661" s="45">
        <v>8.199999999999999</v>
      </c>
      <c r="AA661" s="45">
        <v>7.8</v>
      </c>
      <c r="AB661" s="45">
        <v>7.6</v>
      </c>
      <c r="AC661" s="45">
        <v>7.2</v>
      </c>
      <c r="AD661" s="45">
        <v>6.6</v>
      </c>
      <c r="AE661" s="45">
        <v>8</v>
      </c>
      <c r="AF661" s="45">
        <v>6.7</v>
      </c>
      <c r="AG661" s="45">
        <v>7.1</v>
      </c>
      <c r="AH661" s="45">
        <v>6.8</v>
      </c>
      <c r="AI661" s="45">
        <v>6.9</v>
      </c>
      <c r="AJ661" s="45">
        <v>7.3</v>
      </c>
      <c r="AK661" s="45">
        <v>6.7</v>
      </c>
      <c r="AL661" s="45">
        <v>6.3</v>
      </c>
      <c r="AM661" s="45">
        <v>6.6</v>
      </c>
      <c r="AN661" s="45">
        <v>6.4</v>
      </c>
      <c r="AO661" s="45">
        <v>6.5</v>
      </c>
      <c r="AP661" s="45">
        <v>6.3</v>
      </c>
      <c r="AQ661" s="45">
        <v>4.6</v>
      </c>
      <c r="AR661" s="45">
        <v>5.8</v>
      </c>
      <c r="AS661" s="45">
        <v>0</v>
      </c>
      <c r="AT661" s="45">
        <v>0</v>
      </c>
      <c r="AU661" s="45">
        <v>0</v>
      </c>
      <c r="AV661" s="45">
        <v>0</v>
      </c>
      <c r="AW661" s="45">
        <v>0</v>
      </c>
      <c r="AX661" s="45">
        <v>0</v>
      </c>
      <c r="AY661" s="45">
        <v>0</v>
      </c>
      <c r="AZ661" s="45">
        <v>0</v>
      </c>
      <c r="BA661" s="45">
        <v>0</v>
      </c>
      <c r="BB661" s="45">
        <v>0</v>
      </c>
      <c r="BC661" s="45">
        <v>0</v>
      </c>
      <c r="BD661" s="45">
        <v>0</v>
      </c>
      <c r="BE661" s="45">
        <v>0</v>
      </c>
      <c r="BF661" s="45">
        <v>0</v>
      </c>
      <c r="BG661" s="45">
        <v>0</v>
      </c>
    </row>
    <row r="662" spans="1:59">
      <c r="A662" s="18" t="s">
        <v>251</v>
      </c>
      <c r="B662" s="18" t="s">
        <v>148</v>
      </c>
      <c r="C662" s="18" t="s">
        <v>212</v>
      </c>
      <c r="D662" s="45">
        <v>0</v>
      </c>
      <c r="E662" s="45">
        <v>0</v>
      </c>
      <c r="F662" s="45">
        <v>0</v>
      </c>
      <c r="G662" s="45">
        <v>7.2</v>
      </c>
      <c r="H662" s="45">
        <v>11</v>
      </c>
      <c r="I662" s="45">
        <v>10</v>
      </c>
      <c r="J662" s="45">
        <v>8.699999999999999</v>
      </c>
      <c r="K662" s="45">
        <v>8.800000000000001</v>
      </c>
      <c r="L662" s="45">
        <v>7.1</v>
      </c>
      <c r="M662" s="45">
        <v>7.7</v>
      </c>
      <c r="N662" s="45">
        <v>6.8</v>
      </c>
      <c r="O662" s="45">
        <v>6.8</v>
      </c>
      <c r="P662" s="45">
        <v>6.5</v>
      </c>
      <c r="Q662" s="45">
        <v>7.1</v>
      </c>
      <c r="R662" s="45">
        <v>6.4</v>
      </c>
      <c r="S662" s="45">
        <v>6.9</v>
      </c>
      <c r="T662" s="45">
        <v>6.5</v>
      </c>
      <c r="U662" s="45">
        <v>7.4</v>
      </c>
      <c r="V662" s="45">
        <v>7.4</v>
      </c>
      <c r="W662" s="45">
        <v>8.5</v>
      </c>
      <c r="X662" s="45">
        <v>8.4</v>
      </c>
      <c r="Y662" s="45">
        <v>9</v>
      </c>
      <c r="Z662" s="45">
        <v>7.3</v>
      </c>
      <c r="AA662" s="45">
        <v>7.5</v>
      </c>
      <c r="AB662" s="45">
        <v>6.9</v>
      </c>
      <c r="AC662" s="45">
        <v>7.7</v>
      </c>
      <c r="AD662" s="45">
        <v>7.7</v>
      </c>
      <c r="AE662" s="45">
        <v>7.2</v>
      </c>
      <c r="AF662" s="45">
        <v>8.199999999999999</v>
      </c>
      <c r="AG662" s="45">
        <v>7.4</v>
      </c>
      <c r="AH662" s="45">
        <v>6.3</v>
      </c>
      <c r="AI662" s="45">
        <v>7.4</v>
      </c>
      <c r="AJ662" s="45">
        <v>7.8</v>
      </c>
      <c r="AK662" s="45">
        <v>8.6</v>
      </c>
      <c r="AL662" s="45">
        <v>7.5</v>
      </c>
      <c r="AM662" s="45">
        <v>7.4</v>
      </c>
      <c r="AN662" s="45">
        <v>6.7</v>
      </c>
      <c r="AO662" s="45">
        <v>6.6</v>
      </c>
      <c r="AP662" s="45">
        <v>5.5</v>
      </c>
      <c r="AQ662" s="45">
        <v>5.3</v>
      </c>
      <c r="AR662" s="45">
        <v>2.8</v>
      </c>
      <c r="AS662" s="45">
        <v>0</v>
      </c>
      <c r="AT662" s="45">
        <v>0</v>
      </c>
      <c r="AU662" s="45">
        <v>0</v>
      </c>
      <c r="AV662" s="45">
        <v>0</v>
      </c>
      <c r="AW662" s="45">
        <v>0</v>
      </c>
      <c r="AX662" s="45">
        <v>0</v>
      </c>
      <c r="AY662" s="45">
        <v>0</v>
      </c>
      <c r="AZ662" s="45">
        <v>0</v>
      </c>
      <c r="BA662" s="45">
        <v>0</v>
      </c>
      <c r="BB662" s="45">
        <v>0</v>
      </c>
      <c r="BC662" s="45">
        <v>0</v>
      </c>
      <c r="BD662" s="45">
        <v>0</v>
      </c>
      <c r="BE662" s="45">
        <v>0</v>
      </c>
      <c r="BF662" s="45">
        <v>0</v>
      </c>
      <c r="BG662" s="45">
        <v>0</v>
      </c>
    </row>
    <row r="663" spans="1:59">
      <c r="A663" s="18" t="s">
        <v>252</v>
      </c>
      <c r="B663" s="18" t="s">
        <v>148</v>
      </c>
      <c r="C663" s="18" t="s">
        <v>214</v>
      </c>
      <c r="D663" s="45">
        <v>0</v>
      </c>
      <c r="E663" s="45">
        <v>0</v>
      </c>
      <c r="F663" s="45">
        <v>0</v>
      </c>
      <c r="G663" s="45">
        <v>13.6</v>
      </c>
      <c r="H663" s="45">
        <v>14.9</v>
      </c>
      <c r="I663" s="45">
        <v>10.5</v>
      </c>
      <c r="J663" s="45">
        <v>9.1</v>
      </c>
      <c r="K663" s="45">
        <v>8.5</v>
      </c>
      <c r="L663" s="45">
        <v>8.4</v>
      </c>
      <c r="M663" s="45">
        <v>7</v>
      </c>
      <c r="N663" s="45">
        <v>6.7</v>
      </c>
      <c r="O663" s="45">
        <v>6.2</v>
      </c>
      <c r="P663" s="45">
        <v>6.9</v>
      </c>
      <c r="Q663" s="45">
        <v>6.7</v>
      </c>
      <c r="R663" s="45">
        <v>7.1</v>
      </c>
      <c r="S663" s="45">
        <v>6.8</v>
      </c>
      <c r="T663" s="45">
        <v>8.5</v>
      </c>
      <c r="U663" s="45">
        <v>8.800000000000001</v>
      </c>
      <c r="V663" s="45">
        <v>8.4</v>
      </c>
      <c r="W663" s="45">
        <v>9.4</v>
      </c>
      <c r="X663" s="45">
        <v>8</v>
      </c>
      <c r="Y663" s="45">
        <v>9.199999999999999</v>
      </c>
      <c r="Z663" s="45">
        <v>9</v>
      </c>
      <c r="AA663" s="45">
        <v>7.9</v>
      </c>
      <c r="AB663" s="45">
        <v>7.6</v>
      </c>
      <c r="AC663" s="45">
        <v>7.6</v>
      </c>
      <c r="AD663" s="45">
        <v>8.4</v>
      </c>
      <c r="AE663" s="45">
        <v>8.1</v>
      </c>
      <c r="AF663" s="45">
        <v>6.9</v>
      </c>
      <c r="AG663" s="45">
        <v>6.9</v>
      </c>
      <c r="AH663" s="45">
        <v>7.7</v>
      </c>
      <c r="AI663" s="45">
        <v>7.5</v>
      </c>
      <c r="AJ663" s="45">
        <v>7.4</v>
      </c>
      <c r="AK663" s="45">
        <v>6.9</v>
      </c>
      <c r="AL663" s="45">
        <v>7.6</v>
      </c>
      <c r="AM663" s="45">
        <v>7.6</v>
      </c>
      <c r="AN663" s="45">
        <v>6.6</v>
      </c>
      <c r="AO663" s="45">
        <v>6.2</v>
      </c>
      <c r="AP663" s="45">
        <v>6</v>
      </c>
      <c r="AQ663" s="45">
        <v>5.7</v>
      </c>
      <c r="AR663" s="45">
        <v>4.3</v>
      </c>
      <c r="AS663" s="45">
        <v>0</v>
      </c>
      <c r="AT663" s="45">
        <v>0</v>
      </c>
      <c r="AU663" s="45">
        <v>0</v>
      </c>
      <c r="AV663" s="45">
        <v>0</v>
      </c>
      <c r="AW663" s="45">
        <v>0</v>
      </c>
      <c r="AX663" s="45">
        <v>0</v>
      </c>
      <c r="AY663" s="45">
        <v>0</v>
      </c>
      <c r="AZ663" s="45">
        <v>0</v>
      </c>
      <c r="BA663" s="45">
        <v>0</v>
      </c>
      <c r="BB663" s="45">
        <v>0</v>
      </c>
      <c r="BC663" s="45">
        <v>0</v>
      </c>
      <c r="BD663" s="45">
        <v>0</v>
      </c>
      <c r="BE663" s="45">
        <v>0</v>
      </c>
      <c r="BF663" s="45">
        <v>0</v>
      </c>
      <c r="BG663" s="45">
        <v>0</v>
      </c>
    </row>
    <row r="664" spans="1:59">
      <c r="A664" s="18" t="s">
        <v>253</v>
      </c>
      <c r="B664" s="18" t="s">
        <v>148</v>
      </c>
      <c r="C664" s="18" t="s">
        <v>216</v>
      </c>
      <c r="D664" s="45">
        <v>0</v>
      </c>
      <c r="E664" s="45">
        <v>0</v>
      </c>
      <c r="F664" s="45">
        <v>0</v>
      </c>
      <c r="G664" s="45">
        <v>18.8</v>
      </c>
      <c r="H664" s="45">
        <v>14</v>
      </c>
      <c r="I664" s="45">
        <v>10.5</v>
      </c>
      <c r="J664" s="45">
        <v>9.1</v>
      </c>
      <c r="K664" s="45">
        <v>8.199999999999999</v>
      </c>
      <c r="L664" s="45">
        <v>8.1</v>
      </c>
      <c r="M664" s="45">
        <v>7.6</v>
      </c>
      <c r="N664" s="45">
        <v>7.5</v>
      </c>
      <c r="O664" s="45">
        <v>7.2</v>
      </c>
      <c r="P664" s="45">
        <v>7.6</v>
      </c>
      <c r="Q664" s="45">
        <v>6.7</v>
      </c>
      <c r="R664" s="45">
        <v>7.3</v>
      </c>
      <c r="S664" s="45">
        <v>6.6</v>
      </c>
      <c r="T664" s="45">
        <v>7.3</v>
      </c>
      <c r="U664" s="45">
        <v>9.199999999999999</v>
      </c>
      <c r="V664" s="45">
        <v>7.9</v>
      </c>
      <c r="W664" s="45">
        <v>8.1</v>
      </c>
      <c r="X664" s="45">
        <v>9</v>
      </c>
      <c r="Y664" s="45">
        <v>8</v>
      </c>
      <c r="Z664" s="45">
        <v>7.7</v>
      </c>
      <c r="AA664" s="45">
        <v>8.4</v>
      </c>
      <c r="AB664" s="45">
        <v>8.800000000000001</v>
      </c>
      <c r="AC664" s="45">
        <v>7.7</v>
      </c>
      <c r="AD664" s="45">
        <v>7.5</v>
      </c>
      <c r="AE664" s="45">
        <v>7.3</v>
      </c>
      <c r="AF664" s="45">
        <v>8</v>
      </c>
      <c r="AG664" s="45">
        <v>7.1</v>
      </c>
      <c r="AH664" s="45">
        <v>8.9</v>
      </c>
      <c r="AI664" s="45">
        <v>7.2</v>
      </c>
      <c r="AJ664" s="45">
        <v>7.2</v>
      </c>
      <c r="AK664" s="45">
        <v>7.1</v>
      </c>
      <c r="AL664" s="45">
        <v>7.5</v>
      </c>
      <c r="AM664" s="45">
        <v>6.9</v>
      </c>
      <c r="AN664" s="45">
        <v>7.3</v>
      </c>
      <c r="AO664" s="45">
        <v>6</v>
      </c>
      <c r="AP664" s="45">
        <v>6.4</v>
      </c>
      <c r="AQ664" s="45">
        <v>4.7</v>
      </c>
      <c r="AR664" s="45">
        <v>7.1</v>
      </c>
      <c r="AS664" s="45">
        <v>0</v>
      </c>
      <c r="AT664" s="45">
        <v>0</v>
      </c>
      <c r="AU664" s="45">
        <v>0</v>
      </c>
      <c r="AV664" s="45">
        <v>0</v>
      </c>
      <c r="AW664" s="45">
        <v>0</v>
      </c>
      <c r="AX664" s="45">
        <v>0</v>
      </c>
      <c r="AY664" s="45">
        <v>0</v>
      </c>
      <c r="AZ664" s="45">
        <v>0</v>
      </c>
      <c r="BA664" s="45">
        <v>0</v>
      </c>
      <c r="BB664" s="45">
        <v>0</v>
      </c>
      <c r="BC664" s="45">
        <v>0</v>
      </c>
      <c r="BD664" s="45">
        <v>0</v>
      </c>
      <c r="BE664" s="45">
        <v>0</v>
      </c>
      <c r="BF664" s="45">
        <v>0</v>
      </c>
      <c r="BG664" s="45">
        <v>0</v>
      </c>
    </row>
    <row r="665" spans="1:59">
      <c r="A665" s="18" t="s">
        <v>254</v>
      </c>
      <c r="B665" s="18" t="s">
        <v>148</v>
      </c>
      <c r="C665" s="18" t="s">
        <v>218</v>
      </c>
      <c r="D665" s="45">
        <v>0</v>
      </c>
      <c r="E665" s="45">
        <v>0</v>
      </c>
      <c r="F665" s="45">
        <v>0</v>
      </c>
      <c r="G665" s="45">
        <v>0</v>
      </c>
      <c r="H665" s="45">
        <v>0</v>
      </c>
      <c r="I665" s="45">
        <v>0</v>
      </c>
      <c r="J665" s="45">
        <v>0</v>
      </c>
      <c r="K665" s="45">
        <v>0</v>
      </c>
      <c r="L665" s="45">
        <v>0</v>
      </c>
      <c r="M665" s="45">
        <v>0</v>
      </c>
      <c r="N665" s="45">
        <v>0</v>
      </c>
      <c r="O665" s="45">
        <v>0</v>
      </c>
      <c r="P665" s="45">
        <v>0</v>
      </c>
      <c r="Q665" s="45">
        <v>0</v>
      </c>
      <c r="R665" s="45">
        <v>0</v>
      </c>
      <c r="S665" s="45">
        <v>0</v>
      </c>
      <c r="T665" s="45">
        <v>0</v>
      </c>
      <c r="U665" s="45">
        <v>0</v>
      </c>
      <c r="V665" s="45">
        <v>0</v>
      </c>
      <c r="W665" s="45">
        <v>0</v>
      </c>
      <c r="X665" s="45">
        <v>0</v>
      </c>
      <c r="Y665" s="45">
        <v>0</v>
      </c>
      <c r="Z665" s="45">
        <v>0</v>
      </c>
      <c r="AA665" s="45">
        <v>0</v>
      </c>
      <c r="AB665" s="45">
        <v>0</v>
      </c>
      <c r="AC665" s="45">
        <v>0</v>
      </c>
      <c r="AD665" s="45">
        <v>0</v>
      </c>
      <c r="AE665" s="45">
        <v>0</v>
      </c>
      <c r="AF665" s="45">
        <v>0</v>
      </c>
      <c r="AG665" s="45">
        <v>0</v>
      </c>
      <c r="AH665" s="45">
        <v>0</v>
      </c>
      <c r="AI665" s="45">
        <v>0</v>
      </c>
      <c r="AJ665" s="45">
        <v>0</v>
      </c>
      <c r="AK665" s="45">
        <v>0</v>
      </c>
      <c r="AL665" s="45">
        <v>0</v>
      </c>
      <c r="AM665" s="45">
        <v>0</v>
      </c>
      <c r="AN665" s="45">
        <v>0</v>
      </c>
      <c r="AO665" s="45">
        <v>0</v>
      </c>
      <c r="AP665" s="45">
        <v>0</v>
      </c>
      <c r="AQ665" s="45">
        <v>0</v>
      </c>
      <c r="AR665" s="45">
        <v>0</v>
      </c>
      <c r="AS665" s="45">
        <v>0</v>
      </c>
      <c r="AT665" s="45">
        <v>0</v>
      </c>
      <c r="AU665" s="45">
        <v>0</v>
      </c>
      <c r="AV665" s="45">
        <v>0</v>
      </c>
      <c r="AW665" s="45">
        <v>0</v>
      </c>
      <c r="AX665" s="45">
        <v>0</v>
      </c>
      <c r="AY665" s="45">
        <v>0</v>
      </c>
      <c r="AZ665" s="45">
        <v>0</v>
      </c>
      <c r="BA665" s="45">
        <v>0</v>
      </c>
      <c r="BB665" s="45">
        <v>0</v>
      </c>
      <c r="BC665" s="45">
        <v>0</v>
      </c>
      <c r="BD665" s="45">
        <v>0</v>
      </c>
      <c r="BE665" s="45">
        <v>0</v>
      </c>
      <c r="BF665" s="45">
        <v>0</v>
      </c>
      <c r="BG665" s="45">
        <v>0</v>
      </c>
    </row>
    <row r="666" spans="1:59">
      <c r="A666" s="18" t="s">
        <v>255</v>
      </c>
      <c r="B666" s="18" t="s">
        <v>148</v>
      </c>
      <c r="C666" s="18" t="s">
        <v>220</v>
      </c>
      <c r="D666" s="45">
        <v>0</v>
      </c>
      <c r="E666" s="45">
        <v>0</v>
      </c>
      <c r="F666" s="45">
        <v>0</v>
      </c>
      <c r="G666" s="45">
        <v>0</v>
      </c>
      <c r="H666" s="45">
        <v>4.8</v>
      </c>
      <c r="I666" s="45">
        <v>6.9</v>
      </c>
      <c r="J666" s="45">
        <v>7.9</v>
      </c>
      <c r="K666" s="45">
        <v>8</v>
      </c>
      <c r="L666" s="45">
        <v>7.8</v>
      </c>
      <c r="M666" s="45">
        <v>7.1</v>
      </c>
      <c r="N666" s="45">
        <v>6.3</v>
      </c>
      <c r="O666" s="45">
        <v>15.5</v>
      </c>
      <c r="P666" s="45">
        <v>0</v>
      </c>
      <c r="Q666" s="45">
        <v>6.3</v>
      </c>
      <c r="R666" s="45">
        <v>8.199999999999999</v>
      </c>
      <c r="S666" s="45">
        <v>0</v>
      </c>
      <c r="T666" s="45">
        <v>0</v>
      </c>
      <c r="U666" s="45">
        <v>0</v>
      </c>
      <c r="V666" s="45">
        <v>0</v>
      </c>
      <c r="W666" s="45">
        <v>0</v>
      </c>
      <c r="X666" s="45">
        <v>0</v>
      </c>
      <c r="Y666" s="45">
        <v>0</v>
      </c>
      <c r="Z666" s="45">
        <v>0</v>
      </c>
      <c r="AA666" s="45">
        <v>0</v>
      </c>
      <c r="AB666" s="45">
        <v>0</v>
      </c>
      <c r="AC666" s="45">
        <v>0</v>
      </c>
      <c r="AD666" s="45">
        <v>0</v>
      </c>
      <c r="AE666" s="45">
        <v>0</v>
      </c>
      <c r="AF666" s="45">
        <v>0</v>
      </c>
      <c r="AG666" s="45">
        <v>0</v>
      </c>
      <c r="AH666" s="45">
        <v>0</v>
      </c>
      <c r="AI666" s="45">
        <v>0</v>
      </c>
      <c r="AJ666" s="45">
        <v>0</v>
      </c>
      <c r="AK666" s="45">
        <v>0</v>
      </c>
      <c r="AL666" s="45">
        <v>0</v>
      </c>
      <c r="AM666" s="45">
        <v>0</v>
      </c>
      <c r="AN666" s="45">
        <v>0</v>
      </c>
      <c r="AO666" s="45">
        <v>0</v>
      </c>
      <c r="AP666" s="45">
        <v>0</v>
      </c>
      <c r="AQ666" s="45">
        <v>0</v>
      </c>
      <c r="AR666" s="45">
        <v>0</v>
      </c>
      <c r="AS666" s="45">
        <v>0</v>
      </c>
      <c r="AT666" s="45">
        <v>0</v>
      </c>
      <c r="AU666" s="45">
        <v>0</v>
      </c>
      <c r="AV666" s="45">
        <v>0</v>
      </c>
      <c r="AW666" s="45">
        <v>0</v>
      </c>
      <c r="AX666" s="45">
        <v>0</v>
      </c>
      <c r="AY666" s="45">
        <v>0</v>
      </c>
      <c r="AZ666" s="45">
        <v>0</v>
      </c>
      <c r="BA666" s="45">
        <v>0</v>
      </c>
      <c r="BB666" s="45">
        <v>0</v>
      </c>
      <c r="BC666" s="45">
        <v>0</v>
      </c>
      <c r="BD666" s="45">
        <v>0</v>
      </c>
      <c r="BE666" s="45">
        <v>0</v>
      </c>
      <c r="BF666" s="45">
        <v>0</v>
      </c>
      <c r="BG666" s="45">
        <v>0</v>
      </c>
    </row>
    <row r="667" spans="1:59">
      <c r="A667" s="18" t="s">
        <v>256</v>
      </c>
      <c r="B667" s="18" t="s">
        <v>162</v>
      </c>
      <c r="C667" s="18" t="s">
        <v>5</v>
      </c>
      <c r="D667" s="45">
        <v>0</v>
      </c>
      <c r="E667" s="45">
        <v>0</v>
      </c>
      <c r="F667" s="45">
        <v>0</v>
      </c>
      <c r="G667" s="45">
        <v>0</v>
      </c>
      <c r="H667" s="45">
        <v>0</v>
      </c>
      <c r="I667" s="45">
        <v>3.8</v>
      </c>
      <c r="J667" s="45">
        <v>8.300000000000001</v>
      </c>
      <c r="K667" s="45">
        <v>10</v>
      </c>
      <c r="L667" s="45">
        <v>8.800000000000001</v>
      </c>
      <c r="M667" s="45">
        <v>8.300000000000001</v>
      </c>
      <c r="N667" s="45">
        <v>7</v>
      </c>
      <c r="O667" s="45">
        <v>6.4</v>
      </c>
      <c r="P667" s="45">
        <v>6.2</v>
      </c>
      <c r="Q667" s="45">
        <v>6.2</v>
      </c>
      <c r="R667" s="45">
        <v>6.1</v>
      </c>
      <c r="S667" s="45">
        <v>6.2</v>
      </c>
      <c r="T667" s="45">
        <v>5.7</v>
      </c>
      <c r="U667" s="45">
        <v>6.9</v>
      </c>
      <c r="V667" s="45">
        <v>8.699999999999999</v>
      </c>
      <c r="W667" s="45">
        <v>7.6</v>
      </c>
      <c r="X667" s="45">
        <v>8.800000000000001</v>
      </c>
      <c r="Y667" s="45">
        <v>9.699999999999999</v>
      </c>
      <c r="Z667" s="45">
        <v>8.9</v>
      </c>
      <c r="AA667" s="45">
        <v>9.6</v>
      </c>
      <c r="AB667" s="45">
        <v>9</v>
      </c>
      <c r="AC667" s="45">
        <v>5.9</v>
      </c>
      <c r="AD667" s="45">
        <v>7.5</v>
      </c>
      <c r="AE667" s="45">
        <v>7.1</v>
      </c>
      <c r="AF667" s="45">
        <v>7.5</v>
      </c>
      <c r="AG667" s="45">
        <v>7.1</v>
      </c>
      <c r="AH667" s="45">
        <v>8.6</v>
      </c>
      <c r="AI667" s="45">
        <v>7.9</v>
      </c>
      <c r="AJ667" s="45">
        <v>8.1</v>
      </c>
      <c r="AK667" s="45">
        <v>7.6</v>
      </c>
      <c r="AL667" s="45">
        <v>8.4</v>
      </c>
      <c r="AM667" s="45">
        <v>7</v>
      </c>
      <c r="AN667" s="45">
        <v>7.7</v>
      </c>
      <c r="AO667" s="45">
        <v>7.2</v>
      </c>
      <c r="AP667" s="45">
        <v>6.9</v>
      </c>
      <c r="AQ667" s="45">
        <v>7</v>
      </c>
      <c r="AR667" s="45">
        <v>6</v>
      </c>
      <c r="AS667" s="45">
        <v>0</v>
      </c>
      <c r="AT667" s="45">
        <v>0</v>
      </c>
      <c r="AU667" s="45">
        <v>0</v>
      </c>
      <c r="AV667" s="45">
        <v>0</v>
      </c>
      <c r="AW667" s="45">
        <v>0</v>
      </c>
      <c r="AX667" s="45">
        <v>0</v>
      </c>
      <c r="AY667" s="45">
        <v>0</v>
      </c>
      <c r="AZ667" s="45">
        <v>0</v>
      </c>
      <c r="BA667" s="45">
        <v>0</v>
      </c>
      <c r="BB667" s="45">
        <v>0</v>
      </c>
      <c r="BC667" s="45">
        <v>0</v>
      </c>
      <c r="BD667" s="45">
        <v>0</v>
      </c>
      <c r="BE667" s="45">
        <v>0</v>
      </c>
      <c r="BF667" s="45">
        <v>0</v>
      </c>
      <c r="BG667" s="45">
        <v>0</v>
      </c>
    </row>
    <row r="668" spans="1:59">
      <c r="A668" s="18" t="s">
        <v>257</v>
      </c>
      <c r="B668" s="18" t="s">
        <v>162</v>
      </c>
      <c r="C668" s="18" t="s">
        <v>210</v>
      </c>
      <c r="D668" s="45">
        <v>0</v>
      </c>
      <c r="E668" s="45">
        <v>0</v>
      </c>
      <c r="F668" s="45">
        <v>0</v>
      </c>
      <c r="G668" s="45">
        <v>0</v>
      </c>
      <c r="H668" s="45">
        <v>0</v>
      </c>
      <c r="I668" s="45">
        <v>6.6</v>
      </c>
      <c r="J668" s="45">
        <v>8.5</v>
      </c>
      <c r="K668" s="45">
        <v>10.1</v>
      </c>
      <c r="L668" s="45">
        <v>7.8</v>
      </c>
      <c r="M668" s="45">
        <v>7.7</v>
      </c>
      <c r="N668" s="45">
        <v>7.7</v>
      </c>
      <c r="O668" s="45">
        <v>7</v>
      </c>
      <c r="P668" s="45">
        <v>7.3</v>
      </c>
      <c r="Q668" s="45">
        <v>7.7</v>
      </c>
      <c r="R668" s="45">
        <v>7.3</v>
      </c>
      <c r="S668" s="45">
        <v>6.9</v>
      </c>
      <c r="T668" s="45">
        <v>6.9</v>
      </c>
      <c r="U668" s="45">
        <v>7.3</v>
      </c>
      <c r="V668" s="45">
        <v>7.2</v>
      </c>
      <c r="W668" s="45">
        <v>9.5</v>
      </c>
      <c r="X668" s="45">
        <v>11.2</v>
      </c>
      <c r="Y668" s="45">
        <v>10.2</v>
      </c>
      <c r="Z668" s="45">
        <v>10.5</v>
      </c>
      <c r="AA668" s="45">
        <v>9.800000000000001</v>
      </c>
      <c r="AB668" s="45">
        <v>8.199999999999999</v>
      </c>
      <c r="AC668" s="45">
        <v>9.199999999999999</v>
      </c>
      <c r="AD668" s="45">
        <v>6.9</v>
      </c>
      <c r="AE668" s="45">
        <v>8.199999999999999</v>
      </c>
      <c r="AF668" s="45">
        <v>9.1</v>
      </c>
      <c r="AG668" s="45">
        <v>9.199999999999999</v>
      </c>
      <c r="AH668" s="45">
        <v>7.5</v>
      </c>
      <c r="AI668" s="45">
        <v>8.300000000000001</v>
      </c>
      <c r="AJ668" s="45">
        <v>9.4</v>
      </c>
      <c r="AK668" s="45">
        <v>8.6</v>
      </c>
      <c r="AL668" s="45">
        <v>7.8</v>
      </c>
      <c r="AM668" s="45">
        <v>8.1</v>
      </c>
      <c r="AN668" s="45">
        <v>8.6</v>
      </c>
      <c r="AO668" s="45">
        <v>7.9</v>
      </c>
      <c r="AP668" s="45">
        <v>8.1</v>
      </c>
      <c r="AQ668" s="45">
        <v>6.7</v>
      </c>
      <c r="AR668" s="45">
        <v>7.1</v>
      </c>
      <c r="AS668" s="45">
        <v>0</v>
      </c>
      <c r="AT668" s="45">
        <v>0</v>
      </c>
      <c r="AU668" s="45">
        <v>0</v>
      </c>
      <c r="AV668" s="45">
        <v>0</v>
      </c>
      <c r="AW668" s="45">
        <v>0</v>
      </c>
      <c r="AX668" s="45">
        <v>0</v>
      </c>
      <c r="AY668" s="45">
        <v>0</v>
      </c>
      <c r="AZ668" s="45">
        <v>0</v>
      </c>
      <c r="BA668" s="45">
        <v>0</v>
      </c>
      <c r="BB668" s="45">
        <v>0</v>
      </c>
      <c r="BC668" s="45">
        <v>0</v>
      </c>
      <c r="BD668" s="45">
        <v>0</v>
      </c>
      <c r="BE668" s="45">
        <v>0</v>
      </c>
      <c r="BF668" s="45">
        <v>0</v>
      </c>
      <c r="BG668" s="45">
        <v>0</v>
      </c>
    </row>
    <row r="669" spans="1:59">
      <c r="A669" s="18" t="s">
        <v>258</v>
      </c>
      <c r="B669" s="18" t="s">
        <v>162</v>
      </c>
      <c r="C669" s="18" t="s">
        <v>212</v>
      </c>
      <c r="D669" s="45">
        <v>0</v>
      </c>
      <c r="E669" s="45">
        <v>0</v>
      </c>
      <c r="F669" s="45">
        <v>0</v>
      </c>
      <c r="G669" s="45">
        <v>0</v>
      </c>
      <c r="H669" s="45">
        <v>0</v>
      </c>
      <c r="I669" s="45">
        <v>8.9</v>
      </c>
      <c r="J669" s="45">
        <v>11.8</v>
      </c>
      <c r="K669" s="45">
        <v>10.9</v>
      </c>
      <c r="L669" s="45">
        <v>10.6</v>
      </c>
      <c r="M669" s="45">
        <v>9</v>
      </c>
      <c r="N669" s="45">
        <v>9</v>
      </c>
      <c r="O669" s="45">
        <v>7.4</v>
      </c>
      <c r="P669" s="45">
        <v>7</v>
      </c>
      <c r="Q669" s="45">
        <v>7.1</v>
      </c>
      <c r="R669" s="45">
        <v>8.6</v>
      </c>
      <c r="S669" s="45">
        <v>6.5</v>
      </c>
      <c r="T669" s="45">
        <v>8.1</v>
      </c>
      <c r="U669" s="45">
        <v>9.300000000000001</v>
      </c>
      <c r="V669" s="45">
        <v>8.6</v>
      </c>
      <c r="W669" s="45">
        <v>9.699999999999999</v>
      </c>
      <c r="X669" s="45">
        <v>10.8</v>
      </c>
      <c r="Y669" s="45">
        <v>10.9</v>
      </c>
      <c r="Z669" s="45">
        <v>10.2</v>
      </c>
      <c r="AA669" s="45">
        <v>11</v>
      </c>
      <c r="AB669" s="45">
        <v>11.4</v>
      </c>
      <c r="AC669" s="45">
        <v>8.5</v>
      </c>
      <c r="AD669" s="45">
        <v>11</v>
      </c>
      <c r="AE669" s="45">
        <v>7.7</v>
      </c>
      <c r="AF669" s="45">
        <v>7.1</v>
      </c>
      <c r="AG669" s="45">
        <v>7.9</v>
      </c>
      <c r="AH669" s="45">
        <v>8.4</v>
      </c>
      <c r="AI669" s="45">
        <v>9.1</v>
      </c>
      <c r="AJ669" s="45">
        <v>8.9</v>
      </c>
      <c r="AK669" s="45">
        <v>9.199999999999999</v>
      </c>
      <c r="AL669" s="45">
        <v>10.2</v>
      </c>
      <c r="AM669" s="45">
        <v>8.1</v>
      </c>
      <c r="AN669" s="45">
        <v>8.5</v>
      </c>
      <c r="AO669" s="45">
        <v>9</v>
      </c>
      <c r="AP669" s="45">
        <v>7.1</v>
      </c>
      <c r="AQ669" s="45">
        <v>6.7</v>
      </c>
      <c r="AR669" s="45">
        <v>6.2</v>
      </c>
      <c r="AS669" s="45">
        <v>0</v>
      </c>
      <c r="AT669" s="45">
        <v>0</v>
      </c>
      <c r="AU669" s="45">
        <v>0</v>
      </c>
      <c r="AV669" s="45">
        <v>0</v>
      </c>
      <c r="AW669" s="45">
        <v>0</v>
      </c>
      <c r="AX669" s="45">
        <v>0</v>
      </c>
      <c r="AY669" s="45">
        <v>0</v>
      </c>
      <c r="AZ669" s="45">
        <v>0</v>
      </c>
      <c r="BA669" s="45">
        <v>0</v>
      </c>
      <c r="BB669" s="45">
        <v>0</v>
      </c>
      <c r="BC669" s="45">
        <v>0</v>
      </c>
      <c r="BD669" s="45">
        <v>0</v>
      </c>
      <c r="BE669" s="45">
        <v>0</v>
      </c>
      <c r="BF669" s="45">
        <v>0</v>
      </c>
      <c r="BG669" s="45">
        <v>0</v>
      </c>
    </row>
    <row r="670" spans="1:59">
      <c r="A670" s="18" t="s">
        <v>259</v>
      </c>
      <c r="B670" s="18" t="s">
        <v>162</v>
      </c>
      <c r="C670" s="18" t="s">
        <v>214</v>
      </c>
      <c r="D670" s="45">
        <v>0</v>
      </c>
      <c r="E670" s="45">
        <v>0</v>
      </c>
      <c r="F670" s="45">
        <v>0</v>
      </c>
      <c r="G670" s="45">
        <v>0</v>
      </c>
      <c r="H670" s="45">
        <v>0</v>
      </c>
      <c r="I670" s="45">
        <v>6.1</v>
      </c>
      <c r="J670" s="45">
        <v>8.6</v>
      </c>
      <c r="K670" s="45">
        <v>13.7</v>
      </c>
      <c r="L670" s="45">
        <v>9.199999999999999</v>
      </c>
      <c r="M670" s="45">
        <v>10.1</v>
      </c>
      <c r="N670" s="45">
        <v>8.1</v>
      </c>
      <c r="O670" s="45">
        <v>8</v>
      </c>
      <c r="P670" s="45">
        <v>8.199999999999999</v>
      </c>
      <c r="Q670" s="45">
        <v>7.8</v>
      </c>
      <c r="R670" s="45">
        <v>7.9</v>
      </c>
      <c r="S670" s="45">
        <v>8.300000000000001</v>
      </c>
      <c r="T670" s="45">
        <v>7.2</v>
      </c>
      <c r="U670" s="45">
        <v>8.199999999999999</v>
      </c>
      <c r="V670" s="45">
        <v>8.5</v>
      </c>
      <c r="W670" s="45">
        <v>9.300000000000001</v>
      </c>
      <c r="X670" s="45">
        <v>11.9</v>
      </c>
      <c r="Y670" s="45">
        <v>11.4</v>
      </c>
      <c r="Z670" s="45">
        <v>11.2</v>
      </c>
      <c r="AA670" s="45">
        <v>11.9</v>
      </c>
      <c r="AB670" s="45">
        <v>8.9</v>
      </c>
      <c r="AC670" s="45">
        <v>8.1</v>
      </c>
      <c r="AD670" s="45">
        <v>7.8</v>
      </c>
      <c r="AE670" s="45">
        <v>9</v>
      </c>
      <c r="AF670" s="45">
        <v>7.4</v>
      </c>
      <c r="AG670" s="45">
        <v>7.8</v>
      </c>
      <c r="AH670" s="45">
        <v>8</v>
      </c>
      <c r="AI670" s="45">
        <v>7.4</v>
      </c>
      <c r="AJ670" s="45">
        <v>8.800000000000001</v>
      </c>
      <c r="AK670" s="45">
        <v>9.199999999999999</v>
      </c>
      <c r="AL670" s="45">
        <v>9.800000000000001</v>
      </c>
      <c r="AM670" s="45">
        <v>8.699999999999999</v>
      </c>
      <c r="AN670" s="45">
        <v>9.9</v>
      </c>
      <c r="AO670" s="45">
        <v>7</v>
      </c>
      <c r="AP670" s="45">
        <v>8</v>
      </c>
      <c r="AQ670" s="45">
        <v>6.2</v>
      </c>
      <c r="AR670" s="45">
        <v>6.6</v>
      </c>
      <c r="AS670" s="45">
        <v>0</v>
      </c>
      <c r="AT670" s="45">
        <v>0</v>
      </c>
      <c r="AU670" s="45">
        <v>0</v>
      </c>
      <c r="AV670" s="45">
        <v>0</v>
      </c>
      <c r="AW670" s="45">
        <v>0</v>
      </c>
      <c r="AX670" s="45">
        <v>0</v>
      </c>
      <c r="AY670" s="45">
        <v>0</v>
      </c>
      <c r="AZ670" s="45">
        <v>0</v>
      </c>
      <c r="BA670" s="45">
        <v>0</v>
      </c>
      <c r="BB670" s="45">
        <v>0</v>
      </c>
      <c r="BC670" s="45">
        <v>0</v>
      </c>
      <c r="BD670" s="45">
        <v>0</v>
      </c>
      <c r="BE670" s="45">
        <v>0</v>
      </c>
      <c r="BF670" s="45">
        <v>0</v>
      </c>
      <c r="BG670" s="45">
        <v>0</v>
      </c>
    </row>
    <row r="671" spans="1:59">
      <c r="A671" s="18" t="s">
        <v>260</v>
      </c>
      <c r="B671" s="18" t="s">
        <v>162</v>
      </c>
      <c r="C671" s="18" t="s">
        <v>216</v>
      </c>
      <c r="D671" s="45">
        <v>0</v>
      </c>
      <c r="E671" s="45">
        <v>0</v>
      </c>
      <c r="F671" s="45">
        <v>0</v>
      </c>
      <c r="G671" s="45">
        <v>0</v>
      </c>
      <c r="H671" s="45">
        <v>0</v>
      </c>
      <c r="I671" s="45">
        <v>0</v>
      </c>
      <c r="J671" s="45">
        <v>8.300000000000001</v>
      </c>
      <c r="K671" s="45">
        <v>10.8</v>
      </c>
      <c r="L671" s="45">
        <v>11.3</v>
      </c>
      <c r="M671" s="45">
        <v>8.6</v>
      </c>
      <c r="N671" s="45">
        <v>8.5</v>
      </c>
      <c r="O671" s="45">
        <v>8.5</v>
      </c>
      <c r="P671" s="45">
        <v>7.3</v>
      </c>
      <c r="Q671" s="45">
        <v>7.9</v>
      </c>
      <c r="R671" s="45">
        <v>8.300000000000001</v>
      </c>
      <c r="S671" s="45">
        <v>7.8</v>
      </c>
      <c r="T671" s="45">
        <v>7.9</v>
      </c>
      <c r="U671" s="45">
        <v>9.1</v>
      </c>
      <c r="V671" s="45">
        <v>9.199999999999999</v>
      </c>
      <c r="W671" s="45">
        <v>10.5</v>
      </c>
      <c r="X671" s="45">
        <v>12.4</v>
      </c>
      <c r="Y671" s="45">
        <v>9.199999999999999</v>
      </c>
      <c r="Z671" s="45">
        <v>11</v>
      </c>
      <c r="AA671" s="45">
        <v>9.9</v>
      </c>
      <c r="AB671" s="45">
        <v>8.9</v>
      </c>
      <c r="AC671" s="45">
        <v>8.4</v>
      </c>
      <c r="AD671" s="45">
        <v>8.5</v>
      </c>
      <c r="AE671" s="45">
        <v>8.6</v>
      </c>
      <c r="AF671" s="45">
        <v>7.1</v>
      </c>
      <c r="AG671" s="45">
        <v>8.199999999999999</v>
      </c>
      <c r="AH671" s="45">
        <v>8.6</v>
      </c>
      <c r="AI671" s="45">
        <v>8.699999999999999</v>
      </c>
      <c r="AJ671" s="45">
        <v>8.9</v>
      </c>
      <c r="AK671" s="45">
        <v>7.6</v>
      </c>
      <c r="AL671" s="45">
        <v>8.300000000000001</v>
      </c>
      <c r="AM671" s="45">
        <v>8.6</v>
      </c>
      <c r="AN671" s="45">
        <v>7.6</v>
      </c>
      <c r="AO671" s="45">
        <v>8.199999999999999</v>
      </c>
      <c r="AP671" s="45">
        <v>6</v>
      </c>
      <c r="AQ671" s="45">
        <v>6</v>
      </c>
      <c r="AR671" s="45">
        <v>7.9</v>
      </c>
      <c r="AS671" s="45">
        <v>0</v>
      </c>
      <c r="AT671" s="45">
        <v>0</v>
      </c>
      <c r="AU671" s="45">
        <v>0</v>
      </c>
      <c r="AV671" s="45">
        <v>0</v>
      </c>
      <c r="AW671" s="45">
        <v>0</v>
      </c>
      <c r="AX671" s="45">
        <v>0</v>
      </c>
      <c r="AY671" s="45">
        <v>0</v>
      </c>
      <c r="AZ671" s="45">
        <v>0</v>
      </c>
      <c r="BA671" s="45">
        <v>0</v>
      </c>
      <c r="BB671" s="45">
        <v>0</v>
      </c>
      <c r="BC671" s="45">
        <v>0</v>
      </c>
      <c r="BD671" s="45">
        <v>0</v>
      </c>
      <c r="BE671" s="45">
        <v>0</v>
      </c>
      <c r="BF671" s="45">
        <v>0</v>
      </c>
      <c r="BG671" s="45">
        <v>0</v>
      </c>
    </row>
    <row r="672" spans="1:59">
      <c r="A672" s="18" t="s">
        <v>261</v>
      </c>
      <c r="B672" s="18" t="s">
        <v>162</v>
      </c>
      <c r="C672" s="18" t="s">
        <v>218</v>
      </c>
      <c r="D672" s="45">
        <v>0</v>
      </c>
      <c r="E672" s="45">
        <v>0</v>
      </c>
      <c r="F672" s="45">
        <v>0</v>
      </c>
      <c r="G672" s="45">
        <v>0</v>
      </c>
      <c r="H672" s="45">
        <v>0</v>
      </c>
      <c r="I672" s="45">
        <v>0</v>
      </c>
      <c r="J672" s="45">
        <v>0</v>
      </c>
      <c r="K672" s="45">
        <v>0</v>
      </c>
      <c r="L672" s="45">
        <v>0</v>
      </c>
      <c r="M672" s="45">
        <v>0</v>
      </c>
      <c r="N672" s="45">
        <v>0</v>
      </c>
      <c r="O672" s="45">
        <v>0</v>
      </c>
      <c r="P672" s="45">
        <v>0</v>
      </c>
      <c r="Q672" s="45">
        <v>0</v>
      </c>
      <c r="R672" s="45">
        <v>0</v>
      </c>
      <c r="S672" s="45">
        <v>0</v>
      </c>
      <c r="T672" s="45">
        <v>0</v>
      </c>
      <c r="U672" s="45">
        <v>0</v>
      </c>
      <c r="V672" s="45">
        <v>0</v>
      </c>
      <c r="W672" s="45">
        <v>0</v>
      </c>
      <c r="X672" s="45">
        <v>0</v>
      </c>
      <c r="Y672" s="45">
        <v>0</v>
      </c>
      <c r="Z672" s="45">
        <v>0</v>
      </c>
      <c r="AA672" s="45">
        <v>0</v>
      </c>
      <c r="AB672" s="45">
        <v>0</v>
      </c>
      <c r="AC672" s="45">
        <v>0</v>
      </c>
      <c r="AD672" s="45">
        <v>0</v>
      </c>
      <c r="AE672" s="45">
        <v>0</v>
      </c>
      <c r="AF672" s="45">
        <v>0</v>
      </c>
      <c r="AG672" s="45">
        <v>0</v>
      </c>
      <c r="AH672" s="45">
        <v>0</v>
      </c>
      <c r="AI672" s="45">
        <v>0</v>
      </c>
      <c r="AJ672" s="45">
        <v>0</v>
      </c>
      <c r="AK672" s="45">
        <v>0</v>
      </c>
      <c r="AL672" s="45">
        <v>0</v>
      </c>
      <c r="AM672" s="45">
        <v>0</v>
      </c>
      <c r="AN672" s="45">
        <v>0</v>
      </c>
      <c r="AO672" s="45">
        <v>0</v>
      </c>
      <c r="AP672" s="45">
        <v>0</v>
      </c>
      <c r="AQ672" s="45">
        <v>0</v>
      </c>
      <c r="AR672" s="45">
        <v>0</v>
      </c>
      <c r="AS672" s="45">
        <v>0</v>
      </c>
      <c r="AT672" s="45">
        <v>0</v>
      </c>
      <c r="AU672" s="45">
        <v>0</v>
      </c>
      <c r="AV672" s="45">
        <v>0</v>
      </c>
      <c r="AW672" s="45">
        <v>0</v>
      </c>
      <c r="AX672" s="45">
        <v>0</v>
      </c>
      <c r="AY672" s="45">
        <v>0</v>
      </c>
      <c r="AZ672" s="45">
        <v>0</v>
      </c>
      <c r="BA672" s="45">
        <v>0</v>
      </c>
      <c r="BB672" s="45">
        <v>0</v>
      </c>
      <c r="BC672" s="45">
        <v>0</v>
      </c>
      <c r="BD672" s="45">
        <v>0</v>
      </c>
      <c r="BE672" s="45">
        <v>0</v>
      </c>
      <c r="BF672" s="45">
        <v>0</v>
      </c>
      <c r="BG672" s="45">
        <v>0</v>
      </c>
    </row>
    <row r="673" spans="1:59">
      <c r="A673" s="18" t="s">
        <v>262</v>
      </c>
      <c r="B673" s="18" t="s">
        <v>162</v>
      </c>
      <c r="C673" s="18" t="s">
        <v>220</v>
      </c>
      <c r="D673" s="45">
        <v>0</v>
      </c>
      <c r="E673" s="45">
        <v>0</v>
      </c>
      <c r="F673" s="45">
        <v>0</v>
      </c>
      <c r="G673" s="45">
        <v>0</v>
      </c>
      <c r="H673" s="45">
        <v>0</v>
      </c>
      <c r="I673" s="45">
        <v>0</v>
      </c>
      <c r="J673" s="45">
        <v>0</v>
      </c>
      <c r="K673" s="45">
        <v>0</v>
      </c>
      <c r="L673" s="45">
        <v>0</v>
      </c>
      <c r="M673" s="45">
        <v>0</v>
      </c>
      <c r="N673" s="45">
        <v>0</v>
      </c>
      <c r="O673" s="45">
        <v>0</v>
      </c>
      <c r="P673" s="45">
        <v>0</v>
      </c>
      <c r="Q673" s="45">
        <v>0</v>
      </c>
      <c r="R673" s="45">
        <v>0</v>
      </c>
      <c r="S673" s="45">
        <v>0</v>
      </c>
      <c r="T673" s="45">
        <v>0</v>
      </c>
      <c r="U673" s="45">
        <v>0</v>
      </c>
      <c r="V673" s="45">
        <v>0</v>
      </c>
      <c r="W673" s="45">
        <v>0</v>
      </c>
      <c r="X673" s="45">
        <v>0</v>
      </c>
      <c r="Y673" s="45">
        <v>0</v>
      </c>
      <c r="Z673" s="45">
        <v>0</v>
      </c>
      <c r="AA673" s="45">
        <v>0</v>
      </c>
      <c r="AB673" s="45">
        <v>0</v>
      </c>
      <c r="AC673" s="45">
        <v>0</v>
      </c>
      <c r="AD673" s="45">
        <v>0</v>
      </c>
      <c r="AE673" s="45">
        <v>0</v>
      </c>
      <c r="AF673" s="45">
        <v>0</v>
      </c>
      <c r="AG673" s="45">
        <v>0</v>
      </c>
      <c r="AH673" s="45">
        <v>0</v>
      </c>
      <c r="AI673" s="45">
        <v>0</v>
      </c>
      <c r="AJ673" s="45">
        <v>0</v>
      </c>
      <c r="AK673" s="45">
        <v>0</v>
      </c>
      <c r="AL673" s="45">
        <v>0</v>
      </c>
      <c r="AM673" s="45">
        <v>0</v>
      </c>
      <c r="AN673" s="45">
        <v>0</v>
      </c>
      <c r="AO673" s="45">
        <v>0</v>
      </c>
      <c r="AP673" s="45">
        <v>0</v>
      </c>
      <c r="AQ673" s="45">
        <v>0</v>
      </c>
      <c r="AR673" s="45">
        <v>0</v>
      </c>
      <c r="AS673" s="45">
        <v>0</v>
      </c>
      <c r="AT673" s="45">
        <v>0</v>
      </c>
      <c r="AU673" s="45">
        <v>0</v>
      </c>
      <c r="AV673" s="45">
        <v>0</v>
      </c>
      <c r="AW673" s="45">
        <v>0</v>
      </c>
      <c r="AX673" s="45">
        <v>0</v>
      </c>
      <c r="AY673" s="45">
        <v>0</v>
      </c>
      <c r="AZ673" s="45">
        <v>0</v>
      </c>
      <c r="BA673" s="45">
        <v>0</v>
      </c>
      <c r="BB673" s="45">
        <v>0</v>
      </c>
      <c r="BC673" s="45">
        <v>0</v>
      </c>
      <c r="BD673" s="45">
        <v>0</v>
      </c>
      <c r="BE673" s="45">
        <v>0</v>
      </c>
      <c r="BF673" s="45">
        <v>0</v>
      </c>
      <c r="BG673" s="45">
        <v>0</v>
      </c>
    </row>
    <row r="674" spans="1:59">
      <c r="A674" s="18" t="s">
        <v>263</v>
      </c>
      <c r="B674" s="18" t="s">
        <v>176</v>
      </c>
      <c r="C674" s="18" t="s">
        <v>5</v>
      </c>
      <c r="D674" s="45">
        <v>0</v>
      </c>
      <c r="E674" s="45">
        <v>0</v>
      </c>
      <c r="F674" s="45">
        <v>0</v>
      </c>
      <c r="G674" s="45">
        <v>0</v>
      </c>
      <c r="H674" s="45">
        <v>0</v>
      </c>
      <c r="I674" s="45">
        <v>12.8</v>
      </c>
      <c r="J674" s="45">
        <v>12.5</v>
      </c>
      <c r="K674" s="45">
        <v>15.3</v>
      </c>
      <c r="L674" s="45">
        <v>13.8</v>
      </c>
      <c r="M674" s="45">
        <v>12.5</v>
      </c>
      <c r="N674" s="45">
        <v>10.7</v>
      </c>
      <c r="O674" s="45">
        <v>12.7</v>
      </c>
      <c r="P674" s="45">
        <v>11.1</v>
      </c>
      <c r="Q674" s="45">
        <v>10.1</v>
      </c>
      <c r="R674" s="45">
        <v>10.2</v>
      </c>
      <c r="S674" s="45">
        <v>11.3</v>
      </c>
      <c r="T674" s="45">
        <v>11.4</v>
      </c>
      <c r="U674" s="45">
        <v>13</v>
      </c>
      <c r="V674" s="45">
        <v>14.7</v>
      </c>
      <c r="W674" s="45">
        <v>16.6</v>
      </c>
      <c r="X674" s="45">
        <v>16.2</v>
      </c>
      <c r="Y674" s="45">
        <v>16.7</v>
      </c>
      <c r="Z674" s="45">
        <v>14.9</v>
      </c>
      <c r="AA674" s="45">
        <v>16.7</v>
      </c>
      <c r="AB674" s="45">
        <v>13.1</v>
      </c>
      <c r="AC674" s="45">
        <v>13.9</v>
      </c>
      <c r="AD674" s="45">
        <v>12.7</v>
      </c>
      <c r="AE674" s="45">
        <v>14.9</v>
      </c>
      <c r="AF674" s="45">
        <v>11.9</v>
      </c>
      <c r="AG674" s="45">
        <v>13.9</v>
      </c>
      <c r="AH674" s="45">
        <v>14.5</v>
      </c>
      <c r="AI674" s="45">
        <v>11.4</v>
      </c>
      <c r="AJ674" s="45">
        <v>13.2</v>
      </c>
      <c r="AK674" s="45">
        <v>13.7</v>
      </c>
      <c r="AL674" s="45">
        <v>13.6</v>
      </c>
      <c r="AM674" s="45">
        <v>13.7</v>
      </c>
      <c r="AN674" s="45">
        <v>13.7</v>
      </c>
      <c r="AO674" s="45">
        <v>10.4</v>
      </c>
      <c r="AP674" s="45">
        <v>7.9</v>
      </c>
      <c r="AQ674" s="45">
        <v>6.2</v>
      </c>
      <c r="AR674" s="45">
        <v>2.8</v>
      </c>
      <c r="AS674" s="45">
        <v>0</v>
      </c>
      <c r="AT674" s="45">
        <v>0</v>
      </c>
      <c r="AU674" s="45">
        <v>0</v>
      </c>
      <c r="AV674" s="45">
        <v>0</v>
      </c>
      <c r="AW674" s="45">
        <v>0</v>
      </c>
      <c r="AX674" s="45">
        <v>0</v>
      </c>
      <c r="AY674" s="45">
        <v>0</v>
      </c>
      <c r="AZ674" s="45">
        <v>0</v>
      </c>
      <c r="BA674" s="45">
        <v>0</v>
      </c>
      <c r="BB674" s="45">
        <v>0</v>
      </c>
      <c r="BC674" s="45">
        <v>0</v>
      </c>
      <c r="BD674" s="45">
        <v>0</v>
      </c>
      <c r="BE674" s="45">
        <v>0</v>
      </c>
      <c r="BF674" s="45">
        <v>0</v>
      </c>
      <c r="BG674" s="45">
        <v>0</v>
      </c>
    </row>
    <row r="675" spans="1:59">
      <c r="A675" s="18" t="s">
        <v>264</v>
      </c>
      <c r="B675" s="18" t="s">
        <v>176</v>
      </c>
      <c r="C675" s="18" t="s">
        <v>210</v>
      </c>
      <c r="D675" s="45">
        <v>0</v>
      </c>
      <c r="E675" s="45">
        <v>0</v>
      </c>
      <c r="F675" s="45">
        <v>0</v>
      </c>
      <c r="G675" s="45">
        <v>0</v>
      </c>
      <c r="H675" s="45">
        <v>0</v>
      </c>
      <c r="I675" s="45">
        <v>15.5</v>
      </c>
      <c r="J675" s="45">
        <v>20.3</v>
      </c>
      <c r="K675" s="45">
        <v>18</v>
      </c>
      <c r="L675" s="45">
        <v>16.6</v>
      </c>
      <c r="M675" s="45">
        <v>15.1</v>
      </c>
      <c r="N675" s="45">
        <v>13.5</v>
      </c>
      <c r="O675" s="45">
        <v>13.9</v>
      </c>
      <c r="P675" s="45">
        <v>15</v>
      </c>
      <c r="Q675" s="45">
        <v>13.5</v>
      </c>
      <c r="R675" s="45">
        <v>12.7</v>
      </c>
      <c r="S675" s="45">
        <v>12.3</v>
      </c>
      <c r="T675" s="45">
        <v>14.6</v>
      </c>
      <c r="U675" s="45">
        <v>13.6</v>
      </c>
      <c r="V675" s="45">
        <v>13.8</v>
      </c>
      <c r="W675" s="45">
        <v>18.1</v>
      </c>
      <c r="X675" s="45">
        <v>20.9</v>
      </c>
      <c r="Y675" s="45">
        <v>16.6</v>
      </c>
      <c r="Z675" s="45">
        <v>19.7</v>
      </c>
      <c r="AA675" s="45">
        <v>16.9</v>
      </c>
      <c r="AB675" s="45">
        <v>17.2</v>
      </c>
      <c r="AC675" s="45">
        <v>15.5</v>
      </c>
      <c r="AD675" s="45">
        <v>14.6</v>
      </c>
      <c r="AE675" s="45">
        <v>14.8</v>
      </c>
      <c r="AF675" s="45">
        <v>15.4</v>
      </c>
      <c r="AG675" s="45">
        <v>15.8</v>
      </c>
      <c r="AH675" s="45">
        <v>15.8</v>
      </c>
      <c r="AI675" s="45">
        <v>16.7</v>
      </c>
      <c r="AJ675" s="45">
        <v>19</v>
      </c>
      <c r="AK675" s="45">
        <v>13.6</v>
      </c>
      <c r="AL675" s="45">
        <v>15</v>
      </c>
      <c r="AM675" s="45">
        <v>13.6</v>
      </c>
      <c r="AN675" s="45">
        <v>10.2</v>
      </c>
      <c r="AO675" s="45">
        <v>12.4</v>
      </c>
      <c r="AP675" s="45">
        <v>9.6</v>
      </c>
      <c r="AQ675" s="45">
        <v>6.3</v>
      </c>
      <c r="AR675" s="45">
        <v>1.7</v>
      </c>
      <c r="AS675" s="45">
        <v>0</v>
      </c>
      <c r="AT675" s="45">
        <v>0</v>
      </c>
      <c r="AU675" s="45">
        <v>0</v>
      </c>
      <c r="AV675" s="45">
        <v>0</v>
      </c>
      <c r="AW675" s="45">
        <v>0</v>
      </c>
      <c r="AX675" s="45">
        <v>0</v>
      </c>
      <c r="AY675" s="45">
        <v>0</v>
      </c>
      <c r="AZ675" s="45">
        <v>0</v>
      </c>
      <c r="BA675" s="45">
        <v>0</v>
      </c>
      <c r="BB675" s="45">
        <v>0</v>
      </c>
      <c r="BC675" s="45">
        <v>0</v>
      </c>
      <c r="BD675" s="45">
        <v>0</v>
      </c>
      <c r="BE675" s="45">
        <v>0</v>
      </c>
      <c r="BF675" s="45">
        <v>0</v>
      </c>
      <c r="BG675" s="45">
        <v>0</v>
      </c>
    </row>
    <row r="676" spans="1:59">
      <c r="A676" s="18" t="s">
        <v>265</v>
      </c>
      <c r="B676" s="18" t="s">
        <v>176</v>
      </c>
      <c r="C676" s="18" t="s">
        <v>212</v>
      </c>
      <c r="D676" s="45">
        <v>0</v>
      </c>
      <c r="E676" s="45">
        <v>0</v>
      </c>
      <c r="F676" s="45">
        <v>0</v>
      </c>
      <c r="G676" s="45">
        <v>0</v>
      </c>
      <c r="H676" s="45">
        <v>0</v>
      </c>
      <c r="I676" s="45">
        <v>14</v>
      </c>
      <c r="J676" s="45">
        <v>22.8</v>
      </c>
      <c r="K676" s="45">
        <v>21.3</v>
      </c>
      <c r="L676" s="45">
        <v>19.3</v>
      </c>
      <c r="M676" s="45">
        <v>16.4</v>
      </c>
      <c r="N676" s="45">
        <v>17</v>
      </c>
      <c r="O676" s="45">
        <v>14.1</v>
      </c>
      <c r="P676" s="45">
        <v>15</v>
      </c>
      <c r="Q676" s="45">
        <v>14.2</v>
      </c>
      <c r="R676" s="45">
        <v>15.3</v>
      </c>
      <c r="S676" s="45">
        <v>14.4</v>
      </c>
      <c r="T676" s="45">
        <v>16.3</v>
      </c>
      <c r="U676" s="45">
        <v>14.3</v>
      </c>
      <c r="V676" s="45">
        <v>18.9</v>
      </c>
      <c r="W676" s="45">
        <v>18.8</v>
      </c>
      <c r="X676" s="45">
        <v>17.2</v>
      </c>
      <c r="Y676" s="45">
        <v>21.5</v>
      </c>
      <c r="Z676" s="45">
        <v>16.1</v>
      </c>
      <c r="AA676" s="45">
        <v>19.3</v>
      </c>
      <c r="AB676" s="45">
        <v>17.3</v>
      </c>
      <c r="AC676" s="45">
        <v>15.2</v>
      </c>
      <c r="AD676" s="45">
        <v>16.4</v>
      </c>
      <c r="AE676" s="45">
        <v>16.3</v>
      </c>
      <c r="AF676" s="45">
        <v>15.1</v>
      </c>
      <c r="AG676" s="45">
        <v>15.6</v>
      </c>
      <c r="AH676" s="45">
        <v>18</v>
      </c>
      <c r="AI676" s="45">
        <v>16.4</v>
      </c>
      <c r="AJ676" s="45">
        <v>16</v>
      </c>
      <c r="AK676" s="45">
        <v>15.8</v>
      </c>
      <c r="AL676" s="45">
        <v>14.1</v>
      </c>
      <c r="AM676" s="45">
        <v>14.2</v>
      </c>
      <c r="AN676" s="45">
        <v>12.9</v>
      </c>
      <c r="AO676" s="45">
        <v>11.8</v>
      </c>
      <c r="AP676" s="45">
        <v>8.699999999999999</v>
      </c>
      <c r="AQ676" s="45">
        <v>7</v>
      </c>
      <c r="AR676" s="45">
        <v>2.9</v>
      </c>
      <c r="AS676" s="45">
        <v>0</v>
      </c>
      <c r="AT676" s="45">
        <v>0</v>
      </c>
      <c r="AU676" s="45">
        <v>0</v>
      </c>
      <c r="AV676" s="45">
        <v>0</v>
      </c>
      <c r="AW676" s="45">
        <v>0</v>
      </c>
      <c r="AX676" s="45">
        <v>0</v>
      </c>
      <c r="AY676" s="45">
        <v>0</v>
      </c>
      <c r="AZ676" s="45">
        <v>0</v>
      </c>
      <c r="BA676" s="45">
        <v>0</v>
      </c>
      <c r="BB676" s="45">
        <v>0</v>
      </c>
      <c r="BC676" s="45">
        <v>0</v>
      </c>
      <c r="BD676" s="45">
        <v>0</v>
      </c>
      <c r="BE676" s="45">
        <v>0</v>
      </c>
      <c r="BF676" s="45">
        <v>0</v>
      </c>
      <c r="BG676" s="45">
        <v>0</v>
      </c>
    </row>
    <row r="677" spans="1:59">
      <c r="A677" s="18" t="s">
        <v>266</v>
      </c>
      <c r="B677" s="18" t="s">
        <v>176</v>
      </c>
      <c r="C677" s="18" t="s">
        <v>214</v>
      </c>
      <c r="D677" s="45">
        <v>0</v>
      </c>
      <c r="E677" s="45">
        <v>0</v>
      </c>
      <c r="F677" s="45">
        <v>0</v>
      </c>
      <c r="G677" s="45">
        <v>0</v>
      </c>
      <c r="H677" s="45">
        <v>0</v>
      </c>
      <c r="I677" s="45">
        <v>26.3</v>
      </c>
      <c r="J677" s="45">
        <v>22.4</v>
      </c>
      <c r="K677" s="45">
        <v>19.6</v>
      </c>
      <c r="L677" s="45">
        <v>19.1</v>
      </c>
      <c r="M677" s="45">
        <v>17.9</v>
      </c>
      <c r="N677" s="45">
        <v>15.8</v>
      </c>
      <c r="O677" s="45">
        <v>15.3</v>
      </c>
      <c r="P677" s="45">
        <v>15</v>
      </c>
      <c r="Q677" s="45">
        <v>13.2</v>
      </c>
      <c r="R677" s="45">
        <v>12.6</v>
      </c>
      <c r="S677" s="45">
        <v>14.3</v>
      </c>
      <c r="T677" s="45">
        <v>12.6</v>
      </c>
      <c r="U677" s="45">
        <v>17.9</v>
      </c>
      <c r="V677" s="45">
        <v>17.3</v>
      </c>
      <c r="W677" s="45">
        <v>20.7</v>
      </c>
      <c r="X677" s="45">
        <v>19.3</v>
      </c>
      <c r="Y677" s="45">
        <v>17.9</v>
      </c>
      <c r="Z677" s="45">
        <v>18.1</v>
      </c>
      <c r="AA677" s="45">
        <v>16.8</v>
      </c>
      <c r="AB677" s="45">
        <v>16</v>
      </c>
      <c r="AC677" s="45">
        <v>15.7</v>
      </c>
      <c r="AD677" s="45">
        <v>14.8</v>
      </c>
      <c r="AE677" s="45">
        <v>17.7</v>
      </c>
      <c r="AF677" s="45">
        <v>15.8</v>
      </c>
      <c r="AG677" s="45">
        <v>15.9</v>
      </c>
      <c r="AH677" s="45">
        <v>14.5</v>
      </c>
      <c r="AI677" s="45">
        <v>16.2</v>
      </c>
      <c r="AJ677" s="45">
        <v>13.8</v>
      </c>
      <c r="AK677" s="45">
        <v>16.4</v>
      </c>
      <c r="AL677" s="45">
        <v>12.7</v>
      </c>
      <c r="AM677" s="45">
        <v>15.1</v>
      </c>
      <c r="AN677" s="45">
        <v>12.5</v>
      </c>
      <c r="AO677" s="45">
        <v>11.3</v>
      </c>
      <c r="AP677" s="45">
        <v>10.1</v>
      </c>
      <c r="AQ677" s="45">
        <v>6.3</v>
      </c>
      <c r="AR677" s="45">
        <v>5.1</v>
      </c>
      <c r="AS677" s="45">
        <v>0</v>
      </c>
      <c r="AT677" s="45">
        <v>0</v>
      </c>
      <c r="AU677" s="45">
        <v>0</v>
      </c>
      <c r="AV677" s="45">
        <v>0</v>
      </c>
      <c r="AW677" s="45">
        <v>0</v>
      </c>
      <c r="AX677" s="45">
        <v>0</v>
      </c>
      <c r="AY677" s="45">
        <v>0</v>
      </c>
      <c r="AZ677" s="45">
        <v>0</v>
      </c>
      <c r="BA677" s="45">
        <v>0</v>
      </c>
      <c r="BB677" s="45">
        <v>0</v>
      </c>
      <c r="BC677" s="45">
        <v>0</v>
      </c>
      <c r="BD677" s="45">
        <v>0</v>
      </c>
      <c r="BE677" s="45">
        <v>0</v>
      </c>
      <c r="BF677" s="45">
        <v>0</v>
      </c>
      <c r="BG677" s="45">
        <v>0</v>
      </c>
    </row>
    <row r="678" spans="1:59">
      <c r="A678" s="18" t="s">
        <v>267</v>
      </c>
      <c r="B678" s="18" t="s">
        <v>176</v>
      </c>
      <c r="C678" s="18" t="s">
        <v>216</v>
      </c>
      <c r="D678" s="45">
        <v>0</v>
      </c>
      <c r="E678" s="45">
        <v>0</v>
      </c>
      <c r="F678" s="45">
        <v>0</v>
      </c>
      <c r="G678" s="45">
        <v>0</v>
      </c>
      <c r="H678" s="45">
        <v>0</v>
      </c>
      <c r="I678" s="45">
        <v>16.5</v>
      </c>
      <c r="J678" s="45">
        <v>20.7</v>
      </c>
      <c r="K678" s="45">
        <v>18.8</v>
      </c>
      <c r="L678" s="45">
        <v>18.9</v>
      </c>
      <c r="M678" s="45">
        <v>15.8</v>
      </c>
      <c r="N678" s="45">
        <v>13.9</v>
      </c>
      <c r="O678" s="45">
        <v>14.3</v>
      </c>
      <c r="P678" s="45">
        <v>16.7</v>
      </c>
      <c r="Q678" s="45">
        <v>14.3</v>
      </c>
      <c r="R678" s="45">
        <v>14.5</v>
      </c>
      <c r="S678" s="45">
        <v>13.7</v>
      </c>
      <c r="T678" s="45">
        <v>12.4</v>
      </c>
      <c r="U678" s="45">
        <v>18</v>
      </c>
      <c r="V678" s="45">
        <v>16.6</v>
      </c>
      <c r="W678" s="45">
        <v>18.1</v>
      </c>
      <c r="X678" s="45">
        <v>19.5</v>
      </c>
      <c r="Y678" s="45">
        <v>17.5</v>
      </c>
      <c r="Z678" s="45">
        <v>17.6</v>
      </c>
      <c r="AA678" s="45">
        <v>17.1</v>
      </c>
      <c r="AB678" s="45">
        <v>14.9</v>
      </c>
      <c r="AC678" s="45">
        <v>15.4</v>
      </c>
      <c r="AD678" s="45">
        <v>15.3</v>
      </c>
      <c r="AE678" s="45">
        <v>16.1</v>
      </c>
      <c r="AF678" s="45">
        <v>13.7</v>
      </c>
      <c r="AG678" s="45">
        <v>12.9</v>
      </c>
      <c r="AH678" s="45">
        <v>15.4</v>
      </c>
      <c r="AI678" s="45">
        <v>14.9</v>
      </c>
      <c r="AJ678" s="45">
        <v>16.7</v>
      </c>
      <c r="AK678" s="45">
        <v>14.4</v>
      </c>
      <c r="AL678" s="45">
        <v>13.4</v>
      </c>
      <c r="AM678" s="45">
        <v>13.1</v>
      </c>
      <c r="AN678" s="45">
        <v>11.8</v>
      </c>
      <c r="AO678" s="45">
        <v>12.9</v>
      </c>
      <c r="AP678" s="45">
        <v>10.8</v>
      </c>
      <c r="AQ678" s="45">
        <v>7</v>
      </c>
      <c r="AR678" s="45">
        <v>2.6</v>
      </c>
      <c r="AS678" s="45">
        <v>0</v>
      </c>
      <c r="AT678" s="45">
        <v>0</v>
      </c>
      <c r="AU678" s="45">
        <v>0</v>
      </c>
      <c r="AV678" s="45">
        <v>0</v>
      </c>
      <c r="AW678" s="45">
        <v>0</v>
      </c>
      <c r="AX678" s="45">
        <v>0</v>
      </c>
      <c r="AY678" s="45">
        <v>0</v>
      </c>
      <c r="AZ678" s="45">
        <v>0</v>
      </c>
      <c r="BA678" s="45">
        <v>0</v>
      </c>
      <c r="BB678" s="45">
        <v>0</v>
      </c>
      <c r="BC678" s="45">
        <v>0</v>
      </c>
      <c r="BD678" s="45">
        <v>0</v>
      </c>
      <c r="BE678" s="45">
        <v>0</v>
      </c>
      <c r="BF678" s="45">
        <v>0</v>
      </c>
      <c r="BG678" s="45">
        <v>0</v>
      </c>
    </row>
    <row r="679" spans="1:59">
      <c r="A679" s="18" t="s">
        <v>268</v>
      </c>
      <c r="B679" s="18" t="s">
        <v>176</v>
      </c>
      <c r="C679" s="18" t="s">
        <v>218</v>
      </c>
      <c r="D679" s="45">
        <v>0</v>
      </c>
      <c r="E679" s="45">
        <v>0</v>
      </c>
      <c r="F679" s="45">
        <v>0</v>
      </c>
      <c r="G679" s="45">
        <v>0</v>
      </c>
      <c r="H679" s="45">
        <v>0</v>
      </c>
      <c r="I679" s="45">
        <v>0</v>
      </c>
      <c r="J679" s="45">
        <v>0</v>
      </c>
      <c r="K679" s="45">
        <v>0</v>
      </c>
      <c r="L679" s="45">
        <v>0</v>
      </c>
      <c r="M679" s="45">
        <v>0</v>
      </c>
      <c r="N679" s="45">
        <v>0</v>
      </c>
      <c r="O679" s="45">
        <v>0</v>
      </c>
      <c r="P679" s="45">
        <v>0</v>
      </c>
      <c r="Q679" s="45">
        <v>0</v>
      </c>
      <c r="R679" s="45">
        <v>0</v>
      </c>
      <c r="S679" s="45">
        <v>0</v>
      </c>
      <c r="T679" s="45">
        <v>0</v>
      </c>
      <c r="U679" s="45">
        <v>0</v>
      </c>
      <c r="V679" s="45">
        <v>0</v>
      </c>
      <c r="W679" s="45">
        <v>0</v>
      </c>
      <c r="X679" s="45">
        <v>0</v>
      </c>
      <c r="Y679" s="45">
        <v>0</v>
      </c>
      <c r="Z679" s="45">
        <v>0</v>
      </c>
      <c r="AA679" s="45">
        <v>0</v>
      </c>
      <c r="AB679" s="45">
        <v>0</v>
      </c>
      <c r="AC679" s="45">
        <v>0</v>
      </c>
      <c r="AD679" s="45">
        <v>0</v>
      </c>
      <c r="AE679" s="45">
        <v>0</v>
      </c>
      <c r="AF679" s="45">
        <v>0</v>
      </c>
      <c r="AG679" s="45">
        <v>0</v>
      </c>
      <c r="AH679" s="45">
        <v>0</v>
      </c>
      <c r="AI679" s="45">
        <v>0</v>
      </c>
      <c r="AJ679" s="45">
        <v>0</v>
      </c>
      <c r="AK679" s="45">
        <v>0</v>
      </c>
      <c r="AL679" s="45">
        <v>0</v>
      </c>
      <c r="AM679" s="45">
        <v>0</v>
      </c>
      <c r="AN679" s="45">
        <v>0</v>
      </c>
      <c r="AO679" s="45">
        <v>0</v>
      </c>
      <c r="AP679" s="45">
        <v>0</v>
      </c>
      <c r="AQ679" s="45">
        <v>0</v>
      </c>
      <c r="AR679" s="45">
        <v>0</v>
      </c>
      <c r="AS679" s="45">
        <v>0</v>
      </c>
      <c r="AT679" s="45">
        <v>0</v>
      </c>
      <c r="AU679" s="45">
        <v>0</v>
      </c>
      <c r="AV679" s="45">
        <v>0</v>
      </c>
      <c r="AW679" s="45">
        <v>0</v>
      </c>
      <c r="AX679" s="45">
        <v>0</v>
      </c>
      <c r="AY679" s="45">
        <v>0</v>
      </c>
      <c r="AZ679" s="45">
        <v>0</v>
      </c>
      <c r="BA679" s="45">
        <v>0</v>
      </c>
      <c r="BB679" s="45">
        <v>0</v>
      </c>
      <c r="BC679" s="45">
        <v>0</v>
      </c>
      <c r="BD679" s="45">
        <v>0</v>
      </c>
      <c r="BE679" s="45">
        <v>0</v>
      </c>
      <c r="BF679" s="45">
        <v>0</v>
      </c>
      <c r="BG679" s="45">
        <v>0</v>
      </c>
    </row>
    <row r="680" spans="1:59">
      <c r="A680" s="18" t="s">
        <v>269</v>
      </c>
      <c r="B680" s="18" t="s">
        <v>176</v>
      </c>
      <c r="C680" s="18" t="s">
        <v>220</v>
      </c>
      <c r="D680" s="45">
        <v>0</v>
      </c>
      <c r="E680" s="45">
        <v>0</v>
      </c>
      <c r="F680" s="45">
        <v>0</v>
      </c>
      <c r="G680" s="45">
        <v>0</v>
      </c>
      <c r="H680" s="45">
        <v>0</v>
      </c>
      <c r="I680" s="45">
        <v>0</v>
      </c>
      <c r="J680" s="45">
        <v>0</v>
      </c>
      <c r="K680" s="45">
        <v>0</v>
      </c>
      <c r="L680" s="45">
        <v>0</v>
      </c>
      <c r="M680" s="45">
        <v>0</v>
      </c>
      <c r="N680" s="45">
        <v>0</v>
      </c>
      <c r="O680" s="45">
        <v>0</v>
      </c>
      <c r="P680" s="45">
        <v>0</v>
      </c>
      <c r="Q680" s="45">
        <v>0</v>
      </c>
      <c r="R680" s="45">
        <v>0</v>
      </c>
      <c r="S680" s="45">
        <v>0</v>
      </c>
      <c r="T680" s="45">
        <v>0</v>
      </c>
      <c r="U680" s="45">
        <v>0</v>
      </c>
      <c r="V680" s="45">
        <v>0</v>
      </c>
      <c r="W680" s="45">
        <v>0</v>
      </c>
      <c r="X680" s="45">
        <v>0</v>
      </c>
      <c r="Y680" s="45">
        <v>0</v>
      </c>
      <c r="Z680" s="45">
        <v>0</v>
      </c>
      <c r="AA680" s="45">
        <v>0</v>
      </c>
      <c r="AB680" s="45">
        <v>0</v>
      </c>
      <c r="AC680" s="45">
        <v>0</v>
      </c>
      <c r="AD680" s="45">
        <v>0</v>
      </c>
      <c r="AE680" s="45">
        <v>0</v>
      </c>
      <c r="AF680" s="45">
        <v>0</v>
      </c>
      <c r="AG680" s="45">
        <v>0</v>
      </c>
      <c r="AH680" s="45">
        <v>0</v>
      </c>
      <c r="AI680" s="45">
        <v>0</v>
      </c>
      <c r="AJ680" s="45">
        <v>0</v>
      </c>
      <c r="AK680" s="45">
        <v>0</v>
      </c>
      <c r="AL680" s="45">
        <v>0</v>
      </c>
      <c r="AM680" s="45">
        <v>0</v>
      </c>
      <c r="AN680" s="45">
        <v>0</v>
      </c>
      <c r="AO680" s="45">
        <v>0</v>
      </c>
      <c r="AP680" s="45">
        <v>0</v>
      </c>
      <c r="AQ680" s="45">
        <v>0</v>
      </c>
      <c r="AR680" s="45">
        <v>0</v>
      </c>
      <c r="AS680" s="45">
        <v>0</v>
      </c>
      <c r="AT680" s="45">
        <v>0</v>
      </c>
      <c r="AU680" s="45">
        <v>0</v>
      </c>
      <c r="AV680" s="45">
        <v>0</v>
      </c>
      <c r="AW680" s="45">
        <v>0</v>
      </c>
      <c r="AX680" s="45">
        <v>0</v>
      </c>
      <c r="AY680" s="45">
        <v>0</v>
      </c>
      <c r="AZ680" s="45">
        <v>0</v>
      </c>
      <c r="BA680" s="45">
        <v>0</v>
      </c>
      <c r="BB680" s="45">
        <v>0</v>
      </c>
      <c r="BC680" s="45">
        <v>0</v>
      </c>
      <c r="BD680" s="45">
        <v>0</v>
      </c>
      <c r="BE680" s="45">
        <v>0</v>
      </c>
      <c r="BF680" s="45">
        <v>0</v>
      </c>
      <c r="BG680" s="45">
        <v>0</v>
      </c>
    </row>
    <row r="681" spans="1:59">
      <c r="A681" s="18" t="s">
        <v>270</v>
      </c>
      <c r="B681" s="18" t="s">
        <v>190</v>
      </c>
      <c r="C681" s="18" t="s">
        <v>5</v>
      </c>
      <c r="D681" s="45">
        <v>0</v>
      </c>
      <c r="E681" s="45">
        <v>0</v>
      </c>
      <c r="F681" s="45">
        <v>0</v>
      </c>
      <c r="G681" s="45">
        <v>0</v>
      </c>
      <c r="H681" s="45">
        <v>2.2</v>
      </c>
      <c r="I681" s="45">
        <v>4.3</v>
      </c>
      <c r="J681" s="45">
        <v>8.9</v>
      </c>
      <c r="K681" s="45">
        <v>8.5</v>
      </c>
      <c r="L681" s="45">
        <v>6.3</v>
      </c>
      <c r="M681" s="45">
        <v>6.6</v>
      </c>
      <c r="N681" s="45">
        <v>6.6</v>
      </c>
      <c r="O681" s="45">
        <v>5.7</v>
      </c>
      <c r="P681" s="45">
        <v>6.8</v>
      </c>
      <c r="Q681" s="45">
        <v>5.7</v>
      </c>
      <c r="R681" s="45">
        <v>5</v>
      </c>
      <c r="S681" s="45">
        <v>6</v>
      </c>
      <c r="T681" s="45">
        <v>6.5</v>
      </c>
      <c r="U681" s="45">
        <v>5.9</v>
      </c>
      <c r="V681" s="45">
        <v>6.5</v>
      </c>
      <c r="W681" s="45">
        <v>7.3</v>
      </c>
      <c r="X681" s="45">
        <v>6.9</v>
      </c>
      <c r="Y681" s="45">
        <v>7.7</v>
      </c>
      <c r="Z681" s="45">
        <v>8.300000000000001</v>
      </c>
      <c r="AA681" s="45">
        <v>8.1</v>
      </c>
      <c r="AB681" s="45">
        <v>6.9</v>
      </c>
      <c r="AC681" s="45">
        <v>7.2</v>
      </c>
      <c r="AD681" s="45">
        <v>6.7</v>
      </c>
      <c r="AE681" s="45">
        <v>6.3</v>
      </c>
      <c r="AF681" s="45">
        <v>6.3</v>
      </c>
      <c r="AG681" s="45">
        <v>7.6</v>
      </c>
      <c r="AH681" s="45">
        <v>7.7</v>
      </c>
      <c r="AI681" s="45">
        <v>7.8</v>
      </c>
      <c r="AJ681" s="45">
        <v>7.2</v>
      </c>
      <c r="AK681" s="45">
        <v>6.7</v>
      </c>
      <c r="AL681" s="45">
        <v>6.7</v>
      </c>
      <c r="AM681" s="45">
        <v>6.9</v>
      </c>
      <c r="AN681" s="45">
        <v>6.4</v>
      </c>
      <c r="AO681" s="45">
        <v>5.3</v>
      </c>
      <c r="AP681" s="45">
        <v>4.8</v>
      </c>
      <c r="AQ681" s="45">
        <v>4.4</v>
      </c>
      <c r="AR681" s="45">
        <v>4.7</v>
      </c>
      <c r="AS681" s="45">
        <v>0</v>
      </c>
      <c r="AT681" s="45">
        <v>0</v>
      </c>
      <c r="AU681" s="45">
        <v>0</v>
      </c>
      <c r="AV681" s="45">
        <v>0</v>
      </c>
      <c r="AW681" s="45">
        <v>0</v>
      </c>
      <c r="AX681" s="45">
        <v>0</v>
      </c>
      <c r="AY681" s="45">
        <v>0</v>
      </c>
      <c r="AZ681" s="45">
        <v>0</v>
      </c>
      <c r="BA681" s="45">
        <v>0</v>
      </c>
      <c r="BB681" s="45">
        <v>0</v>
      </c>
      <c r="BC681" s="45">
        <v>0</v>
      </c>
      <c r="BD681" s="45">
        <v>0</v>
      </c>
      <c r="BE681" s="45">
        <v>0</v>
      </c>
      <c r="BF681" s="45">
        <v>0</v>
      </c>
      <c r="BG681" s="45">
        <v>0</v>
      </c>
    </row>
    <row r="682" spans="1:59">
      <c r="A682" s="18" t="s">
        <v>271</v>
      </c>
      <c r="B682" s="18" t="s">
        <v>190</v>
      </c>
      <c r="C682" s="18" t="s">
        <v>210</v>
      </c>
      <c r="D682" s="45">
        <v>0</v>
      </c>
      <c r="E682" s="45">
        <v>0</v>
      </c>
      <c r="F682" s="45">
        <v>0</v>
      </c>
      <c r="G682" s="45">
        <v>0</v>
      </c>
      <c r="H682" s="45">
        <v>3.4</v>
      </c>
      <c r="I682" s="45">
        <v>6.2</v>
      </c>
      <c r="J682" s="45">
        <v>9.800000000000001</v>
      </c>
      <c r="K682" s="45">
        <v>8.300000000000001</v>
      </c>
      <c r="L682" s="45">
        <v>8.1</v>
      </c>
      <c r="M682" s="45">
        <v>6.6</v>
      </c>
      <c r="N682" s="45">
        <v>7.1</v>
      </c>
      <c r="O682" s="45">
        <v>6</v>
      </c>
      <c r="P682" s="45">
        <v>5.9</v>
      </c>
      <c r="Q682" s="45">
        <v>7</v>
      </c>
      <c r="R682" s="45">
        <v>5.8</v>
      </c>
      <c r="S682" s="45">
        <v>7.2</v>
      </c>
      <c r="T682" s="45">
        <v>5.9</v>
      </c>
      <c r="U682" s="45">
        <v>6.6</v>
      </c>
      <c r="V682" s="45">
        <v>7.6</v>
      </c>
      <c r="W682" s="45">
        <v>7.7</v>
      </c>
      <c r="X682" s="45">
        <v>8.6</v>
      </c>
      <c r="Y682" s="45">
        <v>8.6</v>
      </c>
      <c r="Z682" s="45">
        <v>7.7</v>
      </c>
      <c r="AA682" s="45">
        <v>7.6</v>
      </c>
      <c r="AB682" s="45">
        <v>7.5</v>
      </c>
      <c r="AC682" s="45">
        <v>7.3</v>
      </c>
      <c r="AD682" s="45">
        <v>6.8</v>
      </c>
      <c r="AE682" s="45">
        <v>7.2</v>
      </c>
      <c r="AF682" s="45">
        <v>7.2</v>
      </c>
      <c r="AG682" s="45">
        <v>7</v>
      </c>
      <c r="AH682" s="45">
        <v>7.3</v>
      </c>
      <c r="AI682" s="45">
        <v>7.3</v>
      </c>
      <c r="AJ682" s="45">
        <v>6.7</v>
      </c>
      <c r="AK682" s="45">
        <v>6.6</v>
      </c>
      <c r="AL682" s="45">
        <v>7</v>
      </c>
      <c r="AM682" s="45">
        <v>6.6</v>
      </c>
      <c r="AN682" s="45">
        <v>6.2</v>
      </c>
      <c r="AO682" s="45">
        <v>5.8</v>
      </c>
      <c r="AP682" s="45">
        <v>5.1</v>
      </c>
      <c r="AQ682" s="45">
        <v>4.8</v>
      </c>
      <c r="AR682" s="45">
        <v>3.5</v>
      </c>
      <c r="AS682" s="45">
        <v>0</v>
      </c>
      <c r="AT682" s="45">
        <v>0</v>
      </c>
      <c r="AU682" s="45">
        <v>0</v>
      </c>
      <c r="AV682" s="45">
        <v>0</v>
      </c>
      <c r="AW682" s="45">
        <v>0</v>
      </c>
      <c r="AX682" s="45">
        <v>0</v>
      </c>
      <c r="AY682" s="45">
        <v>0</v>
      </c>
      <c r="AZ682" s="45">
        <v>0</v>
      </c>
      <c r="BA682" s="45">
        <v>0</v>
      </c>
      <c r="BB682" s="45">
        <v>0</v>
      </c>
      <c r="BC682" s="45">
        <v>0</v>
      </c>
      <c r="BD682" s="45">
        <v>0</v>
      </c>
      <c r="BE682" s="45">
        <v>0</v>
      </c>
      <c r="BF682" s="45">
        <v>0</v>
      </c>
      <c r="BG682" s="45">
        <v>0</v>
      </c>
    </row>
    <row r="683" spans="1:59">
      <c r="A683" s="18" t="s">
        <v>272</v>
      </c>
      <c r="B683" s="18" t="s">
        <v>190</v>
      </c>
      <c r="C683" s="18" t="s">
        <v>212</v>
      </c>
      <c r="D683" s="45">
        <v>0</v>
      </c>
      <c r="E683" s="45">
        <v>0</v>
      </c>
      <c r="F683" s="45">
        <v>0</v>
      </c>
      <c r="G683" s="45">
        <v>0</v>
      </c>
      <c r="H683" s="45">
        <v>5</v>
      </c>
      <c r="I683" s="45">
        <v>3.9</v>
      </c>
      <c r="J683" s="45">
        <v>10</v>
      </c>
      <c r="K683" s="45">
        <v>9.800000000000001</v>
      </c>
      <c r="L683" s="45">
        <v>7.9</v>
      </c>
      <c r="M683" s="45">
        <v>8</v>
      </c>
      <c r="N683" s="45">
        <v>6.9</v>
      </c>
      <c r="O683" s="45">
        <v>7.3</v>
      </c>
      <c r="P683" s="45">
        <v>6.2</v>
      </c>
      <c r="Q683" s="45">
        <v>6.2</v>
      </c>
      <c r="R683" s="45">
        <v>6.2</v>
      </c>
      <c r="S683" s="45">
        <v>6.8</v>
      </c>
      <c r="T683" s="45">
        <v>6.3</v>
      </c>
      <c r="U683" s="45">
        <v>6.4</v>
      </c>
      <c r="V683" s="45">
        <v>7.5</v>
      </c>
      <c r="W683" s="45">
        <v>9.4</v>
      </c>
      <c r="X683" s="45">
        <v>9.800000000000001</v>
      </c>
      <c r="Y683" s="45">
        <v>7.5</v>
      </c>
      <c r="Z683" s="45">
        <v>7.4</v>
      </c>
      <c r="AA683" s="45">
        <v>11.9</v>
      </c>
      <c r="AB683" s="45">
        <v>7.9</v>
      </c>
      <c r="AC683" s="45">
        <v>8.1</v>
      </c>
      <c r="AD683" s="45">
        <v>8.1</v>
      </c>
      <c r="AE683" s="45">
        <v>8</v>
      </c>
      <c r="AF683" s="45">
        <v>7.7</v>
      </c>
      <c r="AG683" s="45">
        <v>6.4</v>
      </c>
      <c r="AH683" s="45">
        <v>8.1</v>
      </c>
      <c r="AI683" s="45">
        <v>7</v>
      </c>
      <c r="AJ683" s="45">
        <v>7.6</v>
      </c>
      <c r="AK683" s="45">
        <v>7.8</v>
      </c>
      <c r="AL683" s="45">
        <v>7</v>
      </c>
      <c r="AM683" s="45">
        <v>6.8</v>
      </c>
      <c r="AN683" s="45">
        <v>6.8</v>
      </c>
      <c r="AO683" s="45">
        <v>5.7</v>
      </c>
      <c r="AP683" s="45">
        <v>4.8</v>
      </c>
      <c r="AQ683" s="45">
        <v>4.4</v>
      </c>
      <c r="AR683" s="45">
        <v>2.9</v>
      </c>
      <c r="AS683" s="45">
        <v>0</v>
      </c>
      <c r="AT683" s="45">
        <v>0</v>
      </c>
      <c r="AU683" s="45">
        <v>0</v>
      </c>
      <c r="AV683" s="45">
        <v>0</v>
      </c>
      <c r="AW683" s="45">
        <v>0</v>
      </c>
      <c r="AX683" s="45">
        <v>0</v>
      </c>
      <c r="AY683" s="45">
        <v>0</v>
      </c>
      <c r="AZ683" s="45">
        <v>0</v>
      </c>
      <c r="BA683" s="45">
        <v>0</v>
      </c>
      <c r="BB683" s="45">
        <v>0</v>
      </c>
      <c r="BC683" s="45">
        <v>0</v>
      </c>
      <c r="BD683" s="45">
        <v>0</v>
      </c>
      <c r="BE683" s="45">
        <v>0</v>
      </c>
      <c r="BF683" s="45">
        <v>0</v>
      </c>
      <c r="BG683" s="45">
        <v>0</v>
      </c>
    </row>
    <row r="684" spans="1:59">
      <c r="A684" s="18" t="s">
        <v>273</v>
      </c>
      <c r="B684" s="18" t="s">
        <v>190</v>
      </c>
      <c r="C684" s="18" t="s">
        <v>214</v>
      </c>
      <c r="D684" s="45">
        <v>0</v>
      </c>
      <c r="E684" s="45">
        <v>0</v>
      </c>
      <c r="F684" s="45">
        <v>0</v>
      </c>
      <c r="G684" s="45">
        <v>0</v>
      </c>
      <c r="H684" s="45">
        <v>0.5</v>
      </c>
      <c r="I684" s="45">
        <v>7</v>
      </c>
      <c r="J684" s="45">
        <v>9.800000000000001</v>
      </c>
      <c r="K684" s="45">
        <v>9.4</v>
      </c>
      <c r="L684" s="45">
        <v>8.9</v>
      </c>
      <c r="M684" s="45">
        <v>7.8</v>
      </c>
      <c r="N684" s="45">
        <v>7</v>
      </c>
      <c r="O684" s="45">
        <v>7.5</v>
      </c>
      <c r="P684" s="45">
        <v>6.7</v>
      </c>
      <c r="Q684" s="45">
        <v>6.1</v>
      </c>
      <c r="R684" s="45">
        <v>6.5</v>
      </c>
      <c r="S684" s="45">
        <v>6.6</v>
      </c>
      <c r="T684" s="45">
        <v>6.7</v>
      </c>
      <c r="U684" s="45">
        <v>6.6</v>
      </c>
      <c r="V684" s="45">
        <v>7.7</v>
      </c>
      <c r="W684" s="45">
        <v>7.7</v>
      </c>
      <c r="X684" s="45">
        <v>8.9</v>
      </c>
      <c r="Y684" s="45">
        <v>10.1</v>
      </c>
      <c r="Z684" s="45">
        <v>8.5</v>
      </c>
      <c r="AA684" s="45">
        <v>9</v>
      </c>
      <c r="AB684" s="45">
        <v>8.6</v>
      </c>
      <c r="AC684" s="45">
        <v>8.4</v>
      </c>
      <c r="AD684" s="45">
        <v>7.7</v>
      </c>
      <c r="AE684" s="45">
        <v>8.1</v>
      </c>
      <c r="AF684" s="45">
        <v>7.7</v>
      </c>
      <c r="AG684" s="45">
        <v>7.9</v>
      </c>
      <c r="AH684" s="45">
        <v>7.1</v>
      </c>
      <c r="AI684" s="45">
        <v>7.5</v>
      </c>
      <c r="AJ684" s="45">
        <v>7.1</v>
      </c>
      <c r="AK684" s="45">
        <v>6.2</v>
      </c>
      <c r="AL684" s="45">
        <v>7</v>
      </c>
      <c r="AM684" s="45">
        <v>6.9</v>
      </c>
      <c r="AN684" s="45">
        <v>6.6</v>
      </c>
      <c r="AO684" s="45">
        <v>6.2</v>
      </c>
      <c r="AP684" s="45">
        <v>5.2</v>
      </c>
      <c r="AQ684" s="45">
        <v>5.1</v>
      </c>
      <c r="AR684" s="45">
        <v>3</v>
      </c>
      <c r="AS684" s="45">
        <v>0</v>
      </c>
      <c r="AT684" s="45">
        <v>0</v>
      </c>
      <c r="AU684" s="45">
        <v>0</v>
      </c>
      <c r="AV684" s="45">
        <v>0</v>
      </c>
      <c r="AW684" s="45">
        <v>0</v>
      </c>
      <c r="AX684" s="45">
        <v>0</v>
      </c>
      <c r="AY684" s="45">
        <v>0</v>
      </c>
      <c r="AZ684" s="45">
        <v>0</v>
      </c>
      <c r="BA684" s="45">
        <v>0</v>
      </c>
      <c r="BB684" s="45">
        <v>0</v>
      </c>
      <c r="BC684" s="45">
        <v>0</v>
      </c>
      <c r="BD684" s="45">
        <v>0</v>
      </c>
      <c r="BE684" s="45">
        <v>0</v>
      </c>
      <c r="BF684" s="45">
        <v>0</v>
      </c>
      <c r="BG684" s="45">
        <v>0</v>
      </c>
    </row>
    <row r="685" spans="1:59">
      <c r="A685" s="18" t="s">
        <v>274</v>
      </c>
      <c r="B685" s="18" t="s">
        <v>190</v>
      </c>
      <c r="C685" s="18" t="s">
        <v>216</v>
      </c>
      <c r="D685" s="45">
        <v>0</v>
      </c>
      <c r="E685" s="45">
        <v>0</v>
      </c>
      <c r="F685" s="45">
        <v>0</v>
      </c>
      <c r="G685" s="45">
        <v>0</v>
      </c>
      <c r="H685" s="45">
        <v>5.3</v>
      </c>
      <c r="I685" s="45">
        <v>6.7</v>
      </c>
      <c r="J685" s="45">
        <v>9.5</v>
      </c>
      <c r="K685" s="45">
        <v>9.199999999999999</v>
      </c>
      <c r="L685" s="45">
        <v>8.300000000000001</v>
      </c>
      <c r="M685" s="45">
        <v>7.7</v>
      </c>
      <c r="N685" s="45">
        <v>7.2</v>
      </c>
      <c r="O685" s="45">
        <v>7.4</v>
      </c>
      <c r="P685" s="45">
        <v>6.5</v>
      </c>
      <c r="Q685" s="45">
        <v>6.3</v>
      </c>
      <c r="R685" s="45">
        <v>6.6</v>
      </c>
      <c r="S685" s="45">
        <v>6.9</v>
      </c>
      <c r="T685" s="45">
        <v>6.4</v>
      </c>
      <c r="U685" s="45">
        <v>7.9</v>
      </c>
      <c r="V685" s="45">
        <v>7.3</v>
      </c>
      <c r="W685" s="45">
        <v>8.9</v>
      </c>
      <c r="X685" s="45">
        <v>8.4</v>
      </c>
      <c r="Y685" s="45">
        <v>9.5</v>
      </c>
      <c r="Z685" s="45">
        <v>9.800000000000001</v>
      </c>
      <c r="AA685" s="45">
        <v>8.699999999999999</v>
      </c>
      <c r="AB685" s="45">
        <v>9</v>
      </c>
      <c r="AC685" s="45">
        <v>8.5</v>
      </c>
      <c r="AD685" s="45">
        <v>8.699999999999999</v>
      </c>
      <c r="AE685" s="45">
        <v>8.300000000000001</v>
      </c>
      <c r="AF685" s="45">
        <v>7.3</v>
      </c>
      <c r="AG685" s="45">
        <v>7.8</v>
      </c>
      <c r="AH685" s="45">
        <v>8.5</v>
      </c>
      <c r="AI685" s="45">
        <v>7.9</v>
      </c>
      <c r="AJ685" s="45">
        <v>8.5</v>
      </c>
      <c r="AK685" s="45">
        <v>5.9</v>
      </c>
      <c r="AL685" s="45">
        <v>7.9</v>
      </c>
      <c r="AM685" s="45">
        <v>6.8</v>
      </c>
      <c r="AN685" s="45">
        <v>6.5</v>
      </c>
      <c r="AO685" s="45">
        <v>5.2</v>
      </c>
      <c r="AP685" s="45">
        <v>5</v>
      </c>
      <c r="AQ685" s="45">
        <v>4.1</v>
      </c>
      <c r="AR685" s="45">
        <v>3.3</v>
      </c>
      <c r="AS685" s="45">
        <v>0</v>
      </c>
      <c r="AT685" s="45">
        <v>0</v>
      </c>
      <c r="AU685" s="45">
        <v>0</v>
      </c>
      <c r="AV685" s="45">
        <v>0</v>
      </c>
      <c r="AW685" s="45">
        <v>0</v>
      </c>
      <c r="AX685" s="45">
        <v>0</v>
      </c>
      <c r="AY685" s="45">
        <v>0</v>
      </c>
      <c r="AZ685" s="45">
        <v>0</v>
      </c>
      <c r="BA685" s="45">
        <v>0</v>
      </c>
      <c r="BB685" s="45">
        <v>0</v>
      </c>
      <c r="BC685" s="45">
        <v>0</v>
      </c>
      <c r="BD685" s="45">
        <v>0</v>
      </c>
      <c r="BE685" s="45">
        <v>0</v>
      </c>
      <c r="BF685" s="45">
        <v>0</v>
      </c>
      <c r="BG685" s="45">
        <v>0</v>
      </c>
    </row>
    <row r="686" spans="1:59">
      <c r="A686" s="18" t="s">
        <v>275</v>
      </c>
      <c r="B686" s="18" t="s">
        <v>190</v>
      </c>
      <c r="C686" s="18" t="s">
        <v>218</v>
      </c>
      <c r="D686" s="45">
        <v>0</v>
      </c>
      <c r="E686" s="45">
        <v>0</v>
      </c>
      <c r="F686" s="45">
        <v>0</v>
      </c>
      <c r="G686" s="45">
        <v>0</v>
      </c>
      <c r="H686" s="45">
        <v>0</v>
      </c>
      <c r="I686" s="45">
        <v>0</v>
      </c>
      <c r="J686" s="45">
        <v>0</v>
      </c>
      <c r="K686" s="45">
        <v>0</v>
      </c>
      <c r="L686" s="45">
        <v>0</v>
      </c>
      <c r="M686" s="45">
        <v>0</v>
      </c>
      <c r="N686" s="45">
        <v>0</v>
      </c>
      <c r="O686" s="45">
        <v>0</v>
      </c>
      <c r="P686" s="45">
        <v>0</v>
      </c>
      <c r="Q686" s="45">
        <v>0</v>
      </c>
      <c r="R686" s="45">
        <v>0</v>
      </c>
      <c r="S686" s="45">
        <v>0</v>
      </c>
      <c r="T686" s="45">
        <v>0</v>
      </c>
      <c r="U686" s="45">
        <v>0</v>
      </c>
      <c r="V686" s="45">
        <v>0</v>
      </c>
      <c r="W686" s="45">
        <v>0</v>
      </c>
      <c r="X686" s="45">
        <v>0</v>
      </c>
      <c r="Y686" s="45">
        <v>0</v>
      </c>
      <c r="Z686" s="45">
        <v>0</v>
      </c>
      <c r="AA686" s="45">
        <v>0</v>
      </c>
      <c r="AB686" s="45">
        <v>0</v>
      </c>
      <c r="AC686" s="45">
        <v>0</v>
      </c>
      <c r="AD686" s="45">
        <v>0</v>
      </c>
      <c r="AE686" s="45">
        <v>0</v>
      </c>
      <c r="AF686" s="45">
        <v>0</v>
      </c>
      <c r="AG686" s="45">
        <v>0</v>
      </c>
      <c r="AH686" s="45">
        <v>0</v>
      </c>
      <c r="AI686" s="45">
        <v>0</v>
      </c>
      <c r="AJ686" s="45">
        <v>0</v>
      </c>
      <c r="AK686" s="45">
        <v>0</v>
      </c>
      <c r="AL686" s="45">
        <v>0</v>
      </c>
      <c r="AM686" s="45">
        <v>0</v>
      </c>
      <c r="AN686" s="45">
        <v>0</v>
      </c>
      <c r="AO686" s="45">
        <v>0</v>
      </c>
      <c r="AP686" s="45">
        <v>0</v>
      </c>
      <c r="AQ686" s="45">
        <v>0</v>
      </c>
      <c r="AR686" s="45">
        <v>0</v>
      </c>
      <c r="AS686" s="45">
        <v>0</v>
      </c>
      <c r="AT686" s="45">
        <v>0</v>
      </c>
      <c r="AU686" s="45">
        <v>0</v>
      </c>
      <c r="AV686" s="45">
        <v>0</v>
      </c>
      <c r="AW686" s="45">
        <v>0</v>
      </c>
      <c r="AX686" s="45">
        <v>0</v>
      </c>
      <c r="AY686" s="45">
        <v>0</v>
      </c>
      <c r="AZ686" s="45">
        <v>0</v>
      </c>
      <c r="BA686" s="45">
        <v>0</v>
      </c>
      <c r="BB686" s="45">
        <v>0</v>
      </c>
      <c r="BC686" s="45">
        <v>0</v>
      </c>
      <c r="BD686" s="45">
        <v>0</v>
      </c>
      <c r="BE686" s="45">
        <v>0</v>
      </c>
      <c r="BF686" s="45">
        <v>0</v>
      </c>
      <c r="BG686" s="45">
        <v>0</v>
      </c>
    </row>
    <row r="687" spans="1:59">
      <c r="A687" s="18" t="s">
        <v>276</v>
      </c>
      <c r="B687" s="18" t="s">
        <v>190</v>
      </c>
      <c r="C687" s="18" t="s">
        <v>220</v>
      </c>
      <c r="D687" s="45">
        <v>0</v>
      </c>
      <c r="E687" s="45">
        <v>0</v>
      </c>
      <c r="F687" s="45">
        <v>0</v>
      </c>
      <c r="G687" s="45">
        <v>0</v>
      </c>
      <c r="H687" s="45">
        <v>0</v>
      </c>
      <c r="I687" s="45">
        <v>0</v>
      </c>
      <c r="J687" s="45">
        <v>0</v>
      </c>
      <c r="K687" s="45">
        <v>0</v>
      </c>
      <c r="L687" s="45">
        <v>0</v>
      </c>
      <c r="M687" s="45">
        <v>0</v>
      </c>
      <c r="N687" s="45">
        <v>0</v>
      </c>
      <c r="O687" s="45">
        <v>0</v>
      </c>
      <c r="P687" s="45">
        <v>0</v>
      </c>
      <c r="Q687" s="45">
        <v>0</v>
      </c>
      <c r="R687" s="45">
        <v>0</v>
      </c>
      <c r="S687" s="45">
        <v>0</v>
      </c>
      <c r="T687" s="45">
        <v>0</v>
      </c>
      <c r="U687" s="45">
        <v>0</v>
      </c>
      <c r="V687" s="45">
        <v>0</v>
      </c>
      <c r="W687" s="45">
        <v>0</v>
      </c>
      <c r="X687" s="45">
        <v>0</v>
      </c>
      <c r="Y687" s="45">
        <v>0</v>
      </c>
      <c r="Z687" s="45">
        <v>0</v>
      </c>
      <c r="AA687" s="45">
        <v>0</v>
      </c>
      <c r="AB687" s="45">
        <v>0</v>
      </c>
      <c r="AC687" s="45">
        <v>0</v>
      </c>
      <c r="AD687" s="45">
        <v>0</v>
      </c>
      <c r="AE687" s="45">
        <v>0</v>
      </c>
      <c r="AF687" s="45">
        <v>0</v>
      </c>
      <c r="AG687" s="45">
        <v>0</v>
      </c>
      <c r="AH687" s="45">
        <v>0</v>
      </c>
      <c r="AI687" s="45">
        <v>0</v>
      </c>
      <c r="AJ687" s="45">
        <v>0</v>
      </c>
      <c r="AK687" s="45">
        <v>0</v>
      </c>
      <c r="AL687" s="45">
        <v>0</v>
      </c>
      <c r="AM687" s="45">
        <v>0</v>
      </c>
      <c r="AN687" s="45">
        <v>0</v>
      </c>
      <c r="AO687" s="45">
        <v>0</v>
      </c>
      <c r="AP687" s="45">
        <v>0</v>
      </c>
      <c r="AQ687" s="45">
        <v>0</v>
      </c>
      <c r="AR687" s="45">
        <v>0</v>
      </c>
      <c r="AS687" s="45">
        <v>0</v>
      </c>
      <c r="AT687" s="45">
        <v>0</v>
      </c>
      <c r="AU687" s="45">
        <v>0</v>
      </c>
      <c r="AV687" s="45">
        <v>0</v>
      </c>
      <c r="AW687" s="45">
        <v>0</v>
      </c>
      <c r="AX687" s="45">
        <v>0</v>
      </c>
      <c r="AY687" s="45">
        <v>0</v>
      </c>
      <c r="AZ687" s="45">
        <v>0</v>
      </c>
      <c r="BA687" s="45">
        <v>0</v>
      </c>
      <c r="BB687" s="45">
        <v>0</v>
      </c>
      <c r="BC687" s="45">
        <v>0</v>
      </c>
      <c r="BD687" s="45">
        <v>0</v>
      </c>
      <c r="BE687" s="45">
        <v>0</v>
      </c>
      <c r="BF687" s="45">
        <v>0</v>
      </c>
      <c r="BG687" s="45">
        <v>0</v>
      </c>
    </row>
    <row r="690" spans="1:60">
      <c r="A690" s="6" t="s">
        <v>279</v>
      </c>
    </row>
    <row r="691" spans="1:60">
      <c r="A691" s="22" t="s">
        <v>3</v>
      </c>
      <c r="B691" s="22" t="s">
        <v>4</v>
      </c>
      <c r="C691" s="22" t="s">
        <v>207</v>
      </c>
      <c r="D691" s="22" t="s">
        <v>6</v>
      </c>
      <c r="E691" s="22" t="s">
        <v>7</v>
      </c>
      <c r="F691" s="22" t="s">
        <v>8</v>
      </c>
      <c r="G691" s="22" t="s">
        <v>9</v>
      </c>
      <c r="H691" s="22" t="s">
        <v>10</v>
      </c>
      <c r="I691" s="22" t="s">
        <v>11</v>
      </c>
      <c r="J691" s="22" t="s">
        <v>12</v>
      </c>
      <c r="K691" s="22" t="s">
        <v>13</v>
      </c>
      <c r="L691" s="22" t="s">
        <v>14</v>
      </c>
      <c r="M691" s="22" t="s">
        <v>15</v>
      </c>
      <c r="N691" s="22" t="s">
        <v>16</v>
      </c>
      <c r="O691" s="22" t="s">
        <v>17</v>
      </c>
      <c r="P691" s="22" t="s">
        <v>18</v>
      </c>
      <c r="Q691" s="22" t="s">
        <v>19</v>
      </c>
      <c r="R691" s="22" t="s">
        <v>20</v>
      </c>
      <c r="S691" s="22" t="s">
        <v>21</v>
      </c>
      <c r="T691" s="22" t="s">
        <v>22</v>
      </c>
      <c r="U691" s="22" t="s">
        <v>23</v>
      </c>
      <c r="V691" s="22" t="s">
        <v>24</v>
      </c>
      <c r="W691" s="22" t="s">
        <v>25</v>
      </c>
      <c r="X691" s="22" t="s">
        <v>26</v>
      </c>
      <c r="Y691" s="22" t="s">
        <v>27</v>
      </c>
      <c r="Z691" s="22" t="s">
        <v>28</v>
      </c>
      <c r="AA691" s="22" t="s">
        <v>29</v>
      </c>
      <c r="AB691" s="22" t="s">
        <v>30</v>
      </c>
      <c r="AC691" s="22" t="s">
        <v>31</v>
      </c>
      <c r="AD691" s="22" t="s">
        <v>32</v>
      </c>
      <c r="AE691" s="22" t="s">
        <v>33</v>
      </c>
      <c r="AF691" s="22" t="s">
        <v>34</v>
      </c>
      <c r="AG691" s="22" t="s">
        <v>35</v>
      </c>
      <c r="AH691" s="22" t="s">
        <v>36</v>
      </c>
      <c r="AI691" s="22" t="s">
        <v>37</v>
      </c>
      <c r="AJ691" s="22" t="s">
        <v>38</v>
      </c>
      <c r="AK691" s="22" t="s">
        <v>39</v>
      </c>
      <c r="AL691" s="22" t="s">
        <v>40</v>
      </c>
      <c r="AM691" s="22" t="s">
        <v>41</v>
      </c>
      <c r="AN691" s="22" t="s">
        <v>42</v>
      </c>
      <c r="AO691" s="22" t="s">
        <v>43</v>
      </c>
      <c r="AP691" s="22" t="s">
        <v>44</v>
      </c>
      <c r="AQ691" s="22" t="s">
        <v>45</v>
      </c>
      <c r="AR691" s="22" t="s">
        <v>46</v>
      </c>
      <c r="AS691" s="22" t="s">
        <v>47</v>
      </c>
      <c r="AT691" s="22" t="s">
        <v>48</v>
      </c>
      <c r="AU691" s="22" t="s">
        <v>49</v>
      </c>
      <c r="AV691" s="22" t="s">
        <v>50</v>
      </c>
      <c r="AW691" s="22" t="s">
        <v>51</v>
      </c>
      <c r="AX691" s="22" t="s">
        <v>52</v>
      </c>
      <c r="AY691" s="22" t="s">
        <v>53</v>
      </c>
      <c r="AZ691" s="22" t="s">
        <v>54</v>
      </c>
      <c r="BA691" s="22" t="s">
        <v>55</v>
      </c>
      <c r="BB691" s="22" t="s">
        <v>56</v>
      </c>
      <c r="BC691" s="22" t="s">
        <v>57</v>
      </c>
      <c r="BD691" s="22" t="s">
        <v>58</v>
      </c>
      <c r="BE691" s="22" t="s">
        <v>59</v>
      </c>
      <c r="BF691" s="22" t="s">
        <v>60</v>
      </c>
      <c r="BG691" s="22" t="s">
        <v>61</v>
      </c>
      <c r="BH691" s="22" t="s">
        <v>62</v>
      </c>
    </row>
    <row r="692" spans="1:60">
      <c r="A692" s="18" t="s">
        <v>208</v>
      </c>
      <c r="B692" s="18" t="s">
        <v>65</v>
      </c>
      <c r="C692" s="18" t="s">
        <v>5</v>
      </c>
      <c r="D692" s="45">
        <v>0</v>
      </c>
      <c r="E692" s="45">
        <v>0</v>
      </c>
      <c r="F692" s="45">
        <v>0</v>
      </c>
      <c r="G692" s="45">
        <v>33.2</v>
      </c>
      <c r="H692" s="45">
        <v>24.7</v>
      </c>
      <c r="I692" s="45">
        <v>17.1</v>
      </c>
      <c r="J692" s="45">
        <v>14</v>
      </c>
      <c r="K692" s="45">
        <v>14.9</v>
      </c>
      <c r="L692" s="45">
        <v>14.8</v>
      </c>
      <c r="M692" s="45">
        <v>15.2</v>
      </c>
      <c r="N692" s="45">
        <v>16</v>
      </c>
      <c r="O692" s="45">
        <v>17.1</v>
      </c>
      <c r="P692" s="45">
        <v>17.8</v>
      </c>
      <c r="Q692" s="45">
        <v>18</v>
      </c>
      <c r="R692" s="45">
        <v>17.9</v>
      </c>
      <c r="S692" s="45">
        <v>18.5</v>
      </c>
      <c r="T692" s="45">
        <v>18.2</v>
      </c>
      <c r="U692" s="45">
        <v>18.1</v>
      </c>
      <c r="V692" s="45">
        <v>18.9</v>
      </c>
      <c r="W692" s="45">
        <v>20.1</v>
      </c>
      <c r="X692" s="45">
        <v>18.7</v>
      </c>
      <c r="Y692" s="45">
        <v>17.5</v>
      </c>
      <c r="Z692" s="45">
        <v>17.3</v>
      </c>
      <c r="AA692" s="45">
        <v>16.8</v>
      </c>
      <c r="AB692" s="45">
        <v>16.1</v>
      </c>
      <c r="AC692" s="45">
        <v>15.2</v>
      </c>
      <c r="AD692" s="45">
        <v>16.1</v>
      </c>
      <c r="AE692" s="45">
        <v>16.5</v>
      </c>
      <c r="AF692" s="45">
        <v>16.6</v>
      </c>
      <c r="AG692" s="45">
        <v>16.8</v>
      </c>
      <c r="AH692" s="45">
        <v>17.4</v>
      </c>
      <c r="AI692" s="45">
        <v>17</v>
      </c>
      <c r="AJ692" s="45">
        <v>15.9</v>
      </c>
      <c r="AK692" s="45">
        <v>16.1</v>
      </c>
      <c r="AL692" s="45">
        <v>15.8</v>
      </c>
      <c r="AM692" s="45">
        <v>15.2</v>
      </c>
      <c r="AN692" s="45">
        <v>14.9</v>
      </c>
      <c r="AO692" s="45">
        <v>14.1</v>
      </c>
      <c r="AP692" s="45">
        <v>12.7</v>
      </c>
      <c r="AQ692" s="45">
        <v>11.6</v>
      </c>
      <c r="AR692" s="45">
        <v>10.9</v>
      </c>
      <c r="AS692" s="45">
        <v>11.4</v>
      </c>
      <c r="AT692" s="45">
        <v>21.7</v>
      </c>
      <c r="AU692" s="45">
        <v>0</v>
      </c>
      <c r="AV692" s="45">
        <v>0</v>
      </c>
      <c r="AW692" s="45">
        <v>0</v>
      </c>
      <c r="AX692" s="45">
        <v>0</v>
      </c>
      <c r="AY692" s="45">
        <v>0</v>
      </c>
      <c r="AZ692" s="45">
        <v>0</v>
      </c>
      <c r="BA692" s="45">
        <v>0</v>
      </c>
      <c r="BB692" s="45">
        <v>0</v>
      </c>
      <c r="BC692" s="45">
        <v>0</v>
      </c>
      <c r="BD692" s="45">
        <v>0</v>
      </c>
      <c r="BE692" s="45">
        <v>0</v>
      </c>
      <c r="BF692" s="45">
        <v>0</v>
      </c>
      <c r="BG692" s="45">
        <v>0</v>
      </c>
    </row>
    <row r="693" spans="1:60">
      <c r="A693" s="18" t="s">
        <v>209</v>
      </c>
      <c r="B693" s="18" t="s">
        <v>65</v>
      </c>
      <c r="C693" s="18" t="s">
        <v>210</v>
      </c>
      <c r="D693" s="45">
        <v>0</v>
      </c>
      <c r="E693" s="45">
        <v>0</v>
      </c>
      <c r="F693" s="45">
        <v>0</v>
      </c>
      <c r="G693" s="45">
        <v>31</v>
      </c>
      <c r="H693" s="45">
        <v>24.3</v>
      </c>
      <c r="I693" s="45">
        <v>16.7</v>
      </c>
      <c r="J693" s="45">
        <v>14.7</v>
      </c>
      <c r="K693" s="45">
        <v>14.2</v>
      </c>
      <c r="L693" s="45">
        <v>14.5</v>
      </c>
      <c r="M693" s="45">
        <v>14.7</v>
      </c>
      <c r="N693" s="45">
        <v>15</v>
      </c>
      <c r="O693" s="45">
        <v>15.5</v>
      </c>
      <c r="P693" s="45">
        <v>15.5</v>
      </c>
      <c r="Q693" s="45">
        <v>16.2</v>
      </c>
      <c r="R693" s="45">
        <v>16.6</v>
      </c>
      <c r="S693" s="45">
        <v>16</v>
      </c>
      <c r="T693" s="45">
        <v>15.5</v>
      </c>
      <c r="U693" s="45">
        <v>16.5</v>
      </c>
      <c r="V693" s="45">
        <v>16.6</v>
      </c>
      <c r="W693" s="45">
        <v>17.1</v>
      </c>
      <c r="X693" s="45">
        <v>16.5</v>
      </c>
      <c r="Y693" s="45">
        <v>15.9</v>
      </c>
      <c r="Z693" s="45">
        <v>15.5</v>
      </c>
      <c r="AA693" s="45">
        <v>15.6</v>
      </c>
      <c r="AB693" s="45">
        <v>14.7</v>
      </c>
      <c r="AC693" s="45">
        <v>14.9</v>
      </c>
      <c r="AD693" s="45">
        <v>15</v>
      </c>
      <c r="AE693" s="45">
        <v>15.2</v>
      </c>
      <c r="AF693" s="45">
        <v>16</v>
      </c>
      <c r="AG693" s="45">
        <v>15.5</v>
      </c>
      <c r="AH693" s="45">
        <v>15.5</v>
      </c>
      <c r="AI693" s="45">
        <v>15.3</v>
      </c>
      <c r="AJ693" s="45">
        <v>14.5</v>
      </c>
      <c r="AK693" s="45">
        <v>14.3</v>
      </c>
      <c r="AL693" s="45">
        <v>14.2</v>
      </c>
      <c r="AM693" s="45">
        <v>14.2</v>
      </c>
      <c r="AN693" s="45">
        <v>13.4</v>
      </c>
      <c r="AO693" s="45">
        <v>12.9</v>
      </c>
      <c r="AP693" s="45">
        <v>11.6</v>
      </c>
      <c r="AQ693" s="45">
        <v>10.4</v>
      </c>
      <c r="AR693" s="45">
        <v>9.5</v>
      </c>
      <c r="AS693" s="45">
        <v>13.3</v>
      </c>
      <c r="AT693" s="45">
        <v>18.4</v>
      </c>
      <c r="AU693" s="45">
        <v>25.9</v>
      </c>
      <c r="AV693" s="45">
        <v>0</v>
      </c>
      <c r="AW693" s="45">
        <v>12</v>
      </c>
      <c r="AX693" s="45">
        <v>0</v>
      </c>
      <c r="AY693" s="45">
        <v>0</v>
      </c>
      <c r="AZ693" s="45">
        <v>0</v>
      </c>
      <c r="BA693" s="45">
        <v>0</v>
      </c>
      <c r="BB693" s="45">
        <v>0</v>
      </c>
      <c r="BC693" s="45">
        <v>0</v>
      </c>
      <c r="BD693" s="45">
        <v>0</v>
      </c>
      <c r="BE693" s="45">
        <v>0</v>
      </c>
      <c r="BF693" s="45">
        <v>0</v>
      </c>
      <c r="BG693" s="45">
        <v>0</v>
      </c>
    </row>
    <row r="694" spans="1:60">
      <c r="A694" s="18" t="s">
        <v>211</v>
      </c>
      <c r="B694" s="18" t="s">
        <v>65</v>
      </c>
      <c r="C694" s="18" t="s">
        <v>212</v>
      </c>
      <c r="D694" s="45">
        <v>0</v>
      </c>
      <c r="E694" s="45">
        <v>0</v>
      </c>
      <c r="F694" s="45">
        <v>0</v>
      </c>
      <c r="G694" s="45">
        <v>30.6</v>
      </c>
      <c r="H694" s="45">
        <v>23.5</v>
      </c>
      <c r="I694" s="45">
        <v>17.5</v>
      </c>
      <c r="J694" s="45">
        <v>15.5</v>
      </c>
      <c r="K694" s="45">
        <v>15.6</v>
      </c>
      <c r="L694" s="45">
        <v>15</v>
      </c>
      <c r="M694" s="45">
        <v>15.8</v>
      </c>
      <c r="N694" s="45">
        <v>16.3</v>
      </c>
      <c r="O694" s="45">
        <v>15.3</v>
      </c>
      <c r="P694" s="45">
        <v>15.8</v>
      </c>
      <c r="Q694" s="45">
        <v>15.3</v>
      </c>
      <c r="R694" s="45">
        <v>16</v>
      </c>
      <c r="S694" s="45">
        <v>16.4</v>
      </c>
      <c r="T694" s="45">
        <v>16.2</v>
      </c>
      <c r="U694" s="45">
        <v>16.7</v>
      </c>
      <c r="V694" s="45">
        <v>16.9</v>
      </c>
      <c r="W694" s="45">
        <v>18</v>
      </c>
      <c r="X694" s="45">
        <v>17.2</v>
      </c>
      <c r="Y694" s="45">
        <v>16.6</v>
      </c>
      <c r="Z694" s="45">
        <v>15.5</v>
      </c>
      <c r="AA694" s="45">
        <v>15.7</v>
      </c>
      <c r="AB694" s="45">
        <v>14.7</v>
      </c>
      <c r="AC694" s="45">
        <v>15</v>
      </c>
      <c r="AD694" s="45">
        <v>15.4</v>
      </c>
      <c r="AE694" s="45">
        <v>15.4</v>
      </c>
      <c r="AF694" s="45">
        <v>15.5</v>
      </c>
      <c r="AG694" s="45">
        <v>15.1</v>
      </c>
      <c r="AH694" s="45">
        <v>15.2</v>
      </c>
      <c r="AI694" s="45">
        <v>15.2</v>
      </c>
      <c r="AJ694" s="45">
        <v>14.7</v>
      </c>
      <c r="AK694" s="45">
        <v>15.1</v>
      </c>
      <c r="AL694" s="45">
        <v>14.6</v>
      </c>
      <c r="AM694" s="45">
        <v>14.1</v>
      </c>
      <c r="AN694" s="45">
        <v>13.4</v>
      </c>
      <c r="AO694" s="45">
        <v>12.9</v>
      </c>
      <c r="AP694" s="45">
        <v>11.3</v>
      </c>
      <c r="AQ694" s="45">
        <v>10.3</v>
      </c>
      <c r="AR694" s="45">
        <v>9.4</v>
      </c>
      <c r="AS694" s="45">
        <v>9.4</v>
      </c>
      <c r="AT694" s="45">
        <v>0</v>
      </c>
      <c r="AU694" s="45">
        <v>0</v>
      </c>
      <c r="AV694" s="45">
        <v>0</v>
      </c>
      <c r="AW694" s="45">
        <v>0</v>
      </c>
      <c r="AX694" s="45">
        <v>0</v>
      </c>
      <c r="AY694" s="45">
        <v>0</v>
      </c>
      <c r="AZ694" s="45">
        <v>0</v>
      </c>
      <c r="BA694" s="45">
        <v>0</v>
      </c>
      <c r="BB694" s="45">
        <v>0</v>
      </c>
      <c r="BC694" s="45">
        <v>0</v>
      </c>
      <c r="BD694" s="45">
        <v>0</v>
      </c>
      <c r="BE694" s="45">
        <v>0</v>
      </c>
      <c r="BF694" s="45">
        <v>0</v>
      </c>
      <c r="BG694" s="45">
        <v>0</v>
      </c>
    </row>
    <row r="695" spans="1:60">
      <c r="A695" s="18" t="s">
        <v>213</v>
      </c>
      <c r="B695" s="18" t="s">
        <v>65</v>
      </c>
      <c r="C695" s="18" t="s">
        <v>214</v>
      </c>
      <c r="D695" s="45">
        <v>0</v>
      </c>
      <c r="E695" s="45">
        <v>0</v>
      </c>
      <c r="F695" s="45">
        <v>0</v>
      </c>
      <c r="G695" s="45">
        <v>39.9</v>
      </c>
      <c r="H695" s="45">
        <v>26.1</v>
      </c>
      <c r="I695" s="45">
        <v>18</v>
      </c>
      <c r="J695" s="45">
        <v>14.9</v>
      </c>
      <c r="K695" s="45">
        <v>14.8</v>
      </c>
      <c r="L695" s="45">
        <v>15</v>
      </c>
      <c r="M695" s="45">
        <v>14.5</v>
      </c>
      <c r="N695" s="45">
        <v>14.8</v>
      </c>
      <c r="O695" s="45">
        <v>14.8</v>
      </c>
      <c r="P695" s="45">
        <v>15.2</v>
      </c>
      <c r="Q695" s="45">
        <v>15.3</v>
      </c>
      <c r="R695" s="45">
        <v>15.5</v>
      </c>
      <c r="S695" s="45">
        <v>16</v>
      </c>
      <c r="T695" s="45">
        <v>16.1</v>
      </c>
      <c r="U695" s="45">
        <v>16.2</v>
      </c>
      <c r="V695" s="45">
        <v>16.1</v>
      </c>
      <c r="W695" s="45">
        <v>16.5</v>
      </c>
      <c r="X695" s="45">
        <v>15.8</v>
      </c>
      <c r="Y695" s="45">
        <v>16.3</v>
      </c>
      <c r="Z695" s="45">
        <v>15.2</v>
      </c>
      <c r="AA695" s="45">
        <v>14.3</v>
      </c>
      <c r="AB695" s="45">
        <v>13.6</v>
      </c>
      <c r="AC695" s="45">
        <v>14.7</v>
      </c>
      <c r="AD695" s="45">
        <v>14.4</v>
      </c>
      <c r="AE695" s="45">
        <v>14.3</v>
      </c>
      <c r="AF695" s="45">
        <v>14.7</v>
      </c>
      <c r="AG695" s="45">
        <v>14.7</v>
      </c>
      <c r="AH695" s="45">
        <v>14.4</v>
      </c>
      <c r="AI695" s="45">
        <v>14.9</v>
      </c>
      <c r="AJ695" s="45">
        <v>14.5</v>
      </c>
      <c r="AK695" s="45">
        <v>13.7</v>
      </c>
      <c r="AL695" s="45">
        <v>13.9</v>
      </c>
      <c r="AM695" s="45">
        <v>13.8</v>
      </c>
      <c r="AN695" s="45">
        <v>13</v>
      </c>
      <c r="AO695" s="45">
        <v>12.4</v>
      </c>
      <c r="AP695" s="45">
        <v>11.1</v>
      </c>
      <c r="AQ695" s="45">
        <v>10</v>
      </c>
      <c r="AR695" s="45">
        <v>8.699999999999999</v>
      </c>
      <c r="AS695" s="45">
        <v>10</v>
      </c>
      <c r="AT695" s="45">
        <v>9.5</v>
      </c>
      <c r="AU695" s="45">
        <v>9.6</v>
      </c>
      <c r="AV695" s="45">
        <v>6.7</v>
      </c>
      <c r="AW695" s="45">
        <v>6.6</v>
      </c>
      <c r="AX695" s="45">
        <v>7</v>
      </c>
      <c r="AY695" s="45">
        <v>5.7</v>
      </c>
      <c r="AZ695" s="45">
        <v>5.7</v>
      </c>
      <c r="BA695" s="45">
        <v>4.4</v>
      </c>
      <c r="BB695" s="45">
        <v>0</v>
      </c>
      <c r="BC695" s="45">
        <v>0</v>
      </c>
      <c r="BD695" s="45">
        <v>0</v>
      </c>
      <c r="BE695" s="45">
        <v>0</v>
      </c>
      <c r="BF695" s="45">
        <v>0</v>
      </c>
      <c r="BG695" s="45">
        <v>0</v>
      </c>
    </row>
    <row r="696" spans="1:60">
      <c r="A696" s="18" t="s">
        <v>215</v>
      </c>
      <c r="B696" s="18" t="s">
        <v>65</v>
      </c>
      <c r="C696" s="18" t="s">
        <v>216</v>
      </c>
      <c r="D696" s="45">
        <v>0</v>
      </c>
      <c r="E696" s="45">
        <v>0</v>
      </c>
      <c r="F696" s="45">
        <v>0</v>
      </c>
      <c r="G696" s="45">
        <v>41.6</v>
      </c>
      <c r="H696" s="45">
        <v>25.3</v>
      </c>
      <c r="I696" s="45">
        <v>17.2</v>
      </c>
      <c r="J696" s="45">
        <v>14.3</v>
      </c>
      <c r="K696" s="45">
        <v>14.5</v>
      </c>
      <c r="L696" s="45">
        <v>14.6</v>
      </c>
      <c r="M696" s="45">
        <v>14.4</v>
      </c>
      <c r="N696" s="45">
        <v>14.8</v>
      </c>
      <c r="O696" s="45">
        <v>14.6</v>
      </c>
      <c r="P696" s="45">
        <v>14.7</v>
      </c>
      <c r="Q696" s="45">
        <v>14.8</v>
      </c>
      <c r="R696" s="45">
        <v>14.7</v>
      </c>
      <c r="S696" s="45">
        <v>15</v>
      </c>
      <c r="T696" s="45">
        <v>15.5</v>
      </c>
      <c r="U696" s="45">
        <v>15.9</v>
      </c>
      <c r="V696" s="45">
        <v>16</v>
      </c>
      <c r="W696" s="45">
        <v>16.4</v>
      </c>
      <c r="X696" s="45">
        <v>16.4</v>
      </c>
      <c r="Y696" s="45">
        <v>15.9</v>
      </c>
      <c r="Z696" s="45">
        <v>14.9</v>
      </c>
      <c r="AA696" s="45">
        <v>13.9</v>
      </c>
      <c r="AB696" s="45">
        <v>14.4</v>
      </c>
      <c r="AC696" s="45">
        <v>14.3</v>
      </c>
      <c r="AD696" s="45">
        <v>14.9</v>
      </c>
      <c r="AE696" s="45">
        <v>14.9</v>
      </c>
      <c r="AF696" s="45">
        <v>14.5</v>
      </c>
      <c r="AG696" s="45">
        <v>15.1</v>
      </c>
      <c r="AH696" s="45">
        <v>14.9</v>
      </c>
      <c r="AI696" s="45">
        <v>15.2</v>
      </c>
      <c r="AJ696" s="45">
        <v>15</v>
      </c>
      <c r="AK696" s="45">
        <v>14.2</v>
      </c>
      <c r="AL696" s="45">
        <v>14.6</v>
      </c>
      <c r="AM696" s="45">
        <v>14.1</v>
      </c>
      <c r="AN696" s="45">
        <v>14</v>
      </c>
      <c r="AO696" s="45">
        <v>12.8</v>
      </c>
      <c r="AP696" s="45">
        <v>11.8</v>
      </c>
      <c r="AQ696" s="45">
        <v>10.4</v>
      </c>
      <c r="AR696" s="45">
        <v>9.199999999999999</v>
      </c>
      <c r="AS696" s="45">
        <v>10</v>
      </c>
      <c r="AT696" s="45">
        <v>15</v>
      </c>
      <c r="AU696" s="45">
        <v>0</v>
      </c>
      <c r="AV696" s="45">
        <v>0</v>
      </c>
      <c r="AW696" s="45">
        <v>0</v>
      </c>
      <c r="AX696" s="45">
        <v>0</v>
      </c>
      <c r="AY696" s="45">
        <v>0</v>
      </c>
      <c r="AZ696" s="45">
        <v>0</v>
      </c>
      <c r="BA696" s="45">
        <v>0</v>
      </c>
      <c r="BB696" s="45">
        <v>0</v>
      </c>
      <c r="BC696" s="45">
        <v>0</v>
      </c>
      <c r="BD696" s="45">
        <v>0</v>
      </c>
      <c r="BE696" s="45">
        <v>0</v>
      </c>
      <c r="BF696" s="45">
        <v>0</v>
      </c>
      <c r="BG696" s="45">
        <v>0</v>
      </c>
    </row>
    <row r="697" spans="1:60">
      <c r="A697" s="18" t="s">
        <v>217</v>
      </c>
      <c r="B697" s="18" t="s">
        <v>65</v>
      </c>
      <c r="C697" s="18" t="s">
        <v>218</v>
      </c>
      <c r="D697" s="45">
        <v>0</v>
      </c>
      <c r="E697" s="45">
        <v>0</v>
      </c>
      <c r="F697" s="45">
        <v>0</v>
      </c>
      <c r="G697" s="45">
        <v>0</v>
      </c>
      <c r="H697" s="45">
        <v>0</v>
      </c>
      <c r="I697" s="45">
        <v>0</v>
      </c>
      <c r="J697" s="45">
        <v>0</v>
      </c>
      <c r="K697" s="45">
        <v>0</v>
      </c>
      <c r="L697" s="45">
        <v>0</v>
      </c>
      <c r="M697" s="45">
        <v>0</v>
      </c>
      <c r="N697" s="45">
        <v>0</v>
      </c>
      <c r="O697" s="45">
        <v>0</v>
      </c>
      <c r="P697" s="45">
        <v>0</v>
      </c>
      <c r="Q697" s="45">
        <v>0</v>
      </c>
      <c r="R697" s="45">
        <v>0</v>
      </c>
      <c r="S697" s="45">
        <v>0</v>
      </c>
      <c r="T697" s="45">
        <v>0</v>
      </c>
      <c r="U697" s="45">
        <v>0</v>
      </c>
      <c r="V697" s="45">
        <v>0</v>
      </c>
      <c r="W697" s="45">
        <v>0</v>
      </c>
      <c r="X697" s="45">
        <v>0</v>
      </c>
      <c r="Y697" s="45">
        <v>0</v>
      </c>
      <c r="Z697" s="45">
        <v>0</v>
      </c>
      <c r="AA697" s="45">
        <v>0</v>
      </c>
      <c r="AB697" s="45">
        <v>0</v>
      </c>
      <c r="AC697" s="45">
        <v>0</v>
      </c>
      <c r="AD697" s="45">
        <v>0</v>
      </c>
      <c r="AE697" s="45">
        <v>0</v>
      </c>
      <c r="AF697" s="45">
        <v>0</v>
      </c>
      <c r="AG697" s="45">
        <v>0</v>
      </c>
      <c r="AH697" s="45">
        <v>0</v>
      </c>
      <c r="AI697" s="45">
        <v>0</v>
      </c>
      <c r="AJ697" s="45">
        <v>0</v>
      </c>
      <c r="AK697" s="45">
        <v>0</v>
      </c>
      <c r="AL697" s="45">
        <v>0</v>
      </c>
      <c r="AM697" s="45">
        <v>0</v>
      </c>
      <c r="AN697" s="45">
        <v>0</v>
      </c>
      <c r="AO697" s="45">
        <v>0</v>
      </c>
      <c r="AP697" s="45">
        <v>0</v>
      </c>
      <c r="AQ697" s="45">
        <v>0</v>
      </c>
      <c r="AR697" s="45">
        <v>0</v>
      </c>
      <c r="AS697" s="45">
        <v>0</v>
      </c>
      <c r="AT697" s="45">
        <v>0</v>
      </c>
      <c r="AU697" s="45">
        <v>0</v>
      </c>
      <c r="AV697" s="45">
        <v>0</v>
      </c>
      <c r="AW697" s="45">
        <v>0</v>
      </c>
      <c r="AX697" s="45">
        <v>0</v>
      </c>
      <c r="AY697" s="45">
        <v>0</v>
      </c>
      <c r="AZ697" s="45">
        <v>0</v>
      </c>
      <c r="BA697" s="45">
        <v>0</v>
      </c>
      <c r="BB697" s="45">
        <v>0</v>
      </c>
      <c r="BC697" s="45">
        <v>0</v>
      </c>
      <c r="BD697" s="45">
        <v>0</v>
      </c>
      <c r="BE697" s="45">
        <v>0</v>
      </c>
      <c r="BF697" s="45">
        <v>0</v>
      </c>
      <c r="BG697" s="45">
        <v>0</v>
      </c>
    </row>
    <row r="698" spans="1:60">
      <c r="A698" s="18" t="s">
        <v>219</v>
      </c>
      <c r="B698" s="18" t="s">
        <v>65</v>
      </c>
      <c r="C698" s="18" t="s">
        <v>220</v>
      </c>
      <c r="D698" s="45">
        <v>0</v>
      </c>
      <c r="E698" s="45">
        <v>0</v>
      </c>
      <c r="F698" s="45">
        <v>0</v>
      </c>
      <c r="G698" s="45">
        <v>0</v>
      </c>
      <c r="H698" s="45">
        <v>25.2</v>
      </c>
      <c r="I698" s="45">
        <v>19.5</v>
      </c>
      <c r="J698" s="45">
        <v>20.5</v>
      </c>
      <c r="K698" s="45">
        <v>20.2</v>
      </c>
      <c r="L698" s="45">
        <v>17.2</v>
      </c>
      <c r="M698" s="45">
        <v>18.7</v>
      </c>
      <c r="N698" s="45">
        <v>15.5</v>
      </c>
      <c r="O698" s="45">
        <v>15.7</v>
      </c>
      <c r="P698" s="45">
        <v>15.9</v>
      </c>
      <c r="Q698" s="45">
        <v>13</v>
      </c>
      <c r="R698" s="45">
        <v>12.9</v>
      </c>
      <c r="S698" s="45">
        <v>11.6</v>
      </c>
      <c r="T698" s="45">
        <v>11.3</v>
      </c>
      <c r="U698" s="45">
        <v>27.8</v>
      </c>
      <c r="V698" s="45">
        <v>30.4</v>
      </c>
      <c r="W698" s="45">
        <v>30.1</v>
      </c>
      <c r="X698" s="45">
        <v>0</v>
      </c>
      <c r="Y698" s="45">
        <v>0</v>
      </c>
      <c r="Z698" s="45">
        <v>0</v>
      </c>
      <c r="AA698" s="45">
        <v>0</v>
      </c>
      <c r="AB698" s="45">
        <v>0</v>
      </c>
      <c r="AC698" s="45">
        <v>0</v>
      </c>
      <c r="AD698" s="45">
        <v>0</v>
      </c>
      <c r="AE698" s="45">
        <v>0</v>
      </c>
      <c r="AF698" s="45">
        <v>0</v>
      </c>
      <c r="AG698" s="45">
        <v>0</v>
      </c>
      <c r="AH698" s="45">
        <v>134.7</v>
      </c>
      <c r="AI698" s="45">
        <v>0</v>
      </c>
      <c r="AJ698" s="45">
        <v>0</v>
      </c>
      <c r="AK698" s="45">
        <v>34.5</v>
      </c>
      <c r="AL698" s="45">
        <v>47.6</v>
      </c>
      <c r="AM698" s="45">
        <v>0</v>
      </c>
      <c r="AN698" s="45">
        <v>0</v>
      </c>
      <c r="AO698" s="45">
        <v>0</v>
      </c>
      <c r="AP698" s="45">
        <v>43.2</v>
      </c>
      <c r="AQ698" s="45">
        <v>0</v>
      </c>
      <c r="AR698" s="45">
        <v>0</v>
      </c>
      <c r="AS698" s="45">
        <v>0</v>
      </c>
      <c r="AT698" s="45">
        <v>0</v>
      </c>
      <c r="AU698" s="45">
        <v>0</v>
      </c>
      <c r="AV698" s="45">
        <v>0</v>
      </c>
      <c r="AW698" s="45">
        <v>0</v>
      </c>
      <c r="AX698" s="45">
        <v>0</v>
      </c>
      <c r="AY698" s="45">
        <v>0</v>
      </c>
      <c r="AZ698" s="45">
        <v>0</v>
      </c>
      <c r="BA698" s="45">
        <v>0</v>
      </c>
      <c r="BB698" s="45">
        <v>0</v>
      </c>
      <c r="BC698" s="45">
        <v>0</v>
      </c>
      <c r="BD698" s="45">
        <v>0</v>
      </c>
      <c r="BE698" s="45">
        <v>0</v>
      </c>
      <c r="BF698" s="45">
        <v>0</v>
      </c>
      <c r="BG698" s="45">
        <v>0</v>
      </c>
    </row>
    <row r="699" spans="1:60">
      <c r="A699" s="18" t="s">
        <v>221</v>
      </c>
      <c r="B699" s="18" t="s">
        <v>92</v>
      </c>
      <c r="C699" s="18" t="s">
        <v>5</v>
      </c>
      <c r="D699" s="45">
        <v>0</v>
      </c>
      <c r="E699" s="45">
        <v>0</v>
      </c>
      <c r="F699" s="45">
        <v>0</v>
      </c>
      <c r="G699" s="45">
        <v>0</v>
      </c>
      <c r="H699" s="45">
        <v>0</v>
      </c>
      <c r="I699" s="45">
        <v>11.4</v>
      </c>
      <c r="J699" s="45">
        <v>9</v>
      </c>
      <c r="K699" s="45">
        <v>11.4</v>
      </c>
      <c r="L699" s="45">
        <v>11.6</v>
      </c>
      <c r="M699" s="45">
        <v>11.4</v>
      </c>
      <c r="N699" s="45">
        <v>11.6</v>
      </c>
      <c r="O699" s="45">
        <v>12.6</v>
      </c>
      <c r="P699" s="45">
        <v>11</v>
      </c>
      <c r="Q699" s="45">
        <v>12.1</v>
      </c>
      <c r="R699" s="45">
        <v>12.9</v>
      </c>
      <c r="S699" s="45">
        <v>13.1</v>
      </c>
      <c r="T699" s="45">
        <v>11.6</v>
      </c>
      <c r="U699" s="45">
        <v>13.2</v>
      </c>
      <c r="V699" s="45">
        <v>14.2</v>
      </c>
      <c r="W699" s="45">
        <v>18.3</v>
      </c>
      <c r="X699" s="45">
        <v>13.7</v>
      </c>
      <c r="Y699" s="45">
        <v>13.9</v>
      </c>
      <c r="Z699" s="45">
        <v>15.8</v>
      </c>
      <c r="AA699" s="45">
        <v>13.6</v>
      </c>
      <c r="AB699" s="45">
        <v>14.8</v>
      </c>
      <c r="AC699" s="45">
        <v>12.6</v>
      </c>
      <c r="AD699" s="45">
        <v>13.5</v>
      </c>
      <c r="AE699" s="45">
        <v>13.2</v>
      </c>
      <c r="AF699" s="45">
        <v>14.9</v>
      </c>
      <c r="AG699" s="45">
        <v>12.8</v>
      </c>
      <c r="AH699" s="45">
        <v>14.5</v>
      </c>
      <c r="AI699" s="45">
        <v>14.6</v>
      </c>
      <c r="AJ699" s="45">
        <v>13.3</v>
      </c>
      <c r="AK699" s="45">
        <v>13</v>
      </c>
      <c r="AL699" s="45">
        <v>13.5</v>
      </c>
      <c r="AM699" s="45">
        <v>13</v>
      </c>
      <c r="AN699" s="45">
        <v>12.5</v>
      </c>
      <c r="AO699" s="45">
        <v>13.2</v>
      </c>
      <c r="AP699" s="45">
        <v>11.4</v>
      </c>
      <c r="AQ699" s="45">
        <v>10.8</v>
      </c>
      <c r="AR699" s="45">
        <v>11</v>
      </c>
      <c r="AS699" s="45">
        <v>10.4</v>
      </c>
      <c r="AT699" s="45">
        <v>0</v>
      </c>
      <c r="AU699" s="45">
        <v>0</v>
      </c>
      <c r="AV699" s="45">
        <v>0</v>
      </c>
      <c r="AW699" s="45">
        <v>0</v>
      </c>
      <c r="AX699" s="45">
        <v>0</v>
      </c>
      <c r="AY699" s="45">
        <v>0</v>
      </c>
      <c r="AZ699" s="45">
        <v>0</v>
      </c>
      <c r="BA699" s="45">
        <v>0</v>
      </c>
      <c r="BB699" s="45">
        <v>0</v>
      </c>
      <c r="BC699" s="45">
        <v>0</v>
      </c>
      <c r="BD699" s="45">
        <v>0</v>
      </c>
      <c r="BE699" s="45">
        <v>0</v>
      </c>
      <c r="BF699" s="45">
        <v>0</v>
      </c>
      <c r="BG699" s="45">
        <v>0</v>
      </c>
    </row>
    <row r="700" spans="1:60">
      <c r="A700" s="18" t="s">
        <v>222</v>
      </c>
      <c r="B700" s="18" t="s">
        <v>92</v>
      </c>
      <c r="C700" s="18" t="s">
        <v>210</v>
      </c>
      <c r="D700" s="45">
        <v>0</v>
      </c>
      <c r="E700" s="45">
        <v>0</v>
      </c>
      <c r="F700" s="45">
        <v>0</v>
      </c>
      <c r="G700" s="45">
        <v>0</v>
      </c>
      <c r="H700" s="45">
        <v>0</v>
      </c>
      <c r="I700" s="45">
        <v>10.6</v>
      </c>
      <c r="J700" s="45">
        <v>10</v>
      </c>
      <c r="K700" s="45">
        <v>11.3</v>
      </c>
      <c r="L700" s="45">
        <v>13.2</v>
      </c>
      <c r="M700" s="45">
        <v>13.3</v>
      </c>
      <c r="N700" s="45">
        <v>12.1</v>
      </c>
      <c r="O700" s="45">
        <v>11.1</v>
      </c>
      <c r="P700" s="45">
        <v>11.6</v>
      </c>
      <c r="Q700" s="45">
        <v>13.1</v>
      </c>
      <c r="R700" s="45">
        <v>13</v>
      </c>
      <c r="S700" s="45">
        <v>12.2</v>
      </c>
      <c r="T700" s="45">
        <v>11.9</v>
      </c>
      <c r="U700" s="45">
        <v>12.2</v>
      </c>
      <c r="V700" s="45">
        <v>13.4</v>
      </c>
      <c r="W700" s="45">
        <v>13.4</v>
      </c>
      <c r="X700" s="45">
        <v>12.9</v>
      </c>
      <c r="Y700" s="45">
        <v>12.5</v>
      </c>
      <c r="Z700" s="45">
        <v>12.2</v>
      </c>
      <c r="AA700" s="45">
        <v>14.1</v>
      </c>
      <c r="AB700" s="45">
        <v>11</v>
      </c>
      <c r="AC700" s="45">
        <v>12.4</v>
      </c>
      <c r="AD700" s="45">
        <v>11.8</v>
      </c>
      <c r="AE700" s="45">
        <v>11.9</v>
      </c>
      <c r="AF700" s="45">
        <v>12.2</v>
      </c>
      <c r="AG700" s="45">
        <v>13.5</v>
      </c>
      <c r="AH700" s="45">
        <v>11.7</v>
      </c>
      <c r="AI700" s="45">
        <v>12.5</v>
      </c>
      <c r="AJ700" s="45">
        <v>12.1</v>
      </c>
      <c r="AK700" s="45">
        <v>11.9</v>
      </c>
      <c r="AL700" s="45">
        <v>11.5</v>
      </c>
      <c r="AM700" s="45">
        <v>12</v>
      </c>
      <c r="AN700" s="45">
        <v>10.7</v>
      </c>
      <c r="AO700" s="45">
        <v>11.1</v>
      </c>
      <c r="AP700" s="45">
        <v>10.3</v>
      </c>
      <c r="AQ700" s="45">
        <v>10.8</v>
      </c>
      <c r="AR700" s="45">
        <v>10.9</v>
      </c>
      <c r="AS700" s="45">
        <v>11</v>
      </c>
      <c r="AT700" s="45">
        <v>0</v>
      </c>
      <c r="AU700" s="45">
        <v>0</v>
      </c>
      <c r="AV700" s="45">
        <v>0</v>
      </c>
      <c r="AW700" s="45">
        <v>0</v>
      </c>
      <c r="AX700" s="45">
        <v>0</v>
      </c>
      <c r="AY700" s="45">
        <v>0</v>
      </c>
      <c r="AZ700" s="45">
        <v>0</v>
      </c>
      <c r="BA700" s="45">
        <v>0</v>
      </c>
      <c r="BB700" s="45">
        <v>0</v>
      </c>
      <c r="BC700" s="45">
        <v>0</v>
      </c>
      <c r="BD700" s="45">
        <v>0</v>
      </c>
      <c r="BE700" s="45">
        <v>0</v>
      </c>
      <c r="BF700" s="45">
        <v>0</v>
      </c>
      <c r="BG700" s="45">
        <v>0</v>
      </c>
    </row>
    <row r="701" spans="1:60">
      <c r="A701" s="18" t="s">
        <v>223</v>
      </c>
      <c r="B701" s="18" t="s">
        <v>92</v>
      </c>
      <c r="C701" s="18" t="s">
        <v>212</v>
      </c>
      <c r="D701" s="45">
        <v>0</v>
      </c>
      <c r="E701" s="45">
        <v>0</v>
      </c>
      <c r="F701" s="45">
        <v>0</v>
      </c>
      <c r="G701" s="45">
        <v>0</v>
      </c>
      <c r="H701" s="45">
        <v>0</v>
      </c>
      <c r="I701" s="45">
        <v>10.5</v>
      </c>
      <c r="J701" s="45">
        <v>13.5</v>
      </c>
      <c r="K701" s="45">
        <v>13.5</v>
      </c>
      <c r="L701" s="45">
        <v>12.5</v>
      </c>
      <c r="M701" s="45">
        <v>12.9</v>
      </c>
      <c r="N701" s="45">
        <v>14.5</v>
      </c>
      <c r="O701" s="45">
        <v>10.8</v>
      </c>
      <c r="P701" s="45">
        <v>11.1</v>
      </c>
      <c r="Q701" s="45">
        <v>11.7</v>
      </c>
      <c r="R701" s="45">
        <v>11.7</v>
      </c>
      <c r="S701" s="45">
        <v>12.1</v>
      </c>
      <c r="T701" s="45">
        <v>11.8</v>
      </c>
      <c r="U701" s="45">
        <v>12.5</v>
      </c>
      <c r="V701" s="45">
        <v>12.3</v>
      </c>
      <c r="W701" s="45">
        <v>13.9</v>
      </c>
      <c r="X701" s="45">
        <v>12.8</v>
      </c>
      <c r="Y701" s="45">
        <v>13.3</v>
      </c>
      <c r="Z701" s="45">
        <v>13.1</v>
      </c>
      <c r="AA701" s="45">
        <v>12.3</v>
      </c>
      <c r="AB701" s="45">
        <v>10.9</v>
      </c>
      <c r="AC701" s="45">
        <v>12.6</v>
      </c>
      <c r="AD701" s="45">
        <v>12.5</v>
      </c>
      <c r="AE701" s="45">
        <v>12.8</v>
      </c>
      <c r="AF701" s="45">
        <v>12.4</v>
      </c>
      <c r="AG701" s="45">
        <v>12.3</v>
      </c>
      <c r="AH701" s="45">
        <v>12.5</v>
      </c>
      <c r="AI701" s="45">
        <v>12.6</v>
      </c>
      <c r="AJ701" s="45">
        <v>12.2</v>
      </c>
      <c r="AK701" s="45">
        <v>12.2</v>
      </c>
      <c r="AL701" s="45">
        <v>11.4</v>
      </c>
      <c r="AM701" s="45">
        <v>11.8</v>
      </c>
      <c r="AN701" s="45">
        <v>12.5</v>
      </c>
      <c r="AO701" s="45">
        <v>11.8</v>
      </c>
      <c r="AP701" s="45">
        <v>10.6</v>
      </c>
      <c r="AQ701" s="45">
        <v>10.8</v>
      </c>
      <c r="AR701" s="45">
        <v>10</v>
      </c>
      <c r="AS701" s="45">
        <v>10.2</v>
      </c>
      <c r="AT701" s="45">
        <v>0</v>
      </c>
      <c r="AU701" s="45">
        <v>0</v>
      </c>
      <c r="AV701" s="45">
        <v>0</v>
      </c>
      <c r="AW701" s="45">
        <v>0</v>
      </c>
      <c r="AX701" s="45">
        <v>0</v>
      </c>
      <c r="AY701" s="45">
        <v>0</v>
      </c>
      <c r="AZ701" s="45">
        <v>0</v>
      </c>
      <c r="BA701" s="45">
        <v>0</v>
      </c>
      <c r="BB701" s="45">
        <v>0</v>
      </c>
      <c r="BC701" s="45">
        <v>0</v>
      </c>
      <c r="BD701" s="45">
        <v>0</v>
      </c>
      <c r="BE701" s="45">
        <v>0</v>
      </c>
      <c r="BF701" s="45">
        <v>0</v>
      </c>
      <c r="BG701" s="45">
        <v>0</v>
      </c>
    </row>
    <row r="702" spans="1:60">
      <c r="A702" s="18" t="s">
        <v>224</v>
      </c>
      <c r="B702" s="18" t="s">
        <v>92</v>
      </c>
      <c r="C702" s="18" t="s">
        <v>214</v>
      </c>
      <c r="D702" s="45">
        <v>0</v>
      </c>
      <c r="E702" s="45">
        <v>0</v>
      </c>
      <c r="F702" s="45">
        <v>0</v>
      </c>
      <c r="G702" s="45">
        <v>0</v>
      </c>
      <c r="H702" s="45">
        <v>0</v>
      </c>
      <c r="I702" s="45">
        <v>10.2</v>
      </c>
      <c r="J702" s="45">
        <v>12.1</v>
      </c>
      <c r="K702" s="45">
        <v>13.1</v>
      </c>
      <c r="L702" s="45">
        <v>14.2</v>
      </c>
      <c r="M702" s="45">
        <v>12.1</v>
      </c>
      <c r="N702" s="45">
        <v>13.4</v>
      </c>
      <c r="O702" s="45">
        <v>11.8</v>
      </c>
      <c r="P702" s="45">
        <v>11.7</v>
      </c>
      <c r="Q702" s="45">
        <v>11.4</v>
      </c>
      <c r="R702" s="45">
        <v>10.9</v>
      </c>
      <c r="S702" s="45">
        <v>11</v>
      </c>
      <c r="T702" s="45">
        <v>11.8</v>
      </c>
      <c r="U702" s="45">
        <v>12.2</v>
      </c>
      <c r="V702" s="45">
        <v>12.8</v>
      </c>
      <c r="W702" s="45">
        <v>12.7</v>
      </c>
      <c r="X702" s="45">
        <v>12</v>
      </c>
      <c r="Y702" s="45">
        <v>14.5</v>
      </c>
      <c r="Z702" s="45">
        <v>12.2</v>
      </c>
      <c r="AA702" s="45">
        <v>12.7</v>
      </c>
      <c r="AB702" s="45">
        <v>11.7</v>
      </c>
      <c r="AC702" s="45">
        <v>12.3</v>
      </c>
      <c r="AD702" s="45">
        <v>12.2</v>
      </c>
      <c r="AE702" s="45">
        <v>11.1</v>
      </c>
      <c r="AF702" s="45">
        <v>12.9</v>
      </c>
      <c r="AG702" s="45">
        <v>11.6</v>
      </c>
      <c r="AH702" s="45">
        <v>12.4</v>
      </c>
      <c r="AI702" s="45">
        <v>12.6</v>
      </c>
      <c r="AJ702" s="45">
        <v>12.9</v>
      </c>
      <c r="AK702" s="45">
        <v>11.1</v>
      </c>
      <c r="AL702" s="45">
        <v>11.3</v>
      </c>
      <c r="AM702" s="45">
        <v>11.5</v>
      </c>
      <c r="AN702" s="45">
        <v>11.3</v>
      </c>
      <c r="AO702" s="45">
        <v>11.5</v>
      </c>
      <c r="AP702" s="45">
        <v>10.8</v>
      </c>
      <c r="AQ702" s="45">
        <v>10</v>
      </c>
      <c r="AR702" s="45">
        <v>9.6</v>
      </c>
      <c r="AS702" s="45">
        <v>11</v>
      </c>
      <c r="AT702" s="45">
        <v>0</v>
      </c>
      <c r="AU702" s="45">
        <v>0</v>
      </c>
      <c r="AV702" s="45">
        <v>0</v>
      </c>
      <c r="AW702" s="45">
        <v>0</v>
      </c>
      <c r="AX702" s="45">
        <v>0</v>
      </c>
      <c r="AY702" s="45">
        <v>0</v>
      </c>
      <c r="AZ702" s="45">
        <v>0</v>
      </c>
      <c r="BA702" s="45">
        <v>0</v>
      </c>
      <c r="BB702" s="45">
        <v>0</v>
      </c>
      <c r="BC702" s="45">
        <v>0</v>
      </c>
      <c r="BD702" s="45">
        <v>0</v>
      </c>
      <c r="BE702" s="45">
        <v>0</v>
      </c>
      <c r="BF702" s="45">
        <v>0</v>
      </c>
      <c r="BG702" s="45">
        <v>0</v>
      </c>
    </row>
    <row r="703" spans="1:60">
      <c r="A703" s="18" t="s">
        <v>225</v>
      </c>
      <c r="B703" s="18" t="s">
        <v>92</v>
      </c>
      <c r="C703" s="18" t="s">
        <v>216</v>
      </c>
      <c r="D703" s="45">
        <v>0</v>
      </c>
      <c r="E703" s="45">
        <v>0</v>
      </c>
      <c r="F703" s="45">
        <v>0</v>
      </c>
      <c r="G703" s="45">
        <v>0</v>
      </c>
      <c r="H703" s="45">
        <v>0</v>
      </c>
      <c r="I703" s="45">
        <v>13.2</v>
      </c>
      <c r="J703" s="45">
        <v>10</v>
      </c>
      <c r="K703" s="45">
        <v>13.1</v>
      </c>
      <c r="L703" s="45">
        <v>14.2</v>
      </c>
      <c r="M703" s="45">
        <v>14</v>
      </c>
      <c r="N703" s="45">
        <v>12.6</v>
      </c>
      <c r="O703" s="45">
        <v>11.4</v>
      </c>
      <c r="P703" s="45">
        <v>11.2</v>
      </c>
      <c r="Q703" s="45">
        <v>12</v>
      </c>
      <c r="R703" s="45">
        <v>11.3</v>
      </c>
      <c r="S703" s="45">
        <v>12</v>
      </c>
      <c r="T703" s="45">
        <v>12.8</v>
      </c>
      <c r="U703" s="45">
        <v>12.6</v>
      </c>
      <c r="V703" s="45">
        <v>12.7</v>
      </c>
      <c r="W703" s="45">
        <v>13.5</v>
      </c>
      <c r="X703" s="45">
        <v>14.1</v>
      </c>
      <c r="Y703" s="45">
        <v>14.1</v>
      </c>
      <c r="Z703" s="45">
        <v>12.6</v>
      </c>
      <c r="AA703" s="45">
        <v>13.2</v>
      </c>
      <c r="AB703" s="45">
        <v>12.5</v>
      </c>
      <c r="AC703" s="45">
        <v>11.3</v>
      </c>
      <c r="AD703" s="45">
        <v>13</v>
      </c>
      <c r="AE703" s="45">
        <v>12.9</v>
      </c>
      <c r="AF703" s="45">
        <v>11.7</v>
      </c>
      <c r="AG703" s="45">
        <v>12.8</v>
      </c>
      <c r="AH703" s="45">
        <v>11.6</v>
      </c>
      <c r="AI703" s="45">
        <v>12.9</v>
      </c>
      <c r="AJ703" s="45">
        <v>11.5</v>
      </c>
      <c r="AK703" s="45">
        <v>11.1</v>
      </c>
      <c r="AL703" s="45">
        <v>12</v>
      </c>
      <c r="AM703" s="45">
        <v>10.9</v>
      </c>
      <c r="AN703" s="45">
        <v>11.6</v>
      </c>
      <c r="AO703" s="45">
        <v>11.6</v>
      </c>
      <c r="AP703" s="45">
        <v>11.2</v>
      </c>
      <c r="AQ703" s="45">
        <v>10.9</v>
      </c>
      <c r="AR703" s="45">
        <v>9.699999999999999</v>
      </c>
      <c r="AS703" s="45">
        <v>9</v>
      </c>
      <c r="AT703" s="45">
        <v>11.5</v>
      </c>
      <c r="AU703" s="45">
        <v>0</v>
      </c>
      <c r="AV703" s="45">
        <v>0</v>
      </c>
      <c r="AW703" s="45">
        <v>0</v>
      </c>
      <c r="AX703" s="45">
        <v>0</v>
      </c>
      <c r="AY703" s="45">
        <v>0</v>
      </c>
      <c r="AZ703" s="45">
        <v>0</v>
      </c>
      <c r="BA703" s="45">
        <v>0</v>
      </c>
      <c r="BB703" s="45">
        <v>0</v>
      </c>
      <c r="BC703" s="45">
        <v>0</v>
      </c>
      <c r="BD703" s="45">
        <v>0</v>
      </c>
      <c r="BE703" s="45">
        <v>0</v>
      </c>
      <c r="BF703" s="45">
        <v>0</v>
      </c>
      <c r="BG703" s="45">
        <v>0</v>
      </c>
    </row>
    <row r="704" spans="1:60">
      <c r="A704" s="18" t="s">
        <v>226</v>
      </c>
      <c r="B704" s="18" t="s">
        <v>92</v>
      </c>
      <c r="C704" s="18" t="s">
        <v>218</v>
      </c>
      <c r="D704" s="45">
        <v>0</v>
      </c>
      <c r="E704" s="45">
        <v>0</v>
      </c>
      <c r="F704" s="45">
        <v>0</v>
      </c>
      <c r="G704" s="45">
        <v>0</v>
      </c>
      <c r="H704" s="45">
        <v>0</v>
      </c>
      <c r="I704" s="45">
        <v>0</v>
      </c>
      <c r="J704" s="45">
        <v>0</v>
      </c>
      <c r="K704" s="45">
        <v>0</v>
      </c>
      <c r="L704" s="45">
        <v>0</v>
      </c>
      <c r="M704" s="45">
        <v>0</v>
      </c>
      <c r="N704" s="45">
        <v>0</v>
      </c>
      <c r="O704" s="45">
        <v>0</v>
      </c>
      <c r="P704" s="45">
        <v>0</v>
      </c>
      <c r="Q704" s="45">
        <v>0</v>
      </c>
      <c r="R704" s="45">
        <v>0</v>
      </c>
      <c r="S704" s="45">
        <v>0</v>
      </c>
      <c r="T704" s="45">
        <v>0</v>
      </c>
      <c r="U704" s="45">
        <v>0</v>
      </c>
      <c r="V704" s="45">
        <v>0</v>
      </c>
      <c r="W704" s="45">
        <v>0</v>
      </c>
      <c r="X704" s="45">
        <v>0</v>
      </c>
      <c r="Y704" s="45">
        <v>0</v>
      </c>
      <c r="Z704" s="45">
        <v>0</v>
      </c>
      <c r="AA704" s="45">
        <v>0</v>
      </c>
      <c r="AB704" s="45">
        <v>0</v>
      </c>
      <c r="AC704" s="45">
        <v>0</v>
      </c>
      <c r="AD704" s="45">
        <v>0</v>
      </c>
      <c r="AE704" s="45">
        <v>0</v>
      </c>
      <c r="AF704" s="45">
        <v>0</v>
      </c>
      <c r="AG704" s="45">
        <v>0</v>
      </c>
      <c r="AH704" s="45">
        <v>0</v>
      </c>
      <c r="AI704" s="45">
        <v>0</v>
      </c>
      <c r="AJ704" s="45">
        <v>0</v>
      </c>
      <c r="AK704" s="45">
        <v>0</v>
      </c>
      <c r="AL704" s="45">
        <v>0</v>
      </c>
      <c r="AM704" s="45">
        <v>0</v>
      </c>
      <c r="AN704" s="45">
        <v>0</v>
      </c>
      <c r="AO704" s="45">
        <v>0</v>
      </c>
      <c r="AP704" s="45">
        <v>0</v>
      </c>
      <c r="AQ704" s="45">
        <v>0</v>
      </c>
      <c r="AR704" s="45">
        <v>0</v>
      </c>
      <c r="AS704" s="45">
        <v>0</v>
      </c>
      <c r="AT704" s="45">
        <v>0</v>
      </c>
      <c r="AU704" s="45">
        <v>0</v>
      </c>
      <c r="AV704" s="45">
        <v>0</v>
      </c>
      <c r="AW704" s="45">
        <v>0</v>
      </c>
      <c r="AX704" s="45">
        <v>0</v>
      </c>
      <c r="AY704" s="45">
        <v>0</v>
      </c>
      <c r="AZ704" s="45">
        <v>0</v>
      </c>
      <c r="BA704" s="45">
        <v>0</v>
      </c>
      <c r="BB704" s="45">
        <v>0</v>
      </c>
      <c r="BC704" s="45">
        <v>0</v>
      </c>
      <c r="BD704" s="45">
        <v>0</v>
      </c>
      <c r="BE704" s="45">
        <v>0</v>
      </c>
      <c r="BF704" s="45">
        <v>0</v>
      </c>
      <c r="BG704" s="45">
        <v>0</v>
      </c>
    </row>
    <row r="705" spans="1:59">
      <c r="A705" s="18" t="s">
        <v>227</v>
      </c>
      <c r="B705" s="18" t="s">
        <v>92</v>
      </c>
      <c r="C705" s="18" t="s">
        <v>220</v>
      </c>
      <c r="D705" s="45">
        <v>0</v>
      </c>
      <c r="E705" s="45">
        <v>0</v>
      </c>
      <c r="F705" s="45">
        <v>0</v>
      </c>
      <c r="G705" s="45">
        <v>0</v>
      </c>
      <c r="H705" s="45">
        <v>0</v>
      </c>
      <c r="I705" s="45">
        <v>0</v>
      </c>
      <c r="J705" s="45">
        <v>14.3</v>
      </c>
      <c r="K705" s="45">
        <v>17.6</v>
      </c>
      <c r="L705" s="45">
        <v>19.6</v>
      </c>
      <c r="M705" s="45">
        <v>19.3</v>
      </c>
      <c r="N705" s="45">
        <v>21.6</v>
      </c>
      <c r="O705" s="45">
        <v>13.1</v>
      </c>
      <c r="P705" s="45">
        <v>17.7</v>
      </c>
      <c r="Q705" s="45">
        <v>16.7</v>
      </c>
      <c r="R705" s="45">
        <v>14.8</v>
      </c>
      <c r="S705" s="45">
        <v>13.9</v>
      </c>
      <c r="T705" s="45">
        <v>15</v>
      </c>
      <c r="U705" s="45">
        <v>50.7</v>
      </c>
      <c r="V705" s="45">
        <v>43</v>
      </c>
      <c r="W705" s="45">
        <v>22.1</v>
      </c>
      <c r="X705" s="45">
        <v>0</v>
      </c>
      <c r="Y705" s="45">
        <v>0</v>
      </c>
      <c r="Z705" s="45">
        <v>0</v>
      </c>
      <c r="AA705" s="45">
        <v>0</v>
      </c>
      <c r="AB705" s="45">
        <v>0</v>
      </c>
      <c r="AC705" s="45">
        <v>0</v>
      </c>
      <c r="AD705" s="45">
        <v>0</v>
      </c>
      <c r="AE705" s="45">
        <v>0</v>
      </c>
      <c r="AF705" s="45">
        <v>0</v>
      </c>
      <c r="AG705" s="45">
        <v>0</v>
      </c>
      <c r="AH705" s="45">
        <v>0</v>
      </c>
      <c r="AI705" s="45">
        <v>0</v>
      </c>
      <c r="AJ705" s="45">
        <v>0</v>
      </c>
      <c r="AK705" s="45">
        <v>0</v>
      </c>
      <c r="AL705" s="45">
        <v>0</v>
      </c>
      <c r="AM705" s="45">
        <v>0</v>
      </c>
      <c r="AN705" s="45">
        <v>0</v>
      </c>
      <c r="AO705" s="45">
        <v>0</v>
      </c>
      <c r="AP705" s="45">
        <v>0</v>
      </c>
      <c r="AQ705" s="45">
        <v>0</v>
      </c>
      <c r="AR705" s="45">
        <v>0</v>
      </c>
      <c r="AS705" s="45">
        <v>0</v>
      </c>
      <c r="AT705" s="45">
        <v>0</v>
      </c>
      <c r="AU705" s="45">
        <v>0</v>
      </c>
      <c r="AV705" s="45">
        <v>0</v>
      </c>
      <c r="AW705" s="45">
        <v>0</v>
      </c>
      <c r="AX705" s="45">
        <v>0</v>
      </c>
      <c r="AY705" s="45">
        <v>0</v>
      </c>
      <c r="AZ705" s="45">
        <v>0</v>
      </c>
      <c r="BA705" s="45">
        <v>0</v>
      </c>
      <c r="BB705" s="45">
        <v>0</v>
      </c>
      <c r="BC705" s="45">
        <v>0</v>
      </c>
      <c r="BD705" s="45">
        <v>0</v>
      </c>
      <c r="BE705" s="45">
        <v>0</v>
      </c>
      <c r="BF705" s="45">
        <v>0</v>
      </c>
      <c r="BG705" s="45">
        <v>0</v>
      </c>
    </row>
    <row r="706" spans="1:59">
      <c r="A706" s="18" t="s">
        <v>228</v>
      </c>
      <c r="B706" s="18" t="s">
        <v>106</v>
      </c>
      <c r="C706" s="18" t="s">
        <v>5</v>
      </c>
      <c r="D706" s="45">
        <v>0</v>
      </c>
      <c r="E706" s="45">
        <v>0</v>
      </c>
      <c r="F706" s="45">
        <v>0</v>
      </c>
      <c r="G706" s="45">
        <v>0</v>
      </c>
      <c r="H706" s="45">
        <v>17.4</v>
      </c>
      <c r="I706" s="45">
        <v>12.6</v>
      </c>
      <c r="J706" s="45">
        <v>12.7</v>
      </c>
      <c r="K706" s="45">
        <v>12.9</v>
      </c>
      <c r="L706" s="45">
        <v>12.3</v>
      </c>
      <c r="M706" s="45">
        <v>12.1</v>
      </c>
      <c r="N706" s="45">
        <v>12.9</v>
      </c>
      <c r="O706" s="45">
        <v>11.7</v>
      </c>
      <c r="P706" s="45">
        <v>13.1</v>
      </c>
      <c r="Q706" s="45">
        <v>11.8</v>
      </c>
      <c r="R706" s="45">
        <v>15</v>
      </c>
      <c r="S706" s="45">
        <v>13.5</v>
      </c>
      <c r="T706" s="45">
        <v>13.9</v>
      </c>
      <c r="U706" s="45">
        <v>14.1</v>
      </c>
      <c r="V706" s="45">
        <v>13.9</v>
      </c>
      <c r="W706" s="45">
        <v>16.4</v>
      </c>
      <c r="X706" s="45">
        <v>15</v>
      </c>
      <c r="Y706" s="45">
        <v>15.4</v>
      </c>
      <c r="Z706" s="45">
        <v>13.6</v>
      </c>
      <c r="AA706" s="45">
        <v>14.6</v>
      </c>
      <c r="AB706" s="45">
        <v>13.7</v>
      </c>
      <c r="AC706" s="45">
        <v>11.7</v>
      </c>
      <c r="AD706" s="45">
        <v>14.6</v>
      </c>
      <c r="AE706" s="45">
        <v>14.9</v>
      </c>
      <c r="AF706" s="45">
        <v>13.3</v>
      </c>
      <c r="AG706" s="45">
        <v>16.2</v>
      </c>
      <c r="AH706" s="45">
        <v>13.8</v>
      </c>
      <c r="AI706" s="45">
        <v>14.1</v>
      </c>
      <c r="AJ706" s="45">
        <v>14.4</v>
      </c>
      <c r="AK706" s="45">
        <v>14.4</v>
      </c>
      <c r="AL706" s="45">
        <v>14.6</v>
      </c>
      <c r="AM706" s="45">
        <v>14.1</v>
      </c>
      <c r="AN706" s="45">
        <v>12.9</v>
      </c>
      <c r="AO706" s="45">
        <v>12.3</v>
      </c>
      <c r="AP706" s="45">
        <v>11.2</v>
      </c>
      <c r="AQ706" s="45">
        <v>9.4</v>
      </c>
      <c r="AR706" s="45">
        <v>7.2</v>
      </c>
      <c r="AS706" s="45">
        <v>0</v>
      </c>
      <c r="AT706" s="45">
        <v>0</v>
      </c>
      <c r="AU706" s="45">
        <v>0</v>
      </c>
      <c r="AV706" s="45">
        <v>0</v>
      </c>
      <c r="AW706" s="45">
        <v>0</v>
      </c>
      <c r="AX706" s="45">
        <v>0</v>
      </c>
      <c r="AY706" s="45">
        <v>0</v>
      </c>
      <c r="AZ706" s="45">
        <v>0</v>
      </c>
      <c r="BA706" s="45">
        <v>0</v>
      </c>
      <c r="BB706" s="45">
        <v>0</v>
      </c>
      <c r="BC706" s="45">
        <v>0</v>
      </c>
      <c r="BD706" s="45">
        <v>0</v>
      </c>
      <c r="BE706" s="45">
        <v>0</v>
      </c>
      <c r="BF706" s="45">
        <v>0</v>
      </c>
      <c r="BG706" s="45">
        <v>0</v>
      </c>
    </row>
    <row r="707" spans="1:59">
      <c r="A707" s="18" t="s">
        <v>229</v>
      </c>
      <c r="B707" s="18" t="s">
        <v>106</v>
      </c>
      <c r="C707" s="18" t="s">
        <v>210</v>
      </c>
      <c r="D707" s="45">
        <v>0</v>
      </c>
      <c r="E707" s="45">
        <v>0</v>
      </c>
      <c r="F707" s="45">
        <v>0</v>
      </c>
      <c r="G707" s="45">
        <v>0</v>
      </c>
      <c r="H707" s="45">
        <v>0</v>
      </c>
      <c r="I707" s="45">
        <v>14</v>
      </c>
      <c r="J707" s="45">
        <v>12.8</v>
      </c>
      <c r="K707" s="45">
        <v>12.2</v>
      </c>
      <c r="L707" s="45">
        <v>12.7</v>
      </c>
      <c r="M707" s="45">
        <v>12.7</v>
      </c>
      <c r="N707" s="45">
        <v>12.6</v>
      </c>
      <c r="O707" s="45">
        <v>13.5</v>
      </c>
      <c r="P707" s="45">
        <v>13.3</v>
      </c>
      <c r="Q707" s="45">
        <v>12.8</v>
      </c>
      <c r="R707" s="45">
        <v>11.8</v>
      </c>
      <c r="S707" s="45">
        <v>11.3</v>
      </c>
      <c r="T707" s="45">
        <v>11.7</v>
      </c>
      <c r="U707" s="45">
        <v>13.2</v>
      </c>
      <c r="V707" s="45">
        <v>12.8</v>
      </c>
      <c r="W707" s="45">
        <v>14.5</v>
      </c>
      <c r="X707" s="45">
        <v>13.3</v>
      </c>
      <c r="Y707" s="45">
        <v>13.1</v>
      </c>
      <c r="Z707" s="45">
        <v>13.9</v>
      </c>
      <c r="AA707" s="45">
        <v>13.9</v>
      </c>
      <c r="AB707" s="45">
        <v>15.2</v>
      </c>
      <c r="AC707" s="45">
        <v>15.1</v>
      </c>
      <c r="AD707" s="45">
        <v>13.8</v>
      </c>
      <c r="AE707" s="45">
        <v>12.7</v>
      </c>
      <c r="AF707" s="45">
        <v>13.7</v>
      </c>
      <c r="AG707" s="45">
        <v>13.2</v>
      </c>
      <c r="AH707" s="45">
        <v>11.8</v>
      </c>
      <c r="AI707" s="45">
        <v>12.1</v>
      </c>
      <c r="AJ707" s="45">
        <v>13.4</v>
      </c>
      <c r="AK707" s="45">
        <v>12.6</v>
      </c>
      <c r="AL707" s="45">
        <v>12.8</v>
      </c>
      <c r="AM707" s="45">
        <v>13.5</v>
      </c>
      <c r="AN707" s="45">
        <v>13.1</v>
      </c>
      <c r="AO707" s="45">
        <v>11.5</v>
      </c>
      <c r="AP707" s="45">
        <v>10.6</v>
      </c>
      <c r="AQ707" s="45">
        <v>8.699999999999999</v>
      </c>
      <c r="AR707" s="45">
        <v>5.8</v>
      </c>
      <c r="AS707" s="45">
        <v>0</v>
      </c>
      <c r="AT707" s="45">
        <v>0</v>
      </c>
      <c r="AU707" s="45">
        <v>0</v>
      </c>
      <c r="AV707" s="45">
        <v>0</v>
      </c>
      <c r="AW707" s="45">
        <v>0</v>
      </c>
      <c r="AX707" s="45">
        <v>0</v>
      </c>
      <c r="AY707" s="45">
        <v>0</v>
      </c>
      <c r="AZ707" s="45">
        <v>0</v>
      </c>
      <c r="BA707" s="45">
        <v>0</v>
      </c>
      <c r="BB707" s="45">
        <v>0</v>
      </c>
      <c r="BC707" s="45">
        <v>0</v>
      </c>
      <c r="BD707" s="45">
        <v>0</v>
      </c>
      <c r="BE707" s="45">
        <v>0</v>
      </c>
      <c r="BF707" s="45">
        <v>0</v>
      </c>
      <c r="BG707" s="45">
        <v>0</v>
      </c>
    </row>
    <row r="708" spans="1:59">
      <c r="A708" s="18" t="s">
        <v>230</v>
      </c>
      <c r="B708" s="18" t="s">
        <v>106</v>
      </c>
      <c r="C708" s="18" t="s">
        <v>212</v>
      </c>
      <c r="D708" s="45">
        <v>0</v>
      </c>
      <c r="E708" s="45">
        <v>0</v>
      </c>
      <c r="F708" s="45">
        <v>0</v>
      </c>
      <c r="G708" s="45">
        <v>0</v>
      </c>
      <c r="H708" s="45">
        <v>19.4</v>
      </c>
      <c r="I708" s="45">
        <v>17.1</v>
      </c>
      <c r="J708" s="45">
        <v>15.2</v>
      </c>
      <c r="K708" s="45">
        <v>13.5</v>
      </c>
      <c r="L708" s="45">
        <v>12.2</v>
      </c>
      <c r="M708" s="45">
        <v>14</v>
      </c>
      <c r="N708" s="45">
        <v>13.7</v>
      </c>
      <c r="O708" s="45">
        <v>13.2</v>
      </c>
      <c r="P708" s="45">
        <v>13.7</v>
      </c>
      <c r="Q708" s="45">
        <v>12.4</v>
      </c>
      <c r="R708" s="45">
        <v>12.6</v>
      </c>
      <c r="S708" s="45">
        <v>12.1</v>
      </c>
      <c r="T708" s="45">
        <v>12.8</v>
      </c>
      <c r="U708" s="45">
        <v>13.5</v>
      </c>
      <c r="V708" s="45">
        <v>14.1</v>
      </c>
      <c r="W708" s="45">
        <v>15</v>
      </c>
      <c r="X708" s="45">
        <v>15.6</v>
      </c>
      <c r="Y708" s="45">
        <v>14.6</v>
      </c>
      <c r="Z708" s="45">
        <v>14.5</v>
      </c>
      <c r="AA708" s="45">
        <v>13.6</v>
      </c>
      <c r="AB708" s="45">
        <v>12.6</v>
      </c>
      <c r="AC708" s="45">
        <v>12.6</v>
      </c>
      <c r="AD708" s="45">
        <v>12.9</v>
      </c>
      <c r="AE708" s="45">
        <v>13</v>
      </c>
      <c r="AF708" s="45">
        <v>12.1</v>
      </c>
      <c r="AG708" s="45">
        <v>12.3</v>
      </c>
      <c r="AH708" s="45">
        <v>11.6</v>
      </c>
      <c r="AI708" s="45">
        <v>12.5</v>
      </c>
      <c r="AJ708" s="45">
        <v>12.8</v>
      </c>
      <c r="AK708" s="45">
        <v>13.1</v>
      </c>
      <c r="AL708" s="45">
        <v>13.1</v>
      </c>
      <c r="AM708" s="45">
        <v>12.7</v>
      </c>
      <c r="AN708" s="45">
        <v>12.1</v>
      </c>
      <c r="AO708" s="45">
        <v>11</v>
      </c>
      <c r="AP708" s="45">
        <v>9.9</v>
      </c>
      <c r="AQ708" s="45">
        <v>8.5</v>
      </c>
      <c r="AR708" s="45">
        <v>5.2</v>
      </c>
      <c r="AS708" s="45">
        <v>0</v>
      </c>
      <c r="AT708" s="45">
        <v>0</v>
      </c>
      <c r="AU708" s="45">
        <v>0</v>
      </c>
      <c r="AV708" s="45">
        <v>0</v>
      </c>
      <c r="AW708" s="45">
        <v>0</v>
      </c>
      <c r="AX708" s="45">
        <v>0</v>
      </c>
      <c r="AY708" s="45">
        <v>0</v>
      </c>
      <c r="AZ708" s="45">
        <v>0</v>
      </c>
      <c r="BA708" s="45">
        <v>0</v>
      </c>
      <c r="BB708" s="45">
        <v>0</v>
      </c>
      <c r="BC708" s="45">
        <v>0</v>
      </c>
      <c r="BD708" s="45">
        <v>0</v>
      </c>
      <c r="BE708" s="45">
        <v>0</v>
      </c>
      <c r="BF708" s="45">
        <v>0</v>
      </c>
      <c r="BG708" s="45">
        <v>0</v>
      </c>
    </row>
    <row r="709" spans="1:59">
      <c r="A709" s="18" t="s">
        <v>231</v>
      </c>
      <c r="B709" s="18" t="s">
        <v>106</v>
      </c>
      <c r="C709" s="18" t="s">
        <v>214</v>
      </c>
      <c r="D709" s="45">
        <v>0</v>
      </c>
      <c r="E709" s="45">
        <v>0</v>
      </c>
      <c r="F709" s="45">
        <v>0</v>
      </c>
      <c r="G709" s="45">
        <v>0</v>
      </c>
      <c r="H709" s="45">
        <v>24.9</v>
      </c>
      <c r="I709" s="45">
        <v>15.9</v>
      </c>
      <c r="J709" s="45">
        <v>14.6</v>
      </c>
      <c r="K709" s="45">
        <v>12.4</v>
      </c>
      <c r="L709" s="45">
        <v>13.2</v>
      </c>
      <c r="M709" s="45">
        <v>12.8</v>
      </c>
      <c r="N709" s="45">
        <v>12.9</v>
      </c>
      <c r="O709" s="45">
        <v>12.7</v>
      </c>
      <c r="P709" s="45">
        <v>12.2</v>
      </c>
      <c r="Q709" s="45">
        <v>12.5</v>
      </c>
      <c r="R709" s="45">
        <v>13.6</v>
      </c>
      <c r="S709" s="45">
        <v>13</v>
      </c>
      <c r="T709" s="45">
        <v>11.6</v>
      </c>
      <c r="U709" s="45">
        <v>13.4</v>
      </c>
      <c r="V709" s="45">
        <v>14.3</v>
      </c>
      <c r="W709" s="45">
        <v>12.6</v>
      </c>
      <c r="X709" s="45">
        <v>14.1</v>
      </c>
      <c r="Y709" s="45">
        <v>14.7</v>
      </c>
      <c r="Z709" s="45">
        <v>14.4</v>
      </c>
      <c r="AA709" s="45">
        <v>13.6</v>
      </c>
      <c r="AB709" s="45">
        <v>12.8</v>
      </c>
      <c r="AC709" s="45">
        <v>14.1</v>
      </c>
      <c r="AD709" s="45">
        <v>13.5</v>
      </c>
      <c r="AE709" s="45">
        <v>13.5</v>
      </c>
      <c r="AF709" s="45">
        <v>12.1</v>
      </c>
      <c r="AG709" s="45">
        <v>11.6</v>
      </c>
      <c r="AH709" s="45">
        <v>12.1</v>
      </c>
      <c r="AI709" s="45">
        <v>13</v>
      </c>
      <c r="AJ709" s="45">
        <v>12.3</v>
      </c>
      <c r="AK709" s="45">
        <v>12.5</v>
      </c>
      <c r="AL709" s="45">
        <v>13.9</v>
      </c>
      <c r="AM709" s="45">
        <v>12.4</v>
      </c>
      <c r="AN709" s="45">
        <v>12.6</v>
      </c>
      <c r="AO709" s="45">
        <v>11</v>
      </c>
      <c r="AP709" s="45">
        <v>10.1</v>
      </c>
      <c r="AQ709" s="45">
        <v>10.4</v>
      </c>
      <c r="AR709" s="45">
        <v>6.5</v>
      </c>
      <c r="AS709" s="45">
        <v>0</v>
      </c>
      <c r="AT709" s="45">
        <v>0</v>
      </c>
      <c r="AU709" s="45">
        <v>0</v>
      </c>
      <c r="AV709" s="45">
        <v>0</v>
      </c>
      <c r="AW709" s="45">
        <v>0</v>
      </c>
      <c r="AX709" s="45">
        <v>0</v>
      </c>
      <c r="AY709" s="45">
        <v>0</v>
      </c>
      <c r="AZ709" s="45">
        <v>0</v>
      </c>
      <c r="BA709" s="45">
        <v>0</v>
      </c>
      <c r="BB709" s="45">
        <v>0</v>
      </c>
      <c r="BC709" s="45">
        <v>0</v>
      </c>
      <c r="BD709" s="45">
        <v>0</v>
      </c>
      <c r="BE709" s="45">
        <v>0</v>
      </c>
      <c r="BF709" s="45">
        <v>0</v>
      </c>
      <c r="BG709" s="45">
        <v>0</v>
      </c>
    </row>
    <row r="710" spans="1:59">
      <c r="A710" s="18" t="s">
        <v>232</v>
      </c>
      <c r="B710" s="18" t="s">
        <v>106</v>
      </c>
      <c r="C710" s="18" t="s">
        <v>216</v>
      </c>
      <c r="D710" s="45">
        <v>0</v>
      </c>
      <c r="E710" s="45">
        <v>0</v>
      </c>
      <c r="F710" s="45">
        <v>0</v>
      </c>
      <c r="G710" s="45">
        <v>0</v>
      </c>
      <c r="H710" s="45">
        <v>24.5</v>
      </c>
      <c r="I710" s="45">
        <v>16</v>
      </c>
      <c r="J710" s="45">
        <v>12.8</v>
      </c>
      <c r="K710" s="45">
        <v>12.5</v>
      </c>
      <c r="L710" s="45">
        <v>12.8</v>
      </c>
      <c r="M710" s="45">
        <v>13.7</v>
      </c>
      <c r="N710" s="45">
        <v>12.3</v>
      </c>
      <c r="O710" s="45">
        <v>13.3</v>
      </c>
      <c r="P710" s="45">
        <v>12.4</v>
      </c>
      <c r="Q710" s="45">
        <v>12.2</v>
      </c>
      <c r="R710" s="45">
        <v>12.5</v>
      </c>
      <c r="S710" s="45">
        <v>12.7</v>
      </c>
      <c r="T710" s="45">
        <v>12</v>
      </c>
      <c r="U710" s="45">
        <v>13</v>
      </c>
      <c r="V710" s="45">
        <v>13.3</v>
      </c>
      <c r="W710" s="45">
        <v>15.5</v>
      </c>
      <c r="X710" s="45">
        <v>14.4</v>
      </c>
      <c r="Y710" s="45">
        <v>13.9</v>
      </c>
      <c r="Z710" s="45">
        <v>14.3</v>
      </c>
      <c r="AA710" s="45">
        <v>13.4</v>
      </c>
      <c r="AB710" s="45">
        <v>12.6</v>
      </c>
      <c r="AC710" s="45">
        <v>12.7</v>
      </c>
      <c r="AD710" s="45">
        <v>13.5</v>
      </c>
      <c r="AE710" s="45">
        <v>12.3</v>
      </c>
      <c r="AF710" s="45">
        <v>12.6</v>
      </c>
      <c r="AG710" s="45">
        <v>12.8</v>
      </c>
      <c r="AH710" s="45">
        <v>11.7</v>
      </c>
      <c r="AI710" s="45">
        <v>12.5</v>
      </c>
      <c r="AJ710" s="45">
        <v>12.9</v>
      </c>
      <c r="AK710" s="45">
        <v>12.3</v>
      </c>
      <c r="AL710" s="45">
        <v>12.4</v>
      </c>
      <c r="AM710" s="45">
        <v>12.8</v>
      </c>
      <c r="AN710" s="45">
        <v>12.8</v>
      </c>
      <c r="AO710" s="45">
        <v>11.2</v>
      </c>
      <c r="AP710" s="45">
        <v>10.7</v>
      </c>
      <c r="AQ710" s="45">
        <v>9.1</v>
      </c>
      <c r="AR710" s="45">
        <v>6.1</v>
      </c>
      <c r="AS710" s="45">
        <v>0</v>
      </c>
      <c r="AT710" s="45">
        <v>0</v>
      </c>
      <c r="AU710" s="45">
        <v>0</v>
      </c>
      <c r="AV710" s="45">
        <v>0</v>
      </c>
      <c r="AW710" s="45">
        <v>0</v>
      </c>
      <c r="AX710" s="45">
        <v>0</v>
      </c>
      <c r="AY710" s="45">
        <v>0</v>
      </c>
      <c r="AZ710" s="45">
        <v>0</v>
      </c>
      <c r="BA710" s="45">
        <v>0</v>
      </c>
      <c r="BB710" s="45">
        <v>0</v>
      </c>
      <c r="BC710" s="45">
        <v>0</v>
      </c>
      <c r="BD710" s="45">
        <v>0</v>
      </c>
      <c r="BE710" s="45">
        <v>0</v>
      </c>
      <c r="BF710" s="45">
        <v>0</v>
      </c>
      <c r="BG710" s="45">
        <v>0</v>
      </c>
    </row>
    <row r="711" spans="1:59">
      <c r="A711" s="18" t="s">
        <v>233</v>
      </c>
      <c r="B711" s="18" t="s">
        <v>106</v>
      </c>
      <c r="C711" s="18" t="s">
        <v>218</v>
      </c>
      <c r="D711" s="45">
        <v>0</v>
      </c>
      <c r="E711" s="45">
        <v>0</v>
      </c>
      <c r="F711" s="45">
        <v>0</v>
      </c>
      <c r="G711" s="45">
        <v>0</v>
      </c>
      <c r="H711" s="45">
        <v>0</v>
      </c>
      <c r="I711" s="45">
        <v>0</v>
      </c>
      <c r="J711" s="45">
        <v>0</v>
      </c>
      <c r="K711" s="45">
        <v>0</v>
      </c>
      <c r="L711" s="45">
        <v>0</v>
      </c>
      <c r="M711" s="45">
        <v>0</v>
      </c>
      <c r="N711" s="45">
        <v>0</v>
      </c>
      <c r="O711" s="45">
        <v>0</v>
      </c>
      <c r="P711" s="45">
        <v>0</v>
      </c>
      <c r="Q711" s="45">
        <v>0</v>
      </c>
      <c r="R711" s="45">
        <v>0</v>
      </c>
      <c r="S711" s="45">
        <v>0</v>
      </c>
      <c r="T711" s="45">
        <v>0</v>
      </c>
      <c r="U711" s="45">
        <v>0</v>
      </c>
      <c r="V711" s="45">
        <v>0</v>
      </c>
      <c r="W711" s="45">
        <v>0</v>
      </c>
      <c r="X711" s="45">
        <v>0</v>
      </c>
      <c r="Y711" s="45">
        <v>0</v>
      </c>
      <c r="Z711" s="45">
        <v>0</v>
      </c>
      <c r="AA711" s="45">
        <v>0</v>
      </c>
      <c r="AB711" s="45">
        <v>0</v>
      </c>
      <c r="AC711" s="45">
        <v>0</v>
      </c>
      <c r="AD711" s="45">
        <v>0</v>
      </c>
      <c r="AE711" s="45">
        <v>0</v>
      </c>
      <c r="AF711" s="45">
        <v>0</v>
      </c>
      <c r="AG711" s="45">
        <v>0</v>
      </c>
      <c r="AH711" s="45">
        <v>0</v>
      </c>
      <c r="AI711" s="45">
        <v>0</v>
      </c>
      <c r="AJ711" s="45">
        <v>0</v>
      </c>
      <c r="AK711" s="45">
        <v>0</v>
      </c>
      <c r="AL711" s="45">
        <v>0</v>
      </c>
      <c r="AM711" s="45">
        <v>0</v>
      </c>
      <c r="AN711" s="45">
        <v>0</v>
      </c>
      <c r="AO711" s="45">
        <v>0</v>
      </c>
      <c r="AP711" s="45">
        <v>0</v>
      </c>
      <c r="AQ711" s="45">
        <v>0</v>
      </c>
      <c r="AR711" s="45">
        <v>0</v>
      </c>
      <c r="AS711" s="45">
        <v>0</v>
      </c>
      <c r="AT711" s="45">
        <v>0</v>
      </c>
      <c r="AU711" s="45">
        <v>0</v>
      </c>
      <c r="AV711" s="45">
        <v>0</v>
      </c>
      <c r="AW711" s="45">
        <v>0</v>
      </c>
      <c r="AX711" s="45">
        <v>0</v>
      </c>
      <c r="AY711" s="45">
        <v>0</v>
      </c>
      <c r="AZ711" s="45">
        <v>0</v>
      </c>
      <c r="BA711" s="45">
        <v>0</v>
      </c>
      <c r="BB711" s="45">
        <v>0</v>
      </c>
      <c r="BC711" s="45">
        <v>0</v>
      </c>
      <c r="BD711" s="45">
        <v>0</v>
      </c>
      <c r="BE711" s="45">
        <v>0</v>
      </c>
      <c r="BF711" s="45">
        <v>0</v>
      </c>
      <c r="BG711" s="45">
        <v>0</v>
      </c>
    </row>
    <row r="712" spans="1:59">
      <c r="A712" s="18" t="s">
        <v>234</v>
      </c>
      <c r="B712" s="18" t="s">
        <v>106</v>
      </c>
      <c r="C712" s="18" t="s">
        <v>220</v>
      </c>
      <c r="D712" s="45">
        <v>0</v>
      </c>
      <c r="E712" s="45">
        <v>0</v>
      </c>
      <c r="F712" s="45">
        <v>0</v>
      </c>
      <c r="G712" s="45">
        <v>0</v>
      </c>
      <c r="H712" s="45">
        <v>0</v>
      </c>
      <c r="I712" s="45">
        <v>11</v>
      </c>
      <c r="J712" s="45">
        <v>13.8</v>
      </c>
      <c r="K712" s="45">
        <v>11.6</v>
      </c>
      <c r="L712" s="45">
        <v>8.4</v>
      </c>
      <c r="M712" s="45">
        <v>5.1</v>
      </c>
      <c r="N712" s="45">
        <v>4.5</v>
      </c>
      <c r="O712" s="45">
        <v>4.1</v>
      </c>
      <c r="P712" s="45">
        <v>3.5</v>
      </c>
      <c r="Q712" s="45">
        <v>2.8</v>
      </c>
      <c r="R712" s="45">
        <v>4.5</v>
      </c>
      <c r="S712" s="45">
        <v>5</v>
      </c>
      <c r="T712" s="45">
        <v>3</v>
      </c>
      <c r="U712" s="45">
        <v>3.9</v>
      </c>
      <c r="V712" s="45">
        <v>5.3</v>
      </c>
      <c r="W712" s="45">
        <v>0</v>
      </c>
      <c r="X712" s="45">
        <v>0</v>
      </c>
      <c r="Y712" s="45">
        <v>0</v>
      </c>
      <c r="Z712" s="45">
        <v>0</v>
      </c>
      <c r="AA712" s="45">
        <v>0</v>
      </c>
      <c r="AB712" s="45">
        <v>0</v>
      </c>
      <c r="AC712" s="45">
        <v>0</v>
      </c>
      <c r="AD712" s="45">
        <v>0</v>
      </c>
      <c r="AE712" s="45">
        <v>0</v>
      </c>
      <c r="AF712" s="45">
        <v>0</v>
      </c>
      <c r="AG712" s="45">
        <v>0</v>
      </c>
      <c r="AH712" s="45">
        <v>0</v>
      </c>
      <c r="AI712" s="45">
        <v>0</v>
      </c>
      <c r="AJ712" s="45">
        <v>0</v>
      </c>
      <c r="AK712" s="45">
        <v>0</v>
      </c>
      <c r="AL712" s="45">
        <v>45.7</v>
      </c>
      <c r="AM712" s="45">
        <v>0</v>
      </c>
      <c r="AN712" s="45">
        <v>0</v>
      </c>
      <c r="AO712" s="45">
        <v>0</v>
      </c>
      <c r="AP712" s="45">
        <v>0</v>
      </c>
      <c r="AQ712" s="45">
        <v>0</v>
      </c>
      <c r="AR712" s="45">
        <v>0</v>
      </c>
      <c r="AS712" s="45">
        <v>0</v>
      </c>
      <c r="AT712" s="45">
        <v>0</v>
      </c>
      <c r="AU712" s="45">
        <v>0</v>
      </c>
      <c r="AV712" s="45">
        <v>0</v>
      </c>
      <c r="AW712" s="45">
        <v>0</v>
      </c>
      <c r="AX712" s="45">
        <v>0</v>
      </c>
      <c r="AY712" s="45">
        <v>0</v>
      </c>
      <c r="AZ712" s="45">
        <v>0</v>
      </c>
      <c r="BA712" s="45">
        <v>0</v>
      </c>
      <c r="BB712" s="45">
        <v>0</v>
      </c>
      <c r="BC712" s="45">
        <v>0</v>
      </c>
      <c r="BD712" s="45">
        <v>0</v>
      </c>
      <c r="BE712" s="45">
        <v>0</v>
      </c>
      <c r="BF712" s="45">
        <v>0</v>
      </c>
      <c r="BG712" s="45">
        <v>0</v>
      </c>
    </row>
    <row r="713" spans="1:59">
      <c r="A713" s="18" t="s">
        <v>235</v>
      </c>
      <c r="B713" s="18" t="s">
        <v>120</v>
      </c>
      <c r="C713" s="18" t="s">
        <v>5</v>
      </c>
      <c r="D713" s="45">
        <v>0</v>
      </c>
      <c r="E713" s="45">
        <v>0</v>
      </c>
      <c r="F713" s="45">
        <v>0</v>
      </c>
      <c r="G713" s="45">
        <v>0</v>
      </c>
      <c r="H713" s="45">
        <v>0</v>
      </c>
      <c r="I713" s="45">
        <v>20.7</v>
      </c>
      <c r="J713" s="45">
        <v>18.1</v>
      </c>
      <c r="K713" s="45">
        <v>18.4</v>
      </c>
      <c r="L713" s="45">
        <v>20.5</v>
      </c>
      <c r="M713" s="45">
        <v>20.3</v>
      </c>
      <c r="N713" s="45">
        <v>21.4</v>
      </c>
      <c r="O713" s="45">
        <v>21.9</v>
      </c>
      <c r="P713" s="45">
        <v>23.8</v>
      </c>
      <c r="Q713" s="45">
        <v>23.9</v>
      </c>
      <c r="R713" s="45">
        <v>23.1</v>
      </c>
      <c r="S713" s="45">
        <v>24.2</v>
      </c>
      <c r="T713" s="45">
        <v>25.1</v>
      </c>
      <c r="U713" s="45">
        <v>24.2</v>
      </c>
      <c r="V713" s="45">
        <v>24.1</v>
      </c>
      <c r="W713" s="45">
        <v>23</v>
      </c>
      <c r="X713" s="45">
        <v>22</v>
      </c>
      <c r="Y713" s="45">
        <v>19.2</v>
      </c>
      <c r="Z713" s="45">
        <v>20.6</v>
      </c>
      <c r="AA713" s="45">
        <v>23.4</v>
      </c>
      <c r="AB713" s="45">
        <v>19.3</v>
      </c>
      <c r="AC713" s="45">
        <v>18.3</v>
      </c>
      <c r="AD713" s="45">
        <v>20.3</v>
      </c>
      <c r="AE713" s="45">
        <v>22.9</v>
      </c>
      <c r="AF713" s="45">
        <v>20.5</v>
      </c>
      <c r="AG713" s="45">
        <v>21.4</v>
      </c>
      <c r="AH713" s="45">
        <v>21.1</v>
      </c>
      <c r="AI713" s="45">
        <v>21.6</v>
      </c>
      <c r="AJ713" s="45">
        <v>19.6</v>
      </c>
      <c r="AK713" s="45">
        <v>21.4</v>
      </c>
      <c r="AL713" s="45">
        <v>20.7</v>
      </c>
      <c r="AM713" s="45">
        <v>18.7</v>
      </c>
      <c r="AN713" s="45">
        <v>19.6</v>
      </c>
      <c r="AO713" s="45">
        <v>19.4</v>
      </c>
      <c r="AP713" s="45">
        <v>17.5</v>
      </c>
      <c r="AQ713" s="45">
        <v>13.6</v>
      </c>
      <c r="AR713" s="45">
        <v>11.5</v>
      </c>
      <c r="AS713" s="45">
        <v>0</v>
      </c>
      <c r="AT713" s="45">
        <v>0</v>
      </c>
      <c r="AU713" s="45">
        <v>0</v>
      </c>
      <c r="AV713" s="45">
        <v>0</v>
      </c>
      <c r="AW713" s="45">
        <v>0</v>
      </c>
      <c r="AX713" s="45">
        <v>0</v>
      </c>
      <c r="AY713" s="45">
        <v>0</v>
      </c>
      <c r="AZ713" s="45">
        <v>0</v>
      </c>
      <c r="BA713" s="45">
        <v>0</v>
      </c>
      <c r="BB713" s="45">
        <v>0</v>
      </c>
      <c r="BC713" s="45">
        <v>0</v>
      </c>
      <c r="BD713" s="45">
        <v>0</v>
      </c>
      <c r="BE713" s="45">
        <v>0</v>
      </c>
      <c r="BF713" s="45">
        <v>0</v>
      </c>
      <c r="BG713" s="45">
        <v>0</v>
      </c>
    </row>
    <row r="714" spans="1:59">
      <c r="A714" s="18" t="s">
        <v>236</v>
      </c>
      <c r="B714" s="18" t="s">
        <v>120</v>
      </c>
      <c r="C714" s="18" t="s">
        <v>210</v>
      </c>
      <c r="D714" s="45">
        <v>0</v>
      </c>
      <c r="E714" s="45">
        <v>0</v>
      </c>
      <c r="F714" s="45">
        <v>0</v>
      </c>
      <c r="G714" s="45">
        <v>0</v>
      </c>
      <c r="H714" s="45">
        <v>38.1</v>
      </c>
      <c r="I714" s="45">
        <v>19</v>
      </c>
      <c r="J714" s="45">
        <v>17.9</v>
      </c>
      <c r="K714" s="45">
        <v>18.9</v>
      </c>
      <c r="L714" s="45">
        <v>18.5</v>
      </c>
      <c r="M714" s="45">
        <v>20.2</v>
      </c>
      <c r="N714" s="45">
        <v>20.4</v>
      </c>
      <c r="O714" s="45">
        <v>20.8</v>
      </c>
      <c r="P714" s="45">
        <v>19.1</v>
      </c>
      <c r="Q714" s="45">
        <v>21.1</v>
      </c>
      <c r="R714" s="45">
        <v>22.2</v>
      </c>
      <c r="S714" s="45">
        <v>21.2</v>
      </c>
      <c r="T714" s="45">
        <v>19.9</v>
      </c>
      <c r="U714" s="45">
        <v>25.2</v>
      </c>
      <c r="V714" s="45">
        <v>22.9</v>
      </c>
      <c r="W714" s="45">
        <v>22.4</v>
      </c>
      <c r="X714" s="45">
        <v>20.3</v>
      </c>
      <c r="Y714" s="45">
        <v>21</v>
      </c>
      <c r="Z714" s="45">
        <v>20.4</v>
      </c>
      <c r="AA714" s="45">
        <v>24</v>
      </c>
      <c r="AB714" s="45">
        <v>18.2</v>
      </c>
      <c r="AC714" s="45">
        <v>18.4</v>
      </c>
      <c r="AD714" s="45">
        <v>21.3</v>
      </c>
      <c r="AE714" s="45">
        <v>20.9</v>
      </c>
      <c r="AF714" s="45">
        <v>21.5</v>
      </c>
      <c r="AG714" s="45">
        <v>19.6</v>
      </c>
      <c r="AH714" s="45">
        <v>22.1</v>
      </c>
      <c r="AI714" s="45">
        <v>20.6</v>
      </c>
      <c r="AJ714" s="45">
        <v>19.5</v>
      </c>
      <c r="AK714" s="45">
        <v>18.8</v>
      </c>
      <c r="AL714" s="45">
        <v>19.5</v>
      </c>
      <c r="AM714" s="45">
        <v>19</v>
      </c>
      <c r="AN714" s="45">
        <v>17.9</v>
      </c>
      <c r="AO714" s="45">
        <v>16.5</v>
      </c>
      <c r="AP714" s="45">
        <v>15.3</v>
      </c>
      <c r="AQ714" s="45">
        <v>12.1</v>
      </c>
      <c r="AR714" s="45">
        <v>9.1</v>
      </c>
      <c r="AS714" s="45">
        <v>0</v>
      </c>
      <c r="AT714" s="45">
        <v>0</v>
      </c>
      <c r="AU714" s="45">
        <v>0</v>
      </c>
      <c r="AV714" s="45">
        <v>0</v>
      </c>
      <c r="AW714" s="45">
        <v>0</v>
      </c>
      <c r="AX714" s="45">
        <v>0</v>
      </c>
      <c r="AY714" s="45">
        <v>0</v>
      </c>
      <c r="AZ714" s="45">
        <v>0</v>
      </c>
      <c r="BA714" s="45">
        <v>0</v>
      </c>
      <c r="BB714" s="45">
        <v>0</v>
      </c>
      <c r="BC714" s="45">
        <v>0</v>
      </c>
      <c r="BD714" s="45">
        <v>0</v>
      </c>
      <c r="BE714" s="45">
        <v>0</v>
      </c>
      <c r="BF714" s="45">
        <v>0</v>
      </c>
      <c r="BG714" s="45">
        <v>0</v>
      </c>
    </row>
    <row r="715" spans="1:59">
      <c r="A715" s="18" t="s">
        <v>237</v>
      </c>
      <c r="B715" s="18" t="s">
        <v>120</v>
      </c>
      <c r="C715" s="18" t="s">
        <v>212</v>
      </c>
      <c r="D715" s="45">
        <v>0</v>
      </c>
      <c r="E715" s="45">
        <v>0</v>
      </c>
      <c r="F715" s="45">
        <v>0</v>
      </c>
      <c r="G715" s="45">
        <v>0</v>
      </c>
      <c r="H715" s="45">
        <v>0</v>
      </c>
      <c r="I715" s="45">
        <v>20.6</v>
      </c>
      <c r="J715" s="45">
        <v>20.1</v>
      </c>
      <c r="K715" s="45">
        <v>20.6</v>
      </c>
      <c r="L715" s="45">
        <v>21.4</v>
      </c>
      <c r="M715" s="45">
        <v>20</v>
      </c>
      <c r="N715" s="45">
        <v>22.5</v>
      </c>
      <c r="O715" s="45">
        <v>20.2</v>
      </c>
      <c r="P715" s="45">
        <v>21.5</v>
      </c>
      <c r="Q715" s="45">
        <v>20.9</v>
      </c>
      <c r="R715" s="45">
        <v>21.7</v>
      </c>
      <c r="S715" s="45">
        <v>23.1</v>
      </c>
      <c r="T715" s="45">
        <v>21.9</v>
      </c>
      <c r="U715" s="45">
        <v>26.2</v>
      </c>
      <c r="V715" s="45">
        <v>25.4</v>
      </c>
      <c r="W715" s="45">
        <v>23.8</v>
      </c>
      <c r="X715" s="45">
        <v>22.5</v>
      </c>
      <c r="Y715" s="45">
        <v>22.8</v>
      </c>
      <c r="Z715" s="45">
        <v>23.2</v>
      </c>
      <c r="AA715" s="45">
        <v>21.6</v>
      </c>
      <c r="AB715" s="45">
        <v>19.7</v>
      </c>
      <c r="AC715" s="45">
        <v>21.2</v>
      </c>
      <c r="AD715" s="45">
        <v>22</v>
      </c>
      <c r="AE715" s="45">
        <v>20.6</v>
      </c>
      <c r="AF715" s="45">
        <v>21.5</v>
      </c>
      <c r="AG715" s="45">
        <v>23.3</v>
      </c>
      <c r="AH715" s="45">
        <v>21.7</v>
      </c>
      <c r="AI715" s="45">
        <v>23.2</v>
      </c>
      <c r="AJ715" s="45">
        <v>20.7</v>
      </c>
      <c r="AK715" s="45">
        <v>21.5</v>
      </c>
      <c r="AL715" s="45">
        <v>22.7</v>
      </c>
      <c r="AM715" s="45">
        <v>20.6</v>
      </c>
      <c r="AN715" s="45">
        <v>16.3</v>
      </c>
      <c r="AO715" s="45">
        <v>18.2</v>
      </c>
      <c r="AP715" s="45">
        <v>15</v>
      </c>
      <c r="AQ715" s="45">
        <v>11.9</v>
      </c>
      <c r="AR715" s="45">
        <v>10</v>
      </c>
      <c r="AS715" s="45">
        <v>0</v>
      </c>
      <c r="AT715" s="45">
        <v>0</v>
      </c>
      <c r="AU715" s="45">
        <v>0</v>
      </c>
      <c r="AV715" s="45">
        <v>0</v>
      </c>
      <c r="AW715" s="45">
        <v>0</v>
      </c>
      <c r="AX715" s="45">
        <v>0</v>
      </c>
      <c r="AY715" s="45">
        <v>0</v>
      </c>
      <c r="AZ715" s="45">
        <v>0</v>
      </c>
      <c r="BA715" s="45">
        <v>0</v>
      </c>
      <c r="BB715" s="45">
        <v>0</v>
      </c>
      <c r="BC715" s="45">
        <v>0</v>
      </c>
      <c r="BD715" s="45">
        <v>0</v>
      </c>
      <c r="BE715" s="45">
        <v>0</v>
      </c>
      <c r="BF715" s="45">
        <v>0</v>
      </c>
      <c r="BG715" s="45">
        <v>0</v>
      </c>
    </row>
    <row r="716" spans="1:59">
      <c r="A716" s="18" t="s">
        <v>238</v>
      </c>
      <c r="B716" s="18" t="s">
        <v>120</v>
      </c>
      <c r="C716" s="18" t="s">
        <v>214</v>
      </c>
      <c r="D716" s="45">
        <v>0</v>
      </c>
      <c r="E716" s="45">
        <v>0</v>
      </c>
      <c r="F716" s="45">
        <v>0</v>
      </c>
      <c r="G716" s="45">
        <v>0</v>
      </c>
      <c r="H716" s="45">
        <v>32.3</v>
      </c>
      <c r="I716" s="45">
        <v>21.8</v>
      </c>
      <c r="J716" s="45">
        <v>20</v>
      </c>
      <c r="K716" s="45">
        <v>17.2</v>
      </c>
      <c r="L716" s="45">
        <v>18.6</v>
      </c>
      <c r="M716" s="45">
        <v>20.1</v>
      </c>
      <c r="N716" s="45">
        <v>19.1</v>
      </c>
      <c r="O716" s="45">
        <v>19.1</v>
      </c>
      <c r="P716" s="45">
        <v>19.8</v>
      </c>
      <c r="Q716" s="45">
        <v>19.6</v>
      </c>
      <c r="R716" s="45">
        <v>21.1</v>
      </c>
      <c r="S716" s="45">
        <v>22.2</v>
      </c>
      <c r="T716" s="45">
        <v>21.6</v>
      </c>
      <c r="U716" s="45">
        <v>22.4</v>
      </c>
      <c r="V716" s="45">
        <v>21.4</v>
      </c>
      <c r="W716" s="45">
        <v>21.3</v>
      </c>
      <c r="X716" s="45">
        <v>18.8</v>
      </c>
      <c r="Y716" s="45">
        <v>18.3</v>
      </c>
      <c r="Z716" s="45">
        <v>19.2</v>
      </c>
      <c r="AA716" s="45">
        <v>17.9</v>
      </c>
      <c r="AB716" s="45">
        <v>17.5</v>
      </c>
      <c r="AC716" s="45">
        <v>19.3</v>
      </c>
      <c r="AD716" s="45">
        <v>18.2</v>
      </c>
      <c r="AE716" s="45">
        <v>18.9</v>
      </c>
      <c r="AF716" s="45">
        <v>21.4</v>
      </c>
      <c r="AG716" s="45">
        <v>20.8</v>
      </c>
      <c r="AH716" s="45">
        <v>18.4</v>
      </c>
      <c r="AI716" s="45">
        <v>22.5</v>
      </c>
      <c r="AJ716" s="45">
        <v>20.2</v>
      </c>
      <c r="AK716" s="45">
        <v>20.1</v>
      </c>
      <c r="AL716" s="45">
        <v>19.9</v>
      </c>
      <c r="AM716" s="45">
        <v>20.2</v>
      </c>
      <c r="AN716" s="45">
        <v>15.7</v>
      </c>
      <c r="AO716" s="45">
        <v>17.6</v>
      </c>
      <c r="AP716" s="45">
        <v>15</v>
      </c>
      <c r="AQ716" s="45">
        <v>12.1</v>
      </c>
      <c r="AR716" s="45">
        <v>10.5</v>
      </c>
      <c r="AS716" s="45">
        <v>0</v>
      </c>
      <c r="AT716" s="45">
        <v>0</v>
      </c>
      <c r="AU716" s="45">
        <v>0</v>
      </c>
      <c r="AV716" s="45">
        <v>0</v>
      </c>
      <c r="AW716" s="45">
        <v>0</v>
      </c>
      <c r="AX716" s="45">
        <v>0</v>
      </c>
      <c r="AY716" s="45">
        <v>0</v>
      </c>
      <c r="AZ716" s="45">
        <v>0</v>
      </c>
      <c r="BA716" s="45">
        <v>0</v>
      </c>
      <c r="BB716" s="45">
        <v>0</v>
      </c>
      <c r="BC716" s="45">
        <v>0</v>
      </c>
      <c r="BD716" s="45">
        <v>0</v>
      </c>
      <c r="BE716" s="45">
        <v>0</v>
      </c>
      <c r="BF716" s="45">
        <v>0</v>
      </c>
      <c r="BG716" s="45">
        <v>0</v>
      </c>
    </row>
    <row r="717" spans="1:59">
      <c r="A717" s="18" t="s">
        <v>239</v>
      </c>
      <c r="B717" s="18" t="s">
        <v>120</v>
      </c>
      <c r="C717" s="18" t="s">
        <v>216</v>
      </c>
      <c r="D717" s="45">
        <v>0</v>
      </c>
      <c r="E717" s="45">
        <v>0</v>
      </c>
      <c r="F717" s="45">
        <v>0</v>
      </c>
      <c r="G717" s="45">
        <v>0</v>
      </c>
      <c r="H717" s="45">
        <v>29.1</v>
      </c>
      <c r="I717" s="45">
        <v>19.2</v>
      </c>
      <c r="J717" s="45">
        <v>17.3</v>
      </c>
      <c r="K717" s="45">
        <v>18.2</v>
      </c>
      <c r="L717" s="45">
        <v>18.9</v>
      </c>
      <c r="M717" s="45">
        <v>18.8</v>
      </c>
      <c r="N717" s="45">
        <v>20.3</v>
      </c>
      <c r="O717" s="45">
        <v>19.6</v>
      </c>
      <c r="P717" s="45">
        <v>21</v>
      </c>
      <c r="Q717" s="45">
        <v>20.7</v>
      </c>
      <c r="R717" s="45">
        <v>18.9</v>
      </c>
      <c r="S717" s="45">
        <v>19.5</v>
      </c>
      <c r="T717" s="45">
        <v>22</v>
      </c>
      <c r="U717" s="45">
        <v>20.9</v>
      </c>
      <c r="V717" s="45">
        <v>23.9</v>
      </c>
      <c r="W717" s="45">
        <v>21.6</v>
      </c>
      <c r="X717" s="45">
        <v>19.2</v>
      </c>
      <c r="Y717" s="45">
        <v>20.2</v>
      </c>
      <c r="Z717" s="45">
        <v>19.3</v>
      </c>
      <c r="AA717" s="45">
        <v>17.7</v>
      </c>
      <c r="AB717" s="45">
        <v>18.8</v>
      </c>
      <c r="AC717" s="45">
        <v>17.6</v>
      </c>
      <c r="AD717" s="45">
        <v>19.9</v>
      </c>
      <c r="AE717" s="45">
        <v>20.4</v>
      </c>
      <c r="AF717" s="45">
        <v>20.8</v>
      </c>
      <c r="AG717" s="45">
        <v>21.7</v>
      </c>
      <c r="AH717" s="45">
        <v>21.7</v>
      </c>
      <c r="AI717" s="45">
        <v>21.4</v>
      </c>
      <c r="AJ717" s="45">
        <v>21.7</v>
      </c>
      <c r="AK717" s="45">
        <v>22.2</v>
      </c>
      <c r="AL717" s="45">
        <v>21.5</v>
      </c>
      <c r="AM717" s="45">
        <v>19.9</v>
      </c>
      <c r="AN717" s="45">
        <v>20.1</v>
      </c>
      <c r="AO717" s="45">
        <v>18.1</v>
      </c>
      <c r="AP717" s="45">
        <v>15.5</v>
      </c>
      <c r="AQ717" s="45">
        <v>12.1</v>
      </c>
      <c r="AR717" s="45">
        <v>9.699999999999999</v>
      </c>
      <c r="AS717" s="45">
        <v>0</v>
      </c>
      <c r="AT717" s="45">
        <v>0</v>
      </c>
      <c r="AU717" s="45">
        <v>0</v>
      </c>
      <c r="AV717" s="45">
        <v>0</v>
      </c>
      <c r="AW717" s="45">
        <v>0</v>
      </c>
      <c r="AX717" s="45">
        <v>0</v>
      </c>
      <c r="AY717" s="45">
        <v>0</v>
      </c>
      <c r="AZ717" s="45">
        <v>0</v>
      </c>
      <c r="BA717" s="45">
        <v>0</v>
      </c>
      <c r="BB717" s="45">
        <v>0</v>
      </c>
      <c r="BC717" s="45">
        <v>0</v>
      </c>
      <c r="BD717" s="45">
        <v>0</v>
      </c>
      <c r="BE717" s="45">
        <v>0</v>
      </c>
      <c r="BF717" s="45">
        <v>0</v>
      </c>
      <c r="BG717" s="45">
        <v>0</v>
      </c>
    </row>
    <row r="718" spans="1:59">
      <c r="A718" s="18" t="s">
        <v>240</v>
      </c>
      <c r="B718" s="18" t="s">
        <v>120</v>
      </c>
      <c r="C718" s="18" t="s">
        <v>218</v>
      </c>
      <c r="D718" s="45">
        <v>0</v>
      </c>
      <c r="E718" s="45">
        <v>0</v>
      </c>
      <c r="F718" s="45">
        <v>0</v>
      </c>
      <c r="G718" s="45">
        <v>0</v>
      </c>
      <c r="H718" s="45">
        <v>0</v>
      </c>
      <c r="I718" s="45">
        <v>0</v>
      </c>
      <c r="J718" s="45">
        <v>0</v>
      </c>
      <c r="K718" s="45">
        <v>0</v>
      </c>
      <c r="L718" s="45">
        <v>0</v>
      </c>
      <c r="M718" s="45">
        <v>0</v>
      </c>
      <c r="N718" s="45">
        <v>0</v>
      </c>
      <c r="O718" s="45">
        <v>0</v>
      </c>
      <c r="P718" s="45">
        <v>0</v>
      </c>
      <c r="Q718" s="45">
        <v>0</v>
      </c>
      <c r="R718" s="45">
        <v>0</v>
      </c>
      <c r="S718" s="45">
        <v>0</v>
      </c>
      <c r="T718" s="45">
        <v>0</v>
      </c>
      <c r="U718" s="45">
        <v>0</v>
      </c>
      <c r="V718" s="45">
        <v>0</v>
      </c>
      <c r="W718" s="45">
        <v>0</v>
      </c>
      <c r="X718" s="45">
        <v>0</v>
      </c>
      <c r="Y718" s="45">
        <v>0</v>
      </c>
      <c r="Z718" s="45">
        <v>0</v>
      </c>
      <c r="AA718" s="45">
        <v>0</v>
      </c>
      <c r="AB718" s="45">
        <v>0</v>
      </c>
      <c r="AC718" s="45">
        <v>0</v>
      </c>
      <c r="AD718" s="45">
        <v>0</v>
      </c>
      <c r="AE718" s="45">
        <v>0</v>
      </c>
      <c r="AF718" s="45">
        <v>0</v>
      </c>
      <c r="AG718" s="45">
        <v>0</v>
      </c>
      <c r="AH718" s="45">
        <v>0</v>
      </c>
      <c r="AI718" s="45">
        <v>0</v>
      </c>
      <c r="AJ718" s="45">
        <v>0</v>
      </c>
      <c r="AK718" s="45">
        <v>0</v>
      </c>
      <c r="AL718" s="45">
        <v>0</v>
      </c>
      <c r="AM718" s="45">
        <v>0</v>
      </c>
      <c r="AN718" s="45">
        <v>0</v>
      </c>
      <c r="AO718" s="45">
        <v>0</v>
      </c>
      <c r="AP718" s="45">
        <v>0</v>
      </c>
      <c r="AQ718" s="45">
        <v>0</v>
      </c>
      <c r="AR718" s="45">
        <v>0</v>
      </c>
      <c r="AS718" s="45">
        <v>0</v>
      </c>
      <c r="AT718" s="45">
        <v>0</v>
      </c>
      <c r="AU718" s="45">
        <v>0</v>
      </c>
      <c r="AV718" s="45">
        <v>0</v>
      </c>
      <c r="AW718" s="45">
        <v>0</v>
      </c>
      <c r="AX718" s="45">
        <v>0</v>
      </c>
      <c r="AY718" s="45">
        <v>0</v>
      </c>
      <c r="AZ718" s="45">
        <v>0</v>
      </c>
      <c r="BA718" s="45">
        <v>0</v>
      </c>
      <c r="BB718" s="45">
        <v>0</v>
      </c>
      <c r="BC718" s="45">
        <v>0</v>
      </c>
      <c r="BD718" s="45">
        <v>0</v>
      </c>
      <c r="BE718" s="45">
        <v>0</v>
      </c>
      <c r="BF718" s="45">
        <v>0</v>
      </c>
      <c r="BG718" s="45">
        <v>0</v>
      </c>
    </row>
    <row r="719" spans="1:59">
      <c r="A719" s="18" t="s">
        <v>241</v>
      </c>
      <c r="B719" s="18" t="s">
        <v>120</v>
      </c>
      <c r="C719" s="18" t="s">
        <v>220</v>
      </c>
      <c r="D719" s="45">
        <v>0</v>
      </c>
      <c r="E719" s="45">
        <v>0</v>
      </c>
      <c r="F719" s="45">
        <v>0</v>
      </c>
      <c r="G719" s="45">
        <v>0</v>
      </c>
      <c r="H719" s="45">
        <v>0</v>
      </c>
      <c r="I719" s="45">
        <v>25.7</v>
      </c>
      <c r="J719" s="45">
        <v>30.8</v>
      </c>
      <c r="K719" s="45">
        <v>41.4</v>
      </c>
      <c r="L719" s="45">
        <v>19.8</v>
      </c>
      <c r="M719" s="45">
        <v>26.7</v>
      </c>
      <c r="N719" s="45">
        <v>19.9</v>
      </c>
      <c r="O719" s="45">
        <v>32.8</v>
      </c>
      <c r="P719" s="45">
        <v>30.8</v>
      </c>
      <c r="Q719" s="45">
        <v>18.6</v>
      </c>
      <c r="R719" s="45">
        <v>0</v>
      </c>
      <c r="S719" s="45">
        <v>23.8</v>
      </c>
      <c r="T719" s="45">
        <v>13.8</v>
      </c>
      <c r="U719" s="45">
        <v>11.4</v>
      </c>
      <c r="V719" s="45">
        <v>32.5</v>
      </c>
      <c r="W719" s="45">
        <v>0</v>
      </c>
      <c r="X719" s="45">
        <v>0</v>
      </c>
      <c r="Y719" s="45">
        <v>0</v>
      </c>
      <c r="Z719" s="45">
        <v>0</v>
      </c>
      <c r="AA719" s="45">
        <v>0</v>
      </c>
      <c r="AB719" s="45">
        <v>0</v>
      </c>
      <c r="AC719" s="45">
        <v>0</v>
      </c>
      <c r="AD719" s="45">
        <v>0</v>
      </c>
      <c r="AE719" s="45">
        <v>0</v>
      </c>
      <c r="AF719" s="45">
        <v>0</v>
      </c>
      <c r="AG719" s="45">
        <v>0</v>
      </c>
      <c r="AH719" s="45">
        <v>0</v>
      </c>
      <c r="AI719" s="45">
        <v>0</v>
      </c>
      <c r="AJ719" s="45">
        <v>0</v>
      </c>
      <c r="AK719" s="45">
        <v>0</v>
      </c>
      <c r="AL719" s="45">
        <v>0</v>
      </c>
      <c r="AM719" s="45">
        <v>0</v>
      </c>
      <c r="AN719" s="45">
        <v>0</v>
      </c>
      <c r="AO719" s="45">
        <v>0</v>
      </c>
      <c r="AP719" s="45">
        <v>0</v>
      </c>
      <c r="AQ719" s="45">
        <v>0</v>
      </c>
      <c r="AR719" s="45">
        <v>0</v>
      </c>
      <c r="AS719" s="45">
        <v>0</v>
      </c>
      <c r="AT719" s="45">
        <v>0</v>
      </c>
      <c r="AU719" s="45">
        <v>0</v>
      </c>
      <c r="AV719" s="45">
        <v>0</v>
      </c>
      <c r="AW719" s="45">
        <v>0</v>
      </c>
      <c r="AX719" s="45">
        <v>0</v>
      </c>
      <c r="AY719" s="45">
        <v>0</v>
      </c>
      <c r="AZ719" s="45">
        <v>0</v>
      </c>
      <c r="BA719" s="45">
        <v>0</v>
      </c>
      <c r="BB719" s="45">
        <v>0</v>
      </c>
      <c r="BC719" s="45">
        <v>0</v>
      </c>
      <c r="BD719" s="45">
        <v>0</v>
      </c>
      <c r="BE719" s="45">
        <v>0</v>
      </c>
      <c r="BF719" s="45">
        <v>0</v>
      </c>
      <c r="BG719" s="45">
        <v>0</v>
      </c>
    </row>
    <row r="720" spans="1:59">
      <c r="A720" s="18" t="s">
        <v>242</v>
      </c>
      <c r="B720" s="18" t="s">
        <v>134</v>
      </c>
      <c r="C720" s="18" t="s">
        <v>5</v>
      </c>
      <c r="D720" s="45">
        <v>0</v>
      </c>
      <c r="E720" s="45">
        <v>0</v>
      </c>
      <c r="F720" s="45">
        <v>0</v>
      </c>
      <c r="G720" s="45">
        <v>0</v>
      </c>
      <c r="H720" s="45">
        <v>0</v>
      </c>
      <c r="I720" s="45">
        <v>15.7</v>
      </c>
      <c r="J720" s="45">
        <v>12.5</v>
      </c>
      <c r="K720" s="45">
        <v>14.3</v>
      </c>
      <c r="L720" s="45">
        <v>14.9</v>
      </c>
      <c r="M720" s="45">
        <v>16.1</v>
      </c>
      <c r="N720" s="45">
        <v>17.2</v>
      </c>
      <c r="O720" s="45">
        <v>19.2</v>
      </c>
      <c r="P720" s="45">
        <v>19.2</v>
      </c>
      <c r="Q720" s="45">
        <v>20.6</v>
      </c>
      <c r="R720" s="45">
        <v>19.4</v>
      </c>
      <c r="S720" s="45">
        <v>21.8</v>
      </c>
      <c r="T720" s="45">
        <v>20.2</v>
      </c>
      <c r="U720" s="45">
        <v>21</v>
      </c>
      <c r="V720" s="45">
        <v>21.7</v>
      </c>
      <c r="W720" s="45">
        <v>22.2</v>
      </c>
      <c r="X720" s="45">
        <v>20.7</v>
      </c>
      <c r="Y720" s="45">
        <v>19.2</v>
      </c>
      <c r="Z720" s="45">
        <v>16.9</v>
      </c>
      <c r="AA720" s="45">
        <v>16.2</v>
      </c>
      <c r="AB720" s="45">
        <v>14.7</v>
      </c>
      <c r="AC720" s="45">
        <v>14</v>
      </c>
      <c r="AD720" s="45">
        <v>14.8</v>
      </c>
      <c r="AE720" s="45">
        <v>15.4</v>
      </c>
      <c r="AF720" s="45">
        <v>15.9</v>
      </c>
      <c r="AG720" s="45">
        <v>15.6</v>
      </c>
      <c r="AH720" s="45">
        <v>17.5</v>
      </c>
      <c r="AI720" s="45">
        <v>15.4</v>
      </c>
      <c r="AJ720" s="45">
        <v>15.7</v>
      </c>
      <c r="AK720" s="45">
        <v>16.4</v>
      </c>
      <c r="AL720" s="45">
        <v>14.6</v>
      </c>
      <c r="AM720" s="45">
        <v>13.8</v>
      </c>
      <c r="AN720" s="45">
        <v>14.4</v>
      </c>
      <c r="AO720" s="45">
        <v>14.2</v>
      </c>
      <c r="AP720" s="45">
        <v>12.8</v>
      </c>
      <c r="AQ720" s="45">
        <v>13.1</v>
      </c>
      <c r="AR720" s="45">
        <v>13.8</v>
      </c>
      <c r="AS720" s="45">
        <v>0</v>
      </c>
      <c r="AT720" s="45">
        <v>0</v>
      </c>
      <c r="AU720" s="45">
        <v>0</v>
      </c>
      <c r="AV720" s="45">
        <v>0</v>
      </c>
      <c r="AW720" s="45">
        <v>0</v>
      </c>
      <c r="AX720" s="45">
        <v>0</v>
      </c>
      <c r="AY720" s="45">
        <v>0</v>
      </c>
      <c r="AZ720" s="45">
        <v>0</v>
      </c>
      <c r="BA720" s="45">
        <v>0</v>
      </c>
      <c r="BB720" s="45">
        <v>0</v>
      </c>
      <c r="BC720" s="45">
        <v>0</v>
      </c>
      <c r="BD720" s="45">
        <v>0</v>
      </c>
      <c r="BE720" s="45">
        <v>0</v>
      </c>
      <c r="BF720" s="45">
        <v>0</v>
      </c>
      <c r="BG720" s="45">
        <v>0</v>
      </c>
    </row>
    <row r="721" spans="1:59">
      <c r="A721" s="18" t="s">
        <v>243</v>
      </c>
      <c r="B721" s="18" t="s">
        <v>134</v>
      </c>
      <c r="C721" s="18" t="s">
        <v>210</v>
      </c>
      <c r="D721" s="45">
        <v>0</v>
      </c>
      <c r="E721" s="45">
        <v>0</v>
      </c>
      <c r="F721" s="45">
        <v>0</v>
      </c>
      <c r="G721" s="45">
        <v>0</v>
      </c>
      <c r="H721" s="45">
        <v>0</v>
      </c>
      <c r="I721" s="45">
        <v>14.7</v>
      </c>
      <c r="J721" s="45">
        <v>14</v>
      </c>
      <c r="K721" s="45">
        <v>12.6</v>
      </c>
      <c r="L721" s="45">
        <v>13.3</v>
      </c>
      <c r="M721" s="45">
        <v>14.5</v>
      </c>
      <c r="N721" s="45">
        <v>14.4</v>
      </c>
      <c r="O721" s="45">
        <v>16.7</v>
      </c>
      <c r="P721" s="45">
        <v>16.5</v>
      </c>
      <c r="Q721" s="45">
        <v>16.9</v>
      </c>
      <c r="R721" s="45">
        <v>17.4</v>
      </c>
      <c r="S721" s="45">
        <v>16.3</v>
      </c>
      <c r="T721" s="45">
        <v>16.4</v>
      </c>
      <c r="U721" s="45">
        <v>18.2</v>
      </c>
      <c r="V721" s="45">
        <v>17.2</v>
      </c>
      <c r="W721" s="45">
        <v>18.6</v>
      </c>
      <c r="X721" s="45">
        <v>16.2</v>
      </c>
      <c r="Y721" s="45">
        <v>14.7</v>
      </c>
      <c r="Z721" s="45">
        <v>14</v>
      </c>
      <c r="AA721" s="45">
        <v>13.1</v>
      </c>
      <c r="AB721" s="45">
        <v>13.7</v>
      </c>
      <c r="AC721" s="45">
        <v>13.2</v>
      </c>
      <c r="AD721" s="45">
        <v>12.7</v>
      </c>
      <c r="AE721" s="45">
        <v>13.9</v>
      </c>
      <c r="AF721" s="45">
        <v>14.7</v>
      </c>
      <c r="AG721" s="45">
        <v>14.5</v>
      </c>
      <c r="AH721" s="45">
        <v>15.6</v>
      </c>
      <c r="AI721" s="45">
        <v>14.5</v>
      </c>
      <c r="AJ721" s="45">
        <v>13.2</v>
      </c>
      <c r="AK721" s="45">
        <v>14.2</v>
      </c>
      <c r="AL721" s="45">
        <v>14</v>
      </c>
      <c r="AM721" s="45">
        <v>12.4</v>
      </c>
      <c r="AN721" s="45">
        <v>12.4</v>
      </c>
      <c r="AO721" s="45">
        <v>12</v>
      </c>
      <c r="AP721" s="45">
        <v>10.5</v>
      </c>
      <c r="AQ721" s="45">
        <v>9.9</v>
      </c>
      <c r="AR721" s="45">
        <v>9.199999999999999</v>
      </c>
      <c r="AS721" s="45">
        <v>0</v>
      </c>
      <c r="AT721" s="45">
        <v>0</v>
      </c>
      <c r="AU721" s="45">
        <v>0</v>
      </c>
      <c r="AV721" s="45">
        <v>0</v>
      </c>
      <c r="AW721" s="45">
        <v>0</v>
      </c>
      <c r="AX721" s="45">
        <v>0</v>
      </c>
      <c r="AY721" s="45">
        <v>0</v>
      </c>
      <c r="AZ721" s="45">
        <v>0</v>
      </c>
      <c r="BA721" s="45">
        <v>0</v>
      </c>
      <c r="BB721" s="45">
        <v>0</v>
      </c>
      <c r="BC721" s="45">
        <v>0</v>
      </c>
      <c r="BD721" s="45">
        <v>0</v>
      </c>
      <c r="BE721" s="45">
        <v>0</v>
      </c>
      <c r="BF721" s="45">
        <v>0</v>
      </c>
      <c r="BG721" s="45">
        <v>0</v>
      </c>
    </row>
    <row r="722" spans="1:59">
      <c r="A722" s="18" t="s">
        <v>244</v>
      </c>
      <c r="B722" s="18" t="s">
        <v>134</v>
      </c>
      <c r="C722" s="18" t="s">
        <v>212</v>
      </c>
      <c r="D722" s="45">
        <v>0</v>
      </c>
      <c r="E722" s="45">
        <v>0</v>
      </c>
      <c r="F722" s="45">
        <v>0</v>
      </c>
      <c r="G722" s="45">
        <v>0</v>
      </c>
      <c r="H722" s="45">
        <v>0</v>
      </c>
      <c r="I722" s="45">
        <v>15</v>
      </c>
      <c r="J722" s="45">
        <v>12.4</v>
      </c>
      <c r="K722" s="45">
        <v>13.4</v>
      </c>
      <c r="L722" s="45">
        <v>13.7</v>
      </c>
      <c r="M722" s="45">
        <v>15.3</v>
      </c>
      <c r="N722" s="45">
        <v>15.7</v>
      </c>
      <c r="O722" s="45">
        <v>17</v>
      </c>
      <c r="P722" s="45">
        <v>17.8</v>
      </c>
      <c r="Q722" s="45">
        <v>16.6</v>
      </c>
      <c r="R722" s="45">
        <v>17.6</v>
      </c>
      <c r="S722" s="45">
        <v>17.2</v>
      </c>
      <c r="T722" s="45">
        <v>17</v>
      </c>
      <c r="U722" s="45">
        <v>16.6</v>
      </c>
      <c r="V722" s="45">
        <v>16.8</v>
      </c>
      <c r="W722" s="45">
        <v>20.2</v>
      </c>
      <c r="X722" s="45">
        <v>16.5</v>
      </c>
      <c r="Y722" s="45">
        <v>16</v>
      </c>
      <c r="Z722" s="45">
        <v>14.9</v>
      </c>
      <c r="AA722" s="45">
        <v>14.3</v>
      </c>
      <c r="AB722" s="45">
        <v>14.5</v>
      </c>
      <c r="AC722" s="45">
        <v>13.7</v>
      </c>
      <c r="AD722" s="45">
        <v>12.6</v>
      </c>
      <c r="AE722" s="45">
        <v>14.4</v>
      </c>
      <c r="AF722" s="45">
        <v>16</v>
      </c>
      <c r="AG722" s="45">
        <v>14.3</v>
      </c>
      <c r="AH722" s="45">
        <v>14.9</v>
      </c>
      <c r="AI722" s="45">
        <v>13.9</v>
      </c>
      <c r="AJ722" s="45">
        <v>13.8</v>
      </c>
      <c r="AK722" s="45">
        <v>14.5</v>
      </c>
      <c r="AL722" s="45">
        <v>13.9</v>
      </c>
      <c r="AM722" s="45">
        <v>13.5</v>
      </c>
      <c r="AN722" s="45">
        <v>12.7</v>
      </c>
      <c r="AO722" s="45">
        <v>12.6</v>
      </c>
      <c r="AP722" s="45">
        <v>12.3</v>
      </c>
      <c r="AQ722" s="45">
        <v>10.8</v>
      </c>
      <c r="AR722" s="45">
        <v>11</v>
      </c>
      <c r="AS722" s="45">
        <v>0</v>
      </c>
      <c r="AT722" s="45">
        <v>0</v>
      </c>
      <c r="AU722" s="45">
        <v>0</v>
      </c>
      <c r="AV722" s="45">
        <v>0</v>
      </c>
      <c r="AW722" s="45">
        <v>0</v>
      </c>
      <c r="AX722" s="45">
        <v>0</v>
      </c>
      <c r="AY722" s="45">
        <v>0</v>
      </c>
      <c r="AZ722" s="45">
        <v>0</v>
      </c>
      <c r="BA722" s="45">
        <v>0</v>
      </c>
      <c r="BB722" s="45">
        <v>0</v>
      </c>
      <c r="BC722" s="45">
        <v>0</v>
      </c>
      <c r="BD722" s="45">
        <v>0</v>
      </c>
      <c r="BE722" s="45">
        <v>0</v>
      </c>
      <c r="BF722" s="45">
        <v>0</v>
      </c>
      <c r="BG722" s="45">
        <v>0</v>
      </c>
    </row>
    <row r="723" spans="1:59">
      <c r="A723" s="18" t="s">
        <v>245</v>
      </c>
      <c r="B723" s="18" t="s">
        <v>134</v>
      </c>
      <c r="C723" s="18" t="s">
        <v>214</v>
      </c>
      <c r="D723" s="45">
        <v>0</v>
      </c>
      <c r="E723" s="45">
        <v>0</v>
      </c>
      <c r="F723" s="45">
        <v>0</v>
      </c>
      <c r="G723" s="45">
        <v>0</v>
      </c>
      <c r="H723" s="45">
        <v>0</v>
      </c>
      <c r="I723" s="45">
        <v>15.1</v>
      </c>
      <c r="J723" s="45">
        <v>12.4</v>
      </c>
      <c r="K723" s="45">
        <v>12.3</v>
      </c>
      <c r="L723" s="45">
        <v>12.1</v>
      </c>
      <c r="M723" s="45">
        <v>13</v>
      </c>
      <c r="N723" s="45">
        <v>12.8</v>
      </c>
      <c r="O723" s="45">
        <v>13.6</v>
      </c>
      <c r="P723" s="45">
        <v>15</v>
      </c>
      <c r="Q723" s="45">
        <v>16.1</v>
      </c>
      <c r="R723" s="45">
        <v>17.4</v>
      </c>
      <c r="S723" s="45">
        <v>17.1</v>
      </c>
      <c r="T723" s="45">
        <v>18</v>
      </c>
      <c r="U723" s="45">
        <v>16.5</v>
      </c>
      <c r="V723" s="45">
        <v>17</v>
      </c>
      <c r="W723" s="45">
        <v>18.3</v>
      </c>
      <c r="X723" s="45">
        <v>17</v>
      </c>
      <c r="Y723" s="45">
        <v>15.9</v>
      </c>
      <c r="Z723" s="45">
        <v>14.9</v>
      </c>
      <c r="AA723" s="45">
        <v>12.9</v>
      </c>
      <c r="AB723" s="45">
        <v>12.3</v>
      </c>
      <c r="AC723" s="45">
        <v>14.4</v>
      </c>
      <c r="AD723" s="45">
        <v>12.9</v>
      </c>
      <c r="AE723" s="45">
        <v>13.1</v>
      </c>
      <c r="AF723" s="45">
        <v>12.7</v>
      </c>
      <c r="AG723" s="45">
        <v>14</v>
      </c>
      <c r="AH723" s="45">
        <v>13.3</v>
      </c>
      <c r="AI723" s="45">
        <v>12.8</v>
      </c>
      <c r="AJ723" s="45">
        <v>12.5</v>
      </c>
      <c r="AK723" s="45">
        <v>12.8</v>
      </c>
      <c r="AL723" s="45">
        <v>12.5</v>
      </c>
      <c r="AM723" s="45">
        <v>12.4</v>
      </c>
      <c r="AN723" s="45">
        <v>12.6</v>
      </c>
      <c r="AO723" s="45">
        <v>11.5</v>
      </c>
      <c r="AP723" s="45">
        <v>10.3</v>
      </c>
      <c r="AQ723" s="45">
        <v>9.699999999999999</v>
      </c>
      <c r="AR723" s="45">
        <v>8.699999999999999</v>
      </c>
      <c r="AS723" s="45">
        <v>0</v>
      </c>
      <c r="AT723" s="45">
        <v>0</v>
      </c>
      <c r="AU723" s="45">
        <v>4.1</v>
      </c>
      <c r="AV723" s="45">
        <v>5.9</v>
      </c>
      <c r="AW723" s="45">
        <v>0</v>
      </c>
      <c r="AX723" s="45">
        <v>0</v>
      </c>
      <c r="AY723" s="45">
        <v>0</v>
      </c>
      <c r="AZ723" s="45">
        <v>0</v>
      </c>
      <c r="BA723" s="45">
        <v>0</v>
      </c>
      <c r="BB723" s="45">
        <v>0</v>
      </c>
      <c r="BC723" s="45">
        <v>0</v>
      </c>
      <c r="BD723" s="45">
        <v>0</v>
      </c>
      <c r="BE723" s="45">
        <v>0</v>
      </c>
      <c r="BF723" s="45">
        <v>0</v>
      </c>
      <c r="BG723" s="45">
        <v>0</v>
      </c>
    </row>
    <row r="724" spans="1:59">
      <c r="A724" s="18" t="s">
        <v>246</v>
      </c>
      <c r="B724" s="18" t="s">
        <v>134</v>
      </c>
      <c r="C724" s="18" t="s">
        <v>216</v>
      </c>
      <c r="D724" s="45">
        <v>0</v>
      </c>
      <c r="E724" s="45">
        <v>0</v>
      </c>
      <c r="F724" s="45">
        <v>0</v>
      </c>
      <c r="G724" s="45">
        <v>0</v>
      </c>
      <c r="H724" s="45">
        <v>0</v>
      </c>
      <c r="I724" s="45">
        <v>15.3</v>
      </c>
      <c r="J724" s="45">
        <v>13</v>
      </c>
      <c r="K724" s="45">
        <v>12.8</v>
      </c>
      <c r="L724" s="45">
        <v>12.4</v>
      </c>
      <c r="M724" s="45">
        <v>12.5</v>
      </c>
      <c r="N724" s="45">
        <v>13.3</v>
      </c>
      <c r="O724" s="45">
        <v>13.8</v>
      </c>
      <c r="P724" s="45">
        <v>13.5</v>
      </c>
      <c r="Q724" s="45">
        <v>14.5</v>
      </c>
      <c r="R724" s="45">
        <v>15.1</v>
      </c>
      <c r="S724" s="45">
        <v>15.7</v>
      </c>
      <c r="T724" s="45">
        <v>16</v>
      </c>
      <c r="U724" s="45">
        <v>16</v>
      </c>
      <c r="V724" s="45">
        <v>15.7</v>
      </c>
      <c r="W724" s="45">
        <v>15.6</v>
      </c>
      <c r="X724" s="45">
        <v>15.6</v>
      </c>
      <c r="Y724" s="45">
        <v>14.7</v>
      </c>
      <c r="Z724" s="45">
        <v>13</v>
      </c>
      <c r="AA724" s="45">
        <v>11.6</v>
      </c>
      <c r="AB724" s="45">
        <v>13.1</v>
      </c>
      <c r="AC724" s="45">
        <v>12.6</v>
      </c>
      <c r="AD724" s="45">
        <v>12.5</v>
      </c>
      <c r="AE724" s="45">
        <v>13.4</v>
      </c>
      <c r="AF724" s="45">
        <v>13.2</v>
      </c>
      <c r="AG724" s="45">
        <v>14.5</v>
      </c>
      <c r="AH724" s="45">
        <v>13</v>
      </c>
      <c r="AI724" s="45">
        <v>14.6</v>
      </c>
      <c r="AJ724" s="45">
        <v>14.4</v>
      </c>
      <c r="AK724" s="45">
        <v>14.1</v>
      </c>
      <c r="AL724" s="45">
        <v>13.6</v>
      </c>
      <c r="AM724" s="45">
        <v>13.4</v>
      </c>
      <c r="AN724" s="45">
        <v>13.5</v>
      </c>
      <c r="AO724" s="45">
        <v>12.1</v>
      </c>
      <c r="AP724" s="45">
        <v>11.6</v>
      </c>
      <c r="AQ724" s="45">
        <v>10.4</v>
      </c>
      <c r="AR724" s="45">
        <v>9.9</v>
      </c>
      <c r="AS724" s="45">
        <v>12.1</v>
      </c>
      <c r="AT724" s="45">
        <v>0</v>
      </c>
      <c r="AU724" s="45">
        <v>0</v>
      </c>
      <c r="AV724" s="45">
        <v>0</v>
      </c>
      <c r="AW724" s="45">
        <v>0</v>
      </c>
      <c r="AX724" s="45">
        <v>0</v>
      </c>
      <c r="AY724" s="45">
        <v>0</v>
      </c>
      <c r="AZ724" s="45">
        <v>0</v>
      </c>
      <c r="BA724" s="45">
        <v>0</v>
      </c>
      <c r="BB724" s="45">
        <v>0</v>
      </c>
      <c r="BC724" s="45">
        <v>0</v>
      </c>
      <c r="BD724" s="45">
        <v>0</v>
      </c>
      <c r="BE724" s="45">
        <v>0</v>
      </c>
      <c r="BF724" s="45">
        <v>0</v>
      </c>
      <c r="BG724" s="45">
        <v>0</v>
      </c>
    </row>
    <row r="725" spans="1:59">
      <c r="A725" s="18" t="s">
        <v>247</v>
      </c>
      <c r="B725" s="18" t="s">
        <v>134</v>
      </c>
      <c r="C725" s="18" t="s">
        <v>218</v>
      </c>
      <c r="D725" s="45">
        <v>0</v>
      </c>
      <c r="E725" s="45">
        <v>0</v>
      </c>
      <c r="F725" s="45">
        <v>0</v>
      </c>
      <c r="G725" s="45">
        <v>0</v>
      </c>
      <c r="H725" s="45">
        <v>0</v>
      </c>
      <c r="I725" s="45">
        <v>0</v>
      </c>
      <c r="J725" s="45">
        <v>0</v>
      </c>
      <c r="K725" s="45">
        <v>0</v>
      </c>
      <c r="L725" s="45">
        <v>0</v>
      </c>
      <c r="M725" s="45">
        <v>0</v>
      </c>
      <c r="N725" s="45">
        <v>0</v>
      </c>
      <c r="O725" s="45">
        <v>0</v>
      </c>
      <c r="P725" s="45">
        <v>0</v>
      </c>
      <c r="Q725" s="45">
        <v>0</v>
      </c>
      <c r="R725" s="45">
        <v>0</v>
      </c>
      <c r="S725" s="45">
        <v>0</v>
      </c>
      <c r="T725" s="45">
        <v>0</v>
      </c>
      <c r="U725" s="45">
        <v>0</v>
      </c>
      <c r="V725" s="45">
        <v>0</v>
      </c>
      <c r="W725" s="45">
        <v>0</v>
      </c>
      <c r="X725" s="45">
        <v>0</v>
      </c>
      <c r="Y725" s="45">
        <v>0</v>
      </c>
      <c r="Z725" s="45">
        <v>0</v>
      </c>
      <c r="AA725" s="45">
        <v>0</v>
      </c>
      <c r="AB725" s="45">
        <v>0</v>
      </c>
      <c r="AC725" s="45">
        <v>0</v>
      </c>
      <c r="AD725" s="45">
        <v>0</v>
      </c>
      <c r="AE725" s="45">
        <v>0</v>
      </c>
      <c r="AF725" s="45">
        <v>0</v>
      </c>
      <c r="AG725" s="45">
        <v>0</v>
      </c>
      <c r="AH725" s="45">
        <v>0</v>
      </c>
      <c r="AI725" s="45">
        <v>0</v>
      </c>
      <c r="AJ725" s="45">
        <v>0</v>
      </c>
      <c r="AK725" s="45">
        <v>0</v>
      </c>
      <c r="AL725" s="45">
        <v>0</v>
      </c>
      <c r="AM725" s="45">
        <v>0</v>
      </c>
      <c r="AN725" s="45">
        <v>0</v>
      </c>
      <c r="AO725" s="45">
        <v>0</v>
      </c>
      <c r="AP725" s="45">
        <v>0</v>
      </c>
      <c r="AQ725" s="45">
        <v>0</v>
      </c>
      <c r="AR725" s="45">
        <v>0</v>
      </c>
      <c r="AS725" s="45">
        <v>0</v>
      </c>
      <c r="AT725" s="45">
        <v>0</v>
      </c>
      <c r="AU725" s="45">
        <v>0</v>
      </c>
      <c r="AV725" s="45">
        <v>0</v>
      </c>
      <c r="AW725" s="45">
        <v>0</v>
      </c>
      <c r="AX725" s="45">
        <v>0</v>
      </c>
      <c r="AY725" s="45">
        <v>0</v>
      </c>
      <c r="AZ725" s="45">
        <v>0</v>
      </c>
      <c r="BA725" s="45">
        <v>0</v>
      </c>
      <c r="BB725" s="45">
        <v>0</v>
      </c>
      <c r="BC725" s="45">
        <v>0</v>
      </c>
      <c r="BD725" s="45">
        <v>0</v>
      </c>
      <c r="BE725" s="45">
        <v>0</v>
      </c>
      <c r="BF725" s="45">
        <v>0</v>
      </c>
      <c r="BG725" s="45">
        <v>0</v>
      </c>
    </row>
    <row r="726" spans="1:59">
      <c r="A726" s="18" t="s">
        <v>248</v>
      </c>
      <c r="B726" s="18" t="s">
        <v>134</v>
      </c>
      <c r="C726" s="18" t="s">
        <v>220</v>
      </c>
      <c r="D726" s="45">
        <v>0</v>
      </c>
      <c r="E726" s="45">
        <v>0</v>
      </c>
      <c r="F726" s="45">
        <v>0</v>
      </c>
      <c r="G726" s="45">
        <v>0</v>
      </c>
      <c r="H726" s="45">
        <v>0</v>
      </c>
      <c r="I726" s="45">
        <v>0</v>
      </c>
      <c r="J726" s="45">
        <v>0</v>
      </c>
      <c r="K726" s="45">
        <v>0</v>
      </c>
      <c r="L726" s="45">
        <v>0</v>
      </c>
      <c r="M726" s="45">
        <v>0</v>
      </c>
      <c r="N726" s="45">
        <v>0</v>
      </c>
      <c r="O726" s="45">
        <v>0</v>
      </c>
      <c r="P726" s="45">
        <v>0</v>
      </c>
      <c r="Q726" s="45">
        <v>0</v>
      </c>
      <c r="R726" s="45">
        <v>0</v>
      </c>
      <c r="S726" s="45">
        <v>0</v>
      </c>
      <c r="T726" s="45">
        <v>0</v>
      </c>
      <c r="U726" s="45">
        <v>0</v>
      </c>
      <c r="V726" s="45">
        <v>0</v>
      </c>
      <c r="W726" s="45">
        <v>0</v>
      </c>
      <c r="X726" s="45">
        <v>0</v>
      </c>
      <c r="Y726" s="45">
        <v>0</v>
      </c>
      <c r="Z726" s="45">
        <v>0</v>
      </c>
      <c r="AA726" s="45">
        <v>0</v>
      </c>
      <c r="AB726" s="45">
        <v>0</v>
      </c>
      <c r="AC726" s="45">
        <v>0</v>
      </c>
      <c r="AD726" s="45">
        <v>0</v>
      </c>
      <c r="AE726" s="45">
        <v>0</v>
      </c>
      <c r="AF726" s="45">
        <v>0</v>
      </c>
      <c r="AG726" s="45">
        <v>0</v>
      </c>
      <c r="AH726" s="45">
        <v>0</v>
      </c>
      <c r="AI726" s="45">
        <v>0</v>
      </c>
      <c r="AJ726" s="45">
        <v>0</v>
      </c>
      <c r="AK726" s="45">
        <v>40.3</v>
      </c>
      <c r="AL726" s="45">
        <v>0</v>
      </c>
      <c r="AM726" s="45">
        <v>0</v>
      </c>
      <c r="AN726" s="45">
        <v>0</v>
      </c>
      <c r="AO726" s="45">
        <v>0</v>
      </c>
      <c r="AP726" s="45">
        <v>0</v>
      </c>
      <c r="AQ726" s="45">
        <v>0</v>
      </c>
      <c r="AR726" s="45">
        <v>0</v>
      </c>
      <c r="AS726" s="45">
        <v>0</v>
      </c>
      <c r="AT726" s="45">
        <v>0</v>
      </c>
      <c r="AU726" s="45">
        <v>0</v>
      </c>
      <c r="AV726" s="45">
        <v>0</v>
      </c>
      <c r="AW726" s="45">
        <v>0</v>
      </c>
      <c r="AX726" s="45">
        <v>0</v>
      </c>
      <c r="AY726" s="45">
        <v>0</v>
      </c>
      <c r="AZ726" s="45">
        <v>0</v>
      </c>
      <c r="BA726" s="45">
        <v>0</v>
      </c>
      <c r="BB726" s="45">
        <v>0</v>
      </c>
      <c r="BC726" s="45">
        <v>0</v>
      </c>
      <c r="BD726" s="45">
        <v>0</v>
      </c>
      <c r="BE726" s="45">
        <v>0</v>
      </c>
      <c r="BF726" s="45">
        <v>0</v>
      </c>
      <c r="BG726" s="45">
        <v>0</v>
      </c>
    </row>
    <row r="727" spans="1:59">
      <c r="A727" s="18" t="s">
        <v>249</v>
      </c>
      <c r="B727" s="18" t="s">
        <v>148</v>
      </c>
      <c r="C727" s="18" t="s">
        <v>5</v>
      </c>
      <c r="D727" s="45">
        <v>0</v>
      </c>
      <c r="E727" s="45">
        <v>0</v>
      </c>
      <c r="F727" s="45">
        <v>0</v>
      </c>
      <c r="G727" s="45">
        <v>30.2</v>
      </c>
      <c r="H727" s="45">
        <v>24.7</v>
      </c>
      <c r="I727" s="45">
        <v>21.8</v>
      </c>
      <c r="J727" s="45">
        <v>19</v>
      </c>
      <c r="K727" s="45">
        <v>20.5</v>
      </c>
      <c r="L727" s="45">
        <v>19.2</v>
      </c>
      <c r="M727" s="45">
        <v>21.6</v>
      </c>
      <c r="N727" s="45">
        <v>23.6</v>
      </c>
      <c r="O727" s="45">
        <v>24.4</v>
      </c>
      <c r="P727" s="45">
        <v>29.4</v>
      </c>
      <c r="Q727" s="45">
        <v>32.4</v>
      </c>
      <c r="R727" s="45">
        <v>29.8</v>
      </c>
      <c r="S727" s="45">
        <v>31.2</v>
      </c>
      <c r="T727" s="45">
        <v>30.8</v>
      </c>
      <c r="U727" s="45">
        <v>28.5</v>
      </c>
      <c r="V727" s="45">
        <v>32.1</v>
      </c>
      <c r="W727" s="45">
        <v>31.1</v>
      </c>
      <c r="X727" s="45">
        <v>30.7</v>
      </c>
      <c r="Y727" s="45">
        <v>27.5</v>
      </c>
      <c r="Z727" s="45">
        <v>25.3</v>
      </c>
      <c r="AA727" s="45">
        <v>22.8</v>
      </c>
      <c r="AB727" s="45">
        <v>23.4</v>
      </c>
      <c r="AC727" s="45">
        <v>24.9</v>
      </c>
      <c r="AD727" s="45">
        <v>23.9</v>
      </c>
      <c r="AE727" s="45">
        <v>24</v>
      </c>
      <c r="AF727" s="45">
        <v>26.2</v>
      </c>
      <c r="AG727" s="45">
        <v>26.3</v>
      </c>
      <c r="AH727" s="45">
        <v>27.1</v>
      </c>
      <c r="AI727" s="45">
        <v>27.6</v>
      </c>
      <c r="AJ727" s="45">
        <v>22.7</v>
      </c>
      <c r="AK727" s="45">
        <v>23</v>
      </c>
      <c r="AL727" s="45">
        <v>23</v>
      </c>
      <c r="AM727" s="45">
        <v>23.5</v>
      </c>
      <c r="AN727" s="45">
        <v>20.3</v>
      </c>
      <c r="AO727" s="45">
        <v>17</v>
      </c>
      <c r="AP727" s="45">
        <v>17.5</v>
      </c>
      <c r="AQ727" s="45">
        <v>17.4</v>
      </c>
      <c r="AR727" s="45">
        <v>12.7</v>
      </c>
      <c r="AS727" s="45">
        <v>0</v>
      </c>
      <c r="AT727" s="45">
        <v>0</v>
      </c>
      <c r="AU727" s="45">
        <v>0</v>
      </c>
      <c r="AV727" s="45">
        <v>0</v>
      </c>
      <c r="AW727" s="45">
        <v>0</v>
      </c>
      <c r="AX727" s="45">
        <v>0</v>
      </c>
      <c r="AY727" s="45">
        <v>0</v>
      </c>
      <c r="AZ727" s="45">
        <v>0</v>
      </c>
      <c r="BA727" s="45">
        <v>0</v>
      </c>
      <c r="BB727" s="45">
        <v>0</v>
      </c>
      <c r="BC727" s="45">
        <v>0</v>
      </c>
      <c r="BD727" s="45">
        <v>0</v>
      </c>
      <c r="BE727" s="45">
        <v>0</v>
      </c>
      <c r="BF727" s="45">
        <v>0</v>
      </c>
      <c r="BG727" s="45">
        <v>0</v>
      </c>
    </row>
    <row r="728" spans="1:59">
      <c r="A728" s="18" t="s">
        <v>250</v>
      </c>
      <c r="B728" s="18" t="s">
        <v>148</v>
      </c>
      <c r="C728" s="18" t="s">
        <v>210</v>
      </c>
      <c r="D728" s="45">
        <v>0</v>
      </c>
      <c r="E728" s="45">
        <v>0</v>
      </c>
      <c r="F728" s="45">
        <v>0</v>
      </c>
      <c r="G728" s="45">
        <v>29.1</v>
      </c>
      <c r="H728" s="45">
        <v>22.7</v>
      </c>
      <c r="I728" s="45">
        <v>19.9</v>
      </c>
      <c r="J728" s="45">
        <v>18.1</v>
      </c>
      <c r="K728" s="45">
        <v>17.4</v>
      </c>
      <c r="L728" s="45">
        <v>18.4</v>
      </c>
      <c r="M728" s="45">
        <v>18.2</v>
      </c>
      <c r="N728" s="45">
        <v>19.6</v>
      </c>
      <c r="O728" s="45">
        <v>20.9</v>
      </c>
      <c r="P728" s="45">
        <v>21.3</v>
      </c>
      <c r="Q728" s="45">
        <v>21.9</v>
      </c>
      <c r="R728" s="45">
        <v>24.6</v>
      </c>
      <c r="S728" s="45">
        <v>24.4</v>
      </c>
      <c r="T728" s="45">
        <v>23.8</v>
      </c>
      <c r="U728" s="45">
        <v>23.8</v>
      </c>
      <c r="V728" s="45">
        <v>24.8</v>
      </c>
      <c r="W728" s="45">
        <v>23.1</v>
      </c>
      <c r="X728" s="45">
        <v>23.6</v>
      </c>
      <c r="Y728" s="45">
        <v>22.1</v>
      </c>
      <c r="Z728" s="45">
        <v>22.4</v>
      </c>
      <c r="AA728" s="45">
        <v>20.1</v>
      </c>
      <c r="AB728" s="45">
        <v>21.6</v>
      </c>
      <c r="AC728" s="45">
        <v>20</v>
      </c>
      <c r="AD728" s="45">
        <v>20.9</v>
      </c>
      <c r="AE728" s="45">
        <v>22.3</v>
      </c>
      <c r="AF728" s="45">
        <v>24.1</v>
      </c>
      <c r="AG728" s="45">
        <v>21.4</v>
      </c>
      <c r="AH728" s="45">
        <v>21.9</v>
      </c>
      <c r="AI728" s="45">
        <v>23.2</v>
      </c>
      <c r="AJ728" s="45">
        <v>19.2</v>
      </c>
      <c r="AK728" s="45">
        <v>19.4</v>
      </c>
      <c r="AL728" s="45">
        <v>18.1</v>
      </c>
      <c r="AM728" s="45">
        <v>19.9</v>
      </c>
      <c r="AN728" s="45">
        <v>19.4</v>
      </c>
      <c r="AO728" s="45">
        <v>17.7</v>
      </c>
      <c r="AP728" s="45">
        <v>16.8</v>
      </c>
      <c r="AQ728" s="45">
        <v>17.2</v>
      </c>
      <c r="AR728" s="45">
        <v>10.3</v>
      </c>
      <c r="AS728" s="45">
        <v>0</v>
      </c>
      <c r="AT728" s="45">
        <v>0</v>
      </c>
      <c r="AU728" s="45">
        <v>0</v>
      </c>
      <c r="AV728" s="45">
        <v>0</v>
      </c>
      <c r="AW728" s="45">
        <v>0</v>
      </c>
      <c r="AX728" s="45">
        <v>0</v>
      </c>
      <c r="AY728" s="45">
        <v>0</v>
      </c>
      <c r="AZ728" s="45">
        <v>0</v>
      </c>
      <c r="BA728" s="45">
        <v>0</v>
      </c>
      <c r="BB728" s="45">
        <v>0</v>
      </c>
      <c r="BC728" s="45">
        <v>0</v>
      </c>
      <c r="BD728" s="45">
        <v>0</v>
      </c>
      <c r="BE728" s="45">
        <v>0</v>
      </c>
      <c r="BF728" s="45">
        <v>0</v>
      </c>
      <c r="BG728" s="45">
        <v>0</v>
      </c>
    </row>
    <row r="729" spans="1:59">
      <c r="A729" s="18" t="s">
        <v>251</v>
      </c>
      <c r="B729" s="18" t="s">
        <v>148</v>
      </c>
      <c r="C729" s="18" t="s">
        <v>212</v>
      </c>
      <c r="D729" s="45">
        <v>0</v>
      </c>
      <c r="E729" s="45">
        <v>0</v>
      </c>
      <c r="F729" s="45">
        <v>0</v>
      </c>
      <c r="G729" s="45">
        <v>29.7</v>
      </c>
      <c r="H729" s="45">
        <v>22.2</v>
      </c>
      <c r="I729" s="45">
        <v>19.9</v>
      </c>
      <c r="J729" s="45">
        <v>18</v>
      </c>
      <c r="K729" s="45">
        <v>18.4</v>
      </c>
      <c r="L729" s="45">
        <v>18.3</v>
      </c>
      <c r="M729" s="45">
        <v>21.9</v>
      </c>
      <c r="N729" s="45">
        <v>20.4</v>
      </c>
      <c r="O729" s="45">
        <v>20.1</v>
      </c>
      <c r="P729" s="45">
        <v>20.4</v>
      </c>
      <c r="Q729" s="45">
        <v>20.5</v>
      </c>
      <c r="R729" s="45">
        <v>21.3</v>
      </c>
      <c r="S729" s="45">
        <v>23.6</v>
      </c>
      <c r="T729" s="45">
        <v>23.6</v>
      </c>
      <c r="U729" s="45">
        <v>23.6</v>
      </c>
      <c r="V729" s="45">
        <v>21.5</v>
      </c>
      <c r="W729" s="45">
        <v>22.7</v>
      </c>
      <c r="X729" s="45">
        <v>23.4</v>
      </c>
      <c r="Y729" s="45">
        <v>22.4</v>
      </c>
      <c r="Z729" s="45">
        <v>18.1</v>
      </c>
      <c r="AA729" s="45">
        <v>18.9</v>
      </c>
      <c r="AB729" s="45">
        <v>18.7</v>
      </c>
      <c r="AC729" s="45">
        <v>18.8</v>
      </c>
      <c r="AD729" s="45">
        <v>20.9</v>
      </c>
      <c r="AE729" s="45">
        <v>19.7</v>
      </c>
      <c r="AF729" s="45">
        <v>20.7</v>
      </c>
      <c r="AG729" s="45">
        <v>20.1</v>
      </c>
      <c r="AH729" s="45">
        <v>19.4</v>
      </c>
      <c r="AI729" s="45">
        <v>20</v>
      </c>
      <c r="AJ729" s="45">
        <v>18.5</v>
      </c>
      <c r="AK729" s="45">
        <v>18.4</v>
      </c>
      <c r="AL729" s="45">
        <v>17.2</v>
      </c>
      <c r="AM729" s="45">
        <v>16.4</v>
      </c>
      <c r="AN729" s="45">
        <v>15.8</v>
      </c>
      <c r="AO729" s="45">
        <v>13.9</v>
      </c>
      <c r="AP729" s="45">
        <v>10.6</v>
      </c>
      <c r="AQ729" s="45">
        <v>9.4</v>
      </c>
      <c r="AR729" s="45">
        <v>6.5</v>
      </c>
      <c r="AS729" s="45">
        <v>0</v>
      </c>
      <c r="AT729" s="45">
        <v>0</v>
      </c>
      <c r="AU729" s="45">
        <v>0</v>
      </c>
      <c r="AV729" s="45">
        <v>0</v>
      </c>
      <c r="AW729" s="45">
        <v>0</v>
      </c>
      <c r="AX729" s="45">
        <v>0</v>
      </c>
      <c r="AY729" s="45">
        <v>0</v>
      </c>
      <c r="AZ729" s="45">
        <v>0</v>
      </c>
      <c r="BA729" s="45">
        <v>0</v>
      </c>
      <c r="BB729" s="45">
        <v>0</v>
      </c>
      <c r="BC729" s="45">
        <v>0</v>
      </c>
      <c r="BD729" s="45">
        <v>0</v>
      </c>
      <c r="BE729" s="45">
        <v>0</v>
      </c>
      <c r="BF729" s="45">
        <v>0</v>
      </c>
      <c r="BG729" s="45">
        <v>0</v>
      </c>
    </row>
    <row r="730" spans="1:59">
      <c r="A730" s="18" t="s">
        <v>252</v>
      </c>
      <c r="B730" s="18" t="s">
        <v>148</v>
      </c>
      <c r="C730" s="18" t="s">
        <v>214</v>
      </c>
      <c r="D730" s="45">
        <v>0</v>
      </c>
      <c r="E730" s="45">
        <v>0</v>
      </c>
      <c r="F730" s="45">
        <v>0</v>
      </c>
      <c r="G730" s="45">
        <v>38.3</v>
      </c>
      <c r="H730" s="45">
        <v>26.2</v>
      </c>
      <c r="I730" s="45">
        <v>20.2</v>
      </c>
      <c r="J730" s="45">
        <v>17.3</v>
      </c>
      <c r="K730" s="45">
        <v>19.6</v>
      </c>
      <c r="L730" s="45">
        <v>20.6</v>
      </c>
      <c r="M730" s="45">
        <v>17.3</v>
      </c>
      <c r="N730" s="45">
        <v>19.1</v>
      </c>
      <c r="O730" s="45">
        <v>19.7</v>
      </c>
      <c r="P730" s="45">
        <v>21.5</v>
      </c>
      <c r="Q730" s="45">
        <v>21.9</v>
      </c>
      <c r="R730" s="45">
        <v>20.3</v>
      </c>
      <c r="S730" s="45">
        <v>22.6</v>
      </c>
      <c r="T730" s="45">
        <v>24.3</v>
      </c>
      <c r="U730" s="45">
        <v>24.1</v>
      </c>
      <c r="V730" s="45">
        <v>20</v>
      </c>
      <c r="W730" s="45">
        <v>21.8</v>
      </c>
      <c r="X730" s="45">
        <v>19.1</v>
      </c>
      <c r="Y730" s="45">
        <v>21.2</v>
      </c>
      <c r="Z730" s="45">
        <v>20.1</v>
      </c>
      <c r="AA730" s="45">
        <v>18.9</v>
      </c>
      <c r="AB730" s="45">
        <v>16.8</v>
      </c>
      <c r="AC730" s="45">
        <v>17.2</v>
      </c>
      <c r="AD730" s="45">
        <v>20</v>
      </c>
      <c r="AE730" s="45">
        <v>18.4</v>
      </c>
      <c r="AF730" s="45">
        <v>19.9</v>
      </c>
      <c r="AG730" s="45">
        <v>20.2</v>
      </c>
      <c r="AH730" s="45">
        <v>21.1</v>
      </c>
      <c r="AI730" s="45">
        <v>20.6</v>
      </c>
      <c r="AJ730" s="45">
        <v>21.3</v>
      </c>
      <c r="AK730" s="45">
        <v>17.6</v>
      </c>
      <c r="AL730" s="45">
        <v>16.9</v>
      </c>
      <c r="AM730" s="45">
        <v>16.6</v>
      </c>
      <c r="AN730" s="45">
        <v>16</v>
      </c>
      <c r="AO730" s="45">
        <v>13.6</v>
      </c>
      <c r="AP730" s="45">
        <v>12.2</v>
      </c>
      <c r="AQ730" s="45">
        <v>12.1</v>
      </c>
      <c r="AR730" s="45">
        <v>9.1</v>
      </c>
      <c r="AS730" s="45">
        <v>0</v>
      </c>
      <c r="AT730" s="45">
        <v>0</v>
      </c>
      <c r="AU730" s="45">
        <v>0</v>
      </c>
      <c r="AV730" s="45">
        <v>0</v>
      </c>
      <c r="AW730" s="45">
        <v>0</v>
      </c>
      <c r="AX730" s="45">
        <v>0</v>
      </c>
      <c r="AY730" s="45">
        <v>0</v>
      </c>
      <c r="AZ730" s="45">
        <v>0</v>
      </c>
      <c r="BA730" s="45">
        <v>0</v>
      </c>
      <c r="BB730" s="45">
        <v>0</v>
      </c>
      <c r="BC730" s="45">
        <v>0</v>
      </c>
      <c r="BD730" s="45">
        <v>0</v>
      </c>
      <c r="BE730" s="45">
        <v>0</v>
      </c>
      <c r="BF730" s="45">
        <v>0</v>
      </c>
      <c r="BG730" s="45">
        <v>0</v>
      </c>
    </row>
    <row r="731" spans="1:59">
      <c r="A731" s="18" t="s">
        <v>253</v>
      </c>
      <c r="B731" s="18" t="s">
        <v>148</v>
      </c>
      <c r="C731" s="18" t="s">
        <v>216</v>
      </c>
      <c r="D731" s="45">
        <v>0</v>
      </c>
      <c r="E731" s="45">
        <v>0</v>
      </c>
      <c r="F731" s="45">
        <v>0</v>
      </c>
      <c r="G731" s="45">
        <v>39.8</v>
      </c>
      <c r="H731" s="45">
        <v>24.3</v>
      </c>
      <c r="I731" s="45">
        <v>19.6</v>
      </c>
      <c r="J731" s="45">
        <v>16.5</v>
      </c>
      <c r="K731" s="45">
        <v>17.7</v>
      </c>
      <c r="L731" s="45">
        <v>18</v>
      </c>
      <c r="M731" s="45">
        <v>17.4</v>
      </c>
      <c r="N731" s="45">
        <v>19.9</v>
      </c>
      <c r="O731" s="45">
        <v>19.1</v>
      </c>
      <c r="P731" s="45">
        <v>19.9</v>
      </c>
      <c r="Q731" s="45">
        <v>20.3</v>
      </c>
      <c r="R731" s="45">
        <v>20.6</v>
      </c>
      <c r="S731" s="45">
        <v>20.2</v>
      </c>
      <c r="T731" s="45">
        <v>21.9</v>
      </c>
      <c r="U731" s="45">
        <v>22.6</v>
      </c>
      <c r="V731" s="45">
        <v>20.3</v>
      </c>
      <c r="W731" s="45">
        <v>21.8</v>
      </c>
      <c r="X731" s="45">
        <v>21</v>
      </c>
      <c r="Y731" s="45">
        <v>20.4</v>
      </c>
      <c r="Z731" s="45">
        <v>18.5</v>
      </c>
      <c r="AA731" s="45">
        <v>16.9</v>
      </c>
      <c r="AB731" s="45">
        <v>19.1</v>
      </c>
      <c r="AC731" s="45">
        <v>20.5</v>
      </c>
      <c r="AD731" s="45">
        <v>18.6</v>
      </c>
      <c r="AE731" s="45">
        <v>19.3</v>
      </c>
      <c r="AF731" s="45">
        <v>19.6</v>
      </c>
      <c r="AG731" s="45">
        <v>19.6</v>
      </c>
      <c r="AH731" s="45">
        <v>20.8</v>
      </c>
      <c r="AI731" s="45">
        <v>18.9</v>
      </c>
      <c r="AJ731" s="45">
        <v>18.3</v>
      </c>
      <c r="AK731" s="45">
        <v>17.7</v>
      </c>
      <c r="AL731" s="45">
        <v>18.1</v>
      </c>
      <c r="AM731" s="45">
        <v>18.1</v>
      </c>
      <c r="AN731" s="45">
        <v>16.9</v>
      </c>
      <c r="AO731" s="45">
        <v>13.2</v>
      </c>
      <c r="AP731" s="45">
        <v>13.2</v>
      </c>
      <c r="AQ731" s="45">
        <v>11.9</v>
      </c>
      <c r="AR731" s="45">
        <v>10.7</v>
      </c>
      <c r="AS731" s="45">
        <v>0</v>
      </c>
      <c r="AT731" s="45">
        <v>0</v>
      </c>
      <c r="AU731" s="45">
        <v>0</v>
      </c>
      <c r="AV731" s="45">
        <v>0</v>
      </c>
      <c r="AW731" s="45">
        <v>0</v>
      </c>
      <c r="AX731" s="45">
        <v>0</v>
      </c>
      <c r="AY731" s="45">
        <v>0</v>
      </c>
      <c r="AZ731" s="45">
        <v>0</v>
      </c>
      <c r="BA731" s="45">
        <v>0</v>
      </c>
      <c r="BB731" s="45">
        <v>0</v>
      </c>
      <c r="BC731" s="45">
        <v>0</v>
      </c>
      <c r="BD731" s="45">
        <v>0</v>
      </c>
      <c r="BE731" s="45">
        <v>0</v>
      </c>
      <c r="BF731" s="45">
        <v>0</v>
      </c>
      <c r="BG731" s="45">
        <v>0</v>
      </c>
    </row>
    <row r="732" spans="1:59">
      <c r="A732" s="18" t="s">
        <v>254</v>
      </c>
      <c r="B732" s="18" t="s">
        <v>148</v>
      </c>
      <c r="C732" s="18" t="s">
        <v>218</v>
      </c>
      <c r="D732" s="45">
        <v>0</v>
      </c>
      <c r="E732" s="45">
        <v>0</v>
      </c>
      <c r="F732" s="45">
        <v>0</v>
      </c>
      <c r="G732" s="45">
        <v>0</v>
      </c>
      <c r="H732" s="45">
        <v>0</v>
      </c>
      <c r="I732" s="45">
        <v>0</v>
      </c>
      <c r="J732" s="45">
        <v>0</v>
      </c>
      <c r="K732" s="45">
        <v>0</v>
      </c>
      <c r="L732" s="45">
        <v>0</v>
      </c>
      <c r="M732" s="45">
        <v>0</v>
      </c>
      <c r="N732" s="45">
        <v>0</v>
      </c>
      <c r="O732" s="45">
        <v>0</v>
      </c>
      <c r="P732" s="45">
        <v>0</v>
      </c>
      <c r="Q732" s="45">
        <v>0</v>
      </c>
      <c r="R732" s="45">
        <v>0</v>
      </c>
      <c r="S732" s="45">
        <v>0</v>
      </c>
      <c r="T732" s="45">
        <v>0</v>
      </c>
      <c r="U732" s="45">
        <v>0</v>
      </c>
      <c r="V732" s="45">
        <v>0</v>
      </c>
      <c r="W732" s="45">
        <v>0</v>
      </c>
      <c r="X732" s="45">
        <v>0</v>
      </c>
      <c r="Y732" s="45">
        <v>0</v>
      </c>
      <c r="Z732" s="45">
        <v>0</v>
      </c>
      <c r="AA732" s="45">
        <v>0</v>
      </c>
      <c r="AB732" s="45">
        <v>0</v>
      </c>
      <c r="AC732" s="45">
        <v>0</v>
      </c>
      <c r="AD732" s="45">
        <v>0</v>
      </c>
      <c r="AE732" s="45">
        <v>0</v>
      </c>
      <c r="AF732" s="45">
        <v>0</v>
      </c>
      <c r="AG732" s="45">
        <v>0</v>
      </c>
      <c r="AH732" s="45">
        <v>0</v>
      </c>
      <c r="AI732" s="45">
        <v>0</v>
      </c>
      <c r="AJ732" s="45">
        <v>0</v>
      </c>
      <c r="AK732" s="45">
        <v>0</v>
      </c>
      <c r="AL732" s="45">
        <v>0</v>
      </c>
      <c r="AM732" s="45">
        <v>0</v>
      </c>
      <c r="AN732" s="45">
        <v>0</v>
      </c>
      <c r="AO732" s="45">
        <v>0</v>
      </c>
      <c r="AP732" s="45">
        <v>0</v>
      </c>
      <c r="AQ732" s="45">
        <v>0</v>
      </c>
      <c r="AR732" s="45">
        <v>0</v>
      </c>
      <c r="AS732" s="45">
        <v>0</v>
      </c>
      <c r="AT732" s="45">
        <v>0</v>
      </c>
      <c r="AU732" s="45">
        <v>0</v>
      </c>
      <c r="AV732" s="45">
        <v>0</v>
      </c>
      <c r="AW732" s="45">
        <v>0</v>
      </c>
      <c r="AX732" s="45">
        <v>0</v>
      </c>
      <c r="AY732" s="45">
        <v>0</v>
      </c>
      <c r="AZ732" s="45">
        <v>0</v>
      </c>
      <c r="BA732" s="45">
        <v>0</v>
      </c>
      <c r="BB732" s="45">
        <v>0</v>
      </c>
      <c r="BC732" s="45">
        <v>0</v>
      </c>
      <c r="BD732" s="45">
        <v>0</v>
      </c>
      <c r="BE732" s="45">
        <v>0</v>
      </c>
      <c r="BF732" s="45">
        <v>0</v>
      </c>
      <c r="BG732" s="45">
        <v>0</v>
      </c>
    </row>
    <row r="733" spans="1:59">
      <c r="A733" s="18" t="s">
        <v>255</v>
      </c>
      <c r="B733" s="18" t="s">
        <v>148</v>
      </c>
      <c r="C733" s="18" t="s">
        <v>220</v>
      </c>
      <c r="D733" s="45">
        <v>0</v>
      </c>
      <c r="E733" s="45">
        <v>0</v>
      </c>
      <c r="F733" s="45">
        <v>0</v>
      </c>
      <c r="G733" s="45">
        <v>0</v>
      </c>
      <c r="H733" s="45">
        <v>27.4</v>
      </c>
      <c r="I733" s="45">
        <v>29.6</v>
      </c>
      <c r="J733" s="45">
        <v>33.4</v>
      </c>
      <c r="K733" s="45">
        <v>27.1</v>
      </c>
      <c r="L733" s="45">
        <v>22.8</v>
      </c>
      <c r="M733" s="45">
        <v>24.9</v>
      </c>
      <c r="N733" s="45">
        <v>19.9</v>
      </c>
      <c r="O733" s="45">
        <v>25.1</v>
      </c>
      <c r="P733" s="45">
        <v>0</v>
      </c>
      <c r="Q733" s="45">
        <v>16.3</v>
      </c>
      <c r="R733" s="45">
        <v>18.5</v>
      </c>
      <c r="S733" s="45">
        <v>0</v>
      </c>
      <c r="T733" s="45">
        <v>0</v>
      </c>
      <c r="U733" s="45">
        <v>0</v>
      </c>
      <c r="V733" s="45">
        <v>0</v>
      </c>
      <c r="W733" s="45">
        <v>0</v>
      </c>
      <c r="X733" s="45">
        <v>0</v>
      </c>
      <c r="Y733" s="45">
        <v>0</v>
      </c>
      <c r="Z733" s="45">
        <v>0</v>
      </c>
      <c r="AA733" s="45">
        <v>0</v>
      </c>
      <c r="AB733" s="45">
        <v>0</v>
      </c>
      <c r="AC733" s="45">
        <v>0</v>
      </c>
      <c r="AD733" s="45">
        <v>0</v>
      </c>
      <c r="AE733" s="45">
        <v>0</v>
      </c>
      <c r="AF733" s="45">
        <v>0</v>
      </c>
      <c r="AG733" s="45">
        <v>0</v>
      </c>
      <c r="AH733" s="45">
        <v>0</v>
      </c>
      <c r="AI733" s="45">
        <v>0</v>
      </c>
      <c r="AJ733" s="45">
        <v>0</v>
      </c>
      <c r="AK733" s="45">
        <v>0</v>
      </c>
      <c r="AL733" s="45">
        <v>0</v>
      </c>
      <c r="AM733" s="45">
        <v>0</v>
      </c>
      <c r="AN733" s="45">
        <v>0</v>
      </c>
      <c r="AO733" s="45">
        <v>0</v>
      </c>
      <c r="AP733" s="45">
        <v>0</v>
      </c>
      <c r="AQ733" s="45">
        <v>0</v>
      </c>
      <c r="AR733" s="45">
        <v>0</v>
      </c>
      <c r="AS733" s="45">
        <v>0</v>
      </c>
      <c r="AT733" s="45">
        <v>0</v>
      </c>
      <c r="AU733" s="45">
        <v>0</v>
      </c>
      <c r="AV733" s="45">
        <v>0</v>
      </c>
      <c r="AW733" s="45">
        <v>0</v>
      </c>
      <c r="AX733" s="45">
        <v>0</v>
      </c>
      <c r="AY733" s="45">
        <v>0</v>
      </c>
      <c r="AZ733" s="45">
        <v>0</v>
      </c>
      <c r="BA733" s="45">
        <v>0</v>
      </c>
      <c r="BB733" s="45">
        <v>0</v>
      </c>
      <c r="BC733" s="45">
        <v>0</v>
      </c>
      <c r="BD733" s="45">
        <v>0</v>
      </c>
      <c r="BE733" s="45">
        <v>0</v>
      </c>
      <c r="BF733" s="45">
        <v>0</v>
      </c>
      <c r="BG733" s="45">
        <v>0</v>
      </c>
    </row>
    <row r="734" spans="1:59">
      <c r="A734" s="18" t="s">
        <v>256</v>
      </c>
      <c r="B734" s="18" t="s">
        <v>162</v>
      </c>
      <c r="C734" s="18" t="s">
        <v>5</v>
      </c>
      <c r="D734" s="45">
        <v>0</v>
      </c>
      <c r="E734" s="45">
        <v>0</v>
      </c>
      <c r="F734" s="45">
        <v>0</v>
      </c>
      <c r="G734" s="45">
        <v>0</v>
      </c>
      <c r="H734" s="45">
        <v>0</v>
      </c>
      <c r="I734" s="45">
        <v>11.3</v>
      </c>
      <c r="J734" s="45">
        <v>11.1</v>
      </c>
      <c r="K734" s="45">
        <v>12</v>
      </c>
      <c r="L734" s="45">
        <v>11.3</v>
      </c>
      <c r="M734" s="45">
        <v>11.7</v>
      </c>
      <c r="N734" s="45">
        <v>12.2</v>
      </c>
      <c r="O734" s="45">
        <v>12.8</v>
      </c>
      <c r="P734" s="45">
        <v>12.1</v>
      </c>
      <c r="Q734" s="45">
        <v>11.9</v>
      </c>
      <c r="R734" s="45">
        <v>12.7</v>
      </c>
      <c r="S734" s="45">
        <v>13.4</v>
      </c>
      <c r="T734" s="45">
        <v>11.9</v>
      </c>
      <c r="U734" s="45">
        <v>12.5</v>
      </c>
      <c r="V734" s="45">
        <v>13.7</v>
      </c>
      <c r="W734" s="45">
        <v>12</v>
      </c>
      <c r="X734" s="45">
        <v>12.8</v>
      </c>
      <c r="Y734" s="45">
        <v>12.9</v>
      </c>
      <c r="Z734" s="45">
        <v>12.1</v>
      </c>
      <c r="AA734" s="45">
        <v>12.3</v>
      </c>
      <c r="AB734" s="45">
        <v>12.4</v>
      </c>
      <c r="AC734" s="45">
        <v>9.9</v>
      </c>
      <c r="AD734" s="45">
        <v>12.2</v>
      </c>
      <c r="AE734" s="45">
        <v>11.8</v>
      </c>
      <c r="AF734" s="45">
        <v>11.6</v>
      </c>
      <c r="AG734" s="45">
        <v>11.4</v>
      </c>
      <c r="AH734" s="45">
        <v>13.2</v>
      </c>
      <c r="AI734" s="45">
        <v>11.6</v>
      </c>
      <c r="AJ734" s="45">
        <v>11.3</v>
      </c>
      <c r="AK734" s="45">
        <v>11.2</v>
      </c>
      <c r="AL734" s="45">
        <v>11.4</v>
      </c>
      <c r="AM734" s="45">
        <v>10.4</v>
      </c>
      <c r="AN734" s="45">
        <v>11.6</v>
      </c>
      <c r="AO734" s="45">
        <v>11.1</v>
      </c>
      <c r="AP734" s="45">
        <v>11.3</v>
      </c>
      <c r="AQ734" s="45">
        <v>11.5</v>
      </c>
      <c r="AR734" s="45">
        <v>9.4</v>
      </c>
      <c r="AS734" s="45">
        <v>0</v>
      </c>
      <c r="AT734" s="45">
        <v>0</v>
      </c>
      <c r="AU734" s="45">
        <v>0</v>
      </c>
      <c r="AV734" s="45">
        <v>0</v>
      </c>
      <c r="AW734" s="45">
        <v>0</v>
      </c>
      <c r="AX734" s="45">
        <v>0</v>
      </c>
      <c r="AY734" s="45">
        <v>0</v>
      </c>
      <c r="AZ734" s="45">
        <v>0</v>
      </c>
      <c r="BA734" s="45">
        <v>0</v>
      </c>
      <c r="BB734" s="45">
        <v>0</v>
      </c>
      <c r="BC734" s="45">
        <v>0</v>
      </c>
      <c r="BD734" s="45">
        <v>0</v>
      </c>
      <c r="BE734" s="45">
        <v>0</v>
      </c>
      <c r="BF734" s="45">
        <v>0</v>
      </c>
      <c r="BG734" s="45">
        <v>0</v>
      </c>
    </row>
    <row r="735" spans="1:59">
      <c r="A735" s="18" t="s">
        <v>257</v>
      </c>
      <c r="B735" s="18" t="s">
        <v>162</v>
      </c>
      <c r="C735" s="18" t="s">
        <v>210</v>
      </c>
      <c r="D735" s="45">
        <v>0</v>
      </c>
      <c r="E735" s="45">
        <v>0</v>
      </c>
      <c r="F735" s="45">
        <v>0</v>
      </c>
      <c r="G735" s="45">
        <v>0</v>
      </c>
      <c r="H735" s="45">
        <v>0</v>
      </c>
      <c r="I735" s="45">
        <v>14.7</v>
      </c>
      <c r="J735" s="45">
        <v>10.7</v>
      </c>
      <c r="K735" s="45">
        <v>12.5</v>
      </c>
      <c r="L735" s="45">
        <v>10.8</v>
      </c>
      <c r="M735" s="45">
        <v>10.9</v>
      </c>
      <c r="N735" s="45">
        <v>11.1</v>
      </c>
      <c r="O735" s="45">
        <v>10.4</v>
      </c>
      <c r="P735" s="45">
        <v>11.5</v>
      </c>
      <c r="Q735" s="45">
        <v>12.2</v>
      </c>
      <c r="R735" s="45">
        <v>12.6</v>
      </c>
      <c r="S735" s="45">
        <v>11.3</v>
      </c>
      <c r="T735" s="45">
        <v>10.6</v>
      </c>
      <c r="U735" s="45">
        <v>10.7</v>
      </c>
      <c r="V735" s="45">
        <v>10.1</v>
      </c>
      <c r="W735" s="45">
        <v>12.7</v>
      </c>
      <c r="X735" s="45">
        <v>14</v>
      </c>
      <c r="Y735" s="45">
        <v>13</v>
      </c>
      <c r="Z735" s="45">
        <v>13.2</v>
      </c>
      <c r="AA735" s="45">
        <v>12.2</v>
      </c>
      <c r="AB735" s="45">
        <v>10.3</v>
      </c>
      <c r="AC735" s="45">
        <v>12.3</v>
      </c>
      <c r="AD735" s="45">
        <v>10.9</v>
      </c>
      <c r="AE735" s="45">
        <v>12</v>
      </c>
      <c r="AF735" s="45">
        <v>13.2</v>
      </c>
      <c r="AG735" s="45">
        <v>13.4</v>
      </c>
      <c r="AH735" s="45">
        <v>11.1</v>
      </c>
      <c r="AI735" s="45">
        <v>11.4</v>
      </c>
      <c r="AJ735" s="45">
        <v>12</v>
      </c>
      <c r="AK735" s="45">
        <v>11.6</v>
      </c>
      <c r="AL735" s="45">
        <v>10.4</v>
      </c>
      <c r="AM735" s="45">
        <v>10.8</v>
      </c>
      <c r="AN735" s="45">
        <v>11.6</v>
      </c>
      <c r="AO735" s="45">
        <v>10.7</v>
      </c>
      <c r="AP735" s="45">
        <v>10.8</v>
      </c>
      <c r="AQ735" s="45">
        <v>9.6</v>
      </c>
      <c r="AR735" s="45">
        <v>9.5</v>
      </c>
      <c r="AS735" s="45">
        <v>0</v>
      </c>
      <c r="AT735" s="45">
        <v>0</v>
      </c>
      <c r="AU735" s="45">
        <v>0</v>
      </c>
      <c r="AV735" s="45">
        <v>0</v>
      </c>
      <c r="AW735" s="45">
        <v>0</v>
      </c>
      <c r="AX735" s="45">
        <v>0</v>
      </c>
      <c r="AY735" s="45">
        <v>0</v>
      </c>
      <c r="AZ735" s="45">
        <v>0</v>
      </c>
      <c r="BA735" s="45">
        <v>0</v>
      </c>
      <c r="BB735" s="45">
        <v>0</v>
      </c>
      <c r="BC735" s="45">
        <v>0</v>
      </c>
      <c r="BD735" s="45">
        <v>0</v>
      </c>
      <c r="BE735" s="45">
        <v>0</v>
      </c>
      <c r="BF735" s="45">
        <v>0</v>
      </c>
      <c r="BG735" s="45">
        <v>0</v>
      </c>
    </row>
    <row r="736" spans="1:59">
      <c r="A736" s="18" t="s">
        <v>258</v>
      </c>
      <c r="B736" s="18" t="s">
        <v>162</v>
      </c>
      <c r="C736" s="18" t="s">
        <v>212</v>
      </c>
      <c r="D736" s="45">
        <v>0</v>
      </c>
      <c r="E736" s="45">
        <v>0</v>
      </c>
      <c r="F736" s="45">
        <v>0</v>
      </c>
      <c r="G736" s="45">
        <v>0</v>
      </c>
      <c r="H736" s="45">
        <v>0</v>
      </c>
      <c r="I736" s="45">
        <v>19.4</v>
      </c>
      <c r="J736" s="45">
        <v>14.9</v>
      </c>
      <c r="K736" s="45">
        <v>13.1</v>
      </c>
      <c r="L736" s="45">
        <v>12.7</v>
      </c>
      <c r="M736" s="45">
        <v>11</v>
      </c>
      <c r="N736" s="45">
        <v>11.9</v>
      </c>
      <c r="O736" s="45">
        <v>10.7</v>
      </c>
      <c r="P736" s="45">
        <v>10.5</v>
      </c>
      <c r="Q736" s="45">
        <v>10.7</v>
      </c>
      <c r="R736" s="45">
        <v>13</v>
      </c>
      <c r="S736" s="45">
        <v>11.1</v>
      </c>
      <c r="T736" s="45">
        <v>12.9</v>
      </c>
      <c r="U736" s="45">
        <v>13.8</v>
      </c>
      <c r="V736" s="45">
        <v>13.4</v>
      </c>
      <c r="W736" s="45">
        <v>13</v>
      </c>
      <c r="X736" s="45">
        <v>13.7</v>
      </c>
      <c r="Y736" s="45">
        <v>13.1</v>
      </c>
      <c r="Z736" s="45">
        <v>12.9</v>
      </c>
      <c r="AA736" s="45">
        <v>13.2</v>
      </c>
      <c r="AB736" s="45">
        <v>13.4</v>
      </c>
      <c r="AC736" s="45">
        <v>11.5</v>
      </c>
      <c r="AD736" s="45">
        <v>14.2</v>
      </c>
      <c r="AE736" s="45">
        <v>11.3</v>
      </c>
      <c r="AF736" s="45">
        <v>11.5</v>
      </c>
      <c r="AG736" s="45">
        <v>11.6</v>
      </c>
      <c r="AH736" s="45">
        <v>12.2</v>
      </c>
      <c r="AI736" s="45">
        <v>13.3</v>
      </c>
      <c r="AJ736" s="45">
        <v>13</v>
      </c>
      <c r="AK736" s="45">
        <v>12.6</v>
      </c>
      <c r="AL736" s="45">
        <v>12.9</v>
      </c>
      <c r="AM736" s="45">
        <v>11</v>
      </c>
      <c r="AN736" s="45">
        <v>11.4</v>
      </c>
      <c r="AO736" s="45">
        <v>12.4</v>
      </c>
      <c r="AP736" s="45">
        <v>9.9</v>
      </c>
      <c r="AQ736" s="45">
        <v>10.1</v>
      </c>
      <c r="AR736" s="45">
        <v>8.4</v>
      </c>
      <c r="AS736" s="45">
        <v>0</v>
      </c>
      <c r="AT736" s="45">
        <v>0</v>
      </c>
      <c r="AU736" s="45">
        <v>0</v>
      </c>
      <c r="AV736" s="45">
        <v>0</v>
      </c>
      <c r="AW736" s="45">
        <v>0</v>
      </c>
      <c r="AX736" s="45">
        <v>0</v>
      </c>
      <c r="AY736" s="45">
        <v>0</v>
      </c>
      <c r="AZ736" s="45">
        <v>0</v>
      </c>
      <c r="BA736" s="45">
        <v>0</v>
      </c>
      <c r="BB736" s="45">
        <v>0</v>
      </c>
      <c r="BC736" s="45">
        <v>0</v>
      </c>
      <c r="BD736" s="45">
        <v>0</v>
      </c>
      <c r="BE736" s="45">
        <v>0</v>
      </c>
      <c r="BF736" s="45">
        <v>0</v>
      </c>
      <c r="BG736" s="45">
        <v>0</v>
      </c>
    </row>
    <row r="737" spans="1:59">
      <c r="A737" s="18" t="s">
        <v>259</v>
      </c>
      <c r="B737" s="18" t="s">
        <v>162</v>
      </c>
      <c r="C737" s="18" t="s">
        <v>214</v>
      </c>
      <c r="D737" s="45">
        <v>0</v>
      </c>
      <c r="E737" s="45">
        <v>0</v>
      </c>
      <c r="F737" s="45">
        <v>0</v>
      </c>
      <c r="G737" s="45">
        <v>0</v>
      </c>
      <c r="H737" s="45">
        <v>0</v>
      </c>
      <c r="I737" s="45">
        <v>13.3</v>
      </c>
      <c r="J737" s="45">
        <v>10.9</v>
      </c>
      <c r="K737" s="45">
        <v>14.6</v>
      </c>
      <c r="L737" s="45">
        <v>10.7</v>
      </c>
      <c r="M737" s="45">
        <v>12.3</v>
      </c>
      <c r="N737" s="45">
        <v>11.1</v>
      </c>
      <c r="O737" s="45">
        <v>11.3</v>
      </c>
      <c r="P737" s="45">
        <v>10.8</v>
      </c>
      <c r="Q737" s="45">
        <v>11</v>
      </c>
      <c r="R737" s="45">
        <v>11.1</v>
      </c>
      <c r="S737" s="45">
        <v>10.9</v>
      </c>
      <c r="T737" s="45">
        <v>9.9</v>
      </c>
      <c r="U737" s="45">
        <v>11</v>
      </c>
      <c r="V737" s="45">
        <v>11</v>
      </c>
      <c r="W737" s="45">
        <v>12.3</v>
      </c>
      <c r="X737" s="45">
        <v>14.5</v>
      </c>
      <c r="Y737" s="45">
        <v>13.6</v>
      </c>
      <c r="Z737" s="45">
        <v>13.4</v>
      </c>
      <c r="AA737" s="45">
        <v>13.9</v>
      </c>
      <c r="AB737" s="45">
        <v>11.3</v>
      </c>
      <c r="AC737" s="45">
        <v>11.6</v>
      </c>
      <c r="AD737" s="45">
        <v>11.2</v>
      </c>
      <c r="AE737" s="45">
        <v>13.1</v>
      </c>
      <c r="AF737" s="45">
        <v>11.2</v>
      </c>
      <c r="AG737" s="45">
        <v>11.6</v>
      </c>
      <c r="AH737" s="45">
        <v>12.2</v>
      </c>
      <c r="AI737" s="45">
        <v>10.7</v>
      </c>
      <c r="AJ737" s="45">
        <v>11.6</v>
      </c>
      <c r="AK737" s="45">
        <v>11.6</v>
      </c>
      <c r="AL737" s="45">
        <v>12.8</v>
      </c>
      <c r="AM737" s="45">
        <v>12</v>
      </c>
      <c r="AN737" s="45">
        <v>12.5</v>
      </c>
      <c r="AO737" s="45">
        <v>9.699999999999999</v>
      </c>
      <c r="AP737" s="45">
        <v>10.1</v>
      </c>
      <c r="AQ737" s="45">
        <v>8.800000000000001</v>
      </c>
      <c r="AR737" s="45">
        <v>7.6</v>
      </c>
      <c r="AS737" s="45">
        <v>0</v>
      </c>
      <c r="AT737" s="45">
        <v>0</v>
      </c>
      <c r="AU737" s="45">
        <v>0</v>
      </c>
      <c r="AV737" s="45">
        <v>0</v>
      </c>
      <c r="AW737" s="45">
        <v>0</v>
      </c>
      <c r="AX737" s="45">
        <v>0</v>
      </c>
      <c r="AY737" s="45">
        <v>0</v>
      </c>
      <c r="AZ737" s="45">
        <v>0</v>
      </c>
      <c r="BA737" s="45">
        <v>0</v>
      </c>
      <c r="BB737" s="45">
        <v>0</v>
      </c>
      <c r="BC737" s="45">
        <v>0</v>
      </c>
      <c r="BD737" s="45">
        <v>0</v>
      </c>
      <c r="BE737" s="45">
        <v>0</v>
      </c>
      <c r="BF737" s="45">
        <v>0</v>
      </c>
      <c r="BG737" s="45">
        <v>0</v>
      </c>
    </row>
    <row r="738" spans="1:59">
      <c r="A738" s="18" t="s">
        <v>260</v>
      </c>
      <c r="B738" s="18" t="s">
        <v>162</v>
      </c>
      <c r="C738" s="18" t="s">
        <v>216</v>
      </c>
      <c r="D738" s="45">
        <v>0</v>
      </c>
      <c r="E738" s="45">
        <v>0</v>
      </c>
      <c r="F738" s="45">
        <v>0</v>
      </c>
      <c r="G738" s="45">
        <v>0</v>
      </c>
      <c r="H738" s="45">
        <v>0</v>
      </c>
      <c r="I738" s="45">
        <v>0</v>
      </c>
      <c r="J738" s="45">
        <v>11.5</v>
      </c>
      <c r="K738" s="45">
        <v>12.3</v>
      </c>
      <c r="L738" s="45">
        <v>13.1</v>
      </c>
      <c r="M738" s="45">
        <v>11.3</v>
      </c>
      <c r="N738" s="45">
        <v>12.4</v>
      </c>
      <c r="O738" s="45">
        <v>11</v>
      </c>
      <c r="P738" s="45">
        <v>10.7</v>
      </c>
      <c r="Q738" s="45">
        <v>11.1</v>
      </c>
      <c r="R738" s="45">
        <v>11.5</v>
      </c>
      <c r="S738" s="45">
        <v>10.6</v>
      </c>
      <c r="T738" s="45">
        <v>11</v>
      </c>
      <c r="U738" s="45">
        <v>12.2</v>
      </c>
      <c r="V738" s="45">
        <v>12.7</v>
      </c>
      <c r="W738" s="45">
        <v>13.4</v>
      </c>
      <c r="X738" s="45">
        <v>14.6</v>
      </c>
      <c r="Y738" s="45">
        <v>11.8</v>
      </c>
      <c r="Z738" s="45">
        <v>13.3</v>
      </c>
      <c r="AA738" s="45">
        <v>11.7</v>
      </c>
      <c r="AB738" s="45">
        <v>10.7</v>
      </c>
      <c r="AC738" s="45">
        <v>11.4</v>
      </c>
      <c r="AD738" s="45">
        <v>12.2</v>
      </c>
      <c r="AE738" s="45">
        <v>12</v>
      </c>
      <c r="AF738" s="45">
        <v>11.9</v>
      </c>
      <c r="AG738" s="45">
        <v>11.6</v>
      </c>
      <c r="AH738" s="45">
        <v>12.3</v>
      </c>
      <c r="AI738" s="45">
        <v>13</v>
      </c>
      <c r="AJ738" s="45">
        <v>12.8</v>
      </c>
      <c r="AK738" s="45">
        <v>11.5</v>
      </c>
      <c r="AL738" s="45">
        <v>11.7</v>
      </c>
      <c r="AM738" s="45">
        <v>13.3</v>
      </c>
      <c r="AN738" s="45">
        <v>11.5</v>
      </c>
      <c r="AO738" s="45">
        <v>13.3</v>
      </c>
      <c r="AP738" s="45">
        <v>10.6</v>
      </c>
      <c r="AQ738" s="45">
        <v>9.6</v>
      </c>
      <c r="AR738" s="45">
        <v>10.3</v>
      </c>
      <c r="AS738" s="45">
        <v>0</v>
      </c>
      <c r="AT738" s="45">
        <v>0</v>
      </c>
      <c r="AU738" s="45">
        <v>0</v>
      </c>
      <c r="AV738" s="45">
        <v>0</v>
      </c>
      <c r="AW738" s="45">
        <v>0</v>
      </c>
      <c r="AX738" s="45">
        <v>0</v>
      </c>
      <c r="AY738" s="45">
        <v>0</v>
      </c>
      <c r="AZ738" s="45">
        <v>0</v>
      </c>
      <c r="BA738" s="45">
        <v>0</v>
      </c>
      <c r="BB738" s="45">
        <v>0</v>
      </c>
      <c r="BC738" s="45">
        <v>0</v>
      </c>
      <c r="BD738" s="45">
        <v>0</v>
      </c>
      <c r="BE738" s="45">
        <v>0</v>
      </c>
      <c r="BF738" s="45">
        <v>0</v>
      </c>
      <c r="BG738" s="45">
        <v>0</v>
      </c>
    </row>
    <row r="739" spans="1:59">
      <c r="A739" s="18" t="s">
        <v>261</v>
      </c>
      <c r="B739" s="18" t="s">
        <v>162</v>
      </c>
      <c r="C739" s="18" t="s">
        <v>218</v>
      </c>
      <c r="D739" s="45">
        <v>0</v>
      </c>
      <c r="E739" s="45">
        <v>0</v>
      </c>
      <c r="F739" s="45">
        <v>0</v>
      </c>
      <c r="G739" s="45">
        <v>0</v>
      </c>
      <c r="H739" s="45">
        <v>0</v>
      </c>
      <c r="I739" s="45">
        <v>0</v>
      </c>
      <c r="J739" s="45">
        <v>0</v>
      </c>
      <c r="K739" s="45">
        <v>0</v>
      </c>
      <c r="L739" s="45">
        <v>0</v>
      </c>
      <c r="M739" s="45">
        <v>0</v>
      </c>
      <c r="N739" s="45">
        <v>0</v>
      </c>
      <c r="O739" s="45">
        <v>0</v>
      </c>
      <c r="P739" s="45">
        <v>0</v>
      </c>
      <c r="Q739" s="45">
        <v>0</v>
      </c>
      <c r="R739" s="45">
        <v>0</v>
      </c>
      <c r="S739" s="45">
        <v>0</v>
      </c>
      <c r="T739" s="45">
        <v>0</v>
      </c>
      <c r="U739" s="45">
        <v>0</v>
      </c>
      <c r="V739" s="45">
        <v>0</v>
      </c>
      <c r="W739" s="45">
        <v>0</v>
      </c>
      <c r="X739" s="45">
        <v>0</v>
      </c>
      <c r="Y739" s="45">
        <v>0</v>
      </c>
      <c r="Z739" s="45">
        <v>0</v>
      </c>
      <c r="AA739" s="45">
        <v>0</v>
      </c>
      <c r="AB739" s="45">
        <v>0</v>
      </c>
      <c r="AC739" s="45">
        <v>0</v>
      </c>
      <c r="AD739" s="45">
        <v>0</v>
      </c>
      <c r="AE739" s="45">
        <v>0</v>
      </c>
      <c r="AF739" s="45">
        <v>0</v>
      </c>
      <c r="AG739" s="45">
        <v>0</v>
      </c>
      <c r="AH739" s="45">
        <v>0</v>
      </c>
      <c r="AI739" s="45">
        <v>0</v>
      </c>
      <c r="AJ739" s="45">
        <v>0</v>
      </c>
      <c r="AK739" s="45">
        <v>0</v>
      </c>
      <c r="AL739" s="45">
        <v>0</v>
      </c>
      <c r="AM739" s="45">
        <v>0</v>
      </c>
      <c r="AN739" s="45">
        <v>0</v>
      </c>
      <c r="AO739" s="45">
        <v>0</v>
      </c>
      <c r="AP739" s="45">
        <v>0</v>
      </c>
      <c r="AQ739" s="45">
        <v>0</v>
      </c>
      <c r="AR739" s="45">
        <v>0</v>
      </c>
      <c r="AS739" s="45">
        <v>0</v>
      </c>
      <c r="AT739" s="45">
        <v>0</v>
      </c>
      <c r="AU739" s="45">
        <v>0</v>
      </c>
      <c r="AV739" s="45">
        <v>0</v>
      </c>
      <c r="AW739" s="45">
        <v>0</v>
      </c>
      <c r="AX739" s="45">
        <v>0</v>
      </c>
      <c r="AY739" s="45">
        <v>0</v>
      </c>
      <c r="AZ739" s="45">
        <v>0</v>
      </c>
      <c r="BA739" s="45">
        <v>0</v>
      </c>
      <c r="BB739" s="45">
        <v>0</v>
      </c>
      <c r="BC739" s="45">
        <v>0</v>
      </c>
      <c r="BD739" s="45">
        <v>0</v>
      </c>
      <c r="BE739" s="45">
        <v>0</v>
      </c>
      <c r="BF739" s="45">
        <v>0</v>
      </c>
      <c r="BG739" s="45">
        <v>0</v>
      </c>
    </row>
    <row r="740" spans="1:59">
      <c r="A740" s="18" t="s">
        <v>262</v>
      </c>
      <c r="B740" s="18" t="s">
        <v>162</v>
      </c>
      <c r="C740" s="18" t="s">
        <v>220</v>
      </c>
      <c r="D740" s="45">
        <v>0</v>
      </c>
      <c r="E740" s="45">
        <v>0</v>
      </c>
      <c r="F740" s="45">
        <v>0</v>
      </c>
      <c r="G740" s="45">
        <v>0</v>
      </c>
      <c r="H740" s="45">
        <v>0</v>
      </c>
      <c r="I740" s="45">
        <v>0</v>
      </c>
      <c r="J740" s="45">
        <v>0</v>
      </c>
      <c r="K740" s="45">
        <v>0</v>
      </c>
      <c r="L740" s="45">
        <v>0</v>
      </c>
      <c r="M740" s="45">
        <v>0</v>
      </c>
      <c r="N740" s="45">
        <v>0</v>
      </c>
      <c r="O740" s="45">
        <v>0</v>
      </c>
      <c r="P740" s="45">
        <v>0</v>
      </c>
      <c r="Q740" s="45">
        <v>0</v>
      </c>
      <c r="R740" s="45">
        <v>0</v>
      </c>
      <c r="S740" s="45">
        <v>0</v>
      </c>
      <c r="T740" s="45">
        <v>0</v>
      </c>
      <c r="U740" s="45">
        <v>0</v>
      </c>
      <c r="V740" s="45">
        <v>0</v>
      </c>
      <c r="W740" s="45">
        <v>0</v>
      </c>
      <c r="X740" s="45">
        <v>0</v>
      </c>
      <c r="Y740" s="45">
        <v>0</v>
      </c>
      <c r="Z740" s="45">
        <v>0</v>
      </c>
      <c r="AA740" s="45">
        <v>0</v>
      </c>
      <c r="AB740" s="45">
        <v>0</v>
      </c>
      <c r="AC740" s="45">
        <v>0</v>
      </c>
      <c r="AD740" s="45">
        <v>0</v>
      </c>
      <c r="AE740" s="45">
        <v>0</v>
      </c>
      <c r="AF740" s="45">
        <v>0</v>
      </c>
      <c r="AG740" s="45">
        <v>0</v>
      </c>
      <c r="AH740" s="45">
        <v>0</v>
      </c>
      <c r="AI740" s="45">
        <v>0</v>
      </c>
      <c r="AJ740" s="45">
        <v>0</v>
      </c>
      <c r="AK740" s="45">
        <v>0</v>
      </c>
      <c r="AL740" s="45">
        <v>0</v>
      </c>
      <c r="AM740" s="45">
        <v>0</v>
      </c>
      <c r="AN740" s="45">
        <v>0</v>
      </c>
      <c r="AO740" s="45">
        <v>0</v>
      </c>
      <c r="AP740" s="45">
        <v>0</v>
      </c>
      <c r="AQ740" s="45">
        <v>0</v>
      </c>
      <c r="AR740" s="45">
        <v>0</v>
      </c>
      <c r="AS740" s="45">
        <v>0</v>
      </c>
      <c r="AT740" s="45">
        <v>0</v>
      </c>
      <c r="AU740" s="45">
        <v>0</v>
      </c>
      <c r="AV740" s="45">
        <v>0</v>
      </c>
      <c r="AW740" s="45">
        <v>0</v>
      </c>
      <c r="AX740" s="45">
        <v>0</v>
      </c>
      <c r="AY740" s="45">
        <v>0</v>
      </c>
      <c r="AZ740" s="45">
        <v>0</v>
      </c>
      <c r="BA740" s="45">
        <v>0</v>
      </c>
      <c r="BB740" s="45">
        <v>0</v>
      </c>
      <c r="BC740" s="45">
        <v>0</v>
      </c>
      <c r="BD740" s="45">
        <v>0</v>
      </c>
      <c r="BE740" s="45">
        <v>0</v>
      </c>
      <c r="BF740" s="45">
        <v>0</v>
      </c>
      <c r="BG740" s="45">
        <v>0</v>
      </c>
    </row>
    <row r="741" spans="1:59">
      <c r="A741" s="18" t="s">
        <v>263</v>
      </c>
      <c r="B741" s="18" t="s">
        <v>176</v>
      </c>
      <c r="C741" s="18" t="s">
        <v>5</v>
      </c>
      <c r="D741" s="45">
        <v>0</v>
      </c>
      <c r="E741" s="45">
        <v>0</v>
      </c>
      <c r="F741" s="45">
        <v>0</v>
      </c>
      <c r="G741" s="45">
        <v>0</v>
      </c>
      <c r="H741" s="45">
        <v>0</v>
      </c>
      <c r="I741" s="45">
        <v>18.1</v>
      </c>
      <c r="J741" s="45">
        <v>13.5</v>
      </c>
      <c r="K741" s="45">
        <v>17.6</v>
      </c>
      <c r="L741" s="45">
        <v>16.2</v>
      </c>
      <c r="M741" s="45">
        <v>15.5</v>
      </c>
      <c r="N741" s="45">
        <v>13.9</v>
      </c>
      <c r="O741" s="45">
        <v>19</v>
      </c>
      <c r="P741" s="45">
        <v>16</v>
      </c>
      <c r="Q741" s="45">
        <v>14.1</v>
      </c>
      <c r="R741" s="45">
        <v>15.4</v>
      </c>
      <c r="S741" s="45">
        <v>15.4</v>
      </c>
      <c r="T741" s="45">
        <v>15.8</v>
      </c>
      <c r="U741" s="45">
        <v>16.8</v>
      </c>
      <c r="V741" s="45">
        <v>18.4</v>
      </c>
      <c r="W741" s="45">
        <v>20.3</v>
      </c>
      <c r="X741" s="45">
        <v>22</v>
      </c>
      <c r="Y741" s="45">
        <v>21.8</v>
      </c>
      <c r="Z741" s="45">
        <v>18.9</v>
      </c>
      <c r="AA741" s="45">
        <v>19.6</v>
      </c>
      <c r="AB741" s="45">
        <v>16.7</v>
      </c>
      <c r="AC741" s="45">
        <v>17.8</v>
      </c>
      <c r="AD741" s="45">
        <v>17</v>
      </c>
      <c r="AE741" s="45">
        <v>18.2</v>
      </c>
      <c r="AF741" s="45">
        <v>16.3</v>
      </c>
      <c r="AG741" s="45">
        <v>17.3</v>
      </c>
      <c r="AH741" s="45">
        <v>17.9</v>
      </c>
      <c r="AI741" s="45">
        <v>15.3</v>
      </c>
      <c r="AJ741" s="45">
        <v>16</v>
      </c>
      <c r="AK741" s="45">
        <v>16.4</v>
      </c>
      <c r="AL741" s="45">
        <v>15.7</v>
      </c>
      <c r="AM741" s="45">
        <v>16.1</v>
      </c>
      <c r="AN741" s="45">
        <v>16.8</v>
      </c>
      <c r="AO741" s="45">
        <v>13</v>
      </c>
      <c r="AP741" s="45">
        <v>10.4</v>
      </c>
      <c r="AQ741" s="45">
        <v>7.8</v>
      </c>
      <c r="AR741" s="45">
        <v>3.5</v>
      </c>
      <c r="AS741" s="45">
        <v>0</v>
      </c>
      <c r="AT741" s="45">
        <v>0</v>
      </c>
      <c r="AU741" s="45">
        <v>0</v>
      </c>
      <c r="AV741" s="45">
        <v>0</v>
      </c>
      <c r="AW741" s="45">
        <v>0</v>
      </c>
      <c r="AX741" s="45">
        <v>0</v>
      </c>
      <c r="AY741" s="45">
        <v>0</v>
      </c>
      <c r="AZ741" s="45">
        <v>0</v>
      </c>
      <c r="BA741" s="45">
        <v>0</v>
      </c>
      <c r="BB741" s="45">
        <v>0</v>
      </c>
      <c r="BC741" s="45">
        <v>0</v>
      </c>
      <c r="BD741" s="45">
        <v>0</v>
      </c>
      <c r="BE741" s="45">
        <v>0</v>
      </c>
      <c r="BF741" s="45">
        <v>0</v>
      </c>
      <c r="BG741" s="45">
        <v>0</v>
      </c>
    </row>
    <row r="742" spans="1:59">
      <c r="A742" s="18" t="s">
        <v>264</v>
      </c>
      <c r="B742" s="18" t="s">
        <v>176</v>
      </c>
      <c r="C742" s="18" t="s">
        <v>210</v>
      </c>
      <c r="D742" s="45">
        <v>0</v>
      </c>
      <c r="E742" s="45">
        <v>0</v>
      </c>
      <c r="F742" s="45">
        <v>0</v>
      </c>
      <c r="G742" s="45">
        <v>0</v>
      </c>
      <c r="H742" s="45">
        <v>0</v>
      </c>
      <c r="I742" s="45">
        <v>20</v>
      </c>
      <c r="J742" s="45">
        <v>21</v>
      </c>
      <c r="K742" s="45">
        <v>18.9</v>
      </c>
      <c r="L742" s="45">
        <v>17.9</v>
      </c>
      <c r="M742" s="45">
        <v>16.6</v>
      </c>
      <c r="N742" s="45">
        <v>15.1</v>
      </c>
      <c r="O742" s="45">
        <v>15</v>
      </c>
      <c r="P742" s="45">
        <v>17</v>
      </c>
      <c r="Q742" s="45">
        <v>15.3</v>
      </c>
      <c r="R742" s="45">
        <v>14.8</v>
      </c>
      <c r="S742" s="45">
        <v>15</v>
      </c>
      <c r="T742" s="45">
        <v>17.3</v>
      </c>
      <c r="U742" s="45">
        <v>16.5</v>
      </c>
      <c r="V742" s="45">
        <v>16.2</v>
      </c>
      <c r="W742" s="45">
        <v>20.4</v>
      </c>
      <c r="X742" s="45">
        <v>23.2</v>
      </c>
      <c r="Y742" s="45">
        <v>18.9</v>
      </c>
      <c r="Z742" s="45">
        <v>21.7</v>
      </c>
      <c r="AA742" s="45">
        <v>18.1</v>
      </c>
      <c r="AB742" s="45">
        <v>18.8</v>
      </c>
      <c r="AC742" s="45">
        <v>17.5</v>
      </c>
      <c r="AD742" s="45">
        <v>17.5</v>
      </c>
      <c r="AE742" s="45">
        <v>17.6</v>
      </c>
      <c r="AF742" s="45">
        <v>17.6</v>
      </c>
      <c r="AG742" s="45">
        <v>17.7</v>
      </c>
      <c r="AH742" s="45">
        <v>17.4</v>
      </c>
      <c r="AI742" s="45">
        <v>18.1</v>
      </c>
      <c r="AJ742" s="45">
        <v>20.9</v>
      </c>
      <c r="AK742" s="45">
        <v>15.7</v>
      </c>
      <c r="AL742" s="45">
        <v>17.4</v>
      </c>
      <c r="AM742" s="45">
        <v>15.8</v>
      </c>
      <c r="AN742" s="45">
        <v>12.2</v>
      </c>
      <c r="AO742" s="45">
        <v>15.1</v>
      </c>
      <c r="AP742" s="45">
        <v>12.1</v>
      </c>
      <c r="AQ742" s="45">
        <v>8.6</v>
      </c>
      <c r="AR742" s="45">
        <v>3.9</v>
      </c>
      <c r="AS742" s="45">
        <v>0</v>
      </c>
      <c r="AT742" s="45">
        <v>0</v>
      </c>
      <c r="AU742" s="45">
        <v>0</v>
      </c>
      <c r="AV742" s="45">
        <v>0</v>
      </c>
      <c r="AW742" s="45">
        <v>0</v>
      </c>
      <c r="AX742" s="45">
        <v>0</v>
      </c>
      <c r="AY742" s="45">
        <v>0</v>
      </c>
      <c r="AZ742" s="45">
        <v>0</v>
      </c>
      <c r="BA742" s="45">
        <v>0</v>
      </c>
      <c r="BB742" s="45">
        <v>0</v>
      </c>
      <c r="BC742" s="45">
        <v>0</v>
      </c>
      <c r="BD742" s="45">
        <v>0</v>
      </c>
      <c r="BE742" s="45">
        <v>0</v>
      </c>
      <c r="BF742" s="45">
        <v>0</v>
      </c>
      <c r="BG742" s="45">
        <v>0</v>
      </c>
    </row>
    <row r="743" spans="1:59">
      <c r="A743" s="18" t="s">
        <v>265</v>
      </c>
      <c r="B743" s="18" t="s">
        <v>176</v>
      </c>
      <c r="C743" s="18" t="s">
        <v>212</v>
      </c>
      <c r="D743" s="45">
        <v>0</v>
      </c>
      <c r="E743" s="45">
        <v>0</v>
      </c>
      <c r="F743" s="45">
        <v>0</v>
      </c>
      <c r="G743" s="45">
        <v>0</v>
      </c>
      <c r="H743" s="45">
        <v>0</v>
      </c>
      <c r="I743" s="45">
        <v>17.7</v>
      </c>
      <c r="J743" s="45">
        <v>23.9</v>
      </c>
      <c r="K743" s="45">
        <v>22.9</v>
      </c>
      <c r="L743" s="45">
        <v>20.7</v>
      </c>
      <c r="M743" s="45">
        <v>17.8</v>
      </c>
      <c r="N743" s="45">
        <v>19</v>
      </c>
      <c r="O743" s="45">
        <v>16</v>
      </c>
      <c r="P743" s="45">
        <v>16.9</v>
      </c>
      <c r="Q743" s="45">
        <v>16.4</v>
      </c>
      <c r="R743" s="45">
        <v>17.6</v>
      </c>
      <c r="S743" s="45">
        <v>16.5</v>
      </c>
      <c r="T743" s="45">
        <v>18.1</v>
      </c>
      <c r="U743" s="45">
        <v>15.9</v>
      </c>
      <c r="V743" s="45">
        <v>20.9</v>
      </c>
      <c r="W743" s="45">
        <v>20.4</v>
      </c>
      <c r="X743" s="45">
        <v>20.4</v>
      </c>
      <c r="Y743" s="45">
        <v>23.9</v>
      </c>
      <c r="Z743" s="45">
        <v>18</v>
      </c>
      <c r="AA743" s="45">
        <v>20.6</v>
      </c>
      <c r="AB743" s="45">
        <v>19.9</v>
      </c>
      <c r="AC743" s="45">
        <v>17.8</v>
      </c>
      <c r="AD743" s="45">
        <v>19.5</v>
      </c>
      <c r="AE743" s="45">
        <v>17.9</v>
      </c>
      <c r="AF743" s="45">
        <v>16.9</v>
      </c>
      <c r="AG743" s="45">
        <v>17.3</v>
      </c>
      <c r="AH743" s="45">
        <v>19.3</v>
      </c>
      <c r="AI743" s="45">
        <v>18</v>
      </c>
      <c r="AJ743" s="45">
        <v>17.1</v>
      </c>
      <c r="AK743" s="45">
        <v>17.3</v>
      </c>
      <c r="AL743" s="45">
        <v>15.5</v>
      </c>
      <c r="AM743" s="45">
        <v>16.2</v>
      </c>
      <c r="AN743" s="45">
        <v>14.7</v>
      </c>
      <c r="AO743" s="45">
        <v>13.1</v>
      </c>
      <c r="AP743" s="45">
        <v>10.9</v>
      </c>
      <c r="AQ743" s="45">
        <v>8.1</v>
      </c>
      <c r="AR743" s="45">
        <v>3.3</v>
      </c>
      <c r="AS743" s="45">
        <v>0</v>
      </c>
      <c r="AT743" s="45">
        <v>0</v>
      </c>
      <c r="AU743" s="45">
        <v>0</v>
      </c>
      <c r="AV743" s="45">
        <v>0</v>
      </c>
      <c r="AW743" s="45">
        <v>0</v>
      </c>
      <c r="AX743" s="45">
        <v>0</v>
      </c>
      <c r="AY743" s="45">
        <v>0</v>
      </c>
      <c r="AZ743" s="45">
        <v>0</v>
      </c>
      <c r="BA743" s="45">
        <v>0</v>
      </c>
      <c r="BB743" s="45">
        <v>0</v>
      </c>
      <c r="BC743" s="45">
        <v>0</v>
      </c>
      <c r="BD743" s="45">
        <v>0</v>
      </c>
      <c r="BE743" s="45">
        <v>0</v>
      </c>
      <c r="BF743" s="45">
        <v>0</v>
      </c>
      <c r="BG743" s="45">
        <v>0</v>
      </c>
    </row>
    <row r="744" spans="1:59">
      <c r="A744" s="18" t="s">
        <v>266</v>
      </c>
      <c r="B744" s="18" t="s">
        <v>176</v>
      </c>
      <c r="C744" s="18" t="s">
        <v>214</v>
      </c>
      <c r="D744" s="45">
        <v>0</v>
      </c>
      <c r="E744" s="45">
        <v>0</v>
      </c>
      <c r="F744" s="45">
        <v>0</v>
      </c>
      <c r="G744" s="45">
        <v>0</v>
      </c>
      <c r="H744" s="45">
        <v>0</v>
      </c>
      <c r="I744" s="45">
        <v>29.8</v>
      </c>
      <c r="J744" s="45">
        <v>22.9</v>
      </c>
      <c r="K744" s="45">
        <v>20.4</v>
      </c>
      <c r="L744" s="45">
        <v>20.1</v>
      </c>
      <c r="M744" s="45">
        <v>19.1</v>
      </c>
      <c r="N744" s="45">
        <v>17</v>
      </c>
      <c r="O744" s="45">
        <v>18</v>
      </c>
      <c r="P744" s="45">
        <v>16.7</v>
      </c>
      <c r="Q744" s="45">
        <v>15.2</v>
      </c>
      <c r="R744" s="45">
        <v>14.1</v>
      </c>
      <c r="S744" s="45">
        <v>16.6</v>
      </c>
      <c r="T744" s="45">
        <v>14.5</v>
      </c>
      <c r="U744" s="45">
        <v>19.7</v>
      </c>
      <c r="V744" s="45">
        <v>18.7</v>
      </c>
      <c r="W744" s="45">
        <v>21.7</v>
      </c>
      <c r="X744" s="45">
        <v>21.3</v>
      </c>
      <c r="Y744" s="45">
        <v>20.5</v>
      </c>
      <c r="Z744" s="45">
        <v>20.1</v>
      </c>
      <c r="AA744" s="45">
        <v>17.5</v>
      </c>
      <c r="AB744" s="45">
        <v>17.5</v>
      </c>
      <c r="AC744" s="45">
        <v>17.7</v>
      </c>
      <c r="AD744" s="45">
        <v>17.4</v>
      </c>
      <c r="AE744" s="45">
        <v>19.8</v>
      </c>
      <c r="AF744" s="45">
        <v>17.1</v>
      </c>
      <c r="AG744" s="45">
        <v>17.7</v>
      </c>
      <c r="AH744" s="45">
        <v>16.3</v>
      </c>
      <c r="AI744" s="45">
        <v>17.6</v>
      </c>
      <c r="AJ744" s="45">
        <v>15.9</v>
      </c>
      <c r="AK744" s="45">
        <v>18.1</v>
      </c>
      <c r="AL744" s="45">
        <v>14.5</v>
      </c>
      <c r="AM744" s="45">
        <v>16.7</v>
      </c>
      <c r="AN744" s="45">
        <v>13.6</v>
      </c>
      <c r="AO744" s="45">
        <v>12.5</v>
      </c>
      <c r="AP744" s="45">
        <v>11.8</v>
      </c>
      <c r="AQ744" s="45">
        <v>7.2</v>
      </c>
      <c r="AR744" s="45">
        <v>5.5</v>
      </c>
      <c r="AS744" s="45">
        <v>0</v>
      </c>
      <c r="AT744" s="45">
        <v>0</v>
      </c>
      <c r="AU744" s="45">
        <v>0</v>
      </c>
      <c r="AV744" s="45">
        <v>0</v>
      </c>
      <c r="AW744" s="45">
        <v>0</v>
      </c>
      <c r="AX744" s="45">
        <v>0</v>
      </c>
      <c r="AY744" s="45">
        <v>0</v>
      </c>
      <c r="AZ744" s="45">
        <v>0</v>
      </c>
      <c r="BA744" s="45">
        <v>0</v>
      </c>
      <c r="BB744" s="45">
        <v>0</v>
      </c>
      <c r="BC744" s="45">
        <v>0</v>
      </c>
      <c r="BD744" s="45">
        <v>0</v>
      </c>
      <c r="BE744" s="45">
        <v>0</v>
      </c>
      <c r="BF744" s="45">
        <v>0</v>
      </c>
      <c r="BG744" s="45">
        <v>0</v>
      </c>
    </row>
    <row r="745" spans="1:59">
      <c r="A745" s="18" t="s">
        <v>267</v>
      </c>
      <c r="B745" s="18" t="s">
        <v>176</v>
      </c>
      <c r="C745" s="18" t="s">
        <v>216</v>
      </c>
      <c r="D745" s="45">
        <v>0</v>
      </c>
      <c r="E745" s="45">
        <v>0</v>
      </c>
      <c r="F745" s="45">
        <v>0</v>
      </c>
      <c r="G745" s="45">
        <v>0</v>
      </c>
      <c r="H745" s="45">
        <v>0</v>
      </c>
      <c r="I745" s="45">
        <v>20.3</v>
      </c>
      <c r="J745" s="45">
        <v>22.2</v>
      </c>
      <c r="K745" s="45">
        <v>20.3</v>
      </c>
      <c r="L745" s="45">
        <v>20.2</v>
      </c>
      <c r="M745" s="45">
        <v>17.4</v>
      </c>
      <c r="N745" s="45">
        <v>17</v>
      </c>
      <c r="O745" s="45">
        <v>17.8</v>
      </c>
      <c r="P745" s="45">
        <v>19.7</v>
      </c>
      <c r="Q745" s="45">
        <v>15.5</v>
      </c>
      <c r="R745" s="45">
        <v>16.4</v>
      </c>
      <c r="S745" s="45">
        <v>16.5</v>
      </c>
      <c r="T745" s="45">
        <v>14.8</v>
      </c>
      <c r="U745" s="45">
        <v>19.6</v>
      </c>
      <c r="V745" s="45">
        <v>18.9</v>
      </c>
      <c r="W745" s="45">
        <v>19.2</v>
      </c>
      <c r="X745" s="45">
        <v>21.2</v>
      </c>
      <c r="Y745" s="45">
        <v>19.6</v>
      </c>
      <c r="Z745" s="45">
        <v>18.8</v>
      </c>
      <c r="AA745" s="45">
        <v>18.1</v>
      </c>
      <c r="AB745" s="45">
        <v>16.8</v>
      </c>
      <c r="AC745" s="45">
        <v>17.8</v>
      </c>
      <c r="AD745" s="45">
        <v>20.5</v>
      </c>
      <c r="AE745" s="45">
        <v>17.8</v>
      </c>
      <c r="AF745" s="45">
        <v>15.9</v>
      </c>
      <c r="AG745" s="45">
        <v>15.3</v>
      </c>
      <c r="AH745" s="45">
        <v>17.5</v>
      </c>
      <c r="AI745" s="45">
        <v>16.6</v>
      </c>
      <c r="AJ745" s="45">
        <v>18.9</v>
      </c>
      <c r="AK745" s="45">
        <v>16.2</v>
      </c>
      <c r="AL745" s="45">
        <v>15.1</v>
      </c>
      <c r="AM745" s="45">
        <v>14.7</v>
      </c>
      <c r="AN745" s="45">
        <v>13</v>
      </c>
      <c r="AO745" s="45">
        <v>14.9</v>
      </c>
      <c r="AP745" s="45">
        <v>12.6</v>
      </c>
      <c r="AQ745" s="45">
        <v>9.699999999999999</v>
      </c>
      <c r="AR745" s="45">
        <v>3.2</v>
      </c>
      <c r="AS745" s="45">
        <v>0</v>
      </c>
      <c r="AT745" s="45">
        <v>0</v>
      </c>
      <c r="AU745" s="45">
        <v>0</v>
      </c>
      <c r="AV745" s="45">
        <v>0</v>
      </c>
      <c r="AW745" s="45">
        <v>0</v>
      </c>
      <c r="AX745" s="45">
        <v>0</v>
      </c>
      <c r="AY745" s="45">
        <v>0</v>
      </c>
      <c r="AZ745" s="45">
        <v>0</v>
      </c>
      <c r="BA745" s="45">
        <v>0</v>
      </c>
      <c r="BB745" s="45">
        <v>0</v>
      </c>
      <c r="BC745" s="45">
        <v>0</v>
      </c>
      <c r="BD745" s="45">
        <v>0</v>
      </c>
      <c r="BE745" s="45">
        <v>0</v>
      </c>
      <c r="BF745" s="45">
        <v>0</v>
      </c>
      <c r="BG745" s="45">
        <v>0</v>
      </c>
    </row>
    <row r="746" spans="1:59">
      <c r="A746" s="18" t="s">
        <v>268</v>
      </c>
      <c r="B746" s="18" t="s">
        <v>176</v>
      </c>
      <c r="C746" s="18" t="s">
        <v>218</v>
      </c>
      <c r="D746" s="45">
        <v>0</v>
      </c>
      <c r="E746" s="45">
        <v>0</v>
      </c>
      <c r="F746" s="45">
        <v>0</v>
      </c>
      <c r="G746" s="45">
        <v>0</v>
      </c>
      <c r="H746" s="45">
        <v>0</v>
      </c>
      <c r="I746" s="45">
        <v>0</v>
      </c>
      <c r="J746" s="45">
        <v>0</v>
      </c>
      <c r="K746" s="45">
        <v>0</v>
      </c>
      <c r="L746" s="45">
        <v>0</v>
      </c>
      <c r="M746" s="45">
        <v>0</v>
      </c>
      <c r="N746" s="45">
        <v>0</v>
      </c>
      <c r="O746" s="45">
        <v>0</v>
      </c>
      <c r="P746" s="45">
        <v>0</v>
      </c>
      <c r="Q746" s="45">
        <v>0</v>
      </c>
      <c r="R746" s="45">
        <v>0</v>
      </c>
      <c r="S746" s="45">
        <v>0</v>
      </c>
      <c r="T746" s="45">
        <v>0</v>
      </c>
      <c r="U746" s="45">
        <v>0</v>
      </c>
      <c r="V746" s="45">
        <v>0</v>
      </c>
      <c r="W746" s="45">
        <v>0</v>
      </c>
      <c r="X746" s="45">
        <v>0</v>
      </c>
      <c r="Y746" s="45">
        <v>0</v>
      </c>
      <c r="Z746" s="45">
        <v>0</v>
      </c>
      <c r="AA746" s="45">
        <v>0</v>
      </c>
      <c r="AB746" s="45">
        <v>0</v>
      </c>
      <c r="AC746" s="45">
        <v>0</v>
      </c>
      <c r="AD746" s="45">
        <v>0</v>
      </c>
      <c r="AE746" s="45">
        <v>0</v>
      </c>
      <c r="AF746" s="45">
        <v>0</v>
      </c>
      <c r="AG746" s="45">
        <v>0</v>
      </c>
      <c r="AH746" s="45">
        <v>0</v>
      </c>
      <c r="AI746" s="45">
        <v>0</v>
      </c>
      <c r="AJ746" s="45">
        <v>0</v>
      </c>
      <c r="AK746" s="45">
        <v>0</v>
      </c>
      <c r="AL746" s="45">
        <v>0</v>
      </c>
      <c r="AM746" s="45">
        <v>0</v>
      </c>
      <c r="AN746" s="45">
        <v>0</v>
      </c>
      <c r="AO746" s="45">
        <v>0</v>
      </c>
      <c r="AP746" s="45">
        <v>0</v>
      </c>
      <c r="AQ746" s="45">
        <v>0</v>
      </c>
      <c r="AR746" s="45">
        <v>0</v>
      </c>
      <c r="AS746" s="45">
        <v>0</v>
      </c>
      <c r="AT746" s="45">
        <v>0</v>
      </c>
      <c r="AU746" s="45">
        <v>0</v>
      </c>
      <c r="AV746" s="45">
        <v>0</v>
      </c>
      <c r="AW746" s="45">
        <v>0</v>
      </c>
      <c r="AX746" s="45">
        <v>0</v>
      </c>
      <c r="AY746" s="45">
        <v>0</v>
      </c>
      <c r="AZ746" s="45">
        <v>0</v>
      </c>
      <c r="BA746" s="45">
        <v>0</v>
      </c>
      <c r="BB746" s="45">
        <v>0</v>
      </c>
      <c r="BC746" s="45">
        <v>0</v>
      </c>
      <c r="BD746" s="45">
        <v>0</v>
      </c>
      <c r="BE746" s="45">
        <v>0</v>
      </c>
      <c r="BF746" s="45">
        <v>0</v>
      </c>
      <c r="BG746" s="45">
        <v>0</v>
      </c>
    </row>
    <row r="747" spans="1:59">
      <c r="A747" s="18" t="s">
        <v>269</v>
      </c>
      <c r="B747" s="18" t="s">
        <v>176</v>
      </c>
      <c r="C747" s="18" t="s">
        <v>220</v>
      </c>
      <c r="D747" s="45">
        <v>0</v>
      </c>
      <c r="E747" s="45">
        <v>0</v>
      </c>
      <c r="F747" s="45">
        <v>0</v>
      </c>
      <c r="G747" s="45">
        <v>0</v>
      </c>
      <c r="H747" s="45">
        <v>0</v>
      </c>
      <c r="I747" s="45">
        <v>0</v>
      </c>
      <c r="J747" s="45">
        <v>0</v>
      </c>
      <c r="K747" s="45">
        <v>0</v>
      </c>
      <c r="L747" s="45">
        <v>0</v>
      </c>
      <c r="M747" s="45">
        <v>0</v>
      </c>
      <c r="N747" s="45">
        <v>0</v>
      </c>
      <c r="O747" s="45">
        <v>0</v>
      </c>
      <c r="P747" s="45">
        <v>0</v>
      </c>
      <c r="Q747" s="45">
        <v>0</v>
      </c>
      <c r="R747" s="45">
        <v>0</v>
      </c>
      <c r="S747" s="45">
        <v>0</v>
      </c>
      <c r="T747" s="45">
        <v>0</v>
      </c>
      <c r="U747" s="45">
        <v>0</v>
      </c>
      <c r="V747" s="45">
        <v>0</v>
      </c>
      <c r="W747" s="45">
        <v>0</v>
      </c>
      <c r="X747" s="45">
        <v>0</v>
      </c>
      <c r="Y747" s="45">
        <v>0</v>
      </c>
      <c r="Z747" s="45">
        <v>0</v>
      </c>
      <c r="AA747" s="45">
        <v>0</v>
      </c>
      <c r="AB747" s="45">
        <v>0</v>
      </c>
      <c r="AC747" s="45">
        <v>0</v>
      </c>
      <c r="AD747" s="45">
        <v>0</v>
      </c>
      <c r="AE747" s="45">
        <v>0</v>
      </c>
      <c r="AF747" s="45">
        <v>0</v>
      </c>
      <c r="AG747" s="45">
        <v>0</v>
      </c>
      <c r="AH747" s="45">
        <v>0</v>
      </c>
      <c r="AI747" s="45">
        <v>0</v>
      </c>
      <c r="AJ747" s="45">
        <v>0</v>
      </c>
      <c r="AK747" s="45">
        <v>0</v>
      </c>
      <c r="AL747" s="45">
        <v>0</v>
      </c>
      <c r="AM747" s="45">
        <v>0</v>
      </c>
      <c r="AN747" s="45">
        <v>0</v>
      </c>
      <c r="AO747" s="45">
        <v>0</v>
      </c>
      <c r="AP747" s="45">
        <v>0</v>
      </c>
      <c r="AQ747" s="45">
        <v>0</v>
      </c>
      <c r="AR747" s="45">
        <v>0</v>
      </c>
      <c r="AS747" s="45">
        <v>0</v>
      </c>
      <c r="AT747" s="45">
        <v>0</v>
      </c>
      <c r="AU747" s="45">
        <v>0</v>
      </c>
      <c r="AV747" s="45">
        <v>0</v>
      </c>
      <c r="AW747" s="45">
        <v>0</v>
      </c>
      <c r="AX747" s="45">
        <v>0</v>
      </c>
      <c r="AY747" s="45">
        <v>0</v>
      </c>
      <c r="AZ747" s="45">
        <v>0</v>
      </c>
      <c r="BA747" s="45">
        <v>0</v>
      </c>
      <c r="BB747" s="45">
        <v>0</v>
      </c>
      <c r="BC747" s="45">
        <v>0</v>
      </c>
      <c r="BD747" s="45">
        <v>0</v>
      </c>
      <c r="BE747" s="45">
        <v>0</v>
      </c>
      <c r="BF747" s="45">
        <v>0</v>
      </c>
      <c r="BG747" s="45">
        <v>0</v>
      </c>
    </row>
    <row r="748" spans="1:59">
      <c r="A748" s="18" t="s">
        <v>270</v>
      </c>
      <c r="B748" s="18" t="s">
        <v>190</v>
      </c>
      <c r="C748" s="18" t="s">
        <v>5</v>
      </c>
      <c r="D748" s="45">
        <v>0</v>
      </c>
      <c r="E748" s="45">
        <v>0</v>
      </c>
      <c r="F748" s="45">
        <v>0</v>
      </c>
      <c r="G748" s="45">
        <v>0</v>
      </c>
      <c r="H748" s="45">
        <v>24.7</v>
      </c>
      <c r="I748" s="45">
        <v>12.7</v>
      </c>
      <c r="J748" s="45">
        <v>12.4</v>
      </c>
      <c r="K748" s="45">
        <v>12.2</v>
      </c>
      <c r="L748" s="45">
        <v>10.4</v>
      </c>
      <c r="M748" s="45">
        <v>11.3</v>
      </c>
      <c r="N748" s="45">
        <v>12.8</v>
      </c>
      <c r="O748" s="45">
        <v>13.5</v>
      </c>
      <c r="P748" s="45">
        <v>14</v>
      </c>
      <c r="Q748" s="45">
        <v>14.2</v>
      </c>
      <c r="R748" s="45">
        <v>13.5</v>
      </c>
      <c r="S748" s="45">
        <v>14.2</v>
      </c>
      <c r="T748" s="45">
        <v>15.8</v>
      </c>
      <c r="U748" s="45">
        <v>14.3</v>
      </c>
      <c r="V748" s="45">
        <v>15.1</v>
      </c>
      <c r="W748" s="45">
        <v>16.2</v>
      </c>
      <c r="X748" s="45">
        <v>15.7</v>
      </c>
      <c r="Y748" s="45">
        <v>14.8</v>
      </c>
      <c r="Z748" s="45">
        <v>14.8</v>
      </c>
      <c r="AA748" s="45">
        <v>13.5</v>
      </c>
      <c r="AB748" s="45">
        <v>12.6</v>
      </c>
      <c r="AC748" s="45">
        <v>13.3</v>
      </c>
      <c r="AD748" s="45">
        <v>13.4</v>
      </c>
      <c r="AE748" s="45">
        <v>13.3</v>
      </c>
      <c r="AF748" s="45">
        <v>13.3</v>
      </c>
      <c r="AG748" s="45">
        <v>14.3</v>
      </c>
      <c r="AH748" s="45">
        <v>14.6</v>
      </c>
      <c r="AI748" s="45">
        <v>15.2</v>
      </c>
      <c r="AJ748" s="45">
        <v>13.6</v>
      </c>
      <c r="AK748" s="45">
        <v>13.1</v>
      </c>
      <c r="AL748" s="45">
        <v>13.6</v>
      </c>
      <c r="AM748" s="45">
        <v>13.4</v>
      </c>
      <c r="AN748" s="45">
        <v>13.2</v>
      </c>
      <c r="AO748" s="45">
        <v>10.4</v>
      </c>
      <c r="AP748" s="45">
        <v>10.4</v>
      </c>
      <c r="AQ748" s="45">
        <v>8.5</v>
      </c>
      <c r="AR748" s="45">
        <v>6.6</v>
      </c>
      <c r="AS748" s="45">
        <v>0</v>
      </c>
      <c r="AT748" s="45">
        <v>0</v>
      </c>
      <c r="AU748" s="45">
        <v>0</v>
      </c>
      <c r="AV748" s="45">
        <v>0</v>
      </c>
      <c r="AW748" s="45">
        <v>0</v>
      </c>
      <c r="AX748" s="45">
        <v>0</v>
      </c>
      <c r="AY748" s="45">
        <v>0</v>
      </c>
      <c r="AZ748" s="45">
        <v>0</v>
      </c>
      <c r="BA748" s="45">
        <v>0</v>
      </c>
      <c r="BB748" s="45">
        <v>0</v>
      </c>
      <c r="BC748" s="45">
        <v>0</v>
      </c>
      <c r="BD748" s="45">
        <v>0</v>
      </c>
      <c r="BE748" s="45">
        <v>0</v>
      </c>
      <c r="BF748" s="45">
        <v>0</v>
      </c>
      <c r="BG748" s="45">
        <v>0</v>
      </c>
    </row>
    <row r="749" spans="1:59">
      <c r="A749" s="18" t="s">
        <v>271</v>
      </c>
      <c r="B749" s="18" t="s">
        <v>190</v>
      </c>
      <c r="C749" s="18" t="s">
        <v>210</v>
      </c>
      <c r="D749" s="45">
        <v>0</v>
      </c>
      <c r="E749" s="45">
        <v>0</v>
      </c>
      <c r="F749" s="45">
        <v>0</v>
      </c>
      <c r="G749" s="45">
        <v>0</v>
      </c>
      <c r="H749" s="45">
        <v>27.5</v>
      </c>
      <c r="I749" s="45">
        <v>15.1</v>
      </c>
      <c r="J749" s="45">
        <v>13.2</v>
      </c>
      <c r="K749" s="45">
        <v>11.8</v>
      </c>
      <c r="L749" s="45">
        <v>11.6</v>
      </c>
      <c r="M749" s="45">
        <v>11.4</v>
      </c>
      <c r="N749" s="45">
        <v>12.9</v>
      </c>
      <c r="O749" s="45">
        <v>13.6</v>
      </c>
      <c r="P749" s="45">
        <v>13.6</v>
      </c>
      <c r="Q749" s="45">
        <v>14.7</v>
      </c>
      <c r="R749" s="45">
        <v>13.7</v>
      </c>
      <c r="S749" s="45">
        <v>15.2</v>
      </c>
      <c r="T749" s="45">
        <v>12.4</v>
      </c>
      <c r="U749" s="45">
        <v>12.9</v>
      </c>
      <c r="V749" s="45">
        <v>14.7</v>
      </c>
      <c r="W749" s="45">
        <v>15.1</v>
      </c>
      <c r="X749" s="45">
        <v>15.7</v>
      </c>
      <c r="Y749" s="45">
        <v>15.1</v>
      </c>
      <c r="Z749" s="45">
        <v>12.8</v>
      </c>
      <c r="AA749" s="45">
        <v>11.4</v>
      </c>
      <c r="AB749" s="45">
        <v>12.1</v>
      </c>
      <c r="AC749" s="45">
        <v>12.5</v>
      </c>
      <c r="AD749" s="45">
        <v>13.3</v>
      </c>
      <c r="AE749" s="45">
        <v>13.5</v>
      </c>
      <c r="AF749" s="45">
        <v>13.4</v>
      </c>
      <c r="AG749" s="45">
        <v>13</v>
      </c>
      <c r="AH749" s="45">
        <v>13.3</v>
      </c>
      <c r="AI749" s="45">
        <v>12.6</v>
      </c>
      <c r="AJ749" s="45">
        <v>11.2</v>
      </c>
      <c r="AK749" s="45">
        <v>11.7</v>
      </c>
      <c r="AL749" s="45">
        <v>12.6</v>
      </c>
      <c r="AM749" s="45">
        <v>12.3</v>
      </c>
      <c r="AN749" s="45">
        <v>11.8</v>
      </c>
      <c r="AO749" s="45">
        <v>10.7</v>
      </c>
      <c r="AP749" s="45">
        <v>9.5</v>
      </c>
      <c r="AQ749" s="45">
        <v>8.199999999999999</v>
      </c>
      <c r="AR749" s="45">
        <v>5.2</v>
      </c>
      <c r="AS749" s="45">
        <v>0</v>
      </c>
      <c r="AT749" s="45">
        <v>0</v>
      </c>
      <c r="AU749" s="45">
        <v>0</v>
      </c>
      <c r="AV749" s="45">
        <v>0</v>
      </c>
      <c r="AW749" s="45">
        <v>0</v>
      </c>
      <c r="AX749" s="45">
        <v>0</v>
      </c>
      <c r="AY749" s="45">
        <v>0</v>
      </c>
      <c r="AZ749" s="45">
        <v>0</v>
      </c>
      <c r="BA749" s="45">
        <v>0</v>
      </c>
      <c r="BB749" s="45">
        <v>0</v>
      </c>
      <c r="BC749" s="45">
        <v>0</v>
      </c>
      <c r="BD749" s="45">
        <v>0</v>
      </c>
      <c r="BE749" s="45">
        <v>0</v>
      </c>
      <c r="BF749" s="45">
        <v>0</v>
      </c>
      <c r="BG749" s="45">
        <v>0</v>
      </c>
    </row>
    <row r="750" spans="1:59">
      <c r="A750" s="18" t="s">
        <v>272</v>
      </c>
      <c r="B750" s="18" t="s">
        <v>190</v>
      </c>
      <c r="C750" s="18" t="s">
        <v>212</v>
      </c>
      <c r="D750" s="45">
        <v>0</v>
      </c>
      <c r="E750" s="45">
        <v>0</v>
      </c>
      <c r="F750" s="45">
        <v>0</v>
      </c>
      <c r="G750" s="45">
        <v>0</v>
      </c>
      <c r="H750" s="45">
        <v>28.4</v>
      </c>
      <c r="I750" s="45">
        <v>14.1</v>
      </c>
      <c r="J750" s="45">
        <v>13</v>
      </c>
      <c r="K750" s="45">
        <v>12.8</v>
      </c>
      <c r="L750" s="45">
        <v>11.1</v>
      </c>
      <c r="M750" s="45">
        <v>12.7</v>
      </c>
      <c r="N750" s="45">
        <v>12.2</v>
      </c>
      <c r="O750" s="45">
        <v>12.7</v>
      </c>
      <c r="P750" s="45">
        <v>12.8</v>
      </c>
      <c r="Q750" s="45">
        <v>12.9</v>
      </c>
      <c r="R750" s="45">
        <v>12.9</v>
      </c>
      <c r="S750" s="45">
        <v>14.1</v>
      </c>
      <c r="T750" s="45">
        <v>13.1</v>
      </c>
      <c r="U750" s="45">
        <v>12.8</v>
      </c>
      <c r="V750" s="45">
        <v>14.8</v>
      </c>
      <c r="W750" s="45">
        <v>15.5</v>
      </c>
      <c r="X750" s="45">
        <v>17.1</v>
      </c>
      <c r="Y750" s="45">
        <v>13.5</v>
      </c>
      <c r="Z750" s="45">
        <v>12.1</v>
      </c>
      <c r="AA750" s="45">
        <v>15.1</v>
      </c>
      <c r="AB750" s="45">
        <v>12.5</v>
      </c>
      <c r="AC750" s="45">
        <v>13</v>
      </c>
      <c r="AD750" s="45">
        <v>13.4</v>
      </c>
      <c r="AE750" s="45">
        <v>14.1</v>
      </c>
      <c r="AF750" s="45">
        <v>13.5</v>
      </c>
      <c r="AG750" s="45">
        <v>11.5</v>
      </c>
      <c r="AH750" s="45">
        <v>13.1</v>
      </c>
      <c r="AI750" s="45">
        <v>11.9</v>
      </c>
      <c r="AJ750" s="45">
        <v>12.5</v>
      </c>
      <c r="AK750" s="45">
        <v>13.5</v>
      </c>
      <c r="AL750" s="45">
        <v>12.2</v>
      </c>
      <c r="AM750" s="45">
        <v>12.6</v>
      </c>
      <c r="AN750" s="45">
        <v>12.7</v>
      </c>
      <c r="AO750" s="45">
        <v>11</v>
      </c>
      <c r="AP750" s="45">
        <v>9.5</v>
      </c>
      <c r="AQ750" s="45">
        <v>8.1</v>
      </c>
      <c r="AR750" s="45">
        <v>5.8</v>
      </c>
      <c r="AS750" s="45">
        <v>0</v>
      </c>
      <c r="AT750" s="45">
        <v>0</v>
      </c>
      <c r="AU750" s="45">
        <v>0</v>
      </c>
      <c r="AV750" s="45">
        <v>0</v>
      </c>
      <c r="AW750" s="45">
        <v>0</v>
      </c>
      <c r="AX750" s="45">
        <v>0</v>
      </c>
      <c r="AY750" s="45">
        <v>0</v>
      </c>
      <c r="AZ750" s="45">
        <v>0</v>
      </c>
      <c r="BA750" s="45">
        <v>0</v>
      </c>
      <c r="BB750" s="45">
        <v>0</v>
      </c>
      <c r="BC750" s="45">
        <v>0</v>
      </c>
      <c r="BD750" s="45">
        <v>0</v>
      </c>
      <c r="BE750" s="45">
        <v>0</v>
      </c>
      <c r="BF750" s="45">
        <v>0</v>
      </c>
      <c r="BG750" s="45">
        <v>0</v>
      </c>
    </row>
    <row r="751" spans="1:59">
      <c r="A751" s="18" t="s">
        <v>273</v>
      </c>
      <c r="B751" s="18" t="s">
        <v>190</v>
      </c>
      <c r="C751" s="18" t="s">
        <v>214</v>
      </c>
      <c r="D751" s="45">
        <v>0</v>
      </c>
      <c r="E751" s="45">
        <v>0</v>
      </c>
      <c r="F751" s="45">
        <v>0</v>
      </c>
      <c r="G751" s="45">
        <v>0</v>
      </c>
      <c r="H751" s="45">
        <v>21.8</v>
      </c>
      <c r="I751" s="45">
        <v>15.9</v>
      </c>
      <c r="J751" s="45">
        <v>12.1</v>
      </c>
      <c r="K751" s="45">
        <v>12.3</v>
      </c>
      <c r="L751" s="45">
        <v>11.8</v>
      </c>
      <c r="M751" s="45">
        <v>11.7</v>
      </c>
      <c r="N751" s="45">
        <v>12.7</v>
      </c>
      <c r="O751" s="45">
        <v>13.6</v>
      </c>
      <c r="P751" s="45">
        <v>13.5</v>
      </c>
      <c r="Q751" s="45">
        <v>13.5</v>
      </c>
      <c r="R751" s="45">
        <v>13.6</v>
      </c>
      <c r="S751" s="45">
        <v>14</v>
      </c>
      <c r="T751" s="45">
        <v>14.3</v>
      </c>
      <c r="U751" s="45">
        <v>13.6</v>
      </c>
      <c r="V751" s="45">
        <v>14.5</v>
      </c>
      <c r="W751" s="45">
        <v>15.1</v>
      </c>
      <c r="X751" s="45">
        <v>14.8</v>
      </c>
      <c r="Y751" s="45">
        <v>14.6</v>
      </c>
      <c r="Z751" s="45">
        <v>12.2</v>
      </c>
      <c r="AA751" s="45">
        <v>11.3</v>
      </c>
      <c r="AB751" s="45">
        <v>11.2</v>
      </c>
      <c r="AC751" s="45">
        <v>12.6</v>
      </c>
      <c r="AD751" s="45">
        <v>12.5</v>
      </c>
      <c r="AE751" s="45">
        <v>12.2</v>
      </c>
      <c r="AF751" s="45">
        <v>11.8</v>
      </c>
      <c r="AG751" s="45">
        <v>12.7</v>
      </c>
      <c r="AH751" s="45">
        <v>11.3</v>
      </c>
      <c r="AI751" s="45">
        <v>12.1</v>
      </c>
      <c r="AJ751" s="45">
        <v>11.5</v>
      </c>
      <c r="AK751" s="45">
        <v>10.5</v>
      </c>
      <c r="AL751" s="45">
        <v>11.8</v>
      </c>
      <c r="AM751" s="45">
        <v>11.8</v>
      </c>
      <c r="AN751" s="45">
        <v>11.7</v>
      </c>
      <c r="AO751" s="45">
        <v>10.9</v>
      </c>
      <c r="AP751" s="45">
        <v>9.6</v>
      </c>
      <c r="AQ751" s="45">
        <v>7.9</v>
      </c>
      <c r="AR751" s="45">
        <v>4.3</v>
      </c>
      <c r="AS751" s="45">
        <v>0</v>
      </c>
      <c r="AT751" s="45">
        <v>0</v>
      </c>
      <c r="AU751" s="45">
        <v>0</v>
      </c>
      <c r="AV751" s="45">
        <v>0</v>
      </c>
      <c r="AW751" s="45">
        <v>0</v>
      </c>
      <c r="AX751" s="45">
        <v>0</v>
      </c>
      <c r="AY751" s="45">
        <v>0</v>
      </c>
      <c r="AZ751" s="45">
        <v>0</v>
      </c>
      <c r="BA751" s="45">
        <v>0</v>
      </c>
      <c r="BB751" s="45">
        <v>0</v>
      </c>
      <c r="BC751" s="45">
        <v>0</v>
      </c>
      <c r="BD751" s="45">
        <v>0</v>
      </c>
      <c r="BE751" s="45">
        <v>0</v>
      </c>
      <c r="BF751" s="45">
        <v>0</v>
      </c>
      <c r="BG751" s="45">
        <v>0</v>
      </c>
    </row>
    <row r="752" spans="1:59">
      <c r="A752" s="18" t="s">
        <v>274</v>
      </c>
      <c r="B752" s="18" t="s">
        <v>190</v>
      </c>
      <c r="C752" s="18" t="s">
        <v>216</v>
      </c>
      <c r="D752" s="45">
        <v>0</v>
      </c>
      <c r="E752" s="45">
        <v>0</v>
      </c>
      <c r="F752" s="45">
        <v>0</v>
      </c>
      <c r="G752" s="45">
        <v>0</v>
      </c>
      <c r="H752" s="45">
        <v>28.6</v>
      </c>
      <c r="I752" s="45">
        <v>15.5</v>
      </c>
      <c r="J752" s="45">
        <v>12.3</v>
      </c>
      <c r="K752" s="45">
        <v>11.5</v>
      </c>
      <c r="L752" s="45">
        <v>11</v>
      </c>
      <c r="M752" s="45">
        <v>11.5</v>
      </c>
      <c r="N752" s="45">
        <v>11.4</v>
      </c>
      <c r="O752" s="45">
        <v>11.9</v>
      </c>
      <c r="P752" s="45">
        <v>11.4</v>
      </c>
      <c r="Q752" s="45">
        <v>12.1</v>
      </c>
      <c r="R752" s="45">
        <v>12.6</v>
      </c>
      <c r="S752" s="45">
        <v>12.7</v>
      </c>
      <c r="T752" s="45">
        <v>12.2</v>
      </c>
      <c r="U752" s="45">
        <v>13.3</v>
      </c>
      <c r="V752" s="45">
        <v>12.9</v>
      </c>
      <c r="W752" s="45">
        <v>14.5</v>
      </c>
      <c r="X752" s="45">
        <v>15.8</v>
      </c>
      <c r="Y752" s="45">
        <v>14.6</v>
      </c>
      <c r="Z752" s="45">
        <v>14.2</v>
      </c>
      <c r="AA752" s="45">
        <v>11.8</v>
      </c>
      <c r="AB752" s="45">
        <v>12.7</v>
      </c>
      <c r="AC752" s="45">
        <v>12.5</v>
      </c>
      <c r="AD752" s="45">
        <v>13.2</v>
      </c>
      <c r="AE752" s="45">
        <v>12.9</v>
      </c>
      <c r="AF752" s="45">
        <v>11.9</v>
      </c>
      <c r="AG752" s="45">
        <v>12.4</v>
      </c>
      <c r="AH752" s="45">
        <v>12.9</v>
      </c>
      <c r="AI752" s="45">
        <v>12.3</v>
      </c>
      <c r="AJ752" s="45">
        <v>12.6</v>
      </c>
      <c r="AK752" s="45">
        <v>10.7</v>
      </c>
      <c r="AL752" s="45">
        <v>12.9</v>
      </c>
      <c r="AM752" s="45">
        <v>12</v>
      </c>
      <c r="AN752" s="45">
        <v>12.2</v>
      </c>
      <c r="AO752" s="45">
        <v>10.5</v>
      </c>
      <c r="AP752" s="45">
        <v>10</v>
      </c>
      <c r="AQ752" s="45">
        <v>8.4</v>
      </c>
      <c r="AR752" s="45">
        <v>5.7</v>
      </c>
      <c r="AS752" s="45">
        <v>0</v>
      </c>
      <c r="AT752" s="45">
        <v>0</v>
      </c>
      <c r="AU752" s="45">
        <v>0</v>
      </c>
      <c r="AV752" s="45">
        <v>0</v>
      </c>
      <c r="AW752" s="45">
        <v>0</v>
      </c>
      <c r="AX752" s="45">
        <v>0</v>
      </c>
      <c r="AY752" s="45">
        <v>0</v>
      </c>
      <c r="AZ752" s="45">
        <v>0</v>
      </c>
      <c r="BA752" s="45">
        <v>0</v>
      </c>
      <c r="BB752" s="45">
        <v>0</v>
      </c>
      <c r="BC752" s="45">
        <v>0</v>
      </c>
      <c r="BD752" s="45">
        <v>0</v>
      </c>
      <c r="BE752" s="45">
        <v>0</v>
      </c>
      <c r="BF752" s="45">
        <v>0</v>
      </c>
      <c r="BG752" s="45">
        <v>0</v>
      </c>
    </row>
    <row r="753" spans="1:59">
      <c r="A753" s="18" t="s">
        <v>275</v>
      </c>
      <c r="B753" s="18" t="s">
        <v>190</v>
      </c>
      <c r="C753" s="18" t="s">
        <v>218</v>
      </c>
      <c r="D753" s="45">
        <v>0</v>
      </c>
      <c r="E753" s="45">
        <v>0</v>
      </c>
      <c r="F753" s="45">
        <v>0</v>
      </c>
      <c r="G753" s="45">
        <v>0</v>
      </c>
      <c r="H753" s="45">
        <v>0</v>
      </c>
      <c r="I753" s="45">
        <v>0</v>
      </c>
      <c r="J753" s="45">
        <v>0</v>
      </c>
      <c r="K753" s="45">
        <v>0</v>
      </c>
      <c r="L753" s="45">
        <v>0</v>
      </c>
      <c r="M753" s="45">
        <v>0</v>
      </c>
      <c r="N753" s="45">
        <v>0</v>
      </c>
      <c r="O753" s="45">
        <v>0</v>
      </c>
      <c r="P753" s="45">
        <v>0</v>
      </c>
      <c r="Q753" s="45">
        <v>0</v>
      </c>
      <c r="R753" s="45">
        <v>0</v>
      </c>
      <c r="S753" s="45">
        <v>0</v>
      </c>
      <c r="T753" s="45">
        <v>0</v>
      </c>
      <c r="U753" s="45">
        <v>0</v>
      </c>
      <c r="V753" s="45">
        <v>0</v>
      </c>
      <c r="W753" s="45">
        <v>0</v>
      </c>
      <c r="X753" s="45">
        <v>0</v>
      </c>
      <c r="Y753" s="45">
        <v>0</v>
      </c>
      <c r="Z753" s="45">
        <v>0</v>
      </c>
      <c r="AA753" s="45">
        <v>0</v>
      </c>
      <c r="AB753" s="45">
        <v>0</v>
      </c>
      <c r="AC753" s="45">
        <v>0</v>
      </c>
      <c r="AD753" s="45">
        <v>0</v>
      </c>
      <c r="AE753" s="45">
        <v>0</v>
      </c>
      <c r="AF753" s="45">
        <v>0</v>
      </c>
      <c r="AG753" s="45">
        <v>0</v>
      </c>
      <c r="AH753" s="45">
        <v>0</v>
      </c>
      <c r="AI753" s="45">
        <v>0</v>
      </c>
      <c r="AJ753" s="45">
        <v>0</v>
      </c>
      <c r="AK753" s="45">
        <v>0</v>
      </c>
      <c r="AL753" s="45">
        <v>0</v>
      </c>
      <c r="AM753" s="45">
        <v>0</v>
      </c>
      <c r="AN753" s="45">
        <v>0</v>
      </c>
      <c r="AO753" s="45">
        <v>0</v>
      </c>
      <c r="AP753" s="45">
        <v>0</v>
      </c>
      <c r="AQ753" s="45">
        <v>0</v>
      </c>
      <c r="AR753" s="45">
        <v>0</v>
      </c>
      <c r="AS753" s="45">
        <v>0</v>
      </c>
      <c r="AT753" s="45">
        <v>0</v>
      </c>
      <c r="AU753" s="45">
        <v>0</v>
      </c>
      <c r="AV753" s="45">
        <v>0</v>
      </c>
      <c r="AW753" s="45">
        <v>0</v>
      </c>
      <c r="AX753" s="45">
        <v>0</v>
      </c>
      <c r="AY753" s="45">
        <v>0</v>
      </c>
      <c r="AZ753" s="45">
        <v>0</v>
      </c>
      <c r="BA753" s="45">
        <v>0</v>
      </c>
      <c r="BB753" s="45">
        <v>0</v>
      </c>
      <c r="BC753" s="45">
        <v>0</v>
      </c>
      <c r="BD753" s="45">
        <v>0</v>
      </c>
      <c r="BE753" s="45">
        <v>0</v>
      </c>
      <c r="BF753" s="45">
        <v>0</v>
      </c>
      <c r="BG753" s="45">
        <v>0</v>
      </c>
    </row>
    <row r="754" spans="1:59">
      <c r="A754" s="18" t="s">
        <v>276</v>
      </c>
      <c r="B754" s="18" t="s">
        <v>190</v>
      </c>
      <c r="C754" s="18" t="s">
        <v>220</v>
      </c>
      <c r="D754" s="45">
        <v>0</v>
      </c>
      <c r="E754" s="45">
        <v>0</v>
      </c>
      <c r="F754" s="45">
        <v>0</v>
      </c>
      <c r="G754" s="45">
        <v>0</v>
      </c>
      <c r="H754" s="45">
        <v>0</v>
      </c>
      <c r="I754" s="45">
        <v>0</v>
      </c>
      <c r="J754" s="45">
        <v>0</v>
      </c>
      <c r="K754" s="45">
        <v>0</v>
      </c>
      <c r="L754" s="45">
        <v>0</v>
      </c>
      <c r="M754" s="45">
        <v>0</v>
      </c>
      <c r="N754" s="45">
        <v>0</v>
      </c>
      <c r="O754" s="45">
        <v>0</v>
      </c>
      <c r="P754" s="45">
        <v>0</v>
      </c>
      <c r="Q754" s="45">
        <v>0</v>
      </c>
      <c r="R754" s="45">
        <v>0</v>
      </c>
      <c r="S754" s="45">
        <v>0</v>
      </c>
      <c r="T754" s="45">
        <v>0</v>
      </c>
      <c r="U754" s="45">
        <v>0</v>
      </c>
      <c r="V754" s="45">
        <v>0</v>
      </c>
      <c r="W754" s="45">
        <v>0</v>
      </c>
      <c r="X754" s="45">
        <v>0</v>
      </c>
      <c r="Y754" s="45">
        <v>0</v>
      </c>
      <c r="Z754" s="45">
        <v>0</v>
      </c>
      <c r="AA754" s="45">
        <v>0</v>
      </c>
      <c r="AB754" s="45">
        <v>0</v>
      </c>
      <c r="AC754" s="45">
        <v>0</v>
      </c>
      <c r="AD754" s="45">
        <v>0</v>
      </c>
      <c r="AE754" s="45">
        <v>0</v>
      </c>
      <c r="AF754" s="45">
        <v>0</v>
      </c>
      <c r="AG754" s="45">
        <v>0</v>
      </c>
      <c r="AH754" s="45">
        <v>0</v>
      </c>
      <c r="AI754" s="45">
        <v>0</v>
      </c>
      <c r="AJ754" s="45">
        <v>0</v>
      </c>
      <c r="AK754" s="45">
        <v>0</v>
      </c>
      <c r="AL754" s="45">
        <v>0</v>
      </c>
      <c r="AM754" s="45">
        <v>0</v>
      </c>
      <c r="AN754" s="45">
        <v>0</v>
      </c>
      <c r="AO754" s="45">
        <v>0</v>
      </c>
      <c r="AP754" s="45">
        <v>0</v>
      </c>
      <c r="AQ754" s="45">
        <v>0</v>
      </c>
      <c r="AR754" s="45">
        <v>0</v>
      </c>
      <c r="AS754" s="45">
        <v>0</v>
      </c>
      <c r="AT754" s="45">
        <v>0</v>
      </c>
      <c r="AU754" s="45">
        <v>0</v>
      </c>
      <c r="AV754" s="45">
        <v>0</v>
      </c>
      <c r="AW754" s="45">
        <v>0</v>
      </c>
      <c r="AX754" s="45">
        <v>0</v>
      </c>
      <c r="AY754" s="45">
        <v>0</v>
      </c>
      <c r="AZ754" s="45">
        <v>0</v>
      </c>
      <c r="BA754" s="45">
        <v>0</v>
      </c>
      <c r="BB754" s="45">
        <v>0</v>
      </c>
      <c r="BC754" s="45">
        <v>0</v>
      </c>
      <c r="BD754" s="45">
        <v>0</v>
      </c>
      <c r="BE754" s="45">
        <v>0</v>
      </c>
      <c r="BF754" s="45">
        <v>0</v>
      </c>
      <c r="BG754" s="45">
        <v>0</v>
      </c>
    </row>
    <row r="757" spans="1:59">
      <c r="A757" s="6" t="s">
        <v>280</v>
      </c>
    </row>
    <row r="758" spans="1:59">
      <c r="A758" s="22" t="s">
        <v>3</v>
      </c>
      <c r="B758" s="22" t="s">
        <v>4</v>
      </c>
      <c r="C758" s="22" t="s">
        <v>5</v>
      </c>
      <c r="D758" s="22" t="s">
        <v>281</v>
      </c>
      <c r="E758" s="22" t="s">
        <v>282</v>
      </c>
      <c r="F758" s="22" t="s">
        <v>283</v>
      </c>
      <c r="G758" s="22" t="s">
        <v>284</v>
      </c>
      <c r="H758" s="22" t="s">
        <v>285</v>
      </c>
      <c r="I758" s="22" t="s">
        <v>286</v>
      </c>
      <c r="J758" s="22" t="s">
        <v>287</v>
      </c>
      <c r="K758" s="22" t="s">
        <v>288</v>
      </c>
      <c r="L758" s="22" t="s">
        <v>289</v>
      </c>
      <c r="M758" s="22" t="s">
        <v>290</v>
      </c>
      <c r="N758" s="22" t="s">
        <v>291</v>
      </c>
      <c r="O758" s="22" t="s">
        <v>292</v>
      </c>
      <c r="P758" s="22" t="s">
        <v>293</v>
      </c>
      <c r="Q758" s="22" t="s">
        <v>294</v>
      </c>
      <c r="R758" s="22" t="s">
        <v>295</v>
      </c>
      <c r="S758" s="22" t="s">
        <v>296</v>
      </c>
      <c r="T758" s="22" t="s">
        <v>297</v>
      </c>
      <c r="U758" s="22" t="s">
        <v>298</v>
      </c>
      <c r="V758" s="22" t="s">
        <v>299</v>
      </c>
      <c r="W758" s="22" t="s">
        <v>300</v>
      </c>
      <c r="X758" s="22" t="s">
        <v>301</v>
      </c>
      <c r="Y758" s="22" t="s">
        <v>302</v>
      </c>
      <c r="Z758" s="22" t="s">
        <v>303</v>
      </c>
      <c r="AA758" s="22" t="s">
        <v>304</v>
      </c>
      <c r="AB758" s="22" t="s">
        <v>305</v>
      </c>
    </row>
    <row r="759" spans="1:59">
      <c r="A759" s="18" t="s">
        <v>64</v>
      </c>
      <c r="B759" s="18" t="s">
        <v>65</v>
      </c>
      <c r="C759" s="18" t="s">
        <v>66</v>
      </c>
      <c r="D759" s="24">
        <v>762002</v>
      </c>
      <c r="E759" s="24">
        <v>357065012</v>
      </c>
      <c r="F759" s="24">
        <v>759189</v>
      </c>
      <c r="G759" s="24">
        <v>333101951</v>
      </c>
      <c r="H759" s="24">
        <v>726894</v>
      </c>
      <c r="I759" s="24">
        <v>667002362</v>
      </c>
      <c r="J759" s="24">
        <v>726125</v>
      </c>
      <c r="K759" s="24">
        <v>486037</v>
      </c>
      <c r="L759" s="24">
        <v>103207</v>
      </c>
      <c r="M759" s="24">
        <v>55705</v>
      </c>
      <c r="N759" s="24">
        <v>69466</v>
      </c>
      <c r="O759" s="24">
        <v>32734</v>
      </c>
      <c r="P759" s="24">
        <v>12040</v>
      </c>
      <c r="Q759" s="24">
        <v>449414</v>
      </c>
      <c r="R759" s="24">
        <v>126105</v>
      </c>
      <c r="S759" s="24">
        <v>55377</v>
      </c>
      <c r="T759" s="24">
        <v>60018</v>
      </c>
      <c r="U759" s="24">
        <v>26356</v>
      </c>
      <c r="V759" s="24">
        <v>9624</v>
      </c>
      <c r="W759" s="24">
        <v>217532</v>
      </c>
      <c r="X759" s="24">
        <v>170083</v>
      </c>
      <c r="Y759" s="24">
        <v>103061</v>
      </c>
      <c r="Z759" s="24">
        <v>139531</v>
      </c>
      <c r="AA759" s="24">
        <v>71308</v>
      </c>
      <c r="AB759" s="24">
        <v>24610</v>
      </c>
    </row>
    <row r="760" spans="1:59">
      <c r="A760" s="18" t="s">
        <v>67</v>
      </c>
      <c r="B760" s="18" t="s">
        <v>65</v>
      </c>
      <c r="C760" s="18" t="s">
        <v>68</v>
      </c>
      <c r="D760" s="24">
        <v>69708</v>
      </c>
      <c r="E760" s="24">
        <v>52608676.99999999</v>
      </c>
      <c r="F760" s="24">
        <v>69617</v>
      </c>
      <c r="G760" s="24">
        <v>36272770</v>
      </c>
      <c r="H760" s="24">
        <v>68295</v>
      </c>
      <c r="I760" s="24">
        <v>88158036</v>
      </c>
      <c r="J760" s="24">
        <v>68207</v>
      </c>
      <c r="K760" s="24">
        <v>37285</v>
      </c>
      <c r="L760" s="24">
        <v>9322</v>
      </c>
      <c r="M760" s="24">
        <v>5556</v>
      </c>
      <c r="N760" s="24">
        <v>8542</v>
      </c>
      <c r="O760" s="24">
        <v>6086</v>
      </c>
      <c r="P760" s="24">
        <v>2826</v>
      </c>
      <c r="Q760" s="24">
        <v>37901</v>
      </c>
      <c r="R760" s="24">
        <v>13339</v>
      </c>
      <c r="S760" s="24">
        <v>6323</v>
      </c>
      <c r="T760" s="24">
        <v>6747</v>
      </c>
      <c r="U760" s="24">
        <v>2925</v>
      </c>
      <c r="V760" s="24">
        <v>1060</v>
      </c>
      <c r="W760" s="24">
        <v>12817</v>
      </c>
      <c r="X760" s="24">
        <v>14100</v>
      </c>
      <c r="Y760" s="24">
        <v>9941</v>
      </c>
      <c r="Z760" s="24">
        <v>15955</v>
      </c>
      <c r="AA760" s="24">
        <v>10735</v>
      </c>
      <c r="AB760" s="24">
        <v>4659</v>
      </c>
    </row>
    <row r="761" spans="1:59">
      <c r="A761" s="18" t="s">
        <v>69</v>
      </c>
      <c r="B761" s="18" t="s">
        <v>65</v>
      </c>
      <c r="C761" s="18" t="s">
        <v>70</v>
      </c>
      <c r="D761" s="24">
        <v>63291</v>
      </c>
      <c r="E761" s="24">
        <v>37345420.00000001</v>
      </c>
      <c r="F761" s="24">
        <v>63247</v>
      </c>
      <c r="G761" s="24">
        <v>33950282</v>
      </c>
      <c r="H761" s="24">
        <v>61906</v>
      </c>
      <c r="I761" s="24">
        <v>70662426</v>
      </c>
      <c r="J761" s="24">
        <v>61862</v>
      </c>
      <c r="K761" s="24">
        <v>37667</v>
      </c>
      <c r="L761" s="24">
        <v>8099</v>
      </c>
      <c r="M761" s="24">
        <v>4570</v>
      </c>
      <c r="N761" s="24">
        <v>7145</v>
      </c>
      <c r="O761" s="24">
        <v>4205</v>
      </c>
      <c r="P761" s="24">
        <v>1561</v>
      </c>
      <c r="Q761" s="24">
        <v>34396</v>
      </c>
      <c r="R761" s="24">
        <v>12121</v>
      </c>
      <c r="S761" s="24">
        <v>5316</v>
      </c>
      <c r="T761" s="24">
        <v>6078</v>
      </c>
      <c r="U761" s="24">
        <v>2907</v>
      </c>
      <c r="V761" s="24">
        <v>1088</v>
      </c>
      <c r="W761" s="24">
        <v>13166</v>
      </c>
      <c r="X761" s="24">
        <v>13886</v>
      </c>
      <c r="Y761" s="24">
        <v>8961</v>
      </c>
      <c r="Z761" s="24">
        <v>14247</v>
      </c>
      <c r="AA761" s="24">
        <v>8394</v>
      </c>
      <c r="AB761" s="24">
        <v>3208</v>
      </c>
    </row>
    <row r="762" spans="1:59">
      <c r="A762" s="18" t="s">
        <v>71</v>
      </c>
      <c r="B762" s="18" t="s">
        <v>65</v>
      </c>
      <c r="C762" s="18" t="s">
        <v>72</v>
      </c>
      <c r="D762" s="24">
        <v>65022</v>
      </c>
      <c r="E762" s="24">
        <v>30454504</v>
      </c>
      <c r="F762" s="24">
        <v>64977</v>
      </c>
      <c r="G762" s="24">
        <v>35205735</v>
      </c>
      <c r="H762" s="24">
        <v>63598</v>
      </c>
      <c r="I762" s="24">
        <v>65128583.99999999</v>
      </c>
      <c r="J762" s="24">
        <v>63554</v>
      </c>
      <c r="K762" s="24">
        <v>41778</v>
      </c>
      <c r="L762" s="24">
        <v>8575</v>
      </c>
      <c r="M762" s="24">
        <v>4594</v>
      </c>
      <c r="N762" s="24">
        <v>6042</v>
      </c>
      <c r="O762" s="24">
        <v>3021</v>
      </c>
      <c r="P762" s="24">
        <v>967</v>
      </c>
      <c r="Q762" s="24">
        <v>34933</v>
      </c>
      <c r="R762" s="24">
        <v>12531</v>
      </c>
      <c r="S762" s="24">
        <v>5672</v>
      </c>
      <c r="T762" s="24">
        <v>6387</v>
      </c>
      <c r="U762" s="24">
        <v>2900</v>
      </c>
      <c r="V762" s="24">
        <v>1175</v>
      </c>
      <c r="W762" s="24">
        <v>15165</v>
      </c>
      <c r="X762" s="24">
        <v>15384</v>
      </c>
      <c r="Y762" s="24">
        <v>9562</v>
      </c>
      <c r="Z762" s="24">
        <v>13659</v>
      </c>
      <c r="AA762" s="24">
        <v>7237</v>
      </c>
      <c r="AB762" s="24">
        <v>2547</v>
      </c>
    </row>
    <row r="763" spans="1:59">
      <c r="A763" s="18" t="s">
        <v>73</v>
      </c>
      <c r="B763" s="18" t="s">
        <v>65</v>
      </c>
      <c r="C763" s="18" t="s">
        <v>74</v>
      </c>
      <c r="D763" s="24">
        <v>68469</v>
      </c>
      <c r="E763" s="24">
        <v>31984458</v>
      </c>
      <c r="F763" s="24">
        <v>68432</v>
      </c>
      <c r="G763" s="24">
        <v>37218788</v>
      </c>
      <c r="H763" s="24">
        <v>66975</v>
      </c>
      <c r="I763" s="24">
        <v>68684322</v>
      </c>
      <c r="J763" s="24">
        <v>66939</v>
      </c>
      <c r="K763" s="24">
        <v>43432</v>
      </c>
      <c r="L763" s="24">
        <v>8639</v>
      </c>
      <c r="M763" s="24">
        <v>5126</v>
      </c>
      <c r="N763" s="24">
        <v>7127</v>
      </c>
      <c r="O763" s="24">
        <v>3254</v>
      </c>
      <c r="P763" s="24">
        <v>854</v>
      </c>
      <c r="Q763" s="24">
        <v>35953</v>
      </c>
      <c r="R763" s="24">
        <v>13653</v>
      </c>
      <c r="S763" s="24">
        <v>6197</v>
      </c>
      <c r="T763" s="24">
        <v>7004</v>
      </c>
      <c r="U763" s="24">
        <v>3050</v>
      </c>
      <c r="V763" s="24">
        <v>1118</v>
      </c>
      <c r="W763" s="24">
        <v>15577</v>
      </c>
      <c r="X763" s="24">
        <v>15711</v>
      </c>
      <c r="Y763" s="24">
        <v>10040</v>
      </c>
      <c r="Z763" s="24">
        <v>15256</v>
      </c>
      <c r="AA763" s="24">
        <v>7902</v>
      </c>
      <c r="AB763" s="24">
        <v>2453</v>
      </c>
    </row>
    <row r="764" spans="1:59">
      <c r="A764" s="18" t="s">
        <v>75</v>
      </c>
      <c r="B764" s="18" t="s">
        <v>65</v>
      </c>
      <c r="C764" s="18" t="s">
        <v>76</v>
      </c>
      <c r="D764" s="24">
        <v>60107</v>
      </c>
      <c r="E764" s="24">
        <v>31791095</v>
      </c>
      <c r="F764" s="24">
        <v>60067</v>
      </c>
      <c r="G764" s="24">
        <v>32154178</v>
      </c>
      <c r="H764" s="24">
        <v>58839</v>
      </c>
      <c r="I764" s="24">
        <v>63502917</v>
      </c>
      <c r="J764" s="24">
        <v>58799</v>
      </c>
      <c r="K764" s="24">
        <v>37280</v>
      </c>
      <c r="L764" s="24">
        <v>7747</v>
      </c>
      <c r="M764" s="24">
        <v>4593</v>
      </c>
      <c r="N764" s="24">
        <v>6036</v>
      </c>
      <c r="O764" s="24">
        <v>3142</v>
      </c>
      <c r="P764" s="24">
        <v>1269</v>
      </c>
      <c r="Q764" s="24">
        <v>32036</v>
      </c>
      <c r="R764" s="24">
        <v>11836</v>
      </c>
      <c r="S764" s="24">
        <v>5402</v>
      </c>
      <c r="T764" s="24">
        <v>5930</v>
      </c>
      <c r="U764" s="24">
        <v>2641</v>
      </c>
      <c r="V764" s="24">
        <v>994</v>
      </c>
      <c r="W764" s="24">
        <v>13159</v>
      </c>
      <c r="X764" s="24">
        <v>13723</v>
      </c>
      <c r="Y764" s="24">
        <v>9145</v>
      </c>
      <c r="Z764" s="24">
        <v>13003</v>
      </c>
      <c r="AA764" s="24">
        <v>7054</v>
      </c>
      <c r="AB764" s="24">
        <v>2715</v>
      </c>
    </row>
    <row r="765" spans="1:59">
      <c r="A765" s="18" t="s">
        <v>77</v>
      </c>
      <c r="B765" s="18" t="s">
        <v>65</v>
      </c>
      <c r="C765" s="18" t="s">
        <v>78</v>
      </c>
      <c r="D765" s="24">
        <v>59672</v>
      </c>
      <c r="E765" s="24">
        <v>21442393</v>
      </c>
      <c r="F765" s="24">
        <v>59644</v>
      </c>
      <c r="G765" s="24">
        <v>33251564</v>
      </c>
      <c r="H765" s="24">
        <v>58333</v>
      </c>
      <c r="I765" s="24">
        <v>54308894</v>
      </c>
      <c r="J765" s="24">
        <v>58305</v>
      </c>
      <c r="K765" s="24">
        <v>41481</v>
      </c>
      <c r="L765" s="24">
        <v>7727</v>
      </c>
      <c r="M765" s="24">
        <v>3704</v>
      </c>
      <c r="N765" s="24">
        <v>4404</v>
      </c>
      <c r="O765" s="24">
        <v>1907</v>
      </c>
      <c r="P765" s="24">
        <v>421</v>
      </c>
      <c r="Q765" s="24">
        <v>30680</v>
      </c>
      <c r="R765" s="24">
        <v>12258</v>
      </c>
      <c r="S765" s="24">
        <v>5365</v>
      </c>
      <c r="T765" s="24">
        <v>6187</v>
      </c>
      <c r="U765" s="24">
        <v>2805</v>
      </c>
      <c r="V765" s="24">
        <v>1038</v>
      </c>
      <c r="W765" s="24">
        <v>15291</v>
      </c>
      <c r="X765" s="24">
        <v>15167</v>
      </c>
      <c r="Y765" s="24">
        <v>8570</v>
      </c>
      <c r="Z765" s="24">
        <v>11445</v>
      </c>
      <c r="AA765" s="24">
        <v>6015</v>
      </c>
      <c r="AB765" s="24">
        <v>1817</v>
      </c>
    </row>
    <row r="766" spans="1:59">
      <c r="A766" s="18" t="s">
        <v>79</v>
      </c>
      <c r="B766" s="18" t="s">
        <v>65</v>
      </c>
      <c r="C766" s="18" t="s">
        <v>80</v>
      </c>
      <c r="D766" s="24">
        <v>66477</v>
      </c>
      <c r="E766" s="24">
        <v>22712122</v>
      </c>
      <c r="F766" s="24">
        <v>66458</v>
      </c>
      <c r="G766" s="24">
        <v>36610624.99999999</v>
      </c>
      <c r="H766" s="24">
        <v>64951</v>
      </c>
      <c r="I766" s="24">
        <v>58878197.99999999</v>
      </c>
      <c r="J766" s="24">
        <v>64933</v>
      </c>
      <c r="K766" s="24">
        <v>46534</v>
      </c>
      <c r="L766" s="24">
        <v>8592</v>
      </c>
      <c r="M766" s="24">
        <v>4336</v>
      </c>
      <c r="N766" s="24">
        <v>4797</v>
      </c>
      <c r="O766" s="24">
        <v>1852</v>
      </c>
      <c r="P766" s="24">
        <v>347</v>
      </c>
      <c r="Q766" s="24">
        <v>34777</v>
      </c>
      <c r="R766" s="24">
        <v>13255</v>
      </c>
      <c r="S766" s="24">
        <v>5950</v>
      </c>
      <c r="T766" s="24">
        <v>6719</v>
      </c>
      <c r="U766" s="24">
        <v>3106</v>
      </c>
      <c r="V766" s="24">
        <v>1144</v>
      </c>
      <c r="W766" s="24">
        <v>17234</v>
      </c>
      <c r="X766" s="24">
        <v>16808</v>
      </c>
      <c r="Y766" s="24">
        <v>10164</v>
      </c>
      <c r="Z766" s="24">
        <v>12501</v>
      </c>
      <c r="AA766" s="24">
        <v>6409</v>
      </c>
      <c r="AB766" s="24">
        <v>1817</v>
      </c>
    </row>
    <row r="767" spans="1:59">
      <c r="A767" s="18" t="s">
        <v>81</v>
      </c>
      <c r="B767" s="18" t="s">
        <v>65</v>
      </c>
      <c r="C767" s="18" t="s">
        <v>82</v>
      </c>
      <c r="D767" s="24">
        <v>49498</v>
      </c>
      <c r="E767" s="24">
        <v>17037747</v>
      </c>
      <c r="F767" s="24">
        <v>49485</v>
      </c>
      <c r="G767" s="24">
        <v>25908946</v>
      </c>
      <c r="H767" s="24">
        <v>48452</v>
      </c>
      <c r="I767" s="24">
        <v>42719410.00000001</v>
      </c>
      <c r="J767" s="24">
        <v>48439</v>
      </c>
      <c r="K767" s="24">
        <v>33373</v>
      </c>
      <c r="L767" s="24">
        <v>7271</v>
      </c>
      <c r="M767" s="24">
        <v>3519</v>
      </c>
      <c r="N767" s="24">
        <v>3884</v>
      </c>
      <c r="O767" s="24">
        <v>1262</v>
      </c>
      <c r="P767" s="24">
        <v>176</v>
      </c>
      <c r="Q767" s="24">
        <v>27137</v>
      </c>
      <c r="R767" s="24">
        <v>9486</v>
      </c>
      <c r="S767" s="24">
        <v>4306</v>
      </c>
      <c r="T767" s="24">
        <v>4527</v>
      </c>
      <c r="U767" s="24">
        <v>2169</v>
      </c>
      <c r="V767" s="24">
        <v>827</v>
      </c>
      <c r="W767" s="24">
        <v>12297</v>
      </c>
      <c r="X767" s="24">
        <v>12953</v>
      </c>
      <c r="Y767" s="24">
        <v>7924</v>
      </c>
      <c r="Z767" s="24">
        <v>9703</v>
      </c>
      <c r="AA767" s="24">
        <v>4369</v>
      </c>
      <c r="AB767" s="24">
        <v>1193</v>
      </c>
    </row>
    <row r="768" spans="1:59">
      <c r="A768" s="18" t="s">
        <v>83</v>
      </c>
      <c r="B768" s="18" t="s">
        <v>65</v>
      </c>
      <c r="C768" s="18" t="s">
        <v>84</v>
      </c>
      <c r="D768" s="24">
        <v>54884</v>
      </c>
      <c r="E768" s="24">
        <v>20062959</v>
      </c>
      <c r="F768" s="24">
        <v>54390</v>
      </c>
      <c r="G768" s="24">
        <v>21513098</v>
      </c>
      <c r="H768" s="24">
        <v>50415</v>
      </c>
      <c r="I768" s="24">
        <v>38402530</v>
      </c>
      <c r="J768" s="24">
        <v>50289</v>
      </c>
      <c r="K768" s="24">
        <v>36943</v>
      </c>
      <c r="L768" s="24">
        <v>7531</v>
      </c>
      <c r="M768" s="24">
        <v>4020</v>
      </c>
      <c r="N768" s="24">
        <v>4116</v>
      </c>
      <c r="O768" s="24">
        <v>1269</v>
      </c>
      <c r="P768" s="24">
        <v>511</v>
      </c>
      <c r="Q768" s="24">
        <v>32792</v>
      </c>
      <c r="R768" s="24">
        <v>8173</v>
      </c>
      <c r="S768" s="24">
        <v>3359</v>
      </c>
      <c r="T768" s="24">
        <v>3733</v>
      </c>
      <c r="U768" s="24">
        <v>1721</v>
      </c>
      <c r="V768" s="24">
        <v>637</v>
      </c>
      <c r="W768" s="24">
        <v>17493</v>
      </c>
      <c r="X768" s="24">
        <v>12406</v>
      </c>
      <c r="Y768" s="24">
        <v>7288</v>
      </c>
      <c r="Z768" s="24">
        <v>8674</v>
      </c>
      <c r="AA768" s="24">
        <v>3285</v>
      </c>
      <c r="AB768" s="24">
        <v>1143</v>
      </c>
    </row>
    <row r="769" spans="1:28">
      <c r="A769" s="18" t="s">
        <v>85</v>
      </c>
      <c r="B769" s="18" t="s">
        <v>65</v>
      </c>
      <c r="C769" s="18" t="s">
        <v>86</v>
      </c>
      <c r="D769" s="24">
        <v>48430</v>
      </c>
      <c r="E769" s="24">
        <v>19008301</v>
      </c>
      <c r="F769" s="24">
        <v>47621</v>
      </c>
      <c r="G769" s="24">
        <v>8564212</v>
      </c>
      <c r="H769" s="24">
        <v>42881</v>
      </c>
      <c r="I769" s="24">
        <v>23288669</v>
      </c>
      <c r="J769" s="24">
        <v>42775</v>
      </c>
      <c r="K769" s="24">
        <v>31934</v>
      </c>
      <c r="L769" s="24">
        <v>6898</v>
      </c>
      <c r="M769" s="24">
        <v>3389</v>
      </c>
      <c r="N769" s="24">
        <v>3641</v>
      </c>
      <c r="O769" s="24">
        <v>1103</v>
      </c>
      <c r="P769" s="24">
        <v>656</v>
      </c>
      <c r="Q769" s="24">
        <v>35553</v>
      </c>
      <c r="R769" s="24">
        <v>3877</v>
      </c>
      <c r="S769" s="24">
        <v>1485</v>
      </c>
      <c r="T769" s="24">
        <v>1368</v>
      </c>
      <c r="U769" s="24">
        <v>481</v>
      </c>
      <c r="V769" s="24">
        <v>117</v>
      </c>
      <c r="W769" s="24">
        <v>21648</v>
      </c>
      <c r="X769" s="24">
        <v>9218</v>
      </c>
      <c r="Y769" s="24">
        <v>4648</v>
      </c>
      <c r="Z769" s="24">
        <v>5043</v>
      </c>
      <c r="AA769" s="24">
        <v>1695</v>
      </c>
      <c r="AB769" s="24">
        <v>523</v>
      </c>
    </row>
    <row r="770" spans="1:28">
      <c r="A770" s="18" t="s">
        <v>87</v>
      </c>
      <c r="B770" s="18" t="s">
        <v>65</v>
      </c>
      <c r="C770" s="18" t="s">
        <v>88</v>
      </c>
      <c r="D770" s="24">
        <v>68773</v>
      </c>
      <c r="E770" s="24">
        <v>22596149</v>
      </c>
      <c r="F770" s="24">
        <v>68505</v>
      </c>
      <c r="G770" s="24">
        <v>13812366</v>
      </c>
      <c r="H770" s="24">
        <v>63247</v>
      </c>
      <c r="I770" s="24">
        <v>34021335</v>
      </c>
      <c r="J770" s="24">
        <v>63209</v>
      </c>
      <c r="K770" s="24">
        <v>46063</v>
      </c>
      <c r="L770" s="24">
        <v>10327</v>
      </c>
      <c r="M770" s="24">
        <v>5194</v>
      </c>
      <c r="N770" s="24">
        <v>5428</v>
      </c>
      <c r="O770" s="24">
        <v>1320</v>
      </c>
      <c r="P770" s="24">
        <v>173</v>
      </c>
      <c r="Q770" s="24">
        <v>50916</v>
      </c>
      <c r="R770" s="24">
        <v>6649</v>
      </c>
      <c r="S770" s="24">
        <v>2564</v>
      </c>
      <c r="T770" s="24">
        <v>2269</v>
      </c>
      <c r="U770" s="24">
        <v>684</v>
      </c>
      <c r="V770" s="24">
        <v>165</v>
      </c>
      <c r="W770" s="24">
        <v>30051</v>
      </c>
      <c r="X770" s="24">
        <v>14170</v>
      </c>
      <c r="Y770" s="24">
        <v>7650</v>
      </c>
      <c r="Z770" s="24">
        <v>8386</v>
      </c>
      <c r="AA770" s="24">
        <v>2560</v>
      </c>
      <c r="AB770" s="24">
        <v>392</v>
      </c>
    </row>
    <row r="771" spans="1:28">
      <c r="A771" s="18" t="s">
        <v>89</v>
      </c>
      <c r="B771" s="18" t="s">
        <v>65</v>
      </c>
      <c r="C771" s="18" t="s">
        <v>90</v>
      </c>
      <c r="D771" s="24">
        <v>87671</v>
      </c>
      <c r="E771" s="24">
        <v>50021187</v>
      </c>
      <c r="F771" s="24">
        <v>86746</v>
      </c>
      <c r="G771" s="24">
        <v>18639387</v>
      </c>
      <c r="H771" s="24">
        <v>79002</v>
      </c>
      <c r="I771" s="24">
        <v>59247041</v>
      </c>
      <c r="J771" s="24">
        <v>78814</v>
      </c>
      <c r="K771" s="24">
        <v>52267</v>
      </c>
      <c r="L771" s="24">
        <v>12479</v>
      </c>
      <c r="M771" s="24">
        <v>7104</v>
      </c>
      <c r="N771" s="24">
        <v>8304</v>
      </c>
      <c r="O771" s="24">
        <v>4313</v>
      </c>
      <c r="P771" s="24">
        <v>2279</v>
      </c>
      <c r="Q771" s="24">
        <v>62340</v>
      </c>
      <c r="R771" s="24">
        <v>8927</v>
      </c>
      <c r="S771" s="24">
        <v>3438</v>
      </c>
      <c r="T771" s="24">
        <v>3069</v>
      </c>
      <c r="U771" s="24">
        <v>967</v>
      </c>
      <c r="V771" s="24">
        <v>261</v>
      </c>
      <c r="W771" s="24">
        <v>33634</v>
      </c>
      <c r="X771" s="24">
        <v>16557</v>
      </c>
      <c r="Y771" s="24">
        <v>9168</v>
      </c>
      <c r="Z771" s="24">
        <v>11659</v>
      </c>
      <c r="AA771" s="24">
        <v>5653</v>
      </c>
      <c r="AB771" s="24">
        <v>2143</v>
      </c>
    </row>
    <row r="772" spans="1:28">
      <c r="A772" s="18" t="s">
        <v>91</v>
      </c>
      <c r="B772" s="18" t="s">
        <v>92</v>
      </c>
      <c r="C772" s="18" t="s">
        <v>66</v>
      </c>
      <c r="D772" s="24">
        <v>143974</v>
      </c>
      <c r="E772" s="24">
        <v>39024940</v>
      </c>
      <c r="F772" s="24">
        <v>143669</v>
      </c>
      <c r="G772" s="24">
        <v>66227543.99999999</v>
      </c>
      <c r="H772" s="24">
        <v>140255</v>
      </c>
      <c r="I772" s="24">
        <v>104039001</v>
      </c>
      <c r="J772" s="24">
        <v>140153</v>
      </c>
      <c r="K772" s="24">
        <v>107111</v>
      </c>
      <c r="L772" s="24">
        <v>17610</v>
      </c>
      <c r="M772" s="24">
        <v>8273</v>
      </c>
      <c r="N772" s="24">
        <v>8232</v>
      </c>
      <c r="O772" s="24">
        <v>1988</v>
      </c>
      <c r="P772" s="24">
        <v>455</v>
      </c>
      <c r="Q772" s="24">
        <v>89568</v>
      </c>
      <c r="R772" s="24">
        <v>21010</v>
      </c>
      <c r="S772" s="24">
        <v>9927</v>
      </c>
      <c r="T772" s="24">
        <v>11640</v>
      </c>
      <c r="U772" s="24">
        <v>5769</v>
      </c>
      <c r="V772" s="24">
        <v>2341</v>
      </c>
      <c r="W772" s="24">
        <v>52981</v>
      </c>
      <c r="X772" s="24">
        <v>33931</v>
      </c>
      <c r="Y772" s="24">
        <v>18342</v>
      </c>
      <c r="Z772" s="24">
        <v>22129</v>
      </c>
      <c r="AA772" s="24">
        <v>9736</v>
      </c>
      <c r="AB772" s="24">
        <v>3034</v>
      </c>
    </row>
    <row r="773" spans="1:28">
      <c r="A773" s="18" t="s">
        <v>93</v>
      </c>
      <c r="B773" s="18" t="s">
        <v>92</v>
      </c>
      <c r="C773" s="18" t="s">
        <v>68</v>
      </c>
      <c r="D773" s="24">
        <v>13807</v>
      </c>
      <c r="E773" s="24">
        <v>6013931.999999999</v>
      </c>
      <c r="F773" s="24">
        <v>13807</v>
      </c>
      <c r="G773" s="24">
        <v>7694753</v>
      </c>
      <c r="H773" s="24">
        <v>13531</v>
      </c>
      <c r="I773" s="24">
        <v>13652245</v>
      </c>
      <c r="J773" s="24">
        <v>13531</v>
      </c>
      <c r="K773" s="24">
        <v>8741</v>
      </c>
      <c r="L773" s="24">
        <v>1797</v>
      </c>
      <c r="M773" s="24">
        <v>1051</v>
      </c>
      <c r="N773" s="24">
        <v>1417</v>
      </c>
      <c r="O773" s="24">
        <v>750</v>
      </c>
      <c r="P773" s="24">
        <v>51</v>
      </c>
      <c r="Q773" s="24">
        <v>7263</v>
      </c>
      <c r="R773" s="24">
        <v>2570</v>
      </c>
      <c r="S773" s="24">
        <v>1328</v>
      </c>
      <c r="T773" s="24">
        <v>1445</v>
      </c>
      <c r="U773" s="24">
        <v>683</v>
      </c>
      <c r="V773" s="24">
        <v>242</v>
      </c>
      <c r="W773" s="24">
        <v>3099</v>
      </c>
      <c r="X773" s="24">
        <v>3114</v>
      </c>
      <c r="Y773" s="24">
        <v>2039</v>
      </c>
      <c r="Z773" s="24">
        <v>3077</v>
      </c>
      <c r="AA773" s="24">
        <v>1817</v>
      </c>
      <c r="AB773" s="24">
        <v>385</v>
      </c>
    </row>
    <row r="774" spans="1:28">
      <c r="A774" s="18" t="s">
        <v>94</v>
      </c>
      <c r="B774" s="18" t="s">
        <v>92</v>
      </c>
      <c r="C774" s="18" t="s">
        <v>70</v>
      </c>
      <c r="D774" s="24">
        <v>12044</v>
      </c>
      <c r="E774" s="24">
        <v>3471117</v>
      </c>
      <c r="F774" s="24">
        <v>12044</v>
      </c>
      <c r="G774" s="24">
        <v>7085177</v>
      </c>
      <c r="H774" s="24">
        <v>11771</v>
      </c>
      <c r="I774" s="24">
        <v>10513617</v>
      </c>
      <c r="J774" s="24">
        <v>11771</v>
      </c>
      <c r="K774" s="24">
        <v>8523</v>
      </c>
      <c r="L774" s="24">
        <v>1476</v>
      </c>
      <c r="M774" s="24">
        <v>817</v>
      </c>
      <c r="N774" s="24">
        <v>1115</v>
      </c>
      <c r="O774" s="24">
        <v>112</v>
      </c>
      <c r="P774" s="24">
        <v>1</v>
      </c>
      <c r="Q774" s="24">
        <v>6363</v>
      </c>
      <c r="R774" s="24">
        <v>2200</v>
      </c>
      <c r="S774" s="24">
        <v>1033</v>
      </c>
      <c r="T774" s="24">
        <v>1257</v>
      </c>
      <c r="U774" s="24">
        <v>654</v>
      </c>
      <c r="V774" s="24">
        <v>264</v>
      </c>
      <c r="W774" s="24">
        <v>3021</v>
      </c>
      <c r="X774" s="24">
        <v>2966</v>
      </c>
      <c r="Y774" s="24">
        <v>1839</v>
      </c>
      <c r="Z774" s="24">
        <v>2651</v>
      </c>
      <c r="AA774" s="24">
        <v>1013</v>
      </c>
      <c r="AB774" s="24">
        <v>281</v>
      </c>
    </row>
    <row r="775" spans="1:28">
      <c r="A775" s="18" t="s">
        <v>95</v>
      </c>
      <c r="B775" s="18" t="s">
        <v>92</v>
      </c>
      <c r="C775" s="18" t="s">
        <v>72</v>
      </c>
      <c r="D775" s="24">
        <v>12083</v>
      </c>
      <c r="E775" s="24">
        <v>3272564</v>
      </c>
      <c r="F775" s="24">
        <v>12083</v>
      </c>
      <c r="G775" s="24">
        <v>7334475</v>
      </c>
      <c r="H775" s="24">
        <v>11798</v>
      </c>
      <c r="I775" s="24">
        <v>10565605</v>
      </c>
      <c r="J775" s="24">
        <v>11798</v>
      </c>
      <c r="K775" s="24">
        <v>9189</v>
      </c>
      <c r="L775" s="24">
        <v>1343</v>
      </c>
      <c r="M775" s="24">
        <v>566</v>
      </c>
      <c r="N775" s="24">
        <v>661</v>
      </c>
      <c r="O775" s="24">
        <v>289</v>
      </c>
      <c r="P775" s="24">
        <v>35</v>
      </c>
      <c r="Q775" s="24">
        <v>6234</v>
      </c>
      <c r="R775" s="24">
        <v>2231</v>
      </c>
      <c r="S775" s="24">
        <v>1082</v>
      </c>
      <c r="T775" s="24">
        <v>1272</v>
      </c>
      <c r="U775" s="24">
        <v>686</v>
      </c>
      <c r="V775" s="24">
        <v>293</v>
      </c>
      <c r="W775" s="24">
        <v>3425</v>
      </c>
      <c r="X775" s="24">
        <v>3110</v>
      </c>
      <c r="Y775" s="24">
        <v>1666</v>
      </c>
      <c r="Z775" s="24">
        <v>2049</v>
      </c>
      <c r="AA775" s="24">
        <v>1173</v>
      </c>
      <c r="AB775" s="24">
        <v>375</v>
      </c>
    </row>
    <row r="776" spans="1:28">
      <c r="A776" s="18" t="s">
        <v>96</v>
      </c>
      <c r="B776" s="18" t="s">
        <v>92</v>
      </c>
      <c r="C776" s="18" t="s">
        <v>74</v>
      </c>
      <c r="D776" s="24">
        <v>13243</v>
      </c>
      <c r="E776" s="24">
        <v>3134759</v>
      </c>
      <c r="F776" s="24">
        <v>13243</v>
      </c>
      <c r="G776" s="24">
        <v>7759964</v>
      </c>
      <c r="H776" s="24">
        <v>12942</v>
      </c>
      <c r="I776" s="24">
        <v>10862945</v>
      </c>
      <c r="J776" s="24">
        <v>12942</v>
      </c>
      <c r="K776" s="24">
        <v>10173</v>
      </c>
      <c r="L776" s="24">
        <v>1392</v>
      </c>
      <c r="M776" s="24">
        <v>745</v>
      </c>
      <c r="N776" s="24">
        <v>799</v>
      </c>
      <c r="O776" s="24">
        <v>120</v>
      </c>
      <c r="P776" s="24">
        <v>14</v>
      </c>
      <c r="Q776" s="24">
        <v>6993</v>
      </c>
      <c r="R776" s="24">
        <v>2376</v>
      </c>
      <c r="S776" s="24">
        <v>1171</v>
      </c>
      <c r="T776" s="24">
        <v>1444</v>
      </c>
      <c r="U776" s="24">
        <v>675</v>
      </c>
      <c r="V776" s="24">
        <v>283</v>
      </c>
      <c r="W776" s="24">
        <v>3998</v>
      </c>
      <c r="X776" s="24">
        <v>3279</v>
      </c>
      <c r="Y776" s="24">
        <v>1830</v>
      </c>
      <c r="Z776" s="24">
        <v>2442</v>
      </c>
      <c r="AA776" s="24">
        <v>1063</v>
      </c>
      <c r="AB776" s="24">
        <v>330</v>
      </c>
    </row>
    <row r="777" spans="1:28">
      <c r="A777" s="18" t="s">
        <v>97</v>
      </c>
      <c r="B777" s="18" t="s">
        <v>92</v>
      </c>
      <c r="C777" s="18" t="s">
        <v>76</v>
      </c>
      <c r="D777" s="24">
        <v>11179</v>
      </c>
      <c r="E777" s="24">
        <v>2936826</v>
      </c>
      <c r="F777" s="24">
        <v>11179</v>
      </c>
      <c r="G777" s="24">
        <v>6532372</v>
      </c>
      <c r="H777" s="24">
        <v>10926</v>
      </c>
      <c r="I777" s="24">
        <v>9434149</v>
      </c>
      <c r="J777" s="24">
        <v>10926</v>
      </c>
      <c r="K777" s="24">
        <v>8244</v>
      </c>
      <c r="L777" s="24">
        <v>1367</v>
      </c>
      <c r="M777" s="24">
        <v>718</v>
      </c>
      <c r="N777" s="24">
        <v>683</v>
      </c>
      <c r="O777" s="24">
        <v>167</v>
      </c>
      <c r="P777" s="24">
        <v>0</v>
      </c>
      <c r="Q777" s="24">
        <v>5922</v>
      </c>
      <c r="R777" s="24">
        <v>2005</v>
      </c>
      <c r="S777" s="24">
        <v>1007</v>
      </c>
      <c r="T777" s="24">
        <v>1163</v>
      </c>
      <c r="U777" s="24">
        <v>575</v>
      </c>
      <c r="V777" s="24">
        <v>254</v>
      </c>
      <c r="W777" s="24">
        <v>3012</v>
      </c>
      <c r="X777" s="24">
        <v>2872</v>
      </c>
      <c r="Y777" s="24">
        <v>1754</v>
      </c>
      <c r="Z777" s="24">
        <v>2077</v>
      </c>
      <c r="AA777" s="24">
        <v>934</v>
      </c>
      <c r="AB777" s="24">
        <v>277</v>
      </c>
    </row>
    <row r="778" spans="1:28">
      <c r="A778" s="18" t="s">
        <v>98</v>
      </c>
      <c r="B778" s="18" t="s">
        <v>92</v>
      </c>
      <c r="C778" s="18" t="s">
        <v>78</v>
      </c>
      <c r="D778" s="24">
        <v>11573</v>
      </c>
      <c r="E778" s="24">
        <v>1993695</v>
      </c>
      <c r="F778" s="24">
        <v>11573</v>
      </c>
      <c r="G778" s="24">
        <v>7016538</v>
      </c>
      <c r="H778" s="24">
        <v>11305</v>
      </c>
      <c r="I778" s="24">
        <v>8978861</v>
      </c>
      <c r="J778" s="24">
        <v>11305</v>
      </c>
      <c r="K778" s="24">
        <v>9374</v>
      </c>
      <c r="L778" s="24">
        <v>1353</v>
      </c>
      <c r="M778" s="24">
        <v>465</v>
      </c>
      <c r="N778" s="24">
        <v>370</v>
      </c>
      <c r="O778" s="24">
        <v>11</v>
      </c>
      <c r="P778" s="24">
        <v>0</v>
      </c>
      <c r="Q778" s="24">
        <v>5966</v>
      </c>
      <c r="R778" s="24">
        <v>2136</v>
      </c>
      <c r="S778" s="24">
        <v>987</v>
      </c>
      <c r="T778" s="24">
        <v>1288</v>
      </c>
      <c r="U778" s="24">
        <v>671</v>
      </c>
      <c r="V778" s="24">
        <v>257</v>
      </c>
      <c r="W778" s="24">
        <v>3687</v>
      </c>
      <c r="X778" s="24">
        <v>3088</v>
      </c>
      <c r="Y778" s="24">
        <v>1570</v>
      </c>
      <c r="Z778" s="24">
        <v>1852</v>
      </c>
      <c r="AA778" s="24">
        <v>826</v>
      </c>
      <c r="AB778" s="24">
        <v>282</v>
      </c>
    </row>
    <row r="779" spans="1:28">
      <c r="A779" s="18" t="s">
        <v>99</v>
      </c>
      <c r="B779" s="18" t="s">
        <v>92</v>
      </c>
      <c r="C779" s="18" t="s">
        <v>80</v>
      </c>
      <c r="D779" s="24">
        <v>12625</v>
      </c>
      <c r="E779" s="24">
        <v>2224181</v>
      </c>
      <c r="F779" s="24">
        <v>12625</v>
      </c>
      <c r="G779" s="24">
        <v>7646415</v>
      </c>
      <c r="H779" s="24">
        <v>12328</v>
      </c>
      <c r="I779" s="24">
        <v>9833274.000000002</v>
      </c>
      <c r="J779" s="24">
        <v>12328</v>
      </c>
      <c r="K779" s="24">
        <v>10106</v>
      </c>
      <c r="L779" s="24">
        <v>1508</v>
      </c>
      <c r="M779" s="24">
        <v>637</v>
      </c>
      <c r="N779" s="24">
        <v>359</v>
      </c>
      <c r="O779" s="24">
        <v>15</v>
      </c>
      <c r="P779" s="24">
        <v>0</v>
      </c>
      <c r="Q779" s="24">
        <v>6690</v>
      </c>
      <c r="R779" s="24">
        <v>2217</v>
      </c>
      <c r="S779" s="24">
        <v>1082</v>
      </c>
      <c r="T779" s="24">
        <v>1318</v>
      </c>
      <c r="U779" s="24">
        <v>697</v>
      </c>
      <c r="V779" s="24">
        <v>324</v>
      </c>
      <c r="W779" s="24">
        <v>4029</v>
      </c>
      <c r="X779" s="24">
        <v>3302</v>
      </c>
      <c r="Y779" s="24">
        <v>1829</v>
      </c>
      <c r="Z779" s="24">
        <v>1961</v>
      </c>
      <c r="AA779" s="24">
        <v>864</v>
      </c>
      <c r="AB779" s="24">
        <v>343</v>
      </c>
    </row>
    <row r="780" spans="1:28">
      <c r="A780" s="18" t="s">
        <v>100</v>
      </c>
      <c r="B780" s="18" t="s">
        <v>92</v>
      </c>
      <c r="C780" s="18" t="s">
        <v>82</v>
      </c>
      <c r="D780" s="24">
        <v>11042</v>
      </c>
      <c r="E780" s="24">
        <v>2002214</v>
      </c>
      <c r="F780" s="24">
        <v>11042</v>
      </c>
      <c r="G780" s="24">
        <v>6138799.000000001</v>
      </c>
      <c r="H780" s="24">
        <v>10800</v>
      </c>
      <c r="I780" s="24">
        <v>8114783</v>
      </c>
      <c r="J780" s="24">
        <v>10800</v>
      </c>
      <c r="K780" s="24">
        <v>8643</v>
      </c>
      <c r="L780" s="24">
        <v>1565</v>
      </c>
      <c r="M780" s="24">
        <v>561</v>
      </c>
      <c r="N780" s="24">
        <v>256</v>
      </c>
      <c r="O780" s="24">
        <v>17</v>
      </c>
      <c r="P780" s="24">
        <v>0</v>
      </c>
      <c r="Q780" s="24">
        <v>6341</v>
      </c>
      <c r="R780" s="24">
        <v>1761</v>
      </c>
      <c r="S780" s="24">
        <v>844</v>
      </c>
      <c r="T780" s="24">
        <v>1021</v>
      </c>
      <c r="U780" s="24">
        <v>584</v>
      </c>
      <c r="V780" s="24">
        <v>249</v>
      </c>
      <c r="W780" s="24">
        <v>3607</v>
      </c>
      <c r="X780" s="24">
        <v>3159</v>
      </c>
      <c r="Y780" s="24">
        <v>1580</v>
      </c>
      <c r="Z780" s="24">
        <v>1498</v>
      </c>
      <c r="AA780" s="24">
        <v>693</v>
      </c>
      <c r="AB780" s="24">
        <v>263</v>
      </c>
    </row>
    <row r="781" spans="1:28">
      <c r="A781" s="18" t="s">
        <v>101</v>
      </c>
      <c r="B781" s="18" t="s">
        <v>92</v>
      </c>
      <c r="C781" s="18" t="s">
        <v>84</v>
      </c>
      <c r="D781" s="24">
        <v>6158</v>
      </c>
      <c r="E781" s="24">
        <v>1865265</v>
      </c>
      <c r="F781" s="24">
        <v>5969</v>
      </c>
      <c r="G781" s="24">
        <v>1058119</v>
      </c>
      <c r="H781" s="24">
        <v>5894</v>
      </c>
      <c r="I781" s="24">
        <v>2782289</v>
      </c>
      <c r="J781" s="24">
        <v>5816</v>
      </c>
      <c r="K781" s="24">
        <v>4732</v>
      </c>
      <c r="L781" s="24">
        <v>624</v>
      </c>
      <c r="M781" s="24">
        <v>273</v>
      </c>
      <c r="N781" s="24">
        <v>199</v>
      </c>
      <c r="O781" s="24">
        <v>42</v>
      </c>
      <c r="P781" s="24">
        <v>99</v>
      </c>
      <c r="Q781" s="24">
        <v>5074</v>
      </c>
      <c r="R781" s="24">
        <v>417</v>
      </c>
      <c r="S781" s="24">
        <v>161</v>
      </c>
      <c r="T781" s="24">
        <v>162</v>
      </c>
      <c r="U781" s="24">
        <v>55</v>
      </c>
      <c r="V781" s="24">
        <v>25</v>
      </c>
      <c r="W781" s="24">
        <v>3653</v>
      </c>
      <c r="X781" s="24">
        <v>1031</v>
      </c>
      <c r="Y781" s="24">
        <v>483</v>
      </c>
      <c r="Z781" s="24">
        <v>436</v>
      </c>
      <c r="AA781" s="24">
        <v>98</v>
      </c>
      <c r="AB781" s="24">
        <v>115</v>
      </c>
    </row>
    <row r="782" spans="1:28">
      <c r="A782" s="18" t="s">
        <v>102</v>
      </c>
      <c r="B782" s="18" t="s">
        <v>92</v>
      </c>
      <c r="C782" s="18" t="s">
        <v>86</v>
      </c>
      <c r="D782" s="24">
        <v>12323</v>
      </c>
      <c r="E782" s="24">
        <v>3045709</v>
      </c>
      <c r="F782" s="24">
        <v>12290</v>
      </c>
      <c r="G782" s="24">
        <v>2328591</v>
      </c>
      <c r="H782" s="24">
        <v>11994</v>
      </c>
      <c r="I782" s="24">
        <v>5244053</v>
      </c>
      <c r="J782" s="24">
        <v>11982</v>
      </c>
      <c r="K782" s="24">
        <v>9048</v>
      </c>
      <c r="L782" s="24">
        <v>1744</v>
      </c>
      <c r="M782" s="24">
        <v>722</v>
      </c>
      <c r="N782" s="24">
        <v>668</v>
      </c>
      <c r="O782" s="24">
        <v>96</v>
      </c>
      <c r="P782" s="24">
        <v>12</v>
      </c>
      <c r="Q782" s="24">
        <v>10179</v>
      </c>
      <c r="R782" s="24">
        <v>889</v>
      </c>
      <c r="S782" s="24">
        <v>351</v>
      </c>
      <c r="T782" s="24">
        <v>380</v>
      </c>
      <c r="U782" s="24">
        <v>155</v>
      </c>
      <c r="V782" s="24">
        <v>40</v>
      </c>
      <c r="W782" s="24">
        <v>6618</v>
      </c>
      <c r="X782" s="24">
        <v>2667</v>
      </c>
      <c r="Y782" s="24">
        <v>1116</v>
      </c>
      <c r="Z782" s="24">
        <v>1215</v>
      </c>
      <c r="AA782" s="24">
        <v>315</v>
      </c>
      <c r="AB782" s="24">
        <v>51</v>
      </c>
    </row>
    <row r="783" spans="1:28">
      <c r="A783" s="18" t="s">
        <v>103</v>
      </c>
      <c r="B783" s="18" t="s">
        <v>92</v>
      </c>
      <c r="C783" s="18" t="s">
        <v>88</v>
      </c>
      <c r="D783" s="24">
        <v>12222</v>
      </c>
      <c r="E783" s="24">
        <v>2957294</v>
      </c>
      <c r="F783" s="24">
        <v>12205</v>
      </c>
      <c r="G783" s="24">
        <v>2496782</v>
      </c>
      <c r="H783" s="24">
        <v>11869</v>
      </c>
      <c r="I783" s="24">
        <v>5337155.000000001</v>
      </c>
      <c r="J783" s="24">
        <v>11862</v>
      </c>
      <c r="K783" s="24">
        <v>9116</v>
      </c>
      <c r="L783" s="24">
        <v>1570</v>
      </c>
      <c r="M783" s="24">
        <v>719</v>
      </c>
      <c r="N783" s="24">
        <v>725</v>
      </c>
      <c r="O783" s="24">
        <v>71</v>
      </c>
      <c r="P783" s="24">
        <v>4</v>
      </c>
      <c r="Q783" s="24">
        <v>9920</v>
      </c>
      <c r="R783" s="24">
        <v>950</v>
      </c>
      <c r="S783" s="24">
        <v>393</v>
      </c>
      <c r="T783" s="24">
        <v>407</v>
      </c>
      <c r="U783" s="24">
        <v>156</v>
      </c>
      <c r="V783" s="24">
        <v>43</v>
      </c>
      <c r="W783" s="24">
        <v>6636</v>
      </c>
      <c r="X783" s="24">
        <v>2388</v>
      </c>
      <c r="Y783" s="24">
        <v>1210</v>
      </c>
      <c r="Z783" s="24">
        <v>1252</v>
      </c>
      <c r="AA783" s="24">
        <v>322</v>
      </c>
      <c r="AB783" s="24">
        <v>54</v>
      </c>
    </row>
    <row r="784" spans="1:28">
      <c r="A784" s="18" t="s">
        <v>104</v>
      </c>
      <c r="B784" s="18" t="s">
        <v>92</v>
      </c>
      <c r="C784" s="18" t="s">
        <v>90</v>
      </c>
      <c r="D784" s="24">
        <v>15675</v>
      </c>
      <c r="E784" s="24">
        <v>6107384</v>
      </c>
      <c r="F784" s="24">
        <v>15609</v>
      </c>
      <c r="G784" s="24">
        <v>3135559</v>
      </c>
      <c r="H784" s="24">
        <v>15097</v>
      </c>
      <c r="I784" s="24">
        <v>8720025</v>
      </c>
      <c r="J784" s="24">
        <v>15092</v>
      </c>
      <c r="K784" s="24">
        <v>11222</v>
      </c>
      <c r="L784" s="24">
        <v>1871</v>
      </c>
      <c r="M784" s="24">
        <v>999</v>
      </c>
      <c r="N784" s="24">
        <v>980</v>
      </c>
      <c r="O784" s="24">
        <v>298</v>
      </c>
      <c r="P784" s="24">
        <v>239</v>
      </c>
      <c r="Q784" s="24">
        <v>12623</v>
      </c>
      <c r="R784" s="24">
        <v>1258</v>
      </c>
      <c r="S784" s="24">
        <v>488</v>
      </c>
      <c r="T784" s="24">
        <v>483</v>
      </c>
      <c r="U784" s="24">
        <v>178</v>
      </c>
      <c r="V784" s="24">
        <v>67</v>
      </c>
      <c r="W784" s="24">
        <v>8196</v>
      </c>
      <c r="X784" s="24">
        <v>2955</v>
      </c>
      <c r="Y784" s="24">
        <v>1426</v>
      </c>
      <c r="Z784" s="24">
        <v>1619</v>
      </c>
      <c r="AA784" s="24">
        <v>618</v>
      </c>
      <c r="AB784" s="24">
        <v>278</v>
      </c>
    </row>
    <row r="785" spans="1:28">
      <c r="A785" s="18" t="s">
        <v>105</v>
      </c>
      <c r="B785" s="18" t="s">
        <v>106</v>
      </c>
      <c r="C785" s="18" t="s">
        <v>66</v>
      </c>
      <c r="D785" s="24">
        <v>81818</v>
      </c>
      <c r="E785" s="24">
        <v>21529633</v>
      </c>
      <c r="F785" s="24">
        <v>81598</v>
      </c>
      <c r="G785" s="24">
        <v>41462182</v>
      </c>
      <c r="H785" s="24">
        <v>79939</v>
      </c>
      <c r="I785" s="24">
        <v>62429184</v>
      </c>
      <c r="J785" s="24">
        <v>79859</v>
      </c>
      <c r="K785" s="24">
        <v>61710</v>
      </c>
      <c r="L785" s="24">
        <v>10218</v>
      </c>
      <c r="M785" s="24">
        <v>4858</v>
      </c>
      <c r="N785" s="24">
        <v>3335</v>
      </c>
      <c r="O785" s="24">
        <v>1012</v>
      </c>
      <c r="P785" s="24">
        <v>465</v>
      </c>
      <c r="Q785" s="24">
        <v>44729</v>
      </c>
      <c r="R785" s="24">
        <v>15013</v>
      </c>
      <c r="S785" s="24">
        <v>7192</v>
      </c>
      <c r="T785" s="24">
        <v>8283</v>
      </c>
      <c r="U785" s="24">
        <v>3659</v>
      </c>
      <c r="V785" s="24">
        <v>1063</v>
      </c>
      <c r="W785" s="24">
        <v>25441</v>
      </c>
      <c r="X785" s="24">
        <v>21120</v>
      </c>
      <c r="Y785" s="24">
        <v>11965</v>
      </c>
      <c r="Z785" s="24">
        <v>14105</v>
      </c>
      <c r="AA785" s="24">
        <v>5418</v>
      </c>
      <c r="AB785" s="24">
        <v>1810</v>
      </c>
    </row>
    <row r="786" spans="1:28">
      <c r="A786" s="18" t="s">
        <v>107</v>
      </c>
      <c r="B786" s="18" t="s">
        <v>106</v>
      </c>
      <c r="C786" s="18" t="s">
        <v>68</v>
      </c>
      <c r="D786" s="24">
        <v>7962</v>
      </c>
      <c r="E786" s="24">
        <v>2582026</v>
      </c>
      <c r="F786" s="24">
        <v>7962</v>
      </c>
      <c r="G786" s="24">
        <v>4538373</v>
      </c>
      <c r="H786" s="24">
        <v>7798</v>
      </c>
      <c r="I786" s="24">
        <v>7072523</v>
      </c>
      <c r="J786" s="24">
        <v>7798</v>
      </c>
      <c r="K786" s="24">
        <v>5255</v>
      </c>
      <c r="L786" s="24">
        <v>1273</v>
      </c>
      <c r="M786" s="24">
        <v>714</v>
      </c>
      <c r="N786" s="24">
        <v>590</v>
      </c>
      <c r="O786" s="24">
        <v>111</v>
      </c>
      <c r="P786" s="24">
        <v>19</v>
      </c>
      <c r="Q786" s="24">
        <v>3894</v>
      </c>
      <c r="R786" s="24">
        <v>1665</v>
      </c>
      <c r="S786" s="24">
        <v>819</v>
      </c>
      <c r="T786" s="24">
        <v>923</v>
      </c>
      <c r="U786" s="24">
        <v>378</v>
      </c>
      <c r="V786" s="24">
        <v>119</v>
      </c>
      <c r="W786" s="24">
        <v>1678</v>
      </c>
      <c r="X786" s="24">
        <v>1996</v>
      </c>
      <c r="Y786" s="24">
        <v>1391</v>
      </c>
      <c r="Z786" s="24">
        <v>1931</v>
      </c>
      <c r="AA786" s="24">
        <v>620</v>
      </c>
      <c r="AB786" s="24">
        <v>182</v>
      </c>
    </row>
    <row r="787" spans="1:28">
      <c r="A787" s="18" t="s">
        <v>108</v>
      </c>
      <c r="B787" s="18" t="s">
        <v>106</v>
      </c>
      <c r="C787" s="18" t="s">
        <v>70</v>
      </c>
      <c r="D787" s="24">
        <v>7077</v>
      </c>
      <c r="E787" s="24">
        <v>1627406</v>
      </c>
      <c r="F787" s="24">
        <v>7077</v>
      </c>
      <c r="G787" s="24">
        <v>4198281</v>
      </c>
      <c r="H787" s="24">
        <v>6914</v>
      </c>
      <c r="I787" s="24">
        <v>5790443</v>
      </c>
      <c r="J787" s="24">
        <v>6914</v>
      </c>
      <c r="K787" s="24">
        <v>5443</v>
      </c>
      <c r="L787" s="24">
        <v>910</v>
      </c>
      <c r="M787" s="24">
        <v>393</v>
      </c>
      <c r="N787" s="24">
        <v>244</v>
      </c>
      <c r="O787" s="24">
        <v>73</v>
      </c>
      <c r="P787" s="24">
        <v>14</v>
      </c>
      <c r="Q787" s="24">
        <v>3366</v>
      </c>
      <c r="R787" s="24">
        <v>1499</v>
      </c>
      <c r="S787" s="24">
        <v>683</v>
      </c>
      <c r="T787" s="24">
        <v>864</v>
      </c>
      <c r="U787" s="24">
        <v>386</v>
      </c>
      <c r="V787" s="24">
        <v>116</v>
      </c>
      <c r="W787" s="24">
        <v>1808</v>
      </c>
      <c r="X787" s="24">
        <v>1936</v>
      </c>
      <c r="Y787" s="24">
        <v>1163</v>
      </c>
      <c r="Z787" s="24">
        <v>1348</v>
      </c>
      <c r="AA787" s="24">
        <v>487</v>
      </c>
      <c r="AB787" s="24">
        <v>172</v>
      </c>
    </row>
    <row r="788" spans="1:28">
      <c r="A788" s="18" t="s">
        <v>109</v>
      </c>
      <c r="B788" s="18" t="s">
        <v>106</v>
      </c>
      <c r="C788" s="18" t="s">
        <v>72</v>
      </c>
      <c r="D788" s="24">
        <v>7250</v>
      </c>
      <c r="E788" s="24">
        <v>1701489</v>
      </c>
      <c r="F788" s="24">
        <v>7249</v>
      </c>
      <c r="G788" s="24">
        <v>4454299</v>
      </c>
      <c r="H788" s="24">
        <v>7081</v>
      </c>
      <c r="I788" s="24">
        <v>6113854</v>
      </c>
      <c r="J788" s="24">
        <v>7081</v>
      </c>
      <c r="K788" s="24">
        <v>5530</v>
      </c>
      <c r="L788" s="24">
        <v>911</v>
      </c>
      <c r="M788" s="24">
        <v>458</v>
      </c>
      <c r="N788" s="24">
        <v>260</v>
      </c>
      <c r="O788" s="24">
        <v>78</v>
      </c>
      <c r="P788" s="24">
        <v>12</v>
      </c>
      <c r="Q788" s="24">
        <v>3318</v>
      </c>
      <c r="R788" s="24">
        <v>1555</v>
      </c>
      <c r="S788" s="24">
        <v>762</v>
      </c>
      <c r="T788" s="24">
        <v>912</v>
      </c>
      <c r="U788" s="24">
        <v>408</v>
      </c>
      <c r="V788" s="24">
        <v>126</v>
      </c>
      <c r="W788" s="24">
        <v>1783</v>
      </c>
      <c r="X788" s="24">
        <v>1946</v>
      </c>
      <c r="Y788" s="24">
        <v>1212</v>
      </c>
      <c r="Z788" s="24">
        <v>1424</v>
      </c>
      <c r="AA788" s="24">
        <v>535</v>
      </c>
      <c r="AB788" s="24">
        <v>181</v>
      </c>
    </row>
    <row r="789" spans="1:28">
      <c r="A789" s="18" t="s">
        <v>110</v>
      </c>
      <c r="B789" s="18" t="s">
        <v>106</v>
      </c>
      <c r="C789" s="18" t="s">
        <v>74</v>
      </c>
      <c r="D789" s="24">
        <v>7551</v>
      </c>
      <c r="E789" s="24">
        <v>1784771</v>
      </c>
      <c r="F789" s="24">
        <v>7551</v>
      </c>
      <c r="G789" s="24">
        <v>4606320</v>
      </c>
      <c r="H789" s="24">
        <v>7384</v>
      </c>
      <c r="I789" s="24">
        <v>6352776</v>
      </c>
      <c r="J789" s="24">
        <v>7384</v>
      </c>
      <c r="K789" s="24">
        <v>5758</v>
      </c>
      <c r="L789" s="24">
        <v>953</v>
      </c>
      <c r="M789" s="24">
        <v>455</v>
      </c>
      <c r="N789" s="24">
        <v>292</v>
      </c>
      <c r="O789" s="24">
        <v>74</v>
      </c>
      <c r="P789" s="24">
        <v>19</v>
      </c>
      <c r="Q789" s="24">
        <v>3416</v>
      </c>
      <c r="R789" s="24">
        <v>1572</v>
      </c>
      <c r="S789" s="24">
        <v>902</v>
      </c>
      <c r="T789" s="24">
        <v>969</v>
      </c>
      <c r="U789" s="24">
        <v>405</v>
      </c>
      <c r="V789" s="24">
        <v>120</v>
      </c>
      <c r="W789" s="24">
        <v>1849</v>
      </c>
      <c r="X789" s="24">
        <v>1977</v>
      </c>
      <c r="Y789" s="24">
        <v>1273</v>
      </c>
      <c r="Z789" s="24">
        <v>1555</v>
      </c>
      <c r="AA789" s="24">
        <v>558</v>
      </c>
      <c r="AB789" s="24">
        <v>172</v>
      </c>
    </row>
    <row r="790" spans="1:28">
      <c r="A790" s="18" t="s">
        <v>111</v>
      </c>
      <c r="B790" s="18" t="s">
        <v>106</v>
      </c>
      <c r="C790" s="18" t="s">
        <v>76</v>
      </c>
      <c r="D790" s="24">
        <v>6773</v>
      </c>
      <c r="E790" s="24">
        <v>1282716</v>
      </c>
      <c r="F790" s="24">
        <v>6773</v>
      </c>
      <c r="G790" s="24">
        <v>3988837</v>
      </c>
      <c r="H790" s="24">
        <v>6635</v>
      </c>
      <c r="I790" s="24">
        <v>5251627</v>
      </c>
      <c r="J790" s="24">
        <v>6635</v>
      </c>
      <c r="K790" s="24">
        <v>5455</v>
      </c>
      <c r="L790" s="24">
        <v>749</v>
      </c>
      <c r="M790" s="24">
        <v>337</v>
      </c>
      <c r="N790" s="24">
        <v>190</v>
      </c>
      <c r="O790" s="24">
        <v>34</v>
      </c>
      <c r="P790" s="24">
        <v>8</v>
      </c>
      <c r="Q790" s="24">
        <v>3243</v>
      </c>
      <c r="R790" s="24">
        <v>1437</v>
      </c>
      <c r="S790" s="24">
        <v>685</v>
      </c>
      <c r="T790" s="24">
        <v>798</v>
      </c>
      <c r="U790" s="24">
        <v>364</v>
      </c>
      <c r="V790" s="24">
        <v>108</v>
      </c>
      <c r="W790" s="24">
        <v>1986</v>
      </c>
      <c r="X790" s="24">
        <v>1841</v>
      </c>
      <c r="Y790" s="24">
        <v>993</v>
      </c>
      <c r="Z790" s="24">
        <v>1203</v>
      </c>
      <c r="AA790" s="24">
        <v>477</v>
      </c>
      <c r="AB790" s="24">
        <v>135</v>
      </c>
    </row>
    <row r="791" spans="1:28">
      <c r="A791" s="18" t="s">
        <v>112</v>
      </c>
      <c r="B791" s="18" t="s">
        <v>106</v>
      </c>
      <c r="C791" s="18" t="s">
        <v>78</v>
      </c>
      <c r="D791" s="24">
        <v>6017</v>
      </c>
      <c r="E791" s="24">
        <v>811003</v>
      </c>
      <c r="F791" s="24">
        <v>6017</v>
      </c>
      <c r="G791" s="24">
        <v>3720799</v>
      </c>
      <c r="H791" s="24">
        <v>5883</v>
      </c>
      <c r="I791" s="24">
        <v>4520631.999999999</v>
      </c>
      <c r="J791" s="24">
        <v>5883</v>
      </c>
      <c r="K791" s="24">
        <v>5267</v>
      </c>
      <c r="L791" s="24">
        <v>497</v>
      </c>
      <c r="M791" s="24">
        <v>168</v>
      </c>
      <c r="N791" s="24">
        <v>55</v>
      </c>
      <c r="O791" s="24">
        <v>29</v>
      </c>
      <c r="P791" s="24">
        <v>1</v>
      </c>
      <c r="Q791" s="24">
        <v>2820</v>
      </c>
      <c r="R791" s="24">
        <v>1247</v>
      </c>
      <c r="S791" s="24">
        <v>586</v>
      </c>
      <c r="T791" s="24">
        <v>757</v>
      </c>
      <c r="U791" s="24">
        <v>372</v>
      </c>
      <c r="V791" s="24">
        <v>101</v>
      </c>
      <c r="W791" s="24">
        <v>1931</v>
      </c>
      <c r="X791" s="24">
        <v>1686</v>
      </c>
      <c r="Y791" s="24">
        <v>765</v>
      </c>
      <c r="Z791" s="24">
        <v>935</v>
      </c>
      <c r="AA791" s="24">
        <v>448</v>
      </c>
      <c r="AB791" s="24">
        <v>118</v>
      </c>
    </row>
    <row r="792" spans="1:28">
      <c r="A792" s="18" t="s">
        <v>113</v>
      </c>
      <c r="B792" s="18" t="s">
        <v>106</v>
      </c>
      <c r="C792" s="18" t="s">
        <v>80</v>
      </c>
      <c r="D792" s="24">
        <v>7439</v>
      </c>
      <c r="E792" s="24">
        <v>1175094</v>
      </c>
      <c r="F792" s="24">
        <v>7439</v>
      </c>
      <c r="G792" s="24">
        <v>4499543</v>
      </c>
      <c r="H792" s="24">
        <v>7274</v>
      </c>
      <c r="I792" s="24">
        <v>5647062.000000001</v>
      </c>
      <c r="J792" s="24">
        <v>7274</v>
      </c>
      <c r="K792" s="24">
        <v>6293</v>
      </c>
      <c r="L792" s="24">
        <v>728</v>
      </c>
      <c r="M792" s="24">
        <v>273</v>
      </c>
      <c r="N792" s="24">
        <v>111</v>
      </c>
      <c r="O792" s="24">
        <v>27</v>
      </c>
      <c r="P792" s="24">
        <v>7</v>
      </c>
      <c r="Q792" s="24">
        <v>3576</v>
      </c>
      <c r="R792" s="24">
        <v>1464</v>
      </c>
      <c r="S792" s="24">
        <v>714</v>
      </c>
      <c r="T792" s="24">
        <v>958</v>
      </c>
      <c r="U792" s="24">
        <v>441</v>
      </c>
      <c r="V792" s="24">
        <v>121</v>
      </c>
      <c r="W792" s="24">
        <v>2305</v>
      </c>
      <c r="X792" s="24">
        <v>2016</v>
      </c>
      <c r="Y792" s="24">
        <v>1051</v>
      </c>
      <c r="Z792" s="24">
        <v>1214</v>
      </c>
      <c r="AA792" s="24">
        <v>540</v>
      </c>
      <c r="AB792" s="24">
        <v>148</v>
      </c>
    </row>
    <row r="793" spans="1:28">
      <c r="A793" s="18" t="s">
        <v>114</v>
      </c>
      <c r="B793" s="18" t="s">
        <v>106</v>
      </c>
      <c r="C793" s="18" t="s">
        <v>82</v>
      </c>
      <c r="D793" s="24">
        <v>6673</v>
      </c>
      <c r="E793" s="24">
        <v>1330462</v>
      </c>
      <c r="F793" s="24">
        <v>6673</v>
      </c>
      <c r="G793" s="24">
        <v>3687957</v>
      </c>
      <c r="H793" s="24">
        <v>6538</v>
      </c>
      <c r="I793" s="24">
        <v>4998600</v>
      </c>
      <c r="J793" s="24">
        <v>6538</v>
      </c>
      <c r="K793" s="24">
        <v>5204</v>
      </c>
      <c r="L793" s="24">
        <v>839</v>
      </c>
      <c r="M793" s="24">
        <v>428</v>
      </c>
      <c r="N793" s="24">
        <v>176</v>
      </c>
      <c r="O793" s="24">
        <v>22</v>
      </c>
      <c r="P793" s="24">
        <v>4</v>
      </c>
      <c r="Q793" s="24">
        <v>3560</v>
      </c>
      <c r="R793" s="24">
        <v>1192</v>
      </c>
      <c r="S793" s="24">
        <v>619</v>
      </c>
      <c r="T793" s="24">
        <v>711</v>
      </c>
      <c r="U793" s="24">
        <v>355</v>
      </c>
      <c r="V793" s="24">
        <v>101</v>
      </c>
      <c r="W793" s="24">
        <v>1963</v>
      </c>
      <c r="X793" s="24">
        <v>1800</v>
      </c>
      <c r="Y793" s="24">
        <v>1083</v>
      </c>
      <c r="Z793" s="24">
        <v>1132</v>
      </c>
      <c r="AA793" s="24">
        <v>441</v>
      </c>
      <c r="AB793" s="24">
        <v>119</v>
      </c>
    </row>
    <row r="794" spans="1:28">
      <c r="A794" s="18" t="s">
        <v>115</v>
      </c>
      <c r="B794" s="18" t="s">
        <v>106</v>
      </c>
      <c r="C794" s="18" t="s">
        <v>84</v>
      </c>
      <c r="D794" s="24">
        <v>6880</v>
      </c>
      <c r="E794" s="24">
        <v>1309030</v>
      </c>
      <c r="F794" s="24">
        <v>6880</v>
      </c>
      <c r="G794" s="24">
        <v>4116681</v>
      </c>
      <c r="H794" s="24">
        <v>6731</v>
      </c>
      <c r="I794" s="24">
        <v>5399506</v>
      </c>
      <c r="J794" s="24">
        <v>6731</v>
      </c>
      <c r="K794" s="24">
        <v>5506</v>
      </c>
      <c r="L794" s="24">
        <v>793</v>
      </c>
      <c r="M794" s="24">
        <v>383</v>
      </c>
      <c r="N794" s="24">
        <v>158</v>
      </c>
      <c r="O794" s="24">
        <v>33</v>
      </c>
      <c r="P794" s="24">
        <v>7</v>
      </c>
      <c r="Q794" s="24">
        <v>3371</v>
      </c>
      <c r="R794" s="24">
        <v>1404</v>
      </c>
      <c r="S794" s="24">
        <v>613</v>
      </c>
      <c r="T794" s="24">
        <v>808</v>
      </c>
      <c r="U794" s="24">
        <v>412</v>
      </c>
      <c r="V794" s="24">
        <v>123</v>
      </c>
      <c r="W794" s="24">
        <v>1917</v>
      </c>
      <c r="X794" s="24">
        <v>1975</v>
      </c>
      <c r="Y794" s="24">
        <v>1005</v>
      </c>
      <c r="Z794" s="24">
        <v>1174</v>
      </c>
      <c r="AA794" s="24">
        <v>505</v>
      </c>
      <c r="AB794" s="24">
        <v>155</v>
      </c>
    </row>
    <row r="795" spans="1:28">
      <c r="A795" s="18" t="s">
        <v>116</v>
      </c>
      <c r="B795" s="18" t="s">
        <v>106</v>
      </c>
      <c r="C795" s="18" t="s">
        <v>86</v>
      </c>
      <c r="D795" s="24">
        <v>1898</v>
      </c>
      <c r="E795" s="24">
        <v>749114</v>
      </c>
      <c r="F795" s="24">
        <v>1820</v>
      </c>
      <c r="G795" s="24">
        <v>398645.0000000001</v>
      </c>
      <c r="H795" s="24">
        <v>1786</v>
      </c>
      <c r="I795" s="24">
        <v>1093363</v>
      </c>
      <c r="J795" s="24">
        <v>1780</v>
      </c>
      <c r="K795" s="24">
        <v>1361</v>
      </c>
      <c r="L795" s="24">
        <v>222</v>
      </c>
      <c r="M795" s="24">
        <v>71</v>
      </c>
      <c r="N795" s="24">
        <v>53</v>
      </c>
      <c r="O795" s="24">
        <v>63</v>
      </c>
      <c r="P795" s="24">
        <v>50</v>
      </c>
      <c r="Q795" s="24">
        <v>1456</v>
      </c>
      <c r="R795" s="24">
        <v>172</v>
      </c>
      <c r="S795" s="24">
        <v>64</v>
      </c>
      <c r="T795" s="24">
        <v>60</v>
      </c>
      <c r="U795" s="24">
        <v>26</v>
      </c>
      <c r="V795" s="24">
        <v>8</v>
      </c>
      <c r="W795" s="24">
        <v>953</v>
      </c>
      <c r="X795" s="24">
        <v>393</v>
      </c>
      <c r="Y795" s="24">
        <v>153</v>
      </c>
      <c r="Z795" s="24">
        <v>136</v>
      </c>
      <c r="AA795" s="24">
        <v>85</v>
      </c>
      <c r="AB795" s="24">
        <v>60</v>
      </c>
    </row>
    <row r="796" spans="1:28">
      <c r="A796" s="18" t="s">
        <v>117</v>
      </c>
      <c r="B796" s="18" t="s">
        <v>106</v>
      </c>
      <c r="C796" s="18" t="s">
        <v>88</v>
      </c>
      <c r="D796" s="24">
        <v>7137</v>
      </c>
      <c r="E796" s="24">
        <v>2331877</v>
      </c>
      <c r="F796" s="24">
        <v>7098</v>
      </c>
      <c r="G796" s="24">
        <v>1389828</v>
      </c>
      <c r="H796" s="24">
        <v>6991</v>
      </c>
      <c r="I796" s="24">
        <v>3667391</v>
      </c>
      <c r="J796" s="24">
        <v>6966</v>
      </c>
      <c r="K796" s="24">
        <v>5046</v>
      </c>
      <c r="L796" s="24">
        <v>1035</v>
      </c>
      <c r="M796" s="24">
        <v>471</v>
      </c>
      <c r="N796" s="24">
        <v>378</v>
      </c>
      <c r="O796" s="24">
        <v>94</v>
      </c>
      <c r="P796" s="24">
        <v>74</v>
      </c>
      <c r="Q796" s="24">
        <v>5671</v>
      </c>
      <c r="R796" s="24">
        <v>707</v>
      </c>
      <c r="S796" s="24">
        <v>320</v>
      </c>
      <c r="T796" s="24">
        <v>228</v>
      </c>
      <c r="U796" s="24">
        <v>59</v>
      </c>
      <c r="V796" s="24">
        <v>6</v>
      </c>
      <c r="W796" s="24">
        <v>3471</v>
      </c>
      <c r="X796" s="24">
        <v>1643</v>
      </c>
      <c r="Y796" s="24">
        <v>840</v>
      </c>
      <c r="Z796" s="24">
        <v>720</v>
      </c>
      <c r="AA796" s="24">
        <v>202</v>
      </c>
      <c r="AB796" s="24">
        <v>90</v>
      </c>
    </row>
    <row r="797" spans="1:28">
      <c r="A797" s="18" t="s">
        <v>118</v>
      </c>
      <c r="B797" s="18" t="s">
        <v>106</v>
      </c>
      <c r="C797" s="18" t="s">
        <v>90</v>
      </c>
      <c r="D797" s="24">
        <v>9161</v>
      </c>
      <c r="E797" s="24">
        <v>4844645.000000001</v>
      </c>
      <c r="F797" s="24">
        <v>9059</v>
      </c>
      <c r="G797" s="24">
        <v>1862619</v>
      </c>
      <c r="H797" s="24">
        <v>8924</v>
      </c>
      <c r="I797" s="24">
        <v>6521407</v>
      </c>
      <c r="J797" s="24">
        <v>8875</v>
      </c>
      <c r="K797" s="24">
        <v>5592</v>
      </c>
      <c r="L797" s="24">
        <v>1308</v>
      </c>
      <c r="M797" s="24">
        <v>707</v>
      </c>
      <c r="N797" s="24">
        <v>828</v>
      </c>
      <c r="O797" s="24">
        <v>374</v>
      </c>
      <c r="P797" s="24">
        <v>250</v>
      </c>
      <c r="Q797" s="24">
        <v>7038</v>
      </c>
      <c r="R797" s="24">
        <v>1099</v>
      </c>
      <c r="S797" s="24">
        <v>425</v>
      </c>
      <c r="T797" s="24">
        <v>295</v>
      </c>
      <c r="U797" s="24">
        <v>53</v>
      </c>
      <c r="V797" s="24">
        <v>14</v>
      </c>
      <c r="W797" s="24">
        <v>3797</v>
      </c>
      <c r="X797" s="24">
        <v>1911</v>
      </c>
      <c r="Y797" s="24">
        <v>1036</v>
      </c>
      <c r="Z797" s="24">
        <v>1333</v>
      </c>
      <c r="AA797" s="24">
        <v>520</v>
      </c>
      <c r="AB797" s="24">
        <v>278</v>
      </c>
    </row>
    <row r="798" spans="1:28">
      <c r="A798" s="18" t="s">
        <v>119</v>
      </c>
      <c r="B798" s="18" t="s">
        <v>120</v>
      </c>
      <c r="C798" s="18" t="s">
        <v>66</v>
      </c>
      <c r="D798" s="24">
        <v>115887</v>
      </c>
      <c r="E798" s="24">
        <v>98588597</v>
      </c>
      <c r="F798" s="24">
        <v>115191</v>
      </c>
      <c r="G798" s="24">
        <v>38017379</v>
      </c>
      <c r="H798" s="24">
        <v>99236</v>
      </c>
      <c r="I798" s="24">
        <v>121618500</v>
      </c>
      <c r="J798" s="24">
        <v>99026</v>
      </c>
      <c r="K798" s="24">
        <v>59376</v>
      </c>
      <c r="L798" s="24">
        <v>13737</v>
      </c>
      <c r="M798" s="24">
        <v>8885</v>
      </c>
      <c r="N798" s="24">
        <v>15906</v>
      </c>
      <c r="O798" s="24">
        <v>11412</v>
      </c>
      <c r="P798" s="24">
        <v>5875</v>
      </c>
      <c r="Q798" s="24">
        <v>69652</v>
      </c>
      <c r="R798" s="24">
        <v>13507</v>
      </c>
      <c r="S798" s="24">
        <v>5594</v>
      </c>
      <c r="T798" s="24">
        <v>6393</v>
      </c>
      <c r="U798" s="24">
        <v>3028</v>
      </c>
      <c r="V798" s="24">
        <v>1062</v>
      </c>
      <c r="W798" s="24">
        <v>29480</v>
      </c>
      <c r="X798" s="24">
        <v>17833</v>
      </c>
      <c r="Y798" s="24">
        <v>10329</v>
      </c>
      <c r="Z798" s="24">
        <v>18556</v>
      </c>
      <c r="AA798" s="24">
        <v>15658</v>
      </c>
      <c r="AB798" s="24">
        <v>7170</v>
      </c>
    </row>
    <row r="799" spans="1:28">
      <c r="A799" s="18" t="s">
        <v>121</v>
      </c>
      <c r="B799" s="18" t="s">
        <v>120</v>
      </c>
      <c r="C799" s="18" t="s">
        <v>68</v>
      </c>
      <c r="D799" s="24">
        <v>12053</v>
      </c>
      <c r="E799" s="24">
        <v>16738376</v>
      </c>
      <c r="F799" s="24">
        <v>11991</v>
      </c>
      <c r="G799" s="24">
        <v>4981311</v>
      </c>
      <c r="H799" s="24">
        <v>11833</v>
      </c>
      <c r="I799" s="24">
        <v>21471282</v>
      </c>
      <c r="J799" s="24">
        <v>11773</v>
      </c>
      <c r="K799" s="24">
        <v>5360</v>
      </c>
      <c r="L799" s="24">
        <v>1207</v>
      </c>
      <c r="M799" s="24">
        <v>778</v>
      </c>
      <c r="N799" s="24">
        <v>1555</v>
      </c>
      <c r="O799" s="24">
        <v>1440</v>
      </c>
      <c r="P799" s="24">
        <v>1651</v>
      </c>
      <c r="Q799" s="24">
        <v>7834</v>
      </c>
      <c r="R799" s="24">
        <v>1829</v>
      </c>
      <c r="S799" s="24">
        <v>785</v>
      </c>
      <c r="T799" s="24">
        <v>836</v>
      </c>
      <c r="U799" s="24">
        <v>422</v>
      </c>
      <c r="V799" s="24">
        <v>127</v>
      </c>
      <c r="W799" s="24">
        <v>2405</v>
      </c>
      <c r="X799" s="24">
        <v>1867</v>
      </c>
      <c r="Y799" s="24">
        <v>1233</v>
      </c>
      <c r="Z799" s="24">
        <v>2251</v>
      </c>
      <c r="AA799" s="24">
        <v>2077</v>
      </c>
      <c r="AB799" s="24">
        <v>1940</v>
      </c>
    </row>
    <row r="800" spans="1:28">
      <c r="A800" s="18" t="s">
        <v>122</v>
      </c>
      <c r="B800" s="18" t="s">
        <v>120</v>
      </c>
      <c r="C800" s="18" t="s">
        <v>70</v>
      </c>
      <c r="D800" s="24">
        <v>10111</v>
      </c>
      <c r="E800" s="24">
        <v>12256332</v>
      </c>
      <c r="F800" s="24">
        <v>10086</v>
      </c>
      <c r="G800" s="24">
        <v>4409119</v>
      </c>
      <c r="H800" s="24">
        <v>9892</v>
      </c>
      <c r="I800" s="24">
        <v>16434696</v>
      </c>
      <c r="J800" s="24">
        <v>9867</v>
      </c>
      <c r="K800" s="24">
        <v>4728</v>
      </c>
      <c r="L800" s="24">
        <v>858</v>
      </c>
      <c r="M800" s="24">
        <v>536</v>
      </c>
      <c r="N800" s="24">
        <v>1259</v>
      </c>
      <c r="O800" s="24">
        <v>1734</v>
      </c>
      <c r="P800" s="24">
        <v>971</v>
      </c>
      <c r="Q800" s="24">
        <v>6741</v>
      </c>
      <c r="R800" s="24">
        <v>1409</v>
      </c>
      <c r="S800" s="24">
        <v>515</v>
      </c>
      <c r="T800" s="24">
        <v>646</v>
      </c>
      <c r="U800" s="24">
        <v>419</v>
      </c>
      <c r="V800" s="24">
        <v>162</v>
      </c>
      <c r="W800" s="24">
        <v>2083</v>
      </c>
      <c r="X800" s="24">
        <v>1611</v>
      </c>
      <c r="Y800" s="24">
        <v>866</v>
      </c>
      <c r="Z800" s="24">
        <v>1792</v>
      </c>
      <c r="AA800" s="24">
        <v>2228</v>
      </c>
      <c r="AB800" s="24">
        <v>1287</v>
      </c>
    </row>
    <row r="801" spans="1:28">
      <c r="A801" s="18" t="s">
        <v>123</v>
      </c>
      <c r="B801" s="18" t="s">
        <v>120</v>
      </c>
      <c r="C801" s="18" t="s">
        <v>72</v>
      </c>
      <c r="D801" s="24">
        <v>10659</v>
      </c>
      <c r="E801" s="24">
        <v>10441355</v>
      </c>
      <c r="F801" s="24">
        <v>10629</v>
      </c>
      <c r="G801" s="24">
        <v>4566649.000000001</v>
      </c>
      <c r="H801" s="24">
        <v>10443</v>
      </c>
      <c r="I801" s="24">
        <v>14824762</v>
      </c>
      <c r="J801" s="24">
        <v>10413</v>
      </c>
      <c r="K801" s="24">
        <v>5225</v>
      </c>
      <c r="L801" s="24">
        <v>1094</v>
      </c>
      <c r="M801" s="24">
        <v>686</v>
      </c>
      <c r="N801" s="24">
        <v>1507</v>
      </c>
      <c r="O801" s="24">
        <v>1489</v>
      </c>
      <c r="P801" s="24">
        <v>628</v>
      </c>
      <c r="Q801" s="24">
        <v>7247</v>
      </c>
      <c r="R801" s="24">
        <v>1353</v>
      </c>
      <c r="S801" s="24">
        <v>553</v>
      </c>
      <c r="T801" s="24">
        <v>740</v>
      </c>
      <c r="U801" s="24">
        <v>380</v>
      </c>
      <c r="V801" s="24">
        <v>170</v>
      </c>
      <c r="W801" s="24">
        <v>2475</v>
      </c>
      <c r="X801" s="24">
        <v>1790</v>
      </c>
      <c r="Y801" s="24">
        <v>1053</v>
      </c>
      <c r="Z801" s="24">
        <v>2115</v>
      </c>
      <c r="AA801" s="24">
        <v>2063</v>
      </c>
      <c r="AB801" s="24">
        <v>917</v>
      </c>
    </row>
    <row r="802" spans="1:28">
      <c r="A802" s="18" t="s">
        <v>124</v>
      </c>
      <c r="B802" s="18" t="s">
        <v>120</v>
      </c>
      <c r="C802" s="18" t="s">
        <v>74</v>
      </c>
      <c r="D802" s="24">
        <v>11042</v>
      </c>
      <c r="E802" s="24">
        <v>10243015</v>
      </c>
      <c r="F802" s="24">
        <v>11035</v>
      </c>
      <c r="G802" s="24">
        <v>4845533</v>
      </c>
      <c r="H802" s="24">
        <v>10809</v>
      </c>
      <c r="I802" s="24">
        <v>14928850</v>
      </c>
      <c r="J802" s="24">
        <v>10802</v>
      </c>
      <c r="K802" s="24">
        <v>5240</v>
      </c>
      <c r="L802" s="24">
        <v>1086</v>
      </c>
      <c r="M802" s="24">
        <v>796</v>
      </c>
      <c r="N802" s="24">
        <v>1803</v>
      </c>
      <c r="O802" s="24">
        <v>1623</v>
      </c>
      <c r="P802" s="24">
        <v>487</v>
      </c>
      <c r="Q802" s="24">
        <v>6976</v>
      </c>
      <c r="R802" s="24">
        <v>1715</v>
      </c>
      <c r="S802" s="24">
        <v>732</v>
      </c>
      <c r="T802" s="24">
        <v>827</v>
      </c>
      <c r="U802" s="24">
        <v>438</v>
      </c>
      <c r="V802" s="24">
        <v>121</v>
      </c>
      <c r="W802" s="24">
        <v>2284</v>
      </c>
      <c r="X802" s="24">
        <v>1828</v>
      </c>
      <c r="Y802" s="24">
        <v>1179</v>
      </c>
      <c r="Z802" s="24">
        <v>2415</v>
      </c>
      <c r="AA802" s="24">
        <v>2307</v>
      </c>
      <c r="AB802" s="24">
        <v>789</v>
      </c>
    </row>
    <row r="803" spans="1:28">
      <c r="A803" s="18" t="s">
        <v>125</v>
      </c>
      <c r="B803" s="18" t="s">
        <v>120</v>
      </c>
      <c r="C803" s="18" t="s">
        <v>76</v>
      </c>
      <c r="D803" s="24">
        <v>9538</v>
      </c>
      <c r="E803" s="24">
        <v>10521079</v>
      </c>
      <c r="F803" s="24">
        <v>9521</v>
      </c>
      <c r="G803" s="24">
        <v>4320222</v>
      </c>
      <c r="H803" s="24">
        <v>9354</v>
      </c>
      <c r="I803" s="24">
        <v>14696632</v>
      </c>
      <c r="J803" s="24">
        <v>9337</v>
      </c>
      <c r="K803" s="24">
        <v>4197</v>
      </c>
      <c r="L803" s="24">
        <v>935</v>
      </c>
      <c r="M803" s="24">
        <v>761</v>
      </c>
      <c r="N803" s="24">
        <v>1694</v>
      </c>
      <c r="O803" s="24">
        <v>1200</v>
      </c>
      <c r="P803" s="24">
        <v>734</v>
      </c>
      <c r="Q803" s="24">
        <v>5851</v>
      </c>
      <c r="R803" s="24">
        <v>1548</v>
      </c>
      <c r="S803" s="24">
        <v>697</v>
      </c>
      <c r="T803" s="24">
        <v>792</v>
      </c>
      <c r="U803" s="24">
        <v>349</v>
      </c>
      <c r="V803" s="24">
        <v>117</v>
      </c>
      <c r="W803" s="24">
        <v>1745</v>
      </c>
      <c r="X803" s="24">
        <v>1535</v>
      </c>
      <c r="Y803" s="24">
        <v>979</v>
      </c>
      <c r="Z803" s="24">
        <v>2252</v>
      </c>
      <c r="AA803" s="24">
        <v>1837</v>
      </c>
      <c r="AB803" s="24">
        <v>989</v>
      </c>
    </row>
    <row r="804" spans="1:28">
      <c r="A804" s="18" t="s">
        <v>126</v>
      </c>
      <c r="B804" s="18" t="s">
        <v>120</v>
      </c>
      <c r="C804" s="18" t="s">
        <v>78</v>
      </c>
      <c r="D804" s="24">
        <v>9398</v>
      </c>
      <c r="E804" s="24">
        <v>5614787</v>
      </c>
      <c r="F804" s="24">
        <v>9389</v>
      </c>
      <c r="G804" s="24">
        <v>4482557</v>
      </c>
      <c r="H804" s="24">
        <v>9203</v>
      </c>
      <c r="I804" s="24">
        <v>9984371</v>
      </c>
      <c r="J804" s="24">
        <v>9194</v>
      </c>
      <c r="K804" s="24">
        <v>5278</v>
      </c>
      <c r="L804" s="24">
        <v>1143</v>
      </c>
      <c r="M804" s="24">
        <v>705</v>
      </c>
      <c r="N804" s="24">
        <v>1392</v>
      </c>
      <c r="O804" s="24">
        <v>758</v>
      </c>
      <c r="P804" s="24">
        <v>113</v>
      </c>
      <c r="Q804" s="24">
        <v>5432</v>
      </c>
      <c r="R804" s="24">
        <v>1786</v>
      </c>
      <c r="S804" s="24">
        <v>706</v>
      </c>
      <c r="T804" s="24">
        <v>791</v>
      </c>
      <c r="U804" s="24">
        <v>349</v>
      </c>
      <c r="V804" s="24">
        <v>139</v>
      </c>
      <c r="W804" s="24">
        <v>2259</v>
      </c>
      <c r="X804" s="24">
        <v>2123</v>
      </c>
      <c r="Y804" s="24">
        <v>1077</v>
      </c>
      <c r="Z804" s="24">
        <v>1873</v>
      </c>
      <c r="AA804" s="24">
        <v>1508</v>
      </c>
      <c r="AB804" s="24">
        <v>354</v>
      </c>
    </row>
    <row r="805" spans="1:28">
      <c r="A805" s="18" t="s">
        <v>127</v>
      </c>
      <c r="B805" s="18" t="s">
        <v>120</v>
      </c>
      <c r="C805" s="18" t="s">
        <v>80</v>
      </c>
      <c r="D805" s="24">
        <v>10406</v>
      </c>
      <c r="E805" s="24">
        <v>6638345</v>
      </c>
      <c r="F805" s="24">
        <v>10400</v>
      </c>
      <c r="G805" s="24">
        <v>4785257</v>
      </c>
      <c r="H805" s="24">
        <v>10183</v>
      </c>
      <c r="I805" s="24">
        <v>11292212</v>
      </c>
      <c r="J805" s="24">
        <v>10177</v>
      </c>
      <c r="K805" s="24">
        <v>5422</v>
      </c>
      <c r="L805" s="24">
        <v>1339</v>
      </c>
      <c r="M805" s="24">
        <v>998</v>
      </c>
      <c r="N805" s="24">
        <v>1622</v>
      </c>
      <c r="O805" s="24">
        <v>894</v>
      </c>
      <c r="P805" s="24">
        <v>125</v>
      </c>
      <c r="Q805" s="24">
        <v>6177</v>
      </c>
      <c r="R805" s="24">
        <v>1829</v>
      </c>
      <c r="S805" s="24">
        <v>810</v>
      </c>
      <c r="T805" s="24">
        <v>878</v>
      </c>
      <c r="U805" s="24">
        <v>368</v>
      </c>
      <c r="V805" s="24">
        <v>121</v>
      </c>
      <c r="W805" s="24">
        <v>2352</v>
      </c>
      <c r="X805" s="24">
        <v>2056</v>
      </c>
      <c r="Y805" s="24">
        <v>1415</v>
      </c>
      <c r="Z805" s="24">
        <v>2325</v>
      </c>
      <c r="AA805" s="24">
        <v>1677</v>
      </c>
      <c r="AB805" s="24">
        <v>352</v>
      </c>
    </row>
    <row r="806" spans="1:28">
      <c r="A806" s="18" t="s">
        <v>128</v>
      </c>
      <c r="B806" s="18" t="s">
        <v>120</v>
      </c>
      <c r="C806" s="18" t="s">
        <v>82</v>
      </c>
      <c r="D806" s="24">
        <v>0</v>
      </c>
      <c r="E806" s="24">
        <v>0</v>
      </c>
      <c r="F806" s="24">
        <v>0</v>
      </c>
      <c r="G806" s="24">
        <v>0</v>
      </c>
      <c r="H806" s="24">
        <v>0</v>
      </c>
      <c r="I806" s="24">
        <v>0</v>
      </c>
      <c r="J806" s="24">
        <v>0</v>
      </c>
      <c r="K806" s="24">
        <v>0</v>
      </c>
      <c r="L806" s="24">
        <v>0</v>
      </c>
      <c r="M806" s="24">
        <v>0</v>
      </c>
      <c r="N806" s="24">
        <v>0</v>
      </c>
      <c r="O806" s="24">
        <v>0</v>
      </c>
      <c r="P806" s="24">
        <v>0</v>
      </c>
      <c r="Q806" s="24">
        <v>0</v>
      </c>
      <c r="R806" s="24">
        <v>0</v>
      </c>
      <c r="S806" s="24">
        <v>0</v>
      </c>
      <c r="T806" s="24">
        <v>0</v>
      </c>
      <c r="U806" s="24">
        <v>0</v>
      </c>
      <c r="V806" s="24">
        <v>0</v>
      </c>
      <c r="W806" s="24">
        <v>0</v>
      </c>
      <c r="X806" s="24">
        <v>0</v>
      </c>
      <c r="Y806" s="24">
        <v>0</v>
      </c>
      <c r="Z806" s="24">
        <v>0</v>
      </c>
      <c r="AA806" s="24">
        <v>0</v>
      </c>
      <c r="AB806" s="24">
        <v>0</v>
      </c>
    </row>
    <row r="807" spans="1:28">
      <c r="A807" s="18" t="s">
        <v>129</v>
      </c>
      <c r="B807" s="18" t="s">
        <v>120</v>
      </c>
      <c r="C807" s="18" t="s">
        <v>84</v>
      </c>
      <c r="D807" s="24">
        <v>8291</v>
      </c>
      <c r="E807" s="24">
        <v>5402754.999999999</v>
      </c>
      <c r="F807" s="24">
        <v>8130</v>
      </c>
      <c r="G807" s="24">
        <v>904954</v>
      </c>
      <c r="H807" s="24">
        <v>5137</v>
      </c>
      <c r="I807" s="24">
        <v>3602337</v>
      </c>
      <c r="J807" s="24">
        <v>5107</v>
      </c>
      <c r="K807" s="24">
        <v>4453</v>
      </c>
      <c r="L807" s="24">
        <v>1092</v>
      </c>
      <c r="M807" s="24">
        <v>656</v>
      </c>
      <c r="N807" s="24">
        <v>1172</v>
      </c>
      <c r="O807" s="24">
        <v>509</v>
      </c>
      <c r="P807" s="24">
        <v>248</v>
      </c>
      <c r="Q807" s="24">
        <v>4504</v>
      </c>
      <c r="R807" s="24">
        <v>342</v>
      </c>
      <c r="S807" s="24">
        <v>119</v>
      </c>
      <c r="T807" s="24">
        <v>109</v>
      </c>
      <c r="U807" s="24">
        <v>45</v>
      </c>
      <c r="V807" s="24">
        <v>18</v>
      </c>
      <c r="W807" s="24">
        <v>2677</v>
      </c>
      <c r="X807" s="24">
        <v>873</v>
      </c>
      <c r="Y807" s="24">
        <v>421</v>
      </c>
      <c r="Z807" s="24">
        <v>642</v>
      </c>
      <c r="AA807" s="24">
        <v>332</v>
      </c>
      <c r="AB807" s="24">
        <v>162</v>
      </c>
    </row>
    <row r="808" spans="1:28">
      <c r="A808" s="18" t="s">
        <v>130</v>
      </c>
      <c r="B808" s="18" t="s">
        <v>120</v>
      </c>
      <c r="C808" s="18" t="s">
        <v>86</v>
      </c>
      <c r="D808" s="24">
        <v>10583</v>
      </c>
      <c r="E808" s="24">
        <v>6607579.000000001</v>
      </c>
      <c r="F808" s="24">
        <v>10506</v>
      </c>
      <c r="G808" s="24">
        <v>1298128</v>
      </c>
      <c r="H808" s="24">
        <v>6868</v>
      </c>
      <c r="I808" s="24">
        <v>4352557</v>
      </c>
      <c r="J808" s="24">
        <v>6852</v>
      </c>
      <c r="K808" s="24">
        <v>5988</v>
      </c>
      <c r="L808" s="24">
        <v>1413</v>
      </c>
      <c r="M808" s="24">
        <v>927</v>
      </c>
      <c r="N808" s="24">
        <v>1349</v>
      </c>
      <c r="O808" s="24">
        <v>470</v>
      </c>
      <c r="P808" s="24">
        <v>359</v>
      </c>
      <c r="Q808" s="24">
        <v>5884</v>
      </c>
      <c r="R808" s="24">
        <v>520</v>
      </c>
      <c r="S808" s="24">
        <v>189</v>
      </c>
      <c r="T808" s="24">
        <v>192</v>
      </c>
      <c r="U808" s="24">
        <v>60</v>
      </c>
      <c r="V808" s="24">
        <v>23</v>
      </c>
      <c r="W808" s="24">
        <v>3406</v>
      </c>
      <c r="X808" s="24">
        <v>1250</v>
      </c>
      <c r="Y808" s="24">
        <v>710</v>
      </c>
      <c r="Z808" s="24">
        <v>933</v>
      </c>
      <c r="AA808" s="24">
        <v>440</v>
      </c>
      <c r="AB808" s="24">
        <v>113</v>
      </c>
    </row>
    <row r="809" spans="1:28">
      <c r="A809" s="18" t="s">
        <v>131</v>
      </c>
      <c r="B809" s="18" t="s">
        <v>120</v>
      </c>
      <c r="C809" s="18" t="s">
        <v>88</v>
      </c>
      <c r="D809" s="24">
        <v>10316</v>
      </c>
      <c r="E809" s="24">
        <v>4378716</v>
      </c>
      <c r="F809" s="24">
        <v>10254</v>
      </c>
      <c r="G809" s="24">
        <v>1484855</v>
      </c>
      <c r="H809" s="24">
        <v>6955</v>
      </c>
      <c r="I809" s="24">
        <v>4343893</v>
      </c>
      <c r="J809" s="24">
        <v>6953</v>
      </c>
      <c r="K809" s="24">
        <v>6222</v>
      </c>
      <c r="L809" s="24">
        <v>1624</v>
      </c>
      <c r="M809" s="24">
        <v>864</v>
      </c>
      <c r="N809" s="24">
        <v>1080</v>
      </c>
      <c r="O809" s="24">
        <v>434</v>
      </c>
      <c r="P809" s="24">
        <v>30</v>
      </c>
      <c r="Q809" s="24">
        <v>5869</v>
      </c>
      <c r="R809" s="24">
        <v>526</v>
      </c>
      <c r="S809" s="24">
        <v>204</v>
      </c>
      <c r="T809" s="24">
        <v>241</v>
      </c>
      <c r="U809" s="24">
        <v>89</v>
      </c>
      <c r="V809" s="24">
        <v>26</v>
      </c>
      <c r="W809" s="24">
        <v>3467</v>
      </c>
      <c r="X809" s="24">
        <v>1291</v>
      </c>
      <c r="Y809" s="24">
        <v>647</v>
      </c>
      <c r="Z809" s="24">
        <v>951</v>
      </c>
      <c r="AA809" s="24">
        <v>520</v>
      </c>
      <c r="AB809" s="24">
        <v>77</v>
      </c>
    </row>
    <row r="810" spans="1:28">
      <c r="A810" s="18" t="s">
        <v>132</v>
      </c>
      <c r="B810" s="18" t="s">
        <v>120</v>
      </c>
      <c r="C810" s="18" t="s">
        <v>90</v>
      </c>
      <c r="D810" s="24">
        <v>13490</v>
      </c>
      <c r="E810" s="24">
        <v>9746258</v>
      </c>
      <c r="F810" s="24">
        <v>13250</v>
      </c>
      <c r="G810" s="24">
        <v>1938794</v>
      </c>
      <c r="H810" s="24">
        <v>8559</v>
      </c>
      <c r="I810" s="24">
        <v>5686907.999999999</v>
      </c>
      <c r="J810" s="24">
        <v>8551</v>
      </c>
      <c r="K810" s="24">
        <v>7263</v>
      </c>
      <c r="L810" s="24">
        <v>1946</v>
      </c>
      <c r="M810" s="24">
        <v>1178</v>
      </c>
      <c r="N810" s="24">
        <v>1473</v>
      </c>
      <c r="O810" s="24">
        <v>861</v>
      </c>
      <c r="P810" s="24">
        <v>529</v>
      </c>
      <c r="Q810" s="24">
        <v>7137</v>
      </c>
      <c r="R810" s="24">
        <v>650</v>
      </c>
      <c r="S810" s="24">
        <v>284</v>
      </c>
      <c r="T810" s="24">
        <v>341</v>
      </c>
      <c r="U810" s="24">
        <v>109</v>
      </c>
      <c r="V810" s="24">
        <v>38</v>
      </c>
      <c r="W810" s="24">
        <v>4327</v>
      </c>
      <c r="X810" s="24">
        <v>1609</v>
      </c>
      <c r="Y810" s="24">
        <v>749</v>
      </c>
      <c r="Z810" s="24">
        <v>1007</v>
      </c>
      <c r="AA810" s="24">
        <v>669</v>
      </c>
      <c r="AB810" s="24">
        <v>190</v>
      </c>
    </row>
    <row r="811" spans="1:28">
      <c r="A811" s="18" t="s">
        <v>133</v>
      </c>
      <c r="B811" s="18" t="s">
        <v>134</v>
      </c>
      <c r="C811" s="18" t="s">
        <v>66</v>
      </c>
      <c r="D811" s="24">
        <v>141243</v>
      </c>
      <c r="E811" s="24">
        <v>73600714</v>
      </c>
      <c r="F811" s="24">
        <v>140927</v>
      </c>
      <c r="G811" s="24">
        <v>51477784.99999999</v>
      </c>
      <c r="H811" s="24">
        <v>138409</v>
      </c>
      <c r="I811" s="24">
        <v>123422298</v>
      </c>
      <c r="J811" s="24">
        <v>138303</v>
      </c>
      <c r="K811" s="24">
        <v>80852</v>
      </c>
      <c r="L811" s="24">
        <v>21497</v>
      </c>
      <c r="M811" s="24">
        <v>12241</v>
      </c>
      <c r="N811" s="24">
        <v>16644</v>
      </c>
      <c r="O811" s="24">
        <v>8127</v>
      </c>
      <c r="P811" s="24">
        <v>1566</v>
      </c>
      <c r="Q811" s="24">
        <v>87336</v>
      </c>
      <c r="R811" s="24">
        <v>29370</v>
      </c>
      <c r="S811" s="24">
        <v>9940</v>
      </c>
      <c r="T811" s="24">
        <v>8157</v>
      </c>
      <c r="U811" s="24">
        <v>2603</v>
      </c>
      <c r="V811" s="24">
        <v>1003</v>
      </c>
      <c r="W811" s="24">
        <v>37725</v>
      </c>
      <c r="X811" s="24">
        <v>33955</v>
      </c>
      <c r="Y811" s="24">
        <v>21110</v>
      </c>
      <c r="Z811" s="24">
        <v>28129</v>
      </c>
      <c r="AA811" s="24">
        <v>13895</v>
      </c>
      <c r="AB811" s="24">
        <v>3489</v>
      </c>
    </row>
    <row r="812" spans="1:28">
      <c r="A812" s="18" t="s">
        <v>135</v>
      </c>
      <c r="B812" s="18" t="s">
        <v>134</v>
      </c>
      <c r="C812" s="18" t="s">
        <v>68</v>
      </c>
      <c r="D812" s="24">
        <v>12773</v>
      </c>
      <c r="E812" s="24">
        <v>12589106</v>
      </c>
      <c r="F812" s="24">
        <v>12768</v>
      </c>
      <c r="G812" s="24">
        <v>5258926</v>
      </c>
      <c r="H812" s="24">
        <v>12611</v>
      </c>
      <c r="I812" s="24">
        <v>17741751</v>
      </c>
      <c r="J812" s="24">
        <v>12606</v>
      </c>
      <c r="K812" s="24">
        <v>5376</v>
      </c>
      <c r="L812" s="24">
        <v>1610</v>
      </c>
      <c r="M812" s="24">
        <v>971</v>
      </c>
      <c r="N812" s="24">
        <v>2049</v>
      </c>
      <c r="O812" s="24">
        <v>2198</v>
      </c>
      <c r="P812" s="24">
        <v>564</v>
      </c>
      <c r="Q812" s="24">
        <v>7709</v>
      </c>
      <c r="R812" s="24">
        <v>2733</v>
      </c>
      <c r="S812" s="24">
        <v>955</v>
      </c>
      <c r="T812" s="24">
        <v>790</v>
      </c>
      <c r="U812" s="24">
        <v>277</v>
      </c>
      <c r="V812" s="24">
        <v>147</v>
      </c>
      <c r="W812" s="24">
        <v>2262</v>
      </c>
      <c r="X812" s="24">
        <v>2393</v>
      </c>
      <c r="Y812" s="24">
        <v>1567</v>
      </c>
      <c r="Z812" s="24">
        <v>2562</v>
      </c>
      <c r="AA812" s="24">
        <v>2872</v>
      </c>
      <c r="AB812" s="24">
        <v>950</v>
      </c>
    </row>
    <row r="813" spans="1:28">
      <c r="A813" s="18" t="s">
        <v>136</v>
      </c>
      <c r="B813" s="18" t="s">
        <v>134</v>
      </c>
      <c r="C813" s="18" t="s">
        <v>70</v>
      </c>
      <c r="D813" s="24">
        <v>12078</v>
      </c>
      <c r="E813" s="24">
        <v>9063641.999999998</v>
      </c>
      <c r="F813" s="24">
        <v>12073</v>
      </c>
      <c r="G813" s="24">
        <v>4792977</v>
      </c>
      <c r="H813" s="24">
        <v>11927</v>
      </c>
      <c r="I813" s="24">
        <v>13759109</v>
      </c>
      <c r="J813" s="24">
        <v>11922</v>
      </c>
      <c r="K813" s="24">
        <v>5463</v>
      </c>
      <c r="L813" s="24">
        <v>1777</v>
      </c>
      <c r="M813" s="24">
        <v>1161</v>
      </c>
      <c r="N813" s="24">
        <v>2221</v>
      </c>
      <c r="O813" s="24">
        <v>1214</v>
      </c>
      <c r="P813" s="24">
        <v>237</v>
      </c>
      <c r="Q813" s="24">
        <v>7256</v>
      </c>
      <c r="R813" s="24">
        <v>2699</v>
      </c>
      <c r="S813" s="24">
        <v>889</v>
      </c>
      <c r="T813" s="24">
        <v>729</v>
      </c>
      <c r="U813" s="24">
        <v>256</v>
      </c>
      <c r="V813" s="24">
        <v>98</v>
      </c>
      <c r="W813" s="24">
        <v>2139</v>
      </c>
      <c r="X813" s="24">
        <v>2565</v>
      </c>
      <c r="Y813" s="24">
        <v>1772</v>
      </c>
      <c r="Z813" s="24">
        <v>3090</v>
      </c>
      <c r="AA813" s="24">
        <v>1839</v>
      </c>
      <c r="AB813" s="24">
        <v>517</v>
      </c>
    </row>
    <row r="814" spans="1:28">
      <c r="A814" s="18" t="s">
        <v>137</v>
      </c>
      <c r="B814" s="18" t="s">
        <v>134</v>
      </c>
      <c r="C814" s="18" t="s">
        <v>72</v>
      </c>
      <c r="D814" s="24">
        <v>11676</v>
      </c>
      <c r="E814" s="24">
        <v>5698526</v>
      </c>
      <c r="F814" s="24">
        <v>11675</v>
      </c>
      <c r="G814" s="24">
        <v>4845104</v>
      </c>
      <c r="H814" s="24">
        <v>11536</v>
      </c>
      <c r="I814" s="24">
        <v>10502033</v>
      </c>
      <c r="J814" s="24">
        <v>11535</v>
      </c>
      <c r="K814" s="24">
        <v>6394</v>
      </c>
      <c r="L814" s="24">
        <v>1852</v>
      </c>
      <c r="M814" s="24">
        <v>1142</v>
      </c>
      <c r="N814" s="24">
        <v>1747</v>
      </c>
      <c r="O814" s="24">
        <v>510</v>
      </c>
      <c r="P814" s="24">
        <v>30</v>
      </c>
      <c r="Q814" s="24">
        <v>6668</v>
      </c>
      <c r="R814" s="24">
        <v>2755</v>
      </c>
      <c r="S814" s="24">
        <v>937</v>
      </c>
      <c r="T814" s="24">
        <v>813</v>
      </c>
      <c r="U814" s="24">
        <v>271</v>
      </c>
      <c r="V814" s="24">
        <v>92</v>
      </c>
      <c r="W814" s="24">
        <v>2584</v>
      </c>
      <c r="X814" s="24">
        <v>2796</v>
      </c>
      <c r="Y814" s="24">
        <v>1815</v>
      </c>
      <c r="Z814" s="24">
        <v>2999</v>
      </c>
      <c r="AA814" s="24">
        <v>1151</v>
      </c>
      <c r="AB814" s="24">
        <v>190</v>
      </c>
    </row>
    <row r="815" spans="1:28">
      <c r="A815" s="18" t="s">
        <v>138</v>
      </c>
      <c r="B815" s="18" t="s">
        <v>134</v>
      </c>
      <c r="C815" s="18" t="s">
        <v>74</v>
      </c>
      <c r="D815" s="24">
        <v>12144</v>
      </c>
      <c r="E815" s="24">
        <v>5793370</v>
      </c>
      <c r="F815" s="24">
        <v>12141</v>
      </c>
      <c r="G815" s="24">
        <v>5253320.999999999</v>
      </c>
      <c r="H815" s="24">
        <v>11990</v>
      </c>
      <c r="I815" s="24">
        <v>10984598</v>
      </c>
      <c r="J815" s="24">
        <v>11987</v>
      </c>
      <c r="K815" s="24">
        <v>6873</v>
      </c>
      <c r="L815" s="24">
        <v>1727</v>
      </c>
      <c r="M815" s="24">
        <v>1181</v>
      </c>
      <c r="N815" s="24">
        <v>1827</v>
      </c>
      <c r="O815" s="24">
        <v>485</v>
      </c>
      <c r="P815" s="24">
        <v>48</v>
      </c>
      <c r="Q815" s="24">
        <v>6850</v>
      </c>
      <c r="R815" s="24">
        <v>2911</v>
      </c>
      <c r="S815" s="24">
        <v>966</v>
      </c>
      <c r="T815" s="24">
        <v>863</v>
      </c>
      <c r="U815" s="24">
        <v>287</v>
      </c>
      <c r="V815" s="24">
        <v>113</v>
      </c>
      <c r="W815" s="24">
        <v>2769</v>
      </c>
      <c r="X815" s="24">
        <v>2916</v>
      </c>
      <c r="Y815" s="24">
        <v>1854</v>
      </c>
      <c r="Z815" s="24">
        <v>3072</v>
      </c>
      <c r="AA815" s="24">
        <v>1145</v>
      </c>
      <c r="AB815" s="24">
        <v>231</v>
      </c>
    </row>
    <row r="816" spans="1:28">
      <c r="A816" s="18" t="s">
        <v>139</v>
      </c>
      <c r="B816" s="18" t="s">
        <v>134</v>
      </c>
      <c r="C816" s="18" t="s">
        <v>76</v>
      </c>
      <c r="D816" s="24">
        <v>10838</v>
      </c>
      <c r="E816" s="24">
        <v>5920759</v>
      </c>
      <c r="F816" s="24">
        <v>10838</v>
      </c>
      <c r="G816" s="24">
        <v>4595846</v>
      </c>
      <c r="H816" s="24">
        <v>10687</v>
      </c>
      <c r="I816" s="24">
        <v>10476979</v>
      </c>
      <c r="J816" s="24">
        <v>10687</v>
      </c>
      <c r="K816" s="24">
        <v>5984</v>
      </c>
      <c r="L816" s="24">
        <v>1682</v>
      </c>
      <c r="M816" s="24">
        <v>1093</v>
      </c>
      <c r="N816" s="24">
        <v>1230</v>
      </c>
      <c r="O816" s="24">
        <v>712</v>
      </c>
      <c r="P816" s="24">
        <v>137</v>
      </c>
      <c r="Q816" s="24">
        <v>6106</v>
      </c>
      <c r="R816" s="24">
        <v>2615</v>
      </c>
      <c r="S816" s="24">
        <v>901</v>
      </c>
      <c r="T816" s="24">
        <v>714</v>
      </c>
      <c r="U816" s="24">
        <v>249</v>
      </c>
      <c r="V816" s="24">
        <v>102</v>
      </c>
      <c r="W816" s="24">
        <v>2299</v>
      </c>
      <c r="X816" s="24">
        <v>2616</v>
      </c>
      <c r="Y816" s="24">
        <v>1898</v>
      </c>
      <c r="Z816" s="24">
        <v>2363</v>
      </c>
      <c r="AA816" s="24">
        <v>1167</v>
      </c>
      <c r="AB816" s="24">
        <v>344</v>
      </c>
    </row>
    <row r="817" spans="1:28">
      <c r="A817" s="18" t="s">
        <v>140</v>
      </c>
      <c r="B817" s="18" t="s">
        <v>134</v>
      </c>
      <c r="C817" s="18" t="s">
        <v>78</v>
      </c>
      <c r="D817" s="24">
        <v>10824</v>
      </c>
      <c r="E817" s="24">
        <v>4118997.000000001</v>
      </c>
      <c r="F817" s="24">
        <v>10820</v>
      </c>
      <c r="G817" s="24">
        <v>4711471</v>
      </c>
      <c r="H817" s="24">
        <v>10676</v>
      </c>
      <c r="I817" s="24">
        <v>8784050</v>
      </c>
      <c r="J817" s="24">
        <v>10672</v>
      </c>
      <c r="K817" s="24">
        <v>7073</v>
      </c>
      <c r="L817" s="24">
        <v>1577</v>
      </c>
      <c r="M817" s="24">
        <v>854</v>
      </c>
      <c r="N817" s="24">
        <v>829</v>
      </c>
      <c r="O817" s="24">
        <v>465</v>
      </c>
      <c r="P817" s="24">
        <v>22</v>
      </c>
      <c r="Q817" s="24">
        <v>5926</v>
      </c>
      <c r="R817" s="24">
        <v>2635</v>
      </c>
      <c r="S817" s="24">
        <v>946</v>
      </c>
      <c r="T817" s="24">
        <v>808</v>
      </c>
      <c r="U817" s="24">
        <v>268</v>
      </c>
      <c r="V817" s="24">
        <v>93</v>
      </c>
      <c r="W817" s="24">
        <v>2845</v>
      </c>
      <c r="X817" s="24">
        <v>2903</v>
      </c>
      <c r="Y817" s="24">
        <v>1762</v>
      </c>
      <c r="Z817" s="24">
        <v>2058</v>
      </c>
      <c r="AA817" s="24">
        <v>911</v>
      </c>
      <c r="AB817" s="24">
        <v>193</v>
      </c>
    </row>
    <row r="818" spans="1:28">
      <c r="A818" s="18" t="s">
        <v>141</v>
      </c>
      <c r="B818" s="18" t="s">
        <v>134</v>
      </c>
      <c r="C818" s="18" t="s">
        <v>80</v>
      </c>
      <c r="D818" s="24">
        <v>12233</v>
      </c>
      <c r="E818" s="24">
        <v>4490713.999999999</v>
      </c>
      <c r="F818" s="24">
        <v>12233</v>
      </c>
      <c r="G818" s="24">
        <v>5213768</v>
      </c>
      <c r="H818" s="24">
        <v>12045</v>
      </c>
      <c r="I818" s="24">
        <v>9650671</v>
      </c>
      <c r="J818" s="24">
        <v>12045</v>
      </c>
      <c r="K818" s="24">
        <v>7783</v>
      </c>
      <c r="L818" s="24">
        <v>1988</v>
      </c>
      <c r="M818" s="24">
        <v>989</v>
      </c>
      <c r="N818" s="24">
        <v>1131</v>
      </c>
      <c r="O818" s="24">
        <v>330</v>
      </c>
      <c r="P818" s="24">
        <v>12</v>
      </c>
      <c r="Q818" s="24">
        <v>6739</v>
      </c>
      <c r="R818" s="24">
        <v>3034</v>
      </c>
      <c r="S818" s="24">
        <v>1055</v>
      </c>
      <c r="T818" s="24">
        <v>850</v>
      </c>
      <c r="U818" s="24">
        <v>253</v>
      </c>
      <c r="V818" s="24">
        <v>114</v>
      </c>
      <c r="W818" s="24">
        <v>2967</v>
      </c>
      <c r="X818" s="24">
        <v>3472</v>
      </c>
      <c r="Y818" s="24">
        <v>2170</v>
      </c>
      <c r="Z818" s="24">
        <v>2365</v>
      </c>
      <c r="AA818" s="24">
        <v>897</v>
      </c>
      <c r="AB818" s="24">
        <v>174</v>
      </c>
    </row>
    <row r="819" spans="1:28">
      <c r="A819" s="18" t="s">
        <v>142</v>
      </c>
      <c r="B819" s="18" t="s">
        <v>134</v>
      </c>
      <c r="C819" s="18" t="s">
        <v>82</v>
      </c>
      <c r="D819" s="24">
        <v>11052</v>
      </c>
      <c r="E819" s="24">
        <v>5209200</v>
      </c>
      <c r="F819" s="24">
        <v>11052</v>
      </c>
      <c r="G819" s="24">
        <v>4270032</v>
      </c>
      <c r="H819" s="24">
        <v>10908</v>
      </c>
      <c r="I819" s="24">
        <v>9429909</v>
      </c>
      <c r="J819" s="24">
        <v>10908</v>
      </c>
      <c r="K819" s="24">
        <v>6014</v>
      </c>
      <c r="L819" s="24">
        <v>1911</v>
      </c>
      <c r="M819" s="24">
        <v>1048</v>
      </c>
      <c r="N819" s="24">
        <v>1651</v>
      </c>
      <c r="O819" s="24">
        <v>418</v>
      </c>
      <c r="P819" s="24">
        <v>10</v>
      </c>
      <c r="Q819" s="24">
        <v>6573</v>
      </c>
      <c r="R819" s="24">
        <v>2574</v>
      </c>
      <c r="S819" s="24">
        <v>819</v>
      </c>
      <c r="T819" s="24">
        <v>655</v>
      </c>
      <c r="U819" s="24">
        <v>197</v>
      </c>
      <c r="V819" s="24">
        <v>90</v>
      </c>
      <c r="W819" s="24">
        <v>2424</v>
      </c>
      <c r="X819" s="24">
        <v>2814</v>
      </c>
      <c r="Y819" s="24">
        <v>1884</v>
      </c>
      <c r="Z819" s="24">
        <v>2691</v>
      </c>
      <c r="AA819" s="24">
        <v>954</v>
      </c>
      <c r="AB819" s="24">
        <v>141</v>
      </c>
    </row>
    <row r="820" spans="1:28">
      <c r="A820" s="18" t="s">
        <v>143</v>
      </c>
      <c r="B820" s="18" t="s">
        <v>134</v>
      </c>
      <c r="C820" s="18" t="s">
        <v>84</v>
      </c>
      <c r="D820" s="24">
        <v>11624</v>
      </c>
      <c r="E820" s="24">
        <v>4481574.999999999</v>
      </c>
      <c r="F820" s="24">
        <v>11621</v>
      </c>
      <c r="G820" s="24">
        <v>4871561</v>
      </c>
      <c r="H820" s="24">
        <v>11472</v>
      </c>
      <c r="I820" s="24">
        <v>9304113</v>
      </c>
      <c r="J820" s="24">
        <v>11469</v>
      </c>
      <c r="K820" s="24">
        <v>7622</v>
      </c>
      <c r="L820" s="24">
        <v>1639</v>
      </c>
      <c r="M820" s="24">
        <v>950</v>
      </c>
      <c r="N820" s="24">
        <v>941</v>
      </c>
      <c r="O820" s="24">
        <v>366</v>
      </c>
      <c r="P820" s="24">
        <v>103</v>
      </c>
      <c r="Q820" s="24">
        <v>6685</v>
      </c>
      <c r="R820" s="24">
        <v>2747</v>
      </c>
      <c r="S820" s="24">
        <v>928</v>
      </c>
      <c r="T820" s="24">
        <v>737</v>
      </c>
      <c r="U820" s="24">
        <v>274</v>
      </c>
      <c r="V820" s="24">
        <v>101</v>
      </c>
      <c r="W820" s="24">
        <v>3163</v>
      </c>
      <c r="X820" s="24">
        <v>3131</v>
      </c>
      <c r="Y820" s="24">
        <v>1924</v>
      </c>
      <c r="Z820" s="24">
        <v>2160</v>
      </c>
      <c r="AA820" s="24">
        <v>840</v>
      </c>
      <c r="AB820" s="24">
        <v>251</v>
      </c>
    </row>
    <row r="821" spans="1:28">
      <c r="A821" s="18" t="s">
        <v>144</v>
      </c>
      <c r="B821" s="18" t="s">
        <v>134</v>
      </c>
      <c r="C821" s="18" t="s">
        <v>86</v>
      </c>
      <c r="D821" s="24">
        <v>6985</v>
      </c>
      <c r="E821" s="24">
        <v>2244297</v>
      </c>
      <c r="F821" s="24">
        <v>6774</v>
      </c>
      <c r="G821" s="24">
        <v>1258504</v>
      </c>
      <c r="H821" s="24">
        <v>6602</v>
      </c>
      <c r="I821" s="24">
        <v>3372248</v>
      </c>
      <c r="J821" s="24">
        <v>6582</v>
      </c>
      <c r="K821" s="24">
        <v>4804</v>
      </c>
      <c r="L821" s="24">
        <v>1041</v>
      </c>
      <c r="M821" s="24">
        <v>429</v>
      </c>
      <c r="N821" s="24">
        <v>334</v>
      </c>
      <c r="O821" s="24">
        <v>98</v>
      </c>
      <c r="P821" s="24">
        <v>68</v>
      </c>
      <c r="Q821" s="24">
        <v>5297</v>
      </c>
      <c r="R821" s="24">
        <v>817</v>
      </c>
      <c r="S821" s="24">
        <v>264</v>
      </c>
      <c r="T821" s="24">
        <v>174</v>
      </c>
      <c r="U821" s="24">
        <v>43</v>
      </c>
      <c r="V821" s="24">
        <v>7</v>
      </c>
      <c r="W821" s="24">
        <v>3328</v>
      </c>
      <c r="X821" s="24">
        <v>1522</v>
      </c>
      <c r="Y821" s="24">
        <v>791</v>
      </c>
      <c r="Z821" s="24">
        <v>682</v>
      </c>
      <c r="AA821" s="24">
        <v>185</v>
      </c>
      <c r="AB821" s="24">
        <v>74</v>
      </c>
    </row>
    <row r="822" spans="1:28">
      <c r="A822" s="18" t="s">
        <v>145</v>
      </c>
      <c r="B822" s="18" t="s">
        <v>134</v>
      </c>
      <c r="C822" s="18" t="s">
        <v>88</v>
      </c>
      <c r="D822" s="24">
        <v>12697</v>
      </c>
      <c r="E822" s="24">
        <v>4340367</v>
      </c>
      <c r="F822" s="24">
        <v>12694</v>
      </c>
      <c r="G822" s="24">
        <v>2699473</v>
      </c>
      <c r="H822" s="24">
        <v>12339</v>
      </c>
      <c r="I822" s="24">
        <v>6850084</v>
      </c>
      <c r="J822" s="24">
        <v>12338</v>
      </c>
      <c r="K822" s="24">
        <v>8411</v>
      </c>
      <c r="L822" s="24">
        <v>1946</v>
      </c>
      <c r="M822" s="24">
        <v>981</v>
      </c>
      <c r="N822" s="24">
        <v>1001</v>
      </c>
      <c r="O822" s="24">
        <v>345</v>
      </c>
      <c r="P822" s="24">
        <v>10</v>
      </c>
      <c r="Q822" s="24">
        <v>9530</v>
      </c>
      <c r="R822" s="24">
        <v>1755</v>
      </c>
      <c r="S822" s="24">
        <v>551</v>
      </c>
      <c r="T822" s="24">
        <v>401</v>
      </c>
      <c r="U822" s="24">
        <v>86</v>
      </c>
      <c r="V822" s="24">
        <v>16</v>
      </c>
      <c r="W822" s="24">
        <v>5338</v>
      </c>
      <c r="X822" s="24">
        <v>3139</v>
      </c>
      <c r="Y822" s="24">
        <v>1604</v>
      </c>
      <c r="Z822" s="24">
        <v>1624</v>
      </c>
      <c r="AA822" s="24">
        <v>595</v>
      </c>
      <c r="AB822" s="24">
        <v>38</v>
      </c>
    </row>
    <row r="823" spans="1:28">
      <c r="A823" s="18" t="s">
        <v>146</v>
      </c>
      <c r="B823" s="18" t="s">
        <v>134</v>
      </c>
      <c r="C823" s="18" t="s">
        <v>90</v>
      </c>
      <c r="D823" s="24">
        <v>16319</v>
      </c>
      <c r="E823" s="24">
        <v>9650161</v>
      </c>
      <c r="F823" s="24">
        <v>16238</v>
      </c>
      <c r="G823" s="24">
        <v>3706802</v>
      </c>
      <c r="H823" s="24">
        <v>15616</v>
      </c>
      <c r="I823" s="24">
        <v>12566753</v>
      </c>
      <c r="J823" s="24">
        <v>15552</v>
      </c>
      <c r="K823" s="24">
        <v>9055</v>
      </c>
      <c r="L823" s="24">
        <v>2747</v>
      </c>
      <c r="M823" s="24">
        <v>1442</v>
      </c>
      <c r="N823" s="24">
        <v>1683</v>
      </c>
      <c r="O823" s="24">
        <v>986</v>
      </c>
      <c r="P823" s="24">
        <v>325</v>
      </c>
      <c r="Q823" s="24">
        <v>11997</v>
      </c>
      <c r="R823" s="24">
        <v>2095</v>
      </c>
      <c r="S823" s="24">
        <v>729</v>
      </c>
      <c r="T823" s="24">
        <v>623</v>
      </c>
      <c r="U823" s="24">
        <v>142</v>
      </c>
      <c r="V823" s="24">
        <v>30</v>
      </c>
      <c r="W823" s="24">
        <v>5607</v>
      </c>
      <c r="X823" s="24">
        <v>3688</v>
      </c>
      <c r="Y823" s="24">
        <v>2069</v>
      </c>
      <c r="Z823" s="24">
        <v>2463</v>
      </c>
      <c r="AA823" s="24">
        <v>1339</v>
      </c>
      <c r="AB823" s="24">
        <v>386</v>
      </c>
    </row>
    <row r="824" spans="1:28">
      <c r="A824" s="18" t="s">
        <v>147</v>
      </c>
      <c r="B824" s="18" t="s">
        <v>148</v>
      </c>
      <c r="C824" s="18" t="s">
        <v>66</v>
      </c>
      <c r="D824" s="24">
        <v>88181</v>
      </c>
      <c r="E824" s="24">
        <v>73300731</v>
      </c>
      <c r="F824" s="24">
        <v>87444</v>
      </c>
      <c r="G824" s="24">
        <v>36969925</v>
      </c>
      <c r="H824" s="24">
        <v>85073</v>
      </c>
      <c r="I824" s="24">
        <v>107058080</v>
      </c>
      <c r="J824" s="24">
        <v>84881</v>
      </c>
      <c r="K824" s="24">
        <v>40689</v>
      </c>
      <c r="L824" s="24">
        <v>11960</v>
      </c>
      <c r="M824" s="24">
        <v>8347</v>
      </c>
      <c r="N824" s="24">
        <v>14370</v>
      </c>
      <c r="O824" s="24">
        <v>8726</v>
      </c>
      <c r="P824" s="24">
        <v>3352</v>
      </c>
      <c r="Q824" s="24">
        <v>51103</v>
      </c>
      <c r="R824" s="24">
        <v>15707</v>
      </c>
      <c r="S824" s="24">
        <v>7459</v>
      </c>
      <c r="T824" s="24">
        <v>7412</v>
      </c>
      <c r="U824" s="24">
        <v>2635</v>
      </c>
      <c r="V824" s="24">
        <v>757</v>
      </c>
      <c r="W824" s="24">
        <v>17791</v>
      </c>
      <c r="X824" s="24">
        <v>15280</v>
      </c>
      <c r="Y824" s="24">
        <v>11700</v>
      </c>
      <c r="Z824" s="24">
        <v>21078</v>
      </c>
      <c r="AA824" s="24">
        <v>14035</v>
      </c>
      <c r="AB824" s="24">
        <v>4997</v>
      </c>
    </row>
    <row r="825" spans="1:28">
      <c r="A825" s="18" t="s">
        <v>149</v>
      </c>
      <c r="B825" s="18" t="s">
        <v>148</v>
      </c>
      <c r="C825" s="18" t="s">
        <v>68</v>
      </c>
      <c r="D825" s="24">
        <v>7172</v>
      </c>
      <c r="E825" s="24">
        <v>9177747</v>
      </c>
      <c r="F825" s="24">
        <v>7148</v>
      </c>
      <c r="G825" s="24">
        <v>3652229</v>
      </c>
      <c r="H825" s="24">
        <v>7032</v>
      </c>
      <c r="I825" s="24">
        <v>12655368</v>
      </c>
      <c r="J825" s="24">
        <v>7009</v>
      </c>
      <c r="K825" s="24">
        <v>2443</v>
      </c>
      <c r="L825" s="24">
        <v>824</v>
      </c>
      <c r="M825" s="24">
        <v>619</v>
      </c>
      <c r="N825" s="24">
        <v>1375</v>
      </c>
      <c r="O825" s="24">
        <v>1360</v>
      </c>
      <c r="P825" s="24">
        <v>527</v>
      </c>
      <c r="Q825" s="24">
        <v>3648</v>
      </c>
      <c r="R825" s="24">
        <v>1508</v>
      </c>
      <c r="S825" s="24">
        <v>789</v>
      </c>
      <c r="T825" s="24">
        <v>751</v>
      </c>
      <c r="U825" s="24">
        <v>265</v>
      </c>
      <c r="V825" s="24">
        <v>71</v>
      </c>
      <c r="W825" s="24">
        <v>702</v>
      </c>
      <c r="X825" s="24">
        <v>994</v>
      </c>
      <c r="Y825" s="24">
        <v>885</v>
      </c>
      <c r="Z825" s="24">
        <v>1766</v>
      </c>
      <c r="AA825" s="24">
        <v>1877</v>
      </c>
      <c r="AB825" s="24">
        <v>785</v>
      </c>
    </row>
    <row r="826" spans="1:28">
      <c r="A826" s="18" t="s">
        <v>150</v>
      </c>
      <c r="B826" s="18" t="s">
        <v>148</v>
      </c>
      <c r="C826" s="18" t="s">
        <v>70</v>
      </c>
      <c r="D826" s="24">
        <v>6594</v>
      </c>
      <c r="E826" s="24">
        <v>6633503</v>
      </c>
      <c r="F826" s="24">
        <v>6581</v>
      </c>
      <c r="G826" s="24">
        <v>3533722</v>
      </c>
      <c r="H826" s="24">
        <v>6447</v>
      </c>
      <c r="I826" s="24">
        <v>10001181</v>
      </c>
      <c r="J826" s="24">
        <v>6434</v>
      </c>
      <c r="K826" s="24">
        <v>2715</v>
      </c>
      <c r="L826" s="24">
        <v>752</v>
      </c>
      <c r="M826" s="24">
        <v>560</v>
      </c>
      <c r="N826" s="24">
        <v>1315</v>
      </c>
      <c r="O826" s="24">
        <v>910</v>
      </c>
      <c r="P826" s="24">
        <v>329</v>
      </c>
      <c r="Q826" s="24">
        <v>3172</v>
      </c>
      <c r="R826" s="24">
        <v>1453</v>
      </c>
      <c r="S826" s="24">
        <v>740</v>
      </c>
      <c r="T826" s="24">
        <v>747</v>
      </c>
      <c r="U826" s="24">
        <v>267</v>
      </c>
      <c r="V826" s="24">
        <v>68</v>
      </c>
      <c r="W826" s="24">
        <v>782</v>
      </c>
      <c r="X826" s="24">
        <v>990</v>
      </c>
      <c r="Y826" s="24">
        <v>801</v>
      </c>
      <c r="Z826" s="24">
        <v>1874</v>
      </c>
      <c r="AA826" s="24">
        <v>1473</v>
      </c>
      <c r="AB826" s="24">
        <v>514</v>
      </c>
    </row>
    <row r="827" spans="1:28">
      <c r="A827" s="18" t="s">
        <v>151</v>
      </c>
      <c r="B827" s="18" t="s">
        <v>148</v>
      </c>
      <c r="C827" s="18" t="s">
        <v>72</v>
      </c>
      <c r="D827" s="24">
        <v>6721</v>
      </c>
      <c r="E827" s="24">
        <v>5559038</v>
      </c>
      <c r="F827" s="24">
        <v>6708</v>
      </c>
      <c r="G827" s="24">
        <v>3688455</v>
      </c>
      <c r="H827" s="24">
        <v>6574</v>
      </c>
      <c r="I827" s="24">
        <v>9097063</v>
      </c>
      <c r="J827" s="24">
        <v>6561</v>
      </c>
      <c r="K827" s="24">
        <v>3028</v>
      </c>
      <c r="L827" s="24">
        <v>947</v>
      </c>
      <c r="M827" s="24">
        <v>687</v>
      </c>
      <c r="N827" s="24">
        <v>1192</v>
      </c>
      <c r="O827" s="24">
        <v>598</v>
      </c>
      <c r="P827" s="24">
        <v>256</v>
      </c>
      <c r="Q827" s="24">
        <v>3180</v>
      </c>
      <c r="R827" s="24">
        <v>1544</v>
      </c>
      <c r="S827" s="24">
        <v>760</v>
      </c>
      <c r="T827" s="24">
        <v>737</v>
      </c>
      <c r="U827" s="24">
        <v>253</v>
      </c>
      <c r="V827" s="24">
        <v>100</v>
      </c>
      <c r="W827" s="24">
        <v>853</v>
      </c>
      <c r="X827" s="24">
        <v>1263</v>
      </c>
      <c r="Y827" s="24">
        <v>1015</v>
      </c>
      <c r="Z827" s="24">
        <v>1857</v>
      </c>
      <c r="AA827" s="24">
        <v>1124</v>
      </c>
      <c r="AB827" s="24">
        <v>449</v>
      </c>
    </row>
    <row r="828" spans="1:28">
      <c r="A828" s="18" t="s">
        <v>152</v>
      </c>
      <c r="B828" s="18" t="s">
        <v>148</v>
      </c>
      <c r="C828" s="18" t="s">
        <v>74</v>
      </c>
      <c r="D828" s="24">
        <v>7183</v>
      </c>
      <c r="E828" s="24">
        <v>6265536</v>
      </c>
      <c r="F828" s="24">
        <v>7159</v>
      </c>
      <c r="G828" s="24">
        <v>3918299</v>
      </c>
      <c r="H828" s="24">
        <v>7020</v>
      </c>
      <c r="I828" s="24">
        <v>10042883</v>
      </c>
      <c r="J828" s="24">
        <v>6997</v>
      </c>
      <c r="K828" s="24">
        <v>3255</v>
      </c>
      <c r="L828" s="24">
        <v>820</v>
      </c>
      <c r="M828" s="24">
        <v>629</v>
      </c>
      <c r="N828" s="24">
        <v>1365</v>
      </c>
      <c r="O828" s="24">
        <v>831</v>
      </c>
      <c r="P828" s="24">
        <v>259</v>
      </c>
      <c r="Q828" s="24">
        <v>3358</v>
      </c>
      <c r="R828" s="24">
        <v>1708</v>
      </c>
      <c r="S828" s="24">
        <v>764</v>
      </c>
      <c r="T828" s="24">
        <v>804</v>
      </c>
      <c r="U828" s="24">
        <v>297</v>
      </c>
      <c r="V828" s="24">
        <v>89</v>
      </c>
      <c r="W828" s="24">
        <v>944</v>
      </c>
      <c r="X828" s="24">
        <v>1227</v>
      </c>
      <c r="Y828" s="24">
        <v>953</v>
      </c>
      <c r="Z828" s="24">
        <v>1952</v>
      </c>
      <c r="AA828" s="24">
        <v>1454</v>
      </c>
      <c r="AB828" s="24">
        <v>467</v>
      </c>
    </row>
    <row r="829" spans="1:28">
      <c r="A829" s="18" t="s">
        <v>153</v>
      </c>
      <c r="B829" s="18" t="s">
        <v>148</v>
      </c>
      <c r="C829" s="18" t="s">
        <v>76</v>
      </c>
      <c r="D829" s="24">
        <v>6432</v>
      </c>
      <c r="E829" s="24">
        <v>6351076</v>
      </c>
      <c r="F829" s="24">
        <v>6416</v>
      </c>
      <c r="G829" s="24">
        <v>3332032</v>
      </c>
      <c r="H829" s="24">
        <v>6298</v>
      </c>
      <c r="I829" s="24">
        <v>9555948</v>
      </c>
      <c r="J829" s="24">
        <v>6282</v>
      </c>
      <c r="K829" s="24">
        <v>2627</v>
      </c>
      <c r="L829" s="24">
        <v>830</v>
      </c>
      <c r="M829" s="24">
        <v>655</v>
      </c>
      <c r="N829" s="24">
        <v>1186</v>
      </c>
      <c r="O829" s="24">
        <v>806</v>
      </c>
      <c r="P829" s="24">
        <v>312</v>
      </c>
      <c r="Q829" s="24">
        <v>3196</v>
      </c>
      <c r="R829" s="24">
        <v>1429</v>
      </c>
      <c r="S829" s="24">
        <v>672</v>
      </c>
      <c r="T829" s="24">
        <v>680</v>
      </c>
      <c r="U829" s="24">
        <v>247</v>
      </c>
      <c r="V829" s="24">
        <v>74</v>
      </c>
      <c r="W829" s="24">
        <v>759</v>
      </c>
      <c r="X829" s="24">
        <v>1038</v>
      </c>
      <c r="Y829" s="24">
        <v>872</v>
      </c>
      <c r="Z829" s="24">
        <v>1798</v>
      </c>
      <c r="AA829" s="24">
        <v>1317</v>
      </c>
      <c r="AB829" s="24">
        <v>498</v>
      </c>
    </row>
    <row r="830" spans="1:28">
      <c r="A830" s="18" t="s">
        <v>154</v>
      </c>
      <c r="B830" s="18" t="s">
        <v>148</v>
      </c>
      <c r="C830" s="18" t="s">
        <v>78</v>
      </c>
      <c r="D830" s="24">
        <v>6442</v>
      </c>
      <c r="E830" s="24">
        <v>5210097</v>
      </c>
      <c r="F830" s="24">
        <v>6428</v>
      </c>
      <c r="G830" s="24">
        <v>3656179</v>
      </c>
      <c r="H830" s="24">
        <v>6300</v>
      </c>
      <c r="I830" s="24">
        <v>8753056</v>
      </c>
      <c r="J830" s="24">
        <v>6286</v>
      </c>
      <c r="K830" s="24">
        <v>3237</v>
      </c>
      <c r="L830" s="24">
        <v>731</v>
      </c>
      <c r="M830" s="24">
        <v>561</v>
      </c>
      <c r="N830" s="24">
        <v>1050</v>
      </c>
      <c r="O830" s="24">
        <v>567</v>
      </c>
      <c r="P830" s="24">
        <v>282</v>
      </c>
      <c r="Q830" s="24">
        <v>2954</v>
      </c>
      <c r="R830" s="24">
        <v>1519</v>
      </c>
      <c r="S830" s="24">
        <v>697</v>
      </c>
      <c r="T830" s="24">
        <v>763</v>
      </c>
      <c r="U830" s="24">
        <v>274</v>
      </c>
      <c r="V830" s="24">
        <v>93</v>
      </c>
      <c r="W830" s="24">
        <v>946</v>
      </c>
      <c r="X830" s="24">
        <v>1169</v>
      </c>
      <c r="Y830" s="24">
        <v>868</v>
      </c>
      <c r="Z830" s="24">
        <v>1719</v>
      </c>
      <c r="AA830" s="24">
        <v>1124</v>
      </c>
      <c r="AB830" s="24">
        <v>460</v>
      </c>
    </row>
    <row r="831" spans="1:28">
      <c r="A831" s="18" t="s">
        <v>155</v>
      </c>
      <c r="B831" s="18" t="s">
        <v>148</v>
      </c>
      <c r="C831" s="18" t="s">
        <v>80</v>
      </c>
      <c r="D831" s="24">
        <v>6945</v>
      </c>
      <c r="E831" s="24">
        <v>5114217.000000001</v>
      </c>
      <c r="F831" s="24">
        <v>6933</v>
      </c>
      <c r="G831" s="24">
        <v>3933817</v>
      </c>
      <c r="H831" s="24">
        <v>6788</v>
      </c>
      <c r="I831" s="24">
        <v>8945147.000000002</v>
      </c>
      <c r="J831" s="24">
        <v>6777</v>
      </c>
      <c r="K831" s="24">
        <v>3405</v>
      </c>
      <c r="L831" s="24">
        <v>921</v>
      </c>
      <c r="M831" s="24">
        <v>700</v>
      </c>
      <c r="N831" s="24">
        <v>1153</v>
      </c>
      <c r="O831" s="24">
        <v>558</v>
      </c>
      <c r="P831" s="24">
        <v>196</v>
      </c>
      <c r="Q831" s="24">
        <v>3193</v>
      </c>
      <c r="R831" s="24">
        <v>1609</v>
      </c>
      <c r="S831" s="24">
        <v>792</v>
      </c>
      <c r="T831" s="24">
        <v>794</v>
      </c>
      <c r="U831" s="24">
        <v>314</v>
      </c>
      <c r="V831" s="24">
        <v>86</v>
      </c>
      <c r="W831" s="24">
        <v>955</v>
      </c>
      <c r="X831" s="24">
        <v>1264</v>
      </c>
      <c r="Y831" s="24">
        <v>1079</v>
      </c>
      <c r="Z831" s="24">
        <v>1925</v>
      </c>
      <c r="AA831" s="24">
        <v>1171</v>
      </c>
      <c r="AB831" s="24">
        <v>383</v>
      </c>
    </row>
    <row r="832" spans="1:28">
      <c r="A832" s="18" t="s">
        <v>156</v>
      </c>
      <c r="B832" s="18" t="s">
        <v>148</v>
      </c>
      <c r="C832" s="18" t="s">
        <v>82</v>
      </c>
      <c r="D832" s="24">
        <v>6062</v>
      </c>
      <c r="E832" s="24">
        <v>5064982</v>
      </c>
      <c r="F832" s="24">
        <v>6054</v>
      </c>
      <c r="G832" s="24">
        <v>3196994</v>
      </c>
      <c r="H832" s="24">
        <v>5928</v>
      </c>
      <c r="I832" s="24">
        <v>8183315.000000001</v>
      </c>
      <c r="J832" s="24">
        <v>5920</v>
      </c>
      <c r="K832" s="24">
        <v>2693</v>
      </c>
      <c r="L832" s="24">
        <v>759</v>
      </c>
      <c r="M832" s="24">
        <v>546</v>
      </c>
      <c r="N832" s="24">
        <v>1145</v>
      </c>
      <c r="O832" s="24">
        <v>754</v>
      </c>
      <c r="P832" s="24">
        <v>157</v>
      </c>
      <c r="Q832" s="24">
        <v>2925</v>
      </c>
      <c r="R832" s="24">
        <v>1380</v>
      </c>
      <c r="S832" s="24">
        <v>698</v>
      </c>
      <c r="T832" s="24">
        <v>632</v>
      </c>
      <c r="U832" s="24">
        <v>217</v>
      </c>
      <c r="V832" s="24">
        <v>76</v>
      </c>
      <c r="W832" s="24">
        <v>760</v>
      </c>
      <c r="X832" s="24">
        <v>1035</v>
      </c>
      <c r="Y832" s="24">
        <v>831</v>
      </c>
      <c r="Z832" s="24">
        <v>1687</v>
      </c>
      <c r="AA832" s="24">
        <v>1286</v>
      </c>
      <c r="AB832" s="24">
        <v>321</v>
      </c>
    </row>
    <row r="833" spans="1:28">
      <c r="A833" s="18" t="s">
        <v>157</v>
      </c>
      <c r="B833" s="18" t="s">
        <v>148</v>
      </c>
      <c r="C833" s="18" t="s">
        <v>84</v>
      </c>
      <c r="D833" s="24">
        <v>6382</v>
      </c>
      <c r="E833" s="24">
        <v>2975465</v>
      </c>
      <c r="F833" s="24">
        <v>6272</v>
      </c>
      <c r="G833" s="24">
        <v>1235701</v>
      </c>
      <c r="H833" s="24">
        <v>6066</v>
      </c>
      <c r="I833" s="24">
        <v>4027662</v>
      </c>
      <c r="J833" s="24">
        <v>6057</v>
      </c>
      <c r="K833" s="24">
        <v>3611</v>
      </c>
      <c r="L833" s="24">
        <v>1050</v>
      </c>
      <c r="M833" s="24">
        <v>593</v>
      </c>
      <c r="N833" s="24">
        <v>707</v>
      </c>
      <c r="O833" s="24">
        <v>265</v>
      </c>
      <c r="P833" s="24">
        <v>46</v>
      </c>
      <c r="Q833" s="24">
        <v>5039</v>
      </c>
      <c r="R833" s="24">
        <v>498</v>
      </c>
      <c r="S833" s="24">
        <v>207</v>
      </c>
      <c r="T833" s="24">
        <v>218</v>
      </c>
      <c r="U833" s="24">
        <v>83</v>
      </c>
      <c r="V833" s="24">
        <v>21</v>
      </c>
      <c r="W833" s="24">
        <v>2507</v>
      </c>
      <c r="X833" s="24">
        <v>1250</v>
      </c>
      <c r="Y833" s="24">
        <v>817</v>
      </c>
      <c r="Z833" s="24">
        <v>1011</v>
      </c>
      <c r="AA833" s="24">
        <v>399</v>
      </c>
      <c r="AB833" s="24">
        <v>73</v>
      </c>
    </row>
    <row r="834" spans="1:28">
      <c r="A834" s="18" t="s">
        <v>158</v>
      </c>
      <c r="B834" s="18" t="s">
        <v>148</v>
      </c>
      <c r="C834" s="18" t="s">
        <v>86</v>
      </c>
      <c r="D834" s="24">
        <v>8188</v>
      </c>
      <c r="E834" s="24">
        <v>3721068</v>
      </c>
      <c r="F834" s="24">
        <v>8133</v>
      </c>
      <c r="G834" s="24">
        <v>1901211</v>
      </c>
      <c r="H834" s="24">
        <v>7843</v>
      </c>
      <c r="I834" s="24">
        <v>5401291</v>
      </c>
      <c r="J834" s="24">
        <v>7842</v>
      </c>
      <c r="K834" s="24">
        <v>4918</v>
      </c>
      <c r="L834" s="24">
        <v>1292</v>
      </c>
      <c r="M834" s="24">
        <v>694</v>
      </c>
      <c r="N834" s="24">
        <v>866</v>
      </c>
      <c r="O834" s="24">
        <v>290</v>
      </c>
      <c r="P834" s="24">
        <v>73</v>
      </c>
      <c r="Q834" s="24">
        <v>6142</v>
      </c>
      <c r="R834" s="24">
        <v>823</v>
      </c>
      <c r="S834" s="24">
        <v>373</v>
      </c>
      <c r="T834" s="24">
        <v>365</v>
      </c>
      <c r="U834" s="24">
        <v>119</v>
      </c>
      <c r="V834" s="24">
        <v>21</v>
      </c>
      <c r="W834" s="24">
        <v>3195</v>
      </c>
      <c r="X834" s="24">
        <v>1657</v>
      </c>
      <c r="Y834" s="24">
        <v>1032</v>
      </c>
      <c r="Z834" s="24">
        <v>1333</v>
      </c>
      <c r="AA834" s="24">
        <v>509</v>
      </c>
      <c r="AB834" s="24">
        <v>116</v>
      </c>
    </row>
    <row r="835" spans="1:28">
      <c r="A835" s="18" t="s">
        <v>159</v>
      </c>
      <c r="B835" s="18" t="s">
        <v>148</v>
      </c>
      <c r="C835" s="18" t="s">
        <v>88</v>
      </c>
      <c r="D835" s="24">
        <v>8491</v>
      </c>
      <c r="E835" s="24">
        <v>4039491</v>
      </c>
      <c r="F835" s="24">
        <v>8391</v>
      </c>
      <c r="G835" s="24">
        <v>1913520</v>
      </c>
      <c r="H835" s="24">
        <v>8100</v>
      </c>
      <c r="I835" s="24">
        <v>5698153</v>
      </c>
      <c r="J835" s="24">
        <v>8099</v>
      </c>
      <c r="K835" s="24">
        <v>4558</v>
      </c>
      <c r="L835" s="24">
        <v>1401</v>
      </c>
      <c r="M835" s="24">
        <v>887</v>
      </c>
      <c r="N835" s="24">
        <v>1196</v>
      </c>
      <c r="O835" s="24">
        <v>301</v>
      </c>
      <c r="P835" s="24">
        <v>48</v>
      </c>
      <c r="Q835" s="24">
        <v>6370</v>
      </c>
      <c r="R835" s="24">
        <v>882</v>
      </c>
      <c r="S835" s="24">
        <v>360</v>
      </c>
      <c r="T835" s="24">
        <v>363</v>
      </c>
      <c r="U835" s="24">
        <v>104</v>
      </c>
      <c r="V835" s="24">
        <v>21</v>
      </c>
      <c r="W835" s="24">
        <v>2935</v>
      </c>
      <c r="X835" s="24">
        <v>1650</v>
      </c>
      <c r="Y835" s="24">
        <v>1167</v>
      </c>
      <c r="Z835" s="24">
        <v>1745</v>
      </c>
      <c r="AA835" s="24">
        <v>531</v>
      </c>
      <c r="AB835" s="24">
        <v>71</v>
      </c>
    </row>
    <row r="836" spans="1:28">
      <c r="A836" s="18" t="s">
        <v>160</v>
      </c>
      <c r="B836" s="18" t="s">
        <v>148</v>
      </c>
      <c r="C836" s="18" t="s">
        <v>90</v>
      </c>
      <c r="D836" s="24">
        <v>11569</v>
      </c>
      <c r="E836" s="24">
        <v>13188511</v>
      </c>
      <c r="F836" s="24">
        <v>11221</v>
      </c>
      <c r="G836" s="24">
        <v>3007766</v>
      </c>
      <c r="H836" s="24">
        <v>10677</v>
      </c>
      <c r="I836" s="24">
        <v>14697013</v>
      </c>
      <c r="J836" s="24">
        <v>10617</v>
      </c>
      <c r="K836" s="24">
        <v>4199</v>
      </c>
      <c r="L836" s="24">
        <v>1633</v>
      </c>
      <c r="M836" s="24">
        <v>1216</v>
      </c>
      <c r="N836" s="24">
        <v>1820</v>
      </c>
      <c r="O836" s="24">
        <v>1486</v>
      </c>
      <c r="P836" s="24">
        <v>867</v>
      </c>
      <c r="Q836" s="24">
        <v>7926</v>
      </c>
      <c r="R836" s="24">
        <v>1354</v>
      </c>
      <c r="S836" s="24">
        <v>607</v>
      </c>
      <c r="T836" s="24">
        <v>558</v>
      </c>
      <c r="U836" s="24">
        <v>195</v>
      </c>
      <c r="V836" s="24">
        <v>37</v>
      </c>
      <c r="W836" s="24">
        <v>2453</v>
      </c>
      <c r="X836" s="24">
        <v>1743</v>
      </c>
      <c r="Y836" s="24">
        <v>1380</v>
      </c>
      <c r="Z836" s="24">
        <v>2411</v>
      </c>
      <c r="AA836" s="24">
        <v>1770</v>
      </c>
      <c r="AB836" s="24">
        <v>860</v>
      </c>
    </row>
    <row r="837" spans="1:28">
      <c r="A837" s="18" t="s">
        <v>161</v>
      </c>
      <c r="B837" s="18" t="s">
        <v>162</v>
      </c>
      <c r="C837" s="18" t="s">
        <v>66</v>
      </c>
      <c r="D837" s="24">
        <v>48568</v>
      </c>
      <c r="E837" s="24">
        <v>10161103</v>
      </c>
      <c r="F837" s="24">
        <v>48404</v>
      </c>
      <c r="G837" s="24">
        <v>23485444</v>
      </c>
      <c r="H837" s="24">
        <v>46849</v>
      </c>
      <c r="I837" s="24">
        <v>33321776</v>
      </c>
      <c r="J837" s="24">
        <v>46830</v>
      </c>
      <c r="K837" s="24">
        <v>37013</v>
      </c>
      <c r="L837" s="24">
        <v>7218</v>
      </c>
      <c r="M837" s="24">
        <v>2612</v>
      </c>
      <c r="N837" s="24">
        <v>1440</v>
      </c>
      <c r="O837" s="24">
        <v>102</v>
      </c>
      <c r="P837" s="24">
        <v>19</v>
      </c>
      <c r="Q837" s="24">
        <v>25167</v>
      </c>
      <c r="R837" s="24">
        <v>9804</v>
      </c>
      <c r="S837" s="24">
        <v>4769</v>
      </c>
      <c r="T837" s="24">
        <v>4946</v>
      </c>
      <c r="U837" s="24">
        <v>1665</v>
      </c>
      <c r="V837" s="24">
        <v>498</v>
      </c>
      <c r="W837" s="24">
        <v>13741</v>
      </c>
      <c r="X837" s="24">
        <v>13335</v>
      </c>
      <c r="Y837" s="24">
        <v>8140</v>
      </c>
      <c r="Z837" s="24">
        <v>8690</v>
      </c>
      <c r="AA837" s="24">
        <v>2340</v>
      </c>
      <c r="AB837" s="24">
        <v>584</v>
      </c>
    </row>
    <row r="838" spans="1:28">
      <c r="A838" s="18" t="s">
        <v>163</v>
      </c>
      <c r="B838" s="18" t="s">
        <v>162</v>
      </c>
      <c r="C838" s="18" t="s">
        <v>68</v>
      </c>
      <c r="D838" s="24">
        <v>4516</v>
      </c>
      <c r="E838" s="24">
        <v>1071698</v>
      </c>
      <c r="F838" s="24">
        <v>4516</v>
      </c>
      <c r="G838" s="24">
        <v>2465731</v>
      </c>
      <c r="H838" s="24">
        <v>4423</v>
      </c>
      <c r="I838" s="24">
        <v>3518372</v>
      </c>
      <c r="J838" s="24">
        <v>4423</v>
      </c>
      <c r="K838" s="24">
        <v>3315</v>
      </c>
      <c r="L838" s="24">
        <v>754</v>
      </c>
      <c r="M838" s="24">
        <v>269</v>
      </c>
      <c r="N838" s="24">
        <v>166</v>
      </c>
      <c r="O838" s="24">
        <v>8</v>
      </c>
      <c r="P838" s="24">
        <v>4</v>
      </c>
      <c r="Q838" s="24">
        <v>2130</v>
      </c>
      <c r="R838" s="24">
        <v>979</v>
      </c>
      <c r="S838" s="24">
        <v>524</v>
      </c>
      <c r="T838" s="24">
        <v>551</v>
      </c>
      <c r="U838" s="24">
        <v>193</v>
      </c>
      <c r="V838" s="24">
        <v>46</v>
      </c>
      <c r="W838" s="24">
        <v>990</v>
      </c>
      <c r="X838" s="24">
        <v>1281</v>
      </c>
      <c r="Y838" s="24">
        <v>846</v>
      </c>
      <c r="Z838" s="24">
        <v>976</v>
      </c>
      <c r="AA838" s="24">
        <v>271</v>
      </c>
      <c r="AB838" s="24">
        <v>59</v>
      </c>
    </row>
    <row r="839" spans="1:28">
      <c r="A839" s="18" t="s">
        <v>164</v>
      </c>
      <c r="B839" s="18" t="s">
        <v>162</v>
      </c>
      <c r="C839" s="18" t="s">
        <v>70</v>
      </c>
      <c r="D839" s="24">
        <v>3876</v>
      </c>
      <c r="E839" s="24">
        <v>971914.9999999999</v>
      </c>
      <c r="F839" s="24">
        <v>3876</v>
      </c>
      <c r="G839" s="24">
        <v>2249605</v>
      </c>
      <c r="H839" s="24">
        <v>3789</v>
      </c>
      <c r="I839" s="24">
        <v>3205422</v>
      </c>
      <c r="J839" s="24">
        <v>3789</v>
      </c>
      <c r="K839" s="24">
        <v>2735</v>
      </c>
      <c r="L839" s="24">
        <v>668</v>
      </c>
      <c r="M839" s="24">
        <v>305</v>
      </c>
      <c r="N839" s="24">
        <v>161</v>
      </c>
      <c r="O839" s="24">
        <v>6</v>
      </c>
      <c r="P839" s="24">
        <v>1</v>
      </c>
      <c r="Q839" s="24">
        <v>1783</v>
      </c>
      <c r="R839" s="24">
        <v>868</v>
      </c>
      <c r="S839" s="24">
        <v>428</v>
      </c>
      <c r="T839" s="24">
        <v>484</v>
      </c>
      <c r="U839" s="24">
        <v>169</v>
      </c>
      <c r="V839" s="24">
        <v>57</v>
      </c>
      <c r="W839" s="24">
        <v>778</v>
      </c>
      <c r="X839" s="24">
        <v>1065</v>
      </c>
      <c r="Y839" s="24">
        <v>731</v>
      </c>
      <c r="Z839" s="24">
        <v>907</v>
      </c>
      <c r="AA839" s="24">
        <v>240</v>
      </c>
      <c r="AB839" s="24">
        <v>68</v>
      </c>
    </row>
    <row r="840" spans="1:28">
      <c r="A840" s="18" t="s">
        <v>165</v>
      </c>
      <c r="B840" s="18" t="s">
        <v>162</v>
      </c>
      <c r="C840" s="18" t="s">
        <v>72</v>
      </c>
      <c r="D840" s="24">
        <v>4046</v>
      </c>
      <c r="E840" s="24">
        <v>793564</v>
      </c>
      <c r="F840" s="24">
        <v>4046</v>
      </c>
      <c r="G840" s="24">
        <v>2317079</v>
      </c>
      <c r="H840" s="24">
        <v>3956</v>
      </c>
      <c r="I840" s="24">
        <v>3092242</v>
      </c>
      <c r="J840" s="24">
        <v>3956</v>
      </c>
      <c r="K840" s="24">
        <v>3151</v>
      </c>
      <c r="L840" s="24">
        <v>601</v>
      </c>
      <c r="M840" s="24">
        <v>202</v>
      </c>
      <c r="N840" s="24">
        <v>90</v>
      </c>
      <c r="O840" s="24">
        <v>1</v>
      </c>
      <c r="P840" s="24">
        <v>1</v>
      </c>
      <c r="Q840" s="24">
        <v>1840</v>
      </c>
      <c r="R840" s="24">
        <v>917</v>
      </c>
      <c r="S840" s="24">
        <v>444</v>
      </c>
      <c r="T840" s="24">
        <v>532</v>
      </c>
      <c r="U840" s="24">
        <v>168</v>
      </c>
      <c r="V840" s="24">
        <v>55</v>
      </c>
      <c r="W840" s="24">
        <v>952</v>
      </c>
      <c r="X840" s="24">
        <v>1179</v>
      </c>
      <c r="Y840" s="24">
        <v>717</v>
      </c>
      <c r="Z840" s="24">
        <v>819</v>
      </c>
      <c r="AA840" s="24">
        <v>229</v>
      </c>
      <c r="AB840" s="24">
        <v>60</v>
      </c>
    </row>
    <row r="841" spans="1:28">
      <c r="A841" s="18" t="s">
        <v>166</v>
      </c>
      <c r="B841" s="18" t="s">
        <v>162</v>
      </c>
      <c r="C841" s="18" t="s">
        <v>74</v>
      </c>
      <c r="D841" s="24">
        <v>3985</v>
      </c>
      <c r="E841" s="24">
        <v>1162458</v>
      </c>
      <c r="F841" s="24">
        <v>3985</v>
      </c>
      <c r="G841" s="24">
        <v>2265736</v>
      </c>
      <c r="H841" s="24">
        <v>3891</v>
      </c>
      <c r="I841" s="24">
        <v>3410352</v>
      </c>
      <c r="J841" s="24">
        <v>3891</v>
      </c>
      <c r="K841" s="24">
        <v>2645</v>
      </c>
      <c r="L841" s="24">
        <v>740</v>
      </c>
      <c r="M841" s="24">
        <v>341</v>
      </c>
      <c r="N841" s="24">
        <v>232</v>
      </c>
      <c r="O841" s="24">
        <v>25</v>
      </c>
      <c r="P841" s="24">
        <v>2</v>
      </c>
      <c r="Q841" s="24">
        <v>1795</v>
      </c>
      <c r="R841" s="24">
        <v>890</v>
      </c>
      <c r="S841" s="24">
        <v>486</v>
      </c>
      <c r="T841" s="24">
        <v>514</v>
      </c>
      <c r="U841" s="24">
        <v>157</v>
      </c>
      <c r="V841" s="24">
        <v>49</v>
      </c>
      <c r="W841" s="24">
        <v>688</v>
      </c>
      <c r="X841" s="24">
        <v>1078</v>
      </c>
      <c r="Y841" s="24">
        <v>781</v>
      </c>
      <c r="Z841" s="24">
        <v>1011</v>
      </c>
      <c r="AA841" s="24">
        <v>277</v>
      </c>
      <c r="AB841" s="24">
        <v>56</v>
      </c>
    </row>
    <row r="842" spans="1:28">
      <c r="A842" s="18" t="s">
        <v>167</v>
      </c>
      <c r="B842" s="18" t="s">
        <v>162</v>
      </c>
      <c r="C842" s="18" t="s">
        <v>76</v>
      </c>
      <c r="D842" s="24">
        <v>3670</v>
      </c>
      <c r="E842" s="24">
        <v>705985.0000000001</v>
      </c>
      <c r="F842" s="24">
        <v>3670</v>
      </c>
      <c r="G842" s="24">
        <v>2159569</v>
      </c>
      <c r="H842" s="24">
        <v>3583</v>
      </c>
      <c r="I842" s="24">
        <v>2851076</v>
      </c>
      <c r="J842" s="24">
        <v>3583</v>
      </c>
      <c r="K842" s="24">
        <v>2919</v>
      </c>
      <c r="L842" s="24">
        <v>504</v>
      </c>
      <c r="M842" s="24">
        <v>163</v>
      </c>
      <c r="N842" s="24">
        <v>78</v>
      </c>
      <c r="O842" s="24">
        <v>5</v>
      </c>
      <c r="P842" s="24">
        <v>1</v>
      </c>
      <c r="Q842" s="24">
        <v>1643</v>
      </c>
      <c r="R842" s="24">
        <v>825</v>
      </c>
      <c r="S842" s="24">
        <v>408</v>
      </c>
      <c r="T842" s="24">
        <v>480</v>
      </c>
      <c r="U842" s="24">
        <v>176</v>
      </c>
      <c r="V842" s="24">
        <v>51</v>
      </c>
      <c r="W842" s="24">
        <v>837</v>
      </c>
      <c r="X842" s="24">
        <v>1047</v>
      </c>
      <c r="Y842" s="24">
        <v>673</v>
      </c>
      <c r="Z842" s="24">
        <v>750</v>
      </c>
      <c r="AA842" s="24">
        <v>217</v>
      </c>
      <c r="AB842" s="24">
        <v>59</v>
      </c>
    </row>
    <row r="843" spans="1:28">
      <c r="A843" s="18" t="s">
        <v>168</v>
      </c>
      <c r="B843" s="18" t="s">
        <v>162</v>
      </c>
      <c r="C843" s="18" t="s">
        <v>78</v>
      </c>
      <c r="D843" s="24">
        <v>3788</v>
      </c>
      <c r="E843" s="24">
        <v>858287</v>
      </c>
      <c r="F843" s="24">
        <v>3788</v>
      </c>
      <c r="G843" s="24">
        <v>2086076</v>
      </c>
      <c r="H843" s="24">
        <v>3690</v>
      </c>
      <c r="I843" s="24">
        <v>2928435</v>
      </c>
      <c r="J843" s="24">
        <v>3690</v>
      </c>
      <c r="K843" s="24">
        <v>2774</v>
      </c>
      <c r="L843" s="24">
        <v>659</v>
      </c>
      <c r="M843" s="24">
        <v>224</v>
      </c>
      <c r="N843" s="24">
        <v>124</v>
      </c>
      <c r="O843" s="24">
        <v>6</v>
      </c>
      <c r="P843" s="24">
        <v>1</v>
      </c>
      <c r="Q843" s="24">
        <v>1703</v>
      </c>
      <c r="R843" s="24">
        <v>883</v>
      </c>
      <c r="S843" s="24">
        <v>462</v>
      </c>
      <c r="T843" s="24">
        <v>457</v>
      </c>
      <c r="U843" s="24">
        <v>147</v>
      </c>
      <c r="V843" s="24">
        <v>38</v>
      </c>
      <c r="W843" s="24">
        <v>749</v>
      </c>
      <c r="X843" s="24">
        <v>1116</v>
      </c>
      <c r="Y843" s="24">
        <v>753</v>
      </c>
      <c r="Z843" s="24">
        <v>809</v>
      </c>
      <c r="AA843" s="24">
        <v>219</v>
      </c>
      <c r="AB843" s="24">
        <v>44</v>
      </c>
    </row>
    <row r="844" spans="1:28">
      <c r="A844" s="18" t="s">
        <v>169</v>
      </c>
      <c r="B844" s="18" t="s">
        <v>162</v>
      </c>
      <c r="C844" s="18" t="s">
        <v>80</v>
      </c>
      <c r="D844" s="24">
        <v>4112</v>
      </c>
      <c r="E844" s="24">
        <v>555330</v>
      </c>
      <c r="F844" s="24">
        <v>4112</v>
      </c>
      <c r="G844" s="24">
        <v>2288429</v>
      </c>
      <c r="H844" s="24">
        <v>4011</v>
      </c>
      <c r="I844" s="24">
        <v>2831363</v>
      </c>
      <c r="J844" s="24">
        <v>4011</v>
      </c>
      <c r="K844" s="24">
        <v>3589</v>
      </c>
      <c r="L844" s="24">
        <v>433</v>
      </c>
      <c r="M844" s="24">
        <v>75</v>
      </c>
      <c r="N844" s="24">
        <v>14</v>
      </c>
      <c r="O844" s="24">
        <v>1</v>
      </c>
      <c r="P844" s="24">
        <v>0</v>
      </c>
      <c r="Q844" s="24">
        <v>1894</v>
      </c>
      <c r="R844" s="24">
        <v>926</v>
      </c>
      <c r="S844" s="24">
        <v>497</v>
      </c>
      <c r="T844" s="24">
        <v>487</v>
      </c>
      <c r="U844" s="24">
        <v>158</v>
      </c>
      <c r="V844" s="24">
        <v>49</v>
      </c>
      <c r="W844" s="24">
        <v>1118</v>
      </c>
      <c r="X844" s="24">
        <v>1291</v>
      </c>
      <c r="Y844" s="24">
        <v>724</v>
      </c>
      <c r="Z844" s="24">
        <v>632</v>
      </c>
      <c r="AA844" s="24">
        <v>190</v>
      </c>
      <c r="AB844" s="24">
        <v>56</v>
      </c>
    </row>
    <row r="845" spans="1:28">
      <c r="A845" s="18" t="s">
        <v>170</v>
      </c>
      <c r="B845" s="18" t="s">
        <v>162</v>
      </c>
      <c r="C845" s="18" t="s">
        <v>82</v>
      </c>
      <c r="D845" s="24">
        <v>3768</v>
      </c>
      <c r="E845" s="24">
        <v>628501</v>
      </c>
      <c r="F845" s="24">
        <v>3768</v>
      </c>
      <c r="G845" s="24">
        <v>2005427</v>
      </c>
      <c r="H845" s="24">
        <v>3692</v>
      </c>
      <c r="I845" s="24">
        <v>2626206</v>
      </c>
      <c r="J845" s="24">
        <v>3692</v>
      </c>
      <c r="K845" s="24">
        <v>3067</v>
      </c>
      <c r="L845" s="24">
        <v>572</v>
      </c>
      <c r="M845" s="24">
        <v>112</v>
      </c>
      <c r="N845" s="24">
        <v>16</v>
      </c>
      <c r="O845" s="24">
        <v>1</v>
      </c>
      <c r="P845" s="24">
        <v>0</v>
      </c>
      <c r="Q845" s="24">
        <v>1839</v>
      </c>
      <c r="R845" s="24">
        <v>855</v>
      </c>
      <c r="S845" s="24">
        <v>404</v>
      </c>
      <c r="T845" s="24">
        <v>400</v>
      </c>
      <c r="U845" s="24">
        <v>153</v>
      </c>
      <c r="V845" s="24">
        <v>41</v>
      </c>
      <c r="W845" s="24">
        <v>958</v>
      </c>
      <c r="X845" s="24">
        <v>1247</v>
      </c>
      <c r="Y845" s="24">
        <v>672</v>
      </c>
      <c r="Z845" s="24">
        <v>583</v>
      </c>
      <c r="AA845" s="24">
        <v>183</v>
      </c>
      <c r="AB845" s="24">
        <v>49</v>
      </c>
    </row>
    <row r="846" spans="1:28">
      <c r="A846" s="18" t="s">
        <v>171</v>
      </c>
      <c r="B846" s="18" t="s">
        <v>162</v>
      </c>
      <c r="C846" s="18" t="s">
        <v>84</v>
      </c>
      <c r="D846" s="24">
        <v>3719</v>
      </c>
      <c r="E846" s="24">
        <v>824965</v>
      </c>
      <c r="F846" s="24">
        <v>3694</v>
      </c>
      <c r="G846" s="24">
        <v>2094732</v>
      </c>
      <c r="H846" s="24">
        <v>3619</v>
      </c>
      <c r="I846" s="24">
        <v>2906507</v>
      </c>
      <c r="J846" s="24">
        <v>3619</v>
      </c>
      <c r="K846" s="24">
        <v>2690</v>
      </c>
      <c r="L846" s="24">
        <v>683</v>
      </c>
      <c r="M846" s="24">
        <v>231</v>
      </c>
      <c r="N846" s="24">
        <v>85</v>
      </c>
      <c r="O846" s="24">
        <v>3</v>
      </c>
      <c r="P846" s="24">
        <v>2</v>
      </c>
      <c r="Q846" s="24">
        <v>1729</v>
      </c>
      <c r="R846" s="24">
        <v>853</v>
      </c>
      <c r="S846" s="24">
        <v>381</v>
      </c>
      <c r="T846" s="24">
        <v>449</v>
      </c>
      <c r="U846" s="24">
        <v>148</v>
      </c>
      <c r="V846" s="24">
        <v>59</v>
      </c>
      <c r="W846" s="24">
        <v>802</v>
      </c>
      <c r="X846" s="24">
        <v>1118</v>
      </c>
      <c r="Y846" s="24">
        <v>680</v>
      </c>
      <c r="Z846" s="24">
        <v>740</v>
      </c>
      <c r="AA846" s="24">
        <v>210</v>
      </c>
      <c r="AB846" s="24">
        <v>69</v>
      </c>
    </row>
    <row r="847" spans="1:28">
      <c r="A847" s="18" t="s">
        <v>172</v>
      </c>
      <c r="B847" s="18" t="s">
        <v>162</v>
      </c>
      <c r="C847" s="18" t="s">
        <v>86</v>
      </c>
      <c r="D847" s="24">
        <v>1613</v>
      </c>
      <c r="E847" s="24">
        <v>368107</v>
      </c>
      <c r="F847" s="24">
        <v>1499</v>
      </c>
      <c r="G847" s="24">
        <v>281882</v>
      </c>
      <c r="H847" s="24">
        <v>1471</v>
      </c>
      <c r="I847" s="24">
        <v>630515</v>
      </c>
      <c r="J847" s="24">
        <v>1453</v>
      </c>
      <c r="K847" s="24">
        <v>1145</v>
      </c>
      <c r="L847" s="24">
        <v>201</v>
      </c>
      <c r="M847" s="24">
        <v>73</v>
      </c>
      <c r="N847" s="24">
        <v>52</v>
      </c>
      <c r="O847" s="24">
        <v>22</v>
      </c>
      <c r="P847" s="24">
        <v>6</v>
      </c>
      <c r="Q847" s="24">
        <v>1218</v>
      </c>
      <c r="R847" s="24">
        <v>142</v>
      </c>
      <c r="S847" s="24">
        <v>51</v>
      </c>
      <c r="T847" s="24">
        <v>42</v>
      </c>
      <c r="U847" s="24">
        <v>13</v>
      </c>
      <c r="V847" s="24">
        <v>5</v>
      </c>
      <c r="W847" s="24">
        <v>820</v>
      </c>
      <c r="X847" s="24">
        <v>329</v>
      </c>
      <c r="Y847" s="24">
        <v>137</v>
      </c>
      <c r="Z847" s="24">
        <v>121</v>
      </c>
      <c r="AA847" s="24">
        <v>33</v>
      </c>
      <c r="AB847" s="24">
        <v>13</v>
      </c>
    </row>
    <row r="848" spans="1:28">
      <c r="A848" s="18" t="s">
        <v>173</v>
      </c>
      <c r="B848" s="18" t="s">
        <v>162</v>
      </c>
      <c r="C848" s="18" t="s">
        <v>88</v>
      </c>
      <c r="D848" s="24">
        <v>5381</v>
      </c>
      <c r="E848" s="24">
        <v>1116397</v>
      </c>
      <c r="F848" s="24">
        <v>5368</v>
      </c>
      <c r="G848" s="24">
        <v>1422778</v>
      </c>
      <c r="H848" s="24">
        <v>5084</v>
      </c>
      <c r="I848" s="24">
        <v>2466311</v>
      </c>
      <c r="J848" s="24">
        <v>5083</v>
      </c>
      <c r="K848" s="24">
        <v>4138</v>
      </c>
      <c r="L848" s="24">
        <v>677</v>
      </c>
      <c r="M848" s="24">
        <v>302</v>
      </c>
      <c r="N848" s="24">
        <v>233</v>
      </c>
      <c r="O848" s="24">
        <v>18</v>
      </c>
      <c r="P848" s="24">
        <v>0</v>
      </c>
      <c r="Q848" s="24">
        <v>3736</v>
      </c>
      <c r="R848" s="24">
        <v>714</v>
      </c>
      <c r="S848" s="24">
        <v>295</v>
      </c>
      <c r="T848" s="24">
        <v>247</v>
      </c>
      <c r="U848" s="24">
        <v>70</v>
      </c>
      <c r="V848" s="24">
        <v>22</v>
      </c>
      <c r="W848" s="24">
        <v>2443</v>
      </c>
      <c r="X848" s="24">
        <v>1200</v>
      </c>
      <c r="Y848" s="24">
        <v>664</v>
      </c>
      <c r="Z848" s="24">
        <v>629</v>
      </c>
      <c r="AA848" s="24">
        <v>125</v>
      </c>
      <c r="AB848" s="24">
        <v>22</v>
      </c>
    </row>
    <row r="849" spans="1:28">
      <c r="A849" s="18" t="s">
        <v>174</v>
      </c>
      <c r="B849" s="18" t="s">
        <v>162</v>
      </c>
      <c r="C849" s="18" t="s">
        <v>90</v>
      </c>
      <c r="D849" s="24">
        <v>6094</v>
      </c>
      <c r="E849" s="24">
        <v>1103896</v>
      </c>
      <c r="F849" s="24">
        <v>6082</v>
      </c>
      <c r="G849" s="24">
        <v>1848400</v>
      </c>
      <c r="H849" s="24">
        <v>5640</v>
      </c>
      <c r="I849" s="24">
        <v>2854975</v>
      </c>
      <c r="J849" s="24">
        <v>5640</v>
      </c>
      <c r="K849" s="24">
        <v>4845</v>
      </c>
      <c r="L849" s="24">
        <v>726</v>
      </c>
      <c r="M849" s="24">
        <v>315</v>
      </c>
      <c r="N849" s="24">
        <v>189</v>
      </c>
      <c r="O849" s="24">
        <v>6</v>
      </c>
      <c r="P849" s="24">
        <v>1</v>
      </c>
      <c r="Q849" s="24">
        <v>3857</v>
      </c>
      <c r="R849" s="24">
        <v>952</v>
      </c>
      <c r="S849" s="24">
        <v>389</v>
      </c>
      <c r="T849" s="24">
        <v>303</v>
      </c>
      <c r="U849" s="24">
        <v>113</v>
      </c>
      <c r="V849" s="24">
        <v>26</v>
      </c>
      <c r="W849" s="24">
        <v>2606</v>
      </c>
      <c r="X849" s="24">
        <v>1384</v>
      </c>
      <c r="Y849" s="24">
        <v>762</v>
      </c>
      <c r="Z849" s="24">
        <v>713</v>
      </c>
      <c r="AA849" s="24">
        <v>146</v>
      </c>
      <c r="AB849" s="24">
        <v>29</v>
      </c>
    </row>
    <row r="850" spans="1:28">
      <c r="A850" s="18" t="s">
        <v>175</v>
      </c>
      <c r="B850" s="18" t="s">
        <v>176</v>
      </c>
      <c r="C850" s="18" t="s">
        <v>66</v>
      </c>
      <c r="D850" s="24">
        <v>37567</v>
      </c>
      <c r="E850" s="24">
        <v>5335341</v>
      </c>
      <c r="F850" s="24">
        <v>37399</v>
      </c>
      <c r="G850" s="24">
        <v>31414147</v>
      </c>
      <c r="H850" s="24">
        <v>35151</v>
      </c>
      <c r="I850" s="24">
        <v>36345874</v>
      </c>
      <c r="J850" s="24">
        <v>35133</v>
      </c>
      <c r="K850" s="24">
        <v>31992</v>
      </c>
      <c r="L850" s="24">
        <v>3201</v>
      </c>
      <c r="M850" s="24">
        <v>1196</v>
      </c>
      <c r="N850" s="24">
        <v>801</v>
      </c>
      <c r="O850" s="24">
        <v>149</v>
      </c>
      <c r="P850" s="24">
        <v>60</v>
      </c>
      <c r="Q850" s="24">
        <v>13738</v>
      </c>
      <c r="R850" s="24">
        <v>6410</v>
      </c>
      <c r="S850" s="24">
        <v>4077</v>
      </c>
      <c r="T850" s="24">
        <v>5977</v>
      </c>
      <c r="U850" s="24">
        <v>3539</v>
      </c>
      <c r="V850" s="24">
        <v>1410</v>
      </c>
      <c r="W850" s="24">
        <v>9682</v>
      </c>
      <c r="X850" s="24">
        <v>6985</v>
      </c>
      <c r="Y850" s="24">
        <v>5266</v>
      </c>
      <c r="Z850" s="24">
        <v>7598</v>
      </c>
      <c r="AA850" s="24">
        <v>4043</v>
      </c>
      <c r="AB850" s="24">
        <v>1559</v>
      </c>
    </row>
    <row r="851" spans="1:28">
      <c r="A851" s="18" t="s">
        <v>177</v>
      </c>
      <c r="B851" s="18" t="s">
        <v>176</v>
      </c>
      <c r="C851" s="18" t="s">
        <v>68</v>
      </c>
      <c r="D851" s="24">
        <v>3436</v>
      </c>
      <c r="E851" s="24">
        <v>525428</v>
      </c>
      <c r="F851" s="24">
        <v>3436</v>
      </c>
      <c r="G851" s="24">
        <v>3279547</v>
      </c>
      <c r="H851" s="24">
        <v>3289</v>
      </c>
      <c r="I851" s="24">
        <v>3790445</v>
      </c>
      <c r="J851" s="24">
        <v>3289</v>
      </c>
      <c r="K851" s="24">
        <v>2799</v>
      </c>
      <c r="L851" s="24">
        <v>406</v>
      </c>
      <c r="M851" s="24">
        <v>158</v>
      </c>
      <c r="N851" s="24">
        <v>71</v>
      </c>
      <c r="O851" s="24">
        <v>2</v>
      </c>
      <c r="P851" s="24">
        <v>0</v>
      </c>
      <c r="Q851" s="24">
        <v>951</v>
      </c>
      <c r="R851" s="24">
        <v>682</v>
      </c>
      <c r="S851" s="24">
        <v>455</v>
      </c>
      <c r="T851" s="24">
        <v>690</v>
      </c>
      <c r="U851" s="24">
        <v>369</v>
      </c>
      <c r="V851" s="24">
        <v>142</v>
      </c>
      <c r="W851" s="24">
        <v>519</v>
      </c>
      <c r="X851" s="24">
        <v>693</v>
      </c>
      <c r="Y851" s="24">
        <v>580</v>
      </c>
      <c r="Z851" s="24">
        <v>930</v>
      </c>
      <c r="AA851" s="24">
        <v>417</v>
      </c>
      <c r="AB851" s="24">
        <v>150</v>
      </c>
    </row>
    <row r="852" spans="1:28">
      <c r="A852" s="18" t="s">
        <v>178</v>
      </c>
      <c r="B852" s="18" t="s">
        <v>176</v>
      </c>
      <c r="C852" s="18" t="s">
        <v>70</v>
      </c>
      <c r="D852" s="24">
        <v>3050</v>
      </c>
      <c r="E852" s="24">
        <v>466733</v>
      </c>
      <c r="F852" s="24">
        <v>3050</v>
      </c>
      <c r="G852" s="24">
        <v>3213154</v>
      </c>
      <c r="H852" s="24">
        <v>2907</v>
      </c>
      <c r="I852" s="24">
        <v>3667673</v>
      </c>
      <c r="J852" s="24">
        <v>2907</v>
      </c>
      <c r="K852" s="24">
        <v>2473</v>
      </c>
      <c r="L852" s="24">
        <v>381</v>
      </c>
      <c r="M852" s="24">
        <v>134</v>
      </c>
      <c r="N852" s="24">
        <v>61</v>
      </c>
      <c r="O852" s="24">
        <v>1</v>
      </c>
      <c r="P852" s="24">
        <v>0</v>
      </c>
      <c r="Q852" s="24">
        <v>756</v>
      </c>
      <c r="R852" s="24">
        <v>570</v>
      </c>
      <c r="S852" s="24">
        <v>438</v>
      </c>
      <c r="T852" s="24">
        <v>612</v>
      </c>
      <c r="U852" s="24">
        <v>384</v>
      </c>
      <c r="V852" s="24">
        <v>147</v>
      </c>
      <c r="W852" s="24">
        <v>394</v>
      </c>
      <c r="X852" s="24">
        <v>585</v>
      </c>
      <c r="Y852" s="24">
        <v>529</v>
      </c>
      <c r="Z852" s="24">
        <v>810</v>
      </c>
      <c r="AA852" s="24">
        <v>428</v>
      </c>
      <c r="AB852" s="24">
        <v>161</v>
      </c>
    </row>
    <row r="853" spans="1:28">
      <c r="A853" s="18" t="s">
        <v>179</v>
      </c>
      <c r="B853" s="18" t="s">
        <v>176</v>
      </c>
      <c r="C853" s="18" t="s">
        <v>72</v>
      </c>
      <c r="D853" s="24">
        <v>3460</v>
      </c>
      <c r="E853" s="24">
        <v>399421</v>
      </c>
      <c r="F853" s="24">
        <v>3460</v>
      </c>
      <c r="G853" s="24">
        <v>3476323</v>
      </c>
      <c r="H853" s="24">
        <v>3306</v>
      </c>
      <c r="I853" s="24">
        <v>3864334</v>
      </c>
      <c r="J853" s="24">
        <v>3306</v>
      </c>
      <c r="K853" s="24">
        <v>2988</v>
      </c>
      <c r="L853" s="24">
        <v>326</v>
      </c>
      <c r="M853" s="24">
        <v>112</v>
      </c>
      <c r="N853" s="24">
        <v>34</v>
      </c>
      <c r="O853" s="24">
        <v>0</v>
      </c>
      <c r="P853" s="24">
        <v>0</v>
      </c>
      <c r="Q853" s="24">
        <v>966</v>
      </c>
      <c r="R853" s="24">
        <v>708</v>
      </c>
      <c r="S853" s="24">
        <v>445</v>
      </c>
      <c r="T853" s="24">
        <v>636</v>
      </c>
      <c r="U853" s="24">
        <v>380</v>
      </c>
      <c r="V853" s="24">
        <v>171</v>
      </c>
      <c r="W853" s="24">
        <v>593</v>
      </c>
      <c r="X853" s="24">
        <v>760</v>
      </c>
      <c r="Y853" s="24">
        <v>590</v>
      </c>
      <c r="Z853" s="24">
        <v>770</v>
      </c>
      <c r="AA853" s="24">
        <v>414</v>
      </c>
      <c r="AB853" s="24">
        <v>179</v>
      </c>
    </row>
    <row r="854" spans="1:28">
      <c r="A854" s="18" t="s">
        <v>180</v>
      </c>
      <c r="B854" s="18" t="s">
        <v>176</v>
      </c>
      <c r="C854" s="18" t="s">
        <v>74</v>
      </c>
      <c r="D854" s="24">
        <v>3600</v>
      </c>
      <c r="E854" s="24">
        <v>475566</v>
      </c>
      <c r="F854" s="24">
        <v>3600</v>
      </c>
      <c r="G854" s="24">
        <v>3638955</v>
      </c>
      <c r="H854" s="24">
        <v>3439</v>
      </c>
      <c r="I854" s="24">
        <v>4106242</v>
      </c>
      <c r="J854" s="24">
        <v>3439</v>
      </c>
      <c r="K854" s="24">
        <v>3191</v>
      </c>
      <c r="L854" s="24">
        <v>253</v>
      </c>
      <c r="M854" s="24">
        <v>87</v>
      </c>
      <c r="N854" s="24">
        <v>46</v>
      </c>
      <c r="O854" s="24">
        <v>7</v>
      </c>
      <c r="P854" s="24">
        <v>16</v>
      </c>
      <c r="Q854" s="24">
        <v>966</v>
      </c>
      <c r="R854" s="24">
        <v>744</v>
      </c>
      <c r="S854" s="24">
        <v>457</v>
      </c>
      <c r="T854" s="24">
        <v>705</v>
      </c>
      <c r="U854" s="24">
        <v>395</v>
      </c>
      <c r="V854" s="24">
        <v>172</v>
      </c>
      <c r="W854" s="24">
        <v>660</v>
      </c>
      <c r="X854" s="24">
        <v>777</v>
      </c>
      <c r="Y854" s="24">
        <v>546</v>
      </c>
      <c r="Z854" s="24">
        <v>824</v>
      </c>
      <c r="AA854" s="24">
        <v>435</v>
      </c>
      <c r="AB854" s="24">
        <v>197</v>
      </c>
    </row>
    <row r="855" spans="1:28">
      <c r="A855" s="18" t="s">
        <v>181</v>
      </c>
      <c r="B855" s="18" t="s">
        <v>176</v>
      </c>
      <c r="C855" s="18" t="s">
        <v>76</v>
      </c>
      <c r="D855" s="24">
        <v>3074</v>
      </c>
      <c r="E855" s="24">
        <v>368450.0000000001</v>
      </c>
      <c r="F855" s="24">
        <v>3074</v>
      </c>
      <c r="G855" s="24">
        <v>3057435</v>
      </c>
      <c r="H855" s="24">
        <v>2946</v>
      </c>
      <c r="I855" s="24">
        <v>3416109</v>
      </c>
      <c r="J855" s="24">
        <v>2946</v>
      </c>
      <c r="K855" s="24">
        <v>2623</v>
      </c>
      <c r="L855" s="24">
        <v>328</v>
      </c>
      <c r="M855" s="24">
        <v>92</v>
      </c>
      <c r="N855" s="24">
        <v>31</v>
      </c>
      <c r="O855" s="24">
        <v>0</v>
      </c>
      <c r="P855" s="24">
        <v>0</v>
      </c>
      <c r="Q855" s="24">
        <v>848</v>
      </c>
      <c r="R855" s="24">
        <v>606</v>
      </c>
      <c r="S855" s="24">
        <v>403</v>
      </c>
      <c r="T855" s="24">
        <v>627</v>
      </c>
      <c r="U855" s="24">
        <v>326</v>
      </c>
      <c r="V855" s="24">
        <v>136</v>
      </c>
      <c r="W855" s="24">
        <v>540</v>
      </c>
      <c r="X855" s="24">
        <v>614</v>
      </c>
      <c r="Y855" s="24">
        <v>541</v>
      </c>
      <c r="Z855" s="24">
        <v>736</v>
      </c>
      <c r="AA855" s="24">
        <v>367</v>
      </c>
      <c r="AB855" s="24">
        <v>148</v>
      </c>
    </row>
    <row r="856" spans="1:28">
      <c r="A856" s="18" t="s">
        <v>182</v>
      </c>
      <c r="B856" s="18" t="s">
        <v>176</v>
      </c>
      <c r="C856" s="18" t="s">
        <v>78</v>
      </c>
      <c r="D856" s="24">
        <v>2876</v>
      </c>
      <c r="E856" s="24">
        <v>371272</v>
      </c>
      <c r="F856" s="24">
        <v>2876</v>
      </c>
      <c r="G856" s="24">
        <v>3149160</v>
      </c>
      <c r="H856" s="24">
        <v>2723</v>
      </c>
      <c r="I856" s="24">
        <v>3507005</v>
      </c>
      <c r="J856" s="24">
        <v>2723</v>
      </c>
      <c r="K856" s="24">
        <v>2434</v>
      </c>
      <c r="L856" s="24">
        <v>267</v>
      </c>
      <c r="M856" s="24">
        <v>115</v>
      </c>
      <c r="N856" s="24">
        <v>57</v>
      </c>
      <c r="O856" s="24">
        <v>3</v>
      </c>
      <c r="P856" s="24">
        <v>0</v>
      </c>
      <c r="Q856" s="24">
        <v>708</v>
      </c>
      <c r="R856" s="24">
        <v>554</v>
      </c>
      <c r="S856" s="24">
        <v>347</v>
      </c>
      <c r="T856" s="24">
        <v>607</v>
      </c>
      <c r="U856" s="24">
        <v>350</v>
      </c>
      <c r="V856" s="24">
        <v>157</v>
      </c>
      <c r="W856" s="24">
        <v>450</v>
      </c>
      <c r="X856" s="24">
        <v>557</v>
      </c>
      <c r="Y856" s="24">
        <v>413</v>
      </c>
      <c r="Z856" s="24">
        <v>735</v>
      </c>
      <c r="AA856" s="24">
        <v>396</v>
      </c>
      <c r="AB856" s="24">
        <v>172</v>
      </c>
    </row>
    <row r="857" spans="1:28">
      <c r="A857" s="18" t="s">
        <v>183</v>
      </c>
      <c r="B857" s="18" t="s">
        <v>176</v>
      </c>
      <c r="C857" s="18" t="s">
        <v>80</v>
      </c>
      <c r="D857" s="24">
        <v>3195</v>
      </c>
      <c r="E857" s="24">
        <v>255724</v>
      </c>
      <c r="F857" s="24">
        <v>3195</v>
      </c>
      <c r="G857" s="24">
        <v>3538640</v>
      </c>
      <c r="H857" s="24">
        <v>3032</v>
      </c>
      <c r="I857" s="24">
        <v>3777779</v>
      </c>
      <c r="J857" s="24">
        <v>3032</v>
      </c>
      <c r="K857" s="24">
        <v>2928</v>
      </c>
      <c r="L857" s="24">
        <v>182</v>
      </c>
      <c r="M857" s="24">
        <v>58</v>
      </c>
      <c r="N857" s="24">
        <v>26</v>
      </c>
      <c r="O857" s="24">
        <v>1</v>
      </c>
      <c r="P857" s="24">
        <v>0</v>
      </c>
      <c r="Q857" s="24">
        <v>767</v>
      </c>
      <c r="R857" s="24">
        <v>588</v>
      </c>
      <c r="S857" s="24">
        <v>401</v>
      </c>
      <c r="T857" s="24">
        <v>649</v>
      </c>
      <c r="U857" s="24">
        <v>466</v>
      </c>
      <c r="V857" s="24">
        <v>161</v>
      </c>
      <c r="W857" s="24">
        <v>578</v>
      </c>
      <c r="X857" s="24">
        <v>606</v>
      </c>
      <c r="Y857" s="24">
        <v>459</v>
      </c>
      <c r="Z857" s="24">
        <v>713</v>
      </c>
      <c r="AA857" s="24">
        <v>506</v>
      </c>
      <c r="AB857" s="24">
        <v>170</v>
      </c>
    </row>
    <row r="858" spans="1:28">
      <c r="A858" s="18" t="s">
        <v>184</v>
      </c>
      <c r="B858" s="18" t="s">
        <v>176</v>
      </c>
      <c r="C858" s="18" t="s">
        <v>82</v>
      </c>
      <c r="D858" s="24">
        <v>2735</v>
      </c>
      <c r="E858" s="24">
        <v>254222.9999999999</v>
      </c>
      <c r="F858" s="24">
        <v>2735</v>
      </c>
      <c r="G858" s="24">
        <v>2750150</v>
      </c>
      <c r="H858" s="24">
        <v>2604</v>
      </c>
      <c r="I858" s="24">
        <v>2996445</v>
      </c>
      <c r="J858" s="24">
        <v>2604</v>
      </c>
      <c r="K858" s="24">
        <v>2457</v>
      </c>
      <c r="L858" s="24">
        <v>201</v>
      </c>
      <c r="M858" s="24">
        <v>58</v>
      </c>
      <c r="N858" s="24">
        <v>19</v>
      </c>
      <c r="O858" s="24">
        <v>0</v>
      </c>
      <c r="P858" s="24">
        <v>0</v>
      </c>
      <c r="Q858" s="24">
        <v>695</v>
      </c>
      <c r="R858" s="24">
        <v>548</v>
      </c>
      <c r="S858" s="24">
        <v>401</v>
      </c>
      <c r="T858" s="24">
        <v>516</v>
      </c>
      <c r="U858" s="24">
        <v>325</v>
      </c>
      <c r="V858" s="24">
        <v>119</v>
      </c>
      <c r="W858" s="24">
        <v>466</v>
      </c>
      <c r="X858" s="24">
        <v>581</v>
      </c>
      <c r="Y858" s="24">
        <v>479</v>
      </c>
      <c r="Z858" s="24">
        <v>604</v>
      </c>
      <c r="AA858" s="24">
        <v>350</v>
      </c>
      <c r="AB858" s="24">
        <v>124</v>
      </c>
    </row>
    <row r="859" spans="1:28">
      <c r="A859" s="18" t="s">
        <v>185</v>
      </c>
      <c r="B859" s="18" t="s">
        <v>176</v>
      </c>
      <c r="C859" s="18" t="s">
        <v>84</v>
      </c>
      <c r="D859" s="24">
        <v>2870</v>
      </c>
      <c r="E859" s="24">
        <v>270802</v>
      </c>
      <c r="F859" s="24">
        <v>2870</v>
      </c>
      <c r="G859" s="24">
        <v>3052181</v>
      </c>
      <c r="H859" s="24">
        <v>2724</v>
      </c>
      <c r="I859" s="24">
        <v>3312047</v>
      </c>
      <c r="J859" s="24">
        <v>2724</v>
      </c>
      <c r="K859" s="24">
        <v>2591</v>
      </c>
      <c r="L859" s="24">
        <v>186</v>
      </c>
      <c r="M859" s="24">
        <v>65</v>
      </c>
      <c r="N859" s="24">
        <v>27</v>
      </c>
      <c r="O859" s="24">
        <v>1</v>
      </c>
      <c r="P859" s="24">
        <v>0</v>
      </c>
      <c r="Q859" s="24">
        <v>720</v>
      </c>
      <c r="R859" s="24">
        <v>547</v>
      </c>
      <c r="S859" s="24">
        <v>383</v>
      </c>
      <c r="T859" s="24">
        <v>571</v>
      </c>
      <c r="U859" s="24">
        <v>357</v>
      </c>
      <c r="V859" s="24">
        <v>146</v>
      </c>
      <c r="W859" s="24">
        <v>511</v>
      </c>
      <c r="X859" s="24">
        <v>561</v>
      </c>
      <c r="Y859" s="24">
        <v>443</v>
      </c>
      <c r="Z859" s="24">
        <v>663</v>
      </c>
      <c r="AA859" s="24">
        <v>392</v>
      </c>
      <c r="AB859" s="24">
        <v>154</v>
      </c>
    </row>
    <row r="860" spans="1:28">
      <c r="A860" s="18" t="s">
        <v>186</v>
      </c>
      <c r="B860" s="18" t="s">
        <v>176</v>
      </c>
      <c r="C860" s="18" t="s">
        <v>86</v>
      </c>
      <c r="D860" s="24">
        <v>1879</v>
      </c>
      <c r="E860" s="24">
        <v>481101.9999999999</v>
      </c>
      <c r="F860" s="24">
        <v>1738</v>
      </c>
      <c r="G860" s="24">
        <v>336022</v>
      </c>
      <c r="H860" s="24">
        <v>1586</v>
      </c>
      <c r="I860" s="24">
        <v>733984.9999999999</v>
      </c>
      <c r="J860" s="24">
        <v>1570</v>
      </c>
      <c r="K860" s="24">
        <v>1490</v>
      </c>
      <c r="L860" s="24">
        <v>129</v>
      </c>
      <c r="M860" s="24">
        <v>32</v>
      </c>
      <c r="N860" s="24">
        <v>17</v>
      </c>
      <c r="O860" s="24">
        <v>29</v>
      </c>
      <c r="P860" s="24">
        <v>41</v>
      </c>
      <c r="Q860" s="24">
        <v>1321</v>
      </c>
      <c r="R860" s="24">
        <v>122</v>
      </c>
      <c r="S860" s="24">
        <v>48</v>
      </c>
      <c r="T860" s="24">
        <v>60</v>
      </c>
      <c r="U860" s="24">
        <v>27</v>
      </c>
      <c r="V860" s="24">
        <v>8</v>
      </c>
      <c r="W860" s="24">
        <v>1071</v>
      </c>
      <c r="X860" s="24">
        <v>237</v>
      </c>
      <c r="Y860" s="24">
        <v>93</v>
      </c>
      <c r="Z860" s="24">
        <v>73</v>
      </c>
      <c r="AA860" s="24">
        <v>52</v>
      </c>
      <c r="AB860" s="24">
        <v>44</v>
      </c>
    </row>
    <row r="861" spans="1:28">
      <c r="A861" s="18" t="s">
        <v>187</v>
      </c>
      <c r="B861" s="18" t="s">
        <v>176</v>
      </c>
      <c r="C861" s="18" t="s">
        <v>88</v>
      </c>
      <c r="D861" s="24">
        <v>3286</v>
      </c>
      <c r="E861" s="24">
        <v>387046</v>
      </c>
      <c r="F861" s="24">
        <v>3276</v>
      </c>
      <c r="G861" s="24">
        <v>838786</v>
      </c>
      <c r="H861" s="24">
        <v>2945</v>
      </c>
      <c r="I861" s="24">
        <v>1161530</v>
      </c>
      <c r="J861" s="24">
        <v>2944</v>
      </c>
      <c r="K861" s="24">
        <v>2871</v>
      </c>
      <c r="L861" s="24">
        <v>205</v>
      </c>
      <c r="M861" s="24">
        <v>111</v>
      </c>
      <c r="N861" s="24">
        <v>84</v>
      </c>
      <c r="O861" s="24">
        <v>5</v>
      </c>
      <c r="P861" s="24">
        <v>0</v>
      </c>
      <c r="Q861" s="24">
        <v>2271</v>
      </c>
      <c r="R861" s="24">
        <v>304</v>
      </c>
      <c r="S861" s="24">
        <v>136</v>
      </c>
      <c r="T861" s="24">
        <v>149</v>
      </c>
      <c r="U861" s="24">
        <v>65</v>
      </c>
      <c r="V861" s="24">
        <v>20</v>
      </c>
      <c r="W861" s="24">
        <v>1917</v>
      </c>
      <c r="X861" s="24">
        <v>427</v>
      </c>
      <c r="Y861" s="24">
        <v>245</v>
      </c>
      <c r="Z861" s="24">
        <v>253</v>
      </c>
      <c r="AA861" s="24">
        <v>78</v>
      </c>
      <c r="AB861" s="24">
        <v>24</v>
      </c>
    </row>
    <row r="862" spans="1:28">
      <c r="A862" s="18" t="s">
        <v>188</v>
      </c>
      <c r="B862" s="18" t="s">
        <v>176</v>
      </c>
      <c r="C862" s="18" t="s">
        <v>90</v>
      </c>
      <c r="D862" s="24">
        <v>4106</v>
      </c>
      <c r="E862" s="24">
        <v>1079574</v>
      </c>
      <c r="F862" s="24">
        <v>4089</v>
      </c>
      <c r="G862" s="24">
        <v>1083794</v>
      </c>
      <c r="H862" s="24">
        <v>3650</v>
      </c>
      <c r="I862" s="24">
        <v>2012280</v>
      </c>
      <c r="J862" s="24">
        <v>3649</v>
      </c>
      <c r="K862" s="24">
        <v>3147</v>
      </c>
      <c r="L862" s="24">
        <v>337</v>
      </c>
      <c r="M862" s="24">
        <v>174</v>
      </c>
      <c r="N862" s="24">
        <v>328</v>
      </c>
      <c r="O862" s="24">
        <v>100</v>
      </c>
      <c r="P862" s="24">
        <v>3</v>
      </c>
      <c r="Q862" s="24">
        <v>2769</v>
      </c>
      <c r="R862" s="24">
        <v>437</v>
      </c>
      <c r="S862" s="24">
        <v>163</v>
      </c>
      <c r="T862" s="24">
        <v>155</v>
      </c>
      <c r="U862" s="24">
        <v>95</v>
      </c>
      <c r="V862" s="24">
        <v>31</v>
      </c>
      <c r="W862" s="24">
        <v>1983</v>
      </c>
      <c r="X862" s="24">
        <v>587</v>
      </c>
      <c r="Y862" s="24">
        <v>348</v>
      </c>
      <c r="Z862" s="24">
        <v>487</v>
      </c>
      <c r="AA862" s="24">
        <v>208</v>
      </c>
      <c r="AB862" s="24">
        <v>36</v>
      </c>
    </row>
    <row r="863" spans="1:28">
      <c r="A863" s="18" t="s">
        <v>189</v>
      </c>
      <c r="B863" s="18" t="s">
        <v>190</v>
      </c>
      <c r="C863" s="18" t="s">
        <v>66</v>
      </c>
      <c r="D863" s="24">
        <v>104764</v>
      </c>
      <c r="E863" s="24">
        <v>35523953</v>
      </c>
      <c r="F863" s="24">
        <v>104557</v>
      </c>
      <c r="G863" s="24">
        <v>44047545</v>
      </c>
      <c r="H863" s="24">
        <v>101982</v>
      </c>
      <c r="I863" s="24">
        <v>78767649</v>
      </c>
      <c r="J863" s="24">
        <v>101940</v>
      </c>
      <c r="K863" s="24">
        <v>67294</v>
      </c>
      <c r="L863" s="24">
        <v>17766</v>
      </c>
      <c r="M863" s="24">
        <v>9293</v>
      </c>
      <c r="N863" s="24">
        <v>8738</v>
      </c>
      <c r="O863" s="24">
        <v>1218</v>
      </c>
      <c r="P863" s="24">
        <v>248</v>
      </c>
      <c r="Q863" s="24">
        <v>68121</v>
      </c>
      <c r="R863" s="24">
        <v>15284</v>
      </c>
      <c r="S863" s="24">
        <v>6419</v>
      </c>
      <c r="T863" s="24">
        <v>7210</v>
      </c>
      <c r="U863" s="24">
        <v>3458</v>
      </c>
      <c r="V863" s="24">
        <v>1490</v>
      </c>
      <c r="W863" s="24">
        <v>30691</v>
      </c>
      <c r="X863" s="24">
        <v>27644</v>
      </c>
      <c r="Y863" s="24">
        <v>16209</v>
      </c>
      <c r="Z863" s="24">
        <v>19246</v>
      </c>
      <c r="AA863" s="24">
        <v>6183</v>
      </c>
      <c r="AB863" s="24">
        <v>1967</v>
      </c>
    </row>
    <row r="864" spans="1:28">
      <c r="A864" s="18" t="s">
        <v>191</v>
      </c>
      <c r="B864" s="18" t="s">
        <v>190</v>
      </c>
      <c r="C864" s="18" t="s">
        <v>68</v>
      </c>
      <c r="D864" s="24">
        <v>7989</v>
      </c>
      <c r="E864" s="24">
        <v>3910364</v>
      </c>
      <c r="F864" s="24">
        <v>7989</v>
      </c>
      <c r="G864" s="24">
        <v>4401900</v>
      </c>
      <c r="H864" s="24">
        <v>7778</v>
      </c>
      <c r="I864" s="24">
        <v>8256050.000000001</v>
      </c>
      <c r="J864" s="24">
        <v>7778</v>
      </c>
      <c r="K864" s="24">
        <v>3996</v>
      </c>
      <c r="L864" s="24">
        <v>1451</v>
      </c>
      <c r="M864" s="24">
        <v>996</v>
      </c>
      <c r="N864" s="24">
        <v>1319</v>
      </c>
      <c r="O864" s="24">
        <v>217</v>
      </c>
      <c r="P864" s="24">
        <v>10</v>
      </c>
      <c r="Q864" s="24">
        <v>4472</v>
      </c>
      <c r="R864" s="24">
        <v>1373</v>
      </c>
      <c r="S864" s="24">
        <v>668</v>
      </c>
      <c r="T864" s="24">
        <v>761</v>
      </c>
      <c r="U864" s="24">
        <v>338</v>
      </c>
      <c r="V864" s="24">
        <v>166</v>
      </c>
      <c r="W864" s="24">
        <v>1162</v>
      </c>
      <c r="X864" s="24">
        <v>1762</v>
      </c>
      <c r="Y864" s="24">
        <v>1400</v>
      </c>
      <c r="Z864" s="24">
        <v>2462</v>
      </c>
      <c r="AA864" s="24">
        <v>784</v>
      </c>
      <c r="AB864" s="24">
        <v>208</v>
      </c>
    </row>
    <row r="865" spans="1:30">
      <c r="A865" s="18" t="s">
        <v>192</v>
      </c>
      <c r="B865" s="18" t="s">
        <v>190</v>
      </c>
      <c r="C865" s="18" t="s">
        <v>70</v>
      </c>
      <c r="D865" s="24">
        <v>8461</v>
      </c>
      <c r="E865" s="24">
        <v>2854772</v>
      </c>
      <c r="F865" s="24">
        <v>8460</v>
      </c>
      <c r="G865" s="24">
        <v>4468247</v>
      </c>
      <c r="H865" s="24">
        <v>8259</v>
      </c>
      <c r="I865" s="24">
        <v>7290285</v>
      </c>
      <c r="J865" s="24">
        <v>8258</v>
      </c>
      <c r="K865" s="24">
        <v>5587</v>
      </c>
      <c r="L865" s="24">
        <v>1277</v>
      </c>
      <c r="M865" s="24">
        <v>664</v>
      </c>
      <c r="N865" s="24">
        <v>769</v>
      </c>
      <c r="O865" s="24">
        <v>155</v>
      </c>
      <c r="P865" s="24">
        <v>8</v>
      </c>
      <c r="Q865" s="24">
        <v>4959</v>
      </c>
      <c r="R865" s="24">
        <v>1423</v>
      </c>
      <c r="S865" s="24">
        <v>590</v>
      </c>
      <c r="T865" s="24">
        <v>739</v>
      </c>
      <c r="U865" s="24">
        <v>372</v>
      </c>
      <c r="V865" s="24">
        <v>176</v>
      </c>
      <c r="W865" s="24">
        <v>2161</v>
      </c>
      <c r="X865" s="24">
        <v>2168</v>
      </c>
      <c r="Y865" s="24">
        <v>1260</v>
      </c>
      <c r="Z865" s="24">
        <v>1775</v>
      </c>
      <c r="AA865" s="24">
        <v>686</v>
      </c>
      <c r="AB865" s="24">
        <v>208</v>
      </c>
    </row>
    <row r="866" spans="1:30">
      <c r="A866" s="18" t="s">
        <v>193</v>
      </c>
      <c r="B866" s="18" t="s">
        <v>190</v>
      </c>
      <c r="C866" s="18" t="s">
        <v>72</v>
      </c>
      <c r="D866" s="24">
        <v>9127</v>
      </c>
      <c r="E866" s="24">
        <v>2588547</v>
      </c>
      <c r="F866" s="24">
        <v>9127</v>
      </c>
      <c r="G866" s="24">
        <v>4523351</v>
      </c>
      <c r="H866" s="24">
        <v>8904</v>
      </c>
      <c r="I866" s="24">
        <v>7068691</v>
      </c>
      <c r="J866" s="24">
        <v>8904</v>
      </c>
      <c r="K866" s="24">
        <v>6273</v>
      </c>
      <c r="L866" s="24">
        <v>1501</v>
      </c>
      <c r="M866" s="24">
        <v>741</v>
      </c>
      <c r="N866" s="24">
        <v>551</v>
      </c>
      <c r="O866" s="24">
        <v>56</v>
      </c>
      <c r="P866" s="24">
        <v>5</v>
      </c>
      <c r="Q866" s="24">
        <v>5480</v>
      </c>
      <c r="R866" s="24">
        <v>1468</v>
      </c>
      <c r="S866" s="24">
        <v>689</v>
      </c>
      <c r="T866" s="24">
        <v>745</v>
      </c>
      <c r="U866" s="24">
        <v>354</v>
      </c>
      <c r="V866" s="24">
        <v>168</v>
      </c>
      <c r="W866" s="24">
        <v>2500</v>
      </c>
      <c r="X866" s="24">
        <v>2540</v>
      </c>
      <c r="Y866" s="24">
        <v>1494</v>
      </c>
      <c r="Z866" s="24">
        <v>1626</v>
      </c>
      <c r="AA866" s="24">
        <v>548</v>
      </c>
      <c r="AB866" s="24">
        <v>196</v>
      </c>
    </row>
    <row r="867" spans="1:30">
      <c r="A867" s="18" t="s">
        <v>194</v>
      </c>
      <c r="B867" s="18" t="s">
        <v>190</v>
      </c>
      <c r="C867" s="18" t="s">
        <v>74</v>
      </c>
      <c r="D867" s="24">
        <v>9721</v>
      </c>
      <c r="E867" s="24">
        <v>3124983</v>
      </c>
      <c r="F867" s="24">
        <v>9718</v>
      </c>
      <c r="G867" s="24">
        <v>4930660</v>
      </c>
      <c r="H867" s="24">
        <v>9500</v>
      </c>
      <c r="I867" s="24">
        <v>7995676</v>
      </c>
      <c r="J867" s="24">
        <v>9497</v>
      </c>
      <c r="K867" s="24">
        <v>6297</v>
      </c>
      <c r="L867" s="24">
        <v>1668</v>
      </c>
      <c r="M867" s="24">
        <v>892</v>
      </c>
      <c r="N867" s="24">
        <v>763</v>
      </c>
      <c r="O867" s="24">
        <v>89</v>
      </c>
      <c r="P867" s="24">
        <v>9</v>
      </c>
      <c r="Q867" s="24">
        <v>5599</v>
      </c>
      <c r="R867" s="24">
        <v>1737</v>
      </c>
      <c r="S867" s="24">
        <v>719</v>
      </c>
      <c r="T867" s="24">
        <v>878</v>
      </c>
      <c r="U867" s="24">
        <v>396</v>
      </c>
      <c r="V867" s="24">
        <v>171</v>
      </c>
      <c r="W867" s="24">
        <v>2385</v>
      </c>
      <c r="X867" s="24">
        <v>2629</v>
      </c>
      <c r="Y867" s="24">
        <v>1624</v>
      </c>
      <c r="Z867" s="24">
        <v>1985</v>
      </c>
      <c r="AA867" s="24">
        <v>663</v>
      </c>
      <c r="AB867" s="24">
        <v>211</v>
      </c>
    </row>
    <row r="868" spans="1:30">
      <c r="A868" s="18" t="s">
        <v>195</v>
      </c>
      <c r="B868" s="18" t="s">
        <v>190</v>
      </c>
      <c r="C868" s="18" t="s">
        <v>76</v>
      </c>
      <c r="D868" s="24">
        <v>8603</v>
      </c>
      <c r="E868" s="24">
        <v>3704204</v>
      </c>
      <c r="F868" s="24">
        <v>8596</v>
      </c>
      <c r="G868" s="24">
        <v>4167865</v>
      </c>
      <c r="H868" s="24">
        <v>8410</v>
      </c>
      <c r="I868" s="24">
        <v>7820397</v>
      </c>
      <c r="J868" s="24">
        <v>8403</v>
      </c>
      <c r="K868" s="24">
        <v>5231</v>
      </c>
      <c r="L868" s="24">
        <v>1352</v>
      </c>
      <c r="M868" s="24">
        <v>774</v>
      </c>
      <c r="N868" s="24">
        <v>944</v>
      </c>
      <c r="O868" s="24">
        <v>218</v>
      </c>
      <c r="P868" s="24">
        <v>77</v>
      </c>
      <c r="Q868" s="24">
        <v>5227</v>
      </c>
      <c r="R868" s="24">
        <v>1371</v>
      </c>
      <c r="S868" s="24">
        <v>629</v>
      </c>
      <c r="T868" s="24">
        <v>676</v>
      </c>
      <c r="U868" s="24">
        <v>355</v>
      </c>
      <c r="V868" s="24">
        <v>152</v>
      </c>
      <c r="W868" s="24">
        <v>1981</v>
      </c>
      <c r="X868" s="24">
        <v>2160</v>
      </c>
      <c r="Y868" s="24">
        <v>1435</v>
      </c>
      <c r="Z868" s="24">
        <v>1824</v>
      </c>
      <c r="AA868" s="24">
        <v>738</v>
      </c>
      <c r="AB868" s="24">
        <v>265</v>
      </c>
    </row>
    <row r="869" spans="1:30">
      <c r="A869" s="18" t="s">
        <v>196</v>
      </c>
      <c r="B869" s="18" t="s">
        <v>190</v>
      </c>
      <c r="C869" s="18" t="s">
        <v>78</v>
      </c>
      <c r="D869" s="24">
        <v>8754</v>
      </c>
      <c r="E869" s="24">
        <v>2464255</v>
      </c>
      <c r="F869" s="24">
        <v>8753</v>
      </c>
      <c r="G869" s="24">
        <v>4428784</v>
      </c>
      <c r="H869" s="24">
        <v>8553</v>
      </c>
      <c r="I869" s="24">
        <v>6852484</v>
      </c>
      <c r="J869" s="24">
        <v>8552</v>
      </c>
      <c r="K869" s="24">
        <v>6044</v>
      </c>
      <c r="L869" s="24">
        <v>1500</v>
      </c>
      <c r="M869" s="24">
        <v>612</v>
      </c>
      <c r="N869" s="24">
        <v>527</v>
      </c>
      <c r="O869" s="24">
        <v>68</v>
      </c>
      <c r="P869" s="24">
        <v>2</v>
      </c>
      <c r="Q869" s="24">
        <v>5171</v>
      </c>
      <c r="R869" s="24">
        <v>1498</v>
      </c>
      <c r="S869" s="24">
        <v>634</v>
      </c>
      <c r="T869" s="24">
        <v>716</v>
      </c>
      <c r="U869" s="24">
        <v>374</v>
      </c>
      <c r="V869" s="24">
        <v>160</v>
      </c>
      <c r="W869" s="24">
        <v>2424</v>
      </c>
      <c r="X869" s="24">
        <v>2525</v>
      </c>
      <c r="Y869" s="24">
        <v>1362</v>
      </c>
      <c r="Z869" s="24">
        <v>1464</v>
      </c>
      <c r="AA869" s="24">
        <v>583</v>
      </c>
      <c r="AB869" s="24">
        <v>194</v>
      </c>
    </row>
    <row r="870" spans="1:30">
      <c r="A870" s="18" t="s">
        <v>197</v>
      </c>
      <c r="B870" s="18" t="s">
        <v>190</v>
      </c>
      <c r="C870" s="18" t="s">
        <v>80</v>
      </c>
      <c r="D870" s="24">
        <v>9522</v>
      </c>
      <c r="E870" s="24">
        <v>2258517</v>
      </c>
      <c r="F870" s="24">
        <v>9521</v>
      </c>
      <c r="G870" s="24">
        <v>4704756</v>
      </c>
      <c r="H870" s="24">
        <v>9290</v>
      </c>
      <c r="I870" s="24">
        <v>6900690</v>
      </c>
      <c r="J870" s="24">
        <v>9289</v>
      </c>
      <c r="K870" s="24">
        <v>7008</v>
      </c>
      <c r="L870" s="24">
        <v>1493</v>
      </c>
      <c r="M870" s="24">
        <v>606</v>
      </c>
      <c r="N870" s="24">
        <v>381</v>
      </c>
      <c r="O870" s="24">
        <v>26</v>
      </c>
      <c r="P870" s="24">
        <v>7</v>
      </c>
      <c r="Q870" s="24">
        <v>5741</v>
      </c>
      <c r="R870" s="24">
        <v>1588</v>
      </c>
      <c r="S870" s="24">
        <v>599</v>
      </c>
      <c r="T870" s="24">
        <v>785</v>
      </c>
      <c r="U870" s="24">
        <v>409</v>
      </c>
      <c r="V870" s="24">
        <v>168</v>
      </c>
      <c r="W870" s="24">
        <v>2930</v>
      </c>
      <c r="X870" s="24">
        <v>2801</v>
      </c>
      <c r="Y870" s="24">
        <v>1437</v>
      </c>
      <c r="Z870" s="24">
        <v>1366</v>
      </c>
      <c r="AA870" s="24">
        <v>564</v>
      </c>
      <c r="AB870" s="24">
        <v>191</v>
      </c>
    </row>
    <row r="871" spans="1:30">
      <c r="A871" s="18" t="s">
        <v>198</v>
      </c>
      <c r="B871" s="18" t="s">
        <v>190</v>
      </c>
      <c r="C871" s="18" t="s">
        <v>82</v>
      </c>
      <c r="D871" s="24">
        <v>8166</v>
      </c>
      <c r="E871" s="24">
        <v>2548165</v>
      </c>
      <c r="F871" s="24">
        <v>8161</v>
      </c>
      <c r="G871" s="24">
        <v>3859587</v>
      </c>
      <c r="H871" s="24">
        <v>7982</v>
      </c>
      <c r="I871" s="24">
        <v>6370152</v>
      </c>
      <c r="J871" s="24">
        <v>7977</v>
      </c>
      <c r="K871" s="24">
        <v>5295</v>
      </c>
      <c r="L871" s="24">
        <v>1424</v>
      </c>
      <c r="M871" s="24">
        <v>766</v>
      </c>
      <c r="N871" s="24">
        <v>621</v>
      </c>
      <c r="O871" s="24">
        <v>50</v>
      </c>
      <c r="P871" s="24">
        <v>5</v>
      </c>
      <c r="Q871" s="24">
        <v>5204</v>
      </c>
      <c r="R871" s="24">
        <v>1176</v>
      </c>
      <c r="S871" s="24">
        <v>521</v>
      </c>
      <c r="T871" s="24">
        <v>592</v>
      </c>
      <c r="U871" s="24">
        <v>338</v>
      </c>
      <c r="V871" s="24">
        <v>151</v>
      </c>
      <c r="W871" s="24">
        <v>2119</v>
      </c>
      <c r="X871" s="24">
        <v>2317</v>
      </c>
      <c r="Y871" s="24">
        <v>1395</v>
      </c>
      <c r="Z871" s="24">
        <v>1508</v>
      </c>
      <c r="AA871" s="24">
        <v>462</v>
      </c>
      <c r="AB871" s="24">
        <v>176</v>
      </c>
    </row>
    <row r="872" spans="1:30">
      <c r="A872" s="18" t="s">
        <v>199</v>
      </c>
      <c r="B872" s="18" t="s">
        <v>190</v>
      </c>
      <c r="C872" s="18" t="s">
        <v>84</v>
      </c>
      <c r="D872" s="24">
        <v>8960</v>
      </c>
      <c r="E872" s="24">
        <v>2933102</v>
      </c>
      <c r="F872" s="24">
        <v>8954</v>
      </c>
      <c r="G872" s="24">
        <v>4179168.999999999</v>
      </c>
      <c r="H872" s="24">
        <v>8772</v>
      </c>
      <c r="I872" s="24">
        <v>7068069</v>
      </c>
      <c r="J872" s="24">
        <v>8766</v>
      </c>
      <c r="K872" s="24">
        <v>5738</v>
      </c>
      <c r="L872" s="24">
        <v>1464</v>
      </c>
      <c r="M872" s="24">
        <v>869</v>
      </c>
      <c r="N872" s="24">
        <v>827</v>
      </c>
      <c r="O872" s="24">
        <v>50</v>
      </c>
      <c r="P872" s="24">
        <v>6</v>
      </c>
      <c r="Q872" s="24">
        <v>5670</v>
      </c>
      <c r="R872" s="24">
        <v>1365</v>
      </c>
      <c r="S872" s="24">
        <v>567</v>
      </c>
      <c r="T872" s="24">
        <v>679</v>
      </c>
      <c r="U872" s="24">
        <v>347</v>
      </c>
      <c r="V872" s="24">
        <v>144</v>
      </c>
      <c r="W872" s="24">
        <v>2263</v>
      </c>
      <c r="X872" s="24">
        <v>2467</v>
      </c>
      <c r="Y872" s="24">
        <v>1515</v>
      </c>
      <c r="Z872" s="24">
        <v>1848</v>
      </c>
      <c r="AA872" s="24">
        <v>509</v>
      </c>
      <c r="AB872" s="24">
        <v>164</v>
      </c>
    </row>
    <row r="873" spans="1:30">
      <c r="A873" s="18" t="s">
        <v>200</v>
      </c>
      <c r="B873" s="18" t="s">
        <v>190</v>
      </c>
      <c r="C873" s="18" t="s">
        <v>86</v>
      </c>
      <c r="D873" s="24">
        <v>4961</v>
      </c>
      <c r="E873" s="24">
        <v>1791325</v>
      </c>
      <c r="F873" s="24">
        <v>4861</v>
      </c>
      <c r="G873" s="24">
        <v>761229.0000000001</v>
      </c>
      <c r="H873" s="24">
        <v>4731</v>
      </c>
      <c r="I873" s="24">
        <v>2460657</v>
      </c>
      <c r="J873" s="24">
        <v>4714</v>
      </c>
      <c r="K873" s="24">
        <v>3180</v>
      </c>
      <c r="L873" s="24">
        <v>856</v>
      </c>
      <c r="M873" s="24">
        <v>441</v>
      </c>
      <c r="N873" s="24">
        <v>302</v>
      </c>
      <c r="O873" s="24">
        <v>35</v>
      </c>
      <c r="P873" s="24">
        <v>47</v>
      </c>
      <c r="Q873" s="24">
        <v>4056</v>
      </c>
      <c r="R873" s="24">
        <v>392</v>
      </c>
      <c r="S873" s="24">
        <v>145</v>
      </c>
      <c r="T873" s="24">
        <v>95</v>
      </c>
      <c r="U873" s="24">
        <v>38</v>
      </c>
      <c r="V873" s="24">
        <v>5</v>
      </c>
      <c r="W873" s="24">
        <v>2257</v>
      </c>
      <c r="X873" s="24">
        <v>1163</v>
      </c>
      <c r="Y873" s="24">
        <v>616</v>
      </c>
      <c r="Z873" s="24">
        <v>550</v>
      </c>
      <c r="AA873" s="24">
        <v>76</v>
      </c>
      <c r="AB873" s="24">
        <v>52</v>
      </c>
    </row>
    <row r="874" spans="1:30">
      <c r="A874" s="18" t="s">
        <v>201</v>
      </c>
      <c r="B874" s="18" t="s">
        <v>190</v>
      </c>
      <c r="C874" s="18" t="s">
        <v>88</v>
      </c>
      <c r="D874" s="24">
        <v>9243</v>
      </c>
      <c r="E874" s="24">
        <v>3044961</v>
      </c>
      <c r="F874" s="24">
        <v>9219</v>
      </c>
      <c r="G874" s="24">
        <v>1566344</v>
      </c>
      <c r="H874" s="24">
        <v>8964</v>
      </c>
      <c r="I874" s="24">
        <v>4496818</v>
      </c>
      <c r="J874" s="24">
        <v>8964</v>
      </c>
      <c r="K874" s="24">
        <v>5701</v>
      </c>
      <c r="L874" s="24">
        <v>1869</v>
      </c>
      <c r="M874" s="24">
        <v>859</v>
      </c>
      <c r="N874" s="24">
        <v>731</v>
      </c>
      <c r="O874" s="24">
        <v>52</v>
      </c>
      <c r="P874" s="24">
        <v>7</v>
      </c>
      <c r="Q874" s="24">
        <v>7549</v>
      </c>
      <c r="R874" s="24">
        <v>811</v>
      </c>
      <c r="S874" s="24">
        <v>305</v>
      </c>
      <c r="T874" s="24">
        <v>233</v>
      </c>
      <c r="U874" s="24">
        <v>55</v>
      </c>
      <c r="V874" s="24">
        <v>11</v>
      </c>
      <c r="W874" s="24">
        <v>3844</v>
      </c>
      <c r="X874" s="24">
        <v>2432</v>
      </c>
      <c r="Y874" s="24">
        <v>1273</v>
      </c>
      <c r="Z874" s="24">
        <v>1212</v>
      </c>
      <c r="AA874" s="24">
        <v>187</v>
      </c>
      <c r="AB874" s="24">
        <v>16</v>
      </c>
    </row>
    <row r="875" spans="1:30">
      <c r="A875" s="18" t="s">
        <v>202</v>
      </c>
      <c r="B875" s="18" t="s">
        <v>190</v>
      </c>
      <c r="C875" s="18" t="s">
        <v>90</v>
      </c>
      <c r="D875" s="24">
        <v>11257</v>
      </c>
      <c r="E875" s="24">
        <v>4300757.999999999</v>
      </c>
      <c r="F875" s="24">
        <v>11198</v>
      </c>
      <c r="G875" s="24">
        <v>2055653</v>
      </c>
      <c r="H875" s="24">
        <v>10839</v>
      </c>
      <c r="I875" s="24">
        <v>6187680</v>
      </c>
      <c r="J875" s="24">
        <v>10838</v>
      </c>
      <c r="K875" s="24">
        <v>6944</v>
      </c>
      <c r="L875" s="24">
        <v>1911</v>
      </c>
      <c r="M875" s="24">
        <v>1073</v>
      </c>
      <c r="N875" s="24">
        <v>1003</v>
      </c>
      <c r="O875" s="24">
        <v>202</v>
      </c>
      <c r="P875" s="24">
        <v>65</v>
      </c>
      <c r="Q875" s="24">
        <v>8993</v>
      </c>
      <c r="R875" s="24">
        <v>1082</v>
      </c>
      <c r="S875" s="24">
        <v>353</v>
      </c>
      <c r="T875" s="24">
        <v>311</v>
      </c>
      <c r="U875" s="24">
        <v>82</v>
      </c>
      <c r="V875" s="24">
        <v>18</v>
      </c>
      <c r="W875" s="24">
        <v>4665</v>
      </c>
      <c r="X875" s="24">
        <v>2680</v>
      </c>
      <c r="Y875" s="24">
        <v>1398</v>
      </c>
      <c r="Z875" s="24">
        <v>1626</v>
      </c>
      <c r="AA875" s="24">
        <v>383</v>
      </c>
      <c r="AB875" s="24">
        <v>86</v>
      </c>
    </row>
    <row r="878" spans="1:30">
      <c r="A878" s="6" t="s">
        <v>306</v>
      </c>
    </row>
    <row r="879" spans="1:30">
      <c r="A879" s="22" t="s">
        <v>307</v>
      </c>
      <c r="B879" s="22" t="s">
        <v>65</v>
      </c>
      <c r="C879" s="22" t="s">
        <v>92</v>
      </c>
      <c r="D879" s="22" t="s">
        <v>106</v>
      </c>
      <c r="E879" s="22" t="s">
        <v>120</v>
      </c>
      <c r="F879" s="22" t="s">
        <v>134</v>
      </c>
      <c r="G879" s="22" t="s">
        <v>148</v>
      </c>
      <c r="H879" s="22" t="s">
        <v>162</v>
      </c>
      <c r="I879" s="22" t="s">
        <v>176</v>
      </c>
      <c r="J879" s="22" t="s">
        <v>190</v>
      </c>
      <c r="L879" s="22" t="s">
        <v>308</v>
      </c>
      <c r="M879" s="22" t="s">
        <v>309</v>
      </c>
      <c r="N879" s="22" t="s">
        <v>310</v>
      </c>
      <c r="O879" s="22" t="s">
        <v>311</v>
      </c>
      <c r="P879" s="22" t="s">
        <v>312</v>
      </c>
      <c r="Q879" s="22" t="s">
        <v>313</v>
      </c>
      <c r="R879" s="22" t="s">
        <v>314</v>
      </c>
      <c r="S879" s="22" t="s">
        <v>315</v>
      </c>
      <c r="T879" s="22" t="s">
        <v>316</v>
      </c>
      <c r="V879" s="22" t="s">
        <v>317</v>
      </c>
      <c r="W879" s="22" t="s">
        <v>318</v>
      </c>
      <c r="X879" s="22" t="s">
        <v>319</v>
      </c>
      <c r="Y879" s="22" t="s">
        <v>320</v>
      </c>
      <c r="Z879" s="22" t="s">
        <v>321</v>
      </c>
      <c r="AA879" s="22" t="s">
        <v>322</v>
      </c>
      <c r="AB879" s="22" t="s">
        <v>323</v>
      </c>
      <c r="AC879" s="22" t="s">
        <v>324</v>
      </c>
      <c r="AD879" s="22" t="s">
        <v>325</v>
      </c>
    </row>
    <row r="880" spans="1:30">
      <c r="A880" s="73">
        <v>45748</v>
      </c>
      <c r="B880" s="24">
        <v>4032</v>
      </c>
      <c r="C880" s="24">
        <v>864</v>
      </c>
      <c r="D880" s="24">
        <v>476</v>
      </c>
      <c r="E880" s="24">
        <v>711</v>
      </c>
      <c r="F880" s="24">
        <v>683</v>
      </c>
      <c r="G880" s="24">
        <v>440</v>
      </c>
      <c r="H880" s="24">
        <v>274</v>
      </c>
      <c r="I880" s="24">
        <v>217</v>
      </c>
      <c r="J880" s="24">
        <v>367</v>
      </c>
      <c r="L880" s="45">
        <v>18.8</v>
      </c>
      <c r="M880" s="45">
        <v>16.1</v>
      </c>
      <c r="N880" s="45">
        <v>8.6</v>
      </c>
      <c r="O880" s="45">
        <v>32.5</v>
      </c>
      <c r="P880" s="45">
        <v>18</v>
      </c>
      <c r="Q880" s="45">
        <v>37</v>
      </c>
      <c r="R880" s="45">
        <v>4.8</v>
      </c>
      <c r="S880" s="45">
        <v>3.3</v>
      </c>
      <c r="T880" s="45">
        <v>11.1</v>
      </c>
      <c r="V880" s="45">
        <v>7.7</v>
      </c>
      <c r="W880" s="45">
        <v>8.199999999999999</v>
      </c>
      <c r="X880" s="45">
        <v>8.9</v>
      </c>
      <c r="Y880" s="45">
        <v>5.8</v>
      </c>
      <c r="Z880" s="45">
        <v>6.4</v>
      </c>
      <c r="AA880" s="45">
        <v>7.7</v>
      </c>
      <c r="AB880" s="45">
        <v>7.8</v>
      </c>
      <c r="AC880" s="45">
        <v>11.8</v>
      </c>
      <c r="AD880" s="45">
        <v>9.1</v>
      </c>
    </row>
    <row r="881" spans="1:30">
      <c r="A881" s="73">
        <v>45749</v>
      </c>
      <c r="B881" s="24">
        <v>3588</v>
      </c>
      <c r="C881" s="24">
        <v>668</v>
      </c>
      <c r="D881" s="24">
        <v>444</v>
      </c>
      <c r="E881" s="24">
        <v>695</v>
      </c>
      <c r="F881" s="24">
        <v>632</v>
      </c>
      <c r="G881" s="24">
        <v>365</v>
      </c>
      <c r="H881" s="24">
        <v>250</v>
      </c>
      <c r="I881" s="24">
        <v>191</v>
      </c>
      <c r="J881" s="24">
        <v>343</v>
      </c>
      <c r="L881" s="45">
        <v>15.7</v>
      </c>
      <c r="M881" s="45">
        <v>10</v>
      </c>
      <c r="N881" s="45">
        <v>9.1</v>
      </c>
      <c r="O881" s="45">
        <v>30.2</v>
      </c>
      <c r="P881" s="45">
        <v>18.5</v>
      </c>
      <c r="Q881" s="45">
        <v>24.6</v>
      </c>
      <c r="R881" s="45">
        <v>2.7</v>
      </c>
      <c r="S881" s="45">
        <v>3.3</v>
      </c>
      <c r="T881" s="45">
        <v>7.7</v>
      </c>
      <c r="V881" s="45">
        <v>8.199999999999999</v>
      </c>
      <c r="W881" s="45">
        <v>9.5</v>
      </c>
      <c r="X881" s="45">
        <v>8.6</v>
      </c>
      <c r="Y881" s="45">
        <v>6</v>
      </c>
      <c r="Z881" s="45">
        <v>6.7</v>
      </c>
      <c r="AA881" s="45">
        <v>7.2</v>
      </c>
      <c r="AB881" s="45">
        <v>7.7</v>
      </c>
      <c r="AC881" s="45">
        <v>14.4</v>
      </c>
      <c r="AD881" s="45">
        <v>10.8</v>
      </c>
    </row>
    <row r="882" spans="1:30">
      <c r="A882" s="73">
        <v>45750</v>
      </c>
      <c r="B882" s="24">
        <v>3560</v>
      </c>
      <c r="C882" s="24">
        <v>684</v>
      </c>
      <c r="D882" s="24">
        <v>384</v>
      </c>
      <c r="E882" s="24">
        <v>637</v>
      </c>
      <c r="F882" s="24">
        <v>697</v>
      </c>
      <c r="G882" s="24">
        <v>408</v>
      </c>
      <c r="H882" s="24">
        <v>250</v>
      </c>
      <c r="I882" s="24">
        <v>176</v>
      </c>
      <c r="J882" s="24">
        <v>324</v>
      </c>
      <c r="L882" s="45">
        <v>15.8</v>
      </c>
      <c r="M882" s="45">
        <v>9.1</v>
      </c>
      <c r="N882" s="45">
        <v>5.7</v>
      </c>
      <c r="O882" s="45">
        <v>28.7</v>
      </c>
      <c r="P882" s="45">
        <v>23.6</v>
      </c>
      <c r="Q882" s="45">
        <v>21.4</v>
      </c>
      <c r="R882" s="45">
        <v>2.7</v>
      </c>
      <c r="S882" s="45">
        <v>2.2</v>
      </c>
      <c r="T882" s="45">
        <v>11.2</v>
      </c>
      <c r="V882" s="45">
        <v>8.300000000000001</v>
      </c>
      <c r="W882" s="45">
        <v>9.1</v>
      </c>
      <c r="X882" s="45">
        <v>9.5</v>
      </c>
      <c r="Y882" s="45">
        <v>6.9</v>
      </c>
      <c r="Z882" s="45">
        <v>6</v>
      </c>
      <c r="AA882" s="45">
        <v>7.1</v>
      </c>
      <c r="AB882" s="45">
        <v>8.1</v>
      </c>
      <c r="AC882" s="45">
        <v>14.5</v>
      </c>
      <c r="AD882" s="45">
        <v>11.5</v>
      </c>
    </row>
    <row r="883" spans="1:30">
      <c r="A883" s="73">
        <v>45751</v>
      </c>
      <c r="B883" s="24">
        <v>3487</v>
      </c>
      <c r="C883" s="24">
        <v>707</v>
      </c>
      <c r="D883" s="24">
        <v>412</v>
      </c>
      <c r="E883" s="24">
        <v>666</v>
      </c>
      <c r="F883" s="24">
        <v>619</v>
      </c>
      <c r="G883" s="24">
        <v>372</v>
      </c>
      <c r="H883" s="24">
        <v>224</v>
      </c>
      <c r="I883" s="24">
        <v>158</v>
      </c>
      <c r="J883" s="24">
        <v>329</v>
      </c>
      <c r="L883" s="45">
        <v>13.8</v>
      </c>
      <c r="M883" s="45">
        <v>10.2</v>
      </c>
      <c r="N883" s="45">
        <v>4.6</v>
      </c>
      <c r="O883" s="45">
        <v>28.7</v>
      </c>
      <c r="P883" s="45">
        <v>15.6</v>
      </c>
      <c r="Q883" s="45">
        <v>19.4</v>
      </c>
      <c r="R883" s="45">
        <v>1.9</v>
      </c>
      <c r="S883" s="45">
        <v>2</v>
      </c>
      <c r="T883" s="45">
        <v>7</v>
      </c>
      <c r="V883" s="45">
        <v>8.800000000000001</v>
      </c>
      <c r="W883" s="45">
        <v>8.9</v>
      </c>
      <c r="X883" s="45">
        <v>8.699999999999999</v>
      </c>
      <c r="Y883" s="45">
        <v>6.1</v>
      </c>
      <c r="Z883" s="45">
        <v>7.5</v>
      </c>
      <c r="AA883" s="45">
        <v>7.3</v>
      </c>
      <c r="AB883" s="45">
        <v>9.9</v>
      </c>
      <c r="AC883" s="45">
        <v>17.8</v>
      </c>
      <c r="AD883" s="45">
        <v>13</v>
      </c>
    </row>
    <row r="884" spans="1:30">
      <c r="A884" s="73">
        <v>45752</v>
      </c>
      <c r="B884" s="24">
        <v>0</v>
      </c>
      <c r="C884" s="24">
        <v>0</v>
      </c>
      <c r="D884" s="24">
        <v>0</v>
      </c>
      <c r="E884" s="24">
        <v>0</v>
      </c>
      <c r="F884" s="24">
        <v>0</v>
      </c>
      <c r="G884" s="24">
        <v>0</v>
      </c>
      <c r="H884" s="24">
        <v>0</v>
      </c>
      <c r="I884" s="24">
        <v>0</v>
      </c>
      <c r="J884" s="24">
        <v>0</v>
      </c>
      <c r="L884" s="45">
        <v>0</v>
      </c>
      <c r="M884" s="45">
        <v>0</v>
      </c>
      <c r="N884" s="45">
        <v>0</v>
      </c>
      <c r="O884" s="45">
        <v>0</v>
      </c>
      <c r="P884" s="45">
        <v>0</v>
      </c>
      <c r="Q884" s="45">
        <v>0</v>
      </c>
      <c r="R884" s="45">
        <v>0</v>
      </c>
      <c r="S884" s="45">
        <v>0</v>
      </c>
      <c r="T884" s="45">
        <v>0</v>
      </c>
      <c r="V884" s="45">
        <v>0</v>
      </c>
      <c r="W884" s="45">
        <v>0</v>
      </c>
      <c r="X884" s="45">
        <v>0</v>
      </c>
      <c r="Y884" s="45">
        <v>0</v>
      </c>
      <c r="Z884" s="45">
        <v>0</v>
      </c>
      <c r="AA884" s="45">
        <v>0</v>
      </c>
      <c r="AB884" s="45">
        <v>0</v>
      </c>
      <c r="AC884" s="45">
        <v>0</v>
      </c>
      <c r="AD884" s="45">
        <v>0</v>
      </c>
    </row>
    <row r="885" spans="1:30">
      <c r="A885" s="73">
        <v>45753</v>
      </c>
      <c r="B885" s="24">
        <v>0</v>
      </c>
      <c r="C885" s="24">
        <v>0</v>
      </c>
      <c r="D885" s="24">
        <v>0</v>
      </c>
      <c r="E885" s="24">
        <v>0</v>
      </c>
      <c r="F885" s="24">
        <v>0</v>
      </c>
      <c r="G885" s="24">
        <v>0</v>
      </c>
      <c r="H885" s="24">
        <v>0</v>
      </c>
      <c r="I885" s="24">
        <v>0</v>
      </c>
      <c r="J885" s="24">
        <v>0</v>
      </c>
      <c r="L885" s="45">
        <v>0</v>
      </c>
      <c r="M885" s="45">
        <v>0</v>
      </c>
      <c r="N885" s="45">
        <v>0</v>
      </c>
      <c r="O885" s="45">
        <v>0</v>
      </c>
      <c r="P885" s="45">
        <v>0</v>
      </c>
      <c r="Q885" s="45">
        <v>0</v>
      </c>
      <c r="R885" s="45">
        <v>0</v>
      </c>
      <c r="S885" s="45">
        <v>0</v>
      </c>
      <c r="T885" s="45">
        <v>0</v>
      </c>
      <c r="V885" s="45">
        <v>0</v>
      </c>
      <c r="W885" s="45">
        <v>0</v>
      </c>
      <c r="X885" s="45">
        <v>0</v>
      </c>
      <c r="Y885" s="45">
        <v>0</v>
      </c>
      <c r="Z885" s="45">
        <v>0</v>
      </c>
      <c r="AA885" s="45">
        <v>0</v>
      </c>
      <c r="AB885" s="45">
        <v>0</v>
      </c>
      <c r="AC885" s="45">
        <v>0</v>
      </c>
      <c r="AD885" s="45">
        <v>0</v>
      </c>
    </row>
    <row r="886" spans="1:30">
      <c r="A886" s="73">
        <v>45754</v>
      </c>
      <c r="B886" s="24">
        <v>3875</v>
      </c>
      <c r="C886" s="24">
        <v>787</v>
      </c>
      <c r="D886" s="24">
        <v>504</v>
      </c>
      <c r="E886" s="24">
        <v>730</v>
      </c>
      <c r="F886" s="24">
        <v>673</v>
      </c>
      <c r="G886" s="24">
        <v>385</v>
      </c>
      <c r="H886" s="24">
        <v>258</v>
      </c>
      <c r="I886" s="24">
        <v>210</v>
      </c>
      <c r="J886" s="24">
        <v>328</v>
      </c>
      <c r="L886" s="45">
        <v>12.9</v>
      </c>
      <c r="M886" s="45">
        <v>8</v>
      </c>
      <c r="N886" s="45">
        <v>7.1</v>
      </c>
      <c r="O886" s="45">
        <v>19.2</v>
      </c>
      <c r="P886" s="45">
        <v>11.3</v>
      </c>
      <c r="Q886" s="45">
        <v>33.8</v>
      </c>
      <c r="R886" s="45">
        <v>3.7</v>
      </c>
      <c r="S886" s="45">
        <v>5.4</v>
      </c>
      <c r="T886" s="45">
        <v>11.2</v>
      </c>
      <c r="V886" s="45">
        <v>7.8</v>
      </c>
      <c r="W886" s="45">
        <v>8.199999999999999</v>
      </c>
      <c r="X886" s="45">
        <v>7.8</v>
      </c>
      <c r="Y886" s="45">
        <v>5.6</v>
      </c>
      <c r="Z886" s="45">
        <v>6.5</v>
      </c>
      <c r="AA886" s="45">
        <v>7.1</v>
      </c>
      <c r="AB886" s="45">
        <v>8.1</v>
      </c>
      <c r="AC886" s="45">
        <v>15</v>
      </c>
      <c r="AD886" s="45">
        <v>11.1</v>
      </c>
    </row>
    <row r="887" spans="1:30">
      <c r="A887" s="73">
        <v>45755</v>
      </c>
      <c r="B887" s="24">
        <v>3288</v>
      </c>
      <c r="C887" s="24">
        <v>679</v>
      </c>
      <c r="D887" s="24">
        <v>399</v>
      </c>
      <c r="E887" s="24">
        <v>580</v>
      </c>
      <c r="F887" s="24">
        <v>560</v>
      </c>
      <c r="G887" s="24">
        <v>347</v>
      </c>
      <c r="H887" s="24">
        <v>204</v>
      </c>
      <c r="I887" s="24">
        <v>164</v>
      </c>
      <c r="J887" s="24">
        <v>355</v>
      </c>
      <c r="L887" s="45">
        <v>11</v>
      </c>
      <c r="M887" s="45">
        <v>7.7</v>
      </c>
      <c r="N887" s="45">
        <v>6.8</v>
      </c>
      <c r="O887" s="45">
        <v>20.7</v>
      </c>
      <c r="P887" s="45">
        <v>11.7</v>
      </c>
      <c r="Q887" s="45">
        <v>14.2</v>
      </c>
      <c r="R887" s="45">
        <v>3.7</v>
      </c>
      <c r="S887" s="45">
        <v>2.8</v>
      </c>
      <c r="T887" s="45">
        <v>9.699999999999999</v>
      </c>
      <c r="V887" s="45">
        <v>8.800000000000001</v>
      </c>
      <c r="W887" s="45">
        <v>9.300000000000001</v>
      </c>
      <c r="X887" s="45">
        <v>9.199999999999999</v>
      </c>
      <c r="Y887" s="45">
        <v>6.7</v>
      </c>
      <c r="Z887" s="45">
        <v>7.3</v>
      </c>
      <c r="AA887" s="45">
        <v>8.699999999999999</v>
      </c>
      <c r="AB887" s="45">
        <v>10.4</v>
      </c>
      <c r="AC887" s="45">
        <v>16.6</v>
      </c>
      <c r="AD887" s="45">
        <v>9.1</v>
      </c>
    </row>
    <row r="888" spans="1:30">
      <c r="A888" s="73">
        <v>45756</v>
      </c>
      <c r="B888" s="24">
        <v>3225</v>
      </c>
      <c r="C888" s="24">
        <v>698</v>
      </c>
      <c r="D888" s="24">
        <v>369</v>
      </c>
      <c r="E888" s="24">
        <v>568</v>
      </c>
      <c r="F888" s="24">
        <v>636</v>
      </c>
      <c r="G888" s="24">
        <v>294</v>
      </c>
      <c r="H888" s="24">
        <v>189</v>
      </c>
      <c r="I888" s="24">
        <v>158</v>
      </c>
      <c r="J888" s="24">
        <v>313</v>
      </c>
      <c r="L888" s="45">
        <v>13.5</v>
      </c>
      <c r="M888" s="45">
        <v>6.9</v>
      </c>
      <c r="N888" s="45">
        <v>5.1</v>
      </c>
      <c r="O888" s="45">
        <v>27.5</v>
      </c>
      <c r="P888" s="45">
        <v>19.4</v>
      </c>
      <c r="Q888" s="45">
        <v>21.2</v>
      </c>
      <c r="R888" s="45">
        <v>3.9</v>
      </c>
      <c r="S888" s="45">
        <v>2.5</v>
      </c>
      <c r="T888" s="45">
        <v>5.3</v>
      </c>
      <c r="V888" s="45">
        <v>9.1</v>
      </c>
      <c r="W888" s="45">
        <v>9</v>
      </c>
      <c r="X888" s="45">
        <v>10</v>
      </c>
      <c r="Y888" s="45">
        <v>7.6</v>
      </c>
      <c r="Z888" s="45">
        <v>6.6</v>
      </c>
      <c r="AA888" s="45">
        <v>9.6</v>
      </c>
      <c r="AB888" s="45">
        <v>9.800000000000001</v>
      </c>
      <c r="AC888" s="45">
        <v>19.1</v>
      </c>
      <c r="AD888" s="45">
        <v>10.5</v>
      </c>
    </row>
    <row r="889" spans="1:30">
      <c r="A889" s="73">
        <v>45757</v>
      </c>
      <c r="B889" s="24">
        <v>2651</v>
      </c>
      <c r="C889" s="24">
        <v>561</v>
      </c>
      <c r="D889" s="24">
        <v>319</v>
      </c>
      <c r="E889" s="24">
        <v>430</v>
      </c>
      <c r="F889" s="24">
        <v>461</v>
      </c>
      <c r="G889" s="24">
        <v>271</v>
      </c>
      <c r="H889" s="24">
        <v>178</v>
      </c>
      <c r="I889" s="24">
        <v>130</v>
      </c>
      <c r="J889" s="24">
        <v>301</v>
      </c>
      <c r="L889" s="45">
        <v>8.4</v>
      </c>
      <c r="M889" s="45">
        <v>5.2</v>
      </c>
      <c r="N889" s="45">
        <v>3.6</v>
      </c>
      <c r="O889" s="45">
        <v>12.4</v>
      </c>
      <c r="P889" s="45">
        <v>12.3</v>
      </c>
      <c r="Q889" s="45">
        <v>16.3</v>
      </c>
      <c r="R889" s="45">
        <v>3.1</v>
      </c>
      <c r="S889" s="45">
        <v>1.3</v>
      </c>
      <c r="T889" s="45">
        <v>6.7</v>
      </c>
      <c r="V889" s="45">
        <v>10.3</v>
      </c>
      <c r="W889" s="45">
        <v>10.7</v>
      </c>
      <c r="X889" s="45">
        <v>10.7</v>
      </c>
      <c r="Y889" s="45">
        <v>8.699999999999999</v>
      </c>
      <c r="Z889" s="45">
        <v>7.2</v>
      </c>
      <c r="AA889" s="45">
        <v>11.4</v>
      </c>
      <c r="AB889" s="45">
        <v>10.8</v>
      </c>
      <c r="AC889" s="45">
        <v>20.1</v>
      </c>
      <c r="AD889" s="45">
        <v>11.3</v>
      </c>
    </row>
    <row r="890" spans="1:30">
      <c r="A890" s="73">
        <v>45758</v>
      </c>
      <c r="B890" s="24">
        <v>3091</v>
      </c>
      <c r="C890" s="24">
        <v>577</v>
      </c>
      <c r="D890" s="24">
        <v>386</v>
      </c>
      <c r="E890" s="24">
        <v>534</v>
      </c>
      <c r="F890" s="24">
        <v>574</v>
      </c>
      <c r="G890" s="24">
        <v>327</v>
      </c>
      <c r="H890" s="24">
        <v>192</v>
      </c>
      <c r="I890" s="24">
        <v>154</v>
      </c>
      <c r="J890" s="24">
        <v>347</v>
      </c>
      <c r="L890" s="45">
        <v>9.4</v>
      </c>
      <c r="M890" s="45">
        <v>3</v>
      </c>
      <c r="N890" s="45">
        <v>6.3</v>
      </c>
      <c r="O890" s="45">
        <v>18.5</v>
      </c>
      <c r="P890" s="45">
        <v>8.300000000000001</v>
      </c>
      <c r="Q890" s="45">
        <v>18.1</v>
      </c>
      <c r="R890" s="45">
        <v>3.8</v>
      </c>
      <c r="S890" s="45">
        <v>1.5</v>
      </c>
      <c r="T890" s="45">
        <v>9.800000000000001</v>
      </c>
      <c r="V890" s="45">
        <v>9.300000000000001</v>
      </c>
      <c r="W890" s="45">
        <v>10.4</v>
      </c>
      <c r="X890" s="45">
        <v>9.4</v>
      </c>
      <c r="Y890" s="45">
        <v>7.2</v>
      </c>
      <c r="Z890" s="45">
        <v>7.8</v>
      </c>
      <c r="AA890" s="45">
        <v>9.699999999999999</v>
      </c>
      <c r="AB890" s="45">
        <v>10.2</v>
      </c>
      <c r="AC890" s="45">
        <v>16.7</v>
      </c>
      <c r="AD890" s="45">
        <v>8.9</v>
      </c>
    </row>
    <row r="891" spans="1:30">
      <c r="A891" s="73">
        <v>45759</v>
      </c>
      <c r="B891" s="24">
        <v>0</v>
      </c>
      <c r="C891" s="24">
        <v>0</v>
      </c>
      <c r="D891" s="24">
        <v>0</v>
      </c>
      <c r="E891" s="24">
        <v>0</v>
      </c>
      <c r="F891" s="24">
        <v>0</v>
      </c>
      <c r="G891" s="24">
        <v>0</v>
      </c>
      <c r="H891" s="24">
        <v>0</v>
      </c>
      <c r="I891" s="24">
        <v>0</v>
      </c>
      <c r="J891" s="24">
        <v>0</v>
      </c>
      <c r="L891" s="45">
        <v>0</v>
      </c>
      <c r="M891" s="45">
        <v>0</v>
      </c>
      <c r="N891" s="45">
        <v>0</v>
      </c>
      <c r="O891" s="45">
        <v>0</v>
      </c>
      <c r="P891" s="45">
        <v>0</v>
      </c>
      <c r="Q891" s="45">
        <v>0</v>
      </c>
      <c r="R891" s="45">
        <v>0</v>
      </c>
      <c r="S891" s="45">
        <v>0</v>
      </c>
      <c r="T891" s="45">
        <v>0</v>
      </c>
      <c r="V891" s="45">
        <v>0</v>
      </c>
      <c r="W891" s="45">
        <v>0</v>
      </c>
      <c r="X891" s="45">
        <v>0</v>
      </c>
      <c r="Y891" s="45">
        <v>0</v>
      </c>
      <c r="Z891" s="45">
        <v>0</v>
      </c>
      <c r="AA891" s="45">
        <v>0</v>
      </c>
      <c r="AB891" s="45">
        <v>0</v>
      </c>
      <c r="AC891" s="45">
        <v>0</v>
      </c>
      <c r="AD891" s="45">
        <v>0</v>
      </c>
    </row>
    <row r="892" spans="1:30">
      <c r="A892" s="73">
        <v>45760</v>
      </c>
      <c r="B892" s="24">
        <v>85</v>
      </c>
      <c r="C892" s="24">
        <v>0</v>
      </c>
      <c r="D892" s="24">
        <v>0</v>
      </c>
      <c r="E892" s="24">
        <v>85</v>
      </c>
      <c r="F892" s="24">
        <v>0</v>
      </c>
      <c r="G892" s="24">
        <v>0</v>
      </c>
      <c r="H892" s="24">
        <v>0</v>
      </c>
      <c r="I892" s="24">
        <v>0</v>
      </c>
      <c r="J892" s="24">
        <v>0</v>
      </c>
      <c r="L892" s="45">
        <v>4.6</v>
      </c>
      <c r="M892" s="45">
        <v>0</v>
      </c>
      <c r="N892" s="45">
        <v>0</v>
      </c>
      <c r="O892" s="45">
        <v>4.6</v>
      </c>
      <c r="P892" s="45">
        <v>0</v>
      </c>
      <c r="Q892" s="45">
        <v>0</v>
      </c>
      <c r="R892" s="45">
        <v>0</v>
      </c>
      <c r="S892" s="45">
        <v>0</v>
      </c>
      <c r="T892" s="45">
        <v>0</v>
      </c>
      <c r="V892" s="45">
        <v>6.7</v>
      </c>
      <c r="W892" s="45">
        <v>0</v>
      </c>
      <c r="X892" s="45">
        <v>0</v>
      </c>
      <c r="Y892" s="45">
        <v>6.7</v>
      </c>
      <c r="Z892" s="45">
        <v>0</v>
      </c>
      <c r="AA892" s="45">
        <v>0</v>
      </c>
      <c r="AB892" s="45">
        <v>0</v>
      </c>
      <c r="AC892" s="45">
        <v>0</v>
      </c>
      <c r="AD892" s="45">
        <v>0</v>
      </c>
    </row>
    <row r="893" spans="1:30">
      <c r="A893" s="73">
        <v>45761</v>
      </c>
      <c r="B893" s="24">
        <v>3075</v>
      </c>
      <c r="C893" s="24">
        <v>616</v>
      </c>
      <c r="D893" s="24">
        <v>348</v>
      </c>
      <c r="E893" s="24">
        <v>520</v>
      </c>
      <c r="F893" s="24">
        <v>592</v>
      </c>
      <c r="G893" s="24">
        <v>328</v>
      </c>
      <c r="H893" s="24">
        <v>193</v>
      </c>
      <c r="I893" s="24">
        <v>155</v>
      </c>
      <c r="J893" s="24">
        <v>323</v>
      </c>
      <c r="L893" s="45">
        <v>11.5</v>
      </c>
      <c r="M893" s="45">
        <v>4.4</v>
      </c>
      <c r="N893" s="45">
        <v>3.5</v>
      </c>
      <c r="O893" s="45">
        <v>22.2</v>
      </c>
      <c r="P893" s="45">
        <v>18.2</v>
      </c>
      <c r="Q893" s="45">
        <v>18.5</v>
      </c>
      <c r="R893" s="45">
        <v>2.4</v>
      </c>
      <c r="S893" s="45">
        <v>2.8</v>
      </c>
      <c r="T893" s="45">
        <v>6.5</v>
      </c>
      <c r="V893" s="45">
        <v>9.300000000000001</v>
      </c>
      <c r="W893" s="45">
        <v>10.6</v>
      </c>
      <c r="X893" s="45">
        <v>10.1</v>
      </c>
      <c r="Y893" s="45">
        <v>7.3</v>
      </c>
      <c r="Z893" s="45">
        <v>6.9</v>
      </c>
      <c r="AA893" s="45">
        <v>8.300000000000001</v>
      </c>
      <c r="AB893" s="45">
        <v>10.2</v>
      </c>
      <c r="AC893" s="45">
        <v>16</v>
      </c>
      <c r="AD893" s="45">
        <v>11.3</v>
      </c>
    </row>
    <row r="894" spans="1:30">
      <c r="A894" s="73">
        <v>45762</v>
      </c>
      <c r="B894" s="24">
        <v>2890</v>
      </c>
      <c r="C894" s="24">
        <v>559</v>
      </c>
      <c r="D894" s="24">
        <v>324</v>
      </c>
      <c r="E894" s="24">
        <v>511</v>
      </c>
      <c r="F894" s="24">
        <v>556</v>
      </c>
      <c r="G894" s="24">
        <v>270</v>
      </c>
      <c r="H894" s="24">
        <v>207</v>
      </c>
      <c r="I894" s="24">
        <v>138</v>
      </c>
      <c r="J894" s="24">
        <v>325</v>
      </c>
      <c r="L894" s="45">
        <v>10.1</v>
      </c>
      <c r="M894" s="45">
        <v>5</v>
      </c>
      <c r="N894" s="45">
        <v>4</v>
      </c>
      <c r="O894" s="45">
        <v>14</v>
      </c>
      <c r="P894" s="45">
        <v>17.1</v>
      </c>
      <c r="Q894" s="45">
        <v>15.4</v>
      </c>
      <c r="R894" s="45">
        <v>5.6</v>
      </c>
      <c r="S894" s="45">
        <v>1.8</v>
      </c>
      <c r="T894" s="45">
        <v>9.1</v>
      </c>
      <c r="V894" s="45">
        <v>9.5</v>
      </c>
      <c r="W894" s="45">
        <v>10.4</v>
      </c>
      <c r="X894" s="45">
        <v>11.4</v>
      </c>
      <c r="Y894" s="45">
        <v>7.9</v>
      </c>
      <c r="Z894" s="45">
        <v>7</v>
      </c>
      <c r="AA894" s="45">
        <v>10.2</v>
      </c>
      <c r="AB894" s="45">
        <v>9.6</v>
      </c>
      <c r="AC894" s="45">
        <v>17.8</v>
      </c>
      <c r="AD894" s="45">
        <v>8.4</v>
      </c>
    </row>
    <row r="895" spans="1:30">
      <c r="A895" s="73">
        <v>45763</v>
      </c>
      <c r="B895" s="24">
        <v>3025</v>
      </c>
      <c r="C895" s="24">
        <v>601</v>
      </c>
      <c r="D895" s="24">
        <v>314</v>
      </c>
      <c r="E895" s="24">
        <v>545</v>
      </c>
      <c r="F895" s="24">
        <v>600</v>
      </c>
      <c r="G895" s="24">
        <v>313</v>
      </c>
      <c r="H895" s="24">
        <v>184</v>
      </c>
      <c r="I895" s="24">
        <v>138</v>
      </c>
      <c r="J895" s="24">
        <v>330</v>
      </c>
      <c r="L895" s="45">
        <v>11.4</v>
      </c>
      <c r="M895" s="45">
        <v>5</v>
      </c>
      <c r="N895" s="45">
        <v>4.6</v>
      </c>
      <c r="O895" s="45">
        <v>15.4</v>
      </c>
      <c r="P895" s="45">
        <v>20.9</v>
      </c>
      <c r="Q895" s="45">
        <v>15.5</v>
      </c>
      <c r="R895" s="45">
        <v>2.5</v>
      </c>
      <c r="S895" s="45">
        <v>1.4</v>
      </c>
      <c r="T895" s="45">
        <v>11.1</v>
      </c>
      <c r="V895" s="45">
        <v>9.5</v>
      </c>
      <c r="W895" s="45">
        <v>10.1</v>
      </c>
      <c r="X895" s="45">
        <v>11.4</v>
      </c>
      <c r="Y895" s="45">
        <v>7.5</v>
      </c>
      <c r="Z895" s="45">
        <v>6.9</v>
      </c>
      <c r="AA895" s="45">
        <v>10</v>
      </c>
      <c r="AB895" s="45">
        <v>10.5</v>
      </c>
      <c r="AC895" s="45">
        <v>18.3</v>
      </c>
      <c r="AD895" s="45">
        <v>10</v>
      </c>
    </row>
    <row r="896" spans="1:30">
      <c r="A896" s="73">
        <v>45764</v>
      </c>
      <c r="B896" s="24">
        <v>2844</v>
      </c>
      <c r="C896" s="24">
        <v>598</v>
      </c>
      <c r="D896" s="24">
        <v>334</v>
      </c>
      <c r="E896" s="24">
        <v>469</v>
      </c>
      <c r="F896" s="24">
        <v>556</v>
      </c>
      <c r="G896" s="24">
        <v>276</v>
      </c>
      <c r="H896" s="24">
        <v>191</v>
      </c>
      <c r="I896" s="24">
        <v>135</v>
      </c>
      <c r="J896" s="24">
        <v>285</v>
      </c>
      <c r="L896" s="45">
        <v>7.4</v>
      </c>
      <c r="M896" s="45">
        <v>3.6</v>
      </c>
      <c r="N896" s="45">
        <v>2.8</v>
      </c>
      <c r="O896" s="45">
        <v>13.4</v>
      </c>
      <c r="P896" s="45">
        <v>8</v>
      </c>
      <c r="Q896" s="45">
        <v>14.3</v>
      </c>
      <c r="R896" s="45">
        <v>4.4</v>
      </c>
      <c r="S896" s="45">
        <v>1.7</v>
      </c>
      <c r="T896" s="45">
        <v>8.1</v>
      </c>
      <c r="V896" s="45">
        <v>10</v>
      </c>
      <c r="W896" s="45">
        <v>10.7</v>
      </c>
      <c r="X896" s="45">
        <v>10.2</v>
      </c>
      <c r="Y896" s="45">
        <v>8</v>
      </c>
      <c r="Z896" s="45">
        <v>8</v>
      </c>
      <c r="AA896" s="45">
        <v>10.7</v>
      </c>
      <c r="AB896" s="45">
        <v>9.6</v>
      </c>
      <c r="AC896" s="45">
        <v>18.3</v>
      </c>
      <c r="AD896" s="45">
        <v>10.8</v>
      </c>
    </row>
    <row r="897" spans="1:30">
      <c r="A897" s="73">
        <v>45765</v>
      </c>
      <c r="B897" s="24">
        <v>3361</v>
      </c>
      <c r="C897" s="24">
        <v>643</v>
      </c>
      <c r="D897" s="24">
        <v>376</v>
      </c>
      <c r="E897" s="24">
        <v>530</v>
      </c>
      <c r="F897" s="24">
        <v>601</v>
      </c>
      <c r="G897" s="24">
        <v>336</v>
      </c>
      <c r="H897" s="24">
        <v>210</v>
      </c>
      <c r="I897" s="24">
        <v>169</v>
      </c>
      <c r="J897" s="24">
        <v>496</v>
      </c>
      <c r="L897" s="45">
        <v>8.9</v>
      </c>
      <c r="M897" s="45">
        <v>5.6</v>
      </c>
      <c r="N897" s="45">
        <v>6</v>
      </c>
      <c r="O897" s="45">
        <v>14</v>
      </c>
      <c r="P897" s="45">
        <v>11</v>
      </c>
      <c r="Q897" s="45">
        <v>16.1</v>
      </c>
      <c r="R897" s="45">
        <v>4.4</v>
      </c>
      <c r="S897" s="45">
        <v>1.2</v>
      </c>
      <c r="T897" s="45">
        <v>7</v>
      </c>
      <c r="V897" s="45">
        <v>9</v>
      </c>
      <c r="W897" s="45">
        <v>9.699999999999999</v>
      </c>
      <c r="X897" s="45">
        <v>9.4</v>
      </c>
      <c r="Y897" s="45">
        <v>7.8</v>
      </c>
      <c r="Z897" s="45">
        <v>7.4</v>
      </c>
      <c r="AA897" s="45">
        <v>9</v>
      </c>
      <c r="AB897" s="45">
        <v>9.5</v>
      </c>
      <c r="AC897" s="45">
        <v>17.2</v>
      </c>
      <c r="AD897" s="45">
        <v>8.1</v>
      </c>
    </row>
    <row r="898" spans="1:30">
      <c r="A898" s="73">
        <v>45766</v>
      </c>
      <c r="B898" s="24">
        <v>0</v>
      </c>
      <c r="C898" s="24">
        <v>0</v>
      </c>
      <c r="D898" s="24">
        <v>0</v>
      </c>
      <c r="E898" s="24">
        <v>0</v>
      </c>
      <c r="F898" s="24">
        <v>0</v>
      </c>
      <c r="G898" s="24">
        <v>0</v>
      </c>
      <c r="H898" s="24">
        <v>0</v>
      </c>
      <c r="I898" s="24">
        <v>0</v>
      </c>
      <c r="J898" s="24">
        <v>0</v>
      </c>
      <c r="L898" s="45">
        <v>0</v>
      </c>
      <c r="M898" s="45">
        <v>0</v>
      </c>
      <c r="N898" s="45">
        <v>0</v>
      </c>
      <c r="O898" s="45">
        <v>0</v>
      </c>
      <c r="P898" s="45">
        <v>0</v>
      </c>
      <c r="Q898" s="45">
        <v>0</v>
      </c>
      <c r="R898" s="45">
        <v>0</v>
      </c>
      <c r="S898" s="45">
        <v>0</v>
      </c>
      <c r="T898" s="45">
        <v>0</v>
      </c>
      <c r="V898" s="45">
        <v>0</v>
      </c>
      <c r="W898" s="45">
        <v>0</v>
      </c>
      <c r="X898" s="45">
        <v>0</v>
      </c>
      <c r="Y898" s="45">
        <v>0</v>
      </c>
      <c r="Z898" s="45">
        <v>0</v>
      </c>
      <c r="AA898" s="45">
        <v>0</v>
      </c>
      <c r="AB898" s="45">
        <v>0</v>
      </c>
      <c r="AC898" s="45">
        <v>0</v>
      </c>
      <c r="AD898" s="45">
        <v>0</v>
      </c>
    </row>
    <row r="899" spans="1:30">
      <c r="A899" s="73">
        <v>45767</v>
      </c>
      <c r="B899" s="24">
        <v>0</v>
      </c>
      <c r="C899" s="24">
        <v>0</v>
      </c>
      <c r="D899" s="24">
        <v>0</v>
      </c>
      <c r="E899" s="24">
        <v>0</v>
      </c>
      <c r="F899" s="24">
        <v>0</v>
      </c>
      <c r="G899" s="24">
        <v>0</v>
      </c>
      <c r="H899" s="24">
        <v>0</v>
      </c>
      <c r="I899" s="24">
        <v>0</v>
      </c>
      <c r="J899" s="24">
        <v>0</v>
      </c>
      <c r="L899" s="45">
        <v>0</v>
      </c>
      <c r="M899" s="45">
        <v>0</v>
      </c>
      <c r="N899" s="45">
        <v>0</v>
      </c>
      <c r="O899" s="45">
        <v>0</v>
      </c>
      <c r="P899" s="45">
        <v>0</v>
      </c>
      <c r="Q899" s="45">
        <v>0</v>
      </c>
      <c r="R899" s="45">
        <v>0</v>
      </c>
      <c r="S899" s="45">
        <v>0</v>
      </c>
      <c r="T899" s="45">
        <v>0</v>
      </c>
      <c r="V899" s="45">
        <v>0</v>
      </c>
      <c r="W899" s="45">
        <v>0</v>
      </c>
      <c r="X899" s="45">
        <v>0</v>
      </c>
      <c r="Y899" s="45">
        <v>0</v>
      </c>
      <c r="Z899" s="45">
        <v>0</v>
      </c>
      <c r="AA899" s="45">
        <v>0</v>
      </c>
      <c r="AB899" s="45">
        <v>0</v>
      </c>
      <c r="AC899" s="45">
        <v>0</v>
      </c>
      <c r="AD899" s="45">
        <v>0</v>
      </c>
    </row>
    <row r="900" spans="1:30">
      <c r="A900" s="73">
        <v>45768</v>
      </c>
      <c r="B900" s="24">
        <v>3588</v>
      </c>
      <c r="C900" s="24">
        <v>683</v>
      </c>
      <c r="D900" s="24">
        <v>373</v>
      </c>
      <c r="E900" s="24">
        <v>570</v>
      </c>
      <c r="F900" s="24">
        <v>637</v>
      </c>
      <c r="G900" s="24">
        <v>370</v>
      </c>
      <c r="H900" s="24">
        <v>245</v>
      </c>
      <c r="I900" s="24">
        <v>196</v>
      </c>
      <c r="J900" s="24">
        <v>514</v>
      </c>
      <c r="L900" s="45">
        <v>12.6</v>
      </c>
      <c r="M900" s="45">
        <v>7.2</v>
      </c>
      <c r="N900" s="45">
        <v>5</v>
      </c>
      <c r="O900" s="45">
        <v>21.3</v>
      </c>
      <c r="P900" s="45">
        <v>18.9</v>
      </c>
      <c r="Q900" s="45">
        <v>22</v>
      </c>
      <c r="R900" s="45">
        <v>4.9</v>
      </c>
      <c r="S900" s="45">
        <v>3.1</v>
      </c>
      <c r="T900" s="45">
        <v>8.5</v>
      </c>
      <c r="V900" s="45">
        <v>8.6</v>
      </c>
      <c r="W900" s="45">
        <v>9.300000000000001</v>
      </c>
      <c r="X900" s="45">
        <v>10</v>
      </c>
      <c r="Y900" s="45">
        <v>7.1</v>
      </c>
      <c r="Z900" s="45">
        <v>7.2</v>
      </c>
      <c r="AA900" s="45">
        <v>8.6</v>
      </c>
      <c r="AB900" s="45">
        <v>8.199999999999999</v>
      </c>
      <c r="AC900" s="45">
        <v>15.9</v>
      </c>
      <c r="AD900" s="45">
        <v>7.4</v>
      </c>
    </row>
    <row r="901" spans="1:30">
      <c r="A901" s="73">
        <v>45769</v>
      </c>
      <c r="B901" s="24">
        <v>2834</v>
      </c>
      <c r="C901" s="24">
        <v>558</v>
      </c>
      <c r="D901" s="24">
        <v>314</v>
      </c>
      <c r="E901" s="24">
        <v>451</v>
      </c>
      <c r="F901" s="24">
        <v>513</v>
      </c>
      <c r="G901" s="24">
        <v>327</v>
      </c>
      <c r="H901" s="24">
        <v>178</v>
      </c>
      <c r="I901" s="24">
        <v>128</v>
      </c>
      <c r="J901" s="24">
        <v>365</v>
      </c>
      <c r="L901" s="45">
        <v>8.300000000000001</v>
      </c>
      <c r="M901" s="45">
        <v>3.4</v>
      </c>
      <c r="N901" s="45">
        <v>4</v>
      </c>
      <c r="O901" s="45">
        <v>17.6</v>
      </c>
      <c r="P901" s="45">
        <v>8.199999999999999</v>
      </c>
      <c r="Q901" s="45">
        <v>17</v>
      </c>
      <c r="R901" s="45">
        <v>1.6</v>
      </c>
      <c r="S901" s="45">
        <v>2.3</v>
      </c>
      <c r="T901" s="45">
        <v>5.4</v>
      </c>
      <c r="V901" s="45">
        <v>10.2</v>
      </c>
      <c r="W901" s="45">
        <v>11</v>
      </c>
      <c r="X901" s="45">
        <v>12.3</v>
      </c>
      <c r="Y901" s="45">
        <v>8.6</v>
      </c>
      <c r="Z901" s="45">
        <v>7.6</v>
      </c>
      <c r="AA901" s="45">
        <v>9.699999999999999</v>
      </c>
      <c r="AB901" s="45">
        <v>11.5</v>
      </c>
      <c r="AC901" s="45">
        <v>19.5</v>
      </c>
      <c r="AD901" s="45">
        <v>9.699999999999999</v>
      </c>
    </row>
    <row r="902" spans="1:30">
      <c r="A902" s="73">
        <v>45770</v>
      </c>
      <c r="B902" s="24">
        <v>2840</v>
      </c>
      <c r="C902" s="24">
        <v>559</v>
      </c>
      <c r="D902" s="24">
        <v>299</v>
      </c>
      <c r="E902" s="24">
        <v>455</v>
      </c>
      <c r="F902" s="24">
        <v>524</v>
      </c>
      <c r="G902" s="24">
        <v>295</v>
      </c>
      <c r="H902" s="24">
        <v>185</v>
      </c>
      <c r="I902" s="24">
        <v>127</v>
      </c>
      <c r="J902" s="24">
        <v>396</v>
      </c>
      <c r="L902" s="45">
        <v>7.7</v>
      </c>
      <c r="M902" s="45">
        <v>5.4</v>
      </c>
      <c r="N902" s="45">
        <v>4.8</v>
      </c>
      <c r="O902" s="45">
        <v>13.6</v>
      </c>
      <c r="P902" s="45">
        <v>8.4</v>
      </c>
      <c r="Q902" s="45">
        <v>12.7</v>
      </c>
      <c r="R902" s="45">
        <v>2.4</v>
      </c>
      <c r="S902" s="45">
        <v>1.4</v>
      </c>
      <c r="T902" s="45">
        <v>6.5</v>
      </c>
      <c r="V902" s="45">
        <v>10.2</v>
      </c>
      <c r="W902" s="45">
        <v>10.3</v>
      </c>
      <c r="X902" s="45">
        <v>11.9</v>
      </c>
      <c r="Y902" s="45">
        <v>8.1</v>
      </c>
      <c r="Z902" s="45">
        <v>7.8</v>
      </c>
      <c r="AA902" s="45">
        <v>10</v>
      </c>
      <c r="AB902" s="45">
        <v>10.7</v>
      </c>
      <c r="AC902" s="45">
        <v>20</v>
      </c>
      <c r="AD902" s="45">
        <v>11.2</v>
      </c>
    </row>
    <row r="903" spans="1:30">
      <c r="A903" s="73">
        <v>45771</v>
      </c>
      <c r="B903" s="24">
        <v>2701</v>
      </c>
      <c r="C903" s="24">
        <v>543</v>
      </c>
      <c r="D903" s="24">
        <v>282</v>
      </c>
      <c r="E903" s="24">
        <v>483</v>
      </c>
      <c r="F903" s="24">
        <v>461</v>
      </c>
      <c r="G903" s="24">
        <v>266</v>
      </c>
      <c r="H903" s="24">
        <v>158</v>
      </c>
      <c r="I903" s="24">
        <v>126</v>
      </c>
      <c r="J903" s="24">
        <v>382</v>
      </c>
      <c r="L903" s="45">
        <v>5.9</v>
      </c>
      <c r="M903" s="45">
        <v>2</v>
      </c>
      <c r="N903" s="45">
        <v>3.1</v>
      </c>
      <c r="O903" s="45">
        <v>13.9</v>
      </c>
      <c r="P903" s="45">
        <v>5.4</v>
      </c>
      <c r="Q903" s="45">
        <v>11.1</v>
      </c>
      <c r="R903" s="45">
        <v>2</v>
      </c>
      <c r="S903" s="45">
        <v>1.4</v>
      </c>
      <c r="T903" s="45">
        <v>3.8</v>
      </c>
      <c r="V903" s="45">
        <v>10.4</v>
      </c>
      <c r="W903" s="45">
        <v>11.5</v>
      </c>
      <c r="X903" s="45">
        <v>11.7</v>
      </c>
      <c r="Y903" s="45">
        <v>7.5</v>
      </c>
      <c r="Z903" s="45">
        <v>8.4</v>
      </c>
      <c r="AA903" s="45">
        <v>10.4</v>
      </c>
      <c r="AB903" s="45">
        <v>11.8</v>
      </c>
      <c r="AC903" s="45">
        <v>21.9</v>
      </c>
      <c r="AD903" s="45">
        <v>9.800000000000001</v>
      </c>
    </row>
    <row r="904" spans="1:30">
      <c r="A904" s="73">
        <v>45772</v>
      </c>
      <c r="B904" s="24">
        <v>2974</v>
      </c>
      <c r="C904" s="24">
        <v>591</v>
      </c>
      <c r="D904" s="24">
        <v>343</v>
      </c>
      <c r="E904" s="24">
        <v>454</v>
      </c>
      <c r="F904" s="24">
        <v>563</v>
      </c>
      <c r="G904" s="24">
        <v>296</v>
      </c>
      <c r="H904" s="24">
        <v>187</v>
      </c>
      <c r="I904" s="24">
        <v>158</v>
      </c>
      <c r="J904" s="24">
        <v>382</v>
      </c>
      <c r="L904" s="45">
        <v>7.2</v>
      </c>
      <c r="M904" s="45">
        <v>2.2</v>
      </c>
      <c r="N904" s="45">
        <v>3.9</v>
      </c>
      <c r="O904" s="45">
        <v>10.1</v>
      </c>
      <c r="P904" s="45">
        <v>11.6</v>
      </c>
      <c r="Q904" s="45">
        <v>14.7</v>
      </c>
      <c r="R904" s="45">
        <v>5.3</v>
      </c>
      <c r="S904" s="45">
        <v>1.7</v>
      </c>
      <c r="T904" s="45">
        <v>5.6</v>
      </c>
      <c r="V904" s="45">
        <v>10</v>
      </c>
      <c r="W904" s="45">
        <v>9.9</v>
      </c>
      <c r="X904" s="45">
        <v>11.5</v>
      </c>
      <c r="Y904" s="45">
        <v>9</v>
      </c>
      <c r="Z904" s="45">
        <v>7.6</v>
      </c>
      <c r="AA904" s="45">
        <v>10.6</v>
      </c>
      <c r="AB904" s="45">
        <v>10.9</v>
      </c>
      <c r="AC904" s="45">
        <v>18.7</v>
      </c>
      <c r="AD904" s="45">
        <v>9.5</v>
      </c>
    </row>
    <row r="905" spans="1:30">
      <c r="A905" s="73">
        <v>45773</v>
      </c>
      <c r="B905" s="24">
        <v>0</v>
      </c>
      <c r="C905" s="24">
        <v>0</v>
      </c>
      <c r="D905" s="24">
        <v>0</v>
      </c>
      <c r="E905" s="24">
        <v>0</v>
      </c>
      <c r="F905" s="24">
        <v>0</v>
      </c>
      <c r="G905" s="24">
        <v>0</v>
      </c>
      <c r="H905" s="24">
        <v>0</v>
      </c>
      <c r="I905" s="24">
        <v>0</v>
      </c>
      <c r="J905" s="24">
        <v>0</v>
      </c>
      <c r="L905" s="45">
        <v>0</v>
      </c>
      <c r="M905" s="45">
        <v>0</v>
      </c>
      <c r="N905" s="45">
        <v>0</v>
      </c>
      <c r="O905" s="45">
        <v>0</v>
      </c>
      <c r="P905" s="45">
        <v>0</v>
      </c>
      <c r="Q905" s="45">
        <v>0</v>
      </c>
      <c r="R905" s="45">
        <v>0</v>
      </c>
      <c r="S905" s="45">
        <v>0</v>
      </c>
      <c r="T905" s="45">
        <v>0</v>
      </c>
      <c r="V905" s="45">
        <v>0</v>
      </c>
      <c r="W905" s="45">
        <v>0</v>
      </c>
      <c r="X905" s="45">
        <v>0</v>
      </c>
      <c r="Y905" s="45">
        <v>0</v>
      </c>
      <c r="Z905" s="45">
        <v>0</v>
      </c>
      <c r="AA905" s="45">
        <v>0</v>
      </c>
      <c r="AB905" s="45">
        <v>0</v>
      </c>
      <c r="AC905" s="45">
        <v>0</v>
      </c>
      <c r="AD905" s="45">
        <v>0</v>
      </c>
    </row>
    <row r="906" spans="1:30">
      <c r="A906" s="73">
        <v>45774</v>
      </c>
      <c r="B906" s="24">
        <v>0</v>
      </c>
      <c r="C906" s="24">
        <v>0</v>
      </c>
      <c r="D906" s="24">
        <v>0</v>
      </c>
      <c r="E906" s="24">
        <v>0</v>
      </c>
      <c r="F906" s="24">
        <v>0</v>
      </c>
      <c r="G906" s="24">
        <v>0</v>
      </c>
      <c r="H906" s="24">
        <v>0</v>
      </c>
      <c r="I906" s="24">
        <v>0</v>
      </c>
      <c r="J906" s="24">
        <v>0</v>
      </c>
      <c r="L906" s="45">
        <v>0</v>
      </c>
      <c r="M906" s="45">
        <v>0</v>
      </c>
      <c r="N906" s="45">
        <v>0</v>
      </c>
      <c r="O906" s="45">
        <v>0</v>
      </c>
      <c r="P906" s="45">
        <v>0</v>
      </c>
      <c r="Q906" s="45">
        <v>0</v>
      </c>
      <c r="R906" s="45">
        <v>0</v>
      </c>
      <c r="S906" s="45">
        <v>0</v>
      </c>
      <c r="T906" s="45">
        <v>0</v>
      </c>
      <c r="V906" s="45">
        <v>0</v>
      </c>
      <c r="W906" s="45">
        <v>0</v>
      </c>
      <c r="X906" s="45">
        <v>0</v>
      </c>
      <c r="Y906" s="45">
        <v>0</v>
      </c>
      <c r="Z906" s="45">
        <v>0</v>
      </c>
      <c r="AA906" s="45">
        <v>0</v>
      </c>
      <c r="AB906" s="45">
        <v>0</v>
      </c>
      <c r="AC906" s="45">
        <v>0</v>
      </c>
      <c r="AD906" s="45">
        <v>0</v>
      </c>
    </row>
    <row r="907" spans="1:30">
      <c r="A907" s="73">
        <v>45775</v>
      </c>
      <c r="B907" s="24">
        <v>4494</v>
      </c>
      <c r="C907" s="24">
        <v>853</v>
      </c>
      <c r="D907" s="24">
        <v>493</v>
      </c>
      <c r="E907" s="24">
        <v>735</v>
      </c>
      <c r="F907" s="24">
        <v>834</v>
      </c>
      <c r="G907" s="24">
        <v>467</v>
      </c>
      <c r="H907" s="24">
        <v>283</v>
      </c>
      <c r="I907" s="24">
        <v>220</v>
      </c>
      <c r="J907" s="24">
        <v>609</v>
      </c>
      <c r="L907" s="45">
        <v>20.3</v>
      </c>
      <c r="M907" s="45">
        <v>11.1</v>
      </c>
      <c r="N907" s="45">
        <v>5</v>
      </c>
      <c r="O907" s="45">
        <v>41.8</v>
      </c>
      <c r="P907" s="45">
        <v>27.6</v>
      </c>
      <c r="Q907" s="45">
        <v>34</v>
      </c>
      <c r="R907" s="45">
        <v>9.6</v>
      </c>
      <c r="S907" s="45">
        <v>3.5</v>
      </c>
      <c r="T907" s="45">
        <v>10.7</v>
      </c>
      <c r="V907" s="45">
        <v>6.9</v>
      </c>
      <c r="W907" s="45">
        <v>7.6</v>
      </c>
      <c r="X907" s="45">
        <v>8.1</v>
      </c>
      <c r="Y907" s="45">
        <v>5.4</v>
      </c>
      <c r="Z907" s="45">
        <v>5.6</v>
      </c>
      <c r="AA907" s="45">
        <v>6.3</v>
      </c>
      <c r="AB907" s="45">
        <v>6.9</v>
      </c>
      <c r="AC907" s="45">
        <v>13.3</v>
      </c>
      <c r="AD907" s="45">
        <v>6.6</v>
      </c>
    </row>
    <row r="908" spans="1:30">
      <c r="A908" s="73">
        <v>45776</v>
      </c>
      <c r="B908" s="24">
        <v>0</v>
      </c>
      <c r="C908" s="24">
        <v>0</v>
      </c>
      <c r="D908" s="24">
        <v>0</v>
      </c>
      <c r="E908" s="24">
        <v>0</v>
      </c>
      <c r="F908" s="24">
        <v>0</v>
      </c>
      <c r="G908" s="24">
        <v>0</v>
      </c>
      <c r="H908" s="24">
        <v>0</v>
      </c>
      <c r="I908" s="24">
        <v>0</v>
      </c>
      <c r="J908" s="24">
        <v>0</v>
      </c>
      <c r="L908" s="45">
        <v>0</v>
      </c>
      <c r="M908" s="45">
        <v>0</v>
      </c>
      <c r="N908" s="45">
        <v>0</v>
      </c>
      <c r="O908" s="45">
        <v>0</v>
      </c>
      <c r="P908" s="45">
        <v>0</v>
      </c>
      <c r="Q908" s="45">
        <v>0</v>
      </c>
      <c r="R908" s="45">
        <v>0</v>
      </c>
      <c r="S908" s="45">
        <v>0</v>
      </c>
      <c r="T908" s="45">
        <v>0</v>
      </c>
      <c r="V908" s="45">
        <v>0</v>
      </c>
      <c r="W908" s="45">
        <v>0</v>
      </c>
      <c r="X908" s="45">
        <v>0</v>
      </c>
      <c r="Y908" s="45">
        <v>0</v>
      </c>
      <c r="Z908" s="45">
        <v>0</v>
      </c>
      <c r="AA908" s="45">
        <v>0</v>
      </c>
      <c r="AB908" s="45">
        <v>0</v>
      </c>
      <c r="AC908" s="45">
        <v>0</v>
      </c>
      <c r="AD908" s="45">
        <v>0</v>
      </c>
    </row>
    <row r="909" spans="1:30">
      <c r="A909" s="73">
        <v>45777</v>
      </c>
      <c r="B909" s="24">
        <v>4200</v>
      </c>
      <c r="C909" s="24">
        <v>778</v>
      </c>
      <c r="D909" s="24">
        <v>469</v>
      </c>
      <c r="E909" s="24">
        <v>694</v>
      </c>
      <c r="F909" s="24">
        <v>801</v>
      </c>
      <c r="G909" s="24">
        <v>419</v>
      </c>
      <c r="H909" s="24">
        <v>276</v>
      </c>
      <c r="I909" s="24">
        <v>188</v>
      </c>
      <c r="J909" s="24">
        <v>575</v>
      </c>
      <c r="L909" s="45">
        <v>21.6</v>
      </c>
      <c r="M909" s="45">
        <v>12.1</v>
      </c>
      <c r="N909" s="45">
        <v>5.9</v>
      </c>
      <c r="O909" s="45">
        <v>47.7</v>
      </c>
      <c r="P909" s="45">
        <v>32.9</v>
      </c>
      <c r="Q909" s="45">
        <v>30.6</v>
      </c>
      <c r="R909" s="45">
        <v>4.4</v>
      </c>
      <c r="S909" s="45">
        <v>3.7</v>
      </c>
      <c r="T909" s="45">
        <v>8.4</v>
      </c>
      <c r="V909" s="45">
        <v>7</v>
      </c>
      <c r="W909" s="45">
        <v>7.7</v>
      </c>
      <c r="X909" s="45">
        <v>7.4</v>
      </c>
      <c r="Y909" s="45">
        <v>6.1</v>
      </c>
      <c r="Z909" s="45">
        <v>5.5</v>
      </c>
      <c r="AA909" s="45">
        <v>6.8</v>
      </c>
      <c r="AB909" s="45">
        <v>7.7</v>
      </c>
      <c r="AC909" s="45">
        <v>14.7</v>
      </c>
      <c r="AD909" s="45">
        <v>6.6</v>
      </c>
    </row>
    <row r="910" spans="1:30">
      <c r="A910" s="73">
        <v>45778</v>
      </c>
      <c r="B910" s="24">
        <v>3842</v>
      </c>
      <c r="C910" s="24">
        <v>721</v>
      </c>
      <c r="D910" s="24">
        <v>440</v>
      </c>
      <c r="E910" s="24">
        <v>631</v>
      </c>
      <c r="F910" s="24">
        <v>744</v>
      </c>
      <c r="G910" s="24">
        <v>414</v>
      </c>
      <c r="H910" s="24">
        <v>209</v>
      </c>
      <c r="I910" s="24">
        <v>183</v>
      </c>
      <c r="J910" s="24">
        <v>500</v>
      </c>
      <c r="L910" s="45">
        <v>17.8</v>
      </c>
      <c r="M910" s="45">
        <v>8.5</v>
      </c>
      <c r="N910" s="45">
        <v>5.6</v>
      </c>
      <c r="O910" s="45">
        <v>36.8</v>
      </c>
      <c r="P910" s="45">
        <v>22.4</v>
      </c>
      <c r="Q910" s="45">
        <v>35.5</v>
      </c>
      <c r="R910" s="45">
        <v>4.1</v>
      </c>
      <c r="S910" s="45">
        <v>2.8</v>
      </c>
      <c r="T910" s="45">
        <v>8</v>
      </c>
      <c r="V910" s="45">
        <v>7.6</v>
      </c>
      <c r="W910" s="45">
        <v>9</v>
      </c>
      <c r="X910" s="45">
        <v>8.6</v>
      </c>
      <c r="Y910" s="45">
        <v>6</v>
      </c>
      <c r="Z910" s="45">
        <v>5.5</v>
      </c>
      <c r="AA910" s="45">
        <v>6.5</v>
      </c>
      <c r="AB910" s="45">
        <v>9</v>
      </c>
      <c r="AC910" s="45">
        <v>15.1</v>
      </c>
      <c r="AD910" s="45">
        <v>7.7</v>
      </c>
    </row>
    <row r="911" spans="1:30">
      <c r="A911" s="73">
        <v>45779</v>
      </c>
      <c r="B911" s="24">
        <v>3546</v>
      </c>
      <c r="C911" s="24">
        <v>621</v>
      </c>
      <c r="D911" s="24">
        <v>414</v>
      </c>
      <c r="E911" s="24">
        <v>595</v>
      </c>
      <c r="F911" s="24">
        <v>680</v>
      </c>
      <c r="G911" s="24">
        <v>375</v>
      </c>
      <c r="H911" s="24">
        <v>189</v>
      </c>
      <c r="I911" s="24">
        <v>201</v>
      </c>
      <c r="J911" s="24">
        <v>471</v>
      </c>
      <c r="L911" s="45">
        <v>16.6</v>
      </c>
      <c r="M911" s="45">
        <v>8.4</v>
      </c>
      <c r="N911" s="45">
        <v>3.9</v>
      </c>
      <c r="O911" s="45">
        <v>38.7</v>
      </c>
      <c r="P911" s="45">
        <v>24.2</v>
      </c>
      <c r="Q911" s="45">
        <v>23.8</v>
      </c>
      <c r="R911" s="45">
        <v>4.1</v>
      </c>
      <c r="S911" s="45">
        <v>3.3</v>
      </c>
      <c r="T911" s="45">
        <v>4.6</v>
      </c>
      <c r="V911" s="45">
        <v>8.5</v>
      </c>
      <c r="W911" s="45">
        <v>9.9</v>
      </c>
      <c r="X911" s="45">
        <v>8.699999999999999</v>
      </c>
      <c r="Y911" s="45">
        <v>6.9</v>
      </c>
      <c r="Z911" s="45">
        <v>6.6</v>
      </c>
      <c r="AA911" s="45">
        <v>8.1</v>
      </c>
      <c r="AB911" s="45">
        <v>9.199999999999999</v>
      </c>
      <c r="AC911" s="45">
        <v>15.8</v>
      </c>
      <c r="AD911" s="45">
        <v>8.699999999999999</v>
      </c>
    </row>
    <row r="912" spans="1:30">
      <c r="A912" s="73">
        <v>45780</v>
      </c>
      <c r="B912" s="24">
        <v>0</v>
      </c>
      <c r="C912" s="24">
        <v>0</v>
      </c>
      <c r="D912" s="24">
        <v>0</v>
      </c>
      <c r="E912" s="24">
        <v>0</v>
      </c>
      <c r="F912" s="24">
        <v>0</v>
      </c>
      <c r="G912" s="24">
        <v>0</v>
      </c>
      <c r="H912" s="24">
        <v>0</v>
      </c>
      <c r="I912" s="24">
        <v>0</v>
      </c>
      <c r="J912" s="24">
        <v>0</v>
      </c>
      <c r="L912" s="45">
        <v>0</v>
      </c>
      <c r="M912" s="45">
        <v>0</v>
      </c>
      <c r="N912" s="45">
        <v>0</v>
      </c>
      <c r="O912" s="45">
        <v>0</v>
      </c>
      <c r="P912" s="45">
        <v>0</v>
      </c>
      <c r="Q912" s="45">
        <v>0</v>
      </c>
      <c r="R912" s="45">
        <v>0</v>
      </c>
      <c r="S912" s="45">
        <v>0</v>
      </c>
      <c r="T912" s="45">
        <v>0</v>
      </c>
      <c r="V912" s="45">
        <v>0</v>
      </c>
      <c r="W912" s="45">
        <v>0</v>
      </c>
      <c r="X912" s="45">
        <v>0</v>
      </c>
      <c r="Y912" s="45">
        <v>0</v>
      </c>
      <c r="Z912" s="45">
        <v>0</v>
      </c>
      <c r="AA912" s="45">
        <v>0</v>
      </c>
      <c r="AB912" s="45">
        <v>0</v>
      </c>
      <c r="AC912" s="45">
        <v>0</v>
      </c>
      <c r="AD912" s="45">
        <v>0</v>
      </c>
    </row>
    <row r="913" spans="1:30">
      <c r="A913" s="73">
        <v>45781</v>
      </c>
      <c r="B913" s="24">
        <v>0</v>
      </c>
      <c r="C913" s="24">
        <v>0</v>
      </c>
      <c r="D913" s="24">
        <v>0</v>
      </c>
      <c r="E913" s="24">
        <v>0</v>
      </c>
      <c r="F913" s="24">
        <v>0</v>
      </c>
      <c r="G913" s="24">
        <v>0</v>
      </c>
      <c r="H913" s="24">
        <v>0</v>
      </c>
      <c r="I913" s="24">
        <v>0</v>
      </c>
      <c r="J913" s="24">
        <v>0</v>
      </c>
      <c r="L913" s="45">
        <v>0</v>
      </c>
      <c r="M913" s="45">
        <v>0</v>
      </c>
      <c r="N913" s="45">
        <v>0</v>
      </c>
      <c r="O913" s="45">
        <v>0</v>
      </c>
      <c r="P913" s="45">
        <v>0</v>
      </c>
      <c r="Q913" s="45">
        <v>0</v>
      </c>
      <c r="R913" s="45">
        <v>0</v>
      </c>
      <c r="S913" s="45">
        <v>0</v>
      </c>
      <c r="T913" s="45">
        <v>0</v>
      </c>
      <c r="V913" s="45">
        <v>0</v>
      </c>
      <c r="W913" s="45">
        <v>0</v>
      </c>
      <c r="X913" s="45">
        <v>0</v>
      </c>
      <c r="Y913" s="45">
        <v>0</v>
      </c>
      <c r="Z913" s="45">
        <v>0</v>
      </c>
      <c r="AA913" s="45">
        <v>0</v>
      </c>
      <c r="AB913" s="45">
        <v>0</v>
      </c>
      <c r="AC913" s="45">
        <v>0</v>
      </c>
      <c r="AD913" s="45">
        <v>0</v>
      </c>
    </row>
    <row r="914" spans="1:30">
      <c r="A914" s="73">
        <v>45782</v>
      </c>
      <c r="B914" s="24">
        <v>0</v>
      </c>
      <c r="C914" s="24">
        <v>0</v>
      </c>
      <c r="D914" s="24">
        <v>0</v>
      </c>
      <c r="E914" s="24">
        <v>0</v>
      </c>
      <c r="F914" s="24">
        <v>0</v>
      </c>
      <c r="G914" s="24">
        <v>0</v>
      </c>
      <c r="H914" s="24">
        <v>0</v>
      </c>
      <c r="I914" s="24">
        <v>0</v>
      </c>
      <c r="J914" s="24">
        <v>0</v>
      </c>
      <c r="L914" s="45">
        <v>0</v>
      </c>
      <c r="M914" s="45">
        <v>0</v>
      </c>
      <c r="N914" s="45">
        <v>0</v>
      </c>
      <c r="O914" s="45">
        <v>0</v>
      </c>
      <c r="P914" s="45">
        <v>0</v>
      </c>
      <c r="Q914" s="45">
        <v>0</v>
      </c>
      <c r="R914" s="45">
        <v>0</v>
      </c>
      <c r="S914" s="45">
        <v>0</v>
      </c>
      <c r="T914" s="45">
        <v>0</v>
      </c>
      <c r="V914" s="45">
        <v>0</v>
      </c>
      <c r="W914" s="45">
        <v>0</v>
      </c>
      <c r="X914" s="45">
        <v>0</v>
      </c>
      <c r="Y914" s="45">
        <v>0</v>
      </c>
      <c r="Z914" s="45">
        <v>0</v>
      </c>
      <c r="AA914" s="45">
        <v>0</v>
      </c>
      <c r="AB914" s="45">
        <v>0</v>
      </c>
      <c r="AC914" s="45">
        <v>0</v>
      </c>
      <c r="AD914" s="45">
        <v>0</v>
      </c>
    </row>
    <row r="915" spans="1:30">
      <c r="A915" s="73">
        <v>45783</v>
      </c>
      <c r="B915" s="24">
        <v>0</v>
      </c>
      <c r="C915" s="24">
        <v>0</v>
      </c>
      <c r="D915" s="24">
        <v>0</v>
      </c>
      <c r="E915" s="24">
        <v>0</v>
      </c>
      <c r="F915" s="24">
        <v>0</v>
      </c>
      <c r="G915" s="24">
        <v>0</v>
      </c>
      <c r="H915" s="24">
        <v>0</v>
      </c>
      <c r="I915" s="24">
        <v>0</v>
      </c>
      <c r="J915" s="24">
        <v>0</v>
      </c>
      <c r="L915" s="45">
        <v>0</v>
      </c>
      <c r="M915" s="45">
        <v>0</v>
      </c>
      <c r="N915" s="45">
        <v>0</v>
      </c>
      <c r="O915" s="45">
        <v>0</v>
      </c>
      <c r="P915" s="45">
        <v>0</v>
      </c>
      <c r="Q915" s="45">
        <v>0</v>
      </c>
      <c r="R915" s="45">
        <v>0</v>
      </c>
      <c r="S915" s="45">
        <v>0</v>
      </c>
      <c r="T915" s="45">
        <v>0</v>
      </c>
      <c r="V915" s="45">
        <v>0</v>
      </c>
      <c r="W915" s="45">
        <v>0</v>
      </c>
      <c r="X915" s="45">
        <v>0</v>
      </c>
      <c r="Y915" s="45">
        <v>0</v>
      </c>
      <c r="Z915" s="45">
        <v>0</v>
      </c>
      <c r="AA915" s="45">
        <v>0</v>
      </c>
      <c r="AB915" s="45">
        <v>0</v>
      </c>
      <c r="AC915" s="45">
        <v>0</v>
      </c>
      <c r="AD915" s="45">
        <v>0</v>
      </c>
    </row>
    <row r="916" spans="1:30">
      <c r="A916" s="73">
        <v>45784</v>
      </c>
      <c r="B916" s="24">
        <v>3462</v>
      </c>
      <c r="C916" s="24">
        <v>648</v>
      </c>
      <c r="D916" s="24">
        <v>356</v>
      </c>
      <c r="E916" s="24">
        <v>546</v>
      </c>
      <c r="F916" s="24">
        <v>724</v>
      </c>
      <c r="G916" s="24">
        <v>354</v>
      </c>
      <c r="H916" s="24">
        <v>220</v>
      </c>
      <c r="I916" s="24">
        <v>177</v>
      </c>
      <c r="J916" s="24">
        <v>437</v>
      </c>
      <c r="L916" s="45">
        <v>11</v>
      </c>
      <c r="M916" s="45">
        <v>3.7</v>
      </c>
      <c r="N916" s="45">
        <v>3.2</v>
      </c>
      <c r="O916" s="45">
        <v>16.1</v>
      </c>
      <c r="P916" s="45">
        <v>20.4</v>
      </c>
      <c r="Q916" s="45">
        <v>19.3</v>
      </c>
      <c r="R916" s="45">
        <v>7.7</v>
      </c>
      <c r="S916" s="45">
        <v>3.2</v>
      </c>
      <c r="T916" s="45">
        <v>4</v>
      </c>
      <c r="V916" s="45">
        <v>8.6</v>
      </c>
      <c r="W916" s="45">
        <v>9.5</v>
      </c>
      <c r="X916" s="45">
        <v>9.9</v>
      </c>
      <c r="Y916" s="45">
        <v>7.4</v>
      </c>
      <c r="Z916" s="45">
        <v>5.8</v>
      </c>
      <c r="AA916" s="45">
        <v>7.9</v>
      </c>
      <c r="AB916" s="45">
        <v>8.699999999999999</v>
      </c>
      <c r="AC916" s="45">
        <v>16.5</v>
      </c>
      <c r="AD916" s="45">
        <v>9.6</v>
      </c>
    </row>
    <row r="917" spans="1:30">
      <c r="A917" s="73">
        <v>45785</v>
      </c>
      <c r="B917" s="24">
        <v>3133</v>
      </c>
      <c r="C917" s="24">
        <v>592</v>
      </c>
      <c r="D917" s="24">
        <v>335</v>
      </c>
      <c r="E917" s="24">
        <v>482</v>
      </c>
      <c r="F917" s="24">
        <v>655</v>
      </c>
      <c r="G917" s="24">
        <v>309</v>
      </c>
      <c r="H917" s="24">
        <v>177</v>
      </c>
      <c r="I917" s="24">
        <v>161</v>
      </c>
      <c r="J917" s="24">
        <v>422</v>
      </c>
      <c r="L917" s="45">
        <v>11.2</v>
      </c>
      <c r="M917" s="45">
        <v>3.8</v>
      </c>
      <c r="N917" s="45">
        <v>3.7</v>
      </c>
      <c r="O917" s="45">
        <v>14.5</v>
      </c>
      <c r="P917" s="45">
        <v>26.9</v>
      </c>
      <c r="Q917" s="45">
        <v>12.6</v>
      </c>
      <c r="R917" s="45">
        <v>2.3</v>
      </c>
      <c r="S917" s="45">
        <v>2.6</v>
      </c>
      <c r="T917" s="45">
        <v>5.6</v>
      </c>
      <c r="V917" s="45">
        <v>9.199999999999999</v>
      </c>
      <c r="W917" s="45">
        <v>10.5</v>
      </c>
      <c r="X917" s="45">
        <v>10.4</v>
      </c>
      <c r="Y917" s="45">
        <v>7.8</v>
      </c>
      <c r="Z917" s="45">
        <v>6.1</v>
      </c>
      <c r="AA917" s="45">
        <v>9</v>
      </c>
      <c r="AB917" s="45">
        <v>11.6</v>
      </c>
      <c r="AC917" s="45">
        <v>17.2</v>
      </c>
      <c r="AD917" s="45">
        <v>9.300000000000001</v>
      </c>
    </row>
    <row r="918" spans="1:30">
      <c r="A918" s="73">
        <v>45786</v>
      </c>
      <c r="B918" s="24">
        <v>2556</v>
      </c>
      <c r="C918" s="24">
        <v>474</v>
      </c>
      <c r="D918" s="24">
        <v>284</v>
      </c>
      <c r="E918" s="24">
        <v>376</v>
      </c>
      <c r="F918" s="24">
        <v>510</v>
      </c>
      <c r="G918" s="24">
        <v>279</v>
      </c>
      <c r="H918" s="24">
        <v>151</v>
      </c>
      <c r="I918" s="24">
        <v>139</v>
      </c>
      <c r="J918" s="24">
        <v>343</v>
      </c>
      <c r="L918" s="45">
        <v>5.1</v>
      </c>
      <c r="M918" s="45">
        <v>2.4</v>
      </c>
      <c r="N918" s="45">
        <v>1.9</v>
      </c>
      <c r="O918" s="45">
        <v>11.2</v>
      </c>
      <c r="P918" s="45">
        <v>5.4</v>
      </c>
      <c r="Q918" s="45">
        <v>9.699999999999999</v>
      </c>
      <c r="R918" s="45">
        <v>3.5</v>
      </c>
      <c r="S918" s="45">
        <v>1.9</v>
      </c>
      <c r="T918" s="45">
        <v>2.7</v>
      </c>
      <c r="V918" s="45">
        <v>11.3</v>
      </c>
      <c r="W918" s="45">
        <v>12.3</v>
      </c>
      <c r="X918" s="45">
        <v>13</v>
      </c>
      <c r="Y918" s="45">
        <v>9.699999999999999</v>
      </c>
      <c r="Z918" s="45">
        <v>8.199999999999999</v>
      </c>
      <c r="AA918" s="45">
        <v>11.2</v>
      </c>
      <c r="AB918" s="45">
        <v>12.7</v>
      </c>
      <c r="AC918" s="45">
        <v>21.6</v>
      </c>
      <c r="AD918" s="45">
        <v>10.6</v>
      </c>
    </row>
    <row r="919" spans="1:30">
      <c r="A919" s="73">
        <v>45787</v>
      </c>
      <c r="B919" s="24">
        <v>0</v>
      </c>
      <c r="C919" s="24">
        <v>0</v>
      </c>
      <c r="D919" s="24">
        <v>0</v>
      </c>
      <c r="E919" s="24">
        <v>0</v>
      </c>
      <c r="F919" s="24">
        <v>0</v>
      </c>
      <c r="G919" s="24">
        <v>0</v>
      </c>
      <c r="H919" s="24">
        <v>0</v>
      </c>
      <c r="I919" s="24">
        <v>0</v>
      </c>
      <c r="J919" s="24">
        <v>0</v>
      </c>
      <c r="L919" s="45">
        <v>0</v>
      </c>
      <c r="M919" s="45">
        <v>0</v>
      </c>
      <c r="N919" s="45">
        <v>0</v>
      </c>
      <c r="O919" s="45">
        <v>0</v>
      </c>
      <c r="P919" s="45">
        <v>0</v>
      </c>
      <c r="Q919" s="45">
        <v>0</v>
      </c>
      <c r="R919" s="45">
        <v>0</v>
      </c>
      <c r="S919" s="45">
        <v>0</v>
      </c>
      <c r="T919" s="45">
        <v>0</v>
      </c>
      <c r="V919" s="45">
        <v>0</v>
      </c>
      <c r="W919" s="45">
        <v>0</v>
      </c>
      <c r="X919" s="45">
        <v>0</v>
      </c>
      <c r="Y919" s="45">
        <v>0</v>
      </c>
      <c r="Z919" s="45">
        <v>0</v>
      </c>
      <c r="AA919" s="45">
        <v>0</v>
      </c>
      <c r="AB919" s="45">
        <v>0</v>
      </c>
      <c r="AC919" s="45">
        <v>0</v>
      </c>
      <c r="AD919" s="45">
        <v>0</v>
      </c>
    </row>
    <row r="920" spans="1:30">
      <c r="A920" s="73">
        <v>45788</v>
      </c>
      <c r="B920" s="24">
        <v>383</v>
      </c>
      <c r="C920" s="24">
        <v>148</v>
      </c>
      <c r="D920" s="24">
        <v>133</v>
      </c>
      <c r="E920" s="24">
        <v>0</v>
      </c>
      <c r="F920" s="24">
        <v>0</v>
      </c>
      <c r="G920" s="24">
        <v>89</v>
      </c>
      <c r="H920" s="24">
        <v>0</v>
      </c>
      <c r="I920" s="24">
        <v>13</v>
      </c>
      <c r="J920" s="24">
        <v>0</v>
      </c>
      <c r="L920" s="45">
        <v>16.5</v>
      </c>
      <c r="M920" s="45">
        <v>24.2</v>
      </c>
      <c r="N920" s="45">
        <v>5.8</v>
      </c>
      <c r="O920" s="45">
        <v>0</v>
      </c>
      <c r="P920" s="45">
        <v>0</v>
      </c>
      <c r="Q920" s="45">
        <v>21.6</v>
      </c>
      <c r="R920" s="45">
        <v>0</v>
      </c>
      <c r="S920" s="45">
        <v>4.4</v>
      </c>
      <c r="T920" s="45">
        <v>0</v>
      </c>
      <c r="V920" s="45">
        <v>5.2</v>
      </c>
      <c r="W920" s="45">
        <v>5.8</v>
      </c>
      <c r="X920" s="45">
        <v>1.6</v>
      </c>
      <c r="Y920" s="45">
        <v>0</v>
      </c>
      <c r="Z920" s="45">
        <v>0</v>
      </c>
      <c r="AA920" s="45">
        <v>8.6</v>
      </c>
      <c r="AB920" s="45">
        <v>0</v>
      </c>
      <c r="AC920" s="45">
        <v>13.8</v>
      </c>
      <c r="AD920" s="45">
        <v>0</v>
      </c>
    </row>
    <row r="921" spans="1:30">
      <c r="A921" s="73">
        <v>45789</v>
      </c>
      <c r="B921" s="24">
        <v>3720</v>
      </c>
      <c r="C921" s="24">
        <v>742</v>
      </c>
      <c r="D921" s="24">
        <v>412</v>
      </c>
      <c r="E921" s="24">
        <v>608</v>
      </c>
      <c r="F921" s="24">
        <v>684</v>
      </c>
      <c r="G921" s="24">
        <v>370</v>
      </c>
      <c r="H921" s="24">
        <v>201</v>
      </c>
      <c r="I921" s="24">
        <v>178</v>
      </c>
      <c r="J921" s="24">
        <v>525</v>
      </c>
      <c r="L921" s="45">
        <v>11.2</v>
      </c>
      <c r="M921" s="45">
        <v>6.4</v>
      </c>
      <c r="N921" s="45">
        <v>4.7</v>
      </c>
      <c r="O921" s="45">
        <v>19</v>
      </c>
      <c r="P921" s="45">
        <v>11</v>
      </c>
      <c r="Q921" s="45">
        <v>23.1</v>
      </c>
      <c r="R921" s="45">
        <v>4</v>
      </c>
      <c r="S921" s="45">
        <v>3.9</v>
      </c>
      <c r="T921" s="45">
        <v>11.2</v>
      </c>
      <c r="V921" s="45">
        <v>8</v>
      </c>
      <c r="W921" s="45">
        <v>8.1</v>
      </c>
      <c r="X921" s="45">
        <v>8.9</v>
      </c>
      <c r="Y921" s="45">
        <v>7.2</v>
      </c>
      <c r="Z921" s="45">
        <v>6.3</v>
      </c>
      <c r="AA921" s="45">
        <v>7.9</v>
      </c>
      <c r="AB921" s="45">
        <v>10</v>
      </c>
      <c r="AC921" s="45">
        <v>17.3</v>
      </c>
      <c r="AD921" s="45">
        <v>6.8</v>
      </c>
    </row>
    <row r="922" spans="1:30">
      <c r="A922" s="73">
        <v>45790</v>
      </c>
      <c r="B922" s="24">
        <v>3190</v>
      </c>
      <c r="C922" s="24">
        <v>610</v>
      </c>
      <c r="D922" s="24">
        <v>376</v>
      </c>
      <c r="E922" s="24">
        <v>507</v>
      </c>
      <c r="F922" s="24">
        <v>592</v>
      </c>
      <c r="G922" s="24">
        <v>325</v>
      </c>
      <c r="H922" s="24">
        <v>201</v>
      </c>
      <c r="I922" s="24">
        <v>126</v>
      </c>
      <c r="J922" s="24">
        <v>453</v>
      </c>
      <c r="L922" s="45">
        <v>11.2</v>
      </c>
      <c r="M922" s="45">
        <v>4.8</v>
      </c>
      <c r="N922" s="45">
        <v>3</v>
      </c>
      <c r="O922" s="45">
        <v>21.1</v>
      </c>
      <c r="P922" s="45">
        <v>12.6</v>
      </c>
      <c r="Q922" s="45">
        <v>25.9</v>
      </c>
      <c r="R922" s="45">
        <v>4.5</v>
      </c>
      <c r="S922" s="45">
        <v>3.5</v>
      </c>
      <c r="T922" s="45">
        <v>8.4</v>
      </c>
      <c r="V922" s="45">
        <v>9</v>
      </c>
      <c r="W922" s="45">
        <v>10.2</v>
      </c>
      <c r="X922" s="45">
        <v>9.5</v>
      </c>
      <c r="Y922" s="45">
        <v>8</v>
      </c>
      <c r="Z922" s="45">
        <v>5.8</v>
      </c>
      <c r="AA922" s="45">
        <v>8.6</v>
      </c>
      <c r="AB922" s="45">
        <v>9.199999999999999</v>
      </c>
      <c r="AC922" s="45">
        <v>22.6</v>
      </c>
      <c r="AD922" s="45">
        <v>8.4</v>
      </c>
    </row>
    <row r="923" spans="1:30">
      <c r="A923" s="73">
        <v>45791</v>
      </c>
      <c r="B923" s="24">
        <v>3160</v>
      </c>
      <c r="C923" s="24">
        <v>635</v>
      </c>
      <c r="D923" s="24">
        <v>332</v>
      </c>
      <c r="E923" s="24">
        <v>536</v>
      </c>
      <c r="F923" s="24">
        <v>603</v>
      </c>
      <c r="G923" s="24">
        <v>298</v>
      </c>
      <c r="H923" s="24">
        <v>178</v>
      </c>
      <c r="I923" s="24">
        <v>151</v>
      </c>
      <c r="J923" s="24">
        <v>427</v>
      </c>
      <c r="L923" s="45">
        <v>9.300000000000001</v>
      </c>
      <c r="M923" s="45">
        <v>6.9</v>
      </c>
      <c r="N923" s="45">
        <v>4</v>
      </c>
      <c r="O923" s="45">
        <v>18.1</v>
      </c>
      <c r="P923" s="45">
        <v>11.1</v>
      </c>
      <c r="Q923" s="45">
        <v>12.9</v>
      </c>
      <c r="R923" s="45">
        <v>3.3</v>
      </c>
      <c r="S923" s="45">
        <v>1.9</v>
      </c>
      <c r="T923" s="45">
        <v>6</v>
      </c>
      <c r="V923" s="45">
        <v>9.1</v>
      </c>
      <c r="W923" s="45">
        <v>9.4</v>
      </c>
      <c r="X923" s="45">
        <v>10.5</v>
      </c>
      <c r="Y923" s="45">
        <v>6.8</v>
      </c>
      <c r="Z923" s="45">
        <v>6.3</v>
      </c>
      <c r="AA923" s="45">
        <v>9.6</v>
      </c>
      <c r="AB923" s="45">
        <v>11.9</v>
      </c>
      <c r="AC923" s="45">
        <v>19.1</v>
      </c>
      <c r="AD923" s="45">
        <v>9.6</v>
      </c>
    </row>
    <row r="924" spans="1:30">
      <c r="A924" s="73">
        <v>45792</v>
      </c>
      <c r="B924" s="24">
        <v>3085</v>
      </c>
      <c r="C924" s="24">
        <v>607</v>
      </c>
      <c r="D924" s="24">
        <v>322</v>
      </c>
      <c r="E924" s="24">
        <v>482</v>
      </c>
      <c r="F924" s="24">
        <v>596</v>
      </c>
      <c r="G924" s="24">
        <v>320</v>
      </c>
      <c r="H924" s="24">
        <v>212</v>
      </c>
      <c r="I924" s="24">
        <v>143</v>
      </c>
      <c r="J924" s="24">
        <v>403</v>
      </c>
      <c r="L924" s="45">
        <v>9.6</v>
      </c>
      <c r="M924" s="45">
        <v>5.1</v>
      </c>
      <c r="N924" s="45">
        <v>2.1</v>
      </c>
      <c r="O924" s="45">
        <v>21.9</v>
      </c>
      <c r="P924" s="45">
        <v>11.3</v>
      </c>
      <c r="Q924" s="45">
        <v>18</v>
      </c>
      <c r="R924" s="45">
        <v>3.3</v>
      </c>
      <c r="S924" s="45">
        <v>2.9</v>
      </c>
      <c r="T924" s="45">
        <v>4.2</v>
      </c>
      <c r="V924" s="45">
        <v>9.199999999999999</v>
      </c>
      <c r="W924" s="45">
        <v>9.9</v>
      </c>
      <c r="X924" s="45">
        <v>10.7</v>
      </c>
      <c r="Y924" s="45">
        <v>8.199999999999999</v>
      </c>
      <c r="Z924" s="45">
        <v>6.8</v>
      </c>
      <c r="AA924" s="45">
        <v>9.1</v>
      </c>
      <c r="AB924" s="45">
        <v>9.5</v>
      </c>
      <c r="AC924" s="45">
        <v>18</v>
      </c>
      <c r="AD924" s="45">
        <v>9</v>
      </c>
    </row>
    <row r="925" spans="1:30">
      <c r="A925" s="73">
        <v>45793</v>
      </c>
      <c r="B925" s="24">
        <v>3009</v>
      </c>
      <c r="C925" s="24">
        <v>553</v>
      </c>
      <c r="D925" s="24">
        <v>358</v>
      </c>
      <c r="E925" s="24">
        <v>479</v>
      </c>
      <c r="F925" s="24">
        <v>565</v>
      </c>
      <c r="G925" s="24">
        <v>297</v>
      </c>
      <c r="H925" s="24">
        <v>204</v>
      </c>
      <c r="I925" s="24">
        <v>141</v>
      </c>
      <c r="J925" s="24">
        <v>412</v>
      </c>
      <c r="L925" s="45">
        <v>8.4</v>
      </c>
      <c r="M925" s="45">
        <v>4.5</v>
      </c>
      <c r="N925" s="45">
        <v>4.6</v>
      </c>
      <c r="O925" s="45">
        <v>17.4</v>
      </c>
      <c r="P925" s="45">
        <v>10.9</v>
      </c>
      <c r="Q925" s="45">
        <v>11.8</v>
      </c>
      <c r="R925" s="45">
        <v>4.8</v>
      </c>
      <c r="S925" s="45">
        <v>2.2</v>
      </c>
      <c r="T925" s="45">
        <v>4.2</v>
      </c>
      <c r="V925" s="45">
        <v>9.4</v>
      </c>
      <c r="W925" s="45">
        <v>9.9</v>
      </c>
      <c r="X925" s="45">
        <v>10</v>
      </c>
      <c r="Y925" s="45">
        <v>7.9</v>
      </c>
      <c r="Z925" s="45">
        <v>6.2</v>
      </c>
      <c r="AA925" s="45">
        <v>11.2</v>
      </c>
      <c r="AB925" s="45">
        <v>9.699999999999999</v>
      </c>
      <c r="AC925" s="45">
        <v>21.1</v>
      </c>
      <c r="AD925" s="45">
        <v>8.800000000000001</v>
      </c>
    </row>
    <row r="926" spans="1:30">
      <c r="A926" s="73">
        <v>45794</v>
      </c>
      <c r="B926" s="24">
        <v>0</v>
      </c>
      <c r="C926" s="24">
        <v>0</v>
      </c>
      <c r="D926" s="24">
        <v>0</v>
      </c>
      <c r="E926" s="24">
        <v>0</v>
      </c>
      <c r="F926" s="24">
        <v>0</v>
      </c>
      <c r="G926" s="24">
        <v>0</v>
      </c>
      <c r="H926" s="24">
        <v>0</v>
      </c>
      <c r="I926" s="24">
        <v>0</v>
      </c>
      <c r="J926" s="24">
        <v>0</v>
      </c>
      <c r="L926" s="45">
        <v>0</v>
      </c>
      <c r="M926" s="45">
        <v>0</v>
      </c>
      <c r="N926" s="45">
        <v>0</v>
      </c>
      <c r="O926" s="45">
        <v>0</v>
      </c>
      <c r="P926" s="45">
        <v>0</v>
      </c>
      <c r="Q926" s="45">
        <v>0</v>
      </c>
      <c r="R926" s="45">
        <v>0</v>
      </c>
      <c r="S926" s="45">
        <v>0</v>
      </c>
      <c r="T926" s="45">
        <v>0</v>
      </c>
      <c r="V926" s="45">
        <v>0</v>
      </c>
      <c r="W926" s="45">
        <v>0</v>
      </c>
      <c r="X926" s="45">
        <v>0</v>
      </c>
      <c r="Y926" s="45">
        <v>0</v>
      </c>
      <c r="Z926" s="45">
        <v>0</v>
      </c>
      <c r="AA926" s="45">
        <v>0</v>
      </c>
      <c r="AB926" s="45">
        <v>0</v>
      </c>
      <c r="AC926" s="45">
        <v>0</v>
      </c>
      <c r="AD926" s="45">
        <v>0</v>
      </c>
    </row>
    <row r="927" spans="1:30">
      <c r="A927" s="73">
        <v>45795</v>
      </c>
      <c r="B927" s="24">
        <v>0</v>
      </c>
      <c r="C927" s="24">
        <v>0</v>
      </c>
      <c r="D927" s="24">
        <v>0</v>
      </c>
      <c r="E927" s="24">
        <v>0</v>
      </c>
      <c r="F927" s="24">
        <v>0</v>
      </c>
      <c r="G927" s="24">
        <v>0</v>
      </c>
      <c r="H927" s="24">
        <v>0</v>
      </c>
      <c r="I927" s="24">
        <v>0</v>
      </c>
      <c r="J927" s="24">
        <v>0</v>
      </c>
      <c r="L927" s="45">
        <v>0</v>
      </c>
      <c r="M927" s="45">
        <v>0</v>
      </c>
      <c r="N927" s="45">
        <v>0</v>
      </c>
      <c r="O927" s="45">
        <v>0</v>
      </c>
      <c r="P927" s="45">
        <v>0</v>
      </c>
      <c r="Q927" s="45">
        <v>0</v>
      </c>
      <c r="R927" s="45">
        <v>0</v>
      </c>
      <c r="S927" s="45">
        <v>0</v>
      </c>
      <c r="T927" s="45">
        <v>0</v>
      </c>
      <c r="V927" s="45">
        <v>0</v>
      </c>
      <c r="W927" s="45">
        <v>0</v>
      </c>
      <c r="X927" s="45">
        <v>0</v>
      </c>
      <c r="Y927" s="45">
        <v>0</v>
      </c>
      <c r="Z927" s="45">
        <v>0</v>
      </c>
      <c r="AA927" s="45">
        <v>0</v>
      </c>
      <c r="AB927" s="45">
        <v>0</v>
      </c>
      <c r="AC927" s="45">
        <v>0</v>
      </c>
      <c r="AD927" s="45">
        <v>0</v>
      </c>
    </row>
    <row r="928" spans="1:30">
      <c r="A928" s="73">
        <v>45796</v>
      </c>
      <c r="B928" s="24">
        <v>3432</v>
      </c>
      <c r="C928" s="24">
        <v>679</v>
      </c>
      <c r="D928" s="24">
        <v>357</v>
      </c>
      <c r="E928" s="24">
        <v>551</v>
      </c>
      <c r="F928" s="24">
        <v>637</v>
      </c>
      <c r="G928" s="24">
        <v>387</v>
      </c>
      <c r="H928" s="24">
        <v>217</v>
      </c>
      <c r="I928" s="24">
        <v>162</v>
      </c>
      <c r="J928" s="24">
        <v>442</v>
      </c>
      <c r="L928" s="45">
        <v>8.800000000000001</v>
      </c>
      <c r="M928" s="45">
        <v>5.3</v>
      </c>
      <c r="N928" s="45">
        <v>4</v>
      </c>
      <c r="O928" s="45">
        <v>18.1</v>
      </c>
      <c r="P928" s="45">
        <v>9.5</v>
      </c>
      <c r="Q928" s="45">
        <v>14.7</v>
      </c>
      <c r="R928" s="45">
        <v>2.8</v>
      </c>
      <c r="S928" s="45">
        <v>4</v>
      </c>
      <c r="T928" s="45">
        <v>5.3</v>
      </c>
      <c r="V928" s="45">
        <v>8.699999999999999</v>
      </c>
      <c r="W928" s="45">
        <v>9.199999999999999</v>
      </c>
      <c r="X928" s="45">
        <v>10.3</v>
      </c>
      <c r="Y928" s="45">
        <v>7.2</v>
      </c>
      <c r="Z928" s="45">
        <v>6.6</v>
      </c>
      <c r="AA928" s="45">
        <v>7.6</v>
      </c>
      <c r="AB928" s="45">
        <v>9.4</v>
      </c>
      <c r="AC928" s="45">
        <v>18.8</v>
      </c>
      <c r="AD928" s="45">
        <v>8.699999999999999</v>
      </c>
    </row>
    <row r="929" spans="1:30">
      <c r="A929" s="73">
        <v>45797</v>
      </c>
      <c r="B929" s="24">
        <v>3096</v>
      </c>
      <c r="C929" s="24">
        <v>619</v>
      </c>
      <c r="D929" s="24">
        <v>310</v>
      </c>
      <c r="E929" s="24">
        <v>475</v>
      </c>
      <c r="F929" s="24">
        <v>562</v>
      </c>
      <c r="G929" s="24">
        <v>332</v>
      </c>
      <c r="H929" s="24">
        <v>223</v>
      </c>
      <c r="I929" s="24">
        <v>156</v>
      </c>
      <c r="J929" s="24">
        <v>419</v>
      </c>
      <c r="L929" s="45">
        <v>7</v>
      </c>
      <c r="M929" s="45">
        <v>5.6</v>
      </c>
      <c r="N929" s="45">
        <v>3.4</v>
      </c>
      <c r="O929" s="45">
        <v>9.4</v>
      </c>
      <c r="P929" s="45">
        <v>8.800000000000001</v>
      </c>
      <c r="Q929" s="45">
        <v>12.2</v>
      </c>
      <c r="R929" s="45">
        <v>4.7</v>
      </c>
      <c r="S929" s="45">
        <v>2.2</v>
      </c>
      <c r="T929" s="45">
        <v>5.5</v>
      </c>
      <c r="V929" s="45">
        <v>9.300000000000001</v>
      </c>
      <c r="W929" s="45">
        <v>10.1</v>
      </c>
      <c r="X929" s="45">
        <v>11.4</v>
      </c>
      <c r="Y929" s="45">
        <v>7.5</v>
      </c>
      <c r="Z929" s="45">
        <v>6.9</v>
      </c>
      <c r="AA929" s="45">
        <v>9.4</v>
      </c>
      <c r="AB929" s="45">
        <v>8.300000000000001</v>
      </c>
      <c r="AC929" s="45">
        <v>19.5</v>
      </c>
      <c r="AD929" s="45">
        <v>8.6</v>
      </c>
    </row>
    <row r="930" spans="1:30">
      <c r="A930" s="73">
        <v>45798</v>
      </c>
      <c r="B930" s="24">
        <v>2730</v>
      </c>
      <c r="C930" s="24">
        <v>538</v>
      </c>
      <c r="D930" s="24">
        <v>289</v>
      </c>
      <c r="E930" s="24">
        <v>390</v>
      </c>
      <c r="F930" s="24">
        <v>545</v>
      </c>
      <c r="G930" s="24">
        <v>286</v>
      </c>
      <c r="H930" s="24">
        <v>156</v>
      </c>
      <c r="I930" s="24">
        <v>133</v>
      </c>
      <c r="J930" s="24">
        <v>393</v>
      </c>
      <c r="L930" s="45">
        <v>6</v>
      </c>
      <c r="M930" s="45">
        <v>2.9</v>
      </c>
      <c r="N930" s="45">
        <v>2.6</v>
      </c>
      <c r="O930" s="45">
        <v>8.699999999999999</v>
      </c>
      <c r="P930" s="45">
        <v>7.8</v>
      </c>
      <c r="Q930" s="45">
        <v>11.9</v>
      </c>
      <c r="R930" s="45">
        <v>1.5</v>
      </c>
      <c r="S930" s="45">
        <v>2.6</v>
      </c>
      <c r="T930" s="45">
        <v>6</v>
      </c>
      <c r="V930" s="45">
        <v>10.3</v>
      </c>
      <c r="W930" s="45">
        <v>10.8</v>
      </c>
      <c r="X930" s="45">
        <v>11.6</v>
      </c>
      <c r="Y930" s="45">
        <v>8.699999999999999</v>
      </c>
      <c r="Z930" s="45">
        <v>7.3</v>
      </c>
      <c r="AA930" s="45">
        <v>10</v>
      </c>
      <c r="AB930" s="45">
        <v>12.8</v>
      </c>
      <c r="AC930" s="45">
        <v>20.2</v>
      </c>
      <c r="AD930" s="45">
        <v>10.3</v>
      </c>
    </row>
    <row r="931" spans="1:30">
      <c r="A931" s="73">
        <v>45799</v>
      </c>
      <c r="B931" s="24">
        <v>2747</v>
      </c>
      <c r="C931" s="24">
        <v>505</v>
      </c>
      <c r="D931" s="24">
        <v>314</v>
      </c>
      <c r="E931" s="24">
        <v>434</v>
      </c>
      <c r="F931" s="24">
        <v>521</v>
      </c>
      <c r="G931" s="24">
        <v>244</v>
      </c>
      <c r="H931" s="24">
        <v>180</v>
      </c>
      <c r="I931" s="24">
        <v>138</v>
      </c>
      <c r="J931" s="24">
        <v>411</v>
      </c>
      <c r="L931" s="45">
        <v>6.7</v>
      </c>
      <c r="M931" s="45">
        <v>2.4</v>
      </c>
      <c r="N931" s="45">
        <v>2.7</v>
      </c>
      <c r="O931" s="45">
        <v>18.7</v>
      </c>
      <c r="P931" s="45">
        <v>6.2</v>
      </c>
      <c r="Q931" s="45">
        <v>9.5</v>
      </c>
      <c r="R931" s="45">
        <v>2.2</v>
      </c>
      <c r="S931" s="45">
        <v>1.8</v>
      </c>
      <c r="T931" s="45">
        <v>4.7</v>
      </c>
      <c r="V931" s="45">
        <v>10.1</v>
      </c>
      <c r="W931" s="45">
        <v>11.1</v>
      </c>
      <c r="X931" s="45">
        <v>11</v>
      </c>
      <c r="Y931" s="45">
        <v>8.199999999999999</v>
      </c>
      <c r="Z931" s="45">
        <v>7.6</v>
      </c>
      <c r="AA931" s="45">
        <v>12.1</v>
      </c>
      <c r="AB931" s="45">
        <v>10.3</v>
      </c>
      <c r="AC931" s="45">
        <v>19.9</v>
      </c>
      <c r="AD931" s="45">
        <v>8.9</v>
      </c>
    </row>
    <row r="932" spans="1:30">
      <c r="A932" s="73">
        <v>45800</v>
      </c>
      <c r="B932" s="24">
        <v>3130</v>
      </c>
      <c r="C932" s="24">
        <v>606</v>
      </c>
      <c r="D932" s="24">
        <v>368</v>
      </c>
      <c r="E932" s="24">
        <v>491</v>
      </c>
      <c r="F932" s="24">
        <v>635</v>
      </c>
      <c r="G932" s="24">
        <v>317</v>
      </c>
      <c r="H932" s="24">
        <v>187</v>
      </c>
      <c r="I932" s="24">
        <v>139</v>
      </c>
      <c r="J932" s="24">
        <v>387</v>
      </c>
      <c r="L932" s="45">
        <v>10.1</v>
      </c>
      <c r="M932" s="45">
        <v>4.5</v>
      </c>
      <c r="N932" s="45">
        <v>5.9</v>
      </c>
      <c r="O932" s="45">
        <v>28.4</v>
      </c>
      <c r="P932" s="45">
        <v>11.6</v>
      </c>
      <c r="Q932" s="45">
        <v>9.300000000000001</v>
      </c>
      <c r="R932" s="45">
        <v>3.2</v>
      </c>
      <c r="S932" s="45">
        <v>2.4</v>
      </c>
      <c r="T932" s="45">
        <v>4</v>
      </c>
      <c r="V932" s="45">
        <v>9.4</v>
      </c>
      <c r="W932" s="45">
        <v>10</v>
      </c>
      <c r="X932" s="45">
        <v>10.8</v>
      </c>
      <c r="Y932" s="45">
        <v>6.7</v>
      </c>
      <c r="Z932" s="45">
        <v>6.8</v>
      </c>
      <c r="AA932" s="45">
        <v>9.9</v>
      </c>
      <c r="AB932" s="45">
        <v>10.4</v>
      </c>
      <c r="AC932" s="45">
        <v>19.4</v>
      </c>
      <c r="AD932" s="45">
        <v>10.3</v>
      </c>
    </row>
    <row r="933" spans="1:30">
      <c r="A933" s="73">
        <v>45801</v>
      </c>
      <c r="B933" s="24">
        <v>0</v>
      </c>
      <c r="C933" s="24">
        <v>0</v>
      </c>
      <c r="D933" s="24">
        <v>0</v>
      </c>
      <c r="E933" s="24">
        <v>0</v>
      </c>
      <c r="F933" s="24">
        <v>0</v>
      </c>
      <c r="G933" s="24">
        <v>0</v>
      </c>
      <c r="H933" s="24">
        <v>0</v>
      </c>
      <c r="I933" s="24">
        <v>0</v>
      </c>
      <c r="J933" s="24">
        <v>0</v>
      </c>
      <c r="L933" s="45">
        <v>0</v>
      </c>
      <c r="M933" s="45">
        <v>0</v>
      </c>
      <c r="N933" s="45">
        <v>0</v>
      </c>
      <c r="O933" s="45">
        <v>0</v>
      </c>
      <c r="P933" s="45">
        <v>0</v>
      </c>
      <c r="Q933" s="45">
        <v>0</v>
      </c>
      <c r="R933" s="45">
        <v>0</v>
      </c>
      <c r="S933" s="45">
        <v>0</v>
      </c>
      <c r="T933" s="45">
        <v>0</v>
      </c>
      <c r="V933" s="45">
        <v>0</v>
      </c>
      <c r="W933" s="45">
        <v>0</v>
      </c>
      <c r="X933" s="45">
        <v>0</v>
      </c>
      <c r="Y933" s="45">
        <v>0</v>
      </c>
      <c r="Z933" s="45">
        <v>0</v>
      </c>
      <c r="AA933" s="45">
        <v>0</v>
      </c>
      <c r="AB933" s="45">
        <v>0</v>
      </c>
      <c r="AC933" s="45">
        <v>0</v>
      </c>
      <c r="AD933" s="45">
        <v>0</v>
      </c>
    </row>
    <row r="934" spans="1:30">
      <c r="A934" s="73">
        <v>45802</v>
      </c>
      <c r="B934" s="24">
        <v>0</v>
      </c>
      <c r="C934" s="24">
        <v>0</v>
      </c>
      <c r="D934" s="24">
        <v>0</v>
      </c>
      <c r="E934" s="24">
        <v>0</v>
      </c>
      <c r="F934" s="24">
        <v>0</v>
      </c>
      <c r="G934" s="24">
        <v>0</v>
      </c>
      <c r="H934" s="24">
        <v>0</v>
      </c>
      <c r="I934" s="24">
        <v>0</v>
      </c>
      <c r="J934" s="24">
        <v>0</v>
      </c>
      <c r="L934" s="45">
        <v>0</v>
      </c>
      <c r="M934" s="45">
        <v>0</v>
      </c>
      <c r="N934" s="45">
        <v>0</v>
      </c>
      <c r="O934" s="45">
        <v>0</v>
      </c>
      <c r="P934" s="45">
        <v>0</v>
      </c>
      <c r="Q934" s="45">
        <v>0</v>
      </c>
      <c r="R934" s="45">
        <v>0</v>
      </c>
      <c r="S934" s="45">
        <v>0</v>
      </c>
      <c r="T934" s="45">
        <v>0</v>
      </c>
      <c r="V934" s="45">
        <v>0</v>
      </c>
      <c r="W934" s="45">
        <v>0</v>
      </c>
      <c r="X934" s="45">
        <v>0</v>
      </c>
      <c r="Y934" s="45">
        <v>0</v>
      </c>
      <c r="Z934" s="45">
        <v>0</v>
      </c>
      <c r="AA934" s="45">
        <v>0</v>
      </c>
      <c r="AB934" s="45">
        <v>0</v>
      </c>
      <c r="AC934" s="45">
        <v>0</v>
      </c>
      <c r="AD934" s="45">
        <v>0</v>
      </c>
    </row>
    <row r="935" spans="1:30">
      <c r="A935" s="73">
        <v>45803</v>
      </c>
      <c r="B935" s="24">
        <v>3543</v>
      </c>
      <c r="C935" s="24">
        <v>647</v>
      </c>
      <c r="D935" s="24">
        <v>395</v>
      </c>
      <c r="E935" s="24">
        <v>584</v>
      </c>
      <c r="F935" s="24">
        <v>630</v>
      </c>
      <c r="G935" s="24">
        <v>397</v>
      </c>
      <c r="H935" s="24">
        <v>253</v>
      </c>
      <c r="I935" s="24">
        <v>169</v>
      </c>
      <c r="J935" s="24">
        <v>468</v>
      </c>
      <c r="L935" s="45">
        <v>10.5</v>
      </c>
      <c r="M935" s="45">
        <v>4.5</v>
      </c>
      <c r="N935" s="45">
        <v>4.5</v>
      </c>
      <c r="O935" s="45">
        <v>21.9</v>
      </c>
      <c r="P935" s="45">
        <v>11</v>
      </c>
      <c r="Q935" s="45">
        <v>21.2</v>
      </c>
      <c r="R935" s="45">
        <v>5.7</v>
      </c>
      <c r="S935" s="45">
        <v>1.7</v>
      </c>
      <c r="T935" s="45">
        <v>5.7</v>
      </c>
      <c r="V935" s="45">
        <v>8.4</v>
      </c>
      <c r="W935" s="45">
        <v>9.6</v>
      </c>
      <c r="X935" s="45">
        <v>9.1</v>
      </c>
      <c r="Y935" s="45">
        <v>6.6</v>
      </c>
      <c r="Z935" s="45">
        <v>6.8</v>
      </c>
      <c r="AA935" s="45">
        <v>7</v>
      </c>
      <c r="AB935" s="45">
        <v>7.8</v>
      </c>
      <c r="AC935" s="45">
        <v>16.2</v>
      </c>
      <c r="AD935" s="45">
        <v>9.199999999999999</v>
      </c>
    </row>
    <row r="936" spans="1:30">
      <c r="A936" s="73">
        <v>45804</v>
      </c>
      <c r="B936" s="24">
        <v>3016</v>
      </c>
      <c r="C936" s="24">
        <v>568</v>
      </c>
      <c r="D936" s="24">
        <v>347</v>
      </c>
      <c r="E936" s="24">
        <v>504</v>
      </c>
      <c r="F936" s="24">
        <v>494</v>
      </c>
      <c r="G936" s="24">
        <v>332</v>
      </c>
      <c r="H936" s="24">
        <v>200</v>
      </c>
      <c r="I936" s="24">
        <v>132</v>
      </c>
      <c r="J936" s="24">
        <v>439</v>
      </c>
      <c r="L936" s="45">
        <v>10.2</v>
      </c>
      <c r="M936" s="45">
        <v>1.8</v>
      </c>
      <c r="N936" s="45">
        <v>4.4</v>
      </c>
      <c r="O936" s="45">
        <v>25.4</v>
      </c>
      <c r="P936" s="45">
        <v>6.6</v>
      </c>
      <c r="Q936" s="45">
        <v>21.9</v>
      </c>
      <c r="R936" s="45">
        <v>7.5</v>
      </c>
      <c r="S936" s="45">
        <v>2.3</v>
      </c>
      <c r="T936" s="45">
        <v>7</v>
      </c>
      <c r="V936" s="45">
        <v>9.300000000000001</v>
      </c>
      <c r="W936" s="45">
        <v>10.6</v>
      </c>
      <c r="X936" s="45">
        <v>9.9</v>
      </c>
      <c r="Y936" s="45">
        <v>6.9</v>
      </c>
      <c r="Z936" s="45">
        <v>7.4</v>
      </c>
      <c r="AA936" s="45">
        <v>9.4</v>
      </c>
      <c r="AB936" s="45">
        <v>10</v>
      </c>
      <c r="AC936" s="45">
        <v>20.8</v>
      </c>
      <c r="AD936" s="45">
        <v>8.199999999999999</v>
      </c>
    </row>
    <row r="937" spans="1:30">
      <c r="A937" s="73">
        <v>45805</v>
      </c>
      <c r="B937" s="24">
        <v>2859</v>
      </c>
      <c r="C937" s="24">
        <v>528</v>
      </c>
      <c r="D937" s="24">
        <v>303</v>
      </c>
      <c r="E937" s="24">
        <v>503</v>
      </c>
      <c r="F937" s="24">
        <v>555</v>
      </c>
      <c r="G937" s="24">
        <v>290</v>
      </c>
      <c r="H937" s="24">
        <v>157</v>
      </c>
      <c r="I937" s="24">
        <v>148</v>
      </c>
      <c r="J937" s="24">
        <v>375</v>
      </c>
      <c r="L937" s="45">
        <v>5.7</v>
      </c>
      <c r="M937" s="45">
        <v>1.3</v>
      </c>
      <c r="N937" s="45">
        <v>4.1</v>
      </c>
      <c r="O937" s="45">
        <v>11.4</v>
      </c>
      <c r="P937" s="45">
        <v>7</v>
      </c>
      <c r="Q937" s="45">
        <v>9</v>
      </c>
      <c r="R937" s="45">
        <v>4</v>
      </c>
      <c r="S937" s="45">
        <v>2</v>
      </c>
      <c r="T937" s="45">
        <v>3.1</v>
      </c>
      <c r="V937" s="45">
        <v>9.699999999999999</v>
      </c>
      <c r="W937" s="45">
        <v>11.4</v>
      </c>
      <c r="X937" s="45">
        <v>11.5</v>
      </c>
      <c r="Y937" s="45">
        <v>6.9</v>
      </c>
      <c r="Z937" s="45">
        <v>7.3</v>
      </c>
      <c r="AA937" s="45">
        <v>11.2</v>
      </c>
      <c r="AB937" s="45">
        <v>11.8</v>
      </c>
      <c r="AC937" s="45">
        <v>17</v>
      </c>
      <c r="AD937" s="45">
        <v>8.300000000000001</v>
      </c>
    </row>
    <row r="938" spans="1:30">
      <c r="A938" s="73">
        <v>45806</v>
      </c>
      <c r="B938" s="24">
        <v>2828</v>
      </c>
      <c r="C938" s="24">
        <v>504</v>
      </c>
      <c r="D938" s="24">
        <v>322</v>
      </c>
      <c r="E938" s="24">
        <v>477</v>
      </c>
      <c r="F938" s="24">
        <v>578</v>
      </c>
      <c r="G938" s="24">
        <v>276</v>
      </c>
      <c r="H938" s="24">
        <v>164</v>
      </c>
      <c r="I938" s="24">
        <v>144</v>
      </c>
      <c r="J938" s="24">
        <v>363</v>
      </c>
      <c r="L938" s="45">
        <v>6.8</v>
      </c>
      <c r="M938" s="45">
        <v>2.2</v>
      </c>
      <c r="N938" s="45">
        <v>3.1</v>
      </c>
      <c r="O938" s="45">
        <v>16.6</v>
      </c>
      <c r="P938" s="45">
        <v>8.4</v>
      </c>
      <c r="Q938" s="45">
        <v>9.5</v>
      </c>
      <c r="R938" s="45">
        <v>2.5</v>
      </c>
      <c r="S938" s="45">
        <v>1.6</v>
      </c>
      <c r="T938" s="45">
        <v>2.8</v>
      </c>
      <c r="V938" s="45">
        <v>9.6</v>
      </c>
      <c r="W938" s="45">
        <v>10.9</v>
      </c>
      <c r="X938" s="45">
        <v>10.7</v>
      </c>
      <c r="Y938" s="45">
        <v>7.5</v>
      </c>
      <c r="Z938" s="45">
        <v>7.4</v>
      </c>
      <c r="AA938" s="45">
        <v>10.8</v>
      </c>
      <c r="AB938" s="45">
        <v>9.699999999999999</v>
      </c>
      <c r="AC938" s="45">
        <v>17</v>
      </c>
      <c r="AD938" s="45">
        <v>9.6</v>
      </c>
    </row>
    <row r="939" spans="1:30">
      <c r="A939" s="73">
        <v>45807</v>
      </c>
      <c r="B939" s="24">
        <v>2824</v>
      </c>
      <c r="C939" s="24">
        <v>499</v>
      </c>
      <c r="D939" s="24">
        <v>310</v>
      </c>
      <c r="E939" s="24">
        <v>460</v>
      </c>
      <c r="F939" s="24">
        <v>568</v>
      </c>
      <c r="G939" s="24">
        <v>303</v>
      </c>
      <c r="H939" s="24">
        <v>197</v>
      </c>
      <c r="I939" s="24">
        <v>116</v>
      </c>
      <c r="J939" s="24">
        <v>371</v>
      </c>
      <c r="L939" s="45">
        <v>7.1</v>
      </c>
      <c r="M939" s="45">
        <v>2.2</v>
      </c>
      <c r="N939" s="45">
        <v>2.6</v>
      </c>
      <c r="O939" s="45">
        <v>19.1</v>
      </c>
      <c r="P939" s="45">
        <v>6.2</v>
      </c>
      <c r="Q939" s="45">
        <v>8</v>
      </c>
      <c r="R939" s="45">
        <v>5.6</v>
      </c>
      <c r="S939" s="45">
        <v>1.2</v>
      </c>
      <c r="T939" s="45">
        <v>6.1</v>
      </c>
      <c r="V939" s="45">
        <v>10.3</v>
      </c>
      <c r="W939" s="45">
        <v>11.4</v>
      </c>
      <c r="X939" s="45">
        <v>12</v>
      </c>
      <c r="Y939" s="45">
        <v>8.5</v>
      </c>
      <c r="Z939" s="45">
        <v>7.6</v>
      </c>
      <c r="AA939" s="45">
        <v>10.3</v>
      </c>
      <c r="AB939" s="45">
        <v>9.199999999999999</v>
      </c>
      <c r="AC939" s="45">
        <v>20.5</v>
      </c>
      <c r="AD939" s="45">
        <v>11.4</v>
      </c>
    </row>
    <row r="940" spans="1:30">
      <c r="A940" s="73">
        <v>45808</v>
      </c>
      <c r="B940" s="24">
        <v>0</v>
      </c>
      <c r="C940" s="24">
        <v>0</v>
      </c>
      <c r="D940" s="24">
        <v>0</v>
      </c>
      <c r="E940" s="24">
        <v>0</v>
      </c>
      <c r="F940" s="24">
        <v>0</v>
      </c>
      <c r="G940" s="24">
        <v>0</v>
      </c>
      <c r="H940" s="24">
        <v>0</v>
      </c>
      <c r="I940" s="24">
        <v>0</v>
      </c>
      <c r="J940" s="24">
        <v>0</v>
      </c>
      <c r="L940" s="45">
        <v>0</v>
      </c>
      <c r="M940" s="45">
        <v>0</v>
      </c>
      <c r="N940" s="45">
        <v>0</v>
      </c>
      <c r="O940" s="45">
        <v>0</v>
      </c>
      <c r="P940" s="45">
        <v>0</v>
      </c>
      <c r="Q940" s="45">
        <v>0</v>
      </c>
      <c r="R940" s="45">
        <v>0</v>
      </c>
      <c r="S940" s="45">
        <v>0</v>
      </c>
      <c r="T940" s="45">
        <v>0</v>
      </c>
      <c r="V940" s="45">
        <v>0</v>
      </c>
      <c r="W940" s="45">
        <v>0</v>
      </c>
      <c r="X940" s="45">
        <v>0</v>
      </c>
      <c r="Y940" s="45">
        <v>0</v>
      </c>
      <c r="Z940" s="45">
        <v>0</v>
      </c>
      <c r="AA940" s="45">
        <v>0</v>
      </c>
      <c r="AB940" s="45">
        <v>0</v>
      </c>
      <c r="AC940" s="45">
        <v>0</v>
      </c>
      <c r="AD940" s="45">
        <v>0</v>
      </c>
    </row>
    <row r="941" spans="1:30">
      <c r="A941" s="73">
        <v>45809</v>
      </c>
      <c r="B941" s="24">
        <v>0</v>
      </c>
      <c r="C941" s="24">
        <v>0</v>
      </c>
      <c r="D941" s="24">
        <v>0</v>
      </c>
      <c r="E941" s="24">
        <v>0</v>
      </c>
      <c r="F941" s="24">
        <v>0</v>
      </c>
      <c r="G941" s="24">
        <v>0</v>
      </c>
      <c r="H941" s="24">
        <v>0</v>
      </c>
      <c r="I941" s="24">
        <v>0</v>
      </c>
      <c r="J941" s="24">
        <v>0</v>
      </c>
      <c r="L941" s="45">
        <v>0</v>
      </c>
      <c r="M941" s="45">
        <v>0</v>
      </c>
      <c r="N941" s="45">
        <v>0</v>
      </c>
      <c r="O941" s="45">
        <v>0</v>
      </c>
      <c r="P941" s="45">
        <v>0</v>
      </c>
      <c r="Q941" s="45">
        <v>0</v>
      </c>
      <c r="R941" s="45">
        <v>0</v>
      </c>
      <c r="S941" s="45">
        <v>0</v>
      </c>
      <c r="T941" s="45">
        <v>0</v>
      </c>
      <c r="V941" s="45">
        <v>0</v>
      </c>
      <c r="W941" s="45">
        <v>0</v>
      </c>
      <c r="X941" s="45">
        <v>0</v>
      </c>
      <c r="Y941" s="45">
        <v>0</v>
      </c>
      <c r="Z941" s="45">
        <v>0</v>
      </c>
      <c r="AA941" s="45">
        <v>0</v>
      </c>
      <c r="AB941" s="45">
        <v>0</v>
      </c>
      <c r="AC941" s="45">
        <v>0</v>
      </c>
      <c r="AD941" s="45">
        <v>0</v>
      </c>
    </row>
    <row r="942" spans="1:30">
      <c r="A942" s="73">
        <v>45810</v>
      </c>
      <c r="B942" s="24">
        <v>3649</v>
      </c>
      <c r="C942" s="24">
        <v>679</v>
      </c>
      <c r="D942" s="24">
        <v>402</v>
      </c>
      <c r="E942" s="24">
        <v>610</v>
      </c>
      <c r="F942" s="24">
        <v>652</v>
      </c>
      <c r="G942" s="24">
        <v>380</v>
      </c>
      <c r="H942" s="24">
        <v>241</v>
      </c>
      <c r="I942" s="24">
        <v>208</v>
      </c>
      <c r="J942" s="24">
        <v>477</v>
      </c>
      <c r="L942" s="45">
        <v>13.4</v>
      </c>
      <c r="M942" s="45">
        <v>4.8</v>
      </c>
      <c r="N942" s="45">
        <v>5.5</v>
      </c>
      <c r="O942" s="45">
        <v>31.6</v>
      </c>
      <c r="P942" s="45">
        <v>14.8</v>
      </c>
      <c r="Q942" s="45">
        <v>22.8</v>
      </c>
      <c r="R942" s="45">
        <v>7.9</v>
      </c>
      <c r="S942" s="45">
        <v>3.3</v>
      </c>
      <c r="T942" s="45">
        <v>6.7</v>
      </c>
      <c r="V942" s="45">
        <v>8</v>
      </c>
      <c r="W942" s="45">
        <v>9.300000000000001</v>
      </c>
      <c r="X942" s="45">
        <v>8.300000000000001</v>
      </c>
      <c r="Y942" s="45">
        <v>6.5</v>
      </c>
      <c r="Z942" s="45">
        <v>5.6</v>
      </c>
      <c r="AA942" s="45">
        <v>7.5</v>
      </c>
      <c r="AB942" s="45">
        <v>8.800000000000001</v>
      </c>
      <c r="AC942" s="45">
        <v>16</v>
      </c>
      <c r="AD942" s="45">
        <v>7.8</v>
      </c>
    </row>
    <row r="943" spans="1:30">
      <c r="A943" s="73">
        <v>45811</v>
      </c>
      <c r="B943" s="24">
        <v>2848</v>
      </c>
      <c r="C943" s="24">
        <v>493</v>
      </c>
      <c r="D943" s="24">
        <v>341</v>
      </c>
      <c r="E943" s="24">
        <v>482</v>
      </c>
      <c r="F943" s="24">
        <v>474</v>
      </c>
      <c r="G943" s="24">
        <v>322</v>
      </c>
      <c r="H943" s="24">
        <v>188</v>
      </c>
      <c r="I943" s="24">
        <v>120</v>
      </c>
      <c r="J943" s="24">
        <v>428</v>
      </c>
      <c r="L943" s="45">
        <v>7.5</v>
      </c>
      <c r="M943" s="45">
        <v>1.9</v>
      </c>
      <c r="N943" s="45">
        <v>4.1</v>
      </c>
      <c r="O943" s="45">
        <v>18.6</v>
      </c>
      <c r="P943" s="45">
        <v>5.7</v>
      </c>
      <c r="Q943" s="45">
        <v>14.7</v>
      </c>
      <c r="R943" s="45">
        <v>3.5</v>
      </c>
      <c r="S943" s="45">
        <v>2.4</v>
      </c>
      <c r="T943" s="45">
        <v>3.8</v>
      </c>
      <c r="V943" s="45">
        <v>9.800000000000001</v>
      </c>
      <c r="W943" s="45">
        <v>11.3</v>
      </c>
      <c r="X943" s="45">
        <v>10.8</v>
      </c>
      <c r="Y943" s="45">
        <v>7.1</v>
      </c>
      <c r="Z943" s="45">
        <v>8.300000000000001</v>
      </c>
      <c r="AA943" s="45">
        <v>9.199999999999999</v>
      </c>
      <c r="AB943" s="45">
        <v>9.6</v>
      </c>
      <c r="AC943" s="45">
        <v>22</v>
      </c>
      <c r="AD943" s="45">
        <v>9.300000000000001</v>
      </c>
    </row>
    <row r="944" spans="1:30">
      <c r="A944" s="73">
        <v>45812</v>
      </c>
      <c r="B944" s="24">
        <v>3364</v>
      </c>
      <c r="C944" s="24">
        <v>601</v>
      </c>
      <c r="D944" s="24">
        <v>358</v>
      </c>
      <c r="E944" s="24">
        <v>527</v>
      </c>
      <c r="F944" s="24">
        <v>713</v>
      </c>
      <c r="G944" s="24">
        <v>367</v>
      </c>
      <c r="H944" s="24">
        <v>179</v>
      </c>
      <c r="I944" s="24">
        <v>141</v>
      </c>
      <c r="J944" s="24">
        <v>478</v>
      </c>
      <c r="L944" s="45">
        <v>8.800000000000001</v>
      </c>
      <c r="M944" s="45">
        <v>3.5</v>
      </c>
      <c r="N944" s="45">
        <v>4.5</v>
      </c>
      <c r="O944" s="45">
        <v>17.3</v>
      </c>
      <c r="P944" s="45">
        <v>12</v>
      </c>
      <c r="Q944" s="45">
        <v>11.6</v>
      </c>
      <c r="R944" s="45">
        <v>3.4</v>
      </c>
      <c r="S944" s="45">
        <v>3.1</v>
      </c>
      <c r="T944" s="45">
        <v>6.3</v>
      </c>
      <c r="V944" s="45">
        <v>8.300000000000001</v>
      </c>
      <c r="W944" s="45">
        <v>9.800000000000001</v>
      </c>
      <c r="X944" s="45">
        <v>10.1</v>
      </c>
      <c r="Y944" s="45">
        <v>6.7</v>
      </c>
      <c r="Z944" s="45">
        <v>5.8</v>
      </c>
      <c r="AA944" s="45">
        <v>8</v>
      </c>
      <c r="AB944" s="45">
        <v>10.9</v>
      </c>
      <c r="AC944" s="45">
        <v>16.5</v>
      </c>
      <c r="AD944" s="45">
        <v>7.8</v>
      </c>
    </row>
    <row r="945" spans="1:30">
      <c r="A945" s="73">
        <v>45813</v>
      </c>
      <c r="B945" s="24">
        <v>3025</v>
      </c>
      <c r="C945" s="24">
        <v>549</v>
      </c>
      <c r="D945" s="24">
        <v>319</v>
      </c>
      <c r="E945" s="24">
        <v>520</v>
      </c>
      <c r="F945" s="24">
        <v>539</v>
      </c>
      <c r="G945" s="24">
        <v>290</v>
      </c>
      <c r="H945" s="24">
        <v>224</v>
      </c>
      <c r="I945" s="24">
        <v>165</v>
      </c>
      <c r="J945" s="24">
        <v>419</v>
      </c>
      <c r="L945" s="45">
        <v>6.8</v>
      </c>
      <c r="M945" s="45">
        <v>2.2</v>
      </c>
      <c r="N945" s="45">
        <v>2.1</v>
      </c>
      <c r="O945" s="45">
        <v>16.3</v>
      </c>
      <c r="P945" s="45">
        <v>6.9</v>
      </c>
      <c r="Q945" s="45">
        <v>14.5</v>
      </c>
      <c r="R945" s="45">
        <v>2.1</v>
      </c>
      <c r="S945" s="45">
        <v>1.5</v>
      </c>
      <c r="T945" s="45">
        <v>3.8</v>
      </c>
      <c r="V945" s="45">
        <v>9.5</v>
      </c>
      <c r="W945" s="45">
        <v>11.2</v>
      </c>
      <c r="X945" s="45">
        <v>12.1</v>
      </c>
      <c r="Y945" s="45">
        <v>7.2</v>
      </c>
      <c r="Z945" s="45">
        <v>7.3</v>
      </c>
      <c r="AA945" s="45">
        <v>10</v>
      </c>
      <c r="AB945" s="45">
        <v>8.300000000000001</v>
      </c>
      <c r="AC945" s="45">
        <v>17</v>
      </c>
      <c r="AD945" s="45">
        <v>8.300000000000001</v>
      </c>
    </row>
    <row r="946" spans="1:30">
      <c r="A946" s="73">
        <v>45814</v>
      </c>
      <c r="B946" s="24">
        <v>3254</v>
      </c>
      <c r="C946" s="24">
        <v>591</v>
      </c>
      <c r="D946" s="24">
        <v>361</v>
      </c>
      <c r="E946" s="24">
        <v>528</v>
      </c>
      <c r="F946" s="24">
        <v>617</v>
      </c>
      <c r="G946" s="24">
        <v>340</v>
      </c>
      <c r="H946" s="24">
        <v>201</v>
      </c>
      <c r="I946" s="24">
        <v>211</v>
      </c>
      <c r="J946" s="24">
        <v>405</v>
      </c>
      <c r="L946" s="45">
        <v>10</v>
      </c>
      <c r="M946" s="45">
        <v>3.4</v>
      </c>
      <c r="N946" s="45">
        <v>3.7</v>
      </c>
      <c r="O946" s="45">
        <v>26.3</v>
      </c>
      <c r="P946" s="45">
        <v>11.5</v>
      </c>
      <c r="Q946" s="45">
        <v>18.3</v>
      </c>
      <c r="R946" s="45">
        <v>2.8</v>
      </c>
      <c r="S946" s="45">
        <v>1.2</v>
      </c>
      <c r="T946" s="45">
        <v>2.7</v>
      </c>
      <c r="V946" s="45">
        <v>9</v>
      </c>
      <c r="W946" s="45">
        <v>10</v>
      </c>
      <c r="X946" s="45">
        <v>10.6</v>
      </c>
      <c r="Y946" s="45">
        <v>7.3</v>
      </c>
      <c r="Z946" s="45">
        <v>6.4</v>
      </c>
      <c r="AA946" s="45">
        <v>9.699999999999999</v>
      </c>
      <c r="AB946" s="45">
        <v>8.6</v>
      </c>
      <c r="AC946" s="45">
        <v>15</v>
      </c>
      <c r="AD946" s="45">
        <v>9</v>
      </c>
    </row>
    <row r="947" spans="1:30">
      <c r="A947" s="73">
        <v>45815</v>
      </c>
      <c r="B947" s="24">
        <v>0</v>
      </c>
      <c r="C947" s="24">
        <v>0</v>
      </c>
      <c r="D947" s="24">
        <v>0</v>
      </c>
      <c r="E947" s="24">
        <v>0</v>
      </c>
      <c r="F947" s="24">
        <v>0</v>
      </c>
      <c r="G947" s="24">
        <v>0</v>
      </c>
      <c r="H947" s="24">
        <v>0</v>
      </c>
      <c r="I947" s="24">
        <v>0</v>
      </c>
      <c r="J947" s="24">
        <v>0</v>
      </c>
      <c r="L947" s="45">
        <v>0</v>
      </c>
      <c r="M947" s="45">
        <v>0</v>
      </c>
      <c r="N947" s="45">
        <v>0</v>
      </c>
      <c r="O947" s="45">
        <v>0</v>
      </c>
      <c r="P947" s="45">
        <v>0</v>
      </c>
      <c r="Q947" s="45">
        <v>0</v>
      </c>
      <c r="R947" s="45">
        <v>0</v>
      </c>
      <c r="S947" s="45">
        <v>0</v>
      </c>
      <c r="T947" s="45">
        <v>0</v>
      </c>
      <c r="V947" s="45">
        <v>0</v>
      </c>
      <c r="W947" s="45">
        <v>0</v>
      </c>
      <c r="X947" s="45">
        <v>0</v>
      </c>
      <c r="Y947" s="45">
        <v>0</v>
      </c>
      <c r="Z947" s="45">
        <v>0</v>
      </c>
      <c r="AA947" s="45">
        <v>0</v>
      </c>
      <c r="AB947" s="45">
        <v>0</v>
      </c>
      <c r="AC947" s="45">
        <v>0</v>
      </c>
      <c r="AD947" s="45">
        <v>0</v>
      </c>
    </row>
    <row r="948" spans="1:30">
      <c r="A948" s="73">
        <v>45816</v>
      </c>
      <c r="B948" s="24">
        <v>0</v>
      </c>
      <c r="C948" s="24">
        <v>0</v>
      </c>
      <c r="D948" s="24">
        <v>0</v>
      </c>
      <c r="E948" s="24">
        <v>0</v>
      </c>
      <c r="F948" s="24">
        <v>0</v>
      </c>
      <c r="G948" s="24">
        <v>0</v>
      </c>
      <c r="H948" s="24">
        <v>0</v>
      </c>
      <c r="I948" s="24">
        <v>0</v>
      </c>
      <c r="J948" s="24">
        <v>0</v>
      </c>
      <c r="L948" s="45">
        <v>0</v>
      </c>
      <c r="M948" s="45">
        <v>0</v>
      </c>
      <c r="N948" s="45">
        <v>0</v>
      </c>
      <c r="O948" s="45">
        <v>0</v>
      </c>
      <c r="P948" s="45">
        <v>0</v>
      </c>
      <c r="Q948" s="45">
        <v>0</v>
      </c>
      <c r="R948" s="45">
        <v>0</v>
      </c>
      <c r="S948" s="45">
        <v>0</v>
      </c>
      <c r="T948" s="45">
        <v>0</v>
      </c>
      <c r="V948" s="45">
        <v>0</v>
      </c>
      <c r="W948" s="45">
        <v>0</v>
      </c>
      <c r="X948" s="45">
        <v>0</v>
      </c>
      <c r="Y948" s="45">
        <v>0</v>
      </c>
      <c r="Z948" s="45">
        <v>0</v>
      </c>
      <c r="AA948" s="45">
        <v>0</v>
      </c>
      <c r="AB948" s="45">
        <v>0</v>
      </c>
      <c r="AC948" s="45">
        <v>0</v>
      </c>
      <c r="AD948" s="45">
        <v>0</v>
      </c>
    </row>
    <row r="949" spans="1:30">
      <c r="A949" s="73">
        <v>45817</v>
      </c>
      <c r="B949" s="24">
        <v>3245</v>
      </c>
      <c r="C949" s="24">
        <v>558</v>
      </c>
      <c r="D949" s="24">
        <v>363</v>
      </c>
      <c r="E949" s="24">
        <v>574</v>
      </c>
      <c r="F949" s="24">
        <v>544</v>
      </c>
      <c r="G949" s="24">
        <v>334</v>
      </c>
      <c r="H949" s="24">
        <v>219</v>
      </c>
      <c r="I949" s="24">
        <v>194</v>
      </c>
      <c r="J949" s="24">
        <v>459</v>
      </c>
      <c r="L949" s="45">
        <v>7.2</v>
      </c>
      <c r="M949" s="45">
        <v>1.9</v>
      </c>
      <c r="N949" s="45">
        <v>4</v>
      </c>
      <c r="O949" s="45">
        <v>14.9</v>
      </c>
      <c r="P949" s="45">
        <v>6.9</v>
      </c>
      <c r="Q949" s="45">
        <v>17</v>
      </c>
      <c r="R949" s="45">
        <v>3.4</v>
      </c>
      <c r="S949" s="45">
        <v>1.2</v>
      </c>
      <c r="T949" s="45">
        <v>4.2</v>
      </c>
      <c r="V949" s="45">
        <v>8.9</v>
      </c>
      <c r="W949" s="45">
        <v>10.3</v>
      </c>
      <c r="X949" s="45">
        <v>10.1</v>
      </c>
      <c r="Y949" s="45">
        <v>6.4</v>
      </c>
      <c r="Z949" s="45">
        <v>8</v>
      </c>
      <c r="AA949" s="45">
        <v>8.1</v>
      </c>
      <c r="AB949" s="45">
        <v>8.699999999999999</v>
      </c>
      <c r="AC949" s="45">
        <v>16.5</v>
      </c>
      <c r="AD949" s="45">
        <v>8.300000000000001</v>
      </c>
    </row>
    <row r="950" spans="1:30">
      <c r="A950" s="73">
        <v>45818</v>
      </c>
      <c r="B950" s="24">
        <v>2521</v>
      </c>
      <c r="C950" s="24">
        <v>391</v>
      </c>
      <c r="D950" s="24">
        <v>321</v>
      </c>
      <c r="E950" s="24">
        <v>380</v>
      </c>
      <c r="F950" s="24">
        <v>438</v>
      </c>
      <c r="G950" s="24">
        <v>296</v>
      </c>
      <c r="H950" s="24">
        <v>162</v>
      </c>
      <c r="I950" s="24">
        <v>153</v>
      </c>
      <c r="J950" s="24">
        <v>380</v>
      </c>
      <c r="L950" s="45">
        <v>5.5</v>
      </c>
      <c r="M950" s="45">
        <v>1.6</v>
      </c>
      <c r="N950" s="45">
        <v>4.3</v>
      </c>
      <c r="O950" s="45">
        <v>14.2</v>
      </c>
      <c r="P950" s="45">
        <v>3.7</v>
      </c>
      <c r="Q950" s="45">
        <v>10.4</v>
      </c>
      <c r="R950" s="45">
        <v>1.2</v>
      </c>
      <c r="S950" s="45">
        <v>1.6</v>
      </c>
      <c r="T950" s="45">
        <v>3.3</v>
      </c>
      <c r="V950" s="45">
        <v>10.9</v>
      </c>
      <c r="W950" s="45">
        <v>14.3</v>
      </c>
      <c r="X950" s="45">
        <v>11.6</v>
      </c>
      <c r="Y950" s="45">
        <v>8.4</v>
      </c>
      <c r="Z950" s="45">
        <v>8.4</v>
      </c>
      <c r="AA950" s="45">
        <v>10.3</v>
      </c>
      <c r="AB950" s="45">
        <v>12.2</v>
      </c>
      <c r="AC950" s="45">
        <v>19.5</v>
      </c>
      <c r="AD950" s="45">
        <v>8.6</v>
      </c>
    </row>
    <row r="951" spans="1:30">
      <c r="A951" s="73">
        <v>45819</v>
      </c>
      <c r="B951" s="24">
        <v>3151</v>
      </c>
      <c r="C951" s="24">
        <v>588</v>
      </c>
      <c r="D951" s="24">
        <v>338</v>
      </c>
      <c r="E951" s="24">
        <v>535</v>
      </c>
      <c r="F951" s="24">
        <v>546</v>
      </c>
      <c r="G951" s="24">
        <v>334</v>
      </c>
      <c r="H951" s="24">
        <v>195</v>
      </c>
      <c r="I951" s="24">
        <v>160</v>
      </c>
      <c r="J951" s="24">
        <v>455</v>
      </c>
      <c r="L951" s="45">
        <v>8.199999999999999</v>
      </c>
      <c r="M951" s="45">
        <v>3.3</v>
      </c>
      <c r="N951" s="45">
        <v>3.4</v>
      </c>
      <c r="O951" s="45">
        <v>19.8</v>
      </c>
      <c r="P951" s="45">
        <v>8.300000000000001</v>
      </c>
      <c r="Q951" s="45">
        <v>13.5</v>
      </c>
      <c r="R951" s="45">
        <v>3.1</v>
      </c>
      <c r="S951" s="45">
        <v>1.5</v>
      </c>
      <c r="T951" s="45">
        <v>5.1</v>
      </c>
      <c r="V951" s="45">
        <v>9.199999999999999</v>
      </c>
      <c r="W951" s="45">
        <v>9.9</v>
      </c>
      <c r="X951" s="45">
        <v>10.6</v>
      </c>
      <c r="Y951" s="45">
        <v>7.4</v>
      </c>
      <c r="Z951" s="45">
        <v>7.2</v>
      </c>
      <c r="AA951" s="45">
        <v>9.199999999999999</v>
      </c>
      <c r="AB951" s="45">
        <v>9.199999999999999</v>
      </c>
      <c r="AC951" s="45">
        <v>20</v>
      </c>
      <c r="AD951" s="45">
        <v>7.9</v>
      </c>
    </row>
    <row r="952" spans="1:30">
      <c r="A952" s="73">
        <v>45820</v>
      </c>
      <c r="B952" s="24">
        <v>2934</v>
      </c>
      <c r="C952" s="24">
        <v>502</v>
      </c>
      <c r="D952" s="24">
        <v>311</v>
      </c>
      <c r="E952" s="24">
        <v>531</v>
      </c>
      <c r="F952" s="24">
        <v>550</v>
      </c>
      <c r="G952" s="24">
        <v>301</v>
      </c>
      <c r="H952" s="24">
        <v>194</v>
      </c>
      <c r="I952" s="24">
        <v>149</v>
      </c>
      <c r="J952" s="24">
        <v>396</v>
      </c>
      <c r="L952" s="45">
        <v>5.9</v>
      </c>
      <c r="M952" s="45">
        <v>3</v>
      </c>
      <c r="N952" s="45">
        <v>2.8</v>
      </c>
      <c r="O952" s="45">
        <v>10.2</v>
      </c>
      <c r="P952" s="45">
        <v>6.9</v>
      </c>
      <c r="Q952" s="45">
        <v>12.1</v>
      </c>
      <c r="R952" s="45">
        <v>2.3</v>
      </c>
      <c r="S952" s="45">
        <v>1.4</v>
      </c>
      <c r="T952" s="45">
        <v>3.5</v>
      </c>
      <c r="V952" s="45">
        <v>9.699999999999999</v>
      </c>
      <c r="W952" s="45">
        <v>12.2</v>
      </c>
      <c r="X952" s="45">
        <v>10.8</v>
      </c>
      <c r="Y952" s="45">
        <v>7.1</v>
      </c>
      <c r="Z952" s="45">
        <v>7.6</v>
      </c>
      <c r="AA952" s="45">
        <v>9.9</v>
      </c>
      <c r="AB952" s="45">
        <v>8.800000000000001</v>
      </c>
      <c r="AC952" s="45">
        <v>20.5</v>
      </c>
      <c r="AD952" s="45">
        <v>8.699999999999999</v>
      </c>
    </row>
    <row r="953" spans="1:30">
      <c r="A953" s="73">
        <v>45821</v>
      </c>
      <c r="B953" s="24">
        <v>3398</v>
      </c>
      <c r="C953" s="24">
        <v>639</v>
      </c>
      <c r="D953" s="24">
        <v>420</v>
      </c>
      <c r="E953" s="24">
        <v>545</v>
      </c>
      <c r="F953" s="24">
        <v>630</v>
      </c>
      <c r="G953" s="24">
        <v>333</v>
      </c>
      <c r="H953" s="24">
        <v>182</v>
      </c>
      <c r="I953" s="24">
        <v>147</v>
      </c>
      <c r="J953" s="24">
        <v>502</v>
      </c>
      <c r="L953" s="45">
        <v>7.5</v>
      </c>
      <c r="M953" s="45">
        <v>10.2</v>
      </c>
      <c r="N953" s="45">
        <v>4.9</v>
      </c>
      <c r="O953" s="45">
        <v>10.8</v>
      </c>
      <c r="P953" s="45">
        <v>6.5</v>
      </c>
      <c r="Q953" s="45">
        <v>9.5</v>
      </c>
      <c r="R953" s="45">
        <v>2</v>
      </c>
      <c r="S953" s="45">
        <v>1.5</v>
      </c>
      <c r="T953" s="45">
        <v>6.3</v>
      </c>
      <c r="V953" s="45">
        <v>8.5</v>
      </c>
      <c r="W953" s="45">
        <v>9.699999999999999</v>
      </c>
      <c r="X953" s="45">
        <v>8.6</v>
      </c>
      <c r="Y953" s="45">
        <v>6.8</v>
      </c>
      <c r="Z953" s="45">
        <v>6.3</v>
      </c>
      <c r="AA953" s="45">
        <v>10.2</v>
      </c>
      <c r="AB953" s="45">
        <v>10.2</v>
      </c>
      <c r="AC953" s="45">
        <v>19.2</v>
      </c>
      <c r="AD953" s="45">
        <v>6.9</v>
      </c>
    </row>
    <row r="954" spans="1:30">
      <c r="A954" s="73">
        <v>45822</v>
      </c>
      <c r="B954" s="24">
        <v>0</v>
      </c>
      <c r="C954" s="24">
        <v>0</v>
      </c>
      <c r="D954" s="24">
        <v>0</v>
      </c>
      <c r="E954" s="24">
        <v>0</v>
      </c>
      <c r="F954" s="24">
        <v>0</v>
      </c>
      <c r="G954" s="24">
        <v>0</v>
      </c>
      <c r="H954" s="24">
        <v>0</v>
      </c>
      <c r="I954" s="24">
        <v>0</v>
      </c>
      <c r="J954" s="24">
        <v>0</v>
      </c>
      <c r="L954" s="45">
        <v>0</v>
      </c>
      <c r="M954" s="45">
        <v>0</v>
      </c>
      <c r="N954" s="45">
        <v>0</v>
      </c>
      <c r="O954" s="45">
        <v>0</v>
      </c>
      <c r="P954" s="45">
        <v>0</v>
      </c>
      <c r="Q954" s="45">
        <v>0</v>
      </c>
      <c r="R954" s="45">
        <v>0</v>
      </c>
      <c r="S954" s="45">
        <v>0</v>
      </c>
      <c r="T954" s="45">
        <v>0</v>
      </c>
      <c r="V954" s="45">
        <v>0</v>
      </c>
      <c r="W954" s="45">
        <v>0</v>
      </c>
      <c r="X954" s="45">
        <v>0</v>
      </c>
      <c r="Y954" s="45">
        <v>0</v>
      </c>
      <c r="Z954" s="45">
        <v>0</v>
      </c>
      <c r="AA954" s="45">
        <v>0</v>
      </c>
      <c r="AB954" s="45">
        <v>0</v>
      </c>
      <c r="AC954" s="45">
        <v>0</v>
      </c>
      <c r="AD954" s="45">
        <v>0</v>
      </c>
    </row>
    <row r="955" spans="1:30">
      <c r="A955" s="73">
        <v>45823</v>
      </c>
      <c r="B955" s="24">
        <v>0</v>
      </c>
      <c r="C955" s="24">
        <v>0</v>
      </c>
      <c r="D955" s="24">
        <v>0</v>
      </c>
      <c r="E955" s="24">
        <v>0</v>
      </c>
      <c r="F955" s="24">
        <v>0</v>
      </c>
      <c r="G955" s="24">
        <v>0</v>
      </c>
      <c r="H955" s="24">
        <v>0</v>
      </c>
      <c r="I955" s="24">
        <v>0</v>
      </c>
      <c r="J955" s="24">
        <v>0</v>
      </c>
      <c r="L955" s="45">
        <v>0</v>
      </c>
      <c r="M955" s="45">
        <v>0</v>
      </c>
      <c r="N955" s="45">
        <v>0</v>
      </c>
      <c r="O955" s="45">
        <v>0</v>
      </c>
      <c r="P955" s="45">
        <v>0</v>
      </c>
      <c r="Q955" s="45">
        <v>0</v>
      </c>
      <c r="R955" s="45">
        <v>0</v>
      </c>
      <c r="S955" s="45">
        <v>0</v>
      </c>
      <c r="T955" s="45">
        <v>0</v>
      </c>
      <c r="V955" s="45">
        <v>0</v>
      </c>
      <c r="W955" s="45">
        <v>0</v>
      </c>
      <c r="X955" s="45">
        <v>0</v>
      </c>
      <c r="Y955" s="45">
        <v>0</v>
      </c>
      <c r="Z955" s="45">
        <v>0</v>
      </c>
      <c r="AA955" s="45">
        <v>0</v>
      </c>
      <c r="AB955" s="45">
        <v>0</v>
      </c>
      <c r="AC955" s="45">
        <v>0</v>
      </c>
      <c r="AD955" s="45">
        <v>0</v>
      </c>
    </row>
    <row r="956" spans="1:30">
      <c r="A956" s="73">
        <v>45824</v>
      </c>
      <c r="B956" s="24">
        <v>3641</v>
      </c>
      <c r="C956" s="24">
        <v>688</v>
      </c>
      <c r="D956" s="24">
        <v>393</v>
      </c>
      <c r="E956" s="24">
        <v>587</v>
      </c>
      <c r="F956" s="24">
        <v>670</v>
      </c>
      <c r="G956" s="24">
        <v>365</v>
      </c>
      <c r="H956" s="24">
        <v>237</v>
      </c>
      <c r="I956" s="24">
        <v>188</v>
      </c>
      <c r="J956" s="24">
        <v>513</v>
      </c>
      <c r="L956" s="45">
        <v>7.8</v>
      </c>
      <c r="M956" s="45">
        <v>8.300000000000001</v>
      </c>
      <c r="N956" s="45">
        <v>4.8</v>
      </c>
      <c r="O956" s="45">
        <v>11.1</v>
      </c>
      <c r="P956" s="45">
        <v>8.4</v>
      </c>
      <c r="Q956" s="45">
        <v>12.1</v>
      </c>
      <c r="R956" s="45">
        <v>4.4</v>
      </c>
      <c r="S956" s="45">
        <v>2.1</v>
      </c>
      <c r="T956" s="45">
        <v>5.6</v>
      </c>
      <c r="V956" s="45">
        <v>8</v>
      </c>
      <c r="W956" s="45">
        <v>9.199999999999999</v>
      </c>
      <c r="X956" s="45">
        <v>9.199999999999999</v>
      </c>
      <c r="Y956" s="45">
        <v>6.5</v>
      </c>
      <c r="Z956" s="45">
        <v>5.5</v>
      </c>
      <c r="AA956" s="45">
        <v>8.199999999999999</v>
      </c>
      <c r="AB956" s="45">
        <v>7.6</v>
      </c>
      <c r="AC956" s="45">
        <v>15.1</v>
      </c>
      <c r="AD956" s="45">
        <v>7.8</v>
      </c>
    </row>
    <row r="957" spans="1:30">
      <c r="A957" s="73">
        <v>45825</v>
      </c>
      <c r="B957" s="24">
        <v>3126</v>
      </c>
      <c r="C957" s="24">
        <v>635</v>
      </c>
      <c r="D957" s="24">
        <v>348</v>
      </c>
      <c r="E957" s="24">
        <v>506</v>
      </c>
      <c r="F957" s="24">
        <v>542</v>
      </c>
      <c r="G957" s="24">
        <v>291</v>
      </c>
      <c r="H957" s="24">
        <v>193</v>
      </c>
      <c r="I957" s="24">
        <v>163</v>
      </c>
      <c r="J957" s="24">
        <v>448</v>
      </c>
      <c r="L957" s="45">
        <v>7.1</v>
      </c>
      <c r="M957" s="45">
        <v>8.9</v>
      </c>
      <c r="N957" s="45">
        <v>4.5</v>
      </c>
      <c r="O957" s="45">
        <v>10.9</v>
      </c>
      <c r="P957" s="45">
        <v>6.2</v>
      </c>
      <c r="Q957" s="45">
        <v>11.4</v>
      </c>
      <c r="R957" s="45">
        <v>1.6</v>
      </c>
      <c r="S957" s="45">
        <v>1.4</v>
      </c>
      <c r="T957" s="45">
        <v>5.3</v>
      </c>
      <c r="V957" s="45">
        <v>9</v>
      </c>
      <c r="W957" s="45">
        <v>9.6</v>
      </c>
      <c r="X957" s="45">
        <v>9.699999999999999</v>
      </c>
      <c r="Y957" s="45">
        <v>7.3</v>
      </c>
      <c r="Z957" s="45">
        <v>7</v>
      </c>
      <c r="AA957" s="45">
        <v>10.3</v>
      </c>
      <c r="AB957" s="45">
        <v>10.3</v>
      </c>
      <c r="AC957" s="45">
        <v>14.6</v>
      </c>
      <c r="AD957" s="45">
        <v>8.6</v>
      </c>
    </row>
    <row r="958" spans="1:30">
      <c r="A958" s="73">
        <v>45826</v>
      </c>
      <c r="B958" s="24">
        <v>3011</v>
      </c>
      <c r="C958" s="24">
        <v>606</v>
      </c>
      <c r="D958" s="24">
        <v>311</v>
      </c>
      <c r="E958" s="24">
        <v>480</v>
      </c>
      <c r="F958" s="24">
        <v>541</v>
      </c>
      <c r="G958" s="24">
        <v>299</v>
      </c>
      <c r="H958" s="24">
        <v>176</v>
      </c>
      <c r="I958" s="24">
        <v>178</v>
      </c>
      <c r="J958" s="24">
        <v>420</v>
      </c>
      <c r="L958" s="45">
        <v>6.3</v>
      </c>
      <c r="M958" s="45">
        <v>4.2</v>
      </c>
      <c r="N958" s="45">
        <v>3.6</v>
      </c>
      <c r="O958" s="45">
        <v>11.1</v>
      </c>
      <c r="P958" s="45">
        <v>6.6</v>
      </c>
      <c r="Q958" s="45">
        <v>11.5</v>
      </c>
      <c r="R958" s="45">
        <v>2.8</v>
      </c>
      <c r="S958" s="45">
        <v>1.8</v>
      </c>
      <c r="T958" s="45">
        <v>4.9</v>
      </c>
      <c r="V958" s="45">
        <v>9.5</v>
      </c>
      <c r="W958" s="45">
        <v>9.4</v>
      </c>
      <c r="X958" s="45">
        <v>11.5</v>
      </c>
      <c r="Y958" s="45">
        <v>7.5</v>
      </c>
      <c r="Z958" s="45">
        <v>6.9</v>
      </c>
      <c r="AA958" s="45">
        <v>10.7</v>
      </c>
      <c r="AB958" s="45">
        <v>10.6</v>
      </c>
      <c r="AC958" s="45">
        <v>17.6</v>
      </c>
      <c r="AD958" s="45">
        <v>8.9</v>
      </c>
    </row>
    <row r="959" spans="1:30">
      <c r="A959" s="73">
        <v>45827</v>
      </c>
      <c r="B959" s="24">
        <v>2705</v>
      </c>
      <c r="C959" s="24">
        <v>523</v>
      </c>
      <c r="D959" s="24">
        <v>296</v>
      </c>
      <c r="E959" s="24">
        <v>436</v>
      </c>
      <c r="F959" s="24">
        <v>453</v>
      </c>
      <c r="G959" s="24">
        <v>280</v>
      </c>
      <c r="H959" s="24">
        <v>155</v>
      </c>
      <c r="I959" s="24">
        <v>135</v>
      </c>
      <c r="J959" s="24">
        <v>427</v>
      </c>
      <c r="L959" s="45">
        <v>5.6</v>
      </c>
      <c r="M959" s="45">
        <v>5.5</v>
      </c>
      <c r="N959" s="45">
        <v>3.5</v>
      </c>
      <c r="O959" s="45">
        <v>12.3</v>
      </c>
      <c r="P959" s="45">
        <v>3.7</v>
      </c>
      <c r="Q959" s="45">
        <v>8.199999999999999</v>
      </c>
      <c r="R959" s="45">
        <v>1.8</v>
      </c>
      <c r="S959" s="45">
        <v>1.4</v>
      </c>
      <c r="T959" s="45">
        <v>3.5</v>
      </c>
      <c r="V959" s="45">
        <v>10.4</v>
      </c>
      <c r="W959" s="45">
        <v>11.3</v>
      </c>
      <c r="X959" s="45">
        <v>12.1</v>
      </c>
      <c r="Y959" s="45">
        <v>8.6</v>
      </c>
      <c r="Z959" s="45">
        <v>7.8</v>
      </c>
      <c r="AA959" s="45">
        <v>10.9</v>
      </c>
      <c r="AB959" s="45">
        <v>12.5</v>
      </c>
      <c r="AC959" s="45">
        <v>18.6</v>
      </c>
      <c r="AD959" s="45">
        <v>9.300000000000001</v>
      </c>
    </row>
    <row r="960" spans="1:30">
      <c r="A960" s="73">
        <v>45828</v>
      </c>
      <c r="B960" s="24">
        <v>3011</v>
      </c>
      <c r="C960" s="24">
        <v>623</v>
      </c>
      <c r="D960" s="24">
        <v>296</v>
      </c>
      <c r="E960" s="24">
        <v>476</v>
      </c>
      <c r="F960" s="24">
        <v>534</v>
      </c>
      <c r="G960" s="24">
        <v>308</v>
      </c>
      <c r="H960" s="24">
        <v>192</v>
      </c>
      <c r="I960" s="24">
        <v>154</v>
      </c>
      <c r="J960" s="24">
        <v>428</v>
      </c>
      <c r="L960" s="45">
        <v>6.3</v>
      </c>
      <c r="M960" s="45">
        <v>4.6</v>
      </c>
      <c r="N960" s="45">
        <v>3.2</v>
      </c>
      <c r="O960" s="45">
        <v>12</v>
      </c>
      <c r="P960" s="45">
        <v>5.6</v>
      </c>
      <c r="Q960" s="45">
        <v>11.6</v>
      </c>
      <c r="R960" s="45">
        <v>3.7</v>
      </c>
      <c r="S960" s="45">
        <v>1.4</v>
      </c>
      <c r="T960" s="45">
        <v>4.6</v>
      </c>
      <c r="V960" s="45">
        <v>9.300000000000001</v>
      </c>
      <c r="W960" s="45">
        <v>9.699999999999999</v>
      </c>
      <c r="X960" s="45">
        <v>12.3</v>
      </c>
      <c r="Y960" s="45">
        <v>7.4</v>
      </c>
      <c r="Z960" s="45">
        <v>6.7</v>
      </c>
      <c r="AA960" s="45">
        <v>10</v>
      </c>
      <c r="AB960" s="45">
        <v>8.699999999999999</v>
      </c>
      <c r="AC960" s="45">
        <v>18.8</v>
      </c>
      <c r="AD960" s="45">
        <v>8.5</v>
      </c>
    </row>
    <row r="961" spans="1:30">
      <c r="A961" s="73">
        <v>45829</v>
      </c>
      <c r="B961" s="24">
        <v>0</v>
      </c>
      <c r="C961" s="24">
        <v>0</v>
      </c>
      <c r="D961" s="24">
        <v>0</v>
      </c>
      <c r="E961" s="24">
        <v>0</v>
      </c>
      <c r="F961" s="24">
        <v>0</v>
      </c>
      <c r="G961" s="24">
        <v>0</v>
      </c>
      <c r="H961" s="24">
        <v>0</v>
      </c>
      <c r="I961" s="24">
        <v>0</v>
      </c>
      <c r="J961" s="24">
        <v>0</v>
      </c>
      <c r="L961" s="45">
        <v>0</v>
      </c>
      <c r="M961" s="45">
        <v>0</v>
      </c>
      <c r="N961" s="45">
        <v>0</v>
      </c>
      <c r="O961" s="45">
        <v>0</v>
      </c>
      <c r="P961" s="45">
        <v>0</v>
      </c>
      <c r="Q961" s="45">
        <v>0</v>
      </c>
      <c r="R961" s="45">
        <v>0</v>
      </c>
      <c r="S961" s="45">
        <v>0</v>
      </c>
      <c r="T961" s="45">
        <v>0</v>
      </c>
      <c r="V961" s="45">
        <v>0</v>
      </c>
      <c r="W961" s="45">
        <v>0</v>
      </c>
      <c r="X961" s="45">
        <v>0</v>
      </c>
      <c r="Y961" s="45">
        <v>0</v>
      </c>
      <c r="Z961" s="45">
        <v>0</v>
      </c>
      <c r="AA961" s="45">
        <v>0</v>
      </c>
      <c r="AB961" s="45">
        <v>0</v>
      </c>
      <c r="AC961" s="45">
        <v>0</v>
      </c>
      <c r="AD961" s="45">
        <v>0</v>
      </c>
    </row>
    <row r="962" spans="1:30">
      <c r="A962" s="73">
        <v>45830</v>
      </c>
      <c r="B962" s="24">
        <v>0</v>
      </c>
      <c r="C962" s="24">
        <v>0</v>
      </c>
      <c r="D962" s="24">
        <v>0</v>
      </c>
      <c r="E962" s="24">
        <v>0</v>
      </c>
      <c r="F962" s="24">
        <v>0</v>
      </c>
      <c r="G962" s="24">
        <v>0</v>
      </c>
      <c r="H962" s="24">
        <v>0</v>
      </c>
      <c r="I962" s="24">
        <v>0</v>
      </c>
      <c r="J962" s="24">
        <v>0</v>
      </c>
      <c r="L962" s="45">
        <v>0</v>
      </c>
      <c r="M962" s="45">
        <v>0</v>
      </c>
      <c r="N962" s="45">
        <v>0</v>
      </c>
      <c r="O962" s="45">
        <v>0</v>
      </c>
      <c r="P962" s="45">
        <v>0</v>
      </c>
      <c r="Q962" s="45">
        <v>0</v>
      </c>
      <c r="R962" s="45">
        <v>0</v>
      </c>
      <c r="S962" s="45">
        <v>0</v>
      </c>
      <c r="T962" s="45">
        <v>0</v>
      </c>
      <c r="V962" s="45">
        <v>0</v>
      </c>
      <c r="W962" s="45">
        <v>0</v>
      </c>
      <c r="X962" s="45">
        <v>0</v>
      </c>
      <c r="Y962" s="45">
        <v>0</v>
      </c>
      <c r="Z962" s="45">
        <v>0</v>
      </c>
      <c r="AA962" s="45">
        <v>0</v>
      </c>
      <c r="AB962" s="45">
        <v>0</v>
      </c>
      <c r="AC962" s="45">
        <v>0</v>
      </c>
      <c r="AD962" s="45">
        <v>0</v>
      </c>
    </row>
    <row r="963" spans="1:30">
      <c r="A963" s="73">
        <v>45831</v>
      </c>
      <c r="B963" s="24">
        <v>3103</v>
      </c>
      <c r="C963" s="24">
        <v>578</v>
      </c>
      <c r="D963" s="24">
        <v>335</v>
      </c>
      <c r="E963" s="24">
        <v>529</v>
      </c>
      <c r="F963" s="24">
        <v>549</v>
      </c>
      <c r="G963" s="24">
        <v>314</v>
      </c>
      <c r="H963" s="24">
        <v>198</v>
      </c>
      <c r="I963" s="24">
        <v>188</v>
      </c>
      <c r="J963" s="24">
        <v>412</v>
      </c>
      <c r="L963" s="45">
        <v>8.1</v>
      </c>
      <c r="M963" s="45">
        <v>6.4</v>
      </c>
      <c r="N963" s="45">
        <v>2.9</v>
      </c>
      <c r="O963" s="45">
        <v>14.1</v>
      </c>
      <c r="P963" s="45">
        <v>11.1</v>
      </c>
      <c r="Q963" s="45">
        <v>13.6</v>
      </c>
      <c r="R963" s="45">
        <v>5.5</v>
      </c>
      <c r="S963" s="45">
        <v>2.2</v>
      </c>
      <c r="T963" s="45">
        <v>3</v>
      </c>
      <c r="V963" s="45">
        <v>9</v>
      </c>
      <c r="W963" s="45">
        <v>10.3</v>
      </c>
      <c r="X963" s="45">
        <v>10.5</v>
      </c>
      <c r="Y963" s="45">
        <v>6.9</v>
      </c>
      <c r="Z963" s="45">
        <v>6.8</v>
      </c>
      <c r="AA963" s="45">
        <v>8.4</v>
      </c>
      <c r="AB963" s="45">
        <v>9.4</v>
      </c>
      <c r="AC963" s="45">
        <v>16.1</v>
      </c>
      <c r="AD963" s="45">
        <v>8.5</v>
      </c>
    </row>
    <row r="964" spans="1:30">
      <c r="A964" s="73">
        <v>45832</v>
      </c>
      <c r="B964" s="24">
        <v>2485</v>
      </c>
      <c r="C964" s="24">
        <v>434</v>
      </c>
      <c r="D964" s="24">
        <v>283</v>
      </c>
      <c r="E964" s="24">
        <v>390</v>
      </c>
      <c r="F964" s="24">
        <v>438</v>
      </c>
      <c r="G964" s="24">
        <v>314</v>
      </c>
      <c r="H964" s="24">
        <v>164</v>
      </c>
      <c r="I964" s="24">
        <v>108</v>
      </c>
      <c r="J964" s="24">
        <v>354</v>
      </c>
      <c r="L964" s="45">
        <v>5.5</v>
      </c>
      <c r="M964" s="45">
        <v>2.3</v>
      </c>
      <c r="N964" s="45">
        <v>2.5</v>
      </c>
      <c r="O964" s="45">
        <v>15.1</v>
      </c>
      <c r="P964" s="45">
        <v>3.2</v>
      </c>
      <c r="Q964" s="45">
        <v>9.9</v>
      </c>
      <c r="R964" s="45">
        <v>2.1</v>
      </c>
      <c r="S964" s="45">
        <v>1.2</v>
      </c>
      <c r="T964" s="45">
        <v>3.1</v>
      </c>
      <c r="V964" s="45">
        <v>11.1</v>
      </c>
      <c r="W964" s="45">
        <v>12.7</v>
      </c>
      <c r="X964" s="45">
        <v>12.6</v>
      </c>
      <c r="Y964" s="45">
        <v>9.199999999999999</v>
      </c>
      <c r="Z964" s="45">
        <v>8.5</v>
      </c>
      <c r="AA964" s="45">
        <v>10.5</v>
      </c>
      <c r="AB964" s="45">
        <v>11.7</v>
      </c>
      <c r="AC964" s="45">
        <v>23.5</v>
      </c>
      <c r="AD964" s="45">
        <v>10.1</v>
      </c>
    </row>
    <row r="965" spans="1:30">
      <c r="A965" s="73">
        <v>45833</v>
      </c>
      <c r="B965" s="24">
        <v>2831</v>
      </c>
      <c r="C965" s="24">
        <v>508</v>
      </c>
      <c r="D965" s="24">
        <v>367</v>
      </c>
      <c r="E965" s="24">
        <v>427</v>
      </c>
      <c r="F965" s="24">
        <v>516</v>
      </c>
      <c r="G965" s="24">
        <v>302</v>
      </c>
      <c r="H965" s="24">
        <v>180</v>
      </c>
      <c r="I965" s="24">
        <v>131</v>
      </c>
      <c r="J965" s="24">
        <v>400</v>
      </c>
      <c r="L965" s="45">
        <v>6</v>
      </c>
      <c r="M965" s="45">
        <v>2.9</v>
      </c>
      <c r="N965" s="45">
        <v>4.2</v>
      </c>
      <c r="O965" s="45">
        <v>9.6</v>
      </c>
      <c r="P965" s="45">
        <v>9.6</v>
      </c>
      <c r="Q965" s="45">
        <v>8.699999999999999</v>
      </c>
      <c r="R965" s="45">
        <v>1.7</v>
      </c>
      <c r="S965" s="45">
        <v>1.4</v>
      </c>
      <c r="T965" s="45">
        <v>4.7</v>
      </c>
      <c r="V965" s="45">
        <v>10</v>
      </c>
      <c r="W965" s="45">
        <v>10.8</v>
      </c>
      <c r="X965" s="45">
        <v>10.2</v>
      </c>
      <c r="Y965" s="45">
        <v>8.9</v>
      </c>
      <c r="Z965" s="45">
        <v>7.8</v>
      </c>
      <c r="AA965" s="45">
        <v>10.8</v>
      </c>
      <c r="AB965" s="45">
        <v>10.3</v>
      </c>
      <c r="AC965" s="45">
        <v>20</v>
      </c>
      <c r="AD965" s="45">
        <v>9.199999999999999</v>
      </c>
    </row>
    <row r="966" spans="1:30">
      <c r="A966" s="73">
        <v>45834</v>
      </c>
      <c r="B966" s="24">
        <v>2855</v>
      </c>
      <c r="C966" s="24">
        <v>552</v>
      </c>
      <c r="D966" s="24">
        <v>286</v>
      </c>
      <c r="E966" s="24">
        <v>495</v>
      </c>
      <c r="F966" s="24">
        <v>501</v>
      </c>
      <c r="G966" s="24">
        <v>288</v>
      </c>
      <c r="H966" s="24">
        <v>168</v>
      </c>
      <c r="I966" s="24">
        <v>164</v>
      </c>
      <c r="J966" s="24">
        <v>401</v>
      </c>
      <c r="L966" s="45">
        <v>6.2</v>
      </c>
      <c r="M966" s="45">
        <v>2.9</v>
      </c>
      <c r="N966" s="45">
        <v>2.5</v>
      </c>
      <c r="O966" s="45">
        <v>14.8</v>
      </c>
      <c r="P966" s="45">
        <v>5.4</v>
      </c>
      <c r="Q966" s="45">
        <v>10.3</v>
      </c>
      <c r="R966" s="45">
        <v>2.5</v>
      </c>
      <c r="S966" s="45">
        <v>1.5</v>
      </c>
      <c r="T966" s="45">
        <v>4.2</v>
      </c>
      <c r="V966" s="45">
        <v>10.2</v>
      </c>
      <c r="W966" s="45">
        <v>11.2</v>
      </c>
      <c r="X966" s="45">
        <v>12.6</v>
      </c>
      <c r="Y966" s="45">
        <v>7.5</v>
      </c>
      <c r="Z966" s="45">
        <v>8</v>
      </c>
      <c r="AA966" s="45">
        <v>10.3</v>
      </c>
      <c r="AB966" s="45">
        <v>12</v>
      </c>
      <c r="AC966" s="45">
        <v>18.9</v>
      </c>
      <c r="AD966" s="45">
        <v>8.6</v>
      </c>
    </row>
    <row r="967" spans="1:30">
      <c r="A967" s="73">
        <v>45835</v>
      </c>
      <c r="B967" s="24">
        <v>3235</v>
      </c>
      <c r="C967" s="24">
        <v>625</v>
      </c>
      <c r="D967" s="24">
        <v>376</v>
      </c>
      <c r="E967" s="24">
        <v>507</v>
      </c>
      <c r="F967" s="24">
        <v>600</v>
      </c>
      <c r="G967" s="24">
        <v>316</v>
      </c>
      <c r="H967" s="24">
        <v>187</v>
      </c>
      <c r="I967" s="24">
        <v>169</v>
      </c>
      <c r="J967" s="24">
        <v>455</v>
      </c>
      <c r="L967" s="45">
        <v>8</v>
      </c>
      <c r="M967" s="45">
        <v>3.4</v>
      </c>
      <c r="N967" s="45">
        <v>4.3</v>
      </c>
      <c r="O967" s="45">
        <v>17.5</v>
      </c>
      <c r="P967" s="45">
        <v>10.5</v>
      </c>
      <c r="Q967" s="45">
        <v>15</v>
      </c>
      <c r="R967" s="45">
        <v>1.8</v>
      </c>
      <c r="S967" s="45">
        <v>2.1</v>
      </c>
      <c r="T967" s="45">
        <v>3.4</v>
      </c>
      <c r="V967" s="45">
        <v>9</v>
      </c>
      <c r="W967" s="45">
        <v>10.2</v>
      </c>
      <c r="X967" s="45">
        <v>9.9</v>
      </c>
      <c r="Y967" s="45">
        <v>7.4</v>
      </c>
      <c r="Z967" s="45">
        <v>6.6</v>
      </c>
      <c r="AA967" s="45">
        <v>8.6</v>
      </c>
      <c r="AB967" s="45">
        <v>10.2</v>
      </c>
      <c r="AC967" s="45">
        <v>18.2</v>
      </c>
      <c r="AD967" s="45">
        <v>7.8</v>
      </c>
    </row>
    <row r="968" spans="1:30">
      <c r="A968" s="73">
        <v>45836</v>
      </c>
      <c r="B968" s="24">
        <v>0</v>
      </c>
      <c r="C968" s="24">
        <v>0</v>
      </c>
      <c r="D968" s="24">
        <v>0</v>
      </c>
      <c r="E968" s="24">
        <v>0</v>
      </c>
      <c r="F968" s="24">
        <v>0</v>
      </c>
      <c r="G968" s="24">
        <v>0</v>
      </c>
      <c r="H968" s="24">
        <v>0</v>
      </c>
      <c r="I968" s="24">
        <v>0</v>
      </c>
      <c r="J968" s="24">
        <v>0</v>
      </c>
      <c r="L968" s="45">
        <v>0</v>
      </c>
      <c r="M968" s="45">
        <v>0</v>
      </c>
      <c r="N968" s="45">
        <v>0</v>
      </c>
      <c r="O968" s="45">
        <v>0</v>
      </c>
      <c r="P968" s="45">
        <v>0</v>
      </c>
      <c r="Q968" s="45">
        <v>0</v>
      </c>
      <c r="R968" s="45">
        <v>0</v>
      </c>
      <c r="S968" s="45">
        <v>0</v>
      </c>
      <c r="T968" s="45">
        <v>0</v>
      </c>
      <c r="V968" s="45">
        <v>0</v>
      </c>
      <c r="W968" s="45">
        <v>0</v>
      </c>
      <c r="X968" s="45">
        <v>0</v>
      </c>
      <c r="Y968" s="45">
        <v>0</v>
      </c>
      <c r="Z968" s="45">
        <v>0</v>
      </c>
      <c r="AA968" s="45">
        <v>0</v>
      </c>
      <c r="AB968" s="45">
        <v>0</v>
      </c>
      <c r="AC968" s="45">
        <v>0</v>
      </c>
      <c r="AD968" s="45">
        <v>0</v>
      </c>
    </row>
    <row r="969" spans="1:30">
      <c r="A969" s="73">
        <v>45837</v>
      </c>
      <c r="B969" s="24">
        <v>0</v>
      </c>
      <c r="C969" s="24">
        <v>0</v>
      </c>
      <c r="D969" s="24">
        <v>0</v>
      </c>
      <c r="E969" s="24">
        <v>0</v>
      </c>
      <c r="F969" s="24">
        <v>0</v>
      </c>
      <c r="G969" s="24">
        <v>0</v>
      </c>
      <c r="H969" s="24">
        <v>0</v>
      </c>
      <c r="I969" s="24">
        <v>0</v>
      </c>
      <c r="J969" s="24">
        <v>0</v>
      </c>
      <c r="L969" s="45">
        <v>0</v>
      </c>
      <c r="M969" s="45">
        <v>0</v>
      </c>
      <c r="N969" s="45">
        <v>0</v>
      </c>
      <c r="O969" s="45">
        <v>0</v>
      </c>
      <c r="P969" s="45">
        <v>0</v>
      </c>
      <c r="Q969" s="45">
        <v>0</v>
      </c>
      <c r="R969" s="45">
        <v>0</v>
      </c>
      <c r="S969" s="45">
        <v>0</v>
      </c>
      <c r="T969" s="45">
        <v>0</v>
      </c>
      <c r="V969" s="45">
        <v>0</v>
      </c>
      <c r="W969" s="45">
        <v>0</v>
      </c>
      <c r="X969" s="45">
        <v>0</v>
      </c>
      <c r="Y969" s="45">
        <v>0</v>
      </c>
      <c r="Z969" s="45">
        <v>0</v>
      </c>
      <c r="AA969" s="45">
        <v>0</v>
      </c>
      <c r="AB969" s="45">
        <v>0</v>
      </c>
      <c r="AC969" s="45">
        <v>0</v>
      </c>
      <c r="AD969" s="45">
        <v>0</v>
      </c>
    </row>
    <row r="970" spans="1:30">
      <c r="A970" s="73">
        <v>45838</v>
      </c>
      <c r="B970" s="24">
        <v>3630</v>
      </c>
      <c r="C970" s="24">
        <v>720</v>
      </c>
      <c r="D970" s="24">
        <v>425</v>
      </c>
      <c r="E970" s="24">
        <v>594</v>
      </c>
      <c r="F970" s="24">
        <v>629</v>
      </c>
      <c r="G970" s="24">
        <v>347</v>
      </c>
      <c r="H970" s="24">
        <v>211</v>
      </c>
      <c r="I970" s="24">
        <v>234</v>
      </c>
      <c r="J970" s="24">
        <v>470</v>
      </c>
      <c r="L970" s="45">
        <v>12.7</v>
      </c>
      <c r="M970" s="45">
        <v>5.3</v>
      </c>
      <c r="N970" s="45">
        <v>4.9</v>
      </c>
      <c r="O970" s="45">
        <v>28.6</v>
      </c>
      <c r="P970" s="45">
        <v>10.6</v>
      </c>
      <c r="Q970" s="45">
        <v>28.6</v>
      </c>
      <c r="R970" s="45">
        <v>6.3</v>
      </c>
      <c r="S970" s="45">
        <v>4</v>
      </c>
      <c r="T970" s="45">
        <v>9.1</v>
      </c>
      <c r="V970" s="45">
        <v>8.300000000000001</v>
      </c>
      <c r="W970" s="45">
        <v>8.699999999999999</v>
      </c>
      <c r="X970" s="45">
        <v>9</v>
      </c>
      <c r="Y970" s="45">
        <v>6.8</v>
      </c>
      <c r="Z970" s="45">
        <v>6.7</v>
      </c>
      <c r="AA970" s="45">
        <v>7.2</v>
      </c>
      <c r="AB970" s="45">
        <v>9.300000000000001</v>
      </c>
      <c r="AC970" s="45">
        <v>13</v>
      </c>
      <c r="AD970" s="45">
        <v>8.9</v>
      </c>
    </row>
    <row r="971" spans="1:30">
      <c r="A971" s="73">
        <v>45839</v>
      </c>
      <c r="B971" s="24">
        <v>3024</v>
      </c>
      <c r="C971" s="24">
        <v>567</v>
      </c>
      <c r="D971" s="24">
        <v>356</v>
      </c>
      <c r="E971" s="24">
        <v>491</v>
      </c>
      <c r="F971" s="24">
        <v>543</v>
      </c>
      <c r="G971" s="24">
        <v>312</v>
      </c>
      <c r="H971" s="24">
        <v>164</v>
      </c>
      <c r="I971" s="24">
        <v>175</v>
      </c>
      <c r="J971" s="24">
        <v>416</v>
      </c>
      <c r="L971" s="45">
        <v>8</v>
      </c>
      <c r="M971" s="45">
        <v>2.4</v>
      </c>
      <c r="N971" s="45">
        <v>5.6</v>
      </c>
      <c r="O971" s="45">
        <v>17.1</v>
      </c>
      <c r="P971" s="45">
        <v>7.4</v>
      </c>
      <c r="Q971" s="45">
        <v>12.2</v>
      </c>
      <c r="R971" s="45">
        <v>3.1</v>
      </c>
      <c r="S971" s="45">
        <v>1.8</v>
      </c>
      <c r="T971" s="45">
        <v>8.9</v>
      </c>
      <c r="V971" s="45">
        <v>9.6</v>
      </c>
      <c r="W971" s="45">
        <v>10.2</v>
      </c>
      <c r="X971" s="45">
        <v>10</v>
      </c>
      <c r="Y971" s="45">
        <v>7.9</v>
      </c>
      <c r="Z971" s="45">
        <v>7.9</v>
      </c>
      <c r="AA971" s="45">
        <v>10.5</v>
      </c>
      <c r="AB971" s="45">
        <v>9.300000000000001</v>
      </c>
      <c r="AC971" s="45">
        <v>15.3</v>
      </c>
      <c r="AD971" s="45">
        <v>9.5</v>
      </c>
    </row>
    <row r="972" spans="1:30">
      <c r="A972" s="73">
        <v>45840</v>
      </c>
      <c r="B972" s="24">
        <v>2912</v>
      </c>
      <c r="C972" s="24">
        <v>543</v>
      </c>
      <c r="D972" s="24">
        <v>323</v>
      </c>
      <c r="E972" s="24">
        <v>480</v>
      </c>
      <c r="F972" s="24">
        <v>493</v>
      </c>
      <c r="G972" s="24">
        <v>308</v>
      </c>
      <c r="H972" s="24">
        <v>164</v>
      </c>
      <c r="I972" s="24">
        <v>136</v>
      </c>
      <c r="J972" s="24">
        <v>465</v>
      </c>
      <c r="L972" s="45">
        <v>7.8</v>
      </c>
      <c r="M972" s="45">
        <v>2.3</v>
      </c>
      <c r="N972" s="45">
        <v>3.2</v>
      </c>
      <c r="O972" s="45">
        <v>17.5</v>
      </c>
      <c r="P972" s="45">
        <v>5.7</v>
      </c>
      <c r="Q972" s="45">
        <v>19.5</v>
      </c>
      <c r="R972" s="45">
        <v>5.4</v>
      </c>
      <c r="S972" s="45">
        <v>2.4</v>
      </c>
      <c r="T972" s="45">
        <v>4.5</v>
      </c>
      <c r="V972" s="45">
        <v>9.5</v>
      </c>
      <c r="W972" s="45">
        <v>10.9</v>
      </c>
      <c r="X972" s="45">
        <v>11</v>
      </c>
      <c r="Y972" s="45">
        <v>6.9</v>
      </c>
      <c r="Z972" s="45">
        <v>7.7</v>
      </c>
      <c r="AA972" s="45">
        <v>8.800000000000001</v>
      </c>
      <c r="AB972" s="45">
        <v>10.2</v>
      </c>
      <c r="AC972" s="45">
        <v>20.7</v>
      </c>
      <c r="AD972" s="45">
        <v>8.5</v>
      </c>
    </row>
    <row r="973" spans="1:30">
      <c r="A973" s="73">
        <v>45841</v>
      </c>
      <c r="B973" s="24">
        <v>2856</v>
      </c>
      <c r="C973" s="24">
        <v>561</v>
      </c>
      <c r="D973" s="24">
        <v>298</v>
      </c>
      <c r="E973" s="24">
        <v>454</v>
      </c>
      <c r="F973" s="24">
        <v>502</v>
      </c>
      <c r="G973" s="24">
        <v>302</v>
      </c>
      <c r="H973" s="24">
        <v>189</v>
      </c>
      <c r="I973" s="24">
        <v>153</v>
      </c>
      <c r="J973" s="24">
        <v>397</v>
      </c>
      <c r="L973" s="45">
        <v>6.8</v>
      </c>
      <c r="M973" s="45">
        <v>1.8</v>
      </c>
      <c r="N973" s="45">
        <v>2.5</v>
      </c>
      <c r="O973" s="45">
        <v>16</v>
      </c>
      <c r="P973" s="45">
        <v>5.4</v>
      </c>
      <c r="Q973" s="45">
        <v>14.9</v>
      </c>
      <c r="R973" s="45">
        <v>6.2</v>
      </c>
      <c r="S973" s="45">
        <v>1.3</v>
      </c>
      <c r="T973" s="45">
        <v>4.6</v>
      </c>
      <c r="V973" s="45">
        <v>9.5</v>
      </c>
      <c r="W973" s="45">
        <v>10.3</v>
      </c>
      <c r="X973" s="45">
        <v>10.9</v>
      </c>
      <c r="Y973" s="45">
        <v>7.8</v>
      </c>
      <c r="Z973" s="45">
        <v>8.1</v>
      </c>
      <c r="AA973" s="45">
        <v>10</v>
      </c>
      <c r="AB973" s="45">
        <v>7.9</v>
      </c>
      <c r="AC973" s="45">
        <v>16.8</v>
      </c>
      <c r="AD973" s="45">
        <v>8.9</v>
      </c>
    </row>
    <row r="974" spans="1:30">
      <c r="A974" s="73">
        <v>45842</v>
      </c>
      <c r="B974" s="24">
        <v>3048</v>
      </c>
      <c r="C974" s="24">
        <v>585</v>
      </c>
      <c r="D974" s="24">
        <v>357</v>
      </c>
      <c r="E974" s="24">
        <v>484</v>
      </c>
      <c r="F974" s="24">
        <v>551</v>
      </c>
      <c r="G974" s="24">
        <v>305</v>
      </c>
      <c r="H974" s="24">
        <v>176</v>
      </c>
      <c r="I974" s="24">
        <v>162</v>
      </c>
      <c r="J974" s="24">
        <v>428</v>
      </c>
      <c r="L974" s="45">
        <v>7.2</v>
      </c>
      <c r="M974" s="45">
        <v>3</v>
      </c>
      <c r="N974" s="45">
        <v>4.3</v>
      </c>
      <c r="O974" s="45">
        <v>13.2</v>
      </c>
      <c r="P974" s="45">
        <v>8.199999999999999</v>
      </c>
      <c r="Q974" s="45">
        <v>14.3</v>
      </c>
      <c r="R974" s="45">
        <v>4.1</v>
      </c>
      <c r="S974" s="45">
        <v>1.7</v>
      </c>
      <c r="T974" s="45">
        <v>5.4</v>
      </c>
      <c r="V974" s="45">
        <v>9.4</v>
      </c>
      <c r="W974" s="45">
        <v>10.7</v>
      </c>
      <c r="X974" s="45">
        <v>10.7</v>
      </c>
      <c r="Y974" s="45">
        <v>7.5</v>
      </c>
      <c r="Z974" s="45">
        <v>7.2</v>
      </c>
      <c r="AA974" s="45">
        <v>9.300000000000001</v>
      </c>
      <c r="AB974" s="45">
        <v>10.2</v>
      </c>
      <c r="AC974" s="45">
        <v>17.9</v>
      </c>
      <c r="AD974" s="45">
        <v>8.4</v>
      </c>
    </row>
    <row r="975" spans="1:30">
      <c r="A975" s="73">
        <v>45843</v>
      </c>
      <c r="B975" s="24">
        <v>0</v>
      </c>
      <c r="C975" s="24">
        <v>0</v>
      </c>
      <c r="D975" s="24">
        <v>0</v>
      </c>
      <c r="E975" s="24">
        <v>0</v>
      </c>
      <c r="F975" s="24">
        <v>0</v>
      </c>
      <c r="G975" s="24">
        <v>0</v>
      </c>
      <c r="H975" s="24">
        <v>0</v>
      </c>
      <c r="I975" s="24">
        <v>0</v>
      </c>
      <c r="J975" s="24">
        <v>0</v>
      </c>
      <c r="L975" s="45">
        <v>0</v>
      </c>
      <c r="M975" s="45">
        <v>0</v>
      </c>
      <c r="N975" s="45">
        <v>0</v>
      </c>
      <c r="O975" s="45">
        <v>0</v>
      </c>
      <c r="P975" s="45">
        <v>0</v>
      </c>
      <c r="Q975" s="45">
        <v>0</v>
      </c>
      <c r="R975" s="45">
        <v>0</v>
      </c>
      <c r="S975" s="45">
        <v>0</v>
      </c>
      <c r="T975" s="45">
        <v>0</v>
      </c>
      <c r="V975" s="45">
        <v>0</v>
      </c>
      <c r="W975" s="45">
        <v>0</v>
      </c>
      <c r="X975" s="45">
        <v>0</v>
      </c>
      <c r="Y975" s="45">
        <v>0</v>
      </c>
      <c r="Z975" s="45">
        <v>0</v>
      </c>
      <c r="AA975" s="45">
        <v>0</v>
      </c>
      <c r="AB975" s="45">
        <v>0</v>
      </c>
      <c r="AC975" s="45">
        <v>0</v>
      </c>
      <c r="AD975" s="45">
        <v>0</v>
      </c>
    </row>
    <row r="976" spans="1:30">
      <c r="A976" s="73">
        <v>45844</v>
      </c>
      <c r="B976" s="24">
        <v>0</v>
      </c>
      <c r="C976" s="24">
        <v>0</v>
      </c>
      <c r="D976" s="24">
        <v>0</v>
      </c>
      <c r="E976" s="24">
        <v>0</v>
      </c>
      <c r="F976" s="24">
        <v>0</v>
      </c>
      <c r="G976" s="24">
        <v>0</v>
      </c>
      <c r="H976" s="24">
        <v>0</v>
      </c>
      <c r="I976" s="24">
        <v>0</v>
      </c>
      <c r="J976" s="24">
        <v>0</v>
      </c>
      <c r="L976" s="45">
        <v>0</v>
      </c>
      <c r="M976" s="45">
        <v>0</v>
      </c>
      <c r="N976" s="45">
        <v>0</v>
      </c>
      <c r="O976" s="45">
        <v>0</v>
      </c>
      <c r="P976" s="45">
        <v>0</v>
      </c>
      <c r="Q976" s="45">
        <v>0</v>
      </c>
      <c r="R976" s="45">
        <v>0</v>
      </c>
      <c r="S976" s="45">
        <v>0</v>
      </c>
      <c r="T976" s="45">
        <v>0</v>
      </c>
      <c r="V976" s="45">
        <v>0</v>
      </c>
      <c r="W976" s="45">
        <v>0</v>
      </c>
      <c r="X976" s="45">
        <v>0</v>
      </c>
      <c r="Y976" s="45">
        <v>0</v>
      </c>
      <c r="Z976" s="45">
        <v>0</v>
      </c>
      <c r="AA976" s="45">
        <v>0</v>
      </c>
      <c r="AB976" s="45">
        <v>0</v>
      </c>
      <c r="AC976" s="45">
        <v>0</v>
      </c>
      <c r="AD976" s="45">
        <v>0</v>
      </c>
    </row>
    <row r="977" spans="1:30">
      <c r="A977" s="73">
        <v>45845</v>
      </c>
      <c r="B977" s="24">
        <v>3688</v>
      </c>
      <c r="C977" s="24">
        <v>730</v>
      </c>
      <c r="D977" s="24">
        <v>440</v>
      </c>
      <c r="E977" s="24">
        <v>600</v>
      </c>
      <c r="F977" s="24">
        <v>671</v>
      </c>
      <c r="G977" s="24">
        <v>381</v>
      </c>
      <c r="H977" s="24">
        <v>204</v>
      </c>
      <c r="I977" s="24">
        <v>191</v>
      </c>
      <c r="J977" s="24">
        <v>471</v>
      </c>
      <c r="L977" s="45">
        <v>14.5</v>
      </c>
      <c r="M977" s="45">
        <v>8.199999999999999</v>
      </c>
      <c r="N977" s="45">
        <v>10.1</v>
      </c>
      <c r="O977" s="45">
        <v>24.7</v>
      </c>
      <c r="P977" s="45">
        <v>16.2</v>
      </c>
      <c r="Q977" s="45">
        <v>27.9</v>
      </c>
      <c r="R977" s="45">
        <v>9.5</v>
      </c>
      <c r="S977" s="45">
        <v>12.4</v>
      </c>
      <c r="T977" s="45">
        <v>5.9</v>
      </c>
      <c r="V977" s="45">
        <v>7.9</v>
      </c>
      <c r="W977" s="45">
        <v>8.800000000000001</v>
      </c>
      <c r="X977" s="45">
        <v>8.1</v>
      </c>
      <c r="Y977" s="45">
        <v>6</v>
      </c>
      <c r="Z977" s="45">
        <v>5.9</v>
      </c>
      <c r="AA977" s="45">
        <v>6.3</v>
      </c>
      <c r="AB977" s="45">
        <v>8</v>
      </c>
      <c r="AC977" s="45">
        <v>17.5</v>
      </c>
      <c r="AD977" s="45">
        <v>8.699999999999999</v>
      </c>
    </row>
    <row r="978" spans="1:30">
      <c r="A978" s="73">
        <v>45846</v>
      </c>
      <c r="B978" s="24">
        <v>3069</v>
      </c>
      <c r="C978" s="24">
        <v>581</v>
      </c>
      <c r="D978" s="24">
        <v>328</v>
      </c>
      <c r="E978" s="24">
        <v>507</v>
      </c>
      <c r="F978" s="24">
        <v>542</v>
      </c>
      <c r="G978" s="24">
        <v>288</v>
      </c>
      <c r="H978" s="24">
        <v>201</v>
      </c>
      <c r="I978" s="24">
        <v>146</v>
      </c>
      <c r="J978" s="24">
        <v>476</v>
      </c>
      <c r="L978" s="45">
        <v>6.1</v>
      </c>
      <c r="M978" s="45">
        <v>3.5</v>
      </c>
      <c r="N978" s="45">
        <v>3.2</v>
      </c>
      <c r="O978" s="45">
        <v>9.4</v>
      </c>
      <c r="P978" s="45">
        <v>7.2</v>
      </c>
      <c r="Q978" s="45">
        <v>13.2</v>
      </c>
      <c r="R978" s="45">
        <v>5.4</v>
      </c>
      <c r="S978" s="45">
        <v>1.1</v>
      </c>
      <c r="T978" s="45">
        <v>4.4</v>
      </c>
      <c r="V978" s="45">
        <v>9</v>
      </c>
      <c r="W978" s="45">
        <v>9.9</v>
      </c>
      <c r="X978" s="45">
        <v>10.1</v>
      </c>
      <c r="Y978" s="45">
        <v>7.2</v>
      </c>
      <c r="Z978" s="45">
        <v>6.9</v>
      </c>
      <c r="AA978" s="45">
        <v>10.9</v>
      </c>
      <c r="AB978" s="45">
        <v>8.9</v>
      </c>
      <c r="AC978" s="45">
        <v>19.1</v>
      </c>
      <c r="AD978" s="45">
        <v>7.5</v>
      </c>
    </row>
    <row r="979" spans="1:30">
      <c r="A979" s="73">
        <v>45847</v>
      </c>
      <c r="B979" s="24">
        <v>2924</v>
      </c>
      <c r="C979" s="24">
        <v>524</v>
      </c>
      <c r="D979" s="24">
        <v>296</v>
      </c>
      <c r="E979" s="24">
        <v>475</v>
      </c>
      <c r="F979" s="24">
        <v>500</v>
      </c>
      <c r="G979" s="24">
        <v>323</v>
      </c>
      <c r="H979" s="24">
        <v>194</v>
      </c>
      <c r="I979" s="24">
        <v>170</v>
      </c>
      <c r="J979" s="24">
        <v>442</v>
      </c>
      <c r="L979" s="45">
        <v>5.5</v>
      </c>
      <c r="M979" s="45">
        <v>1.5</v>
      </c>
      <c r="N979" s="45">
        <v>3.3</v>
      </c>
      <c r="O979" s="45">
        <v>11.6</v>
      </c>
      <c r="P979" s="45">
        <v>3.7</v>
      </c>
      <c r="Q979" s="45">
        <v>11.2</v>
      </c>
      <c r="R979" s="45">
        <v>4.1</v>
      </c>
      <c r="S979" s="45">
        <v>1.7</v>
      </c>
      <c r="T979" s="45">
        <v>5</v>
      </c>
      <c r="V979" s="45">
        <v>9.699999999999999</v>
      </c>
      <c r="W979" s="45">
        <v>11</v>
      </c>
      <c r="X979" s="45">
        <v>11.6</v>
      </c>
      <c r="Y979" s="45">
        <v>7.6</v>
      </c>
      <c r="Z979" s="45">
        <v>7.5</v>
      </c>
      <c r="AA979" s="45">
        <v>9.800000000000001</v>
      </c>
      <c r="AB979" s="45">
        <v>10.2</v>
      </c>
      <c r="AC979" s="45">
        <v>16</v>
      </c>
      <c r="AD979" s="45">
        <v>8.9</v>
      </c>
    </row>
    <row r="980" spans="1:30">
      <c r="A980" s="73">
        <v>45848</v>
      </c>
      <c r="B980" s="24">
        <v>2859</v>
      </c>
      <c r="C980" s="24">
        <v>552</v>
      </c>
      <c r="D980" s="24">
        <v>319</v>
      </c>
      <c r="E980" s="24">
        <v>468</v>
      </c>
      <c r="F980" s="24">
        <v>497</v>
      </c>
      <c r="G980" s="24">
        <v>296</v>
      </c>
      <c r="H980" s="24">
        <v>157</v>
      </c>
      <c r="I980" s="24">
        <v>146</v>
      </c>
      <c r="J980" s="24">
        <v>424</v>
      </c>
      <c r="L980" s="45">
        <v>6</v>
      </c>
      <c r="M980" s="45">
        <v>5</v>
      </c>
      <c r="N980" s="45">
        <v>2.4</v>
      </c>
      <c r="O980" s="45">
        <v>13</v>
      </c>
      <c r="P980" s="45">
        <v>5.1</v>
      </c>
      <c r="Q980" s="45">
        <v>9.1</v>
      </c>
      <c r="R980" s="45">
        <v>3.6</v>
      </c>
      <c r="S980" s="45">
        <v>1.1</v>
      </c>
      <c r="T980" s="45">
        <v>3.6</v>
      </c>
      <c r="V980" s="45">
        <v>9.9</v>
      </c>
      <c r="W980" s="45">
        <v>10.6</v>
      </c>
      <c r="X980" s="45">
        <v>10.6</v>
      </c>
      <c r="Y980" s="45">
        <v>8.300000000000001</v>
      </c>
      <c r="Z980" s="45">
        <v>7.7</v>
      </c>
      <c r="AA980" s="45">
        <v>11.1</v>
      </c>
      <c r="AB980" s="45">
        <v>11</v>
      </c>
      <c r="AC980" s="45">
        <v>19.2</v>
      </c>
      <c r="AD980" s="45">
        <v>8.800000000000001</v>
      </c>
    </row>
    <row r="981" spans="1:30">
      <c r="A981" s="73">
        <v>45849</v>
      </c>
      <c r="B981" s="24">
        <v>2973</v>
      </c>
      <c r="C981" s="24">
        <v>586</v>
      </c>
      <c r="D981" s="24">
        <v>335</v>
      </c>
      <c r="E981" s="24">
        <v>492</v>
      </c>
      <c r="F981" s="24">
        <v>514</v>
      </c>
      <c r="G981" s="24">
        <v>303</v>
      </c>
      <c r="H981" s="24">
        <v>192</v>
      </c>
      <c r="I981" s="24">
        <v>167</v>
      </c>
      <c r="J981" s="24">
        <v>384</v>
      </c>
      <c r="L981" s="45">
        <v>7.1</v>
      </c>
      <c r="M981" s="45">
        <v>2.9</v>
      </c>
      <c r="N981" s="45">
        <v>2.7</v>
      </c>
      <c r="O981" s="45">
        <v>16.6</v>
      </c>
      <c r="P981" s="45">
        <v>6.9</v>
      </c>
      <c r="Q981" s="45">
        <v>14.1</v>
      </c>
      <c r="R981" s="45">
        <v>5.3</v>
      </c>
      <c r="S981" s="45">
        <v>1.1</v>
      </c>
      <c r="T981" s="45">
        <v>3.6</v>
      </c>
      <c r="V981" s="45">
        <v>9.699999999999999</v>
      </c>
      <c r="W981" s="45">
        <v>9.6</v>
      </c>
      <c r="X981" s="45">
        <v>10.9</v>
      </c>
      <c r="Y981" s="45">
        <v>7.4</v>
      </c>
      <c r="Z981" s="45">
        <v>7.9</v>
      </c>
      <c r="AA981" s="45">
        <v>9.800000000000001</v>
      </c>
      <c r="AB981" s="45">
        <v>10.5</v>
      </c>
      <c r="AC981" s="45">
        <v>18.1</v>
      </c>
      <c r="AD981" s="45">
        <v>10.1</v>
      </c>
    </row>
    <row r="982" spans="1:30">
      <c r="A982" s="73">
        <v>45850</v>
      </c>
      <c r="B982" s="24">
        <v>0</v>
      </c>
      <c r="C982" s="24">
        <v>0</v>
      </c>
      <c r="D982" s="24">
        <v>0</v>
      </c>
      <c r="E982" s="24">
        <v>0</v>
      </c>
      <c r="F982" s="24">
        <v>0</v>
      </c>
      <c r="G982" s="24">
        <v>0</v>
      </c>
      <c r="H982" s="24">
        <v>0</v>
      </c>
      <c r="I982" s="24">
        <v>0</v>
      </c>
      <c r="J982" s="24">
        <v>0</v>
      </c>
      <c r="L982" s="45">
        <v>0</v>
      </c>
      <c r="M982" s="45">
        <v>0</v>
      </c>
      <c r="N982" s="45">
        <v>0</v>
      </c>
      <c r="O982" s="45">
        <v>0</v>
      </c>
      <c r="P982" s="45">
        <v>0</v>
      </c>
      <c r="Q982" s="45">
        <v>0</v>
      </c>
      <c r="R982" s="45">
        <v>0</v>
      </c>
      <c r="S982" s="45">
        <v>0</v>
      </c>
      <c r="T982" s="45">
        <v>0</v>
      </c>
      <c r="V982" s="45">
        <v>0</v>
      </c>
      <c r="W982" s="45">
        <v>0</v>
      </c>
      <c r="X982" s="45">
        <v>0</v>
      </c>
      <c r="Y982" s="45">
        <v>0</v>
      </c>
      <c r="Z982" s="45">
        <v>0</v>
      </c>
      <c r="AA982" s="45">
        <v>0</v>
      </c>
      <c r="AB982" s="45">
        <v>0</v>
      </c>
      <c r="AC982" s="45">
        <v>0</v>
      </c>
      <c r="AD982" s="45">
        <v>0</v>
      </c>
    </row>
    <row r="983" spans="1:30">
      <c r="A983" s="73">
        <v>45851</v>
      </c>
      <c r="B983" s="24">
        <v>675</v>
      </c>
      <c r="C983" s="24">
        <v>201</v>
      </c>
      <c r="D983" s="24">
        <v>141</v>
      </c>
      <c r="E983" s="24">
        <v>182</v>
      </c>
      <c r="F983" s="24">
        <v>0</v>
      </c>
      <c r="G983" s="24">
        <v>111</v>
      </c>
      <c r="H983" s="24">
        <v>0</v>
      </c>
      <c r="I983" s="24">
        <v>40</v>
      </c>
      <c r="J983" s="24">
        <v>0</v>
      </c>
      <c r="L983" s="45">
        <v>20.6</v>
      </c>
      <c r="M983" s="45">
        <v>19.1</v>
      </c>
      <c r="N983" s="45">
        <v>10.5</v>
      </c>
      <c r="O983" s="45">
        <v>29.4</v>
      </c>
      <c r="P983" s="45">
        <v>0</v>
      </c>
      <c r="Q983" s="45">
        <v>28</v>
      </c>
      <c r="R983" s="45">
        <v>0</v>
      </c>
      <c r="S983" s="45">
        <v>3.7</v>
      </c>
      <c r="T983" s="45">
        <v>0</v>
      </c>
      <c r="V983" s="45">
        <v>3.7</v>
      </c>
      <c r="W983" s="45">
        <v>4.1</v>
      </c>
      <c r="X983" s="45">
        <v>1.5</v>
      </c>
      <c r="Y983" s="45">
        <v>3.4</v>
      </c>
      <c r="Z983" s="45">
        <v>0</v>
      </c>
      <c r="AA983" s="45">
        <v>5.9</v>
      </c>
      <c r="AB983" s="45">
        <v>0</v>
      </c>
      <c r="AC983" s="45">
        <v>4.7</v>
      </c>
      <c r="AD983" s="45">
        <v>0</v>
      </c>
    </row>
    <row r="984" spans="1:30">
      <c r="A984" s="73">
        <v>45852</v>
      </c>
      <c r="B984" s="24">
        <v>2973</v>
      </c>
      <c r="C984" s="24">
        <v>548</v>
      </c>
      <c r="D984" s="24">
        <v>322</v>
      </c>
      <c r="E984" s="24">
        <v>458</v>
      </c>
      <c r="F984" s="24">
        <v>553</v>
      </c>
      <c r="G984" s="24">
        <v>318</v>
      </c>
      <c r="H984" s="24">
        <v>196</v>
      </c>
      <c r="I984" s="24">
        <v>159</v>
      </c>
      <c r="J984" s="24">
        <v>419</v>
      </c>
      <c r="L984" s="45">
        <v>7.3</v>
      </c>
      <c r="M984" s="45">
        <v>2.1</v>
      </c>
      <c r="N984" s="45">
        <v>3.2</v>
      </c>
      <c r="O984" s="45">
        <v>9.199999999999999</v>
      </c>
      <c r="P984" s="45">
        <v>11</v>
      </c>
      <c r="Q984" s="45">
        <v>16.8</v>
      </c>
      <c r="R984" s="45">
        <v>5.7</v>
      </c>
      <c r="S984" s="45">
        <v>3.8</v>
      </c>
      <c r="T984" s="45">
        <v>4.8</v>
      </c>
      <c r="V984" s="45">
        <v>9.699999999999999</v>
      </c>
      <c r="W984" s="45">
        <v>10.7</v>
      </c>
      <c r="X984" s="45">
        <v>11.4</v>
      </c>
      <c r="Y984" s="45">
        <v>8</v>
      </c>
      <c r="Z984" s="45">
        <v>7.7</v>
      </c>
      <c r="AA984" s="45">
        <v>9.1</v>
      </c>
      <c r="AB984" s="45">
        <v>8.9</v>
      </c>
      <c r="AC984" s="45">
        <v>19.8</v>
      </c>
      <c r="AD984" s="45">
        <v>8.800000000000001</v>
      </c>
    </row>
    <row r="985" spans="1:30">
      <c r="A985" s="73">
        <v>45853</v>
      </c>
      <c r="B985" s="24">
        <v>3229</v>
      </c>
      <c r="C985" s="24">
        <v>685</v>
      </c>
      <c r="D985" s="24">
        <v>325</v>
      </c>
      <c r="E985" s="24">
        <v>519</v>
      </c>
      <c r="F985" s="24">
        <v>551</v>
      </c>
      <c r="G985" s="24">
        <v>344</v>
      </c>
      <c r="H985" s="24">
        <v>157</v>
      </c>
      <c r="I985" s="24">
        <v>180</v>
      </c>
      <c r="J985" s="24">
        <v>468</v>
      </c>
      <c r="L985" s="45">
        <v>6.9</v>
      </c>
      <c r="M985" s="45">
        <v>5</v>
      </c>
      <c r="N985" s="45">
        <v>2.8</v>
      </c>
      <c r="O985" s="45">
        <v>11.7</v>
      </c>
      <c r="P985" s="45">
        <v>9.199999999999999</v>
      </c>
      <c r="Q985" s="45">
        <v>12.7</v>
      </c>
      <c r="R985" s="45">
        <v>3.3</v>
      </c>
      <c r="S985" s="45">
        <v>1.8</v>
      </c>
      <c r="T985" s="45">
        <v>3.7</v>
      </c>
      <c r="V985" s="45">
        <v>8.9</v>
      </c>
      <c r="W985" s="45">
        <v>9</v>
      </c>
      <c r="X985" s="45">
        <v>11.2</v>
      </c>
      <c r="Y985" s="45">
        <v>7.9</v>
      </c>
      <c r="Z985" s="45">
        <v>7.2</v>
      </c>
      <c r="AA985" s="45">
        <v>8.699999999999999</v>
      </c>
      <c r="AB985" s="45">
        <v>10.5</v>
      </c>
      <c r="AC985" s="45">
        <v>13.9</v>
      </c>
      <c r="AD985" s="45">
        <v>8</v>
      </c>
    </row>
    <row r="986" spans="1:30">
      <c r="A986" s="73">
        <v>45854</v>
      </c>
      <c r="B986" s="24">
        <v>2989</v>
      </c>
      <c r="C986" s="24">
        <v>607</v>
      </c>
      <c r="D986" s="24">
        <v>295</v>
      </c>
      <c r="E986" s="24">
        <v>444</v>
      </c>
      <c r="F986" s="24">
        <v>563</v>
      </c>
      <c r="G986" s="24">
        <v>338</v>
      </c>
      <c r="H986" s="24">
        <v>168</v>
      </c>
      <c r="I986" s="24">
        <v>150</v>
      </c>
      <c r="J986" s="24">
        <v>424</v>
      </c>
      <c r="L986" s="45">
        <v>6.7</v>
      </c>
      <c r="M986" s="45">
        <v>4</v>
      </c>
      <c r="N986" s="45">
        <v>2.4</v>
      </c>
      <c r="O986" s="45">
        <v>11</v>
      </c>
      <c r="P986" s="45">
        <v>9.9</v>
      </c>
      <c r="Q986" s="45">
        <v>11.2</v>
      </c>
      <c r="R986" s="45">
        <v>5.6</v>
      </c>
      <c r="S986" s="45">
        <v>1.3</v>
      </c>
      <c r="T986" s="45">
        <v>3.5</v>
      </c>
      <c r="V986" s="45">
        <v>9.5</v>
      </c>
      <c r="W986" s="45">
        <v>9.699999999999999</v>
      </c>
      <c r="X986" s="45">
        <v>12.2</v>
      </c>
      <c r="Y986" s="45">
        <v>7.9</v>
      </c>
      <c r="Z986" s="45">
        <v>7.1</v>
      </c>
      <c r="AA986" s="45">
        <v>8.699999999999999</v>
      </c>
      <c r="AB986" s="45">
        <v>11.1</v>
      </c>
      <c r="AC986" s="45">
        <v>19.4</v>
      </c>
      <c r="AD986" s="45">
        <v>9.199999999999999</v>
      </c>
    </row>
    <row r="987" spans="1:30">
      <c r="A987" s="73">
        <v>45855</v>
      </c>
      <c r="B987" s="24">
        <v>2622</v>
      </c>
      <c r="C987" s="24">
        <v>477</v>
      </c>
      <c r="D987" s="24">
        <v>299</v>
      </c>
      <c r="E987" s="24">
        <v>400</v>
      </c>
      <c r="F987" s="24">
        <v>507</v>
      </c>
      <c r="G987" s="24">
        <v>282</v>
      </c>
      <c r="H987" s="24">
        <v>150</v>
      </c>
      <c r="I987" s="24">
        <v>135</v>
      </c>
      <c r="J987" s="24">
        <v>372</v>
      </c>
      <c r="L987" s="45">
        <v>4.5</v>
      </c>
      <c r="M987" s="45">
        <v>2.3</v>
      </c>
      <c r="N987" s="45">
        <v>2.7</v>
      </c>
      <c r="O987" s="45">
        <v>7.7</v>
      </c>
      <c r="P987" s="45">
        <v>5.6</v>
      </c>
      <c r="Q987" s="45">
        <v>7.5</v>
      </c>
      <c r="R987" s="45">
        <v>3</v>
      </c>
      <c r="S987" s="45">
        <v>1.3</v>
      </c>
      <c r="T987" s="45">
        <v>3.4</v>
      </c>
      <c r="V987" s="45">
        <v>10.8</v>
      </c>
      <c r="W987" s="45">
        <v>11.6</v>
      </c>
      <c r="X987" s="45">
        <v>12</v>
      </c>
      <c r="Y987" s="45">
        <v>9.800000000000001</v>
      </c>
      <c r="Z987" s="45">
        <v>8</v>
      </c>
      <c r="AA987" s="45">
        <v>11.7</v>
      </c>
      <c r="AB987" s="45">
        <v>12.1</v>
      </c>
      <c r="AC987" s="45">
        <v>20.5</v>
      </c>
      <c r="AD987" s="45">
        <v>9.1</v>
      </c>
    </row>
    <row r="988" spans="1:30">
      <c r="A988" s="73">
        <v>45856</v>
      </c>
      <c r="B988" s="24">
        <v>2841</v>
      </c>
      <c r="C988" s="24">
        <v>490</v>
      </c>
      <c r="D988" s="24">
        <v>312</v>
      </c>
      <c r="E988" s="24">
        <v>448</v>
      </c>
      <c r="F988" s="24">
        <v>528</v>
      </c>
      <c r="G988" s="24">
        <v>269</v>
      </c>
      <c r="H988" s="24">
        <v>222</v>
      </c>
      <c r="I988" s="24">
        <v>147</v>
      </c>
      <c r="J988" s="24">
        <v>425</v>
      </c>
      <c r="L988" s="45">
        <v>5.3</v>
      </c>
      <c r="M988" s="45">
        <v>1.7</v>
      </c>
      <c r="N988" s="45">
        <v>2.6</v>
      </c>
      <c r="O988" s="45">
        <v>10.5</v>
      </c>
      <c r="P988" s="45">
        <v>5</v>
      </c>
      <c r="Q988" s="45">
        <v>7.7</v>
      </c>
      <c r="R988" s="45">
        <v>6.5</v>
      </c>
      <c r="S988" s="45">
        <v>1.4</v>
      </c>
      <c r="T988" s="45">
        <v>5.6</v>
      </c>
      <c r="V988" s="45">
        <v>10</v>
      </c>
      <c r="W988" s="45">
        <v>11.9</v>
      </c>
      <c r="X988" s="45">
        <v>11</v>
      </c>
      <c r="Y988" s="45">
        <v>8.6</v>
      </c>
      <c r="Z988" s="45">
        <v>7.4</v>
      </c>
      <c r="AA988" s="45">
        <v>11.4</v>
      </c>
      <c r="AB988" s="45">
        <v>7.4</v>
      </c>
      <c r="AC988" s="45">
        <v>19.3</v>
      </c>
      <c r="AD988" s="45">
        <v>9.199999999999999</v>
      </c>
    </row>
    <row r="989" spans="1:30">
      <c r="A989" s="73">
        <v>45857</v>
      </c>
      <c r="B989" s="24">
        <v>0</v>
      </c>
      <c r="C989" s="24">
        <v>0</v>
      </c>
      <c r="D989" s="24">
        <v>0</v>
      </c>
      <c r="E989" s="24">
        <v>0</v>
      </c>
      <c r="F989" s="24">
        <v>0</v>
      </c>
      <c r="G989" s="24">
        <v>0</v>
      </c>
      <c r="H989" s="24">
        <v>0</v>
      </c>
      <c r="I989" s="24">
        <v>0</v>
      </c>
      <c r="J989" s="24">
        <v>0</v>
      </c>
      <c r="L989" s="45">
        <v>0</v>
      </c>
      <c r="M989" s="45">
        <v>0</v>
      </c>
      <c r="N989" s="45">
        <v>0</v>
      </c>
      <c r="O989" s="45">
        <v>0</v>
      </c>
      <c r="P989" s="45">
        <v>0</v>
      </c>
      <c r="Q989" s="45">
        <v>0</v>
      </c>
      <c r="R989" s="45">
        <v>0</v>
      </c>
      <c r="S989" s="45">
        <v>0</v>
      </c>
      <c r="T989" s="45">
        <v>0</v>
      </c>
      <c r="V989" s="45">
        <v>0</v>
      </c>
      <c r="W989" s="45">
        <v>0</v>
      </c>
      <c r="X989" s="45">
        <v>0</v>
      </c>
      <c r="Y989" s="45">
        <v>0</v>
      </c>
      <c r="Z989" s="45">
        <v>0</v>
      </c>
      <c r="AA989" s="45">
        <v>0</v>
      </c>
      <c r="AB989" s="45">
        <v>0</v>
      </c>
      <c r="AC989" s="45">
        <v>0</v>
      </c>
      <c r="AD989" s="45">
        <v>0</v>
      </c>
    </row>
    <row r="990" spans="1:30">
      <c r="A990" s="73">
        <v>45858</v>
      </c>
      <c r="B990" s="24">
        <v>0</v>
      </c>
      <c r="C990" s="24">
        <v>0</v>
      </c>
      <c r="D990" s="24">
        <v>0</v>
      </c>
      <c r="E990" s="24">
        <v>0</v>
      </c>
      <c r="F990" s="24">
        <v>0</v>
      </c>
      <c r="G990" s="24">
        <v>0</v>
      </c>
      <c r="H990" s="24">
        <v>0</v>
      </c>
      <c r="I990" s="24">
        <v>0</v>
      </c>
      <c r="J990" s="24">
        <v>0</v>
      </c>
      <c r="L990" s="45">
        <v>0</v>
      </c>
      <c r="M990" s="45">
        <v>0</v>
      </c>
      <c r="N990" s="45">
        <v>0</v>
      </c>
      <c r="O990" s="45">
        <v>0</v>
      </c>
      <c r="P990" s="45">
        <v>0</v>
      </c>
      <c r="Q990" s="45">
        <v>0</v>
      </c>
      <c r="R990" s="45">
        <v>0</v>
      </c>
      <c r="S990" s="45">
        <v>0</v>
      </c>
      <c r="T990" s="45">
        <v>0</v>
      </c>
      <c r="V990" s="45">
        <v>0</v>
      </c>
      <c r="W990" s="45">
        <v>0</v>
      </c>
      <c r="X990" s="45">
        <v>0</v>
      </c>
      <c r="Y990" s="45">
        <v>0</v>
      </c>
      <c r="Z990" s="45">
        <v>0</v>
      </c>
      <c r="AA990" s="45">
        <v>0</v>
      </c>
      <c r="AB990" s="45">
        <v>0</v>
      </c>
      <c r="AC990" s="45">
        <v>0</v>
      </c>
      <c r="AD990" s="45">
        <v>0</v>
      </c>
    </row>
    <row r="991" spans="1:30">
      <c r="A991" s="73">
        <v>45859</v>
      </c>
      <c r="B991" s="24">
        <v>0</v>
      </c>
      <c r="C991" s="24">
        <v>0</v>
      </c>
      <c r="D991" s="24">
        <v>0</v>
      </c>
      <c r="E991" s="24">
        <v>0</v>
      </c>
      <c r="F991" s="24">
        <v>0</v>
      </c>
      <c r="G991" s="24">
        <v>0</v>
      </c>
      <c r="H991" s="24">
        <v>0</v>
      </c>
      <c r="I991" s="24">
        <v>0</v>
      </c>
      <c r="J991" s="24">
        <v>0</v>
      </c>
      <c r="L991" s="45">
        <v>0</v>
      </c>
      <c r="M991" s="45">
        <v>0</v>
      </c>
      <c r="N991" s="45">
        <v>0</v>
      </c>
      <c r="O991" s="45">
        <v>0</v>
      </c>
      <c r="P991" s="45">
        <v>0</v>
      </c>
      <c r="Q991" s="45">
        <v>0</v>
      </c>
      <c r="R991" s="45">
        <v>0</v>
      </c>
      <c r="S991" s="45">
        <v>0</v>
      </c>
      <c r="T991" s="45">
        <v>0</v>
      </c>
      <c r="V991" s="45">
        <v>0</v>
      </c>
      <c r="W991" s="45">
        <v>0</v>
      </c>
      <c r="X991" s="45">
        <v>0</v>
      </c>
      <c r="Y991" s="45">
        <v>0</v>
      </c>
      <c r="Z991" s="45">
        <v>0</v>
      </c>
      <c r="AA991" s="45">
        <v>0</v>
      </c>
      <c r="AB991" s="45">
        <v>0</v>
      </c>
      <c r="AC991" s="45">
        <v>0</v>
      </c>
      <c r="AD991" s="45">
        <v>0</v>
      </c>
    </row>
    <row r="992" spans="1:30">
      <c r="A992" s="73">
        <v>45860</v>
      </c>
      <c r="B992" s="24">
        <v>3363</v>
      </c>
      <c r="C992" s="24">
        <v>606</v>
      </c>
      <c r="D992" s="24">
        <v>343</v>
      </c>
      <c r="E992" s="24">
        <v>530</v>
      </c>
      <c r="F992" s="24">
        <v>653</v>
      </c>
      <c r="G992" s="24">
        <v>370</v>
      </c>
      <c r="H992" s="24">
        <v>191</v>
      </c>
      <c r="I992" s="24">
        <v>164</v>
      </c>
      <c r="J992" s="24">
        <v>506</v>
      </c>
      <c r="L992" s="45">
        <v>8.699999999999999</v>
      </c>
      <c r="M992" s="45">
        <v>3.7</v>
      </c>
      <c r="N992" s="45">
        <v>3</v>
      </c>
      <c r="O992" s="45">
        <v>13.5</v>
      </c>
      <c r="P992" s="45">
        <v>8.9</v>
      </c>
      <c r="Q992" s="45">
        <v>21.2</v>
      </c>
      <c r="R992" s="45">
        <v>5.1</v>
      </c>
      <c r="S992" s="45">
        <v>1.6</v>
      </c>
      <c r="T992" s="45">
        <v>7.5</v>
      </c>
      <c r="V992" s="45">
        <v>8.699999999999999</v>
      </c>
      <c r="W992" s="45">
        <v>9.9</v>
      </c>
      <c r="X992" s="45">
        <v>10.8</v>
      </c>
      <c r="Y992" s="45">
        <v>7.1</v>
      </c>
      <c r="Z992" s="45">
        <v>6.5</v>
      </c>
      <c r="AA992" s="45">
        <v>7.6</v>
      </c>
      <c r="AB992" s="45">
        <v>10.1</v>
      </c>
      <c r="AC992" s="45">
        <v>16.5</v>
      </c>
      <c r="AD992" s="45">
        <v>7.9</v>
      </c>
    </row>
    <row r="993" spans="1:30">
      <c r="A993" s="73">
        <v>45861</v>
      </c>
      <c r="B993" s="24">
        <v>3228</v>
      </c>
      <c r="C993" s="24">
        <v>584</v>
      </c>
      <c r="D993" s="24">
        <v>352</v>
      </c>
      <c r="E993" s="24">
        <v>543</v>
      </c>
      <c r="F993" s="24">
        <v>600</v>
      </c>
      <c r="G993" s="24">
        <v>328</v>
      </c>
      <c r="H993" s="24">
        <v>192</v>
      </c>
      <c r="I993" s="24">
        <v>149</v>
      </c>
      <c r="J993" s="24">
        <v>480</v>
      </c>
      <c r="L993" s="45">
        <v>9.4</v>
      </c>
      <c r="M993" s="45">
        <v>3</v>
      </c>
      <c r="N993" s="45">
        <v>3.9</v>
      </c>
      <c r="O993" s="45">
        <v>23.9</v>
      </c>
      <c r="P993" s="45">
        <v>8.6</v>
      </c>
      <c r="Q993" s="45">
        <v>12.1</v>
      </c>
      <c r="R993" s="45">
        <v>9.699999999999999</v>
      </c>
      <c r="S993" s="45">
        <v>1.3</v>
      </c>
      <c r="T993" s="45">
        <v>6.4</v>
      </c>
      <c r="V993" s="45">
        <v>8.800000000000001</v>
      </c>
      <c r="W993" s="45">
        <v>9.699999999999999</v>
      </c>
      <c r="X993" s="45">
        <v>10.1</v>
      </c>
      <c r="Y993" s="45">
        <v>6.7</v>
      </c>
      <c r="Z993" s="45">
        <v>6.6</v>
      </c>
      <c r="AA993" s="45">
        <v>9.9</v>
      </c>
      <c r="AB993" s="45">
        <v>9.1</v>
      </c>
      <c r="AC993" s="45">
        <v>20.6</v>
      </c>
      <c r="AD993" s="45">
        <v>7.7</v>
      </c>
    </row>
    <row r="994" spans="1:30">
      <c r="A994" s="73">
        <v>45862</v>
      </c>
      <c r="B994" s="24">
        <v>3353</v>
      </c>
      <c r="C994" s="24">
        <v>615</v>
      </c>
      <c r="D994" s="24">
        <v>379</v>
      </c>
      <c r="E994" s="24">
        <v>511</v>
      </c>
      <c r="F994" s="24">
        <v>581</v>
      </c>
      <c r="G994" s="24">
        <v>383</v>
      </c>
      <c r="H994" s="24">
        <v>193</v>
      </c>
      <c r="I994" s="24">
        <v>186</v>
      </c>
      <c r="J994" s="24">
        <v>505</v>
      </c>
      <c r="L994" s="45">
        <v>9.800000000000001</v>
      </c>
      <c r="M994" s="45">
        <v>3.9</v>
      </c>
      <c r="N994" s="45">
        <v>5.3</v>
      </c>
      <c r="O994" s="45">
        <v>22.6</v>
      </c>
      <c r="P994" s="45">
        <v>9.199999999999999</v>
      </c>
      <c r="Q994" s="45">
        <v>19.8</v>
      </c>
      <c r="R994" s="45">
        <v>4.6</v>
      </c>
      <c r="S994" s="45">
        <v>1</v>
      </c>
      <c r="T994" s="45">
        <v>5.6</v>
      </c>
      <c r="V994" s="45">
        <v>8.800000000000001</v>
      </c>
      <c r="W994" s="45">
        <v>10.2</v>
      </c>
      <c r="X994" s="45">
        <v>9.6</v>
      </c>
      <c r="Y994" s="45">
        <v>7.3</v>
      </c>
      <c r="Z994" s="45">
        <v>6.9</v>
      </c>
      <c r="AA994" s="45">
        <v>7.9</v>
      </c>
      <c r="AB994" s="45">
        <v>7.7</v>
      </c>
      <c r="AC994" s="45">
        <v>17.3</v>
      </c>
      <c r="AD994" s="45">
        <v>8.199999999999999</v>
      </c>
    </row>
    <row r="995" spans="1:30">
      <c r="A995" s="73">
        <v>45863</v>
      </c>
      <c r="B995" s="24">
        <v>3222</v>
      </c>
      <c r="C995" s="24">
        <v>591</v>
      </c>
      <c r="D995" s="24">
        <v>393</v>
      </c>
      <c r="E995" s="24">
        <v>554</v>
      </c>
      <c r="F995" s="24">
        <v>553</v>
      </c>
      <c r="G995" s="24">
        <v>317</v>
      </c>
      <c r="H995" s="24">
        <v>186</v>
      </c>
      <c r="I995" s="24">
        <v>186</v>
      </c>
      <c r="J995" s="24">
        <v>442</v>
      </c>
      <c r="L995" s="45">
        <v>7.1</v>
      </c>
      <c r="M995" s="45">
        <v>3.4</v>
      </c>
      <c r="N995" s="45">
        <v>3.9</v>
      </c>
      <c r="O995" s="45">
        <v>14</v>
      </c>
      <c r="P995" s="45">
        <v>7.7</v>
      </c>
      <c r="Q995" s="45">
        <v>14</v>
      </c>
      <c r="R995" s="45">
        <v>3.2</v>
      </c>
      <c r="S995" s="45">
        <v>2</v>
      </c>
      <c r="T995" s="45">
        <v>4.6</v>
      </c>
      <c r="V995" s="45">
        <v>9.1</v>
      </c>
      <c r="W995" s="45">
        <v>10.2</v>
      </c>
      <c r="X995" s="45">
        <v>9.199999999999999</v>
      </c>
      <c r="Y995" s="45">
        <v>6.6</v>
      </c>
      <c r="Z995" s="45">
        <v>8</v>
      </c>
      <c r="AA995" s="45">
        <v>9.199999999999999</v>
      </c>
      <c r="AB995" s="45">
        <v>9.6</v>
      </c>
      <c r="AC995" s="45">
        <v>16.9</v>
      </c>
      <c r="AD995" s="45">
        <v>8.9</v>
      </c>
    </row>
    <row r="996" spans="1:30">
      <c r="A996" s="73">
        <v>45864</v>
      </c>
      <c r="B996" s="24">
        <v>0</v>
      </c>
      <c r="C996" s="24">
        <v>0</v>
      </c>
      <c r="D996" s="24">
        <v>0</v>
      </c>
      <c r="E996" s="24">
        <v>0</v>
      </c>
      <c r="F996" s="24">
        <v>0</v>
      </c>
      <c r="G996" s="24">
        <v>0</v>
      </c>
      <c r="H996" s="24">
        <v>0</v>
      </c>
      <c r="I996" s="24">
        <v>0</v>
      </c>
      <c r="J996" s="24">
        <v>0</v>
      </c>
      <c r="L996" s="45">
        <v>0</v>
      </c>
      <c r="M996" s="45">
        <v>0</v>
      </c>
      <c r="N996" s="45">
        <v>0</v>
      </c>
      <c r="O996" s="45">
        <v>0</v>
      </c>
      <c r="P996" s="45">
        <v>0</v>
      </c>
      <c r="Q996" s="45">
        <v>0</v>
      </c>
      <c r="R996" s="45">
        <v>0</v>
      </c>
      <c r="S996" s="45">
        <v>0</v>
      </c>
      <c r="T996" s="45">
        <v>0</v>
      </c>
      <c r="V996" s="45">
        <v>0</v>
      </c>
      <c r="W996" s="45">
        <v>0</v>
      </c>
      <c r="X996" s="45">
        <v>0</v>
      </c>
      <c r="Y996" s="45">
        <v>0</v>
      </c>
      <c r="Z996" s="45">
        <v>0</v>
      </c>
      <c r="AA996" s="45">
        <v>0</v>
      </c>
      <c r="AB996" s="45">
        <v>0</v>
      </c>
      <c r="AC996" s="45">
        <v>0</v>
      </c>
      <c r="AD996" s="45">
        <v>0</v>
      </c>
    </row>
    <row r="997" spans="1:30">
      <c r="A997" s="73">
        <v>45865</v>
      </c>
      <c r="B997" s="24">
        <v>0</v>
      </c>
      <c r="C997" s="24">
        <v>0</v>
      </c>
      <c r="D997" s="24">
        <v>0</v>
      </c>
      <c r="E997" s="24">
        <v>0</v>
      </c>
      <c r="F997" s="24">
        <v>0</v>
      </c>
      <c r="G997" s="24">
        <v>0</v>
      </c>
      <c r="H997" s="24">
        <v>0</v>
      </c>
      <c r="I997" s="24">
        <v>0</v>
      </c>
      <c r="J997" s="24">
        <v>0</v>
      </c>
      <c r="L997" s="45">
        <v>0</v>
      </c>
      <c r="M997" s="45">
        <v>0</v>
      </c>
      <c r="N997" s="45">
        <v>0</v>
      </c>
      <c r="O997" s="45">
        <v>0</v>
      </c>
      <c r="P997" s="45">
        <v>0</v>
      </c>
      <c r="Q997" s="45">
        <v>0</v>
      </c>
      <c r="R997" s="45">
        <v>0</v>
      </c>
      <c r="S997" s="45">
        <v>0</v>
      </c>
      <c r="T997" s="45">
        <v>0</v>
      </c>
      <c r="V997" s="45">
        <v>0</v>
      </c>
      <c r="W997" s="45">
        <v>0</v>
      </c>
      <c r="X997" s="45">
        <v>0</v>
      </c>
      <c r="Y997" s="45">
        <v>0</v>
      </c>
      <c r="Z997" s="45">
        <v>0</v>
      </c>
      <c r="AA997" s="45">
        <v>0</v>
      </c>
      <c r="AB997" s="45">
        <v>0</v>
      </c>
      <c r="AC997" s="45">
        <v>0</v>
      </c>
      <c r="AD997" s="45">
        <v>0</v>
      </c>
    </row>
    <row r="998" spans="1:30">
      <c r="A998" s="73">
        <v>45866</v>
      </c>
      <c r="B998" s="24">
        <v>3634</v>
      </c>
      <c r="C998" s="24">
        <v>767</v>
      </c>
      <c r="D998" s="24">
        <v>417</v>
      </c>
      <c r="E998" s="24">
        <v>565</v>
      </c>
      <c r="F998" s="24">
        <v>637</v>
      </c>
      <c r="G998" s="24">
        <v>325</v>
      </c>
      <c r="H998" s="24">
        <v>209</v>
      </c>
      <c r="I998" s="24">
        <v>216</v>
      </c>
      <c r="J998" s="24">
        <v>498</v>
      </c>
      <c r="L998" s="45">
        <v>8.4</v>
      </c>
      <c r="M998" s="45">
        <v>6.3</v>
      </c>
      <c r="N998" s="45">
        <v>5</v>
      </c>
      <c r="O998" s="45">
        <v>16.5</v>
      </c>
      <c r="P998" s="45">
        <v>8.800000000000001</v>
      </c>
      <c r="Q998" s="45">
        <v>13.5</v>
      </c>
      <c r="R998" s="45">
        <v>3.4</v>
      </c>
      <c r="S998" s="45">
        <v>1.5</v>
      </c>
      <c r="T998" s="45">
        <v>6.9</v>
      </c>
      <c r="V998" s="45">
        <v>8.199999999999999</v>
      </c>
      <c r="W998" s="45">
        <v>8.199999999999999</v>
      </c>
      <c r="X998" s="45">
        <v>9.1</v>
      </c>
      <c r="Y998" s="45">
        <v>6.9</v>
      </c>
      <c r="Z998" s="45">
        <v>6.5</v>
      </c>
      <c r="AA998" s="45">
        <v>9.4</v>
      </c>
      <c r="AB998" s="45">
        <v>9.4</v>
      </c>
      <c r="AC998" s="45">
        <v>13.5</v>
      </c>
      <c r="AD998" s="45">
        <v>7.7</v>
      </c>
    </row>
    <row r="999" spans="1:30">
      <c r="A999" s="73">
        <v>45867</v>
      </c>
      <c r="B999" s="24">
        <v>3178</v>
      </c>
      <c r="C999" s="24">
        <v>663</v>
      </c>
      <c r="D999" s="24">
        <v>308</v>
      </c>
      <c r="E999" s="24">
        <v>503</v>
      </c>
      <c r="F999" s="24">
        <v>560</v>
      </c>
      <c r="G999" s="24">
        <v>340</v>
      </c>
      <c r="H999" s="24">
        <v>185</v>
      </c>
      <c r="I999" s="24">
        <v>162</v>
      </c>
      <c r="J999" s="24">
        <v>457</v>
      </c>
      <c r="L999" s="45">
        <v>8.9</v>
      </c>
      <c r="M999" s="45">
        <v>5.8</v>
      </c>
      <c r="N999" s="45">
        <v>2.4</v>
      </c>
      <c r="O999" s="45">
        <v>18.6</v>
      </c>
      <c r="P999" s="45">
        <v>10.8</v>
      </c>
      <c r="Q999" s="45">
        <v>13.5</v>
      </c>
      <c r="R999" s="45">
        <v>3.3</v>
      </c>
      <c r="S999" s="45">
        <v>2.4</v>
      </c>
      <c r="T999" s="45">
        <v>6</v>
      </c>
      <c r="V999" s="45">
        <v>9.4</v>
      </c>
      <c r="W999" s="45">
        <v>9.699999999999999</v>
      </c>
      <c r="X999" s="45">
        <v>11.9</v>
      </c>
      <c r="Y999" s="45">
        <v>7.9</v>
      </c>
      <c r="Z999" s="45">
        <v>7.4</v>
      </c>
      <c r="AA999" s="45">
        <v>9</v>
      </c>
      <c r="AB999" s="45">
        <v>10.4</v>
      </c>
      <c r="AC999" s="45">
        <v>16.3</v>
      </c>
      <c r="AD999" s="45">
        <v>8.800000000000001</v>
      </c>
    </row>
    <row r="1000" spans="1:30">
      <c r="A1000" s="73">
        <v>45868</v>
      </c>
      <c r="B1000" s="24">
        <v>3046</v>
      </c>
      <c r="C1000" s="24">
        <v>596</v>
      </c>
      <c r="D1000" s="24">
        <v>321</v>
      </c>
      <c r="E1000" s="24">
        <v>465</v>
      </c>
      <c r="F1000" s="24">
        <v>566</v>
      </c>
      <c r="G1000" s="24">
        <v>325</v>
      </c>
      <c r="H1000" s="24">
        <v>162</v>
      </c>
      <c r="I1000" s="24">
        <v>152</v>
      </c>
      <c r="J1000" s="24">
        <v>459</v>
      </c>
      <c r="L1000" s="45">
        <v>7.9</v>
      </c>
      <c r="M1000" s="45">
        <v>3.4</v>
      </c>
      <c r="N1000" s="45">
        <v>3.5</v>
      </c>
      <c r="O1000" s="45">
        <v>17</v>
      </c>
      <c r="P1000" s="45">
        <v>6.6</v>
      </c>
      <c r="Q1000" s="45">
        <v>15.1</v>
      </c>
      <c r="R1000" s="45">
        <v>1.8</v>
      </c>
      <c r="S1000" s="45">
        <v>1</v>
      </c>
      <c r="T1000" s="45">
        <v>8.4</v>
      </c>
      <c r="V1000" s="45">
        <v>9.800000000000001</v>
      </c>
      <c r="W1000" s="45">
        <v>10.4</v>
      </c>
      <c r="X1000" s="45">
        <v>11.1</v>
      </c>
      <c r="Y1000" s="45">
        <v>7.8</v>
      </c>
      <c r="Z1000" s="45">
        <v>7.8</v>
      </c>
      <c r="AA1000" s="45">
        <v>8.800000000000001</v>
      </c>
      <c r="AB1000" s="45">
        <v>12</v>
      </c>
      <c r="AC1000" s="45">
        <v>22.2</v>
      </c>
      <c r="AD1000" s="45">
        <v>8.699999999999999</v>
      </c>
    </row>
    <row r="1001" spans="1:30">
      <c r="A1001" s="73">
        <v>45869</v>
      </c>
      <c r="B1001" s="24">
        <v>2763</v>
      </c>
      <c r="C1001" s="24">
        <v>584</v>
      </c>
      <c r="D1001" s="24">
        <v>292</v>
      </c>
      <c r="E1001" s="24">
        <v>469</v>
      </c>
      <c r="F1001" s="24">
        <v>479</v>
      </c>
      <c r="G1001" s="24">
        <v>315</v>
      </c>
      <c r="H1001" s="24">
        <v>133</v>
      </c>
      <c r="I1001" s="24">
        <v>128</v>
      </c>
      <c r="J1001" s="24">
        <v>363</v>
      </c>
      <c r="L1001" s="45">
        <v>5.6</v>
      </c>
      <c r="M1001" s="45">
        <v>2.8</v>
      </c>
      <c r="N1001" s="45">
        <v>2.4</v>
      </c>
      <c r="O1001" s="45">
        <v>14.4</v>
      </c>
      <c r="P1001" s="45">
        <v>3.5</v>
      </c>
      <c r="Q1001" s="45">
        <v>8.800000000000001</v>
      </c>
      <c r="R1001" s="45">
        <v>2.3</v>
      </c>
      <c r="S1001" s="45">
        <v>1</v>
      </c>
      <c r="T1001" s="45">
        <v>4.1</v>
      </c>
      <c r="V1001" s="45">
        <v>10.1</v>
      </c>
      <c r="W1001" s="45">
        <v>10.6</v>
      </c>
      <c r="X1001" s="45">
        <v>11.6</v>
      </c>
      <c r="Y1001" s="45">
        <v>8.300000000000001</v>
      </c>
      <c r="Z1001" s="45">
        <v>7.6</v>
      </c>
      <c r="AA1001" s="45">
        <v>10.2</v>
      </c>
      <c r="AB1001" s="45">
        <v>11.8</v>
      </c>
      <c r="AC1001" s="45">
        <v>19.5</v>
      </c>
      <c r="AD1001" s="45">
        <v>10</v>
      </c>
    </row>
    <row r="1002" spans="1:30">
      <c r="A1002" s="73">
        <v>45870</v>
      </c>
      <c r="B1002" s="24">
        <v>3293</v>
      </c>
      <c r="C1002" s="24">
        <v>705</v>
      </c>
      <c r="D1002" s="24">
        <v>380</v>
      </c>
      <c r="E1002" s="24">
        <v>507</v>
      </c>
      <c r="F1002" s="24">
        <v>577</v>
      </c>
      <c r="G1002" s="24">
        <v>293</v>
      </c>
      <c r="H1002" s="24">
        <v>146</v>
      </c>
      <c r="I1002" s="24">
        <v>190</v>
      </c>
      <c r="J1002" s="24">
        <v>495</v>
      </c>
      <c r="L1002" s="45">
        <v>8.699999999999999</v>
      </c>
      <c r="M1002" s="45">
        <v>7.8</v>
      </c>
      <c r="N1002" s="45">
        <v>3.3</v>
      </c>
      <c r="O1002" s="45">
        <v>17.1</v>
      </c>
      <c r="P1002" s="45">
        <v>7.6</v>
      </c>
      <c r="Q1002" s="45">
        <v>11.6</v>
      </c>
      <c r="R1002" s="45">
        <v>2.7</v>
      </c>
      <c r="S1002" s="45">
        <v>2</v>
      </c>
      <c r="T1002" s="45">
        <v>9.4</v>
      </c>
      <c r="V1002" s="45">
        <v>9</v>
      </c>
      <c r="W1002" s="45">
        <v>9</v>
      </c>
      <c r="X1002" s="45">
        <v>9.5</v>
      </c>
      <c r="Y1002" s="45">
        <v>7.8</v>
      </c>
      <c r="Z1002" s="45">
        <v>7.5</v>
      </c>
      <c r="AA1002" s="45">
        <v>10.4</v>
      </c>
      <c r="AB1002" s="45">
        <v>12.7</v>
      </c>
      <c r="AC1002" s="45">
        <v>14</v>
      </c>
      <c r="AD1002" s="45">
        <v>7.9</v>
      </c>
    </row>
    <row r="1003" spans="1:30">
      <c r="A1003" s="73">
        <v>45871</v>
      </c>
      <c r="B1003" s="24">
        <v>0</v>
      </c>
      <c r="C1003" s="24">
        <v>0</v>
      </c>
      <c r="D1003" s="24">
        <v>0</v>
      </c>
      <c r="E1003" s="24">
        <v>0</v>
      </c>
      <c r="F1003" s="24">
        <v>0</v>
      </c>
      <c r="G1003" s="24">
        <v>0</v>
      </c>
      <c r="H1003" s="24">
        <v>0</v>
      </c>
      <c r="I1003" s="24">
        <v>0</v>
      </c>
      <c r="J1003" s="24">
        <v>0</v>
      </c>
      <c r="L1003" s="45">
        <v>0</v>
      </c>
      <c r="M1003" s="45">
        <v>0</v>
      </c>
      <c r="N1003" s="45">
        <v>0</v>
      </c>
      <c r="O1003" s="45">
        <v>0</v>
      </c>
      <c r="P1003" s="45">
        <v>0</v>
      </c>
      <c r="Q1003" s="45">
        <v>0</v>
      </c>
      <c r="R1003" s="45">
        <v>0</v>
      </c>
      <c r="S1003" s="45">
        <v>0</v>
      </c>
      <c r="T1003" s="45">
        <v>0</v>
      </c>
      <c r="V1003" s="45">
        <v>0</v>
      </c>
      <c r="W1003" s="45">
        <v>0</v>
      </c>
      <c r="X1003" s="45">
        <v>0</v>
      </c>
      <c r="Y1003" s="45">
        <v>0</v>
      </c>
      <c r="Z1003" s="45">
        <v>0</v>
      </c>
      <c r="AA1003" s="45">
        <v>0</v>
      </c>
      <c r="AB1003" s="45">
        <v>0</v>
      </c>
      <c r="AC1003" s="45">
        <v>0</v>
      </c>
      <c r="AD1003" s="45">
        <v>0</v>
      </c>
    </row>
    <row r="1004" spans="1:30">
      <c r="A1004" s="73">
        <v>45872</v>
      </c>
      <c r="B1004" s="24">
        <v>0</v>
      </c>
      <c r="C1004" s="24">
        <v>0</v>
      </c>
      <c r="D1004" s="24">
        <v>0</v>
      </c>
      <c r="E1004" s="24">
        <v>0</v>
      </c>
      <c r="F1004" s="24">
        <v>0</v>
      </c>
      <c r="G1004" s="24">
        <v>0</v>
      </c>
      <c r="H1004" s="24">
        <v>0</v>
      </c>
      <c r="I1004" s="24">
        <v>0</v>
      </c>
      <c r="J1004" s="24">
        <v>0</v>
      </c>
      <c r="L1004" s="45">
        <v>0</v>
      </c>
      <c r="M1004" s="45">
        <v>0</v>
      </c>
      <c r="N1004" s="45">
        <v>0</v>
      </c>
      <c r="O1004" s="45">
        <v>0</v>
      </c>
      <c r="P1004" s="45">
        <v>0</v>
      </c>
      <c r="Q1004" s="45">
        <v>0</v>
      </c>
      <c r="R1004" s="45">
        <v>0</v>
      </c>
      <c r="S1004" s="45">
        <v>0</v>
      </c>
      <c r="T1004" s="45">
        <v>0</v>
      </c>
      <c r="V1004" s="45">
        <v>0</v>
      </c>
      <c r="W1004" s="45">
        <v>0</v>
      </c>
      <c r="X1004" s="45">
        <v>0</v>
      </c>
      <c r="Y1004" s="45">
        <v>0</v>
      </c>
      <c r="Z1004" s="45">
        <v>0</v>
      </c>
      <c r="AA1004" s="45">
        <v>0</v>
      </c>
      <c r="AB1004" s="45">
        <v>0</v>
      </c>
      <c r="AC1004" s="45">
        <v>0</v>
      </c>
      <c r="AD1004" s="45">
        <v>0</v>
      </c>
    </row>
    <row r="1005" spans="1:30">
      <c r="A1005" s="73">
        <v>45873</v>
      </c>
      <c r="B1005" s="24">
        <v>3262</v>
      </c>
      <c r="C1005" s="24">
        <v>637</v>
      </c>
      <c r="D1005" s="24">
        <v>353</v>
      </c>
      <c r="E1005" s="24">
        <v>525</v>
      </c>
      <c r="F1005" s="24">
        <v>585</v>
      </c>
      <c r="G1005" s="24">
        <v>344</v>
      </c>
      <c r="H1005" s="24">
        <v>178</v>
      </c>
      <c r="I1005" s="24">
        <v>176</v>
      </c>
      <c r="J1005" s="24">
        <v>464</v>
      </c>
      <c r="L1005" s="45">
        <v>7.8</v>
      </c>
      <c r="M1005" s="45">
        <v>3.8</v>
      </c>
      <c r="N1005" s="45">
        <v>3.4</v>
      </c>
      <c r="O1005" s="45">
        <v>13.2</v>
      </c>
      <c r="P1005" s="45">
        <v>7.5</v>
      </c>
      <c r="Q1005" s="45">
        <v>18</v>
      </c>
      <c r="R1005" s="45">
        <v>3.8</v>
      </c>
      <c r="S1005" s="45">
        <v>2</v>
      </c>
      <c r="T1005" s="45">
        <v>6.9</v>
      </c>
      <c r="V1005" s="45">
        <v>8.5</v>
      </c>
      <c r="W1005" s="45">
        <v>9.300000000000001</v>
      </c>
      <c r="X1005" s="45">
        <v>9.5</v>
      </c>
      <c r="Y1005" s="45">
        <v>7.4</v>
      </c>
      <c r="Z1005" s="45">
        <v>6.9</v>
      </c>
      <c r="AA1005" s="45">
        <v>8.199999999999999</v>
      </c>
      <c r="AB1005" s="45">
        <v>10.3</v>
      </c>
      <c r="AC1005" s="45">
        <v>16.1</v>
      </c>
      <c r="AD1005" s="45">
        <v>7</v>
      </c>
    </row>
    <row r="1006" spans="1:30">
      <c r="A1006" s="73">
        <v>45874</v>
      </c>
      <c r="B1006" s="24">
        <v>2902</v>
      </c>
      <c r="C1006" s="24">
        <v>546</v>
      </c>
      <c r="D1006" s="24">
        <v>304</v>
      </c>
      <c r="E1006" s="24">
        <v>472</v>
      </c>
      <c r="F1006" s="24">
        <v>511</v>
      </c>
      <c r="G1006" s="24">
        <v>313</v>
      </c>
      <c r="H1006" s="24">
        <v>170</v>
      </c>
      <c r="I1006" s="24">
        <v>149</v>
      </c>
      <c r="J1006" s="24">
        <v>437</v>
      </c>
      <c r="L1006" s="45">
        <v>6.7</v>
      </c>
      <c r="M1006" s="45">
        <v>3</v>
      </c>
      <c r="N1006" s="45">
        <v>2.8</v>
      </c>
      <c r="O1006" s="45">
        <v>17.7</v>
      </c>
      <c r="P1006" s="45">
        <v>4.9</v>
      </c>
      <c r="Q1006" s="45">
        <v>9.6</v>
      </c>
      <c r="R1006" s="45">
        <v>4.1</v>
      </c>
      <c r="S1006" s="45">
        <v>1.4</v>
      </c>
      <c r="T1006" s="45">
        <v>5.1</v>
      </c>
      <c r="V1006" s="45">
        <v>10.1</v>
      </c>
      <c r="W1006" s="45">
        <v>10.9</v>
      </c>
      <c r="X1006" s="45">
        <v>12.2</v>
      </c>
      <c r="Y1006" s="45">
        <v>7.8</v>
      </c>
      <c r="Z1006" s="45">
        <v>8</v>
      </c>
      <c r="AA1006" s="45">
        <v>9.9</v>
      </c>
      <c r="AB1006" s="45">
        <v>11.4</v>
      </c>
      <c r="AC1006" s="45">
        <v>18.4</v>
      </c>
      <c r="AD1006" s="45">
        <v>9.300000000000001</v>
      </c>
    </row>
    <row r="1007" spans="1:30">
      <c r="A1007" s="73">
        <v>45875</v>
      </c>
      <c r="B1007" s="24">
        <v>0</v>
      </c>
      <c r="C1007" s="24">
        <v>0</v>
      </c>
      <c r="D1007" s="24">
        <v>0</v>
      </c>
      <c r="E1007" s="24">
        <v>0</v>
      </c>
      <c r="F1007" s="24">
        <v>0</v>
      </c>
      <c r="G1007" s="24">
        <v>0</v>
      </c>
      <c r="H1007" s="24">
        <v>0</v>
      </c>
      <c r="I1007" s="24">
        <v>0</v>
      </c>
      <c r="J1007" s="24">
        <v>0</v>
      </c>
      <c r="L1007" s="45">
        <v>0</v>
      </c>
      <c r="M1007" s="45">
        <v>0</v>
      </c>
      <c r="N1007" s="45">
        <v>0</v>
      </c>
      <c r="O1007" s="45">
        <v>0</v>
      </c>
      <c r="P1007" s="45">
        <v>0</v>
      </c>
      <c r="Q1007" s="45">
        <v>0</v>
      </c>
      <c r="R1007" s="45">
        <v>0</v>
      </c>
      <c r="S1007" s="45">
        <v>0</v>
      </c>
      <c r="T1007" s="45">
        <v>0</v>
      </c>
      <c r="V1007" s="45">
        <v>0</v>
      </c>
      <c r="W1007" s="45">
        <v>0</v>
      </c>
      <c r="X1007" s="45">
        <v>0</v>
      </c>
      <c r="Y1007" s="45">
        <v>0</v>
      </c>
      <c r="Z1007" s="45">
        <v>0</v>
      </c>
      <c r="AA1007" s="45">
        <v>0</v>
      </c>
      <c r="AB1007" s="45">
        <v>0</v>
      </c>
      <c r="AC1007" s="45">
        <v>0</v>
      </c>
      <c r="AD1007" s="45">
        <v>0</v>
      </c>
    </row>
    <row r="1008" spans="1:30">
      <c r="A1008" s="73">
        <v>45876</v>
      </c>
      <c r="B1008" s="24">
        <v>3722</v>
      </c>
      <c r="C1008" s="24">
        <v>624</v>
      </c>
      <c r="D1008" s="24">
        <v>461</v>
      </c>
      <c r="E1008" s="24">
        <v>570</v>
      </c>
      <c r="F1008" s="24">
        <v>651</v>
      </c>
      <c r="G1008" s="24">
        <v>404</v>
      </c>
      <c r="H1008" s="24">
        <v>248</v>
      </c>
      <c r="I1008" s="24">
        <v>213</v>
      </c>
      <c r="J1008" s="24">
        <v>551</v>
      </c>
      <c r="L1008" s="45">
        <v>11.2</v>
      </c>
      <c r="M1008" s="45">
        <v>5.6</v>
      </c>
      <c r="N1008" s="45">
        <v>4.4</v>
      </c>
      <c r="O1008" s="45">
        <v>17.2</v>
      </c>
      <c r="P1008" s="45">
        <v>13.6</v>
      </c>
      <c r="Q1008" s="45">
        <v>26.3</v>
      </c>
      <c r="R1008" s="45">
        <v>4.7</v>
      </c>
      <c r="S1008" s="45">
        <v>3.3</v>
      </c>
      <c r="T1008" s="45">
        <v>9.199999999999999</v>
      </c>
      <c r="V1008" s="45">
        <v>7.9</v>
      </c>
      <c r="W1008" s="45">
        <v>10.1</v>
      </c>
      <c r="X1008" s="45">
        <v>8</v>
      </c>
      <c r="Y1008" s="45">
        <v>6.6</v>
      </c>
      <c r="Z1008" s="45">
        <v>6.6</v>
      </c>
      <c r="AA1008" s="45">
        <v>6.7</v>
      </c>
      <c r="AB1008" s="45">
        <v>8.1</v>
      </c>
      <c r="AC1008" s="45">
        <v>14.2</v>
      </c>
      <c r="AD1008" s="45">
        <v>7</v>
      </c>
    </row>
    <row r="1009" spans="1:30">
      <c r="A1009" s="73">
        <v>45877</v>
      </c>
      <c r="B1009" s="24">
        <v>3400</v>
      </c>
      <c r="C1009" s="24">
        <v>665</v>
      </c>
      <c r="D1009" s="24">
        <v>407</v>
      </c>
      <c r="E1009" s="24">
        <v>501</v>
      </c>
      <c r="F1009" s="24">
        <v>613</v>
      </c>
      <c r="G1009" s="24">
        <v>374</v>
      </c>
      <c r="H1009" s="24">
        <v>186</v>
      </c>
      <c r="I1009" s="24">
        <v>161</v>
      </c>
      <c r="J1009" s="24">
        <v>493</v>
      </c>
      <c r="L1009" s="45">
        <v>8.4</v>
      </c>
      <c r="M1009" s="45">
        <v>2.7</v>
      </c>
      <c r="N1009" s="45">
        <v>4.4</v>
      </c>
      <c r="O1009" s="45">
        <v>14.5</v>
      </c>
      <c r="P1009" s="45">
        <v>11.7</v>
      </c>
      <c r="Q1009" s="45">
        <v>15</v>
      </c>
      <c r="R1009" s="45">
        <v>2.2</v>
      </c>
      <c r="S1009" s="45">
        <v>2</v>
      </c>
      <c r="T1009" s="45">
        <v>8.6</v>
      </c>
      <c r="V1009" s="45">
        <v>8.800000000000001</v>
      </c>
      <c r="W1009" s="45">
        <v>9.5</v>
      </c>
      <c r="X1009" s="45">
        <v>9.300000000000001</v>
      </c>
      <c r="Y1009" s="45">
        <v>7.5</v>
      </c>
      <c r="Z1009" s="45">
        <v>7.8</v>
      </c>
      <c r="AA1009" s="45">
        <v>8</v>
      </c>
      <c r="AB1009" s="45">
        <v>10.2</v>
      </c>
      <c r="AC1009" s="45">
        <v>18.2</v>
      </c>
      <c r="AD1009" s="45">
        <v>7.5</v>
      </c>
    </row>
    <row r="1010" spans="1:30">
      <c r="A1010" s="73">
        <v>45878</v>
      </c>
      <c r="B1010" s="24">
        <v>0</v>
      </c>
      <c r="C1010" s="24">
        <v>0</v>
      </c>
      <c r="D1010" s="24">
        <v>0</v>
      </c>
      <c r="E1010" s="24">
        <v>0</v>
      </c>
      <c r="F1010" s="24">
        <v>0</v>
      </c>
      <c r="G1010" s="24">
        <v>0</v>
      </c>
      <c r="H1010" s="24">
        <v>0</v>
      </c>
      <c r="I1010" s="24">
        <v>0</v>
      </c>
      <c r="J1010" s="24">
        <v>0</v>
      </c>
      <c r="L1010" s="45">
        <v>0</v>
      </c>
      <c r="M1010" s="45">
        <v>0</v>
      </c>
      <c r="N1010" s="45">
        <v>0</v>
      </c>
      <c r="O1010" s="45">
        <v>0</v>
      </c>
      <c r="P1010" s="45">
        <v>0</v>
      </c>
      <c r="Q1010" s="45">
        <v>0</v>
      </c>
      <c r="R1010" s="45">
        <v>0</v>
      </c>
      <c r="S1010" s="45">
        <v>0</v>
      </c>
      <c r="T1010" s="45">
        <v>0</v>
      </c>
      <c r="V1010" s="45">
        <v>0</v>
      </c>
      <c r="W1010" s="45">
        <v>0</v>
      </c>
      <c r="X1010" s="45">
        <v>0</v>
      </c>
      <c r="Y1010" s="45">
        <v>0</v>
      </c>
      <c r="Z1010" s="45">
        <v>0</v>
      </c>
      <c r="AA1010" s="45">
        <v>0</v>
      </c>
      <c r="AB1010" s="45">
        <v>0</v>
      </c>
      <c r="AC1010" s="45">
        <v>0</v>
      </c>
      <c r="AD1010" s="45">
        <v>0</v>
      </c>
    </row>
    <row r="1011" spans="1:30">
      <c r="A1011" s="73">
        <v>45879</v>
      </c>
      <c r="B1011" s="24">
        <v>0</v>
      </c>
      <c r="C1011" s="24">
        <v>0</v>
      </c>
      <c r="D1011" s="24">
        <v>0</v>
      </c>
      <c r="E1011" s="24">
        <v>0</v>
      </c>
      <c r="F1011" s="24">
        <v>0</v>
      </c>
      <c r="G1011" s="24">
        <v>0</v>
      </c>
      <c r="H1011" s="24">
        <v>0</v>
      </c>
      <c r="I1011" s="24">
        <v>0</v>
      </c>
      <c r="J1011" s="24">
        <v>0</v>
      </c>
      <c r="L1011" s="45">
        <v>0</v>
      </c>
      <c r="M1011" s="45">
        <v>0</v>
      </c>
      <c r="N1011" s="45">
        <v>0</v>
      </c>
      <c r="O1011" s="45">
        <v>0</v>
      </c>
      <c r="P1011" s="45">
        <v>0</v>
      </c>
      <c r="Q1011" s="45">
        <v>0</v>
      </c>
      <c r="R1011" s="45">
        <v>0</v>
      </c>
      <c r="S1011" s="45">
        <v>0</v>
      </c>
      <c r="T1011" s="45">
        <v>0</v>
      </c>
      <c r="V1011" s="45">
        <v>0</v>
      </c>
      <c r="W1011" s="45">
        <v>0</v>
      </c>
      <c r="X1011" s="45">
        <v>0</v>
      </c>
      <c r="Y1011" s="45">
        <v>0</v>
      </c>
      <c r="Z1011" s="45">
        <v>0</v>
      </c>
      <c r="AA1011" s="45">
        <v>0</v>
      </c>
      <c r="AB1011" s="45">
        <v>0</v>
      </c>
      <c r="AC1011" s="45">
        <v>0</v>
      </c>
      <c r="AD1011" s="45">
        <v>0</v>
      </c>
    </row>
    <row r="1012" spans="1:30">
      <c r="A1012" s="73">
        <v>45880</v>
      </c>
      <c r="B1012" s="24">
        <v>0</v>
      </c>
      <c r="C1012" s="24">
        <v>0</v>
      </c>
      <c r="D1012" s="24">
        <v>0</v>
      </c>
      <c r="E1012" s="24">
        <v>0</v>
      </c>
      <c r="F1012" s="24">
        <v>0</v>
      </c>
      <c r="G1012" s="24">
        <v>0</v>
      </c>
      <c r="H1012" s="24">
        <v>0</v>
      </c>
      <c r="I1012" s="24">
        <v>0</v>
      </c>
      <c r="J1012" s="24">
        <v>0</v>
      </c>
      <c r="L1012" s="45">
        <v>0</v>
      </c>
      <c r="M1012" s="45">
        <v>0</v>
      </c>
      <c r="N1012" s="45">
        <v>0</v>
      </c>
      <c r="O1012" s="45">
        <v>0</v>
      </c>
      <c r="P1012" s="45">
        <v>0</v>
      </c>
      <c r="Q1012" s="45">
        <v>0</v>
      </c>
      <c r="R1012" s="45">
        <v>0</v>
      </c>
      <c r="S1012" s="45">
        <v>0</v>
      </c>
      <c r="T1012" s="45">
        <v>0</v>
      </c>
      <c r="V1012" s="45">
        <v>0</v>
      </c>
      <c r="W1012" s="45">
        <v>0</v>
      </c>
      <c r="X1012" s="45">
        <v>0</v>
      </c>
      <c r="Y1012" s="45">
        <v>0</v>
      </c>
      <c r="Z1012" s="45">
        <v>0</v>
      </c>
      <c r="AA1012" s="45">
        <v>0</v>
      </c>
      <c r="AB1012" s="45">
        <v>0</v>
      </c>
      <c r="AC1012" s="45">
        <v>0</v>
      </c>
      <c r="AD1012" s="45">
        <v>0</v>
      </c>
    </row>
    <row r="1013" spans="1:30">
      <c r="A1013" s="73">
        <v>45881</v>
      </c>
      <c r="B1013" s="24">
        <v>4680</v>
      </c>
      <c r="C1013" s="24">
        <v>817</v>
      </c>
      <c r="D1013" s="24">
        <v>503</v>
      </c>
      <c r="E1013" s="24">
        <v>723</v>
      </c>
      <c r="F1013" s="24">
        <v>833</v>
      </c>
      <c r="G1013" s="24">
        <v>515</v>
      </c>
      <c r="H1013" s="24">
        <v>332</v>
      </c>
      <c r="I1013" s="24">
        <v>236</v>
      </c>
      <c r="J1013" s="24">
        <v>721</v>
      </c>
      <c r="L1013" s="45">
        <v>21.6</v>
      </c>
      <c r="M1013" s="45">
        <v>7.4</v>
      </c>
      <c r="N1013" s="45">
        <v>7</v>
      </c>
      <c r="O1013" s="45">
        <v>44</v>
      </c>
      <c r="P1013" s="45">
        <v>26.4</v>
      </c>
      <c r="Q1013" s="45">
        <v>38.8</v>
      </c>
      <c r="R1013" s="45">
        <v>8</v>
      </c>
      <c r="S1013" s="45">
        <v>3.4</v>
      </c>
      <c r="T1013" s="45">
        <v>19.7</v>
      </c>
      <c r="V1013" s="45">
        <v>6.5</v>
      </c>
      <c r="W1013" s="45">
        <v>7.5</v>
      </c>
      <c r="X1013" s="45">
        <v>7.5</v>
      </c>
      <c r="Y1013" s="45">
        <v>5.3</v>
      </c>
      <c r="Z1013" s="45">
        <v>5.7</v>
      </c>
      <c r="AA1013" s="45">
        <v>5.3</v>
      </c>
      <c r="AB1013" s="45">
        <v>6.2</v>
      </c>
      <c r="AC1013" s="45">
        <v>12.4</v>
      </c>
      <c r="AD1013" s="45">
        <v>5.6</v>
      </c>
    </row>
    <row r="1014" spans="1:30">
      <c r="A1014" s="73">
        <v>45882</v>
      </c>
      <c r="B1014" s="24">
        <v>3501</v>
      </c>
      <c r="C1014" s="24">
        <v>627</v>
      </c>
      <c r="D1014" s="24">
        <v>370</v>
      </c>
      <c r="E1014" s="24">
        <v>580</v>
      </c>
      <c r="F1014" s="24">
        <v>674</v>
      </c>
      <c r="G1014" s="24">
        <v>409</v>
      </c>
      <c r="H1014" s="24">
        <v>202</v>
      </c>
      <c r="I1014" s="24">
        <v>175</v>
      </c>
      <c r="J1014" s="24">
        <v>464</v>
      </c>
      <c r="L1014" s="45">
        <v>15.7</v>
      </c>
      <c r="M1014" s="45">
        <v>6</v>
      </c>
      <c r="N1014" s="45">
        <v>2.9</v>
      </c>
      <c r="O1014" s="45">
        <v>47.6</v>
      </c>
      <c r="P1014" s="45">
        <v>12.5</v>
      </c>
      <c r="Q1014" s="45">
        <v>21.6</v>
      </c>
      <c r="R1014" s="45">
        <v>3</v>
      </c>
      <c r="S1014" s="45">
        <v>1.7</v>
      </c>
      <c r="T1014" s="45">
        <v>9.800000000000001</v>
      </c>
      <c r="V1014" s="45">
        <v>8.199999999999999</v>
      </c>
      <c r="W1014" s="45">
        <v>9.199999999999999</v>
      </c>
      <c r="X1014" s="45">
        <v>9.800000000000001</v>
      </c>
      <c r="Y1014" s="45">
        <v>6.6</v>
      </c>
      <c r="Z1014" s="45">
        <v>6.7</v>
      </c>
      <c r="AA1014" s="45">
        <v>7.4</v>
      </c>
      <c r="AB1014" s="45">
        <v>9.699999999999999</v>
      </c>
      <c r="AC1014" s="45">
        <v>15.3</v>
      </c>
      <c r="AD1014" s="45">
        <v>7.6</v>
      </c>
    </row>
    <row r="1015" spans="1:30">
      <c r="A1015" s="73">
        <v>45883</v>
      </c>
      <c r="B1015" s="24">
        <v>2970</v>
      </c>
      <c r="C1015" s="24">
        <v>548</v>
      </c>
      <c r="D1015" s="24">
        <v>324</v>
      </c>
      <c r="E1015" s="24">
        <v>533</v>
      </c>
      <c r="F1015" s="24">
        <v>571</v>
      </c>
      <c r="G1015" s="24">
        <v>292</v>
      </c>
      <c r="H1015" s="24">
        <v>189</v>
      </c>
      <c r="I1015" s="24">
        <v>115</v>
      </c>
      <c r="J1015" s="24">
        <v>398</v>
      </c>
      <c r="L1015" s="45">
        <v>11</v>
      </c>
      <c r="M1015" s="45">
        <v>5.8</v>
      </c>
      <c r="N1015" s="45">
        <v>2.2</v>
      </c>
      <c r="O1015" s="45">
        <v>24.1</v>
      </c>
      <c r="P1015" s="45">
        <v>12.3</v>
      </c>
      <c r="Q1015" s="45">
        <v>17.3</v>
      </c>
      <c r="R1015" s="45">
        <v>4.3</v>
      </c>
      <c r="S1015" s="45">
        <v>1.3</v>
      </c>
      <c r="T1015" s="45">
        <v>7.2</v>
      </c>
      <c r="V1015" s="45">
        <v>9.199999999999999</v>
      </c>
      <c r="W1015" s="45">
        <v>9.800000000000001</v>
      </c>
      <c r="X1015" s="45">
        <v>9.9</v>
      </c>
      <c r="Y1015" s="45">
        <v>6.8</v>
      </c>
      <c r="Z1015" s="45">
        <v>7</v>
      </c>
      <c r="AA1015" s="45">
        <v>9.800000000000001</v>
      </c>
      <c r="AB1015" s="45">
        <v>9.9</v>
      </c>
      <c r="AC1015" s="45">
        <v>23.6</v>
      </c>
      <c r="AD1015" s="45">
        <v>9.199999999999999</v>
      </c>
    </row>
    <row r="1016" spans="1:30">
      <c r="A1016" s="73">
        <v>45884</v>
      </c>
      <c r="B1016" s="24">
        <v>3005</v>
      </c>
      <c r="C1016" s="24">
        <v>536</v>
      </c>
      <c r="D1016" s="24">
        <v>327</v>
      </c>
      <c r="E1016" s="24">
        <v>515</v>
      </c>
      <c r="F1016" s="24">
        <v>565</v>
      </c>
      <c r="G1016" s="24">
        <v>348</v>
      </c>
      <c r="H1016" s="24">
        <v>179</v>
      </c>
      <c r="I1016" s="24">
        <v>154</v>
      </c>
      <c r="J1016" s="24">
        <v>381</v>
      </c>
      <c r="L1016" s="45">
        <v>7.8</v>
      </c>
      <c r="M1016" s="45">
        <v>7.2</v>
      </c>
      <c r="N1016" s="45">
        <v>3.1</v>
      </c>
      <c r="O1016" s="45">
        <v>15.6</v>
      </c>
      <c r="P1016" s="45">
        <v>8.5</v>
      </c>
      <c r="Q1016" s="45">
        <v>10.1</v>
      </c>
      <c r="R1016" s="45">
        <v>2.1</v>
      </c>
      <c r="S1016" s="45">
        <v>0.9</v>
      </c>
      <c r="T1016" s="45">
        <v>4.3</v>
      </c>
      <c r="V1016" s="45">
        <v>9.6</v>
      </c>
      <c r="W1016" s="45">
        <v>10.5</v>
      </c>
      <c r="X1016" s="45">
        <v>11.1</v>
      </c>
      <c r="Y1016" s="45">
        <v>7.6</v>
      </c>
      <c r="Z1016" s="45">
        <v>7.4</v>
      </c>
      <c r="AA1016" s="45">
        <v>8.9</v>
      </c>
      <c r="AB1016" s="45">
        <v>10.5</v>
      </c>
      <c r="AC1016" s="45">
        <v>18</v>
      </c>
      <c r="AD1016" s="45">
        <v>9.800000000000001</v>
      </c>
    </row>
    <row r="1017" spans="1:30">
      <c r="A1017" s="73">
        <v>45885</v>
      </c>
      <c r="B1017" s="24">
        <v>0</v>
      </c>
      <c r="C1017" s="24">
        <v>0</v>
      </c>
      <c r="D1017" s="24">
        <v>0</v>
      </c>
      <c r="E1017" s="24">
        <v>0</v>
      </c>
      <c r="F1017" s="24">
        <v>0</v>
      </c>
      <c r="G1017" s="24">
        <v>0</v>
      </c>
      <c r="H1017" s="24">
        <v>0</v>
      </c>
      <c r="I1017" s="24">
        <v>0</v>
      </c>
      <c r="J1017" s="24">
        <v>0</v>
      </c>
      <c r="L1017" s="45">
        <v>0</v>
      </c>
      <c r="M1017" s="45">
        <v>0</v>
      </c>
      <c r="N1017" s="45">
        <v>0</v>
      </c>
      <c r="O1017" s="45">
        <v>0</v>
      </c>
      <c r="P1017" s="45">
        <v>0</v>
      </c>
      <c r="Q1017" s="45">
        <v>0</v>
      </c>
      <c r="R1017" s="45">
        <v>0</v>
      </c>
      <c r="S1017" s="45">
        <v>0</v>
      </c>
      <c r="T1017" s="45">
        <v>0</v>
      </c>
      <c r="V1017" s="45">
        <v>0</v>
      </c>
      <c r="W1017" s="45">
        <v>0</v>
      </c>
      <c r="X1017" s="45">
        <v>0</v>
      </c>
      <c r="Y1017" s="45">
        <v>0</v>
      </c>
      <c r="Z1017" s="45">
        <v>0</v>
      </c>
      <c r="AA1017" s="45">
        <v>0</v>
      </c>
      <c r="AB1017" s="45">
        <v>0</v>
      </c>
      <c r="AC1017" s="45">
        <v>0</v>
      </c>
      <c r="AD1017" s="45">
        <v>0</v>
      </c>
    </row>
    <row r="1018" spans="1:30">
      <c r="A1018" s="73">
        <v>45886</v>
      </c>
      <c r="B1018" s="24">
        <v>0</v>
      </c>
      <c r="C1018" s="24">
        <v>0</v>
      </c>
      <c r="D1018" s="24">
        <v>0</v>
      </c>
      <c r="E1018" s="24">
        <v>0</v>
      </c>
      <c r="F1018" s="24">
        <v>0</v>
      </c>
      <c r="G1018" s="24">
        <v>0</v>
      </c>
      <c r="H1018" s="24">
        <v>0</v>
      </c>
      <c r="I1018" s="24">
        <v>0</v>
      </c>
      <c r="J1018" s="24">
        <v>0</v>
      </c>
      <c r="L1018" s="45">
        <v>0</v>
      </c>
      <c r="M1018" s="45">
        <v>0</v>
      </c>
      <c r="N1018" s="45">
        <v>0</v>
      </c>
      <c r="O1018" s="45">
        <v>0</v>
      </c>
      <c r="P1018" s="45">
        <v>0</v>
      </c>
      <c r="Q1018" s="45">
        <v>0</v>
      </c>
      <c r="R1018" s="45">
        <v>0</v>
      </c>
      <c r="S1018" s="45">
        <v>0</v>
      </c>
      <c r="T1018" s="45">
        <v>0</v>
      </c>
      <c r="V1018" s="45">
        <v>0</v>
      </c>
      <c r="W1018" s="45">
        <v>0</v>
      </c>
      <c r="X1018" s="45">
        <v>0</v>
      </c>
      <c r="Y1018" s="45">
        <v>0</v>
      </c>
      <c r="Z1018" s="45">
        <v>0</v>
      </c>
      <c r="AA1018" s="45">
        <v>0</v>
      </c>
      <c r="AB1018" s="45">
        <v>0</v>
      </c>
      <c r="AC1018" s="45">
        <v>0</v>
      </c>
      <c r="AD1018" s="45">
        <v>0</v>
      </c>
    </row>
    <row r="1019" spans="1:30">
      <c r="A1019" s="73">
        <v>45887</v>
      </c>
      <c r="B1019" s="24">
        <v>3321</v>
      </c>
      <c r="C1019" s="24">
        <v>590</v>
      </c>
      <c r="D1019" s="24">
        <v>399</v>
      </c>
      <c r="E1019" s="24">
        <v>549</v>
      </c>
      <c r="F1019" s="24">
        <v>576</v>
      </c>
      <c r="G1019" s="24">
        <v>368</v>
      </c>
      <c r="H1019" s="24">
        <v>214</v>
      </c>
      <c r="I1019" s="24">
        <v>141</v>
      </c>
      <c r="J1019" s="24">
        <v>484</v>
      </c>
      <c r="L1019" s="45">
        <v>8.199999999999999</v>
      </c>
      <c r="M1019" s="45">
        <v>2.8</v>
      </c>
      <c r="N1019" s="45">
        <v>2.5</v>
      </c>
      <c r="O1019" s="45">
        <v>16.1</v>
      </c>
      <c r="P1019" s="45">
        <v>5.3</v>
      </c>
      <c r="Q1019" s="45">
        <v>23.4</v>
      </c>
      <c r="R1019" s="45">
        <v>2.1</v>
      </c>
      <c r="S1019" s="45">
        <v>1.7</v>
      </c>
      <c r="T1019" s="45">
        <v>7.3</v>
      </c>
      <c r="V1019" s="45">
        <v>9</v>
      </c>
      <c r="W1019" s="45">
        <v>10.8</v>
      </c>
      <c r="X1019" s="45">
        <v>8.800000000000001</v>
      </c>
      <c r="Y1019" s="45">
        <v>7.4</v>
      </c>
      <c r="Z1019" s="45">
        <v>7.3</v>
      </c>
      <c r="AA1019" s="45">
        <v>7.8</v>
      </c>
      <c r="AB1019" s="45">
        <v>9</v>
      </c>
      <c r="AC1019" s="45">
        <v>18.9</v>
      </c>
      <c r="AD1019" s="45">
        <v>8.800000000000001</v>
      </c>
    </row>
    <row r="1020" spans="1:30">
      <c r="A1020" s="73">
        <v>45888</v>
      </c>
      <c r="B1020" s="24">
        <v>2868</v>
      </c>
      <c r="C1020" s="24">
        <v>526</v>
      </c>
      <c r="D1020" s="24">
        <v>303</v>
      </c>
      <c r="E1020" s="24">
        <v>452</v>
      </c>
      <c r="F1020" s="24">
        <v>538</v>
      </c>
      <c r="G1020" s="24">
        <v>297</v>
      </c>
      <c r="H1020" s="24">
        <v>169</v>
      </c>
      <c r="I1020" s="24">
        <v>158</v>
      </c>
      <c r="J1020" s="24">
        <v>425</v>
      </c>
      <c r="L1020" s="45">
        <v>5.8</v>
      </c>
      <c r="M1020" s="45">
        <v>2.4</v>
      </c>
      <c r="N1020" s="45">
        <v>1.7</v>
      </c>
      <c r="O1020" s="45">
        <v>14.5</v>
      </c>
      <c r="P1020" s="45">
        <v>5.1</v>
      </c>
      <c r="Q1020" s="45">
        <v>10.2</v>
      </c>
      <c r="R1020" s="45">
        <v>2</v>
      </c>
      <c r="S1020" s="45">
        <v>2.4</v>
      </c>
      <c r="T1020" s="45">
        <v>4</v>
      </c>
      <c r="V1020" s="45">
        <v>9.5</v>
      </c>
      <c r="W1020" s="45">
        <v>10.5</v>
      </c>
      <c r="X1020" s="45">
        <v>10.8</v>
      </c>
      <c r="Y1020" s="45">
        <v>8.199999999999999</v>
      </c>
      <c r="Z1020" s="45">
        <v>6.6</v>
      </c>
      <c r="AA1020" s="45">
        <v>10.7</v>
      </c>
      <c r="AB1020" s="45">
        <v>11.3</v>
      </c>
      <c r="AC1020" s="45">
        <v>17.7</v>
      </c>
      <c r="AD1020" s="45">
        <v>7.9</v>
      </c>
    </row>
    <row r="1021" spans="1:30">
      <c r="A1021" s="73">
        <v>45889</v>
      </c>
      <c r="B1021" s="24">
        <v>2885</v>
      </c>
      <c r="C1021" s="24">
        <v>520</v>
      </c>
      <c r="D1021" s="24">
        <v>313</v>
      </c>
      <c r="E1021" s="24">
        <v>484</v>
      </c>
      <c r="F1021" s="24">
        <v>572</v>
      </c>
      <c r="G1021" s="24">
        <v>303</v>
      </c>
      <c r="H1021" s="24">
        <v>169</v>
      </c>
      <c r="I1021" s="24">
        <v>124</v>
      </c>
      <c r="J1021" s="24">
        <v>400</v>
      </c>
      <c r="L1021" s="45">
        <v>6.4</v>
      </c>
      <c r="M1021" s="45">
        <v>3.2</v>
      </c>
      <c r="N1021" s="45">
        <v>2.1</v>
      </c>
      <c r="O1021" s="45">
        <v>13.7</v>
      </c>
      <c r="P1021" s="45">
        <v>6</v>
      </c>
      <c r="Q1021" s="45">
        <v>10.9</v>
      </c>
      <c r="R1021" s="45">
        <v>3.3</v>
      </c>
      <c r="S1021" s="45">
        <v>1.2</v>
      </c>
      <c r="T1021" s="45">
        <v>4.8</v>
      </c>
      <c r="V1021" s="45">
        <v>9.800000000000001</v>
      </c>
      <c r="W1021" s="45">
        <v>10.5</v>
      </c>
      <c r="X1021" s="45">
        <v>11.4</v>
      </c>
      <c r="Y1021" s="45">
        <v>8.4</v>
      </c>
      <c r="Z1021" s="45">
        <v>6.6</v>
      </c>
      <c r="AA1021" s="45">
        <v>9.9</v>
      </c>
      <c r="AB1021" s="45">
        <v>11.8</v>
      </c>
      <c r="AC1021" s="45">
        <v>20.1</v>
      </c>
      <c r="AD1021" s="45">
        <v>10.3</v>
      </c>
    </row>
    <row r="1022" spans="1:30">
      <c r="A1022" s="73">
        <v>45890</v>
      </c>
      <c r="B1022" s="24">
        <v>2632</v>
      </c>
      <c r="C1022" s="24">
        <v>476</v>
      </c>
      <c r="D1022" s="24">
        <v>261</v>
      </c>
      <c r="E1022" s="24">
        <v>419</v>
      </c>
      <c r="F1022" s="24">
        <v>447</v>
      </c>
      <c r="G1022" s="24">
        <v>289</v>
      </c>
      <c r="H1022" s="24">
        <v>164</v>
      </c>
      <c r="I1022" s="24">
        <v>135</v>
      </c>
      <c r="J1022" s="24">
        <v>441</v>
      </c>
      <c r="L1022" s="45">
        <v>4.9</v>
      </c>
      <c r="M1022" s="45">
        <v>1.9</v>
      </c>
      <c r="N1022" s="45">
        <v>1.9</v>
      </c>
      <c r="O1022" s="45">
        <v>7.8</v>
      </c>
      <c r="P1022" s="45">
        <v>3.1</v>
      </c>
      <c r="Q1022" s="45">
        <v>13.3</v>
      </c>
      <c r="R1022" s="45">
        <v>2.3</v>
      </c>
      <c r="S1022" s="45">
        <v>0.7</v>
      </c>
      <c r="T1022" s="45">
        <v>6</v>
      </c>
      <c r="V1022" s="45">
        <v>10.5</v>
      </c>
      <c r="W1022" s="45">
        <v>11</v>
      </c>
      <c r="X1022" s="45">
        <v>14.2</v>
      </c>
      <c r="Y1022" s="45">
        <v>9.5</v>
      </c>
      <c r="Z1022" s="45">
        <v>8.199999999999999</v>
      </c>
      <c r="AA1022" s="45">
        <v>10.5</v>
      </c>
      <c r="AB1022" s="45">
        <v>10.9</v>
      </c>
      <c r="AC1022" s="45">
        <v>20.8</v>
      </c>
      <c r="AD1022" s="45">
        <v>7.8</v>
      </c>
    </row>
    <row r="1023" spans="1:30">
      <c r="A1023" s="73">
        <v>45891</v>
      </c>
      <c r="B1023" s="24">
        <v>2923</v>
      </c>
      <c r="C1023" s="24">
        <v>531</v>
      </c>
      <c r="D1023" s="24">
        <v>377</v>
      </c>
      <c r="E1023" s="24">
        <v>487</v>
      </c>
      <c r="F1023" s="24">
        <v>473</v>
      </c>
      <c r="G1023" s="24">
        <v>321</v>
      </c>
      <c r="H1023" s="24">
        <v>201</v>
      </c>
      <c r="I1023" s="24">
        <v>160</v>
      </c>
      <c r="J1023" s="24">
        <v>373</v>
      </c>
      <c r="L1023" s="45">
        <v>4.8</v>
      </c>
      <c r="M1023" s="45">
        <v>3</v>
      </c>
      <c r="N1023" s="45">
        <v>2.3</v>
      </c>
      <c r="O1023" s="45">
        <v>9.1</v>
      </c>
      <c r="P1023" s="45">
        <v>4.1</v>
      </c>
      <c r="Q1023" s="45">
        <v>9.800000000000001</v>
      </c>
      <c r="R1023" s="45">
        <v>2.5</v>
      </c>
      <c r="S1023" s="45">
        <v>1.3</v>
      </c>
      <c r="T1023" s="45">
        <v>3.2</v>
      </c>
      <c r="V1023" s="45">
        <v>9.5</v>
      </c>
      <c r="W1023" s="45">
        <v>10.4</v>
      </c>
      <c r="X1023" s="45">
        <v>9.800000000000001</v>
      </c>
      <c r="Y1023" s="45">
        <v>7.1</v>
      </c>
      <c r="Z1023" s="45">
        <v>8.199999999999999</v>
      </c>
      <c r="AA1023" s="45">
        <v>10.1</v>
      </c>
      <c r="AB1023" s="45">
        <v>9.9</v>
      </c>
      <c r="AC1023" s="45">
        <v>15.9</v>
      </c>
      <c r="AD1023" s="45">
        <v>9.4</v>
      </c>
    </row>
    <row r="1024" spans="1:30">
      <c r="A1024" s="73">
        <v>45892</v>
      </c>
      <c r="B1024" s="24">
        <v>0</v>
      </c>
      <c r="C1024" s="24">
        <v>0</v>
      </c>
      <c r="D1024" s="24">
        <v>0</v>
      </c>
      <c r="E1024" s="24">
        <v>0</v>
      </c>
      <c r="F1024" s="24">
        <v>0</v>
      </c>
      <c r="G1024" s="24">
        <v>0</v>
      </c>
      <c r="H1024" s="24">
        <v>0</v>
      </c>
      <c r="I1024" s="24">
        <v>0</v>
      </c>
      <c r="J1024" s="24">
        <v>0</v>
      </c>
      <c r="L1024" s="45">
        <v>0</v>
      </c>
      <c r="M1024" s="45">
        <v>0</v>
      </c>
      <c r="N1024" s="45">
        <v>0</v>
      </c>
      <c r="O1024" s="45">
        <v>0</v>
      </c>
      <c r="P1024" s="45">
        <v>0</v>
      </c>
      <c r="Q1024" s="45">
        <v>0</v>
      </c>
      <c r="R1024" s="45">
        <v>0</v>
      </c>
      <c r="S1024" s="45">
        <v>0</v>
      </c>
      <c r="T1024" s="45">
        <v>0</v>
      </c>
      <c r="V1024" s="45">
        <v>0</v>
      </c>
      <c r="W1024" s="45">
        <v>0</v>
      </c>
      <c r="X1024" s="45">
        <v>0</v>
      </c>
      <c r="Y1024" s="45">
        <v>0</v>
      </c>
      <c r="Z1024" s="45">
        <v>0</v>
      </c>
      <c r="AA1024" s="45">
        <v>0</v>
      </c>
      <c r="AB1024" s="45">
        <v>0</v>
      </c>
      <c r="AC1024" s="45">
        <v>0</v>
      </c>
      <c r="AD1024" s="45">
        <v>0</v>
      </c>
    </row>
    <row r="1025" spans="1:30">
      <c r="A1025" s="73">
        <v>45893</v>
      </c>
      <c r="B1025" s="24">
        <v>0</v>
      </c>
      <c r="C1025" s="24">
        <v>0</v>
      </c>
      <c r="D1025" s="24">
        <v>0</v>
      </c>
      <c r="E1025" s="24">
        <v>0</v>
      </c>
      <c r="F1025" s="24">
        <v>0</v>
      </c>
      <c r="G1025" s="24">
        <v>0</v>
      </c>
      <c r="H1025" s="24">
        <v>0</v>
      </c>
      <c r="I1025" s="24">
        <v>0</v>
      </c>
      <c r="J1025" s="24">
        <v>0</v>
      </c>
      <c r="L1025" s="45">
        <v>0</v>
      </c>
      <c r="M1025" s="45">
        <v>0</v>
      </c>
      <c r="N1025" s="45">
        <v>0</v>
      </c>
      <c r="O1025" s="45">
        <v>0</v>
      </c>
      <c r="P1025" s="45">
        <v>0</v>
      </c>
      <c r="Q1025" s="45">
        <v>0</v>
      </c>
      <c r="R1025" s="45">
        <v>0</v>
      </c>
      <c r="S1025" s="45">
        <v>0</v>
      </c>
      <c r="T1025" s="45">
        <v>0</v>
      </c>
      <c r="V1025" s="45">
        <v>0</v>
      </c>
      <c r="W1025" s="45">
        <v>0</v>
      </c>
      <c r="X1025" s="45">
        <v>0</v>
      </c>
      <c r="Y1025" s="45">
        <v>0</v>
      </c>
      <c r="Z1025" s="45">
        <v>0</v>
      </c>
      <c r="AA1025" s="45">
        <v>0</v>
      </c>
      <c r="AB1025" s="45">
        <v>0</v>
      </c>
      <c r="AC1025" s="45">
        <v>0</v>
      </c>
      <c r="AD1025" s="45">
        <v>0</v>
      </c>
    </row>
    <row r="1026" spans="1:30">
      <c r="A1026" s="73">
        <v>45894</v>
      </c>
      <c r="B1026" s="24">
        <v>3401</v>
      </c>
      <c r="C1026" s="24">
        <v>662</v>
      </c>
      <c r="D1026" s="24">
        <v>348</v>
      </c>
      <c r="E1026" s="24">
        <v>573</v>
      </c>
      <c r="F1026" s="24">
        <v>630</v>
      </c>
      <c r="G1026" s="24">
        <v>357</v>
      </c>
      <c r="H1026" s="24">
        <v>193</v>
      </c>
      <c r="I1026" s="24">
        <v>178</v>
      </c>
      <c r="J1026" s="24">
        <v>460</v>
      </c>
      <c r="L1026" s="45">
        <v>7.5</v>
      </c>
      <c r="M1026" s="45">
        <v>4.7</v>
      </c>
      <c r="N1026" s="45">
        <v>2.3</v>
      </c>
      <c r="O1026" s="45">
        <v>12.7</v>
      </c>
      <c r="P1026" s="45">
        <v>10.3</v>
      </c>
      <c r="Q1026" s="45">
        <v>14.2</v>
      </c>
      <c r="R1026" s="45">
        <v>1.9</v>
      </c>
      <c r="S1026" s="45">
        <v>2.7</v>
      </c>
      <c r="T1026" s="45">
        <v>4.3</v>
      </c>
      <c r="V1026" s="45">
        <v>9</v>
      </c>
      <c r="W1026" s="45">
        <v>9.699999999999999</v>
      </c>
      <c r="X1026" s="45">
        <v>10.3</v>
      </c>
      <c r="Y1026" s="45">
        <v>7.3</v>
      </c>
      <c r="Z1026" s="45">
        <v>6.7</v>
      </c>
      <c r="AA1026" s="45">
        <v>8</v>
      </c>
      <c r="AB1026" s="45">
        <v>10.4</v>
      </c>
      <c r="AC1026" s="45">
        <v>18.7</v>
      </c>
      <c r="AD1026" s="45">
        <v>8.6</v>
      </c>
    </row>
    <row r="1027" spans="1:30">
      <c r="A1027" s="73">
        <v>45895</v>
      </c>
      <c r="B1027" s="24">
        <v>2830</v>
      </c>
      <c r="C1027" s="24">
        <v>527</v>
      </c>
      <c r="D1027" s="24">
        <v>332</v>
      </c>
      <c r="E1027" s="24">
        <v>427</v>
      </c>
      <c r="F1027" s="24">
        <v>506</v>
      </c>
      <c r="G1027" s="24">
        <v>322</v>
      </c>
      <c r="H1027" s="24">
        <v>183</v>
      </c>
      <c r="I1027" s="24">
        <v>157</v>
      </c>
      <c r="J1027" s="24">
        <v>376</v>
      </c>
      <c r="L1027" s="45">
        <v>5.6</v>
      </c>
      <c r="M1027" s="45">
        <v>2.2</v>
      </c>
      <c r="N1027" s="45">
        <v>2.9</v>
      </c>
      <c r="O1027" s="45">
        <v>12.1</v>
      </c>
      <c r="P1027" s="45">
        <v>6.3</v>
      </c>
      <c r="Q1027" s="45">
        <v>10.6</v>
      </c>
      <c r="R1027" s="45">
        <v>1.4</v>
      </c>
      <c r="S1027" s="45">
        <v>1.9</v>
      </c>
      <c r="T1027" s="45">
        <v>3.6</v>
      </c>
      <c r="V1027" s="45">
        <v>10.2</v>
      </c>
      <c r="W1027" s="45">
        <v>11.2</v>
      </c>
      <c r="X1027" s="45">
        <v>10.5</v>
      </c>
      <c r="Y1027" s="45">
        <v>9.300000000000001</v>
      </c>
      <c r="Z1027" s="45">
        <v>7.7</v>
      </c>
      <c r="AA1027" s="45">
        <v>9.4</v>
      </c>
      <c r="AB1027" s="45">
        <v>10.8</v>
      </c>
      <c r="AC1027" s="45">
        <v>21.1</v>
      </c>
      <c r="AD1027" s="45">
        <v>9.1</v>
      </c>
    </row>
    <row r="1028" spans="1:30">
      <c r="A1028" s="73">
        <v>45896</v>
      </c>
      <c r="B1028" s="24">
        <v>2902</v>
      </c>
      <c r="C1028" s="24">
        <v>552</v>
      </c>
      <c r="D1028" s="24">
        <v>359</v>
      </c>
      <c r="E1028" s="24">
        <v>418</v>
      </c>
      <c r="F1028" s="24">
        <v>539</v>
      </c>
      <c r="G1028" s="24">
        <v>304</v>
      </c>
      <c r="H1028" s="24">
        <v>180</v>
      </c>
      <c r="I1028" s="24">
        <v>153</v>
      </c>
      <c r="J1028" s="24">
        <v>397</v>
      </c>
      <c r="L1028" s="45">
        <v>5.7</v>
      </c>
      <c r="M1028" s="45">
        <v>2.4</v>
      </c>
      <c r="N1028" s="45">
        <v>2.9</v>
      </c>
      <c r="O1028" s="45">
        <v>10.5</v>
      </c>
      <c r="P1028" s="45">
        <v>6</v>
      </c>
      <c r="Q1028" s="45">
        <v>13.9</v>
      </c>
      <c r="R1028" s="45">
        <v>2.3</v>
      </c>
      <c r="S1028" s="45">
        <v>1.9</v>
      </c>
      <c r="T1028" s="45">
        <v>4</v>
      </c>
      <c r="V1028" s="45">
        <v>9.800000000000001</v>
      </c>
      <c r="W1028" s="45">
        <v>10.4</v>
      </c>
      <c r="X1028" s="45">
        <v>10.2</v>
      </c>
      <c r="Y1028" s="45">
        <v>9.300000000000001</v>
      </c>
      <c r="Z1028" s="45">
        <v>7.3</v>
      </c>
      <c r="AA1028" s="45">
        <v>9.800000000000001</v>
      </c>
      <c r="AB1028" s="45">
        <v>10.5</v>
      </c>
      <c r="AC1028" s="45">
        <v>17.1</v>
      </c>
      <c r="AD1028" s="45">
        <v>9.800000000000001</v>
      </c>
    </row>
    <row r="1029" spans="1:30">
      <c r="A1029" s="73">
        <v>45897</v>
      </c>
      <c r="B1029" s="24">
        <v>2733</v>
      </c>
      <c r="C1029" s="24">
        <v>504</v>
      </c>
      <c r="D1029" s="24">
        <v>338</v>
      </c>
      <c r="E1029" s="24">
        <v>388</v>
      </c>
      <c r="F1029" s="24">
        <v>464</v>
      </c>
      <c r="G1029" s="24">
        <v>303</v>
      </c>
      <c r="H1029" s="24">
        <v>178</v>
      </c>
      <c r="I1029" s="24">
        <v>146</v>
      </c>
      <c r="J1029" s="24">
        <v>412</v>
      </c>
      <c r="L1029" s="45">
        <v>4.2</v>
      </c>
      <c r="M1029" s="45">
        <v>1.8</v>
      </c>
      <c r="N1029" s="45">
        <v>2.1</v>
      </c>
      <c r="O1029" s="45">
        <v>9.4</v>
      </c>
      <c r="P1029" s="45">
        <v>3</v>
      </c>
      <c r="Q1029" s="45">
        <v>8.5</v>
      </c>
      <c r="R1029" s="45">
        <v>2.2</v>
      </c>
      <c r="S1029" s="45">
        <v>1.8</v>
      </c>
      <c r="T1029" s="45">
        <v>4.2</v>
      </c>
      <c r="V1029" s="45">
        <v>10</v>
      </c>
      <c r="W1029" s="45">
        <v>10.9</v>
      </c>
      <c r="X1029" s="45">
        <v>9.9</v>
      </c>
      <c r="Y1029" s="45">
        <v>10.1</v>
      </c>
      <c r="Z1029" s="45">
        <v>7.2</v>
      </c>
      <c r="AA1029" s="45">
        <v>10.1</v>
      </c>
      <c r="AB1029" s="45">
        <v>11.8</v>
      </c>
      <c r="AC1029" s="45">
        <v>18</v>
      </c>
      <c r="AD1029" s="45">
        <v>8.6</v>
      </c>
    </row>
    <row r="1030" spans="1:30">
      <c r="A1030" s="73">
        <v>45898</v>
      </c>
      <c r="B1030" s="24">
        <v>2877</v>
      </c>
      <c r="C1030" s="24">
        <v>586</v>
      </c>
      <c r="D1030" s="24">
        <v>314</v>
      </c>
      <c r="E1030" s="24">
        <v>415</v>
      </c>
      <c r="F1030" s="24">
        <v>513</v>
      </c>
      <c r="G1030" s="24">
        <v>276</v>
      </c>
      <c r="H1030" s="24">
        <v>189</v>
      </c>
      <c r="I1030" s="24">
        <v>153</v>
      </c>
      <c r="J1030" s="24">
        <v>431</v>
      </c>
      <c r="L1030" s="45">
        <v>5.5</v>
      </c>
      <c r="M1030" s="45">
        <v>6.3</v>
      </c>
      <c r="N1030" s="45">
        <v>3</v>
      </c>
      <c r="O1030" s="45">
        <v>10.3</v>
      </c>
      <c r="P1030" s="45">
        <v>3.9</v>
      </c>
      <c r="Q1030" s="45">
        <v>9.699999999999999</v>
      </c>
      <c r="R1030" s="45">
        <v>1.7</v>
      </c>
      <c r="S1030" s="45">
        <v>2.4</v>
      </c>
      <c r="T1030" s="45">
        <v>3.6</v>
      </c>
      <c r="V1030" s="45">
        <v>10.4</v>
      </c>
      <c r="W1030" s="45">
        <v>10.4</v>
      </c>
      <c r="X1030" s="45">
        <v>11.7</v>
      </c>
      <c r="Y1030" s="45">
        <v>9.9</v>
      </c>
      <c r="Z1030" s="45">
        <v>8.5</v>
      </c>
      <c r="AA1030" s="45">
        <v>11.4</v>
      </c>
      <c r="AB1030" s="45">
        <v>10.8</v>
      </c>
      <c r="AC1030" s="45">
        <v>18.1</v>
      </c>
      <c r="AD1030" s="45">
        <v>9</v>
      </c>
    </row>
    <row r="1031" spans="1:30">
      <c r="A1031" s="73">
        <v>45899</v>
      </c>
      <c r="B1031" s="24">
        <v>0</v>
      </c>
      <c r="C1031" s="24">
        <v>0</v>
      </c>
      <c r="D1031" s="24">
        <v>0</v>
      </c>
      <c r="E1031" s="24">
        <v>0</v>
      </c>
      <c r="F1031" s="24">
        <v>0</v>
      </c>
      <c r="G1031" s="24">
        <v>0</v>
      </c>
      <c r="H1031" s="24">
        <v>0</v>
      </c>
      <c r="I1031" s="24">
        <v>0</v>
      </c>
      <c r="J1031" s="24">
        <v>0</v>
      </c>
      <c r="L1031" s="45">
        <v>0</v>
      </c>
      <c r="M1031" s="45">
        <v>0</v>
      </c>
      <c r="N1031" s="45">
        <v>0</v>
      </c>
      <c r="O1031" s="45">
        <v>0</v>
      </c>
      <c r="P1031" s="45">
        <v>0</v>
      </c>
      <c r="Q1031" s="45">
        <v>0</v>
      </c>
      <c r="R1031" s="45">
        <v>0</v>
      </c>
      <c r="S1031" s="45">
        <v>0</v>
      </c>
      <c r="T1031" s="45">
        <v>0</v>
      </c>
      <c r="V1031" s="45">
        <v>0</v>
      </c>
      <c r="W1031" s="45">
        <v>0</v>
      </c>
      <c r="X1031" s="45">
        <v>0</v>
      </c>
      <c r="Y1031" s="45">
        <v>0</v>
      </c>
      <c r="Z1031" s="45">
        <v>0</v>
      </c>
      <c r="AA1031" s="45">
        <v>0</v>
      </c>
      <c r="AB1031" s="45">
        <v>0</v>
      </c>
      <c r="AC1031" s="45">
        <v>0</v>
      </c>
      <c r="AD1031" s="45">
        <v>0</v>
      </c>
    </row>
    <row r="1032" spans="1:30">
      <c r="A1032" s="73">
        <v>45900</v>
      </c>
      <c r="B1032" s="24">
        <v>0</v>
      </c>
      <c r="C1032" s="24">
        <v>0</v>
      </c>
      <c r="D1032" s="24">
        <v>0</v>
      </c>
      <c r="E1032" s="24">
        <v>0</v>
      </c>
      <c r="F1032" s="24">
        <v>0</v>
      </c>
      <c r="G1032" s="24">
        <v>0</v>
      </c>
      <c r="H1032" s="24">
        <v>0</v>
      </c>
      <c r="I1032" s="24">
        <v>0</v>
      </c>
      <c r="J1032" s="24">
        <v>0</v>
      </c>
      <c r="L1032" s="45">
        <v>0</v>
      </c>
      <c r="M1032" s="45">
        <v>0</v>
      </c>
      <c r="N1032" s="45">
        <v>0</v>
      </c>
      <c r="O1032" s="45">
        <v>0</v>
      </c>
      <c r="P1032" s="45">
        <v>0</v>
      </c>
      <c r="Q1032" s="45">
        <v>0</v>
      </c>
      <c r="R1032" s="45">
        <v>0</v>
      </c>
      <c r="S1032" s="45">
        <v>0</v>
      </c>
      <c r="T1032" s="45">
        <v>0</v>
      </c>
      <c r="V1032" s="45">
        <v>0</v>
      </c>
      <c r="W1032" s="45">
        <v>0</v>
      </c>
      <c r="X1032" s="45">
        <v>0</v>
      </c>
      <c r="Y1032" s="45">
        <v>0</v>
      </c>
      <c r="Z1032" s="45">
        <v>0</v>
      </c>
      <c r="AA1032" s="45">
        <v>0</v>
      </c>
      <c r="AB1032" s="45">
        <v>0</v>
      </c>
      <c r="AC1032" s="45">
        <v>0</v>
      </c>
      <c r="AD1032" s="45">
        <v>0</v>
      </c>
    </row>
    <row r="1033" spans="1:30">
      <c r="A1033" s="73">
        <v>45901</v>
      </c>
      <c r="B1033" s="24">
        <v>2953</v>
      </c>
      <c r="C1033" s="24">
        <v>635</v>
      </c>
      <c r="D1033" s="24">
        <v>0</v>
      </c>
      <c r="E1033" s="24">
        <v>512</v>
      </c>
      <c r="F1033" s="24">
        <v>556</v>
      </c>
      <c r="G1033" s="24">
        <v>383</v>
      </c>
      <c r="H1033" s="24">
        <v>230</v>
      </c>
      <c r="I1033" s="24">
        <v>180</v>
      </c>
      <c r="J1033" s="24">
        <v>457</v>
      </c>
      <c r="L1033" s="45">
        <v>6.8</v>
      </c>
      <c r="M1033" s="45">
        <v>3.7</v>
      </c>
      <c r="N1033" s="45">
        <v>0</v>
      </c>
      <c r="O1033" s="45">
        <v>10.7</v>
      </c>
      <c r="P1033" s="45">
        <v>5.3</v>
      </c>
      <c r="Q1033" s="45">
        <v>14.6</v>
      </c>
      <c r="R1033" s="45">
        <v>2.6</v>
      </c>
      <c r="S1033" s="45">
        <v>2.4</v>
      </c>
      <c r="T1033" s="45">
        <v>5.8</v>
      </c>
      <c r="V1033" s="45">
        <v>8.699999999999999</v>
      </c>
      <c r="W1033" s="45">
        <v>9.4</v>
      </c>
      <c r="X1033" s="45">
        <v>0</v>
      </c>
      <c r="Y1033" s="45">
        <v>7.7</v>
      </c>
      <c r="Z1033" s="45">
        <v>6.8</v>
      </c>
      <c r="AA1033" s="45">
        <v>7.5</v>
      </c>
      <c r="AB1033" s="45">
        <v>9.800000000000001</v>
      </c>
      <c r="AC1033" s="45">
        <v>16.8</v>
      </c>
      <c r="AD1033" s="45">
        <v>8.5</v>
      </c>
    </row>
    <row r="1034" spans="1:30">
      <c r="A1034" s="73">
        <v>45902</v>
      </c>
      <c r="B1034" s="24">
        <v>2737</v>
      </c>
      <c r="C1034" s="24">
        <v>584</v>
      </c>
      <c r="D1034" s="24">
        <v>0</v>
      </c>
      <c r="E1034" s="24">
        <v>467</v>
      </c>
      <c r="F1034" s="24">
        <v>570</v>
      </c>
      <c r="G1034" s="24">
        <v>326</v>
      </c>
      <c r="H1034" s="24">
        <v>194</v>
      </c>
      <c r="I1034" s="24">
        <v>132</v>
      </c>
      <c r="J1034" s="24">
        <v>464</v>
      </c>
      <c r="L1034" s="45">
        <v>5.9</v>
      </c>
      <c r="M1034" s="45">
        <v>2</v>
      </c>
      <c r="N1034" s="45">
        <v>0</v>
      </c>
      <c r="O1034" s="45">
        <v>11.4</v>
      </c>
      <c r="P1034" s="45">
        <v>6</v>
      </c>
      <c r="Q1034" s="45">
        <v>10.8</v>
      </c>
      <c r="R1034" s="45">
        <v>2.7</v>
      </c>
      <c r="S1034" s="45">
        <v>1.3</v>
      </c>
      <c r="T1034" s="45">
        <v>4.4</v>
      </c>
      <c r="V1034" s="45">
        <v>8.9</v>
      </c>
      <c r="W1034" s="45">
        <v>9.800000000000001</v>
      </c>
      <c r="X1034" s="45">
        <v>0</v>
      </c>
      <c r="Y1034" s="45">
        <v>7.6</v>
      </c>
      <c r="Z1034" s="45">
        <v>6.4</v>
      </c>
      <c r="AA1034" s="45">
        <v>9.1</v>
      </c>
      <c r="AB1034" s="45">
        <v>10.8</v>
      </c>
      <c r="AC1034" s="45">
        <v>21.8</v>
      </c>
      <c r="AD1034" s="45">
        <v>8</v>
      </c>
    </row>
    <row r="1035" spans="1:30">
      <c r="A1035" s="73">
        <v>45903</v>
      </c>
      <c r="B1035" s="24">
        <v>2926</v>
      </c>
      <c r="C1035" s="24">
        <v>595</v>
      </c>
      <c r="D1035" s="24">
        <v>296</v>
      </c>
      <c r="E1035" s="24">
        <v>458</v>
      </c>
      <c r="F1035" s="24">
        <v>509</v>
      </c>
      <c r="G1035" s="24">
        <v>272</v>
      </c>
      <c r="H1035" s="24">
        <v>222</v>
      </c>
      <c r="I1035" s="24">
        <v>139</v>
      </c>
      <c r="J1035" s="24">
        <v>435</v>
      </c>
      <c r="L1035" s="45">
        <v>5.2</v>
      </c>
      <c r="M1035" s="45">
        <v>5.2</v>
      </c>
      <c r="N1035" s="45">
        <v>2.7</v>
      </c>
      <c r="O1035" s="45">
        <v>10.9</v>
      </c>
      <c r="P1035" s="45">
        <v>3.6</v>
      </c>
      <c r="Q1035" s="45">
        <v>7.2</v>
      </c>
      <c r="R1035" s="45">
        <v>2.7</v>
      </c>
      <c r="S1035" s="45">
        <v>1.6</v>
      </c>
      <c r="T1035" s="45">
        <v>4</v>
      </c>
      <c r="V1035" s="45">
        <v>9.9</v>
      </c>
      <c r="W1035" s="45">
        <v>9.6</v>
      </c>
      <c r="X1035" s="45">
        <v>12.4</v>
      </c>
      <c r="Y1035" s="45">
        <v>8.1</v>
      </c>
      <c r="Z1035" s="45">
        <v>7.6</v>
      </c>
      <c r="AA1035" s="45">
        <v>11.5</v>
      </c>
      <c r="AB1035" s="45">
        <v>8.800000000000001</v>
      </c>
      <c r="AC1035" s="45">
        <v>20.3</v>
      </c>
      <c r="AD1035" s="45">
        <v>9.4</v>
      </c>
    </row>
    <row r="1036" spans="1:30">
      <c r="A1036" s="73">
        <v>45904</v>
      </c>
      <c r="B1036" s="24">
        <v>2421</v>
      </c>
      <c r="C1036" s="24">
        <v>428</v>
      </c>
      <c r="D1036" s="24">
        <v>263</v>
      </c>
      <c r="E1036" s="24">
        <v>337</v>
      </c>
      <c r="F1036" s="24">
        <v>471</v>
      </c>
      <c r="G1036" s="24">
        <v>251</v>
      </c>
      <c r="H1036" s="24">
        <v>169</v>
      </c>
      <c r="I1036" s="24">
        <v>120</v>
      </c>
      <c r="J1036" s="24">
        <v>382</v>
      </c>
      <c r="L1036" s="45">
        <v>3.7</v>
      </c>
      <c r="M1036" s="45">
        <v>1.3</v>
      </c>
      <c r="N1036" s="45">
        <v>1.2</v>
      </c>
      <c r="O1036" s="45">
        <v>8.300000000000001</v>
      </c>
      <c r="P1036" s="45">
        <v>3.7</v>
      </c>
      <c r="Q1036" s="45">
        <v>7</v>
      </c>
      <c r="R1036" s="45">
        <v>3</v>
      </c>
      <c r="S1036" s="45">
        <v>0.9</v>
      </c>
      <c r="T1036" s="45">
        <v>2.8</v>
      </c>
      <c r="V1036" s="45">
        <v>11.6</v>
      </c>
      <c r="W1036" s="45">
        <v>14</v>
      </c>
      <c r="X1036" s="45">
        <v>12.7</v>
      </c>
      <c r="Y1036" s="45">
        <v>10.9</v>
      </c>
      <c r="Z1036" s="45">
        <v>8.6</v>
      </c>
      <c r="AA1036" s="45">
        <v>11.8</v>
      </c>
      <c r="AB1036" s="45">
        <v>10</v>
      </c>
      <c r="AC1036" s="45">
        <v>22.1</v>
      </c>
      <c r="AD1036" s="45">
        <v>9.9</v>
      </c>
    </row>
    <row r="1037" spans="1:30">
      <c r="A1037" s="73">
        <v>45905</v>
      </c>
      <c r="B1037" s="24">
        <v>2801</v>
      </c>
      <c r="C1037" s="24">
        <v>463</v>
      </c>
      <c r="D1037" s="24">
        <v>355</v>
      </c>
      <c r="E1037" s="24">
        <v>449</v>
      </c>
      <c r="F1037" s="24">
        <v>500</v>
      </c>
      <c r="G1037" s="24">
        <v>335</v>
      </c>
      <c r="H1037" s="24">
        <v>178</v>
      </c>
      <c r="I1037" s="24">
        <v>140</v>
      </c>
      <c r="J1037" s="24">
        <v>381</v>
      </c>
      <c r="L1037" s="45">
        <v>5.7</v>
      </c>
      <c r="M1037" s="45">
        <v>1.5</v>
      </c>
      <c r="N1037" s="45">
        <v>2.5</v>
      </c>
      <c r="O1037" s="45">
        <v>11</v>
      </c>
      <c r="P1037" s="45">
        <v>3.6</v>
      </c>
      <c r="Q1037" s="45">
        <v>15.3</v>
      </c>
      <c r="R1037" s="45">
        <v>3.5</v>
      </c>
      <c r="S1037" s="45">
        <v>2.4</v>
      </c>
      <c r="T1037" s="45">
        <v>3.8</v>
      </c>
      <c r="V1037" s="45">
        <v>10</v>
      </c>
      <c r="W1037" s="45">
        <v>11.9</v>
      </c>
      <c r="X1037" s="45">
        <v>10.3</v>
      </c>
      <c r="Y1037" s="45">
        <v>8.6</v>
      </c>
      <c r="Z1037" s="45">
        <v>8.300000000000001</v>
      </c>
      <c r="AA1037" s="45">
        <v>9.1</v>
      </c>
      <c r="AB1037" s="45">
        <v>8.9</v>
      </c>
      <c r="AC1037" s="45">
        <v>20.1</v>
      </c>
      <c r="AD1037" s="45">
        <v>9.199999999999999</v>
      </c>
    </row>
    <row r="1038" spans="1:30">
      <c r="A1038" s="73">
        <v>45906</v>
      </c>
      <c r="B1038" s="24">
        <v>0</v>
      </c>
      <c r="C1038" s="24">
        <v>0</v>
      </c>
      <c r="D1038" s="24">
        <v>0</v>
      </c>
      <c r="E1038" s="24">
        <v>0</v>
      </c>
      <c r="F1038" s="24">
        <v>0</v>
      </c>
      <c r="G1038" s="24">
        <v>0</v>
      </c>
      <c r="H1038" s="24">
        <v>0</v>
      </c>
      <c r="I1038" s="24">
        <v>0</v>
      </c>
      <c r="J1038" s="24">
        <v>0</v>
      </c>
      <c r="L1038" s="45">
        <v>0</v>
      </c>
      <c r="M1038" s="45">
        <v>0</v>
      </c>
      <c r="N1038" s="45">
        <v>0</v>
      </c>
      <c r="O1038" s="45">
        <v>0</v>
      </c>
      <c r="P1038" s="45">
        <v>0</v>
      </c>
      <c r="Q1038" s="45">
        <v>0</v>
      </c>
      <c r="R1038" s="45">
        <v>0</v>
      </c>
      <c r="S1038" s="45">
        <v>0</v>
      </c>
      <c r="T1038" s="45">
        <v>0</v>
      </c>
      <c r="V1038" s="45">
        <v>0</v>
      </c>
      <c r="W1038" s="45">
        <v>0</v>
      </c>
      <c r="X1038" s="45">
        <v>0</v>
      </c>
      <c r="Y1038" s="45">
        <v>0</v>
      </c>
      <c r="Z1038" s="45">
        <v>0</v>
      </c>
      <c r="AA1038" s="45">
        <v>0</v>
      </c>
      <c r="AB1038" s="45">
        <v>0</v>
      </c>
      <c r="AC1038" s="45">
        <v>0</v>
      </c>
      <c r="AD1038" s="45">
        <v>0</v>
      </c>
    </row>
    <row r="1039" spans="1:30">
      <c r="A1039" s="73">
        <v>45907</v>
      </c>
      <c r="B1039" s="24">
        <v>0</v>
      </c>
      <c r="C1039" s="24">
        <v>0</v>
      </c>
      <c r="D1039" s="24">
        <v>0</v>
      </c>
      <c r="E1039" s="24">
        <v>0</v>
      </c>
      <c r="F1039" s="24">
        <v>0</v>
      </c>
      <c r="G1039" s="24">
        <v>0</v>
      </c>
      <c r="H1039" s="24">
        <v>0</v>
      </c>
      <c r="I1039" s="24">
        <v>0</v>
      </c>
      <c r="J1039" s="24">
        <v>0</v>
      </c>
      <c r="L1039" s="45">
        <v>0</v>
      </c>
      <c r="M1039" s="45">
        <v>0</v>
      </c>
      <c r="N1039" s="45">
        <v>0</v>
      </c>
      <c r="O1039" s="45">
        <v>0</v>
      </c>
      <c r="P1039" s="45">
        <v>0</v>
      </c>
      <c r="Q1039" s="45">
        <v>0</v>
      </c>
      <c r="R1039" s="45">
        <v>0</v>
      </c>
      <c r="S1039" s="45">
        <v>0</v>
      </c>
      <c r="T1039" s="45">
        <v>0</v>
      </c>
      <c r="V1039" s="45">
        <v>0</v>
      </c>
      <c r="W1039" s="45">
        <v>0</v>
      </c>
      <c r="X1039" s="45">
        <v>0</v>
      </c>
      <c r="Y1039" s="45">
        <v>0</v>
      </c>
      <c r="Z1039" s="45">
        <v>0</v>
      </c>
      <c r="AA1039" s="45">
        <v>0</v>
      </c>
      <c r="AB1039" s="45">
        <v>0</v>
      </c>
      <c r="AC1039" s="45">
        <v>0</v>
      </c>
      <c r="AD1039" s="45">
        <v>0</v>
      </c>
    </row>
    <row r="1040" spans="1:30">
      <c r="A1040" s="73">
        <v>45908</v>
      </c>
      <c r="B1040" s="24">
        <v>3051</v>
      </c>
      <c r="C1040" s="24">
        <v>563</v>
      </c>
      <c r="D1040" s="24">
        <v>362</v>
      </c>
      <c r="E1040" s="24">
        <v>463</v>
      </c>
      <c r="F1040" s="24">
        <v>520</v>
      </c>
      <c r="G1040" s="24">
        <v>327</v>
      </c>
      <c r="H1040" s="24">
        <v>181</v>
      </c>
      <c r="I1040" s="24">
        <v>161</v>
      </c>
      <c r="J1040" s="24">
        <v>474</v>
      </c>
      <c r="L1040" s="45">
        <v>4.9</v>
      </c>
      <c r="M1040" s="45">
        <v>1.9</v>
      </c>
      <c r="N1040" s="45">
        <v>2.9</v>
      </c>
      <c r="O1040" s="45">
        <v>8</v>
      </c>
      <c r="P1040" s="45">
        <v>2.9</v>
      </c>
      <c r="Q1040" s="45">
        <v>14.2</v>
      </c>
      <c r="R1040" s="45">
        <v>4</v>
      </c>
      <c r="S1040" s="45">
        <v>2.6</v>
      </c>
      <c r="T1040" s="45">
        <v>3.8</v>
      </c>
      <c r="V1040" s="45">
        <v>9.5</v>
      </c>
      <c r="W1040" s="45">
        <v>11.1</v>
      </c>
      <c r="X1040" s="45">
        <v>10.2</v>
      </c>
      <c r="Y1040" s="45">
        <v>8</v>
      </c>
      <c r="Z1040" s="45">
        <v>7.9</v>
      </c>
      <c r="AA1040" s="45">
        <v>8.800000000000001</v>
      </c>
      <c r="AB1040" s="45">
        <v>10.4</v>
      </c>
      <c r="AC1040" s="45">
        <v>17.7</v>
      </c>
      <c r="AD1040" s="45">
        <v>7.7</v>
      </c>
    </row>
    <row r="1041" spans="1:30">
      <c r="A1041" s="73">
        <v>45909</v>
      </c>
      <c r="B1041" s="24">
        <v>2772</v>
      </c>
      <c r="C1041" s="24">
        <v>523</v>
      </c>
      <c r="D1041" s="24">
        <v>317</v>
      </c>
      <c r="E1041" s="24">
        <v>426</v>
      </c>
      <c r="F1041" s="24">
        <v>526</v>
      </c>
      <c r="G1041" s="24">
        <v>293</v>
      </c>
      <c r="H1041" s="24">
        <v>178</v>
      </c>
      <c r="I1041" s="24">
        <v>102</v>
      </c>
      <c r="J1041" s="24">
        <v>407</v>
      </c>
      <c r="L1041" s="45">
        <v>4.4</v>
      </c>
      <c r="M1041" s="45">
        <v>2.3</v>
      </c>
      <c r="N1041" s="45">
        <v>1.9</v>
      </c>
      <c r="O1041" s="45">
        <v>7</v>
      </c>
      <c r="P1041" s="45">
        <v>3.7</v>
      </c>
      <c r="Q1041" s="45">
        <v>11.5</v>
      </c>
      <c r="R1041" s="45">
        <v>1.6</v>
      </c>
      <c r="S1041" s="45">
        <v>0.9</v>
      </c>
      <c r="T1041" s="45">
        <v>3.9</v>
      </c>
      <c r="V1041" s="45">
        <v>10.4</v>
      </c>
      <c r="W1041" s="45">
        <v>10.7</v>
      </c>
      <c r="X1041" s="45">
        <v>11.4</v>
      </c>
      <c r="Y1041" s="45">
        <v>9.1</v>
      </c>
      <c r="Z1041" s="45">
        <v>8.6</v>
      </c>
      <c r="AA1041" s="45">
        <v>10.5</v>
      </c>
      <c r="AB1041" s="45">
        <v>8.9</v>
      </c>
      <c r="AC1041" s="45">
        <v>27.9</v>
      </c>
      <c r="AD1041" s="45">
        <v>9.300000000000001</v>
      </c>
    </row>
    <row r="1042" spans="1:30">
      <c r="A1042" s="73">
        <v>45910</v>
      </c>
      <c r="B1042" s="24">
        <v>2348</v>
      </c>
      <c r="C1042" s="24">
        <v>418</v>
      </c>
      <c r="D1042" s="24">
        <v>229</v>
      </c>
      <c r="E1042" s="24">
        <v>346</v>
      </c>
      <c r="F1042" s="24">
        <v>452</v>
      </c>
      <c r="G1042" s="24">
        <v>252</v>
      </c>
      <c r="H1042" s="24">
        <v>141</v>
      </c>
      <c r="I1042" s="24">
        <v>116</v>
      </c>
      <c r="J1042" s="24">
        <v>394</v>
      </c>
      <c r="L1042" s="45">
        <v>4</v>
      </c>
      <c r="M1042" s="45">
        <v>1.8</v>
      </c>
      <c r="N1042" s="45">
        <v>1.4</v>
      </c>
      <c r="O1042" s="45">
        <v>6.5</v>
      </c>
      <c r="P1042" s="45">
        <v>3.9</v>
      </c>
      <c r="Q1042" s="45">
        <v>10.1</v>
      </c>
      <c r="R1042" s="45">
        <v>1.1</v>
      </c>
      <c r="S1042" s="45">
        <v>2.4</v>
      </c>
      <c r="T1042" s="45">
        <v>3.6</v>
      </c>
      <c r="V1042" s="45">
        <v>11.9</v>
      </c>
      <c r="W1042" s="45">
        <v>13.5</v>
      </c>
      <c r="X1042" s="45">
        <v>15</v>
      </c>
      <c r="Y1042" s="45">
        <v>11.5</v>
      </c>
      <c r="Z1042" s="45">
        <v>8.199999999999999</v>
      </c>
      <c r="AA1042" s="45">
        <v>11.5</v>
      </c>
      <c r="AB1042" s="45">
        <v>11.9</v>
      </c>
      <c r="AC1042" s="45">
        <v>24.3</v>
      </c>
      <c r="AD1042" s="45">
        <v>9.800000000000001</v>
      </c>
    </row>
    <row r="1043" spans="1:30">
      <c r="A1043" s="73">
        <v>45911</v>
      </c>
      <c r="B1043" s="24">
        <v>2644</v>
      </c>
      <c r="C1043" s="24">
        <v>515</v>
      </c>
      <c r="D1043" s="24">
        <v>285</v>
      </c>
      <c r="E1043" s="24">
        <v>418</v>
      </c>
      <c r="F1043" s="24">
        <v>476</v>
      </c>
      <c r="G1043" s="24">
        <v>242</v>
      </c>
      <c r="H1043" s="24">
        <v>160</v>
      </c>
      <c r="I1043" s="24">
        <v>126</v>
      </c>
      <c r="J1043" s="24">
        <v>422</v>
      </c>
      <c r="L1043" s="45">
        <v>5</v>
      </c>
      <c r="M1043" s="45">
        <v>2.7</v>
      </c>
      <c r="N1043" s="45">
        <v>1.8</v>
      </c>
      <c r="O1043" s="45">
        <v>8.6</v>
      </c>
      <c r="P1043" s="45">
        <v>4.2</v>
      </c>
      <c r="Q1043" s="45">
        <v>8.5</v>
      </c>
      <c r="R1043" s="45">
        <v>3.8</v>
      </c>
      <c r="S1043" s="45">
        <v>1.6</v>
      </c>
      <c r="T1043" s="45">
        <v>6.9</v>
      </c>
      <c r="V1043" s="45">
        <v>10.6</v>
      </c>
      <c r="W1043" s="45">
        <v>12.3</v>
      </c>
      <c r="X1043" s="45">
        <v>11.4</v>
      </c>
      <c r="Y1043" s="45">
        <v>8.800000000000001</v>
      </c>
      <c r="Z1043" s="45">
        <v>8.300000000000001</v>
      </c>
      <c r="AA1043" s="45">
        <v>11.7</v>
      </c>
      <c r="AB1043" s="45">
        <v>11.5</v>
      </c>
      <c r="AC1043" s="45">
        <v>18.5</v>
      </c>
      <c r="AD1043" s="45">
        <v>9.300000000000001</v>
      </c>
    </row>
    <row r="1044" spans="1:30">
      <c r="A1044" s="73">
        <v>45912</v>
      </c>
      <c r="B1044" s="24">
        <v>2877</v>
      </c>
      <c r="C1044" s="24">
        <v>520</v>
      </c>
      <c r="D1044" s="24">
        <v>354</v>
      </c>
      <c r="E1044" s="24">
        <v>458</v>
      </c>
      <c r="F1044" s="24">
        <v>501</v>
      </c>
      <c r="G1044" s="24">
        <v>346</v>
      </c>
      <c r="H1044" s="24">
        <v>169</v>
      </c>
      <c r="I1044" s="24">
        <v>136</v>
      </c>
      <c r="J1044" s="24">
        <v>393</v>
      </c>
      <c r="L1044" s="45">
        <v>4.8</v>
      </c>
      <c r="M1044" s="45">
        <v>1.6</v>
      </c>
      <c r="N1044" s="45">
        <v>1.7</v>
      </c>
      <c r="O1044" s="45">
        <v>8.800000000000001</v>
      </c>
      <c r="P1044" s="45">
        <v>4.2</v>
      </c>
      <c r="Q1044" s="45">
        <v>11.9</v>
      </c>
      <c r="R1044" s="45">
        <v>2.2</v>
      </c>
      <c r="S1044" s="45">
        <v>1.9</v>
      </c>
      <c r="T1044" s="45">
        <v>3.9</v>
      </c>
      <c r="V1044" s="45">
        <v>9.699999999999999</v>
      </c>
      <c r="W1044" s="45">
        <v>11.2</v>
      </c>
      <c r="X1044" s="45">
        <v>9.9</v>
      </c>
      <c r="Y1044" s="45">
        <v>8.300000000000001</v>
      </c>
      <c r="Z1044" s="45">
        <v>7.3</v>
      </c>
      <c r="AA1044" s="45">
        <v>9.300000000000001</v>
      </c>
      <c r="AB1044" s="45">
        <v>9.800000000000001</v>
      </c>
      <c r="AC1044" s="45">
        <v>20.3</v>
      </c>
      <c r="AD1044" s="45">
        <v>9.1</v>
      </c>
    </row>
    <row r="1045" spans="1:30">
      <c r="A1045" s="73">
        <v>45913</v>
      </c>
      <c r="B1045" s="24">
        <v>0</v>
      </c>
      <c r="C1045" s="24">
        <v>0</v>
      </c>
      <c r="D1045" s="24">
        <v>0</v>
      </c>
      <c r="E1045" s="24">
        <v>0</v>
      </c>
      <c r="F1045" s="24">
        <v>0</v>
      </c>
      <c r="G1045" s="24">
        <v>0</v>
      </c>
      <c r="H1045" s="24">
        <v>0</v>
      </c>
      <c r="I1045" s="24">
        <v>0</v>
      </c>
      <c r="J1045" s="24">
        <v>0</v>
      </c>
      <c r="L1045" s="45">
        <v>0</v>
      </c>
      <c r="M1045" s="45">
        <v>0</v>
      </c>
      <c r="N1045" s="45">
        <v>0</v>
      </c>
      <c r="O1045" s="45">
        <v>0</v>
      </c>
      <c r="P1045" s="45">
        <v>0</v>
      </c>
      <c r="Q1045" s="45">
        <v>0</v>
      </c>
      <c r="R1045" s="45">
        <v>0</v>
      </c>
      <c r="S1045" s="45">
        <v>0</v>
      </c>
      <c r="T1045" s="45">
        <v>0</v>
      </c>
      <c r="V1045" s="45">
        <v>0</v>
      </c>
      <c r="W1045" s="45">
        <v>0</v>
      </c>
      <c r="X1045" s="45">
        <v>0</v>
      </c>
      <c r="Y1045" s="45">
        <v>0</v>
      </c>
      <c r="Z1045" s="45">
        <v>0</v>
      </c>
      <c r="AA1045" s="45">
        <v>0</v>
      </c>
      <c r="AB1045" s="45">
        <v>0</v>
      </c>
      <c r="AC1045" s="45">
        <v>0</v>
      </c>
      <c r="AD1045" s="45">
        <v>0</v>
      </c>
    </row>
    <row r="1046" spans="1:30">
      <c r="A1046" s="73">
        <v>45914</v>
      </c>
      <c r="B1046" s="24">
        <v>449</v>
      </c>
      <c r="C1046" s="24">
        <v>88</v>
      </c>
      <c r="D1046" s="24">
        <v>148</v>
      </c>
      <c r="E1046" s="24">
        <v>152</v>
      </c>
      <c r="F1046" s="24">
        <v>0</v>
      </c>
      <c r="G1046" s="24">
        <v>60</v>
      </c>
      <c r="H1046" s="24">
        <v>0</v>
      </c>
      <c r="I1046" s="24">
        <v>1</v>
      </c>
      <c r="J1046" s="24">
        <v>0</v>
      </c>
      <c r="L1046" s="45">
        <v>8.300000000000001</v>
      </c>
      <c r="M1046" s="45">
        <v>3.9</v>
      </c>
      <c r="N1046" s="45">
        <v>2.8</v>
      </c>
      <c r="O1046" s="45">
        <v>16.1</v>
      </c>
      <c r="P1046" s="45">
        <v>0</v>
      </c>
      <c r="Q1046" s="45">
        <v>8.800000000000001</v>
      </c>
      <c r="R1046" s="45">
        <v>0</v>
      </c>
      <c r="S1046" s="45">
        <v>0.4</v>
      </c>
      <c r="T1046" s="45">
        <v>0</v>
      </c>
      <c r="V1046" s="45">
        <v>4.8</v>
      </c>
      <c r="W1046" s="45">
        <v>4.5</v>
      </c>
      <c r="X1046" s="45">
        <v>1.4</v>
      </c>
      <c r="Y1046" s="45">
        <v>6.1</v>
      </c>
      <c r="Z1046" s="45">
        <v>0</v>
      </c>
      <c r="AA1046" s="45">
        <v>10.7</v>
      </c>
      <c r="AB1046" s="45">
        <v>0</v>
      </c>
      <c r="AC1046" s="45">
        <v>0</v>
      </c>
      <c r="AD1046" s="45">
        <v>0</v>
      </c>
    </row>
    <row r="1047" spans="1:30">
      <c r="A1047" s="73">
        <v>45915</v>
      </c>
      <c r="B1047" s="24">
        <v>0</v>
      </c>
      <c r="C1047" s="24">
        <v>0</v>
      </c>
      <c r="D1047" s="24">
        <v>0</v>
      </c>
      <c r="E1047" s="24">
        <v>0</v>
      </c>
      <c r="F1047" s="24">
        <v>0</v>
      </c>
      <c r="G1047" s="24">
        <v>0</v>
      </c>
      <c r="H1047" s="24">
        <v>0</v>
      </c>
      <c r="I1047" s="24">
        <v>0</v>
      </c>
      <c r="J1047" s="24">
        <v>0</v>
      </c>
      <c r="L1047" s="45">
        <v>0</v>
      </c>
      <c r="M1047" s="45">
        <v>0</v>
      </c>
      <c r="N1047" s="45">
        <v>0</v>
      </c>
      <c r="O1047" s="45">
        <v>0</v>
      </c>
      <c r="P1047" s="45">
        <v>0</v>
      </c>
      <c r="Q1047" s="45">
        <v>0</v>
      </c>
      <c r="R1047" s="45">
        <v>0</v>
      </c>
      <c r="S1047" s="45">
        <v>0</v>
      </c>
      <c r="T1047" s="45">
        <v>0</v>
      </c>
      <c r="V1047" s="45">
        <v>0</v>
      </c>
      <c r="W1047" s="45">
        <v>0</v>
      </c>
      <c r="X1047" s="45">
        <v>0</v>
      </c>
      <c r="Y1047" s="45">
        <v>0</v>
      </c>
      <c r="Z1047" s="45">
        <v>0</v>
      </c>
      <c r="AA1047" s="45">
        <v>0</v>
      </c>
      <c r="AB1047" s="45">
        <v>0</v>
      </c>
      <c r="AC1047" s="45">
        <v>0</v>
      </c>
      <c r="AD1047" s="45">
        <v>0</v>
      </c>
    </row>
    <row r="1048" spans="1:30">
      <c r="A1048" s="73">
        <v>45916</v>
      </c>
      <c r="B1048" s="24">
        <v>3200</v>
      </c>
      <c r="C1048" s="24">
        <v>647</v>
      </c>
      <c r="D1048" s="24">
        <v>338</v>
      </c>
      <c r="E1048" s="24">
        <v>508</v>
      </c>
      <c r="F1048" s="24">
        <v>535</v>
      </c>
      <c r="G1048" s="24">
        <v>338</v>
      </c>
      <c r="H1048" s="24">
        <v>202</v>
      </c>
      <c r="I1048" s="24">
        <v>179</v>
      </c>
      <c r="J1048" s="24">
        <v>453</v>
      </c>
      <c r="L1048" s="45">
        <v>4.9</v>
      </c>
      <c r="M1048" s="45">
        <v>2.6</v>
      </c>
      <c r="N1048" s="45">
        <v>1.7</v>
      </c>
      <c r="O1048" s="45">
        <v>8.4</v>
      </c>
      <c r="P1048" s="45">
        <v>4.2</v>
      </c>
      <c r="Q1048" s="45">
        <v>11.8</v>
      </c>
      <c r="R1048" s="45">
        <v>2.8</v>
      </c>
      <c r="S1048" s="45">
        <v>1.7</v>
      </c>
      <c r="T1048" s="45">
        <v>4.5</v>
      </c>
      <c r="V1048" s="45">
        <v>9.1</v>
      </c>
      <c r="W1048" s="45">
        <v>9.5</v>
      </c>
      <c r="X1048" s="45">
        <v>9.800000000000001</v>
      </c>
      <c r="Y1048" s="45">
        <v>7.8</v>
      </c>
      <c r="Z1048" s="45">
        <v>7.3</v>
      </c>
      <c r="AA1048" s="45">
        <v>9.800000000000001</v>
      </c>
      <c r="AB1048" s="45">
        <v>9.4</v>
      </c>
      <c r="AC1048" s="45">
        <v>16</v>
      </c>
      <c r="AD1048" s="45">
        <v>8.199999999999999</v>
      </c>
    </row>
    <row r="1049" spans="1:30">
      <c r="A1049" s="73">
        <v>45917</v>
      </c>
      <c r="B1049" s="24">
        <v>2959</v>
      </c>
      <c r="C1049" s="24">
        <v>601</v>
      </c>
      <c r="D1049" s="24">
        <v>296</v>
      </c>
      <c r="E1049" s="24">
        <v>423</v>
      </c>
      <c r="F1049" s="24">
        <v>546</v>
      </c>
      <c r="G1049" s="24">
        <v>317</v>
      </c>
      <c r="H1049" s="24">
        <v>196</v>
      </c>
      <c r="I1049" s="24">
        <v>135</v>
      </c>
      <c r="J1049" s="24">
        <v>445</v>
      </c>
      <c r="L1049" s="45">
        <v>4.8</v>
      </c>
      <c r="M1049" s="45">
        <v>3.1</v>
      </c>
      <c r="N1049" s="45">
        <v>1.8</v>
      </c>
      <c r="O1049" s="45">
        <v>8.9</v>
      </c>
      <c r="P1049" s="45">
        <v>4.6</v>
      </c>
      <c r="Q1049" s="45">
        <v>8.4</v>
      </c>
      <c r="R1049" s="45">
        <v>3.3</v>
      </c>
      <c r="S1049" s="45">
        <v>2.1</v>
      </c>
      <c r="T1049" s="45">
        <v>4</v>
      </c>
      <c r="V1049" s="45">
        <v>9.800000000000001</v>
      </c>
      <c r="W1049" s="45">
        <v>10</v>
      </c>
      <c r="X1049" s="45">
        <v>12.4</v>
      </c>
      <c r="Y1049" s="45">
        <v>8.9</v>
      </c>
      <c r="Z1049" s="45">
        <v>7.6</v>
      </c>
      <c r="AA1049" s="45">
        <v>10.3</v>
      </c>
      <c r="AB1049" s="45">
        <v>9.199999999999999</v>
      </c>
      <c r="AC1049" s="45">
        <v>20.9</v>
      </c>
      <c r="AD1049" s="45">
        <v>8</v>
      </c>
    </row>
    <row r="1050" spans="1:30">
      <c r="A1050" s="73">
        <v>45918</v>
      </c>
      <c r="B1050" s="24">
        <v>2462</v>
      </c>
      <c r="C1050" s="24">
        <v>450</v>
      </c>
      <c r="D1050" s="24">
        <v>238</v>
      </c>
      <c r="E1050" s="24">
        <v>363</v>
      </c>
      <c r="F1050" s="24">
        <v>446</v>
      </c>
      <c r="G1050" s="24">
        <v>276</v>
      </c>
      <c r="H1050" s="24">
        <v>169</v>
      </c>
      <c r="I1050" s="24">
        <v>140</v>
      </c>
      <c r="J1050" s="24">
        <v>380</v>
      </c>
      <c r="L1050" s="45">
        <v>3.7</v>
      </c>
      <c r="M1050" s="45">
        <v>1.7</v>
      </c>
      <c r="N1050" s="45">
        <v>1.1</v>
      </c>
      <c r="O1050" s="45">
        <v>7.5</v>
      </c>
      <c r="P1050" s="45">
        <v>3.7</v>
      </c>
      <c r="Q1050" s="45">
        <v>6.4</v>
      </c>
      <c r="R1050" s="45">
        <v>4.4</v>
      </c>
      <c r="S1050" s="45">
        <v>2.5</v>
      </c>
      <c r="T1050" s="45">
        <v>1.9</v>
      </c>
      <c r="V1050" s="45">
        <v>11.2</v>
      </c>
      <c r="W1050" s="45">
        <v>12.5</v>
      </c>
      <c r="X1050" s="45">
        <v>13</v>
      </c>
      <c r="Y1050" s="45">
        <v>9.6</v>
      </c>
      <c r="Z1050" s="45">
        <v>8.6</v>
      </c>
      <c r="AA1050" s="45">
        <v>12</v>
      </c>
      <c r="AB1050" s="45">
        <v>10.9</v>
      </c>
      <c r="AC1050" s="45">
        <v>19.1</v>
      </c>
      <c r="AD1050" s="45">
        <v>9.9</v>
      </c>
    </row>
    <row r="1051" spans="1:30">
      <c r="A1051" s="73">
        <v>45919</v>
      </c>
      <c r="B1051" s="24">
        <v>2853</v>
      </c>
      <c r="C1051" s="24">
        <v>562</v>
      </c>
      <c r="D1051" s="24">
        <v>336</v>
      </c>
      <c r="E1051" s="24">
        <v>444</v>
      </c>
      <c r="F1051" s="24">
        <v>481</v>
      </c>
      <c r="G1051" s="24">
        <v>299</v>
      </c>
      <c r="H1051" s="24">
        <v>180</v>
      </c>
      <c r="I1051" s="24">
        <v>140</v>
      </c>
      <c r="J1051" s="24">
        <v>411</v>
      </c>
      <c r="L1051" s="45">
        <v>4.4</v>
      </c>
      <c r="M1051" s="45">
        <v>2.8</v>
      </c>
      <c r="N1051" s="45">
        <v>2.3</v>
      </c>
      <c r="O1051" s="45">
        <v>7.7</v>
      </c>
      <c r="P1051" s="45">
        <v>4.4</v>
      </c>
      <c r="Q1051" s="45">
        <v>8.6</v>
      </c>
      <c r="R1051" s="45">
        <v>2.2</v>
      </c>
      <c r="S1051" s="45">
        <v>3.1</v>
      </c>
      <c r="T1051" s="45">
        <v>3.2</v>
      </c>
      <c r="V1051" s="45">
        <v>10.1</v>
      </c>
      <c r="W1051" s="45">
        <v>10.9</v>
      </c>
      <c r="X1051" s="45">
        <v>10.9</v>
      </c>
      <c r="Y1051" s="45">
        <v>8.4</v>
      </c>
      <c r="Z1051" s="45">
        <v>8.199999999999999</v>
      </c>
      <c r="AA1051" s="45">
        <v>10.8</v>
      </c>
      <c r="AB1051" s="45">
        <v>9.4</v>
      </c>
      <c r="AC1051" s="45">
        <v>20.8</v>
      </c>
      <c r="AD1051" s="45">
        <v>8.9</v>
      </c>
    </row>
    <row r="1052" spans="1:30">
      <c r="A1052" s="73">
        <v>45920</v>
      </c>
      <c r="B1052" s="24">
        <v>0</v>
      </c>
      <c r="C1052" s="24">
        <v>0</v>
      </c>
      <c r="D1052" s="24">
        <v>0</v>
      </c>
      <c r="E1052" s="24">
        <v>0</v>
      </c>
      <c r="F1052" s="24">
        <v>0</v>
      </c>
      <c r="G1052" s="24">
        <v>0</v>
      </c>
      <c r="H1052" s="24">
        <v>0</v>
      </c>
      <c r="I1052" s="24">
        <v>0</v>
      </c>
      <c r="J1052" s="24">
        <v>0</v>
      </c>
      <c r="L1052" s="45">
        <v>0</v>
      </c>
      <c r="M1052" s="45">
        <v>0</v>
      </c>
      <c r="N1052" s="45">
        <v>0</v>
      </c>
      <c r="O1052" s="45">
        <v>0</v>
      </c>
      <c r="P1052" s="45">
        <v>0</v>
      </c>
      <c r="Q1052" s="45">
        <v>0</v>
      </c>
      <c r="R1052" s="45">
        <v>0</v>
      </c>
      <c r="S1052" s="45">
        <v>0</v>
      </c>
      <c r="T1052" s="45">
        <v>0</v>
      </c>
      <c r="V1052" s="45">
        <v>0</v>
      </c>
      <c r="W1052" s="45">
        <v>0</v>
      </c>
      <c r="X1052" s="45">
        <v>0</v>
      </c>
      <c r="Y1052" s="45">
        <v>0</v>
      </c>
      <c r="Z1052" s="45">
        <v>0</v>
      </c>
      <c r="AA1052" s="45">
        <v>0</v>
      </c>
      <c r="AB1052" s="45">
        <v>0</v>
      </c>
      <c r="AC1052" s="45">
        <v>0</v>
      </c>
      <c r="AD1052" s="45">
        <v>0</v>
      </c>
    </row>
    <row r="1053" spans="1:30">
      <c r="A1053" s="73">
        <v>45921</v>
      </c>
      <c r="B1053" s="24">
        <v>0</v>
      </c>
      <c r="C1053" s="24">
        <v>0</v>
      </c>
      <c r="D1053" s="24">
        <v>0</v>
      </c>
      <c r="E1053" s="24">
        <v>0</v>
      </c>
      <c r="F1053" s="24">
        <v>0</v>
      </c>
      <c r="G1053" s="24">
        <v>0</v>
      </c>
      <c r="H1053" s="24">
        <v>0</v>
      </c>
      <c r="I1053" s="24">
        <v>0</v>
      </c>
      <c r="J1053" s="24">
        <v>0</v>
      </c>
      <c r="L1053" s="45">
        <v>0</v>
      </c>
      <c r="M1053" s="45">
        <v>0</v>
      </c>
      <c r="N1053" s="45">
        <v>0</v>
      </c>
      <c r="O1053" s="45">
        <v>0</v>
      </c>
      <c r="P1053" s="45">
        <v>0</v>
      </c>
      <c r="Q1053" s="45">
        <v>0</v>
      </c>
      <c r="R1053" s="45">
        <v>0</v>
      </c>
      <c r="S1053" s="45">
        <v>0</v>
      </c>
      <c r="T1053" s="45">
        <v>0</v>
      </c>
      <c r="V1053" s="45">
        <v>0</v>
      </c>
      <c r="W1053" s="45">
        <v>0</v>
      </c>
      <c r="X1053" s="45">
        <v>0</v>
      </c>
      <c r="Y1053" s="45">
        <v>0</v>
      </c>
      <c r="Z1053" s="45">
        <v>0</v>
      </c>
      <c r="AA1053" s="45">
        <v>0</v>
      </c>
      <c r="AB1053" s="45">
        <v>0</v>
      </c>
      <c r="AC1053" s="45">
        <v>0</v>
      </c>
      <c r="AD1053" s="45">
        <v>0</v>
      </c>
    </row>
    <row r="1054" spans="1:30">
      <c r="A1054" s="73">
        <v>45922</v>
      </c>
      <c r="B1054" s="24">
        <v>4105</v>
      </c>
      <c r="C1054" s="24">
        <v>778</v>
      </c>
      <c r="D1054" s="24">
        <v>473</v>
      </c>
      <c r="E1054" s="24">
        <v>611</v>
      </c>
      <c r="F1054" s="24">
        <v>754</v>
      </c>
      <c r="G1054" s="24">
        <v>467</v>
      </c>
      <c r="H1054" s="24">
        <v>232</v>
      </c>
      <c r="I1054" s="24">
        <v>216</v>
      </c>
      <c r="J1054" s="24">
        <v>574</v>
      </c>
      <c r="L1054" s="45">
        <v>13.1</v>
      </c>
      <c r="M1054" s="45">
        <v>4.7</v>
      </c>
      <c r="N1054" s="45">
        <v>3.3</v>
      </c>
      <c r="O1054" s="45">
        <v>14.2</v>
      </c>
      <c r="P1054" s="45">
        <v>19.7</v>
      </c>
      <c r="Q1054" s="45">
        <v>39.6</v>
      </c>
      <c r="R1054" s="45">
        <v>5.9</v>
      </c>
      <c r="S1054" s="45">
        <v>3.4</v>
      </c>
      <c r="T1054" s="45">
        <v>8.1</v>
      </c>
      <c r="V1054" s="45">
        <v>7.4</v>
      </c>
      <c r="W1054" s="45">
        <v>8.199999999999999</v>
      </c>
      <c r="X1054" s="45">
        <v>7.9</v>
      </c>
      <c r="Y1054" s="45">
        <v>6.5</v>
      </c>
      <c r="Z1054" s="45">
        <v>5.7</v>
      </c>
      <c r="AA1054" s="45">
        <v>6.7</v>
      </c>
      <c r="AB1054" s="45">
        <v>7.2</v>
      </c>
      <c r="AC1054" s="45">
        <v>14.5</v>
      </c>
      <c r="AD1054" s="45">
        <v>6.9</v>
      </c>
    </row>
    <row r="1055" spans="1:30">
      <c r="A1055" s="73">
        <v>45923</v>
      </c>
      <c r="B1055" s="24">
        <v>0</v>
      </c>
      <c r="C1055" s="24">
        <v>0</v>
      </c>
      <c r="D1055" s="24">
        <v>0</v>
      </c>
      <c r="E1055" s="24">
        <v>0</v>
      </c>
      <c r="F1055" s="24">
        <v>0</v>
      </c>
      <c r="G1055" s="24">
        <v>0</v>
      </c>
      <c r="H1055" s="24">
        <v>0</v>
      </c>
      <c r="I1055" s="24">
        <v>0</v>
      </c>
      <c r="J1055" s="24">
        <v>0</v>
      </c>
      <c r="L1055" s="45">
        <v>0</v>
      </c>
      <c r="M1055" s="45">
        <v>0</v>
      </c>
      <c r="N1055" s="45">
        <v>0</v>
      </c>
      <c r="O1055" s="45">
        <v>0</v>
      </c>
      <c r="P1055" s="45">
        <v>0</v>
      </c>
      <c r="Q1055" s="45">
        <v>0</v>
      </c>
      <c r="R1055" s="45">
        <v>0</v>
      </c>
      <c r="S1055" s="45">
        <v>0</v>
      </c>
      <c r="T1055" s="45">
        <v>0</v>
      </c>
      <c r="V1055" s="45">
        <v>0</v>
      </c>
      <c r="W1055" s="45">
        <v>0</v>
      </c>
      <c r="X1055" s="45">
        <v>0</v>
      </c>
      <c r="Y1055" s="45">
        <v>0</v>
      </c>
      <c r="Z1055" s="45">
        <v>0</v>
      </c>
      <c r="AA1055" s="45">
        <v>0</v>
      </c>
      <c r="AB1055" s="45">
        <v>0</v>
      </c>
      <c r="AC1055" s="45">
        <v>0</v>
      </c>
      <c r="AD1055" s="45">
        <v>0</v>
      </c>
    </row>
    <row r="1056" spans="1:30">
      <c r="A1056" s="73">
        <v>45924</v>
      </c>
      <c r="B1056" s="24">
        <v>3406</v>
      </c>
      <c r="C1056" s="24">
        <v>721</v>
      </c>
      <c r="D1056" s="24">
        <v>365</v>
      </c>
      <c r="E1056" s="24">
        <v>560</v>
      </c>
      <c r="F1056" s="24">
        <v>608</v>
      </c>
      <c r="G1056" s="24">
        <v>294</v>
      </c>
      <c r="H1056" s="24">
        <v>220</v>
      </c>
      <c r="I1056" s="24">
        <v>148</v>
      </c>
      <c r="J1056" s="24">
        <v>490</v>
      </c>
      <c r="L1056" s="45">
        <v>7</v>
      </c>
      <c r="M1056" s="45">
        <v>3.8</v>
      </c>
      <c r="N1056" s="45">
        <v>2.9</v>
      </c>
      <c r="O1056" s="45">
        <v>13.6</v>
      </c>
      <c r="P1056" s="45">
        <v>9.9</v>
      </c>
      <c r="Q1056" s="45">
        <v>7.8</v>
      </c>
      <c r="R1056" s="45">
        <v>5.6</v>
      </c>
      <c r="S1056" s="45">
        <v>2.3</v>
      </c>
      <c r="T1056" s="45">
        <v>5.1</v>
      </c>
      <c r="V1056" s="45">
        <v>8.800000000000001</v>
      </c>
      <c r="W1056" s="45">
        <v>8.699999999999999</v>
      </c>
      <c r="X1056" s="45">
        <v>10</v>
      </c>
      <c r="Y1056" s="45">
        <v>6.8</v>
      </c>
      <c r="Z1056" s="45">
        <v>7.3</v>
      </c>
      <c r="AA1056" s="45">
        <v>10.8</v>
      </c>
      <c r="AB1056" s="45">
        <v>9.1</v>
      </c>
      <c r="AC1056" s="45">
        <v>18.3</v>
      </c>
      <c r="AD1056" s="45">
        <v>7.9</v>
      </c>
    </row>
    <row r="1057" spans="1:30">
      <c r="A1057" s="73">
        <v>45925</v>
      </c>
      <c r="B1057" s="24">
        <v>2826</v>
      </c>
      <c r="C1057" s="24">
        <v>551</v>
      </c>
      <c r="D1057" s="24">
        <v>274</v>
      </c>
      <c r="E1057" s="24">
        <v>431</v>
      </c>
      <c r="F1057" s="24">
        <v>504</v>
      </c>
      <c r="G1057" s="24">
        <v>347</v>
      </c>
      <c r="H1057" s="24">
        <v>162</v>
      </c>
      <c r="I1057" s="24">
        <v>124</v>
      </c>
      <c r="J1057" s="24">
        <v>433</v>
      </c>
      <c r="L1057" s="45">
        <v>5.2</v>
      </c>
      <c r="M1057" s="45">
        <v>2.5</v>
      </c>
      <c r="N1057" s="45">
        <v>1.5</v>
      </c>
      <c r="O1057" s="45">
        <v>8.9</v>
      </c>
      <c r="P1057" s="45">
        <v>5.2</v>
      </c>
      <c r="Q1057" s="45">
        <v>10.7</v>
      </c>
      <c r="R1057" s="45">
        <v>2.8</v>
      </c>
      <c r="S1057" s="45">
        <v>0.8</v>
      </c>
      <c r="T1057" s="45">
        <v>4.9</v>
      </c>
      <c r="V1057" s="45">
        <v>9.9</v>
      </c>
      <c r="W1057" s="45">
        <v>10.8</v>
      </c>
      <c r="X1057" s="45">
        <v>12.6</v>
      </c>
      <c r="Y1057" s="45">
        <v>8.699999999999999</v>
      </c>
      <c r="Z1057" s="45">
        <v>7.5</v>
      </c>
      <c r="AA1057" s="45">
        <v>9.1</v>
      </c>
      <c r="AB1057" s="45">
        <v>9.300000000000001</v>
      </c>
      <c r="AC1057" s="45">
        <v>22</v>
      </c>
      <c r="AD1057" s="45">
        <v>8.5</v>
      </c>
    </row>
    <row r="1058" spans="1:30">
      <c r="A1058" s="73">
        <v>45926</v>
      </c>
      <c r="B1058" s="24">
        <v>3079</v>
      </c>
      <c r="C1058" s="24">
        <v>570</v>
      </c>
      <c r="D1058" s="24">
        <v>339</v>
      </c>
      <c r="E1058" s="24">
        <v>505</v>
      </c>
      <c r="F1058" s="24">
        <v>571</v>
      </c>
      <c r="G1058" s="24">
        <v>322</v>
      </c>
      <c r="H1058" s="24">
        <v>179</v>
      </c>
      <c r="I1058" s="24">
        <v>139</v>
      </c>
      <c r="J1058" s="24">
        <v>454</v>
      </c>
      <c r="L1058" s="45">
        <v>5.4</v>
      </c>
      <c r="M1058" s="45">
        <v>1.9</v>
      </c>
      <c r="N1058" s="45">
        <v>2.7</v>
      </c>
      <c r="O1058" s="45">
        <v>10.9</v>
      </c>
      <c r="P1058" s="45">
        <v>4.2</v>
      </c>
      <c r="Q1058" s="45">
        <v>9.1</v>
      </c>
      <c r="R1058" s="45">
        <v>3.6</v>
      </c>
      <c r="S1058" s="45">
        <v>1.7</v>
      </c>
      <c r="T1058" s="45">
        <v>6.6</v>
      </c>
      <c r="V1058" s="45">
        <v>9</v>
      </c>
      <c r="W1058" s="45">
        <v>10.4</v>
      </c>
      <c r="X1058" s="45">
        <v>9.9</v>
      </c>
      <c r="Y1058" s="45">
        <v>7.7</v>
      </c>
      <c r="Z1058" s="45">
        <v>6.3</v>
      </c>
      <c r="AA1058" s="45">
        <v>10.1</v>
      </c>
      <c r="AB1058" s="45">
        <v>8.699999999999999</v>
      </c>
      <c r="AC1058" s="45">
        <v>17.1</v>
      </c>
      <c r="AD1058" s="45">
        <v>8.300000000000001</v>
      </c>
    </row>
    <row r="1059" spans="1:30">
      <c r="A1059" s="73">
        <v>45927</v>
      </c>
      <c r="B1059" s="24">
        <v>0</v>
      </c>
      <c r="C1059" s="24">
        <v>0</v>
      </c>
      <c r="D1059" s="24">
        <v>0</v>
      </c>
      <c r="E1059" s="24">
        <v>0</v>
      </c>
      <c r="F1059" s="24">
        <v>0</v>
      </c>
      <c r="G1059" s="24">
        <v>0</v>
      </c>
      <c r="H1059" s="24">
        <v>0</v>
      </c>
      <c r="I1059" s="24">
        <v>0</v>
      </c>
      <c r="J1059" s="24">
        <v>0</v>
      </c>
      <c r="L1059" s="45">
        <v>0</v>
      </c>
      <c r="M1059" s="45">
        <v>0</v>
      </c>
      <c r="N1059" s="45">
        <v>0</v>
      </c>
      <c r="O1059" s="45">
        <v>0</v>
      </c>
      <c r="P1059" s="45">
        <v>0</v>
      </c>
      <c r="Q1059" s="45">
        <v>0</v>
      </c>
      <c r="R1059" s="45">
        <v>0</v>
      </c>
      <c r="S1059" s="45">
        <v>0</v>
      </c>
      <c r="T1059" s="45">
        <v>0</v>
      </c>
      <c r="V1059" s="45">
        <v>0</v>
      </c>
      <c r="W1059" s="45">
        <v>0</v>
      </c>
      <c r="X1059" s="45">
        <v>0</v>
      </c>
      <c r="Y1059" s="45">
        <v>0</v>
      </c>
      <c r="Z1059" s="45">
        <v>0</v>
      </c>
      <c r="AA1059" s="45">
        <v>0</v>
      </c>
      <c r="AB1059" s="45">
        <v>0</v>
      </c>
      <c r="AC1059" s="45">
        <v>0</v>
      </c>
      <c r="AD1059" s="45">
        <v>0</v>
      </c>
    </row>
    <row r="1060" spans="1:30">
      <c r="A1060" s="73">
        <v>45928</v>
      </c>
      <c r="B1060" s="24">
        <v>0</v>
      </c>
      <c r="C1060" s="24">
        <v>0</v>
      </c>
      <c r="D1060" s="24">
        <v>0</v>
      </c>
      <c r="E1060" s="24">
        <v>0</v>
      </c>
      <c r="F1060" s="24">
        <v>0</v>
      </c>
      <c r="G1060" s="24">
        <v>0</v>
      </c>
      <c r="H1060" s="24">
        <v>0</v>
      </c>
      <c r="I1060" s="24">
        <v>0</v>
      </c>
      <c r="J1060" s="24">
        <v>0</v>
      </c>
      <c r="L1060" s="45">
        <v>0</v>
      </c>
      <c r="M1060" s="45">
        <v>0</v>
      </c>
      <c r="N1060" s="45">
        <v>0</v>
      </c>
      <c r="O1060" s="45">
        <v>0</v>
      </c>
      <c r="P1060" s="45">
        <v>0</v>
      </c>
      <c r="Q1060" s="45">
        <v>0</v>
      </c>
      <c r="R1060" s="45">
        <v>0</v>
      </c>
      <c r="S1060" s="45">
        <v>0</v>
      </c>
      <c r="T1060" s="45">
        <v>0</v>
      </c>
      <c r="V1060" s="45">
        <v>0</v>
      </c>
      <c r="W1060" s="45">
        <v>0</v>
      </c>
      <c r="X1060" s="45">
        <v>0</v>
      </c>
      <c r="Y1060" s="45">
        <v>0</v>
      </c>
      <c r="Z1060" s="45">
        <v>0</v>
      </c>
      <c r="AA1060" s="45">
        <v>0</v>
      </c>
      <c r="AB1060" s="45">
        <v>0</v>
      </c>
      <c r="AC1060" s="45">
        <v>0</v>
      </c>
      <c r="AD1060" s="45">
        <v>0</v>
      </c>
    </row>
    <row r="1061" spans="1:30">
      <c r="A1061" s="73">
        <v>45929</v>
      </c>
      <c r="B1061" s="24">
        <v>3686</v>
      </c>
      <c r="C1061" s="24">
        <v>745</v>
      </c>
      <c r="D1061" s="24">
        <v>408</v>
      </c>
      <c r="E1061" s="24">
        <v>569</v>
      </c>
      <c r="F1061" s="24">
        <v>687</v>
      </c>
      <c r="G1061" s="24">
        <v>382</v>
      </c>
      <c r="H1061" s="24">
        <v>238</v>
      </c>
      <c r="I1061" s="24">
        <v>189</v>
      </c>
      <c r="J1061" s="24">
        <v>468</v>
      </c>
      <c r="L1061" s="45">
        <v>9.199999999999999</v>
      </c>
      <c r="M1061" s="45">
        <v>3.9</v>
      </c>
      <c r="N1061" s="45">
        <v>2.8</v>
      </c>
      <c r="O1061" s="45">
        <v>10.6</v>
      </c>
      <c r="P1061" s="45">
        <v>12.9</v>
      </c>
      <c r="Q1061" s="45">
        <v>24.9</v>
      </c>
      <c r="R1061" s="45">
        <v>9.6</v>
      </c>
      <c r="S1061" s="45">
        <v>3.8</v>
      </c>
      <c r="T1061" s="45">
        <v>5.6</v>
      </c>
      <c r="V1061" s="45">
        <v>8.1</v>
      </c>
      <c r="W1061" s="45">
        <v>8.5</v>
      </c>
      <c r="X1061" s="45">
        <v>9.199999999999999</v>
      </c>
      <c r="Y1061" s="45">
        <v>6.3</v>
      </c>
      <c r="Z1061" s="45">
        <v>6.1</v>
      </c>
      <c r="AA1061" s="45">
        <v>7.9</v>
      </c>
      <c r="AB1061" s="45">
        <v>7.5</v>
      </c>
      <c r="AC1061" s="45">
        <v>16.3</v>
      </c>
      <c r="AD1061" s="45">
        <v>8.699999999999999</v>
      </c>
    </row>
    <row r="1062" spans="1:30">
      <c r="A1062" s="73">
        <v>45930</v>
      </c>
      <c r="B1062" s="24">
        <v>3117</v>
      </c>
      <c r="C1062" s="24">
        <v>616</v>
      </c>
      <c r="D1062" s="24">
        <v>341</v>
      </c>
      <c r="E1062" s="24">
        <v>498</v>
      </c>
      <c r="F1062" s="24">
        <v>611</v>
      </c>
      <c r="G1062" s="24">
        <v>313</v>
      </c>
      <c r="H1062" s="24">
        <v>188</v>
      </c>
      <c r="I1062" s="24">
        <v>113</v>
      </c>
      <c r="J1062" s="24">
        <v>437</v>
      </c>
      <c r="L1062" s="45">
        <v>6.4</v>
      </c>
      <c r="M1062" s="45">
        <v>3.6</v>
      </c>
      <c r="N1062" s="45">
        <v>2.2</v>
      </c>
      <c r="O1062" s="45">
        <v>10.7</v>
      </c>
      <c r="P1062" s="45">
        <v>7.2</v>
      </c>
      <c r="Q1062" s="45">
        <v>12.8</v>
      </c>
      <c r="R1062" s="45">
        <v>5.3</v>
      </c>
      <c r="S1062" s="45">
        <v>1.4</v>
      </c>
      <c r="T1062" s="45">
        <v>4.7</v>
      </c>
      <c r="V1062" s="45">
        <v>9</v>
      </c>
      <c r="W1062" s="45">
        <v>10</v>
      </c>
      <c r="X1062" s="45">
        <v>10.1</v>
      </c>
      <c r="Y1062" s="45">
        <v>7.3</v>
      </c>
      <c r="Z1062" s="45">
        <v>6.7</v>
      </c>
      <c r="AA1062" s="45">
        <v>10</v>
      </c>
      <c r="AB1062" s="45">
        <v>9.199999999999999</v>
      </c>
      <c r="AC1062" s="45">
        <v>21.5</v>
      </c>
      <c r="AD1062" s="45">
        <v>8.5</v>
      </c>
    </row>
    <row r="1063" spans="1:30">
      <c r="A1063" s="73">
        <v>45931</v>
      </c>
      <c r="B1063" s="24">
        <v>3254</v>
      </c>
      <c r="C1063" s="24">
        <v>669</v>
      </c>
      <c r="D1063" s="24">
        <v>359</v>
      </c>
      <c r="E1063" s="24">
        <v>500</v>
      </c>
      <c r="F1063" s="24">
        <v>572</v>
      </c>
      <c r="G1063" s="24">
        <v>339</v>
      </c>
      <c r="H1063" s="24">
        <v>173</v>
      </c>
      <c r="I1063" s="24">
        <v>132</v>
      </c>
      <c r="J1063" s="24">
        <v>510</v>
      </c>
      <c r="L1063" s="45">
        <v>7.1</v>
      </c>
      <c r="M1063" s="45">
        <v>5.8</v>
      </c>
      <c r="N1063" s="45">
        <v>3.2</v>
      </c>
      <c r="O1063" s="45">
        <v>9.1</v>
      </c>
      <c r="P1063" s="45">
        <v>7.2</v>
      </c>
      <c r="Q1063" s="45">
        <v>19.8</v>
      </c>
      <c r="R1063" s="45">
        <v>1.7</v>
      </c>
      <c r="S1063" s="45">
        <v>1.5</v>
      </c>
      <c r="T1063" s="45">
        <v>4.8</v>
      </c>
      <c r="V1063" s="45">
        <v>8.6</v>
      </c>
      <c r="W1063" s="45">
        <v>9.6</v>
      </c>
      <c r="X1063" s="45">
        <v>9.9</v>
      </c>
      <c r="Y1063" s="45">
        <v>7.5</v>
      </c>
      <c r="Z1063" s="45">
        <v>6.4</v>
      </c>
      <c r="AA1063" s="45">
        <v>8.800000000000001</v>
      </c>
      <c r="AB1063" s="45">
        <v>8.699999999999999</v>
      </c>
      <c r="AC1063" s="45">
        <v>20.1</v>
      </c>
      <c r="AD1063" s="45">
        <v>7</v>
      </c>
    </row>
    <row r="1064" spans="1:30">
      <c r="A1064" s="73">
        <v>45932</v>
      </c>
      <c r="B1064" s="24">
        <v>2900</v>
      </c>
      <c r="C1064" s="24">
        <v>551</v>
      </c>
      <c r="D1064" s="24">
        <v>305</v>
      </c>
      <c r="E1064" s="24">
        <v>474</v>
      </c>
      <c r="F1064" s="24">
        <v>510</v>
      </c>
      <c r="G1064" s="24">
        <v>294</v>
      </c>
      <c r="H1064" s="24">
        <v>187</v>
      </c>
      <c r="I1064" s="24">
        <v>123</v>
      </c>
      <c r="J1064" s="24">
        <v>456</v>
      </c>
      <c r="L1064" s="45">
        <v>4.7</v>
      </c>
      <c r="M1064" s="45">
        <v>2.9</v>
      </c>
      <c r="N1064" s="45">
        <v>2.6</v>
      </c>
      <c r="O1064" s="45">
        <v>9</v>
      </c>
      <c r="P1064" s="45">
        <v>3.8</v>
      </c>
      <c r="Q1064" s="45">
        <v>11.7</v>
      </c>
      <c r="R1064" s="45">
        <v>1.6</v>
      </c>
      <c r="S1064" s="45">
        <v>0.8</v>
      </c>
      <c r="T1064" s="45">
        <v>2.9</v>
      </c>
      <c r="V1064" s="45">
        <v>9.699999999999999</v>
      </c>
      <c r="W1064" s="45">
        <v>11.1</v>
      </c>
      <c r="X1064" s="45">
        <v>11.7</v>
      </c>
      <c r="Y1064" s="45">
        <v>7.7</v>
      </c>
      <c r="Z1064" s="45">
        <v>7.4</v>
      </c>
      <c r="AA1064" s="45">
        <v>10.3</v>
      </c>
      <c r="AB1064" s="45">
        <v>8.4</v>
      </c>
      <c r="AC1064" s="45">
        <v>20.8</v>
      </c>
      <c r="AD1064" s="45">
        <v>8.800000000000001</v>
      </c>
    </row>
    <row r="1065" spans="1:30">
      <c r="A1065" s="73">
        <v>45933</v>
      </c>
      <c r="B1065" s="24">
        <v>2797</v>
      </c>
      <c r="C1065" s="24">
        <v>471</v>
      </c>
      <c r="D1065" s="24">
        <v>330</v>
      </c>
      <c r="E1065" s="24">
        <v>459</v>
      </c>
      <c r="F1065" s="24">
        <v>492</v>
      </c>
      <c r="G1065" s="24">
        <v>310</v>
      </c>
      <c r="H1065" s="24">
        <v>214</v>
      </c>
      <c r="I1065" s="24">
        <v>136</v>
      </c>
      <c r="J1065" s="24">
        <v>385</v>
      </c>
      <c r="L1065" s="45">
        <v>4.6</v>
      </c>
      <c r="M1065" s="45">
        <v>2.6</v>
      </c>
      <c r="N1065" s="45">
        <v>2.4</v>
      </c>
      <c r="O1065" s="45">
        <v>9.300000000000001</v>
      </c>
      <c r="P1065" s="45">
        <v>4.5</v>
      </c>
      <c r="Q1065" s="45">
        <v>8.6</v>
      </c>
      <c r="R1065" s="45">
        <v>2.5</v>
      </c>
      <c r="S1065" s="45">
        <v>1.1</v>
      </c>
      <c r="T1065" s="45">
        <v>2.4</v>
      </c>
      <c r="V1065" s="45">
        <v>10.3</v>
      </c>
      <c r="W1065" s="45">
        <v>12.6</v>
      </c>
      <c r="X1065" s="45">
        <v>10.8</v>
      </c>
      <c r="Y1065" s="45">
        <v>8.199999999999999</v>
      </c>
      <c r="Z1065" s="45">
        <v>8.300000000000001</v>
      </c>
      <c r="AA1065" s="45">
        <v>10</v>
      </c>
      <c r="AB1065" s="45">
        <v>9.300000000000001</v>
      </c>
      <c r="AC1065" s="45">
        <v>20.5</v>
      </c>
      <c r="AD1065" s="45">
        <v>9.4</v>
      </c>
    </row>
    <row r="1066" spans="1:30">
      <c r="A1066" s="73">
        <v>45934</v>
      </c>
      <c r="B1066" s="24">
        <v>0</v>
      </c>
      <c r="C1066" s="24">
        <v>0</v>
      </c>
      <c r="D1066" s="24">
        <v>0</v>
      </c>
      <c r="E1066" s="24">
        <v>0</v>
      </c>
      <c r="F1066" s="24">
        <v>0</v>
      </c>
      <c r="G1066" s="24">
        <v>0</v>
      </c>
      <c r="H1066" s="24">
        <v>0</v>
      </c>
      <c r="I1066" s="24">
        <v>0</v>
      </c>
      <c r="J1066" s="24">
        <v>0</v>
      </c>
      <c r="L1066" s="45">
        <v>0</v>
      </c>
      <c r="M1066" s="45">
        <v>0</v>
      </c>
      <c r="N1066" s="45">
        <v>0</v>
      </c>
      <c r="O1066" s="45">
        <v>0</v>
      </c>
      <c r="P1066" s="45">
        <v>0</v>
      </c>
      <c r="Q1066" s="45">
        <v>0</v>
      </c>
      <c r="R1066" s="45">
        <v>0</v>
      </c>
      <c r="S1066" s="45">
        <v>0</v>
      </c>
      <c r="T1066" s="45">
        <v>0</v>
      </c>
      <c r="V1066" s="45">
        <v>0</v>
      </c>
      <c r="W1066" s="45">
        <v>0</v>
      </c>
      <c r="X1066" s="45">
        <v>0</v>
      </c>
      <c r="Y1066" s="45">
        <v>0</v>
      </c>
      <c r="Z1066" s="45">
        <v>0</v>
      </c>
      <c r="AA1066" s="45">
        <v>0</v>
      </c>
      <c r="AB1066" s="45">
        <v>0</v>
      </c>
      <c r="AC1066" s="45">
        <v>0</v>
      </c>
      <c r="AD1066" s="45">
        <v>0</v>
      </c>
    </row>
    <row r="1067" spans="1:30">
      <c r="A1067" s="73">
        <v>45935</v>
      </c>
      <c r="B1067" s="24">
        <v>0</v>
      </c>
      <c r="C1067" s="24">
        <v>0</v>
      </c>
      <c r="D1067" s="24">
        <v>0</v>
      </c>
      <c r="E1067" s="24">
        <v>0</v>
      </c>
      <c r="F1067" s="24">
        <v>0</v>
      </c>
      <c r="G1067" s="24">
        <v>0</v>
      </c>
      <c r="H1067" s="24">
        <v>0</v>
      </c>
      <c r="I1067" s="24">
        <v>0</v>
      </c>
      <c r="J1067" s="24">
        <v>0</v>
      </c>
      <c r="L1067" s="45">
        <v>0</v>
      </c>
      <c r="M1067" s="45">
        <v>0</v>
      </c>
      <c r="N1067" s="45">
        <v>0</v>
      </c>
      <c r="O1067" s="45">
        <v>0</v>
      </c>
      <c r="P1067" s="45">
        <v>0</v>
      </c>
      <c r="Q1067" s="45">
        <v>0</v>
      </c>
      <c r="R1067" s="45">
        <v>0</v>
      </c>
      <c r="S1067" s="45">
        <v>0</v>
      </c>
      <c r="T1067" s="45">
        <v>0</v>
      </c>
      <c r="V1067" s="45">
        <v>0</v>
      </c>
      <c r="W1067" s="45">
        <v>0</v>
      </c>
      <c r="X1067" s="45">
        <v>0</v>
      </c>
      <c r="Y1067" s="45">
        <v>0</v>
      </c>
      <c r="Z1067" s="45">
        <v>0</v>
      </c>
      <c r="AA1067" s="45">
        <v>0</v>
      </c>
      <c r="AB1067" s="45">
        <v>0</v>
      </c>
      <c r="AC1067" s="45">
        <v>0</v>
      </c>
      <c r="AD1067" s="45">
        <v>0</v>
      </c>
    </row>
    <row r="1068" spans="1:30">
      <c r="A1068" s="73">
        <v>45936</v>
      </c>
      <c r="B1068" s="24">
        <v>3685</v>
      </c>
      <c r="C1068" s="24">
        <v>778</v>
      </c>
      <c r="D1068" s="24">
        <v>399</v>
      </c>
      <c r="E1068" s="24">
        <v>575</v>
      </c>
      <c r="F1068" s="24">
        <v>668</v>
      </c>
      <c r="G1068" s="24">
        <v>359</v>
      </c>
      <c r="H1068" s="24">
        <v>204</v>
      </c>
      <c r="I1068" s="24">
        <v>195</v>
      </c>
      <c r="J1068" s="24">
        <v>507</v>
      </c>
      <c r="L1068" s="45">
        <v>8.5</v>
      </c>
      <c r="M1068" s="45">
        <v>5.4</v>
      </c>
      <c r="N1068" s="45">
        <v>3.5</v>
      </c>
      <c r="O1068" s="45">
        <v>10.8</v>
      </c>
      <c r="P1068" s="45">
        <v>11.4</v>
      </c>
      <c r="Q1068" s="45">
        <v>20.1</v>
      </c>
      <c r="R1068" s="45">
        <v>3.1</v>
      </c>
      <c r="S1068" s="45">
        <v>2.5</v>
      </c>
      <c r="T1068" s="45">
        <v>6.9</v>
      </c>
      <c r="V1068" s="45">
        <v>7.8</v>
      </c>
      <c r="W1068" s="45">
        <v>7.7</v>
      </c>
      <c r="X1068" s="45">
        <v>8.800000000000001</v>
      </c>
      <c r="Y1068" s="45">
        <v>6.5</v>
      </c>
      <c r="Z1068" s="45">
        <v>6.6</v>
      </c>
      <c r="AA1068" s="45">
        <v>7.7</v>
      </c>
      <c r="AB1068" s="45">
        <v>9.4</v>
      </c>
      <c r="AC1068" s="45">
        <v>14.5</v>
      </c>
      <c r="AD1068" s="45">
        <v>7.7</v>
      </c>
    </row>
    <row r="1069" spans="1:30">
      <c r="A1069" s="73">
        <v>45937</v>
      </c>
      <c r="B1069" s="24">
        <v>2962</v>
      </c>
      <c r="C1069" s="24">
        <v>566</v>
      </c>
      <c r="D1069" s="24">
        <v>338</v>
      </c>
      <c r="E1069" s="24">
        <v>477</v>
      </c>
      <c r="F1069" s="24">
        <v>547</v>
      </c>
      <c r="G1069" s="24">
        <v>326</v>
      </c>
      <c r="H1069" s="24">
        <v>162</v>
      </c>
      <c r="I1069" s="24">
        <v>137</v>
      </c>
      <c r="J1069" s="24">
        <v>409</v>
      </c>
      <c r="L1069" s="45">
        <v>6.1</v>
      </c>
      <c r="M1069" s="45">
        <v>3</v>
      </c>
      <c r="N1069" s="45">
        <v>2.5</v>
      </c>
      <c r="O1069" s="45">
        <v>12.7</v>
      </c>
      <c r="P1069" s="45">
        <v>5.9</v>
      </c>
      <c r="Q1069" s="45">
        <v>13.7</v>
      </c>
      <c r="R1069" s="45">
        <v>1.6</v>
      </c>
      <c r="S1069" s="45">
        <v>1.2</v>
      </c>
      <c r="T1069" s="45">
        <v>3.4</v>
      </c>
      <c r="V1069" s="45">
        <v>9.9</v>
      </c>
      <c r="W1069" s="45">
        <v>10.6</v>
      </c>
      <c r="X1069" s="45">
        <v>10.6</v>
      </c>
      <c r="Y1069" s="45">
        <v>7.9</v>
      </c>
      <c r="Z1069" s="45">
        <v>7.9</v>
      </c>
      <c r="AA1069" s="45">
        <v>9.6</v>
      </c>
      <c r="AB1069" s="45">
        <v>10.4</v>
      </c>
      <c r="AC1069" s="45">
        <v>20.3</v>
      </c>
      <c r="AD1069" s="45">
        <v>10.2</v>
      </c>
    </row>
    <row r="1070" spans="1:30">
      <c r="A1070" s="73">
        <v>45938</v>
      </c>
      <c r="B1070" s="24">
        <v>3082</v>
      </c>
      <c r="C1070" s="24">
        <v>610</v>
      </c>
      <c r="D1070" s="24">
        <v>318</v>
      </c>
      <c r="E1070" s="24">
        <v>442</v>
      </c>
      <c r="F1070" s="24">
        <v>592</v>
      </c>
      <c r="G1070" s="24">
        <v>360</v>
      </c>
      <c r="H1070" s="24">
        <v>173</v>
      </c>
      <c r="I1070" s="24">
        <v>139</v>
      </c>
      <c r="J1070" s="24">
        <v>448</v>
      </c>
      <c r="L1070" s="45">
        <v>6.6</v>
      </c>
      <c r="M1070" s="45">
        <v>2.9</v>
      </c>
      <c r="N1070" s="45">
        <v>2.9</v>
      </c>
      <c r="O1070" s="45">
        <v>10.4</v>
      </c>
      <c r="P1070" s="45">
        <v>6.9</v>
      </c>
      <c r="Q1070" s="45">
        <v>16.7</v>
      </c>
      <c r="R1070" s="45">
        <v>2</v>
      </c>
      <c r="S1070" s="45">
        <v>1.9</v>
      </c>
      <c r="T1070" s="45">
        <v>5.4</v>
      </c>
      <c r="V1070" s="45">
        <v>9.1</v>
      </c>
      <c r="W1070" s="45">
        <v>9.6</v>
      </c>
      <c r="X1070" s="45">
        <v>10.8</v>
      </c>
      <c r="Y1070" s="45">
        <v>8.1</v>
      </c>
      <c r="Z1070" s="45">
        <v>6.7</v>
      </c>
      <c r="AA1070" s="45">
        <v>8.1</v>
      </c>
      <c r="AB1070" s="45">
        <v>10.6</v>
      </c>
      <c r="AC1070" s="45">
        <v>20.4</v>
      </c>
      <c r="AD1070" s="45">
        <v>8.199999999999999</v>
      </c>
    </row>
    <row r="1071" spans="1:30">
      <c r="A1071" s="73">
        <v>45939</v>
      </c>
      <c r="B1071" s="24">
        <v>2702</v>
      </c>
      <c r="C1071" s="24">
        <v>482</v>
      </c>
      <c r="D1071" s="24">
        <v>321</v>
      </c>
      <c r="E1071" s="24">
        <v>426</v>
      </c>
      <c r="F1071" s="24">
        <v>538</v>
      </c>
      <c r="G1071" s="24">
        <v>259</v>
      </c>
      <c r="H1071" s="24">
        <v>155</v>
      </c>
      <c r="I1071" s="24">
        <v>148</v>
      </c>
      <c r="J1071" s="24">
        <v>373</v>
      </c>
      <c r="L1071" s="45">
        <v>4.2</v>
      </c>
      <c r="M1071" s="45">
        <v>2.5</v>
      </c>
      <c r="N1071" s="45">
        <v>2.1</v>
      </c>
      <c r="O1071" s="45">
        <v>9.4</v>
      </c>
      <c r="P1071" s="45">
        <v>3.3</v>
      </c>
      <c r="Q1071" s="45">
        <v>9.199999999999999</v>
      </c>
      <c r="R1071" s="45">
        <v>1.6</v>
      </c>
      <c r="S1071" s="45">
        <v>0.7</v>
      </c>
      <c r="T1071" s="45">
        <v>2.5</v>
      </c>
      <c r="V1071" s="45">
        <v>9.9</v>
      </c>
      <c r="W1071" s="45">
        <v>11.5</v>
      </c>
      <c r="X1071" s="45">
        <v>10.7</v>
      </c>
      <c r="Y1071" s="45">
        <v>8.699999999999999</v>
      </c>
      <c r="Z1071" s="45">
        <v>6.9</v>
      </c>
      <c r="AA1071" s="45">
        <v>12</v>
      </c>
      <c r="AB1071" s="45">
        <v>9.9</v>
      </c>
      <c r="AC1071" s="45">
        <v>18.2</v>
      </c>
      <c r="AD1071" s="45">
        <v>8.199999999999999</v>
      </c>
    </row>
    <row r="1072" spans="1:30">
      <c r="A1072" s="73">
        <v>45940</v>
      </c>
      <c r="B1072" s="24">
        <v>3095</v>
      </c>
      <c r="C1072" s="24">
        <v>600</v>
      </c>
      <c r="D1072" s="24">
        <v>324</v>
      </c>
      <c r="E1072" s="24">
        <v>504</v>
      </c>
      <c r="F1072" s="24">
        <v>580</v>
      </c>
      <c r="G1072" s="24">
        <v>296</v>
      </c>
      <c r="H1072" s="24">
        <v>193</v>
      </c>
      <c r="I1072" s="24">
        <v>157</v>
      </c>
      <c r="J1072" s="24">
        <v>441</v>
      </c>
      <c r="L1072" s="45">
        <v>6</v>
      </c>
      <c r="M1072" s="45">
        <v>4.8</v>
      </c>
      <c r="N1072" s="45">
        <v>2.9</v>
      </c>
      <c r="O1072" s="45">
        <v>10.4</v>
      </c>
      <c r="P1072" s="45">
        <v>7.7</v>
      </c>
      <c r="Q1072" s="45">
        <v>9.699999999999999</v>
      </c>
      <c r="R1072" s="45">
        <v>3.3</v>
      </c>
      <c r="S1072" s="45">
        <v>1.6</v>
      </c>
      <c r="T1072" s="45">
        <v>2.6</v>
      </c>
      <c r="V1072" s="45">
        <v>9.300000000000001</v>
      </c>
      <c r="W1072" s="45">
        <v>10</v>
      </c>
      <c r="X1072" s="45">
        <v>10.8</v>
      </c>
      <c r="Y1072" s="45">
        <v>7.4</v>
      </c>
      <c r="Z1072" s="45">
        <v>6.8</v>
      </c>
      <c r="AA1072" s="45">
        <v>10.5</v>
      </c>
      <c r="AB1072" s="45">
        <v>9</v>
      </c>
      <c r="AC1072" s="45">
        <v>18.6</v>
      </c>
      <c r="AD1072" s="45">
        <v>8.6</v>
      </c>
    </row>
    <row r="1073" spans="1:30">
      <c r="A1073" s="73">
        <v>45941</v>
      </c>
      <c r="B1073" s="24">
        <v>0</v>
      </c>
      <c r="C1073" s="24">
        <v>0</v>
      </c>
      <c r="D1073" s="24">
        <v>0</v>
      </c>
      <c r="E1073" s="24">
        <v>0</v>
      </c>
      <c r="F1073" s="24">
        <v>0</v>
      </c>
      <c r="G1073" s="24">
        <v>0</v>
      </c>
      <c r="H1073" s="24">
        <v>0</v>
      </c>
      <c r="I1073" s="24">
        <v>0</v>
      </c>
      <c r="J1073" s="24">
        <v>0</v>
      </c>
      <c r="L1073" s="45">
        <v>0</v>
      </c>
      <c r="M1073" s="45">
        <v>0</v>
      </c>
      <c r="N1073" s="45">
        <v>0</v>
      </c>
      <c r="O1073" s="45">
        <v>0</v>
      </c>
      <c r="P1073" s="45">
        <v>0</v>
      </c>
      <c r="Q1073" s="45">
        <v>0</v>
      </c>
      <c r="R1073" s="45">
        <v>0</v>
      </c>
      <c r="S1073" s="45">
        <v>0</v>
      </c>
      <c r="T1073" s="45">
        <v>0</v>
      </c>
      <c r="V1073" s="45">
        <v>0</v>
      </c>
      <c r="W1073" s="45">
        <v>0</v>
      </c>
      <c r="X1073" s="45">
        <v>0</v>
      </c>
      <c r="Y1073" s="45">
        <v>0</v>
      </c>
      <c r="Z1073" s="45">
        <v>0</v>
      </c>
      <c r="AA1073" s="45">
        <v>0</v>
      </c>
      <c r="AB1073" s="45">
        <v>0</v>
      </c>
      <c r="AC1073" s="45">
        <v>0</v>
      </c>
      <c r="AD1073" s="45">
        <v>0</v>
      </c>
    </row>
    <row r="1074" spans="1:30">
      <c r="A1074" s="73">
        <v>45942</v>
      </c>
      <c r="B1074" s="24">
        <v>0</v>
      </c>
      <c r="C1074" s="24">
        <v>0</v>
      </c>
      <c r="D1074" s="24">
        <v>0</v>
      </c>
      <c r="E1074" s="24">
        <v>0</v>
      </c>
      <c r="F1074" s="24">
        <v>0</v>
      </c>
      <c r="G1074" s="24">
        <v>0</v>
      </c>
      <c r="H1074" s="24">
        <v>0</v>
      </c>
      <c r="I1074" s="24">
        <v>0</v>
      </c>
      <c r="J1074" s="24">
        <v>0</v>
      </c>
      <c r="L1074" s="45">
        <v>0</v>
      </c>
      <c r="M1074" s="45">
        <v>0</v>
      </c>
      <c r="N1074" s="45">
        <v>0</v>
      </c>
      <c r="O1074" s="45">
        <v>0</v>
      </c>
      <c r="P1074" s="45">
        <v>0</v>
      </c>
      <c r="Q1074" s="45">
        <v>0</v>
      </c>
      <c r="R1074" s="45">
        <v>0</v>
      </c>
      <c r="S1074" s="45">
        <v>0</v>
      </c>
      <c r="T1074" s="45">
        <v>0</v>
      </c>
      <c r="V1074" s="45">
        <v>0</v>
      </c>
      <c r="W1074" s="45">
        <v>0</v>
      </c>
      <c r="X1074" s="45">
        <v>0</v>
      </c>
      <c r="Y1074" s="45">
        <v>0</v>
      </c>
      <c r="Z1074" s="45">
        <v>0</v>
      </c>
      <c r="AA1074" s="45">
        <v>0</v>
      </c>
      <c r="AB1074" s="45">
        <v>0</v>
      </c>
      <c r="AC1074" s="45">
        <v>0</v>
      </c>
      <c r="AD1074" s="45">
        <v>0</v>
      </c>
    </row>
    <row r="1075" spans="1:30">
      <c r="A1075" s="73">
        <v>45943</v>
      </c>
      <c r="B1075" s="24">
        <v>0</v>
      </c>
      <c r="C1075" s="24">
        <v>0</v>
      </c>
      <c r="D1075" s="24">
        <v>0</v>
      </c>
      <c r="E1075" s="24">
        <v>0</v>
      </c>
      <c r="F1075" s="24">
        <v>0</v>
      </c>
      <c r="G1075" s="24">
        <v>0</v>
      </c>
      <c r="H1075" s="24">
        <v>0</v>
      </c>
      <c r="I1075" s="24">
        <v>0</v>
      </c>
      <c r="J1075" s="24">
        <v>0</v>
      </c>
      <c r="L1075" s="45">
        <v>0</v>
      </c>
      <c r="M1075" s="45">
        <v>0</v>
      </c>
      <c r="N1075" s="45">
        <v>0</v>
      </c>
      <c r="O1075" s="45">
        <v>0</v>
      </c>
      <c r="P1075" s="45">
        <v>0</v>
      </c>
      <c r="Q1075" s="45">
        <v>0</v>
      </c>
      <c r="R1075" s="45">
        <v>0</v>
      </c>
      <c r="S1075" s="45">
        <v>0</v>
      </c>
      <c r="T1075" s="45">
        <v>0</v>
      </c>
      <c r="V1075" s="45">
        <v>0</v>
      </c>
      <c r="W1075" s="45">
        <v>0</v>
      </c>
      <c r="X1075" s="45">
        <v>0</v>
      </c>
      <c r="Y1075" s="45">
        <v>0</v>
      </c>
      <c r="Z1075" s="45">
        <v>0</v>
      </c>
      <c r="AA1075" s="45">
        <v>0</v>
      </c>
      <c r="AB1075" s="45">
        <v>0</v>
      </c>
      <c r="AC1075" s="45">
        <v>0</v>
      </c>
      <c r="AD1075" s="45">
        <v>0</v>
      </c>
    </row>
    <row r="1076" spans="1:30">
      <c r="A1076" s="73">
        <v>45944</v>
      </c>
      <c r="B1076" s="24">
        <v>3242</v>
      </c>
      <c r="C1076" s="24">
        <v>631</v>
      </c>
      <c r="D1076" s="24">
        <v>361</v>
      </c>
      <c r="E1076" s="24">
        <v>499</v>
      </c>
      <c r="F1076" s="24">
        <v>565</v>
      </c>
      <c r="G1076" s="24">
        <v>365</v>
      </c>
      <c r="H1076" s="24">
        <v>230</v>
      </c>
      <c r="I1076" s="24">
        <v>135</v>
      </c>
      <c r="J1076" s="24">
        <v>456</v>
      </c>
      <c r="L1076" s="45">
        <v>5.7</v>
      </c>
      <c r="M1076" s="45">
        <v>2.7</v>
      </c>
      <c r="N1076" s="45">
        <v>2.3</v>
      </c>
      <c r="O1076" s="45">
        <v>8.699999999999999</v>
      </c>
      <c r="P1076" s="45">
        <v>5.5</v>
      </c>
      <c r="Q1076" s="45">
        <v>16.3</v>
      </c>
      <c r="R1076" s="45">
        <v>2.9</v>
      </c>
      <c r="S1076" s="45">
        <v>1.2</v>
      </c>
      <c r="T1076" s="45">
        <v>3.6</v>
      </c>
      <c r="V1076" s="45">
        <v>9.1</v>
      </c>
      <c r="W1076" s="45">
        <v>10.2</v>
      </c>
      <c r="X1076" s="45">
        <v>10.3</v>
      </c>
      <c r="Y1076" s="45">
        <v>7.9</v>
      </c>
      <c r="Z1076" s="45">
        <v>6.9</v>
      </c>
      <c r="AA1076" s="45">
        <v>8.5</v>
      </c>
      <c r="AB1076" s="45">
        <v>8.1</v>
      </c>
      <c r="AC1076" s="45">
        <v>20.1</v>
      </c>
      <c r="AD1076" s="45">
        <v>8.6</v>
      </c>
    </row>
    <row r="1077" spans="1:30">
      <c r="A1077" s="73">
        <v>45945</v>
      </c>
      <c r="B1077" s="24">
        <v>3159</v>
      </c>
      <c r="C1077" s="24">
        <v>564</v>
      </c>
      <c r="D1077" s="24">
        <v>352</v>
      </c>
      <c r="E1077" s="24">
        <v>481</v>
      </c>
      <c r="F1077" s="24">
        <v>579</v>
      </c>
      <c r="G1077" s="24">
        <v>348</v>
      </c>
      <c r="H1077" s="24">
        <v>205</v>
      </c>
      <c r="I1077" s="24">
        <v>141</v>
      </c>
      <c r="J1077" s="24">
        <v>489</v>
      </c>
      <c r="L1077" s="45">
        <v>5.7</v>
      </c>
      <c r="M1077" s="45">
        <v>3.3</v>
      </c>
      <c r="N1077" s="45">
        <v>2.7</v>
      </c>
      <c r="O1077" s="45">
        <v>8.1</v>
      </c>
      <c r="P1077" s="45">
        <v>6.2</v>
      </c>
      <c r="Q1077" s="45">
        <v>13.9</v>
      </c>
      <c r="R1077" s="45">
        <v>4.4</v>
      </c>
      <c r="S1077" s="45">
        <v>0.8</v>
      </c>
      <c r="T1077" s="45">
        <v>3.6</v>
      </c>
      <c r="V1077" s="45">
        <v>8.9</v>
      </c>
      <c r="W1077" s="45">
        <v>9.1</v>
      </c>
      <c r="X1077" s="45">
        <v>10.2</v>
      </c>
      <c r="Y1077" s="45">
        <v>7.7</v>
      </c>
      <c r="Z1077" s="45">
        <v>6.8</v>
      </c>
      <c r="AA1077" s="45">
        <v>8.199999999999999</v>
      </c>
      <c r="AB1077" s="45">
        <v>9.199999999999999</v>
      </c>
      <c r="AC1077" s="45">
        <v>22.1</v>
      </c>
      <c r="AD1077" s="45">
        <v>8.4</v>
      </c>
    </row>
    <row r="1078" spans="1:30">
      <c r="A1078" s="73">
        <v>45946</v>
      </c>
      <c r="B1078" s="24">
        <v>2797</v>
      </c>
      <c r="C1078" s="24">
        <v>556</v>
      </c>
      <c r="D1078" s="24">
        <v>301</v>
      </c>
      <c r="E1078" s="24">
        <v>408</v>
      </c>
      <c r="F1078" s="24">
        <v>500</v>
      </c>
      <c r="G1078" s="24">
        <v>289</v>
      </c>
      <c r="H1078" s="24">
        <v>180</v>
      </c>
      <c r="I1078" s="24">
        <v>148</v>
      </c>
      <c r="J1078" s="24">
        <v>415</v>
      </c>
      <c r="L1078" s="45">
        <v>4.1</v>
      </c>
      <c r="M1078" s="45">
        <v>2.9</v>
      </c>
      <c r="N1078" s="45">
        <v>1.9</v>
      </c>
      <c r="O1078" s="45">
        <v>7.9</v>
      </c>
      <c r="P1078" s="45">
        <v>3</v>
      </c>
      <c r="Q1078" s="45">
        <v>9.800000000000001</v>
      </c>
      <c r="R1078" s="45">
        <v>1.4</v>
      </c>
      <c r="S1078" s="45">
        <v>0.7</v>
      </c>
      <c r="T1078" s="45">
        <v>3.5</v>
      </c>
      <c r="V1078" s="45">
        <v>10.6</v>
      </c>
      <c r="W1078" s="45">
        <v>11.4</v>
      </c>
      <c r="X1078" s="45">
        <v>11.4</v>
      </c>
      <c r="Y1078" s="45">
        <v>9.699999999999999</v>
      </c>
      <c r="Z1078" s="45">
        <v>8.800000000000001</v>
      </c>
      <c r="AA1078" s="45">
        <v>10.8</v>
      </c>
      <c r="AB1078" s="45">
        <v>11.2</v>
      </c>
      <c r="AC1078" s="45">
        <v>19.3</v>
      </c>
      <c r="AD1078" s="45">
        <v>8.9</v>
      </c>
    </row>
    <row r="1079" spans="1:30">
      <c r="A1079" s="73">
        <v>45947</v>
      </c>
      <c r="B1079" s="24">
        <v>2916</v>
      </c>
      <c r="C1079" s="24">
        <v>569</v>
      </c>
      <c r="D1079" s="24">
        <v>309</v>
      </c>
      <c r="E1079" s="24">
        <v>449</v>
      </c>
      <c r="F1079" s="24">
        <v>515</v>
      </c>
      <c r="G1079" s="24">
        <v>292</v>
      </c>
      <c r="H1079" s="24">
        <v>186</v>
      </c>
      <c r="I1079" s="24">
        <v>150</v>
      </c>
      <c r="J1079" s="24">
        <v>446</v>
      </c>
      <c r="L1079" s="45">
        <v>4.4</v>
      </c>
      <c r="M1079" s="45">
        <v>2.8</v>
      </c>
      <c r="N1079" s="45">
        <v>2.9</v>
      </c>
      <c r="O1079" s="45">
        <v>7.1</v>
      </c>
      <c r="P1079" s="45">
        <v>5.4</v>
      </c>
      <c r="Q1079" s="45">
        <v>7.5</v>
      </c>
      <c r="R1079" s="45">
        <v>2</v>
      </c>
      <c r="S1079" s="45">
        <v>2.7</v>
      </c>
      <c r="T1079" s="45">
        <v>3.1</v>
      </c>
      <c r="V1079" s="45">
        <v>10</v>
      </c>
      <c r="W1079" s="45">
        <v>9.800000000000001</v>
      </c>
      <c r="X1079" s="45">
        <v>11.6</v>
      </c>
      <c r="Y1079" s="45">
        <v>8.6</v>
      </c>
      <c r="Z1079" s="45">
        <v>8.4</v>
      </c>
      <c r="AA1079" s="45">
        <v>11.6</v>
      </c>
      <c r="AB1079" s="45">
        <v>8.699999999999999</v>
      </c>
      <c r="AC1079" s="45">
        <v>21.6</v>
      </c>
      <c r="AD1079" s="45">
        <v>8.1</v>
      </c>
    </row>
    <row r="1080" spans="1:30">
      <c r="A1080" s="73">
        <v>45948</v>
      </c>
      <c r="B1080" s="24">
        <v>0</v>
      </c>
      <c r="C1080" s="24">
        <v>0</v>
      </c>
      <c r="D1080" s="24">
        <v>0</v>
      </c>
      <c r="E1080" s="24">
        <v>0</v>
      </c>
      <c r="F1080" s="24">
        <v>0</v>
      </c>
      <c r="G1080" s="24">
        <v>0</v>
      </c>
      <c r="H1080" s="24">
        <v>0</v>
      </c>
      <c r="I1080" s="24">
        <v>0</v>
      </c>
      <c r="J1080" s="24">
        <v>0</v>
      </c>
      <c r="L1080" s="45">
        <v>0</v>
      </c>
      <c r="M1080" s="45">
        <v>0</v>
      </c>
      <c r="N1080" s="45">
        <v>0</v>
      </c>
      <c r="O1080" s="45">
        <v>0</v>
      </c>
      <c r="P1080" s="45">
        <v>0</v>
      </c>
      <c r="Q1080" s="45">
        <v>0</v>
      </c>
      <c r="R1080" s="45">
        <v>0</v>
      </c>
      <c r="S1080" s="45">
        <v>0</v>
      </c>
      <c r="T1080" s="45">
        <v>0</v>
      </c>
      <c r="V1080" s="45">
        <v>0</v>
      </c>
      <c r="W1080" s="45">
        <v>0</v>
      </c>
      <c r="X1080" s="45">
        <v>0</v>
      </c>
      <c r="Y1080" s="45">
        <v>0</v>
      </c>
      <c r="Z1080" s="45">
        <v>0</v>
      </c>
      <c r="AA1080" s="45">
        <v>0</v>
      </c>
      <c r="AB1080" s="45">
        <v>0</v>
      </c>
      <c r="AC1080" s="45">
        <v>0</v>
      </c>
      <c r="AD1080" s="45">
        <v>0</v>
      </c>
    </row>
    <row r="1081" spans="1:30">
      <c r="A1081" s="73">
        <v>45949</v>
      </c>
      <c r="B1081" s="24">
        <v>0</v>
      </c>
      <c r="C1081" s="24">
        <v>0</v>
      </c>
      <c r="D1081" s="24">
        <v>0</v>
      </c>
      <c r="E1081" s="24">
        <v>0</v>
      </c>
      <c r="F1081" s="24">
        <v>0</v>
      </c>
      <c r="G1081" s="24">
        <v>0</v>
      </c>
      <c r="H1081" s="24">
        <v>0</v>
      </c>
      <c r="I1081" s="24">
        <v>0</v>
      </c>
      <c r="J1081" s="24">
        <v>0</v>
      </c>
      <c r="L1081" s="45">
        <v>0</v>
      </c>
      <c r="M1081" s="45">
        <v>0</v>
      </c>
      <c r="N1081" s="45">
        <v>0</v>
      </c>
      <c r="O1081" s="45">
        <v>0</v>
      </c>
      <c r="P1081" s="45">
        <v>0</v>
      </c>
      <c r="Q1081" s="45">
        <v>0</v>
      </c>
      <c r="R1081" s="45">
        <v>0</v>
      </c>
      <c r="S1081" s="45">
        <v>0</v>
      </c>
      <c r="T1081" s="45">
        <v>0</v>
      </c>
      <c r="V1081" s="45">
        <v>0</v>
      </c>
      <c r="W1081" s="45">
        <v>0</v>
      </c>
      <c r="X1081" s="45">
        <v>0</v>
      </c>
      <c r="Y1081" s="45">
        <v>0</v>
      </c>
      <c r="Z1081" s="45">
        <v>0</v>
      </c>
      <c r="AA1081" s="45">
        <v>0</v>
      </c>
      <c r="AB1081" s="45">
        <v>0</v>
      </c>
      <c r="AC1081" s="45">
        <v>0</v>
      </c>
      <c r="AD1081" s="45">
        <v>0</v>
      </c>
    </row>
    <row r="1082" spans="1:30">
      <c r="A1082" s="73">
        <v>45950</v>
      </c>
      <c r="B1082" s="24">
        <v>3349</v>
      </c>
      <c r="C1082" s="24">
        <v>596</v>
      </c>
      <c r="D1082" s="24">
        <v>366</v>
      </c>
      <c r="E1082" s="24">
        <v>510</v>
      </c>
      <c r="F1082" s="24">
        <v>653</v>
      </c>
      <c r="G1082" s="24">
        <v>356</v>
      </c>
      <c r="H1082" s="24">
        <v>222</v>
      </c>
      <c r="I1082" s="24">
        <v>176</v>
      </c>
      <c r="J1082" s="24">
        <v>470</v>
      </c>
      <c r="L1082" s="45">
        <v>5.9</v>
      </c>
      <c r="M1082" s="45">
        <v>3.1</v>
      </c>
      <c r="N1082" s="45">
        <v>2.4</v>
      </c>
      <c r="O1082" s="45">
        <v>10.1</v>
      </c>
      <c r="P1082" s="45">
        <v>7.7</v>
      </c>
      <c r="Q1082" s="45">
        <v>10.5</v>
      </c>
      <c r="R1082" s="45">
        <v>2.8</v>
      </c>
      <c r="S1082" s="45">
        <v>1.8</v>
      </c>
      <c r="T1082" s="45">
        <v>4.5</v>
      </c>
      <c r="V1082" s="45">
        <v>8.5</v>
      </c>
      <c r="W1082" s="45">
        <v>10</v>
      </c>
      <c r="X1082" s="45">
        <v>9.300000000000001</v>
      </c>
      <c r="Y1082" s="45">
        <v>7.2</v>
      </c>
      <c r="Z1082" s="45">
        <v>6.1</v>
      </c>
      <c r="AA1082" s="45">
        <v>8.6</v>
      </c>
      <c r="AB1082" s="45">
        <v>9</v>
      </c>
      <c r="AC1082" s="45">
        <v>17.4</v>
      </c>
      <c r="AD1082" s="45">
        <v>7.2</v>
      </c>
    </row>
    <row r="1083" spans="1:30">
      <c r="A1083" s="73">
        <v>45951</v>
      </c>
      <c r="B1083" s="24">
        <v>2981</v>
      </c>
      <c r="C1083" s="24">
        <v>630</v>
      </c>
      <c r="D1083" s="24">
        <v>350</v>
      </c>
      <c r="E1083" s="24">
        <v>443</v>
      </c>
      <c r="F1083" s="24">
        <v>538</v>
      </c>
      <c r="G1083" s="24">
        <v>301</v>
      </c>
      <c r="H1083" s="24">
        <v>175</v>
      </c>
      <c r="I1083" s="24">
        <v>120</v>
      </c>
      <c r="J1083" s="24">
        <v>424</v>
      </c>
      <c r="L1083" s="45">
        <v>5.7</v>
      </c>
      <c r="M1083" s="45">
        <v>2.6</v>
      </c>
      <c r="N1083" s="45">
        <v>3.4</v>
      </c>
      <c r="O1083" s="45">
        <v>10.8</v>
      </c>
      <c r="P1083" s="45">
        <v>5.8</v>
      </c>
      <c r="Q1083" s="45">
        <v>12.7</v>
      </c>
      <c r="R1083" s="45">
        <v>1.6</v>
      </c>
      <c r="S1083" s="45">
        <v>1.1</v>
      </c>
      <c r="T1083" s="45">
        <v>4.6</v>
      </c>
      <c r="V1083" s="45">
        <v>9.300000000000001</v>
      </c>
      <c r="W1083" s="45">
        <v>9.9</v>
      </c>
      <c r="X1083" s="45">
        <v>9.699999999999999</v>
      </c>
      <c r="Y1083" s="45">
        <v>8.5</v>
      </c>
      <c r="Z1083" s="45">
        <v>7.1</v>
      </c>
      <c r="AA1083" s="45">
        <v>9.9</v>
      </c>
      <c r="AB1083" s="45">
        <v>10</v>
      </c>
      <c r="AC1083" s="45">
        <v>23.5</v>
      </c>
      <c r="AD1083" s="45">
        <v>7.3</v>
      </c>
    </row>
    <row r="1084" spans="1:30">
      <c r="A1084" s="73">
        <v>45952</v>
      </c>
      <c r="B1084" s="24">
        <v>2738</v>
      </c>
      <c r="C1084" s="24">
        <v>506</v>
      </c>
      <c r="D1084" s="24">
        <v>283</v>
      </c>
      <c r="E1084" s="24">
        <v>433</v>
      </c>
      <c r="F1084" s="24">
        <v>533</v>
      </c>
      <c r="G1084" s="24">
        <v>293</v>
      </c>
      <c r="H1084" s="24">
        <v>170</v>
      </c>
      <c r="I1084" s="24">
        <v>131</v>
      </c>
      <c r="J1084" s="24">
        <v>389</v>
      </c>
      <c r="L1084" s="45">
        <v>5.1</v>
      </c>
      <c r="M1084" s="45">
        <v>2.4</v>
      </c>
      <c r="N1084" s="45">
        <v>1.7</v>
      </c>
      <c r="O1084" s="45">
        <v>12.4</v>
      </c>
      <c r="P1084" s="45">
        <v>4.1</v>
      </c>
      <c r="Q1084" s="45">
        <v>8.300000000000001</v>
      </c>
      <c r="R1084" s="45">
        <v>2.2</v>
      </c>
      <c r="S1084" s="45">
        <v>1.4</v>
      </c>
      <c r="T1084" s="45">
        <v>4.3</v>
      </c>
      <c r="V1084" s="45">
        <v>10.5</v>
      </c>
      <c r="W1084" s="45">
        <v>11.8</v>
      </c>
      <c r="X1084" s="45">
        <v>11.7</v>
      </c>
      <c r="Y1084" s="45">
        <v>8.300000000000001</v>
      </c>
      <c r="Z1084" s="45">
        <v>8</v>
      </c>
      <c r="AA1084" s="45">
        <v>10.6</v>
      </c>
      <c r="AB1084" s="45">
        <v>11.4</v>
      </c>
      <c r="AC1084" s="45">
        <v>23.6</v>
      </c>
      <c r="AD1084" s="45">
        <v>9.199999999999999</v>
      </c>
    </row>
    <row r="1085" spans="1:30">
      <c r="A1085" s="73">
        <v>45953</v>
      </c>
      <c r="B1085" s="24">
        <v>2890</v>
      </c>
      <c r="C1085" s="24">
        <v>551</v>
      </c>
      <c r="D1085" s="24">
        <v>338</v>
      </c>
      <c r="E1085" s="24">
        <v>476</v>
      </c>
      <c r="F1085" s="24">
        <v>523</v>
      </c>
      <c r="G1085" s="24">
        <v>312</v>
      </c>
      <c r="H1085" s="24">
        <v>178</v>
      </c>
      <c r="I1085" s="24">
        <v>139</v>
      </c>
      <c r="J1085" s="24">
        <v>373</v>
      </c>
      <c r="L1085" s="45">
        <v>5.7</v>
      </c>
      <c r="M1085" s="45">
        <v>2</v>
      </c>
      <c r="N1085" s="45">
        <v>2.6</v>
      </c>
      <c r="O1085" s="45">
        <v>9</v>
      </c>
      <c r="P1085" s="45">
        <v>6.4</v>
      </c>
      <c r="Q1085" s="45">
        <v>18.2</v>
      </c>
      <c r="R1085" s="45">
        <v>1.9</v>
      </c>
      <c r="S1085" s="45">
        <v>0.7</v>
      </c>
      <c r="T1085" s="45">
        <v>2.4</v>
      </c>
      <c r="V1085" s="45">
        <v>9.5</v>
      </c>
      <c r="W1085" s="45">
        <v>10.9</v>
      </c>
      <c r="X1085" s="45">
        <v>9.4</v>
      </c>
      <c r="Y1085" s="45">
        <v>7.7</v>
      </c>
      <c r="Z1085" s="45">
        <v>6.9</v>
      </c>
      <c r="AA1085" s="45">
        <v>9.6</v>
      </c>
      <c r="AB1085" s="45">
        <v>10.2</v>
      </c>
      <c r="AC1085" s="45">
        <v>21.4</v>
      </c>
      <c r="AD1085" s="45">
        <v>8.699999999999999</v>
      </c>
    </row>
    <row r="1086" spans="1:30">
      <c r="A1086" s="73">
        <v>45954</v>
      </c>
      <c r="B1086" s="24">
        <v>3111</v>
      </c>
      <c r="C1086" s="24">
        <v>515</v>
      </c>
      <c r="D1086" s="24">
        <v>368</v>
      </c>
      <c r="E1086" s="24">
        <v>530</v>
      </c>
      <c r="F1086" s="24">
        <v>586</v>
      </c>
      <c r="G1086" s="24">
        <v>322</v>
      </c>
      <c r="H1086" s="24">
        <v>193</v>
      </c>
      <c r="I1086" s="24">
        <v>133</v>
      </c>
      <c r="J1086" s="24">
        <v>464</v>
      </c>
      <c r="L1086" s="45">
        <v>6.1</v>
      </c>
      <c r="M1086" s="45">
        <v>2.5</v>
      </c>
      <c r="N1086" s="45">
        <v>3.2</v>
      </c>
      <c r="O1086" s="45">
        <v>13.8</v>
      </c>
      <c r="P1086" s="45">
        <v>6.5</v>
      </c>
      <c r="Q1086" s="45">
        <v>9.800000000000001</v>
      </c>
      <c r="R1086" s="45">
        <v>2</v>
      </c>
      <c r="S1086" s="45">
        <v>0.8</v>
      </c>
      <c r="T1086" s="45">
        <v>3.8</v>
      </c>
      <c r="V1086" s="45">
        <v>9.1</v>
      </c>
      <c r="W1086" s="45">
        <v>12.1</v>
      </c>
      <c r="X1086" s="45">
        <v>9.6</v>
      </c>
      <c r="Y1086" s="45">
        <v>6.6</v>
      </c>
      <c r="Z1086" s="45">
        <v>6.8</v>
      </c>
      <c r="AA1086" s="45">
        <v>10.2</v>
      </c>
      <c r="AB1086" s="45">
        <v>8.9</v>
      </c>
      <c r="AC1086" s="45">
        <v>18.8</v>
      </c>
      <c r="AD1086" s="45">
        <v>7.8</v>
      </c>
    </row>
    <row r="1087" spans="1:30">
      <c r="A1087" s="73">
        <v>45955</v>
      </c>
      <c r="B1087" s="24">
        <v>0</v>
      </c>
      <c r="C1087" s="24">
        <v>0</v>
      </c>
      <c r="D1087" s="24">
        <v>0</v>
      </c>
      <c r="E1087" s="24">
        <v>0</v>
      </c>
      <c r="F1087" s="24">
        <v>0</v>
      </c>
      <c r="G1087" s="24">
        <v>0</v>
      </c>
      <c r="H1087" s="24">
        <v>0</v>
      </c>
      <c r="I1087" s="24">
        <v>0</v>
      </c>
      <c r="J1087" s="24">
        <v>0</v>
      </c>
      <c r="L1087" s="45">
        <v>0</v>
      </c>
      <c r="M1087" s="45">
        <v>0</v>
      </c>
      <c r="N1087" s="45">
        <v>0</v>
      </c>
      <c r="O1087" s="45">
        <v>0</v>
      </c>
      <c r="P1087" s="45">
        <v>0</v>
      </c>
      <c r="Q1087" s="45">
        <v>0</v>
      </c>
      <c r="R1087" s="45">
        <v>0</v>
      </c>
      <c r="S1087" s="45">
        <v>0</v>
      </c>
      <c r="T1087" s="45">
        <v>0</v>
      </c>
      <c r="V1087" s="45">
        <v>0</v>
      </c>
      <c r="W1087" s="45">
        <v>0</v>
      </c>
      <c r="X1087" s="45">
        <v>0</v>
      </c>
      <c r="Y1087" s="45">
        <v>0</v>
      </c>
      <c r="Z1087" s="45">
        <v>0</v>
      </c>
      <c r="AA1087" s="45">
        <v>0</v>
      </c>
      <c r="AB1087" s="45">
        <v>0</v>
      </c>
      <c r="AC1087" s="45">
        <v>0</v>
      </c>
      <c r="AD1087" s="45">
        <v>0</v>
      </c>
    </row>
    <row r="1088" spans="1:30">
      <c r="A1088" s="73">
        <v>45956</v>
      </c>
      <c r="B1088" s="24">
        <v>0</v>
      </c>
      <c r="C1088" s="24">
        <v>0</v>
      </c>
      <c r="D1088" s="24">
        <v>0</v>
      </c>
      <c r="E1088" s="24">
        <v>0</v>
      </c>
      <c r="F1088" s="24">
        <v>0</v>
      </c>
      <c r="G1088" s="24">
        <v>0</v>
      </c>
      <c r="H1088" s="24">
        <v>0</v>
      </c>
      <c r="I1088" s="24">
        <v>0</v>
      </c>
      <c r="J1088" s="24">
        <v>0</v>
      </c>
      <c r="L1088" s="45">
        <v>0</v>
      </c>
      <c r="M1088" s="45">
        <v>0</v>
      </c>
      <c r="N1088" s="45">
        <v>0</v>
      </c>
      <c r="O1088" s="45">
        <v>0</v>
      </c>
      <c r="P1088" s="45">
        <v>0</v>
      </c>
      <c r="Q1088" s="45">
        <v>0</v>
      </c>
      <c r="R1088" s="45">
        <v>0</v>
      </c>
      <c r="S1088" s="45">
        <v>0</v>
      </c>
      <c r="T1088" s="45">
        <v>0</v>
      </c>
      <c r="V1088" s="45">
        <v>0</v>
      </c>
      <c r="W1088" s="45">
        <v>0</v>
      </c>
      <c r="X1088" s="45">
        <v>0</v>
      </c>
      <c r="Y1088" s="45">
        <v>0</v>
      </c>
      <c r="Z1088" s="45">
        <v>0</v>
      </c>
      <c r="AA1088" s="45">
        <v>0</v>
      </c>
      <c r="AB1088" s="45">
        <v>0</v>
      </c>
      <c r="AC1088" s="45">
        <v>0</v>
      </c>
      <c r="AD1088" s="45">
        <v>0</v>
      </c>
    </row>
    <row r="1089" spans="1:30">
      <c r="A1089" s="73">
        <v>45957</v>
      </c>
      <c r="B1089" s="24">
        <v>3571</v>
      </c>
      <c r="C1089" s="24">
        <v>647</v>
      </c>
      <c r="D1089" s="24">
        <v>447</v>
      </c>
      <c r="E1089" s="24">
        <v>575</v>
      </c>
      <c r="F1089" s="24">
        <v>653</v>
      </c>
      <c r="G1089" s="24">
        <v>343</v>
      </c>
      <c r="H1089" s="24">
        <v>224</v>
      </c>
      <c r="I1089" s="24">
        <v>186</v>
      </c>
      <c r="J1089" s="24">
        <v>496</v>
      </c>
      <c r="L1089" s="45">
        <v>7.5</v>
      </c>
      <c r="M1089" s="45">
        <v>2</v>
      </c>
      <c r="N1089" s="45">
        <v>3.3</v>
      </c>
      <c r="O1089" s="45">
        <v>16.6</v>
      </c>
      <c r="P1089" s="45">
        <v>11.1</v>
      </c>
      <c r="Q1089" s="45">
        <v>11.7</v>
      </c>
      <c r="R1089" s="45">
        <v>2.4</v>
      </c>
      <c r="S1089" s="45">
        <v>1.2</v>
      </c>
      <c r="T1089" s="45">
        <v>5.2</v>
      </c>
      <c r="V1089" s="45">
        <v>8</v>
      </c>
      <c r="W1089" s="45">
        <v>9.1</v>
      </c>
      <c r="X1089" s="45">
        <v>8.199999999999999</v>
      </c>
      <c r="Y1089" s="45">
        <v>6.5</v>
      </c>
      <c r="Z1089" s="45">
        <v>5.9</v>
      </c>
      <c r="AA1089" s="45">
        <v>8.9</v>
      </c>
      <c r="AB1089" s="45">
        <v>7.7</v>
      </c>
      <c r="AC1089" s="45">
        <v>15.6</v>
      </c>
      <c r="AD1089" s="45">
        <v>8.1</v>
      </c>
    </row>
    <row r="1090" spans="1:30">
      <c r="A1090" s="73">
        <v>45958</v>
      </c>
      <c r="B1090" s="24">
        <v>2816</v>
      </c>
      <c r="C1090" s="24">
        <v>509</v>
      </c>
      <c r="D1090" s="24">
        <v>313</v>
      </c>
      <c r="E1090" s="24">
        <v>446</v>
      </c>
      <c r="F1090" s="24">
        <v>518</v>
      </c>
      <c r="G1090" s="24">
        <v>319</v>
      </c>
      <c r="H1090" s="24">
        <v>193</v>
      </c>
      <c r="I1090" s="24">
        <v>139</v>
      </c>
      <c r="J1090" s="24">
        <v>379</v>
      </c>
      <c r="L1090" s="45">
        <v>4.7</v>
      </c>
      <c r="M1090" s="45">
        <v>1</v>
      </c>
      <c r="N1090" s="45">
        <v>2.2</v>
      </c>
      <c r="O1090" s="45">
        <v>10.4</v>
      </c>
      <c r="P1090" s="45">
        <v>5.3</v>
      </c>
      <c r="Q1090" s="45">
        <v>9.5</v>
      </c>
      <c r="R1090" s="45">
        <v>2.6</v>
      </c>
      <c r="S1090" s="45">
        <v>1</v>
      </c>
      <c r="T1090" s="45">
        <v>2.5</v>
      </c>
      <c r="V1090" s="45">
        <v>9.699999999999999</v>
      </c>
      <c r="W1090" s="45">
        <v>11.2</v>
      </c>
      <c r="X1090" s="45">
        <v>9.800000000000001</v>
      </c>
      <c r="Y1090" s="45">
        <v>7.9</v>
      </c>
      <c r="Z1090" s="45">
        <v>7.6</v>
      </c>
      <c r="AA1090" s="45">
        <v>9.1</v>
      </c>
      <c r="AB1090" s="45">
        <v>8.699999999999999</v>
      </c>
      <c r="AC1090" s="45">
        <v>20.4</v>
      </c>
      <c r="AD1090" s="45">
        <v>10.2</v>
      </c>
    </row>
    <row r="1091" spans="1:30">
      <c r="A1091" s="73">
        <v>45959</v>
      </c>
      <c r="B1091" s="24">
        <v>3008</v>
      </c>
      <c r="C1091" s="24">
        <v>569</v>
      </c>
      <c r="D1091" s="24">
        <v>338</v>
      </c>
      <c r="E1091" s="24">
        <v>462</v>
      </c>
      <c r="F1091" s="24">
        <v>583</v>
      </c>
      <c r="G1091" s="24">
        <v>317</v>
      </c>
      <c r="H1091" s="24">
        <v>171</v>
      </c>
      <c r="I1091" s="24">
        <v>143</v>
      </c>
      <c r="J1091" s="24">
        <v>425</v>
      </c>
      <c r="L1091" s="45">
        <v>5.8</v>
      </c>
      <c r="M1091" s="45">
        <v>1.7</v>
      </c>
      <c r="N1091" s="45">
        <v>2.3</v>
      </c>
      <c r="O1091" s="45">
        <v>14.3</v>
      </c>
      <c r="P1091" s="45">
        <v>5</v>
      </c>
      <c r="Q1091" s="45">
        <v>10.5</v>
      </c>
      <c r="R1091" s="45">
        <v>1.7</v>
      </c>
      <c r="S1091" s="45">
        <v>1.4</v>
      </c>
      <c r="T1091" s="45">
        <v>5.8</v>
      </c>
      <c r="V1091" s="45">
        <v>9.4</v>
      </c>
      <c r="W1091" s="45">
        <v>9.6</v>
      </c>
      <c r="X1091" s="45">
        <v>11</v>
      </c>
      <c r="Y1091" s="45">
        <v>8</v>
      </c>
      <c r="Z1091" s="45">
        <v>6.9</v>
      </c>
      <c r="AA1091" s="45">
        <v>9.4</v>
      </c>
      <c r="AB1091" s="45">
        <v>10.7</v>
      </c>
      <c r="AC1091" s="45">
        <v>18.9</v>
      </c>
      <c r="AD1091" s="45">
        <v>9</v>
      </c>
    </row>
    <row r="1092" spans="1:30">
      <c r="A1092" s="73">
        <v>45960</v>
      </c>
      <c r="B1092" s="24">
        <v>2761</v>
      </c>
      <c r="C1092" s="24">
        <v>577</v>
      </c>
      <c r="D1092" s="24">
        <v>335</v>
      </c>
      <c r="E1092" s="24">
        <v>417</v>
      </c>
      <c r="F1092" s="24">
        <v>475</v>
      </c>
      <c r="G1092" s="24">
        <v>287</v>
      </c>
      <c r="H1092" s="24">
        <v>139</v>
      </c>
      <c r="I1092" s="24">
        <v>130</v>
      </c>
      <c r="J1092" s="24">
        <v>401</v>
      </c>
      <c r="L1092" s="45">
        <v>4.7</v>
      </c>
      <c r="M1092" s="45">
        <v>2.2</v>
      </c>
      <c r="N1092" s="45">
        <v>2</v>
      </c>
      <c r="O1092" s="45">
        <v>11.5</v>
      </c>
      <c r="P1092" s="45">
        <v>3.6</v>
      </c>
      <c r="Q1092" s="45">
        <v>9.9</v>
      </c>
      <c r="R1092" s="45">
        <v>1.3</v>
      </c>
      <c r="S1092" s="45">
        <v>0.7</v>
      </c>
      <c r="T1092" s="45">
        <v>3.7</v>
      </c>
      <c r="V1092" s="45">
        <v>9.9</v>
      </c>
      <c r="W1092" s="45">
        <v>9.9</v>
      </c>
      <c r="X1092" s="45">
        <v>10.6</v>
      </c>
      <c r="Y1092" s="45">
        <v>8.5</v>
      </c>
      <c r="Z1092" s="45">
        <v>8.4</v>
      </c>
      <c r="AA1092" s="45">
        <v>10.3</v>
      </c>
      <c r="AB1092" s="45">
        <v>12.5</v>
      </c>
      <c r="AC1092" s="45">
        <v>18.4</v>
      </c>
      <c r="AD1092" s="45">
        <v>8.6</v>
      </c>
    </row>
    <row r="1093" spans="1:30">
      <c r="A1093" s="73">
        <v>45961</v>
      </c>
      <c r="B1093" s="24">
        <v>2661</v>
      </c>
      <c r="C1093" s="24">
        <v>478</v>
      </c>
      <c r="D1093" s="24">
        <v>284</v>
      </c>
      <c r="E1093" s="24">
        <v>420</v>
      </c>
      <c r="F1093" s="24">
        <v>513</v>
      </c>
      <c r="G1093" s="24">
        <v>258</v>
      </c>
      <c r="H1093" s="24">
        <v>185</v>
      </c>
      <c r="I1093" s="24">
        <v>157</v>
      </c>
      <c r="J1093" s="24">
        <v>366</v>
      </c>
      <c r="L1093" s="45">
        <v>4.4</v>
      </c>
      <c r="M1093" s="45">
        <v>1.4</v>
      </c>
      <c r="N1093" s="45">
        <v>1.8</v>
      </c>
      <c r="O1093" s="45">
        <v>10.2</v>
      </c>
      <c r="P1093" s="45">
        <v>4.8</v>
      </c>
      <c r="Q1093" s="45">
        <v>7</v>
      </c>
      <c r="R1093" s="45">
        <v>1.6</v>
      </c>
      <c r="S1093" s="45">
        <v>1.6</v>
      </c>
      <c r="T1093" s="45">
        <v>3.8</v>
      </c>
      <c r="V1093" s="45">
        <v>10.8</v>
      </c>
      <c r="W1093" s="45">
        <v>12.8</v>
      </c>
      <c r="X1093" s="45">
        <v>11.8</v>
      </c>
      <c r="Y1093" s="45">
        <v>8.9</v>
      </c>
      <c r="Z1093" s="45">
        <v>8.5</v>
      </c>
      <c r="AA1093" s="45">
        <v>12.5</v>
      </c>
      <c r="AB1093" s="45">
        <v>9.699999999999999</v>
      </c>
      <c r="AC1093" s="45">
        <v>18.6</v>
      </c>
      <c r="AD1093" s="45">
        <v>8.9</v>
      </c>
    </row>
    <row r="1094" spans="1:30">
      <c r="A1094" s="73">
        <v>45962</v>
      </c>
      <c r="B1094" s="24">
        <v>0</v>
      </c>
      <c r="C1094" s="24">
        <v>0</v>
      </c>
      <c r="D1094" s="24">
        <v>0</v>
      </c>
      <c r="E1094" s="24">
        <v>0</v>
      </c>
      <c r="F1094" s="24">
        <v>0</v>
      </c>
      <c r="G1094" s="24">
        <v>0</v>
      </c>
      <c r="H1094" s="24">
        <v>0</v>
      </c>
      <c r="I1094" s="24">
        <v>0</v>
      </c>
      <c r="J1094" s="24">
        <v>0</v>
      </c>
      <c r="L1094" s="45">
        <v>0</v>
      </c>
      <c r="M1094" s="45">
        <v>0</v>
      </c>
      <c r="N1094" s="45">
        <v>0</v>
      </c>
      <c r="O1094" s="45">
        <v>0</v>
      </c>
      <c r="P1094" s="45">
        <v>0</v>
      </c>
      <c r="Q1094" s="45">
        <v>0</v>
      </c>
      <c r="R1094" s="45">
        <v>0</v>
      </c>
      <c r="S1094" s="45">
        <v>0</v>
      </c>
      <c r="T1094" s="45">
        <v>0</v>
      </c>
      <c r="V1094" s="45">
        <v>0</v>
      </c>
      <c r="W1094" s="45">
        <v>0</v>
      </c>
      <c r="X1094" s="45">
        <v>0</v>
      </c>
      <c r="Y1094" s="45">
        <v>0</v>
      </c>
      <c r="Z1094" s="45">
        <v>0</v>
      </c>
      <c r="AA1094" s="45">
        <v>0</v>
      </c>
      <c r="AB1094" s="45">
        <v>0</v>
      </c>
      <c r="AC1094" s="45">
        <v>0</v>
      </c>
      <c r="AD1094" s="45">
        <v>0</v>
      </c>
    </row>
    <row r="1095" spans="1:30">
      <c r="A1095" s="73">
        <v>45963</v>
      </c>
      <c r="B1095" s="24">
        <v>0</v>
      </c>
      <c r="C1095" s="24">
        <v>0</v>
      </c>
      <c r="D1095" s="24">
        <v>0</v>
      </c>
      <c r="E1095" s="24">
        <v>0</v>
      </c>
      <c r="F1095" s="24">
        <v>0</v>
      </c>
      <c r="G1095" s="24">
        <v>0</v>
      </c>
      <c r="H1095" s="24">
        <v>0</v>
      </c>
      <c r="I1095" s="24">
        <v>0</v>
      </c>
      <c r="J1095" s="24">
        <v>0</v>
      </c>
      <c r="L1095" s="45">
        <v>0</v>
      </c>
      <c r="M1095" s="45">
        <v>0</v>
      </c>
      <c r="N1095" s="45">
        <v>0</v>
      </c>
      <c r="O1095" s="45">
        <v>0</v>
      </c>
      <c r="P1095" s="45">
        <v>0</v>
      </c>
      <c r="Q1095" s="45">
        <v>0</v>
      </c>
      <c r="R1095" s="45">
        <v>0</v>
      </c>
      <c r="S1095" s="45">
        <v>0</v>
      </c>
      <c r="T1095" s="45">
        <v>0</v>
      </c>
      <c r="V1095" s="45">
        <v>0</v>
      </c>
      <c r="W1095" s="45">
        <v>0</v>
      </c>
      <c r="X1095" s="45">
        <v>0</v>
      </c>
      <c r="Y1095" s="45">
        <v>0</v>
      </c>
      <c r="Z1095" s="45">
        <v>0</v>
      </c>
      <c r="AA1095" s="45">
        <v>0</v>
      </c>
      <c r="AB1095" s="45">
        <v>0</v>
      </c>
      <c r="AC1095" s="45">
        <v>0</v>
      </c>
      <c r="AD1095" s="45">
        <v>0</v>
      </c>
    </row>
    <row r="1096" spans="1:30">
      <c r="A1096" s="73">
        <v>45964</v>
      </c>
      <c r="B1096" s="24">
        <v>0</v>
      </c>
      <c r="C1096" s="24">
        <v>0</v>
      </c>
      <c r="D1096" s="24">
        <v>0</v>
      </c>
      <c r="E1096" s="24">
        <v>0</v>
      </c>
      <c r="F1096" s="24">
        <v>0</v>
      </c>
      <c r="G1096" s="24">
        <v>0</v>
      </c>
      <c r="H1096" s="24">
        <v>0</v>
      </c>
      <c r="I1096" s="24">
        <v>0</v>
      </c>
      <c r="J1096" s="24">
        <v>0</v>
      </c>
      <c r="L1096" s="45">
        <v>0</v>
      </c>
      <c r="M1096" s="45">
        <v>0</v>
      </c>
      <c r="N1096" s="45">
        <v>0</v>
      </c>
      <c r="O1096" s="45">
        <v>0</v>
      </c>
      <c r="P1096" s="45">
        <v>0</v>
      </c>
      <c r="Q1096" s="45">
        <v>0</v>
      </c>
      <c r="R1096" s="45">
        <v>0</v>
      </c>
      <c r="S1096" s="45">
        <v>0</v>
      </c>
      <c r="T1096" s="45">
        <v>0</v>
      </c>
      <c r="V1096" s="45">
        <v>0</v>
      </c>
      <c r="W1096" s="45">
        <v>0</v>
      </c>
      <c r="X1096" s="45">
        <v>0</v>
      </c>
      <c r="Y1096" s="45">
        <v>0</v>
      </c>
      <c r="Z1096" s="45">
        <v>0</v>
      </c>
      <c r="AA1096" s="45">
        <v>0</v>
      </c>
      <c r="AB1096" s="45">
        <v>0</v>
      </c>
      <c r="AC1096" s="45">
        <v>0</v>
      </c>
      <c r="AD1096" s="45">
        <v>0</v>
      </c>
    </row>
    <row r="1097" spans="1:30">
      <c r="A1097" s="73">
        <v>45965</v>
      </c>
      <c r="B1097" s="24">
        <v>3114</v>
      </c>
      <c r="C1097" s="24">
        <v>728</v>
      </c>
      <c r="D1097" s="24">
        <v>437</v>
      </c>
      <c r="E1097" s="24">
        <v>0</v>
      </c>
      <c r="F1097" s="24">
        <v>672</v>
      </c>
      <c r="G1097" s="24">
        <v>326</v>
      </c>
      <c r="H1097" s="24">
        <v>277</v>
      </c>
      <c r="I1097" s="24">
        <v>185</v>
      </c>
      <c r="J1097" s="24">
        <v>489</v>
      </c>
      <c r="L1097" s="45">
        <v>7</v>
      </c>
      <c r="M1097" s="45">
        <v>5.9</v>
      </c>
      <c r="N1097" s="45">
        <v>5.5</v>
      </c>
      <c r="O1097" s="45">
        <v>0</v>
      </c>
      <c r="P1097" s="45">
        <v>9.4</v>
      </c>
      <c r="Q1097" s="45">
        <v>13.1</v>
      </c>
      <c r="R1097" s="45">
        <v>5.7</v>
      </c>
      <c r="S1097" s="45">
        <v>2</v>
      </c>
      <c r="T1097" s="45">
        <v>5.4</v>
      </c>
      <c r="V1097" s="45">
        <v>8.1</v>
      </c>
      <c r="W1097" s="45">
        <v>8.6</v>
      </c>
      <c r="X1097" s="45">
        <v>7.8</v>
      </c>
      <c r="Y1097" s="45">
        <v>0</v>
      </c>
      <c r="Z1097" s="45">
        <v>6.2</v>
      </c>
      <c r="AA1097" s="45">
        <v>8.6</v>
      </c>
      <c r="AB1097" s="45">
        <v>7</v>
      </c>
      <c r="AC1097" s="45">
        <v>15.9</v>
      </c>
      <c r="AD1097" s="45">
        <v>7.6</v>
      </c>
    </row>
    <row r="1098" spans="1:30">
      <c r="A1098" s="73">
        <v>45966</v>
      </c>
      <c r="B1098" s="24">
        <v>2925</v>
      </c>
      <c r="C1098" s="24">
        <v>621</v>
      </c>
      <c r="D1098" s="24">
        <v>398</v>
      </c>
      <c r="E1098" s="24">
        <v>0</v>
      </c>
      <c r="F1098" s="24">
        <v>641</v>
      </c>
      <c r="G1098" s="24">
        <v>362</v>
      </c>
      <c r="H1098" s="24">
        <v>226</v>
      </c>
      <c r="I1098" s="24">
        <v>144</v>
      </c>
      <c r="J1098" s="24">
        <v>533</v>
      </c>
      <c r="L1098" s="45">
        <v>6.4</v>
      </c>
      <c r="M1098" s="45">
        <v>3.8</v>
      </c>
      <c r="N1098" s="45">
        <v>4.2</v>
      </c>
      <c r="O1098" s="45">
        <v>0</v>
      </c>
      <c r="P1098" s="45">
        <v>6.2</v>
      </c>
      <c r="Q1098" s="45">
        <v>17.4</v>
      </c>
      <c r="R1098" s="45">
        <v>3.3</v>
      </c>
      <c r="S1098" s="45">
        <v>1</v>
      </c>
      <c r="T1098" s="45">
        <v>6.7</v>
      </c>
      <c r="V1098" s="45">
        <v>8.300000000000001</v>
      </c>
      <c r="W1098" s="45">
        <v>8.699999999999999</v>
      </c>
      <c r="X1098" s="45">
        <v>9.6</v>
      </c>
      <c r="Y1098" s="45">
        <v>0</v>
      </c>
      <c r="Z1098" s="45">
        <v>6.3</v>
      </c>
      <c r="AA1098" s="45">
        <v>8.300000000000001</v>
      </c>
      <c r="AB1098" s="45">
        <v>8.5</v>
      </c>
      <c r="AC1098" s="45">
        <v>17.8</v>
      </c>
      <c r="AD1098" s="45">
        <v>6.9</v>
      </c>
    </row>
    <row r="1099" spans="1:30">
      <c r="A1099" s="73">
        <v>45967</v>
      </c>
      <c r="B1099" s="24">
        <v>2669</v>
      </c>
      <c r="C1099" s="24">
        <v>590</v>
      </c>
      <c r="D1099" s="24">
        <v>350</v>
      </c>
      <c r="E1099" s="24">
        <v>0</v>
      </c>
      <c r="F1099" s="24">
        <v>595</v>
      </c>
      <c r="G1099" s="24">
        <v>329</v>
      </c>
      <c r="H1099" s="24">
        <v>190</v>
      </c>
      <c r="I1099" s="24">
        <v>141</v>
      </c>
      <c r="J1099" s="24">
        <v>474</v>
      </c>
      <c r="L1099" s="45">
        <v>6</v>
      </c>
      <c r="M1099" s="45">
        <v>2.8</v>
      </c>
      <c r="N1099" s="45">
        <v>2.1</v>
      </c>
      <c r="O1099" s="45">
        <v>0</v>
      </c>
      <c r="P1099" s="45">
        <v>7.5</v>
      </c>
      <c r="Q1099" s="45">
        <v>19.2</v>
      </c>
      <c r="R1099" s="45">
        <v>2.8</v>
      </c>
      <c r="S1099" s="45">
        <v>1.8</v>
      </c>
      <c r="T1099" s="45">
        <v>4.4</v>
      </c>
      <c r="V1099" s="45">
        <v>9.300000000000001</v>
      </c>
      <c r="W1099" s="45">
        <v>9.9</v>
      </c>
      <c r="X1099" s="45">
        <v>10</v>
      </c>
      <c r="Y1099" s="45">
        <v>0</v>
      </c>
      <c r="Z1099" s="45">
        <v>7.2</v>
      </c>
      <c r="AA1099" s="45">
        <v>8.9</v>
      </c>
      <c r="AB1099" s="45">
        <v>9.699999999999999</v>
      </c>
      <c r="AC1099" s="45">
        <v>18.8</v>
      </c>
      <c r="AD1099" s="45">
        <v>8.1</v>
      </c>
    </row>
    <row r="1100" spans="1:30">
      <c r="A1100" s="73">
        <v>45968</v>
      </c>
      <c r="B1100" s="24">
        <v>2659</v>
      </c>
      <c r="C1100" s="24">
        <v>561</v>
      </c>
      <c r="D1100" s="24">
        <v>359</v>
      </c>
      <c r="E1100" s="24">
        <v>0</v>
      </c>
      <c r="F1100" s="24">
        <v>615</v>
      </c>
      <c r="G1100" s="24">
        <v>316</v>
      </c>
      <c r="H1100" s="24">
        <v>214</v>
      </c>
      <c r="I1100" s="24">
        <v>150</v>
      </c>
      <c r="J1100" s="24">
        <v>444</v>
      </c>
      <c r="L1100" s="45">
        <v>5.1</v>
      </c>
      <c r="M1100" s="45">
        <v>2.4</v>
      </c>
      <c r="N1100" s="45">
        <v>2.2</v>
      </c>
      <c r="O1100" s="45">
        <v>0</v>
      </c>
      <c r="P1100" s="45">
        <v>7.5</v>
      </c>
      <c r="Q1100" s="45">
        <v>14.5</v>
      </c>
      <c r="R1100" s="45">
        <v>2.5</v>
      </c>
      <c r="S1100" s="45">
        <v>1.5</v>
      </c>
      <c r="T1100" s="45">
        <v>3.5</v>
      </c>
      <c r="V1100" s="45">
        <v>9.300000000000001</v>
      </c>
      <c r="W1100" s="45">
        <v>9.5</v>
      </c>
      <c r="X1100" s="45">
        <v>10.2</v>
      </c>
      <c r="Y1100" s="45">
        <v>0</v>
      </c>
      <c r="Z1100" s="45">
        <v>6.7</v>
      </c>
      <c r="AA1100" s="45">
        <v>9.5</v>
      </c>
      <c r="AB1100" s="45">
        <v>9.9</v>
      </c>
      <c r="AC1100" s="45">
        <v>18.9</v>
      </c>
      <c r="AD1100" s="45">
        <v>8.5</v>
      </c>
    </row>
    <row r="1101" spans="1:30">
      <c r="A1101" s="73">
        <v>45969</v>
      </c>
      <c r="B1101" s="24">
        <v>0</v>
      </c>
      <c r="C1101" s="24">
        <v>0</v>
      </c>
      <c r="D1101" s="24">
        <v>0</v>
      </c>
      <c r="E1101" s="24">
        <v>0</v>
      </c>
      <c r="F1101" s="24">
        <v>0</v>
      </c>
      <c r="G1101" s="24">
        <v>0</v>
      </c>
      <c r="H1101" s="24">
        <v>0</v>
      </c>
      <c r="I1101" s="24">
        <v>0</v>
      </c>
      <c r="J1101" s="24">
        <v>0</v>
      </c>
      <c r="L1101" s="45">
        <v>0</v>
      </c>
      <c r="M1101" s="45">
        <v>0</v>
      </c>
      <c r="N1101" s="45">
        <v>0</v>
      </c>
      <c r="O1101" s="45">
        <v>0</v>
      </c>
      <c r="P1101" s="45">
        <v>0</v>
      </c>
      <c r="Q1101" s="45">
        <v>0</v>
      </c>
      <c r="R1101" s="45">
        <v>0</v>
      </c>
      <c r="S1101" s="45">
        <v>0</v>
      </c>
      <c r="T1101" s="45">
        <v>0</v>
      </c>
      <c r="V1101" s="45">
        <v>0</v>
      </c>
      <c r="W1101" s="45">
        <v>0</v>
      </c>
      <c r="X1101" s="45">
        <v>0</v>
      </c>
      <c r="Y1101" s="45">
        <v>0</v>
      </c>
      <c r="Z1101" s="45">
        <v>0</v>
      </c>
      <c r="AA1101" s="45">
        <v>0</v>
      </c>
      <c r="AB1101" s="45">
        <v>0</v>
      </c>
      <c r="AC1101" s="45">
        <v>0</v>
      </c>
      <c r="AD1101" s="45">
        <v>0</v>
      </c>
    </row>
    <row r="1102" spans="1:30">
      <c r="A1102" s="73">
        <v>45970</v>
      </c>
      <c r="B1102" s="24">
        <v>133</v>
      </c>
      <c r="C1102" s="24">
        <v>64</v>
      </c>
      <c r="D1102" s="24">
        <v>61</v>
      </c>
      <c r="E1102" s="24">
        <v>0</v>
      </c>
      <c r="F1102" s="24">
        <v>0</v>
      </c>
      <c r="G1102" s="24">
        <v>0</v>
      </c>
      <c r="H1102" s="24">
        <v>0</v>
      </c>
      <c r="I1102" s="24">
        <v>8</v>
      </c>
      <c r="J1102" s="24">
        <v>0</v>
      </c>
      <c r="L1102" s="45">
        <v>1.5</v>
      </c>
      <c r="M1102" s="45">
        <v>1.6</v>
      </c>
      <c r="N1102" s="45">
        <v>1.2</v>
      </c>
      <c r="O1102" s="45">
        <v>0</v>
      </c>
      <c r="P1102" s="45">
        <v>0</v>
      </c>
      <c r="Q1102" s="45">
        <v>0</v>
      </c>
      <c r="R1102" s="45">
        <v>0</v>
      </c>
      <c r="S1102" s="45">
        <v>2.5</v>
      </c>
      <c r="T1102" s="45">
        <v>0</v>
      </c>
      <c r="V1102" s="45">
        <v>4.5</v>
      </c>
      <c r="W1102" s="45">
        <v>3.2</v>
      </c>
      <c r="X1102" s="45">
        <v>3.5</v>
      </c>
      <c r="Y1102" s="45">
        <v>0</v>
      </c>
      <c r="Z1102" s="45">
        <v>0</v>
      </c>
      <c r="AA1102" s="45">
        <v>0</v>
      </c>
      <c r="AB1102" s="45">
        <v>0</v>
      </c>
      <c r="AC1102" s="45">
        <v>25.5</v>
      </c>
      <c r="AD1102" s="45">
        <v>0</v>
      </c>
    </row>
    <row r="1103" spans="1:30">
      <c r="A1103" s="73">
        <v>45971</v>
      </c>
      <c r="B1103" s="24">
        <v>2945</v>
      </c>
      <c r="C1103" s="24">
        <v>627</v>
      </c>
      <c r="D1103" s="24">
        <v>380</v>
      </c>
      <c r="E1103" s="24">
        <v>0</v>
      </c>
      <c r="F1103" s="24">
        <v>694</v>
      </c>
      <c r="G1103" s="24">
        <v>375</v>
      </c>
      <c r="H1103" s="24">
        <v>218</v>
      </c>
      <c r="I1103" s="24">
        <v>190</v>
      </c>
      <c r="J1103" s="24">
        <v>461</v>
      </c>
      <c r="L1103" s="45">
        <v>6.7</v>
      </c>
      <c r="M1103" s="45">
        <v>2.6</v>
      </c>
      <c r="N1103" s="45">
        <v>3.3</v>
      </c>
      <c r="O1103" s="45">
        <v>0</v>
      </c>
      <c r="P1103" s="45">
        <v>10.5</v>
      </c>
      <c r="Q1103" s="45">
        <v>16</v>
      </c>
      <c r="R1103" s="45">
        <v>4.2</v>
      </c>
      <c r="S1103" s="45">
        <v>1.7</v>
      </c>
      <c r="T1103" s="45">
        <v>5.1</v>
      </c>
      <c r="V1103" s="45">
        <v>8.5</v>
      </c>
      <c r="W1103" s="45">
        <v>9.5</v>
      </c>
      <c r="X1103" s="45">
        <v>9.199999999999999</v>
      </c>
      <c r="Y1103" s="45">
        <v>0</v>
      </c>
      <c r="Z1103" s="45">
        <v>5.7</v>
      </c>
      <c r="AA1103" s="45">
        <v>7.7</v>
      </c>
      <c r="AB1103" s="45">
        <v>8.199999999999999</v>
      </c>
      <c r="AC1103" s="45">
        <v>14.8</v>
      </c>
      <c r="AD1103" s="45">
        <v>9</v>
      </c>
    </row>
    <row r="1104" spans="1:30">
      <c r="A1104" s="73">
        <v>45972</v>
      </c>
      <c r="B1104" s="24">
        <v>2566</v>
      </c>
      <c r="C1104" s="24">
        <v>605</v>
      </c>
      <c r="D1104" s="24">
        <v>308</v>
      </c>
      <c r="E1104" s="24">
        <v>0</v>
      </c>
      <c r="F1104" s="24">
        <v>595</v>
      </c>
      <c r="G1104" s="24">
        <v>349</v>
      </c>
      <c r="H1104" s="24">
        <v>191</v>
      </c>
      <c r="I1104" s="24">
        <v>117</v>
      </c>
      <c r="J1104" s="24">
        <v>401</v>
      </c>
      <c r="L1104" s="45">
        <v>5.7</v>
      </c>
      <c r="M1104" s="45">
        <v>3</v>
      </c>
      <c r="N1104" s="45">
        <v>2.3</v>
      </c>
      <c r="O1104" s="45">
        <v>0</v>
      </c>
      <c r="P1104" s="45">
        <v>9.199999999999999</v>
      </c>
      <c r="Q1104" s="45">
        <v>12.8</v>
      </c>
      <c r="R1104" s="45">
        <v>2</v>
      </c>
      <c r="S1104" s="45">
        <v>1</v>
      </c>
      <c r="T1104" s="45">
        <v>3.9</v>
      </c>
      <c r="V1104" s="45">
        <v>9.699999999999999</v>
      </c>
      <c r="W1104" s="45">
        <v>10.3</v>
      </c>
      <c r="X1104" s="45">
        <v>10.7</v>
      </c>
      <c r="Y1104" s="45">
        <v>0</v>
      </c>
      <c r="Z1104" s="45">
        <v>7.1</v>
      </c>
      <c r="AA1104" s="45">
        <v>9.1</v>
      </c>
      <c r="AB1104" s="45">
        <v>9.800000000000001</v>
      </c>
      <c r="AC1104" s="45">
        <v>22.1</v>
      </c>
      <c r="AD1104" s="45">
        <v>8.9</v>
      </c>
    </row>
    <row r="1105" spans="1:30">
      <c r="A1105" s="73">
        <v>45973</v>
      </c>
      <c r="B1105" s="24">
        <v>2398</v>
      </c>
      <c r="C1105" s="24">
        <v>559</v>
      </c>
      <c r="D1105" s="24">
        <v>349</v>
      </c>
      <c r="E1105" s="24">
        <v>0</v>
      </c>
      <c r="F1105" s="24">
        <v>528</v>
      </c>
      <c r="G1105" s="24">
        <v>275</v>
      </c>
      <c r="H1105" s="24">
        <v>179</v>
      </c>
      <c r="I1105" s="24">
        <v>135</v>
      </c>
      <c r="J1105" s="24">
        <v>373</v>
      </c>
      <c r="L1105" s="45">
        <v>3.5</v>
      </c>
      <c r="M1105" s="45">
        <v>2.9</v>
      </c>
      <c r="N1105" s="45">
        <v>2.4</v>
      </c>
      <c r="O1105" s="45">
        <v>0</v>
      </c>
      <c r="P1105" s="45">
        <v>3.5</v>
      </c>
      <c r="Q1105" s="45">
        <v>7.3</v>
      </c>
      <c r="R1105" s="45">
        <v>2.7</v>
      </c>
      <c r="S1105" s="45">
        <v>1</v>
      </c>
      <c r="T1105" s="45">
        <v>3.8</v>
      </c>
      <c r="V1105" s="45">
        <v>9.9</v>
      </c>
      <c r="W1105" s="45">
        <v>10.5</v>
      </c>
      <c r="X1105" s="45">
        <v>9.800000000000001</v>
      </c>
      <c r="Y1105" s="45">
        <v>0</v>
      </c>
      <c r="Z1105" s="45">
        <v>6.6</v>
      </c>
      <c r="AA1105" s="45">
        <v>12.3</v>
      </c>
      <c r="AB1105" s="45">
        <v>11</v>
      </c>
      <c r="AC1105" s="45">
        <v>20.1</v>
      </c>
      <c r="AD1105" s="45">
        <v>7.9</v>
      </c>
    </row>
    <row r="1106" spans="1:30">
      <c r="A1106" s="73">
        <v>45974</v>
      </c>
      <c r="B1106" s="24">
        <v>2297</v>
      </c>
      <c r="C1106" s="24">
        <v>544</v>
      </c>
      <c r="D1106" s="24">
        <v>319</v>
      </c>
      <c r="E1106" s="24">
        <v>0</v>
      </c>
      <c r="F1106" s="24">
        <v>465</v>
      </c>
      <c r="G1106" s="24">
        <v>286</v>
      </c>
      <c r="H1106" s="24">
        <v>173</v>
      </c>
      <c r="I1106" s="24">
        <v>139</v>
      </c>
      <c r="J1106" s="24">
        <v>371</v>
      </c>
      <c r="L1106" s="45">
        <v>4.2</v>
      </c>
      <c r="M1106" s="45">
        <v>1.5</v>
      </c>
      <c r="N1106" s="45">
        <v>2.8</v>
      </c>
      <c r="O1106" s="45">
        <v>0</v>
      </c>
      <c r="P1106" s="45">
        <v>3.7</v>
      </c>
      <c r="Q1106" s="45">
        <v>11.9</v>
      </c>
      <c r="R1106" s="45">
        <v>2.8</v>
      </c>
      <c r="S1106" s="45">
        <v>2.3</v>
      </c>
      <c r="T1106" s="45">
        <v>5.1</v>
      </c>
      <c r="V1106" s="45">
        <v>10.4</v>
      </c>
      <c r="W1106" s="45">
        <v>10.2</v>
      </c>
      <c r="X1106" s="45">
        <v>11</v>
      </c>
      <c r="Y1106" s="45">
        <v>0</v>
      </c>
      <c r="Z1106" s="45">
        <v>7.9</v>
      </c>
      <c r="AA1106" s="45">
        <v>10.8</v>
      </c>
      <c r="AB1106" s="45">
        <v>12.5</v>
      </c>
      <c r="AC1106" s="45">
        <v>19.2</v>
      </c>
      <c r="AD1106" s="45">
        <v>8.9</v>
      </c>
    </row>
    <row r="1107" spans="1:30">
      <c r="A1107" s="73">
        <v>45975</v>
      </c>
      <c r="B1107" s="24">
        <v>2569</v>
      </c>
      <c r="C1107" s="24">
        <v>612</v>
      </c>
      <c r="D1107" s="24">
        <v>293</v>
      </c>
      <c r="E1107" s="24">
        <v>0</v>
      </c>
      <c r="F1107" s="24">
        <v>564</v>
      </c>
      <c r="G1107" s="24">
        <v>322</v>
      </c>
      <c r="H1107" s="24">
        <v>202</v>
      </c>
      <c r="I1107" s="24">
        <v>157</v>
      </c>
      <c r="J1107" s="24">
        <v>419</v>
      </c>
      <c r="L1107" s="45">
        <v>4.7</v>
      </c>
      <c r="M1107" s="45">
        <v>1.9</v>
      </c>
      <c r="N1107" s="45">
        <v>1.5</v>
      </c>
      <c r="O1107" s="45">
        <v>0</v>
      </c>
      <c r="P1107" s="45">
        <v>8.5</v>
      </c>
      <c r="Q1107" s="45">
        <v>10.8</v>
      </c>
      <c r="R1107" s="45">
        <v>2</v>
      </c>
      <c r="S1107" s="45">
        <v>1.2</v>
      </c>
      <c r="T1107" s="45">
        <v>3.7</v>
      </c>
      <c r="V1107" s="45">
        <v>9.300000000000001</v>
      </c>
      <c r="W1107" s="45">
        <v>9.6</v>
      </c>
      <c r="X1107" s="45">
        <v>11.3</v>
      </c>
      <c r="Y1107" s="45">
        <v>0</v>
      </c>
      <c r="Z1107" s="45">
        <v>7</v>
      </c>
      <c r="AA1107" s="45">
        <v>9.699999999999999</v>
      </c>
      <c r="AB1107" s="45">
        <v>9.1</v>
      </c>
      <c r="AC1107" s="45">
        <v>17.1</v>
      </c>
      <c r="AD1107" s="45">
        <v>7.7</v>
      </c>
    </row>
    <row r="1108" spans="1:30">
      <c r="A1108" s="73">
        <v>45976</v>
      </c>
      <c r="B1108" s="24">
        <v>0</v>
      </c>
      <c r="C1108" s="24">
        <v>0</v>
      </c>
      <c r="D1108" s="24">
        <v>0</v>
      </c>
      <c r="E1108" s="24">
        <v>0</v>
      </c>
      <c r="F1108" s="24">
        <v>0</v>
      </c>
      <c r="G1108" s="24">
        <v>0</v>
      </c>
      <c r="H1108" s="24">
        <v>0</v>
      </c>
      <c r="I1108" s="24">
        <v>0</v>
      </c>
      <c r="J1108" s="24">
        <v>0</v>
      </c>
      <c r="L1108" s="45">
        <v>0</v>
      </c>
      <c r="M1108" s="45">
        <v>0</v>
      </c>
      <c r="N1108" s="45">
        <v>0</v>
      </c>
      <c r="O1108" s="45">
        <v>0</v>
      </c>
      <c r="P1108" s="45">
        <v>0</v>
      </c>
      <c r="Q1108" s="45">
        <v>0</v>
      </c>
      <c r="R1108" s="45">
        <v>0</v>
      </c>
      <c r="S1108" s="45">
        <v>0</v>
      </c>
      <c r="T1108" s="45">
        <v>0</v>
      </c>
      <c r="V1108" s="45">
        <v>0</v>
      </c>
      <c r="W1108" s="45">
        <v>0</v>
      </c>
      <c r="X1108" s="45">
        <v>0</v>
      </c>
      <c r="Y1108" s="45">
        <v>0</v>
      </c>
      <c r="Z1108" s="45">
        <v>0</v>
      </c>
      <c r="AA1108" s="45">
        <v>0</v>
      </c>
      <c r="AB1108" s="45">
        <v>0</v>
      </c>
      <c r="AC1108" s="45">
        <v>0</v>
      </c>
      <c r="AD1108" s="45">
        <v>0</v>
      </c>
    </row>
    <row r="1109" spans="1:30">
      <c r="A1109" s="73">
        <v>45977</v>
      </c>
      <c r="B1109" s="24">
        <v>0</v>
      </c>
      <c r="C1109" s="24">
        <v>0</v>
      </c>
      <c r="D1109" s="24">
        <v>0</v>
      </c>
      <c r="E1109" s="24">
        <v>0</v>
      </c>
      <c r="F1109" s="24">
        <v>0</v>
      </c>
      <c r="G1109" s="24">
        <v>0</v>
      </c>
      <c r="H1109" s="24">
        <v>0</v>
      </c>
      <c r="I1109" s="24">
        <v>0</v>
      </c>
      <c r="J1109" s="24">
        <v>0</v>
      </c>
      <c r="L1109" s="45">
        <v>0</v>
      </c>
      <c r="M1109" s="45">
        <v>0</v>
      </c>
      <c r="N1109" s="45">
        <v>0</v>
      </c>
      <c r="O1109" s="45">
        <v>0</v>
      </c>
      <c r="P1109" s="45">
        <v>0</v>
      </c>
      <c r="Q1109" s="45">
        <v>0</v>
      </c>
      <c r="R1109" s="45">
        <v>0</v>
      </c>
      <c r="S1109" s="45">
        <v>0</v>
      </c>
      <c r="T1109" s="45">
        <v>0</v>
      </c>
      <c r="V1109" s="45">
        <v>0</v>
      </c>
      <c r="W1109" s="45">
        <v>0</v>
      </c>
      <c r="X1109" s="45">
        <v>0</v>
      </c>
      <c r="Y1109" s="45">
        <v>0</v>
      </c>
      <c r="Z1109" s="45">
        <v>0</v>
      </c>
      <c r="AA1109" s="45">
        <v>0</v>
      </c>
      <c r="AB1109" s="45">
        <v>0</v>
      </c>
      <c r="AC1109" s="45">
        <v>0</v>
      </c>
      <c r="AD1109" s="45">
        <v>0</v>
      </c>
    </row>
    <row r="1110" spans="1:30">
      <c r="A1110" s="73">
        <v>45978</v>
      </c>
      <c r="B1110" s="24">
        <v>3031</v>
      </c>
      <c r="C1110" s="24">
        <v>718</v>
      </c>
      <c r="D1110" s="24">
        <v>422</v>
      </c>
      <c r="E1110" s="24">
        <v>0</v>
      </c>
      <c r="F1110" s="24">
        <v>666</v>
      </c>
      <c r="G1110" s="24">
        <v>364</v>
      </c>
      <c r="H1110" s="24">
        <v>229</v>
      </c>
      <c r="I1110" s="24">
        <v>151</v>
      </c>
      <c r="J1110" s="24">
        <v>481</v>
      </c>
      <c r="L1110" s="45">
        <v>5.9</v>
      </c>
      <c r="M1110" s="45">
        <v>3.6</v>
      </c>
      <c r="N1110" s="45">
        <v>4.2</v>
      </c>
      <c r="O1110" s="45">
        <v>0</v>
      </c>
      <c r="P1110" s="45">
        <v>8.9</v>
      </c>
      <c r="Q1110" s="45">
        <v>11.6</v>
      </c>
      <c r="R1110" s="45">
        <v>2.7</v>
      </c>
      <c r="S1110" s="45">
        <v>0.9</v>
      </c>
      <c r="T1110" s="45">
        <v>5.7</v>
      </c>
      <c r="V1110" s="45">
        <v>8.300000000000001</v>
      </c>
      <c r="W1110" s="45">
        <v>8.4</v>
      </c>
      <c r="X1110" s="45">
        <v>8.199999999999999</v>
      </c>
      <c r="Y1110" s="45">
        <v>0</v>
      </c>
      <c r="Z1110" s="45">
        <v>5.5</v>
      </c>
      <c r="AA1110" s="45">
        <v>8.300000000000001</v>
      </c>
      <c r="AB1110" s="45">
        <v>8.699999999999999</v>
      </c>
      <c r="AC1110" s="45">
        <v>18.3</v>
      </c>
      <c r="AD1110" s="45">
        <v>8.800000000000001</v>
      </c>
    </row>
    <row r="1111" spans="1:30">
      <c r="A1111" s="73">
        <v>45979</v>
      </c>
      <c r="B1111" s="24">
        <v>2683</v>
      </c>
      <c r="C1111" s="24">
        <v>582</v>
      </c>
      <c r="D1111" s="24">
        <v>389</v>
      </c>
      <c r="E1111" s="24">
        <v>0</v>
      </c>
      <c r="F1111" s="24">
        <v>621</v>
      </c>
      <c r="G1111" s="24">
        <v>332</v>
      </c>
      <c r="H1111" s="24">
        <v>223</v>
      </c>
      <c r="I1111" s="24">
        <v>147</v>
      </c>
      <c r="J1111" s="24">
        <v>389</v>
      </c>
      <c r="L1111" s="45">
        <v>4.8</v>
      </c>
      <c r="M1111" s="45">
        <v>1.8</v>
      </c>
      <c r="N1111" s="45">
        <v>3.5</v>
      </c>
      <c r="O1111" s="45">
        <v>0</v>
      </c>
      <c r="P1111" s="45">
        <v>9</v>
      </c>
      <c r="Q1111" s="45">
        <v>9.1</v>
      </c>
      <c r="R1111" s="45">
        <v>2.7</v>
      </c>
      <c r="S1111" s="45">
        <v>1.8</v>
      </c>
      <c r="T1111" s="45">
        <v>2.9</v>
      </c>
      <c r="V1111" s="45">
        <v>8.9</v>
      </c>
      <c r="W1111" s="45">
        <v>10.1</v>
      </c>
      <c r="X1111" s="45">
        <v>8.699999999999999</v>
      </c>
      <c r="Y1111" s="45">
        <v>0</v>
      </c>
      <c r="Z1111" s="45">
        <v>6.4</v>
      </c>
      <c r="AA1111" s="45">
        <v>9.300000000000001</v>
      </c>
      <c r="AB1111" s="45">
        <v>8.4</v>
      </c>
      <c r="AC1111" s="45">
        <v>16.3</v>
      </c>
      <c r="AD1111" s="45">
        <v>8.5</v>
      </c>
    </row>
    <row r="1112" spans="1:30">
      <c r="A1112" s="73">
        <v>45980</v>
      </c>
      <c r="B1112" s="24">
        <v>2536</v>
      </c>
      <c r="C1112" s="24">
        <v>587</v>
      </c>
      <c r="D1112" s="24">
        <v>335</v>
      </c>
      <c r="E1112" s="24">
        <v>0</v>
      </c>
      <c r="F1112" s="24">
        <v>573</v>
      </c>
      <c r="G1112" s="24">
        <v>312</v>
      </c>
      <c r="H1112" s="24">
        <v>181</v>
      </c>
      <c r="I1112" s="24">
        <v>112</v>
      </c>
      <c r="J1112" s="24">
        <v>436</v>
      </c>
      <c r="L1112" s="45">
        <v>4.7</v>
      </c>
      <c r="M1112" s="45">
        <v>2.8</v>
      </c>
      <c r="N1112" s="45">
        <v>2.2</v>
      </c>
      <c r="O1112" s="45">
        <v>0</v>
      </c>
      <c r="P1112" s="45">
        <v>5.2</v>
      </c>
      <c r="Q1112" s="45">
        <v>14.3</v>
      </c>
      <c r="R1112" s="45">
        <v>2.8</v>
      </c>
      <c r="S1112" s="45">
        <v>1.2</v>
      </c>
      <c r="T1112" s="45">
        <v>3.4</v>
      </c>
      <c r="V1112" s="45">
        <v>9.300000000000001</v>
      </c>
      <c r="W1112" s="45">
        <v>9.5</v>
      </c>
      <c r="X1112" s="45">
        <v>10.4</v>
      </c>
      <c r="Y1112" s="45">
        <v>0</v>
      </c>
      <c r="Z1112" s="45">
        <v>6.7</v>
      </c>
      <c r="AA1112" s="45">
        <v>9.300000000000001</v>
      </c>
      <c r="AB1112" s="45">
        <v>10.3</v>
      </c>
      <c r="AC1112" s="45">
        <v>17.9</v>
      </c>
      <c r="AD1112" s="45">
        <v>9.1</v>
      </c>
    </row>
    <row r="1113" spans="1:30">
      <c r="A1113" s="73">
        <v>45981</v>
      </c>
      <c r="B1113" s="24">
        <v>2587</v>
      </c>
      <c r="C1113" s="24">
        <v>560</v>
      </c>
      <c r="D1113" s="24">
        <v>327</v>
      </c>
      <c r="E1113" s="24">
        <v>0</v>
      </c>
      <c r="F1113" s="24">
        <v>596</v>
      </c>
      <c r="G1113" s="24">
        <v>330</v>
      </c>
      <c r="H1113" s="24">
        <v>191</v>
      </c>
      <c r="I1113" s="24">
        <v>135</v>
      </c>
      <c r="J1113" s="24">
        <v>448</v>
      </c>
      <c r="L1113" s="45">
        <v>5.6</v>
      </c>
      <c r="M1113" s="45">
        <v>2.5</v>
      </c>
      <c r="N1113" s="45">
        <v>2.5</v>
      </c>
      <c r="O1113" s="45">
        <v>0</v>
      </c>
      <c r="P1113" s="45">
        <v>9.5</v>
      </c>
      <c r="Q1113" s="45">
        <v>11.8</v>
      </c>
      <c r="R1113" s="45">
        <v>2.1</v>
      </c>
      <c r="S1113" s="45">
        <v>1.2</v>
      </c>
      <c r="T1113" s="45">
        <v>4.9</v>
      </c>
      <c r="V1113" s="45">
        <v>9.1</v>
      </c>
      <c r="W1113" s="45">
        <v>10.1</v>
      </c>
      <c r="X1113" s="45">
        <v>9.6</v>
      </c>
      <c r="Y1113" s="45">
        <v>0</v>
      </c>
      <c r="Z1113" s="45">
        <v>6.4</v>
      </c>
      <c r="AA1113" s="45">
        <v>8.9</v>
      </c>
      <c r="AB1113" s="45">
        <v>9.9</v>
      </c>
      <c r="AC1113" s="45">
        <v>20.3</v>
      </c>
      <c r="AD1113" s="45">
        <v>7.7</v>
      </c>
    </row>
    <row r="1114" spans="1:30">
      <c r="A1114" s="73">
        <v>45982</v>
      </c>
      <c r="B1114" s="24">
        <v>2701</v>
      </c>
      <c r="C1114" s="24">
        <v>647</v>
      </c>
      <c r="D1114" s="24">
        <v>351</v>
      </c>
      <c r="E1114" s="24">
        <v>0</v>
      </c>
      <c r="F1114" s="24">
        <v>595</v>
      </c>
      <c r="G1114" s="24">
        <v>314</v>
      </c>
      <c r="H1114" s="24">
        <v>193</v>
      </c>
      <c r="I1114" s="24">
        <v>164</v>
      </c>
      <c r="J1114" s="24">
        <v>437</v>
      </c>
      <c r="L1114" s="45">
        <v>4.1</v>
      </c>
      <c r="M1114" s="45">
        <v>2.2</v>
      </c>
      <c r="N1114" s="45">
        <v>3.6</v>
      </c>
      <c r="O1114" s="45">
        <v>0</v>
      </c>
      <c r="P1114" s="45">
        <v>5.2</v>
      </c>
      <c r="Q1114" s="45">
        <v>9</v>
      </c>
      <c r="R1114" s="45">
        <v>1.7</v>
      </c>
      <c r="S1114" s="45">
        <v>1.2</v>
      </c>
      <c r="T1114" s="45">
        <v>4.4</v>
      </c>
      <c r="V1114" s="45">
        <v>9</v>
      </c>
      <c r="W1114" s="45">
        <v>9.1</v>
      </c>
      <c r="X1114" s="45">
        <v>10.3</v>
      </c>
      <c r="Y1114" s="45">
        <v>0</v>
      </c>
      <c r="Z1114" s="45">
        <v>6.6</v>
      </c>
      <c r="AA1114" s="45">
        <v>9.800000000000001</v>
      </c>
      <c r="AB1114" s="45">
        <v>8.5</v>
      </c>
      <c r="AC1114" s="45">
        <v>16.7</v>
      </c>
      <c r="AD1114" s="45">
        <v>7.9</v>
      </c>
    </row>
    <row r="1115" spans="1:30">
      <c r="A1115" s="73">
        <v>45983</v>
      </c>
      <c r="B1115" s="24">
        <v>0</v>
      </c>
      <c r="C1115" s="24">
        <v>0</v>
      </c>
      <c r="D1115" s="24">
        <v>0</v>
      </c>
      <c r="E1115" s="24">
        <v>0</v>
      </c>
      <c r="F1115" s="24">
        <v>0</v>
      </c>
      <c r="G1115" s="24">
        <v>0</v>
      </c>
      <c r="H1115" s="24">
        <v>0</v>
      </c>
      <c r="I1115" s="24">
        <v>0</v>
      </c>
      <c r="J1115" s="24">
        <v>0</v>
      </c>
      <c r="L1115" s="45">
        <v>0</v>
      </c>
      <c r="M1115" s="45">
        <v>0</v>
      </c>
      <c r="N1115" s="45">
        <v>0</v>
      </c>
      <c r="O1115" s="45">
        <v>0</v>
      </c>
      <c r="P1115" s="45">
        <v>0</v>
      </c>
      <c r="Q1115" s="45">
        <v>0</v>
      </c>
      <c r="R1115" s="45">
        <v>0</v>
      </c>
      <c r="S1115" s="45">
        <v>0</v>
      </c>
      <c r="T1115" s="45">
        <v>0</v>
      </c>
      <c r="V1115" s="45">
        <v>0</v>
      </c>
      <c r="W1115" s="45">
        <v>0</v>
      </c>
      <c r="X1115" s="45">
        <v>0</v>
      </c>
      <c r="Y1115" s="45">
        <v>0</v>
      </c>
      <c r="Z1115" s="45">
        <v>0</v>
      </c>
      <c r="AA1115" s="45">
        <v>0</v>
      </c>
      <c r="AB1115" s="45">
        <v>0</v>
      </c>
      <c r="AC1115" s="45">
        <v>0</v>
      </c>
      <c r="AD1115" s="45">
        <v>0</v>
      </c>
    </row>
    <row r="1116" spans="1:30">
      <c r="A1116" s="73">
        <v>45984</v>
      </c>
      <c r="B1116" s="24">
        <v>0</v>
      </c>
      <c r="C1116" s="24">
        <v>0</v>
      </c>
      <c r="D1116" s="24">
        <v>0</v>
      </c>
      <c r="E1116" s="24">
        <v>0</v>
      </c>
      <c r="F1116" s="24">
        <v>0</v>
      </c>
      <c r="G1116" s="24">
        <v>0</v>
      </c>
      <c r="H1116" s="24">
        <v>0</v>
      </c>
      <c r="I1116" s="24">
        <v>0</v>
      </c>
      <c r="J1116" s="24">
        <v>0</v>
      </c>
      <c r="L1116" s="45">
        <v>0</v>
      </c>
      <c r="M1116" s="45">
        <v>0</v>
      </c>
      <c r="N1116" s="45">
        <v>0</v>
      </c>
      <c r="O1116" s="45">
        <v>0</v>
      </c>
      <c r="P1116" s="45">
        <v>0</v>
      </c>
      <c r="Q1116" s="45">
        <v>0</v>
      </c>
      <c r="R1116" s="45">
        <v>0</v>
      </c>
      <c r="S1116" s="45">
        <v>0</v>
      </c>
      <c r="T1116" s="45">
        <v>0</v>
      </c>
      <c r="V1116" s="45">
        <v>0</v>
      </c>
      <c r="W1116" s="45">
        <v>0</v>
      </c>
      <c r="X1116" s="45">
        <v>0</v>
      </c>
      <c r="Y1116" s="45">
        <v>0</v>
      </c>
      <c r="Z1116" s="45">
        <v>0</v>
      </c>
      <c r="AA1116" s="45">
        <v>0</v>
      </c>
      <c r="AB1116" s="45">
        <v>0</v>
      </c>
      <c r="AC1116" s="45">
        <v>0</v>
      </c>
      <c r="AD1116" s="45">
        <v>0</v>
      </c>
    </row>
    <row r="1117" spans="1:30">
      <c r="A1117" s="73">
        <v>45985</v>
      </c>
      <c r="B1117" s="24">
        <v>0</v>
      </c>
      <c r="C1117" s="24">
        <v>0</v>
      </c>
      <c r="D1117" s="24">
        <v>0</v>
      </c>
      <c r="E1117" s="24">
        <v>0</v>
      </c>
      <c r="F1117" s="24">
        <v>0</v>
      </c>
      <c r="G1117" s="24">
        <v>0</v>
      </c>
      <c r="H1117" s="24">
        <v>0</v>
      </c>
      <c r="I1117" s="24">
        <v>0</v>
      </c>
      <c r="J1117" s="24">
        <v>0</v>
      </c>
      <c r="L1117" s="45">
        <v>0</v>
      </c>
      <c r="M1117" s="45">
        <v>0</v>
      </c>
      <c r="N1117" s="45">
        <v>0</v>
      </c>
      <c r="O1117" s="45">
        <v>0</v>
      </c>
      <c r="P1117" s="45">
        <v>0</v>
      </c>
      <c r="Q1117" s="45">
        <v>0</v>
      </c>
      <c r="R1117" s="45">
        <v>0</v>
      </c>
      <c r="S1117" s="45">
        <v>0</v>
      </c>
      <c r="T1117" s="45">
        <v>0</v>
      </c>
      <c r="V1117" s="45">
        <v>0</v>
      </c>
      <c r="W1117" s="45">
        <v>0</v>
      </c>
      <c r="X1117" s="45">
        <v>0</v>
      </c>
      <c r="Y1117" s="45">
        <v>0</v>
      </c>
      <c r="Z1117" s="45">
        <v>0</v>
      </c>
      <c r="AA1117" s="45">
        <v>0</v>
      </c>
      <c r="AB1117" s="45">
        <v>0</v>
      </c>
      <c r="AC1117" s="45">
        <v>0</v>
      </c>
      <c r="AD1117" s="45">
        <v>0</v>
      </c>
    </row>
    <row r="1118" spans="1:30">
      <c r="A1118" s="73">
        <v>45986</v>
      </c>
      <c r="B1118" s="24">
        <v>2933</v>
      </c>
      <c r="C1118" s="24">
        <v>625</v>
      </c>
      <c r="D1118" s="24">
        <v>377</v>
      </c>
      <c r="E1118" s="24">
        <v>0</v>
      </c>
      <c r="F1118" s="24">
        <v>678</v>
      </c>
      <c r="G1118" s="24">
        <v>339</v>
      </c>
      <c r="H1118" s="24">
        <v>237</v>
      </c>
      <c r="I1118" s="24">
        <v>174</v>
      </c>
      <c r="J1118" s="24">
        <v>503</v>
      </c>
      <c r="L1118" s="45">
        <v>5.9</v>
      </c>
      <c r="M1118" s="45">
        <v>3.1</v>
      </c>
      <c r="N1118" s="45">
        <v>2.7</v>
      </c>
      <c r="O1118" s="45">
        <v>0</v>
      </c>
      <c r="P1118" s="45">
        <v>9.699999999999999</v>
      </c>
      <c r="Q1118" s="45">
        <v>13.8</v>
      </c>
      <c r="R1118" s="45">
        <v>2.2</v>
      </c>
      <c r="S1118" s="45">
        <v>2.3</v>
      </c>
      <c r="T1118" s="45">
        <v>4.6</v>
      </c>
      <c r="V1118" s="45">
        <v>8.699999999999999</v>
      </c>
      <c r="W1118" s="45">
        <v>9.300000000000001</v>
      </c>
      <c r="X1118" s="45">
        <v>9.1</v>
      </c>
      <c r="Y1118" s="45">
        <v>0</v>
      </c>
      <c r="Z1118" s="45">
        <v>6.5</v>
      </c>
      <c r="AA1118" s="45">
        <v>8.9</v>
      </c>
      <c r="AB1118" s="45">
        <v>7.7</v>
      </c>
      <c r="AC1118" s="45">
        <v>15.9</v>
      </c>
      <c r="AD1118" s="45">
        <v>8.199999999999999</v>
      </c>
    </row>
    <row r="1119" spans="1:30">
      <c r="A1119" s="73">
        <v>45987</v>
      </c>
      <c r="B1119" s="24">
        <v>3140</v>
      </c>
      <c r="C1119" s="24">
        <v>642</v>
      </c>
      <c r="D1119" s="24">
        <v>414</v>
      </c>
      <c r="E1119" s="24">
        <v>0</v>
      </c>
      <c r="F1119" s="24">
        <v>731</v>
      </c>
      <c r="G1119" s="24">
        <v>416</v>
      </c>
      <c r="H1119" s="24">
        <v>214</v>
      </c>
      <c r="I1119" s="24">
        <v>187</v>
      </c>
      <c r="J1119" s="24">
        <v>536</v>
      </c>
      <c r="L1119" s="45">
        <v>9.5</v>
      </c>
      <c r="M1119" s="45">
        <v>3.9</v>
      </c>
      <c r="N1119" s="45">
        <v>5.2</v>
      </c>
      <c r="O1119" s="45">
        <v>0</v>
      </c>
      <c r="P1119" s="45">
        <v>14</v>
      </c>
      <c r="Q1119" s="45">
        <v>20.6</v>
      </c>
      <c r="R1119" s="45">
        <v>2.7</v>
      </c>
      <c r="S1119" s="45">
        <v>1.7</v>
      </c>
      <c r="T1119" s="45">
        <v>10.4</v>
      </c>
      <c r="V1119" s="45">
        <v>8.1</v>
      </c>
      <c r="W1119" s="45">
        <v>9.1</v>
      </c>
      <c r="X1119" s="45">
        <v>8.699999999999999</v>
      </c>
      <c r="Y1119" s="45">
        <v>0</v>
      </c>
      <c r="Z1119" s="45">
        <v>6</v>
      </c>
      <c r="AA1119" s="45">
        <v>7.1</v>
      </c>
      <c r="AB1119" s="45">
        <v>8.5</v>
      </c>
      <c r="AC1119" s="45">
        <v>15.4</v>
      </c>
      <c r="AD1119" s="45">
        <v>7.3</v>
      </c>
    </row>
    <row r="1120" spans="1:30">
      <c r="A1120" s="73">
        <v>45988</v>
      </c>
      <c r="B1120" s="24">
        <v>2820</v>
      </c>
      <c r="C1120" s="24">
        <v>592</v>
      </c>
      <c r="D1120" s="24">
        <v>402</v>
      </c>
      <c r="E1120" s="24">
        <v>0</v>
      </c>
      <c r="F1120" s="24">
        <v>600</v>
      </c>
      <c r="G1120" s="24">
        <v>356</v>
      </c>
      <c r="H1120" s="24">
        <v>208</v>
      </c>
      <c r="I1120" s="24">
        <v>170</v>
      </c>
      <c r="J1120" s="24">
        <v>492</v>
      </c>
      <c r="L1120" s="45">
        <v>6.3</v>
      </c>
      <c r="M1120" s="45">
        <v>3.4</v>
      </c>
      <c r="N1120" s="45">
        <v>4.2</v>
      </c>
      <c r="O1120" s="45">
        <v>0</v>
      </c>
      <c r="P1120" s="45">
        <v>5.3</v>
      </c>
      <c r="Q1120" s="45">
        <v>16.3</v>
      </c>
      <c r="R1120" s="45">
        <v>2.2</v>
      </c>
      <c r="S1120" s="45">
        <v>2.3</v>
      </c>
      <c r="T1120" s="45">
        <v>8.800000000000001</v>
      </c>
      <c r="V1120" s="45">
        <v>8.5</v>
      </c>
      <c r="W1120" s="45">
        <v>9.300000000000001</v>
      </c>
      <c r="X1120" s="45">
        <v>8.4</v>
      </c>
      <c r="Y1120" s="45">
        <v>0</v>
      </c>
      <c r="Z1120" s="45">
        <v>6.9</v>
      </c>
      <c r="AA1120" s="45">
        <v>8.199999999999999</v>
      </c>
      <c r="AB1120" s="45">
        <v>8.9</v>
      </c>
      <c r="AC1120" s="45">
        <v>16</v>
      </c>
      <c r="AD1120" s="45">
        <v>7</v>
      </c>
    </row>
    <row r="1121" spans="1:30">
      <c r="A1121" s="73">
        <v>45989</v>
      </c>
      <c r="B1121" s="24">
        <v>2792</v>
      </c>
      <c r="C1121" s="24">
        <v>578</v>
      </c>
      <c r="D1121" s="24">
        <v>402</v>
      </c>
      <c r="E1121" s="24">
        <v>0</v>
      </c>
      <c r="F1121" s="24">
        <v>623</v>
      </c>
      <c r="G1121" s="24">
        <v>359</v>
      </c>
      <c r="H1121" s="24">
        <v>222</v>
      </c>
      <c r="I1121" s="24">
        <v>129</v>
      </c>
      <c r="J1121" s="24">
        <v>479</v>
      </c>
      <c r="L1121" s="45">
        <v>5.6</v>
      </c>
      <c r="M1121" s="45">
        <v>3.4</v>
      </c>
      <c r="N1121" s="45">
        <v>3.8</v>
      </c>
      <c r="O1121" s="45">
        <v>0</v>
      </c>
      <c r="P1121" s="45">
        <v>5</v>
      </c>
      <c r="Q1121" s="45">
        <v>17.3</v>
      </c>
      <c r="R1121" s="45">
        <v>1.9</v>
      </c>
      <c r="S1121" s="45">
        <v>1.1</v>
      </c>
      <c r="T1121" s="45">
        <v>4.5</v>
      </c>
      <c r="V1121" s="45">
        <v>8.9</v>
      </c>
      <c r="W1121" s="45">
        <v>10.3</v>
      </c>
      <c r="X1121" s="45">
        <v>9</v>
      </c>
      <c r="Y1121" s="45">
        <v>0</v>
      </c>
      <c r="Z1121" s="45">
        <v>6.5</v>
      </c>
      <c r="AA1121" s="45">
        <v>8.699999999999999</v>
      </c>
      <c r="AB1121" s="45">
        <v>8.699999999999999</v>
      </c>
      <c r="AC1121" s="45">
        <v>19.4</v>
      </c>
      <c r="AD1121" s="45">
        <v>7.7</v>
      </c>
    </row>
    <row r="1122" spans="1:30">
      <c r="A1122" s="73">
        <v>45990</v>
      </c>
      <c r="B1122" s="24">
        <v>0</v>
      </c>
      <c r="C1122" s="24">
        <v>0</v>
      </c>
      <c r="D1122" s="24">
        <v>0</v>
      </c>
      <c r="E1122" s="24">
        <v>0</v>
      </c>
      <c r="F1122" s="24">
        <v>0</v>
      </c>
      <c r="G1122" s="24">
        <v>0</v>
      </c>
      <c r="H1122" s="24">
        <v>0</v>
      </c>
      <c r="I1122" s="24">
        <v>0</v>
      </c>
      <c r="J1122" s="24">
        <v>0</v>
      </c>
      <c r="L1122" s="45">
        <v>0</v>
      </c>
      <c r="M1122" s="45">
        <v>0</v>
      </c>
      <c r="N1122" s="45">
        <v>0</v>
      </c>
      <c r="O1122" s="45">
        <v>0</v>
      </c>
      <c r="P1122" s="45">
        <v>0</v>
      </c>
      <c r="Q1122" s="45">
        <v>0</v>
      </c>
      <c r="R1122" s="45">
        <v>0</v>
      </c>
      <c r="S1122" s="45">
        <v>0</v>
      </c>
      <c r="T1122" s="45">
        <v>0</v>
      </c>
      <c r="V1122" s="45">
        <v>0</v>
      </c>
      <c r="W1122" s="45">
        <v>0</v>
      </c>
      <c r="X1122" s="45">
        <v>0</v>
      </c>
      <c r="Y1122" s="45">
        <v>0</v>
      </c>
      <c r="Z1122" s="45">
        <v>0</v>
      </c>
      <c r="AA1122" s="45">
        <v>0</v>
      </c>
      <c r="AB1122" s="45">
        <v>0</v>
      </c>
      <c r="AC1122" s="45">
        <v>0</v>
      </c>
      <c r="AD1122" s="45">
        <v>0</v>
      </c>
    </row>
    <row r="1123" spans="1:30">
      <c r="A1123" s="73">
        <v>45991</v>
      </c>
      <c r="B1123" s="24">
        <v>0</v>
      </c>
      <c r="C1123" s="24">
        <v>0</v>
      </c>
      <c r="D1123" s="24">
        <v>0</v>
      </c>
      <c r="E1123" s="24">
        <v>0</v>
      </c>
      <c r="F1123" s="24">
        <v>0</v>
      </c>
      <c r="G1123" s="24">
        <v>0</v>
      </c>
      <c r="H1123" s="24">
        <v>0</v>
      </c>
      <c r="I1123" s="24">
        <v>0</v>
      </c>
      <c r="J1123" s="24">
        <v>0</v>
      </c>
      <c r="L1123" s="45">
        <v>0</v>
      </c>
      <c r="M1123" s="45">
        <v>0</v>
      </c>
      <c r="N1123" s="45">
        <v>0</v>
      </c>
      <c r="O1123" s="45">
        <v>0</v>
      </c>
      <c r="P1123" s="45">
        <v>0</v>
      </c>
      <c r="Q1123" s="45">
        <v>0</v>
      </c>
      <c r="R1123" s="45">
        <v>0</v>
      </c>
      <c r="S1123" s="45">
        <v>0</v>
      </c>
      <c r="T1123" s="45">
        <v>0</v>
      </c>
      <c r="V1123" s="45">
        <v>0</v>
      </c>
      <c r="W1123" s="45">
        <v>0</v>
      </c>
      <c r="X1123" s="45">
        <v>0</v>
      </c>
      <c r="Y1123" s="45">
        <v>0</v>
      </c>
      <c r="Z1123" s="45">
        <v>0</v>
      </c>
      <c r="AA1123" s="45">
        <v>0</v>
      </c>
      <c r="AB1123" s="45">
        <v>0</v>
      </c>
      <c r="AC1123" s="45">
        <v>0</v>
      </c>
      <c r="AD1123" s="45">
        <v>0</v>
      </c>
    </row>
    <row r="1124" spans="1:30">
      <c r="A1124" s="73">
        <v>45992</v>
      </c>
      <c r="B1124" s="24">
        <v>2293</v>
      </c>
      <c r="C1124" s="24">
        <v>111</v>
      </c>
      <c r="D1124" s="24">
        <v>422</v>
      </c>
      <c r="E1124" s="24">
        <v>13</v>
      </c>
      <c r="F1124" s="24">
        <v>719</v>
      </c>
      <c r="G1124" s="24">
        <v>0</v>
      </c>
      <c r="H1124" s="24">
        <v>245</v>
      </c>
      <c r="I1124" s="24">
        <v>190</v>
      </c>
      <c r="J1124" s="24">
        <v>593</v>
      </c>
      <c r="L1124" s="45">
        <v>10.5</v>
      </c>
      <c r="M1124" s="45">
        <v>133.3</v>
      </c>
      <c r="N1124" s="45">
        <v>3.5</v>
      </c>
      <c r="O1124" s="45">
        <v>64</v>
      </c>
      <c r="P1124" s="45">
        <v>14.2</v>
      </c>
      <c r="Q1124" s="45">
        <v>0</v>
      </c>
      <c r="R1124" s="45">
        <v>3.4</v>
      </c>
      <c r="S1124" s="45">
        <v>2.2</v>
      </c>
      <c r="T1124" s="45">
        <v>8.699999999999999</v>
      </c>
      <c r="V1124" s="45">
        <v>7.2</v>
      </c>
      <c r="W1124" s="45">
        <v>0.2</v>
      </c>
      <c r="X1124" s="45">
        <v>8.5</v>
      </c>
      <c r="Y1124" s="45">
        <v>0.5</v>
      </c>
      <c r="Z1124" s="45">
        <v>6</v>
      </c>
      <c r="AA1124" s="45">
        <v>0</v>
      </c>
      <c r="AB1124" s="45">
        <v>7.7</v>
      </c>
      <c r="AC1124" s="45">
        <v>14.9</v>
      </c>
      <c r="AD1124" s="45">
        <v>6.3</v>
      </c>
    </row>
    <row r="1125" spans="1:30">
      <c r="A1125" s="73">
        <v>45993</v>
      </c>
      <c r="B1125" s="24">
        <v>1768</v>
      </c>
      <c r="C1125" s="24">
        <v>0</v>
      </c>
      <c r="D1125" s="24">
        <v>388</v>
      </c>
      <c r="E1125" s="24">
        <v>0</v>
      </c>
      <c r="F1125" s="24">
        <v>696</v>
      </c>
      <c r="G1125" s="24">
        <v>0</v>
      </c>
      <c r="H1125" s="24">
        <v>0</v>
      </c>
      <c r="I1125" s="24">
        <v>175</v>
      </c>
      <c r="J1125" s="24">
        <v>509</v>
      </c>
      <c r="L1125" s="45">
        <v>11.3</v>
      </c>
      <c r="M1125" s="45">
        <v>0</v>
      </c>
      <c r="N1125" s="45">
        <v>3.7</v>
      </c>
      <c r="O1125" s="45">
        <v>0</v>
      </c>
      <c r="P1125" s="45">
        <v>20.1</v>
      </c>
      <c r="Q1125" s="45">
        <v>0</v>
      </c>
      <c r="R1125" s="45">
        <v>0</v>
      </c>
      <c r="S1125" s="45">
        <v>2.4</v>
      </c>
      <c r="T1125" s="45">
        <v>8.1</v>
      </c>
      <c r="V1125" s="45">
        <v>7.9</v>
      </c>
      <c r="W1125" s="45">
        <v>0</v>
      </c>
      <c r="X1125" s="45">
        <v>9.1</v>
      </c>
      <c r="Y1125" s="45">
        <v>0</v>
      </c>
      <c r="Z1125" s="45">
        <v>6.3</v>
      </c>
      <c r="AA1125" s="45">
        <v>0</v>
      </c>
      <c r="AB1125" s="45">
        <v>0</v>
      </c>
      <c r="AC1125" s="45">
        <v>14.6</v>
      </c>
      <c r="AD1125" s="45">
        <v>7.2</v>
      </c>
    </row>
    <row r="1126" spans="1:30">
      <c r="A1126" s="73">
        <v>45994</v>
      </c>
      <c r="B1126" s="24">
        <v>1990</v>
      </c>
      <c r="C1126" s="24">
        <v>0</v>
      </c>
      <c r="D1126" s="24">
        <v>381</v>
      </c>
      <c r="E1126" s="24">
        <v>3</v>
      </c>
      <c r="F1126" s="24">
        <v>709</v>
      </c>
      <c r="G1126" s="24">
        <v>0</v>
      </c>
      <c r="H1126" s="24">
        <v>230</v>
      </c>
      <c r="I1126" s="24">
        <v>154</v>
      </c>
      <c r="J1126" s="24">
        <v>513</v>
      </c>
      <c r="L1126" s="45">
        <v>8.300000000000001</v>
      </c>
      <c r="M1126" s="45">
        <v>0</v>
      </c>
      <c r="N1126" s="45">
        <v>3.5</v>
      </c>
      <c r="O1126" s="45">
        <v>0</v>
      </c>
      <c r="P1126" s="45">
        <v>14.4</v>
      </c>
      <c r="Q1126" s="45">
        <v>0</v>
      </c>
      <c r="R1126" s="45">
        <v>5</v>
      </c>
      <c r="S1126" s="45">
        <v>1.6</v>
      </c>
      <c r="T1126" s="45">
        <v>6.9</v>
      </c>
      <c r="V1126" s="45">
        <v>8</v>
      </c>
      <c r="W1126" s="45">
        <v>0</v>
      </c>
      <c r="X1126" s="45">
        <v>9.6</v>
      </c>
      <c r="Y1126" s="45">
        <v>0</v>
      </c>
      <c r="Z1126" s="45">
        <v>5.7</v>
      </c>
      <c r="AA1126" s="45">
        <v>0</v>
      </c>
      <c r="AB1126" s="45">
        <v>7.9</v>
      </c>
      <c r="AC1126" s="45">
        <v>18.4</v>
      </c>
      <c r="AD1126" s="45">
        <v>7</v>
      </c>
    </row>
    <row r="1127" spans="1:30">
      <c r="A1127" s="73">
        <v>45995</v>
      </c>
      <c r="B1127" s="24">
        <v>1680</v>
      </c>
      <c r="C1127" s="24">
        <v>0</v>
      </c>
      <c r="D1127" s="24">
        <v>286</v>
      </c>
      <c r="E1127" s="24">
        <v>116</v>
      </c>
      <c r="F1127" s="24">
        <v>536</v>
      </c>
      <c r="G1127" s="24">
        <v>0</v>
      </c>
      <c r="H1127" s="24">
        <v>194</v>
      </c>
      <c r="I1127" s="24">
        <v>153</v>
      </c>
      <c r="J1127" s="24">
        <v>395</v>
      </c>
      <c r="L1127" s="45">
        <v>5</v>
      </c>
      <c r="M1127" s="45">
        <v>0</v>
      </c>
      <c r="N1127" s="45">
        <v>2.1</v>
      </c>
      <c r="O1127" s="45">
        <v>60.4</v>
      </c>
      <c r="P1127" s="45">
        <v>4.5</v>
      </c>
      <c r="Q1127" s="45">
        <v>0</v>
      </c>
      <c r="R1127" s="45">
        <v>2.7</v>
      </c>
      <c r="S1127" s="45">
        <v>1</v>
      </c>
      <c r="T1127" s="45">
        <v>2.7</v>
      </c>
      <c r="V1127" s="45">
        <v>9.6</v>
      </c>
      <c r="W1127" s="45">
        <v>0</v>
      </c>
      <c r="X1127" s="45">
        <v>12.6</v>
      </c>
      <c r="Y1127" s="45">
        <v>2.4</v>
      </c>
      <c r="Z1127" s="45">
        <v>6.9</v>
      </c>
      <c r="AA1127" s="45">
        <v>0</v>
      </c>
      <c r="AB1127" s="45">
        <v>10</v>
      </c>
      <c r="AC1127" s="45">
        <v>19.6</v>
      </c>
      <c r="AD1127" s="45">
        <v>8.199999999999999</v>
      </c>
    </row>
    <row r="1128" spans="1:30">
      <c r="A1128" s="73">
        <v>45996</v>
      </c>
      <c r="B1128" s="24">
        <v>1739</v>
      </c>
      <c r="C1128" s="24">
        <v>0</v>
      </c>
      <c r="D1128" s="24">
        <v>339</v>
      </c>
      <c r="E1128" s="24">
        <v>0</v>
      </c>
      <c r="F1128" s="24">
        <v>577</v>
      </c>
      <c r="G1128" s="24">
        <v>118</v>
      </c>
      <c r="H1128" s="24">
        <v>192</v>
      </c>
      <c r="I1128" s="24">
        <v>126</v>
      </c>
      <c r="J1128" s="24">
        <v>387</v>
      </c>
      <c r="L1128" s="45">
        <v>5.7</v>
      </c>
      <c r="M1128" s="45">
        <v>0</v>
      </c>
      <c r="N1128" s="45">
        <v>2.8</v>
      </c>
      <c r="O1128" s="45">
        <v>0</v>
      </c>
      <c r="P1128" s="45">
        <v>5</v>
      </c>
      <c r="Q1128" s="45">
        <v>54.1</v>
      </c>
      <c r="R1128" s="45">
        <v>2.4</v>
      </c>
      <c r="S1128" s="45">
        <v>1.2</v>
      </c>
      <c r="T1128" s="45">
        <v>3.6</v>
      </c>
      <c r="V1128" s="45">
        <v>9</v>
      </c>
      <c r="W1128" s="45">
        <v>0</v>
      </c>
      <c r="X1128" s="45">
        <v>9.699999999999999</v>
      </c>
      <c r="Y1128" s="45">
        <v>0</v>
      </c>
      <c r="Z1128" s="45">
        <v>6.8</v>
      </c>
      <c r="AA1128" s="45">
        <v>1.8</v>
      </c>
      <c r="AB1128" s="45">
        <v>10.4</v>
      </c>
      <c r="AC1128" s="45">
        <v>19.8</v>
      </c>
      <c r="AD1128" s="45">
        <v>8.6</v>
      </c>
    </row>
    <row r="1129" spans="1:30">
      <c r="A1129" s="73">
        <v>45997</v>
      </c>
      <c r="B1129" s="24">
        <v>0</v>
      </c>
      <c r="C1129" s="24">
        <v>0</v>
      </c>
      <c r="D1129" s="24">
        <v>0</v>
      </c>
      <c r="E1129" s="24">
        <v>0</v>
      </c>
      <c r="F1129" s="24">
        <v>0</v>
      </c>
      <c r="G1129" s="24">
        <v>0</v>
      </c>
      <c r="H1129" s="24">
        <v>0</v>
      </c>
      <c r="I1129" s="24">
        <v>0</v>
      </c>
      <c r="J1129" s="24">
        <v>0</v>
      </c>
      <c r="L1129" s="45">
        <v>0</v>
      </c>
      <c r="M1129" s="45">
        <v>0</v>
      </c>
      <c r="N1129" s="45">
        <v>0</v>
      </c>
      <c r="O1129" s="45">
        <v>0</v>
      </c>
      <c r="P1129" s="45">
        <v>0</v>
      </c>
      <c r="Q1129" s="45">
        <v>0</v>
      </c>
      <c r="R1129" s="45">
        <v>0</v>
      </c>
      <c r="S1129" s="45">
        <v>0</v>
      </c>
      <c r="T1129" s="45">
        <v>0</v>
      </c>
      <c r="V1129" s="45">
        <v>0</v>
      </c>
      <c r="W1129" s="45">
        <v>0</v>
      </c>
      <c r="X1129" s="45">
        <v>0</v>
      </c>
      <c r="Y1129" s="45">
        <v>0</v>
      </c>
      <c r="Z1129" s="45">
        <v>0</v>
      </c>
      <c r="AA1129" s="45">
        <v>0</v>
      </c>
      <c r="AB1129" s="45">
        <v>0</v>
      </c>
      <c r="AC1129" s="45">
        <v>0</v>
      </c>
      <c r="AD1129" s="45">
        <v>0</v>
      </c>
    </row>
    <row r="1130" spans="1:30">
      <c r="A1130" s="73">
        <v>45998</v>
      </c>
      <c r="B1130" s="24">
        <v>197</v>
      </c>
      <c r="C1130" s="24">
        <v>0</v>
      </c>
      <c r="D1130" s="24">
        <v>0</v>
      </c>
      <c r="E1130" s="24">
        <v>140</v>
      </c>
      <c r="F1130" s="24">
        <v>0</v>
      </c>
      <c r="G1130" s="24">
        <v>57</v>
      </c>
      <c r="H1130" s="24">
        <v>0</v>
      </c>
      <c r="I1130" s="24">
        <v>0</v>
      </c>
      <c r="J1130" s="24">
        <v>0</v>
      </c>
      <c r="L1130" s="45">
        <v>58.4</v>
      </c>
      <c r="M1130" s="45">
        <v>0</v>
      </c>
      <c r="N1130" s="45">
        <v>0</v>
      </c>
      <c r="O1130" s="45">
        <v>76.7</v>
      </c>
      <c r="P1130" s="45">
        <v>0</v>
      </c>
      <c r="Q1130" s="45">
        <v>13.4</v>
      </c>
      <c r="R1130" s="45">
        <v>0</v>
      </c>
      <c r="S1130" s="45">
        <v>0</v>
      </c>
      <c r="T1130" s="45">
        <v>0</v>
      </c>
      <c r="V1130" s="45">
        <v>4</v>
      </c>
      <c r="W1130" s="45">
        <v>0</v>
      </c>
      <c r="X1130" s="45">
        <v>0</v>
      </c>
      <c r="Y1130" s="45">
        <v>3.1</v>
      </c>
      <c r="Z1130" s="45">
        <v>0</v>
      </c>
      <c r="AA1130" s="45">
        <v>7.8</v>
      </c>
      <c r="AB1130" s="45">
        <v>0</v>
      </c>
      <c r="AC1130" s="45">
        <v>0</v>
      </c>
      <c r="AD1130" s="45">
        <v>0</v>
      </c>
    </row>
    <row r="1131" spans="1:30">
      <c r="A1131" s="73">
        <v>45999</v>
      </c>
      <c r="B1131" s="24">
        <v>3000</v>
      </c>
      <c r="C1131" s="24">
        <v>0</v>
      </c>
      <c r="D1131" s="24">
        <v>366</v>
      </c>
      <c r="E1131" s="24">
        <v>654</v>
      </c>
      <c r="F1131" s="24">
        <v>605</v>
      </c>
      <c r="G1131" s="24">
        <v>491</v>
      </c>
      <c r="H1131" s="24">
        <v>223</v>
      </c>
      <c r="I1131" s="24">
        <v>171</v>
      </c>
      <c r="J1131" s="24">
        <v>490</v>
      </c>
      <c r="L1131" s="45">
        <v>8.800000000000001</v>
      </c>
      <c r="M1131" s="45">
        <v>0</v>
      </c>
      <c r="N1131" s="45">
        <v>3.6</v>
      </c>
      <c r="O1131" s="45">
        <v>22.9</v>
      </c>
      <c r="P1131" s="45">
        <v>3.6</v>
      </c>
      <c r="Q1131" s="45">
        <v>9.6</v>
      </c>
      <c r="R1131" s="45">
        <v>2.8</v>
      </c>
      <c r="S1131" s="45">
        <v>2.4</v>
      </c>
      <c r="T1131" s="45">
        <v>4.6</v>
      </c>
      <c r="V1131" s="45">
        <v>6.6</v>
      </c>
      <c r="W1131" s="45">
        <v>0</v>
      </c>
      <c r="X1131" s="45">
        <v>10.2</v>
      </c>
      <c r="Y1131" s="45">
        <v>2.4</v>
      </c>
      <c r="Z1131" s="45">
        <v>7.1</v>
      </c>
      <c r="AA1131" s="45">
        <v>2.4</v>
      </c>
      <c r="AB1131" s="45">
        <v>8.300000000000001</v>
      </c>
      <c r="AC1131" s="45">
        <v>16</v>
      </c>
      <c r="AD1131" s="45">
        <v>7.5</v>
      </c>
    </row>
    <row r="1132" spans="1:30">
      <c r="A1132" s="73">
        <v>46000</v>
      </c>
      <c r="B1132" s="24">
        <v>2503</v>
      </c>
      <c r="C1132" s="24">
        <v>0</v>
      </c>
      <c r="D1132" s="24">
        <v>321</v>
      </c>
      <c r="E1132" s="24">
        <v>523</v>
      </c>
      <c r="F1132" s="24">
        <v>536</v>
      </c>
      <c r="G1132" s="24">
        <v>425</v>
      </c>
      <c r="H1132" s="24">
        <v>182</v>
      </c>
      <c r="I1132" s="24">
        <v>126</v>
      </c>
      <c r="J1132" s="24">
        <v>390</v>
      </c>
      <c r="L1132" s="45">
        <v>5.2</v>
      </c>
      <c r="M1132" s="45">
        <v>0</v>
      </c>
      <c r="N1132" s="45">
        <v>2.7</v>
      </c>
      <c r="O1132" s="45">
        <v>7.5</v>
      </c>
      <c r="P1132" s="45">
        <v>5.3</v>
      </c>
      <c r="Q1132" s="45">
        <v>8.699999999999999</v>
      </c>
      <c r="R1132" s="45">
        <v>3</v>
      </c>
      <c r="S1132" s="45">
        <v>0.7</v>
      </c>
      <c r="T1132" s="45">
        <v>2.6</v>
      </c>
      <c r="V1132" s="45">
        <v>7.4</v>
      </c>
      <c r="W1132" s="45">
        <v>0</v>
      </c>
      <c r="X1132" s="45">
        <v>10.3</v>
      </c>
      <c r="Y1132" s="45">
        <v>3</v>
      </c>
      <c r="Z1132" s="45">
        <v>7.5</v>
      </c>
      <c r="AA1132" s="45">
        <v>3.1</v>
      </c>
      <c r="AB1132" s="45">
        <v>9.699999999999999</v>
      </c>
      <c r="AC1132" s="45">
        <v>20.9</v>
      </c>
      <c r="AD1132" s="45">
        <v>8.199999999999999</v>
      </c>
    </row>
    <row r="1133" spans="1:30">
      <c r="A1133" s="73">
        <v>46001</v>
      </c>
      <c r="B1133" s="24">
        <v>2485</v>
      </c>
      <c r="C1133" s="24">
        <v>0</v>
      </c>
      <c r="D1133" s="24">
        <v>317</v>
      </c>
      <c r="E1133" s="24">
        <v>492</v>
      </c>
      <c r="F1133" s="24">
        <v>555</v>
      </c>
      <c r="G1133" s="24">
        <v>402</v>
      </c>
      <c r="H1133" s="24">
        <v>164</v>
      </c>
      <c r="I1133" s="24">
        <v>130</v>
      </c>
      <c r="J1133" s="24">
        <v>425</v>
      </c>
      <c r="L1133" s="45">
        <v>5.1</v>
      </c>
      <c r="M1133" s="45">
        <v>0</v>
      </c>
      <c r="N1133" s="45">
        <v>2.5</v>
      </c>
      <c r="O1133" s="45">
        <v>7.4</v>
      </c>
      <c r="P1133" s="45">
        <v>3.9</v>
      </c>
      <c r="Q1133" s="45">
        <v>6.7</v>
      </c>
      <c r="R1133" s="45">
        <v>2.2</v>
      </c>
      <c r="S1133" s="45">
        <v>0.8</v>
      </c>
      <c r="T1133" s="45">
        <v>6.6</v>
      </c>
      <c r="V1133" s="45">
        <v>7.2</v>
      </c>
      <c r="W1133" s="45">
        <v>0</v>
      </c>
      <c r="X1133" s="45">
        <v>10.8</v>
      </c>
      <c r="Y1133" s="45">
        <v>2.8</v>
      </c>
      <c r="Z1133" s="45">
        <v>7.8</v>
      </c>
      <c r="AA1133" s="45">
        <v>2.6</v>
      </c>
      <c r="AB1133" s="45">
        <v>11.3</v>
      </c>
      <c r="AC1133" s="45">
        <v>17.8</v>
      </c>
      <c r="AD1133" s="45">
        <v>7</v>
      </c>
    </row>
    <row r="1134" spans="1:30">
      <c r="A1134" s="73">
        <v>46002</v>
      </c>
      <c r="B1134" s="24">
        <v>2187</v>
      </c>
      <c r="C1134" s="24">
        <v>6</v>
      </c>
      <c r="D1134" s="24">
        <v>273</v>
      </c>
      <c r="E1134" s="24">
        <v>459</v>
      </c>
      <c r="F1134" s="24">
        <v>490</v>
      </c>
      <c r="G1134" s="24">
        <v>336</v>
      </c>
      <c r="H1134" s="24">
        <v>145</v>
      </c>
      <c r="I1134" s="24">
        <v>95</v>
      </c>
      <c r="J1134" s="24">
        <v>383</v>
      </c>
      <c r="L1134" s="45">
        <v>3.8</v>
      </c>
      <c r="M1134" s="45">
        <v>0</v>
      </c>
      <c r="N1134" s="45">
        <v>1.7</v>
      </c>
      <c r="O1134" s="45">
        <v>6.6</v>
      </c>
      <c r="P1134" s="45">
        <v>2.7</v>
      </c>
      <c r="Q1134" s="45">
        <v>4.1</v>
      </c>
      <c r="R1134" s="45">
        <v>3.1</v>
      </c>
      <c r="S1134" s="45">
        <v>1.1</v>
      </c>
      <c r="T1134" s="45">
        <v>4.1</v>
      </c>
      <c r="V1134" s="45">
        <v>8.6</v>
      </c>
      <c r="W1134" s="45">
        <v>0</v>
      </c>
      <c r="X1134" s="45">
        <v>12.3</v>
      </c>
      <c r="Y1134" s="45">
        <v>2.3</v>
      </c>
      <c r="Z1134" s="45">
        <v>7.9</v>
      </c>
      <c r="AA1134" s="45">
        <v>4.1</v>
      </c>
      <c r="AB1134" s="45">
        <v>11.9</v>
      </c>
      <c r="AC1134" s="45">
        <v>26.8</v>
      </c>
      <c r="AD1134" s="45">
        <v>9.9</v>
      </c>
    </row>
    <row r="1135" spans="1:30">
      <c r="A1135" s="73">
        <v>46003</v>
      </c>
      <c r="B1135" s="24">
        <v>2627</v>
      </c>
      <c r="C1135" s="24">
        <v>135</v>
      </c>
      <c r="D1135" s="24">
        <v>351</v>
      </c>
      <c r="E1135" s="24">
        <v>505</v>
      </c>
      <c r="F1135" s="24">
        <v>520</v>
      </c>
      <c r="G1135" s="24">
        <v>378</v>
      </c>
      <c r="H1135" s="24">
        <v>185</v>
      </c>
      <c r="I1135" s="24">
        <v>141</v>
      </c>
      <c r="J1135" s="24">
        <v>412</v>
      </c>
      <c r="L1135" s="45">
        <v>5.9</v>
      </c>
      <c r="M1135" s="45">
        <v>51.4</v>
      </c>
      <c r="N1135" s="45">
        <v>2.8</v>
      </c>
      <c r="O1135" s="45">
        <v>5.6</v>
      </c>
      <c r="P1135" s="45">
        <v>3.3</v>
      </c>
      <c r="Q1135" s="45">
        <v>8.300000000000001</v>
      </c>
      <c r="R1135" s="45">
        <v>4.2</v>
      </c>
      <c r="S1135" s="45">
        <v>1.3</v>
      </c>
      <c r="T1135" s="45">
        <v>3.4</v>
      </c>
      <c r="V1135" s="45">
        <v>7.2</v>
      </c>
      <c r="W1135" s="45">
        <v>0.9</v>
      </c>
      <c r="X1135" s="45">
        <v>10.5</v>
      </c>
      <c r="Y1135" s="45">
        <v>2.5</v>
      </c>
      <c r="Z1135" s="45">
        <v>6.3</v>
      </c>
      <c r="AA1135" s="45">
        <v>3.8</v>
      </c>
      <c r="AB1135" s="45">
        <v>10.7</v>
      </c>
      <c r="AC1135" s="45">
        <v>19.1</v>
      </c>
      <c r="AD1135" s="45">
        <v>8</v>
      </c>
    </row>
    <row r="1136" spans="1:30">
      <c r="A1136" s="73">
        <v>46004</v>
      </c>
      <c r="B1136" s="24">
        <v>0</v>
      </c>
      <c r="C1136" s="24">
        <v>0</v>
      </c>
      <c r="D1136" s="24">
        <v>0</v>
      </c>
      <c r="E1136" s="24">
        <v>0</v>
      </c>
      <c r="F1136" s="24">
        <v>0</v>
      </c>
      <c r="G1136" s="24">
        <v>0</v>
      </c>
      <c r="H1136" s="24">
        <v>0</v>
      </c>
      <c r="I1136" s="24">
        <v>0</v>
      </c>
      <c r="J1136" s="24">
        <v>0</v>
      </c>
      <c r="L1136" s="45">
        <v>0</v>
      </c>
      <c r="M1136" s="45">
        <v>0</v>
      </c>
      <c r="N1136" s="45">
        <v>0</v>
      </c>
      <c r="O1136" s="45">
        <v>0</v>
      </c>
      <c r="P1136" s="45">
        <v>0</v>
      </c>
      <c r="Q1136" s="45">
        <v>0</v>
      </c>
      <c r="R1136" s="45">
        <v>0</v>
      </c>
      <c r="S1136" s="45">
        <v>0</v>
      </c>
      <c r="T1136" s="45">
        <v>0</v>
      </c>
      <c r="V1136" s="45">
        <v>0</v>
      </c>
      <c r="W1136" s="45">
        <v>0</v>
      </c>
      <c r="X1136" s="45">
        <v>0</v>
      </c>
      <c r="Y1136" s="45">
        <v>0</v>
      </c>
      <c r="Z1136" s="45">
        <v>0</v>
      </c>
      <c r="AA1136" s="45">
        <v>0</v>
      </c>
      <c r="AB1136" s="45">
        <v>0</v>
      </c>
      <c r="AC1136" s="45">
        <v>0</v>
      </c>
      <c r="AD1136" s="45">
        <v>0</v>
      </c>
    </row>
    <row r="1137" spans="1:30">
      <c r="A1137" s="73">
        <v>46005</v>
      </c>
      <c r="B1137" s="24">
        <v>82</v>
      </c>
      <c r="C1137" s="24">
        <v>82</v>
      </c>
      <c r="D1137" s="24">
        <v>0</v>
      </c>
      <c r="E1137" s="24">
        <v>0</v>
      </c>
      <c r="F1137" s="24">
        <v>0</v>
      </c>
      <c r="G1137" s="24">
        <v>0</v>
      </c>
      <c r="H1137" s="24">
        <v>0</v>
      </c>
      <c r="I1137" s="24">
        <v>0</v>
      </c>
      <c r="J1137" s="24">
        <v>0</v>
      </c>
      <c r="L1137" s="45">
        <v>98.90000000000001</v>
      </c>
      <c r="M1137" s="45">
        <v>98.90000000000001</v>
      </c>
      <c r="N1137" s="45">
        <v>0</v>
      </c>
      <c r="O1137" s="45">
        <v>0</v>
      </c>
      <c r="P1137" s="45">
        <v>0</v>
      </c>
      <c r="Q1137" s="45">
        <v>0</v>
      </c>
      <c r="R1137" s="45">
        <v>0</v>
      </c>
      <c r="S1137" s="45">
        <v>0</v>
      </c>
      <c r="T1137" s="45">
        <v>0</v>
      </c>
      <c r="V1137" s="45">
        <v>1.6</v>
      </c>
      <c r="W1137" s="45">
        <v>1.6</v>
      </c>
      <c r="X1137" s="45">
        <v>0</v>
      </c>
      <c r="Y1137" s="45">
        <v>0</v>
      </c>
      <c r="Z1137" s="45">
        <v>0</v>
      </c>
      <c r="AA1137" s="45">
        <v>0</v>
      </c>
      <c r="AB1137" s="45">
        <v>0</v>
      </c>
      <c r="AC1137" s="45">
        <v>0</v>
      </c>
      <c r="AD1137" s="45">
        <v>0</v>
      </c>
    </row>
    <row r="1138" spans="1:30">
      <c r="A1138" s="73">
        <v>46006</v>
      </c>
      <c r="B1138" s="24">
        <v>3426</v>
      </c>
      <c r="C1138" s="24">
        <v>676</v>
      </c>
      <c r="D1138" s="24">
        <v>403</v>
      </c>
      <c r="E1138" s="24">
        <v>511</v>
      </c>
      <c r="F1138" s="24">
        <v>580</v>
      </c>
      <c r="G1138" s="24">
        <v>416</v>
      </c>
      <c r="H1138" s="24">
        <v>204</v>
      </c>
      <c r="I1138" s="24">
        <v>168</v>
      </c>
      <c r="J1138" s="24">
        <v>468</v>
      </c>
      <c r="L1138" s="45">
        <v>4.4</v>
      </c>
      <c r="M1138" s="45">
        <v>3.9</v>
      </c>
      <c r="N1138" s="45">
        <v>4.1</v>
      </c>
      <c r="O1138" s="45">
        <v>5.3</v>
      </c>
      <c r="P1138" s="45">
        <v>3.2</v>
      </c>
      <c r="Q1138" s="45">
        <v>5.8</v>
      </c>
      <c r="R1138" s="45">
        <v>5.8</v>
      </c>
      <c r="S1138" s="45">
        <v>2</v>
      </c>
      <c r="T1138" s="45">
        <v>4.6</v>
      </c>
      <c r="V1138" s="45">
        <v>6.2</v>
      </c>
      <c r="W1138" s="45">
        <v>2.2</v>
      </c>
      <c r="X1138" s="45">
        <v>9.1</v>
      </c>
      <c r="Y1138" s="45">
        <v>2.6</v>
      </c>
      <c r="Z1138" s="45">
        <v>7.4</v>
      </c>
      <c r="AA1138" s="45">
        <v>3.2</v>
      </c>
      <c r="AB1138" s="45">
        <v>9.300000000000001</v>
      </c>
      <c r="AC1138" s="45">
        <v>16.1</v>
      </c>
      <c r="AD1138" s="45">
        <v>8.1</v>
      </c>
    </row>
    <row r="1139" spans="1:30">
      <c r="A1139" s="73">
        <v>46007</v>
      </c>
      <c r="B1139" s="24">
        <v>3088</v>
      </c>
      <c r="C1139" s="24">
        <v>571</v>
      </c>
      <c r="D1139" s="24">
        <v>322</v>
      </c>
      <c r="E1139" s="24">
        <v>499</v>
      </c>
      <c r="F1139" s="24">
        <v>543</v>
      </c>
      <c r="G1139" s="24">
        <v>399</v>
      </c>
      <c r="H1139" s="24">
        <v>173</v>
      </c>
      <c r="I1139" s="24">
        <v>126</v>
      </c>
      <c r="J1139" s="24">
        <v>455</v>
      </c>
      <c r="L1139" s="45">
        <v>4.4</v>
      </c>
      <c r="M1139" s="45">
        <v>2.5</v>
      </c>
      <c r="N1139" s="45">
        <v>3.4</v>
      </c>
      <c r="O1139" s="45">
        <v>6.5</v>
      </c>
      <c r="P1139" s="45">
        <v>3.3</v>
      </c>
      <c r="Q1139" s="45">
        <v>6.4</v>
      </c>
      <c r="R1139" s="45">
        <v>1.9</v>
      </c>
      <c r="S1139" s="45">
        <v>1</v>
      </c>
      <c r="T1139" s="45">
        <v>6.3</v>
      </c>
      <c r="V1139" s="45">
        <v>6.7</v>
      </c>
      <c r="W1139" s="45">
        <v>3.3</v>
      </c>
      <c r="X1139" s="45">
        <v>11</v>
      </c>
      <c r="Y1139" s="45">
        <v>3</v>
      </c>
      <c r="Z1139" s="45">
        <v>7.2</v>
      </c>
      <c r="AA1139" s="45">
        <v>3.2</v>
      </c>
      <c r="AB1139" s="45">
        <v>10.9</v>
      </c>
      <c r="AC1139" s="45">
        <v>21.4</v>
      </c>
      <c r="AD1139" s="45">
        <v>7.5</v>
      </c>
    </row>
    <row r="1140" spans="1:30">
      <c r="A1140" s="73">
        <v>46008</v>
      </c>
      <c r="B1140" s="24">
        <v>2797</v>
      </c>
      <c r="C1140" s="24">
        <v>447</v>
      </c>
      <c r="D1140" s="24">
        <v>297</v>
      </c>
      <c r="E1140" s="24">
        <v>450</v>
      </c>
      <c r="F1140" s="24">
        <v>458</v>
      </c>
      <c r="G1140" s="24">
        <v>398</v>
      </c>
      <c r="H1140" s="24">
        <v>202</v>
      </c>
      <c r="I1140" s="24">
        <v>115</v>
      </c>
      <c r="J1140" s="24">
        <v>430</v>
      </c>
      <c r="L1140" s="45">
        <v>3.5</v>
      </c>
      <c r="M1140" s="45">
        <v>2.4</v>
      </c>
      <c r="N1140" s="45">
        <v>3.5</v>
      </c>
      <c r="O1140" s="45">
        <v>4.6</v>
      </c>
      <c r="P1140" s="45">
        <v>3.2</v>
      </c>
      <c r="Q1140" s="45">
        <v>3.2</v>
      </c>
      <c r="R1140" s="45">
        <v>4.8</v>
      </c>
      <c r="S1140" s="45">
        <v>1</v>
      </c>
      <c r="T1140" s="45">
        <v>4</v>
      </c>
      <c r="V1140" s="45">
        <v>6.9</v>
      </c>
      <c r="W1140" s="45">
        <v>3.3</v>
      </c>
      <c r="X1140" s="45">
        <v>10.7</v>
      </c>
      <c r="Y1140" s="45">
        <v>2.5</v>
      </c>
      <c r="Z1140" s="45">
        <v>8</v>
      </c>
      <c r="AA1140" s="45">
        <v>3.6</v>
      </c>
      <c r="AB1140" s="45">
        <v>9.9</v>
      </c>
      <c r="AC1140" s="45">
        <v>23</v>
      </c>
      <c r="AD1140" s="45">
        <v>7.7</v>
      </c>
    </row>
    <row r="1141" spans="1:30">
      <c r="A1141" s="73">
        <v>46009</v>
      </c>
      <c r="B1141" s="24">
        <v>3162</v>
      </c>
      <c r="C1141" s="24">
        <v>603</v>
      </c>
      <c r="D1141" s="24">
        <v>298</v>
      </c>
      <c r="E1141" s="24">
        <v>546</v>
      </c>
      <c r="F1141" s="24">
        <v>554</v>
      </c>
      <c r="G1141" s="24">
        <v>430</v>
      </c>
      <c r="H1141" s="24">
        <v>185</v>
      </c>
      <c r="I1141" s="24">
        <v>137</v>
      </c>
      <c r="J1141" s="24">
        <v>409</v>
      </c>
      <c r="L1141" s="45">
        <v>4.4</v>
      </c>
      <c r="M1141" s="45">
        <v>2.7</v>
      </c>
      <c r="N1141" s="45">
        <v>2.5</v>
      </c>
      <c r="O1141" s="45">
        <v>7.9</v>
      </c>
      <c r="P1141" s="45">
        <v>3.4</v>
      </c>
      <c r="Q1141" s="45">
        <v>6.9</v>
      </c>
      <c r="R1141" s="45">
        <v>2.9</v>
      </c>
      <c r="S1141" s="45">
        <v>1.6</v>
      </c>
      <c r="T1141" s="45">
        <v>4</v>
      </c>
      <c r="V1141" s="45">
        <v>6.9</v>
      </c>
      <c r="W1141" s="45">
        <v>2.7</v>
      </c>
      <c r="X1141" s="45">
        <v>11.5</v>
      </c>
      <c r="Y1141" s="45">
        <v>3.4</v>
      </c>
      <c r="Z1141" s="45">
        <v>8.4</v>
      </c>
      <c r="AA1141" s="45">
        <v>3.3</v>
      </c>
      <c r="AB1141" s="45">
        <v>11.3</v>
      </c>
      <c r="AC1141" s="45">
        <v>19.3</v>
      </c>
      <c r="AD1141" s="45">
        <v>8.5</v>
      </c>
    </row>
    <row r="1142" spans="1:30">
      <c r="A1142" s="73">
        <v>46010</v>
      </c>
      <c r="B1142" s="24">
        <v>3221</v>
      </c>
      <c r="C1142" s="24">
        <v>574</v>
      </c>
      <c r="D1142" s="24">
        <v>357</v>
      </c>
      <c r="E1142" s="24">
        <v>525</v>
      </c>
      <c r="F1142" s="24">
        <v>575</v>
      </c>
      <c r="G1142" s="24">
        <v>410</v>
      </c>
      <c r="H1142" s="24">
        <v>159</v>
      </c>
      <c r="I1142" s="24">
        <v>161</v>
      </c>
      <c r="J1142" s="24">
        <v>460</v>
      </c>
      <c r="L1142" s="45">
        <v>4.4</v>
      </c>
      <c r="M1142" s="45">
        <v>3.3</v>
      </c>
      <c r="N1142" s="45">
        <v>3</v>
      </c>
      <c r="O1142" s="45">
        <v>6</v>
      </c>
      <c r="P1142" s="45">
        <v>5.8</v>
      </c>
      <c r="Q1142" s="45">
        <v>5</v>
      </c>
      <c r="R1142" s="45">
        <v>1.6</v>
      </c>
      <c r="S1142" s="45">
        <v>1.8</v>
      </c>
      <c r="T1142" s="45">
        <v>5</v>
      </c>
      <c r="V1142" s="45">
        <v>6.7</v>
      </c>
      <c r="W1142" s="45">
        <v>3.5</v>
      </c>
      <c r="X1142" s="45">
        <v>9.6</v>
      </c>
      <c r="Y1142" s="45">
        <v>3</v>
      </c>
      <c r="Z1142" s="45">
        <v>7.9</v>
      </c>
      <c r="AA1142" s="45">
        <v>3.4</v>
      </c>
      <c r="AB1142" s="45">
        <v>10.1</v>
      </c>
      <c r="AC1142" s="45">
        <v>16.8</v>
      </c>
      <c r="AD1142" s="45">
        <v>7.7</v>
      </c>
    </row>
    <row r="1143" spans="1:30">
      <c r="A1143" s="73">
        <v>46011</v>
      </c>
      <c r="B1143" s="24">
        <v>0</v>
      </c>
      <c r="C1143" s="24">
        <v>0</v>
      </c>
      <c r="D1143" s="24">
        <v>0</v>
      </c>
      <c r="E1143" s="24">
        <v>0</v>
      </c>
      <c r="F1143" s="24">
        <v>0</v>
      </c>
      <c r="G1143" s="24">
        <v>0</v>
      </c>
      <c r="H1143" s="24">
        <v>0</v>
      </c>
      <c r="I1143" s="24">
        <v>0</v>
      </c>
      <c r="J1143" s="24">
        <v>0</v>
      </c>
      <c r="L1143" s="45">
        <v>0</v>
      </c>
      <c r="M1143" s="45">
        <v>0</v>
      </c>
      <c r="N1143" s="45">
        <v>0</v>
      </c>
      <c r="O1143" s="45">
        <v>0</v>
      </c>
      <c r="P1143" s="45">
        <v>0</v>
      </c>
      <c r="Q1143" s="45">
        <v>0</v>
      </c>
      <c r="R1143" s="45">
        <v>0</v>
      </c>
      <c r="S1143" s="45">
        <v>0</v>
      </c>
      <c r="T1143" s="45">
        <v>0</v>
      </c>
      <c r="V1143" s="45">
        <v>0</v>
      </c>
      <c r="W1143" s="45">
        <v>0</v>
      </c>
      <c r="X1143" s="45">
        <v>0</v>
      </c>
      <c r="Y1143" s="45">
        <v>0</v>
      </c>
      <c r="Z1143" s="45">
        <v>0</v>
      </c>
      <c r="AA1143" s="45">
        <v>0</v>
      </c>
      <c r="AB1143" s="45">
        <v>0</v>
      </c>
      <c r="AC1143" s="45">
        <v>0</v>
      </c>
      <c r="AD1143" s="45">
        <v>0</v>
      </c>
    </row>
    <row r="1144" spans="1:30">
      <c r="A1144" s="73">
        <v>46012</v>
      </c>
      <c r="B1144" s="24">
        <v>0</v>
      </c>
      <c r="C1144" s="24">
        <v>0</v>
      </c>
      <c r="D1144" s="24">
        <v>0</v>
      </c>
      <c r="E1144" s="24">
        <v>0</v>
      </c>
      <c r="F1144" s="24">
        <v>0</v>
      </c>
      <c r="G1144" s="24">
        <v>0</v>
      </c>
      <c r="H1144" s="24">
        <v>0</v>
      </c>
      <c r="I1144" s="24">
        <v>0</v>
      </c>
      <c r="J1144" s="24">
        <v>0</v>
      </c>
      <c r="L1144" s="45">
        <v>0</v>
      </c>
      <c r="M1144" s="45">
        <v>0</v>
      </c>
      <c r="N1144" s="45">
        <v>0</v>
      </c>
      <c r="O1144" s="45">
        <v>0</v>
      </c>
      <c r="P1144" s="45">
        <v>0</v>
      </c>
      <c r="Q1144" s="45">
        <v>0</v>
      </c>
      <c r="R1144" s="45">
        <v>0</v>
      </c>
      <c r="S1144" s="45">
        <v>0</v>
      </c>
      <c r="T1144" s="45">
        <v>0</v>
      </c>
      <c r="V1144" s="45">
        <v>0</v>
      </c>
      <c r="W1144" s="45">
        <v>0</v>
      </c>
      <c r="X1144" s="45">
        <v>0</v>
      </c>
      <c r="Y1144" s="45">
        <v>0</v>
      </c>
      <c r="Z1144" s="45">
        <v>0</v>
      </c>
      <c r="AA1144" s="45">
        <v>0</v>
      </c>
      <c r="AB1144" s="45">
        <v>0</v>
      </c>
      <c r="AC1144" s="45">
        <v>0</v>
      </c>
      <c r="AD1144" s="45">
        <v>0</v>
      </c>
    </row>
    <row r="1145" spans="1:30">
      <c r="A1145" s="73">
        <v>46013</v>
      </c>
      <c r="B1145" s="24">
        <v>3595</v>
      </c>
      <c r="C1145" s="24">
        <v>628</v>
      </c>
      <c r="D1145" s="24">
        <v>370</v>
      </c>
      <c r="E1145" s="24">
        <v>648</v>
      </c>
      <c r="F1145" s="24">
        <v>630</v>
      </c>
      <c r="G1145" s="24">
        <v>474</v>
      </c>
      <c r="H1145" s="24">
        <v>239</v>
      </c>
      <c r="I1145" s="24">
        <v>152</v>
      </c>
      <c r="J1145" s="24">
        <v>454</v>
      </c>
      <c r="L1145" s="45">
        <v>7.6</v>
      </c>
      <c r="M1145" s="45">
        <v>2.3</v>
      </c>
      <c r="N1145" s="45">
        <v>2.9</v>
      </c>
      <c r="O1145" s="45">
        <v>16.3</v>
      </c>
      <c r="P1145" s="45">
        <v>5.2</v>
      </c>
      <c r="Q1145" s="45">
        <v>14.2</v>
      </c>
      <c r="R1145" s="45">
        <v>6.9</v>
      </c>
      <c r="S1145" s="45">
        <v>3.6</v>
      </c>
      <c r="T1145" s="45">
        <v>4.7</v>
      </c>
      <c r="V1145" s="45">
        <v>6.5</v>
      </c>
      <c r="W1145" s="45">
        <v>2.9</v>
      </c>
      <c r="X1145" s="45">
        <v>9.800000000000001</v>
      </c>
      <c r="Y1145" s="45">
        <v>3.4</v>
      </c>
      <c r="Z1145" s="45">
        <v>7.1</v>
      </c>
      <c r="AA1145" s="45">
        <v>3.8</v>
      </c>
      <c r="AB1145" s="45">
        <v>8.300000000000001</v>
      </c>
      <c r="AC1145" s="45">
        <v>18.6</v>
      </c>
      <c r="AD1145" s="45">
        <v>8.300000000000001</v>
      </c>
    </row>
    <row r="1146" spans="1:30">
      <c r="A1146" s="73">
        <v>46014</v>
      </c>
      <c r="B1146" s="24">
        <v>3321</v>
      </c>
      <c r="C1146" s="24">
        <v>603</v>
      </c>
      <c r="D1146" s="24">
        <v>337</v>
      </c>
      <c r="E1146" s="24">
        <v>593</v>
      </c>
      <c r="F1146" s="24">
        <v>608</v>
      </c>
      <c r="G1146" s="24">
        <v>429</v>
      </c>
      <c r="H1146" s="24">
        <v>193</v>
      </c>
      <c r="I1146" s="24">
        <v>123</v>
      </c>
      <c r="J1146" s="24">
        <v>435</v>
      </c>
      <c r="L1146" s="45">
        <v>7.1</v>
      </c>
      <c r="M1146" s="45">
        <v>2.8</v>
      </c>
      <c r="N1146" s="45">
        <v>2.7</v>
      </c>
      <c r="O1146" s="45">
        <v>13.9</v>
      </c>
      <c r="P1146" s="45">
        <v>5.3</v>
      </c>
      <c r="Q1146" s="45">
        <v>12.4</v>
      </c>
      <c r="R1146" s="45">
        <v>3.3</v>
      </c>
      <c r="S1146" s="45">
        <v>1.7</v>
      </c>
      <c r="T1146" s="45">
        <v>7.4</v>
      </c>
      <c r="V1146" s="45">
        <v>6.6</v>
      </c>
      <c r="W1146" s="45">
        <v>2.9</v>
      </c>
      <c r="X1146" s="45">
        <v>10.3</v>
      </c>
      <c r="Y1146" s="45">
        <v>2.8</v>
      </c>
      <c r="Z1146" s="45">
        <v>6.7</v>
      </c>
      <c r="AA1146" s="45">
        <v>3.6</v>
      </c>
      <c r="AB1146" s="45">
        <v>9.699999999999999</v>
      </c>
      <c r="AC1146" s="45">
        <v>21.9</v>
      </c>
      <c r="AD1146" s="45">
        <v>8.9</v>
      </c>
    </row>
    <row r="1147" spans="1:30">
      <c r="A1147" s="73">
        <v>46015</v>
      </c>
      <c r="B1147" s="24">
        <v>2968</v>
      </c>
      <c r="C1147" s="24">
        <v>470</v>
      </c>
      <c r="D1147" s="24">
        <v>326</v>
      </c>
      <c r="E1147" s="24">
        <v>481</v>
      </c>
      <c r="F1147" s="24">
        <v>550</v>
      </c>
      <c r="G1147" s="24">
        <v>384</v>
      </c>
      <c r="H1147" s="24">
        <v>196</v>
      </c>
      <c r="I1147" s="24">
        <v>124</v>
      </c>
      <c r="J1147" s="24">
        <v>437</v>
      </c>
      <c r="L1147" s="45">
        <v>4.7</v>
      </c>
      <c r="M1147" s="45">
        <v>1.5</v>
      </c>
      <c r="N1147" s="45">
        <v>2.7</v>
      </c>
      <c r="O1147" s="45">
        <v>9.800000000000001</v>
      </c>
      <c r="P1147" s="45">
        <v>3.2</v>
      </c>
      <c r="Q1147" s="45">
        <v>6.5</v>
      </c>
      <c r="R1147" s="45">
        <v>5.2</v>
      </c>
      <c r="S1147" s="45">
        <v>1.4</v>
      </c>
      <c r="T1147" s="45">
        <v>5.3</v>
      </c>
      <c r="V1147" s="45">
        <v>7.1</v>
      </c>
      <c r="W1147" s="45">
        <v>3.7</v>
      </c>
      <c r="X1147" s="45">
        <v>11.2</v>
      </c>
      <c r="Y1147" s="45">
        <v>3.6</v>
      </c>
      <c r="Z1147" s="45">
        <v>7.4</v>
      </c>
      <c r="AA1147" s="45">
        <v>3.3</v>
      </c>
      <c r="AB1147" s="45">
        <v>9.300000000000001</v>
      </c>
      <c r="AC1147" s="45">
        <v>20.9</v>
      </c>
      <c r="AD1147" s="45">
        <v>8.199999999999999</v>
      </c>
    </row>
    <row r="1148" spans="1:30">
      <c r="A1148" s="73">
        <v>46016</v>
      </c>
      <c r="B1148" s="24">
        <v>3238</v>
      </c>
      <c r="C1148" s="24">
        <v>572</v>
      </c>
      <c r="D1148" s="24">
        <v>337</v>
      </c>
      <c r="E1148" s="24">
        <v>517</v>
      </c>
      <c r="F1148" s="24">
        <v>586</v>
      </c>
      <c r="G1148" s="24">
        <v>399</v>
      </c>
      <c r="H1148" s="24">
        <v>217</v>
      </c>
      <c r="I1148" s="24">
        <v>137</v>
      </c>
      <c r="J1148" s="24">
        <v>473</v>
      </c>
      <c r="L1148" s="45">
        <v>5.1</v>
      </c>
      <c r="M1148" s="45">
        <v>2.3</v>
      </c>
      <c r="N1148" s="45">
        <v>5.7</v>
      </c>
      <c r="O1148" s="45">
        <v>8.1</v>
      </c>
      <c r="P1148" s="45">
        <v>5.2</v>
      </c>
      <c r="Q1148" s="45">
        <v>4.9</v>
      </c>
      <c r="R1148" s="45">
        <v>4.7</v>
      </c>
      <c r="S1148" s="45">
        <v>0.9</v>
      </c>
      <c r="T1148" s="45">
        <v>6</v>
      </c>
      <c r="V1148" s="45">
        <v>6.8</v>
      </c>
      <c r="W1148" s="45">
        <v>3.3</v>
      </c>
      <c r="X1148" s="45">
        <v>10</v>
      </c>
      <c r="Y1148" s="45">
        <v>4</v>
      </c>
      <c r="Z1148" s="45">
        <v>7.1</v>
      </c>
      <c r="AA1148" s="45">
        <v>3.5</v>
      </c>
      <c r="AB1148" s="45">
        <v>8.800000000000001</v>
      </c>
      <c r="AC1148" s="45">
        <v>20.5</v>
      </c>
      <c r="AD1148" s="45">
        <v>8.5</v>
      </c>
    </row>
    <row r="1149" spans="1:30">
      <c r="A1149" s="73">
        <v>46017</v>
      </c>
      <c r="B1149" s="24">
        <v>3517</v>
      </c>
      <c r="C1149" s="24">
        <v>680</v>
      </c>
      <c r="D1149" s="24">
        <v>389</v>
      </c>
      <c r="E1149" s="24">
        <v>616</v>
      </c>
      <c r="F1149" s="24">
        <v>597</v>
      </c>
      <c r="G1149" s="24">
        <v>436</v>
      </c>
      <c r="H1149" s="24">
        <v>191</v>
      </c>
      <c r="I1149" s="24">
        <v>166</v>
      </c>
      <c r="J1149" s="24">
        <v>442</v>
      </c>
      <c r="L1149" s="45">
        <v>6.4</v>
      </c>
      <c r="M1149" s="45">
        <v>4.8</v>
      </c>
      <c r="N1149" s="45">
        <v>3.2</v>
      </c>
      <c r="O1149" s="45">
        <v>14</v>
      </c>
      <c r="P1149" s="45">
        <v>5.1</v>
      </c>
      <c r="Q1149" s="45">
        <v>5.2</v>
      </c>
      <c r="R1149" s="45">
        <v>2.9</v>
      </c>
      <c r="S1149" s="45">
        <v>0.8</v>
      </c>
      <c r="T1149" s="45">
        <v>7.6</v>
      </c>
      <c r="V1149" s="45">
        <v>6.6</v>
      </c>
      <c r="W1149" s="45">
        <v>3.3</v>
      </c>
      <c r="X1149" s="45">
        <v>9.300000000000001</v>
      </c>
      <c r="Y1149" s="45">
        <v>3</v>
      </c>
      <c r="Z1149" s="45">
        <v>7.3</v>
      </c>
      <c r="AA1149" s="45">
        <v>4.3</v>
      </c>
      <c r="AB1149" s="45">
        <v>10.5</v>
      </c>
      <c r="AC1149" s="45">
        <v>16.1</v>
      </c>
      <c r="AD1149" s="45">
        <v>8.699999999999999</v>
      </c>
    </row>
    <row r="1150" spans="1:30">
      <c r="A1150" s="73">
        <v>46018</v>
      </c>
      <c r="B1150" s="24">
        <v>0</v>
      </c>
      <c r="C1150" s="24">
        <v>0</v>
      </c>
      <c r="D1150" s="24">
        <v>0</v>
      </c>
      <c r="E1150" s="24">
        <v>0</v>
      </c>
      <c r="F1150" s="24">
        <v>0</v>
      </c>
      <c r="G1150" s="24">
        <v>0</v>
      </c>
      <c r="H1150" s="24">
        <v>0</v>
      </c>
      <c r="I1150" s="24">
        <v>0</v>
      </c>
      <c r="J1150" s="24">
        <v>0</v>
      </c>
      <c r="L1150" s="45">
        <v>0</v>
      </c>
      <c r="M1150" s="45">
        <v>0</v>
      </c>
      <c r="N1150" s="45">
        <v>0</v>
      </c>
      <c r="O1150" s="45">
        <v>0</v>
      </c>
      <c r="P1150" s="45">
        <v>0</v>
      </c>
      <c r="Q1150" s="45">
        <v>0</v>
      </c>
      <c r="R1150" s="45">
        <v>0</v>
      </c>
      <c r="S1150" s="45">
        <v>0</v>
      </c>
      <c r="T1150" s="45">
        <v>0</v>
      </c>
      <c r="V1150" s="45">
        <v>0</v>
      </c>
      <c r="W1150" s="45">
        <v>0</v>
      </c>
      <c r="X1150" s="45">
        <v>0</v>
      </c>
      <c r="Y1150" s="45">
        <v>0</v>
      </c>
      <c r="Z1150" s="45">
        <v>0</v>
      </c>
      <c r="AA1150" s="45">
        <v>0</v>
      </c>
      <c r="AB1150" s="45">
        <v>0</v>
      </c>
      <c r="AC1150" s="45">
        <v>0</v>
      </c>
      <c r="AD1150" s="45">
        <v>0</v>
      </c>
    </row>
    <row r="1151" spans="1:30">
      <c r="A1151" s="73">
        <v>46019</v>
      </c>
      <c r="B1151" s="24">
        <v>0</v>
      </c>
      <c r="C1151" s="24">
        <v>0</v>
      </c>
      <c r="D1151" s="24">
        <v>0</v>
      </c>
      <c r="E1151" s="24">
        <v>0</v>
      </c>
      <c r="F1151" s="24">
        <v>0</v>
      </c>
      <c r="G1151" s="24">
        <v>0</v>
      </c>
      <c r="H1151" s="24">
        <v>0</v>
      </c>
      <c r="I1151" s="24">
        <v>0</v>
      </c>
      <c r="J1151" s="24">
        <v>0</v>
      </c>
      <c r="L1151" s="45">
        <v>0</v>
      </c>
      <c r="M1151" s="45">
        <v>0</v>
      </c>
      <c r="N1151" s="45">
        <v>0</v>
      </c>
      <c r="O1151" s="45">
        <v>0</v>
      </c>
      <c r="P1151" s="45">
        <v>0</v>
      </c>
      <c r="Q1151" s="45">
        <v>0</v>
      </c>
      <c r="R1151" s="45">
        <v>0</v>
      </c>
      <c r="S1151" s="45">
        <v>0</v>
      </c>
      <c r="T1151" s="45">
        <v>0</v>
      </c>
      <c r="V1151" s="45">
        <v>0</v>
      </c>
      <c r="W1151" s="45">
        <v>0</v>
      </c>
      <c r="X1151" s="45">
        <v>0</v>
      </c>
      <c r="Y1151" s="45">
        <v>0</v>
      </c>
      <c r="Z1151" s="45">
        <v>0</v>
      </c>
      <c r="AA1151" s="45">
        <v>0</v>
      </c>
      <c r="AB1151" s="45">
        <v>0</v>
      </c>
      <c r="AC1151" s="45">
        <v>0</v>
      </c>
      <c r="AD1151" s="45">
        <v>0</v>
      </c>
    </row>
    <row r="1152" spans="1:30">
      <c r="A1152" s="73">
        <v>46020</v>
      </c>
      <c r="B1152" s="24">
        <v>0</v>
      </c>
      <c r="C1152" s="24">
        <v>0</v>
      </c>
      <c r="D1152" s="24">
        <v>0</v>
      </c>
      <c r="E1152" s="24">
        <v>0</v>
      </c>
      <c r="F1152" s="24">
        <v>0</v>
      </c>
      <c r="G1152" s="24">
        <v>0</v>
      </c>
      <c r="H1152" s="24">
        <v>0</v>
      </c>
      <c r="I1152" s="24">
        <v>0</v>
      </c>
      <c r="J1152" s="24">
        <v>0</v>
      </c>
      <c r="L1152" s="45">
        <v>0</v>
      </c>
      <c r="M1152" s="45">
        <v>0</v>
      </c>
      <c r="N1152" s="45">
        <v>0</v>
      </c>
      <c r="O1152" s="45">
        <v>0</v>
      </c>
      <c r="P1152" s="45">
        <v>0</v>
      </c>
      <c r="Q1152" s="45">
        <v>0</v>
      </c>
      <c r="R1152" s="45">
        <v>0</v>
      </c>
      <c r="S1152" s="45">
        <v>0</v>
      </c>
      <c r="T1152" s="45">
        <v>0</v>
      </c>
      <c r="V1152" s="45">
        <v>0</v>
      </c>
      <c r="W1152" s="45">
        <v>0</v>
      </c>
      <c r="X1152" s="45">
        <v>0</v>
      </c>
      <c r="Y1152" s="45">
        <v>0</v>
      </c>
      <c r="Z1152" s="45">
        <v>0</v>
      </c>
      <c r="AA1152" s="45">
        <v>0</v>
      </c>
      <c r="AB1152" s="45">
        <v>0</v>
      </c>
      <c r="AC1152" s="45">
        <v>0</v>
      </c>
      <c r="AD1152" s="45">
        <v>0</v>
      </c>
    </row>
    <row r="1153" spans="1:30">
      <c r="A1153" s="73">
        <v>46021</v>
      </c>
      <c r="B1153" s="24">
        <v>0</v>
      </c>
      <c r="C1153" s="24">
        <v>0</v>
      </c>
      <c r="D1153" s="24">
        <v>0</v>
      </c>
      <c r="E1153" s="24">
        <v>0</v>
      </c>
      <c r="F1153" s="24">
        <v>0</v>
      </c>
      <c r="G1153" s="24">
        <v>0</v>
      </c>
      <c r="H1153" s="24">
        <v>0</v>
      </c>
      <c r="I1153" s="24">
        <v>0</v>
      </c>
      <c r="J1153" s="24">
        <v>0</v>
      </c>
      <c r="L1153" s="45">
        <v>0</v>
      </c>
      <c r="M1153" s="45">
        <v>0</v>
      </c>
      <c r="N1153" s="45">
        <v>0</v>
      </c>
      <c r="O1153" s="45">
        <v>0</v>
      </c>
      <c r="P1153" s="45">
        <v>0</v>
      </c>
      <c r="Q1153" s="45">
        <v>0</v>
      </c>
      <c r="R1153" s="45">
        <v>0</v>
      </c>
      <c r="S1153" s="45">
        <v>0</v>
      </c>
      <c r="T1153" s="45">
        <v>0</v>
      </c>
      <c r="V1153" s="45">
        <v>0</v>
      </c>
      <c r="W1153" s="45">
        <v>0</v>
      </c>
      <c r="X1153" s="45">
        <v>0</v>
      </c>
      <c r="Y1153" s="45">
        <v>0</v>
      </c>
      <c r="Z1153" s="45">
        <v>0</v>
      </c>
      <c r="AA1153" s="45">
        <v>0</v>
      </c>
      <c r="AB1153" s="45">
        <v>0</v>
      </c>
      <c r="AC1153" s="45">
        <v>0</v>
      </c>
      <c r="AD1153" s="45">
        <v>0</v>
      </c>
    </row>
    <row r="1154" spans="1:30">
      <c r="A1154" s="73">
        <v>46022</v>
      </c>
      <c r="B1154" s="24">
        <v>0</v>
      </c>
      <c r="C1154" s="24">
        <v>0</v>
      </c>
      <c r="D1154" s="24">
        <v>0</v>
      </c>
      <c r="E1154" s="24">
        <v>0</v>
      </c>
      <c r="F1154" s="24">
        <v>0</v>
      </c>
      <c r="G1154" s="24">
        <v>0</v>
      </c>
      <c r="H1154" s="24">
        <v>0</v>
      </c>
      <c r="I1154" s="24">
        <v>0</v>
      </c>
      <c r="J1154" s="24">
        <v>0</v>
      </c>
      <c r="L1154" s="45">
        <v>0</v>
      </c>
      <c r="M1154" s="45">
        <v>0</v>
      </c>
      <c r="N1154" s="45">
        <v>0</v>
      </c>
      <c r="O1154" s="45">
        <v>0</v>
      </c>
      <c r="P1154" s="45">
        <v>0</v>
      </c>
      <c r="Q1154" s="45">
        <v>0</v>
      </c>
      <c r="R1154" s="45">
        <v>0</v>
      </c>
      <c r="S1154" s="45">
        <v>0</v>
      </c>
      <c r="T1154" s="45">
        <v>0</v>
      </c>
      <c r="V1154" s="45">
        <v>0</v>
      </c>
      <c r="W1154" s="45">
        <v>0</v>
      </c>
      <c r="X1154" s="45">
        <v>0</v>
      </c>
      <c r="Y1154" s="45">
        <v>0</v>
      </c>
      <c r="Z1154" s="45">
        <v>0</v>
      </c>
      <c r="AA1154" s="45">
        <v>0</v>
      </c>
      <c r="AB1154" s="45">
        <v>0</v>
      </c>
      <c r="AC1154" s="45">
        <v>0</v>
      </c>
      <c r="AD1154" s="45">
        <v>0</v>
      </c>
    </row>
    <row r="1155" spans="1:30">
      <c r="A1155" s="73">
        <v>46023</v>
      </c>
      <c r="B1155" s="24">
        <v>0</v>
      </c>
      <c r="C1155" s="24">
        <v>0</v>
      </c>
      <c r="D1155" s="24">
        <v>0</v>
      </c>
      <c r="E1155" s="24">
        <v>0</v>
      </c>
      <c r="F1155" s="24">
        <v>0</v>
      </c>
      <c r="G1155" s="24">
        <v>0</v>
      </c>
      <c r="H1155" s="24">
        <v>0</v>
      </c>
      <c r="I1155" s="24">
        <v>0</v>
      </c>
      <c r="J1155" s="24">
        <v>0</v>
      </c>
      <c r="L1155" s="45">
        <v>0</v>
      </c>
      <c r="M1155" s="45">
        <v>0</v>
      </c>
      <c r="N1155" s="45">
        <v>0</v>
      </c>
      <c r="O1155" s="45">
        <v>0</v>
      </c>
      <c r="P1155" s="45">
        <v>0</v>
      </c>
      <c r="Q1155" s="45">
        <v>0</v>
      </c>
      <c r="R1155" s="45">
        <v>0</v>
      </c>
      <c r="S1155" s="45">
        <v>0</v>
      </c>
      <c r="T1155" s="45">
        <v>0</v>
      </c>
      <c r="V1155" s="45">
        <v>0</v>
      </c>
      <c r="W1155" s="45">
        <v>0</v>
      </c>
      <c r="X1155" s="45">
        <v>0</v>
      </c>
      <c r="Y1155" s="45">
        <v>0</v>
      </c>
      <c r="Z1155" s="45">
        <v>0</v>
      </c>
      <c r="AA1155" s="45">
        <v>0</v>
      </c>
      <c r="AB1155" s="45">
        <v>0</v>
      </c>
      <c r="AC1155" s="45">
        <v>0</v>
      </c>
      <c r="AD1155" s="45">
        <v>0</v>
      </c>
    </row>
    <row r="1156" spans="1:30">
      <c r="A1156" s="73">
        <v>46024</v>
      </c>
      <c r="B1156" s="24">
        <v>0</v>
      </c>
      <c r="C1156" s="24">
        <v>0</v>
      </c>
      <c r="D1156" s="24">
        <v>0</v>
      </c>
      <c r="E1156" s="24">
        <v>0</v>
      </c>
      <c r="F1156" s="24">
        <v>0</v>
      </c>
      <c r="G1156" s="24">
        <v>0</v>
      </c>
      <c r="H1156" s="24">
        <v>0</v>
      </c>
      <c r="I1156" s="24">
        <v>0</v>
      </c>
      <c r="J1156" s="24">
        <v>0</v>
      </c>
      <c r="L1156" s="45">
        <v>0</v>
      </c>
      <c r="M1156" s="45">
        <v>0</v>
      </c>
      <c r="N1156" s="45">
        <v>0</v>
      </c>
      <c r="O1156" s="45">
        <v>0</v>
      </c>
      <c r="P1156" s="45">
        <v>0</v>
      </c>
      <c r="Q1156" s="45">
        <v>0</v>
      </c>
      <c r="R1156" s="45">
        <v>0</v>
      </c>
      <c r="S1156" s="45">
        <v>0</v>
      </c>
      <c r="T1156" s="45">
        <v>0</v>
      </c>
      <c r="V1156" s="45">
        <v>0</v>
      </c>
      <c r="W1156" s="45">
        <v>0</v>
      </c>
      <c r="X1156" s="45">
        <v>0</v>
      </c>
      <c r="Y1156" s="45">
        <v>0</v>
      </c>
      <c r="Z1156" s="45">
        <v>0</v>
      </c>
      <c r="AA1156" s="45">
        <v>0</v>
      </c>
      <c r="AB1156" s="45">
        <v>0</v>
      </c>
      <c r="AC1156" s="45">
        <v>0</v>
      </c>
      <c r="AD1156" s="45">
        <v>0</v>
      </c>
    </row>
    <row r="1157" spans="1:30">
      <c r="A1157" s="73">
        <v>46025</v>
      </c>
      <c r="B1157" s="24">
        <v>0</v>
      </c>
      <c r="C1157" s="24">
        <v>0</v>
      </c>
      <c r="D1157" s="24">
        <v>0</v>
      </c>
      <c r="E1157" s="24">
        <v>0</v>
      </c>
      <c r="F1157" s="24">
        <v>0</v>
      </c>
      <c r="G1157" s="24">
        <v>0</v>
      </c>
      <c r="H1157" s="24">
        <v>0</v>
      </c>
      <c r="I1157" s="24">
        <v>0</v>
      </c>
      <c r="J1157" s="24">
        <v>0</v>
      </c>
      <c r="L1157" s="45">
        <v>0</v>
      </c>
      <c r="M1157" s="45">
        <v>0</v>
      </c>
      <c r="N1157" s="45">
        <v>0</v>
      </c>
      <c r="O1157" s="45">
        <v>0</v>
      </c>
      <c r="P1157" s="45">
        <v>0</v>
      </c>
      <c r="Q1157" s="45">
        <v>0</v>
      </c>
      <c r="R1157" s="45">
        <v>0</v>
      </c>
      <c r="S1157" s="45">
        <v>0</v>
      </c>
      <c r="T1157" s="45">
        <v>0</v>
      </c>
      <c r="V1157" s="45">
        <v>0</v>
      </c>
      <c r="W1157" s="45">
        <v>0</v>
      </c>
      <c r="X1157" s="45">
        <v>0</v>
      </c>
      <c r="Y1157" s="45">
        <v>0</v>
      </c>
      <c r="Z1157" s="45">
        <v>0</v>
      </c>
      <c r="AA1157" s="45">
        <v>0</v>
      </c>
      <c r="AB1157" s="45">
        <v>0</v>
      </c>
      <c r="AC1157" s="45">
        <v>0</v>
      </c>
      <c r="AD1157" s="45">
        <v>0</v>
      </c>
    </row>
    <row r="1158" spans="1:30">
      <c r="A1158" s="73">
        <v>46026</v>
      </c>
      <c r="B1158" s="24">
        <v>0</v>
      </c>
      <c r="C1158" s="24">
        <v>0</v>
      </c>
      <c r="D1158" s="24">
        <v>0</v>
      </c>
      <c r="E1158" s="24">
        <v>0</v>
      </c>
      <c r="F1158" s="24">
        <v>0</v>
      </c>
      <c r="G1158" s="24">
        <v>0</v>
      </c>
      <c r="H1158" s="24">
        <v>0</v>
      </c>
      <c r="I1158" s="24">
        <v>0</v>
      </c>
      <c r="J1158" s="24">
        <v>0</v>
      </c>
      <c r="L1158" s="45">
        <v>0</v>
      </c>
      <c r="M1158" s="45">
        <v>0</v>
      </c>
      <c r="N1158" s="45">
        <v>0</v>
      </c>
      <c r="O1158" s="45">
        <v>0</v>
      </c>
      <c r="P1158" s="45">
        <v>0</v>
      </c>
      <c r="Q1158" s="45">
        <v>0</v>
      </c>
      <c r="R1158" s="45">
        <v>0</v>
      </c>
      <c r="S1158" s="45">
        <v>0</v>
      </c>
      <c r="T1158" s="45">
        <v>0</v>
      </c>
      <c r="V1158" s="45">
        <v>0</v>
      </c>
      <c r="W1158" s="45">
        <v>0</v>
      </c>
      <c r="X1158" s="45">
        <v>0</v>
      </c>
      <c r="Y1158" s="45">
        <v>0</v>
      </c>
      <c r="Z1158" s="45">
        <v>0</v>
      </c>
      <c r="AA1158" s="45">
        <v>0</v>
      </c>
      <c r="AB1158" s="45">
        <v>0</v>
      </c>
      <c r="AC1158" s="45">
        <v>0</v>
      </c>
      <c r="AD1158" s="45">
        <v>0</v>
      </c>
    </row>
    <row r="1159" spans="1:30">
      <c r="A1159" s="73">
        <v>46027</v>
      </c>
      <c r="B1159" s="24">
        <v>2509</v>
      </c>
      <c r="C1159" s="24">
        <v>973</v>
      </c>
      <c r="D1159" s="24">
        <v>0</v>
      </c>
      <c r="E1159" s="24">
        <v>857</v>
      </c>
      <c r="F1159" s="24">
        <v>0</v>
      </c>
      <c r="G1159" s="24">
        <v>679</v>
      </c>
      <c r="H1159" s="24">
        <v>0</v>
      </c>
      <c r="I1159" s="24">
        <v>0</v>
      </c>
      <c r="J1159" s="24">
        <v>0</v>
      </c>
      <c r="L1159" s="45">
        <v>25.4</v>
      </c>
      <c r="M1159" s="45">
        <v>8.699999999999999</v>
      </c>
      <c r="N1159" s="45">
        <v>0</v>
      </c>
      <c r="O1159" s="45">
        <v>41</v>
      </c>
      <c r="P1159" s="45">
        <v>0</v>
      </c>
      <c r="Q1159" s="45">
        <v>30.5</v>
      </c>
      <c r="R1159" s="45">
        <v>0</v>
      </c>
      <c r="S1159" s="45">
        <v>0</v>
      </c>
      <c r="T1159" s="45">
        <v>0</v>
      </c>
      <c r="V1159" s="45">
        <v>2.9</v>
      </c>
      <c r="W1159" s="45">
        <v>2.5</v>
      </c>
      <c r="X1159" s="45">
        <v>0</v>
      </c>
      <c r="Y1159" s="45">
        <v>3.1</v>
      </c>
      <c r="Z1159" s="45">
        <v>0</v>
      </c>
      <c r="AA1159" s="45">
        <v>3.4</v>
      </c>
      <c r="AB1159" s="45">
        <v>0</v>
      </c>
      <c r="AC1159" s="45">
        <v>0</v>
      </c>
      <c r="AD1159" s="45">
        <v>0</v>
      </c>
    </row>
    <row r="1160" spans="1:30">
      <c r="A1160" s="73">
        <v>46028</v>
      </c>
      <c r="B1160" s="24">
        <v>1676</v>
      </c>
      <c r="C1160" s="24">
        <v>693</v>
      </c>
      <c r="D1160" s="24">
        <v>0</v>
      </c>
      <c r="E1160" s="24">
        <v>522</v>
      </c>
      <c r="F1160" s="24">
        <v>7</v>
      </c>
      <c r="G1160" s="24">
        <v>453</v>
      </c>
      <c r="H1160" s="24">
        <v>0</v>
      </c>
      <c r="I1160" s="24">
        <v>1</v>
      </c>
      <c r="J1160" s="24">
        <v>0</v>
      </c>
      <c r="L1160" s="45">
        <v>7.2</v>
      </c>
      <c r="M1160" s="45">
        <v>3.2</v>
      </c>
      <c r="N1160" s="45">
        <v>0</v>
      </c>
      <c r="O1160" s="45">
        <v>14.1</v>
      </c>
      <c r="P1160" s="45">
        <v>0</v>
      </c>
      <c r="Q1160" s="45">
        <v>5.3</v>
      </c>
      <c r="R1160" s="45">
        <v>0</v>
      </c>
      <c r="S1160" s="45">
        <v>0</v>
      </c>
      <c r="T1160" s="45">
        <v>0</v>
      </c>
      <c r="V1160" s="45">
        <v>3.1</v>
      </c>
      <c r="W1160" s="45">
        <v>3.1</v>
      </c>
      <c r="X1160" s="45">
        <v>0</v>
      </c>
      <c r="Y1160" s="45">
        <v>3</v>
      </c>
      <c r="Z1160" s="45">
        <v>0</v>
      </c>
      <c r="AA1160" s="45">
        <v>3.1</v>
      </c>
      <c r="AB1160" s="45">
        <v>0</v>
      </c>
      <c r="AC1160" s="45">
        <v>0</v>
      </c>
      <c r="AD1160" s="45">
        <v>0</v>
      </c>
    </row>
    <row r="1161" spans="1:30">
      <c r="A1161" s="73">
        <v>46029</v>
      </c>
      <c r="B1161" s="24">
        <v>1639</v>
      </c>
      <c r="C1161" s="24">
        <v>628</v>
      </c>
      <c r="D1161" s="24">
        <v>0</v>
      </c>
      <c r="E1161" s="24">
        <v>552</v>
      </c>
      <c r="F1161" s="24">
        <v>12</v>
      </c>
      <c r="G1161" s="24">
        <v>412</v>
      </c>
      <c r="H1161" s="24">
        <v>0</v>
      </c>
      <c r="I1161" s="24">
        <v>35</v>
      </c>
      <c r="J1161" s="24">
        <v>0</v>
      </c>
      <c r="L1161" s="45">
        <v>6.6</v>
      </c>
      <c r="M1161" s="45">
        <v>3.7</v>
      </c>
      <c r="N1161" s="45">
        <v>0</v>
      </c>
      <c r="O1161" s="45">
        <v>8.699999999999999</v>
      </c>
      <c r="P1161" s="45">
        <v>0</v>
      </c>
      <c r="Q1161" s="45">
        <v>8.199999999999999</v>
      </c>
      <c r="R1161" s="45">
        <v>0</v>
      </c>
      <c r="S1161" s="45">
        <v>31</v>
      </c>
      <c r="T1161" s="45">
        <v>0</v>
      </c>
      <c r="V1161" s="45">
        <v>3.7</v>
      </c>
      <c r="W1161" s="45">
        <v>3.7</v>
      </c>
      <c r="X1161" s="45">
        <v>0</v>
      </c>
      <c r="Y1161" s="45">
        <v>3.5</v>
      </c>
      <c r="Z1161" s="45">
        <v>0</v>
      </c>
      <c r="AA1161" s="45">
        <v>3.9</v>
      </c>
      <c r="AB1161" s="45">
        <v>0</v>
      </c>
      <c r="AC1161" s="45">
        <v>0.2</v>
      </c>
      <c r="AD1161" s="45">
        <v>0</v>
      </c>
    </row>
    <row r="1162" spans="1:30">
      <c r="A1162" s="73">
        <v>46030</v>
      </c>
      <c r="B1162" s="24">
        <v>1579</v>
      </c>
      <c r="C1162" s="24">
        <v>562</v>
      </c>
      <c r="D1162" s="24">
        <v>0</v>
      </c>
      <c r="E1162" s="24">
        <v>535</v>
      </c>
      <c r="F1162" s="24">
        <v>54</v>
      </c>
      <c r="G1162" s="24">
        <v>405</v>
      </c>
      <c r="H1162" s="24">
        <v>0</v>
      </c>
      <c r="I1162" s="24">
        <v>23</v>
      </c>
      <c r="J1162" s="24">
        <v>0</v>
      </c>
      <c r="L1162" s="45">
        <v>7.1</v>
      </c>
      <c r="M1162" s="45">
        <v>3.2</v>
      </c>
      <c r="N1162" s="45">
        <v>0</v>
      </c>
      <c r="O1162" s="45">
        <v>7.7</v>
      </c>
      <c r="P1162" s="45">
        <v>89.8</v>
      </c>
      <c r="Q1162" s="45">
        <v>6.9</v>
      </c>
      <c r="R1162" s="45">
        <v>0</v>
      </c>
      <c r="S1162" s="45">
        <v>35</v>
      </c>
      <c r="T1162" s="45">
        <v>0</v>
      </c>
      <c r="V1162" s="45">
        <v>3.4</v>
      </c>
      <c r="W1162" s="45">
        <v>3.2</v>
      </c>
      <c r="X1162" s="45">
        <v>0</v>
      </c>
      <c r="Y1162" s="45">
        <v>3.8</v>
      </c>
      <c r="Z1162" s="45">
        <v>2.2</v>
      </c>
      <c r="AA1162" s="45">
        <v>3.4</v>
      </c>
      <c r="AB1162" s="45">
        <v>0</v>
      </c>
      <c r="AC1162" s="45">
        <v>2.1</v>
      </c>
      <c r="AD1162" s="45">
        <v>0</v>
      </c>
    </row>
    <row r="1163" spans="1:30">
      <c r="A1163" s="73">
        <v>46031</v>
      </c>
      <c r="B1163" s="24">
        <v>1792</v>
      </c>
      <c r="C1163" s="24">
        <v>709</v>
      </c>
      <c r="D1163" s="24">
        <v>0</v>
      </c>
      <c r="E1163" s="24">
        <v>586</v>
      </c>
      <c r="F1163" s="24">
        <v>38</v>
      </c>
      <c r="G1163" s="24">
        <v>459</v>
      </c>
      <c r="H1163" s="24">
        <v>0</v>
      </c>
      <c r="I1163" s="24">
        <v>0</v>
      </c>
      <c r="J1163" s="24">
        <v>0</v>
      </c>
      <c r="L1163" s="45">
        <v>7.8</v>
      </c>
      <c r="M1163" s="45">
        <v>4.4</v>
      </c>
      <c r="N1163" s="45">
        <v>0</v>
      </c>
      <c r="O1163" s="45">
        <v>12.8</v>
      </c>
      <c r="P1163" s="45">
        <v>3.5</v>
      </c>
      <c r="Q1163" s="45">
        <v>6.8</v>
      </c>
      <c r="R1163" s="45">
        <v>0</v>
      </c>
      <c r="S1163" s="45">
        <v>0</v>
      </c>
      <c r="T1163" s="45">
        <v>0</v>
      </c>
      <c r="V1163" s="45">
        <v>3</v>
      </c>
      <c r="W1163" s="45">
        <v>2.7</v>
      </c>
      <c r="X1163" s="45">
        <v>0</v>
      </c>
      <c r="Y1163" s="45">
        <v>3.1</v>
      </c>
      <c r="Z1163" s="45">
        <v>1.3</v>
      </c>
      <c r="AA1163" s="45">
        <v>3.4</v>
      </c>
      <c r="AB1163" s="45">
        <v>0</v>
      </c>
      <c r="AC1163" s="45">
        <v>0</v>
      </c>
      <c r="AD1163" s="45">
        <v>0</v>
      </c>
    </row>
    <row r="1164" spans="1:30">
      <c r="A1164" s="73">
        <v>46032</v>
      </c>
      <c r="B1164" s="24">
        <v>12</v>
      </c>
      <c r="C1164" s="24">
        <v>0</v>
      </c>
      <c r="D1164" s="24">
        <v>0</v>
      </c>
      <c r="E1164" s="24">
        <v>0</v>
      </c>
      <c r="F1164" s="24">
        <v>0</v>
      </c>
      <c r="G1164" s="24">
        <v>0</v>
      </c>
      <c r="H1164" s="24">
        <v>0</v>
      </c>
      <c r="I1164" s="24">
        <v>0</v>
      </c>
      <c r="J1164" s="24">
        <v>12</v>
      </c>
      <c r="L1164" s="45">
        <v>168.2</v>
      </c>
      <c r="M1164" s="45">
        <v>0</v>
      </c>
      <c r="N1164" s="45">
        <v>0</v>
      </c>
      <c r="O1164" s="45">
        <v>0</v>
      </c>
      <c r="P1164" s="45">
        <v>0</v>
      </c>
      <c r="Q1164" s="45">
        <v>0</v>
      </c>
      <c r="R1164" s="45">
        <v>0</v>
      </c>
      <c r="S1164" s="45">
        <v>0</v>
      </c>
      <c r="T1164" s="45">
        <v>168.2</v>
      </c>
      <c r="V1164" s="45">
        <v>0.5</v>
      </c>
      <c r="W1164" s="45">
        <v>0</v>
      </c>
      <c r="X1164" s="45">
        <v>0</v>
      </c>
      <c r="Y1164" s="45">
        <v>0</v>
      </c>
      <c r="Z1164" s="45">
        <v>0</v>
      </c>
      <c r="AA1164" s="45">
        <v>0</v>
      </c>
      <c r="AB1164" s="45">
        <v>0</v>
      </c>
      <c r="AC1164" s="45">
        <v>0</v>
      </c>
      <c r="AD1164" s="45">
        <v>0.5</v>
      </c>
    </row>
    <row r="1165" spans="1:30">
      <c r="A1165" s="73">
        <v>46033</v>
      </c>
      <c r="B1165" s="24">
        <v>130</v>
      </c>
      <c r="C1165" s="24">
        <v>48</v>
      </c>
      <c r="D1165" s="24">
        <v>0</v>
      </c>
      <c r="E1165" s="24">
        <v>59</v>
      </c>
      <c r="F1165" s="24">
        <v>0</v>
      </c>
      <c r="G1165" s="24">
        <v>23</v>
      </c>
      <c r="H1165" s="24">
        <v>0</v>
      </c>
      <c r="I1165" s="24">
        <v>0</v>
      </c>
      <c r="J1165" s="24">
        <v>0</v>
      </c>
      <c r="L1165" s="45">
        <v>1.9</v>
      </c>
      <c r="M1165" s="45">
        <v>2.2</v>
      </c>
      <c r="N1165" s="45">
        <v>0</v>
      </c>
      <c r="O1165" s="45">
        <v>2.1</v>
      </c>
      <c r="P1165" s="45">
        <v>0</v>
      </c>
      <c r="Q1165" s="45">
        <v>0.9</v>
      </c>
      <c r="R1165" s="45">
        <v>0</v>
      </c>
      <c r="S1165" s="45">
        <v>0</v>
      </c>
      <c r="T1165" s="45">
        <v>0</v>
      </c>
      <c r="V1165" s="45">
        <v>2.7</v>
      </c>
      <c r="W1165" s="45">
        <v>1.8</v>
      </c>
      <c r="X1165" s="45">
        <v>0</v>
      </c>
      <c r="Y1165" s="45">
        <v>8.199999999999999</v>
      </c>
      <c r="Z1165" s="45">
        <v>0</v>
      </c>
      <c r="AA1165" s="45">
        <v>2.2</v>
      </c>
      <c r="AB1165" s="45">
        <v>0</v>
      </c>
      <c r="AC1165" s="45">
        <v>0</v>
      </c>
      <c r="AD1165" s="45">
        <v>0</v>
      </c>
    </row>
    <row r="1166" spans="1:30">
      <c r="A1166" s="73">
        <v>46034</v>
      </c>
      <c r="B1166" s="24">
        <v>13</v>
      </c>
      <c r="C1166" s="24">
        <v>0</v>
      </c>
      <c r="D1166" s="24">
        <v>0</v>
      </c>
      <c r="E1166" s="24">
        <v>0</v>
      </c>
      <c r="F1166" s="24">
        <v>0</v>
      </c>
      <c r="G1166" s="24">
        <v>0</v>
      </c>
      <c r="H1166" s="24">
        <v>0</v>
      </c>
      <c r="I1166" s="24">
        <v>0</v>
      </c>
      <c r="J1166" s="24">
        <v>13</v>
      </c>
      <c r="L1166" s="45">
        <v>34.6</v>
      </c>
      <c r="M1166" s="45">
        <v>0</v>
      </c>
      <c r="N1166" s="45">
        <v>0</v>
      </c>
      <c r="O1166" s="45">
        <v>0</v>
      </c>
      <c r="P1166" s="45">
        <v>0</v>
      </c>
      <c r="Q1166" s="45">
        <v>0</v>
      </c>
      <c r="R1166" s="45">
        <v>0</v>
      </c>
      <c r="S1166" s="45">
        <v>0</v>
      </c>
      <c r="T1166" s="45">
        <v>34.6</v>
      </c>
      <c r="V1166" s="45">
        <v>2.1</v>
      </c>
      <c r="W1166" s="45">
        <v>0</v>
      </c>
      <c r="X1166" s="45">
        <v>0</v>
      </c>
      <c r="Y1166" s="45">
        <v>0</v>
      </c>
      <c r="Z1166" s="45">
        <v>0</v>
      </c>
      <c r="AA1166" s="45">
        <v>0</v>
      </c>
      <c r="AB1166" s="45">
        <v>0</v>
      </c>
      <c r="AC1166" s="45">
        <v>0</v>
      </c>
      <c r="AD1166" s="45">
        <v>2.1</v>
      </c>
    </row>
    <row r="1167" spans="1:30">
      <c r="A1167" s="73">
        <v>46035</v>
      </c>
      <c r="B1167" s="24">
        <v>1868</v>
      </c>
      <c r="C1167" s="24">
        <v>753</v>
      </c>
      <c r="D1167" s="24">
        <v>23</v>
      </c>
      <c r="E1167" s="24">
        <v>592</v>
      </c>
      <c r="F1167" s="24">
        <v>0</v>
      </c>
      <c r="G1167" s="24">
        <v>480</v>
      </c>
      <c r="H1167" s="24">
        <v>0</v>
      </c>
      <c r="I1167" s="24">
        <v>4</v>
      </c>
      <c r="J1167" s="24">
        <v>16</v>
      </c>
      <c r="L1167" s="45">
        <v>6.6</v>
      </c>
      <c r="M1167" s="45">
        <v>6</v>
      </c>
      <c r="N1167" s="45">
        <v>0</v>
      </c>
      <c r="O1167" s="45">
        <v>7.4</v>
      </c>
      <c r="P1167" s="45">
        <v>0</v>
      </c>
      <c r="Q1167" s="45">
        <v>5.9</v>
      </c>
      <c r="R1167" s="45">
        <v>0</v>
      </c>
      <c r="S1167" s="45">
        <v>17</v>
      </c>
      <c r="T1167" s="45">
        <v>21.2</v>
      </c>
      <c r="V1167" s="45">
        <v>3.1</v>
      </c>
      <c r="W1167" s="45">
        <v>3</v>
      </c>
      <c r="X1167" s="45">
        <v>0</v>
      </c>
      <c r="Y1167" s="45">
        <v>2.6</v>
      </c>
      <c r="Z1167" s="45">
        <v>0</v>
      </c>
      <c r="AA1167" s="45">
        <v>3.6</v>
      </c>
      <c r="AB1167" s="45">
        <v>0</v>
      </c>
      <c r="AC1167" s="45">
        <v>4.9</v>
      </c>
      <c r="AD1167" s="45">
        <v>0.3</v>
      </c>
    </row>
    <row r="1168" spans="1:30">
      <c r="A1168" s="73">
        <v>46036</v>
      </c>
      <c r="B1168" s="24">
        <v>1863</v>
      </c>
      <c r="C1168" s="24">
        <v>642</v>
      </c>
      <c r="D1168" s="24">
        <v>3</v>
      </c>
      <c r="E1168" s="24">
        <v>595</v>
      </c>
      <c r="F1168" s="24">
        <v>177</v>
      </c>
      <c r="G1168" s="24">
        <v>446</v>
      </c>
      <c r="H1168" s="24">
        <v>0</v>
      </c>
      <c r="I1168" s="24">
        <v>0</v>
      </c>
      <c r="J1168" s="24">
        <v>0</v>
      </c>
      <c r="L1168" s="45">
        <v>10.7</v>
      </c>
      <c r="M1168" s="45">
        <v>5.8</v>
      </c>
      <c r="N1168" s="45">
        <v>0</v>
      </c>
      <c r="O1168" s="45">
        <v>12.2</v>
      </c>
      <c r="P1168" s="45">
        <v>60.1</v>
      </c>
      <c r="Q1168" s="45">
        <v>6.4</v>
      </c>
      <c r="R1168" s="45">
        <v>0</v>
      </c>
      <c r="S1168" s="45">
        <v>0</v>
      </c>
      <c r="T1168" s="45">
        <v>0</v>
      </c>
      <c r="V1168" s="45">
        <v>3.3</v>
      </c>
      <c r="W1168" s="45">
        <v>3.3</v>
      </c>
      <c r="X1168" s="45">
        <v>0</v>
      </c>
      <c r="Y1168" s="45">
        <v>3.5</v>
      </c>
      <c r="Z1168" s="45">
        <v>1.1</v>
      </c>
      <c r="AA1168" s="45">
        <v>3.7</v>
      </c>
      <c r="AB1168" s="45">
        <v>0</v>
      </c>
      <c r="AC1168" s="45">
        <v>0</v>
      </c>
      <c r="AD1168" s="45">
        <v>0</v>
      </c>
    </row>
    <row r="1169" spans="1:30">
      <c r="A1169" s="73">
        <v>46037</v>
      </c>
      <c r="B1169" s="24">
        <v>1638</v>
      </c>
      <c r="C1169" s="24">
        <v>605</v>
      </c>
      <c r="D1169" s="24">
        <v>2</v>
      </c>
      <c r="E1169" s="24">
        <v>525</v>
      </c>
      <c r="F1169" s="24">
        <v>0</v>
      </c>
      <c r="G1169" s="24">
        <v>380</v>
      </c>
      <c r="H1169" s="24">
        <v>0</v>
      </c>
      <c r="I1169" s="24">
        <v>0</v>
      </c>
      <c r="J1169" s="24">
        <v>126</v>
      </c>
      <c r="L1169" s="45">
        <v>6.5</v>
      </c>
      <c r="M1169" s="45">
        <v>2.9</v>
      </c>
      <c r="N1169" s="45">
        <v>0</v>
      </c>
      <c r="O1169" s="45">
        <v>6.3</v>
      </c>
      <c r="P1169" s="45">
        <v>0</v>
      </c>
      <c r="Q1169" s="45">
        <v>4</v>
      </c>
      <c r="R1169" s="45">
        <v>0</v>
      </c>
      <c r="S1169" s="45">
        <v>0</v>
      </c>
      <c r="T1169" s="45">
        <v>55.4</v>
      </c>
      <c r="V1169" s="45">
        <v>3.2</v>
      </c>
      <c r="W1169" s="45">
        <v>3.2</v>
      </c>
      <c r="X1169" s="45">
        <v>0</v>
      </c>
      <c r="Y1169" s="45">
        <v>3.1</v>
      </c>
      <c r="Z1169" s="45">
        <v>0</v>
      </c>
      <c r="AA1169" s="45">
        <v>3.7</v>
      </c>
      <c r="AB1169" s="45">
        <v>0</v>
      </c>
      <c r="AC1169" s="45">
        <v>0</v>
      </c>
      <c r="AD1169" s="45">
        <v>1.1</v>
      </c>
    </row>
    <row r="1170" spans="1:30">
      <c r="A1170" s="73">
        <v>46038</v>
      </c>
      <c r="B1170" s="24">
        <v>1783</v>
      </c>
      <c r="C1170" s="24">
        <v>634</v>
      </c>
      <c r="D1170" s="24">
        <v>0</v>
      </c>
      <c r="E1170" s="24">
        <v>602</v>
      </c>
      <c r="F1170" s="24">
        <v>0</v>
      </c>
      <c r="G1170" s="24">
        <v>415</v>
      </c>
      <c r="H1170" s="24">
        <v>0</v>
      </c>
      <c r="I1170" s="24">
        <v>132</v>
      </c>
      <c r="J1170" s="24">
        <v>0</v>
      </c>
      <c r="L1170" s="45">
        <v>7.2</v>
      </c>
      <c r="M1170" s="45">
        <v>2.9</v>
      </c>
      <c r="N1170" s="45">
        <v>0</v>
      </c>
      <c r="O1170" s="45">
        <v>9.6</v>
      </c>
      <c r="P1170" s="45">
        <v>0</v>
      </c>
      <c r="Q1170" s="45">
        <v>3.5</v>
      </c>
      <c r="R1170" s="45">
        <v>0</v>
      </c>
      <c r="S1170" s="45">
        <v>44.5</v>
      </c>
      <c r="T1170" s="45">
        <v>0</v>
      </c>
      <c r="V1170" s="45">
        <v>3.4</v>
      </c>
      <c r="W1170" s="45">
        <v>3.2</v>
      </c>
      <c r="X1170" s="45">
        <v>0</v>
      </c>
      <c r="Y1170" s="45">
        <v>3.6</v>
      </c>
      <c r="Z1170" s="45">
        <v>0</v>
      </c>
      <c r="AA1170" s="45">
        <v>3.9</v>
      </c>
      <c r="AB1170" s="45">
        <v>0</v>
      </c>
      <c r="AC1170" s="45">
        <v>1.7</v>
      </c>
      <c r="AD1170" s="45">
        <v>0</v>
      </c>
    </row>
    <row r="1171" spans="1:30">
      <c r="A1171" s="73">
        <v>46039</v>
      </c>
      <c r="B1171" s="24">
        <v>74</v>
      </c>
      <c r="C1171" s="24">
        <v>0</v>
      </c>
      <c r="D1171" s="24">
        <v>0</v>
      </c>
      <c r="E1171" s="24">
        <v>0</v>
      </c>
      <c r="F1171" s="24">
        <v>0</v>
      </c>
      <c r="G1171" s="24">
        <v>0</v>
      </c>
      <c r="H1171" s="24">
        <v>0</v>
      </c>
      <c r="I1171" s="24">
        <v>74</v>
      </c>
      <c r="J1171" s="24">
        <v>0</v>
      </c>
      <c r="L1171" s="45">
        <v>48.3</v>
      </c>
      <c r="M1171" s="45">
        <v>0</v>
      </c>
      <c r="N1171" s="45">
        <v>0</v>
      </c>
      <c r="O1171" s="45">
        <v>0</v>
      </c>
      <c r="P1171" s="45">
        <v>0</v>
      </c>
      <c r="Q1171" s="45">
        <v>0</v>
      </c>
      <c r="R1171" s="45">
        <v>0</v>
      </c>
      <c r="S1171" s="45">
        <v>48.3</v>
      </c>
      <c r="T1171" s="45">
        <v>0</v>
      </c>
      <c r="V1171" s="45">
        <v>1.7</v>
      </c>
      <c r="W1171" s="45">
        <v>0</v>
      </c>
      <c r="X1171" s="45">
        <v>0</v>
      </c>
      <c r="Y1171" s="45">
        <v>0</v>
      </c>
      <c r="Z1171" s="45">
        <v>0</v>
      </c>
      <c r="AA1171" s="45">
        <v>0</v>
      </c>
      <c r="AB1171" s="45">
        <v>0</v>
      </c>
      <c r="AC1171" s="45">
        <v>1.7</v>
      </c>
      <c r="AD1171" s="45">
        <v>0</v>
      </c>
    </row>
    <row r="1172" spans="1:30">
      <c r="A1172" s="73">
        <v>46040</v>
      </c>
      <c r="B1172" s="24">
        <v>183</v>
      </c>
      <c r="C1172" s="24">
        <v>0</v>
      </c>
      <c r="D1172" s="24">
        <v>0</v>
      </c>
      <c r="E1172" s="24">
        <v>0</v>
      </c>
      <c r="F1172" s="24">
        <v>105</v>
      </c>
      <c r="G1172" s="24">
        <v>0</v>
      </c>
      <c r="H1172" s="24">
        <v>0</v>
      </c>
      <c r="I1172" s="24">
        <v>0</v>
      </c>
      <c r="J1172" s="24">
        <v>78</v>
      </c>
      <c r="L1172" s="45">
        <v>18.6</v>
      </c>
      <c r="M1172" s="45">
        <v>0</v>
      </c>
      <c r="N1172" s="45">
        <v>0</v>
      </c>
      <c r="O1172" s="45">
        <v>0</v>
      </c>
      <c r="P1172" s="45">
        <v>21.8</v>
      </c>
      <c r="Q1172" s="45">
        <v>0</v>
      </c>
      <c r="R1172" s="45">
        <v>0</v>
      </c>
      <c r="S1172" s="45">
        <v>0</v>
      </c>
      <c r="T1172" s="45">
        <v>14</v>
      </c>
      <c r="V1172" s="45">
        <v>7.2</v>
      </c>
      <c r="W1172" s="45">
        <v>0</v>
      </c>
      <c r="X1172" s="45">
        <v>0</v>
      </c>
      <c r="Y1172" s="45">
        <v>0</v>
      </c>
      <c r="Z1172" s="45">
        <v>10.7</v>
      </c>
      <c r="AA1172" s="45">
        <v>0</v>
      </c>
      <c r="AB1172" s="45">
        <v>0</v>
      </c>
      <c r="AC1172" s="45">
        <v>0</v>
      </c>
      <c r="AD1172" s="45">
        <v>1.5</v>
      </c>
    </row>
    <row r="1173" spans="1:30">
      <c r="A1173" s="73">
        <v>46041</v>
      </c>
      <c r="B1173" s="24">
        <v>3248</v>
      </c>
      <c r="C1173" s="24">
        <v>726</v>
      </c>
      <c r="D1173" s="24">
        <v>0</v>
      </c>
      <c r="E1173" s="24">
        <v>590</v>
      </c>
      <c r="F1173" s="24">
        <v>750</v>
      </c>
      <c r="G1173" s="24">
        <v>460</v>
      </c>
      <c r="H1173" s="24">
        <v>0</v>
      </c>
      <c r="I1173" s="24">
        <v>207</v>
      </c>
      <c r="J1173" s="24">
        <v>515</v>
      </c>
      <c r="L1173" s="45">
        <v>4.8</v>
      </c>
      <c r="M1173" s="45">
        <v>4.1</v>
      </c>
      <c r="N1173" s="45">
        <v>0</v>
      </c>
      <c r="O1173" s="45">
        <v>7.6</v>
      </c>
      <c r="P1173" s="45">
        <v>4.2</v>
      </c>
      <c r="Q1173" s="45">
        <v>5</v>
      </c>
      <c r="R1173" s="45">
        <v>0</v>
      </c>
      <c r="S1173" s="45">
        <v>1.9</v>
      </c>
      <c r="T1173" s="45">
        <v>4.6</v>
      </c>
      <c r="V1173" s="45">
        <v>2.9</v>
      </c>
      <c r="W1173" s="45">
        <v>3.2</v>
      </c>
      <c r="X1173" s="45">
        <v>0</v>
      </c>
      <c r="Y1173" s="45">
        <v>2.9</v>
      </c>
      <c r="Z1173" s="45">
        <v>2.4</v>
      </c>
      <c r="AA1173" s="45">
        <v>3.8</v>
      </c>
      <c r="AB1173" s="45">
        <v>0</v>
      </c>
      <c r="AC1173" s="45">
        <v>2.5</v>
      </c>
      <c r="AD1173" s="45">
        <v>2.7</v>
      </c>
    </row>
    <row r="1174" spans="1:30">
      <c r="A1174" s="73">
        <v>46042</v>
      </c>
      <c r="B1174" s="24">
        <v>2759</v>
      </c>
      <c r="C1174" s="24">
        <v>567</v>
      </c>
      <c r="D1174" s="24">
        <v>0</v>
      </c>
      <c r="E1174" s="24">
        <v>477</v>
      </c>
      <c r="F1174" s="24">
        <v>636</v>
      </c>
      <c r="G1174" s="24">
        <v>437</v>
      </c>
      <c r="H1174" s="24">
        <v>0</v>
      </c>
      <c r="I1174" s="24">
        <v>135</v>
      </c>
      <c r="J1174" s="24">
        <v>507</v>
      </c>
      <c r="L1174" s="45">
        <v>5</v>
      </c>
      <c r="M1174" s="45">
        <v>2.3</v>
      </c>
      <c r="N1174" s="45">
        <v>0</v>
      </c>
      <c r="O1174" s="45">
        <v>7.6</v>
      </c>
      <c r="P1174" s="45">
        <v>5.1</v>
      </c>
      <c r="Q1174" s="45">
        <v>5</v>
      </c>
      <c r="R1174" s="45">
        <v>0</v>
      </c>
      <c r="S1174" s="45">
        <v>2</v>
      </c>
      <c r="T1174" s="45">
        <v>6.3</v>
      </c>
      <c r="V1174" s="45">
        <v>3.6</v>
      </c>
      <c r="W1174" s="45">
        <v>3.6</v>
      </c>
      <c r="X1174" s="45">
        <v>0</v>
      </c>
      <c r="Y1174" s="45">
        <v>4.1</v>
      </c>
      <c r="Z1174" s="45">
        <v>3.3</v>
      </c>
      <c r="AA1174" s="45">
        <v>4.4</v>
      </c>
      <c r="AB1174" s="45">
        <v>0</v>
      </c>
      <c r="AC1174" s="45">
        <v>3.4</v>
      </c>
      <c r="AD1174" s="45">
        <v>2.7</v>
      </c>
    </row>
    <row r="1175" spans="1:30">
      <c r="A1175" s="73">
        <v>46043</v>
      </c>
      <c r="B1175" s="24">
        <v>2809</v>
      </c>
      <c r="C1175" s="24">
        <v>586</v>
      </c>
      <c r="D1175" s="24">
        <v>0</v>
      </c>
      <c r="E1175" s="24">
        <v>545</v>
      </c>
      <c r="F1175" s="24">
        <v>649</v>
      </c>
      <c r="G1175" s="24">
        <v>414</v>
      </c>
      <c r="H1175" s="24">
        <v>0</v>
      </c>
      <c r="I1175" s="24">
        <v>162</v>
      </c>
      <c r="J1175" s="24">
        <v>453</v>
      </c>
      <c r="L1175" s="45">
        <v>4.3</v>
      </c>
      <c r="M1175" s="45">
        <v>3.2</v>
      </c>
      <c r="N1175" s="45">
        <v>0</v>
      </c>
      <c r="O1175" s="45">
        <v>8.199999999999999</v>
      </c>
      <c r="P1175" s="45">
        <v>3.2</v>
      </c>
      <c r="Q1175" s="45">
        <v>4.6</v>
      </c>
      <c r="R1175" s="45">
        <v>0</v>
      </c>
      <c r="S1175" s="45">
        <v>1.7</v>
      </c>
      <c r="T1175" s="45">
        <v>3.3</v>
      </c>
      <c r="V1175" s="45">
        <v>3.3</v>
      </c>
      <c r="W1175" s="45">
        <v>3.7</v>
      </c>
      <c r="X1175" s="45">
        <v>0</v>
      </c>
      <c r="Y1175" s="45">
        <v>3</v>
      </c>
      <c r="Z1175" s="45">
        <v>3.4</v>
      </c>
      <c r="AA1175" s="45">
        <v>4</v>
      </c>
      <c r="AB1175" s="45">
        <v>0</v>
      </c>
      <c r="AC1175" s="45">
        <v>2.4</v>
      </c>
      <c r="AD1175" s="45">
        <v>2.3</v>
      </c>
    </row>
    <row r="1176" spans="1:30">
      <c r="A1176" s="73">
        <v>46044</v>
      </c>
      <c r="B1176" s="24">
        <v>2484</v>
      </c>
      <c r="C1176" s="24">
        <v>508</v>
      </c>
      <c r="D1176" s="24">
        <v>120</v>
      </c>
      <c r="E1176" s="24">
        <v>446</v>
      </c>
      <c r="F1176" s="24">
        <v>540</v>
      </c>
      <c r="G1176" s="24">
        <v>294</v>
      </c>
      <c r="H1176" s="24">
        <v>0</v>
      </c>
      <c r="I1176" s="24">
        <v>152</v>
      </c>
      <c r="J1176" s="24">
        <v>424</v>
      </c>
      <c r="L1176" s="45">
        <v>5.1</v>
      </c>
      <c r="M1176" s="45">
        <v>2.4</v>
      </c>
      <c r="N1176" s="45">
        <v>48.2</v>
      </c>
      <c r="O1176" s="45">
        <v>6.3</v>
      </c>
      <c r="P1176" s="45">
        <v>2.4</v>
      </c>
      <c r="Q1176" s="45">
        <v>3</v>
      </c>
      <c r="R1176" s="45">
        <v>0</v>
      </c>
      <c r="S1176" s="45">
        <v>1.5</v>
      </c>
      <c r="T1176" s="45">
        <v>4.4</v>
      </c>
      <c r="V1176" s="45">
        <v>3.5</v>
      </c>
      <c r="W1176" s="45">
        <v>3.2</v>
      </c>
      <c r="X1176" s="45">
        <v>3.9</v>
      </c>
      <c r="Y1176" s="45">
        <v>3.8</v>
      </c>
      <c r="Z1176" s="45">
        <v>3</v>
      </c>
      <c r="AA1176" s="45">
        <v>5</v>
      </c>
      <c r="AB1176" s="45">
        <v>0</v>
      </c>
      <c r="AC1176" s="45">
        <v>4.3</v>
      </c>
      <c r="AD1176" s="45">
        <v>3</v>
      </c>
    </row>
    <row r="1177" spans="1:30">
      <c r="A1177" s="73">
        <v>46045</v>
      </c>
      <c r="B1177" s="24">
        <v>2843</v>
      </c>
      <c r="C1177" s="24">
        <v>571</v>
      </c>
      <c r="D1177" s="24">
        <v>0</v>
      </c>
      <c r="E1177" s="24">
        <v>500</v>
      </c>
      <c r="F1177" s="24">
        <v>624</v>
      </c>
      <c r="G1177" s="24">
        <v>373</v>
      </c>
      <c r="H1177" s="24">
        <v>128</v>
      </c>
      <c r="I1177" s="24">
        <v>186</v>
      </c>
      <c r="J1177" s="24">
        <v>461</v>
      </c>
      <c r="L1177" s="45">
        <v>4.6</v>
      </c>
      <c r="M1177" s="45">
        <v>3.7</v>
      </c>
      <c r="N1177" s="45">
        <v>0</v>
      </c>
      <c r="O1177" s="45">
        <v>6.3</v>
      </c>
      <c r="P1177" s="45">
        <v>4</v>
      </c>
      <c r="Q1177" s="45">
        <v>3.4</v>
      </c>
      <c r="R1177" s="45">
        <v>21.8</v>
      </c>
      <c r="S1177" s="45">
        <v>1.5</v>
      </c>
      <c r="T1177" s="45">
        <v>4.9</v>
      </c>
      <c r="V1177" s="45">
        <v>3.2</v>
      </c>
      <c r="W1177" s="45">
        <v>3.3</v>
      </c>
      <c r="X1177" s="45">
        <v>0</v>
      </c>
      <c r="Y1177" s="45">
        <v>3.1</v>
      </c>
      <c r="Z1177" s="45">
        <v>2.8</v>
      </c>
      <c r="AA1177" s="45">
        <v>4.9</v>
      </c>
      <c r="AB1177" s="45">
        <v>1.5</v>
      </c>
      <c r="AC1177" s="45">
        <v>4.5</v>
      </c>
      <c r="AD1177" s="45">
        <v>2.3</v>
      </c>
    </row>
    <row r="1178" spans="1:30">
      <c r="A1178" s="73">
        <v>46046</v>
      </c>
      <c r="B1178" s="24">
        <v>70</v>
      </c>
      <c r="C1178" s="24">
        <v>0</v>
      </c>
      <c r="D1178" s="24">
        <v>0</v>
      </c>
      <c r="E1178" s="24">
        <v>0</v>
      </c>
      <c r="F1178" s="24">
        <v>0</v>
      </c>
      <c r="G1178" s="24">
        <v>0</v>
      </c>
      <c r="H1178" s="24">
        <v>70</v>
      </c>
      <c r="I1178" s="24">
        <v>0</v>
      </c>
      <c r="J1178" s="24">
        <v>0</v>
      </c>
      <c r="L1178" s="45">
        <v>18.5</v>
      </c>
      <c r="M1178" s="45">
        <v>0</v>
      </c>
      <c r="N1178" s="45">
        <v>0</v>
      </c>
      <c r="O1178" s="45">
        <v>0</v>
      </c>
      <c r="P1178" s="45">
        <v>0</v>
      </c>
      <c r="Q1178" s="45">
        <v>0</v>
      </c>
      <c r="R1178" s="45">
        <v>18.5</v>
      </c>
      <c r="S1178" s="45">
        <v>0</v>
      </c>
      <c r="T1178" s="45">
        <v>0</v>
      </c>
      <c r="V1178" s="45">
        <v>9.199999999999999</v>
      </c>
      <c r="W1178" s="45">
        <v>0</v>
      </c>
      <c r="X1178" s="45">
        <v>0</v>
      </c>
      <c r="Y1178" s="45">
        <v>0</v>
      </c>
      <c r="Z1178" s="45">
        <v>0</v>
      </c>
      <c r="AA1178" s="45">
        <v>0</v>
      </c>
      <c r="AB1178" s="45">
        <v>9.199999999999999</v>
      </c>
      <c r="AC1178" s="45">
        <v>0</v>
      </c>
      <c r="AD1178" s="45">
        <v>0</v>
      </c>
    </row>
    <row r="1179" spans="1:30">
      <c r="A1179" s="73">
        <v>46047</v>
      </c>
      <c r="B1179" s="24">
        <v>62</v>
      </c>
      <c r="C1179" s="24">
        <v>0</v>
      </c>
      <c r="D1179" s="24">
        <v>62</v>
      </c>
      <c r="E1179" s="24">
        <v>0</v>
      </c>
      <c r="F1179" s="24">
        <v>0</v>
      </c>
      <c r="G1179" s="24">
        <v>0</v>
      </c>
      <c r="H1179" s="24">
        <v>0</v>
      </c>
      <c r="I1179" s="24">
        <v>0</v>
      </c>
      <c r="J1179" s="24">
        <v>0</v>
      </c>
      <c r="L1179" s="45">
        <v>32.8</v>
      </c>
      <c r="M1179" s="45">
        <v>0</v>
      </c>
      <c r="N1179" s="45">
        <v>32.8</v>
      </c>
      <c r="O1179" s="45">
        <v>0</v>
      </c>
      <c r="P1179" s="45">
        <v>0</v>
      </c>
      <c r="Q1179" s="45">
        <v>0</v>
      </c>
      <c r="R1179" s="45">
        <v>0</v>
      </c>
      <c r="S1179" s="45">
        <v>0</v>
      </c>
      <c r="T1179" s="45">
        <v>0</v>
      </c>
      <c r="V1179" s="45">
        <v>1.1</v>
      </c>
      <c r="W1179" s="45">
        <v>0</v>
      </c>
      <c r="X1179" s="45">
        <v>1.1</v>
      </c>
      <c r="Y1179" s="45">
        <v>0</v>
      </c>
      <c r="Z1179" s="45">
        <v>0</v>
      </c>
      <c r="AA1179" s="45">
        <v>0</v>
      </c>
      <c r="AB1179" s="45">
        <v>0</v>
      </c>
      <c r="AC1179" s="45">
        <v>0</v>
      </c>
      <c r="AD1179" s="45">
        <v>0</v>
      </c>
    </row>
    <row r="1180" spans="1:30">
      <c r="A1180" s="73">
        <v>46048</v>
      </c>
      <c r="B1180" s="24">
        <v>3891</v>
      </c>
      <c r="C1180" s="24">
        <v>728</v>
      </c>
      <c r="D1180" s="24">
        <v>371</v>
      </c>
      <c r="E1180" s="24">
        <v>574</v>
      </c>
      <c r="F1180" s="24">
        <v>726</v>
      </c>
      <c r="G1180" s="24">
        <v>480</v>
      </c>
      <c r="H1180" s="24">
        <v>329</v>
      </c>
      <c r="I1180" s="24">
        <v>182</v>
      </c>
      <c r="J1180" s="24">
        <v>501</v>
      </c>
      <c r="L1180" s="45">
        <v>5</v>
      </c>
      <c r="M1180" s="45">
        <v>5.5</v>
      </c>
      <c r="N1180" s="45">
        <v>4.3</v>
      </c>
      <c r="O1180" s="45">
        <v>4.6</v>
      </c>
      <c r="P1180" s="45">
        <v>4.6</v>
      </c>
      <c r="Q1180" s="45">
        <v>7.4</v>
      </c>
      <c r="R1180" s="45">
        <v>3.6</v>
      </c>
      <c r="S1180" s="45">
        <v>2</v>
      </c>
      <c r="T1180" s="45">
        <v>5.8</v>
      </c>
      <c r="V1180" s="45">
        <v>3.1</v>
      </c>
      <c r="W1180" s="45">
        <v>3</v>
      </c>
      <c r="X1180" s="45">
        <v>3.2</v>
      </c>
      <c r="Y1180" s="45">
        <v>2.5</v>
      </c>
      <c r="Z1180" s="45">
        <v>2.9</v>
      </c>
      <c r="AA1180" s="45">
        <v>4.2</v>
      </c>
      <c r="AB1180" s="45">
        <v>2.2</v>
      </c>
      <c r="AC1180" s="45">
        <v>3.6</v>
      </c>
      <c r="AD1180" s="45">
        <v>2.8</v>
      </c>
    </row>
    <row r="1181" spans="1:30">
      <c r="A1181" s="73">
        <v>46049</v>
      </c>
      <c r="B1181" s="24">
        <v>3481</v>
      </c>
      <c r="C1181" s="24">
        <v>597</v>
      </c>
      <c r="D1181" s="24">
        <v>362</v>
      </c>
      <c r="E1181" s="24">
        <v>501</v>
      </c>
      <c r="F1181" s="24">
        <v>698</v>
      </c>
      <c r="G1181" s="24">
        <v>440</v>
      </c>
      <c r="H1181" s="24">
        <v>279</v>
      </c>
      <c r="I1181" s="24">
        <v>142</v>
      </c>
      <c r="J1181" s="24">
        <v>462</v>
      </c>
      <c r="L1181" s="45">
        <v>4.9</v>
      </c>
      <c r="M1181" s="45">
        <v>3.7</v>
      </c>
      <c r="N1181" s="45">
        <v>3.8</v>
      </c>
      <c r="O1181" s="45">
        <v>5</v>
      </c>
      <c r="P1181" s="45">
        <v>6.1</v>
      </c>
      <c r="Q1181" s="45">
        <v>8.9</v>
      </c>
      <c r="R1181" s="45">
        <v>2</v>
      </c>
      <c r="S1181" s="45">
        <v>0.7</v>
      </c>
      <c r="T1181" s="45">
        <v>4.4</v>
      </c>
      <c r="V1181" s="45">
        <v>3.5</v>
      </c>
      <c r="W1181" s="45">
        <v>4</v>
      </c>
      <c r="X1181" s="45">
        <v>4.1</v>
      </c>
      <c r="Y1181" s="45">
        <v>2.2</v>
      </c>
      <c r="Z1181" s="45">
        <v>3</v>
      </c>
      <c r="AA1181" s="45">
        <v>4.8</v>
      </c>
      <c r="AB1181" s="45">
        <v>3.3</v>
      </c>
      <c r="AC1181" s="45">
        <v>3.6</v>
      </c>
      <c r="AD1181" s="45">
        <v>2.9</v>
      </c>
    </row>
    <row r="1182" spans="1:30">
      <c r="A1182" s="73">
        <v>46050</v>
      </c>
      <c r="B1182" s="24">
        <v>3393</v>
      </c>
      <c r="C1182" s="24">
        <v>580</v>
      </c>
      <c r="D1182" s="24">
        <v>335</v>
      </c>
      <c r="E1182" s="24">
        <v>538</v>
      </c>
      <c r="F1182" s="24">
        <v>696</v>
      </c>
      <c r="G1182" s="24">
        <v>387</v>
      </c>
      <c r="H1182" s="24">
        <v>238</v>
      </c>
      <c r="I1182" s="24">
        <v>124</v>
      </c>
      <c r="J1182" s="24">
        <v>495</v>
      </c>
      <c r="L1182" s="45">
        <v>4.1</v>
      </c>
      <c r="M1182" s="45">
        <v>2.7</v>
      </c>
      <c r="N1182" s="45">
        <v>3.7</v>
      </c>
      <c r="O1182" s="45">
        <v>6.3</v>
      </c>
      <c r="P1182" s="45">
        <v>4.9</v>
      </c>
      <c r="Q1182" s="45">
        <v>3.6</v>
      </c>
      <c r="R1182" s="45">
        <v>1.8</v>
      </c>
      <c r="S1182" s="45">
        <v>0.5</v>
      </c>
      <c r="T1182" s="45">
        <v>5</v>
      </c>
      <c r="V1182" s="45">
        <v>3.5</v>
      </c>
      <c r="W1182" s="45">
        <v>3.9</v>
      </c>
      <c r="X1182" s="45">
        <v>3.5</v>
      </c>
      <c r="Y1182" s="45">
        <v>3.3</v>
      </c>
      <c r="Z1182" s="45">
        <v>3.2</v>
      </c>
      <c r="AA1182" s="45">
        <v>4.9</v>
      </c>
      <c r="AB1182" s="45">
        <v>3.7</v>
      </c>
      <c r="AC1182" s="45">
        <v>2.5</v>
      </c>
      <c r="AD1182" s="45">
        <v>2.7</v>
      </c>
    </row>
    <row r="1183" spans="1:30">
      <c r="A1183" s="73">
        <v>46051</v>
      </c>
      <c r="B1183" s="24">
        <v>3248</v>
      </c>
      <c r="C1183" s="24">
        <v>591</v>
      </c>
      <c r="D1183" s="24">
        <v>306</v>
      </c>
      <c r="E1183" s="24">
        <v>507</v>
      </c>
      <c r="F1183" s="24">
        <v>630</v>
      </c>
      <c r="G1183" s="24">
        <v>345</v>
      </c>
      <c r="H1183" s="24">
        <v>278</v>
      </c>
      <c r="I1183" s="24">
        <v>138</v>
      </c>
      <c r="J1183" s="24">
        <v>453</v>
      </c>
      <c r="L1183" s="45">
        <v>3.7</v>
      </c>
      <c r="M1183" s="45">
        <v>2</v>
      </c>
      <c r="N1183" s="45">
        <v>3.4</v>
      </c>
      <c r="O1183" s="45">
        <v>6</v>
      </c>
      <c r="P1183" s="45">
        <v>4.4</v>
      </c>
      <c r="Q1183" s="45">
        <v>3.6</v>
      </c>
      <c r="R1183" s="45">
        <v>2.6</v>
      </c>
      <c r="S1183" s="45">
        <v>1</v>
      </c>
      <c r="T1183" s="45">
        <v>3.9</v>
      </c>
      <c r="V1183" s="45">
        <v>3.5</v>
      </c>
      <c r="W1183" s="45">
        <v>3.4</v>
      </c>
      <c r="X1183" s="45">
        <v>3.7</v>
      </c>
      <c r="Y1183" s="45">
        <v>2.3</v>
      </c>
      <c r="Z1183" s="45">
        <v>3.8</v>
      </c>
      <c r="AA1183" s="45">
        <v>5.5</v>
      </c>
      <c r="AB1183" s="45">
        <v>3.2</v>
      </c>
      <c r="AC1183" s="45">
        <v>4.2</v>
      </c>
      <c r="AD1183" s="45">
        <v>2.7</v>
      </c>
    </row>
    <row r="1184" spans="1:30">
      <c r="A1184" s="73">
        <v>46052</v>
      </c>
      <c r="B1184" s="24">
        <v>3383</v>
      </c>
      <c r="C1184" s="24">
        <v>622</v>
      </c>
      <c r="D1184" s="24">
        <v>314</v>
      </c>
      <c r="E1184" s="24">
        <v>480</v>
      </c>
      <c r="F1184" s="24">
        <v>643</v>
      </c>
      <c r="G1184" s="24">
        <v>406</v>
      </c>
      <c r="H1184" s="24">
        <v>291</v>
      </c>
      <c r="I1184" s="24">
        <v>182</v>
      </c>
      <c r="J1184" s="24">
        <v>445</v>
      </c>
      <c r="L1184" s="45">
        <v>4.5</v>
      </c>
      <c r="M1184" s="45">
        <v>4.1</v>
      </c>
      <c r="N1184" s="45">
        <v>3.6</v>
      </c>
      <c r="O1184" s="45">
        <v>4.1</v>
      </c>
      <c r="P1184" s="45">
        <v>4.2</v>
      </c>
      <c r="Q1184" s="45">
        <v>7.1</v>
      </c>
      <c r="R1184" s="45">
        <v>5.1</v>
      </c>
      <c r="S1184" s="45">
        <v>0.9</v>
      </c>
      <c r="T1184" s="45">
        <v>5.5</v>
      </c>
      <c r="V1184" s="45">
        <v>3.7</v>
      </c>
      <c r="W1184" s="45">
        <v>3.4</v>
      </c>
      <c r="X1184" s="45">
        <v>4.7</v>
      </c>
      <c r="Y1184" s="45">
        <v>3.3</v>
      </c>
      <c r="Z1184" s="45">
        <v>3.4</v>
      </c>
      <c r="AA1184" s="45">
        <v>4.5</v>
      </c>
      <c r="AB1184" s="45">
        <v>3.5</v>
      </c>
      <c r="AC1184" s="45">
        <v>5.5</v>
      </c>
      <c r="AD1184" s="45">
        <v>3.1</v>
      </c>
    </row>
    <row r="1185" spans="1:30">
      <c r="A1185" s="73">
        <v>46053</v>
      </c>
      <c r="B1185" s="24">
        <v>0</v>
      </c>
      <c r="C1185" s="24">
        <v>0</v>
      </c>
      <c r="D1185" s="24">
        <v>0</v>
      </c>
      <c r="E1185" s="24">
        <v>0</v>
      </c>
      <c r="F1185" s="24">
        <v>0</v>
      </c>
      <c r="G1185" s="24">
        <v>0</v>
      </c>
      <c r="H1185" s="24">
        <v>0</v>
      </c>
      <c r="I1185" s="24">
        <v>0</v>
      </c>
      <c r="J1185" s="24">
        <v>0</v>
      </c>
      <c r="L1185" s="45">
        <v>0</v>
      </c>
      <c r="M1185" s="45">
        <v>0</v>
      </c>
      <c r="N1185" s="45">
        <v>0</v>
      </c>
      <c r="O1185" s="45">
        <v>0</v>
      </c>
      <c r="P1185" s="45">
        <v>0</v>
      </c>
      <c r="Q1185" s="45">
        <v>0</v>
      </c>
      <c r="R1185" s="45">
        <v>0</v>
      </c>
      <c r="S1185" s="45">
        <v>0</v>
      </c>
      <c r="T1185" s="45">
        <v>0</v>
      </c>
      <c r="V1185" s="45">
        <v>0</v>
      </c>
      <c r="W1185" s="45">
        <v>0</v>
      </c>
      <c r="X1185" s="45">
        <v>0</v>
      </c>
      <c r="Y1185" s="45">
        <v>0</v>
      </c>
      <c r="Z1185" s="45">
        <v>0</v>
      </c>
      <c r="AA1185" s="45">
        <v>0</v>
      </c>
      <c r="AB1185" s="45">
        <v>0</v>
      </c>
      <c r="AC1185" s="45">
        <v>0</v>
      </c>
      <c r="AD1185" s="45">
        <v>0</v>
      </c>
    </row>
    <row r="1186" spans="1:30">
      <c r="A1186" s="73">
        <v>46054</v>
      </c>
      <c r="B1186" s="24">
        <v>0</v>
      </c>
      <c r="C1186" s="24">
        <v>0</v>
      </c>
      <c r="D1186" s="24">
        <v>0</v>
      </c>
      <c r="E1186" s="24">
        <v>0</v>
      </c>
      <c r="F1186" s="24">
        <v>0</v>
      </c>
      <c r="G1186" s="24">
        <v>0</v>
      </c>
      <c r="H1186" s="24">
        <v>0</v>
      </c>
      <c r="I1186" s="24">
        <v>0</v>
      </c>
      <c r="J1186" s="24">
        <v>0</v>
      </c>
      <c r="L1186" s="45">
        <v>0</v>
      </c>
      <c r="M1186" s="45">
        <v>0</v>
      </c>
      <c r="N1186" s="45">
        <v>0</v>
      </c>
      <c r="O1186" s="45">
        <v>0</v>
      </c>
      <c r="P1186" s="45">
        <v>0</v>
      </c>
      <c r="Q1186" s="45">
        <v>0</v>
      </c>
      <c r="R1186" s="45">
        <v>0</v>
      </c>
      <c r="S1186" s="45">
        <v>0</v>
      </c>
      <c r="T1186" s="45">
        <v>0</v>
      </c>
      <c r="V1186" s="45">
        <v>0</v>
      </c>
      <c r="W1186" s="45">
        <v>0</v>
      </c>
      <c r="X1186" s="45">
        <v>0</v>
      </c>
      <c r="Y1186" s="45">
        <v>0</v>
      </c>
      <c r="Z1186" s="45">
        <v>0</v>
      </c>
      <c r="AA1186" s="45">
        <v>0</v>
      </c>
      <c r="AB1186" s="45">
        <v>0</v>
      </c>
      <c r="AC1186" s="45">
        <v>0</v>
      </c>
      <c r="AD1186" s="45">
        <v>0</v>
      </c>
    </row>
    <row r="1187" spans="1:30">
      <c r="A1187" s="73">
        <v>46055</v>
      </c>
      <c r="B1187" s="24">
        <v>3969</v>
      </c>
      <c r="C1187" s="24">
        <v>751</v>
      </c>
      <c r="D1187" s="24">
        <v>399</v>
      </c>
      <c r="E1187" s="24">
        <v>599</v>
      </c>
      <c r="F1187" s="24">
        <v>712</v>
      </c>
      <c r="G1187" s="24">
        <v>478</v>
      </c>
      <c r="H1187" s="24">
        <v>302</v>
      </c>
      <c r="I1187" s="24">
        <v>192</v>
      </c>
      <c r="J1187" s="24">
        <v>536</v>
      </c>
      <c r="L1187" s="45">
        <v>6</v>
      </c>
      <c r="M1187" s="45">
        <v>5.1</v>
      </c>
      <c r="N1187" s="45">
        <v>5.6</v>
      </c>
      <c r="O1187" s="45">
        <v>6</v>
      </c>
      <c r="P1187" s="45">
        <v>7</v>
      </c>
      <c r="Q1187" s="45">
        <v>11.4</v>
      </c>
      <c r="R1187" s="45">
        <v>3.5</v>
      </c>
      <c r="S1187" s="45">
        <v>3</v>
      </c>
      <c r="T1187" s="45">
        <v>3.8</v>
      </c>
      <c r="V1187" s="45">
        <v>3.6</v>
      </c>
      <c r="W1187" s="45">
        <v>3.5</v>
      </c>
      <c r="X1187" s="45">
        <v>3.6</v>
      </c>
      <c r="Y1187" s="45">
        <v>3.8</v>
      </c>
      <c r="Z1187" s="45">
        <v>3.2</v>
      </c>
      <c r="AA1187" s="45">
        <v>3.8</v>
      </c>
      <c r="AB1187" s="45">
        <v>4.5</v>
      </c>
      <c r="AC1187" s="45">
        <v>5.7</v>
      </c>
      <c r="AD1187" s="45">
        <v>2.6</v>
      </c>
    </row>
    <row r="1188" spans="1:30">
      <c r="A1188" s="73">
        <v>46056</v>
      </c>
      <c r="B1188" s="24">
        <v>3570</v>
      </c>
      <c r="C1188" s="24">
        <v>633</v>
      </c>
      <c r="D1188" s="24">
        <v>368</v>
      </c>
      <c r="E1188" s="24">
        <v>519</v>
      </c>
      <c r="F1188" s="24">
        <v>675</v>
      </c>
      <c r="G1188" s="24">
        <v>446</v>
      </c>
      <c r="H1188" s="24">
        <v>309</v>
      </c>
      <c r="I1188" s="24">
        <v>166</v>
      </c>
      <c r="J1188" s="24">
        <v>454</v>
      </c>
      <c r="L1188" s="45">
        <v>5</v>
      </c>
      <c r="M1188" s="45">
        <v>5.2</v>
      </c>
      <c r="N1188" s="45">
        <v>5.1</v>
      </c>
      <c r="O1188" s="45">
        <v>8</v>
      </c>
      <c r="P1188" s="45">
        <v>4.8</v>
      </c>
      <c r="Q1188" s="45">
        <v>4</v>
      </c>
      <c r="R1188" s="45">
        <v>3.8</v>
      </c>
      <c r="S1188" s="45">
        <v>2.3</v>
      </c>
      <c r="T1188" s="45">
        <v>4.3</v>
      </c>
      <c r="V1188" s="45">
        <v>3.5</v>
      </c>
      <c r="W1188" s="45">
        <v>3.6</v>
      </c>
      <c r="X1188" s="45">
        <v>3.1</v>
      </c>
      <c r="Y1188" s="45">
        <v>3.3</v>
      </c>
      <c r="Z1188" s="45">
        <v>3</v>
      </c>
      <c r="AA1188" s="45">
        <v>3.8</v>
      </c>
      <c r="AB1188" s="45">
        <v>4.4</v>
      </c>
      <c r="AC1188" s="45">
        <v>4.8</v>
      </c>
      <c r="AD1188" s="45">
        <v>2.9</v>
      </c>
    </row>
    <row r="1189" spans="1:30">
      <c r="A1189" s="73">
        <v>46057</v>
      </c>
      <c r="B1189" s="24">
        <v>3707</v>
      </c>
      <c r="C1189" s="24">
        <v>730</v>
      </c>
      <c r="D1189" s="24">
        <v>360</v>
      </c>
      <c r="E1189" s="24">
        <v>558</v>
      </c>
      <c r="F1189" s="24">
        <v>637</v>
      </c>
      <c r="G1189" s="24">
        <v>463</v>
      </c>
      <c r="H1189" s="24">
        <v>324</v>
      </c>
      <c r="I1189" s="24">
        <v>163</v>
      </c>
      <c r="J1189" s="24">
        <v>472</v>
      </c>
      <c r="L1189" s="45">
        <v>5.9</v>
      </c>
      <c r="M1189" s="45">
        <v>8.699999999999999</v>
      </c>
      <c r="N1189" s="45">
        <v>4.6</v>
      </c>
      <c r="O1189" s="45">
        <v>7.4</v>
      </c>
      <c r="P1189" s="45">
        <v>3.3</v>
      </c>
      <c r="Q1189" s="45">
        <v>6.4</v>
      </c>
      <c r="R1189" s="45">
        <v>5.3</v>
      </c>
      <c r="S1189" s="45">
        <v>1.8</v>
      </c>
      <c r="T1189" s="45">
        <v>5.6</v>
      </c>
      <c r="V1189" s="45">
        <v>3.7</v>
      </c>
      <c r="W1189" s="45">
        <v>3.3</v>
      </c>
      <c r="X1189" s="45">
        <v>3.6</v>
      </c>
      <c r="Y1189" s="45">
        <v>3.7</v>
      </c>
      <c r="Z1189" s="45">
        <v>3.8</v>
      </c>
      <c r="AA1189" s="45">
        <v>4.2</v>
      </c>
      <c r="AB1189" s="45">
        <v>4.4</v>
      </c>
      <c r="AC1189" s="45">
        <v>6.3</v>
      </c>
      <c r="AD1189" s="45">
        <v>2.7</v>
      </c>
    </row>
    <row r="1190" spans="1:30">
      <c r="A1190" s="73">
        <v>46058</v>
      </c>
      <c r="B1190" s="24">
        <v>3646</v>
      </c>
      <c r="C1190" s="24">
        <v>643</v>
      </c>
      <c r="D1190" s="24">
        <v>386</v>
      </c>
      <c r="E1190" s="24">
        <v>514</v>
      </c>
      <c r="F1190" s="24">
        <v>705</v>
      </c>
      <c r="G1190" s="24">
        <v>460</v>
      </c>
      <c r="H1190" s="24">
        <v>296</v>
      </c>
      <c r="I1190" s="24">
        <v>150</v>
      </c>
      <c r="J1190" s="24">
        <v>492</v>
      </c>
      <c r="L1190" s="45">
        <v>4.8</v>
      </c>
      <c r="M1190" s="45">
        <v>5.5</v>
      </c>
      <c r="N1190" s="45">
        <v>4.3</v>
      </c>
      <c r="O1190" s="45">
        <v>5.7</v>
      </c>
      <c r="P1190" s="45">
        <v>4.7</v>
      </c>
      <c r="Q1190" s="45">
        <v>5.2</v>
      </c>
      <c r="R1190" s="45">
        <v>2</v>
      </c>
      <c r="S1190" s="45">
        <v>1.8</v>
      </c>
      <c r="T1190" s="45">
        <v>5.7</v>
      </c>
      <c r="V1190" s="45">
        <v>3.8</v>
      </c>
      <c r="W1190" s="45">
        <v>4</v>
      </c>
      <c r="X1190" s="45">
        <v>3.1</v>
      </c>
      <c r="Y1190" s="45">
        <v>3.1</v>
      </c>
      <c r="Z1190" s="45">
        <v>3.5</v>
      </c>
      <c r="AA1190" s="45">
        <v>4.8</v>
      </c>
      <c r="AB1190" s="45">
        <v>4.6</v>
      </c>
      <c r="AC1190" s="45">
        <v>6</v>
      </c>
      <c r="AD1190" s="45">
        <v>2.9</v>
      </c>
    </row>
    <row r="1191" spans="1:30">
      <c r="A1191" s="73">
        <v>46059</v>
      </c>
      <c r="B1191" s="24">
        <v>3758</v>
      </c>
      <c r="C1191" s="24">
        <v>706</v>
      </c>
      <c r="D1191" s="24">
        <v>379</v>
      </c>
      <c r="E1191" s="24">
        <v>578</v>
      </c>
      <c r="F1191" s="24">
        <v>638</v>
      </c>
      <c r="G1191" s="24">
        <v>470</v>
      </c>
      <c r="H1191" s="24">
        <v>327</v>
      </c>
      <c r="I1191" s="24">
        <v>172</v>
      </c>
      <c r="J1191" s="24">
        <v>488</v>
      </c>
      <c r="L1191" s="45">
        <v>4.8</v>
      </c>
      <c r="M1191" s="45">
        <v>3</v>
      </c>
      <c r="N1191" s="45">
        <v>3.8</v>
      </c>
      <c r="O1191" s="45">
        <v>6.8</v>
      </c>
      <c r="P1191" s="45">
        <v>5.1</v>
      </c>
      <c r="Q1191" s="45">
        <v>7.2</v>
      </c>
      <c r="R1191" s="45">
        <v>3.7</v>
      </c>
      <c r="S1191" s="45">
        <v>1.2</v>
      </c>
      <c r="T1191" s="45">
        <v>4.8</v>
      </c>
      <c r="V1191" s="45">
        <v>3.5</v>
      </c>
      <c r="W1191" s="45">
        <v>3.1</v>
      </c>
      <c r="X1191" s="45">
        <v>3.8</v>
      </c>
      <c r="Y1191" s="45">
        <v>3.9</v>
      </c>
      <c r="Z1191" s="45">
        <v>3.5</v>
      </c>
      <c r="AA1191" s="45">
        <v>4</v>
      </c>
      <c r="AB1191" s="45">
        <v>3.9</v>
      </c>
      <c r="AC1191" s="45">
        <v>4.7</v>
      </c>
      <c r="AD1191" s="45">
        <v>2.4</v>
      </c>
    </row>
    <row r="1192" spans="1:30">
      <c r="A1192" s="73">
        <v>46060</v>
      </c>
      <c r="B1192" s="24">
        <v>0</v>
      </c>
      <c r="C1192" s="24">
        <v>0</v>
      </c>
      <c r="D1192" s="24">
        <v>0</v>
      </c>
      <c r="E1192" s="24">
        <v>0</v>
      </c>
      <c r="F1192" s="24">
        <v>0</v>
      </c>
      <c r="G1192" s="24">
        <v>0</v>
      </c>
      <c r="H1192" s="24">
        <v>0</v>
      </c>
      <c r="I1192" s="24">
        <v>0</v>
      </c>
      <c r="J1192" s="24">
        <v>0</v>
      </c>
      <c r="L1192" s="45">
        <v>0</v>
      </c>
      <c r="M1192" s="45">
        <v>0</v>
      </c>
      <c r="N1192" s="45">
        <v>0</v>
      </c>
      <c r="O1192" s="45">
        <v>0</v>
      </c>
      <c r="P1192" s="45">
        <v>0</v>
      </c>
      <c r="Q1192" s="45">
        <v>0</v>
      </c>
      <c r="R1192" s="45">
        <v>0</v>
      </c>
      <c r="S1192" s="45">
        <v>0</v>
      </c>
      <c r="T1192" s="45">
        <v>0</v>
      </c>
      <c r="V1192" s="45">
        <v>0</v>
      </c>
      <c r="W1192" s="45">
        <v>0</v>
      </c>
      <c r="X1192" s="45">
        <v>0</v>
      </c>
      <c r="Y1192" s="45">
        <v>0</v>
      </c>
      <c r="Z1192" s="45">
        <v>0</v>
      </c>
      <c r="AA1192" s="45">
        <v>0</v>
      </c>
      <c r="AB1192" s="45">
        <v>0</v>
      </c>
      <c r="AC1192" s="45">
        <v>0</v>
      </c>
      <c r="AD1192" s="45">
        <v>0</v>
      </c>
    </row>
    <row r="1193" spans="1:30">
      <c r="A1193" s="73">
        <v>46061</v>
      </c>
      <c r="B1193" s="24">
        <v>0</v>
      </c>
      <c r="C1193" s="24">
        <v>0</v>
      </c>
      <c r="D1193" s="24">
        <v>0</v>
      </c>
      <c r="E1193" s="24">
        <v>0</v>
      </c>
      <c r="F1193" s="24">
        <v>0</v>
      </c>
      <c r="G1193" s="24">
        <v>0</v>
      </c>
      <c r="H1193" s="24">
        <v>0</v>
      </c>
      <c r="I1193" s="24">
        <v>0</v>
      </c>
      <c r="J1193" s="24">
        <v>0</v>
      </c>
      <c r="L1193" s="45">
        <v>0</v>
      </c>
      <c r="M1193" s="45">
        <v>0</v>
      </c>
      <c r="N1193" s="45">
        <v>0</v>
      </c>
      <c r="O1193" s="45">
        <v>0</v>
      </c>
      <c r="P1193" s="45">
        <v>0</v>
      </c>
      <c r="Q1193" s="45">
        <v>0</v>
      </c>
      <c r="R1193" s="45">
        <v>0</v>
      </c>
      <c r="S1193" s="45">
        <v>0</v>
      </c>
      <c r="T1193" s="45">
        <v>0</v>
      </c>
      <c r="V1193" s="45">
        <v>0</v>
      </c>
      <c r="W1193" s="45">
        <v>0</v>
      </c>
      <c r="X1193" s="45">
        <v>0</v>
      </c>
      <c r="Y1193" s="45">
        <v>0</v>
      </c>
      <c r="Z1193" s="45">
        <v>0</v>
      </c>
      <c r="AA1193" s="45">
        <v>0</v>
      </c>
      <c r="AB1193" s="45">
        <v>0</v>
      </c>
      <c r="AC1193" s="45">
        <v>0</v>
      </c>
      <c r="AD1193" s="45">
        <v>0</v>
      </c>
    </row>
    <row r="1194" spans="1:30">
      <c r="A1194" s="73">
        <v>46062</v>
      </c>
      <c r="B1194" s="24">
        <v>2801</v>
      </c>
      <c r="C1194" s="24">
        <v>545</v>
      </c>
      <c r="D1194" s="24">
        <v>326</v>
      </c>
      <c r="E1194" s="24">
        <v>386</v>
      </c>
      <c r="F1194" s="24">
        <v>563</v>
      </c>
      <c r="G1194" s="24">
        <v>329</v>
      </c>
      <c r="H1194" s="24">
        <v>208</v>
      </c>
      <c r="I1194" s="24">
        <v>97</v>
      </c>
      <c r="J1194" s="24">
        <v>347</v>
      </c>
      <c r="L1194" s="45">
        <v>3.2</v>
      </c>
      <c r="M1194" s="45">
        <v>2.1</v>
      </c>
      <c r="N1194" s="45">
        <v>6.2</v>
      </c>
      <c r="O1194" s="45">
        <v>2.9</v>
      </c>
      <c r="P1194" s="45">
        <v>3.1</v>
      </c>
      <c r="Q1194" s="45">
        <v>3</v>
      </c>
      <c r="R1194" s="45">
        <v>1.6</v>
      </c>
      <c r="S1194" s="45">
        <v>1.7</v>
      </c>
      <c r="T1194" s="45">
        <v>4.3</v>
      </c>
      <c r="V1194" s="45">
        <v>4.1</v>
      </c>
      <c r="W1194" s="45">
        <v>3.7</v>
      </c>
      <c r="X1194" s="45">
        <v>4.1</v>
      </c>
      <c r="Y1194" s="45">
        <v>3.7</v>
      </c>
      <c r="Z1194" s="45">
        <v>3.9</v>
      </c>
      <c r="AA1194" s="45">
        <v>5</v>
      </c>
      <c r="AB1194" s="45">
        <v>4.9</v>
      </c>
      <c r="AC1194" s="45">
        <v>4.9</v>
      </c>
      <c r="AD1194" s="45">
        <v>3.6</v>
      </c>
    </row>
    <row r="1195" spans="1:30">
      <c r="A1195" s="73">
        <v>46063</v>
      </c>
      <c r="B1195" s="24">
        <v>3551</v>
      </c>
      <c r="C1195" s="24">
        <v>588</v>
      </c>
      <c r="D1195" s="24">
        <v>411</v>
      </c>
      <c r="E1195" s="24">
        <v>534</v>
      </c>
      <c r="F1195" s="24">
        <v>688</v>
      </c>
      <c r="G1195" s="24">
        <v>429</v>
      </c>
      <c r="H1195" s="24">
        <v>251</v>
      </c>
      <c r="I1195" s="24">
        <v>162</v>
      </c>
      <c r="J1195" s="24">
        <v>488</v>
      </c>
      <c r="L1195" s="45">
        <v>5.1</v>
      </c>
      <c r="M1195" s="45">
        <v>2.8</v>
      </c>
      <c r="N1195" s="45">
        <v>5.7</v>
      </c>
      <c r="O1195" s="45">
        <v>7.3</v>
      </c>
      <c r="P1195" s="45">
        <v>6.5</v>
      </c>
      <c r="Q1195" s="45">
        <v>7.4</v>
      </c>
      <c r="R1195" s="45">
        <v>2.1</v>
      </c>
      <c r="S1195" s="45">
        <v>0.9</v>
      </c>
      <c r="T1195" s="45">
        <v>4.1</v>
      </c>
      <c r="V1195" s="45">
        <v>4</v>
      </c>
      <c r="W1195" s="45">
        <v>4</v>
      </c>
      <c r="X1195" s="45">
        <v>3</v>
      </c>
      <c r="Y1195" s="45">
        <v>4.1</v>
      </c>
      <c r="Z1195" s="45">
        <v>3.9</v>
      </c>
      <c r="AA1195" s="45">
        <v>3.8</v>
      </c>
      <c r="AB1195" s="45">
        <v>5.9</v>
      </c>
      <c r="AC1195" s="45">
        <v>6.7</v>
      </c>
      <c r="AD1195" s="45">
        <v>3.6</v>
      </c>
    </row>
    <row r="1196" spans="1:30">
      <c r="A1196" s="73">
        <v>46064</v>
      </c>
      <c r="B1196" s="24">
        <v>0</v>
      </c>
      <c r="C1196" s="24">
        <v>0</v>
      </c>
      <c r="D1196" s="24">
        <v>0</v>
      </c>
      <c r="E1196" s="24">
        <v>0</v>
      </c>
      <c r="F1196" s="24">
        <v>0</v>
      </c>
      <c r="G1196" s="24">
        <v>0</v>
      </c>
      <c r="H1196" s="24">
        <v>0</v>
      </c>
      <c r="I1196" s="24">
        <v>0</v>
      </c>
      <c r="J1196" s="24">
        <v>0</v>
      </c>
      <c r="L1196" s="45">
        <v>0</v>
      </c>
      <c r="M1196" s="45">
        <v>0</v>
      </c>
      <c r="N1196" s="45">
        <v>0</v>
      </c>
      <c r="O1196" s="45">
        <v>0</v>
      </c>
      <c r="P1196" s="45">
        <v>0</v>
      </c>
      <c r="Q1196" s="45">
        <v>0</v>
      </c>
      <c r="R1196" s="45">
        <v>0</v>
      </c>
      <c r="S1196" s="45">
        <v>0</v>
      </c>
      <c r="T1196" s="45">
        <v>0</v>
      </c>
      <c r="V1196" s="45">
        <v>0</v>
      </c>
      <c r="W1196" s="45">
        <v>0</v>
      </c>
      <c r="X1196" s="45">
        <v>0</v>
      </c>
      <c r="Y1196" s="45">
        <v>0</v>
      </c>
      <c r="Z1196" s="45">
        <v>0</v>
      </c>
      <c r="AA1196" s="45">
        <v>0</v>
      </c>
      <c r="AB1196" s="45">
        <v>0</v>
      </c>
      <c r="AC1196" s="45">
        <v>0</v>
      </c>
      <c r="AD1196" s="45">
        <v>0</v>
      </c>
    </row>
    <row r="1197" spans="1:30">
      <c r="A1197" s="73">
        <v>46065</v>
      </c>
      <c r="B1197" s="24">
        <v>4309</v>
      </c>
      <c r="C1197" s="24">
        <v>734</v>
      </c>
      <c r="D1197" s="24">
        <v>437</v>
      </c>
      <c r="E1197" s="24">
        <v>676</v>
      </c>
      <c r="F1197" s="24">
        <v>778</v>
      </c>
      <c r="G1197" s="24">
        <v>527</v>
      </c>
      <c r="H1197" s="24">
        <v>333</v>
      </c>
      <c r="I1197" s="24">
        <v>243</v>
      </c>
      <c r="J1197" s="24">
        <v>581</v>
      </c>
      <c r="L1197" s="45">
        <v>5.7</v>
      </c>
      <c r="M1197" s="45">
        <v>4.2</v>
      </c>
      <c r="N1197" s="45">
        <v>7.2</v>
      </c>
      <c r="O1197" s="45">
        <v>6.8</v>
      </c>
      <c r="P1197" s="45">
        <v>6.5</v>
      </c>
      <c r="Q1197" s="45">
        <v>6.2</v>
      </c>
      <c r="R1197" s="45">
        <v>3.1</v>
      </c>
      <c r="S1197" s="45">
        <v>3.1</v>
      </c>
      <c r="T1197" s="45">
        <v>6</v>
      </c>
      <c r="V1197" s="45">
        <v>3.4</v>
      </c>
      <c r="W1197" s="45">
        <v>3.6</v>
      </c>
      <c r="X1197" s="45">
        <v>3.8</v>
      </c>
      <c r="Y1197" s="45">
        <v>2.6</v>
      </c>
      <c r="Z1197" s="45">
        <v>3.6</v>
      </c>
      <c r="AA1197" s="45">
        <v>3.3</v>
      </c>
      <c r="AB1197" s="45">
        <v>4.1</v>
      </c>
      <c r="AC1197" s="45">
        <v>3.8</v>
      </c>
      <c r="AD1197" s="45">
        <v>3.1</v>
      </c>
    </row>
    <row r="1198" spans="1:30">
      <c r="A1198" s="73">
        <v>46066</v>
      </c>
      <c r="B1198" s="24">
        <v>4158</v>
      </c>
      <c r="C1198" s="24">
        <v>705</v>
      </c>
      <c r="D1198" s="24">
        <v>417</v>
      </c>
      <c r="E1198" s="24">
        <v>626</v>
      </c>
      <c r="F1198" s="24">
        <v>744</v>
      </c>
      <c r="G1198" s="24">
        <v>559</v>
      </c>
      <c r="H1198" s="24">
        <v>336</v>
      </c>
      <c r="I1198" s="24">
        <v>224</v>
      </c>
      <c r="J1198" s="24">
        <v>547</v>
      </c>
      <c r="L1198" s="45">
        <v>6.1</v>
      </c>
      <c r="M1198" s="45">
        <v>4.3</v>
      </c>
      <c r="N1198" s="45">
        <v>6.5</v>
      </c>
      <c r="O1198" s="45">
        <v>6.3</v>
      </c>
      <c r="P1198" s="45">
        <v>7.9</v>
      </c>
      <c r="Q1198" s="45">
        <v>9</v>
      </c>
      <c r="R1198" s="45">
        <v>4</v>
      </c>
      <c r="S1198" s="45">
        <v>1.6</v>
      </c>
      <c r="T1198" s="45">
        <v>6</v>
      </c>
      <c r="V1198" s="45">
        <v>3.6</v>
      </c>
      <c r="W1198" s="45">
        <v>3.1</v>
      </c>
      <c r="X1198" s="45">
        <v>3.4</v>
      </c>
      <c r="Y1198" s="45">
        <v>3.2</v>
      </c>
      <c r="Z1198" s="45">
        <v>3.6</v>
      </c>
      <c r="AA1198" s="45">
        <v>4.1</v>
      </c>
      <c r="AB1198" s="45">
        <v>4.7</v>
      </c>
      <c r="AC1198" s="45">
        <v>5.1</v>
      </c>
      <c r="AD1198" s="45">
        <v>2.8</v>
      </c>
    </row>
    <row r="1199" spans="1:30">
      <c r="A1199" s="73">
        <v>46067</v>
      </c>
      <c r="B1199" s="24">
        <v>0</v>
      </c>
      <c r="C1199" s="24">
        <v>0</v>
      </c>
      <c r="D1199" s="24">
        <v>0</v>
      </c>
      <c r="E1199" s="24">
        <v>0</v>
      </c>
      <c r="F1199" s="24">
        <v>0</v>
      </c>
      <c r="G1199" s="24">
        <v>0</v>
      </c>
      <c r="H1199" s="24">
        <v>0</v>
      </c>
      <c r="I1199" s="24">
        <v>0</v>
      </c>
      <c r="J1199" s="24">
        <v>0</v>
      </c>
      <c r="L1199" s="45">
        <v>0</v>
      </c>
      <c r="M1199" s="45">
        <v>0</v>
      </c>
      <c r="N1199" s="45">
        <v>0</v>
      </c>
      <c r="O1199" s="45">
        <v>0</v>
      </c>
      <c r="P1199" s="45">
        <v>0</v>
      </c>
      <c r="Q1199" s="45">
        <v>0</v>
      </c>
      <c r="R1199" s="45">
        <v>0</v>
      </c>
      <c r="S1199" s="45">
        <v>0</v>
      </c>
      <c r="T1199" s="45">
        <v>0</v>
      </c>
      <c r="V1199" s="45">
        <v>0</v>
      </c>
      <c r="W1199" s="45">
        <v>0</v>
      </c>
      <c r="X1199" s="45">
        <v>0</v>
      </c>
      <c r="Y1199" s="45">
        <v>0</v>
      </c>
      <c r="Z1199" s="45">
        <v>0</v>
      </c>
      <c r="AA1199" s="45">
        <v>0</v>
      </c>
      <c r="AB1199" s="45">
        <v>0</v>
      </c>
      <c r="AC1199" s="45">
        <v>0</v>
      </c>
      <c r="AD1199" s="45">
        <v>0</v>
      </c>
    </row>
    <row r="1200" spans="1:30">
      <c r="A1200" s="73">
        <v>46068</v>
      </c>
      <c r="B1200" s="24">
        <v>0</v>
      </c>
      <c r="C1200" s="24">
        <v>0</v>
      </c>
      <c r="D1200" s="24">
        <v>0</v>
      </c>
      <c r="E1200" s="24">
        <v>0</v>
      </c>
      <c r="F1200" s="24">
        <v>0</v>
      </c>
      <c r="G1200" s="24">
        <v>0</v>
      </c>
      <c r="H1200" s="24">
        <v>0</v>
      </c>
      <c r="I1200" s="24">
        <v>0</v>
      </c>
      <c r="J1200" s="24">
        <v>0</v>
      </c>
      <c r="L1200" s="45">
        <v>0</v>
      </c>
      <c r="M1200" s="45">
        <v>0</v>
      </c>
      <c r="N1200" s="45">
        <v>0</v>
      </c>
      <c r="O1200" s="45">
        <v>0</v>
      </c>
      <c r="P1200" s="45">
        <v>0</v>
      </c>
      <c r="Q1200" s="45">
        <v>0</v>
      </c>
      <c r="R1200" s="45">
        <v>0</v>
      </c>
      <c r="S1200" s="45">
        <v>0</v>
      </c>
      <c r="T1200" s="45">
        <v>0</v>
      </c>
      <c r="V1200" s="45">
        <v>0</v>
      </c>
      <c r="W1200" s="45">
        <v>0</v>
      </c>
      <c r="X1200" s="45">
        <v>0</v>
      </c>
      <c r="Y1200" s="45">
        <v>0</v>
      </c>
      <c r="Z1200" s="45">
        <v>0</v>
      </c>
      <c r="AA1200" s="45">
        <v>0</v>
      </c>
      <c r="AB1200" s="45">
        <v>0</v>
      </c>
      <c r="AC1200" s="45">
        <v>0</v>
      </c>
      <c r="AD1200" s="45">
        <v>0</v>
      </c>
    </row>
    <row r="1201" spans="1:30">
      <c r="A1201" s="73">
        <v>46069</v>
      </c>
      <c r="B1201" s="24">
        <v>4331</v>
      </c>
      <c r="C1201" s="24">
        <v>797</v>
      </c>
      <c r="D1201" s="24">
        <v>458</v>
      </c>
      <c r="E1201" s="24">
        <v>608</v>
      </c>
      <c r="F1201" s="24">
        <v>782</v>
      </c>
      <c r="G1201" s="24">
        <v>508</v>
      </c>
      <c r="H1201" s="24">
        <v>352</v>
      </c>
      <c r="I1201" s="24">
        <v>237</v>
      </c>
      <c r="J1201" s="24">
        <v>589</v>
      </c>
      <c r="L1201" s="45">
        <v>6</v>
      </c>
      <c r="M1201" s="45">
        <v>3.2</v>
      </c>
      <c r="N1201" s="45">
        <v>7.3</v>
      </c>
      <c r="O1201" s="45">
        <v>7.7</v>
      </c>
      <c r="P1201" s="45">
        <v>6.7</v>
      </c>
      <c r="Q1201" s="45">
        <v>10.3</v>
      </c>
      <c r="R1201" s="45">
        <v>4.9</v>
      </c>
      <c r="S1201" s="45">
        <v>2.7</v>
      </c>
      <c r="T1201" s="45">
        <v>4.7</v>
      </c>
      <c r="V1201" s="45">
        <v>3.3</v>
      </c>
      <c r="W1201" s="45">
        <v>2.7</v>
      </c>
      <c r="X1201" s="45">
        <v>3.4</v>
      </c>
      <c r="Y1201" s="45">
        <v>3.2</v>
      </c>
      <c r="Z1201" s="45">
        <v>3.2</v>
      </c>
      <c r="AA1201" s="45">
        <v>3.4</v>
      </c>
      <c r="AB1201" s="45">
        <v>5</v>
      </c>
      <c r="AC1201" s="45">
        <v>4.1</v>
      </c>
      <c r="AD1201" s="45">
        <v>2.7</v>
      </c>
    </row>
    <row r="1202" spans="1:30">
      <c r="A1202" s="73">
        <v>46070</v>
      </c>
      <c r="B1202" s="24">
        <v>3927</v>
      </c>
      <c r="C1202" s="24">
        <v>711</v>
      </c>
      <c r="D1202" s="24">
        <v>415</v>
      </c>
      <c r="E1202" s="24">
        <v>643</v>
      </c>
      <c r="F1202" s="24">
        <v>648</v>
      </c>
      <c r="G1202" s="24">
        <v>497</v>
      </c>
      <c r="H1202" s="24">
        <v>293</v>
      </c>
      <c r="I1202" s="24">
        <v>184</v>
      </c>
      <c r="J1202" s="24">
        <v>536</v>
      </c>
      <c r="L1202" s="45">
        <v>6</v>
      </c>
      <c r="M1202" s="45">
        <v>3.9</v>
      </c>
      <c r="N1202" s="45">
        <v>8.1</v>
      </c>
      <c r="O1202" s="45">
        <v>9.4</v>
      </c>
      <c r="P1202" s="45">
        <v>5.7</v>
      </c>
      <c r="Q1202" s="45">
        <v>6.5</v>
      </c>
      <c r="R1202" s="45">
        <v>3</v>
      </c>
      <c r="S1202" s="45">
        <v>1.6</v>
      </c>
      <c r="T1202" s="45">
        <v>5.9</v>
      </c>
      <c r="V1202" s="45">
        <v>3.5</v>
      </c>
      <c r="W1202" s="45">
        <v>3.5</v>
      </c>
      <c r="X1202" s="45">
        <v>3.3</v>
      </c>
      <c r="Y1202" s="45">
        <v>3.2</v>
      </c>
      <c r="Z1202" s="45">
        <v>3.6</v>
      </c>
      <c r="AA1202" s="45">
        <v>3.9</v>
      </c>
      <c r="AB1202" s="45">
        <v>4.5</v>
      </c>
      <c r="AC1202" s="45">
        <v>4.1</v>
      </c>
      <c r="AD1202" s="45">
        <v>3</v>
      </c>
    </row>
    <row r="1203" spans="1:30">
      <c r="A1203" s="73">
        <v>46071</v>
      </c>
      <c r="B1203" s="24">
        <v>3757</v>
      </c>
      <c r="C1203" s="24">
        <v>667</v>
      </c>
      <c r="D1203" s="24">
        <v>422</v>
      </c>
      <c r="E1203" s="24">
        <v>547</v>
      </c>
      <c r="F1203" s="24">
        <v>727</v>
      </c>
      <c r="G1203" s="24">
        <v>427</v>
      </c>
      <c r="H1203" s="24">
        <v>268</v>
      </c>
      <c r="I1203" s="24">
        <v>186</v>
      </c>
      <c r="J1203" s="24">
        <v>513</v>
      </c>
      <c r="L1203" s="45">
        <v>4.9</v>
      </c>
      <c r="M1203" s="45">
        <v>3.2</v>
      </c>
      <c r="N1203" s="45">
        <v>5.6</v>
      </c>
      <c r="O1203" s="45">
        <v>6.9</v>
      </c>
      <c r="P1203" s="45">
        <v>5.7</v>
      </c>
      <c r="Q1203" s="45">
        <v>4.8</v>
      </c>
      <c r="R1203" s="45">
        <v>2.9</v>
      </c>
      <c r="S1203" s="45">
        <v>3.3</v>
      </c>
      <c r="T1203" s="45">
        <v>5</v>
      </c>
      <c r="V1203" s="45">
        <v>3.7</v>
      </c>
      <c r="W1203" s="45">
        <v>3.6</v>
      </c>
      <c r="X1203" s="45">
        <v>3.1</v>
      </c>
      <c r="Y1203" s="45">
        <v>3.5</v>
      </c>
      <c r="Z1203" s="45">
        <v>3.8</v>
      </c>
      <c r="AA1203" s="45">
        <v>4.5</v>
      </c>
      <c r="AB1203" s="45">
        <v>5.3</v>
      </c>
      <c r="AC1203" s="45">
        <v>4.8</v>
      </c>
      <c r="AD1203" s="45">
        <v>2.8</v>
      </c>
    </row>
    <row r="1204" spans="1:30">
      <c r="A1204" s="73">
        <v>46072</v>
      </c>
      <c r="B1204" s="24">
        <v>3584</v>
      </c>
      <c r="C1204" s="24">
        <v>630</v>
      </c>
      <c r="D1204" s="24">
        <v>352</v>
      </c>
      <c r="E1204" s="24">
        <v>529</v>
      </c>
      <c r="F1204" s="24">
        <v>685</v>
      </c>
      <c r="G1204" s="24">
        <v>432</v>
      </c>
      <c r="H1204" s="24">
        <v>294</v>
      </c>
      <c r="I1204" s="24">
        <v>157</v>
      </c>
      <c r="J1204" s="24">
        <v>505</v>
      </c>
      <c r="L1204" s="45">
        <v>4</v>
      </c>
      <c r="M1204" s="45">
        <v>2.7</v>
      </c>
      <c r="N1204" s="45">
        <v>3.9</v>
      </c>
      <c r="O1204" s="45">
        <v>6.2</v>
      </c>
      <c r="P1204" s="45">
        <v>3.1</v>
      </c>
      <c r="Q1204" s="45">
        <v>4.9</v>
      </c>
      <c r="R1204" s="45">
        <v>3.8</v>
      </c>
      <c r="S1204" s="45">
        <v>0.9</v>
      </c>
      <c r="T1204" s="45">
        <v>4.7</v>
      </c>
      <c r="V1204" s="45">
        <v>3.8</v>
      </c>
      <c r="W1204" s="45">
        <v>4</v>
      </c>
      <c r="X1204" s="45">
        <v>3.7</v>
      </c>
      <c r="Y1204" s="45">
        <v>3.6</v>
      </c>
      <c r="Z1204" s="45">
        <v>4.3</v>
      </c>
      <c r="AA1204" s="45">
        <v>3.7</v>
      </c>
      <c r="AB1204" s="45">
        <v>4.5</v>
      </c>
      <c r="AC1204" s="45">
        <v>4.5</v>
      </c>
      <c r="AD1204" s="45">
        <v>3</v>
      </c>
    </row>
    <row r="1205" spans="1:30">
      <c r="A1205" s="73">
        <v>46073</v>
      </c>
      <c r="B1205" s="24">
        <v>3766</v>
      </c>
      <c r="C1205" s="24">
        <v>634</v>
      </c>
      <c r="D1205" s="24">
        <v>408</v>
      </c>
      <c r="E1205" s="24">
        <v>616</v>
      </c>
      <c r="F1205" s="24">
        <v>697</v>
      </c>
      <c r="G1205" s="24">
        <v>423</v>
      </c>
      <c r="H1205" s="24">
        <v>300</v>
      </c>
      <c r="I1205" s="24">
        <v>180</v>
      </c>
      <c r="J1205" s="24">
        <v>508</v>
      </c>
      <c r="L1205" s="45">
        <v>4.3</v>
      </c>
      <c r="M1205" s="45">
        <v>2.5</v>
      </c>
      <c r="N1205" s="45">
        <v>4</v>
      </c>
      <c r="O1205" s="45">
        <v>7</v>
      </c>
      <c r="P1205" s="45">
        <v>3.8</v>
      </c>
      <c r="Q1205" s="45">
        <v>4.8</v>
      </c>
      <c r="R1205" s="45">
        <v>4.6</v>
      </c>
      <c r="S1205" s="45">
        <v>1.2</v>
      </c>
      <c r="T1205" s="45">
        <v>4.7</v>
      </c>
      <c r="V1205" s="45">
        <v>3.5</v>
      </c>
      <c r="W1205" s="45">
        <v>3.9</v>
      </c>
      <c r="X1205" s="45">
        <v>2.6</v>
      </c>
      <c r="Y1205" s="45">
        <v>3.2</v>
      </c>
      <c r="Z1205" s="45">
        <v>3.6</v>
      </c>
      <c r="AA1205" s="45">
        <v>3.6</v>
      </c>
      <c r="AB1205" s="45">
        <v>4.2</v>
      </c>
      <c r="AC1205" s="45">
        <v>3.6</v>
      </c>
      <c r="AD1205" s="45">
        <v>3.3</v>
      </c>
    </row>
    <row r="1206" spans="1:30">
      <c r="A1206" s="73">
        <v>46074</v>
      </c>
      <c r="B1206" s="24">
        <v>0</v>
      </c>
      <c r="C1206" s="24">
        <v>0</v>
      </c>
      <c r="D1206" s="24">
        <v>0</v>
      </c>
      <c r="E1206" s="24">
        <v>0</v>
      </c>
      <c r="F1206" s="24">
        <v>0</v>
      </c>
      <c r="G1206" s="24">
        <v>0</v>
      </c>
      <c r="H1206" s="24">
        <v>0</v>
      </c>
      <c r="I1206" s="24">
        <v>0</v>
      </c>
      <c r="J1206" s="24">
        <v>0</v>
      </c>
      <c r="L1206" s="45">
        <v>0</v>
      </c>
      <c r="M1206" s="45">
        <v>0</v>
      </c>
      <c r="N1206" s="45">
        <v>0</v>
      </c>
      <c r="O1206" s="45">
        <v>0</v>
      </c>
      <c r="P1206" s="45">
        <v>0</v>
      </c>
      <c r="Q1206" s="45">
        <v>0</v>
      </c>
      <c r="R1206" s="45">
        <v>0</v>
      </c>
      <c r="S1206" s="45">
        <v>0</v>
      </c>
      <c r="T1206" s="45">
        <v>0</v>
      </c>
      <c r="V1206" s="45">
        <v>0</v>
      </c>
      <c r="W1206" s="45">
        <v>0</v>
      </c>
      <c r="X1206" s="45">
        <v>0</v>
      </c>
      <c r="Y1206" s="45">
        <v>0</v>
      </c>
      <c r="Z1206" s="45">
        <v>0</v>
      </c>
      <c r="AA1206" s="45">
        <v>0</v>
      </c>
      <c r="AB1206" s="45">
        <v>0</v>
      </c>
      <c r="AC1206" s="45">
        <v>0</v>
      </c>
      <c r="AD1206" s="45">
        <v>0</v>
      </c>
    </row>
    <row r="1207" spans="1:30">
      <c r="A1207" s="73">
        <v>46075</v>
      </c>
      <c r="B1207" s="24">
        <v>0</v>
      </c>
      <c r="C1207" s="24">
        <v>0</v>
      </c>
      <c r="D1207" s="24">
        <v>0</v>
      </c>
      <c r="E1207" s="24">
        <v>0</v>
      </c>
      <c r="F1207" s="24">
        <v>0</v>
      </c>
      <c r="G1207" s="24">
        <v>0</v>
      </c>
      <c r="H1207" s="24">
        <v>0</v>
      </c>
      <c r="I1207" s="24">
        <v>0</v>
      </c>
      <c r="J1207" s="24">
        <v>0</v>
      </c>
      <c r="L1207" s="45">
        <v>0</v>
      </c>
      <c r="M1207" s="45">
        <v>0</v>
      </c>
      <c r="N1207" s="45">
        <v>0</v>
      </c>
      <c r="O1207" s="45">
        <v>0</v>
      </c>
      <c r="P1207" s="45">
        <v>0</v>
      </c>
      <c r="Q1207" s="45">
        <v>0</v>
      </c>
      <c r="R1207" s="45">
        <v>0</v>
      </c>
      <c r="S1207" s="45">
        <v>0</v>
      </c>
      <c r="T1207" s="45">
        <v>0</v>
      </c>
      <c r="V1207" s="45">
        <v>0</v>
      </c>
      <c r="W1207" s="45">
        <v>0</v>
      </c>
      <c r="X1207" s="45">
        <v>0</v>
      </c>
      <c r="Y1207" s="45">
        <v>0</v>
      </c>
      <c r="Z1207" s="45">
        <v>0</v>
      </c>
      <c r="AA1207" s="45">
        <v>0</v>
      </c>
      <c r="AB1207" s="45">
        <v>0</v>
      </c>
      <c r="AC1207" s="45">
        <v>0</v>
      </c>
      <c r="AD1207" s="45">
        <v>0</v>
      </c>
    </row>
    <row r="1208" spans="1:30">
      <c r="A1208" s="73">
        <v>46076</v>
      </c>
      <c r="B1208" s="24">
        <v>0</v>
      </c>
      <c r="C1208" s="24">
        <v>0</v>
      </c>
      <c r="D1208" s="24">
        <v>0</v>
      </c>
      <c r="E1208" s="24">
        <v>0</v>
      </c>
      <c r="F1208" s="24">
        <v>0</v>
      </c>
      <c r="G1208" s="24">
        <v>0</v>
      </c>
      <c r="H1208" s="24">
        <v>0</v>
      </c>
      <c r="I1208" s="24">
        <v>0</v>
      </c>
      <c r="J1208" s="24">
        <v>0</v>
      </c>
      <c r="L1208" s="45">
        <v>0</v>
      </c>
      <c r="M1208" s="45">
        <v>0</v>
      </c>
      <c r="N1208" s="45">
        <v>0</v>
      </c>
      <c r="O1208" s="45">
        <v>0</v>
      </c>
      <c r="P1208" s="45">
        <v>0</v>
      </c>
      <c r="Q1208" s="45">
        <v>0</v>
      </c>
      <c r="R1208" s="45">
        <v>0</v>
      </c>
      <c r="S1208" s="45">
        <v>0</v>
      </c>
      <c r="T1208" s="45">
        <v>0</v>
      </c>
      <c r="V1208" s="45">
        <v>0</v>
      </c>
      <c r="W1208" s="45">
        <v>0</v>
      </c>
      <c r="X1208" s="45">
        <v>0</v>
      </c>
      <c r="Y1208" s="45">
        <v>0</v>
      </c>
      <c r="Z1208" s="45">
        <v>0</v>
      </c>
      <c r="AA1208" s="45">
        <v>0</v>
      </c>
      <c r="AB1208" s="45">
        <v>0</v>
      </c>
      <c r="AC1208" s="45">
        <v>0</v>
      </c>
      <c r="AD1208" s="45">
        <v>0</v>
      </c>
    </row>
    <row r="1209" spans="1:30">
      <c r="A1209" s="73">
        <v>46077</v>
      </c>
      <c r="B1209" s="24">
        <v>4591</v>
      </c>
      <c r="C1209" s="24">
        <v>830</v>
      </c>
      <c r="D1209" s="24">
        <v>460</v>
      </c>
      <c r="E1209" s="24">
        <v>686</v>
      </c>
      <c r="F1209" s="24">
        <v>877</v>
      </c>
      <c r="G1209" s="24">
        <v>547</v>
      </c>
      <c r="H1209" s="24">
        <v>347</v>
      </c>
      <c r="I1209" s="24">
        <v>209</v>
      </c>
      <c r="J1209" s="24">
        <v>635</v>
      </c>
      <c r="L1209" s="45">
        <v>8.5</v>
      </c>
      <c r="M1209" s="45">
        <v>5.5</v>
      </c>
      <c r="N1209" s="45">
        <v>6.5</v>
      </c>
      <c r="O1209" s="45">
        <v>10.2</v>
      </c>
      <c r="P1209" s="45">
        <v>9.5</v>
      </c>
      <c r="Q1209" s="45">
        <v>17.5</v>
      </c>
      <c r="R1209" s="45">
        <v>4.7</v>
      </c>
      <c r="S1209" s="45">
        <v>1.8</v>
      </c>
      <c r="T1209" s="45">
        <v>7.3</v>
      </c>
      <c r="V1209" s="45">
        <v>3.5</v>
      </c>
      <c r="W1209" s="45">
        <v>3.6</v>
      </c>
      <c r="X1209" s="45">
        <v>2.9</v>
      </c>
      <c r="Y1209" s="45">
        <v>3.6</v>
      </c>
      <c r="Z1209" s="45">
        <v>3.7</v>
      </c>
      <c r="AA1209" s="45">
        <v>3.8</v>
      </c>
      <c r="AB1209" s="45">
        <v>3.9</v>
      </c>
      <c r="AC1209" s="45">
        <v>5.1</v>
      </c>
      <c r="AD1209" s="45">
        <v>2.4</v>
      </c>
    </row>
    <row r="1210" spans="1:30">
      <c r="A1210" s="73">
        <v>46078</v>
      </c>
      <c r="B1210" s="24">
        <v>3941</v>
      </c>
      <c r="C1210" s="24">
        <v>601</v>
      </c>
      <c r="D1210" s="24">
        <v>407</v>
      </c>
      <c r="E1210" s="24">
        <v>560</v>
      </c>
      <c r="F1210" s="24">
        <v>765</v>
      </c>
      <c r="G1210" s="24">
        <v>552</v>
      </c>
      <c r="H1210" s="24">
        <v>304</v>
      </c>
      <c r="I1210" s="24">
        <v>181</v>
      </c>
      <c r="J1210" s="24">
        <v>571</v>
      </c>
      <c r="L1210" s="45">
        <v>6.2</v>
      </c>
      <c r="M1210" s="45">
        <v>3.6</v>
      </c>
      <c r="N1210" s="45">
        <v>5</v>
      </c>
      <c r="O1210" s="45">
        <v>5.7</v>
      </c>
      <c r="P1210" s="45">
        <v>5.2</v>
      </c>
      <c r="Q1210" s="45">
        <v>12.9</v>
      </c>
      <c r="R1210" s="45">
        <v>2.4</v>
      </c>
      <c r="S1210" s="45">
        <v>2.4</v>
      </c>
      <c r="T1210" s="45">
        <v>8.4</v>
      </c>
      <c r="V1210" s="45">
        <v>3.7</v>
      </c>
      <c r="W1210" s="45">
        <v>3.2</v>
      </c>
      <c r="X1210" s="45">
        <v>3</v>
      </c>
      <c r="Y1210" s="45">
        <v>4.1</v>
      </c>
      <c r="Z1210" s="45">
        <v>3.6</v>
      </c>
      <c r="AA1210" s="45">
        <v>4</v>
      </c>
      <c r="AB1210" s="45">
        <v>5.3</v>
      </c>
      <c r="AC1210" s="45">
        <v>5.3</v>
      </c>
      <c r="AD1210" s="45">
        <v>3.1</v>
      </c>
    </row>
    <row r="1211" spans="1:30">
      <c r="A1211" s="73">
        <v>46079</v>
      </c>
      <c r="B1211" s="24">
        <v>3973</v>
      </c>
      <c r="C1211" s="24">
        <v>689</v>
      </c>
      <c r="D1211" s="24">
        <v>389</v>
      </c>
      <c r="E1211" s="24">
        <v>657</v>
      </c>
      <c r="F1211" s="24">
        <v>750</v>
      </c>
      <c r="G1211" s="24">
        <v>474</v>
      </c>
      <c r="H1211" s="24">
        <v>289</v>
      </c>
      <c r="I1211" s="24">
        <v>190</v>
      </c>
      <c r="J1211" s="24">
        <v>535</v>
      </c>
      <c r="L1211" s="45">
        <v>6</v>
      </c>
      <c r="M1211" s="45">
        <v>3.6</v>
      </c>
      <c r="N1211" s="45">
        <v>4.3</v>
      </c>
      <c r="O1211" s="45">
        <v>7.7</v>
      </c>
      <c r="P1211" s="45">
        <v>6.2</v>
      </c>
      <c r="Q1211" s="45">
        <v>10</v>
      </c>
      <c r="R1211" s="45">
        <v>2.3</v>
      </c>
      <c r="S1211" s="45">
        <v>0.7</v>
      </c>
      <c r="T1211" s="45">
        <v>8</v>
      </c>
      <c r="V1211" s="45">
        <v>3.6</v>
      </c>
      <c r="W1211" s="45">
        <v>3.9</v>
      </c>
      <c r="X1211" s="45">
        <v>3.5</v>
      </c>
      <c r="Y1211" s="45">
        <v>3.2</v>
      </c>
      <c r="Z1211" s="45">
        <v>3.9</v>
      </c>
      <c r="AA1211" s="45">
        <v>3.5</v>
      </c>
      <c r="AB1211" s="45">
        <v>5.5</v>
      </c>
      <c r="AC1211" s="45">
        <v>3</v>
      </c>
      <c r="AD1211" s="45">
        <v>2.8</v>
      </c>
    </row>
    <row r="1212" spans="1:30">
      <c r="A1212" s="73">
        <v>46080</v>
      </c>
      <c r="B1212" s="24">
        <v>3434</v>
      </c>
      <c r="C1212" s="24">
        <v>628</v>
      </c>
      <c r="D1212" s="24">
        <v>343</v>
      </c>
      <c r="E1212" s="24">
        <v>480</v>
      </c>
      <c r="F1212" s="24">
        <v>626</v>
      </c>
      <c r="G1212" s="24">
        <v>470</v>
      </c>
      <c r="H1212" s="24">
        <v>248</v>
      </c>
      <c r="I1212" s="24">
        <v>193</v>
      </c>
      <c r="J1212" s="24">
        <v>446</v>
      </c>
      <c r="L1212" s="45">
        <v>4.9</v>
      </c>
      <c r="M1212" s="45">
        <v>2.3</v>
      </c>
      <c r="N1212" s="45">
        <v>3.2</v>
      </c>
      <c r="O1212" s="45">
        <v>7.7</v>
      </c>
      <c r="P1212" s="45">
        <v>5.6</v>
      </c>
      <c r="Q1212" s="45">
        <v>8.1</v>
      </c>
      <c r="R1212" s="45">
        <v>3.4</v>
      </c>
      <c r="S1212" s="45">
        <v>2.2</v>
      </c>
      <c r="T1212" s="45">
        <v>4.2</v>
      </c>
      <c r="V1212" s="45">
        <v>4</v>
      </c>
      <c r="W1212" s="45">
        <v>3.3</v>
      </c>
      <c r="X1212" s="45">
        <v>3.1</v>
      </c>
      <c r="Y1212" s="45">
        <v>5.9</v>
      </c>
      <c r="Z1212" s="45">
        <v>3.9</v>
      </c>
      <c r="AA1212" s="45">
        <v>4.2</v>
      </c>
      <c r="AB1212" s="45">
        <v>5.2</v>
      </c>
      <c r="AC1212" s="45">
        <v>4.1</v>
      </c>
      <c r="AD1212" s="45">
        <v>3.3</v>
      </c>
    </row>
    <row r="1213" spans="1:30">
      <c r="A1213" s="73">
        <v>46081</v>
      </c>
      <c r="B1213" s="24">
        <v>0</v>
      </c>
      <c r="C1213" s="24">
        <v>0</v>
      </c>
      <c r="D1213" s="24">
        <v>0</v>
      </c>
      <c r="E1213" s="24">
        <v>0</v>
      </c>
      <c r="F1213" s="24">
        <v>0</v>
      </c>
      <c r="G1213" s="24">
        <v>0</v>
      </c>
      <c r="H1213" s="24">
        <v>0</v>
      </c>
      <c r="I1213" s="24">
        <v>0</v>
      </c>
      <c r="J1213" s="24">
        <v>0</v>
      </c>
      <c r="L1213" s="45">
        <v>0</v>
      </c>
      <c r="M1213" s="45">
        <v>0</v>
      </c>
      <c r="N1213" s="45">
        <v>0</v>
      </c>
      <c r="O1213" s="45">
        <v>0</v>
      </c>
      <c r="P1213" s="45">
        <v>0</v>
      </c>
      <c r="Q1213" s="45">
        <v>0</v>
      </c>
      <c r="R1213" s="45">
        <v>0</v>
      </c>
      <c r="S1213" s="45">
        <v>0</v>
      </c>
      <c r="T1213" s="45">
        <v>0</v>
      </c>
      <c r="V1213" s="45">
        <v>0</v>
      </c>
      <c r="W1213" s="45">
        <v>0</v>
      </c>
      <c r="X1213" s="45">
        <v>0</v>
      </c>
      <c r="Y1213" s="45">
        <v>0</v>
      </c>
      <c r="Z1213" s="45">
        <v>0</v>
      </c>
      <c r="AA1213" s="45">
        <v>0</v>
      </c>
      <c r="AB1213" s="45">
        <v>0</v>
      </c>
      <c r="AC1213" s="45">
        <v>0</v>
      </c>
      <c r="AD1213" s="45">
        <v>0</v>
      </c>
    </row>
    <row r="1214" spans="1:30">
      <c r="A1214" s="73">
        <v>46082</v>
      </c>
      <c r="B1214" s="24">
        <v>0</v>
      </c>
      <c r="C1214" s="24">
        <v>0</v>
      </c>
      <c r="D1214" s="24">
        <v>0</v>
      </c>
      <c r="E1214" s="24">
        <v>0</v>
      </c>
      <c r="F1214" s="24">
        <v>0</v>
      </c>
      <c r="G1214" s="24">
        <v>0</v>
      </c>
      <c r="H1214" s="24">
        <v>0</v>
      </c>
      <c r="I1214" s="24">
        <v>0</v>
      </c>
      <c r="J1214" s="24">
        <v>0</v>
      </c>
      <c r="L1214" s="45">
        <v>0</v>
      </c>
      <c r="M1214" s="45">
        <v>0</v>
      </c>
      <c r="N1214" s="45">
        <v>0</v>
      </c>
      <c r="O1214" s="45">
        <v>0</v>
      </c>
      <c r="P1214" s="45">
        <v>0</v>
      </c>
      <c r="Q1214" s="45">
        <v>0</v>
      </c>
      <c r="R1214" s="45">
        <v>0</v>
      </c>
      <c r="S1214" s="45">
        <v>0</v>
      </c>
      <c r="T1214" s="45">
        <v>0</v>
      </c>
      <c r="V1214" s="45">
        <v>0</v>
      </c>
      <c r="W1214" s="45">
        <v>0</v>
      </c>
      <c r="X1214" s="45">
        <v>0</v>
      </c>
      <c r="Y1214" s="45">
        <v>0</v>
      </c>
      <c r="Z1214" s="45">
        <v>0</v>
      </c>
      <c r="AA1214" s="45">
        <v>0</v>
      </c>
      <c r="AB1214" s="45">
        <v>0</v>
      </c>
      <c r="AC1214" s="45">
        <v>0</v>
      </c>
      <c r="AD1214" s="45">
        <v>0</v>
      </c>
    </row>
    <row r="1215" spans="1:30">
      <c r="A1215" s="73">
        <v>46083</v>
      </c>
      <c r="B1215" s="24">
        <v>4534</v>
      </c>
      <c r="C1215" s="24">
        <v>751</v>
      </c>
      <c r="D1215" s="24">
        <v>475</v>
      </c>
      <c r="E1215" s="24">
        <v>663</v>
      </c>
      <c r="F1215" s="24">
        <v>825</v>
      </c>
      <c r="G1215" s="24">
        <v>581</v>
      </c>
      <c r="H1215" s="24">
        <v>370</v>
      </c>
      <c r="I1215" s="24">
        <v>253</v>
      </c>
      <c r="J1215" s="24">
        <v>616</v>
      </c>
      <c r="L1215" s="45">
        <v>7.5</v>
      </c>
      <c r="M1215" s="45">
        <v>3.1</v>
      </c>
      <c r="N1215" s="45">
        <v>7.1</v>
      </c>
      <c r="O1215" s="45">
        <v>7.1</v>
      </c>
      <c r="P1215" s="45">
        <v>10.4</v>
      </c>
      <c r="Q1215" s="45">
        <v>13.1</v>
      </c>
      <c r="R1215" s="45">
        <v>3.3</v>
      </c>
      <c r="S1215" s="45">
        <v>4.5</v>
      </c>
      <c r="T1215" s="45">
        <v>8.6</v>
      </c>
      <c r="V1215" s="45">
        <v>3.6</v>
      </c>
      <c r="W1215" s="45">
        <v>2.9</v>
      </c>
      <c r="X1215" s="45">
        <v>3.2</v>
      </c>
      <c r="Y1215" s="45">
        <v>4.2</v>
      </c>
      <c r="Z1215" s="45">
        <v>3.9</v>
      </c>
      <c r="AA1215" s="45">
        <v>4</v>
      </c>
      <c r="AB1215" s="45">
        <v>4.4</v>
      </c>
      <c r="AC1215" s="45">
        <v>3.2</v>
      </c>
      <c r="AD1215" s="45">
        <v>3.1</v>
      </c>
    </row>
    <row r="1216" spans="1:30">
      <c r="A1216" s="73">
        <v>46084</v>
      </c>
      <c r="B1216" s="24">
        <v>3844</v>
      </c>
      <c r="C1216" s="24">
        <v>675</v>
      </c>
      <c r="D1216" s="24">
        <v>398</v>
      </c>
      <c r="E1216" s="24">
        <v>609</v>
      </c>
      <c r="F1216" s="24">
        <v>742</v>
      </c>
      <c r="G1216" s="24">
        <v>468</v>
      </c>
      <c r="H1216" s="24">
        <v>270</v>
      </c>
      <c r="I1216" s="24">
        <v>161</v>
      </c>
      <c r="J1216" s="24">
        <v>521</v>
      </c>
      <c r="L1216" s="45">
        <v>6.6</v>
      </c>
      <c r="M1216" s="45">
        <v>4.4</v>
      </c>
      <c r="N1216" s="45">
        <v>7.1</v>
      </c>
      <c r="O1216" s="45">
        <v>7.5</v>
      </c>
      <c r="P1216" s="45">
        <v>7</v>
      </c>
      <c r="Q1216" s="45">
        <v>11.9</v>
      </c>
      <c r="R1216" s="45">
        <v>3.2</v>
      </c>
      <c r="S1216" s="45">
        <v>0.8</v>
      </c>
      <c r="T1216" s="45">
        <v>6.4</v>
      </c>
      <c r="V1216" s="45">
        <v>3.8</v>
      </c>
      <c r="W1216" s="45">
        <v>3.2</v>
      </c>
      <c r="X1216" s="45">
        <v>3.9</v>
      </c>
      <c r="Y1216" s="45">
        <v>3.3</v>
      </c>
      <c r="Z1216" s="45">
        <v>3.3</v>
      </c>
      <c r="AA1216" s="45">
        <v>4.1</v>
      </c>
      <c r="AB1216" s="45">
        <v>6</v>
      </c>
      <c r="AC1216" s="45">
        <v>6.5</v>
      </c>
      <c r="AD1216" s="45">
        <v>3.2</v>
      </c>
    </row>
    <row r="1217" spans="1:30">
      <c r="A1217" s="73">
        <v>46085</v>
      </c>
      <c r="B1217" s="24">
        <v>3913</v>
      </c>
      <c r="C1217" s="24">
        <v>772</v>
      </c>
      <c r="D1217" s="24">
        <v>373</v>
      </c>
      <c r="E1217" s="24">
        <v>590</v>
      </c>
      <c r="F1217" s="24">
        <v>705</v>
      </c>
      <c r="G1217" s="24">
        <v>511</v>
      </c>
      <c r="H1217" s="24">
        <v>258</v>
      </c>
      <c r="I1217" s="24">
        <v>175</v>
      </c>
      <c r="J1217" s="24">
        <v>529</v>
      </c>
      <c r="L1217" s="45">
        <v>5.1</v>
      </c>
      <c r="M1217" s="45">
        <v>3.5</v>
      </c>
      <c r="N1217" s="45">
        <v>5</v>
      </c>
      <c r="O1217" s="45">
        <v>6.6</v>
      </c>
      <c r="P1217" s="45">
        <v>6.5</v>
      </c>
      <c r="Q1217" s="45">
        <v>5.4</v>
      </c>
      <c r="R1217" s="45">
        <v>1.6</v>
      </c>
      <c r="S1217" s="45">
        <v>2.6</v>
      </c>
      <c r="T1217" s="45">
        <v>6.5</v>
      </c>
      <c r="V1217" s="45">
        <v>3.8</v>
      </c>
      <c r="W1217" s="45">
        <v>3.3</v>
      </c>
      <c r="X1217" s="45">
        <v>3.6</v>
      </c>
      <c r="Y1217" s="45">
        <v>3.6</v>
      </c>
      <c r="Z1217" s="45">
        <v>3.7</v>
      </c>
      <c r="AA1217" s="45">
        <v>4.6</v>
      </c>
      <c r="AB1217" s="45">
        <v>5</v>
      </c>
      <c r="AC1217" s="45">
        <v>4.9</v>
      </c>
      <c r="AD1217" s="45">
        <v>3.1</v>
      </c>
    </row>
    <row r="1218" spans="1:30">
      <c r="A1218" s="73">
        <v>46086</v>
      </c>
      <c r="B1218" s="24">
        <v>4210</v>
      </c>
      <c r="C1218" s="24">
        <v>732</v>
      </c>
      <c r="D1218" s="24">
        <v>413</v>
      </c>
      <c r="E1218" s="24">
        <v>719</v>
      </c>
      <c r="F1218" s="24">
        <v>795</v>
      </c>
      <c r="G1218" s="24">
        <v>553</v>
      </c>
      <c r="H1218" s="24">
        <v>267</v>
      </c>
      <c r="I1218" s="24">
        <v>182</v>
      </c>
      <c r="J1218" s="24">
        <v>549</v>
      </c>
      <c r="L1218" s="45">
        <v>7.6</v>
      </c>
      <c r="M1218" s="45">
        <v>3.9</v>
      </c>
      <c r="N1218" s="45">
        <v>4.3</v>
      </c>
      <c r="O1218" s="45">
        <v>10.7</v>
      </c>
      <c r="P1218" s="45">
        <v>8.300000000000001</v>
      </c>
      <c r="Q1218" s="45">
        <v>16.6</v>
      </c>
      <c r="R1218" s="45">
        <v>1.4</v>
      </c>
      <c r="S1218" s="45">
        <v>1.6</v>
      </c>
      <c r="T1218" s="45">
        <v>6</v>
      </c>
      <c r="V1218" s="45">
        <v>3.7</v>
      </c>
      <c r="W1218" s="45">
        <v>3.1</v>
      </c>
      <c r="X1218" s="45">
        <v>3.4</v>
      </c>
      <c r="Y1218" s="45">
        <v>3.5</v>
      </c>
      <c r="Z1218" s="45">
        <v>3.6</v>
      </c>
      <c r="AA1218" s="45">
        <v>4.6</v>
      </c>
      <c r="AB1218" s="45">
        <v>5.9</v>
      </c>
      <c r="AC1218" s="45">
        <v>5.3</v>
      </c>
      <c r="AD1218" s="45">
        <v>2.9</v>
      </c>
    </row>
    <row r="1219" spans="1:30">
      <c r="A1219" s="73">
        <v>46087</v>
      </c>
      <c r="B1219" s="24">
        <v>3427</v>
      </c>
      <c r="C1219" s="24">
        <v>550</v>
      </c>
      <c r="D1219" s="24">
        <v>359</v>
      </c>
      <c r="E1219" s="24">
        <v>503</v>
      </c>
      <c r="F1219" s="24">
        <v>626</v>
      </c>
      <c r="G1219" s="24">
        <v>515</v>
      </c>
      <c r="H1219" s="24">
        <v>273</v>
      </c>
      <c r="I1219" s="24">
        <v>150</v>
      </c>
      <c r="J1219" s="24">
        <v>451</v>
      </c>
      <c r="L1219" s="45">
        <v>4.8</v>
      </c>
      <c r="M1219" s="45">
        <v>1.8</v>
      </c>
      <c r="N1219" s="45">
        <v>4.8</v>
      </c>
      <c r="O1219" s="45">
        <v>4.9</v>
      </c>
      <c r="P1219" s="45">
        <v>4</v>
      </c>
      <c r="Q1219" s="45">
        <v>11.9</v>
      </c>
      <c r="R1219" s="45">
        <v>3.4</v>
      </c>
      <c r="S1219" s="45">
        <v>1.7</v>
      </c>
      <c r="T1219" s="45">
        <v>3.4</v>
      </c>
      <c r="V1219" s="45">
        <v>4.2</v>
      </c>
      <c r="W1219" s="45">
        <v>3.8</v>
      </c>
      <c r="X1219" s="45">
        <v>3.9</v>
      </c>
      <c r="Y1219" s="45">
        <v>3.5</v>
      </c>
      <c r="Z1219" s="45">
        <v>4.4</v>
      </c>
      <c r="AA1219" s="45">
        <v>4.6</v>
      </c>
      <c r="AB1219" s="45">
        <v>5.8</v>
      </c>
      <c r="AC1219" s="45">
        <v>5.4</v>
      </c>
      <c r="AD1219" s="45">
        <v>3.1</v>
      </c>
    </row>
    <row r="1220" spans="1:30">
      <c r="A1220" s="73">
        <v>46088</v>
      </c>
      <c r="B1220" s="24">
        <v>0</v>
      </c>
      <c r="C1220" s="24">
        <v>0</v>
      </c>
      <c r="D1220" s="24">
        <v>0</v>
      </c>
      <c r="E1220" s="24">
        <v>0</v>
      </c>
      <c r="F1220" s="24">
        <v>0</v>
      </c>
      <c r="G1220" s="24">
        <v>0</v>
      </c>
      <c r="H1220" s="24">
        <v>0</v>
      </c>
      <c r="I1220" s="24">
        <v>0</v>
      </c>
      <c r="J1220" s="24">
        <v>0</v>
      </c>
      <c r="L1220" s="45">
        <v>0</v>
      </c>
      <c r="M1220" s="45">
        <v>0</v>
      </c>
      <c r="N1220" s="45">
        <v>0</v>
      </c>
      <c r="O1220" s="45">
        <v>0</v>
      </c>
      <c r="P1220" s="45">
        <v>0</v>
      </c>
      <c r="Q1220" s="45">
        <v>0</v>
      </c>
      <c r="R1220" s="45">
        <v>0</v>
      </c>
      <c r="S1220" s="45">
        <v>0</v>
      </c>
      <c r="T1220" s="45">
        <v>0</v>
      </c>
      <c r="V1220" s="45">
        <v>0</v>
      </c>
      <c r="W1220" s="45">
        <v>0</v>
      </c>
      <c r="X1220" s="45">
        <v>0</v>
      </c>
      <c r="Y1220" s="45">
        <v>0</v>
      </c>
      <c r="Z1220" s="45">
        <v>0</v>
      </c>
      <c r="AA1220" s="45">
        <v>0</v>
      </c>
      <c r="AB1220" s="45">
        <v>0</v>
      </c>
      <c r="AC1220" s="45">
        <v>0</v>
      </c>
      <c r="AD1220" s="45">
        <v>0</v>
      </c>
    </row>
    <row r="1221" spans="1:30">
      <c r="A1221" s="73">
        <v>46089</v>
      </c>
      <c r="B1221" s="24">
        <v>276</v>
      </c>
      <c r="C1221" s="24">
        <v>48</v>
      </c>
      <c r="D1221" s="24">
        <v>33</v>
      </c>
      <c r="E1221" s="24">
        <v>53</v>
      </c>
      <c r="F1221" s="24">
        <v>72</v>
      </c>
      <c r="G1221" s="24">
        <v>47</v>
      </c>
      <c r="H1221" s="24">
        <v>23</v>
      </c>
      <c r="I1221" s="24">
        <v>0</v>
      </c>
      <c r="J1221" s="24">
        <v>0</v>
      </c>
      <c r="L1221" s="45">
        <v>1.5</v>
      </c>
      <c r="M1221" s="45">
        <v>2.1</v>
      </c>
      <c r="N1221" s="45">
        <v>1.3</v>
      </c>
      <c r="O1221" s="45">
        <v>1.9</v>
      </c>
      <c r="P1221" s="45">
        <v>0.7</v>
      </c>
      <c r="Q1221" s="45">
        <v>1.2</v>
      </c>
      <c r="R1221" s="45">
        <v>2.8</v>
      </c>
      <c r="S1221" s="45">
        <v>0</v>
      </c>
      <c r="T1221" s="45">
        <v>0</v>
      </c>
      <c r="V1221" s="45">
        <v>4.8</v>
      </c>
      <c r="W1221" s="45">
        <v>2.9</v>
      </c>
      <c r="X1221" s="45">
        <v>0.6</v>
      </c>
      <c r="Y1221" s="45">
        <v>0.3</v>
      </c>
      <c r="Z1221" s="45">
        <v>6</v>
      </c>
      <c r="AA1221" s="45">
        <v>7.3</v>
      </c>
      <c r="AB1221" s="45">
        <v>5.5</v>
      </c>
      <c r="AC1221" s="45">
        <v>0</v>
      </c>
      <c r="AD1221" s="45">
        <v>0</v>
      </c>
    </row>
    <row r="1222" spans="1:30">
      <c r="A1222" s="73">
        <v>46090</v>
      </c>
      <c r="B1222" s="24">
        <v>4814</v>
      </c>
      <c r="C1222" s="24">
        <v>893</v>
      </c>
      <c r="D1222" s="24">
        <v>469</v>
      </c>
      <c r="E1222" s="24">
        <v>660</v>
      </c>
      <c r="F1222" s="24">
        <v>869</v>
      </c>
      <c r="G1222" s="24">
        <v>675</v>
      </c>
      <c r="H1222" s="24">
        <v>342</v>
      </c>
      <c r="I1222" s="24">
        <v>267</v>
      </c>
      <c r="J1222" s="24">
        <v>639</v>
      </c>
      <c r="L1222" s="45">
        <v>8.5</v>
      </c>
      <c r="M1222" s="45">
        <v>5.8</v>
      </c>
      <c r="N1222" s="45">
        <v>7.3</v>
      </c>
      <c r="O1222" s="45">
        <v>8.4</v>
      </c>
      <c r="P1222" s="45">
        <v>7.7</v>
      </c>
      <c r="Q1222" s="45">
        <v>18.3</v>
      </c>
      <c r="R1222" s="45">
        <v>2.9</v>
      </c>
      <c r="S1222" s="45">
        <v>7.6</v>
      </c>
      <c r="T1222" s="45">
        <v>7.2</v>
      </c>
      <c r="V1222" s="45">
        <v>3.4</v>
      </c>
      <c r="W1222" s="45">
        <v>2.8</v>
      </c>
      <c r="X1222" s="45">
        <v>3.3</v>
      </c>
      <c r="Y1222" s="45">
        <v>3.7</v>
      </c>
      <c r="Z1222" s="45">
        <v>3.5</v>
      </c>
      <c r="AA1222" s="45">
        <v>4.1</v>
      </c>
      <c r="AB1222" s="45">
        <v>4.7</v>
      </c>
      <c r="AC1222" s="45">
        <v>4.1</v>
      </c>
      <c r="AD1222" s="45">
        <v>2.7</v>
      </c>
    </row>
    <row r="1223" spans="1:30">
      <c r="A1223" s="73">
        <v>46091</v>
      </c>
      <c r="B1223" s="24">
        <v>4029</v>
      </c>
      <c r="C1223" s="24">
        <v>715</v>
      </c>
      <c r="D1223" s="24">
        <v>448</v>
      </c>
      <c r="E1223" s="24">
        <v>569</v>
      </c>
      <c r="F1223" s="24">
        <v>733</v>
      </c>
      <c r="G1223" s="24">
        <v>531</v>
      </c>
      <c r="H1223" s="24">
        <v>266</v>
      </c>
      <c r="I1223" s="24">
        <v>200</v>
      </c>
      <c r="J1223" s="24">
        <v>567</v>
      </c>
      <c r="L1223" s="45">
        <v>5.9</v>
      </c>
      <c r="M1223" s="45">
        <v>4.1</v>
      </c>
      <c r="N1223" s="45">
        <v>6</v>
      </c>
      <c r="O1223" s="45">
        <v>6.7</v>
      </c>
      <c r="P1223" s="45">
        <v>6.8</v>
      </c>
      <c r="Q1223" s="45">
        <v>9.4</v>
      </c>
      <c r="R1223" s="45">
        <v>2.2</v>
      </c>
      <c r="S1223" s="45">
        <v>1.7</v>
      </c>
      <c r="T1223" s="45">
        <v>6.3</v>
      </c>
      <c r="V1223" s="45">
        <v>3.9</v>
      </c>
      <c r="W1223" s="45">
        <v>3.9</v>
      </c>
      <c r="X1223" s="45">
        <v>3.2</v>
      </c>
      <c r="Y1223" s="45">
        <v>3</v>
      </c>
      <c r="Z1223" s="45">
        <v>4</v>
      </c>
      <c r="AA1223" s="45">
        <v>4.8</v>
      </c>
      <c r="AB1223" s="45">
        <v>6</v>
      </c>
      <c r="AC1223" s="45">
        <v>4.7</v>
      </c>
      <c r="AD1223" s="45">
        <v>3.1</v>
      </c>
    </row>
    <row r="1224" spans="1:30">
      <c r="A1224" s="73">
        <v>46092</v>
      </c>
      <c r="B1224" s="24">
        <v>3934</v>
      </c>
      <c r="C1224" s="24">
        <v>649</v>
      </c>
      <c r="D1224" s="24">
        <v>420</v>
      </c>
      <c r="E1224" s="24">
        <v>590</v>
      </c>
      <c r="F1224" s="24">
        <v>768</v>
      </c>
      <c r="G1224" s="24">
        <v>519</v>
      </c>
      <c r="H1224" s="24">
        <v>294</v>
      </c>
      <c r="I1224" s="24">
        <v>173</v>
      </c>
      <c r="J1224" s="24">
        <v>521</v>
      </c>
      <c r="L1224" s="45">
        <v>5.6</v>
      </c>
      <c r="M1224" s="45">
        <v>3.7</v>
      </c>
      <c r="N1224" s="45">
        <v>5.1</v>
      </c>
      <c r="O1224" s="45">
        <v>5.8</v>
      </c>
      <c r="P1224" s="45">
        <v>5.2</v>
      </c>
      <c r="Q1224" s="45">
        <v>13.7</v>
      </c>
      <c r="R1224" s="45">
        <v>3.2</v>
      </c>
      <c r="S1224" s="45">
        <v>1.5</v>
      </c>
      <c r="T1224" s="45">
        <v>3.9</v>
      </c>
      <c r="V1224" s="45">
        <v>3.9</v>
      </c>
      <c r="W1224" s="45">
        <v>3.7</v>
      </c>
      <c r="X1224" s="45">
        <v>3.2</v>
      </c>
      <c r="Y1224" s="45">
        <v>4</v>
      </c>
      <c r="Z1224" s="45">
        <v>4</v>
      </c>
      <c r="AA1224" s="45">
        <v>4.3</v>
      </c>
      <c r="AB1224" s="45">
        <v>4.9</v>
      </c>
      <c r="AC1224" s="45">
        <v>4.9</v>
      </c>
      <c r="AD1224" s="45">
        <v>3.3</v>
      </c>
    </row>
    <row r="1225" spans="1:30">
      <c r="A1225" s="73">
        <v>46093</v>
      </c>
      <c r="B1225" s="24">
        <v>3728</v>
      </c>
      <c r="C1225" s="24">
        <v>656</v>
      </c>
      <c r="D1225" s="24">
        <v>403</v>
      </c>
      <c r="E1225" s="24">
        <v>616</v>
      </c>
      <c r="F1225" s="24">
        <v>702</v>
      </c>
      <c r="G1225" s="24">
        <v>472</v>
      </c>
      <c r="H1225" s="24">
        <v>236</v>
      </c>
      <c r="I1225" s="24">
        <v>174</v>
      </c>
      <c r="J1225" s="24">
        <v>469</v>
      </c>
      <c r="L1225" s="45">
        <v>4.5</v>
      </c>
      <c r="M1225" s="45">
        <v>4.3</v>
      </c>
      <c r="N1225" s="45">
        <v>6.1</v>
      </c>
      <c r="O1225" s="45">
        <v>5.6</v>
      </c>
      <c r="P1225" s="45">
        <v>3.9</v>
      </c>
      <c r="Q1225" s="45">
        <v>7</v>
      </c>
      <c r="R1225" s="45">
        <v>1.5</v>
      </c>
      <c r="S1225" s="45">
        <v>1.3</v>
      </c>
      <c r="T1225" s="45">
        <v>3</v>
      </c>
      <c r="V1225" s="45">
        <v>3.9</v>
      </c>
      <c r="W1225" s="45">
        <v>3.7</v>
      </c>
      <c r="X1225" s="45">
        <v>3.1</v>
      </c>
      <c r="Y1225" s="45">
        <v>3.2</v>
      </c>
      <c r="Z1225" s="45">
        <v>4.1</v>
      </c>
      <c r="AA1225" s="45">
        <v>5</v>
      </c>
      <c r="AB1225" s="45">
        <v>4.9</v>
      </c>
      <c r="AC1225" s="45">
        <v>6.1</v>
      </c>
      <c r="AD1225" s="45">
        <v>2.7</v>
      </c>
    </row>
    <row r="1226" spans="1:30">
      <c r="A1226" s="73">
        <v>46094</v>
      </c>
      <c r="B1226" s="24">
        <v>3904</v>
      </c>
      <c r="C1226" s="24">
        <v>758</v>
      </c>
      <c r="D1226" s="24">
        <v>430</v>
      </c>
      <c r="E1226" s="24">
        <v>558</v>
      </c>
      <c r="F1226" s="24">
        <v>736</v>
      </c>
      <c r="G1226" s="24">
        <v>496</v>
      </c>
      <c r="H1226" s="24">
        <v>291</v>
      </c>
      <c r="I1226" s="24">
        <v>153</v>
      </c>
      <c r="J1226" s="24">
        <v>482</v>
      </c>
      <c r="L1226" s="45">
        <v>5.5</v>
      </c>
      <c r="M1226" s="45">
        <v>3.1</v>
      </c>
      <c r="N1226" s="45">
        <v>8.199999999999999</v>
      </c>
      <c r="O1226" s="45">
        <v>4.8</v>
      </c>
      <c r="P1226" s="45">
        <v>4.7</v>
      </c>
      <c r="Q1226" s="45">
        <v>13.5</v>
      </c>
      <c r="R1226" s="45">
        <v>3.1</v>
      </c>
      <c r="S1226" s="45">
        <v>1.7</v>
      </c>
      <c r="T1226" s="45">
        <v>3.5</v>
      </c>
      <c r="V1226" s="45">
        <v>3.8</v>
      </c>
      <c r="W1226" s="45">
        <v>2.7</v>
      </c>
      <c r="X1226" s="45">
        <v>3.1</v>
      </c>
      <c r="Y1226" s="45">
        <v>3.4</v>
      </c>
      <c r="Z1226" s="45">
        <v>4.1</v>
      </c>
      <c r="AA1226" s="45">
        <v>4.9</v>
      </c>
      <c r="AB1226" s="45">
        <v>7.4</v>
      </c>
      <c r="AC1226" s="45">
        <v>3.6</v>
      </c>
      <c r="AD1226" s="45">
        <v>3</v>
      </c>
    </row>
    <row r="1227" spans="1:30">
      <c r="A1227" s="73">
        <v>46095</v>
      </c>
      <c r="B1227" s="24">
        <v>0</v>
      </c>
      <c r="C1227" s="24">
        <v>0</v>
      </c>
      <c r="D1227" s="24">
        <v>0</v>
      </c>
      <c r="E1227" s="24">
        <v>0</v>
      </c>
      <c r="F1227" s="24">
        <v>0</v>
      </c>
      <c r="G1227" s="24">
        <v>0</v>
      </c>
      <c r="H1227" s="24">
        <v>0</v>
      </c>
      <c r="I1227" s="24">
        <v>0</v>
      </c>
      <c r="J1227" s="24">
        <v>0</v>
      </c>
      <c r="L1227" s="45">
        <v>0</v>
      </c>
      <c r="M1227" s="45">
        <v>0</v>
      </c>
      <c r="N1227" s="45">
        <v>0</v>
      </c>
      <c r="O1227" s="45">
        <v>0</v>
      </c>
      <c r="P1227" s="45">
        <v>0</v>
      </c>
      <c r="Q1227" s="45">
        <v>0</v>
      </c>
      <c r="R1227" s="45">
        <v>0</v>
      </c>
      <c r="S1227" s="45">
        <v>0</v>
      </c>
      <c r="T1227" s="45">
        <v>0</v>
      </c>
      <c r="V1227" s="45">
        <v>0</v>
      </c>
      <c r="W1227" s="45">
        <v>0</v>
      </c>
      <c r="X1227" s="45">
        <v>0</v>
      </c>
      <c r="Y1227" s="45">
        <v>0</v>
      </c>
      <c r="Z1227" s="45">
        <v>0</v>
      </c>
      <c r="AA1227" s="45">
        <v>0</v>
      </c>
      <c r="AB1227" s="45">
        <v>0</v>
      </c>
      <c r="AC1227" s="45">
        <v>0</v>
      </c>
      <c r="AD1227" s="45">
        <v>0</v>
      </c>
    </row>
    <row r="1228" spans="1:30">
      <c r="A1228" s="73">
        <v>46096</v>
      </c>
      <c r="B1228" s="24">
        <v>0</v>
      </c>
      <c r="C1228" s="24">
        <v>0</v>
      </c>
      <c r="D1228" s="24">
        <v>0</v>
      </c>
      <c r="E1228" s="24">
        <v>0</v>
      </c>
      <c r="F1228" s="24">
        <v>0</v>
      </c>
      <c r="G1228" s="24">
        <v>0</v>
      </c>
      <c r="H1228" s="24">
        <v>0</v>
      </c>
      <c r="I1228" s="24">
        <v>0</v>
      </c>
      <c r="J1228" s="24">
        <v>0</v>
      </c>
      <c r="L1228" s="45">
        <v>0</v>
      </c>
      <c r="M1228" s="45">
        <v>0</v>
      </c>
      <c r="N1228" s="45">
        <v>0</v>
      </c>
      <c r="O1228" s="45">
        <v>0</v>
      </c>
      <c r="P1228" s="45">
        <v>0</v>
      </c>
      <c r="Q1228" s="45">
        <v>0</v>
      </c>
      <c r="R1228" s="45">
        <v>0</v>
      </c>
      <c r="S1228" s="45">
        <v>0</v>
      </c>
      <c r="T1228" s="45">
        <v>0</v>
      </c>
      <c r="V1228" s="45">
        <v>0</v>
      </c>
      <c r="W1228" s="45">
        <v>0</v>
      </c>
      <c r="X1228" s="45">
        <v>0</v>
      </c>
      <c r="Y1228" s="45">
        <v>0</v>
      </c>
      <c r="Z1228" s="45">
        <v>0</v>
      </c>
      <c r="AA1228" s="45">
        <v>0</v>
      </c>
      <c r="AB1228" s="45">
        <v>0</v>
      </c>
      <c r="AC1228" s="45">
        <v>0</v>
      </c>
      <c r="AD1228" s="45">
        <v>0</v>
      </c>
    </row>
    <row r="1229" spans="1:30">
      <c r="A1229" s="73">
        <v>46097</v>
      </c>
      <c r="B1229" s="24">
        <v>4720</v>
      </c>
      <c r="C1229" s="24">
        <v>855</v>
      </c>
      <c r="D1229" s="24">
        <v>532</v>
      </c>
      <c r="E1229" s="24">
        <v>686</v>
      </c>
      <c r="F1229" s="24">
        <v>856</v>
      </c>
      <c r="G1229" s="24">
        <v>614</v>
      </c>
      <c r="H1229" s="24">
        <v>311</v>
      </c>
      <c r="I1229" s="24">
        <v>256</v>
      </c>
      <c r="J1229" s="24">
        <v>610</v>
      </c>
      <c r="L1229" s="45">
        <v>9</v>
      </c>
      <c r="M1229" s="45">
        <v>4.4</v>
      </c>
      <c r="N1229" s="45">
        <v>9.199999999999999</v>
      </c>
      <c r="O1229" s="45">
        <v>9</v>
      </c>
      <c r="P1229" s="45">
        <v>10.6</v>
      </c>
      <c r="Q1229" s="45">
        <v>18</v>
      </c>
      <c r="R1229" s="45">
        <v>3.9</v>
      </c>
      <c r="S1229" s="45">
        <v>7.7</v>
      </c>
      <c r="T1229" s="45">
        <v>7.2</v>
      </c>
      <c r="V1229" s="45">
        <v>3.7</v>
      </c>
      <c r="W1229" s="45">
        <v>3.1</v>
      </c>
      <c r="X1229" s="45">
        <v>3.4</v>
      </c>
      <c r="Y1229" s="45">
        <v>3.3</v>
      </c>
      <c r="Z1229" s="45">
        <v>4</v>
      </c>
      <c r="AA1229" s="45">
        <v>4.4</v>
      </c>
      <c r="AB1229" s="45">
        <v>5.5</v>
      </c>
      <c r="AC1229" s="45">
        <v>3.4</v>
      </c>
      <c r="AD1229" s="45">
        <v>3.2</v>
      </c>
    </row>
    <row r="1230" spans="1:30">
      <c r="A1230" s="73">
        <v>46098</v>
      </c>
      <c r="B1230" s="24">
        <v>3807</v>
      </c>
      <c r="C1230" s="24">
        <v>665</v>
      </c>
      <c r="D1230" s="24">
        <v>410</v>
      </c>
      <c r="E1230" s="24">
        <v>620</v>
      </c>
      <c r="F1230" s="24">
        <v>677</v>
      </c>
      <c r="G1230" s="24">
        <v>507</v>
      </c>
      <c r="H1230" s="24">
        <v>241</v>
      </c>
      <c r="I1230" s="24">
        <v>171</v>
      </c>
      <c r="J1230" s="24">
        <v>516</v>
      </c>
      <c r="L1230" s="45">
        <v>5.8</v>
      </c>
      <c r="M1230" s="45">
        <v>2.9</v>
      </c>
      <c r="N1230" s="45">
        <v>6.6</v>
      </c>
      <c r="O1230" s="45">
        <v>8.9</v>
      </c>
      <c r="P1230" s="45">
        <v>5.3</v>
      </c>
      <c r="Q1230" s="45">
        <v>9.800000000000001</v>
      </c>
      <c r="R1230" s="45">
        <v>2</v>
      </c>
      <c r="S1230" s="45">
        <v>2.1</v>
      </c>
      <c r="T1230" s="45">
        <v>5.1</v>
      </c>
      <c r="V1230" s="45">
        <v>4.1</v>
      </c>
      <c r="W1230" s="45">
        <v>3.1</v>
      </c>
      <c r="X1230" s="45">
        <v>3.1</v>
      </c>
      <c r="Y1230" s="45">
        <v>3.8</v>
      </c>
      <c r="Z1230" s="45">
        <v>4.2</v>
      </c>
      <c r="AA1230" s="45">
        <v>5.2</v>
      </c>
      <c r="AB1230" s="45">
        <v>6.1</v>
      </c>
      <c r="AC1230" s="45">
        <v>8.199999999999999</v>
      </c>
      <c r="AD1230" s="45">
        <v>3.3</v>
      </c>
    </row>
    <row r="1231" spans="1:30">
      <c r="A1231" s="73">
        <v>46099</v>
      </c>
      <c r="B1231" s="24">
        <v>3054</v>
      </c>
      <c r="C1231" s="24">
        <v>520</v>
      </c>
      <c r="D1231" s="24">
        <v>334</v>
      </c>
      <c r="E1231" s="24">
        <v>450</v>
      </c>
      <c r="F1231" s="24">
        <v>598</v>
      </c>
      <c r="G1231" s="24">
        <v>381</v>
      </c>
      <c r="H1231" s="24">
        <v>236</v>
      </c>
      <c r="I1231" s="24">
        <v>133</v>
      </c>
      <c r="J1231" s="24">
        <v>402</v>
      </c>
      <c r="L1231" s="45">
        <v>3.9</v>
      </c>
      <c r="M1231" s="45">
        <v>1.4</v>
      </c>
      <c r="N1231" s="45">
        <v>4.9</v>
      </c>
      <c r="O1231" s="45">
        <v>4.2</v>
      </c>
      <c r="P1231" s="45">
        <v>3.1</v>
      </c>
      <c r="Q1231" s="45">
        <v>9.6</v>
      </c>
      <c r="R1231" s="45">
        <v>2.2</v>
      </c>
      <c r="S1231" s="45">
        <v>2.3</v>
      </c>
      <c r="T1231" s="45">
        <v>3.3</v>
      </c>
      <c r="V1231" s="45">
        <v>4.5</v>
      </c>
      <c r="W1231" s="45">
        <v>4.9</v>
      </c>
      <c r="X1231" s="45">
        <v>3.5</v>
      </c>
      <c r="Y1231" s="45">
        <v>5.4</v>
      </c>
      <c r="Z1231" s="45">
        <v>4.3</v>
      </c>
      <c r="AA1231" s="45">
        <v>4.7</v>
      </c>
      <c r="AB1231" s="45">
        <v>6.1</v>
      </c>
      <c r="AC1231" s="45">
        <v>4.8</v>
      </c>
      <c r="AD1231" s="45">
        <v>3.5</v>
      </c>
    </row>
    <row r="1232" spans="1:30">
      <c r="A1232" s="73">
        <v>46100</v>
      </c>
      <c r="B1232" s="24">
        <v>3957</v>
      </c>
      <c r="C1232" s="24">
        <v>677</v>
      </c>
      <c r="D1232" s="24">
        <v>478</v>
      </c>
      <c r="E1232" s="24">
        <v>585</v>
      </c>
      <c r="F1232" s="24">
        <v>726</v>
      </c>
      <c r="G1232" s="24">
        <v>488</v>
      </c>
      <c r="H1232" s="24">
        <v>260</v>
      </c>
      <c r="I1232" s="24">
        <v>197</v>
      </c>
      <c r="J1232" s="24">
        <v>546</v>
      </c>
      <c r="L1232" s="45">
        <v>6.7</v>
      </c>
      <c r="M1232" s="45">
        <v>4.1</v>
      </c>
      <c r="N1232" s="45">
        <v>7.6</v>
      </c>
      <c r="O1232" s="45">
        <v>9.6</v>
      </c>
      <c r="P1232" s="45">
        <v>5.2</v>
      </c>
      <c r="Q1232" s="45">
        <v>11.9</v>
      </c>
      <c r="R1232" s="45">
        <v>4.7</v>
      </c>
      <c r="S1232" s="45">
        <v>4</v>
      </c>
      <c r="T1232" s="45">
        <v>5.2</v>
      </c>
      <c r="V1232" s="45">
        <v>3.9</v>
      </c>
      <c r="W1232" s="45">
        <v>3.6</v>
      </c>
      <c r="X1232" s="45">
        <v>3</v>
      </c>
      <c r="Y1232" s="45">
        <v>3.8</v>
      </c>
      <c r="Z1232" s="45">
        <v>3.9</v>
      </c>
      <c r="AA1232" s="45">
        <v>4.7</v>
      </c>
      <c r="AB1232" s="45">
        <v>5.6</v>
      </c>
      <c r="AC1232" s="45">
        <v>5.7</v>
      </c>
      <c r="AD1232" s="45">
        <v>3.4</v>
      </c>
    </row>
    <row r="1233" spans="1:30">
      <c r="A1233" s="73">
        <v>46101</v>
      </c>
      <c r="B1233" s="24">
        <v>0</v>
      </c>
      <c r="C1233" s="24">
        <v>0</v>
      </c>
      <c r="D1233" s="24">
        <v>0</v>
      </c>
      <c r="E1233" s="24">
        <v>0</v>
      </c>
      <c r="F1233" s="24">
        <v>0</v>
      </c>
      <c r="G1233" s="24">
        <v>0</v>
      </c>
      <c r="H1233" s="24">
        <v>0</v>
      </c>
      <c r="I1233" s="24">
        <v>0</v>
      </c>
      <c r="J1233" s="24">
        <v>0</v>
      </c>
      <c r="L1233" s="45">
        <v>0</v>
      </c>
      <c r="M1233" s="45">
        <v>0</v>
      </c>
      <c r="N1233" s="45">
        <v>0</v>
      </c>
      <c r="O1233" s="45">
        <v>0</v>
      </c>
      <c r="P1233" s="45">
        <v>0</v>
      </c>
      <c r="Q1233" s="45">
        <v>0</v>
      </c>
      <c r="R1233" s="45">
        <v>0</v>
      </c>
      <c r="S1233" s="45">
        <v>0</v>
      </c>
      <c r="T1233" s="45">
        <v>0</v>
      </c>
      <c r="V1233" s="45">
        <v>0</v>
      </c>
      <c r="W1233" s="45">
        <v>0</v>
      </c>
      <c r="X1233" s="45">
        <v>0</v>
      </c>
      <c r="Y1233" s="45">
        <v>0</v>
      </c>
      <c r="Z1233" s="45">
        <v>0</v>
      </c>
      <c r="AA1233" s="45">
        <v>0</v>
      </c>
      <c r="AB1233" s="45">
        <v>0</v>
      </c>
      <c r="AC1233" s="45">
        <v>0</v>
      </c>
      <c r="AD1233" s="45">
        <v>0</v>
      </c>
    </row>
    <row r="1234" spans="1:30">
      <c r="A1234" s="73">
        <v>46102</v>
      </c>
      <c r="B1234" s="24">
        <v>0</v>
      </c>
      <c r="C1234" s="24">
        <v>0</v>
      </c>
      <c r="D1234" s="24">
        <v>0</v>
      </c>
      <c r="E1234" s="24">
        <v>0</v>
      </c>
      <c r="F1234" s="24">
        <v>0</v>
      </c>
      <c r="G1234" s="24">
        <v>0</v>
      </c>
      <c r="H1234" s="24">
        <v>0</v>
      </c>
      <c r="I1234" s="24">
        <v>0</v>
      </c>
      <c r="J1234" s="24">
        <v>0</v>
      </c>
      <c r="L1234" s="45">
        <v>0</v>
      </c>
      <c r="M1234" s="45">
        <v>0</v>
      </c>
      <c r="N1234" s="45">
        <v>0</v>
      </c>
      <c r="O1234" s="45">
        <v>0</v>
      </c>
      <c r="P1234" s="45">
        <v>0</v>
      </c>
      <c r="Q1234" s="45">
        <v>0</v>
      </c>
      <c r="R1234" s="45">
        <v>0</v>
      </c>
      <c r="S1234" s="45">
        <v>0</v>
      </c>
      <c r="T1234" s="45">
        <v>0</v>
      </c>
      <c r="V1234" s="45">
        <v>0</v>
      </c>
      <c r="W1234" s="45">
        <v>0</v>
      </c>
      <c r="X1234" s="45">
        <v>0</v>
      </c>
      <c r="Y1234" s="45">
        <v>0</v>
      </c>
      <c r="Z1234" s="45">
        <v>0</v>
      </c>
      <c r="AA1234" s="45">
        <v>0</v>
      </c>
      <c r="AB1234" s="45">
        <v>0</v>
      </c>
      <c r="AC1234" s="45">
        <v>0</v>
      </c>
      <c r="AD1234" s="45">
        <v>0</v>
      </c>
    </row>
    <row r="1235" spans="1:30">
      <c r="A1235" s="73">
        <v>46103</v>
      </c>
      <c r="B1235" s="24">
        <v>0</v>
      </c>
      <c r="C1235" s="24">
        <v>0</v>
      </c>
      <c r="D1235" s="24">
        <v>0</v>
      </c>
      <c r="E1235" s="24">
        <v>0</v>
      </c>
      <c r="F1235" s="24">
        <v>0</v>
      </c>
      <c r="G1235" s="24">
        <v>0</v>
      </c>
      <c r="H1235" s="24">
        <v>0</v>
      </c>
      <c r="I1235" s="24">
        <v>0</v>
      </c>
      <c r="J1235" s="24">
        <v>0</v>
      </c>
      <c r="L1235" s="45">
        <v>0</v>
      </c>
      <c r="M1235" s="45">
        <v>0</v>
      </c>
      <c r="N1235" s="45">
        <v>0</v>
      </c>
      <c r="O1235" s="45">
        <v>0</v>
      </c>
      <c r="P1235" s="45">
        <v>0</v>
      </c>
      <c r="Q1235" s="45">
        <v>0</v>
      </c>
      <c r="R1235" s="45">
        <v>0</v>
      </c>
      <c r="S1235" s="45">
        <v>0</v>
      </c>
      <c r="T1235" s="45">
        <v>0</v>
      </c>
      <c r="V1235" s="45">
        <v>0</v>
      </c>
      <c r="W1235" s="45">
        <v>0</v>
      </c>
      <c r="X1235" s="45">
        <v>0</v>
      </c>
      <c r="Y1235" s="45">
        <v>0</v>
      </c>
      <c r="Z1235" s="45">
        <v>0</v>
      </c>
      <c r="AA1235" s="45">
        <v>0</v>
      </c>
      <c r="AB1235" s="45">
        <v>0</v>
      </c>
      <c r="AC1235" s="45">
        <v>0</v>
      </c>
      <c r="AD1235" s="45">
        <v>0</v>
      </c>
    </row>
    <row r="1236" spans="1:30">
      <c r="A1236" s="73">
        <v>46104</v>
      </c>
      <c r="B1236" s="24">
        <v>5392</v>
      </c>
      <c r="C1236" s="24">
        <v>979</v>
      </c>
      <c r="D1236" s="24">
        <v>554</v>
      </c>
      <c r="E1236" s="24">
        <v>886</v>
      </c>
      <c r="F1236" s="24">
        <v>1000</v>
      </c>
      <c r="G1236" s="24">
        <v>626</v>
      </c>
      <c r="H1236" s="24">
        <v>387</v>
      </c>
      <c r="I1236" s="24">
        <v>250</v>
      </c>
      <c r="J1236" s="24">
        <v>710</v>
      </c>
      <c r="L1236" s="45">
        <v>23.4</v>
      </c>
      <c r="M1236" s="45">
        <v>8.300000000000001</v>
      </c>
      <c r="N1236" s="45">
        <v>27.8</v>
      </c>
      <c r="O1236" s="45">
        <v>34.5</v>
      </c>
      <c r="P1236" s="45">
        <v>23.7</v>
      </c>
      <c r="Q1236" s="45">
        <v>49</v>
      </c>
      <c r="R1236" s="45">
        <v>6.4</v>
      </c>
      <c r="S1236" s="45">
        <v>7.3</v>
      </c>
      <c r="T1236" s="45">
        <v>20.5</v>
      </c>
      <c r="V1236" s="45">
        <v>3.6</v>
      </c>
      <c r="W1236" s="45">
        <v>3.5</v>
      </c>
      <c r="X1236" s="45">
        <v>3.3</v>
      </c>
      <c r="Y1236" s="45">
        <v>3.5</v>
      </c>
      <c r="Z1236" s="45">
        <v>3.4</v>
      </c>
      <c r="AA1236" s="45">
        <v>5.2</v>
      </c>
      <c r="AB1236" s="45">
        <v>4.5</v>
      </c>
      <c r="AC1236" s="45">
        <v>3.3</v>
      </c>
      <c r="AD1236" s="45">
        <v>3.1</v>
      </c>
    </row>
    <row r="1237" spans="1:30">
      <c r="A1237" s="73">
        <v>46105</v>
      </c>
      <c r="B1237" s="24">
        <v>4455</v>
      </c>
      <c r="C1237" s="24">
        <v>805</v>
      </c>
      <c r="D1237" s="24">
        <v>444</v>
      </c>
      <c r="E1237" s="24">
        <v>682</v>
      </c>
      <c r="F1237" s="24">
        <v>829</v>
      </c>
      <c r="G1237" s="24">
        <v>588</v>
      </c>
      <c r="H1237" s="24">
        <v>319</v>
      </c>
      <c r="I1237" s="24">
        <v>228</v>
      </c>
      <c r="J1237" s="24">
        <v>560</v>
      </c>
      <c r="L1237" s="45">
        <v>10.8</v>
      </c>
      <c r="M1237" s="45">
        <v>3.7</v>
      </c>
      <c r="N1237" s="45">
        <v>9.9</v>
      </c>
      <c r="O1237" s="45">
        <v>16.3</v>
      </c>
      <c r="P1237" s="45">
        <v>10.4</v>
      </c>
      <c r="Q1237" s="45">
        <v>27.4</v>
      </c>
      <c r="R1237" s="45">
        <v>2.4</v>
      </c>
      <c r="S1237" s="45">
        <v>3.5</v>
      </c>
      <c r="T1237" s="45">
        <v>6.6</v>
      </c>
      <c r="V1237" s="45">
        <v>3.8</v>
      </c>
      <c r="W1237" s="45">
        <v>3.8</v>
      </c>
      <c r="X1237" s="45">
        <v>3.2</v>
      </c>
      <c r="Y1237" s="45">
        <v>3.9</v>
      </c>
      <c r="Z1237" s="45">
        <v>3.6</v>
      </c>
      <c r="AA1237" s="45">
        <v>4.2</v>
      </c>
      <c r="AB1237" s="45">
        <v>5</v>
      </c>
      <c r="AC1237" s="45">
        <v>4.5</v>
      </c>
      <c r="AD1237" s="45">
        <v>2.8</v>
      </c>
    </row>
    <row r="1238" spans="1:30">
      <c r="A1238" s="73">
        <v>46106</v>
      </c>
      <c r="B1238" s="24">
        <v>3640</v>
      </c>
      <c r="C1238" s="24">
        <v>584</v>
      </c>
      <c r="D1238" s="24">
        <v>391</v>
      </c>
      <c r="E1238" s="24">
        <v>528</v>
      </c>
      <c r="F1238" s="24">
        <v>664</v>
      </c>
      <c r="G1238" s="24">
        <v>551</v>
      </c>
      <c r="H1238" s="24">
        <v>275</v>
      </c>
      <c r="I1238" s="24">
        <v>161</v>
      </c>
      <c r="J1238" s="24">
        <v>486</v>
      </c>
      <c r="L1238" s="45">
        <v>7.6</v>
      </c>
      <c r="M1238" s="45">
        <v>2.2</v>
      </c>
      <c r="N1238" s="45">
        <v>5.6</v>
      </c>
      <c r="O1238" s="45">
        <v>7.1</v>
      </c>
      <c r="P1238" s="45">
        <v>6</v>
      </c>
      <c r="Q1238" s="45">
        <v>24.7</v>
      </c>
      <c r="R1238" s="45">
        <v>3.3</v>
      </c>
      <c r="S1238" s="45">
        <v>1.4</v>
      </c>
      <c r="T1238" s="45">
        <v>4</v>
      </c>
      <c r="V1238" s="45">
        <v>4.3</v>
      </c>
      <c r="W1238" s="45">
        <v>4</v>
      </c>
      <c r="X1238" s="45">
        <v>3.8</v>
      </c>
      <c r="Y1238" s="45">
        <v>4.2</v>
      </c>
      <c r="Z1238" s="45">
        <v>3.7</v>
      </c>
      <c r="AA1238" s="45">
        <v>5.1</v>
      </c>
      <c r="AB1238" s="45">
        <v>5.6</v>
      </c>
      <c r="AC1238" s="45">
        <v>5.5</v>
      </c>
      <c r="AD1238" s="45">
        <v>3.7</v>
      </c>
    </row>
    <row r="1239" spans="1:30">
      <c r="A1239" s="73">
        <v>46107</v>
      </c>
      <c r="B1239" s="24">
        <v>3987</v>
      </c>
      <c r="C1239" s="24">
        <v>753</v>
      </c>
      <c r="D1239" s="24">
        <v>445</v>
      </c>
      <c r="E1239" s="24">
        <v>616</v>
      </c>
      <c r="F1239" s="24">
        <v>739</v>
      </c>
      <c r="G1239" s="24">
        <v>511</v>
      </c>
      <c r="H1239" s="24">
        <v>271</v>
      </c>
      <c r="I1239" s="24">
        <v>172</v>
      </c>
      <c r="J1239" s="24">
        <v>480</v>
      </c>
      <c r="L1239" s="45">
        <v>8.699999999999999</v>
      </c>
      <c r="M1239" s="45">
        <v>4.2</v>
      </c>
      <c r="N1239" s="45">
        <v>10.3</v>
      </c>
      <c r="O1239" s="45">
        <v>8.699999999999999</v>
      </c>
      <c r="P1239" s="45">
        <v>11.4</v>
      </c>
      <c r="Q1239" s="45">
        <v>21</v>
      </c>
      <c r="R1239" s="45">
        <v>1.5</v>
      </c>
      <c r="S1239" s="45">
        <v>1.6</v>
      </c>
      <c r="T1239" s="45">
        <v>3.6</v>
      </c>
      <c r="V1239" s="45">
        <v>4.3</v>
      </c>
      <c r="W1239" s="45">
        <v>4.2</v>
      </c>
      <c r="X1239" s="45">
        <v>4.1</v>
      </c>
      <c r="Y1239" s="45">
        <v>3.5</v>
      </c>
      <c r="Z1239" s="45">
        <v>4.6</v>
      </c>
      <c r="AA1239" s="45">
        <v>5.1</v>
      </c>
      <c r="AB1239" s="45">
        <v>4.4</v>
      </c>
      <c r="AC1239" s="45">
        <v>6.2</v>
      </c>
      <c r="AD1239" s="45">
        <v>3.7</v>
      </c>
    </row>
    <row r="1240" spans="1:30">
      <c r="A1240" s="73">
        <v>46108</v>
      </c>
      <c r="B1240" s="24">
        <v>4225</v>
      </c>
      <c r="C1240" s="24">
        <v>774</v>
      </c>
      <c r="D1240" s="24">
        <v>431</v>
      </c>
      <c r="E1240" s="24">
        <v>707</v>
      </c>
      <c r="F1240" s="24">
        <v>765</v>
      </c>
      <c r="G1240" s="24">
        <v>542</v>
      </c>
      <c r="H1240" s="24">
        <v>294</v>
      </c>
      <c r="I1240" s="24">
        <v>205</v>
      </c>
      <c r="J1240" s="24">
        <v>507</v>
      </c>
      <c r="L1240" s="45">
        <v>10.1</v>
      </c>
      <c r="M1240" s="45">
        <v>6</v>
      </c>
      <c r="N1240" s="45">
        <v>7.8</v>
      </c>
      <c r="O1240" s="45">
        <v>12.9</v>
      </c>
      <c r="P1240" s="45">
        <v>7.3</v>
      </c>
      <c r="Q1240" s="45">
        <v>30</v>
      </c>
      <c r="R1240" s="45">
        <v>2.1</v>
      </c>
      <c r="S1240" s="45">
        <v>3.4</v>
      </c>
      <c r="T1240" s="45">
        <v>5.1</v>
      </c>
      <c r="V1240" s="45">
        <v>4.4</v>
      </c>
      <c r="W1240" s="45">
        <v>3.7</v>
      </c>
      <c r="X1240" s="45">
        <v>4.2</v>
      </c>
      <c r="Y1240" s="45">
        <v>4.1</v>
      </c>
      <c r="Z1240" s="45">
        <v>4.4</v>
      </c>
      <c r="AA1240" s="45">
        <v>5.4</v>
      </c>
      <c r="AB1240" s="45">
        <v>6.3</v>
      </c>
      <c r="AC1240" s="45">
        <v>4.5</v>
      </c>
      <c r="AD1240" s="45">
        <v>3.4</v>
      </c>
    </row>
    <row r="1241" spans="1:30">
      <c r="A1241" s="73">
        <v>46109</v>
      </c>
      <c r="B1241" s="24">
        <v>161</v>
      </c>
      <c r="C1241" s="24">
        <v>21</v>
      </c>
      <c r="D1241" s="24">
        <v>22</v>
      </c>
      <c r="E1241" s="24">
        <v>23</v>
      </c>
      <c r="F1241" s="24">
        <v>22</v>
      </c>
      <c r="G1241" s="24">
        <v>48</v>
      </c>
      <c r="H1241" s="24">
        <v>7</v>
      </c>
      <c r="I1241" s="24">
        <v>10</v>
      </c>
      <c r="J1241" s="24">
        <v>8</v>
      </c>
      <c r="L1241" s="45">
        <v>2.6</v>
      </c>
      <c r="M1241" s="45">
        <v>1.5</v>
      </c>
      <c r="N1241" s="45">
        <v>0.5</v>
      </c>
      <c r="O1241" s="45">
        <v>9.6</v>
      </c>
      <c r="P1241" s="45">
        <v>2.1</v>
      </c>
      <c r="Q1241" s="45">
        <v>1.2</v>
      </c>
      <c r="R1241" s="45">
        <v>0.4</v>
      </c>
      <c r="S1241" s="45">
        <v>3.9</v>
      </c>
      <c r="T1241" s="45">
        <v>0.6</v>
      </c>
      <c r="V1241" s="45">
        <v>6.5</v>
      </c>
      <c r="W1241" s="45">
        <v>2.1</v>
      </c>
      <c r="X1241" s="45">
        <v>7</v>
      </c>
      <c r="Y1241" s="45">
        <v>4.7</v>
      </c>
      <c r="Z1241" s="45">
        <v>4.3</v>
      </c>
      <c r="AA1241" s="45">
        <v>5.6</v>
      </c>
      <c r="AB1241" s="45">
        <v>3.4</v>
      </c>
      <c r="AC1241" s="45">
        <v>27.3</v>
      </c>
      <c r="AD1241" s="45">
        <v>14</v>
      </c>
    </row>
    <row r="1242" spans="1:30">
      <c r="A1242" s="73">
        <v>46110</v>
      </c>
      <c r="B1242" s="24">
        <v>173</v>
      </c>
      <c r="C1242" s="24">
        <v>34</v>
      </c>
      <c r="D1242" s="24">
        <v>25</v>
      </c>
      <c r="E1242" s="24">
        <v>23</v>
      </c>
      <c r="F1242" s="24">
        <v>26</v>
      </c>
      <c r="G1242" s="24">
        <v>43</v>
      </c>
      <c r="H1242" s="24">
        <v>3</v>
      </c>
      <c r="I1242" s="24">
        <v>8</v>
      </c>
      <c r="J1242" s="24">
        <v>11</v>
      </c>
      <c r="L1242" s="45">
        <v>2.2</v>
      </c>
      <c r="M1242" s="45">
        <v>0.5</v>
      </c>
      <c r="N1242" s="45">
        <v>2.5</v>
      </c>
      <c r="O1242" s="45">
        <v>4.2</v>
      </c>
      <c r="P1242" s="45">
        <v>3.3</v>
      </c>
      <c r="Q1242" s="45">
        <v>1</v>
      </c>
      <c r="R1242" s="45">
        <v>0.2</v>
      </c>
      <c r="S1242" s="45">
        <v>7.5</v>
      </c>
      <c r="T1242" s="45">
        <v>1.8</v>
      </c>
      <c r="V1242" s="45">
        <v>5.2</v>
      </c>
      <c r="W1242" s="45">
        <v>2.1</v>
      </c>
      <c r="X1242" s="45">
        <v>5.3</v>
      </c>
      <c r="Y1242" s="45">
        <v>20.4</v>
      </c>
      <c r="Z1242" s="45">
        <v>3.2</v>
      </c>
      <c r="AA1242" s="45">
        <v>5.1</v>
      </c>
      <c r="AB1242" s="45">
        <v>8.6</v>
      </c>
      <c r="AC1242" s="45">
        <v>14.7</v>
      </c>
      <c r="AD1242" s="45">
        <v>3.4</v>
      </c>
    </row>
    <row r="1243" spans="1:30">
      <c r="A1243" s="73">
        <v>46111</v>
      </c>
      <c r="B1243" s="24">
        <v>5319</v>
      </c>
      <c r="C1243" s="24">
        <v>1004</v>
      </c>
      <c r="D1243" s="24">
        <v>469</v>
      </c>
      <c r="E1243" s="24">
        <v>895</v>
      </c>
      <c r="F1243" s="24">
        <v>1052</v>
      </c>
      <c r="G1243" s="24">
        <v>732</v>
      </c>
      <c r="H1243" s="24">
        <v>306</v>
      </c>
      <c r="I1243" s="24">
        <v>224</v>
      </c>
      <c r="J1243" s="24">
        <v>637</v>
      </c>
      <c r="L1243" s="45">
        <v>27</v>
      </c>
      <c r="M1243" s="45">
        <v>38</v>
      </c>
      <c r="N1243" s="45">
        <v>20.1</v>
      </c>
      <c r="O1243" s="45">
        <v>27.1</v>
      </c>
      <c r="P1243" s="45">
        <v>33.5</v>
      </c>
      <c r="Q1243" s="45">
        <v>39.3</v>
      </c>
      <c r="R1243" s="45">
        <v>5.2</v>
      </c>
      <c r="S1243" s="45">
        <v>15.2</v>
      </c>
      <c r="T1243" s="45">
        <v>7.7</v>
      </c>
      <c r="V1243" s="45">
        <v>3.7</v>
      </c>
      <c r="W1243" s="45">
        <v>3</v>
      </c>
      <c r="X1243" s="45">
        <v>3.6</v>
      </c>
      <c r="Y1243" s="45">
        <v>3.6</v>
      </c>
      <c r="Z1243" s="45">
        <v>4.1</v>
      </c>
      <c r="AA1243" s="45">
        <v>4.3</v>
      </c>
      <c r="AB1243" s="45">
        <v>5.6</v>
      </c>
      <c r="AC1243" s="45">
        <v>4.5</v>
      </c>
      <c r="AD1243" s="45">
        <v>2.7</v>
      </c>
    </row>
    <row r="1244" spans="1:30">
      <c r="A1244" s="73">
        <v>46112</v>
      </c>
      <c r="B1244" s="24">
        <v>4168</v>
      </c>
      <c r="C1244" s="24">
        <v>805</v>
      </c>
      <c r="D1244" s="24">
        <v>405</v>
      </c>
      <c r="E1244" s="24">
        <v>659</v>
      </c>
      <c r="F1244" s="24">
        <v>792</v>
      </c>
      <c r="G1244" s="24">
        <v>570</v>
      </c>
      <c r="H1244" s="24">
        <v>294</v>
      </c>
      <c r="I1244" s="24">
        <v>203</v>
      </c>
      <c r="J1244" s="24">
        <v>440</v>
      </c>
      <c r="L1244" s="45">
        <v>16.9</v>
      </c>
      <c r="M1244" s="45">
        <v>9.6</v>
      </c>
      <c r="N1244" s="45">
        <v>9.300000000000001</v>
      </c>
      <c r="O1244" s="45">
        <v>33.9</v>
      </c>
      <c r="P1244" s="45">
        <v>13</v>
      </c>
      <c r="Q1244" s="45">
        <v>40.7</v>
      </c>
      <c r="R1244" s="45">
        <v>1.9</v>
      </c>
      <c r="S1244" s="45">
        <v>9.699999999999999</v>
      </c>
      <c r="T1244" s="45">
        <v>3.1</v>
      </c>
      <c r="V1244" s="45">
        <v>4.6</v>
      </c>
      <c r="W1244" s="45">
        <v>3.8</v>
      </c>
      <c r="X1244" s="45">
        <v>4.1</v>
      </c>
      <c r="Y1244" s="45">
        <v>5</v>
      </c>
      <c r="Z1244" s="45">
        <v>4.5</v>
      </c>
      <c r="AA1244" s="45">
        <v>5.5</v>
      </c>
      <c r="AB1244" s="45">
        <v>6.1</v>
      </c>
      <c r="AC1244" s="45">
        <v>6.4</v>
      </c>
      <c r="AD1244" s="45">
        <v>3.7</v>
      </c>
    </row>
    <row r="1247" spans="1:30">
      <c r="A1247" s="6" t="s">
        <v>326</v>
      </c>
    </row>
    <row r="1248" spans="1:30">
      <c r="A1248" s="22" t="s">
        <v>327</v>
      </c>
      <c r="B1248" s="22" t="s">
        <v>65</v>
      </c>
      <c r="C1248" s="22" t="s">
        <v>92</v>
      </c>
      <c r="D1248" s="22" t="s">
        <v>106</v>
      </c>
      <c r="E1248" s="22" t="s">
        <v>120</v>
      </c>
      <c r="F1248" s="22" t="s">
        <v>134</v>
      </c>
      <c r="G1248" s="22" t="s">
        <v>148</v>
      </c>
      <c r="H1248" s="22" t="s">
        <v>162</v>
      </c>
      <c r="I1248" s="22" t="s">
        <v>176</v>
      </c>
      <c r="J1248" s="22" t="s">
        <v>190</v>
      </c>
      <c r="K1248" s="22" t="s">
        <v>328</v>
      </c>
      <c r="L1248" s="22" t="s">
        <v>329</v>
      </c>
      <c r="M1248" s="22" t="s">
        <v>330</v>
      </c>
    </row>
    <row r="1249" spans="1:13">
      <c r="A1249" s="18" t="s">
        <v>331</v>
      </c>
      <c r="B1249" s="24">
        <v>157636</v>
      </c>
      <c r="C1249" s="24">
        <v>12862</v>
      </c>
      <c r="D1249" s="24">
        <v>29359</v>
      </c>
      <c r="E1249" s="24">
        <v>16428</v>
      </c>
      <c r="F1249" s="24">
        <v>41464</v>
      </c>
      <c r="G1249" s="24">
        <v>20626</v>
      </c>
      <c r="H1249" s="24">
        <v>516</v>
      </c>
      <c r="I1249" s="24">
        <v>5809</v>
      </c>
      <c r="J1249" s="24">
        <v>30572</v>
      </c>
      <c r="K1249" s="45">
        <v>3.422377216757649</v>
      </c>
      <c r="L1249" s="45">
        <v>4.582953672478223</v>
      </c>
      <c r="M1249" s="45">
        <v>7.95935679371842</v>
      </c>
    </row>
    <row r="1250" spans="1:13">
      <c r="A1250" s="18" t="s">
        <v>332</v>
      </c>
      <c r="B1250" s="24">
        <v>88260</v>
      </c>
      <c r="C1250" s="24">
        <v>31160</v>
      </c>
      <c r="D1250" s="24">
        <v>0</v>
      </c>
      <c r="E1250" s="24">
        <v>26141</v>
      </c>
      <c r="F1250" s="24">
        <v>0</v>
      </c>
      <c r="G1250" s="24">
        <v>0</v>
      </c>
      <c r="H1250" s="24">
        <v>0</v>
      </c>
      <c r="I1250" s="24">
        <v>0</v>
      </c>
      <c r="J1250" s="24">
        <v>30959</v>
      </c>
      <c r="K1250" s="45">
        <v>13.90616166887908</v>
      </c>
      <c r="L1250" s="45">
        <v>3.127406020901576</v>
      </c>
      <c r="M1250" s="45">
        <v>17.01750994331169</v>
      </c>
    </row>
    <row r="1251" spans="1:13">
      <c r="A1251" s="18" t="s">
        <v>333</v>
      </c>
      <c r="B1251" s="24">
        <v>75448</v>
      </c>
      <c r="C1251" s="24">
        <v>18221</v>
      </c>
      <c r="D1251" s="24">
        <v>13877</v>
      </c>
      <c r="E1251" s="24">
        <v>15091</v>
      </c>
      <c r="F1251" s="24">
        <v>4892</v>
      </c>
      <c r="G1251" s="24">
        <v>0</v>
      </c>
      <c r="H1251" s="24">
        <v>2689</v>
      </c>
      <c r="I1251" s="24">
        <v>2019</v>
      </c>
      <c r="J1251" s="24">
        <v>18659</v>
      </c>
      <c r="K1251" s="45">
        <v>8.290830419929016</v>
      </c>
      <c r="L1251" s="45">
        <v>12.04977653605781</v>
      </c>
      <c r="M1251" s="45">
        <v>20.33400777712283</v>
      </c>
    </row>
    <row r="1252" spans="1:13">
      <c r="A1252" s="18" t="s">
        <v>334</v>
      </c>
      <c r="B1252" s="24">
        <v>68732</v>
      </c>
      <c r="C1252" s="24">
        <v>8510</v>
      </c>
      <c r="D1252" s="24">
        <v>10461</v>
      </c>
      <c r="E1252" s="24">
        <v>6053</v>
      </c>
      <c r="F1252" s="24">
        <v>16417</v>
      </c>
      <c r="G1252" s="24">
        <v>18027</v>
      </c>
      <c r="H1252" s="24">
        <v>5621</v>
      </c>
      <c r="I1252" s="24">
        <v>229</v>
      </c>
      <c r="J1252" s="24">
        <v>3414</v>
      </c>
      <c r="K1252" s="45">
        <v>10.13740893541932</v>
      </c>
      <c r="L1252" s="45">
        <v>4.576071732938617</v>
      </c>
      <c r="M1252" s="45">
        <v>13.64983990321038</v>
      </c>
    </row>
    <row r="1253" spans="1:13">
      <c r="A1253" s="18" t="s">
        <v>335</v>
      </c>
      <c r="B1253" s="24">
        <v>59330</v>
      </c>
      <c r="C1253" s="24">
        <v>13735</v>
      </c>
      <c r="D1253" s="24">
        <v>23540</v>
      </c>
      <c r="E1253" s="24">
        <v>10313</v>
      </c>
      <c r="F1253" s="24">
        <v>6095</v>
      </c>
      <c r="G1253" s="24">
        <v>3509</v>
      </c>
      <c r="H1253" s="24">
        <v>2138</v>
      </c>
      <c r="I1253" s="24">
        <v>0</v>
      </c>
      <c r="J1253" s="24">
        <v>0</v>
      </c>
      <c r="K1253" s="45">
        <v>6.874107913303893</v>
      </c>
      <c r="L1253" s="45">
        <v>3.380445557835996</v>
      </c>
      <c r="M1253" s="45">
        <v>8.880213178684816</v>
      </c>
    </row>
    <row r="1254" spans="1:13">
      <c r="A1254" s="18" t="s">
        <v>336</v>
      </c>
      <c r="B1254" s="24">
        <v>27691</v>
      </c>
      <c r="C1254" s="24">
        <v>27691</v>
      </c>
      <c r="D1254" s="24">
        <v>0</v>
      </c>
      <c r="E1254" s="24">
        <v>0</v>
      </c>
      <c r="F1254" s="24">
        <v>0</v>
      </c>
      <c r="G1254" s="24">
        <v>0</v>
      </c>
      <c r="H1254" s="24">
        <v>0</v>
      </c>
      <c r="I1254" s="24">
        <v>0</v>
      </c>
      <c r="J1254" s="24">
        <v>0</v>
      </c>
      <c r="K1254" s="45">
        <v>1.746293019392582</v>
      </c>
      <c r="L1254" s="45">
        <v>5.902055703725353</v>
      </c>
      <c r="M1254" s="45">
        <v>7.659579481933434</v>
      </c>
    </row>
    <row r="1255" spans="1:13">
      <c r="A1255" s="18" t="s">
        <v>337</v>
      </c>
      <c r="B1255" s="24">
        <v>26186</v>
      </c>
      <c r="C1255" s="24">
        <v>0</v>
      </c>
      <c r="D1255" s="24">
        <v>0</v>
      </c>
      <c r="E1255" s="24">
        <v>0</v>
      </c>
      <c r="F1255" s="24">
        <v>26186</v>
      </c>
      <c r="G1255" s="24">
        <v>0</v>
      </c>
      <c r="H1255" s="24">
        <v>0</v>
      </c>
      <c r="I1255" s="24">
        <v>0</v>
      </c>
      <c r="J1255" s="24">
        <v>0</v>
      </c>
      <c r="K1255" s="45">
        <v>13.39234192932187</v>
      </c>
      <c r="L1255" s="45">
        <v>6.510249286100178</v>
      </c>
      <c r="M1255" s="45">
        <v>19.9727888661545</v>
      </c>
    </row>
    <row r="1256" spans="1:13">
      <c r="A1256" s="18" t="s">
        <v>338</v>
      </c>
      <c r="B1256" s="24">
        <v>23108</v>
      </c>
      <c r="C1256" s="24">
        <v>0</v>
      </c>
      <c r="D1256" s="24">
        <v>0</v>
      </c>
      <c r="E1256" s="24">
        <v>8964</v>
      </c>
      <c r="F1256" s="24">
        <v>14144</v>
      </c>
      <c r="G1256" s="24">
        <v>0</v>
      </c>
      <c r="H1256" s="24">
        <v>0</v>
      </c>
      <c r="I1256" s="24">
        <v>0</v>
      </c>
      <c r="J1256" s="24">
        <v>0</v>
      </c>
      <c r="K1256" s="45">
        <v>18.9191970412748</v>
      </c>
      <c r="L1256" s="45">
        <v>7.338352972212451</v>
      </c>
      <c r="M1256" s="45">
        <v>26.33733506524004</v>
      </c>
    </row>
    <row r="1257" spans="1:13">
      <c r="A1257" s="18" t="s">
        <v>339</v>
      </c>
      <c r="B1257" s="24">
        <v>20955</v>
      </c>
      <c r="C1257" s="24">
        <v>0</v>
      </c>
      <c r="D1257" s="24">
        <v>0</v>
      </c>
      <c r="E1257" s="24">
        <v>0</v>
      </c>
      <c r="F1257" s="24">
        <v>20955</v>
      </c>
      <c r="G1257" s="24">
        <v>0</v>
      </c>
      <c r="H1257" s="24">
        <v>0</v>
      </c>
      <c r="I1257" s="24">
        <v>0</v>
      </c>
      <c r="J1257" s="24">
        <v>0</v>
      </c>
      <c r="K1257" s="45">
        <v>10.61317376225022</v>
      </c>
      <c r="L1257" s="45">
        <v>4.115328932682802</v>
      </c>
      <c r="M1257" s="45">
        <v>14.73671163628825</v>
      </c>
    </row>
    <row r="1258" spans="1:13">
      <c r="A1258" s="18" t="s">
        <v>340</v>
      </c>
      <c r="B1258" s="24">
        <v>20814</v>
      </c>
      <c r="C1258" s="24">
        <v>0</v>
      </c>
      <c r="D1258" s="24">
        <v>0</v>
      </c>
      <c r="E1258" s="24">
        <v>20814</v>
      </c>
      <c r="F1258" s="24">
        <v>0</v>
      </c>
      <c r="G1258" s="24">
        <v>0</v>
      </c>
      <c r="H1258" s="24">
        <v>0</v>
      </c>
      <c r="I1258" s="24">
        <v>0</v>
      </c>
      <c r="J1258" s="24">
        <v>0</v>
      </c>
      <c r="K1258" s="45">
        <v>3.917306552624413</v>
      </c>
      <c r="L1258" s="45">
        <v>3.197300259497446</v>
      </c>
      <c r="M1258" s="45">
        <v>7.070778927684819</v>
      </c>
    </row>
    <row r="1259" spans="1:13">
      <c r="A1259" s="18" t="s">
        <v>341</v>
      </c>
      <c r="B1259" s="24">
        <v>20355</v>
      </c>
      <c r="C1259" s="24">
        <v>11491</v>
      </c>
      <c r="D1259" s="24">
        <v>0</v>
      </c>
      <c r="E1259" s="24">
        <v>0</v>
      </c>
      <c r="F1259" s="24">
        <v>0</v>
      </c>
      <c r="G1259" s="24">
        <v>0</v>
      </c>
      <c r="H1259" s="24">
        <v>0</v>
      </c>
      <c r="I1259" s="24">
        <v>0</v>
      </c>
      <c r="J1259" s="24">
        <v>8864</v>
      </c>
      <c r="K1259" s="45">
        <v>4.381566748566748</v>
      </c>
      <c r="L1259" s="45">
        <v>13.91065932946092</v>
      </c>
      <c r="M1259" s="45">
        <v>18.33294429437847</v>
      </c>
    </row>
    <row r="1260" spans="1:13">
      <c r="A1260" s="18" t="s">
        <v>342</v>
      </c>
      <c r="B1260" s="24">
        <v>15620</v>
      </c>
      <c r="C1260" s="24">
        <v>7353</v>
      </c>
      <c r="D1260" s="24">
        <v>0</v>
      </c>
      <c r="E1260" s="24">
        <v>5385</v>
      </c>
      <c r="F1260" s="24">
        <v>1402</v>
      </c>
      <c r="G1260" s="24">
        <v>1480</v>
      </c>
      <c r="H1260" s="24">
        <v>0</v>
      </c>
      <c r="I1260" s="24">
        <v>0</v>
      </c>
      <c r="J1260" s="24">
        <v>0</v>
      </c>
      <c r="K1260" s="45">
        <v>1.805268137444631</v>
      </c>
      <c r="L1260" s="45">
        <v>17.73704560180531</v>
      </c>
      <c r="M1260" s="45">
        <v>19.53299333422807</v>
      </c>
    </row>
    <row r="1261" spans="1:13">
      <c r="A1261" s="18" t="s">
        <v>343</v>
      </c>
      <c r="B1261" s="24">
        <v>15081</v>
      </c>
      <c r="C1261" s="24">
        <v>0</v>
      </c>
      <c r="D1261" s="24">
        <v>0</v>
      </c>
      <c r="E1261" s="24">
        <v>0</v>
      </c>
      <c r="F1261" s="24">
        <v>0</v>
      </c>
      <c r="G1261" s="24">
        <v>0</v>
      </c>
      <c r="H1261" s="24">
        <v>15081</v>
      </c>
      <c r="I1261" s="24">
        <v>0</v>
      </c>
      <c r="J1261" s="24">
        <v>0</v>
      </c>
      <c r="K1261" s="45">
        <v>3.151643348142254</v>
      </c>
      <c r="L1261" s="45">
        <v>9.997503735905447</v>
      </c>
      <c r="M1261" s="45">
        <v>13.15859031834443</v>
      </c>
    </row>
    <row r="1262" spans="1:13">
      <c r="A1262" s="18" t="s">
        <v>344</v>
      </c>
      <c r="B1262" s="24">
        <v>14250</v>
      </c>
      <c r="C1262" s="24">
        <v>0</v>
      </c>
      <c r="D1262" s="24">
        <v>0</v>
      </c>
      <c r="E1262" s="24">
        <v>0</v>
      </c>
      <c r="F1262" s="24">
        <v>0</v>
      </c>
      <c r="G1262" s="24">
        <v>0</v>
      </c>
      <c r="H1262" s="24">
        <v>14250</v>
      </c>
      <c r="I1262" s="24">
        <v>0</v>
      </c>
      <c r="J1262" s="24">
        <v>0</v>
      </c>
      <c r="K1262" s="45">
        <v>3.763526315789474</v>
      </c>
      <c r="L1262" s="45">
        <v>6.875608397905263</v>
      </c>
      <c r="M1262" s="45">
        <v>10.65366223549205</v>
      </c>
    </row>
    <row r="1263" spans="1:13">
      <c r="A1263" s="18" t="s">
        <v>345</v>
      </c>
      <c r="B1263" s="24">
        <v>13842</v>
      </c>
      <c r="C1263" s="24">
        <v>0</v>
      </c>
      <c r="D1263" s="24">
        <v>0</v>
      </c>
      <c r="E1263" s="24">
        <v>0</v>
      </c>
      <c r="F1263" s="24">
        <v>0</v>
      </c>
      <c r="G1263" s="24">
        <v>13842</v>
      </c>
      <c r="H1263" s="24">
        <v>0</v>
      </c>
      <c r="I1263" s="24">
        <v>0</v>
      </c>
      <c r="J1263" s="24">
        <v>0</v>
      </c>
      <c r="K1263" s="45">
        <v>14.88703462734042</v>
      </c>
      <c r="L1263" s="45">
        <v>7.228631762906867</v>
      </c>
      <c r="M1263" s="45">
        <v>22.10892839794035</v>
      </c>
    </row>
    <row r="1264" spans="1:13">
      <c r="A1264" s="18" t="s">
        <v>346</v>
      </c>
      <c r="B1264" s="24">
        <v>11978</v>
      </c>
      <c r="C1264" s="24">
        <v>5166</v>
      </c>
      <c r="D1264" s="24">
        <v>0</v>
      </c>
      <c r="E1264" s="24">
        <v>0</v>
      </c>
      <c r="F1264" s="24">
        <v>6812</v>
      </c>
      <c r="G1264" s="24">
        <v>0</v>
      </c>
      <c r="H1264" s="24">
        <v>0</v>
      </c>
      <c r="I1264" s="24">
        <v>0</v>
      </c>
      <c r="J1264" s="24">
        <v>0</v>
      </c>
      <c r="K1264" s="45">
        <v>5.414773992429303</v>
      </c>
      <c r="L1264" s="45">
        <v>27.04246196403873</v>
      </c>
      <c r="M1264" s="45">
        <v>32.45083303259954</v>
      </c>
    </row>
    <row r="1265" spans="1:13">
      <c r="A1265" s="18" t="s">
        <v>347</v>
      </c>
      <c r="B1265" s="24">
        <v>11936</v>
      </c>
      <c r="C1265" s="24">
        <v>2514</v>
      </c>
      <c r="D1265" s="24">
        <v>4581</v>
      </c>
      <c r="E1265" s="24">
        <v>2070</v>
      </c>
      <c r="F1265" s="24">
        <v>2114</v>
      </c>
      <c r="G1265" s="24">
        <v>378</v>
      </c>
      <c r="H1265" s="24">
        <v>180</v>
      </c>
      <c r="I1265" s="24">
        <v>99</v>
      </c>
      <c r="J1265" s="24">
        <v>0</v>
      </c>
      <c r="K1265" s="45">
        <v>5.221612638606019</v>
      </c>
      <c r="L1265" s="45">
        <v>13.03398064018053</v>
      </c>
      <c r="M1265" s="45">
        <v>18.1662739848282</v>
      </c>
    </row>
    <row r="1266" spans="1:13">
      <c r="A1266" s="18" t="s">
        <v>348</v>
      </c>
      <c r="B1266" s="24">
        <v>8432</v>
      </c>
      <c r="C1266" s="24">
        <v>0</v>
      </c>
      <c r="D1266" s="24">
        <v>0</v>
      </c>
      <c r="E1266" s="24">
        <v>0</v>
      </c>
      <c r="F1266" s="24">
        <v>0</v>
      </c>
      <c r="G1266" s="24">
        <v>0</v>
      </c>
      <c r="H1266" s="24">
        <v>0</v>
      </c>
      <c r="I1266" s="24">
        <v>8432</v>
      </c>
      <c r="J1266" s="24">
        <v>0</v>
      </c>
      <c r="K1266" s="45">
        <v>3.066032179000632</v>
      </c>
      <c r="L1266" s="45">
        <v>10.55795564711585</v>
      </c>
      <c r="M1266" s="45">
        <v>13.64710777185329</v>
      </c>
    </row>
    <row r="1267" spans="1:13">
      <c r="A1267" s="18" t="s">
        <v>349</v>
      </c>
      <c r="B1267" s="24">
        <v>6601</v>
      </c>
      <c r="C1267" s="24">
        <v>0</v>
      </c>
      <c r="D1267" s="24">
        <v>0</v>
      </c>
      <c r="E1267" s="24">
        <v>0</v>
      </c>
      <c r="F1267" s="24">
        <v>0</v>
      </c>
      <c r="G1267" s="24">
        <v>6601</v>
      </c>
      <c r="H1267" s="24">
        <v>0</v>
      </c>
      <c r="I1267" s="24">
        <v>0</v>
      </c>
      <c r="J1267" s="24">
        <v>0</v>
      </c>
      <c r="K1267" s="45">
        <v>24.59658884172226</v>
      </c>
      <c r="L1267" s="45">
        <v>7.869457809509028</v>
      </c>
      <c r="M1267" s="45">
        <v>32.62542197369784</v>
      </c>
    </row>
    <row r="1268" spans="1:13">
      <c r="A1268" s="18" t="s">
        <v>350</v>
      </c>
      <c r="B1268" s="24">
        <v>6524</v>
      </c>
      <c r="C1268" s="24">
        <v>0</v>
      </c>
      <c r="D1268" s="24">
        <v>0</v>
      </c>
      <c r="E1268" s="24">
        <v>0</v>
      </c>
      <c r="F1268" s="24">
        <v>0</v>
      </c>
      <c r="G1268" s="24">
        <v>0</v>
      </c>
      <c r="H1268" s="24">
        <v>0</v>
      </c>
      <c r="I1268" s="24">
        <v>6524</v>
      </c>
      <c r="J1268" s="24">
        <v>0</v>
      </c>
      <c r="K1268" s="45">
        <v>1.724593807480074</v>
      </c>
      <c r="L1268" s="45">
        <v>13.83450633843564</v>
      </c>
      <c r="M1268" s="45">
        <v>15.57421229814318</v>
      </c>
    </row>
    <row r="1269" spans="1:13">
      <c r="A1269" s="18" t="s">
        <v>351</v>
      </c>
      <c r="B1269" s="24">
        <v>5966</v>
      </c>
      <c r="C1269" s="24">
        <v>0</v>
      </c>
      <c r="D1269" s="24">
        <v>0</v>
      </c>
      <c r="E1269" s="24">
        <v>0</v>
      </c>
      <c r="F1269" s="24">
        <v>0</v>
      </c>
      <c r="G1269" s="24">
        <v>5966</v>
      </c>
      <c r="H1269" s="24">
        <v>0</v>
      </c>
      <c r="I1269" s="24">
        <v>0</v>
      </c>
      <c r="J1269" s="24">
        <v>0</v>
      </c>
      <c r="K1269" s="45">
        <v>10.77278292614434</v>
      </c>
      <c r="L1269" s="45">
        <v>3.396767676767677</v>
      </c>
      <c r="M1269" s="45">
        <v>13.89212121212121</v>
      </c>
    </row>
    <row r="1270" spans="1:13">
      <c r="A1270" s="18" t="s">
        <v>352</v>
      </c>
      <c r="B1270" s="24">
        <v>5956</v>
      </c>
      <c r="C1270" s="24">
        <v>0</v>
      </c>
      <c r="D1270" s="24">
        <v>0</v>
      </c>
      <c r="E1270" s="24">
        <v>0</v>
      </c>
      <c r="F1270" s="24">
        <v>0</v>
      </c>
      <c r="G1270" s="24">
        <v>4271</v>
      </c>
      <c r="H1270" s="24">
        <v>0</v>
      </c>
      <c r="I1270" s="24">
        <v>1685</v>
      </c>
      <c r="J1270" s="24">
        <v>0</v>
      </c>
      <c r="K1270" s="45">
        <v>10.97031496506649</v>
      </c>
      <c r="L1270" s="45">
        <v>29.64109258580677</v>
      </c>
      <c r="M1270" s="45">
        <v>41.06249077490775</v>
      </c>
    </row>
    <row r="1271" spans="1:13">
      <c r="A1271" s="18" t="s">
        <v>353</v>
      </c>
      <c r="B1271" s="24">
        <v>5775</v>
      </c>
      <c r="C1271" s="24">
        <v>0</v>
      </c>
      <c r="D1271" s="24">
        <v>0</v>
      </c>
      <c r="E1271" s="24">
        <v>0</v>
      </c>
      <c r="F1271" s="24">
        <v>0</v>
      </c>
      <c r="G1271" s="24">
        <v>5775</v>
      </c>
      <c r="H1271" s="24">
        <v>0</v>
      </c>
      <c r="I1271" s="24">
        <v>0</v>
      </c>
      <c r="J1271" s="24">
        <v>0</v>
      </c>
      <c r="K1271" s="45">
        <v>35.15250203891414</v>
      </c>
      <c r="L1271" s="45">
        <v>10.24750644368519</v>
      </c>
      <c r="M1271" s="45">
        <v>45.69291462455376</v>
      </c>
    </row>
    <row r="1272" spans="1:13">
      <c r="A1272" s="18" t="s">
        <v>354</v>
      </c>
      <c r="B1272" s="24">
        <v>5744</v>
      </c>
      <c r="C1272" s="24">
        <v>0</v>
      </c>
      <c r="D1272" s="24">
        <v>0</v>
      </c>
      <c r="E1272" s="24">
        <v>0</v>
      </c>
      <c r="F1272" s="24">
        <v>0</v>
      </c>
      <c r="G1272" s="24">
        <v>0</v>
      </c>
      <c r="H1272" s="24">
        <v>0</v>
      </c>
      <c r="I1272" s="24">
        <v>5744</v>
      </c>
      <c r="J1272" s="24">
        <v>0</v>
      </c>
      <c r="K1272" s="45">
        <v>0.3571814066852368</v>
      </c>
      <c r="L1272" s="45">
        <v>16.12794558312358</v>
      </c>
      <c r="M1272" s="45">
        <v>16.4853829557713</v>
      </c>
    </row>
    <row r="1273" spans="1:13">
      <c r="A1273" s="18" t="s">
        <v>355</v>
      </c>
      <c r="B1273" s="24">
        <v>4922</v>
      </c>
      <c r="C1273" s="24">
        <v>2075</v>
      </c>
      <c r="D1273" s="24">
        <v>0</v>
      </c>
      <c r="E1273" s="24">
        <v>0</v>
      </c>
      <c r="F1273" s="24">
        <v>0</v>
      </c>
      <c r="G1273" s="24">
        <v>2398</v>
      </c>
      <c r="H1273" s="24">
        <v>449</v>
      </c>
      <c r="I1273" s="24">
        <v>0</v>
      </c>
      <c r="J1273" s="24">
        <v>0</v>
      </c>
      <c r="K1273" s="45">
        <v>3.686330469176214</v>
      </c>
      <c r="L1273" s="45">
        <v>17.6441203902999</v>
      </c>
      <c r="M1273" s="45">
        <v>21.38052563550194</v>
      </c>
    </row>
    <row r="1274" spans="1:13">
      <c r="A1274" s="18" t="s">
        <v>356</v>
      </c>
      <c r="B1274" s="24">
        <v>4700</v>
      </c>
      <c r="C1274" s="24">
        <v>0</v>
      </c>
      <c r="D1274" s="24">
        <v>0</v>
      </c>
      <c r="E1274" s="24">
        <v>0</v>
      </c>
      <c r="F1274" s="24">
        <v>0</v>
      </c>
      <c r="G1274" s="24">
        <v>0</v>
      </c>
      <c r="H1274" s="24">
        <v>0</v>
      </c>
      <c r="I1274" s="24">
        <v>0</v>
      </c>
      <c r="J1274" s="24">
        <v>4700</v>
      </c>
      <c r="K1274" s="45">
        <v>7.976579098478322</v>
      </c>
      <c r="L1274" s="45">
        <v>2.484601409781266</v>
      </c>
      <c r="M1274" s="45">
        <v>10.28762912847374</v>
      </c>
    </row>
    <row r="1275" spans="1:13">
      <c r="A1275" s="18" t="s">
        <v>357</v>
      </c>
      <c r="B1275" s="24">
        <v>4086</v>
      </c>
      <c r="C1275" s="24">
        <v>0</v>
      </c>
      <c r="D1275" s="24">
        <v>0</v>
      </c>
      <c r="E1275" s="24">
        <v>0</v>
      </c>
      <c r="F1275" s="24">
        <v>0</v>
      </c>
      <c r="G1275" s="24">
        <v>0</v>
      </c>
      <c r="H1275" s="24">
        <v>0</v>
      </c>
      <c r="I1275" s="24">
        <v>0</v>
      </c>
      <c r="J1275" s="24">
        <v>4086</v>
      </c>
      <c r="K1275" s="45">
        <v>0.7171724588024148</v>
      </c>
      <c r="L1275" s="45">
        <v>34.94966421635357</v>
      </c>
      <c r="M1275" s="45">
        <v>35.69233596515111</v>
      </c>
    </row>
    <row r="1276" spans="1:13">
      <c r="A1276" s="18" t="s">
        <v>358</v>
      </c>
      <c r="B1276" s="24">
        <v>3658</v>
      </c>
      <c r="C1276" s="24">
        <v>0</v>
      </c>
      <c r="D1276" s="24">
        <v>0</v>
      </c>
      <c r="E1276" s="24">
        <v>0</v>
      </c>
      <c r="F1276" s="24">
        <v>0</v>
      </c>
      <c r="G1276" s="24">
        <v>0</v>
      </c>
      <c r="H1276" s="24">
        <v>3658</v>
      </c>
      <c r="I1276" s="24">
        <v>0</v>
      </c>
      <c r="J1276" s="24">
        <v>0</v>
      </c>
      <c r="K1276" s="45">
        <v>4.344609987242573</v>
      </c>
      <c r="L1276" s="45">
        <v>15.46447356062741</v>
      </c>
      <c r="M1276" s="45">
        <v>19.84232647694186</v>
      </c>
    </row>
    <row r="1277" spans="1:13">
      <c r="A1277" s="18" t="s">
        <v>359</v>
      </c>
      <c r="B1277" s="24">
        <v>3502</v>
      </c>
      <c r="C1277" s="24">
        <v>0</v>
      </c>
      <c r="D1277" s="24">
        <v>0</v>
      </c>
      <c r="E1277" s="24">
        <v>3502</v>
      </c>
      <c r="F1277" s="24">
        <v>0</v>
      </c>
      <c r="G1277" s="24">
        <v>0</v>
      </c>
      <c r="H1277" s="24">
        <v>0</v>
      </c>
      <c r="I1277" s="24">
        <v>0</v>
      </c>
      <c r="J1277" s="24">
        <v>0</v>
      </c>
      <c r="K1277" s="45">
        <v>10.46405714285714</v>
      </c>
      <c r="L1277" s="45">
        <v>16.45334723877632</v>
      </c>
      <c r="M1277" s="45">
        <v>26.9523404889684</v>
      </c>
    </row>
    <row r="1278" spans="1:13">
      <c r="A1278" s="18" t="s">
        <v>360</v>
      </c>
      <c r="B1278" s="24">
        <v>3196</v>
      </c>
      <c r="C1278" s="24">
        <v>3196</v>
      </c>
      <c r="D1278" s="24">
        <v>0</v>
      </c>
      <c r="E1278" s="24">
        <v>0</v>
      </c>
      <c r="F1278" s="24">
        <v>0</v>
      </c>
      <c r="G1278" s="24">
        <v>0</v>
      </c>
      <c r="H1278" s="24">
        <v>0</v>
      </c>
      <c r="I1278" s="24">
        <v>0</v>
      </c>
      <c r="J1278" s="24">
        <v>0</v>
      </c>
      <c r="K1278" s="45">
        <v>1.9218032957864</v>
      </c>
      <c r="L1278" s="45">
        <v>24.05484438579127</v>
      </c>
      <c r="M1278" s="45">
        <v>25.97416694160343</v>
      </c>
    </row>
    <row r="1279" spans="1:13">
      <c r="A1279" s="18" t="s">
        <v>361</v>
      </c>
      <c r="B1279" s="24">
        <v>3096</v>
      </c>
      <c r="C1279" s="24">
        <v>0</v>
      </c>
      <c r="D1279" s="24">
        <v>0</v>
      </c>
      <c r="E1279" s="24">
        <v>0</v>
      </c>
      <c r="F1279" s="24">
        <v>0</v>
      </c>
      <c r="G1279" s="24">
        <v>0</v>
      </c>
      <c r="H1279" s="24">
        <v>0</v>
      </c>
      <c r="I1279" s="24">
        <v>3096</v>
      </c>
      <c r="J1279" s="24">
        <v>0</v>
      </c>
      <c r="K1279" s="45">
        <v>3.407978036175711</v>
      </c>
      <c r="L1279" s="45">
        <v>27.00664379645512</v>
      </c>
      <c r="M1279" s="45">
        <v>30.47586620926243</v>
      </c>
    </row>
    <row r="1280" spans="1:13">
      <c r="A1280" s="18" t="s">
        <v>362</v>
      </c>
      <c r="B1280" s="24">
        <v>3000</v>
      </c>
      <c r="C1280" s="24">
        <v>0</v>
      </c>
      <c r="D1280" s="24">
        <v>0</v>
      </c>
      <c r="E1280" s="24">
        <v>0</v>
      </c>
      <c r="F1280" s="24">
        <v>0</v>
      </c>
      <c r="G1280" s="24">
        <v>0</v>
      </c>
      <c r="H1280" s="24">
        <v>0</v>
      </c>
      <c r="I1280" s="24">
        <v>0</v>
      </c>
      <c r="J1280" s="24">
        <v>3000</v>
      </c>
      <c r="K1280" s="45">
        <v>6.661032863849766</v>
      </c>
      <c r="L1280" s="45">
        <v>2.123336710570753</v>
      </c>
      <c r="M1280" s="45">
        <v>8.692204573617213</v>
      </c>
    </row>
    <row r="1281" spans="1:13">
      <c r="A1281" s="18" t="s">
        <v>363</v>
      </c>
      <c r="B1281" s="24">
        <v>2815</v>
      </c>
      <c r="C1281" s="24">
        <v>0</v>
      </c>
      <c r="D1281" s="24">
        <v>0</v>
      </c>
      <c r="E1281" s="24">
        <v>0</v>
      </c>
      <c r="F1281" s="24">
        <v>0</v>
      </c>
      <c r="G1281" s="24">
        <v>0</v>
      </c>
      <c r="H1281" s="24">
        <v>0</v>
      </c>
      <c r="I1281" s="24">
        <v>2815</v>
      </c>
      <c r="J1281" s="24">
        <v>0</v>
      </c>
      <c r="K1281" s="45">
        <v>0.4240023682652457</v>
      </c>
      <c r="L1281" s="45">
        <v>34.26548303229337</v>
      </c>
      <c r="M1281" s="45">
        <v>34.67790777230432</v>
      </c>
    </row>
    <row r="1282" spans="1:13">
      <c r="A1282" s="18" t="s">
        <v>364</v>
      </c>
      <c r="B1282" s="24">
        <v>2150</v>
      </c>
      <c r="C1282" s="24">
        <v>0</v>
      </c>
      <c r="D1282" s="24">
        <v>0</v>
      </c>
      <c r="E1282" s="24">
        <v>0</v>
      </c>
      <c r="F1282" s="24">
        <v>0</v>
      </c>
      <c r="G1282" s="24">
        <v>2150</v>
      </c>
      <c r="H1282" s="24">
        <v>0</v>
      </c>
      <c r="I1282" s="24">
        <v>0</v>
      </c>
      <c r="J1282" s="24">
        <v>0</v>
      </c>
      <c r="K1282" s="45">
        <v>9.820235878336437</v>
      </c>
      <c r="L1282" s="45">
        <v>8.805885144755576</v>
      </c>
      <c r="M1282" s="45">
        <v>18.72330166270784</v>
      </c>
    </row>
    <row r="1283" spans="1:13">
      <c r="A1283" s="18" t="s">
        <v>365</v>
      </c>
      <c r="B1283" s="24">
        <v>1692</v>
      </c>
      <c r="C1283" s="24">
        <v>0</v>
      </c>
      <c r="D1283" s="24">
        <v>0</v>
      </c>
      <c r="E1283" s="24">
        <v>0</v>
      </c>
      <c r="F1283" s="24">
        <v>0</v>
      </c>
      <c r="G1283" s="24">
        <v>0</v>
      </c>
      <c r="H1283" s="24">
        <v>1692</v>
      </c>
      <c r="I1283" s="24">
        <v>0</v>
      </c>
      <c r="J1283" s="24">
        <v>0</v>
      </c>
      <c r="K1283" s="45">
        <v>3.978398345153664</v>
      </c>
      <c r="L1283" s="45">
        <v>15.25417934672347</v>
      </c>
      <c r="M1283" s="45">
        <v>19.28347534996957</v>
      </c>
    </row>
    <row r="1284" spans="1:13">
      <c r="A1284" s="18" t="s">
        <v>366</v>
      </c>
      <c r="B1284" s="24">
        <v>1632</v>
      </c>
      <c r="C1284" s="24">
        <v>0</v>
      </c>
      <c r="D1284" s="24">
        <v>0</v>
      </c>
      <c r="E1284" s="24">
        <v>0</v>
      </c>
      <c r="F1284" s="24">
        <v>0</v>
      </c>
      <c r="G1284" s="24">
        <v>1632</v>
      </c>
      <c r="H1284" s="24">
        <v>0</v>
      </c>
      <c r="I1284" s="24">
        <v>0</v>
      </c>
      <c r="J1284" s="24">
        <v>0</v>
      </c>
      <c r="K1284" s="45">
        <v>15.48370098039216</v>
      </c>
      <c r="L1284" s="45">
        <v>6.248326100433974</v>
      </c>
      <c r="M1284" s="45">
        <v>21.80023765240752</v>
      </c>
    </row>
    <row r="1285" spans="1:13">
      <c r="A1285" s="18" t="s">
        <v>367</v>
      </c>
      <c r="B1285" s="24">
        <v>1423</v>
      </c>
      <c r="C1285" s="24">
        <v>0</v>
      </c>
      <c r="D1285" s="24">
        <v>0</v>
      </c>
      <c r="E1285" s="24">
        <v>0</v>
      </c>
      <c r="F1285" s="24">
        <v>0</v>
      </c>
      <c r="G1285" s="24">
        <v>0</v>
      </c>
      <c r="H1285" s="24">
        <v>1423</v>
      </c>
      <c r="I1285" s="24">
        <v>0</v>
      </c>
      <c r="J1285" s="24">
        <v>0</v>
      </c>
      <c r="K1285" s="45">
        <v>2.114624645892351</v>
      </c>
      <c r="L1285" s="45">
        <v>5.800830959164292</v>
      </c>
      <c r="M1285" s="45">
        <v>7.925374198146828</v>
      </c>
    </row>
    <row r="1286" spans="1:13">
      <c r="A1286" s="18" t="s">
        <v>368</v>
      </c>
      <c r="B1286" s="24">
        <v>1386</v>
      </c>
      <c r="C1286" s="24">
        <v>0</v>
      </c>
      <c r="D1286" s="24">
        <v>0</v>
      </c>
      <c r="E1286" s="24">
        <v>439</v>
      </c>
      <c r="F1286" s="24">
        <v>651</v>
      </c>
      <c r="G1286" s="24">
        <v>0</v>
      </c>
      <c r="H1286" s="24">
        <v>0</v>
      </c>
      <c r="I1286" s="24">
        <v>0</v>
      </c>
      <c r="J1286" s="24">
        <v>296</v>
      </c>
      <c r="K1286" s="45">
        <v>17.61786145305334</v>
      </c>
      <c r="L1286" s="45">
        <v>33.32101185050137</v>
      </c>
      <c r="M1286" s="45">
        <v>54.10811965811966</v>
      </c>
    </row>
    <row r="1287" spans="1:13">
      <c r="A1287" s="18" t="s">
        <v>369</v>
      </c>
      <c r="B1287" s="24">
        <v>1301</v>
      </c>
      <c r="C1287" s="24">
        <v>0</v>
      </c>
      <c r="D1287" s="24">
        <v>0</v>
      </c>
      <c r="E1287" s="24">
        <v>0</v>
      </c>
      <c r="F1287" s="24">
        <v>0</v>
      </c>
      <c r="G1287" s="24">
        <v>739</v>
      </c>
      <c r="H1287" s="24">
        <v>562</v>
      </c>
      <c r="I1287" s="24">
        <v>0</v>
      </c>
      <c r="J1287" s="24">
        <v>0</v>
      </c>
      <c r="K1287" s="45">
        <v>8.109153846153847</v>
      </c>
      <c r="L1287" s="45">
        <v>17.91358622545063</v>
      </c>
      <c r="M1287" s="45">
        <v>25.99872105546581</v>
      </c>
    </row>
    <row r="1288" spans="1:13">
      <c r="A1288" s="18" t="s">
        <v>370</v>
      </c>
      <c r="B1288" s="24">
        <v>966</v>
      </c>
      <c r="C1288" s="24">
        <v>0</v>
      </c>
      <c r="D1288" s="24">
        <v>0</v>
      </c>
      <c r="E1288" s="24">
        <v>0</v>
      </c>
      <c r="F1288" s="24">
        <v>0</v>
      </c>
      <c r="G1288" s="24">
        <v>0</v>
      </c>
      <c r="H1288" s="24">
        <v>0</v>
      </c>
      <c r="I1288" s="24">
        <v>966</v>
      </c>
      <c r="J1288" s="24">
        <v>0</v>
      </c>
      <c r="K1288" s="45">
        <v>1.78139209513816</v>
      </c>
      <c r="L1288" s="45">
        <v>3.937009544008483</v>
      </c>
      <c r="M1288" s="45">
        <v>5.522056737588652</v>
      </c>
    </row>
    <row r="1289" spans="1:13">
      <c r="A1289" s="18" t="s">
        <v>371</v>
      </c>
      <c r="B1289" s="24">
        <v>787</v>
      </c>
      <c r="C1289" s="24">
        <v>0</v>
      </c>
      <c r="D1289" s="24">
        <v>0</v>
      </c>
      <c r="E1289" s="24">
        <v>0</v>
      </c>
      <c r="F1289" s="24">
        <v>0</v>
      </c>
      <c r="G1289" s="24">
        <v>787</v>
      </c>
      <c r="H1289" s="24">
        <v>0</v>
      </c>
      <c r="I1289" s="24">
        <v>0</v>
      </c>
      <c r="J1289" s="24">
        <v>0</v>
      </c>
      <c r="K1289" s="45">
        <v>4.462802547770701</v>
      </c>
      <c r="L1289" s="45">
        <v>5.283097383097383</v>
      </c>
      <c r="M1289" s="45">
        <v>9.726211926211926</v>
      </c>
    </row>
    <row r="1290" spans="1:13">
      <c r="A1290" s="18" t="s">
        <v>372</v>
      </c>
      <c r="B1290" s="24">
        <v>391</v>
      </c>
      <c r="C1290" s="24">
        <v>0</v>
      </c>
      <c r="D1290" s="24">
        <v>0</v>
      </c>
      <c r="E1290" s="24">
        <v>391</v>
      </c>
      <c r="F1290" s="24">
        <v>0</v>
      </c>
      <c r="G1290" s="24">
        <v>0</v>
      </c>
      <c r="H1290" s="24">
        <v>0</v>
      </c>
      <c r="I1290" s="24">
        <v>0</v>
      </c>
      <c r="J1290" s="24">
        <v>0</v>
      </c>
      <c r="K1290" s="45">
        <v>1.312958226768969</v>
      </c>
      <c r="L1290" s="45">
        <v>49.6249373433584</v>
      </c>
      <c r="M1290" s="45">
        <v>51.05595238095238</v>
      </c>
    </row>
    <row r="1291" spans="1:13">
      <c r="A1291" s="18" t="s">
        <v>373</v>
      </c>
      <c r="B1291" s="24">
        <v>296</v>
      </c>
      <c r="C1291" s="24">
        <v>0</v>
      </c>
      <c r="D1291" s="24">
        <v>0</v>
      </c>
      <c r="E1291" s="24">
        <v>296</v>
      </c>
      <c r="F1291" s="24">
        <v>0</v>
      </c>
      <c r="G1291" s="24">
        <v>0</v>
      </c>
      <c r="H1291" s="24">
        <v>0</v>
      </c>
      <c r="I1291" s="24">
        <v>0</v>
      </c>
      <c r="J1291" s="24">
        <v>0</v>
      </c>
      <c r="K1291" s="45">
        <v>4.291255868544601</v>
      </c>
      <c r="L1291" s="45">
        <v>8.435211267605634</v>
      </c>
      <c r="M1291" s="45">
        <v>12.81388888888889</v>
      </c>
    </row>
    <row r="1292" spans="1:13">
      <c r="A1292" s="18" t="s">
        <v>374</v>
      </c>
      <c r="B1292" s="24">
        <v>214</v>
      </c>
      <c r="C1292" s="24">
        <v>0</v>
      </c>
      <c r="D1292" s="24">
        <v>0</v>
      </c>
      <c r="E1292" s="24">
        <v>0</v>
      </c>
      <c r="F1292" s="24">
        <v>0</v>
      </c>
      <c r="G1292" s="24">
        <v>0</v>
      </c>
      <c r="H1292" s="24">
        <v>0</v>
      </c>
      <c r="I1292" s="24">
        <v>0</v>
      </c>
      <c r="J1292" s="24">
        <v>214</v>
      </c>
      <c r="K1292" s="45">
        <v>10.77157809983897</v>
      </c>
      <c r="L1292" s="45">
        <v>3.498850574712644</v>
      </c>
      <c r="M1292" s="45">
        <v>13.39688013136289</v>
      </c>
    </row>
    <row r="1293" spans="1:13">
      <c r="A1293" s="18" t="s">
        <v>375</v>
      </c>
      <c r="B1293" s="24">
        <v>199</v>
      </c>
      <c r="C1293" s="24">
        <v>0</v>
      </c>
      <c r="D1293" s="24">
        <v>0</v>
      </c>
      <c r="E1293" s="24">
        <v>0</v>
      </c>
      <c r="F1293" s="24">
        <v>0</v>
      </c>
      <c r="G1293" s="24">
        <v>0</v>
      </c>
      <c r="H1293" s="24">
        <v>199</v>
      </c>
      <c r="I1293" s="24">
        <v>0</v>
      </c>
      <c r="J1293" s="24">
        <v>0</v>
      </c>
      <c r="K1293" s="45">
        <v>2.94463986599665</v>
      </c>
      <c r="L1293" s="45">
        <v>29.89348484848485</v>
      </c>
      <c r="M1293" s="45">
        <v>32.73757575757575</v>
      </c>
    </row>
    <row r="1294" spans="1:13">
      <c r="A1294" s="18" t="s">
        <v>376</v>
      </c>
      <c r="B1294" s="24">
        <v>136</v>
      </c>
      <c r="C1294" s="24">
        <v>0</v>
      </c>
      <c r="D1294" s="24">
        <v>0</v>
      </c>
      <c r="E1294" s="24">
        <v>0</v>
      </c>
      <c r="F1294" s="24">
        <v>0</v>
      </c>
      <c r="G1294" s="24">
        <v>0</v>
      </c>
      <c r="H1294" s="24">
        <v>0</v>
      </c>
      <c r="I1294" s="24">
        <v>136</v>
      </c>
      <c r="J1294" s="24">
        <v>0</v>
      </c>
      <c r="K1294" s="45">
        <v>5.496587926509187</v>
      </c>
      <c r="L1294" s="45">
        <v>20.37391304347826</v>
      </c>
      <c r="M1294" s="45">
        <v>25.14157509157509</v>
      </c>
    </row>
    <row r="1295" spans="1:13">
      <c r="A1295" s="18" t="s">
        <v>377</v>
      </c>
      <c r="B1295" s="24">
        <v>111</v>
      </c>
      <c r="C1295" s="24">
        <v>0</v>
      </c>
      <c r="D1295" s="24">
        <v>0</v>
      </c>
      <c r="E1295" s="24">
        <v>0</v>
      </c>
      <c r="F1295" s="24">
        <v>111</v>
      </c>
      <c r="G1295" s="24">
        <v>0</v>
      </c>
      <c r="H1295" s="24">
        <v>0</v>
      </c>
      <c r="I1295" s="24">
        <v>0</v>
      </c>
      <c r="J1295" s="24">
        <v>0</v>
      </c>
      <c r="K1295" s="45">
        <v>2.722222222222222</v>
      </c>
      <c r="L1295" s="45">
        <v>5.577254901960784</v>
      </c>
      <c r="M1295" s="45">
        <v>7.14558232931727</v>
      </c>
    </row>
    <row r="1296" spans="1:13">
      <c r="A1296" s="18" t="s">
        <v>378</v>
      </c>
      <c r="B1296" s="24">
        <v>109</v>
      </c>
      <c r="C1296" s="24">
        <v>0</v>
      </c>
      <c r="D1296" s="24">
        <v>0</v>
      </c>
      <c r="E1296" s="24">
        <v>0</v>
      </c>
      <c r="F1296" s="24">
        <v>0</v>
      </c>
      <c r="G1296" s="24">
        <v>0</v>
      </c>
      <c r="H1296" s="24">
        <v>109</v>
      </c>
      <c r="I1296" s="24">
        <v>0</v>
      </c>
      <c r="J1296" s="24">
        <v>0</v>
      </c>
      <c r="K1296" s="45">
        <v>5.277508090614887</v>
      </c>
      <c r="L1296" s="45">
        <v>4.254530744336569</v>
      </c>
      <c r="M1296" s="45">
        <v>9.426633986928104</v>
      </c>
    </row>
    <row r="1297" spans="1:13">
      <c r="A1297" s="18" t="s">
        <v>379</v>
      </c>
      <c r="B1297" s="24">
        <v>13</v>
      </c>
      <c r="C1297" s="24">
        <v>0</v>
      </c>
      <c r="D1297" s="24">
        <v>0</v>
      </c>
      <c r="E1297" s="24">
        <v>0</v>
      </c>
      <c r="F1297" s="24">
        <v>0</v>
      </c>
      <c r="G1297" s="24">
        <v>0</v>
      </c>
      <c r="H1297" s="24">
        <v>0</v>
      </c>
      <c r="I1297" s="24">
        <v>13</v>
      </c>
      <c r="J1297" s="24">
        <v>0</v>
      </c>
      <c r="K1297" s="45">
        <v>53.8625</v>
      </c>
      <c r="L1297" s="45">
        <v>0.8200000000000001</v>
      </c>
      <c r="M1297" s="45">
        <v>54.325</v>
      </c>
    </row>
    <row r="1298" spans="1:13">
      <c r="A1298" s="18" t="s">
        <v>380</v>
      </c>
      <c r="B1298" s="24">
        <v>1</v>
      </c>
      <c r="C1298" s="24">
        <v>0</v>
      </c>
      <c r="D1298" s="24">
        <v>0</v>
      </c>
      <c r="E1298" s="24">
        <v>0</v>
      </c>
      <c r="F1298" s="24">
        <v>0</v>
      </c>
      <c r="G1298" s="24">
        <v>0</v>
      </c>
      <c r="H1298" s="24">
        <v>1</v>
      </c>
      <c r="I1298" s="24">
        <v>0</v>
      </c>
      <c r="J1298" s="24">
        <v>0</v>
      </c>
      <c r="K1298" s="45">
        <v>0</v>
      </c>
      <c r="L1298" s="45">
        <v>0</v>
      </c>
      <c r="M1298" s="4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AA7B8"/>
  </sheetPr>
  <dimension ref="A1:CW193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0.7109375" customWidth="1"/>
    <col min="6" max="101" width="5.7109375" customWidth="1"/>
  </cols>
  <sheetData>
    <row r="1" spans="1:101">
      <c r="A1" s="1" t="s">
        <v>516</v>
      </c>
    </row>
    <row r="2" spans="1:101">
      <c r="A2" s="11" t="s">
        <v>517</v>
      </c>
    </row>
    <row r="3" spans="1:101">
      <c r="A3" s="23" t="s">
        <v>518</v>
      </c>
      <c r="B3" s="74" t="s">
        <v>519</v>
      </c>
    </row>
    <row r="4" spans="1:101">
      <c r="A4" s="23" t="s">
        <v>520</v>
      </c>
      <c r="B4" s="74" t="s">
        <v>521</v>
      </c>
    </row>
    <row r="5" spans="1:101">
      <c r="A5" s="23" t="s">
        <v>522</v>
      </c>
      <c r="B5" s="74" t="s">
        <v>523</v>
      </c>
    </row>
    <row r="6" spans="1:101">
      <c r="F6" s="75">
        <v>0</v>
      </c>
      <c r="G6" s="75">
        <v>15</v>
      </c>
      <c r="H6" s="75">
        <v>30</v>
      </c>
      <c r="I6" s="75">
        <v>45</v>
      </c>
      <c r="J6" s="75">
        <v>60</v>
      </c>
      <c r="K6" s="75">
        <v>75</v>
      </c>
      <c r="L6" s="75">
        <v>90</v>
      </c>
      <c r="M6" s="75">
        <v>105</v>
      </c>
      <c r="N6" s="75">
        <v>120</v>
      </c>
      <c r="O6" s="75">
        <v>135</v>
      </c>
      <c r="P6" s="75">
        <v>150</v>
      </c>
      <c r="Q6" s="75">
        <v>165</v>
      </c>
      <c r="R6" s="75">
        <v>180</v>
      </c>
      <c r="S6" s="75">
        <v>195</v>
      </c>
      <c r="T6" s="75">
        <v>210</v>
      </c>
      <c r="U6" s="75">
        <v>225</v>
      </c>
      <c r="V6" s="75">
        <v>240</v>
      </c>
      <c r="W6" s="75">
        <v>255</v>
      </c>
      <c r="X6" s="75">
        <v>270</v>
      </c>
      <c r="Y6" s="75">
        <v>285</v>
      </c>
      <c r="Z6" s="75">
        <v>300</v>
      </c>
      <c r="AA6" s="75">
        <v>315</v>
      </c>
      <c r="AB6" s="75">
        <v>330</v>
      </c>
      <c r="AC6" s="75">
        <v>345</v>
      </c>
      <c r="AD6" s="75">
        <v>360</v>
      </c>
      <c r="AE6" s="75">
        <v>375</v>
      </c>
      <c r="AF6" s="75">
        <v>390</v>
      </c>
      <c r="AG6" s="75">
        <v>405</v>
      </c>
      <c r="AH6" s="75">
        <v>420</v>
      </c>
      <c r="AI6" s="75">
        <v>435</v>
      </c>
      <c r="AJ6" s="75">
        <v>450</v>
      </c>
      <c r="AK6" s="75">
        <v>465</v>
      </c>
      <c r="AL6" s="75">
        <v>480</v>
      </c>
      <c r="AM6" s="75">
        <v>495</v>
      </c>
      <c r="AN6" s="75">
        <v>510</v>
      </c>
      <c r="AO6" s="75">
        <v>525</v>
      </c>
      <c r="AP6" s="75">
        <v>540</v>
      </c>
      <c r="AQ6" s="75">
        <v>555</v>
      </c>
      <c r="AR6" s="75">
        <v>570</v>
      </c>
      <c r="AS6" s="75">
        <v>585</v>
      </c>
      <c r="AT6" s="75">
        <v>600</v>
      </c>
      <c r="AU6" s="75">
        <v>615</v>
      </c>
      <c r="AV6" s="75">
        <v>630</v>
      </c>
      <c r="AW6" s="75">
        <v>645</v>
      </c>
      <c r="AX6" s="75">
        <v>660</v>
      </c>
      <c r="AY6" s="75">
        <v>675</v>
      </c>
      <c r="AZ6" s="75">
        <v>690</v>
      </c>
      <c r="BA6" s="75">
        <v>705</v>
      </c>
      <c r="BB6" s="75">
        <v>720</v>
      </c>
      <c r="BC6" s="75">
        <v>735</v>
      </c>
      <c r="BD6" s="75">
        <v>750</v>
      </c>
      <c r="BE6" s="75">
        <v>765</v>
      </c>
      <c r="BF6" s="75">
        <v>780</v>
      </c>
      <c r="BG6" s="75">
        <v>795</v>
      </c>
      <c r="BH6" s="75">
        <v>810</v>
      </c>
      <c r="BI6" s="75">
        <v>825</v>
      </c>
      <c r="BJ6" s="75">
        <v>840</v>
      </c>
      <c r="BK6" s="75">
        <v>855</v>
      </c>
      <c r="BL6" s="75">
        <v>870</v>
      </c>
      <c r="BM6" s="75">
        <v>885</v>
      </c>
      <c r="BN6" s="75">
        <v>900</v>
      </c>
      <c r="BO6" s="75">
        <v>915</v>
      </c>
      <c r="BP6" s="75">
        <v>930</v>
      </c>
      <c r="BQ6" s="75">
        <v>945</v>
      </c>
      <c r="BR6" s="75">
        <v>960</v>
      </c>
      <c r="BS6" s="75">
        <v>975</v>
      </c>
      <c r="BT6" s="75">
        <v>990</v>
      </c>
      <c r="BU6" s="75">
        <v>1005</v>
      </c>
      <c r="BV6" s="75">
        <v>1020</v>
      </c>
      <c r="BW6" s="75">
        <v>1035</v>
      </c>
      <c r="BX6" s="75">
        <v>1050</v>
      </c>
      <c r="BY6" s="75">
        <v>1065</v>
      </c>
      <c r="BZ6" s="75">
        <v>1080</v>
      </c>
      <c r="CA6" s="75">
        <v>1095</v>
      </c>
      <c r="CB6" s="75">
        <v>1110</v>
      </c>
      <c r="CC6" s="75">
        <v>1125</v>
      </c>
      <c r="CD6" s="75">
        <v>1140</v>
      </c>
      <c r="CE6" s="75">
        <v>1155</v>
      </c>
      <c r="CF6" s="75">
        <v>1170</v>
      </c>
      <c r="CG6" s="75">
        <v>1185</v>
      </c>
      <c r="CH6" s="75">
        <v>1200</v>
      </c>
      <c r="CI6" s="75">
        <v>1215</v>
      </c>
      <c r="CJ6" s="75">
        <v>1230</v>
      </c>
      <c r="CK6" s="75">
        <v>1245</v>
      </c>
      <c r="CL6" s="75">
        <v>1260</v>
      </c>
      <c r="CM6" s="75">
        <v>1275</v>
      </c>
      <c r="CN6" s="75">
        <v>1290</v>
      </c>
      <c r="CO6" s="75">
        <v>1305</v>
      </c>
      <c r="CP6" s="75">
        <v>1320</v>
      </c>
      <c r="CQ6" s="75">
        <v>1335</v>
      </c>
      <c r="CR6" s="75">
        <v>1350</v>
      </c>
      <c r="CS6" s="75">
        <v>1365</v>
      </c>
      <c r="CT6" s="75">
        <v>1380</v>
      </c>
      <c r="CU6" s="75">
        <v>1395</v>
      </c>
      <c r="CV6" s="75">
        <v>1410</v>
      </c>
      <c r="CW6" s="75">
        <v>1425</v>
      </c>
    </row>
    <row r="7" spans="1:101" ht="30" customHeight="1">
      <c r="A7" s="22" t="s">
        <v>4</v>
      </c>
      <c r="B7" s="22" t="s">
        <v>524</v>
      </c>
      <c r="C7" s="22" t="s">
        <v>525</v>
      </c>
      <c r="D7" s="22" t="s">
        <v>526</v>
      </c>
      <c r="E7" s="22" t="s">
        <v>527</v>
      </c>
      <c r="F7" s="22" t="s">
        <v>528</v>
      </c>
      <c r="G7" s="22" t="s">
        <v>529</v>
      </c>
      <c r="H7" s="22" t="s">
        <v>530</v>
      </c>
      <c r="I7" s="22" t="s">
        <v>531</v>
      </c>
      <c r="J7" s="22" t="s">
        <v>532</v>
      </c>
      <c r="K7" s="22" t="s">
        <v>533</v>
      </c>
      <c r="L7" s="22" t="s">
        <v>534</v>
      </c>
      <c r="M7" s="22" t="s">
        <v>535</v>
      </c>
      <c r="N7" s="22" t="s">
        <v>536</v>
      </c>
      <c r="O7" s="22" t="s">
        <v>537</v>
      </c>
      <c r="P7" s="22" t="s">
        <v>538</v>
      </c>
      <c r="Q7" s="22" t="s">
        <v>539</v>
      </c>
      <c r="R7" s="22" t="s">
        <v>540</v>
      </c>
      <c r="S7" s="22" t="s">
        <v>541</v>
      </c>
      <c r="T7" s="22" t="s">
        <v>542</v>
      </c>
      <c r="U7" s="22" t="s">
        <v>543</v>
      </c>
      <c r="V7" s="22" t="s">
        <v>544</v>
      </c>
      <c r="W7" s="22" t="s">
        <v>545</v>
      </c>
      <c r="X7" s="22" t="s">
        <v>546</v>
      </c>
      <c r="Y7" s="22" t="s">
        <v>547</v>
      </c>
      <c r="Z7" s="22" t="s">
        <v>548</v>
      </c>
      <c r="AA7" s="22" t="s">
        <v>549</v>
      </c>
      <c r="AB7" s="22" t="s">
        <v>550</v>
      </c>
      <c r="AC7" s="22" t="s">
        <v>551</v>
      </c>
      <c r="AD7" s="22" t="s">
        <v>552</v>
      </c>
      <c r="AE7" s="22" t="s">
        <v>553</v>
      </c>
      <c r="AF7" s="22" t="s">
        <v>554</v>
      </c>
      <c r="AG7" s="22" t="s">
        <v>555</v>
      </c>
      <c r="AH7" s="22" t="s">
        <v>6</v>
      </c>
      <c r="AI7" s="22" t="s">
        <v>7</v>
      </c>
      <c r="AJ7" s="22" t="s">
        <v>8</v>
      </c>
      <c r="AK7" s="22" t="s">
        <v>9</v>
      </c>
      <c r="AL7" s="22" t="s">
        <v>10</v>
      </c>
      <c r="AM7" s="22" t="s">
        <v>11</v>
      </c>
      <c r="AN7" s="22" t="s">
        <v>12</v>
      </c>
      <c r="AO7" s="22" t="s">
        <v>13</v>
      </c>
      <c r="AP7" s="22" t="s">
        <v>14</v>
      </c>
      <c r="AQ7" s="22" t="s">
        <v>15</v>
      </c>
      <c r="AR7" s="22" t="s">
        <v>16</v>
      </c>
      <c r="AS7" s="22" t="s">
        <v>17</v>
      </c>
      <c r="AT7" s="22" t="s">
        <v>18</v>
      </c>
      <c r="AU7" s="22" t="s">
        <v>19</v>
      </c>
      <c r="AV7" s="22" t="s">
        <v>20</v>
      </c>
      <c r="AW7" s="22" t="s">
        <v>21</v>
      </c>
      <c r="AX7" s="22" t="s">
        <v>22</v>
      </c>
      <c r="AY7" s="22" t="s">
        <v>23</v>
      </c>
      <c r="AZ7" s="22" t="s">
        <v>24</v>
      </c>
      <c r="BA7" s="22" t="s">
        <v>25</v>
      </c>
      <c r="BB7" s="22" t="s">
        <v>26</v>
      </c>
      <c r="BC7" s="22" t="s">
        <v>27</v>
      </c>
      <c r="BD7" s="22" t="s">
        <v>28</v>
      </c>
      <c r="BE7" s="22" t="s">
        <v>29</v>
      </c>
      <c r="BF7" s="22" t="s">
        <v>30</v>
      </c>
      <c r="BG7" s="22" t="s">
        <v>31</v>
      </c>
      <c r="BH7" s="22" t="s">
        <v>32</v>
      </c>
      <c r="BI7" s="22" t="s">
        <v>33</v>
      </c>
      <c r="BJ7" s="22" t="s">
        <v>34</v>
      </c>
      <c r="BK7" s="22" t="s">
        <v>35</v>
      </c>
      <c r="BL7" s="22" t="s">
        <v>36</v>
      </c>
      <c r="BM7" s="22" t="s">
        <v>37</v>
      </c>
      <c r="BN7" s="22" t="s">
        <v>38</v>
      </c>
      <c r="BO7" s="22" t="s">
        <v>39</v>
      </c>
      <c r="BP7" s="22" t="s">
        <v>40</v>
      </c>
      <c r="BQ7" s="22" t="s">
        <v>41</v>
      </c>
      <c r="BR7" s="22" t="s">
        <v>42</v>
      </c>
      <c r="BS7" s="22" t="s">
        <v>43</v>
      </c>
      <c r="BT7" s="22" t="s">
        <v>44</v>
      </c>
      <c r="BU7" s="22" t="s">
        <v>45</v>
      </c>
      <c r="BV7" s="22" t="s">
        <v>46</v>
      </c>
      <c r="BW7" s="22" t="s">
        <v>47</v>
      </c>
      <c r="BX7" s="22" t="s">
        <v>48</v>
      </c>
      <c r="BY7" s="22" t="s">
        <v>49</v>
      </c>
      <c r="BZ7" s="22" t="s">
        <v>50</v>
      </c>
      <c r="CA7" s="22" t="s">
        <v>51</v>
      </c>
      <c r="CB7" s="22" t="s">
        <v>52</v>
      </c>
      <c r="CC7" s="22" t="s">
        <v>53</v>
      </c>
      <c r="CD7" s="22" t="s">
        <v>54</v>
      </c>
      <c r="CE7" s="22" t="s">
        <v>55</v>
      </c>
      <c r="CF7" s="22" t="s">
        <v>56</v>
      </c>
      <c r="CG7" s="22" t="s">
        <v>57</v>
      </c>
      <c r="CH7" s="22" t="s">
        <v>58</v>
      </c>
      <c r="CI7" s="22" t="s">
        <v>59</v>
      </c>
      <c r="CJ7" s="22" t="s">
        <v>60</v>
      </c>
      <c r="CK7" s="22" t="s">
        <v>61</v>
      </c>
      <c r="CL7" s="22" t="s">
        <v>556</v>
      </c>
      <c r="CM7" s="22" t="s">
        <v>557</v>
      </c>
      <c r="CN7" s="22" t="s">
        <v>558</v>
      </c>
      <c r="CO7" s="22" t="s">
        <v>559</v>
      </c>
      <c r="CP7" s="22" t="s">
        <v>560</v>
      </c>
      <c r="CQ7" s="22" t="s">
        <v>561</v>
      </c>
      <c r="CR7" s="22" t="s">
        <v>562</v>
      </c>
      <c r="CS7" s="22" t="s">
        <v>563</v>
      </c>
      <c r="CT7" s="22" t="s">
        <v>564</v>
      </c>
      <c r="CU7" s="22" t="s">
        <v>565</v>
      </c>
      <c r="CV7" s="22" t="s">
        <v>566</v>
      </c>
      <c r="CW7" s="22" t="s">
        <v>567</v>
      </c>
    </row>
    <row r="8" spans="1:101">
      <c r="A8" s="74" t="s">
        <v>92</v>
      </c>
      <c r="B8" s="76">
        <v>202401</v>
      </c>
      <c r="C8" s="77">
        <v>9591</v>
      </c>
      <c r="D8" s="78">
        <v>108273.4333</v>
      </c>
      <c r="E8" s="77">
        <v>9349</v>
      </c>
      <c r="AM8" s="77">
        <v>5</v>
      </c>
      <c r="AN8" s="77">
        <v>21</v>
      </c>
      <c r="AO8" s="77">
        <v>134</v>
      </c>
      <c r="AP8" s="77">
        <v>165</v>
      </c>
      <c r="AQ8" s="77">
        <v>180</v>
      </c>
      <c r="AR8" s="77">
        <v>203</v>
      </c>
      <c r="AS8" s="77">
        <v>202</v>
      </c>
      <c r="AT8" s="77">
        <v>231</v>
      </c>
      <c r="AU8" s="77">
        <v>277</v>
      </c>
      <c r="AV8" s="77">
        <v>293</v>
      </c>
      <c r="AW8" s="77">
        <v>306</v>
      </c>
      <c r="AX8" s="77">
        <v>343</v>
      </c>
      <c r="AY8" s="77">
        <v>314</v>
      </c>
      <c r="AZ8" s="77">
        <v>312</v>
      </c>
      <c r="BA8" s="77">
        <v>311</v>
      </c>
      <c r="BB8" s="77">
        <v>308</v>
      </c>
      <c r="BC8" s="77">
        <v>290</v>
      </c>
      <c r="BD8" s="77">
        <v>308</v>
      </c>
      <c r="BE8" s="77">
        <v>267</v>
      </c>
      <c r="BF8" s="77">
        <v>252</v>
      </c>
      <c r="BG8" s="77">
        <v>272</v>
      </c>
      <c r="BH8" s="77">
        <v>305</v>
      </c>
      <c r="BI8" s="77">
        <v>330</v>
      </c>
      <c r="BJ8" s="77">
        <v>321</v>
      </c>
      <c r="BK8" s="77">
        <v>360</v>
      </c>
      <c r="BL8" s="77">
        <v>328</v>
      </c>
      <c r="BM8" s="77">
        <v>314</v>
      </c>
      <c r="BN8" s="77">
        <v>325</v>
      </c>
      <c r="BO8" s="77">
        <v>330</v>
      </c>
      <c r="BP8" s="77">
        <v>323</v>
      </c>
      <c r="BQ8" s="77">
        <v>284</v>
      </c>
      <c r="BR8" s="77">
        <v>320</v>
      </c>
      <c r="BS8" s="77">
        <v>275</v>
      </c>
      <c r="BT8" s="77">
        <v>252</v>
      </c>
      <c r="BU8" s="77">
        <v>230</v>
      </c>
      <c r="BV8" s="77">
        <v>192</v>
      </c>
      <c r="BW8" s="77">
        <v>91</v>
      </c>
      <c r="BX8" s="77">
        <v>14</v>
      </c>
      <c r="BY8" s="77">
        <v>3</v>
      </c>
    </row>
    <row r="9" spans="1:101">
      <c r="A9" s="74" t="s">
        <v>92</v>
      </c>
      <c r="B9" s="76">
        <v>202402</v>
      </c>
      <c r="C9" s="77">
        <v>10407</v>
      </c>
      <c r="D9" s="78">
        <v>111507.9333</v>
      </c>
      <c r="E9" s="77">
        <v>10162</v>
      </c>
      <c r="AM9" s="77">
        <v>6</v>
      </c>
      <c r="AN9" s="77">
        <v>27</v>
      </c>
      <c r="AO9" s="77">
        <v>168</v>
      </c>
      <c r="AP9" s="77">
        <v>162</v>
      </c>
      <c r="AQ9" s="77">
        <v>166</v>
      </c>
      <c r="AR9" s="77">
        <v>225</v>
      </c>
      <c r="AS9" s="77">
        <v>247</v>
      </c>
      <c r="AT9" s="77">
        <v>257</v>
      </c>
      <c r="AU9" s="77">
        <v>312</v>
      </c>
      <c r="AV9" s="77">
        <v>319</v>
      </c>
      <c r="AW9" s="77">
        <v>323</v>
      </c>
      <c r="AX9" s="77">
        <v>360</v>
      </c>
      <c r="AY9" s="77">
        <v>316</v>
      </c>
      <c r="AZ9" s="77">
        <v>369</v>
      </c>
      <c r="BA9" s="77">
        <v>320</v>
      </c>
      <c r="BB9" s="77">
        <v>295</v>
      </c>
      <c r="BC9" s="77">
        <v>300</v>
      </c>
      <c r="BD9" s="77">
        <v>361</v>
      </c>
      <c r="BE9" s="77">
        <v>294</v>
      </c>
      <c r="BF9" s="77">
        <v>293</v>
      </c>
      <c r="BG9" s="77">
        <v>287</v>
      </c>
      <c r="BH9" s="77">
        <v>296</v>
      </c>
      <c r="BI9" s="77">
        <v>326</v>
      </c>
      <c r="BJ9" s="77">
        <v>382</v>
      </c>
      <c r="BK9" s="77">
        <v>408</v>
      </c>
      <c r="BL9" s="77">
        <v>344</v>
      </c>
      <c r="BM9" s="77">
        <v>358</v>
      </c>
      <c r="BN9" s="77">
        <v>347</v>
      </c>
      <c r="BO9" s="77">
        <v>364</v>
      </c>
      <c r="BP9" s="77">
        <v>319</v>
      </c>
      <c r="BQ9" s="77">
        <v>340</v>
      </c>
      <c r="BR9" s="77">
        <v>301</v>
      </c>
      <c r="BS9" s="77">
        <v>250</v>
      </c>
      <c r="BT9" s="77">
        <v>292</v>
      </c>
      <c r="BU9" s="77">
        <v>294</v>
      </c>
      <c r="BV9" s="77">
        <v>236</v>
      </c>
      <c r="BW9" s="77">
        <v>115</v>
      </c>
      <c r="BX9" s="77">
        <v>24</v>
      </c>
      <c r="BY9" s="77">
        <v>4</v>
      </c>
    </row>
    <row r="10" spans="1:101">
      <c r="A10" s="74" t="s">
        <v>92</v>
      </c>
      <c r="B10" s="76">
        <v>202403</v>
      </c>
      <c r="C10" s="77">
        <v>14227</v>
      </c>
      <c r="D10" s="78">
        <v>123521.8333</v>
      </c>
      <c r="E10" s="77">
        <v>13944</v>
      </c>
      <c r="AM10" s="77">
        <v>11</v>
      </c>
      <c r="AN10" s="77">
        <v>70</v>
      </c>
      <c r="AO10" s="77">
        <v>253</v>
      </c>
      <c r="AP10" s="77">
        <v>278</v>
      </c>
      <c r="AQ10" s="77">
        <v>270</v>
      </c>
      <c r="AR10" s="77">
        <v>294</v>
      </c>
      <c r="AS10" s="77">
        <v>331</v>
      </c>
      <c r="AT10" s="77">
        <v>352</v>
      </c>
      <c r="AU10" s="77">
        <v>410</v>
      </c>
      <c r="AV10" s="77">
        <v>372</v>
      </c>
      <c r="AW10" s="77">
        <v>459</v>
      </c>
      <c r="AX10" s="77">
        <v>462</v>
      </c>
      <c r="AY10" s="77">
        <v>469</v>
      </c>
      <c r="AZ10" s="77">
        <v>486</v>
      </c>
      <c r="BA10" s="77">
        <v>450</v>
      </c>
      <c r="BB10" s="77">
        <v>419</v>
      </c>
      <c r="BC10" s="77">
        <v>424</v>
      </c>
      <c r="BD10" s="77">
        <v>453</v>
      </c>
      <c r="BE10" s="77">
        <v>446</v>
      </c>
      <c r="BF10" s="77">
        <v>368</v>
      </c>
      <c r="BG10" s="77">
        <v>375</v>
      </c>
      <c r="BH10" s="77">
        <v>456</v>
      </c>
      <c r="BI10" s="77">
        <v>490</v>
      </c>
      <c r="BJ10" s="77">
        <v>462</v>
      </c>
      <c r="BK10" s="77">
        <v>482</v>
      </c>
      <c r="BL10" s="77">
        <v>448</v>
      </c>
      <c r="BM10" s="77">
        <v>457</v>
      </c>
      <c r="BN10" s="77">
        <v>487</v>
      </c>
      <c r="BO10" s="77">
        <v>433</v>
      </c>
      <c r="BP10" s="77">
        <v>422</v>
      </c>
      <c r="BQ10" s="77">
        <v>462</v>
      </c>
      <c r="BR10" s="77">
        <v>412</v>
      </c>
      <c r="BS10" s="77">
        <v>390</v>
      </c>
      <c r="BT10" s="77">
        <v>431</v>
      </c>
      <c r="BU10" s="77">
        <v>373</v>
      </c>
      <c r="BV10" s="77">
        <v>304</v>
      </c>
      <c r="BW10" s="77">
        <v>168</v>
      </c>
      <c r="BX10" s="77">
        <v>39</v>
      </c>
      <c r="BY10" s="77">
        <v>24</v>
      </c>
      <c r="BZ10" s="77">
        <v>10</v>
      </c>
      <c r="CA10" s="77">
        <v>6</v>
      </c>
      <c r="CB10" s="77">
        <v>7</v>
      </c>
      <c r="CC10" s="77">
        <v>7</v>
      </c>
      <c r="CD10" s="77">
        <v>5</v>
      </c>
    </row>
    <row r="11" spans="1:101">
      <c r="A11" s="74" t="s">
        <v>92</v>
      </c>
      <c r="B11" s="76">
        <v>202404</v>
      </c>
      <c r="C11" s="77">
        <v>12502</v>
      </c>
      <c r="D11" s="78">
        <v>126209.4167</v>
      </c>
      <c r="E11" s="77">
        <v>12230</v>
      </c>
      <c r="AM11" s="77">
        <v>11</v>
      </c>
      <c r="AN11" s="77">
        <v>79</v>
      </c>
      <c r="AO11" s="77">
        <v>207</v>
      </c>
      <c r="AP11" s="77">
        <v>237</v>
      </c>
      <c r="AQ11" s="77">
        <v>257</v>
      </c>
      <c r="AR11" s="77">
        <v>321</v>
      </c>
      <c r="AS11" s="77">
        <v>295</v>
      </c>
      <c r="AT11" s="77">
        <v>369</v>
      </c>
      <c r="AU11" s="77">
        <v>314</v>
      </c>
      <c r="AV11" s="77">
        <v>369</v>
      </c>
      <c r="AW11" s="77">
        <v>454</v>
      </c>
      <c r="AX11" s="77">
        <v>424</v>
      </c>
      <c r="AY11" s="77">
        <v>422</v>
      </c>
      <c r="AZ11" s="77">
        <v>434</v>
      </c>
      <c r="BA11" s="77">
        <v>394</v>
      </c>
      <c r="BB11" s="77">
        <v>355</v>
      </c>
      <c r="BC11" s="77">
        <v>360</v>
      </c>
      <c r="BD11" s="77">
        <v>424</v>
      </c>
      <c r="BE11" s="77">
        <v>371</v>
      </c>
      <c r="BF11" s="77">
        <v>340</v>
      </c>
      <c r="BG11" s="77">
        <v>357</v>
      </c>
      <c r="BH11" s="77">
        <v>361</v>
      </c>
      <c r="BI11" s="77">
        <v>372</v>
      </c>
      <c r="BJ11" s="77">
        <v>411</v>
      </c>
      <c r="BK11" s="77">
        <v>403</v>
      </c>
      <c r="BL11" s="77">
        <v>393</v>
      </c>
      <c r="BM11" s="77">
        <v>392</v>
      </c>
      <c r="BN11" s="77">
        <v>366</v>
      </c>
      <c r="BO11" s="77">
        <v>374</v>
      </c>
      <c r="BP11" s="77">
        <v>418</v>
      </c>
      <c r="BQ11" s="77">
        <v>392</v>
      </c>
      <c r="BR11" s="77">
        <v>338</v>
      </c>
      <c r="BS11" s="77">
        <v>356</v>
      </c>
      <c r="BT11" s="77">
        <v>345</v>
      </c>
      <c r="BU11" s="77">
        <v>302</v>
      </c>
      <c r="BV11" s="77">
        <v>259</v>
      </c>
      <c r="BW11" s="77">
        <v>147</v>
      </c>
      <c r="BX11" s="77">
        <v>36</v>
      </c>
      <c r="BY11" s="77">
        <v>11</v>
      </c>
      <c r="BZ11" s="77">
        <v>7</v>
      </c>
      <c r="CA11" s="77">
        <v>9</v>
      </c>
      <c r="CB11" s="77">
        <v>6</v>
      </c>
      <c r="CC11" s="77">
        <v>7</v>
      </c>
      <c r="CD11" s="77">
        <v>3</v>
      </c>
    </row>
    <row r="12" spans="1:101">
      <c r="A12" s="74" t="s">
        <v>92</v>
      </c>
      <c r="B12" s="76">
        <v>202405</v>
      </c>
      <c r="C12" s="77">
        <v>10079</v>
      </c>
      <c r="D12" s="78">
        <v>121647.8167</v>
      </c>
      <c r="E12" s="77">
        <v>9805</v>
      </c>
      <c r="AM12" s="77">
        <v>9</v>
      </c>
      <c r="AN12" s="77">
        <v>48</v>
      </c>
      <c r="AO12" s="77">
        <v>177</v>
      </c>
      <c r="AP12" s="77">
        <v>173</v>
      </c>
      <c r="AQ12" s="77">
        <v>195</v>
      </c>
      <c r="AR12" s="77">
        <v>241</v>
      </c>
      <c r="AS12" s="77">
        <v>267</v>
      </c>
      <c r="AT12" s="77">
        <v>287</v>
      </c>
      <c r="AU12" s="77">
        <v>260</v>
      </c>
      <c r="AV12" s="77">
        <v>309</v>
      </c>
      <c r="AW12" s="77">
        <v>308</v>
      </c>
      <c r="AX12" s="77">
        <v>336</v>
      </c>
      <c r="AY12" s="77">
        <v>338</v>
      </c>
      <c r="AZ12" s="77">
        <v>326</v>
      </c>
      <c r="BA12" s="77">
        <v>286</v>
      </c>
      <c r="BB12" s="77">
        <v>287</v>
      </c>
      <c r="BC12" s="77">
        <v>290</v>
      </c>
      <c r="BD12" s="77">
        <v>310</v>
      </c>
      <c r="BE12" s="77">
        <v>261</v>
      </c>
      <c r="BF12" s="77">
        <v>292</v>
      </c>
      <c r="BG12" s="77">
        <v>308</v>
      </c>
      <c r="BH12" s="77">
        <v>330</v>
      </c>
      <c r="BI12" s="77">
        <v>341</v>
      </c>
      <c r="BJ12" s="77">
        <v>361</v>
      </c>
      <c r="BK12" s="77">
        <v>312</v>
      </c>
      <c r="BL12" s="77">
        <v>369</v>
      </c>
      <c r="BM12" s="77">
        <v>322</v>
      </c>
      <c r="BN12" s="77">
        <v>303</v>
      </c>
      <c r="BO12" s="77">
        <v>324</v>
      </c>
      <c r="BP12" s="77">
        <v>350</v>
      </c>
      <c r="BQ12" s="77">
        <v>318</v>
      </c>
      <c r="BR12" s="77">
        <v>318</v>
      </c>
      <c r="BS12" s="77">
        <v>269</v>
      </c>
      <c r="BT12" s="77">
        <v>276</v>
      </c>
      <c r="BU12" s="77">
        <v>277</v>
      </c>
      <c r="BV12" s="77">
        <v>181</v>
      </c>
      <c r="BW12" s="77">
        <v>93</v>
      </c>
      <c r="BX12" s="77">
        <v>20</v>
      </c>
      <c r="BY12" s="77">
        <v>6</v>
      </c>
      <c r="CA12" s="77">
        <v>1</v>
      </c>
    </row>
    <row r="13" spans="1:101">
      <c r="A13" s="74" t="s">
        <v>92</v>
      </c>
      <c r="B13" s="76">
        <v>202406</v>
      </c>
      <c r="C13" s="77">
        <v>10094</v>
      </c>
      <c r="D13" s="78">
        <v>118410.05</v>
      </c>
      <c r="E13" s="77">
        <v>9836</v>
      </c>
      <c r="AM13" s="77">
        <v>2</v>
      </c>
      <c r="AN13" s="77">
        <v>39</v>
      </c>
      <c r="AO13" s="77">
        <v>171</v>
      </c>
      <c r="AP13" s="77">
        <v>191</v>
      </c>
      <c r="AQ13" s="77">
        <v>221</v>
      </c>
      <c r="AR13" s="77">
        <v>253</v>
      </c>
      <c r="AS13" s="77">
        <v>259</v>
      </c>
      <c r="AT13" s="77">
        <v>283</v>
      </c>
      <c r="AU13" s="77">
        <v>317</v>
      </c>
      <c r="AV13" s="77">
        <v>316</v>
      </c>
      <c r="AW13" s="77">
        <v>334</v>
      </c>
      <c r="AX13" s="77">
        <v>353</v>
      </c>
      <c r="AY13" s="77">
        <v>364</v>
      </c>
      <c r="AZ13" s="77">
        <v>325</v>
      </c>
      <c r="BA13" s="77">
        <v>300</v>
      </c>
      <c r="BB13" s="77">
        <v>277</v>
      </c>
      <c r="BC13" s="77">
        <v>293</v>
      </c>
      <c r="BD13" s="77">
        <v>327</v>
      </c>
      <c r="BE13" s="77">
        <v>280</v>
      </c>
      <c r="BF13" s="77">
        <v>265</v>
      </c>
      <c r="BG13" s="77">
        <v>272</v>
      </c>
      <c r="BH13" s="77">
        <v>322</v>
      </c>
      <c r="BI13" s="77">
        <v>313</v>
      </c>
      <c r="BJ13" s="77">
        <v>335</v>
      </c>
      <c r="BK13" s="77">
        <v>328</v>
      </c>
      <c r="BL13" s="77">
        <v>359</v>
      </c>
      <c r="BM13" s="77">
        <v>323</v>
      </c>
      <c r="BN13" s="77">
        <v>297</v>
      </c>
      <c r="BO13" s="77">
        <v>316</v>
      </c>
      <c r="BP13" s="77">
        <v>280</v>
      </c>
      <c r="BQ13" s="77">
        <v>295</v>
      </c>
      <c r="BR13" s="77">
        <v>339</v>
      </c>
      <c r="BS13" s="77">
        <v>254</v>
      </c>
      <c r="BT13" s="77">
        <v>286</v>
      </c>
      <c r="BU13" s="77">
        <v>245</v>
      </c>
      <c r="BV13" s="77">
        <v>228</v>
      </c>
      <c r="BW13" s="77">
        <v>94</v>
      </c>
      <c r="BX13" s="77">
        <v>22</v>
      </c>
      <c r="BY13" s="77">
        <v>16</v>
      </c>
    </row>
    <row r="14" spans="1:101">
      <c r="A14" s="74" t="s">
        <v>92</v>
      </c>
      <c r="B14" s="76">
        <v>202407</v>
      </c>
      <c r="C14" s="77">
        <v>11371</v>
      </c>
      <c r="D14" s="78">
        <v>131485.0667</v>
      </c>
      <c r="E14" s="77">
        <v>11080</v>
      </c>
      <c r="AM14" s="77">
        <v>4</v>
      </c>
      <c r="AN14" s="77">
        <v>47</v>
      </c>
      <c r="AO14" s="77">
        <v>214</v>
      </c>
      <c r="AP14" s="77">
        <v>195</v>
      </c>
      <c r="AQ14" s="77">
        <v>227</v>
      </c>
      <c r="AR14" s="77">
        <v>239</v>
      </c>
      <c r="AS14" s="77">
        <v>283</v>
      </c>
      <c r="AT14" s="77">
        <v>298</v>
      </c>
      <c r="AU14" s="77">
        <v>328</v>
      </c>
      <c r="AV14" s="77">
        <v>369</v>
      </c>
      <c r="AW14" s="77">
        <v>404</v>
      </c>
      <c r="AX14" s="77">
        <v>374</v>
      </c>
      <c r="AY14" s="77">
        <v>419</v>
      </c>
      <c r="AZ14" s="77">
        <v>389</v>
      </c>
      <c r="BA14" s="77">
        <v>373</v>
      </c>
      <c r="BB14" s="77">
        <v>345</v>
      </c>
      <c r="BC14" s="77">
        <v>337</v>
      </c>
      <c r="BD14" s="77">
        <v>356</v>
      </c>
      <c r="BE14" s="77">
        <v>267</v>
      </c>
      <c r="BF14" s="77">
        <v>309</v>
      </c>
      <c r="BG14" s="77">
        <v>327</v>
      </c>
      <c r="BH14" s="77">
        <v>295</v>
      </c>
      <c r="BI14" s="77">
        <v>351</v>
      </c>
      <c r="BJ14" s="77">
        <v>368</v>
      </c>
      <c r="BK14" s="77">
        <v>350</v>
      </c>
      <c r="BL14" s="77">
        <v>381</v>
      </c>
      <c r="BM14" s="77">
        <v>386</v>
      </c>
      <c r="BN14" s="77">
        <v>390</v>
      </c>
      <c r="BO14" s="77">
        <v>360</v>
      </c>
      <c r="BP14" s="77">
        <v>378</v>
      </c>
      <c r="BQ14" s="77">
        <v>320</v>
      </c>
      <c r="BR14" s="77">
        <v>334</v>
      </c>
      <c r="BS14" s="77">
        <v>343</v>
      </c>
      <c r="BT14" s="77">
        <v>322</v>
      </c>
      <c r="BU14" s="77">
        <v>310</v>
      </c>
      <c r="BV14" s="77">
        <v>216</v>
      </c>
      <c r="BW14" s="77">
        <v>131</v>
      </c>
      <c r="BX14" s="77">
        <v>25</v>
      </c>
      <c r="BY14" s="77">
        <v>5</v>
      </c>
      <c r="BZ14" s="77">
        <v>2</v>
      </c>
    </row>
    <row r="15" spans="1:101">
      <c r="A15" s="74" t="s">
        <v>92</v>
      </c>
      <c r="B15" s="76">
        <v>202408</v>
      </c>
      <c r="C15" s="77">
        <v>9683</v>
      </c>
      <c r="D15" s="78">
        <v>115827.8167</v>
      </c>
      <c r="E15" s="77">
        <v>9424</v>
      </c>
      <c r="AM15" s="77">
        <v>1</v>
      </c>
      <c r="AN15" s="77">
        <v>44</v>
      </c>
      <c r="AO15" s="77">
        <v>149</v>
      </c>
      <c r="AP15" s="77">
        <v>186</v>
      </c>
      <c r="AQ15" s="77">
        <v>208</v>
      </c>
      <c r="AR15" s="77">
        <v>256</v>
      </c>
      <c r="AS15" s="77">
        <v>284</v>
      </c>
      <c r="AT15" s="77">
        <v>275</v>
      </c>
      <c r="AU15" s="77">
        <v>319</v>
      </c>
      <c r="AV15" s="77">
        <v>255</v>
      </c>
      <c r="AW15" s="77">
        <v>361</v>
      </c>
      <c r="AX15" s="77">
        <v>340</v>
      </c>
      <c r="AY15" s="77">
        <v>338</v>
      </c>
      <c r="AZ15" s="77">
        <v>337</v>
      </c>
      <c r="BA15" s="77">
        <v>270</v>
      </c>
      <c r="BB15" s="77">
        <v>282</v>
      </c>
      <c r="BC15" s="77">
        <v>269</v>
      </c>
      <c r="BD15" s="77">
        <v>313</v>
      </c>
      <c r="BE15" s="77">
        <v>274</v>
      </c>
      <c r="BF15" s="77">
        <v>244</v>
      </c>
      <c r="BG15" s="77">
        <v>276</v>
      </c>
      <c r="BH15" s="77">
        <v>312</v>
      </c>
      <c r="BI15" s="77">
        <v>290</v>
      </c>
      <c r="BJ15" s="77">
        <v>285</v>
      </c>
      <c r="BK15" s="77">
        <v>333</v>
      </c>
      <c r="BL15" s="77">
        <v>310</v>
      </c>
      <c r="BM15" s="77">
        <v>310</v>
      </c>
      <c r="BN15" s="77">
        <v>330</v>
      </c>
      <c r="BO15" s="77">
        <v>289</v>
      </c>
      <c r="BP15" s="77">
        <v>299</v>
      </c>
      <c r="BQ15" s="77">
        <v>319</v>
      </c>
      <c r="BR15" s="77">
        <v>250</v>
      </c>
      <c r="BS15" s="77">
        <v>247</v>
      </c>
      <c r="BT15" s="77">
        <v>278</v>
      </c>
      <c r="BU15" s="77">
        <v>247</v>
      </c>
      <c r="BV15" s="77">
        <v>176</v>
      </c>
      <c r="BW15" s="77">
        <v>97</v>
      </c>
      <c r="BX15" s="77">
        <v>26</v>
      </c>
      <c r="BY15" s="77">
        <v>4</v>
      </c>
    </row>
    <row r="16" spans="1:101">
      <c r="A16" s="74" t="s">
        <v>92</v>
      </c>
      <c r="B16" s="76">
        <v>202409</v>
      </c>
      <c r="C16" s="77">
        <v>10315</v>
      </c>
      <c r="D16" s="78">
        <v>113799.15</v>
      </c>
      <c r="E16" s="77">
        <v>10067</v>
      </c>
      <c r="AM16" s="77">
        <v>2</v>
      </c>
      <c r="AN16" s="77">
        <v>42</v>
      </c>
      <c r="AO16" s="77">
        <v>161</v>
      </c>
      <c r="AP16" s="77">
        <v>195</v>
      </c>
      <c r="AQ16" s="77">
        <v>246</v>
      </c>
      <c r="AR16" s="77">
        <v>238</v>
      </c>
      <c r="AS16" s="77">
        <v>284</v>
      </c>
      <c r="AT16" s="77">
        <v>311</v>
      </c>
      <c r="AU16" s="77">
        <v>321</v>
      </c>
      <c r="AV16" s="77">
        <v>359</v>
      </c>
      <c r="AW16" s="77">
        <v>369</v>
      </c>
      <c r="AX16" s="77">
        <v>345</v>
      </c>
      <c r="AY16" s="77">
        <v>392</v>
      </c>
      <c r="AZ16" s="77">
        <v>363</v>
      </c>
      <c r="BA16" s="77">
        <v>348</v>
      </c>
      <c r="BB16" s="77">
        <v>312</v>
      </c>
      <c r="BC16" s="77">
        <v>303</v>
      </c>
      <c r="BD16" s="77">
        <v>341</v>
      </c>
      <c r="BE16" s="77">
        <v>257</v>
      </c>
      <c r="BF16" s="77">
        <v>239</v>
      </c>
      <c r="BG16" s="77">
        <v>265</v>
      </c>
      <c r="BH16" s="77">
        <v>306</v>
      </c>
      <c r="BI16" s="77">
        <v>323</v>
      </c>
      <c r="BJ16" s="77">
        <v>330</v>
      </c>
      <c r="BK16" s="77">
        <v>329</v>
      </c>
      <c r="BL16" s="77">
        <v>300</v>
      </c>
      <c r="BM16" s="77">
        <v>297</v>
      </c>
      <c r="BN16" s="77">
        <v>346</v>
      </c>
      <c r="BO16" s="77">
        <v>311</v>
      </c>
      <c r="BP16" s="77">
        <v>265</v>
      </c>
      <c r="BQ16" s="77">
        <v>275</v>
      </c>
      <c r="BR16" s="77">
        <v>324</v>
      </c>
      <c r="BS16" s="77">
        <v>287</v>
      </c>
      <c r="BT16" s="77">
        <v>291</v>
      </c>
      <c r="BU16" s="77">
        <v>299</v>
      </c>
      <c r="BV16" s="77">
        <v>198</v>
      </c>
      <c r="BW16" s="77">
        <v>115</v>
      </c>
      <c r="BX16" s="77">
        <v>23</v>
      </c>
      <c r="BY16" s="77">
        <v>3</v>
      </c>
    </row>
    <row r="17" spans="1:86">
      <c r="A17" s="74" t="s">
        <v>92</v>
      </c>
      <c r="B17" s="76">
        <v>202410</v>
      </c>
      <c r="C17" s="77">
        <v>11278</v>
      </c>
      <c r="D17" s="78">
        <v>129018.8667</v>
      </c>
      <c r="E17" s="77">
        <v>10993</v>
      </c>
      <c r="AL17" s="77">
        <v>2</v>
      </c>
      <c r="AM17" s="77">
        <v>8</v>
      </c>
      <c r="AN17" s="77">
        <v>32</v>
      </c>
      <c r="AO17" s="77">
        <v>162</v>
      </c>
      <c r="AP17" s="77">
        <v>155</v>
      </c>
      <c r="AQ17" s="77">
        <v>195</v>
      </c>
      <c r="AR17" s="77">
        <v>259</v>
      </c>
      <c r="AS17" s="77">
        <v>262</v>
      </c>
      <c r="AT17" s="77">
        <v>296</v>
      </c>
      <c r="AU17" s="77">
        <v>348</v>
      </c>
      <c r="AV17" s="77">
        <v>373</v>
      </c>
      <c r="AW17" s="77">
        <v>363</v>
      </c>
      <c r="AX17" s="77">
        <v>349</v>
      </c>
      <c r="AY17" s="77">
        <v>394</v>
      </c>
      <c r="AZ17" s="77">
        <v>385</v>
      </c>
      <c r="BA17" s="77">
        <v>362</v>
      </c>
      <c r="BB17" s="77">
        <v>350</v>
      </c>
      <c r="BC17" s="77">
        <v>321</v>
      </c>
      <c r="BD17" s="77">
        <v>358</v>
      </c>
      <c r="BE17" s="77">
        <v>318</v>
      </c>
      <c r="BF17" s="77">
        <v>289</v>
      </c>
      <c r="BG17" s="77">
        <v>304</v>
      </c>
      <c r="BH17" s="77">
        <v>366</v>
      </c>
      <c r="BI17" s="77">
        <v>341</v>
      </c>
      <c r="BJ17" s="77">
        <v>370</v>
      </c>
      <c r="BK17" s="77">
        <v>369</v>
      </c>
      <c r="BL17" s="77">
        <v>421</v>
      </c>
      <c r="BM17" s="77">
        <v>405</v>
      </c>
      <c r="BN17" s="77">
        <v>357</v>
      </c>
      <c r="BO17" s="77">
        <v>356</v>
      </c>
      <c r="BP17" s="77">
        <v>371</v>
      </c>
      <c r="BQ17" s="77">
        <v>363</v>
      </c>
      <c r="BR17" s="77">
        <v>359</v>
      </c>
      <c r="BS17" s="77">
        <v>337</v>
      </c>
      <c r="BT17" s="77">
        <v>299</v>
      </c>
      <c r="BU17" s="77">
        <v>305</v>
      </c>
      <c r="BV17" s="77">
        <v>252</v>
      </c>
      <c r="BW17" s="77">
        <v>97</v>
      </c>
      <c r="BX17" s="77">
        <v>17</v>
      </c>
      <c r="BY17" s="77">
        <v>8</v>
      </c>
    </row>
    <row r="18" spans="1:86">
      <c r="A18" s="74" t="s">
        <v>92</v>
      </c>
      <c r="B18" s="76">
        <v>202411</v>
      </c>
      <c r="C18" s="77">
        <v>10968</v>
      </c>
      <c r="D18" s="78">
        <v>114550.95</v>
      </c>
      <c r="E18" s="77">
        <v>10706</v>
      </c>
      <c r="AL18" s="77">
        <v>1</v>
      </c>
      <c r="AM18" s="77">
        <v>6</v>
      </c>
      <c r="AN18" s="77">
        <v>32</v>
      </c>
      <c r="AO18" s="77">
        <v>164</v>
      </c>
      <c r="AP18" s="77">
        <v>207</v>
      </c>
      <c r="AQ18" s="77">
        <v>236</v>
      </c>
      <c r="AR18" s="77">
        <v>227</v>
      </c>
      <c r="AS18" s="77">
        <v>270</v>
      </c>
      <c r="AT18" s="77">
        <v>309</v>
      </c>
      <c r="AU18" s="77">
        <v>335</v>
      </c>
      <c r="AV18" s="77">
        <v>352</v>
      </c>
      <c r="AW18" s="77">
        <v>345</v>
      </c>
      <c r="AX18" s="77">
        <v>368</v>
      </c>
      <c r="AY18" s="77">
        <v>362</v>
      </c>
      <c r="AZ18" s="77">
        <v>369</v>
      </c>
      <c r="BA18" s="77">
        <v>383</v>
      </c>
      <c r="BB18" s="77">
        <v>301</v>
      </c>
      <c r="BC18" s="77">
        <v>332</v>
      </c>
      <c r="BD18" s="77">
        <v>384</v>
      </c>
      <c r="BE18" s="77">
        <v>281</v>
      </c>
      <c r="BF18" s="77">
        <v>300</v>
      </c>
      <c r="BG18" s="77">
        <v>324</v>
      </c>
      <c r="BH18" s="77">
        <v>321</v>
      </c>
      <c r="BI18" s="77">
        <v>336</v>
      </c>
      <c r="BJ18" s="77">
        <v>361</v>
      </c>
      <c r="BK18" s="77">
        <v>371</v>
      </c>
      <c r="BL18" s="77">
        <v>379</v>
      </c>
      <c r="BM18" s="77">
        <v>340</v>
      </c>
      <c r="BN18" s="77">
        <v>374</v>
      </c>
      <c r="BO18" s="77">
        <v>338</v>
      </c>
      <c r="BP18" s="77">
        <v>325</v>
      </c>
      <c r="BQ18" s="77">
        <v>347</v>
      </c>
      <c r="BR18" s="77">
        <v>349</v>
      </c>
      <c r="BS18" s="77">
        <v>325</v>
      </c>
      <c r="BT18" s="77">
        <v>287</v>
      </c>
      <c r="BU18" s="77">
        <v>267</v>
      </c>
      <c r="BV18" s="77">
        <v>215</v>
      </c>
      <c r="BW18" s="77">
        <v>117</v>
      </c>
      <c r="BX18" s="77">
        <v>22</v>
      </c>
      <c r="BY18" s="77">
        <v>4</v>
      </c>
      <c r="BZ18" s="77">
        <v>2</v>
      </c>
    </row>
    <row r="19" spans="1:86">
      <c r="A19" s="74" t="s">
        <v>92</v>
      </c>
      <c r="B19" s="76">
        <v>202412</v>
      </c>
      <c r="C19" s="77">
        <v>10634</v>
      </c>
      <c r="D19" s="78">
        <v>114836.2333</v>
      </c>
      <c r="E19" s="77">
        <v>10375</v>
      </c>
      <c r="AL19" s="77">
        <v>1</v>
      </c>
      <c r="AM19" s="77">
        <v>1</v>
      </c>
      <c r="AN19" s="77">
        <v>12</v>
      </c>
      <c r="AO19" s="77">
        <v>134</v>
      </c>
      <c r="AP19" s="77">
        <v>133</v>
      </c>
      <c r="AQ19" s="77">
        <v>219</v>
      </c>
      <c r="AR19" s="77">
        <v>232</v>
      </c>
      <c r="AS19" s="77">
        <v>265</v>
      </c>
      <c r="AT19" s="77">
        <v>308</v>
      </c>
      <c r="AU19" s="77">
        <v>280</v>
      </c>
      <c r="AV19" s="77">
        <v>330</v>
      </c>
      <c r="AW19" s="77">
        <v>349</v>
      </c>
      <c r="AX19" s="77">
        <v>323</v>
      </c>
      <c r="AY19" s="77">
        <v>375</v>
      </c>
      <c r="AZ19" s="77">
        <v>366</v>
      </c>
      <c r="BA19" s="77">
        <v>346</v>
      </c>
      <c r="BB19" s="77">
        <v>336</v>
      </c>
      <c r="BC19" s="77">
        <v>290</v>
      </c>
      <c r="BD19" s="77">
        <v>347</v>
      </c>
      <c r="BE19" s="77">
        <v>325</v>
      </c>
      <c r="BF19" s="77">
        <v>302</v>
      </c>
      <c r="BG19" s="77">
        <v>329</v>
      </c>
      <c r="BH19" s="77">
        <v>343</v>
      </c>
      <c r="BI19" s="77">
        <v>376</v>
      </c>
      <c r="BJ19" s="77">
        <v>368</v>
      </c>
      <c r="BK19" s="77">
        <v>353</v>
      </c>
      <c r="BL19" s="77">
        <v>342</v>
      </c>
      <c r="BM19" s="77">
        <v>341</v>
      </c>
      <c r="BN19" s="77">
        <v>315</v>
      </c>
      <c r="BO19" s="77">
        <v>362</v>
      </c>
      <c r="BP19" s="77">
        <v>329</v>
      </c>
      <c r="BQ19" s="77">
        <v>323</v>
      </c>
      <c r="BR19" s="77">
        <v>326</v>
      </c>
      <c r="BS19" s="77">
        <v>332</v>
      </c>
      <c r="BT19" s="77">
        <v>305</v>
      </c>
      <c r="BU19" s="77">
        <v>273</v>
      </c>
      <c r="BV19" s="77">
        <v>194</v>
      </c>
      <c r="BW19" s="77">
        <v>109</v>
      </c>
      <c r="BX19" s="77">
        <v>36</v>
      </c>
      <c r="BY19" s="77">
        <v>4</v>
      </c>
    </row>
    <row r="20" spans="1:86">
      <c r="A20" s="74" t="s">
        <v>92</v>
      </c>
      <c r="B20" s="76">
        <v>202501</v>
      </c>
      <c r="C20" s="77">
        <v>12155</v>
      </c>
      <c r="D20" s="78">
        <v>110998.15</v>
      </c>
      <c r="E20" s="77">
        <v>11907</v>
      </c>
      <c r="AL20" s="77">
        <v>1</v>
      </c>
      <c r="AM20" s="77">
        <v>7</v>
      </c>
      <c r="AN20" s="77">
        <v>25</v>
      </c>
      <c r="AO20" s="77">
        <v>165</v>
      </c>
      <c r="AP20" s="77">
        <v>178</v>
      </c>
      <c r="AQ20" s="77">
        <v>214</v>
      </c>
      <c r="AR20" s="77">
        <v>279</v>
      </c>
      <c r="AS20" s="77">
        <v>277</v>
      </c>
      <c r="AT20" s="77">
        <v>311</v>
      </c>
      <c r="AU20" s="77">
        <v>342</v>
      </c>
      <c r="AV20" s="77">
        <v>375</v>
      </c>
      <c r="AW20" s="77">
        <v>406</v>
      </c>
      <c r="AX20" s="77">
        <v>411</v>
      </c>
      <c r="AY20" s="77">
        <v>419</v>
      </c>
      <c r="AZ20" s="77">
        <v>392</v>
      </c>
      <c r="BA20" s="77">
        <v>343</v>
      </c>
      <c r="BB20" s="77">
        <v>354</v>
      </c>
      <c r="BC20" s="77">
        <v>359</v>
      </c>
      <c r="BD20" s="77">
        <v>415</v>
      </c>
      <c r="BE20" s="77">
        <v>369</v>
      </c>
      <c r="BF20" s="77">
        <v>328</v>
      </c>
      <c r="BG20" s="77">
        <v>364</v>
      </c>
      <c r="BH20" s="77">
        <v>412</v>
      </c>
      <c r="BI20" s="77">
        <v>420</v>
      </c>
      <c r="BJ20" s="77">
        <v>428</v>
      </c>
      <c r="BK20" s="77">
        <v>407</v>
      </c>
      <c r="BL20" s="77">
        <v>457</v>
      </c>
      <c r="BM20" s="77">
        <v>403</v>
      </c>
      <c r="BN20" s="77">
        <v>394</v>
      </c>
      <c r="BO20" s="77">
        <v>375</v>
      </c>
      <c r="BP20" s="77">
        <v>424</v>
      </c>
      <c r="BQ20" s="77">
        <v>347</v>
      </c>
      <c r="BR20" s="77">
        <v>337</v>
      </c>
      <c r="BS20" s="77">
        <v>335</v>
      </c>
      <c r="BT20" s="77">
        <v>330</v>
      </c>
      <c r="BU20" s="77">
        <v>324</v>
      </c>
      <c r="BV20" s="77">
        <v>235</v>
      </c>
      <c r="BW20" s="77">
        <v>148</v>
      </c>
      <c r="BX20" s="77">
        <v>30</v>
      </c>
      <c r="BY20" s="77">
        <v>10</v>
      </c>
      <c r="BZ20" s="77">
        <v>4</v>
      </c>
      <c r="CA20" s="77">
        <v>1</v>
      </c>
    </row>
    <row r="21" spans="1:86">
      <c r="A21" s="74" t="s">
        <v>92</v>
      </c>
      <c r="B21" s="76">
        <v>202502</v>
      </c>
      <c r="C21" s="77">
        <v>11838</v>
      </c>
      <c r="D21" s="78">
        <v>107977.2333</v>
      </c>
      <c r="E21" s="77">
        <v>11607</v>
      </c>
      <c r="AM21" s="77">
        <v>2</v>
      </c>
      <c r="AN21" s="77">
        <v>29</v>
      </c>
      <c r="AO21" s="77">
        <v>170</v>
      </c>
      <c r="AP21" s="77">
        <v>189</v>
      </c>
      <c r="AQ21" s="77">
        <v>208</v>
      </c>
      <c r="AR21" s="77">
        <v>254</v>
      </c>
      <c r="AS21" s="77">
        <v>280</v>
      </c>
      <c r="AT21" s="77">
        <v>315</v>
      </c>
      <c r="AU21" s="77">
        <v>374</v>
      </c>
      <c r="AV21" s="77">
        <v>335</v>
      </c>
      <c r="AW21" s="77">
        <v>354</v>
      </c>
      <c r="AX21" s="77">
        <v>381</v>
      </c>
      <c r="AY21" s="77">
        <v>363</v>
      </c>
      <c r="AZ21" s="77">
        <v>395</v>
      </c>
      <c r="BA21" s="77">
        <v>340</v>
      </c>
      <c r="BB21" s="77">
        <v>369</v>
      </c>
      <c r="BC21" s="77">
        <v>351</v>
      </c>
      <c r="BD21" s="77">
        <v>395</v>
      </c>
      <c r="BE21" s="77">
        <v>337</v>
      </c>
      <c r="BF21" s="77">
        <v>290</v>
      </c>
      <c r="BG21" s="77">
        <v>340</v>
      </c>
      <c r="BH21" s="77">
        <v>372</v>
      </c>
      <c r="BI21" s="77">
        <v>408</v>
      </c>
      <c r="BJ21" s="77">
        <v>404</v>
      </c>
      <c r="BK21" s="77">
        <v>443</v>
      </c>
      <c r="BL21" s="77">
        <v>384</v>
      </c>
      <c r="BM21" s="77">
        <v>398</v>
      </c>
      <c r="BN21" s="77">
        <v>402</v>
      </c>
      <c r="BO21" s="77">
        <v>370</v>
      </c>
      <c r="BP21" s="77">
        <v>391</v>
      </c>
      <c r="BQ21" s="77">
        <v>379</v>
      </c>
      <c r="BR21" s="77">
        <v>347</v>
      </c>
      <c r="BS21" s="77">
        <v>312</v>
      </c>
      <c r="BT21" s="77">
        <v>349</v>
      </c>
      <c r="BU21" s="77">
        <v>333</v>
      </c>
      <c r="BV21" s="77">
        <v>275</v>
      </c>
      <c r="BW21" s="77">
        <v>160</v>
      </c>
      <c r="BX21" s="77">
        <v>34</v>
      </c>
      <c r="BY21" s="77">
        <v>3</v>
      </c>
      <c r="BZ21" s="77">
        <v>2</v>
      </c>
      <c r="CA21" s="77">
        <v>1</v>
      </c>
    </row>
    <row r="22" spans="1:86">
      <c r="A22" s="74" t="s">
        <v>92</v>
      </c>
      <c r="B22" s="76">
        <v>202503</v>
      </c>
      <c r="C22" s="77">
        <v>15589</v>
      </c>
      <c r="D22" s="78">
        <v>125721.15</v>
      </c>
      <c r="E22" s="77">
        <v>15315</v>
      </c>
      <c r="AL22" s="77">
        <v>1</v>
      </c>
      <c r="AM22" s="77">
        <v>12</v>
      </c>
      <c r="AN22" s="77">
        <v>65</v>
      </c>
      <c r="AO22" s="77">
        <v>311</v>
      </c>
      <c r="AP22" s="77">
        <v>273</v>
      </c>
      <c r="AQ22" s="77">
        <v>315</v>
      </c>
      <c r="AR22" s="77">
        <v>353</v>
      </c>
      <c r="AS22" s="77">
        <v>376</v>
      </c>
      <c r="AT22" s="77">
        <v>406</v>
      </c>
      <c r="AU22" s="77">
        <v>442</v>
      </c>
      <c r="AV22" s="77">
        <v>474</v>
      </c>
      <c r="AW22" s="77">
        <v>534</v>
      </c>
      <c r="AX22" s="77">
        <v>500</v>
      </c>
      <c r="AY22" s="77">
        <v>520</v>
      </c>
      <c r="AZ22" s="77">
        <v>516</v>
      </c>
      <c r="BA22" s="77">
        <v>517</v>
      </c>
      <c r="BB22" s="77">
        <v>421</v>
      </c>
      <c r="BC22" s="77">
        <v>506</v>
      </c>
      <c r="BD22" s="77">
        <v>454</v>
      </c>
      <c r="BE22" s="77">
        <v>444</v>
      </c>
      <c r="BF22" s="77">
        <v>391</v>
      </c>
      <c r="BG22" s="77">
        <v>424</v>
      </c>
      <c r="BH22" s="77">
        <v>444</v>
      </c>
      <c r="BI22" s="77">
        <v>490</v>
      </c>
      <c r="BJ22" s="77">
        <v>507</v>
      </c>
      <c r="BK22" s="77">
        <v>510</v>
      </c>
      <c r="BL22" s="77">
        <v>532</v>
      </c>
      <c r="BM22" s="77">
        <v>523</v>
      </c>
      <c r="BN22" s="77">
        <v>498</v>
      </c>
      <c r="BO22" s="77">
        <v>484</v>
      </c>
      <c r="BP22" s="77">
        <v>487</v>
      </c>
      <c r="BQ22" s="77">
        <v>478</v>
      </c>
      <c r="BR22" s="77">
        <v>458</v>
      </c>
      <c r="BS22" s="77">
        <v>392</v>
      </c>
      <c r="BT22" s="77">
        <v>413</v>
      </c>
      <c r="BU22" s="77">
        <v>412</v>
      </c>
      <c r="BV22" s="77">
        <v>335</v>
      </c>
      <c r="BW22" s="77">
        <v>209</v>
      </c>
      <c r="BX22" s="77">
        <v>60</v>
      </c>
      <c r="BY22" s="77">
        <v>24</v>
      </c>
      <c r="BZ22" s="77">
        <v>12</v>
      </c>
      <c r="CA22" s="77">
        <v>19</v>
      </c>
      <c r="CB22" s="77">
        <v>17</v>
      </c>
      <c r="CC22" s="77">
        <v>11</v>
      </c>
      <c r="CD22" s="77">
        <v>11</v>
      </c>
      <c r="CE22" s="77">
        <v>6</v>
      </c>
      <c r="CG22" s="77">
        <v>2</v>
      </c>
    </row>
    <row r="23" spans="1:86">
      <c r="A23" s="74" t="s">
        <v>92</v>
      </c>
      <c r="B23" s="76">
        <v>202504</v>
      </c>
      <c r="C23" s="77">
        <v>13807</v>
      </c>
      <c r="D23" s="78">
        <v>129716.9333</v>
      </c>
      <c r="E23" s="77">
        <v>13538</v>
      </c>
      <c r="AL23" s="77">
        <v>1</v>
      </c>
      <c r="AM23" s="77">
        <v>10</v>
      </c>
      <c r="AN23" s="77">
        <v>57</v>
      </c>
      <c r="AO23" s="77">
        <v>252</v>
      </c>
      <c r="AP23" s="77">
        <v>271</v>
      </c>
      <c r="AQ23" s="77">
        <v>317</v>
      </c>
      <c r="AR23" s="77">
        <v>360</v>
      </c>
      <c r="AS23" s="77">
        <v>364</v>
      </c>
      <c r="AT23" s="77">
        <v>354</v>
      </c>
      <c r="AU23" s="77">
        <v>454</v>
      </c>
      <c r="AV23" s="77">
        <v>429</v>
      </c>
      <c r="AW23" s="77">
        <v>460</v>
      </c>
      <c r="AX23" s="77">
        <v>431</v>
      </c>
      <c r="AY23" s="77">
        <v>425</v>
      </c>
      <c r="AZ23" s="77">
        <v>465</v>
      </c>
      <c r="BA23" s="77">
        <v>422</v>
      </c>
      <c r="BB23" s="77">
        <v>386</v>
      </c>
      <c r="BC23" s="77">
        <v>400</v>
      </c>
      <c r="BD23" s="77">
        <v>440</v>
      </c>
      <c r="BE23" s="77">
        <v>416</v>
      </c>
      <c r="BF23" s="77">
        <v>353</v>
      </c>
      <c r="BG23" s="77">
        <v>382</v>
      </c>
      <c r="BH23" s="77">
        <v>412</v>
      </c>
      <c r="BI23" s="77">
        <v>461</v>
      </c>
      <c r="BJ23" s="77">
        <v>462</v>
      </c>
      <c r="BK23" s="77">
        <v>458</v>
      </c>
      <c r="BL23" s="77">
        <v>450</v>
      </c>
      <c r="BM23" s="77">
        <v>425</v>
      </c>
      <c r="BN23" s="77">
        <v>391</v>
      </c>
      <c r="BO23" s="77">
        <v>401</v>
      </c>
      <c r="BP23" s="77">
        <v>405</v>
      </c>
      <c r="BQ23" s="77">
        <v>407</v>
      </c>
      <c r="BR23" s="77">
        <v>415</v>
      </c>
      <c r="BS23" s="77">
        <v>379</v>
      </c>
      <c r="BT23" s="77">
        <v>336</v>
      </c>
      <c r="BU23" s="77">
        <v>373</v>
      </c>
      <c r="BV23" s="77">
        <v>292</v>
      </c>
      <c r="BW23" s="77">
        <v>191</v>
      </c>
      <c r="BX23" s="77">
        <v>45</v>
      </c>
      <c r="BY23" s="77">
        <v>19</v>
      </c>
      <c r="BZ23" s="77">
        <v>13</v>
      </c>
      <c r="CA23" s="77">
        <v>10</v>
      </c>
      <c r="CB23" s="77">
        <v>8</v>
      </c>
      <c r="CC23" s="77">
        <v>4</v>
      </c>
      <c r="CD23" s="77">
        <v>1</v>
      </c>
    </row>
    <row r="24" spans="1:86">
      <c r="A24" s="74" t="s">
        <v>92</v>
      </c>
      <c r="B24" s="76">
        <v>202505</v>
      </c>
      <c r="C24" s="77">
        <v>12044</v>
      </c>
      <c r="D24" s="78">
        <v>120055.2</v>
      </c>
      <c r="E24" s="77">
        <v>11780</v>
      </c>
      <c r="AJ24" s="77">
        <v>1</v>
      </c>
      <c r="AM24" s="77">
        <v>6</v>
      </c>
      <c r="AN24" s="77">
        <v>38</v>
      </c>
      <c r="AO24" s="77">
        <v>206</v>
      </c>
      <c r="AP24" s="77">
        <v>247</v>
      </c>
      <c r="AQ24" s="77">
        <v>272</v>
      </c>
      <c r="AR24" s="77">
        <v>288</v>
      </c>
      <c r="AS24" s="77">
        <v>323</v>
      </c>
      <c r="AT24" s="77">
        <v>364</v>
      </c>
      <c r="AU24" s="77">
        <v>377</v>
      </c>
      <c r="AV24" s="77">
        <v>418</v>
      </c>
      <c r="AW24" s="77">
        <v>396</v>
      </c>
      <c r="AX24" s="77">
        <v>367</v>
      </c>
      <c r="AY24" s="77">
        <v>410</v>
      </c>
      <c r="AZ24" s="77">
        <v>383</v>
      </c>
      <c r="BA24" s="77">
        <v>410</v>
      </c>
      <c r="BB24" s="77">
        <v>390</v>
      </c>
      <c r="BC24" s="77">
        <v>368</v>
      </c>
      <c r="BD24" s="77">
        <v>359</v>
      </c>
      <c r="BE24" s="77">
        <v>338</v>
      </c>
      <c r="BF24" s="77">
        <v>305</v>
      </c>
      <c r="BG24" s="77">
        <v>330</v>
      </c>
      <c r="BH24" s="77">
        <v>355</v>
      </c>
      <c r="BI24" s="77">
        <v>386</v>
      </c>
      <c r="BJ24" s="77">
        <v>363</v>
      </c>
      <c r="BK24" s="77">
        <v>378</v>
      </c>
      <c r="BL24" s="77">
        <v>393</v>
      </c>
      <c r="BM24" s="77">
        <v>361</v>
      </c>
      <c r="BN24" s="77">
        <v>349</v>
      </c>
      <c r="BO24" s="77">
        <v>334</v>
      </c>
      <c r="BP24" s="77">
        <v>343</v>
      </c>
      <c r="BQ24" s="77">
        <v>362</v>
      </c>
      <c r="BR24" s="77">
        <v>349</v>
      </c>
      <c r="BS24" s="77">
        <v>335</v>
      </c>
      <c r="BT24" s="77">
        <v>326</v>
      </c>
      <c r="BU24" s="77">
        <v>332</v>
      </c>
      <c r="BV24" s="77">
        <v>275</v>
      </c>
      <c r="BW24" s="77">
        <v>158</v>
      </c>
      <c r="BX24" s="77">
        <v>36</v>
      </c>
      <c r="BY24" s="77">
        <v>7</v>
      </c>
      <c r="BZ24" s="77">
        <v>3</v>
      </c>
      <c r="CA24" s="77">
        <v>3</v>
      </c>
    </row>
    <row r="25" spans="1:86">
      <c r="A25" s="74" t="s">
        <v>92</v>
      </c>
      <c r="B25" s="76">
        <v>202506</v>
      </c>
      <c r="C25" s="77">
        <v>12083</v>
      </c>
      <c r="D25" s="78">
        <v>124742.35</v>
      </c>
      <c r="E25" s="77">
        <v>11810</v>
      </c>
      <c r="AM25" s="77">
        <v>8</v>
      </c>
      <c r="AN25" s="77">
        <v>37</v>
      </c>
      <c r="AO25" s="77">
        <v>183</v>
      </c>
      <c r="AP25" s="77">
        <v>207</v>
      </c>
      <c r="AQ25" s="77">
        <v>253</v>
      </c>
      <c r="AR25" s="77">
        <v>293</v>
      </c>
      <c r="AS25" s="77">
        <v>302</v>
      </c>
      <c r="AT25" s="77">
        <v>336</v>
      </c>
      <c r="AU25" s="77">
        <v>361</v>
      </c>
      <c r="AV25" s="77">
        <v>383</v>
      </c>
      <c r="AW25" s="77">
        <v>380</v>
      </c>
      <c r="AX25" s="77">
        <v>436</v>
      </c>
      <c r="AY25" s="77">
        <v>394</v>
      </c>
      <c r="AZ25" s="77">
        <v>406</v>
      </c>
      <c r="BA25" s="77">
        <v>368</v>
      </c>
      <c r="BB25" s="77">
        <v>373</v>
      </c>
      <c r="BC25" s="77">
        <v>336</v>
      </c>
      <c r="BD25" s="77">
        <v>404</v>
      </c>
      <c r="BE25" s="77">
        <v>317</v>
      </c>
      <c r="BF25" s="77">
        <v>333</v>
      </c>
      <c r="BG25" s="77">
        <v>314</v>
      </c>
      <c r="BH25" s="77">
        <v>375</v>
      </c>
      <c r="BI25" s="77">
        <v>367</v>
      </c>
      <c r="BJ25" s="77">
        <v>367</v>
      </c>
      <c r="BK25" s="77">
        <v>374</v>
      </c>
      <c r="BL25" s="77">
        <v>388</v>
      </c>
      <c r="BM25" s="77">
        <v>383</v>
      </c>
      <c r="BN25" s="77">
        <v>344</v>
      </c>
      <c r="BO25" s="77">
        <v>365</v>
      </c>
      <c r="BP25" s="77">
        <v>412</v>
      </c>
      <c r="BQ25" s="77">
        <v>389</v>
      </c>
      <c r="BR25" s="77">
        <v>372</v>
      </c>
      <c r="BS25" s="77">
        <v>355</v>
      </c>
      <c r="BT25" s="77">
        <v>307</v>
      </c>
      <c r="BU25" s="77">
        <v>387</v>
      </c>
      <c r="BV25" s="77">
        <v>264</v>
      </c>
      <c r="BW25" s="77">
        <v>168</v>
      </c>
      <c r="BX25" s="77">
        <v>30</v>
      </c>
      <c r="BY25" s="77">
        <v>8</v>
      </c>
      <c r="BZ25" s="77">
        <v>4</v>
      </c>
    </row>
    <row r="26" spans="1:86">
      <c r="A26" s="74" t="s">
        <v>92</v>
      </c>
      <c r="B26" s="76">
        <v>202507</v>
      </c>
      <c r="C26" s="77">
        <v>13244</v>
      </c>
      <c r="D26" s="78">
        <v>131894.8</v>
      </c>
      <c r="E26" s="77">
        <v>12954</v>
      </c>
      <c r="AM26" s="77">
        <v>8</v>
      </c>
      <c r="AN26" s="77">
        <v>59</v>
      </c>
      <c r="AO26" s="77">
        <v>257</v>
      </c>
      <c r="AP26" s="77">
        <v>234</v>
      </c>
      <c r="AQ26" s="77">
        <v>277</v>
      </c>
      <c r="AR26" s="77">
        <v>337</v>
      </c>
      <c r="AS26" s="77">
        <v>399</v>
      </c>
      <c r="AT26" s="77">
        <v>378</v>
      </c>
      <c r="AU26" s="77">
        <v>464</v>
      </c>
      <c r="AV26" s="77">
        <v>438</v>
      </c>
      <c r="AW26" s="77">
        <v>480</v>
      </c>
      <c r="AX26" s="77">
        <v>456</v>
      </c>
      <c r="AY26" s="77">
        <v>491</v>
      </c>
      <c r="AZ26" s="77">
        <v>479</v>
      </c>
      <c r="BA26" s="77">
        <v>403</v>
      </c>
      <c r="BB26" s="77">
        <v>373</v>
      </c>
      <c r="BC26" s="77">
        <v>362</v>
      </c>
      <c r="BD26" s="77">
        <v>389</v>
      </c>
      <c r="BE26" s="77">
        <v>361</v>
      </c>
      <c r="BF26" s="77">
        <v>331</v>
      </c>
      <c r="BG26" s="77">
        <v>324</v>
      </c>
      <c r="BH26" s="77">
        <v>341</v>
      </c>
      <c r="BI26" s="77">
        <v>374</v>
      </c>
      <c r="BJ26" s="77">
        <v>381</v>
      </c>
      <c r="BK26" s="77">
        <v>434</v>
      </c>
      <c r="BL26" s="77">
        <v>387</v>
      </c>
      <c r="BM26" s="77">
        <v>422</v>
      </c>
      <c r="BN26" s="77">
        <v>369</v>
      </c>
      <c r="BO26" s="77">
        <v>369</v>
      </c>
      <c r="BP26" s="77">
        <v>374</v>
      </c>
      <c r="BQ26" s="77">
        <v>378</v>
      </c>
      <c r="BR26" s="77">
        <v>388</v>
      </c>
      <c r="BS26" s="77">
        <v>388</v>
      </c>
      <c r="BT26" s="77">
        <v>365</v>
      </c>
      <c r="BU26" s="77">
        <v>406</v>
      </c>
      <c r="BV26" s="77">
        <v>332</v>
      </c>
      <c r="BW26" s="77">
        <v>181</v>
      </c>
      <c r="BX26" s="77">
        <v>42</v>
      </c>
      <c r="BY26" s="77">
        <v>9</v>
      </c>
      <c r="BZ26" s="77">
        <v>4</v>
      </c>
    </row>
    <row r="27" spans="1:86">
      <c r="A27" s="74" t="s">
        <v>92</v>
      </c>
      <c r="B27" s="76">
        <v>202508</v>
      </c>
      <c r="C27" s="77">
        <v>11179</v>
      </c>
      <c r="D27" s="78">
        <v>111490.35</v>
      </c>
      <c r="E27" s="77">
        <v>10937</v>
      </c>
      <c r="AM27" s="77">
        <v>3</v>
      </c>
      <c r="AN27" s="77">
        <v>27</v>
      </c>
      <c r="AO27" s="77">
        <v>180</v>
      </c>
      <c r="AP27" s="77">
        <v>198</v>
      </c>
      <c r="AQ27" s="77">
        <v>271</v>
      </c>
      <c r="AR27" s="77">
        <v>279</v>
      </c>
      <c r="AS27" s="77">
        <v>329</v>
      </c>
      <c r="AT27" s="77">
        <v>299</v>
      </c>
      <c r="AU27" s="77">
        <v>353</v>
      </c>
      <c r="AV27" s="77">
        <v>354</v>
      </c>
      <c r="AW27" s="77">
        <v>384</v>
      </c>
      <c r="AX27" s="77">
        <v>391</v>
      </c>
      <c r="AY27" s="77">
        <v>358</v>
      </c>
      <c r="AZ27" s="77">
        <v>396</v>
      </c>
      <c r="BA27" s="77">
        <v>298</v>
      </c>
      <c r="BB27" s="77">
        <v>354</v>
      </c>
      <c r="BC27" s="77">
        <v>314</v>
      </c>
      <c r="BD27" s="77">
        <v>332</v>
      </c>
      <c r="BE27" s="77">
        <v>284</v>
      </c>
      <c r="BF27" s="77">
        <v>275</v>
      </c>
      <c r="BG27" s="77">
        <v>284</v>
      </c>
      <c r="BH27" s="77">
        <v>338</v>
      </c>
      <c r="BI27" s="77">
        <v>371</v>
      </c>
      <c r="BJ27" s="77">
        <v>380</v>
      </c>
      <c r="BK27" s="77">
        <v>325</v>
      </c>
      <c r="BL27" s="77">
        <v>328</v>
      </c>
      <c r="BM27" s="77">
        <v>349</v>
      </c>
      <c r="BN27" s="77">
        <v>365</v>
      </c>
      <c r="BO27" s="77">
        <v>372</v>
      </c>
      <c r="BP27" s="77">
        <v>373</v>
      </c>
      <c r="BQ27" s="77">
        <v>344</v>
      </c>
      <c r="BR27" s="77">
        <v>340</v>
      </c>
      <c r="BS27" s="77">
        <v>314</v>
      </c>
      <c r="BT27" s="77">
        <v>295</v>
      </c>
      <c r="BU27" s="77">
        <v>278</v>
      </c>
      <c r="BV27" s="77">
        <v>252</v>
      </c>
      <c r="BW27" s="77">
        <v>142</v>
      </c>
      <c r="BX27" s="77">
        <v>37</v>
      </c>
      <c r="BY27" s="77">
        <v>10</v>
      </c>
      <c r="BZ27" s="77">
        <v>3</v>
      </c>
    </row>
    <row r="28" spans="1:86">
      <c r="A28" s="74" t="s">
        <v>92</v>
      </c>
      <c r="B28" s="76">
        <v>202509</v>
      </c>
      <c r="C28" s="77">
        <v>11573</v>
      </c>
      <c r="D28" s="78">
        <v>118569.2833</v>
      </c>
      <c r="E28" s="77">
        <v>11312</v>
      </c>
      <c r="AM28" s="77">
        <v>7</v>
      </c>
      <c r="AN28" s="77">
        <v>30</v>
      </c>
      <c r="AO28" s="77">
        <v>182</v>
      </c>
      <c r="AP28" s="77">
        <v>221</v>
      </c>
      <c r="AQ28" s="77">
        <v>215</v>
      </c>
      <c r="AR28" s="77">
        <v>285</v>
      </c>
      <c r="AS28" s="77">
        <v>303</v>
      </c>
      <c r="AT28" s="77">
        <v>333</v>
      </c>
      <c r="AU28" s="77">
        <v>374</v>
      </c>
      <c r="AV28" s="77">
        <v>391</v>
      </c>
      <c r="AW28" s="77">
        <v>360</v>
      </c>
      <c r="AX28" s="77">
        <v>395</v>
      </c>
      <c r="AY28" s="77">
        <v>419</v>
      </c>
      <c r="AZ28" s="77">
        <v>368</v>
      </c>
      <c r="BA28" s="77">
        <v>360</v>
      </c>
      <c r="BB28" s="77">
        <v>339</v>
      </c>
      <c r="BC28" s="77">
        <v>316</v>
      </c>
      <c r="BD28" s="77">
        <v>374</v>
      </c>
      <c r="BE28" s="77">
        <v>334</v>
      </c>
      <c r="BF28" s="77">
        <v>264</v>
      </c>
      <c r="BG28" s="77">
        <v>280</v>
      </c>
      <c r="BH28" s="77">
        <v>355</v>
      </c>
      <c r="BI28" s="77">
        <v>371</v>
      </c>
      <c r="BJ28" s="77">
        <v>343</v>
      </c>
      <c r="BK28" s="77">
        <v>351</v>
      </c>
      <c r="BL28" s="77">
        <v>353</v>
      </c>
      <c r="BM28" s="77">
        <v>363</v>
      </c>
      <c r="BN28" s="77">
        <v>361</v>
      </c>
      <c r="BO28" s="77">
        <v>368</v>
      </c>
      <c r="BP28" s="77">
        <v>355</v>
      </c>
      <c r="BQ28" s="77">
        <v>388</v>
      </c>
      <c r="BR28" s="77">
        <v>347</v>
      </c>
      <c r="BS28" s="77">
        <v>321</v>
      </c>
      <c r="BT28" s="77">
        <v>338</v>
      </c>
      <c r="BU28" s="77">
        <v>309</v>
      </c>
      <c r="BV28" s="77">
        <v>294</v>
      </c>
      <c r="BW28" s="77">
        <v>159</v>
      </c>
      <c r="BX28" s="77">
        <v>43</v>
      </c>
      <c r="BY28" s="77">
        <v>4</v>
      </c>
    </row>
    <row r="29" spans="1:86">
      <c r="A29" s="74" t="s">
        <v>92</v>
      </c>
      <c r="B29" s="76">
        <v>202510</v>
      </c>
      <c r="C29" s="77">
        <v>12626</v>
      </c>
      <c r="D29" s="78">
        <v>130256.8167</v>
      </c>
      <c r="E29" s="77">
        <v>12340</v>
      </c>
      <c r="AM29" s="77">
        <v>4</v>
      </c>
      <c r="AN29" s="77">
        <v>28</v>
      </c>
      <c r="AO29" s="77">
        <v>177</v>
      </c>
      <c r="AP29" s="77">
        <v>212</v>
      </c>
      <c r="AQ29" s="77">
        <v>248</v>
      </c>
      <c r="AR29" s="77">
        <v>276</v>
      </c>
      <c r="AS29" s="77">
        <v>325</v>
      </c>
      <c r="AT29" s="77">
        <v>350</v>
      </c>
      <c r="AU29" s="77">
        <v>401</v>
      </c>
      <c r="AV29" s="77">
        <v>414</v>
      </c>
      <c r="AW29" s="77">
        <v>429</v>
      </c>
      <c r="AX29" s="77">
        <v>385</v>
      </c>
      <c r="AY29" s="77">
        <v>436</v>
      </c>
      <c r="AZ29" s="77">
        <v>405</v>
      </c>
      <c r="BA29" s="77">
        <v>397</v>
      </c>
      <c r="BB29" s="77">
        <v>361</v>
      </c>
      <c r="BC29" s="77">
        <v>377</v>
      </c>
      <c r="BD29" s="77">
        <v>358</v>
      </c>
      <c r="BE29" s="77">
        <v>346</v>
      </c>
      <c r="BF29" s="77">
        <v>316</v>
      </c>
      <c r="BG29" s="77">
        <v>329</v>
      </c>
      <c r="BH29" s="77">
        <v>385</v>
      </c>
      <c r="BI29" s="77">
        <v>421</v>
      </c>
      <c r="BJ29" s="77">
        <v>357</v>
      </c>
      <c r="BK29" s="77">
        <v>378</v>
      </c>
      <c r="BL29" s="77">
        <v>410</v>
      </c>
      <c r="BM29" s="77">
        <v>388</v>
      </c>
      <c r="BN29" s="77">
        <v>417</v>
      </c>
      <c r="BO29" s="77">
        <v>389</v>
      </c>
      <c r="BP29" s="77">
        <v>419</v>
      </c>
      <c r="BQ29" s="77">
        <v>410</v>
      </c>
      <c r="BR29" s="77">
        <v>400</v>
      </c>
      <c r="BS29" s="77">
        <v>392</v>
      </c>
      <c r="BT29" s="77">
        <v>368</v>
      </c>
      <c r="BU29" s="77">
        <v>364</v>
      </c>
      <c r="BV29" s="77">
        <v>309</v>
      </c>
      <c r="BW29" s="77">
        <v>158</v>
      </c>
      <c r="BX29" s="77">
        <v>56</v>
      </c>
      <c r="BY29" s="77">
        <v>4</v>
      </c>
      <c r="BZ29" s="77">
        <v>2</v>
      </c>
      <c r="CA29" s="77">
        <v>3</v>
      </c>
      <c r="CB29" s="77">
        <v>4</v>
      </c>
      <c r="CC29" s="77">
        <v>3</v>
      </c>
      <c r="CD29" s="77">
        <v>3</v>
      </c>
      <c r="CE29" s="77">
        <v>5</v>
      </c>
      <c r="CF29" s="77">
        <v>6</v>
      </c>
      <c r="CH29" s="77">
        <v>1</v>
      </c>
    </row>
    <row r="30" spans="1:86">
      <c r="A30" s="74" t="s">
        <v>92</v>
      </c>
      <c r="B30" s="76">
        <v>202511</v>
      </c>
      <c r="C30" s="77">
        <v>11042</v>
      </c>
      <c r="D30" s="78">
        <v>104195.5</v>
      </c>
      <c r="E30" s="77">
        <v>10808</v>
      </c>
      <c r="AN30" s="77">
        <v>19</v>
      </c>
      <c r="AO30" s="77">
        <v>143</v>
      </c>
      <c r="AP30" s="77">
        <v>174</v>
      </c>
      <c r="AQ30" s="77">
        <v>191</v>
      </c>
      <c r="AR30" s="77">
        <v>238</v>
      </c>
      <c r="AS30" s="77">
        <v>262</v>
      </c>
      <c r="AT30" s="77">
        <v>271</v>
      </c>
      <c r="AU30" s="77">
        <v>323</v>
      </c>
      <c r="AV30" s="77">
        <v>354</v>
      </c>
      <c r="AW30" s="77">
        <v>367</v>
      </c>
      <c r="AX30" s="77">
        <v>377</v>
      </c>
      <c r="AY30" s="77">
        <v>386</v>
      </c>
      <c r="AZ30" s="77">
        <v>361</v>
      </c>
      <c r="BA30" s="77">
        <v>339</v>
      </c>
      <c r="BB30" s="77">
        <v>356</v>
      </c>
      <c r="BC30" s="77">
        <v>298</v>
      </c>
      <c r="BD30" s="77">
        <v>299</v>
      </c>
      <c r="BE30" s="77">
        <v>314</v>
      </c>
      <c r="BF30" s="77">
        <v>285</v>
      </c>
      <c r="BG30" s="77">
        <v>260</v>
      </c>
      <c r="BH30" s="77">
        <v>298</v>
      </c>
      <c r="BI30" s="77">
        <v>363</v>
      </c>
      <c r="BJ30" s="77">
        <v>399</v>
      </c>
      <c r="BK30" s="77">
        <v>409</v>
      </c>
      <c r="BL30" s="77">
        <v>419</v>
      </c>
      <c r="BM30" s="77">
        <v>359</v>
      </c>
      <c r="BN30" s="77">
        <v>349</v>
      </c>
      <c r="BO30" s="77">
        <v>351</v>
      </c>
      <c r="BP30" s="77">
        <v>355</v>
      </c>
      <c r="BQ30" s="77">
        <v>360</v>
      </c>
      <c r="BR30" s="77">
        <v>352</v>
      </c>
      <c r="BS30" s="77">
        <v>301</v>
      </c>
      <c r="BT30" s="77">
        <v>355</v>
      </c>
      <c r="BU30" s="77">
        <v>292</v>
      </c>
      <c r="BV30" s="77">
        <v>292</v>
      </c>
      <c r="BW30" s="77">
        <v>130</v>
      </c>
      <c r="BX30" s="77">
        <v>35</v>
      </c>
      <c r="BY30" s="77">
        <v>6</v>
      </c>
    </row>
    <row r="31" spans="1:86">
      <c r="A31" s="74" t="s">
        <v>106</v>
      </c>
      <c r="B31" s="76">
        <v>202401</v>
      </c>
      <c r="C31" s="77">
        <v>4779</v>
      </c>
      <c r="D31" s="78">
        <v>58090.5833</v>
      </c>
      <c r="E31" s="77">
        <v>4635</v>
      </c>
      <c r="AM31" s="77">
        <v>32</v>
      </c>
      <c r="AN31" s="77">
        <v>72</v>
      </c>
      <c r="AO31" s="77">
        <v>70</v>
      </c>
      <c r="AP31" s="77">
        <v>86</v>
      </c>
      <c r="AQ31" s="77">
        <v>125</v>
      </c>
      <c r="AR31" s="77">
        <v>117</v>
      </c>
      <c r="AS31" s="77">
        <v>130</v>
      </c>
      <c r="AT31" s="77">
        <v>152</v>
      </c>
      <c r="AU31" s="77">
        <v>140</v>
      </c>
      <c r="AV31" s="77">
        <v>157</v>
      </c>
      <c r="AW31" s="77">
        <v>181</v>
      </c>
      <c r="AX31" s="77">
        <v>159</v>
      </c>
      <c r="AY31" s="77">
        <v>161</v>
      </c>
      <c r="AZ31" s="77">
        <v>156</v>
      </c>
      <c r="BA31" s="77">
        <v>154</v>
      </c>
      <c r="BB31" s="77">
        <v>163</v>
      </c>
      <c r="BC31" s="77">
        <v>158</v>
      </c>
      <c r="BD31" s="77">
        <v>131</v>
      </c>
      <c r="BE31" s="77">
        <v>140</v>
      </c>
      <c r="BF31" s="77">
        <v>162</v>
      </c>
      <c r="BG31" s="77">
        <v>176</v>
      </c>
      <c r="BH31" s="77">
        <v>168</v>
      </c>
      <c r="BI31" s="77">
        <v>134</v>
      </c>
      <c r="BJ31" s="77">
        <v>182</v>
      </c>
      <c r="BK31" s="77">
        <v>147</v>
      </c>
      <c r="BL31" s="77">
        <v>118</v>
      </c>
      <c r="BM31" s="77">
        <v>146</v>
      </c>
      <c r="BN31" s="77">
        <v>160</v>
      </c>
      <c r="BO31" s="77">
        <v>175</v>
      </c>
      <c r="BP31" s="77">
        <v>110</v>
      </c>
      <c r="BQ31" s="77">
        <v>126</v>
      </c>
      <c r="BR31" s="77">
        <v>128</v>
      </c>
      <c r="BS31" s="77">
        <v>132</v>
      </c>
      <c r="BT31" s="77">
        <v>108</v>
      </c>
      <c r="BU31" s="77">
        <v>75</v>
      </c>
      <c r="BV31" s="77">
        <v>44</v>
      </c>
      <c r="BW31" s="77">
        <v>4</v>
      </c>
    </row>
    <row r="32" spans="1:86">
      <c r="A32" s="74" t="s">
        <v>106</v>
      </c>
      <c r="B32" s="76">
        <v>202402</v>
      </c>
      <c r="C32" s="77">
        <v>5473</v>
      </c>
      <c r="D32" s="78">
        <v>58787.5333</v>
      </c>
      <c r="E32" s="77">
        <v>5324</v>
      </c>
      <c r="AM32" s="77">
        <v>32</v>
      </c>
      <c r="AN32" s="77">
        <v>102</v>
      </c>
      <c r="AO32" s="77">
        <v>102</v>
      </c>
      <c r="AP32" s="77">
        <v>101</v>
      </c>
      <c r="AQ32" s="77">
        <v>139</v>
      </c>
      <c r="AR32" s="77">
        <v>144</v>
      </c>
      <c r="AS32" s="77">
        <v>169</v>
      </c>
      <c r="AT32" s="77">
        <v>158</v>
      </c>
      <c r="AU32" s="77">
        <v>190</v>
      </c>
      <c r="AV32" s="77">
        <v>193</v>
      </c>
      <c r="AW32" s="77">
        <v>193</v>
      </c>
      <c r="AX32" s="77">
        <v>226</v>
      </c>
      <c r="AY32" s="77">
        <v>204</v>
      </c>
      <c r="AZ32" s="77">
        <v>165</v>
      </c>
      <c r="BA32" s="77">
        <v>183</v>
      </c>
      <c r="BB32" s="77">
        <v>166</v>
      </c>
      <c r="BC32" s="77">
        <v>153</v>
      </c>
      <c r="BD32" s="77">
        <v>144</v>
      </c>
      <c r="BE32" s="77">
        <v>126</v>
      </c>
      <c r="BF32" s="77">
        <v>134</v>
      </c>
      <c r="BG32" s="77">
        <v>155</v>
      </c>
      <c r="BH32" s="77">
        <v>166</v>
      </c>
      <c r="BI32" s="77">
        <v>167</v>
      </c>
      <c r="BJ32" s="77">
        <v>194</v>
      </c>
      <c r="BK32" s="77">
        <v>180</v>
      </c>
      <c r="BL32" s="77">
        <v>216</v>
      </c>
      <c r="BM32" s="77">
        <v>162</v>
      </c>
      <c r="BN32" s="77">
        <v>173</v>
      </c>
      <c r="BO32" s="77">
        <v>181</v>
      </c>
      <c r="BP32" s="77">
        <v>161</v>
      </c>
      <c r="BQ32" s="77">
        <v>144</v>
      </c>
      <c r="BR32" s="77">
        <v>171</v>
      </c>
      <c r="BS32" s="77">
        <v>131</v>
      </c>
      <c r="BT32" s="77">
        <v>113</v>
      </c>
      <c r="BU32" s="77">
        <v>88</v>
      </c>
      <c r="BV32" s="77">
        <v>42</v>
      </c>
      <c r="BW32" s="77">
        <v>5</v>
      </c>
    </row>
    <row r="33" spans="1:83">
      <c r="A33" s="74" t="s">
        <v>106</v>
      </c>
      <c r="B33" s="76">
        <v>202403</v>
      </c>
      <c r="C33" s="77">
        <v>7683</v>
      </c>
      <c r="D33" s="78">
        <v>69192.35000000001</v>
      </c>
      <c r="E33" s="77">
        <v>7502</v>
      </c>
      <c r="AL33" s="77">
        <v>9</v>
      </c>
      <c r="AM33" s="77">
        <v>53</v>
      </c>
      <c r="AN33" s="77">
        <v>159</v>
      </c>
      <c r="AO33" s="77">
        <v>139</v>
      </c>
      <c r="AP33" s="77">
        <v>155</v>
      </c>
      <c r="AQ33" s="77">
        <v>179</v>
      </c>
      <c r="AR33" s="77">
        <v>227</v>
      </c>
      <c r="AS33" s="77">
        <v>233</v>
      </c>
      <c r="AT33" s="77">
        <v>269</v>
      </c>
      <c r="AU33" s="77">
        <v>228</v>
      </c>
      <c r="AV33" s="77">
        <v>256</v>
      </c>
      <c r="AW33" s="77">
        <v>265</v>
      </c>
      <c r="AX33" s="77">
        <v>245</v>
      </c>
      <c r="AY33" s="77">
        <v>307</v>
      </c>
      <c r="AZ33" s="77">
        <v>229</v>
      </c>
      <c r="BA33" s="77">
        <v>241</v>
      </c>
      <c r="BB33" s="77">
        <v>190</v>
      </c>
      <c r="BC33" s="77">
        <v>199</v>
      </c>
      <c r="BD33" s="77">
        <v>192</v>
      </c>
      <c r="BE33" s="77">
        <v>184</v>
      </c>
      <c r="BF33" s="77">
        <v>219</v>
      </c>
      <c r="BG33" s="77">
        <v>236</v>
      </c>
      <c r="BH33" s="77">
        <v>247</v>
      </c>
      <c r="BI33" s="77">
        <v>286</v>
      </c>
      <c r="BJ33" s="77">
        <v>266</v>
      </c>
      <c r="BK33" s="77">
        <v>245</v>
      </c>
      <c r="BL33" s="77">
        <v>241</v>
      </c>
      <c r="BM33" s="77">
        <v>251</v>
      </c>
      <c r="BN33" s="77">
        <v>244</v>
      </c>
      <c r="BO33" s="77">
        <v>233</v>
      </c>
      <c r="BP33" s="77">
        <v>245</v>
      </c>
      <c r="BQ33" s="77">
        <v>206</v>
      </c>
      <c r="BR33" s="77">
        <v>220</v>
      </c>
      <c r="BS33" s="77">
        <v>188</v>
      </c>
      <c r="BT33" s="77">
        <v>186</v>
      </c>
      <c r="BU33" s="77">
        <v>122</v>
      </c>
      <c r="BV33" s="77">
        <v>52</v>
      </c>
      <c r="BW33" s="77">
        <v>5</v>
      </c>
      <c r="BX33" s="77">
        <v>7</v>
      </c>
      <c r="BY33" s="77">
        <v>1</v>
      </c>
      <c r="BZ33" s="77">
        <v>4</v>
      </c>
      <c r="CA33" s="77">
        <v>2</v>
      </c>
      <c r="CC33" s="77">
        <v>4</v>
      </c>
      <c r="CD33" s="77">
        <v>1</v>
      </c>
      <c r="CE33" s="77">
        <v>13</v>
      </c>
    </row>
    <row r="34" spans="1:83">
      <c r="A34" s="74" t="s">
        <v>106</v>
      </c>
      <c r="B34" s="76">
        <v>202404</v>
      </c>
      <c r="C34" s="77">
        <v>6445</v>
      </c>
      <c r="D34" s="78">
        <v>72966.25</v>
      </c>
      <c r="E34" s="77">
        <v>6274</v>
      </c>
      <c r="AL34" s="77">
        <v>7</v>
      </c>
      <c r="AM34" s="77">
        <v>68</v>
      </c>
      <c r="AN34" s="77">
        <v>134</v>
      </c>
      <c r="AO34" s="77">
        <v>121</v>
      </c>
      <c r="AP34" s="77">
        <v>163</v>
      </c>
      <c r="AQ34" s="77">
        <v>151</v>
      </c>
      <c r="AR34" s="77">
        <v>208</v>
      </c>
      <c r="AS34" s="77">
        <v>197</v>
      </c>
      <c r="AT34" s="77">
        <v>236</v>
      </c>
      <c r="AU34" s="77">
        <v>229</v>
      </c>
      <c r="AV34" s="77">
        <v>246</v>
      </c>
      <c r="AW34" s="77">
        <v>236</v>
      </c>
      <c r="AX34" s="77">
        <v>243</v>
      </c>
      <c r="AY34" s="77">
        <v>218</v>
      </c>
      <c r="AZ34" s="77">
        <v>201</v>
      </c>
      <c r="BA34" s="77">
        <v>193</v>
      </c>
      <c r="BB34" s="77">
        <v>150</v>
      </c>
      <c r="BC34" s="77">
        <v>159</v>
      </c>
      <c r="BD34" s="77">
        <v>169</v>
      </c>
      <c r="BE34" s="77">
        <v>164</v>
      </c>
      <c r="BF34" s="77">
        <v>188</v>
      </c>
      <c r="BG34" s="77">
        <v>174</v>
      </c>
      <c r="BH34" s="77">
        <v>201</v>
      </c>
      <c r="BI34" s="77">
        <v>211</v>
      </c>
      <c r="BJ34" s="77">
        <v>239</v>
      </c>
      <c r="BK34" s="77">
        <v>211</v>
      </c>
      <c r="BL34" s="77">
        <v>207</v>
      </c>
      <c r="BM34" s="77">
        <v>175</v>
      </c>
      <c r="BN34" s="77">
        <v>172</v>
      </c>
      <c r="BO34" s="77">
        <v>165</v>
      </c>
      <c r="BP34" s="77">
        <v>197</v>
      </c>
      <c r="BQ34" s="77">
        <v>158</v>
      </c>
      <c r="BR34" s="77">
        <v>180</v>
      </c>
      <c r="BS34" s="77">
        <v>152</v>
      </c>
      <c r="BT34" s="77">
        <v>139</v>
      </c>
      <c r="BU34" s="77">
        <v>108</v>
      </c>
      <c r="BV34" s="77">
        <v>45</v>
      </c>
      <c r="BW34" s="77">
        <v>10</v>
      </c>
      <c r="BX34" s="77">
        <v>9</v>
      </c>
      <c r="BY34" s="77">
        <v>2</v>
      </c>
      <c r="BZ34" s="77">
        <v>4</v>
      </c>
      <c r="CA34" s="77">
        <v>1</v>
      </c>
      <c r="CB34" s="77">
        <v>2</v>
      </c>
      <c r="CC34" s="77">
        <v>1</v>
      </c>
      <c r="CD34" s="77">
        <v>1</v>
      </c>
    </row>
    <row r="35" spans="1:83">
      <c r="A35" s="74" t="s">
        <v>106</v>
      </c>
      <c r="B35" s="76">
        <v>202405</v>
      </c>
      <c r="C35" s="77">
        <v>5349</v>
      </c>
      <c r="D35" s="78">
        <v>74021.25</v>
      </c>
      <c r="E35" s="77">
        <v>5185</v>
      </c>
      <c r="AL35" s="77">
        <v>2</v>
      </c>
      <c r="AM35" s="77">
        <v>46</v>
      </c>
      <c r="AN35" s="77">
        <v>94</v>
      </c>
      <c r="AO35" s="77">
        <v>106</v>
      </c>
      <c r="AP35" s="77">
        <v>131</v>
      </c>
      <c r="AQ35" s="77">
        <v>140</v>
      </c>
      <c r="AR35" s="77">
        <v>161</v>
      </c>
      <c r="AS35" s="77">
        <v>160</v>
      </c>
      <c r="AT35" s="77">
        <v>161</v>
      </c>
      <c r="AU35" s="77">
        <v>205</v>
      </c>
      <c r="AV35" s="77">
        <v>192</v>
      </c>
      <c r="AW35" s="77">
        <v>199</v>
      </c>
      <c r="AX35" s="77">
        <v>186</v>
      </c>
      <c r="AY35" s="77">
        <v>198</v>
      </c>
      <c r="AZ35" s="77">
        <v>176</v>
      </c>
      <c r="BA35" s="77">
        <v>147</v>
      </c>
      <c r="BB35" s="77">
        <v>130</v>
      </c>
      <c r="BC35" s="77">
        <v>132</v>
      </c>
      <c r="BD35" s="77">
        <v>140</v>
      </c>
      <c r="BE35" s="77">
        <v>148</v>
      </c>
      <c r="BF35" s="77">
        <v>174</v>
      </c>
      <c r="BG35" s="77">
        <v>161</v>
      </c>
      <c r="BH35" s="77">
        <v>157</v>
      </c>
      <c r="BI35" s="77">
        <v>150</v>
      </c>
      <c r="BJ35" s="77">
        <v>159</v>
      </c>
      <c r="BK35" s="77">
        <v>173</v>
      </c>
      <c r="BL35" s="77">
        <v>171</v>
      </c>
      <c r="BM35" s="77">
        <v>171</v>
      </c>
      <c r="BN35" s="77">
        <v>192</v>
      </c>
      <c r="BO35" s="77">
        <v>143</v>
      </c>
      <c r="BP35" s="77">
        <v>156</v>
      </c>
      <c r="BQ35" s="77">
        <v>157</v>
      </c>
      <c r="BR35" s="77">
        <v>145</v>
      </c>
      <c r="BS35" s="77">
        <v>127</v>
      </c>
      <c r="BT35" s="77">
        <v>121</v>
      </c>
      <c r="BU35" s="77">
        <v>82</v>
      </c>
      <c r="BV35" s="77">
        <v>49</v>
      </c>
      <c r="BW35" s="77">
        <v>4</v>
      </c>
      <c r="BX35" s="77">
        <v>1</v>
      </c>
      <c r="CC35" s="77">
        <v>2</v>
      </c>
    </row>
    <row r="36" spans="1:83">
      <c r="A36" s="74" t="s">
        <v>106</v>
      </c>
      <c r="B36" s="76">
        <v>202406</v>
      </c>
      <c r="C36" s="77">
        <v>5636</v>
      </c>
      <c r="D36" s="78">
        <v>69458.35000000001</v>
      </c>
      <c r="E36" s="77">
        <v>5475</v>
      </c>
      <c r="AL36" s="77">
        <v>6</v>
      </c>
      <c r="AM36" s="77">
        <v>54</v>
      </c>
      <c r="AN36" s="77">
        <v>123</v>
      </c>
      <c r="AO36" s="77">
        <v>113</v>
      </c>
      <c r="AP36" s="77">
        <v>118</v>
      </c>
      <c r="AQ36" s="77">
        <v>186</v>
      </c>
      <c r="AR36" s="77">
        <v>194</v>
      </c>
      <c r="AS36" s="77">
        <v>183</v>
      </c>
      <c r="AT36" s="77">
        <v>208</v>
      </c>
      <c r="AU36" s="77">
        <v>192</v>
      </c>
      <c r="AV36" s="77">
        <v>218</v>
      </c>
      <c r="AW36" s="77">
        <v>212</v>
      </c>
      <c r="AX36" s="77">
        <v>181</v>
      </c>
      <c r="AY36" s="77">
        <v>213</v>
      </c>
      <c r="AZ36" s="77">
        <v>156</v>
      </c>
      <c r="BA36" s="77">
        <v>152</v>
      </c>
      <c r="BB36" s="77">
        <v>153</v>
      </c>
      <c r="BC36" s="77">
        <v>170</v>
      </c>
      <c r="BD36" s="77">
        <v>139</v>
      </c>
      <c r="BE36" s="77">
        <v>144</v>
      </c>
      <c r="BF36" s="77">
        <v>164</v>
      </c>
      <c r="BG36" s="77">
        <v>180</v>
      </c>
      <c r="BH36" s="77">
        <v>175</v>
      </c>
      <c r="BI36" s="77">
        <v>177</v>
      </c>
      <c r="BJ36" s="77">
        <v>201</v>
      </c>
      <c r="BK36" s="77">
        <v>181</v>
      </c>
      <c r="BL36" s="77">
        <v>171</v>
      </c>
      <c r="BM36" s="77">
        <v>156</v>
      </c>
      <c r="BN36" s="77">
        <v>157</v>
      </c>
      <c r="BO36" s="77">
        <v>155</v>
      </c>
      <c r="BP36" s="77">
        <v>161</v>
      </c>
      <c r="BQ36" s="77">
        <v>137</v>
      </c>
      <c r="BR36" s="77">
        <v>137</v>
      </c>
      <c r="BS36" s="77">
        <v>119</v>
      </c>
      <c r="BT36" s="77">
        <v>117</v>
      </c>
      <c r="BU36" s="77">
        <v>90</v>
      </c>
      <c r="BV36" s="77">
        <v>43</v>
      </c>
    </row>
    <row r="37" spans="1:83">
      <c r="A37" s="74" t="s">
        <v>106</v>
      </c>
      <c r="B37" s="76">
        <v>202407</v>
      </c>
      <c r="C37" s="77">
        <v>6098</v>
      </c>
      <c r="D37" s="78">
        <v>76125.95</v>
      </c>
      <c r="E37" s="77">
        <v>5922</v>
      </c>
      <c r="AK37" s="77">
        <v>1</v>
      </c>
      <c r="AL37" s="77">
        <v>5</v>
      </c>
      <c r="AM37" s="77">
        <v>64</v>
      </c>
      <c r="AN37" s="77">
        <v>94</v>
      </c>
      <c r="AO37" s="77">
        <v>123</v>
      </c>
      <c r="AP37" s="77">
        <v>167</v>
      </c>
      <c r="AQ37" s="77">
        <v>164</v>
      </c>
      <c r="AR37" s="77">
        <v>178</v>
      </c>
      <c r="AS37" s="77">
        <v>222</v>
      </c>
      <c r="AT37" s="77">
        <v>203</v>
      </c>
      <c r="AU37" s="77">
        <v>228</v>
      </c>
      <c r="AV37" s="77">
        <v>210</v>
      </c>
      <c r="AW37" s="77">
        <v>228</v>
      </c>
      <c r="AX37" s="77">
        <v>204</v>
      </c>
      <c r="AY37" s="77">
        <v>198</v>
      </c>
      <c r="AZ37" s="77">
        <v>183</v>
      </c>
      <c r="BA37" s="77">
        <v>156</v>
      </c>
      <c r="BB37" s="77">
        <v>181</v>
      </c>
      <c r="BC37" s="77">
        <v>159</v>
      </c>
      <c r="BD37" s="77">
        <v>139</v>
      </c>
      <c r="BE37" s="77">
        <v>177</v>
      </c>
      <c r="BF37" s="77">
        <v>205</v>
      </c>
      <c r="BG37" s="77">
        <v>198</v>
      </c>
      <c r="BH37" s="77">
        <v>185</v>
      </c>
      <c r="BI37" s="77">
        <v>205</v>
      </c>
      <c r="BJ37" s="77">
        <v>198</v>
      </c>
      <c r="BK37" s="77">
        <v>189</v>
      </c>
      <c r="BL37" s="77">
        <v>201</v>
      </c>
      <c r="BM37" s="77">
        <v>154</v>
      </c>
      <c r="BN37" s="77">
        <v>169</v>
      </c>
      <c r="BO37" s="77">
        <v>196</v>
      </c>
      <c r="BP37" s="77">
        <v>177</v>
      </c>
      <c r="BQ37" s="77">
        <v>156</v>
      </c>
      <c r="BR37" s="77">
        <v>174</v>
      </c>
      <c r="BS37" s="77">
        <v>156</v>
      </c>
      <c r="BT37" s="77">
        <v>118</v>
      </c>
      <c r="BU37" s="77">
        <v>86</v>
      </c>
      <c r="BV37" s="77">
        <v>42</v>
      </c>
      <c r="BW37" s="77">
        <v>4</v>
      </c>
      <c r="BZ37" s="77">
        <v>1</v>
      </c>
    </row>
    <row r="38" spans="1:83">
      <c r="A38" s="74" t="s">
        <v>106</v>
      </c>
      <c r="B38" s="76">
        <v>202408</v>
      </c>
      <c r="C38" s="77">
        <v>5692</v>
      </c>
      <c r="D38" s="78">
        <v>70956.01669999999</v>
      </c>
      <c r="E38" s="77">
        <v>5528</v>
      </c>
      <c r="AL38" s="77">
        <v>3</v>
      </c>
      <c r="AM38" s="77">
        <v>71</v>
      </c>
      <c r="AN38" s="77">
        <v>116</v>
      </c>
      <c r="AO38" s="77">
        <v>150</v>
      </c>
      <c r="AP38" s="77">
        <v>139</v>
      </c>
      <c r="AQ38" s="77">
        <v>160</v>
      </c>
      <c r="AR38" s="77">
        <v>166</v>
      </c>
      <c r="AS38" s="77">
        <v>190</v>
      </c>
      <c r="AT38" s="77">
        <v>244</v>
      </c>
      <c r="AU38" s="77">
        <v>250</v>
      </c>
      <c r="AV38" s="77">
        <v>207</v>
      </c>
      <c r="AW38" s="77">
        <v>220</v>
      </c>
      <c r="AX38" s="77">
        <v>203</v>
      </c>
      <c r="AY38" s="77">
        <v>188</v>
      </c>
      <c r="AZ38" s="77">
        <v>205</v>
      </c>
      <c r="BA38" s="77">
        <v>175</v>
      </c>
      <c r="BB38" s="77">
        <v>135</v>
      </c>
      <c r="BC38" s="77">
        <v>166</v>
      </c>
      <c r="BD38" s="77">
        <v>154</v>
      </c>
      <c r="BE38" s="77">
        <v>131</v>
      </c>
      <c r="BF38" s="77">
        <v>145</v>
      </c>
      <c r="BG38" s="77">
        <v>173</v>
      </c>
      <c r="BH38" s="77">
        <v>162</v>
      </c>
      <c r="BI38" s="77">
        <v>165</v>
      </c>
      <c r="BJ38" s="77">
        <v>146</v>
      </c>
      <c r="BK38" s="77">
        <v>176</v>
      </c>
      <c r="BL38" s="77">
        <v>169</v>
      </c>
      <c r="BM38" s="77">
        <v>151</v>
      </c>
      <c r="BN38" s="77">
        <v>165</v>
      </c>
      <c r="BO38" s="77">
        <v>169</v>
      </c>
      <c r="BP38" s="77">
        <v>142</v>
      </c>
      <c r="BQ38" s="77">
        <v>144</v>
      </c>
      <c r="BR38" s="77">
        <v>137</v>
      </c>
      <c r="BS38" s="77">
        <v>136</v>
      </c>
      <c r="BT38" s="77">
        <v>124</v>
      </c>
      <c r="BU38" s="77">
        <v>72</v>
      </c>
      <c r="BV38" s="77">
        <v>43</v>
      </c>
    </row>
    <row r="39" spans="1:83">
      <c r="A39" s="74" t="s">
        <v>106</v>
      </c>
      <c r="B39" s="76">
        <v>202409</v>
      </c>
      <c r="C39" s="77">
        <v>5642</v>
      </c>
      <c r="D39" s="78">
        <v>67326.25</v>
      </c>
      <c r="E39" s="77">
        <v>5488</v>
      </c>
      <c r="AL39" s="77">
        <v>10</v>
      </c>
      <c r="AM39" s="77">
        <v>68</v>
      </c>
      <c r="AN39" s="77">
        <v>100</v>
      </c>
      <c r="AO39" s="77">
        <v>120</v>
      </c>
      <c r="AP39" s="77">
        <v>160</v>
      </c>
      <c r="AQ39" s="77">
        <v>142</v>
      </c>
      <c r="AR39" s="77">
        <v>185</v>
      </c>
      <c r="AS39" s="77">
        <v>224</v>
      </c>
      <c r="AT39" s="77">
        <v>224</v>
      </c>
      <c r="AU39" s="77">
        <v>189</v>
      </c>
      <c r="AV39" s="77">
        <v>212</v>
      </c>
      <c r="AW39" s="77">
        <v>211</v>
      </c>
      <c r="AX39" s="77">
        <v>210</v>
      </c>
      <c r="AY39" s="77">
        <v>183</v>
      </c>
      <c r="AZ39" s="77">
        <v>201</v>
      </c>
      <c r="BA39" s="77">
        <v>176</v>
      </c>
      <c r="BB39" s="77">
        <v>162</v>
      </c>
      <c r="BC39" s="77">
        <v>143</v>
      </c>
      <c r="BD39" s="77">
        <v>134</v>
      </c>
      <c r="BE39" s="77">
        <v>132</v>
      </c>
      <c r="BF39" s="77">
        <v>177</v>
      </c>
      <c r="BG39" s="77">
        <v>158</v>
      </c>
      <c r="BH39" s="77">
        <v>175</v>
      </c>
      <c r="BI39" s="77">
        <v>183</v>
      </c>
      <c r="BJ39" s="77">
        <v>162</v>
      </c>
      <c r="BK39" s="77">
        <v>178</v>
      </c>
      <c r="BL39" s="77">
        <v>159</v>
      </c>
      <c r="BM39" s="77">
        <v>153</v>
      </c>
      <c r="BN39" s="77">
        <v>155</v>
      </c>
      <c r="BO39" s="77">
        <v>154</v>
      </c>
      <c r="BP39" s="77">
        <v>157</v>
      </c>
      <c r="BQ39" s="77">
        <v>135</v>
      </c>
      <c r="BR39" s="77">
        <v>131</v>
      </c>
      <c r="BS39" s="77">
        <v>142</v>
      </c>
      <c r="BT39" s="77">
        <v>116</v>
      </c>
      <c r="BU39" s="77">
        <v>77</v>
      </c>
      <c r="BV39" s="77">
        <v>38</v>
      </c>
      <c r="BW39" s="77">
        <v>3</v>
      </c>
      <c r="BY39" s="77">
        <v>1</v>
      </c>
      <c r="CD39" s="77">
        <v>2</v>
      </c>
    </row>
    <row r="40" spans="1:83">
      <c r="A40" s="74" t="s">
        <v>106</v>
      </c>
      <c r="B40" s="76">
        <v>202410</v>
      </c>
      <c r="C40" s="77">
        <v>6561</v>
      </c>
      <c r="D40" s="78">
        <v>77492.73330000001</v>
      </c>
      <c r="E40" s="77">
        <v>6386</v>
      </c>
      <c r="AL40" s="77">
        <v>4</v>
      </c>
      <c r="AM40" s="77">
        <v>74</v>
      </c>
      <c r="AN40" s="77">
        <v>129</v>
      </c>
      <c r="AO40" s="77">
        <v>140</v>
      </c>
      <c r="AP40" s="77">
        <v>176</v>
      </c>
      <c r="AQ40" s="77">
        <v>150</v>
      </c>
      <c r="AR40" s="77">
        <v>186</v>
      </c>
      <c r="AS40" s="77">
        <v>213</v>
      </c>
      <c r="AT40" s="77">
        <v>215</v>
      </c>
      <c r="AU40" s="77">
        <v>258</v>
      </c>
      <c r="AV40" s="77">
        <v>236</v>
      </c>
      <c r="AW40" s="77">
        <v>275</v>
      </c>
      <c r="AX40" s="77">
        <v>246</v>
      </c>
      <c r="AY40" s="77">
        <v>215</v>
      </c>
      <c r="AZ40" s="77">
        <v>217</v>
      </c>
      <c r="BA40" s="77">
        <v>181</v>
      </c>
      <c r="BB40" s="77">
        <v>193</v>
      </c>
      <c r="BC40" s="77">
        <v>187</v>
      </c>
      <c r="BD40" s="77">
        <v>167</v>
      </c>
      <c r="BE40" s="77">
        <v>186</v>
      </c>
      <c r="BF40" s="77">
        <v>196</v>
      </c>
      <c r="BG40" s="77">
        <v>209</v>
      </c>
      <c r="BH40" s="77">
        <v>204</v>
      </c>
      <c r="BI40" s="77">
        <v>202</v>
      </c>
      <c r="BJ40" s="77">
        <v>209</v>
      </c>
      <c r="BK40" s="77">
        <v>214</v>
      </c>
      <c r="BL40" s="77">
        <v>231</v>
      </c>
      <c r="BM40" s="77">
        <v>189</v>
      </c>
      <c r="BN40" s="77">
        <v>157</v>
      </c>
      <c r="BO40" s="77">
        <v>163</v>
      </c>
      <c r="BP40" s="77">
        <v>175</v>
      </c>
      <c r="BQ40" s="77">
        <v>162</v>
      </c>
      <c r="BR40" s="77">
        <v>186</v>
      </c>
      <c r="BS40" s="77">
        <v>149</v>
      </c>
      <c r="BT40" s="77">
        <v>114</v>
      </c>
      <c r="BU40" s="77">
        <v>94</v>
      </c>
      <c r="BV40" s="77">
        <v>59</v>
      </c>
    </row>
    <row r="41" spans="1:83">
      <c r="A41" s="74" t="s">
        <v>106</v>
      </c>
      <c r="B41" s="76">
        <v>202411</v>
      </c>
      <c r="C41" s="77">
        <v>5884</v>
      </c>
      <c r="D41" s="78">
        <v>70159.73330000001</v>
      </c>
      <c r="E41" s="77">
        <v>5721</v>
      </c>
      <c r="AL41" s="77">
        <v>7</v>
      </c>
      <c r="AM41" s="77">
        <v>62</v>
      </c>
      <c r="AN41" s="77">
        <v>96</v>
      </c>
      <c r="AO41" s="77">
        <v>114</v>
      </c>
      <c r="AP41" s="77">
        <v>133</v>
      </c>
      <c r="AQ41" s="77">
        <v>157</v>
      </c>
      <c r="AR41" s="77">
        <v>187</v>
      </c>
      <c r="AS41" s="77">
        <v>184</v>
      </c>
      <c r="AT41" s="77">
        <v>225</v>
      </c>
      <c r="AU41" s="77">
        <v>183</v>
      </c>
      <c r="AV41" s="77">
        <v>246</v>
      </c>
      <c r="AW41" s="77">
        <v>228</v>
      </c>
      <c r="AX41" s="77">
        <v>218</v>
      </c>
      <c r="AY41" s="77">
        <v>197</v>
      </c>
      <c r="AZ41" s="77">
        <v>183</v>
      </c>
      <c r="BA41" s="77">
        <v>141</v>
      </c>
      <c r="BB41" s="77">
        <v>154</v>
      </c>
      <c r="BC41" s="77">
        <v>175</v>
      </c>
      <c r="BD41" s="77">
        <v>155</v>
      </c>
      <c r="BE41" s="77">
        <v>154</v>
      </c>
      <c r="BF41" s="77">
        <v>142</v>
      </c>
      <c r="BG41" s="77">
        <v>197</v>
      </c>
      <c r="BH41" s="77">
        <v>211</v>
      </c>
      <c r="BI41" s="77">
        <v>207</v>
      </c>
      <c r="BJ41" s="77">
        <v>182</v>
      </c>
      <c r="BK41" s="77">
        <v>192</v>
      </c>
      <c r="BL41" s="77">
        <v>159</v>
      </c>
      <c r="BM41" s="77">
        <v>165</v>
      </c>
      <c r="BN41" s="77">
        <v>194</v>
      </c>
      <c r="BO41" s="77">
        <v>174</v>
      </c>
      <c r="BP41" s="77">
        <v>158</v>
      </c>
      <c r="BQ41" s="77">
        <v>151</v>
      </c>
      <c r="BR41" s="77">
        <v>141</v>
      </c>
      <c r="BS41" s="77">
        <v>135</v>
      </c>
      <c r="BT41" s="77">
        <v>141</v>
      </c>
      <c r="BU41" s="77">
        <v>85</v>
      </c>
      <c r="BV41" s="77">
        <v>50</v>
      </c>
      <c r="BW41" s="77">
        <v>1</v>
      </c>
    </row>
    <row r="42" spans="1:83">
      <c r="A42" s="74" t="s">
        <v>106</v>
      </c>
      <c r="B42" s="76">
        <v>202412</v>
      </c>
      <c r="C42" s="77">
        <v>6229</v>
      </c>
      <c r="D42" s="78">
        <v>71215.23330000001</v>
      </c>
      <c r="E42" s="77">
        <v>6071</v>
      </c>
      <c r="AL42" s="77">
        <v>6</v>
      </c>
      <c r="AM42" s="77">
        <v>51</v>
      </c>
      <c r="AN42" s="77">
        <v>94</v>
      </c>
      <c r="AO42" s="77">
        <v>133</v>
      </c>
      <c r="AP42" s="77">
        <v>128</v>
      </c>
      <c r="AQ42" s="77">
        <v>149</v>
      </c>
      <c r="AR42" s="77">
        <v>164</v>
      </c>
      <c r="AS42" s="77">
        <v>190</v>
      </c>
      <c r="AT42" s="77">
        <v>160</v>
      </c>
      <c r="AU42" s="77">
        <v>217</v>
      </c>
      <c r="AV42" s="77">
        <v>235</v>
      </c>
      <c r="AW42" s="77">
        <v>247</v>
      </c>
      <c r="AX42" s="77">
        <v>218</v>
      </c>
      <c r="AY42" s="77">
        <v>233</v>
      </c>
      <c r="AZ42" s="77">
        <v>173</v>
      </c>
      <c r="BA42" s="77">
        <v>187</v>
      </c>
      <c r="BB42" s="77">
        <v>171</v>
      </c>
      <c r="BC42" s="77">
        <v>197</v>
      </c>
      <c r="BD42" s="77">
        <v>185</v>
      </c>
      <c r="BE42" s="77">
        <v>146</v>
      </c>
      <c r="BF42" s="77">
        <v>189</v>
      </c>
      <c r="BG42" s="77">
        <v>196</v>
      </c>
      <c r="BH42" s="77">
        <v>203</v>
      </c>
      <c r="BI42" s="77">
        <v>211</v>
      </c>
      <c r="BJ42" s="77">
        <v>193</v>
      </c>
      <c r="BK42" s="77">
        <v>223</v>
      </c>
      <c r="BL42" s="77">
        <v>187</v>
      </c>
      <c r="BM42" s="77">
        <v>188</v>
      </c>
      <c r="BN42" s="77">
        <v>175</v>
      </c>
      <c r="BO42" s="77">
        <v>211</v>
      </c>
      <c r="BP42" s="77">
        <v>208</v>
      </c>
      <c r="BQ42" s="77">
        <v>161</v>
      </c>
      <c r="BR42" s="77">
        <v>171</v>
      </c>
      <c r="BS42" s="77">
        <v>148</v>
      </c>
      <c r="BT42" s="77">
        <v>148</v>
      </c>
      <c r="BU42" s="77">
        <v>84</v>
      </c>
      <c r="BV42" s="77">
        <v>49</v>
      </c>
    </row>
    <row r="43" spans="1:83">
      <c r="A43" s="74" t="s">
        <v>106</v>
      </c>
      <c r="B43" s="76">
        <v>202501</v>
      </c>
      <c r="C43" s="77">
        <v>6894</v>
      </c>
      <c r="D43" s="78">
        <v>68904.7167</v>
      </c>
      <c r="E43" s="77">
        <v>6740</v>
      </c>
      <c r="AL43" s="77">
        <v>10</v>
      </c>
      <c r="AM43" s="77">
        <v>78</v>
      </c>
      <c r="AN43" s="77">
        <v>117</v>
      </c>
      <c r="AO43" s="77">
        <v>142</v>
      </c>
      <c r="AP43" s="77">
        <v>166</v>
      </c>
      <c r="AQ43" s="77">
        <v>182</v>
      </c>
      <c r="AR43" s="77">
        <v>180</v>
      </c>
      <c r="AS43" s="77">
        <v>247</v>
      </c>
      <c r="AT43" s="77">
        <v>235</v>
      </c>
      <c r="AU43" s="77">
        <v>249</v>
      </c>
      <c r="AV43" s="77">
        <v>262</v>
      </c>
      <c r="AW43" s="77">
        <v>243</v>
      </c>
      <c r="AX43" s="77">
        <v>290</v>
      </c>
      <c r="AY43" s="77">
        <v>206</v>
      </c>
      <c r="AZ43" s="77">
        <v>200</v>
      </c>
      <c r="BA43" s="77">
        <v>207</v>
      </c>
      <c r="BB43" s="77">
        <v>177</v>
      </c>
      <c r="BC43" s="77">
        <v>175</v>
      </c>
      <c r="BD43" s="77">
        <v>156</v>
      </c>
      <c r="BE43" s="77">
        <v>179</v>
      </c>
      <c r="BF43" s="77">
        <v>216</v>
      </c>
      <c r="BG43" s="77">
        <v>197</v>
      </c>
      <c r="BH43" s="77">
        <v>227</v>
      </c>
      <c r="BI43" s="77">
        <v>214</v>
      </c>
      <c r="BJ43" s="77">
        <v>238</v>
      </c>
      <c r="BK43" s="77">
        <v>220</v>
      </c>
      <c r="BL43" s="77">
        <v>215</v>
      </c>
      <c r="BM43" s="77">
        <v>228</v>
      </c>
      <c r="BN43" s="77">
        <v>213</v>
      </c>
      <c r="BO43" s="77">
        <v>201</v>
      </c>
      <c r="BP43" s="77">
        <v>172</v>
      </c>
      <c r="BQ43" s="77">
        <v>200</v>
      </c>
      <c r="BR43" s="77">
        <v>173</v>
      </c>
      <c r="BS43" s="77">
        <v>188</v>
      </c>
      <c r="BT43" s="77">
        <v>140</v>
      </c>
      <c r="BU43" s="77">
        <v>105</v>
      </c>
      <c r="BV43" s="77">
        <v>44</v>
      </c>
      <c r="BW43" s="77">
        <v>2</v>
      </c>
    </row>
    <row r="44" spans="1:83">
      <c r="A44" s="74" t="s">
        <v>106</v>
      </c>
      <c r="B44" s="76">
        <v>202502</v>
      </c>
      <c r="C44" s="77">
        <v>6878</v>
      </c>
      <c r="D44" s="78">
        <v>65101</v>
      </c>
      <c r="E44" s="77">
        <v>6734</v>
      </c>
      <c r="AL44" s="77">
        <v>12</v>
      </c>
      <c r="AM44" s="77">
        <v>71</v>
      </c>
      <c r="AN44" s="77">
        <v>100</v>
      </c>
      <c r="AO44" s="77">
        <v>135</v>
      </c>
      <c r="AP44" s="77">
        <v>156</v>
      </c>
      <c r="AQ44" s="77">
        <v>134</v>
      </c>
      <c r="AR44" s="77">
        <v>162</v>
      </c>
      <c r="AS44" s="77">
        <v>214</v>
      </c>
      <c r="AT44" s="77">
        <v>244</v>
      </c>
      <c r="AU44" s="77">
        <v>256</v>
      </c>
      <c r="AV44" s="77">
        <v>259</v>
      </c>
      <c r="AW44" s="77">
        <v>234</v>
      </c>
      <c r="AX44" s="77">
        <v>265</v>
      </c>
      <c r="AY44" s="77">
        <v>280</v>
      </c>
      <c r="AZ44" s="77">
        <v>217</v>
      </c>
      <c r="BA44" s="77">
        <v>209</v>
      </c>
      <c r="BB44" s="77">
        <v>199</v>
      </c>
      <c r="BC44" s="77">
        <v>198</v>
      </c>
      <c r="BD44" s="77">
        <v>192</v>
      </c>
      <c r="BE44" s="77">
        <v>172</v>
      </c>
      <c r="BF44" s="77">
        <v>230</v>
      </c>
      <c r="BG44" s="77">
        <v>196</v>
      </c>
      <c r="BH44" s="77">
        <v>232</v>
      </c>
      <c r="BI44" s="77">
        <v>214</v>
      </c>
      <c r="BJ44" s="77">
        <v>218</v>
      </c>
      <c r="BK44" s="77">
        <v>206</v>
      </c>
      <c r="BL44" s="77">
        <v>233</v>
      </c>
      <c r="BM44" s="77">
        <v>194</v>
      </c>
      <c r="BN44" s="77">
        <v>221</v>
      </c>
      <c r="BO44" s="77">
        <v>215</v>
      </c>
      <c r="BP44" s="77">
        <v>169</v>
      </c>
      <c r="BQ44" s="77">
        <v>176</v>
      </c>
      <c r="BR44" s="77">
        <v>193</v>
      </c>
      <c r="BS44" s="77">
        <v>175</v>
      </c>
      <c r="BT44" s="77">
        <v>161</v>
      </c>
      <c r="BU44" s="77">
        <v>95</v>
      </c>
      <c r="BV44" s="77">
        <v>41</v>
      </c>
    </row>
    <row r="45" spans="1:83">
      <c r="A45" s="74" t="s">
        <v>106</v>
      </c>
      <c r="B45" s="76">
        <v>202503</v>
      </c>
      <c r="C45" s="77">
        <v>9400</v>
      </c>
      <c r="D45" s="78">
        <v>75917.23330000001</v>
      </c>
      <c r="E45" s="77">
        <v>9231</v>
      </c>
      <c r="AL45" s="77">
        <v>19</v>
      </c>
      <c r="AM45" s="77">
        <v>154</v>
      </c>
      <c r="AN45" s="77">
        <v>226</v>
      </c>
      <c r="AO45" s="77">
        <v>203</v>
      </c>
      <c r="AP45" s="77">
        <v>237</v>
      </c>
      <c r="AQ45" s="77">
        <v>291</v>
      </c>
      <c r="AR45" s="77">
        <v>268</v>
      </c>
      <c r="AS45" s="77">
        <v>310</v>
      </c>
      <c r="AT45" s="77">
        <v>295</v>
      </c>
      <c r="AU45" s="77">
        <v>313</v>
      </c>
      <c r="AV45" s="77">
        <v>364</v>
      </c>
      <c r="AW45" s="77">
        <v>296</v>
      </c>
      <c r="AX45" s="77">
        <v>334</v>
      </c>
      <c r="AY45" s="77">
        <v>331</v>
      </c>
      <c r="AZ45" s="77">
        <v>262</v>
      </c>
      <c r="BA45" s="77">
        <v>248</v>
      </c>
      <c r="BB45" s="77">
        <v>261</v>
      </c>
      <c r="BC45" s="77">
        <v>237</v>
      </c>
      <c r="BD45" s="77">
        <v>228</v>
      </c>
      <c r="BE45" s="77">
        <v>243</v>
      </c>
      <c r="BF45" s="77">
        <v>278</v>
      </c>
      <c r="BG45" s="77">
        <v>258</v>
      </c>
      <c r="BH45" s="77">
        <v>319</v>
      </c>
      <c r="BI45" s="77">
        <v>300</v>
      </c>
      <c r="BJ45" s="77">
        <v>299</v>
      </c>
      <c r="BK45" s="77">
        <v>295</v>
      </c>
      <c r="BL45" s="77">
        <v>294</v>
      </c>
      <c r="BM45" s="77">
        <v>253</v>
      </c>
      <c r="BN45" s="77">
        <v>285</v>
      </c>
      <c r="BO45" s="77">
        <v>296</v>
      </c>
      <c r="BP45" s="77">
        <v>267</v>
      </c>
      <c r="BQ45" s="77">
        <v>246</v>
      </c>
      <c r="BR45" s="77">
        <v>237</v>
      </c>
      <c r="BS45" s="77">
        <v>209</v>
      </c>
      <c r="BT45" s="77">
        <v>219</v>
      </c>
      <c r="BU45" s="77">
        <v>149</v>
      </c>
      <c r="BV45" s="77">
        <v>49</v>
      </c>
      <c r="BW45" s="77">
        <v>7</v>
      </c>
      <c r="BX45" s="77">
        <v>3</v>
      </c>
      <c r="BY45" s="77">
        <v>5</v>
      </c>
      <c r="BZ45" s="77">
        <v>1</v>
      </c>
      <c r="CA45" s="77">
        <v>1</v>
      </c>
      <c r="CB45" s="77">
        <v>2</v>
      </c>
      <c r="CC45" s="77">
        <v>5</v>
      </c>
      <c r="CD45" s="77">
        <v>3</v>
      </c>
    </row>
    <row r="46" spans="1:83">
      <c r="A46" s="74" t="s">
        <v>106</v>
      </c>
      <c r="B46" s="76">
        <v>202504</v>
      </c>
      <c r="C46" s="77">
        <v>7962</v>
      </c>
      <c r="D46" s="78">
        <v>76068.8667</v>
      </c>
      <c r="E46" s="77">
        <v>7800</v>
      </c>
      <c r="AL46" s="77">
        <v>19</v>
      </c>
      <c r="AM46" s="77">
        <v>111</v>
      </c>
      <c r="AN46" s="77">
        <v>165</v>
      </c>
      <c r="AO46" s="77">
        <v>193</v>
      </c>
      <c r="AP46" s="77">
        <v>223</v>
      </c>
      <c r="AQ46" s="77">
        <v>224</v>
      </c>
      <c r="AR46" s="77">
        <v>255</v>
      </c>
      <c r="AS46" s="77">
        <v>255</v>
      </c>
      <c r="AT46" s="77">
        <v>280</v>
      </c>
      <c r="AU46" s="77">
        <v>274</v>
      </c>
      <c r="AV46" s="77">
        <v>271</v>
      </c>
      <c r="AW46" s="77">
        <v>273</v>
      </c>
      <c r="AX46" s="77">
        <v>278</v>
      </c>
      <c r="AY46" s="77">
        <v>251</v>
      </c>
      <c r="AZ46" s="77">
        <v>208</v>
      </c>
      <c r="BA46" s="77">
        <v>214</v>
      </c>
      <c r="BB46" s="77">
        <v>219</v>
      </c>
      <c r="BC46" s="77">
        <v>200</v>
      </c>
      <c r="BD46" s="77">
        <v>216</v>
      </c>
      <c r="BE46" s="77">
        <v>208</v>
      </c>
      <c r="BF46" s="77">
        <v>233</v>
      </c>
      <c r="BG46" s="77">
        <v>239</v>
      </c>
      <c r="BH46" s="77">
        <v>243</v>
      </c>
      <c r="BI46" s="77">
        <v>268</v>
      </c>
      <c r="BJ46" s="77">
        <v>263</v>
      </c>
      <c r="BK46" s="77">
        <v>254</v>
      </c>
      <c r="BL46" s="77">
        <v>232</v>
      </c>
      <c r="BM46" s="77">
        <v>235</v>
      </c>
      <c r="BN46" s="77">
        <v>222</v>
      </c>
      <c r="BO46" s="77">
        <v>228</v>
      </c>
      <c r="BP46" s="77">
        <v>247</v>
      </c>
      <c r="BQ46" s="77">
        <v>218</v>
      </c>
      <c r="BR46" s="77">
        <v>184</v>
      </c>
      <c r="BS46" s="77">
        <v>191</v>
      </c>
      <c r="BT46" s="77">
        <v>173</v>
      </c>
      <c r="BU46" s="77">
        <v>119</v>
      </c>
      <c r="BV46" s="77">
        <v>60</v>
      </c>
      <c r="BW46" s="77">
        <v>3</v>
      </c>
      <c r="BX46" s="77">
        <v>3</v>
      </c>
      <c r="BY46" s="77">
        <v>2</v>
      </c>
      <c r="BZ46" s="77">
        <v>2</v>
      </c>
      <c r="CA46" s="77">
        <v>3</v>
      </c>
      <c r="CB46" s="77">
        <v>2</v>
      </c>
      <c r="CC46" s="77">
        <v>1</v>
      </c>
    </row>
    <row r="47" spans="1:83">
      <c r="A47" s="74" t="s">
        <v>106</v>
      </c>
      <c r="B47" s="76">
        <v>202505</v>
      </c>
      <c r="C47" s="77">
        <v>7079</v>
      </c>
      <c r="D47" s="78">
        <v>70558.6167</v>
      </c>
      <c r="E47" s="77">
        <v>6917</v>
      </c>
      <c r="AK47" s="77">
        <v>1</v>
      </c>
      <c r="AL47" s="77">
        <v>11</v>
      </c>
      <c r="AM47" s="77">
        <v>95</v>
      </c>
      <c r="AN47" s="77">
        <v>162</v>
      </c>
      <c r="AO47" s="77">
        <v>168</v>
      </c>
      <c r="AP47" s="77">
        <v>223</v>
      </c>
      <c r="AQ47" s="77">
        <v>210</v>
      </c>
      <c r="AR47" s="77">
        <v>261</v>
      </c>
      <c r="AS47" s="77">
        <v>243</v>
      </c>
      <c r="AT47" s="77">
        <v>265</v>
      </c>
      <c r="AU47" s="77">
        <v>245</v>
      </c>
      <c r="AV47" s="77">
        <v>271</v>
      </c>
      <c r="AW47" s="77">
        <v>233</v>
      </c>
      <c r="AX47" s="77">
        <v>255</v>
      </c>
      <c r="AY47" s="77">
        <v>208</v>
      </c>
      <c r="AZ47" s="77">
        <v>215</v>
      </c>
      <c r="BA47" s="77">
        <v>186</v>
      </c>
      <c r="BB47" s="77">
        <v>186</v>
      </c>
      <c r="BC47" s="77">
        <v>181</v>
      </c>
      <c r="BD47" s="77">
        <v>156</v>
      </c>
      <c r="BE47" s="77">
        <v>207</v>
      </c>
      <c r="BF47" s="77">
        <v>205</v>
      </c>
      <c r="BG47" s="77">
        <v>180</v>
      </c>
      <c r="BH47" s="77">
        <v>214</v>
      </c>
      <c r="BI47" s="77">
        <v>228</v>
      </c>
      <c r="BJ47" s="77">
        <v>243</v>
      </c>
      <c r="BK47" s="77">
        <v>211</v>
      </c>
      <c r="BL47" s="77">
        <v>212</v>
      </c>
      <c r="BM47" s="77">
        <v>213</v>
      </c>
      <c r="BN47" s="77">
        <v>188</v>
      </c>
      <c r="BO47" s="77">
        <v>199</v>
      </c>
      <c r="BP47" s="77">
        <v>192</v>
      </c>
      <c r="BQ47" s="77">
        <v>201</v>
      </c>
      <c r="BR47" s="77">
        <v>164</v>
      </c>
      <c r="BS47" s="77">
        <v>171</v>
      </c>
      <c r="BT47" s="77">
        <v>128</v>
      </c>
      <c r="BU47" s="77">
        <v>96</v>
      </c>
      <c r="BV47" s="77">
        <v>48</v>
      </c>
      <c r="CC47" s="77">
        <v>4</v>
      </c>
    </row>
    <row r="48" spans="1:83">
      <c r="A48" s="74" t="s">
        <v>106</v>
      </c>
      <c r="B48" s="76">
        <v>202506</v>
      </c>
      <c r="C48" s="77">
        <v>7253</v>
      </c>
      <c r="D48" s="78">
        <v>74680.75</v>
      </c>
      <c r="E48" s="77">
        <v>7083</v>
      </c>
      <c r="AL48" s="77">
        <v>10</v>
      </c>
      <c r="AM48" s="77">
        <v>87</v>
      </c>
      <c r="AN48" s="77">
        <v>148</v>
      </c>
      <c r="AO48" s="77">
        <v>193</v>
      </c>
      <c r="AP48" s="77">
        <v>203</v>
      </c>
      <c r="AQ48" s="77">
        <v>225</v>
      </c>
      <c r="AR48" s="77">
        <v>199</v>
      </c>
      <c r="AS48" s="77">
        <v>244</v>
      </c>
      <c r="AT48" s="77">
        <v>276</v>
      </c>
      <c r="AU48" s="77">
        <v>261</v>
      </c>
      <c r="AV48" s="77">
        <v>261</v>
      </c>
      <c r="AW48" s="77">
        <v>255</v>
      </c>
      <c r="AX48" s="77">
        <v>252</v>
      </c>
      <c r="AY48" s="77">
        <v>247</v>
      </c>
      <c r="AZ48" s="77">
        <v>232</v>
      </c>
      <c r="BA48" s="77">
        <v>194</v>
      </c>
      <c r="BB48" s="77">
        <v>201</v>
      </c>
      <c r="BC48" s="77">
        <v>173</v>
      </c>
      <c r="BD48" s="77">
        <v>196</v>
      </c>
      <c r="BE48" s="77">
        <v>178</v>
      </c>
      <c r="BF48" s="77">
        <v>221</v>
      </c>
      <c r="BG48" s="77">
        <v>204</v>
      </c>
      <c r="BH48" s="77">
        <v>242</v>
      </c>
      <c r="BI48" s="77">
        <v>250</v>
      </c>
      <c r="BJ48" s="77">
        <v>232</v>
      </c>
      <c r="BK48" s="77">
        <v>202</v>
      </c>
      <c r="BL48" s="77">
        <v>212</v>
      </c>
      <c r="BM48" s="77">
        <v>221</v>
      </c>
      <c r="BN48" s="77">
        <v>196</v>
      </c>
      <c r="BO48" s="77">
        <v>209</v>
      </c>
      <c r="BP48" s="77">
        <v>181</v>
      </c>
      <c r="BQ48" s="77">
        <v>159</v>
      </c>
      <c r="BR48" s="77">
        <v>202</v>
      </c>
      <c r="BS48" s="77">
        <v>181</v>
      </c>
      <c r="BT48" s="77">
        <v>164</v>
      </c>
      <c r="BU48" s="77">
        <v>103</v>
      </c>
      <c r="BV48" s="77">
        <v>39</v>
      </c>
    </row>
    <row r="49" spans="1:84">
      <c r="A49" s="74" t="s">
        <v>106</v>
      </c>
      <c r="B49" s="76">
        <v>202507</v>
      </c>
      <c r="C49" s="77">
        <v>7553</v>
      </c>
      <c r="D49" s="78">
        <v>77394.48330000001</v>
      </c>
      <c r="E49" s="77">
        <v>7387</v>
      </c>
      <c r="AK49" s="77">
        <v>2</v>
      </c>
      <c r="AL49" s="77">
        <v>20</v>
      </c>
      <c r="AM49" s="77">
        <v>156</v>
      </c>
      <c r="AN49" s="77">
        <v>206</v>
      </c>
      <c r="AO49" s="77">
        <v>184</v>
      </c>
      <c r="AP49" s="77">
        <v>220</v>
      </c>
      <c r="AQ49" s="77">
        <v>241</v>
      </c>
      <c r="AR49" s="77">
        <v>252</v>
      </c>
      <c r="AS49" s="77">
        <v>250</v>
      </c>
      <c r="AT49" s="77">
        <v>297</v>
      </c>
      <c r="AU49" s="77">
        <v>283</v>
      </c>
      <c r="AV49" s="77">
        <v>269</v>
      </c>
      <c r="AW49" s="77">
        <v>248</v>
      </c>
      <c r="AX49" s="77">
        <v>256</v>
      </c>
      <c r="AY49" s="77">
        <v>280</v>
      </c>
      <c r="AZ49" s="77">
        <v>232</v>
      </c>
      <c r="BA49" s="77">
        <v>197</v>
      </c>
      <c r="BB49" s="77">
        <v>180</v>
      </c>
      <c r="BC49" s="77">
        <v>191</v>
      </c>
      <c r="BD49" s="77">
        <v>160</v>
      </c>
      <c r="BE49" s="77">
        <v>182</v>
      </c>
      <c r="BF49" s="77">
        <v>230</v>
      </c>
      <c r="BG49" s="77">
        <v>216</v>
      </c>
      <c r="BH49" s="77">
        <v>219</v>
      </c>
      <c r="BI49" s="77">
        <v>258</v>
      </c>
      <c r="BJ49" s="77">
        <v>245</v>
      </c>
      <c r="BK49" s="77">
        <v>231</v>
      </c>
      <c r="BL49" s="77">
        <v>228</v>
      </c>
      <c r="BM49" s="77">
        <v>169</v>
      </c>
      <c r="BN49" s="77">
        <v>197</v>
      </c>
      <c r="BO49" s="77">
        <v>210</v>
      </c>
      <c r="BP49" s="77">
        <v>207</v>
      </c>
      <c r="BQ49" s="77">
        <v>209</v>
      </c>
      <c r="BR49" s="77">
        <v>163</v>
      </c>
      <c r="BS49" s="77">
        <v>173</v>
      </c>
      <c r="BT49" s="77">
        <v>156</v>
      </c>
      <c r="BU49" s="77">
        <v>97</v>
      </c>
      <c r="BV49" s="77">
        <v>34</v>
      </c>
      <c r="BW49" s="77">
        <v>5</v>
      </c>
    </row>
    <row r="50" spans="1:84">
      <c r="A50" s="74" t="s">
        <v>106</v>
      </c>
      <c r="B50" s="76">
        <v>202508</v>
      </c>
      <c r="C50" s="77">
        <v>6773</v>
      </c>
      <c r="D50" s="78">
        <v>66677.5833</v>
      </c>
      <c r="E50" s="77">
        <v>6636</v>
      </c>
      <c r="AK50" s="77">
        <v>2</v>
      </c>
      <c r="AL50" s="77">
        <v>10</v>
      </c>
      <c r="AM50" s="77">
        <v>99</v>
      </c>
      <c r="AN50" s="77">
        <v>141</v>
      </c>
      <c r="AO50" s="77">
        <v>177</v>
      </c>
      <c r="AP50" s="77">
        <v>193</v>
      </c>
      <c r="AQ50" s="77">
        <v>185</v>
      </c>
      <c r="AR50" s="77">
        <v>205</v>
      </c>
      <c r="AS50" s="77">
        <v>242</v>
      </c>
      <c r="AT50" s="77">
        <v>248</v>
      </c>
      <c r="AU50" s="77">
        <v>254</v>
      </c>
      <c r="AV50" s="77">
        <v>220</v>
      </c>
      <c r="AW50" s="77">
        <v>227</v>
      </c>
      <c r="AX50" s="77">
        <v>225</v>
      </c>
      <c r="AY50" s="77">
        <v>245</v>
      </c>
      <c r="AZ50" s="77">
        <v>213</v>
      </c>
      <c r="BA50" s="77">
        <v>205</v>
      </c>
      <c r="BB50" s="77">
        <v>183</v>
      </c>
      <c r="BC50" s="77">
        <v>155</v>
      </c>
      <c r="BD50" s="77">
        <v>160</v>
      </c>
      <c r="BE50" s="77">
        <v>184</v>
      </c>
      <c r="BF50" s="77">
        <v>191</v>
      </c>
      <c r="BG50" s="77">
        <v>202</v>
      </c>
      <c r="BH50" s="77">
        <v>208</v>
      </c>
      <c r="BI50" s="77">
        <v>215</v>
      </c>
      <c r="BJ50" s="77">
        <v>213</v>
      </c>
      <c r="BK50" s="77">
        <v>202</v>
      </c>
      <c r="BL50" s="77">
        <v>218</v>
      </c>
      <c r="BM50" s="77">
        <v>190</v>
      </c>
      <c r="BN50" s="77">
        <v>209</v>
      </c>
      <c r="BO50" s="77">
        <v>162</v>
      </c>
      <c r="BP50" s="77">
        <v>167</v>
      </c>
      <c r="BQ50" s="77">
        <v>167</v>
      </c>
      <c r="BR50" s="77">
        <v>179</v>
      </c>
      <c r="BS50" s="77">
        <v>177</v>
      </c>
      <c r="BT50" s="77">
        <v>144</v>
      </c>
      <c r="BU50" s="77">
        <v>108</v>
      </c>
      <c r="BV50" s="77">
        <v>47</v>
      </c>
      <c r="BW50" s="77">
        <v>1</v>
      </c>
    </row>
    <row r="51" spans="1:84">
      <c r="A51" s="74" t="s">
        <v>106</v>
      </c>
      <c r="B51" s="76">
        <v>202509</v>
      </c>
      <c r="C51" s="77">
        <v>6723</v>
      </c>
      <c r="D51" s="78">
        <v>69518.6167</v>
      </c>
      <c r="E51" s="77">
        <v>6576</v>
      </c>
      <c r="AK51" s="77">
        <v>2</v>
      </c>
      <c r="AL51" s="77">
        <v>6</v>
      </c>
      <c r="AM51" s="77">
        <v>82</v>
      </c>
      <c r="AN51" s="77">
        <v>144</v>
      </c>
      <c r="AO51" s="77">
        <v>138</v>
      </c>
      <c r="AP51" s="77">
        <v>176</v>
      </c>
      <c r="AQ51" s="77">
        <v>228</v>
      </c>
      <c r="AR51" s="77">
        <v>219</v>
      </c>
      <c r="AS51" s="77">
        <v>244</v>
      </c>
      <c r="AT51" s="77">
        <v>243</v>
      </c>
      <c r="AU51" s="77">
        <v>258</v>
      </c>
      <c r="AV51" s="77">
        <v>290</v>
      </c>
      <c r="AW51" s="77">
        <v>251</v>
      </c>
      <c r="AX51" s="77">
        <v>258</v>
      </c>
      <c r="AY51" s="77">
        <v>215</v>
      </c>
      <c r="AZ51" s="77">
        <v>209</v>
      </c>
      <c r="BA51" s="77">
        <v>168</v>
      </c>
      <c r="BB51" s="77">
        <v>157</v>
      </c>
      <c r="BC51" s="77">
        <v>173</v>
      </c>
      <c r="BD51" s="77">
        <v>172</v>
      </c>
      <c r="BE51" s="77">
        <v>185</v>
      </c>
      <c r="BF51" s="77">
        <v>166</v>
      </c>
      <c r="BG51" s="77">
        <v>228</v>
      </c>
      <c r="BH51" s="77">
        <v>182</v>
      </c>
      <c r="BI51" s="77">
        <v>197</v>
      </c>
      <c r="BJ51" s="77">
        <v>211</v>
      </c>
      <c r="BK51" s="77">
        <v>198</v>
      </c>
      <c r="BL51" s="77">
        <v>186</v>
      </c>
      <c r="BM51" s="77">
        <v>189</v>
      </c>
      <c r="BN51" s="77">
        <v>183</v>
      </c>
      <c r="BO51" s="77">
        <v>183</v>
      </c>
      <c r="BP51" s="77">
        <v>168</v>
      </c>
      <c r="BQ51" s="77">
        <v>176</v>
      </c>
      <c r="BR51" s="77">
        <v>198</v>
      </c>
      <c r="BS51" s="77">
        <v>175</v>
      </c>
      <c r="BT51" s="77">
        <v>128</v>
      </c>
      <c r="BU51" s="77">
        <v>92</v>
      </c>
      <c r="BV51" s="77">
        <v>41</v>
      </c>
      <c r="BW51" s="77">
        <v>3</v>
      </c>
      <c r="BX51" s="77">
        <v>1</v>
      </c>
    </row>
    <row r="52" spans="1:84">
      <c r="A52" s="74" t="s">
        <v>106</v>
      </c>
      <c r="B52" s="76">
        <v>202510</v>
      </c>
      <c r="C52" s="77">
        <v>7440</v>
      </c>
      <c r="D52" s="78">
        <v>75424.45</v>
      </c>
      <c r="E52" s="77">
        <v>7276</v>
      </c>
      <c r="AK52" s="77">
        <v>1</v>
      </c>
      <c r="AL52" s="77">
        <v>11</v>
      </c>
      <c r="AM52" s="77">
        <v>67</v>
      </c>
      <c r="AN52" s="77">
        <v>118</v>
      </c>
      <c r="AO52" s="77">
        <v>157</v>
      </c>
      <c r="AP52" s="77">
        <v>163</v>
      </c>
      <c r="AQ52" s="77">
        <v>238</v>
      </c>
      <c r="AR52" s="77">
        <v>202</v>
      </c>
      <c r="AS52" s="77">
        <v>266</v>
      </c>
      <c r="AT52" s="77">
        <v>255</v>
      </c>
      <c r="AU52" s="77">
        <v>253</v>
      </c>
      <c r="AV52" s="77">
        <v>264</v>
      </c>
      <c r="AW52" s="77">
        <v>247</v>
      </c>
      <c r="AX52" s="77">
        <v>258</v>
      </c>
      <c r="AY52" s="77">
        <v>234</v>
      </c>
      <c r="AZ52" s="77">
        <v>222</v>
      </c>
      <c r="BA52" s="77">
        <v>197</v>
      </c>
      <c r="BB52" s="77">
        <v>209</v>
      </c>
      <c r="BC52" s="77">
        <v>166</v>
      </c>
      <c r="BD52" s="77">
        <v>192</v>
      </c>
      <c r="BE52" s="77">
        <v>191</v>
      </c>
      <c r="BF52" s="77">
        <v>244</v>
      </c>
      <c r="BG52" s="77">
        <v>262</v>
      </c>
      <c r="BH52" s="77">
        <v>263</v>
      </c>
      <c r="BI52" s="77">
        <v>273</v>
      </c>
      <c r="BJ52" s="77">
        <v>232</v>
      </c>
      <c r="BK52" s="77">
        <v>219</v>
      </c>
      <c r="BL52" s="77">
        <v>226</v>
      </c>
      <c r="BM52" s="77">
        <v>235</v>
      </c>
      <c r="BN52" s="77">
        <v>226</v>
      </c>
      <c r="BO52" s="77">
        <v>207</v>
      </c>
      <c r="BP52" s="77">
        <v>216</v>
      </c>
      <c r="BQ52" s="77">
        <v>225</v>
      </c>
      <c r="BR52" s="77">
        <v>210</v>
      </c>
      <c r="BS52" s="77">
        <v>205</v>
      </c>
      <c r="BT52" s="77">
        <v>143</v>
      </c>
      <c r="BU52" s="77">
        <v>92</v>
      </c>
      <c r="BV52" s="77">
        <v>42</v>
      </c>
      <c r="BW52" s="77">
        <v>1</v>
      </c>
      <c r="BY52" s="77">
        <v>1</v>
      </c>
      <c r="BZ52" s="77">
        <v>2</v>
      </c>
      <c r="CB52" s="77">
        <v>2</v>
      </c>
      <c r="CC52" s="77">
        <v>3</v>
      </c>
    </row>
    <row r="53" spans="1:84">
      <c r="A53" s="74" t="s">
        <v>106</v>
      </c>
      <c r="B53" s="76">
        <v>202511</v>
      </c>
      <c r="C53" s="77">
        <v>6673</v>
      </c>
      <c r="D53" s="78">
        <v>61862.4667</v>
      </c>
      <c r="E53" s="77">
        <v>6540</v>
      </c>
      <c r="AK53" s="77">
        <v>1</v>
      </c>
      <c r="AL53" s="77">
        <v>14</v>
      </c>
      <c r="AM53" s="77">
        <v>105</v>
      </c>
      <c r="AN53" s="77">
        <v>121</v>
      </c>
      <c r="AO53" s="77">
        <v>145</v>
      </c>
      <c r="AP53" s="77">
        <v>166</v>
      </c>
      <c r="AQ53" s="77">
        <v>185</v>
      </c>
      <c r="AR53" s="77">
        <v>194</v>
      </c>
      <c r="AS53" s="77">
        <v>219</v>
      </c>
      <c r="AT53" s="77">
        <v>249</v>
      </c>
      <c r="AU53" s="77">
        <v>261</v>
      </c>
      <c r="AV53" s="77">
        <v>223</v>
      </c>
      <c r="AW53" s="77">
        <v>240</v>
      </c>
      <c r="AX53" s="77">
        <v>260</v>
      </c>
      <c r="AY53" s="77">
        <v>232</v>
      </c>
      <c r="AZ53" s="77">
        <v>196</v>
      </c>
      <c r="BA53" s="77">
        <v>195</v>
      </c>
      <c r="BB53" s="77">
        <v>178</v>
      </c>
      <c r="BC53" s="77">
        <v>180</v>
      </c>
      <c r="BD53" s="77">
        <v>165</v>
      </c>
      <c r="BE53" s="77">
        <v>161</v>
      </c>
      <c r="BF53" s="77">
        <v>195</v>
      </c>
      <c r="BG53" s="77">
        <v>206</v>
      </c>
      <c r="BH53" s="77">
        <v>204</v>
      </c>
      <c r="BI53" s="77">
        <v>222</v>
      </c>
      <c r="BJ53" s="77">
        <v>211</v>
      </c>
      <c r="BK53" s="77">
        <v>195</v>
      </c>
      <c r="BL53" s="77">
        <v>223</v>
      </c>
      <c r="BM53" s="77">
        <v>199</v>
      </c>
      <c r="BN53" s="77">
        <v>201</v>
      </c>
      <c r="BO53" s="77">
        <v>184</v>
      </c>
      <c r="BP53" s="77">
        <v>213</v>
      </c>
      <c r="BQ53" s="77">
        <v>187</v>
      </c>
      <c r="BR53" s="77">
        <v>169</v>
      </c>
      <c r="BS53" s="77">
        <v>155</v>
      </c>
      <c r="BT53" s="77">
        <v>125</v>
      </c>
      <c r="BU53" s="77">
        <v>65</v>
      </c>
      <c r="BV53" s="77">
        <v>28</v>
      </c>
      <c r="BY53" s="77">
        <v>1</v>
      </c>
    </row>
    <row r="54" spans="1:84">
      <c r="A54" s="74" t="s">
        <v>106</v>
      </c>
      <c r="B54" s="76">
        <v>202512</v>
      </c>
      <c r="C54" s="77">
        <v>6881</v>
      </c>
      <c r="D54" s="78">
        <v>69051.60000000001</v>
      </c>
      <c r="E54" s="77">
        <v>6733</v>
      </c>
      <c r="AL54" s="77">
        <v>12</v>
      </c>
      <c r="AM54" s="77">
        <v>85</v>
      </c>
      <c r="AN54" s="77">
        <v>124</v>
      </c>
      <c r="AO54" s="77">
        <v>125</v>
      </c>
      <c r="AP54" s="77">
        <v>140</v>
      </c>
      <c r="AQ54" s="77">
        <v>156</v>
      </c>
      <c r="AR54" s="77">
        <v>205</v>
      </c>
      <c r="AS54" s="77">
        <v>206</v>
      </c>
      <c r="AT54" s="77">
        <v>245</v>
      </c>
      <c r="AU54" s="77">
        <v>260</v>
      </c>
      <c r="AV54" s="77">
        <v>235</v>
      </c>
      <c r="AW54" s="77">
        <v>246</v>
      </c>
      <c r="AX54" s="77">
        <v>253</v>
      </c>
      <c r="AY54" s="77">
        <v>218</v>
      </c>
      <c r="AZ54" s="77">
        <v>216</v>
      </c>
      <c r="BA54" s="77">
        <v>186</v>
      </c>
      <c r="BB54" s="77">
        <v>164</v>
      </c>
      <c r="BC54" s="77">
        <v>191</v>
      </c>
      <c r="BD54" s="77">
        <v>176</v>
      </c>
      <c r="BE54" s="77">
        <v>185</v>
      </c>
      <c r="BF54" s="77">
        <v>222</v>
      </c>
      <c r="BG54" s="77">
        <v>207</v>
      </c>
      <c r="BH54" s="77">
        <v>254</v>
      </c>
      <c r="BI54" s="77">
        <v>230</v>
      </c>
      <c r="BJ54" s="77">
        <v>226</v>
      </c>
      <c r="BK54" s="77">
        <v>228</v>
      </c>
      <c r="BL54" s="77">
        <v>218</v>
      </c>
      <c r="BM54" s="77">
        <v>219</v>
      </c>
      <c r="BN54" s="77">
        <v>224</v>
      </c>
      <c r="BO54" s="77">
        <v>215</v>
      </c>
      <c r="BP54" s="77">
        <v>206</v>
      </c>
      <c r="BQ54" s="77">
        <v>169</v>
      </c>
      <c r="BR54" s="77">
        <v>182</v>
      </c>
      <c r="BS54" s="77">
        <v>176</v>
      </c>
      <c r="BT54" s="77">
        <v>132</v>
      </c>
      <c r="BU54" s="77">
        <v>88</v>
      </c>
      <c r="BV54" s="77">
        <v>30</v>
      </c>
      <c r="BW54" s="77">
        <v>3</v>
      </c>
      <c r="BX54" s="77">
        <v>3</v>
      </c>
      <c r="BY54" s="77">
        <v>2</v>
      </c>
      <c r="BZ54" s="77">
        <v>2</v>
      </c>
      <c r="CA54" s="77">
        <v>5</v>
      </c>
      <c r="CB54" s="77">
        <v>5</v>
      </c>
      <c r="CC54" s="77">
        <v>3</v>
      </c>
      <c r="CD54" s="77">
        <v>2</v>
      </c>
      <c r="CE54" s="77">
        <v>1</v>
      </c>
      <c r="CF54" s="77">
        <v>1</v>
      </c>
    </row>
    <row r="55" spans="1:84">
      <c r="A55" s="74" t="s">
        <v>120</v>
      </c>
      <c r="B55" s="76">
        <v>202401</v>
      </c>
      <c r="C55" s="77">
        <v>8051</v>
      </c>
      <c r="D55" s="78">
        <v>74088.85000000001</v>
      </c>
      <c r="E55" s="77">
        <v>7864</v>
      </c>
      <c r="AK55" s="77">
        <v>1</v>
      </c>
      <c r="AL55" s="77">
        <v>5</v>
      </c>
      <c r="AM55" s="77">
        <v>27</v>
      </c>
      <c r="AN55" s="77">
        <v>163</v>
      </c>
      <c r="AO55" s="77">
        <v>141</v>
      </c>
      <c r="AP55" s="77">
        <v>167</v>
      </c>
      <c r="AQ55" s="77">
        <v>218</v>
      </c>
      <c r="AR55" s="77">
        <v>189</v>
      </c>
      <c r="AS55" s="77">
        <v>222</v>
      </c>
      <c r="AT55" s="77">
        <v>237</v>
      </c>
      <c r="AU55" s="77">
        <v>289</v>
      </c>
      <c r="AV55" s="77">
        <v>284</v>
      </c>
      <c r="AW55" s="77">
        <v>313</v>
      </c>
      <c r="AX55" s="77">
        <v>289</v>
      </c>
      <c r="AY55" s="77">
        <v>278</v>
      </c>
      <c r="AZ55" s="77">
        <v>271</v>
      </c>
      <c r="BA55" s="77">
        <v>219</v>
      </c>
      <c r="BB55" s="77">
        <v>216</v>
      </c>
      <c r="BC55" s="77">
        <v>211</v>
      </c>
      <c r="BD55" s="77">
        <v>213</v>
      </c>
      <c r="BE55" s="77">
        <v>210</v>
      </c>
      <c r="BF55" s="77">
        <v>233</v>
      </c>
      <c r="BG55" s="77">
        <v>245</v>
      </c>
      <c r="BH55" s="77">
        <v>262</v>
      </c>
      <c r="BI55" s="77">
        <v>267</v>
      </c>
      <c r="BJ55" s="77">
        <v>263</v>
      </c>
      <c r="BK55" s="77">
        <v>237</v>
      </c>
      <c r="BL55" s="77">
        <v>252</v>
      </c>
      <c r="BM55" s="77">
        <v>254</v>
      </c>
      <c r="BN55" s="77">
        <v>273</v>
      </c>
      <c r="BO55" s="77">
        <v>263</v>
      </c>
      <c r="BP55" s="77">
        <v>239</v>
      </c>
      <c r="BQ55" s="77">
        <v>241</v>
      </c>
      <c r="BR55" s="77">
        <v>231</v>
      </c>
      <c r="BS55" s="77">
        <v>216</v>
      </c>
      <c r="BT55" s="77">
        <v>191</v>
      </c>
      <c r="BU55" s="77">
        <v>137</v>
      </c>
      <c r="BV55" s="77">
        <v>76</v>
      </c>
      <c r="BW55" s="77">
        <v>8</v>
      </c>
    </row>
    <row r="56" spans="1:84">
      <c r="A56" s="74" t="s">
        <v>120</v>
      </c>
      <c r="B56" s="76">
        <v>202402</v>
      </c>
      <c r="C56" s="77">
        <v>8743</v>
      </c>
      <c r="D56" s="78">
        <v>74445.8667</v>
      </c>
      <c r="E56" s="77">
        <v>8548</v>
      </c>
      <c r="AK56" s="77">
        <v>4</v>
      </c>
      <c r="AL56" s="77">
        <v>8</v>
      </c>
      <c r="AM56" s="77">
        <v>32</v>
      </c>
      <c r="AN56" s="77">
        <v>154</v>
      </c>
      <c r="AO56" s="77">
        <v>148</v>
      </c>
      <c r="AP56" s="77">
        <v>202</v>
      </c>
      <c r="AQ56" s="77">
        <v>218</v>
      </c>
      <c r="AR56" s="77">
        <v>227</v>
      </c>
      <c r="AS56" s="77">
        <v>241</v>
      </c>
      <c r="AT56" s="77">
        <v>283</v>
      </c>
      <c r="AU56" s="77">
        <v>351</v>
      </c>
      <c r="AV56" s="77">
        <v>316</v>
      </c>
      <c r="AW56" s="77">
        <v>289</v>
      </c>
      <c r="AX56" s="77">
        <v>310</v>
      </c>
      <c r="AY56" s="77">
        <v>313</v>
      </c>
      <c r="AZ56" s="77">
        <v>273</v>
      </c>
      <c r="BA56" s="77">
        <v>261</v>
      </c>
      <c r="BB56" s="77">
        <v>217</v>
      </c>
      <c r="BC56" s="77">
        <v>215</v>
      </c>
      <c r="BD56" s="77">
        <v>184</v>
      </c>
      <c r="BE56" s="77">
        <v>215</v>
      </c>
      <c r="BF56" s="77">
        <v>236</v>
      </c>
      <c r="BG56" s="77">
        <v>280</v>
      </c>
      <c r="BH56" s="77">
        <v>286</v>
      </c>
      <c r="BI56" s="77">
        <v>296</v>
      </c>
      <c r="BJ56" s="77">
        <v>299</v>
      </c>
      <c r="BK56" s="77">
        <v>289</v>
      </c>
      <c r="BL56" s="77">
        <v>309</v>
      </c>
      <c r="BM56" s="77">
        <v>281</v>
      </c>
      <c r="BN56" s="77">
        <v>293</v>
      </c>
      <c r="BO56" s="77">
        <v>266</v>
      </c>
      <c r="BP56" s="77">
        <v>259</v>
      </c>
      <c r="BQ56" s="77">
        <v>239</v>
      </c>
      <c r="BR56" s="77">
        <v>250</v>
      </c>
      <c r="BS56" s="77">
        <v>214</v>
      </c>
      <c r="BT56" s="77">
        <v>210</v>
      </c>
      <c r="BU56" s="77">
        <v>179</v>
      </c>
      <c r="BV56" s="77">
        <v>86</v>
      </c>
      <c r="BW56" s="77">
        <v>10</v>
      </c>
    </row>
    <row r="57" spans="1:84">
      <c r="A57" s="74" t="s">
        <v>120</v>
      </c>
      <c r="B57" s="76">
        <v>202403</v>
      </c>
      <c r="C57" s="77">
        <v>11434</v>
      </c>
      <c r="D57" s="78">
        <v>81839.73330000001</v>
      </c>
      <c r="E57" s="77">
        <v>11237</v>
      </c>
      <c r="AL57" s="77">
        <v>1</v>
      </c>
      <c r="AM57" s="77">
        <v>60</v>
      </c>
      <c r="AN57" s="77">
        <v>238</v>
      </c>
      <c r="AO57" s="77">
        <v>176</v>
      </c>
      <c r="AP57" s="77">
        <v>259</v>
      </c>
      <c r="AQ57" s="77">
        <v>254</v>
      </c>
      <c r="AR57" s="77">
        <v>290</v>
      </c>
      <c r="AS57" s="77">
        <v>318</v>
      </c>
      <c r="AT57" s="77">
        <v>350</v>
      </c>
      <c r="AU57" s="77">
        <v>390</v>
      </c>
      <c r="AV57" s="77">
        <v>392</v>
      </c>
      <c r="AW57" s="77">
        <v>385</v>
      </c>
      <c r="AX57" s="77">
        <v>369</v>
      </c>
      <c r="AY57" s="77">
        <v>405</v>
      </c>
      <c r="AZ57" s="77">
        <v>334</v>
      </c>
      <c r="BA57" s="77">
        <v>333</v>
      </c>
      <c r="BB57" s="77">
        <v>286</v>
      </c>
      <c r="BC57" s="77">
        <v>313</v>
      </c>
      <c r="BD57" s="77">
        <v>313</v>
      </c>
      <c r="BE57" s="77">
        <v>299</v>
      </c>
      <c r="BF57" s="77">
        <v>300</v>
      </c>
      <c r="BG57" s="77">
        <v>351</v>
      </c>
      <c r="BH57" s="77">
        <v>357</v>
      </c>
      <c r="BI57" s="77">
        <v>333</v>
      </c>
      <c r="BJ57" s="77">
        <v>378</v>
      </c>
      <c r="BK57" s="77">
        <v>416</v>
      </c>
      <c r="BL57" s="77">
        <v>390</v>
      </c>
      <c r="BM57" s="77">
        <v>362</v>
      </c>
      <c r="BN57" s="77">
        <v>369</v>
      </c>
      <c r="BO57" s="77">
        <v>328</v>
      </c>
      <c r="BP57" s="77">
        <v>374</v>
      </c>
      <c r="BQ57" s="77">
        <v>322</v>
      </c>
      <c r="BR57" s="77">
        <v>359</v>
      </c>
      <c r="BS57" s="77">
        <v>312</v>
      </c>
      <c r="BT57" s="77">
        <v>274</v>
      </c>
      <c r="BU57" s="77">
        <v>238</v>
      </c>
      <c r="BV57" s="77">
        <v>149</v>
      </c>
      <c r="BW57" s="77">
        <v>34</v>
      </c>
      <c r="BX57" s="77">
        <v>4</v>
      </c>
      <c r="BY57" s="77">
        <v>1</v>
      </c>
      <c r="BZ57" s="77">
        <v>11</v>
      </c>
      <c r="CA57" s="77">
        <v>4</v>
      </c>
      <c r="CB57" s="77">
        <v>2</v>
      </c>
      <c r="CC57" s="77">
        <v>1</v>
      </c>
    </row>
    <row r="58" spans="1:84">
      <c r="A58" s="74" t="s">
        <v>120</v>
      </c>
      <c r="B58" s="76">
        <v>202404</v>
      </c>
      <c r="C58" s="77">
        <v>9800</v>
      </c>
      <c r="D58" s="78">
        <v>87215.1333</v>
      </c>
      <c r="E58" s="77">
        <v>9589</v>
      </c>
      <c r="AL58" s="77">
        <v>3</v>
      </c>
      <c r="AM58" s="77">
        <v>83</v>
      </c>
      <c r="AN58" s="77">
        <v>236</v>
      </c>
      <c r="AO58" s="77">
        <v>200</v>
      </c>
      <c r="AP58" s="77">
        <v>229</v>
      </c>
      <c r="AQ58" s="77">
        <v>294</v>
      </c>
      <c r="AR58" s="77">
        <v>278</v>
      </c>
      <c r="AS58" s="77">
        <v>299</v>
      </c>
      <c r="AT58" s="77">
        <v>307</v>
      </c>
      <c r="AU58" s="77">
        <v>304</v>
      </c>
      <c r="AV58" s="77">
        <v>340</v>
      </c>
      <c r="AW58" s="77">
        <v>332</v>
      </c>
      <c r="AX58" s="77">
        <v>327</v>
      </c>
      <c r="AY58" s="77">
        <v>311</v>
      </c>
      <c r="AZ58" s="77">
        <v>312</v>
      </c>
      <c r="BA58" s="77">
        <v>266</v>
      </c>
      <c r="BB58" s="77">
        <v>246</v>
      </c>
      <c r="BC58" s="77">
        <v>228</v>
      </c>
      <c r="BD58" s="77">
        <v>255</v>
      </c>
      <c r="BE58" s="77">
        <v>231</v>
      </c>
      <c r="BF58" s="77">
        <v>293</v>
      </c>
      <c r="BG58" s="77">
        <v>307</v>
      </c>
      <c r="BH58" s="77">
        <v>307</v>
      </c>
      <c r="BI58" s="77">
        <v>337</v>
      </c>
      <c r="BJ58" s="77">
        <v>350</v>
      </c>
      <c r="BK58" s="77">
        <v>322</v>
      </c>
      <c r="BL58" s="77">
        <v>326</v>
      </c>
      <c r="BM58" s="77">
        <v>278</v>
      </c>
      <c r="BN58" s="77">
        <v>278</v>
      </c>
      <c r="BO58" s="77">
        <v>268</v>
      </c>
      <c r="BP58" s="77">
        <v>291</v>
      </c>
      <c r="BQ58" s="77">
        <v>268</v>
      </c>
      <c r="BR58" s="77">
        <v>241</v>
      </c>
      <c r="BS58" s="77">
        <v>258</v>
      </c>
      <c r="BT58" s="77">
        <v>248</v>
      </c>
      <c r="BU58" s="77">
        <v>199</v>
      </c>
      <c r="BV58" s="77">
        <v>100</v>
      </c>
      <c r="BW58" s="77">
        <v>21</v>
      </c>
      <c r="BX58" s="77">
        <v>2</v>
      </c>
      <c r="BY58" s="77">
        <v>2</v>
      </c>
      <c r="BZ58" s="77">
        <v>4</v>
      </c>
      <c r="CA58" s="77">
        <v>6</v>
      </c>
      <c r="CB58" s="77">
        <v>10</v>
      </c>
      <c r="CC58" s="77">
        <v>3</v>
      </c>
    </row>
    <row r="59" spans="1:84">
      <c r="A59" s="74" t="s">
        <v>120</v>
      </c>
      <c r="B59" s="76">
        <v>202405</v>
      </c>
      <c r="C59" s="77">
        <v>8069</v>
      </c>
      <c r="D59" s="78">
        <v>85180.4667</v>
      </c>
      <c r="E59" s="77">
        <v>7855</v>
      </c>
      <c r="AL59" s="77">
        <v>2</v>
      </c>
      <c r="AM59" s="77">
        <v>23</v>
      </c>
      <c r="AN59" s="77">
        <v>152</v>
      </c>
      <c r="AO59" s="77">
        <v>162</v>
      </c>
      <c r="AP59" s="77">
        <v>209</v>
      </c>
      <c r="AQ59" s="77">
        <v>213</v>
      </c>
      <c r="AR59" s="77">
        <v>245</v>
      </c>
      <c r="AS59" s="77">
        <v>245</v>
      </c>
      <c r="AT59" s="77">
        <v>268</v>
      </c>
      <c r="AU59" s="77">
        <v>310</v>
      </c>
      <c r="AV59" s="77">
        <v>280</v>
      </c>
      <c r="AW59" s="77">
        <v>283</v>
      </c>
      <c r="AX59" s="77">
        <v>276</v>
      </c>
      <c r="AY59" s="77">
        <v>243</v>
      </c>
      <c r="AZ59" s="77">
        <v>241</v>
      </c>
      <c r="BA59" s="77">
        <v>215</v>
      </c>
      <c r="BB59" s="77">
        <v>201</v>
      </c>
      <c r="BC59" s="77">
        <v>206</v>
      </c>
      <c r="BD59" s="77">
        <v>207</v>
      </c>
      <c r="BE59" s="77">
        <v>203</v>
      </c>
      <c r="BF59" s="77">
        <v>225</v>
      </c>
      <c r="BG59" s="77">
        <v>225</v>
      </c>
      <c r="BH59" s="77">
        <v>262</v>
      </c>
      <c r="BI59" s="77">
        <v>268</v>
      </c>
      <c r="BJ59" s="77">
        <v>261</v>
      </c>
      <c r="BK59" s="77">
        <v>294</v>
      </c>
      <c r="BL59" s="77">
        <v>258</v>
      </c>
      <c r="BM59" s="77">
        <v>227</v>
      </c>
      <c r="BN59" s="77">
        <v>223</v>
      </c>
      <c r="BO59" s="77">
        <v>250</v>
      </c>
      <c r="BP59" s="77">
        <v>249</v>
      </c>
      <c r="BQ59" s="77">
        <v>236</v>
      </c>
      <c r="BR59" s="77">
        <v>230</v>
      </c>
      <c r="BS59" s="77">
        <v>173</v>
      </c>
      <c r="BT59" s="77">
        <v>218</v>
      </c>
      <c r="BU59" s="77">
        <v>199</v>
      </c>
      <c r="BV59" s="77">
        <v>78</v>
      </c>
      <c r="BW59" s="77">
        <v>9</v>
      </c>
    </row>
    <row r="60" spans="1:84">
      <c r="A60" s="74" t="s">
        <v>120</v>
      </c>
      <c r="B60" s="76">
        <v>202406</v>
      </c>
      <c r="C60" s="77">
        <v>8410</v>
      </c>
      <c r="D60" s="78">
        <v>79418</v>
      </c>
      <c r="E60" s="77">
        <v>8209</v>
      </c>
      <c r="AL60" s="77">
        <v>6</v>
      </c>
      <c r="AM60" s="77">
        <v>45</v>
      </c>
      <c r="AN60" s="77">
        <v>154</v>
      </c>
      <c r="AO60" s="77">
        <v>162</v>
      </c>
      <c r="AP60" s="77">
        <v>227</v>
      </c>
      <c r="AQ60" s="77">
        <v>234</v>
      </c>
      <c r="AR60" s="77">
        <v>296</v>
      </c>
      <c r="AS60" s="77">
        <v>251</v>
      </c>
      <c r="AT60" s="77">
        <v>278</v>
      </c>
      <c r="AU60" s="77">
        <v>303</v>
      </c>
      <c r="AV60" s="77">
        <v>298</v>
      </c>
      <c r="AW60" s="77">
        <v>289</v>
      </c>
      <c r="AX60" s="77">
        <v>285</v>
      </c>
      <c r="AY60" s="77">
        <v>265</v>
      </c>
      <c r="AZ60" s="77">
        <v>247</v>
      </c>
      <c r="BA60" s="77">
        <v>239</v>
      </c>
      <c r="BB60" s="77">
        <v>226</v>
      </c>
      <c r="BC60" s="77">
        <v>216</v>
      </c>
      <c r="BD60" s="77">
        <v>196</v>
      </c>
      <c r="BE60" s="77">
        <v>226</v>
      </c>
      <c r="BF60" s="77">
        <v>216</v>
      </c>
      <c r="BG60" s="77">
        <v>228</v>
      </c>
      <c r="BH60" s="77">
        <v>275</v>
      </c>
      <c r="BI60" s="77">
        <v>301</v>
      </c>
      <c r="BJ60" s="77">
        <v>263</v>
      </c>
      <c r="BK60" s="77">
        <v>291</v>
      </c>
      <c r="BL60" s="77">
        <v>285</v>
      </c>
      <c r="BM60" s="77">
        <v>273</v>
      </c>
      <c r="BN60" s="77">
        <v>247</v>
      </c>
      <c r="BO60" s="77">
        <v>232</v>
      </c>
      <c r="BP60" s="77">
        <v>276</v>
      </c>
      <c r="BQ60" s="77">
        <v>224</v>
      </c>
      <c r="BR60" s="77">
        <v>221</v>
      </c>
      <c r="BS60" s="77">
        <v>208</v>
      </c>
      <c r="BT60" s="77">
        <v>177</v>
      </c>
      <c r="BU60" s="77">
        <v>163</v>
      </c>
      <c r="BV60" s="77">
        <v>78</v>
      </c>
      <c r="BW60" s="77">
        <v>9</v>
      </c>
    </row>
    <row r="61" spans="1:84">
      <c r="A61" s="74" t="s">
        <v>120</v>
      </c>
      <c r="B61" s="76">
        <v>202407</v>
      </c>
      <c r="C61" s="77">
        <v>9372</v>
      </c>
      <c r="D61" s="78">
        <v>90241.4167</v>
      </c>
      <c r="E61" s="77">
        <v>9143</v>
      </c>
      <c r="AJ61" s="77">
        <v>1</v>
      </c>
      <c r="AK61" s="77">
        <v>4</v>
      </c>
      <c r="AL61" s="77">
        <v>4</v>
      </c>
      <c r="AM61" s="77">
        <v>41</v>
      </c>
      <c r="AN61" s="77">
        <v>200</v>
      </c>
      <c r="AO61" s="77">
        <v>211</v>
      </c>
      <c r="AP61" s="77">
        <v>256</v>
      </c>
      <c r="AQ61" s="77">
        <v>284</v>
      </c>
      <c r="AR61" s="77">
        <v>329</v>
      </c>
      <c r="AS61" s="77">
        <v>285</v>
      </c>
      <c r="AT61" s="77">
        <v>337</v>
      </c>
      <c r="AU61" s="77">
        <v>330</v>
      </c>
      <c r="AV61" s="77">
        <v>316</v>
      </c>
      <c r="AW61" s="77">
        <v>336</v>
      </c>
      <c r="AX61" s="77">
        <v>285</v>
      </c>
      <c r="AY61" s="77">
        <v>277</v>
      </c>
      <c r="AZ61" s="77">
        <v>307</v>
      </c>
      <c r="BA61" s="77">
        <v>256</v>
      </c>
      <c r="BB61" s="77">
        <v>229</v>
      </c>
      <c r="BC61" s="77">
        <v>228</v>
      </c>
      <c r="BD61" s="77">
        <v>246</v>
      </c>
      <c r="BE61" s="77">
        <v>239</v>
      </c>
      <c r="BF61" s="77">
        <v>243</v>
      </c>
      <c r="BG61" s="77">
        <v>259</v>
      </c>
      <c r="BH61" s="77">
        <v>289</v>
      </c>
      <c r="BI61" s="77">
        <v>256</v>
      </c>
      <c r="BJ61" s="77">
        <v>270</v>
      </c>
      <c r="BK61" s="77">
        <v>290</v>
      </c>
      <c r="BL61" s="77">
        <v>315</v>
      </c>
      <c r="BM61" s="77">
        <v>302</v>
      </c>
      <c r="BN61" s="77">
        <v>279</v>
      </c>
      <c r="BO61" s="77">
        <v>309</v>
      </c>
      <c r="BP61" s="77">
        <v>279</v>
      </c>
      <c r="BQ61" s="77">
        <v>279</v>
      </c>
      <c r="BR61" s="77">
        <v>248</v>
      </c>
      <c r="BS61" s="77">
        <v>257</v>
      </c>
      <c r="BT61" s="77">
        <v>249</v>
      </c>
      <c r="BU61" s="77">
        <v>158</v>
      </c>
      <c r="BV61" s="77">
        <v>84</v>
      </c>
      <c r="BW61" s="77">
        <v>5</v>
      </c>
    </row>
    <row r="62" spans="1:84">
      <c r="A62" s="74" t="s">
        <v>120</v>
      </c>
      <c r="B62" s="76">
        <v>202408</v>
      </c>
      <c r="C62" s="77">
        <v>8118</v>
      </c>
      <c r="D62" s="78">
        <v>78090.3333</v>
      </c>
      <c r="E62" s="77">
        <v>7916</v>
      </c>
      <c r="AK62" s="77">
        <v>1</v>
      </c>
      <c r="AL62" s="77">
        <v>4</v>
      </c>
      <c r="AM62" s="77">
        <v>45</v>
      </c>
      <c r="AN62" s="77">
        <v>193</v>
      </c>
      <c r="AO62" s="77">
        <v>192</v>
      </c>
      <c r="AP62" s="77">
        <v>185</v>
      </c>
      <c r="AQ62" s="77">
        <v>271</v>
      </c>
      <c r="AR62" s="77">
        <v>270</v>
      </c>
      <c r="AS62" s="77">
        <v>263</v>
      </c>
      <c r="AT62" s="77">
        <v>303</v>
      </c>
      <c r="AU62" s="77">
        <v>339</v>
      </c>
      <c r="AV62" s="77">
        <v>301</v>
      </c>
      <c r="AW62" s="77">
        <v>285</v>
      </c>
      <c r="AX62" s="77">
        <v>276</v>
      </c>
      <c r="AY62" s="77">
        <v>293</v>
      </c>
      <c r="AZ62" s="77">
        <v>228</v>
      </c>
      <c r="BA62" s="77">
        <v>232</v>
      </c>
      <c r="BB62" s="77">
        <v>191</v>
      </c>
      <c r="BC62" s="77">
        <v>188</v>
      </c>
      <c r="BD62" s="77">
        <v>203</v>
      </c>
      <c r="BE62" s="77">
        <v>185</v>
      </c>
      <c r="BF62" s="77">
        <v>197</v>
      </c>
      <c r="BG62" s="77">
        <v>208</v>
      </c>
      <c r="BH62" s="77">
        <v>235</v>
      </c>
      <c r="BI62" s="77">
        <v>257</v>
      </c>
      <c r="BJ62" s="77">
        <v>286</v>
      </c>
      <c r="BK62" s="77">
        <v>264</v>
      </c>
      <c r="BL62" s="77">
        <v>255</v>
      </c>
      <c r="BM62" s="77">
        <v>205</v>
      </c>
      <c r="BN62" s="77">
        <v>232</v>
      </c>
      <c r="BO62" s="77">
        <v>222</v>
      </c>
      <c r="BP62" s="77">
        <v>221</v>
      </c>
      <c r="BQ62" s="77">
        <v>262</v>
      </c>
      <c r="BR62" s="77">
        <v>195</v>
      </c>
      <c r="BS62" s="77">
        <v>208</v>
      </c>
      <c r="BT62" s="77">
        <v>196</v>
      </c>
      <c r="BU62" s="77">
        <v>158</v>
      </c>
      <c r="BV62" s="77">
        <v>66</v>
      </c>
      <c r="BW62" s="77">
        <v>3</v>
      </c>
    </row>
    <row r="63" spans="1:84">
      <c r="A63" s="74" t="s">
        <v>120</v>
      </c>
      <c r="B63" s="76">
        <v>202409</v>
      </c>
      <c r="C63" s="77">
        <v>8098</v>
      </c>
      <c r="D63" s="78">
        <v>75253.75</v>
      </c>
      <c r="E63" s="77">
        <v>7907</v>
      </c>
      <c r="AK63" s="77">
        <v>1</v>
      </c>
      <c r="AL63" s="77">
        <v>5</v>
      </c>
      <c r="AM63" s="77">
        <v>52</v>
      </c>
      <c r="AN63" s="77">
        <v>154</v>
      </c>
      <c r="AO63" s="77">
        <v>174</v>
      </c>
      <c r="AP63" s="77">
        <v>199</v>
      </c>
      <c r="AQ63" s="77">
        <v>244</v>
      </c>
      <c r="AR63" s="77">
        <v>281</v>
      </c>
      <c r="AS63" s="77">
        <v>247</v>
      </c>
      <c r="AT63" s="77">
        <v>288</v>
      </c>
      <c r="AU63" s="77">
        <v>321</v>
      </c>
      <c r="AV63" s="77">
        <v>287</v>
      </c>
      <c r="AW63" s="77">
        <v>280</v>
      </c>
      <c r="AX63" s="77">
        <v>273</v>
      </c>
      <c r="AY63" s="77">
        <v>267</v>
      </c>
      <c r="AZ63" s="77">
        <v>261</v>
      </c>
      <c r="BA63" s="77">
        <v>248</v>
      </c>
      <c r="BB63" s="77">
        <v>204</v>
      </c>
      <c r="BC63" s="77">
        <v>207</v>
      </c>
      <c r="BD63" s="77">
        <v>228</v>
      </c>
      <c r="BE63" s="77">
        <v>185</v>
      </c>
      <c r="BF63" s="77">
        <v>209</v>
      </c>
      <c r="BG63" s="77">
        <v>231</v>
      </c>
      <c r="BH63" s="77">
        <v>244</v>
      </c>
      <c r="BI63" s="77">
        <v>229</v>
      </c>
      <c r="BJ63" s="77">
        <v>235</v>
      </c>
      <c r="BK63" s="77">
        <v>235</v>
      </c>
      <c r="BL63" s="77">
        <v>265</v>
      </c>
      <c r="BM63" s="77">
        <v>254</v>
      </c>
      <c r="BN63" s="77">
        <v>200</v>
      </c>
      <c r="BO63" s="77">
        <v>234</v>
      </c>
      <c r="BP63" s="77">
        <v>228</v>
      </c>
      <c r="BQ63" s="77">
        <v>218</v>
      </c>
      <c r="BR63" s="77">
        <v>236</v>
      </c>
      <c r="BS63" s="77">
        <v>205</v>
      </c>
      <c r="BT63" s="77">
        <v>222</v>
      </c>
      <c r="BU63" s="77">
        <v>177</v>
      </c>
      <c r="BV63" s="77">
        <v>62</v>
      </c>
      <c r="BW63" s="77">
        <v>8</v>
      </c>
    </row>
    <row r="64" spans="1:84">
      <c r="A64" s="74" t="s">
        <v>120</v>
      </c>
      <c r="B64" s="76">
        <v>202410</v>
      </c>
      <c r="C64" s="77">
        <v>9533</v>
      </c>
      <c r="D64" s="78">
        <v>86486.1833</v>
      </c>
      <c r="E64" s="77">
        <v>9311</v>
      </c>
      <c r="AK64" s="77">
        <v>2</v>
      </c>
      <c r="AL64" s="77">
        <v>2</v>
      </c>
      <c r="AM64" s="77">
        <v>43</v>
      </c>
      <c r="AN64" s="77">
        <v>176</v>
      </c>
      <c r="AO64" s="77">
        <v>186</v>
      </c>
      <c r="AP64" s="77">
        <v>256</v>
      </c>
      <c r="AQ64" s="77">
        <v>267</v>
      </c>
      <c r="AR64" s="77">
        <v>336</v>
      </c>
      <c r="AS64" s="77">
        <v>332</v>
      </c>
      <c r="AT64" s="77">
        <v>318</v>
      </c>
      <c r="AU64" s="77">
        <v>313</v>
      </c>
      <c r="AV64" s="77">
        <v>368</v>
      </c>
      <c r="AW64" s="77">
        <v>329</v>
      </c>
      <c r="AX64" s="77">
        <v>335</v>
      </c>
      <c r="AY64" s="77">
        <v>308</v>
      </c>
      <c r="AZ64" s="77">
        <v>314</v>
      </c>
      <c r="BA64" s="77">
        <v>290</v>
      </c>
      <c r="BB64" s="77">
        <v>219</v>
      </c>
      <c r="BC64" s="77">
        <v>231</v>
      </c>
      <c r="BD64" s="77">
        <v>226</v>
      </c>
      <c r="BE64" s="77">
        <v>221</v>
      </c>
      <c r="BF64" s="77">
        <v>228</v>
      </c>
      <c r="BG64" s="77">
        <v>266</v>
      </c>
      <c r="BH64" s="77">
        <v>297</v>
      </c>
      <c r="BI64" s="77">
        <v>308</v>
      </c>
      <c r="BJ64" s="77">
        <v>307</v>
      </c>
      <c r="BK64" s="77">
        <v>329</v>
      </c>
      <c r="BL64" s="77">
        <v>318</v>
      </c>
      <c r="BM64" s="77">
        <v>295</v>
      </c>
      <c r="BN64" s="77">
        <v>259</v>
      </c>
      <c r="BO64" s="77">
        <v>275</v>
      </c>
      <c r="BP64" s="77">
        <v>295</v>
      </c>
      <c r="BQ64" s="77">
        <v>252</v>
      </c>
      <c r="BR64" s="77">
        <v>256</v>
      </c>
      <c r="BS64" s="77">
        <v>272</v>
      </c>
      <c r="BT64" s="77">
        <v>229</v>
      </c>
      <c r="BU64" s="77">
        <v>180</v>
      </c>
      <c r="BV64" s="77">
        <v>86</v>
      </c>
      <c r="BW64" s="77">
        <v>9</v>
      </c>
    </row>
    <row r="65" spans="1:87">
      <c r="A65" s="74" t="s">
        <v>120</v>
      </c>
      <c r="B65" s="76">
        <v>202412</v>
      </c>
      <c r="C65" s="77">
        <v>8885</v>
      </c>
      <c r="D65" s="78">
        <v>73759.5667</v>
      </c>
      <c r="E65" s="77">
        <v>8687</v>
      </c>
      <c r="AK65" s="77">
        <v>1</v>
      </c>
      <c r="AL65" s="77">
        <v>4</v>
      </c>
      <c r="AM65" s="77">
        <v>74</v>
      </c>
      <c r="AN65" s="77">
        <v>173</v>
      </c>
      <c r="AO65" s="77">
        <v>188</v>
      </c>
      <c r="AP65" s="77">
        <v>193</v>
      </c>
      <c r="AQ65" s="77">
        <v>223</v>
      </c>
      <c r="AR65" s="77">
        <v>228</v>
      </c>
      <c r="AS65" s="77">
        <v>260</v>
      </c>
      <c r="AT65" s="77">
        <v>307</v>
      </c>
      <c r="AU65" s="77">
        <v>304</v>
      </c>
      <c r="AV65" s="77">
        <v>295</v>
      </c>
      <c r="AW65" s="77">
        <v>286</v>
      </c>
      <c r="AX65" s="77">
        <v>328</v>
      </c>
      <c r="AY65" s="77">
        <v>313</v>
      </c>
      <c r="AZ65" s="77">
        <v>258</v>
      </c>
      <c r="BA65" s="77">
        <v>234</v>
      </c>
      <c r="BB65" s="77">
        <v>235</v>
      </c>
      <c r="BC65" s="77">
        <v>233</v>
      </c>
      <c r="BD65" s="77">
        <v>205</v>
      </c>
      <c r="BE65" s="77">
        <v>227</v>
      </c>
      <c r="BF65" s="77">
        <v>256</v>
      </c>
      <c r="BG65" s="77">
        <v>274</v>
      </c>
      <c r="BH65" s="77">
        <v>323</v>
      </c>
      <c r="BI65" s="77">
        <v>320</v>
      </c>
      <c r="BJ65" s="77">
        <v>320</v>
      </c>
      <c r="BK65" s="77">
        <v>311</v>
      </c>
      <c r="BL65" s="77">
        <v>277</v>
      </c>
      <c r="BM65" s="77">
        <v>275</v>
      </c>
      <c r="BN65" s="77">
        <v>278</v>
      </c>
      <c r="BO65" s="77">
        <v>278</v>
      </c>
      <c r="BP65" s="77">
        <v>265</v>
      </c>
      <c r="BQ65" s="77">
        <v>252</v>
      </c>
      <c r="BR65" s="77">
        <v>223</v>
      </c>
      <c r="BS65" s="77">
        <v>235</v>
      </c>
      <c r="BT65" s="77">
        <v>221</v>
      </c>
      <c r="BU65" s="77">
        <v>142</v>
      </c>
      <c r="BV65" s="77">
        <v>63</v>
      </c>
      <c r="BW65" s="77">
        <v>3</v>
      </c>
    </row>
    <row r="66" spans="1:87">
      <c r="A66" s="74" t="s">
        <v>120</v>
      </c>
      <c r="B66" s="76">
        <v>202501</v>
      </c>
      <c r="C66" s="77">
        <v>9762</v>
      </c>
      <c r="D66" s="78">
        <v>70998.8</v>
      </c>
      <c r="E66" s="77">
        <v>9563</v>
      </c>
      <c r="AL66" s="77">
        <v>7</v>
      </c>
      <c r="AM66" s="77">
        <v>72</v>
      </c>
      <c r="AN66" s="77">
        <v>231</v>
      </c>
      <c r="AO66" s="77">
        <v>199</v>
      </c>
      <c r="AP66" s="77">
        <v>231</v>
      </c>
      <c r="AQ66" s="77">
        <v>258</v>
      </c>
      <c r="AR66" s="77">
        <v>274</v>
      </c>
      <c r="AS66" s="77">
        <v>276</v>
      </c>
      <c r="AT66" s="77">
        <v>338</v>
      </c>
      <c r="AU66" s="77">
        <v>347</v>
      </c>
      <c r="AV66" s="77">
        <v>312</v>
      </c>
      <c r="AW66" s="77">
        <v>348</v>
      </c>
      <c r="AX66" s="77">
        <v>349</v>
      </c>
      <c r="AY66" s="77">
        <v>326</v>
      </c>
      <c r="AZ66" s="77">
        <v>283</v>
      </c>
      <c r="BA66" s="77">
        <v>271</v>
      </c>
      <c r="BB66" s="77">
        <v>269</v>
      </c>
      <c r="BC66" s="77">
        <v>247</v>
      </c>
      <c r="BD66" s="77">
        <v>251</v>
      </c>
      <c r="BE66" s="77">
        <v>225</v>
      </c>
      <c r="BF66" s="77">
        <v>272</v>
      </c>
      <c r="BG66" s="77">
        <v>300</v>
      </c>
      <c r="BH66" s="77">
        <v>290</v>
      </c>
      <c r="BI66" s="77">
        <v>314</v>
      </c>
      <c r="BJ66" s="77">
        <v>299</v>
      </c>
      <c r="BK66" s="77">
        <v>307</v>
      </c>
      <c r="BL66" s="77">
        <v>316</v>
      </c>
      <c r="BM66" s="77">
        <v>300</v>
      </c>
      <c r="BN66" s="77">
        <v>283</v>
      </c>
      <c r="BO66" s="77">
        <v>296</v>
      </c>
      <c r="BP66" s="77">
        <v>308</v>
      </c>
      <c r="BQ66" s="77">
        <v>299</v>
      </c>
      <c r="BR66" s="77">
        <v>310</v>
      </c>
      <c r="BS66" s="77">
        <v>251</v>
      </c>
      <c r="BT66" s="77">
        <v>266</v>
      </c>
      <c r="BU66" s="77">
        <v>164</v>
      </c>
      <c r="BV66" s="77">
        <v>63</v>
      </c>
      <c r="BW66" s="77">
        <v>8</v>
      </c>
      <c r="BX66" s="77">
        <v>2</v>
      </c>
    </row>
    <row r="67" spans="1:87">
      <c r="A67" s="74" t="s">
        <v>120</v>
      </c>
      <c r="B67" s="76">
        <v>202502</v>
      </c>
      <c r="C67" s="77">
        <v>10145</v>
      </c>
      <c r="D67" s="78">
        <v>67527.1167</v>
      </c>
      <c r="E67" s="77">
        <v>9964</v>
      </c>
      <c r="AL67" s="77">
        <v>13</v>
      </c>
      <c r="AM67" s="77">
        <v>86</v>
      </c>
      <c r="AN67" s="77">
        <v>218</v>
      </c>
      <c r="AO67" s="77">
        <v>233</v>
      </c>
      <c r="AP67" s="77">
        <v>288</v>
      </c>
      <c r="AQ67" s="77">
        <v>277</v>
      </c>
      <c r="AR67" s="77">
        <v>310</v>
      </c>
      <c r="AS67" s="77">
        <v>315</v>
      </c>
      <c r="AT67" s="77">
        <v>342</v>
      </c>
      <c r="AU67" s="77">
        <v>354</v>
      </c>
      <c r="AV67" s="77">
        <v>353</v>
      </c>
      <c r="AW67" s="77">
        <v>357</v>
      </c>
      <c r="AX67" s="77">
        <v>357</v>
      </c>
      <c r="AY67" s="77">
        <v>315</v>
      </c>
      <c r="AZ67" s="77">
        <v>302</v>
      </c>
      <c r="BA67" s="77">
        <v>285</v>
      </c>
      <c r="BB67" s="77">
        <v>264</v>
      </c>
      <c r="BC67" s="77">
        <v>283</v>
      </c>
      <c r="BD67" s="77">
        <v>251</v>
      </c>
      <c r="BE67" s="77">
        <v>249</v>
      </c>
      <c r="BF67" s="77">
        <v>264</v>
      </c>
      <c r="BG67" s="77">
        <v>328</v>
      </c>
      <c r="BH67" s="77">
        <v>317</v>
      </c>
      <c r="BI67" s="77">
        <v>316</v>
      </c>
      <c r="BJ67" s="77">
        <v>311</v>
      </c>
      <c r="BK67" s="77">
        <v>304</v>
      </c>
      <c r="BL67" s="77">
        <v>334</v>
      </c>
      <c r="BM67" s="77">
        <v>322</v>
      </c>
      <c r="BN67" s="77">
        <v>264</v>
      </c>
      <c r="BO67" s="77">
        <v>303</v>
      </c>
      <c r="BP67" s="77">
        <v>278</v>
      </c>
      <c r="BQ67" s="77">
        <v>281</v>
      </c>
      <c r="BR67" s="77">
        <v>277</v>
      </c>
      <c r="BS67" s="77">
        <v>281</v>
      </c>
      <c r="BT67" s="77">
        <v>228</v>
      </c>
      <c r="BU67" s="77">
        <v>191</v>
      </c>
      <c r="BV67" s="77">
        <v>86</v>
      </c>
      <c r="BW67" s="77">
        <v>7</v>
      </c>
      <c r="BY67" s="77">
        <v>1</v>
      </c>
    </row>
    <row r="68" spans="1:87">
      <c r="A68" s="74" t="s">
        <v>120</v>
      </c>
      <c r="B68" s="76">
        <v>202503</v>
      </c>
      <c r="C68" s="77">
        <v>14191</v>
      </c>
      <c r="D68" s="78">
        <v>88813.5667</v>
      </c>
      <c r="E68" s="77">
        <v>13947</v>
      </c>
      <c r="AK68" s="77">
        <v>3</v>
      </c>
      <c r="AL68" s="77">
        <v>33</v>
      </c>
      <c r="AM68" s="77">
        <v>236</v>
      </c>
      <c r="AN68" s="77">
        <v>435</v>
      </c>
      <c r="AO68" s="77">
        <v>385</v>
      </c>
      <c r="AP68" s="77">
        <v>388</v>
      </c>
      <c r="AQ68" s="77">
        <v>410</v>
      </c>
      <c r="AR68" s="77">
        <v>421</v>
      </c>
      <c r="AS68" s="77">
        <v>434</v>
      </c>
      <c r="AT68" s="77">
        <v>484</v>
      </c>
      <c r="AU68" s="77">
        <v>446</v>
      </c>
      <c r="AV68" s="77">
        <v>457</v>
      </c>
      <c r="AW68" s="77">
        <v>451</v>
      </c>
      <c r="AX68" s="77">
        <v>442</v>
      </c>
      <c r="AY68" s="77">
        <v>446</v>
      </c>
      <c r="AZ68" s="77">
        <v>381</v>
      </c>
      <c r="BA68" s="77">
        <v>397</v>
      </c>
      <c r="BB68" s="77">
        <v>350</v>
      </c>
      <c r="BC68" s="77">
        <v>362</v>
      </c>
      <c r="BD68" s="77">
        <v>324</v>
      </c>
      <c r="BE68" s="77">
        <v>359</v>
      </c>
      <c r="BF68" s="77">
        <v>370</v>
      </c>
      <c r="BG68" s="77">
        <v>413</v>
      </c>
      <c r="BH68" s="77">
        <v>417</v>
      </c>
      <c r="BI68" s="77">
        <v>408</v>
      </c>
      <c r="BJ68" s="77">
        <v>460</v>
      </c>
      <c r="BK68" s="77">
        <v>446</v>
      </c>
      <c r="BL68" s="77">
        <v>413</v>
      </c>
      <c r="BM68" s="77">
        <v>418</v>
      </c>
      <c r="BN68" s="77">
        <v>423</v>
      </c>
      <c r="BO68" s="77">
        <v>394</v>
      </c>
      <c r="BP68" s="77">
        <v>392</v>
      </c>
      <c r="BQ68" s="77">
        <v>380</v>
      </c>
      <c r="BR68" s="77">
        <v>389</v>
      </c>
      <c r="BS68" s="77">
        <v>380</v>
      </c>
      <c r="BT68" s="77">
        <v>372</v>
      </c>
      <c r="BU68" s="77">
        <v>248</v>
      </c>
      <c r="BV68" s="77">
        <v>123</v>
      </c>
      <c r="BW68" s="77">
        <v>20</v>
      </c>
      <c r="BX68" s="77">
        <v>19</v>
      </c>
      <c r="BY68" s="77">
        <v>13</v>
      </c>
      <c r="BZ68" s="77">
        <v>13</v>
      </c>
      <c r="CA68" s="77">
        <v>13</v>
      </c>
      <c r="CB68" s="77">
        <v>12</v>
      </c>
      <c r="CC68" s="77">
        <v>6</v>
      </c>
      <c r="CD68" s="77">
        <v>1</v>
      </c>
      <c r="CF68" s="77">
        <v>2</v>
      </c>
      <c r="CG68" s="77">
        <v>1</v>
      </c>
      <c r="CI68" s="77">
        <v>1</v>
      </c>
    </row>
    <row r="69" spans="1:87">
      <c r="A69" s="74" t="s">
        <v>120</v>
      </c>
      <c r="B69" s="76">
        <v>202504</v>
      </c>
      <c r="C69" s="77">
        <v>12055</v>
      </c>
      <c r="D69" s="78">
        <v>84518.7833</v>
      </c>
      <c r="E69" s="77">
        <v>11840</v>
      </c>
      <c r="AK69" s="77">
        <v>6</v>
      </c>
      <c r="AL69" s="77">
        <v>23</v>
      </c>
      <c r="AM69" s="77">
        <v>207</v>
      </c>
      <c r="AN69" s="77">
        <v>321</v>
      </c>
      <c r="AO69" s="77">
        <v>329</v>
      </c>
      <c r="AP69" s="77">
        <v>313</v>
      </c>
      <c r="AQ69" s="77">
        <v>374</v>
      </c>
      <c r="AR69" s="77">
        <v>391</v>
      </c>
      <c r="AS69" s="77">
        <v>377</v>
      </c>
      <c r="AT69" s="77">
        <v>385</v>
      </c>
      <c r="AU69" s="77">
        <v>396</v>
      </c>
      <c r="AV69" s="77">
        <v>423</v>
      </c>
      <c r="AW69" s="77">
        <v>429</v>
      </c>
      <c r="AX69" s="77">
        <v>391</v>
      </c>
      <c r="AY69" s="77">
        <v>398</v>
      </c>
      <c r="AZ69" s="77">
        <v>324</v>
      </c>
      <c r="BA69" s="77">
        <v>323</v>
      </c>
      <c r="BB69" s="77">
        <v>291</v>
      </c>
      <c r="BC69" s="77">
        <v>288</v>
      </c>
      <c r="BD69" s="77">
        <v>279</v>
      </c>
      <c r="BE69" s="77">
        <v>286</v>
      </c>
      <c r="BF69" s="77">
        <v>308</v>
      </c>
      <c r="BG69" s="77">
        <v>375</v>
      </c>
      <c r="BH69" s="77">
        <v>356</v>
      </c>
      <c r="BI69" s="77">
        <v>344</v>
      </c>
      <c r="BJ69" s="77">
        <v>375</v>
      </c>
      <c r="BK69" s="77">
        <v>374</v>
      </c>
      <c r="BL69" s="77">
        <v>385</v>
      </c>
      <c r="BM69" s="77">
        <v>395</v>
      </c>
      <c r="BN69" s="77">
        <v>361</v>
      </c>
      <c r="BO69" s="77">
        <v>304</v>
      </c>
      <c r="BP69" s="77">
        <v>333</v>
      </c>
      <c r="BQ69" s="77">
        <v>319</v>
      </c>
      <c r="BR69" s="77">
        <v>281</v>
      </c>
      <c r="BS69" s="77">
        <v>334</v>
      </c>
      <c r="BT69" s="77">
        <v>290</v>
      </c>
      <c r="BU69" s="77">
        <v>211</v>
      </c>
      <c r="BV69" s="77">
        <v>117</v>
      </c>
      <c r="BW69" s="77">
        <v>24</v>
      </c>
      <c r="BX69" s="77">
        <v>1</v>
      </c>
      <c r="BY69" s="77">
        <v>7</v>
      </c>
      <c r="BZ69" s="77">
        <v>2</v>
      </c>
      <c r="CA69" s="77">
        <v>4</v>
      </c>
      <c r="CB69" s="77">
        <v>1</v>
      </c>
    </row>
    <row r="70" spans="1:87">
      <c r="A70" s="74" t="s">
        <v>120</v>
      </c>
      <c r="B70" s="76">
        <v>202505</v>
      </c>
      <c r="C70" s="77">
        <v>10112</v>
      </c>
      <c r="D70" s="78">
        <v>76830.1333</v>
      </c>
      <c r="E70" s="77">
        <v>9905</v>
      </c>
      <c r="AJ70" s="77">
        <v>1</v>
      </c>
      <c r="AL70" s="77">
        <v>13</v>
      </c>
      <c r="AM70" s="77">
        <v>134</v>
      </c>
      <c r="AN70" s="77">
        <v>296</v>
      </c>
      <c r="AO70" s="77">
        <v>278</v>
      </c>
      <c r="AP70" s="77">
        <v>276</v>
      </c>
      <c r="AQ70" s="77">
        <v>300</v>
      </c>
      <c r="AR70" s="77">
        <v>353</v>
      </c>
      <c r="AS70" s="77">
        <v>309</v>
      </c>
      <c r="AT70" s="77">
        <v>348</v>
      </c>
      <c r="AU70" s="77">
        <v>340</v>
      </c>
      <c r="AV70" s="77">
        <v>347</v>
      </c>
      <c r="AW70" s="77">
        <v>369</v>
      </c>
      <c r="AX70" s="77">
        <v>352</v>
      </c>
      <c r="AY70" s="77">
        <v>334</v>
      </c>
      <c r="AZ70" s="77">
        <v>314</v>
      </c>
      <c r="BA70" s="77">
        <v>267</v>
      </c>
      <c r="BB70" s="77">
        <v>274</v>
      </c>
      <c r="BC70" s="77">
        <v>254</v>
      </c>
      <c r="BD70" s="77">
        <v>212</v>
      </c>
      <c r="BE70" s="77">
        <v>231</v>
      </c>
      <c r="BF70" s="77">
        <v>263</v>
      </c>
      <c r="BG70" s="77">
        <v>301</v>
      </c>
      <c r="BH70" s="77">
        <v>294</v>
      </c>
      <c r="BI70" s="77">
        <v>289</v>
      </c>
      <c r="BJ70" s="77">
        <v>334</v>
      </c>
      <c r="BK70" s="77">
        <v>317</v>
      </c>
      <c r="BL70" s="77">
        <v>295</v>
      </c>
      <c r="BM70" s="77">
        <v>302</v>
      </c>
      <c r="BN70" s="77">
        <v>274</v>
      </c>
      <c r="BO70" s="77">
        <v>291</v>
      </c>
      <c r="BP70" s="77">
        <v>247</v>
      </c>
      <c r="BQ70" s="77">
        <v>229</v>
      </c>
      <c r="BR70" s="77">
        <v>264</v>
      </c>
      <c r="BS70" s="77">
        <v>309</v>
      </c>
      <c r="BT70" s="77">
        <v>226</v>
      </c>
      <c r="BU70" s="77">
        <v>177</v>
      </c>
      <c r="BV70" s="77">
        <v>90</v>
      </c>
      <c r="BW70" s="77">
        <v>7</v>
      </c>
      <c r="CA70" s="77">
        <v>1</v>
      </c>
    </row>
    <row r="71" spans="1:87">
      <c r="A71" s="74" t="s">
        <v>120</v>
      </c>
      <c r="B71" s="76">
        <v>202506</v>
      </c>
      <c r="C71" s="77">
        <v>10662</v>
      </c>
      <c r="D71" s="78">
        <v>77908.76669999999</v>
      </c>
      <c r="E71" s="77">
        <v>10450</v>
      </c>
      <c r="AK71" s="77">
        <v>2</v>
      </c>
      <c r="AL71" s="77">
        <v>4</v>
      </c>
      <c r="AM71" s="77">
        <v>131</v>
      </c>
      <c r="AN71" s="77">
        <v>279</v>
      </c>
      <c r="AO71" s="77">
        <v>286</v>
      </c>
      <c r="AP71" s="77">
        <v>286</v>
      </c>
      <c r="AQ71" s="77">
        <v>324</v>
      </c>
      <c r="AR71" s="77">
        <v>365</v>
      </c>
      <c r="AS71" s="77">
        <v>376</v>
      </c>
      <c r="AT71" s="77">
        <v>386</v>
      </c>
      <c r="AU71" s="77">
        <v>363</v>
      </c>
      <c r="AV71" s="77">
        <v>359</v>
      </c>
      <c r="AW71" s="77">
        <v>339</v>
      </c>
      <c r="AX71" s="77">
        <v>327</v>
      </c>
      <c r="AY71" s="77">
        <v>348</v>
      </c>
      <c r="AZ71" s="77">
        <v>272</v>
      </c>
      <c r="BA71" s="77">
        <v>263</v>
      </c>
      <c r="BB71" s="77">
        <v>258</v>
      </c>
      <c r="BC71" s="77">
        <v>256</v>
      </c>
      <c r="BD71" s="77">
        <v>257</v>
      </c>
      <c r="BE71" s="77">
        <v>267</v>
      </c>
      <c r="BF71" s="77">
        <v>274</v>
      </c>
      <c r="BG71" s="77">
        <v>323</v>
      </c>
      <c r="BH71" s="77">
        <v>313</v>
      </c>
      <c r="BI71" s="77">
        <v>342</v>
      </c>
      <c r="BJ71" s="77">
        <v>340</v>
      </c>
      <c r="BK71" s="77">
        <v>338</v>
      </c>
      <c r="BL71" s="77">
        <v>324</v>
      </c>
      <c r="BM71" s="77">
        <v>312</v>
      </c>
      <c r="BN71" s="77">
        <v>303</v>
      </c>
      <c r="BO71" s="77">
        <v>296</v>
      </c>
      <c r="BP71" s="77">
        <v>300</v>
      </c>
      <c r="BQ71" s="77">
        <v>293</v>
      </c>
      <c r="BR71" s="77">
        <v>318</v>
      </c>
      <c r="BS71" s="77">
        <v>283</v>
      </c>
      <c r="BT71" s="77">
        <v>267</v>
      </c>
      <c r="BU71" s="77">
        <v>192</v>
      </c>
      <c r="BV71" s="77">
        <v>90</v>
      </c>
      <c r="BW71" s="77">
        <v>6</v>
      </c>
    </row>
    <row r="72" spans="1:87">
      <c r="A72" s="74" t="s">
        <v>120</v>
      </c>
      <c r="B72" s="76">
        <v>202507</v>
      </c>
      <c r="C72" s="77">
        <v>11047</v>
      </c>
      <c r="D72" s="78">
        <v>83494.75</v>
      </c>
      <c r="E72" s="77">
        <v>10818</v>
      </c>
      <c r="AK72" s="77">
        <v>8</v>
      </c>
      <c r="AL72" s="77">
        <v>27</v>
      </c>
      <c r="AM72" s="77">
        <v>154</v>
      </c>
      <c r="AN72" s="77">
        <v>325</v>
      </c>
      <c r="AO72" s="77">
        <v>316</v>
      </c>
      <c r="AP72" s="77">
        <v>346</v>
      </c>
      <c r="AQ72" s="77">
        <v>377</v>
      </c>
      <c r="AR72" s="77">
        <v>408</v>
      </c>
      <c r="AS72" s="77">
        <v>326</v>
      </c>
      <c r="AT72" s="77">
        <v>359</v>
      </c>
      <c r="AU72" s="77">
        <v>413</v>
      </c>
      <c r="AV72" s="77">
        <v>384</v>
      </c>
      <c r="AW72" s="77">
        <v>381</v>
      </c>
      <c r="AX72" s="77">
        <v>359</v>
      </c>
      <c r="AY72" s="77">
        <v>351</v>
      </c>
      <c r="AZ72" s="77">
        <v>318</v>
      </c>
      <c r="BA72" s="77">
        <v>264</v>
      </c>
      <c r="BB72" s="77">
        <v>270</v>
      </c>
      <c r="BC72" s="77">
        <v>268</v>
      </c>
      <c r="BD72" s="77">
        <v>226</v>
      </c>
      <c r="BE72" s="77">
        <v>244</v>
      </c>
      <c r="BF72" s="77">
        <v>260</v>
      </c>
      <c r="BG72" s="77">
        <v>303</v>
      </c>
      <c r="BH72" s="77">
        <v>347</v>
      </c>
      <c r="BI72" s="77">
        <v>319</v>
      </c>
      <c r="BJ72" s="77">
        <v>339</v>
      </c>
      <c r="BK72" s="77">
        <v>346</v>
      </c>
      <c r="BL72" s="77">
        <v>320</v>
      </c>
      <c r="BM72" s="77">
        <v>328</v>
      </c>
      <c r="BN72" s="77">
        <v>292</v>
      </c>
      <c r="BO72" s="77">
        <v>315</v>
      </c>
      <c r="BP72" s="77">
        <v>323</v>
      </c>
      <c r="BQ72" s="77">
        <v>293</v>
      </c>
      <c r="BR72" s="77">
        <v>285</v>
      </c>
      <c r="BS72" s="77">
        <v>308</v>
      </c>
      <c r="BT72" s="77">
        <v>259</v>
      </c>
      <c r="BU72" s="77">
        <v>194</v>
      </c>
      <c r="BV72" s="77">
        <v>87</v>
      </c>
      <c r="BW72" s="77">
        <v>5</v>
      </c>
    </row>
    <row r="73" spans="1:87">
      <c r="A73" s="74" t="s">
        <v>120</v>
      </c>
      <c r="B73" s="76">
        <v>202508</v>
      </c>
      <c r="C73" s="77">
        <v>9543</v>
      </c>
      <c r="D73" s="78">
        <v>73633.5667</v>
      </c>
      <c r="E73" s="77">
        <v>9361</v>
      </c>
      <c r="AK73" s="77">
        <v>1</v>
      </c>
      <c r="AL73" s="77">
        <v>19</v>
      </c>
      <c r="AM73" s="77">
        <v>144</v>
      </c>
      <c r="AN73" s="77">
        <v>308</v>
      </c>
      <c r="AO73" s="77">
        <v>234</v>
      </c>
      <c r="AP73" s="77">
        <v>272</v>
      </c>
      <c r="AQ73" s="77">
        <v>281</v>
      </c>
      <c r="AR73" s="77">
        <v>237</v>
      </c>
      <c r="AS73" s="77">
        <v>302</v>
      </c>
      <c r="AT73" s="77">
        <v>299</v>
      </c>
      <c r="AU73" s="77">
        <v>330</v>
      </c>
      <c r="AV73" s="77">
        <v>329</v>
      </c>
      <c r="AW73" s="77">
        <v>347</v>
      </c>
      <c r="AX73" s="77">
        <v>323</v>
      </c>
      <c r="AY73" s="77">
        <v>255</v>
      </c>
      <c r="AZ73" s="77">
        <v>297</v>
      </c>
      <c r="BA73" s="77">
        <v>248</v>
      </c>
      <c r="BB73" s="77">
        <v>222</v>
      </c>
      <c r="BC73" s="77">
        <v>251</v>
      </c>
      <c r="BD73" s="77">
        <v>266</v>
      </c>
      <c r="BE73" s="77">
        <v>213</v>
      </c>
      <c r="BF73" s="77">
        <v>255</v>
      </c>
      <c r="BG73" s="77">
        <v>281</v>
      </c>
      <c r="BH73" s="77">
        <v>294</v>
      </c>
      <c r="BI73" s="77">
        <v>284</v>
      </c>
      <c r="BJ73" s="77">
        <v>281</v>
      </c>
      <c r="BK73" s="77">
        <v>306</v>
      </c>
      <c r="BL73" s="77">
        <v>315</v>
      </c>
      <c r="BM73" s="77">
        <v>273</v>
      </c>
      <c r="BN73" s="77">
        <v>282</v>
      </c>
      <c r="BO73" s="77">
        <v>264</v>
      </c>
      <c r="BP73" s="77">
        <v>276</v>
      </c>
      <c r="BQ73" s="77">
        <v>285</v>
      </c>
      <c r="BR73" s="77">
        <v>260</v>
      </c>
      <c r="BS73" s="77">
        <v>238</v>
      </c>
      <c r="BT73" s="77">
        <v>214</v>
      </c>
      <c r="BU73" s="77">
        <v>166</v>
      </c>
      <c r="BV73" s="77">
        <v>88</v>
      </c>
      <c r="BW73" s="77">
        <v>3</v>
      </c>
    </row>
    <row r="74" spans="1:87">
      <c r="A74" s="74" t="s">
        <v>120</v>
      </c>
      <c r="B74" s="76">
        <v>202509</v>
      </c>
      <c r="C74" s="77">
        <v>9399</v>
      </c>
      <c r="D74" s="78">
        <v>75146.0833</v>
      </c>
      <c r="E74" s="77">
        <v>9205</v>
      </c>
      <c r="AK74" s="77">
        <v>1</v>
      </c>
      <c r="AL74" s="77">
        <v>4</v>
      </c>
      <c r="AM74" s="77">
        <v>102</v>
      </c>
      <c r="AN74" s="77">
        <v>246</v>
      </c>
      <c r="AO74" s="77">
        <v>211</v>
      </c>
      <c r="AP74" s="77">
        <v>288</v>
      </c>
      <c r="AQ74" s="77">
        <v>280</v>
      </c>
      <c r="AR74" s="77">
        <v>275</v>
      </c>
      <c r="AS74" s="77">
        <v>302</v>
      </c>
      <c r="AT74" s="77">
        <v>346</v>
      </c>
      <c r="AU74" s="77">
        <v>330</v>
      </c>
      <c r="AV74" s="77">
        <v>333</v>
      </c>
      <c r="AW74" s="77">
        <v>308</v>
      </c>
      <c r="AX74" s="77">
        <v>321</v>
      </c>
      <c r="AY74" s="77">
        <v>287</v>
      </c>
      <c r="AZ74" s="77">
        <v>281</v>
      </c>
      <c r="BA74" s="77">
        <v>233</v>
      </c>
      <c r="BB74" s="77">
        <v>258</v>
      </c>
      <c r="BC74" s="77">
        <v>250</v>
      </c>
      <c r="BD74" s="77">
        <v>233</v>
      </c>
      <c r="BE74" s="77">
        <v>239</v>
      </c>
      <c r="BF74" s="77">
        <v>235</v>
      </c>
      <c r="BG74" s="77">
        <v>283</v>
      </c>
      <c r="BH74" s="77">
        <v>285</v>
      </c>
      <c r="BI74" s="77">
        <v>291</v>
      </c>
      <c r="BJ74" s="77">
        <v>274</v>
      </c>
      <c r="BK74" s="77">
        <v>298</v>
      </c>
      <c r="BL74" s="77">
        <v>276</v>
      </c>
      <c r="BM74" s="77">
        <v>236</v>
      </c>
      <c r="BN74" s="77">
        <v>276</v>
      </c>
      <c r="BO74" s="77">
        <v>284</v>
      </c>
      <c r="BP74" s="77">
        <v>279</v>
      </c>
      <c r="BQ74" s="77">
        <v>247</v>
      </c>
      <c r="BR74" s="77">
        <v>256</v>
      </c>
      <c r="BS74" s="77">
        <v>260</v>
      </c>
      <c r="BT74" s="77">
        <v>244</v>
      </c>
      <c r="BU74" s="77">
        <v>164</v>
      </c>
      <c r="BV74" s="77">
        <v>80</v>
      </c>
      <c r="BW74" s="77">
        <v>3</v>
      </c>
    </row>
    <row r="75" spans="1:87">
      <c r="A75" s="74" t="s">
        <v>120</v>
      </c>
      <c r="B75" s="76">
        <v>202510</v>
      </c>
      <c r="C75" s="77">
        <v>10407</v>
      </c>
      <c r="D75" s="78">
        <v>81879.1333</v>
      </c>
      <c r="E75" s="77">
        <v>10192</v>
      </c>
      <c r="AL75" s="77">
        <v>13</v>
      </c>
      <c r="AM75" s="77">
        <v>92</v>
      </c>
      <c r="AN75" s="77">
        <v>241</v>
      </c>
      <c r="AO75" s="77">
        <v>252</v>
      </c>
      <c r="AP75" s="77">
        <v>280</v>
      </c>
      <c r="AQ75" s="77">
        <v>291</v>
      </c>
      <c r="AR75" s="77">
        <v>328</v>
      </c>
      <c r="AS75" s="77">
        <v>301</v>
      </c>
      <c r="AT75" s="77">
        <v>329</v>
      </c>
      <c r="AU75" s="77">
        <v>379</v>
      </c>
      <c r="AV75" s="77">
        <v>352</v>
      </c>
      <c r="AW75" s="77">
        <v>360</v>
      </c>
      <c r="AX75" s="77">
        <v>370</v>
      </c>
      <c r="AY75" s="77">
        <v>334</v>
      </c>
      <c r="AZ75" s="77">
        <v>306</v>
      </c>
      <c r="BA75" s="77">
        <v>279</v>
      </c>
      <c r="BB75" s="77">
        <v>228</v>
      </c>
      <c r="BC75" s="77">
        <v>242</v>
      </c>
      <c r="BD75" s="77">
        <v>233</v>
      </c>
      <c r="BE75" s="77">
        <v>263</v>
      </c>
      <c r="BF75" s="77">
        <v>292</v>
      </c>
      <c r="BG75" s="77">
        <v>312</v>
      </c>
      <c r="BH75" s="77">
        <v>324</v>
      </c>
      <c r="BI75" s="77">
        <v>345</v>
      </c>
      <c r="BJ75" s="77">
        <v>329</v>
      </c>
      <c r="BK75" s="77">
        <v>310</v>
      </c>
      <c r="BL75" s="77">
        <v>357</v>
      </c>
      <c r="BM75" s="77">
        <v>312</v>
      </c>
      <c r="BN75" s="77">
        <v>316</v>
      </c>
      <c r="BO75" s="77">
        <v>291</v>
      </c>
      <c r="BP75" s="77">
        <v>297</v>
      </c>
      <c r="BQ75" s="77">
        <v>281</v>
      </c>
      <c r="BR75" s="77">
        <v>335</v>
      </c>
      <c r="BS75" s="77">
        <v>297</v>
      </c>
      <c r="BT75" s="77">
        <v>255</v>
      </c>
      <c r="BU75" s="77">
        <v>179</v>
      </c>
      <c r="BV75" s="77">
        <v>83</v>
      </c>
      <c r="BW75" s="77">
        <v>1</v>
      </c>
      <c r="BY75" s="77">
        <v>2</v>
      </c>
      <c r="BZ75" s="77">
        <v>4</v>
      </c>
      <c r="CA75" s="77">
        <v>3</v>
      </c>
      <c r="CB75" s="77">
        <v>2</v>
      </c>
      <c r="CC75" s="77">
        <v>2</v>
      </c>
      <c r="CD75" s="77">
        <v>1</v>
      </c>
      <c r="CE75" s="77">
        <v>4</v>
      </c>
    </row>
    <row r="76" spans="1:87">
      <c r="A76" s="74" t="s">
        <v>134</v>
      </c>
      <c r="B76" s="76">
        <v>202401</v>
      </c>
      <c r="C76" s="77">
        <v>7813</v>
      </c>
      <c r="D76" s="78">
        <v>73337.25</v>
      </c>
      <c r="E76" s="77">
        <v>7687</v>
      </c>
      <c r="AM76" s="77">
        <v>47</v>
      </c>
      <c r="AN76" s="77">
        <v>126</v>
      </c>
      <c r="AO76" s="77">
        <v>130</v>
      </c>
      <c r="AP76" s="77">
        <v>160</v>
      </c>
      <c r="AQ76" s="77">
        <v>184</v>
      </c>
      <c r="AR76" s="77">
        <v>212</v>
      </c>
      <c r="AS76" s="77">
        <v>199</v>
      </c>
      <c r="AT76" s="77">
        <v>246</v>
      </c>
      <c r="AU76" s="77">
        <v>263</v>
      </c>
      <c r="AV76" s="77">
        <v>261</v>
      </c>
      <c r="AW76" s="77">
        <v>282</v>
      </c>
      <c r="AX76" s="77">
        <v>241</v>
      </c>
      <c r="AY76" s="77">
        <v>261</v>
      </c>
      <c r="AZ76" s="77">
        <v>268</v>
      </c>
      <c r="BA76" s="77">
        <v>223</v>
      </c>
      <c r="BB76" s="77">
        <v>206</v>
      </c>
      <c r="BC76" s="77">
        <v>214</v>
      </c>
      <c r="BD76" s="77">
        <v>214</v>
      </c>
      <c r="BE76" s="77">
        <v>205</v>
      </c>
      <c r="BF76" s="77">
        <v>222</v>
      </c>
      <c r="BG76" s="77">
        <v>245</v>
      </c>
      <c r="BH76" s="77">
        <v>219</v>
      </c>
      <c r="BI76" s="77">
        <v>278</v>
      </c>
      <c r="BJ76" s="77">
        <v>273</v>
      </c>
      <c r="BK76" s="77">
        <v>279</v>
      </c>
      <c r="BL76" s="77">
        <v>287</v>
      </c>
      <c r="BM76" s="77">
        <v>274</v>
      </c>
      <c r="BN76" s="77">
        <v>226</v>
      </c>
      <c r="BO76" s="77">
        <v>264</v>
      </c>
      <c r="BP76" s="77">
        <v>234</v>
      </c>
      <c r="BQ76" s="77">
        <v>231</v>
      </c>
      <c r="BR76" s="77">
        <v>211</v>
      </c>
      <c r="BS76" s="77">
        <v>194</v>
      </c>
      <c r="BT76" s="77">
        <v>208</v>
      </c>
      <c r="BU76" s="77">
        <v>144</v>
      </c>
      <c r="BV76" s="77">
        <v>77</v>
      </c>
      <c r="BW76" s="77">
        <v>5</v>
      </c>
    </row>
    <row r="77" spans="1:87">
      <c r="A77" s="74" t="s">
        <v>134</v>
      </c>
      <c r="B77" s="76">
        <v>202402</v>
      </c>
      <c r="C77" s="77">
        <v>8667</v>
      </c>
      <c r="D77" s="78">
        <v>73075.2833</v>
      </c>
      <c r="E77" s="77">
        <v>8546</v>
      </c>
      <c r="AM77" s="77">
        <v>41</v>
      </c>
      <c r="AN77" s="77">
        <v>179</v>
      </c>
      <c r="AO77" s="77">
        <v>153</v>
      </c>
      <c r="AP77" s="77">
        <v>188</v>
      </c>
      <c r="AQ77" s="77">
        <v>246</v>
      </c>
      <c r="AR77" s="77">
        <v>229</v>
      </c>
      <c r="AS77" s="77">
        <v>252</v>
      </c>
      <c r="AT77" s="77">
        <v>249</v>
      </c>
      <c r="AU77" s="77">
        <v>287</v>
      </c>
      <c r="AV77" s="77">
        <v>291</v>
      </c>
      <c r="AW77" s="77">
        <v>308</v>
      </c>
      <c r="AX77" s="77">
        <v>320</v>
      </c>
      <c r="AY77" s="77">
        <v>319</v>
      </c>
      <c r="AZ77" s="77">
        <v>270</v>
      </c>
      <c r="BA77" s="77">
        <v>244</v>
      </c>
      <c r="BB77" s="77">
        <v>243</v>
      </c>
      <c r="BC77" s="77">
        <v>210</v>
      </c>
      <c r="BD77" s="77">
        <v>198</v>
      </c>
      <c r="BE77" s="77">
        <v>212</v>
      </c>
      <c r="BF77" s="77">
        <v>234</v>
      </c>
      <c r="BG77" s="77">
        <v>297</v>
      </c>
      <c r="BH77" s="77">
        <v>259</v>
      </c>
      <c r="BI77" s="77">
        <v>269</v>
      </c>
      <c r="BJ77" s="77">
        <v>308</v>
      </c>
      <c r="BK77" s="77">
        <v>267</v>
      </c>
      <c r="BL77" s="77">
        <v>285</v>
      </c>
      <c r="BM77" s="77">
        <v>250</v>
      </c>
      <c r="BN77" s="77">
        <v>274</v>
      </c>
      <c r="BO77" s="77">
        <v>256</v>
      </c>
      <c r="BP77" s="77">
        <v>282</v>
      </c>
      <c r="BQ77" s="77">
        <v>248</v>
      </c>
      <c r="BR77" s="77">
        <v>262</v>
      </c>
      <c r="BS77" s="77">
        <v>227</v>
      </c>
      <c r="BT77" s="77">
        <v>237</v>
      </c>
      <c r="BU77" s="77">
        <v>177</v>
      </c>
      <c r="BV77" s="77">
        <v>83</v>
      </c>
      <c r="BW77" s="77">
        <v>13</v>
      </c>
    </row>
    <row r="78" spans="1:87">
      <c r="A78" s="74" t="s">
        <v>134</v>
      </c>
      <c r="B78" s="76">
        <v>202403</v>
      </c>
      <c r="C78" s="77">
        <v>12228</v>
      </c>
      <c r="D78" s="78">
        <v>86007.1167</v>
      </c>
      <c r="E78" s="77">
        <v>12072</v>
      </c>
      <c r="AL78" s="77">
        <v>2</v>
      </c>
      <c r="AM78" s="77">
        <v>89</v>
      </c>
      <c r="AN78" s="77">
        <v>306</v>
      </c>
      <c r="AO78" s="77">
        <v>293</v>
      </c>
      <c r="AP78" s="77">
        <v>309</v>
      </c>
      <c r="AQ78" s="77">
        <v>337</v>
      </c>
      <c r="AR78" s="77">
        <v>378</v>
      </c>
      <c r="AS78" s="77">
        <v>350</v>
      </c>
      <c r="AT78" s="77">
        <v>370</v>
      </c>
      <c r="AU78" s="77">
        <v>385</v>
      </c>
      <c r="AV78" s="77">
        <v>362</v>
      </c>
      <c r="AW78" s="77">
        <v>354</v>
      </c>
      <c r="AX78" s="77">
        <v>395</v>
      </c>
      <c r="AY78" s="77">
        <v>394</v>
      </c>
      <c r="AZ78" s="77">
        <v>393</v>
      </c>
      <c r="BA78" s="77">
        <v>322</v>
      </c>
      <c r="BB78" s="77">
        <v>333</v>
      </c>
      <c r="BC78" s="77">
        <v>342</v>
      </c>
      <c r="BD78" s="77">
        <v>282</v>
      </c>
      <c r="BE78" s="77">
        <v>314</v>
      </c>
      <c r="BF78" s="77">
        <v>319</v>
      </c>
      <c r="BG78" s="77">
        <v>418</v>
      </c>
      <c r="BH78" s="77">
        <v>390</v>
      </c>
      <c r="BI78" s="77">
        <v>405</v>
      </c>
      <c r="BJ78" s="77">
        <v>363</v>
      </c>
      <c r="BK78" s="77">
        <v>410</v>
      </c>
      <c r="BL78" s="77">
        <v>397</v>
      </c>
      <c r="BM78" s="77">
        <v>392</v>
      </c>
      <c r="BN78" s="77">
        <v>355</v>
      </c>
      <c r="BO78" s="77">
        <v>375</v>
      </c>
      <c r="BP78" s="77">
        <v>392</v>
      </c>
      <c r="BQ78" s="77">
        <v>360</v>
      </c>
      <c r="BR78" s="77">
        <v>325</v>
      </c>
      <c r="BS78" s="77">
        <v>298</v>
      </c>
      <c r="BT78" s="77">
        <v>282</v>
      </c>
      <c r="BU78" s="77">
        <v>233</v>
      </c>
      <c r="BV78" s="77">
        <v>141</v>
      </c>
      <c r="BW78" s="77">
        <v>32</v>
      </c>
      <c r="BX78" s="77">
        <v>9</v>
      </c>
      <c r="BY78" s="77">
        <v>2</v>
      </c>
      <c r="BZ78" s="77">
        <v>1</v>
      </c>
      <c r="CA78" s="77">
        <v>8</v>
      </c>
      <c r="CB78" s="77">
        <v>5</v>
      </c>
      <c r="CC78" s="77">
        <v>6</v>
      </c>
    </row>
    <row r="79" spans="1:87">
      <c r="A79" s="74" t="s">
        <v>134</v>
      </c>
      <c r="B79" s="76">
        <v>202404</v>
      </c>
      <c r="C79" s="77">
        <v>9682</v>
      </c>
      <c r="D79" s="78">
        <v>83610.35000000001</v>
      </c>
      <c r="E79" s="77">
        <v>9529</v>
      </c>
      <c r="AM79" s="77">
        <v>36</v>
      </c>
      <c r="AN79" s="77">
        <v>276</v>
      </c>
      <c r="AO79" s="77">
        <v>214</v>
      </c>
      <c r="AP79" s="77">
        <v>235</v>
      </c>
      <c r="AQ79" s="77">
        <v>277</v>
      </c>
      <c r="AR79" s="77">
        <v>315</v>
      </c>
      <c r="AS79" s="77">
        <v>296</v>
      </c>
      <c r="AT79" s="77">
        <v>308</v>
      </c>
      <c r="AU79" s="77">
        <v>328</v>
      </c>
      <c r="AV79" s="77">
        <v>263</v>
      </c>
      <c r="AW79" s="77">
        <v>313</v>
      </c>
      <c r="AX79" s="77">
        <v>292</v>
      </c>
      <c r="AY79" s="77">
        <v>294</v>
      </c>
      <c r="AZ79" s="77">
        <v>258</v>
      </c>
      <c r="BA79" s="77">
        <v>290</v>
      </c>
      <c r="BB79" s="77">
        <v>260</v>
      </c>
      <c r="BC79" s="77">
        <v>243</v>
      </c>
      <c r="BD79" s="77">
        <v>243</v>
      </c>
      <c r="BE79" s="77">
        <v>259</v>
      </c>
      <c r="BF79" s="77">
        <v>296</v>
      </c>
      <c r="BG79" s="77">
        <v>316</v>
      </c>
      <c r="BH79" s="77">
        <v>287</v>
      </c>
      <c r="BI79" s="77">
        <v>294</v>
      </c>
      <c r="BJ79" s="77">
        <v>286</v>
      </c>
      <c r="BK79" s="77">
        <v>324</v>
      </c>
      <c r="BL79" s="77">
        <v>310</v>
      </c>
      <c r="BM79" s="77">
        <v>294</v>
      </c>
      <c r="BN79" s="77">
        <v>289</v>
      </c>
      <c r="BO79" s="77">
        <v>273</v>
      </c>
      <c r="BP79" s="77">
        <v>300</v>
      </c>
      <c r="BQ79" s="77">
        <v>277</v>
      </c>
      <c r="BR79" s="77">
        <v>260</v>
      </c>
      <c r="BS79" s="77">
        <v>242</v>
      </c>
      <c r="BT79" s="77">
        <v>261</v>
      </c>
      <c r="BU79" s="77">
        <v>225</v>
      </c>
      <c r="BV79" s="77">
        <v>106</v>
      </c>
      <c r="BW79" s="77">
        <v>22</v>
      </c>
      <c r="BX79" s="77">
        <v>2</v>
      </c>
      <c r="BY79" s="77">
        <v>1</v>
      </c>
      <c r="BZ79" s="77">
        <v>3</v>
      </c>
      <c r="CA79" s="77">
        <v>5</v>
      </c>
      <c r="CB79" s="77">
        <v>5</v>
      </c>
      <c r="CC79" s="77">
        <v>3</v>
      </c>
      <c r="CD79" s="77">
        <v>1</v>
      </c>
    </row>
    <row r="80" spans="1:87">
      <c r="A80" s="74" t="s">
        <v>134</v>
      </c>
      <c r="B80" s="76">
        <v>202405</v>
      </c>
      <c r="C80" s="77">
        <v>8459</v>
      </c>
      <c r="D80" s="78">
        <v>79634.0833</v>
      </c>
      <c r="E80" s="77">
        <v>8312</v>
      </c>
      <c r="AM80" s="77">
        <v>36</v>
      </c>
      <c r="AN80" s="77">
        <v>167</v>
      </c>
      <c r="AO80" s="77">
        <v>202</v>
      </c>
      <c r="AP80" s="77">
        <v>213</v>
      </c>
      <c r="AQ80" s="77">
        <v>200</v>
      </c>
      <c r="AR80" s="77">
        <v>241</v>
      </c>
      <c r="AS80" s="77">
        <v>257</v>
      </c>
      <c r="AT80" s="77">
        <v>275</v>
      </c>
      <c r="AU80" s="77">
        <v>312</v>
      </c>
      <c r="AV80" s="77">
        <v>279</v>
      </c>
      <c r="AW80" s="77">
        <v>307</v>
      </c>
      <c r="AX80" s="77">
        <v>261</v>
      </c>
      <c r="AY80" s="77">
        <v>282</v>
      </c>
      <c r="AZ80" s="77">
        <v>245</v>
      </c>
      <c r="BA80" s="77">
        <v>236</v>
      </c>
      <c r="BB80" s="77">
        <v>206</v>
      </c>
      <c r="BC80" s="77">
        <v>215</v>
      </c>
      <c r="BD80" s="77">
        <v>231</v>
      </c>
      <c r="BE80" s="77">
        <v>219</v>
      </c>
      <c r="BF80" s="77">
        <v>232</v>
      </c>
      <c r="BG80" s="77">
        <v>241</v>
      </c>
      <c r="BH80" s="77">
        <v>285</v>
      </c>
      <c r="BI80" s="77">
        <v>284</v>
      </c>
      <c r="BJ80" s="77">
        <v>297</v>
      </c>
      <c r="BK80" s="77">
        <v>300</v>
      </c>
      <c r="BL80" s="77">
        <v>249</v>
      </c>
      <c r="BM80" s="77">
        <v>268</v>
      </c>
      <c r="BN80" s="77">
        <v>250</v>
      </c>
      <c r="BO80" s="77">
        <v>251</v>
      </c>
      <c r="BP80" s="77">
        <v>258</v>
      </c>
      <c r="BQ80" s="77">
        <v>250</v>
      </c>
      <c r="BR80" s="77">
        <v>247</v>
      </c>
      <c r="BS80" s="77">
        <v>192</v>
      </c>
      <c r="BT80" s="77">
        <v>179</v>
      </c>
      <c r="BU80" s="77">
        <v>171</v>
      </c>
      <c r="BV80" s="77">
        <v>105</v>
      </c>
      <c r="BW80" s="77">
        <v>16</v>
      </c>
    </row>
    <row r="81" spans="1:87">
      <c r="A81" s="74" t="s">
        <v>134</v>
      </c>
      <c r="B81" s="76">
        <v>202406</v>
      </c>
      <c r="C81" s="77">
        <v>8379</v>
      </c>
      <c r="D81" s="78">
        <v>73350.8167</v>
      </c>
      <c r="E81" s="77">
        <v>8234</v>
      </c>
      <c r="AM81" s="77">
        <v>34</v>
      </c>
      <c r="AN81" s="77">
        <v>154</v>
      </c>
      <c r="AO81" s="77">
        <v>170</v>
      </c>
      <c r="AP81" s="77">
        <v>205</v>
      </c>
      <c r="AQ81" s="77">
        <v>232</v>
      </c>
      <c r="AR81" s="77">
        <v>249</v>
      </c>
      <c r="AS81" s="77">
        <v>239</v>
      </c>
      <c r="AT81" s="77">
        <v>290</v>
      </c>
      <c r="AU81" s="77">
        <v>330</v>
      </c>
      <c r="AV81" s="77">
        <v>288</v>
      </c>
      <c r="AW81" s="77">
        <v>260</v>
      </c>
      <c r="AX81" s="77">
        <v>300</v>
      </c>
      <c r="AY81" s="77">
        <v>285</v>
      </c>
      <c r="AZ81" s="77">
        <v>240</v>
      </c>
      <c r="BA81" s="77">
        <v>261</v>
      </c>
      <c r="BB81" s="77">
        <v>227</v>
      </c>
      <c r="BC81" s="77">
        <v>235</v>
      </c>
      <c r="BD81" s="77">
        <v>220</v>
      </c>
      <c r="BE81" s="77">
        <v>193</v>
      </c>
      <c r="BF81" s="77">
        <v>208</v>
      </c>
      <c r="BG81" s="77">
        <v>242</v>
      </c>
      <c r="BH81" s="77">
        <v>274</v>
      </c>
      <c r="BI81" s="77">
        <v>266</v>
      </c>
      <c r="BJ81" s="77">
        <v>311</v>
      </c>
      <c r="BK81" s="77">
        <v>254</v>
      </c>
      <c r="BL81" s="77">
        <v>232</v>
      </c>
      <c r="BM81" s="77">
        <v>266</v>
      </c>
      <c r="BN81" s="77">
        <v>248</v>
      </c>
      <c r="BO81" s="77">
        <v>231</v>
      </c>
      <c r="BP81" s="77">
        <v>253</v>
      </c>
      <c r="BQ81" s="77">
        <v>240</v>
      </c>
      <c r="BR81" s="77">
        <v>237</v>
      </c>
      <c r="BS81" s="77">
        <v>196</v>
      </c>
      <c r="BT81" s="77">
        <v>210</v>
      </c>
      <c r="BU81" s="77">
        <v>165</v>
      </c>
      <c r="BV81" s="77">
        <v>106</v>
      </c>
      <c r="BW81" s="77">
        <v>28</v>
      </c>
    </row>
    <row r="82" spans="1:87">
      <c r="A82" s="74" t="s">
        <v>134</v>
      </c>
      <c r="B82" s="76">
        <v>202407</v>
      </c>
      <c r="C82" s="77">
        <v>9211</v>
      </c>
      <c r="D82" s="78">
        <v>81823.95</v>
      </c>
      <c r="E82" s="77">
        <v>9045</v>
      </c>
      <c r="AL82" s="77">
        <v>7</v>
      </c>
      <c r="AM82" s="77">
        <v>87</v>
      </c>
      <c r="AN82" s="77">
        <v>221</v>
      </c>
      <c r="AO82" s="77">
        <v>196</v>
      </c>
      <c r="AP82" s="77">
        <v>238</v>
      </c>
      <c r="AQ82" s="77">
        <v>262</v>
      </c>
      <c r="AR82" s="77">
        <v>287</v>
      </c>
      <c r="AS82" s="77">
        <v>303</v>
      </c>
      <c r="AT82" s="77">
        <v>339</v>
      </c>
      <c r="AU82" s="77">
        <v>323</v>
      </c>
      <c r="AV82" s="77">
        <v>329</v>
      </c>
      <c r="AW82" s="77">
        <v>325</v>
      </c>
      <c r="AX82" s="77">
        <v>309</v>
      </c>
      <c r="AY82" s="77">
        <v>304</v>
      </c>
      <c r="AZ82" s="77">
        <v>278</v>
      </c>
      <c r="BA82" s="77">
        <v>226</v>
      </c>
      <c r="BB82" s="77">
        <v>221</v>
      </c>
      <c r="BC82" s="77">
        <v>236</v>
      </c>
      <c r="BD82" s="77">
        <v>217</v>
      </c>
      <c r="BE82" s="77">
        <v>235</v>
      </c>
      <c r="BF82" s="77">
        <v>266</v>
      </c>
      <c r="BG82" s="77">
        <v>288</v>
      </c>
      <c r="BH82" s="77">
        <v>291</v>
      </c>
      <c r="BI82" s="77">
        <v>307</v>
      </c>
      <c r="BJ82" s="77">
        <v>291</v>
      </c>
      <c r="BK82" s="77">
        <v>287</v>
      </c>
      <c r="BL82" s="77">
        <v>286</v>
      </c>
      <c r="BM82" s="77">
        <v>264</v>
      </c>
      <c r="BN82" s="77">
        <v>272</v>
      </c>
      <c r="BO82" s="77">
        <v>294</v>
      </c>
      <c r="BP82" s="77">
        <v>267</v>
      </c>
      <c r="BQ82" s="77">
        <v>241</v>
      </c>
      <c r="BR82" s="77">
        <v>247</v>
      </c>
      <c r="BS82" s="77">
        <v>222</v>
      </c>
      <c r="BT82" s="77">
        <v>206</v>
      </c>
      <c r="BU82" s="77">
        <v>163</v>
      </c>
      <c r="BV82" s="77">
        <v>64</v>
      </c>
      <c r="BW82" s="77">
        <v>12</v>
      </c>
    </row>
    <row r="83" spans="1:87">
      <c r="A83" s="74" t="s">
        <v>134</v>
      </c>
      <c r="B83" s="76">
        <v>202408</v>
      </c>
      <c r="C83" s="77">
        <v>8338</v>
      </c>
      <c r="D83" s="78">
        <v>75503.9667</v>
      </c>
      <c r="E83" s="77">
        <v>8191</v>
      </c>
      <c r="AL83" s="77">
        <v>9</v>
      </c>
      <c r="AM83" s="77">
        <v>112</v>
      </c>
      <c r="AN83" s="77">
        <v>219</v>
      </c>
      <c r="AO83" s="77">
        <v>186</v>
      </c>
      <c r="AP83" s="77">
        <v>213</v>
      </c>
      <c r="AQ83" s="77">
        <v>255</v>
      </c>
      <c r="AR83" s="77">
        <v>245</v>
      </c>
      <c r="AS83" s="77">
        <v>302</v>
      </c>
      <c r="AT83" s="77">
        <v>281</v>
      </c>
      <c r="AU83" s="77">
        <v>290</v>
      </c>
      <c r="AV83" s="77">
        <v>273</v>
      </c>
      <c r="AW83" s="77">
        <v>293</v>
      </c>
      <c r="AX83" s="77">
        <v>262</v>
      </c>
      <c r="AY83" s="77">
        <v>246</v>
      </c>
      <c r="AZ83" s="77">
        <v>245</v>
      </c>
      <c r="BA83" s="77">
        <v>233</v>
      </c>
      <c r="BB83" s="77">
        <v>224</v>
      </c>
      <c r="BC83" s="77">
        <v>202</v>
      </c>
      <c r="BD83" s="77">
        <v>183</v>
      </c>
      <c r="BE83" s="77">
        <v>206</v>
      </c>
      <c r="BF83" s="77">
        <v>245</v>
      </c>
      <c r="BG83" s="77">
        <v>254</v>
      </c>
      <c r="BH83" s="77">
        <v>287</v>
      </c>
      <c r="BI83" s="77">
        <v>271</v>
      </c>
      <c r="BJ83" s="77">
        <v>268</v>
      </c>
      <c r="BK83" s="77">
        <v>290</v>
      </c>
      <c r="BL83" s="77">
        <v>262</v>
      </c>
      <c r="BM83" s="77">
        <v>235</v>
      </c>
      <c r="BN83" s="77">
        <v>194</v>
      </c>
      <c r="BO83" s="77">
        <v>230</v>
      </c>
      <c r="BP83" s="77">
        <v>244</v>
      </c>
      <c r="BQ83" s="77">
        <v>201</v>
      </c>
      <c r="BR83" s="77">
        <v>259</v>
      </c>
      <c r="BS83" s="77">
        <v>209</v>
      </c>
      <c r="BT83" s="77">
        <v>194</v>
      </c>
      <c r="BU83" s="77">
        <v>148</v>
      </c>
      <c r="BV83" s="77">
        <v>62</v>
      </c>
      <c r="BW83" s="77">
        <v>4</v>
      </c>
      <c r="BY83" s="77">
        <v>2</v>
      </c>
    </row>
    <row r="84" spans="1:87">
      <c r="A84" s="74" t="s">
        <v>134</v>
      </c>
      <c r="B84" s="76">
        <v>202409</v>
      </c>
      <c r="C84" s="77">
        <v>8173</v>
      </c>
      <c r="D84" s="78">
        <v>65839.3167</v>
      </c>
      <c r="E84" s="77">
        <v>8049</v>
      </c>
      <c r="AL84" s="77">
        <v>8</v>
      </c>
      <c r="AM84" s="77">
        <v>105</v>
      </c>
      <c r="AN84" s="77">
        <v>225</v>
      </c>
      <c r="AO84" s="77">
        <v>188</v>
      </c>
      <c r="AP84" s="77">
        <v>219</v>
      </c>
      <c r="AQ84" s="77">
        <v>266</v>
      </c>
      <c r="AR84" s="77">
        <v>273</v>
      </c>
      <c r="AS84" s="77">
        <v>305</v>
      </c>
      <c r="AT84" s="77">
        <v>281</v>
      </c>
      <c r="AU84" s="77">
        <v>257</v>
      </c>
      <c r="AV84" s="77">
        <v>276</v>
      </c>
      <c r="AW84" s="77">
        <v>274</v>
      </c>
      <c r="AX84" s="77">
        <v>257</v>
      </c>
      <c r="AY84" s="77">
        <v>287</v>
      </c>
      <c r="AZ84" s="77">
        <v>227</v>
      </c>
      <c r="BA84" s="77">
        <v>227</v>
      </c>
      <c r="BB84" s="77">
        <v>200</v>
      </c>
      <c r="BC84" s="77">
        <v>194</v>
      </c>
      <c r="BD84" s="77">
        <v>177</v>
      </c>
      <c r="BE84" s="77">
        <v>193</v>
      </c>
      <c r="BF84" s="77">
        <v>227</v>
      </c>
      <c r="BG84" s="77">
        <v>222</v>
      </c>
      <c r="BH84" s="77">
        <v>259</v>
      </c>
      <c r="BI84" s="77">
        <v>253</v>
      </c>
      <c r="BJ84" s="77">
        <v>271</v>
      </c>
      <c r="BK84" s="77">
        <v>268</v>
      </c>
      <c r="BL84" s="77">
        <v>203</v>
      </c>
      <c r="BM84" s="77">
        <v>246</v>
      </c>
      <c r="BN84" s="77">
        <v>256</v>
      </c>
      <c r="BO84" s="77">
        <v>232</v>
      </c>
      <c r="BP84" s="77">
        <v>241</v>
      </c>
      <c r="BQ84" s="77">
        <v>229</v>
      </c>
      <c r="BR84" s="77">
        <v>221</v>
      </c>
      <c r="BS84" s="77">
        <v>199</v>
      </c>
      <c r="BT84" s="77">
        <v>195</v>
      </c>
      <c r="BU84" s="77">
        <v>151</v>
      </c>
      <c r="BV84" s="77">
        <v>55</v>
      </c>
      <c r="BW84" s="77">
        <v>6</v>
      </c>
    </row>
    <row r="85" spans="1:87">
      <c r="A85" s="74" t="s">
        <v>134</v>
      </c>
      <c r="B85" s="76">
        <v>202410</v>
      </c>
      <c r="C85" s="77">
        <v>10015</v>
      </c>
      <c r="D85" s="78">
        <v>77454.8</v>
      </c>
      <c r="E85" s="77">
        <v>9879</v>
      </c>
      <c r="AL85" s="77">
        <v>4</v>
      </c>
      <c r="AM85" s="77">
        <v>98</v>
      </c>
      <c r="AN85" s="77">
        <v>210</v>
      </c>
      <c r="AO85" s="77">
        <v>248</v>
      </c>
      <c r="AP85" s="77">
        <v>227</v>
      </c>
      <c r="AQ85" s="77">
        <v>297</v>
      </c>
      <c r="AR85" s="77">
        <v>330</v>
      </c>
      <c r="AS85" s="77">
        <v>343</v>
      </c>
      <c r="AT85" s="77">
        <v>319</v>
      </c>
      <c r="AU85" s="77">
        <v>319</v>
      </c>
      <c r="AV85" s="77">
        <v>358</v>
      </c>
      <c r="AW85" s="77">
        <v>346</v>
      </c>
      <c r="AX85" s="77">
        <v>329</v>
      </c>
      <c r="AY85" s="77">
        <v>320</v>
      </c>
      <c r="AZ85" s="77">
        <v>320</v>
      </c>
      <c r="BA85" s="77">
        <v>273</v>
      </c>
      <c r="BB85" s="77">
        <v>288</v>
      </c>
      <c r="BC85" s="77">
        <v>262</v>
      </c>
      <c r="BD85" s="77">
        <v>276</v>
      </c>
      <c r="BE85" s="77">
        <v>260</v>
      </c>
      <c r="BF85" s="77">
        <v>285</v>
      </c>
      <c r="BG85" s="77">
        <v>255</v>
      </c>
      <c r="BH85" s="77">
        <v>322</v>
      </c>
      <c r="BI85" s="77">
        <v>300</v>
      </c>
      <c r="BJ85" s="77">
        <v>318</v>
      </c>
      <c r="BK85" s="77">
        <v>329</v>
      </c>
      <c r="BL85" s="77">
        <v>331</v>
      </c>
      <c r="BM85" s="77">
        <v>278</v>
      </c>
      <c r="BN85" s="77">
        <v>280</v>
      </c>
      <c r="BO85" s="77">
        <v>292</v>
      </c>
      <c r="BP85" s="77">
        <v>299</v>
      </c>
      <c r="BQ85" s="77">
        <v>271</v>
      </c>
      <c r="BR85" s="77">
        <v>271</v>
      </c>
      <c r="BS85" s="77">
        <v>270</v>
      </c>
      <c r="BT85" s="77">
        <v>238</v>
      </c>
      <c r="BU85" s="77">
        <v>177</v>
      </c>
      <c r="BV85" s="77">
        <v>58</v>
      </c>
      <c r="BW85" s="77">
        <v>13</v>
      </c>
      <c r="CA85" s="77">
        <v>1</v>
      </c>
    </row>
    <row r="86" spans="1:87">
      <c r="A86" s="74" t="s">
        <v>134</v>
      </c>
      <c r="B86" s="76">
        <v>202411</v>
      </c>
      <c r="C86" s="77">
        <v>9774</v>
      </c>
      <c r="D86" s="78">
        <v>68515.2833</v>
      </c>
      <c r="E86" s="77">
        <v>9630</v>
      </c>
      <c r="AL86" s="77">
        <v>8</v>
      </c>
      <c r="AM86" s="77">
        <v>81</v>
      </c>
      <c r="AN86" s="77">
        <v>233</v>
      </c>
      <c r="AO86" s="77">
        <v>207</v>
      </c>
      <c r="AP86" s="77">
        <v>262</v>
      </c>
      <c r="AQ86" s="77">
        <v>273</v>
      </c>
      <c r="AR86" s="77">
        <v>303</v>
      </c>
      <c r="AS86" s="77">
        <v>301</v>
      </c>
      <c r="AT86" s="77">
        <v>327</v>
      </c>
      <c r="AU86" s="77">
        <v>305</v>
      </c>
      <c r="AV86" s="77">
        <v>351</v>
      </c>
      <c r="AW86" s="77">
        <v>318</v>
      </c>
      <c r="AX86" s="77">
        <v>332</v>
      </c>
      <c r="AY86" s="77">
        <v>310</v>
      </c>
      <c r="AZ86" s="77">
        <v>284</v>
      </c>
      <c r="BA86" s="77">
        <v>290</v>
      </c>
      <c r="BB86" s="77">
        <v>261</v>
      </c>
      <c r="BC86" s="77">
        <v>251</v>
      </c>
      <c r="BD86" s="77">
        <v>242</v>
      </c>
      <c r="BE86" s="77">
        <v>271</v>
      </c>
      <c r="BF86" s="77">
        <v>268</v>
      </c>
      <c r="BG86" s="77">
        <v>299</v>
      </c>
      <c r="BH86" s="77">
        <v>298</v>
      </c>
      <c r="BI86" s="77">
        <v>345</v>
      </c>
      <c r="BJ86" s="77">
        <v>306</v>
      </c>
      <c r="BK86" s="77">
        <v>308</v>
      </c>
      <c r="BL86" s="77">
        <v>311</v>
      </c>
      <c r="BM86" s="77">
        <v>319</v>
      </c>
      <c r="BN86" s="77">
        <v>298</v>
      </c>
      <c r="BO86" s="77">
        <v>277</v>
      </c>
      <c r="BP86" s="77">
        <v>304</v>
      </c>
      <c r="BQ86" s="77">
        <v>265</v>
      </c>
      <c r="BR86" s="77">
        <v>259</v>
      </c>
      <c r="BS86" s="77">
        <v>239</v>
      </c>
      <c r="BT86" s="77">
        <v>226</v>
      </c>
      <c r="BU86" s="77">
        <v>173</v>
      </c>
      <c r="BV86" s="77">
        <v>64</v>
      </c>
      <c r="BW86" s="77">
        <v>5</v>
      </c>
    </row>
    <row r="87" spans="1:87">
      <c r="A87" s="74" t="s">
        <v>134</v>
      </c>
      <c r="B87" s="76">
        <v>202412</v>
      </c>
      <c r="C87" s="77">
        <v>9869</v>
      </c>
      <c r="D87" s="78">
        <v>71840.10000000001</v>
      </c>
      <c r="E87" s="77">
        <v>9753</v>
      </c>
      <c r="AM87" s="77">
        <v>83</v>
      </c>
      <c r="AN87" s="77">
        <v>233</v>
      </c>
      <c r="AO87" s="77">
        <v>223</v>
      </c>
      <c r="AP87" s="77">
        <v>260</v>
      </c>
      <c r="AQ87" s="77">
        <v>276</v>
      </c>
      <c r="AR87" s="77">
        <v>241</v>
      </c>
      <c r="AS87" s="77">
        <v>294</v>
      </c>
      <c r="AT87" s="77">
        <v>336</v>
      </c>
      <c r="AU87" s="77">
        <v>324</v>
      </c>
      <c r="AV87" s="77">
        <v>327</v>
      </c>
      <c r="AW87" s="77">
        <v>316</v>
      </c>
      <c r="AX87" s="77">
        <v>324</v>
      </c>
      <c r="AY87" s="77">
        <v>333</v>
      </c>
      <c r="AZ87" s="77">
        <v>353</v>
      </c>
      <c r="BA87" s="77">
        <v>271</v>
      </c>
      <c r="BB87" s="77">
        <v>256</v>
      </c>
      <c r="BC87" s="77">
        <v>261</v>
      </c>
      <c r="BD87" s="77">
        <v>249</v>
      </c>
      <c r="BE87" s="77">
        <v>248</v>
      </c>
      <c r="BF87" s="77">
        <v>255</v>
      </c>
      <c r="BG87" s="77">
        <v>324</v>
      </c>
      <c r="BH87" s="77">
        <v>303</v>
      </c>
      <c r="BI87" s="77">
        <v>332</v>
      </c>
      <c r="BJ87" s="77">
        <v>308</v>
      </c>
      <c r="BK87" s="77">
        <v>346</v>
      </c>
      <c r="BL87" s="77">
        <v>317</v>
      </c>
      <c r="BM87" s="77">
        <v>292</v>
      </c>
      <c r="BN87" s="77">
        <v>301</v>
      </c>
      <c r="BO87" s="77">
        <v>280</v>
      </c>
      <c r="BP87" s="77">
        <v>304</v>
      </c>
      <c r="BQ87" s="77">
        <v>254</v>
      </c>
      <c r="BR87" s="77">
        <v>262</v>
      </c>
      <c r="BS87" s="77">
        <v>255</v>
      </c>
      <c r="BT87" s="77">
        <v>260</v>
      </c>
      <c r="BU87" s="77">
        <v>192</v>
      </c>
      <c r="BV87" s="77">
        <v>70</v>
      </c>
      <c r="BW87" s="77">
        <v>6</v>
      </c>
    </row>
    <row r="88" spans="1:87">
      <c r="A88" s="74" t="s">
        <v>134</v>
      </c>
      <c r="B88" s="76">
        <v>202501</v>
      </c>
      <c r="C88" s="77">
        <v>10920</v>
      </c>
      <c r="D88" s="78">
        <v>71161.35000000001</v>
      </c>
      <c r="E88" s="77">
        <v>10801</v>
      </c>
      <c r="AL88" s="77">
        <v>8</v>
      </c>
      <c r="AM88" s="77">
        <v>130</v>
      </c>
      <c r="AN88" s="77">
        <v>292</v>
      </c>
      <c r="AO88" s="77">
        <v>246</v>
      </c>
      <c r="AP88" s="77">
        <v>286</v>
      </c>
      <c r="AQ88" s="77">
        <v>334</v>
      </c>
      <c r="AR88" s="77">
        <v>307</v>
      </c>
      <c r="AS88" s="77">
        <v>343</v>
      </c>
      <c r="AT88" s="77">
        <v>339</v>
      </c>
      <c r="AU88" s="77">
        <v>385</v>
      </c>
      <c r="AV88" s="77">
        <v>377</v>
      </c>
      <c r="AW88" s="77">
        <v>371</v>
      </c>
      <c r="AX88" s="77">
        <v>350</v>
      </c>
      <c r="AY88" s="77">
        <v>353</v>
      </c>
      <c r="AZ88" s="77">
        <v>347</v>
      </c>
      <c r="BA88" s="77">
        <v>306</v>
      </c>
      <c r="BB88" s="77">
        <v>277</v>
      </c>
      <c r="BC88" s="77">
        <v>300</v>
      </c>
      <c r="BD88" s="77">
        <v>270</v>
      </c>
      <c r="BE88" s="77">
        <v>283</v>
      </c>
      <c r="BF88" s="77">
        <v>325</v>
      </c>
      <c r="BG88" s="77">
        <v>333</v>
      </c>
      <c r="BH88" s="77">
        <v>325</v>
      </c>
      <c r="BI88" s="77">
        <v>340</v>
      </c>
      <c r="BJ88" s="77">
        <v>306</v>
      </c>
      <c r="BK88" s="77">
        <v>375</v>
      </c>
      <c r="BL88" s="77">
        <v>361</v>
      </c>
      <c r="BM88" s="77">
        <v>292</v>
      </c>
      <c r="BN88" s="77">
        <v>300</v>
      </c>
      <c r="BO88" s="77">
        <v>309</v>
      </c>
      <c r="BP88" s="77">
        <v>323</v>
      </c>
      <c r="BQ88" s="77">
        <v>294</v>
      </c>
      <c r="BR88" s="77">
        <v>270</v>
      </c>
      <c r="BS88" s="77">
        <v>322</v>
      </c>
      <c r="BT88" s="77">
        <v>274</v>
      </c>
      <c r="BU88" s="77">
        <v>165</v>
      </c>
      <c r="BV88" s="77">
        <v>94</v>
      </c>
      <c r="BW88" s="77">
        <v>8</v>
      </c>
    </row>
    <row r="89" spans="1:87">
      <c r="A89" s="74" t="s">
        <v>134</v>
      </c>
      <c r="B89" s="76">
        <v>202502</v>
      </c>
      <c r="C89" s="77">
        <v>10595</v>
      </c>
      <c r="D89" s="78">
        <v>69102.95</v>
      </c>
      <c r="E89" s="77">
        <v>10477</v>
      </c>
      <c r="AL89" s="77">
        <v>1</v>
      </c>
      <c r="AM89" s="77">
        <v>125</v>
      </c>
      <c r="AN89" s="77">
        <v>274</v>
      </c>
      <c r="AO89" s="77">
        <v>225</v>
      </c>
      <c r="AP89" s="77">
        <v>294</v>
      </c>
      <c r="AQ89" s="77">
        <v>296</v>
      </c>
      <c r="AR89" s="77">
        <v>305</v>
      </c>
      <c r="AS89" s="77">
        <v>353</v>
      </c>
      <c r="AT89" s="77">
        <v>366</v>
      </c>
      <c r="AU89" s="77">
        <v>354</v>
      </c>
      <c r="AV89" s="77">
        <v>348</v>
      </c>
      <c r="AW89" s="77">
        <v>378</v>
      </c>
      <c r="AX89" s="77">
        <v>315</v>
      </c>
      <c r="AY89" s="77">
        <v>350</v>
      </c>
      <c r="AZ89" s="77">
        <v>290</v>
      </c>
      <c r="BA89" s="77">
        <v>278</v>
      </c>
      <c r="BB89" s="77">
        <v>270</v>
      </c>
      <c r="BC89" s="77">
        <v>279</v>
      </c>
      <c r="BD89" s="77">
        <v>274</v>
      </c>
      <c r="BE89" s="77">
        <v>259</v>
      </c>
      <c r="BF89" s="77">
        <v>295</v>
      </c>
      <c r="BG89" s="77">
        <v>339</v>
      </c>
      <c r="BH89" s="77">
        <v>343</v>
      </c>
      <c r="BI89" s="77">
        <v>358</v>
      </c>
      <c r="BJ89" s="77">
        <v>347</v>
      </c>
      <c r="BK89" s="77">
        <v>334</v>
      </c>
      <c r="BL89" s="77">
        <v>316</v>
      </c>
      <c r="BM89" s="77">
        <v>325</v>
      </c>
      <c r="BN89" s="77">
        <v>283</v>
      </c>
      <c r="BO89" s="77">
        <v>283</v>
      </c>
      <c r="BP89" s="77">
        <v>306</v>
      </c>
      <c r="BQ89" s="77">
        <v>303</v>
      </c>
      <c r="BR89" s="77">
        <v>283</v>
      </c>
      <c r="BS89" s="77">
        <v>276</v>
      </c>
      <c r="BT89" s="77">
        <v>246</v>
      </c>
      <c r="BU89" s="77">
        <v>202</v>
      </c>
      <c r="BV89" s="77">
        <v>109</v>
      </c>
      <c r="BW89" s="77">
        <v>13</v>
      </c>
    </row>
    <row r="90" spans="1:87">
      <c r="A90" s="74" t="s">
        <v>134</v>
      </c>
      <c r="B90" s="76">
        <v>202503</v>
      </c>
      <c r="C90" s="77">
        <v>14012</v>
      </c>
      <c r="D90" s="78">
        <v>83455.3</v>
      </c>
      <c r="E90" s="77">
        <v>13877</v>
      </c>
      <c r="AL90" s="77">
        <v>22</v>
      </c>
      <c r="AM90" s="77">
        <v>294</v>
      </c>
      <c r="AN90" s="77">
        <v>545</v>
      </c>
      <c r="AO90" s="77">
        <v>414</v>
      </c>
      <c r="AP90" s="77">
        <v>446</v>
      </c>
      <c r="AQ90" s="77">
        <v>431</v>
      </c>
      <c r="AR90" s="77">
        <v>414</v>
      </c>
      <c r="AS90" s="77">
        <v>429</v>
      </c>
      <c r="AT90" s="77">
        <v>435</v>
      </c>
      <c r="AU90" s="77">
        <v>426</v>
      </c>
      <c r="AV90" s="77">
        <v>438</v>
      </c>
      <c r="AW90" s="77">
        <v>448</v>
      </c>
      <c r="AX90" s="77">
        <v>424</v>
      </c>
      <c r="AY90" s="77">
        <v>441</v>
      </c>
      <c r="AZ90" s="77">
        <v>393</v>
      </c>
      <c r="BA90" s="77">
        <v>398</v>
      </c>
      <c r="BB90" s="77">
        <v>364</v>
      </c>
      <c r="BC90" s="77">
        <v>353</v>
      </c>
      <c r="BD90" s="77">
        <v>344</v>
      </c>
      <c r="BE90" s="77">
        <v>340</v>
      </c>
      <c r="BF90" s="77">
        <v>331</v>
      </c>
      <c r="BG90" s="77">
        <v>454</v>
      </c>
      <c r="BH90" s="77">
        <v>429</v>
      </c>
      <c r="BI90" s="77">
        <v>385</v>
      </c>
      <c r="BJ90" s="77">
        <v>422</v>
      </c>
      <c r="BK90" s="77">
        <v>415</v>
      </c>
      <c r="BL90" s="77">
        <v>407</v>
      </c>
      <c r="BM90" s="77">
        <v>416</v>
      </c>
      <c r="BN90" s="77">
        <v>366</v>
      </c>
      <c r="BO90" s="77">
        <v>363</v>
      </c>
      <c r="BP90" s="77">
        <v>385</v>
      </c>
      <c r="BQ90" s="77">
        <v>392</v>
      </c>
      <c r="BR90" s="77">
        <v>313</v>
      </c>
      <c r="BS90" s="77">
        <v>319</v>
      </c>
      <c r="BT90" s="77">
        <v>352</v>
      </c>
      <c r="BU90" s="77">
        <v>259</v>
      </c>
      <c r="BV90" s="77">
        <v>122</v>
      </c>
      <c r="BW90" s="77">
        <v>25</v>
      </c>
      <c r="BX90" s="77">
        <v>8</v>
      </c>
      <c r="BY90" s="77">
        <v>12</v>
      </c>
      <c r="BZ90" s="77">
        <v>2</v>
      </c>
      <c r="CA90" s="77">
        <v>6</v>
      </c>
      <c r="CB90" s="77">
        <v>15</v>
      </c>
      <c r="CC90" s="77">
        <v>4</v>
      </c>
      <c r="CG90" s="77">
        <v>3</v>
      </c>
      <c r="CI90" s="77">
        <v>8</v>
      </c>
    </row>
    <row r="91" spans="1:87">
      <c r="A91" s="74" t="s">
        <v>134</v>
      </c>
      <c r="B91" s="76">
        <v>202504</v>
      </c>
      <c r="C91" s="77">
        <v>12773</v>
      </c>
      <c r="D91" s="78">
        <v>91635.0833</v>
      </c>
      <c r="E91" s="77">
        <v>12628</v>
      </c>
      <c r="AM91" s="77">
        <v>185</v>
      </c>
      <c r="AN91" s="77">
        <v>412</v>
      </c>
      <c r="AO91" s="77">
        <v>366</v>
      </c>
      <c r="AP91" s="77">
        <v>370</v>
      </c>
      <c r="AQ91" s="77">
        <v>429</v>
      </c>
      <c r="AR91" s="77">
        <v>372</v>
      </c>
      <c r="AS91" s="77">
        <v>396</v>
      </c>
      <c r="AT91" s="77">
        <v>405</v>
      </c>
      <c r="AU91" s="77">
        <v>370</v>
      </c>
      <c r="AV91" s="77">
        <v>402</v>
      </c>
      <c r="AW91" s="77">
        <v>389</v>
      </c>
      <c r="AX91" s="77">
        <v>432</v>
      </c>
      <c r="AY91" s="77">
        <v>375</v>
      </c>
      <c r="AZ91" s="77">
        <v>347</v>
      </c>
      <c r="BA91" s="77">
        <v>345</v>
      </c>
      <c r="BB91" s="77">
        <v>323</v>
      </c>
      <c r="BC91" s="77">
        <v>336</v>
      </c>
      <c r="BD91" s="77">
        <v>328</v>
      </c>
      <c r="BE91" s="77">
        <v>272</v>
      </c>
      <c r="BF91" s="77">
        <v>346</v>
      </c>
      <c r="BG91" s="77">
        <v>416</v>
      </c>
      <c r="BH91" s="77">
        <v>418</v>
      </c>
      <c r="BI91" s="77">
        <v>401</v>
      </c>
      <c r="BJ91" s="77">
        <v>381</v>
      </c>
      <c r="BK91" s="77">
        <v>412</v>
      </c>
      <c r="BL91" s="77">
        <v>431</v>
      </c>
      <c r="BM91" s="77">
        <v>349</v>
      </c>
      <c r="BN91" s="77">
        <v>338</v>
      </c>
      <c r="BO91" s="77">
        <v>386</v>
      </c>
      <c r="BP91" s="77">
        <v>352</v>
      </c>
      <c r="BQ91" s="77">
        <v>312</v>
      </c>
      <c r="BR91" s="77">
        <v>328</v>
      </c>
      <c r="BS91" s="77">
        <v>336</v>
      </c>
      <c r="BT91" s="77">
        <v>305</v>
      </c>
      <c r="BU91" s="77">
        <v>270</v>
      </c>
      <c r="BV91" s="77">
        <v>110</v>
      </c>
      <c r="BW91" s="77">
        <v>18</v>
      </c>
      <c r="BY91" s="77">
        <v>3</v>
      </c>
      <c r="BZ91" s="77">
        <v>2</v>
      </c>
      <c r="CA91" s="77">
        <v>2</v>
      </c>
      <c r="CB91" s="77">
        <v>1</v>
      </c>
      <c r="CC91" s="77">
        <v>2</v>
      </c>
    </row>
    <row r="92" spans="1:87">
      <c r="A92" s="74" t="s">
        <v>134</v>
      </c>
      <c r="B92" s="76">
        <v>202505</v>
      </c>
      <c r="C92" s="77">
        <v>12079</v>
      </c>
      <c r="D92" s="78">
        <v>83811.5667</v>
      </c>
      <c r="E92" s="77">
        <v>11942</v>
      </c>
      <c r="AM92" s="77">
        <v>186</v>
      </c>
      <c r="AN92" s="77">
        <v>391</v>
      </c>
      <c r="AO92" s="77">
        <v>318</v>
      </c>
      <c r="AP92" s="77">
        <v>379</v>
      </c>
      <c r="AQ92" s="77">
        <v>395</v>
      </c>
      <c r="AR92" s="77">
        <v>398</v>
      </c>
      <c r="AS92" s="77">
        <v>395</v>
      </c>
      <c r="AT92" s="77">
        <v>381</v>
      </c>
      <c r="AU92" s="77">
        <v>414</v>
      </c>
      <c r="AV92" s="77">
        <v>420</v>
      </c>
      <c r="AW92" s="77">
        <v>442</v>
      </c>
      <c r="AX92" s="77">
        <v>415</v>
      </c>
      <c r="AY92" s="77">
        <v>353</v>
      </c>
      <c r="AZ92" s="77">
        <v>342</v>
      </c>
      <c r="BA92" s="77">
        <v>318</v>
      </c>
      <c r="BB92" s="77">
        <v>266</v>
      </c>
      <c r="BC92" s="77">
        <v>280</v>
      </c>
      <c r="BD92" s="77">
        <v>282</v>
      </c>
      <c r="BE92" s="77">
        <v>277</v>
      </c>
      <c r="BF92" s="77">
        <v>348</v>
      </c>
      <c r="BG92" s="77">
        <v>342</v>
      </c>
      <c r="BH92" s="77">
        <v>364</v>
      </c>
      <c r="BI92" s="77">
        <v>403</v>
      </c>
      <c r="BJ92" s="77">
        <v>371</v>
      </c>
      <c r="BK92" s="77">
        <v>402</v>
      </c>
      <c r="BL92" s="77">
        <v>352</v>
      </c>
      <c r="BM92" s="77">
        <v>345</v>
      </c>
      <c r="BN92" s="77">
        <v>321</v>
      </c>
      <c r="BO92" s="77">
        <v>306</v>
      </c>
      <c r="BP92" s="77">
        <v>313</v>
      </c>
      <c r="BQ92" s="77">
        <v>299</v>
      </c>
      <c r="BR92" s="77">
        <v>315</v>
      </c>
      <c r="BS92" s="77">
        <v>306</v>
      </c>
      <c r="BT92" s="77">
        <v>292</v>
      </c>
      <c r="BU92" s="77">
        <v>230</v>
      </c>
      <c r="BV92" s="77">
        <v>101</v>
      </c>
      <c r="BW92" s="77">
        <v>16</v>
      </c>
      <c r="CA92" s="77">
        <v>1</v>
      </c>
    </row>
    <row r="93" spans="1:87">
      <c r="A93" s="74" t="s">
        <v>134</v>
      </c>
      <c r="B93" s="76">
        <v>202506</v>
      </c>
      <c r="C93" s="77">
        <v>11676</v>
      </c>
      <c r="D93" s="78">
        <v>83774.9667</v>
      </c>
      <c r="E93" s="77">
        <v>11548</v>
      </c>
      <c r="AM93" s="77">
        <v>119</v>
      </c>
      <c r="AN93" s="77">
        <v>309</v>
      </c>
      <c r="AO93" s="77">
        <v>279</v>
      </c>
      <c r="AP93" s="77">
        <v>322</v>
      </c>
      <c r="AQ93" s="77">
        <v>345</v>
      </c>
      <c r="AR93" s="77">
        <v>336</v>
      </c>
      <c r="AS93" s="77">
        <v>411</v>
      </c>
      <c r="AT93" s="77">
        <v>413</v>
      </c>
      <c r="AU93" s="77">
        <v>434</v>
      </c>
      <c r="AV93" s="77">
        <v>385</v>
      </c>
      <c r="AW93" s="77">
        <v>376</v>
      </c>
      <c r="AX93" s="77">
        <v>383</v>
      </c>
      <c r="AY93" s="77">
        <v>391</v>
      </c>
      <c r="AZ93" s="77">
        <v>354</v>
      </c>
      <c r="BA93" s="77">
        <v>360</v>
      </c>
      <c r="BB93" s="77">
        <v>280</v>
      </c>
      <c r="BC93" s="77">
        <v>265</v>
      </c>
      <c r="BD93" s="77">
        <v>259</v>
      </c>
      <c r="BE93" s="77">
        <v>287</v>
      </c>
      <c r="BF93" s="77">
        <v>322</v>
      </c>
      <c r="BG93" s="77">
        <v>366</v>
      </c>
      <c r="BH93" s="77">
        <v>338</v>
      </c>
      <c r="BI93" s="77">
        <v>340</v>
      </c>
      <c r="BJ93" s="77">
        <v>405</v>
      </c>
      <c r="BK93" s="77">
        <v>380</v>
      </c>
      <c r="BL93" s="77">
        <v>363</v>
      </c>
      <c r="BM93" s="77">
        <v>370</v>
      </c>
      <c r="BN93" s="77">
        <v>349</v>
      </c>
      <c r="BO93" s="77">
        <v>326</v>
      </c>
      <c r="BP93" s="77">
        <v>307</v>
      </c>
      <c r="BQ93" s="77">
        <v>280</v>
      </c>
      <c r="BR93" s="77">
        <v>318</v>
      </c>
      <c r="BS93" s="77">
        <v>321</v>
      </c>
      <c r="BT93" s="77">
        <v>262</v>
      </c>
      <c r="BU93" s="77">
        <v>220</v>
      </c>
      <c r="BV93" s="77">
        <v>93</v>
      </c>
      <c r="BW93" s="77">
        <v>8</v>
      </c>
    </row>
    <row r="94" spans="1:87">
      <c r="A94" s="74" t="s">
        <v>134</v>
      </c>
      <c r="B94" s="76">
        <v>202507</v>
      </c>
      <c r="C94" s="77">
        <v>12144</v>
      </c>
      <c r="D94" s="78">
        <v>91541.6667</v>
      </c>
      <c r="E94" s="77">
        <v>12005</v>
      </c>
      <c r="AL94" s="77">
        <v>5</v>
      </c>
      <c r="AM94" s="77">
        <v>125</v>
      </c>
      <c r="AN94" s="77">
        <v>386</v>
      </c>
      <c r="AO94" s="77">
        <v>297</v>
      </c>
      <c r="AP94" s="77">
        <v>341</v>
      </c>
      <c r="AQ94" s="77">
        <v>369</v>
      </c>
      <c r="AR94" s="77">
        <v>379</v>
      </c>
      <c r="AS94" s="77">
        <v>417</v>
      </c>
      <c r="AT94" s="77">
        <v>419</v>
      </c>
      <c r="AU94" s="77">
        <v>417</v>
      </c>
      <c r="AV94" s="77">
        <v>374</v>
      </c>
      <c r="AW94" s="77">
        <v>447</v>
      </c>
      <c r="AX94" s="77">
        <v>381</v>
      </c>
      <c r="AY94" s="77">
        <v>378</v>
      </c>
      <c r="AZ94" s="77">
        <v>338</v>
      </c>
      <c r="BA94" s="77">
        <v>328</v>
      </c>
      <c r="BB94" s="77">
        <v>313</v>
      </c>
      <c r="BC94" s="77">
        <v>296</v>
      </c>
      <c r="BD94" s="77">
        <v>275</v>
      </c>
      <c r="BE94" s="77">
        <v>304</v>
      </c>
      <c r="BF94" s="77">
        <v>296</v>
      </c>
      <c r="BG94" s="77">
        <v>336</v>
      </c>
      <c r="BH94" s="77">
        <v>332</v>
      </c>
      <c r="BI94" s="77">
        <v>429</v>
      </c>
      <c r="BJ94" s="77">
        <v>401</v>
      </c>
      <c r="BK94" s="77">
        <v>413</v>
      </c>
      <c r="BL94" s="77">
        <v>334</v>
      </c>
      <c r="BM94" s="77">
        <v>375</v>
      </c>
      <c r="BN94" s="77">
        <v>347</v>
      </c>
      <c r="BO94" s="77">
        <v>334</v>
      </c>
      <c r="BP94" s="77">
        <v>333</v>
      </c>
      <c r="BQ94" s="77">
        <v>304</v>
      </c>
      <c r="BR94" s="77">
        <v>317</v>
      </c>
      <c r="BS94" s="77">
        <v>312</v>
      </c>
      <c r="BT94" s="77">
        <v>297</v>
      </c>
      <c r="BU94" s="77">
        <v>271</v>
      </c>
      <c r="BV94" s="77">
        <v>111</v>
      </c>
      <c r="BW94" s="77">
        <v>13</v>
      </c>
    </row>
    <row r="95" spans="1:87">
      <c r="A95" s="74" t="s">
        <v>134</v>
      </c>
      <c r="B95" s="76">
        <v>202508</v>
      </c>
      <c r="C95" s="77">
        <v>10838</v>
      </c>
      <c r="D95" s="78">
        <v>81510.51669999999</v>
      </c>
      <c r="E95" s="77">
        <v>10706</v>
      </c>
      <c r="AL95" s="77">
        <v>8</v>
      </c>
      <c r="AM95" s="77">
        <v>112</v>
      </c>
      <c r="AN95" s="77">
        <v>344</v>
      </c>
      <c r="AO95" s="77">
        <v>297</v>
      </c>
      <c r="AP95" s="77">
        <v>303</v>
      </c>
      <c r="AQ95" s="77">
        <v>320</v>
      </c>
      <c r="AR95" s="77">
        <v>311</v>
      </c>
      <c r="AS95" s="77">
        <v>348</v>
      </c>
      <c r="AT95" s="77">
        <v>376</v>
      </c>
      <c r="AU95" s="77">
        <v>414</v>
      </c>
      <c r="AV95" s="77">
        <v>369</v>
      </c>
      <c r="AW95" s="77">
        <v>386</v>
      </c>
      <c r="AX95" s="77">
        <v>306</v>
      </c>
      <c r="AY95" s="77">
        <v>354</v>
      </c>
      <c r="AZ95" s="77">
        <v>355</v>
      </c>
      <c r="BA95" s="77">
        <v>312</v>
      </c>
      <c r="BB95" s="77">
        <v>279</v>
      </c>
      <c r="BC95" s="77">
        <v>255</v>
      </c>
      <c r="BD95" s="77">
        <v>241</v>
      </c>
      <c r="BE95" s="77">
        <v>271</v>
      </c>
      <c r="BF95" s="77">
        <v>263</v>
      </c>
      <c r="BG95" s="77">
        <v>291</v>
      </c>
      <c r="BH95" s="77">
        <v>337</v>
      </c>
      <c r="BI95" s="77">
        <v>313</v>
      </c>
      <c r="BJ95" s="77">
        <v>307</v>
      </c>
      <c r="BK95" s="77">
        <v>369</v>
      </c>
      <c r="BL95" s="77">
        <v>326</v>
      </c>
      <c r="BM95" s="77">
        <v>350</v>
      </c>
      <c r="BN95" s="77">
        <v>290</v>
      </c>
      <c r="BO95" s="77">
        <v>316</v>
      </c>
      <c r="BP95" s="77">
        <v>307</v>
      </c>
      <c r="BQ95" s="77">
        <v>291</v>
      </c>
      <c r="BR95" s="77">
        <v>272</v>
      </c>
      <c r="BS95" s="77">
        <v>279</v>
      </c>
      <c r="BT95" s="77">
        <v>252</v>
      </c>
      <c r="BU95" s="77">
        <v>195</v>
      </c>
      <c r="BV95" s="77">
        <v>107</v>
      </c>
      <c r="BW95" s="77">
        <v>12</v>
      </c>
    </row>
    <row r="96" spans="1:87">
      <c r="A96" s="74" t="s">
        <v>134</v>
      </c>
      <c r="B96" s="76">
        <v>202509</v>
      </c>
      <c r="C96" s="77">
        <v>10824</v>
      </c>
      <c r="D96" s="78">
        <v>81757.6833</v>
      </c>
      <c r="E96" s="77">
        <v>10689</v>
      </c>
      <c r="AM96" s="77">
        <v>77</v>
      </c>
      <c r="AN96" s="77">
        <v>264</v>
      </c>
      <c r="AO96" s="77">
        <v>236</v>
      </c>
      <c r="AP96" s="77">
        <v>304</v>
      </c>
      <c r="AQ96" s="77">
        <v>356</v>
      </c>
      <c r="AR96" s="77">
        <v>330</v>
      </c>
      <c r="AS96" s="77">
        <v>365</v>
      </c>
      <c r="AT96" s="77">
        <v>376</v>
      </c>
      <c r="AU96" s="77">
        <v>359</v>
      </c>
      <c r="AV96" s="77">
        <v>387</v>
      </c>
      <c r="AW96" s="77">
        <v>344</v>
      </c>
      <c r="AX96" s="77">
        <v>381</v>
      </c>
      <c r="AY96" s="77">
        <v>339</v>
      </c>
      <c r="AZ96" s="77">
        <v>290</v>
      </c>
      <c r="BA96" s="77">
        <v>284</v>
      </c>
      <c r="BB96" s="77">
        <v>239</v>
      </c>
      <c r="BC96" s="77">
        <v>267</v>
      </c>
      <c r="BD96" s="77">
        <v>267</v>
      </c>
      <c r="BE96" s="77">
        <v>286</v>
      </c>
      <c r="BF96" s="77">
        <v>303</v>
      </c>
      <c r="BG96" s="77">
        <v>293</v>
      </c>
      <c r="BH96" s="77">
        <v>301</v>
      </c>
      <c r="BI96" s="77">
        <v>363</v>
      </c>
      <c r="BJ96" s="77">
        <v>323</v>
      </c>
      <c r="BK96" s="77">
        <v>363</v>
      </c>
      <c r="BL96" s="77">
        <v>371</v>
      </c>
      <c r="BM96" s="77">
        <v>350</v>
      </c>
      <c r="BN96" s="77">
        <v>312</v>
      </c>
      <c r="BO96" s="77">
        <v>311</v>
      </c>
      <c r="BP96" s="77">
        <v>293</v>
      </c>
      <c r="BQ96" s="77">
        <v>284</v>
      </c>
      <c r="BR96" s="77">
        <v>302</v>
      </c>
      <c r="BS96" s="77">
        <v>292</v>
      </c>
      <c r="BT96" s="77">
        <v>279</v>
      </c>
      <c r="BU96" s="77">
        <v>221</v>
      </c>
      <c r="BV96" s="77">
        <v>107</v>
      </c>
      <c r="BW96" s="77">
        <v>5</v>
      </c>
    </row>
    <row r="97" spans="1:84">
      <c r="A97" s="74" t="s">
        <v>134</v>
      </c>
      <c r="B97" s="76">
        <v>202510</v>
      </c>
      <c r="C97" s="77">
        <v>12233</v>
      </c>
      <c r="D97" s="78">
        <v>92214.3667</v>
      </c>
      <c r="E97" s="77">
        <v>12067</v>
      </c>
      <c r="AM97" s="77">
        <v>77</v>
      </c>
      <c r="AN97" s="77">
        <v>307</v>
      </c>
      <c r="AO97" s="77">
        <v>274</v>
      </c>
      <c r="AP97" s="77">
        <v>311</v>
      </c>
      <c r="AQ97" s="77">
        <v>344</v>
      </c>
      <c r="AR97" s="77">
        <v>354</v>
      </c>
      <c r="AS97" s="77">
        <v>369</v>
      </c>
      <c r="AT97" s="77">
        <v>443</v>
      </c>
      <c r="AU97" s="77">
        <v>472</v>
      </c>
      <c r="AV97" s="77">
        <v>426</v>
      </c>
      <c r="AW97" s="77">
        <v>409</v>
      </c>
      <c r="AX97" s="77">
        <v>389</v>
      </c>
      <c r="AY97" s="77">
        <v>393</v>
      </c>
      <c r="AZ97" s="77">
        <v>386</v>
      </c>
      <c r="BA97" s="77">
        <v>330</v>
      </c>
      <c r="BB97" s="77">
        <v>316</v>
      </c>
      <c r="BC97" s="77">
        <v>338</v>
      </c>
      <c r="BD97" s="77">
        <v>253</v>
      </c>
      <c r="BE97" s="77">
        <v>268</v>
      </c>
      <c r="BF97" s="77">
        <v>314</v>
      </c>
      <c r="BG97" s="77">
        <v>365</v>
      </c>
      <c r="BH97" s="77">
        <v>377</v>
      </c>
      <c r="BI97" s="77">
        <v>385</v>
      </c>
      <c r="BJ97" s="77">
        <v>415</v>
      </c>
      <c r="BK97" s="77">
        <v>349</v>
      </c>
      <c r="BL97" s="77">
        <v>349</v>
      </c>
      <c r="BM97" s="77">
        <v>382</v>
      </c>
      <c r="BN97" s="77">
        <v>367</v>
      </c>
      <c r="BO97" s="77">
        <v>361</v>
      </c>
      <c r="BP97" s="77">
        <v>380</v>
      </c>
      <c r="BQ97" s="77">
        <v>346</v>
      </c>
      <c r="BR97" s="77">
        <v>271</v>
      </c>
      <c r="BS97" s="77">
        <v>314</v>
      </c>
      <c r="BT97" s="77">
        <v>342</v>
      </c>
      <c r="BU97" s="77">
        <v>261</v>
      </c>
      <c r="BV97" s="77">
        <v>126</v>
      </c>
      <c r="BW97" s="77">
        <v>25</v>
      </c>
      <c r="BX97" s="77">
        <v>1</v>
      </c>
      <c r="BY97" s="77">
        <v>5</v>
      </c>
      <c r="BZ97" s="77">
        <v>13</v>
      </c>
      <c r="CA97" s="77">
        <v>6</v>
      </c>
      <c r="CB97" s="77">
        <v>2</v>
      </c>
      <c r="CC97" s="77">
        <v>5</v>
      </c>
      <c r="CD97" s="77">
        <v>8</v>
      </c>
      <c r="CE97" s="77">
        <v>4</v>
      </c>
      <c r="CF97" s="77">
        <v>1</v>
      </c>
    </row>
    <row r="98" spans="1:84">
      <c r="A98" s="74" t="s">
        <v>134</v>
      </c>
      <c r="B98" s="76">
        <v>202511</v>
      </c>
      <c r="C98" s="77">
        <v>11052</v>
      </c>
      <c r="D98" s="78">
        <v>75883.1667</v>
      </c>
      <c r="E98" s="77">
        <v>10927</v>
      </c>
      <c r="AM98" s="77">
        <v>53</v>
      </c>
      <c r="AN98" s="77">
        <v>278</v>
      </c>
      <c r="AO98" s="77">
        <v>218</v>
      </c>
      <c r="AP98" s="77">
        <v>248</v>
      </c>
      <c r="AQ98" s="77">
        <v>349</v>
      </c>
      <c r="AR98" s="77">
        <v>333</v>
      </c>
      <c r="AS98" s="77">
        <v>341</v>
      </c>
      <c r="AT98" s="77">
        <v>390</v>
      </c>
      <c r="AU98" s="77">
        <v>387</v>
      </c>
      <c r="AV98" s="77">
        <v>390</v>
      </c>
      <c r="AW98" s="77">
        <v>373</v>
      </c>
      <c r="AX98" s="77">
        <v>378</v>
      </c>
      <c r="AY98" s="77">
        <v>322</v>
      </c>
      <c r="AZ98" s="77">
        <v>320</v>
      </c>
      <c r="BA98" s="77">
        <v>323</v>
      </c>
      <c r="BB98" s="77">
        <v>283</v>
      </c>
      <c r="BC98" s="77">
        <v>277</v>
      </c>
      <c r="BD98" s="77">
        <v>295</v>
      </c>
      <c r="BE98" s="77">
        <v>266</v>
      </c>
      <c r="BF98" s="77">
        <v>270</v>
      </c>
      <c r="BG98" s="77">
        <v>320</v>
      </c>
      <c r="BH98" s="77">
        <v>343</v>
      </c>
      <c r="BI98" s="77">
        <v>360</v>
      </c>
      <c r="BJ98" s="77">
        <v>309</v>
      </c>
      <c r="BK98" s="77">
        <v>377</v>
      </c>
      <c r="BL98" s="77">
        <v>319</v>
      </c>
      <c r="BM98" s="77">
        <v>322</v>
      </c>
      <c r="BN98" s="77">
        <v>363</v>
      </c>
      <c r="BO98" s="77">
        <v>333</v>
      </c>
      <c r="BP98" s="77">
        <v>328</v>
      </c>
      <c r="BQ98" s="77">
        <v>292</v>
      </c>
      <c r="BR98" s="77">
        <v>351</v>
      </c>
      <c r="BS98" s="77">
        <v>291</v>
      </c>
      <c r="BT98" s="77">
        <v>297</v>
      </c>
      <c r="BU98" s="77">
        <v>228</v>
      </c>
      <c r="BV98" s="77">
        <v>106</v>
      </c>
      <c r="BW98" s="77">
        <v>19</v>
      </c>
    </row>
    <row r="99" spans="1:84">
      <c r="A99" s="74" t="s">
        <v>134</v>
      </c>
      <c r="B99" s="76">
        <v>202512</v>
      </c>
      <c r="C99" s="77">
        <v>11624</v>
      </c>
      <c r="D99" s="78">
        <v>84005.05</v>
      </c>
      <c r="E99" s="77">
        <v>11483</v>
      </c>
      <c r="AL99" s="77">
        <v>1</v>
      </c>
      <c r="AM99" s="77">
        <v>49</v>
      </c>
      <c r="AN99" s="77">
        <v>266</v>
      </c>
      <c r="AO99" s="77">
        <v>252</v>
      </c>
      <c r="AP99" s="77">
        <v>246</v>
      </c>
      <c r="AQ99" s="77">
        <v>317</v>
      </c>
      <c r="AR99" s="77">
        <v>301</v>
      </c>
      <c r="AS99" s="77">
        <v>342</v>
      </c>
      <c r="AT99" s="77">
        <v>355</v>
      </c>
      <c r="AU99" s="77">
        <v>359</v>
      </c>
      <c r="AV99" s="77">
        <v>391</v>
      </c>
      <c r="AW99" s="77">
        <v>376</v>
      </c>
      <c r="AX99" s="77">
        <v>404</v>
      </c>
      <c r="AY99" s="77">
        <v>380</v>
      </c>
      <c r="AZ99" s="77">
        <v>353</v>
      </c>
      <c r="BA99" s="77">
        <v>329</v>
      </c>
      <c r="BB99" s="77">
        <v>323</v>
      </c>
      <c r="BC99" s="77">
        <v>282</v>
      </c>
      <c r="BD99" s="77">
        <v>301</v>
      </c>
      <c r="BE99" s="77">
        <v>314</v>
      </c>
      <c r="BF99" s="77">
        <v>306</v>
      </c>
      <c r="BG99" s="77">
        <v>349</v>
      </c>
      <c r="BH99" s="77">
        <v>355</v>
      </c>
      <c r="BI99" s="77">
        <v>382</v>
      </c>
      <c r="BJ99" s="77">
        <v>383</v>
      </c>
      <c r="BK99" s="77">
        <v>381</v>
      </c>
      <c r="BL99" s="77">
        <v>363</v>
      </c>
      <c r="BM99" s="77">
        <v>343</v>
      </c>
      <c r="BN99" s="77">
        <v>358</v>
      </c>
      <c r="BO99" s="77">
        <v>338</v>
      </c>
      <c r="BP99" s="77">
        <v>346</v>
      </c>
      <c r="BQ99" s="77">
        <v>318</v>
      </c>
      <c r="BR99" s="77">
        <v>363</v>
      </c>
      <c r="BS99" s="77">
        <v>310</v>
      </c>
      <c r="BT99" s="77">
        <v>325</v>
      </c>
      <c r="BU99" s="77">
        <v>241</v>
      </c>
      <c r="BV99" s="77">
        <v>143</v>
      </c>
      <c r="BW99" s="77">
        <v>29</v>
      </c>
      <c r="BX99" s="77">
        <v>3</v>
      </c>
      <c r="BY99" s="77">
        <v>11</v>
      </c>
      <c r="BZ99" s="77">
        <v>5</v>
      </c>
      <c r="CA99" s="77">
        <v>9</v>
      </c>
      <c r="CB99" s="77">
        <v>8</v>
      </c>
      <c r="CC99" s="77">
        <v>3</v>
      </c>
      <c r="CD99" s="77">
        <v>7</v>
      </c>
      <c r="CE99" s="77">
        <v>2</v>
      </c>
      <c r="CF99" s="77">
        <v>2</v>
      </c>
    </row>
    <row r="100" spans="1:84">
      <c r="A100" s="74" t="s">
        <v>148</v>
      </c>
      <c r="B100" s="76">
        <v>202401</v>
      </c>
      <c r="C100" s="77">
        <v>4897</v>
      </c>
      <c r="D100" s="78">
        <v>57629.2</v>
      </c>
      <c r="E100" s="77">
        <v>4755</v>
      </c>
      <c r="AK100" s="77">
        <v>1</v>
      </c>
      <c r="AL100" s="77">
        <v>22</v>
      </c>
      <c r="AM100" s="77">
        <v>92</v>
      </c>
      <c r="AN100" s="77">
        <v>78</v>
      </c>
      <c r="AO100" s="77">
        <v>121</v>
      </c>
      <c r="AP100" s="77">
        <v>134</v>
      </c>
      <c r="AQ100" s="77">
        <v>122</v>
      </c>
      <c r="AR100" s="77">
        <v>131</v>
      </c>
      <c r="AS100" s="77">
        <v>162</v>
      </c>
      <c r="AT100" s="77">
        <v>153</v>
      </c>
      <c r="AU100" s="77">
        <v>180</v>
      </c>
      <c r="AV100" s="77">
        <v>175</v>
      </c>
      <c r="AW100" s="77">
        <v>174</v>
      </c>
      <c r="AX100" s="77">
        <v>192</v>
      </c>
      <c r="AY100" s="77">
        <v>179</v>
      </c>
      <c r="AZ100" s="77">
        <v>153</v>
      </c>
      <c r="BA100" s="77">
        <v>140</v>
      </c>
      <c r="BB100" s="77">
        <v>144</v>
      </c>
      <c r="BC100" s="77">
        <v>128</v>
      </c>
      <c r="BD100" s="77">
        <v>138</v>
      </c>
      <c r="BE100" s="77">
        <v>161</v>
      </c>
      <c r="BF100" s="77">
        <v>152</v>
      </c>
      <c r="BG100" s="77">
        <v>145</v>
      </c>
      <c r="BH100" s="77">
        <v>156</v>
      </c>
      <c r="BI100" s="77">
        <v>146</v>
      </c>
      <c r="BJ100" s="77">
        <v>141</v>
      </c>
      <c r="BK100" s="77">
        <v>161</v>
      </c>
      <c r="BL100" s="77">
        <v>157</v>
      </c>
      <c r="BM100" s="77">
        <v>150</v>
      </c>
      <c r="BN100" s="77">
        <v>124</v>
      </c>
      <c r="BO100" s="77">
        <v>155</v>
      </c>
      <c r="BP100" s="77">
        <v>135</v>
      </c>
      <c r="BQ100" s="77">
        <v>111</v>
      </c>
      <c r="BR100" s="77">
        <v>132</v>
      </c>
      <c r="BS100" s="77">
        <v>128</v>
      </c>
      <c r="BT100" s="77">
        <v>90</v>
      </c>
      <c r="BU100" s="77">
        <v>31</v>
      </c>
      <c r="BV100" s="77">
        <v>3</v>
      </c>
    </row>
    <row r="101" spans="1:84">
      <c r="A101" s="74" t="s">
        <v>148</v>
      </c>
      <c r="B101" s="76">
        <v>202402</v>
      </c>
      <c r="C101" s="77">
        <v>5349</v>
      </c>
      <c r="D101" s="78">
        <v>59394.0167</v>
      </c>
      <c r="E101" s="77">
        <v>5221</v>
      </c>
      <c r="AK101" s="77">
        <v>6</v>
      </c>
      <c r="AL101" s="77">
        <v>31</v>
      </c>
      <c r="AM101" s="77">
        <v>117</v>
      </c>
      <c r="AN101" s="77">
        <v>108</v>
      </c>
      <c r="AO101" s="77">
        <v>135</v>
      </c>
      <c r="AP101" s="77">
        <v>153</v>
      </c>
      <c r="AQ101" s="77">
        <v>169</v>
      </c>
      <c r="AR101" s="77">
        <v>147</v>
      </c>
      <c r="AS101" s="77">
        <v>186</v>
      </c>
      <c r="AT101" s="77">
        <v>187</v>
      </c>
      <c r="AU101" s="77">
        <v>179</v>
      </c>
      <c r="AV101" s="77">
        <v>167</v>
      </c>
      <c r="AW101" s="77">
        <v>187</v>
      </c>
      <c r="AX101" s="77">
        <v>191</v>
      </c>
      <c r="AY101" s="77">
        <v>187</v>
      </c>
      <c r="AZ101" s="77">
        <v>155</v>
      </c>
      <c r="BA101" s="77">
        <v>141</v>
      </c>
      <c r="BB101" s="77">
        <v>131</v>
      </c>
      <c r="BC101" s="77">
        <v>110</v>
      </c>
      <c r="BD101" s="77">
        <v>133</v>
      </c>
      <c r="BE101" s="77">
        <v>167</v>
      </c>
      <c r="BF101" s="77">
        <v>187</v>
      </c>
      <c r="BG101" s="77">
        <v>184</v>
      </c>
      <c r="BH101" s="77">
        <v>175</v>
      </c>
      <c r="BI101" s="77">
        <v>162</v>
      </c>
      <c r="BJ101" s="77">
        <v>153</v>
      </c>
      <c r="BK101" s="77">
        <v>186</v>
      </c>
      <c r="BL101" s="77">
        <v>165</v>
      </c>
      <c r="BM101" s="77">
        <v>161</v>
      </c>
      <c r="BN101" s="77">
        <v>132</v>
      </c>
      <c r="BO101" s="77">
        <v>142</v>
      </c>
      <c r="BP101" s="77">
        <v>142</v>
      </c>
      <c r="BQ101" s="77">
        <v>144</v>
      </c>
      <c r="BR101" s="77">
        <v>130</v>
      </c>
      <c r="BS101" s="77">
        <v>144</v>
      </c>
      <c r="BT101" s="77">
        <v>104</v>
      </c>
      <c r="BU101" s="77">
        <v>45</v>
      </c>
      <c r="BV101" s="77">
        <v>6</v>
      </c>
    </row>
    <row r="102" spans="1:84">
      <c r="A102" s="74" t="s">
        <v>148</v>
      </c>
      <c r="B102" s="76">
        <v>202403</v>
      </c>
      <c r="C102" s="77">
        <v>7572</v>
      </c>
      <c r="D102" s="78">
        <v>64930.3333</v>
      </c>
      <c r="E102" s="77">
        <v>7412</v>
      </c>
      <c r="AK102" s="77">
        <v>8</v>
      </c>
      <c r="AL102" s="77">
        <v>59</v>
      </c>
      <c r="AM102" s="77">
        <v>210</v>
      </c>
      <c r="AN102" s="77">
        <v>139</v>
      </c>
      <c r="AO102" s="77">
        <v>208</v>
      </c>
      <c r="AP102" s="77">
        <v>202</v>
      </c>
      <c r="AQ102" s="77">
        <v>260</v>
      </c>
      <c r="AR102" s="77">
        <v>237</v>
      </c>
      <c r="AS102" s="77">
        <v>275</v>
      </c>
      <c r="AT102" s="77">
        <v>276</v>
      </c>
      <c r="AU102" s="77">
        <v>260</v>
      </c>
      <c r="AV102" s="77">
        <v>233</v>
      </c>
      <c r="AW102" s="77">
        <v>235</v>
      </c>
      <c r="AX102" s="77">
        <v>258</v>
      </c>
      <c r="AY102" s="77">
        <v>254</v>
      </c>
      <c r="AZ102" s="77">
        <v>205</v>
      </c>
      <c r="BA102" s="77">
        <v>163</v>
      </c>
      <c r="BB102" s="77">
        <v>184</v>
      </c>
      <c r="BC102" s="77">
        <v>173</v>
      </c>
      <c r="BD102" s="77">
        <v>217</v>
      </c>
      <c r="BE102" s="77">
        <v>224</v>
      </c>
      <c r="BF102" s="77">
        <v>235</v>
      </c>
      <c r="BG102" s="77">
        <v>245</v>
      </c>
      <c r="BH102" s="77">
        <v>213</v>
      </c>
      <c r="BI102" s="77">
        <v>239</v>
      </c>
      <c r="BJ102" s="77">
        <v>239</v>
      </c>
      <c r="BK102" s="77">
        <v>260</v>
      </c>
      <c r="BL102" s="77">
        <v>220</v>
      </c>
      <c r="BM102" s="77">
        <v>215</v>
      </c>
      <c r="BN102" s="77">
        <v>197</v>
      </c>
      <c r="BO102" s="77">
        <v>241</v>
      </c>
      <c r="BP102" s="77">
        <v>199</v>
      </c>
      <c r="BQ102" s="77">
        <v>215</v>
      </c>
      <c r="BR102" s="77">
        <v>194</v>
      </c>
      <c r="BS102" s="77">
        <v>140</v>
      </c>
      <c r="BT102" s="77">
        <v>138</v>
      </c>
      <c r="BU102" s="77">
        <v>59</v>
      </c>
      <c r="BV102" s="77">
        <v>13</v>
      </c>
      <c r="BW102" s="77">
        <v>7</v>
      </c>
      <c r="BX102" s="77">
        <v>5</v>
      </c>
      <c r="BY102" s="77">
        <v>8</v>
      </c>
      <c r="BZ102" s="77">
        <v>6</v>
      </c>
      <c r="CA102" s="77">
        <v>2</v>
      </c>
      <c r="CB102" s="77">
        <v>2</v>
      </c>
    </row>
    <row r="103" spans="1:84">
      <c r="A103" s="74" t="s">
        <v>148</v>
      </c>
      <c r="B103" s="76">
        <v>202404</v>
      </c>
      <c r="C103" s="77">
        <v>5761</v>
      </c>
      <c r="D103" s="78">
        <v>65257.0333</v>
      </c>
      <c r="E103" s="77">
        <v>5622</v>
      </c>
      <c r="AK103" s="77">
        <v>4</v>
      </c>
      <c r="AL103" s="77">
        <v>52</v>
      </c>
      <c r="AM103" s="77">
        <v>168</v>
      </c>
      <c r="AN103" s="77">
        <v>116</v>
      </c>
      <c r="AO103" s="77">
        <v>162</v>
      </c>
      <c r="AP103" s="77">
        <v>168</v>
      </c>
      <c r="AQ103" s="77">
        <v>169</v>
      </c>
      <c r="AR103" s="77">
        <v>189</v>
      </c>
      <c r="AS103" s="77">
        <v>192</v>
      </c>
      <c r="AT103" s="77">
        <v>174</v>
      </c>
      <c r="AU103" s="77">
        <v>184</v>
      </c>
      <c r="AV103" s="77">
        <v>189</v>
      </c>
      <c r="AW103" s="77">
        <v>202</v>
      </c>
      <c r="AX103" s="77">
        <v>178</v>
      </c>
      <c r="AY103" s="77">
        <v>185</v>
      </c>
      <c r="AZ103" s="77">
        <v>167</v>
      </c>
      <c r="BA103" s="77">
        <v>146</v>
      </c>
      <c r="BB103" s="77">
        <v>137</v>
      </c>
      <c r="BC103" s="77">
        <v>138</v>
      </c>
      <c r="BD103" s="77">
        <v>156</v>
      </c>
      <c r="BE103" s="77">
        <v>172</v>
      </c>
      <c r="BF103" s="77">
        <v>157</v>
      </c>
      <c r="BG103" s="77">
        <v>204</v>
      </c>
      <c r="BH103" s="77">
        <v>192</v>
      </c>
      <c r="BI103" s="77">
        <v>194</v>
      </c>
      <c r="BJ103" s="77">
        <v>174</v>
      </c>
      <c r="BK103" s="77">
        <v>178</v>
      </c>
      <c r="BL103" s="77">
        <v>168</v>
      </c>
      <c r="BM103" s="77">
        <v>159</v>
      </c>
      <c r="BN103" s="77">
        <v>163</v>
      </c>
      <c r="BO103" s="77">
        <v>175</v>
      </c>
      <c r="BP103" s="77">
        <v>130</v>
      </c>
      <c r="BQ103" s="77">
        <v>137</v>
      </c>
      <c r="BR103" s="77">
        <v>161</v>
      </c>
      <c r="BS103" s="77">
        <v>143</v>
      </c>
      <c r="BT103" s="77">
        <v>104</v>
      </c>
      <c r="BU103" s="77">
        <v>52</v>
      </c>
      <c r="BV103" s="77">
        <v>6</v>
      </c>
      <c r="BW103" s="77">
        <v>4</v>
      </c>
      <c r="BZ103" s="77">
        <v>5</v>
      </c>
      <c r="CA103" s="77">
        <v>3</v>
      </c>
      <c r="CB103" s="77">
        <v>4</v>
      </c>
    </row>
    <row r="104" spans="1:84">
      <c r="A104" s="74" t="s">
        <v>148</v>
      </c>
      <c r="B104" s="76">
        <v>202405</v>
      </c>
      <c r="C104" s="77">
        <v>5272</v>
      </c>
      <c r="D104" s="78">
        <v>64549.9167</v>
      </c>
      <c r="E104" s="77">
        <v>5123</v>
      </c>
      <c r="AK104" s="77">
        <v>5</v>
      </c>
      <c r="AL104" s="77">
        <v>24</v>
      </c>
      <c r="AM104" s="77">
        <v>127</v>
      </c>
      <c r="AN104" s="77">
        <v>145</v>
      </c>
      <c r="AO104" s="77">
        <v>130</v>
      </c>
      <c r="AP104" s="77">
        <v>145</v>
      </c>
      <c r="AQ104" s="77">
        <v>134</v>
      </c>
      <c r="AR104" s="77">
        <v>160</v>
      </c>
      <c r="AS104" s="77">
        <v>219</v>
      </c>
      <c r="AT104" s="77">
        <v>194</v>
      </c>
      <c r="AU104" s="77">
        <v>218</v>
      </c>
      <c r="AV104" s="77">
        <v>191</v>
      </c>
      <c r="AW104" s="77">
        <v>169</v>
      </c>
      <c r="AX104" s="77">
        <v>186</v>
      </c>
      <c r="AY104" s="77">
        <v>171</v>
      </c>
      <c r="AZ104" s="77">
        <v>138</v>
      </c>
      <c r="BA104" s="77">
        <v>125</v>
      </c>
      <c r="BB104" s="77">
        <v>131</v>
      </c>
      <c r="BC104" s="77">
        <v>144</v>
      </c>
      <c r="BD104" s="77">
        <v>111</v>
      </c>
      <c r="BE104" s="77">
        <v>167</v>
      </c>
      <c r="BF104" s="77">
        <v>161</v>
      </c>
      <c r="BG104" s="77">
        <v>156</v>
      </c>
      <c r="BH104" s="77">
        <v>173</v>
      </c>
      <c r="BI104" s="77">
        <v>168</v>
      </c>
      <c r="BJ104" s="77">
        <v>172</v>
      </c>
      <c r="BK104" s="77">
        <v>159</v>
      </c>
      <c r="BL104" s="77">
        <v>160</v>
      </c>
      <c r="BM104" s="77">
        <v>143</v>
      </c>
      <c r="BN104" s="77">
        <v>147</v>
      </c>
      <c r="BO104" s="77">
        <v>156</v>
      </c>
      <c r="BP104" s="77">
        <v>123</v>
      </c>
      <c r="BQ104" s="77">
        <v>128</v>
      </c>
      <c r="BR104" s="77">
        <v>142</v>
      </c>
      <c r="BS104" s="77">
        <v>128</v>
      </c>
      <c r="BT104" s="77">
        <v>81</v>
      </c>
      <c r="BU104" s="77">
        <v>39</v>
      </c>
      <c r="BV104" s="77">
        <v>2</v>
      </c>
    </row>
    <row r="105" spans="1:84">
      <c r="A105" s="74" t="s">
        <v>148</v>
      </c>
      <c r="B105" s="76">
        <v>202406</v>
      </c>
      <c r="C105" s="77">
        <v>4980</v>
      </c>
      <c r="D105" s="78">
        <v>60993.5167</v>
      </c>
      <c r="E105" s="77">
        <v>4835</v>
      </c>
      <c r="AK105" s="77">
        <v>4</v>
      </c>
      <c r="AL105" s="77">
        <v>31</v>
      </c>
      <c r="AM105" s="77">
        <v>114</v>
      </c>
      <c r="AN105" s="77">
        <v>125</v>
      </c>
      <c r="AO105" s="77">
        <v>143</v>
      </c>
      <c r="AP105" s="77">
        <v>144</v>
      </c>
      <c r="AQ105" s="77">
        <v>150</v>
      </c>
      <c r="AR105" s="77">
        <v>157</v>
      </c>
      <c r="AS105" s="77">
        <v>193</v>
      </c>
      <c r="AT105" s="77">
        <v>187</v>
      </c>
      <c r="AU105" s="77">
        <v>181</v>
      </c>
      <c r="AV105" s="77">
        <v>154</v>
      </c>
      <c r="AW105" s="77">
        <v>184</v>
      </c>
      <c r="AX105" s="77">
        <v>177</v>
      </c>
      <c r="AY105" s="77">
        <v>190</v>
      </c>
      <c r="AZ105" s="77">
        <v>153</v>
      </c>
      <c r="BA105" s="77">
        <v>128</v>
      </c>
      <c r="BB105" s="77">
        <v>118</v>
      </c>
      <c r="BC105" s="77">
        <v>112</v>
      </c>
      <c r="BD105" s="77">
        <v>134</v>
      </c>
      <c r="BE105" s="77">
        <v>138</v>
      </c>
      <c r="BF105" s="77">
        <v>169</v>
      </c>
      <c r="BG105" s="77">
        <v>166</v>
      </c>
      <c r="BH105" s="77">
        <v>154</v>
      </c>
      <c r="BI105" s="77">
        <v>160</v>
      </c>
      <c r="BJ105" s="77">
        <v>178</v>
      </c>
      <c r="BK105" s="77">
        <v>152</v>
      </c>
      <c r="BL105" s="77">
        <v>127</v>
      </c>
      <c r="BM105" s="77">
        <v>127</v>
      </c>
      <c r="BN105" s="77">
        <v>125</v>
      </c>
      <c r="BO105" s="77">
        <v>109</v>
      </c>
      <c r="BP105" s="77">
        <v>128</v>
      </c>
      <c r="BQ105" s="77">
        <v>130</v>
      </c>
      <c r="BR105" s="77">
        <v>112</v>
      </c>
      <c r="BS105" s="77">
        <v>113</v>
      </c>
      <c r="BT105" s="77">
        <v>77</v>
      </c>
      <c r="BU105" s="77">
        <v>34</v>
      </c>
      <c r="BV105" s="77">
        <v>2</v>
      </c>
    </row>
    <row r="106" spans="1:84">
      <c r="A106" s="74" t="s">
        <v>148</v>
      </c>
      <c r="B106" s="76">
        <v>202407</v>
      </c>
      <c r="C106" s="77">
        <v>5626</v>
      </c>
      <c r="D106" s="78">
        <v>67363.26669999999</v>
      </c>
      <c r="E106" s="77">
        <v>5468</v>
      </c>
      <c r="AK106" s="77">
        <v>7</v>
      </c>
      <c r="AL106" s="77">
        <v>44</v>
      </c>
      <c r="AM106" s="77">
        <v>143</v>
      </c>
      <c r="AN106" s="77">
        <v>142</v>
      </c>
      <c r="AO106" s="77">
        <v>156</v>
      </c>
      <c r="AP106" s="77">
        <v>148</v>
      </c>
      <c r="AQ106" s="77">
        <v>181</v>
      </c>
      <c r="AR106" s="77">
        <v>173</v>
      </c>
      <c r="AS106" s="77">
        <v>184</v>
      </c>
      <c r="AT106" s="77">
        <v>198</v>
      </c>
      <c r="AU106" s="77">
        <v>202</v>
      </c>
      <c r="AV106" s="77">
        <v>188</v>
      </c>
      <c r="AW106" s="77">
        <v>212</v>
      </c>
      <c r="AX106" s="77">
        <v>212</v>
      </c>
      <c r="AY106" s="77">
        <v>183</v>
      </c>
      <c r="AZ106" s="77">
        <v>153</v>
      </c>
      <c r="BA106" s="77">
        <v>142</v>
      </c>
      <c r="BB106" s="77">
        <v>137</v>
      </c>
      <c r="BC106" s="77">
        <v>140</v>
      </c>
      <c r="BD106" s="77">
        <v>156</v>
      </c>
      <c r="BE106" s="77">
        <v>170</v>
      </c>
      <c r="BF106" s="77">
        <v>171</v>
      </c>
      <c r="BG106" s="77">
        <v>198</v>
      </c>
      <c r="BH106" s="77">
        <v>179</v>
      </c>
      <c r="BI106" s="77">
        <v>150</v>
      </c>
      <c r="BJ106" s="77">
        <v>182</v>
      </c>
      <c r="BK106" s="77">
        <v>177</v>
      </c>
      <c r="BL106" s="77">
        <v>126</v>
      </c>
      <c r="BM106" s="77">
        <v>159</v>
      </c>
      <c r="BN106" s="77">
        <v>157</v>
      </c>
      <c r="BO106" s="77">
        <v>144</v>
      </c>
      <c r="BP106" s="77">
        <v>156</v>
      </c>
      <c r="BQ106" s="77">
        <v>152</v>
      </c>
      <c r="BR106" s="77">
        <v>141</v>
      </c>
      <c r="BS106" s="77">
        <v>130</v>
      </c>
      <c r="BT106" s="77">
        <v>97</v>
      </c>
      <c r="BU106" s="77">
        <v>35</v>
      </c>
      <c r="BV106" s="77">
        <v>1</v>
      </c>
    </row>
    <row r="107" spans="1:84">
      <c r="A107" s="74" t="s">
        <v>148</v>
      </c>
      <c r="B107" s="76">
        <v>202408</v>
      </c>
      <c r="C107" s="77">
        <v>5294</v>
      </c>
      <c r="D107" s="78">
        <v>62591.85</v>
      </c>
      <c r="E107" s="77">
        <v>5150</v>
      </c>
      <c r="AK107" s="77">
        <v>6</v>
      </c>
      <c r="AL107" s="77">
        <v>55</v>
      </c>
      <c r="AM107" s="77">
        <v>133</v>
      </c>
      <c r="AN107" s="77">
        <v>119</v>
      </c>
      <c r="AO107" s="77">
        <v>165</v>
      </c>
      <c r="AP107" s="77">
        <v>162</v>
      </c>
      <c r="AQ107" s="77">
        <v>168</v>
      </c>
      <c r="AR107" s="77">
        <v>180</v>
      </c>
      <c r="AS107" s="77">
        <v>182</v>
      </c>
      <c r="AT107" s="77">
        <v>191</v>
      </c>
      <c r="AU107" s="77">
        <v>189</v>
      </c>
      <c r="AV107" s="77">
        <v>181</v>
      </c>
      <c r="AW107" s="77">
        <v>188</v>
      </c>
      <c r="AX107" s="77">
        <v>176</v>
      </c>
      <c r="AY107" s="77">
        <v>159</v>
      </c>
      <c r="AZ107" s="77">
        <v>135</v>
      </c>
      <c r="BA107" s="77">
        <v>116</v>
      </c>
      <c r="BB107" s="77">
        <v>122</v>
      </c>
      <c r="BC107" s="77">
        <v>124</v>
      </c>
      <c r="BD107" s="77">
        <v>140</v>
      </c>
      <c r="BE107" s="77">
        <v>143</v>
      </c>
      <c r="BF107" s="77">
        <v>181</v>
      </c>
      <c r="BG107" s="77">
        <v>167</v>
      </c>
      <c r="BH107" s="77">
        <v>162</v>
      </c>
      <c r="BI107" s="77">
        <v>154</v>
      </c>
      <c r="BJ107" s="77">
        <v>169</v>
      </c>
      <c r="BK107" s="77">
        <v>180</v>
      </c>
      <c r="BL107" s="77">
        <v>161</v>
      </c>
      <c r="BM107" s="77">
        <v>154</v>
      </c>
      <c r="BN107" s="77">
        <v>161</v>
      </c>
      <c r="BO107" s="77">
        <v>139</v>
      </c>
      <c r="BP107" s="77">
        <v>129</v>
      </c>
      <c r="BQ107" s="77">
        <v>124</v>
      </c>
      <c r="BR107" s="77">
        <v>138</v>
      </c>
      <c r="BS107" s="77">
        <v>119</v>
      </c>
      <c r="BT107" s="77">
        <v>89</v>
      </c>
      <c r="BU107" s="77">
        <v>32</v>
      </c>
      <c r="BV107" s="77">
        <v>1</v>
      </c>
    </row>
    <row r="108" spans="1:84">
      <c r="A108" s="74" t="s">
        <v>148</v>
      </c>
      <c r="B108" s="76">
        <v>202409</v>
      </c>
      <c r="C108" s="77">
        <v>4995</v>
      </c>
      <c r="D108" s="78">
        <v>58785.4333</v>
      </c>
      <c r="E108" s="77">
        <v>4854</v>
      </c>
      <c r="AK108" s="77">
        <v>7</v>
      </c>
      <c r="AL108" s="77">
        <v>46</v>
      </c>
      <c r="AM108" s="77">
        <v>111</v>
      </c>
      <c r="AN108" s="77">
        <v>120</v>
      </c>
      <c r="AO108" s="77">
        <v>125</v>
      </c>
      <c r="AP108" s="77">
        <v>151</v>
      </c>
      <c r="AQ108" s="77">
        <v>173</v>
      </c>
      <c r="AR108" s="77">
        <v>162</v>
      </c>
      <c r="AS108" s="77">
        <v>170</v>
      </c>
      <c r="AT108" s="77">
        <v>163</v>
      </c>
      <c r="AU108" s="77">
        <v>207</v>
      </c>
      <c r="AV108" s="77">
        <v>193</v>
      </c>
      <c r="AW108" s="77">
        <v>165</v>
      </c>
      <c r="AX108" s="77">
        <v>160</v>
      </c>
      <c r="AY108" s="77">
        <v>145</v>
      </c>
      <c r="AZ108" s="77">
        <v>150</v>
      </c>
      <c r="BA108" s="77">
        <v>141</v>
      </c>
      <c r="BB108" s="77">
        <v>124</v>
      </c>
      <c r="BC108" s="77">
        <v>116</v>
      </c>
      <c r="BD108" s="77">
        <v>133</v>
      </c>
      <c r="BE108" s="77">
        <v>140</v>
      </c>
      <c r="BF108" s="77">
        <v>148</v>
      </c>
      <c r="BG108" s="77">
        <v>156</v>
      </c>
      <c r="BH108" s="77">
        <v>187</v>
      </c>
      <c r="BI108" s="77">
        <v>174</v>
      </c>
      <c r="BJ108" s="77">
        <v>129</v>
      </c>
      <c r="BK108" s="77">
        <v>160</v>
      </c>
      <c r="BL108" s="77">
        <v>155</v>
      </c>
      <c r="BM108" s="77">
        <v>167</v>
      </c>
      <c r="BN108" s="77">
        <v>111</v>
      </c>
      <c r="BO108" s="77">
        <v>141</v>
      </c>
      <c r="BP108" s="77">
        <v>97</v>
      </c>
      <c r="BQ108" s="77">
        <v>117</v>
      </c>
      <c r="BR108" s="77">
        <v>132</v>
      </c>
      <c r="BS108" s="77">
        <v>104</v>
      </c>
      <c r="BT108" s="77">
        <v>79</v>
      </c>
      <c r="BU108" s="77">
        <v>35</v>
      </c>
      <c r="BV108" s="77">
        <v>1</v>
      </c>
    </row>
    <row r="109" spans="1:84">
      <c r="A109" s="74" t="s">
        <v>148</v>
      </c>
      <c r="B109" s="76">
        <v>202410</v>
      </c>
      <c r="C109" s="77">
        <v>6131</v>
      </c>
      <c r="D109" s="78">
        <v>68351.01669999999</v>
      </c>
      <c r="E109" s="77">
        <v>5977</v>
      </c>
      <c r="AK109" s="77">
        <v>2</v>
      </c>
      <c r="AL109" s="77">
        <v>71</v>
      </c>
      <c r="AM109" s="77">
        <v>142</v>
      </c>
      <c r="AN109" s="77">
        <v>144</v>
      </c>
      <c r="AO109" s="77">
        <v>163</v>
      </c>
      <c r="AP109" s="77">
        <v>171</v>
      </c>
      <c r="AQ109" s="77">
        <v>198</v>
      </c>
      <c r="AR109" s="77">
        <v>188</v>
      </c>
      <c r="AS109" s="77">
        <v>192</v>
      </c>
      <c r="AT109" s="77">
        <v>231</v>
      </c>
      <c r="AU109" s="77">
        <v>210</v>
      </c>
      <c r="AV109" s="77">
        <v>246</v>
      </c>
      <c r="AW109" s="77">
        <v>187</v>
      </c>
      <c r="AX109" s="77">
        <v>201</v>
      </c>
      <c r="AY109" s="77">
        <v>204</v>
      </c>
      <c r="AZ109" s="77">
        <v>176</v>
      </c>
      <c r="BA109" s="77">
        <v>144</v>
      </c>
      <c r="BB109" s="77">
        <v>194</v>
      </c>
      <c r="BC109" s="77">
        <v>150</v>
      </c>
      <c r="BD109" s="77">
        <v>148</v>
      </c>
      <c r="BE109" s="77">
        <v>174</v>
      </c>
      <c r="BF109" s="77">
        <v>185</v>
      </c>
      <c r="BG109" s="77">
        <v>180</v>
      </c>
      <c r="BH109" s="77">
        <v>218</v>
      </c>
      <c r="BI109" s="77">
        <v>201</v>
      </c>
      <c r="BJ109" s="77">
        <v>199</v>
      </c>
      <c r="BK109" s="77">
        <v>201</v>
      </c>
      <c r="BL109" s="77">
        <v>170</v>
      </c>
      <c r="BM109" s="77">
        <v>164</v>
      </c>
      <c r="BN109" s="77">
        <v>155</v>
      </c>
      <c r="BO109" s="77">
        <v>195</v>
      </c>
      <c r="BP109" s="77">
        <v>145</v>
      </c>
      <c r="BQ109" s="77">
        <v>175</v>
      </c>
      <c r="BR109" s="77">
        <v>161</v>
      </c>
      <c r="BS109" s="77">
        <v>126</v>
      </c>
      <c r="BT109" s="77">
        <v>87</v>
      </c>
      <c r="BU109" s="77">
        <v>32</v>
      </c>
      <c r="BZ109" s="77">
        <v>1</v>
      </c>
    </row>
    <row r="110" spans="1:84">
      <c r="A110" s="74" t="s">
        <v>148</v>
      </c>
      <c r="B110" s="76">
        <v>202411</v>
      </c>
      <c r="C110" s="77">
        <v>5813</v>
      </c>
      <c r="D110" s="78">
        <v>61143.95</v>
      </c>
      <c r="E110" s="77">
        <v>5660</v>
      </c>
      <c r="AK110" s="77">
        <v>8</v>
      </c>
      <c r="AL110" s="77">
        <v>67</v>
      </c>
      <c r="AM110" s="77">
        <v>134</v>
      </c>
      <c r="AN110" s="77">
        <v>132</v>
      </c>
      <c r="AO110" s="77">
        <v>145</v>
      </c>
      <c r="AP110" s="77">
        <v>180</v>
      </c>
      <c r="AQ110" s="77">
        <v>156</v>
      </c>
      <c r="AR110" s="77">
        <v>188</v>
      </c>
      <c r="AS110" s="77">
        <v>186</v>
      </c>
      <c r="AT110" s="77">
        <v>201</v>
      </c>
      <c r="AU110" s="77">
        <v>219</v>
      </c>
      <c r="AV110" s="77">
        <v>233</v>
      </c>
      <c r="AW110" s="77">
        <v>199</v>
      </c>
      <c r="AX110" s="77">
        <v>197</v>
      </c>
      <c r="AY110" s="77">
        <v>195</v>
      </c>
      <c r="AZ110" s="77">
        <v>161</v>
      </c>
      <c r="BA110" s="77">
        <v>158</v>
      </c>
      <c r="BB110" s="77">
        <v>125</v>
      </c>
      <c r="BC110" s="77">
        <v>132</v>
      </c>
      <c r="BD110" s="77">
        <v>156</v>
      </c>
      <c r="BE110" s="77">
        <v>187</v>
      </c>
      <c r="BF110" s="77">
        <v>176</v>
      </c>
      <c r="BG110" s="77">
        <v>199</v>
      </c>
      <c r="BH110" s="77">
        <v>177</v>
      </c>
      <c r="BI110" s="77">
        <v>198</v>
      </c>
      <c r="BJ110" s="77">
        <v>180</v>
      </c>
      <c r="BK110" s="77">
        <v>182</v>
      </c>
      <c r="BL110" s="77">
        <v>177</v>
      </c>
      <c r="BM110" s="77">
        <v>193</v>
      </c>
      <c r="BN110" s="77">
        <v>151</v>
      </c>
      <c r="BO110" s="77">
        <v>158</v>
      </c>
      <c r="BP110" s="77">
        <v>131</v>
      </c>
      <c r="BQ110" s="77">
        <v>152</v>
      </c>
      <c r="BR110" s="77">
        <v>144</v>
      </c>
      <c r="BS110" s="77">
        <v>114</v>
      </c>
      <c r="BT110" s="77">
        <v>96</v>
      </c>
      <c r="BU110" s="77">
        <v>26</v>
      </c>
    </row>
    <row r="111" spans="1:84">
      <c r="A111" s="74" t="s">
        <v>148</v>
      </c>
      <c r="B111" s="76">
        <v>202412</v>
      </c>
      <c r="C111" s="77">
        <v>5759</v>
      </c>
      <c r="D111" s="78">
        <v>59671.3833</v>
      </c>
      <c r="E111" s="77">
        <v>5621</v>
      </c>
      <c r="AK111" s="77">
        <v>8</v>
      </c>
      <c r="AL111" s="77">
        <v>61</v>
      </c>
      <c r="AM111" s="77">
        <v>103</v>
      </c>
      <c r="AN111" s="77">
        <v>111</v>
      </c>
      <c r="AO111" s="77">
        <v>132</v>
      </c>
      <c r="AP111" s="77">
        <v>149</v>
      </c>
      <c r="AQ111" s="77">
        <v>175</v>
      </c>
      <c r="AR111" s="77">
        <v>164</v>
      </c>
      <c r="AS111" s="77">
        <v>189</v>
      </c>
      <c r="AT111" s="77">
        <v>174</v>
      </c>
      <c r="AU111" s="77">
        <v>214</v>
      </c>
      <c r="AV111" s="77">
        <v>201</v>
      </c>
      <c r="AW111" s="77">
        <v>211</v>
      </c>
      <c r="AX111" s="77">
        <v>176</v>
      </c>
      <c r="AY111" s="77">
        <v>191</v>
      </c>
      <c r="AZ111" s="77">
        <v>164</v>
      </c>
      <c r="BA111" s="77">
        <v>166</v>
      </c>
      <c r="BB111" s="77">
        <v>157</v>
      </c>
      <c r="BC111" s="77">
        <v>148</v>
      </c>
      <c r="BD111" s="77">
        <v>162</v>
      </c>
      <c r="BE111" s="77">
        <v>174</v>
      </c>
      <c r="BF111" s="77">
        <v>180</v>
      </c>
      <c r="BG111" s="77">
        <v>182</v>
      </c>
      <c r="BH111" s="77">
        <v>190</v>
      </c>
      <c r="BI111" s="77">
        <v>182</v>
      </c>
      <c r="BJ111" s="77">
        <v>209</v>
      </c>
      <c r="BK111" s="77">
        <v>193</v>
      </c>
      <c r="BL111" s="77">
        <v>182</v>
      </c>
      <c r="BM111" s="77">
        <v>187</v>
      </c>
      <c r="BN111" s="77">
        <v>158</v>
      </c>
      <c r="BO111" s="77">
        <v>137</v>
      </c>
      <c r="BP111" s="77">
        <v>145</v>
      </c>
      <c r="BQ111" s="77">
        <v>147</v>
      </c>
      <c r="BR111" s="77">
        <v>177</v>
      </c>
      <c r="BS111" s="77">
        <v>133</v>
      </c>
      <c r="BT111" s="77">
        <v>94</v>
      </c>
      <c r="BU111" s="77">
        <v>33</v>
      </c>
    </row>
    <row r="112" spans="1:84">
      <c r="A112" s="74" t="s">
        <v>148</v>
      </c>
      <c r="B112" s="76">
        <v>202501</v>
      </c>
      <c r="C112" s="77">
        <v>6357</v>
      </c>
      <c r="D112" s="78">
        <v>57829.7167</v>
      </c>
      <c r="E112" s="77">
        <v>6217</v>
      </c>
      <c r="AK112" s="77">
        <v>7</v>
      </c>
      <c r="AL112" s="77">
        <v>78</v>
      </c>
      <c r="AM112" s="77">
        <v>125</v>
      </c>
      <c r="AN112" s="77">
        <v>109</v>
      </c>
      <c r="AO112" s="77">
        <v>141</v>
      </c>
      <c r="AP112" s="77">
        <v>174</v>
      </c>
      <c r="AQ112" s="77">
        <v>196</v>
      </c>
      <c r="AR112" s="77">
        <v>188</v>
      </c>
      <c r="AS112" s="77">
        <v>208</v>
      </c>
      <c r="AT112" s="77">
        <v>209</v>
      </c>
      <c r="AU112" s="77">
        <v>205</v>
      </c>
      <c r="AV112" s="77">
        <v>222</v>
      </c>
      <c r="AW112" s="77">
        <v>208</v>
      </c>
      <c r="AX112" s="77">
        <v>229</v>
      </c>
      <c r="AY112" s="77">
        <v>188</v>
      </c>
      <c r="AZ112" s="77">
        <v>171</v>
      </c>
      <c r="BA112" s="77">
        <v>170</v>
      </c>
      <c r="BB112" s="77">
        <v>179</v>
      </c>
      <c r="BC112" s="77">
        <v>143</v>
      </c>
      <c r="BD112" s="77">
        <v>164</v>
      </c>
      <c r="BE112" s="77">
        <v>192</v>
      </c>
      <c r="BF112" s="77">
        <v>233</v>
      </c>
      <c r="BG112" s="77">
        <v>192</v>
      </c>
      <c r="BH112" s="77">
        <v>202</v>
      </c>
      <c r="BI112" s="77">
        <v>203</v>
      </c>
      <c r="BJ112" s="77">
        <v>186</v>
      </c>
      <c r="BK112" s="77">
        <v>219</v>
      </c>
      <c r="BL112" s="77">
        <v>202</v>
      </c>
      <c r="BM112" s="77">
        <v>199</v>
      </c>
      <c r="BN112" s="77">
        <v>193</v>
      </c>
      <c r="BO112" s="77">
        <v>189</v>
      </c>
      <c r="BP112" s="77">
        <v>170</v>
      </c>
      <c r="BQ112" s="77">
        <v>173</v>
      </c>
      <c r="BR112" s="77">
        <v>174</v>
      </c>
      <c r="BS112" s="77">
        <v>169</v>
      </c>
      <c r="BT112" s="77">
        <v>107</v>
      </c>
      <c r="BU112" s="77">
        <v>36</v>
      </c>
      <c r="BV112" s="77">
        <v>4</v>
      </c>
    </row>
    <row r="113" spans="1:81">
      <c r="A113" s="74" t="s">
        <v>148</v>
      </c>
      <c r="B113" s="76">
        <v>202502</v>
      </c>
      <c r="C113" s="77">
        <v>6158</v>
      </c>
      <c r="D113" s="78">
        <v>54086</v>
      </c>
      <c r="E113" s="77">
        <v>6028</v>
      </c>
      <c r="AK113" s="77">
        <v>13</v>
      </c>
      <c r="AL113" s="77">
        <v>77</v>
      </c>
      <c r="AM113" s="77">
        <v>129</v>
      </c>
      <c r="AN113" s="77">
        <v>121</v>
      </c>
      <c r="AO113" s="77">
        <v>164</v>
      </c>
      <c r="AP113" s="77">
        <v>205</v>
      </c>
      <c r="AQ113" s="77">
        <v>197</v>
      </c>
      <c r="AR113" s="77">
        <v>192</v>
      </c>
      <c r="AS113" s="77">
        <v>209</v>
      </c>
      <c r="AT113" s="77">
        <v>241</v>
      </c>
      <c r="AU113" s="77">
        <v>228</v>
      </c>
      <c r="AV113" s="77">
        <v>195</v>
      </c>
      <c r="AW113" s="77">
        <v>218</v>
      </c>
      <c r="AX113" s="77">
        <v>191</v>
      </c>
      <c r="AY113" s="77">
        <v>164</v>
      </c>
      <c r="AZ113" s="77">
        <v>150</v>
      </c>
      <c r="BA113" s="77">
        <v>142</v>
      </c>
      <c r="BB113" s="77">
        <v>152</v>
      </c>
      <c r="BC113" s="77">
        <v>159</v>
      </c>
      <c r="BD113" s="77">
        <v>156</v>
      </c>
      <c r="BE113" s="77">
        <v>170</v>
      </c>
      <c r="BF113" s="77">
        <v>251</v>
      </c>
      <c r="BG113" s="77">
        <v>202</v>
      </c>
      <c r="BH113" s="77">
        <v>194</v>
      </c>
      <c r="BI113" s="77">
        <v>200</v>
      </c>
      <c r="BJ113" s="77">
        <v>204</v>
      </c>
      <c r="BK113" s="77">
        <v>201</v>
      </c>
      <c r="BL113" s="77">
        <v>176</v>
      </c>
      <c r="BM113" s="77">
        <v>165</v>
      </c>
      <c r="BN113" s="77">
        <v>169</v>
      </c>
      <c r="BO113" s="77">
        <v>186</v>
      </c>
      <c r="BP113" s="77">
        <v>153</v>
      </c>
      <c r="BQ113" s="77">
        <v>174</v>
      </c>
      <c r="BR113" s="77">
        <v>145</v>
      </c>
      <c r="BS113" s="77">
        <v>144</v>
      </c>
      <c r="BT113" s="77">
        <v>93</v>
      </c>
      <c r="BU113" s="77">
        <v>27</v>
      </c>
      <c r="BV113" s="77">
        <v>1</v>
      </c>
    </row>
    <row r="114" spans="1:81">
      <c r="A114" s="74" t="s">
        <v>148</v>
      </c>
      <c r="B114" s="76">
        <v>202503</v>
      </c>
      <c r="C114" s="77">
        <v>8433</v>
      </c>
      <c r="D114" s="78">
        <v>60731.2</v>
      </c>
      <c r="E114" s="77">
        <v>8281</v>
      </c>
      <c r="AK114" s="77">
        <v>27</v>
      </c>
      <c r="AL114" s="77">
        <v>188</v>
      </c>
      <c r="AM114" s="77">
        <v>268</v>
      </c>
      <c r="AN114" s="77">
        <v>223</v>
      </c>
      <c r="AO114" s="77">
        <v>254</v>
      </c>
      <c r="AP114" s="77">
        <v>238</v>
      </c>
      <c r="AQ114" s="77">
        <v>260</v>
      </c>
      <c r="AR114" s="77">
        <v>259</v>
      </c>
      <c r="AS114" s="77">
        <v>273</v>
      </c>
      <c r="AT114" s="77">
        <v>305</v>
      </c>
      <c r="AU114" s="77">
        <v>287</v>
      </c>
      <c r="AV114" s="77">
        <v>312</v>
      </c>
      <c r="AW114" s="77">
        <v>279</v>
      </c>
      <c r="AX114" s="77">
        <v>261</v>
      </c>
      <c r="AY114" s="77">
        <v>224</v>
      </c>
      <c r="AZ114" s="77">
        <v>218</v>
      </c>
      <c r="BA114" s="77">
        <v>197</v>
      </c>
      <c r="BB114" s="77">
        <v>204</v>
      </c>
      <c r="BC114" s="77">
        <v>214</v>
      </c>
      <c r="BD114" s="77">
        <v>215</v>
      </c>
      <c r="BE114" s="77">
        <v>236</v>
      </c>
      <c r="BF114" s="77">
        <v>271</v>
      </c>
      <c r="BG114" s="77">
        <v>226</v>
      </c>
      <c r="BH114" s="77">
        <v>263</v>
      </c>
      <c r="BI114" s="77">
        <v>273</v>
      </c>
      <c r="BJ114" s="77">
        <v>255</v>
      </c>
      <c r="BK114" s="77">
        <v>279</v>
      </c>
      <c r="BL114" s="77">
        <v>241</v>
      </c>
      <c r="BM114" s="77">
        <v>236</v>
      </c>
      <c r="BN114" s="77">
        <v>210</v>
      </c>
      <c r="BO114" s="77">
        <v>218</v>
      </c>
      <c r="BP114" s="77">
        <v>238</v>
      </c>
      <c r="BQ114" s="77">
        <v>210</v>
      </c>
      <c r="BR114" s="77">
        <v>194</v>
      </c>
      <c r="BS114" s="77">
        <v>185</v>
      </c>
      <c r="BT114" s="77">
        <v>120</v>
      </c>
      <c r="BU114" s="77">
        <v>48</v>
      </c>
      <c r="BV114" s="77">
        <v>4</v>
      </c>
      <c r="BW114" s="77">
        <v>3</v>
      </c>
      <c r="BY114" s="77">
        <v>1</v>
      </c>
      <c r="BZ114" s="77">
        <v>5</v>
      </c>
      <c r="CA114" s="77">
        <v>9</v>
      </c>
      <c r="CB114" s="77">
        <v>2</v>
      </c>
    </row>
    <row r="115" spans="1:81">
      <c r="A115" s="74" t="s">
        <v>148</v>
      </c>
      <c r="B115" s="76">
        <v>202504</v>
      </c>
      <c r="C115" s="77">
        <v>7172</v>
      </c>
      <c r="D115" s="78">
        <v>61060.5667</v>
      </c>
      <c r="E115" s="77">
        <v>7033</v>
      </c>
      <c r="AK115" s="77">
        <v>17</v>
      </c>
      <c r="AL115" s="77">
        <v>130</v>
      </c>
      <c r="AM115" s="77">
        <v>195</v>
      </c>
      <c r="AN115" s="77">
        <v>171</v>
      </c>
      <c r="AO115" s="77">
        <v>208</v>
      </c>
      <c r="AP115" s="77">
        <v>226</v>
      </c>
      <c r="AQ115" s="77">
        <v>204</v>
      </c>
      <c r="AR115" s="77">
        <v>231</v>
      </c>
      <c r="AS115" s="77">
        <v>250</v>
      </c>
      <c r="AT115" s="77">
        <v>276</v>
      </c>
      <c r="AU115" s="77">
        <v>263</v>
      </c>
      <c r="AV115" s="77">
        <v>263</v>
      </c>
      <c r="AW115" s="77">
        <v>252</v>
      </c>
      <c r="AX115" s="77">
        <v>261</v>
      </c>
      <c r="AY115" s="77">
        <v>212</v>
      </c>
      <c r="AZ115" s="77">
        <v>172</v>
      </c>
      <c r="BA115" s="77">
        <v>180</v>
      </c>
      <c r="BB115" s="77">
        <v>169</v>
      </c>
      <c r="BC115" s="77">
        <v>145</v>
      </c>
      <c r="BD115" s="77">
        <v>154</v>
      </c>
      <c r="BE115" s="77">
        <v>204</v>
      </c>
      <c r="BF115" s="77">
        <v>223</v>
      </c>
      <c r="BG115" s="77">
        <v>202</v>
      </c>
      <c r="BH115" s="77">
        <v>230</v>
      </c>
      <c r="BI115" s="77">
        <v>213</v>
      </c>
      <c r="BJ115" s="77">
        <v>202</v>
      </c>
      <c r="BK115" s="77">
        <v>225</v>
      </c>
      <c r="BL115" s="77">
        <v>201</v>
      </c>
      <c r="BM115" s="77">
        <v>220</v>
      </c>
      <c r="BN115" s="77">
        <v>192</v>
      </c>
      <c r="BO115" s="77">
        <v>212</v>
      </c>
      <c r="BP115" s="77">
        <v>185</v>
      </c>
      <c r="BQ115" s="77">
        <v>175</v>
      </c>
      <c r="BR115" s="77">
        <v>193</v>
      </c>
      <c r="BS115" s="77">
        <v>156</v>
      </c>
      <c r="BT115" s="77">
        <v>110</v>
      </c>
      <c r="BU115" s="77">
        <v>33</v>
      </c>
      <c r="BV115" s="77">
        <v>1</v>
      </c>
      <c r="BW115" s="77">
        <v>6</v>
      </c>
      <c r="BX115" s="77">
        <v>1</v>
      </c>
      <c r="BY115" s="77">
        <v>4</v>
      </c>
      <c r="BZ115" s="77">
        <v>1</v>
      </c>
      <c r="CA115" s="77">
        <v>4</v>
      </c>
    </row>
    <row r="116" spans="1:81">
      <c r="A116" s="74" t="s">
        <v>148</v>
      </c>
      <c r="B116" s="76">
        <v>202505</v>
      </c>
      <c r="C116" s="77">
        <v>6594</v>
      </c>
      <c r="D116" s="78">
        <v>59539.6</v>
      </c>
      <c r="E116" s="77">
        <v>6450</v>
      </c>
      <c r="AK116" s="77">
        <v>15</v>
      </c>
      <c r="AL116" s="77">
        <v>134</v>
      </c>
      <c r="AM116" s="77">
        <v>162</v>
      </c>
      <c r="AN116" s="77">
        <v>172</v>
      </c>
      <c r="AO116" s="77">
        <v>198</v>
      </c>
      <c r="AP116" s="77">
        <v>211</v>
      </c>
      <c r="AQ116" s="77">
        <v>212</v>
      </c>
      <c r="AR116" s="77">
        <v>208</v>
      </c>
      <c r="AS116" s="77">
        <v>251</v>
      </c>
      <c r="AT116" s="77">
        <v>263</v>
      </c>
      <c r="AU116" s="77">
        <v>246</v>
      </c>
      <c r="AV116" s="77">
        <v>235</v>
      </c>
      <c r="AW116" s="77">
        <v>220</v>
      </c>
      <c r="AX116" s="77">
        <v>224</v>
      </c>
      <c r="AY116" s="77">
        <v>192</v>
      </c>
      <c r="AZ116" s="77">
        <v>176</v>
      </c>
      <c r="BA116" s="77">
        <v>156</v>
      </c>
      <c r="BB116" s="77">
        <v>134</v>
      </c>
      <c r="BC116" s="77">
        <v>153</v>
      </c>
      <c r="BD116" s="77">
        <v>178</v>
      </c>
      <c r="BE116" s="77">
        <v>158</v>
      </c>
      <c r="BF116" s="77">
        <v>199</v>
      </c>
      <c r="BG116" s="77">
        <v>191</v>
      </c>
      <c r="BH116" s="77">
        <v>213</v>
      </c>
      <c r="BI116" s="77">
        <v>185</v>
      </c>
      <c r="BJ116" s="77">
        <v>201</v>
      </c>
      <c r="BK116" s="77">
        <v>194</v>
      </c>
      <c r="BL116" s="77">
        <v>165</v>
      </c>
      <c r="BM116" s="77">
        <v>211</v>
      </c>
      <c r="BN116" s="77">
        <v>186</v>
      </c>
      <c r="BO116" s="77">
        <v>158</v>
      </c>
      <c r="BP116" s="77">
        <v>150</v>
      </c>
      <c r="BQ116" s="77">
        <v>172</v>
      </c>
      <c r="BR116" s="77">
        <v>170</v>
      </c>
      <c r="BS116" s="77">
        <v>185</v>
      </c>
      <c r="BT116" s="77">
        <v>83</v>
      </c>
      <c r="BU116" s="77">
        <v>33</v>
      </c>
    </row>
    <row r="117" spans="1:81">
      <c r="A117" s="74" t="s">
        <v>148</v>
      </c>
      <c r="B117" s="76">
        <v>202506</v>
      </c>
      <c r="C117" s="77">
        <v>6721</v>
      </c>
      <c r="D117" s="78">
        <v>61474.25</v>
      </c>
      <c r="E117" s="77">
        <v>6574</v>
      </c>
      <c r="AK117" s="77">
        <v>13</v>
      </c>
      <c r="AL117" s="77">
        <v>123</v>
      </c>
      <c r="AM117" s="77">
        <v>165</v>
      </c>
      <c r="AN117" s="77">
        <v>177</v>
      </c>
      <c r="AO117" s="77">
        <v>207</v>
      </c>
      <c r="AP117" s="77">
        <v>235</v>
      </c>
      <c r="AQ117" s="77">
        <v>206</v>
      </c>
      <c r="AR117" s="77">
        <v>255</v>
      </c>
      <c r="AS117" s="77">
        <v>264</v>
      </c>
      <c r="AT117" s="77">
        <v>237</v>
      </c>
      <c r="AU117" s="77">
        <v>251</v>
      </c>
      <c r="AV117" s="77">
        <v>228</v>
      </c>
      <c r="AW117" s="77">
        <v>222</v>
      </c>
      <c r="AX117" s="77">
        <v>212</v>
      </c>
      <c r="AY117" s="77">
        <v>208</v>
      </c>
      <c r="AZ117" s="77">
        <v>147</v>
      </c>
      <c r="BA117" s="77">
        <v>146</v>
      </c>
      <c r="BB117" s="77">
        <v>158</v>
      </c>
      <c r="BC117" s="77">
        <v>167</v>
      </c>
      <c r="BD117" s="77">
        <v>173</v>
      </c>
      <c r="BE117" s="77">
        <v>197</v>
      </c>
      <c r="BF117" s="77">
        <v>209</v>
      </c>
      <c r="BG117" s="77">
        <v>196</v>
      </c>
      <c r="BH117" s="77">
        <v>230</v>
      </c>
      <c r="BI117" s="77">
        <v>207</v>
      </c>
      <c r="BJ117" s="77">
        <v>192</v>
      </c>
      <c r="BK117" s="77">
        <v>180</v>
      </c>
      <c r="BL117" s="77">
        <v>193</v>
      </c>
      <c r="BM117" s="77">
        <v>183</v>
      </c>
      <c r="BN117" s="77">
        <v>168</v>
      </c>
      <c r="BO117" s="77">
        <v>145</v>
      </c>
      <c r="BP117" s="77">
        <v>187</v>
      </c>
      <c r="BQ117" s="77">
        <v>165</v>
      </c>
      <c r="BR117" s="77">
        <v>174</v>
      </c>
      <c r="BS117" s="77">
        <v>154</v>
      </c>
      <c r="BT117" s="77">
        <v>121</v>
      </c>
      <c r="BU117" s="77">
        <v>26</v>
      </c>
    </row>
    <row r="118" spans="1:81">
      <c r="A118" s="74" t="s">
        <v>148</v>
      </c>
      <c r="B118" s="76">
        <v>202507</v>
      </c>
      <c r="C118" s="77">
        <v>7183</v>
      </c>
      <c r="D118" s="78">
        <v>65750.60000000001</v>
      </c>
      <c r="E118" s="77">
        <v>7022</v>
      </c>
      <c r="AK118" s="77">
        <v>28</v>
      </c>
      <c r="AL118" s="77">
        <v>146</v>
      </c>
      <c r="AM118" s="77">
        <v>215</v>
      </c>
      <c r="AN118" s="77">
        <v>171</v>
      </c>
      <c r="AO118" s="77">
        <v>239</v>
      </c>
      <c r="AP118" s="77">
        <v>233</v>
      </c>
      <c r="AQ118" s="77">
        <v>263</v>
      </c>
      <c r="AR118" s="77">
        <v>284</v>
      </c>
      <c r="AS118" s="77">
        <v>278</v>
      </c>
      <c r="AT118" s="77">
        <v>291</v>
      </c>
      <c r="AU118" s="77">
        <v>266</v>
      </c>
      <c r="AV118" s="77">
        <v>266</v>
      </c>
      <c r="AW118" s="77">
        <v>253</v>
      </c>
      <c r="AX118" s="77">
        <v>237</v>
      </c>
      <c r="AY118" s="77">
        <v>174</v>
      </c>
      <c r="AZ118" s="77">
        <v>194</v>
      </c>
      <c r="BA118" s="77">
        <v>179</v>
      </c>
      <c r="BB118" s="77">
        <v>151</v>
      </c>
      <c r="BC118" s="77">
        <v>162</v>
      </c>
      <c r="BD118" s="77">
        <v>184</v>
      </c>
      <c r="BE118" s="77">
        <v>186</v>
      </c>
      <c r="BF118" s="77">
        <v>178</v>
      </c>
      <c r="BG118" s="77">
        <v>226</v>
      </c>
      <c r="BH118" s="77">
        <v>195</v>
      </c>
      <c r="BI118" s="77">
        <v>217</v>
      </c>
      <c r="BJ118" s="77">
        <v>201</v>
      </c>
      <c r="BK118" s="77">
        <v>204</v>
      </c>
      <c r="BL118" s="77">
        <v>180</v>
      </c>
      <c r="BM118" s="77">
        <v>182</v>
      </c>
      <c r="BN118" s="77">
        <v>173</v>
      </c>
      <c r="BO118" s="77">
        <v>188</v>
      </c>
      <c r="BP118" s="77">
        <v>172</v>
      </c>
      <c r="BQ118" s="77">
        <v>184</v>
      </c>
      <c r="BR118" s="77">
        <v>155</v>
      </c>
      <c r="BS118" s="77">
        <v>178</v>
      </c>
      <c r="BT118" s="77">
        <v>106</v>
      </c>
      <c r="BU118" s="77">
        <v>44</v>
      </c>
    </row>
    <row r="119" spans="1:81">
      <c r="A119" s="74" t="s">
        <v>148</v>
      </c>
      <c r="B119" s="76">
        <v>202508</v>
      </c>
      <c r="C119" s="77">
        <v>6432</v>
      </c>
      <c r="D119" s="78">
        <v>56236.6167</v>
      </c>
      <c r="E119" s="77">
        <v>6301</v>
      </c>
      <c r="AK119" s="77">
        <v>21</v>
      </c>
      <c r="AL119" s="77">
        <v>141</v>
      </c>
      <c r="AM119" s="77">
        <v>164</v>
      </c>
      <c r="AN119" s="77">
        <v>155</v>
      </c>
      <c r="AO119" s="77">
        <v>202</v>
      </c>
      <c r="AP119" s="77">
        <v>197</v>
      </c>
      <c r="AQ119" s="77">
        <v>204</v>
      </c>
      <c r="AR119" s="77">
        <v>231</v>
      </c>
      <c r="AS119" s="77">
        <v>235</v>
      </c>
      <c r="AT119" s="77">
        <v>243</v>
      </c>
      <c r="AU119" s="77">
        <v>200</v>
      </c>
      <c r="AV119" s="77">
        <v>231</v>
      </c>
      <c r="AW119" s="77">
        <v>222</v>
      </c>
      <c r="AX119" s="77">
        <v>215</v>
      </c>
      <c r="AY119" s="77">
        <v>187</v>
      </c>
      <c r="AZ119" s="77">
        <v>175</v>
      </c>
      <c r="BA119" s="77">
        <v>145</v>
      </c>
      <c r="BB119" s="77">
        <v>138</v>
      </c>
      <c r="BC119" s="77">
        <v>153</v>
      </c>
      <c r="BD119" s="77">
        <v>146</v>
      </c>
      <c r="BE119" s="77">
        <v>186</v>
      </c>
      <c r="BF119" s="77">
        <v>215</v>
      </c>
      <c r="BG119" s="77">
        <v>212</v>
      </c>
      <c r="BH119" s="77">
        <v>191</v>
      </c>
      <c r="BI119" s="77">
        <v>184</v>
      </c>
      <c r="BJ119" s="77">
        <v>204</v>
      </c>
      <c r="BK119" s="77">
        <v>182</v>
      </c>
      <c r="BL119" s="77">
        <v>223</v>
      </c>
      <c r="BM119" s="77">
        <v>178</v>
      </c>
      <c r="BN119" s="77">
        <v>154</v>
      </c>
      <c r="BO119" s="77">
        <v>156</v>
      </c>
      <c r="BP119" s="77">
        <v>166</v>
      </c>
      <c r="BQ119" s="77">
        <v>158</v>
      </c>
      <c r="BR119" s="77">
        <v>169</v>
      </c>
      <c r="BS119" s="77">
        <v>139</v>
      </c>
      <c r="BT119" s="77">
        <v>88</v>
      </c>
      <c r="BU119" s="77">
        <v>22</v>
      </c>
    </row>
    <row r="120" spans="1:81">
      <c r="A120" s="74" t="s">
        <v>148</v>
      </c>
      <c r="B120" s="76">
        <v>202509</v>
      </c>
      <c r="C120" s="77">
        <v>6442</v>
      </c>
      <c r="D120" s="78">
        <v>61936.2167</v>
      </c>
      <c r="E120" s="77">
        <v>6305</v>
      </c>
      <c r="AK120" s="77">
        <v>13</v>
      </c>
      <c r="AL120" s="77">
        <v>132</v>
      </c>
      <c r="AM120" s="77">
        <v>161</v>
      </c>
      <c r="AN120" s="77">
        <v>145</v>
      </c>
      <c r="AO120" s="77">
        <v>201</v>
      </c>
      <c r="AP120" s="77">
        <v>225</v>
      </c>
      <c r="AQ120" s="77">
        <v>217</v>
      </c>
      <c r="AR120" s="77">
        <v>247</v>
      </c>
      <c r="AS120" s="77">
        <v>225</v>
      </c>
      <c r="AT120" s="77">
        <v>228</v>
      </c>
      <c r="AU120" s="77">
        <v>266</v>
      </c>
      <c r="AV120" s="77">
        <v>228</v>
      </c>
      <c r="AW120" s="77">
        <v>220</v>
      </c>
      <c r="AX120" s="77">
        <v>220</v>
      </c>
      <c r="AY120" s="77">
        <v>179</v>
      </c>
      <c r="AZ120" s="77">
        <v>156</v>
      </c>
      <c r="BA120" s="77">
        <v>147</v>
      </c>
      <c r="BB120" s="77">
        <v>144</v>
      </c>
      <c r="BC120" s="77">
        <v>152</v>
      </c>
      <c r="BD120" s="77">
        <v>175</v>
      </c>
      <c r="BE120" s="77">
        <v>176</v>
      </c>
      <c r="BF120" s="77">
        <v>209</v>
      </c>
      <c r="BG120" s="77">
        <v>167</v>
      </c>
      <c r="BH120" s="77">
        <v>223</v>
      </c>
      <c r="BI120" s="77">
        <v>200</v>
      </c>
      <c r="BJ120" s="77">
        <v>179</v>
      </c>
      <c r="BK120" s="77">
        <v>185</v>
      </c>
      <c r="BL120" s="77">
        <v>175</v>
      </c>
      <c r="BM120" s="77">
        <v>172</v>
      </c>
      <c r="BN120" s="77">
        <v>171</v>
      </c>
      <c r="BO120" s="77">
        <v>162</v>
      </c>
      <c r="BP120" s="77">
        <v>159</v>
      </c>
      <c r="BQ120" s="77">
        <v>176</v>
      </c>
      <c r="BR120" s="77">
        <v>150</v>
      </c>
      <c r="BS120" s="77">
        <v>139</v>
      </c>
      <c r="BT120" s="77">
        <v>94</v>
      </c>
      <c r="BU120" s="77">
        <v>23</v>
      </c>
      <c r="BV120" s="77">
        <v>1</v>
      </c>
    </row>
    <row r="121" spans="1:81">
      <c r="A121" s="74" t="s">
        <v>148</v>
      </c>
      <c r="B121" s="76">
        <v>202510</v>
      </c>
      <c r="C121" s="77">
        <v>6945</v>
      </c>
      <c r="D121" s="78">
        <v>65563.6167</v>
      </c>
      <c r="E121" s="77">
        <v>6788</v>
      </c>
      <c r="AK121" s="77">
        <v>17</v>
      </c>
      <c r="AL121" s="77">
        <v>132</v>
      </c>
      <c r="AM121" s="77">
        <v>162</v>
      </c>
      <c r="AN121" s="77">
        <v>183</v>
      </c>
      <c r="AO121" s="77">
        <v>191</v>
      </c>
      <c r="AP121" s="77">
        <v>210</v>
      </c>
      <c r="AQ121" s="77">
        <v>246</v>
      </c>
      <c r="AR121" s="77">
        <v>227</v>
      </c>
      <c r="AS121" s="77">
        <v>223</v>
      </c>
      <c r="AT121" s="77">
        <v>246</v>
      </c>
      <c r="AU121" s="77">
        <v>259</v>
      </c>
      <c r="AV121" s="77">
        <v>240</v>
      </c>
      <c r="AW121" s="77">
        <v>247</v>
      </c>
      <c r="AX121" s="77">
        <v>232</v>
      </c>
      <c r="AY121" s="77">
        <v>194</v>
      </c>
      <c r="AZ121" s="77">
        <v>197</v>
      </c>
      <c r="BA121" s="77">
        <v>151</v>
      </c>
      <c r="BB121" s="77">
        <v>193</v>
      </c>
      <c r="BC121" s="77">
        <v>152</v>
      </c>
      <c r="BD121" s="77">
        <v>161</v>
      </c>
      <c r="BE121" s="77">
        <v>233</v>
      </c>
      <c r="BF121" s="77">
        <v>229</v>
      </c>
      <c r="BG121" s="77">
        <v>218</v>
      </c>
      <c r="BH121" s="77">
        <v>230</v>
      </c>
      <c r="BI121" s="77">
        <v>213</v>
      </c>
      <c r="BJ121" s="77">
        <v>226</v>
      </c>
      <c r="BK121" s="77">
        <v>210</v>
      </c>
      <c r="BL121" s="77">
        <v>210</v>
      </c>
      <c r="BM121" s="77">
        <v>178</v>
      </c>
      <c r="BN121" s="77">
        <v>173</v>
      </c>
      <c r="BO121" s="77">
        <v>202</v>
      </c>
      <c r="BP121" s="77">
        <v>183</v>
      </c>
      <c r="BQ121" s="77">
        <v>176</v>
      </c>
      <c r="BR121" s="77">
        <v>153</v>
      </c>
      <c r="BS121" s="77">
        <v>144</v>
      </c>
      <c r="BT121" s="77">
        <v>88</v>
      </c>
      <c r="BU121" s="77">
        <v>16</v>
      </c>
    </row>
    <row r="122" spans="1:81">
      <c r="A122" s="74" t="s">
        <v>148</v>
      </c>
      <c r="B122" s="76">
        <v>202511</v>
      </c>
      <c r="C122" s="77">
        <v>6062</v>
      </c>
      <c r="D122" s="78">
        <v>53472.9833</v>
      </c>
      <c r="E122" s="77">
        <v>5929</v>
      </c>
      <c r="AK122" s="77">
        <v>21</v>
      </c>
      <c r="AL122" s="77">
        <v>94</v>
      </c>
      <c r="AM122" s="77">
        <v>129</v>
      </c>
      <c r="AN122" s="77">
        <v>144</v>
      </c>
      <c r="AO122" s="77">
        <v>155</v>
      </c>
      <c r="AP122" s="77">
        <v>172</v>
      </c>
      <c r="AQ122" s="77">
        <v>186</v>
      </c>
      <c r="AR122" s="77">
        <v>192</v>
      </c>
      <c r="AS122" s="77">
        <v>201</v>
      </c>
      <c r="AT122" s="77">
        <v>224</v>
      </c>
      <c r="AU122" s="77">
        <v>215</v>
      </c>
      <c r="AV122" s="77">
        <v>207</v>
      </c>
      <c r="AW122" s="77">
        <v>230</v>
      </c>
      <c r="AX122" s="77">
        <v>210</v>
      </c>
      <c r="AY122" s="77">
        <v>179</v>
      </c>
      <c r="AZ122" s="77">
        <v>173</v>
      </c>
      <c r="BA122" s="77">
        <v>153</v>
      </c>
      <c r="BB122" s="77">
        <v>145</v>
      </c>
      <c r="BC122" s="77">
        <v>141</v>
      </c>
      <c r="BD122" s="77">
        <v>187</v>
      </c>
      <c r="BE122" s="77">
        <v>197</v>
      </c>
      <c r="BF122" s="77">
        <v>173</v>
      </c>
      <c r="BG122" s="77">
        <v>196</v>
      </c>
      <c r="BH122" s="77">
        <v>221</v>
      </c>
      <c r="BI122" s="77">
        <v>192</v>
      </c>
      <c r="BJ122" s="77">
        <v>204</v>
      </c>
      <c r="BK122" s="77">
        <v>202</v>
      </c>
      <c r="BL122" s="77">
        <v>179</v>
      </c>
      <c r="BM122" s="77">
        <v>185</v>
      </c>
      <c r="BN122" s="77">
        <v>138</v>
      </c>
      <c r="BO122" s="77">
        <v>158</v>
      </c>
      <c r="BP122" s="77">
        <v>153</v>
      </c>
      <c r="BQ122" s="77">
        <v>148</v>
      </c>
      <c r="BR122" s="77">
        <v>143</v>
      </c>
      <c r="BS122" s="77">
        <v>115</v>
      </c>
      <c r="BT122" s="77">
        <v>76</v>
      </c>
      <c r="BU122" s="77">
        <v>24</v>
      </c>
    </row>
    <row r="123" spans="1:81">
      <c r="A123" s="74" t="s">
        <v>162</v>
      </c>
      <c r="B123" s="76">
        <v>202401</v>
      </c>
      <c r="C123" s="77">
        <v>3091</v>
      </c>
      <c r="D123" s="78">
        <v>31151.6333</v>
      </c>
      <c r="E123" s="77">
        <v>3018</v>
      </c>
      <c r="AL123" s="77">
        <v>1</v>
      </c>
      <c r="AM123" s="77">
        <v>5</v>
      </c>
      <c r="AN123" s="77">
        <v>56</v>
      </c>
      <c r="AO123" s="77">
        <v>57</v>
      </c>
      <c r="AP123" s="77">
        <v>66</v>
      </c>
      <c r="AQ123" s="77">
        <v>75</v>
      </c>
      <c r="AR123" s="77">
        <v>80</v>
      </c>
      <c r="AS123" s="77">
        <v>91</v>
      </c>
      <c r="AT123" s="77">
        <v>93</v>
      </c>
      <c r="AU123" s="77">
        <v>103</v>
      </c>
      <c r="AV123" s="77">
        <v>108</v>
      </c>
      <c r="AW123" s="77">
        <v>136</v>
      </c>
      <c r="AX123" s="77">
        <v>125</v>
      </c>
      <c r="AY123" s="77">
        <v>110</v>
      </c>
      <c r="AZ123" s="77">
        <v>103</v>
      </c>
      <c r="BA123" s="77">
        <v>96</v>
      </c>
      <c r="BB123" s="77">
        <v>88</v>
      </c>
      <c r="BC123" s="77">
        <v>96</v>
      </c>
      <c r="BD123" s="77">
        <v>79</v>
      </c>
      <c r="BE123" s="77">
        <v>95</v>
      </c>
      <c r="BF123" s="77">
        <v>72</v>
      </c>
      <c r="BG123" s="77">
        <v>99</v>
      </c>
      <c r="BH123" s="77">
        <v>111</v>
      </c>
      <c r="BI123" s="77">
        <v>97</v>
      </c>
      <c r="BJ123" s="77">
        <v>123</v>
      </c>
      <c r="BK123" s="77">
        <v>91</v>
      </c>
      <c r="BL123" s="77">
        <v>94</v>
      </c>
      <c r="BM123" s="77">
        <v>94</v>
      </c>
      <c r="BN123" s="77">
        <v>92</v>
      </c>
      <c r="BO123" s="77">
        <v>80</v>
      </c>
      <c r="BP123" s="77">
        <v>96</v>
      </c>
      <c r="BQ123" s="77">
        <v>81</v>
      </c>
      <c r="BR123" s="77">
        <v>84</v>
      </c>
      <c r="BS123" s="77">
        <v>70</v>
      </c>
      <c r="BT123" s="77">
        <v>72</v>
      </c>
      <c r="BU123" s="77">
        <v>38</v>
      </c>
      <c r="BV123" s="77">
        <v>28</v>
      </c>
      <c r="BW123" s="77">
        <v>6</v>
      </c>
    </row>
    <row r="124" spans="1:81">
      <c r="A124" s="74" t="s">
        <v>162</v>
      </c>
      <c r="B124" s="76">
        <v>202402</v>
      </c>
      <c r="C124" s="77">
        <v>3287</v>
      </c>
      <c r="D124" s="78">
        <v>31210.3333</v>
      </c>
      <c r="E124" s="77">
        <v>3213</v>
      </c>
      <c r="AM124" s="77">
        <v>4</v>
      </c>
      <c r="AN124" s="77">
        <v>68</v>
      </c>
      <c r="AO124" s="77">
        <v>67</v>
      </c>
      <c r="AP124" s="77">
        <v>86</v>
      </c>
      <c r="AQ124" s="77">
        <v>72</v>
      </c>
      <c r="AR124" s="77">
        <v>97</v>
      </c>
      <c r="AS124" s="77">
        <v>109</v>
      </c>
      <c r="AT124" s="77">
        <v>110</v>
      </c>
      <c r="AU124" s="77">
        <v>146</v>
      </c>
      <c r="AV124" s="77">
        <v>109</v>
      </c>
      <c r="AW124" s="77">
        <v>108</v>
      </c>
      <c r="AX124" s="77">
        <v>100</v>
      </c>
      <c r="AY124" s="77">
        <v>125</v>
      </c>
      <c r="AZ124" s="77">
        <v>114</v>
      </c>
      <c r="BA124" s="77">
        <v>91</v>
      </c>
      <c r="BB124" s="77">
        <v>90</v>
      </c>
      <c r="BC124" s="77">
        <v>98</v>
      </c>
      <c r="BD124" s="77">
        <v>81</v>
      </c>
      <c r="BE124" s="77">
        <v>92</v>
      </c>
      <c r="BF124" s="77">
        <v>77</v>
      </c>
      <c r="BG124" s="77">
        <v>110</v>
      </c>
      <c r="BH124" s="77">
        <v>102</v>
      </c>
      <c r="BI124" s="77">
        <v>116</v>
      </c>
      <c r="BJ124" s="77">
        <v>116</v>
      </c>
      <c r="BK124" s="77">
        <v>100</v>
      </c>
      <c r="BL124" s="77">
        <v>101</v>
      </c>
      <c r="BM124" s="77">
        <v>92</v>
      </c>
      <c r="BN124" s="77">
        <v>86</v>
      </c>
      <c r="BO124" s="77">
        <v>83</v>
      </c>
      <c r="BP124" s="77">
        <v>106</v>
      </c>
      <c r="BQ124" s="77">
        <v>104</v>
      </c>
      <c r="BR124" s="77">
        <v>87</v>
      </c>
      <c r="BS124" s="77">
        <v>77</v>
      </c>
      <c r="BT124" s="77">
        <v>69</v>
      </c>
      <c r="BU124" s="77">
        <v>56</v>
      </c>
      <c r="BV124" s="77">
        <v>30</v>
      </c>
      <c r="BW124" s="77">
        <v>7</v>
      </c>
      <c r="BX124" s="77">
        <v>1</v>
      </c>
    </row>
    <row r="125" spans="1:81">
      <c r="A125" s="74" t="s">
        <v>162</v>
      </c>
      <c r="B125" s="76">
        <v>202403</v>
      </c>
      <c r="C125" s="77">
        <v>4211</v>
      </c>
      <c r="D125" s="78">
        <v>35468.1333</v>
      </c>
      <c r="E125" s="77">
        <v>4124</v>
      </c>
      <c r="AL125" s="77">
        <v>3</v>
      </c>
      <c r="AM125" s="77">
        <v>7</v>
      </c>
      <c r="AN125" s="77">
        <v>87</v>
      </c>
      <c r="AO125" s="77">
        <v>79</v>
      </c>
      <c r="AP125" s="77">
        <v>90</v>
      </c>
      <c r="AQ125" s="77">
        <v>113</v>
      </c>
      <c r="AR125" s="77">
        <v>124</v>
      </c>
      <c r="AS125" s="77">
        <v>144</v>
      </c>
      <c r="AT125" s="77">
        <v>136</v>
      </c>
      <c r="AU125" s="77">
        <v>165</v>
      </c>
      <c r="AV125" s="77">
        <v>152</v>
      </c>
      <c r="AW125" s="77">
        <v>160</v>
      </c>
      <c r="AX125" s="77">
        <v>147</v>
      </c>
      <c r="AY125" s="77">
        <v>151</v>
      </c>
      <c r="AZ125" s="77">
        <v>118</v>
      </c>
      <c r="BA125" s="77">
        <v>133</v>
      </c>
      <c r="BB125" s="77">
        <v>111</v>
      </c>
      <c r="BC125" s="77">
        <v>122</v>
      </c>
      <c r="BD125" s="77">
        <v>97</v>
      </c>
      <c r="BE125" s="77">
        <v>114</v>
      </c>
      <c r="BF125" s="77">
        <v>122</v>
      </c>
      <c r="BG125" s="77">
        <v>129</v>
      </c>
      <c r="BH125" s="77">
        <v>125</v>
      </c>
      <c r="BI125" s="77">
        <v>131</v>
      </c>
      <c r="BJ125" s="77">
        <v>145</v>
      </c>
      <c r="BK125" s="77">
        <v>129</v>
      </c>
      <c r="BL125" s="77">
        <v>121</v>
      </c>
      <c r="BM125" s="77">
        <v>133</v>
      </c>
      <c r="BN125" s="77">
        <v>124</v>
      </c>
      <c r="BO125" s="77">
        <v>120</v>
      </c>
      <c r="BP125" s="77">
        <v>108</v>
      </c>
      <c r="BQ125" s="77">
        <v>114</v>
      </c>
      <c r="BR125" s="77">
        <v>105</v>
      </c>
      <c r="BS125" s="77">
        <v>120</v>
      </c>
      <c r="BT125" s="77">
        <v>91</v>
      </c>
      <c r="BU125" s="77">
        <v>86</v>
      </c>
      <c r="BV125" s="77">
        <v>42</v>
      </c>
      <c r="BW125" s="77">
        <v>8</v>
      </c>
      <c r="BX125" s="77">
        <v>2</v>
      </c>
      <c r="BY125" s="77">
        <v>1</v>
      </c>
      <c r="CB125" s="77">
        <v>1</v>
      </c>
      <c r="CC125" s="77">
        <v>1</v>
      </c>
    </row>
    <row r="126" spans="1:81">
      <c r="A126" s="74" t="s">
        <v>162</v>
      </c>
      <c r="B126" s="76">
        <v>202404</v>
      </c>
      <c r="C126" s="77">
        <v>3683</v>
      </c>
      <c r="D126" s="78">
        <v>33910.7333</v>
      </c>
      <c r="E126" s="77">
        <v>3605</v>
      </c>
      <c r="AM126" s="77">
        <v>12</v>
      </c>
      <c r="AN126" s="77">
        <v>97</v>
      </c>
      <c r="AO126" s="77">
        <v>64</v>
      </c>
      <c r="AP126" s="77">
        <v>90</v>
      </c>
      <c r="AQ126" s="77">
        <v>117</v>
      </c>
      <c r="AR126" s="77">
        <v>116</v>
      </c>
      <c r="AS126" s="77">
        <v>122</v>
      </c>
      <c r="AT126" s="77">
        <v>131</v>
      </c>
      <c r="AU126" s="77">
        <v>119</v>
      </c>
      <c r="AV126" s="77">
        <v>155</v>
      </c>
      <c r="AW126" s="77">
        <v>118</v>
      </c>
      <c r="AX126" s="77">
        <v>125</v>
      </c>
      <c r="AY126" s="77">
        <v>108</v>
      </c>
      <c r="AZ126" s="77">
        <v>114</v>
      </c>
      <c r="BA126" s="77">
        <v>118</v>
      </c>
      <c r="BB126" s="77">
        <v>83</v>
      </c>
      <c r="BC126" s="77">
        <v>112</v>
      </c>
      <c r="BD126" s="77">
        <v>93</v>
      </c>
      <c r="BE126" s="77">
        <v>79</v>
      </c>
      <c r="BF126" s="77">
        <v>86</v>
      </c>
      <c r="BG126" s="77">
        <v>117</v>
      </c>
      <c r="BH126" s="77">
        <v>108</v>
      </c>
      <c r="BI126" s="77">
        <v>140</v>
      </c>
      <c r="BJ126" s="77">
        <v>112</v>
      </c>
      <c r="BK126" s="77">
        <v>100</v>
      </c>
      <c r="BL126" s="77">
        <v>117</v>
      </c>
      <c r="BM126" s="77">
        <v>110</v>
      </c>
      <c r="BN126" s="77">
        <v>116</v>
      </c>
      <c r="BO126" s="77">
        <v>110</v>
      </c>
      <c r="BP126" s="77">
        <v>90</v>
      </c>
      <c r="BQ126" s="77">
        <v>91</v>
      </c>
      <c r="BR126" s="77">
        <v>82</v>
      </c>
      <c r="BS126" s="77">
        <v>91</v>
      </c>
      <c r="BT126" s="77">
        <v>99</v>
      </c>
      <c r="BU126" s="77">
        <v>86</v>
      </c>
      <c r="BV126" s="77">
        <v>36</v>
      </c>
      <c r="BW126" s="77">
        <v>16</v>
      </c>
      <c r="BZ126" s="77">
        <v>2</v>
      </c>
      <c r="CB126" s="77">
        <v>1</v>
      </c>
    </row>
    <row r="127" spans="1:81">
      <c r="A127" s="74" t="s">
        <v>162</v>
      </c>
      <c r="B127" s="76">
        <v>202405</v>
      </c>
      <c r="C127" s="77">
        <v>3138</v>
      </c>
      <c r="D127" s="78">
        <v>34049.0833</v>
      </c>
      <c r="E127" s="77">
        <v>3056</v>
      </c>
      <c r="AK127" s="77">
        <v>2</v>
      </c>
      <c r="AL127" s="77">
        <v>1</v>
      </c>
      <c r="AM127" s="77">
        <v>5</v>
      </c>
      <c r="AN127" s="77">
        <v>64</v>
      </c>
      <c r="AO127" s="77">
        <v>66</v>
      </c>
      <c r="AP127" s="77">
        <v>96</v>
      </c>
      <c r="AQ127" s="77">
        <v>82</v>
      </c>
      <c r="AR127" s="77">
        <v>98</v>
      </c>
      <c r="AS127" s="77">
        <v>100</v>
      </c>
      <c r="AT127" s="77">
        <v>100</v>
      </c>
      <c r="AU127" s="77">
        <v>101</v>
      </c>
      <c r="AV127" s="77">
        <v>117</v>
      </c>
      <c r="AW127" s="77">
        <v>112</v>
      </c>
      <c r="AX127" s="77">
        <v>116</v>
      </c>
      <c r="AY127" s="77">
        <v>87</v>
      </c>
      <c r="AZ127" s="77">
        <v>95</v>
      </c>
      <c r="BA127" s="77">
        <v>107</v>
      </c>
      <c r="BB127" s="77">
        <v>89</v>
      </c>
      <c r="BC127" s="77">
        <v>73</v>
      </c>
      <c r="BD127" s="77">
        <v>68</v>
      </c>
      <c r="BE127" s="77">
        <v>73</v>
      </c>
      <c r="BF127" s="77">
        <v>97</v>
      </c>
      <c r="BG127" s="77">
        <v>93</v>
      </c>
      <c r="BH127" s="77">
        <v>107</v>
      </c>
      <c r="BI127" s="77">
        <v>88</v>
      </c>
      <c r="BJ127" s="77">
        <v>91</v>
      </c>
      <c r="BK127" s="77">
        <v>99</v>
      </c>
      <c r="BL127" s="77">
        <v>109</v>
      </c>
      <c r="BM127" s="77">
        <v>101</v>
      </c>
      <c r="BN127" s="77">
        <v>105</v>
      </c>
      <c r="BO127" s="77">
        <v>97</v>
      </c>
      <c r="BP127" s="77">
        <v>79</v>
      </c>
      <c r="BQ127" s="77">
        <v>80</v>
      </c>
      <c r="BR127" s="77">
        <v>80</v>
      </c>
      <c r="BS127" s="77">
        <v>84</v>
      </c>
      <c r="BT127" s="77">
        <v>75</v>
      </c>
      <c r="BU127" s="77">
        <v>69</v>
      </c>
      <c r="BV127" s="77">
        <v>24</v>
      </c>
      <c r="BW127" s="77">
        <v>6</v>
      </c>
      <c r="BX127" s="77">
        <v>2</v>
      </c>
    </row>
    <row r="128" spans="1:81">
      <c r="A128" s="74" t="s">
        <v>162</v>
      </c>
      <c r="B128" s="76">
        <v>202406</v>
      </c>
      <c r="C128" s="77">
        <v>2925</v>
      </c>
      <c r="D128" s="78">
        <v>32223.45</v>
      </c>
      <c r="E128" s="77">
        <v>2845</v>
      </c>
      <c r="AL128" s="77">
        <v>4</v>
      </c>
      <c r="AM128" s="77">
        <v>4</v>
      </c>
      <c r="AN128" s="77">
        <v>47</v>
      </c>
      <c r="AO128" s="77">
        <v>67</v>
      </c>
      <c r="AP128" s="77">
        <v>80</v>
      </c>
      <c r="AQ128" s="77">
        <v>92</v>
      </c>
      <c r="AR128" s="77">
        <v>103</v>
      </c>
      <c r="AS128" s="77">
        <v>84</v>
      </c>
      <c r="AT128" s="77">
        <v>111</v>
      </c>
      <c r="AU128" s="77">
        <v>111</v>
      </c>
      <c r="AV128" s="77">
        <v>105</v>
      </c>
      <c r="AW128" s="77">
        <v>120</v>
      </c>
      <c r="AX128" s="77">
        <v>102</v>
      </c>
      <c r="AY128" s="77">
        <v>90</v>
      </c>
      <c r="AZ128" s="77">
        <v>104</v>
      </c>
      <c r="BA128" s="77">
        <v>90</v>
      </c>
      <c r="BB128" s="77">
        <v>83</v>
      </c>
      <c r="BC128" s="77">
        <v>77</v>
      </c>
      <c r="BD128" s="77">
        <v>54</v>
      </c>
      <c r="BE128" s="77">
        <v>87</v>
      </c>
      <c r="BF128" s="77">
        <v>78</v>
      </c>
      <c r="BG128" s="77">
        <v>99</v>
      </c>
      <c r="BH128" s="77">
        <v>103</v>
      </c>
      <c r="BI128" s="77">
        <v>100</v>
      </c>
      <c r="BJ128" s="77">
        <v>91</v>
      </c>
      <c r="BK128" s="77">
        <v>88</v>
      </c>
      <c r="BL128" s="77">
        <v>88</v>
      </c>
      <c r="BM128" s="77">
        <v>68</v>
      </c>
      <c r="BN128" s="77">
        <v>84</v>
      </c>
      <c r="BO128" s="77">
        <v>79</v>
      </c>
      <c r="BP128" s="77">
        <v>76</v>
      </c>
      <c r="BQ128" s="77">
        <v>73</v>
      </c>
      <c r="BR128" s="77">
        <v>70</v>
      </c>
      <c r="BS128" s="77">
        <v>68</v>
      </c>
      <c r="BT128" s="77">
        <v>67</v>
      </c>
      <c r="BU128" s="77">
        <v>47</v>
      </c>
      <c r="BV128" s="77">
        <v>23</v>
      </c>
      <c r="BW128" s="77">
        <v>7</v>
      </c>
      <c r="BX128" s="77">
        <v>1</v>
      </c>
    </row>
    <row r="129" spans="1:84">
      <c r="A129" s="74" t="s">
        <v>162</v>
      </c>
      <c r="B129" s="76">
        <v>202407</v>
      </c>
      <c r="C129" s="77">
        <v>3345</v>
      </c>
      <c r="D129" s="78">
        <v>40130.9167</v>
      </c>
      <c r="E129" s="77">
        <v>3257</v>
      </c>
      <c r="AL129" s="77">
        <v>1</v>
      </c>
      <c r="AM129" s="77">
        <v>5</v>
      </c>
      <c r="AN129" s="77">
        <v>64</v>
      </c>
      <c r="AO129" s="77">
        <v>81</v>
      </c>
      <c r="AP129" s="77">
        <v>84</v>
      </c>
      <c r="AQ129" s="77">
        <v>102</v>
      </c>
      <c r="AR129" s="77">
        <v>122</v>
      </c>
      <c r="AS129" s="77">
        <v>107</v>
      </c>
      <c r="AT129" s="77">
        <v>124</v>
      </c>
      <c r="AU129" s="77">
        <v>127</v>
      </c>
      <c r="AV129" s="77">
        <v>133</v>
      </c>
      <c r="AW129" s="77">
        <v>111</v>
      </c>
      <c r="AX129" s="77">
        <v>109</v>
      </c>
      <c r="AY129" s="77">
        <v>121</v>
      </c>
      <c r="AZ129" s="77">
        <v>112</v>
      </c>
      <c r="BA129" s="77">
        <v>106</v>
      </c>
      <c r="BB129" s="77">
        <v>101</v>
      </c>
      <c r="BC129" s="77">
        <v>74</v>
      </c>
      <c r="BD129" s="77">
        <v>76</v>
      </c>
      <c r="BE129" s="77">
        <v>75</v>
      </c>
      <c r="BF129" s="77">
        <v>110</v>
      </c>
      <c r="BG129" s="77">
        <v>100</v>
      </c>
      <c r="BH129" s="77">
        <v>97</v>
      </c>
      <c r="BI129" s="77">
        <v>116</v>
      </c>
      <c r="BJ129" s="77">
        <v>88</v>
      </c>
      <c r="BK129" s="77">
        <v>96</v>
      </c>
      <c r="BL129" s="77">
        <v>98</v>
      </c>
      <c r="BM129" s="77">
        <v>87</v>
      </c>
      <c r="BN129" s="77">
        <v>104</v>
      </c>
      <c r="BO129" s="77">
        <v>87</v>
      </c>
      <c r="BP129" s="77">
        <v>85</v>
      </c>
      <c r="BQ129" s="77">
        <v>84</v>
      </c>
      <c r="BR129" s="77">
        <v>79</v>
      </c>
      <c r="BS129" s="77">
        <v>99</v>
      </c>
      <c r="BT129" s="77">
        <v>86</v>
      </c>
      <c r="BU129" s="77">
        <v>55</v>
      </c>
      <c r="BV129" s="77">
        <v>34</v>
      </c>
      <c r="BW129" s="77">
        <v>4</v>
      </c>
      <c r="BX129" s="77">
        <v>1</v>
      </c>
    </row>
    <row r="130" spans="1:84">
      <c r="A130" s="74" t="s">
        <v>162</v>
      </c>
      <c r="B130" s="76">
        <v>202408</v>
      </c>
      <c r="C130" s="77">
        <v>3199</v>
      </c>
      <c r="D130" s="78">
        <v>36850.55</v>
      </c>
      <c r="E130" s="77">
        <v>3117</v>
      </c>
      <c r="AL130" s="77">
        <v>1</v>
      </c>
      <c r="AM130" s="77">
        <v>3</v>
      </c>
      <c r="AN130" s="77">
        <v>74</v>
      </c>
      <c r="AO130" s="77">
        <v>77</v>
      </c>
      <c r="AP130" s="77">
        <v>91</v>
      </c>
      <c r="AQ130" s="77">
        <v>126</v>
      </c>
      <c r="AR130" s="77">
        <v>100</v>
      </c>
      <c r="AS130" s="77">
        <v>123</v>
      </c>
      <c r="AT130" s="77">
        <v>121</v>
      </c>
      <c r="AU130" s="77">
        <v>127</v>
      </c>
      <c r="AV130" s="77">
        <v>109</v>
      </c>
      <c r="AW130" s="77">
        <v>113</v>
      </c>
      <c r="AX130" s="77">
        <v>105</v>
      </c>
      <c r="AY130" s="77">
        <v>119</v>
      </c>
      <c r="AZ130" s="77">
        <v>88</v>
      </c>
      <c r="BA130" s="77">
        <v>88</v>
      </c>
      <c r="BB130" s="77">
        <v>83</v>
      </c>
      <c r="BC130" s="77">
        <v>74</v>
      </c>
      <c r="BD130" s="77">
        <v>56</v>
      </c>
      <c r="BE130" s="77">
        <v>73</v>
      </c>
      <c r="BF130" s="77">
        <v>82</v>
      </c>
      <c r="BG130" s="77">
        <v>111</v>
      </c>
      <c r="BH130" s="77">
        <v>108</v>
      </c>
      <c r="BI130" s="77">
        <v>116</v>
      </c>
      <c r="BJ130" s="77">
        <v>100</v>
      </c>
      <c r="BK130" s="77">
        <v>89</v>
      </c>
      <c r="BL130" s="77">
        <v>114</v>
      </c>
      <c r="BM130" s="77">
        <v>83</v>
      </c>
      <c r="BN130" s="77">
        <v>88</v>
      </c>
      <c r="BO130" s="77">
        <v>79</v>
      </c>
      <c r="BP130" s="77">
        <v>83</v>
      </c>
      <c r="BQ130" s="77">
        <v>77</v>
      </c>
      <c r="BR130" s="77">
        <v>72</v>
      </c>
      <c r="BS130" s="77">
        <v>75</v>
      </c>
      <c r="BT130" s="77">
        <v>60</v>
      </c>
      <c r="BU130" s="77">
        <v>70</v>
      </c>
      <c r="BV130" s="77">
        <v>31</v>
      </c>
      <c r="BW130" s="77">
        <v>10</v>
      </c>
    </row>
    <row r="131" spans="1:84">
      <c r="A131" s="74" t="s">
        <v>162</v>
      </c>
      <c r="B131" s="76">
        <v>202409</v>
      </c>
      <c r="C131" s="77">
        <v>3096</v>
      </c>
      <c r="D131" s="78">
        <v>34098.2167</v>
      </c>
      <c r="E131" s="77">
        <v>3020</v>
      </c>
      <c r="AM131" s="77">
        <v>8</v>
      </c>
      <c r="AN131" s="77">
        <v>56</v>
      </c>
      <c r="AO131" s="77">
        <v>68</v>
      </c>
      <c r="AP131" s="77">
        <v>77</v>
      </c>
      <c r="AQ131" s="77">
        <v>121</v>
      </c>
      <c r="AR131" s="77">
        <v>111</v>
      </c>
      <c r="AS131" s="77">
        <v>93</v>
      </c>
      <c r="AT131" s="77">
        <v>132</v>
      </c>
      <c r="AU131" s="77">
        <v>124</v>
      </c>
      <c r="AV131" s="77">
        <v>119</v>
      </c>
      <c r="AW131" s="77">
        <v>95</v>
      </c>
      <c r="AX131" s="77">
        <v>107</v>
      </c>
      <c r="AY131" s="77">
        <v>114</v>
      </c>
      <c r="AZ131" s="77">
        <v>108</v>
      </c>
      <c r="BA131" s="77">
        <v>94</v>
      </c>
      <c r="BB131" s="77">
        <v>67</v>
      </c>
      <c r="BC131" s="77">
        <v>85</v>
      </c>
      <c r="BD131" s="77">
        <v>54</v>
      </c>
      <c r="BE131" s="77">
        <v>85</v>
      </c>
      <c r="BF131" s="77">
        <v>83</v>
      </c>
      <c r="BG131" s="77">
        <v>77</v>
      </c>
      <c r="BH131" s="77">
        <v>89</v>
      </c>
      <c r="BI131" s="77">
        <v>103</v>
      </c>
      <c r="BJ131" s="77">
        <v>106</v>
      </c>
      <c r="BK131" s="77">
        <v>91</v>
      </c>
      <c r="BL131" s="77">
        <v>82</v>
      </c>
      <c r="BM131" s="77">
        <v>93</v>
      </c>
      <c r="BN131" s="77">
        <v>70</v>
      </c>
      <c r="BO131" s="77">
        <v>72</v>
      </c>
      <c r="BP131" s="77">
        <v>107</v>
      </c>
      <c r="BQ131" s="77">
        <v>81</v>
      </c>
      <c r="BR131" s="77">
        <v>68</v>
      </c>
      <c r="BS131" s="77">
        <v>77</v>
      </c>
      <c r="BT131" s="77">
        <v>90</v>
      </c>
      <c r="BU131" s="77">
        <v>50</v>
      </c>
      <c r="BV131" s="77">
        <v>30</v>
      </c>
      <c r="BW131" s="77">
        <v>9</v>
      </c>
    </row>
    <row r="132" spans="1:84">
      <c r="A132" s="74" t="s">
        <v>162</v>
      </c>
      <c r="B132" s="76">
        <v>202410</v>
      </c>
      <c r="C132" s="77">
        <v>3769</v>
      </c>
      <c r="D132" s="78">
        <v>40569.5333</v>
      </c>
      <c r="E132" s="77">
        <v>3680</v>
      </c>
      <c r="AL132" s="77">
        <v>4</v>
      </c>
      <c r="AM132" s="77">
        <v>7</v>
      </c>
      <c r="AN132" s="77">
        <v>83</v>
      </c>
      <c r="AO132" s="77">
        <v>86</v>
      </c>
      <c r="AP132" s="77">
        <v>88</v>
      </c>
      <c r="AQ132" s="77">
        <v>108</v>
      </c>
      <c r="AR132" s="77">
        <v>117</v>
      </c>
      <c r="AS132" s="77">
        <v>140</v>
      </c>
      <c r="AT132" s="77">
        <v>129</v>
      </c>
      <c r="AU132" s="77">
        <v>137</v>
      </c>
      <c r="AV132" s="77">
        <v>141</v>
      </c>
      <c r="AW132" s="77">
        <v>147</v>
      </c>
      <c r="AX132" s="77">
        <v>136</v>
      </c>
      <c r="AY132" s="77">
        <v>141</v>
      </c>
      <c r="AZ132" s="77">
        <v>125</v>
      </c>
      <c r="BA132" s="77">
        <v>103</v>
      </c>
      <c r="BB132" s="77">
        <v>87</v>
      </c>
      <c r="BC132" s="77">
        <v>102</v>
      </c>
      <c r="BD132" s="77">
        <v>81</v>
      </c>
      <c r="BE132" s="77">
        <v>98</v>
      </c>
      <c r="BF132" s="77">
        <v>102</v>
      </c>
      <c r="BG132" s="77">
        <v>109</v>
      </c>
      <c r="BH132" s="77">
        <v>120</v>
      </c>
      <c r="BI132" s="77">
        <v>125</v>
      </c>
      <c r="BJ132" s="77">
        <v>131</v>
      </c>
      <c r="BK132" s="77">
        <v>112</v>
      </c>
      <c r="BL132" s="77">
        <v>103</v>
      </c>
      <c r="BM132" s="77">
        <v>97</v>
      </c>
      <c r="BN132" s="77">
        <v>100</v>
      </c>
      <c r="BO132" s="77">
        <v>94</v>
      </c>
      <c r="BP132" s="77">
        <v>93</v>
      </c>
      <c r="BQ132" s="77">
        <v>102</v>
      </c>
      <c r="BR132" s="77">
        <v>120</v>
      </c>
      <c r="BS132" s="77">
        <v>80</v>
      </c>
      <c r="BT132" s="77">
        <v>100</v>
      </c>
      <c r="BU132" s="77">
        <v>78</v>
      </c>
      <c r="BV132" s="77">
        <v>41</v>
      </c>
      <c r="BW132" s="77">
        <v>2</v>
      </c>
    </row>
    <row r="133" spans="1:84">
      <c r="A133" s="74" t="s">
        <v>162</v>
      </c>
      <c r="B133" s="76">
        <v>202411</v>
      </c>
      <c r="C133" s="77">
        <v>3381</v>
      </c>
      <c r="D133" s="78">
        <v>37429.3167</v>
      </c>
      <c r="E133" s="77">
        <v>3300</v>
      </c>
      <c r="AL133" s="77">
        <v>1</v>
      </c>
      <c r="AM133" s="77">
        <v>2</v>
      </c>
      <c r="AN133" s="77">
        <v>55</v>
      </c>
      <c r="AO133" s="77">
        <v>58</v>
      </c>
      <c r="AP133" s="77">
        <v>68</v>
      </c>
      <c r="AQ133" s="77">
        <v>87</v>
      </c>
      <c r="AR133" s="77">
        <v>93</v>
      </c>
      <c r="AS133" s="77">
        <v>111</v>
      </c>
      <c r="AT133" s="77">
        <v>138</v>
      </c>
      <c r="AU133" s="77">
        <v>128</v>
      </c>
      <c r="AV133" s="77">
        <v>121</v>
      </c>
      <c r="AW133" s="77">
        <v>131</v>
      </c>
      <c r="AX133" s="77">
        <v>121</v>
      </c>
      <c r="AY133" s="77">
        <v>121</v>
      </c>
      <c r="AZ133" s="77">
        <v>113</v>
      </c>
      <c r="BA133" s="77">
        <v>118</v>
      </c>
      <c r="BB133" s="77">
        <v>91</v>
      </c>
      <c r="BC133" s="77">
        <v>80</v>
      </c>
      <c r="BD133" s="77">
        <v>93</v>
      </c>
      <c r="BE133" s="77">
        <v>83</v>
      </c>
      <c r="BF133" s="77">
        <v>86</v>
      </c>
      <c r="BG133" s="77">
        <v>103</v>
      </c>
      <c r="BH133" s="77">
        <v>118</v>
      </c>
      <c r="BI133" s="77">
        <v>118</v>
      </c>
      <c r="BJ133" s="77">
        <v>114</v>
      </c>
      <c r="BK133" s="77">
        <v>97</v>
      </c>
      <c r="BL133" s="77">
        <v>117</v>
      </c>
      <c r="BM133" s="77">
        <v>104</v>
      </c>
      <c r="BN133" s="77">
        <v>88</v>
      </c>
      <c r="BO133" s="77">
        <v>101</v>
      </c>
      <c r="BP133" s="77">
        <v>86</v>
      </c>
      <c r="BQ133" s="77">
        <v>88</v>
      </c>
      <c r="BR133" s="77">
        <v>83</v>
      </c>
      <c r="BS133" s="77">
        <v>78</v>
      </c>
      <c r="BT133" s="77">
        <v>78</v>
      </c>
      <c r="BU133" s="77">
        <v>63</v>
      </c>
      <c r="BV133" s="77">
        <v>39</v>
      </c>
      <c r="BW133" s="77">
        <v>7</v>
      </c>
    </row>
    <row r="134" spans="1:84">
      <c r="A134" s="74" t="s">
        <v>162</v>
      </c>
      <c r="B134" s="76">
        <v>202412</v>
      </c>
      <c r="C134" s="77">
        <v>3419</v>
      </c>
      <c r="D134" s="78">
        <v>37858.1333</v>
      </c>
      <c r="E134" s="77">
        <v>3338</v>
      </c>
      <c r="AL134" s="77">
        <v>1</v>
      </c>
      <c r="AM134" s="77">
        <v>4</v>
      </c>
      <c r="AN134" s="77">
        <v>53</v>
      </c>
      <c r="AO134" s="77">
        <v>62</v>
      </c>
      <c r="AP134" s="77">
        <v>75</v>
      </c>
      <c r="AQ134" s="77">
        <v>117</v>
      </c>
      <c r="AR134" s="77">
        <v>105</v>
      </c>
      <c r="AS134" s="77">
        <v>114</v>
      </c>
      <c r="AT134" s="77">
        <v>118</v>
      </c>
      <c r="AU134" s="77">
        <v>125</v>
      </c>
      <c r="AV134" s="77">
        <v>124</v>
      </c>
      <c r="AW134" s="77">
        <v>116</v>
      </c>
      <c r="AX134" s="77">
        <v>117</v>
      </c>
      <c r="AY134" s="77">
        <v>118</v>
      </c>
      <c r="AZ134" s="77">
        <v>111</v>
      </c>
      <c r="BA134" s="77">
        <v>115</v>
      </c>
      <c r="BB134" s="77">
        <v>90</v>
      </c>
      <c r="BC134" s="77">
        <v>78</v>
      </c>
      <c r="BD134" s="77">
        <v>80</v>
      </c>
      <c r="BE134" s="77">
        <v>90</v>
      </c>
      <c r="BF134" s="77">
        <v>80</v>
      </c>
      <c r="BG134" s="77">
        <v>104</v>
      </c>
      <c r="BH134" s="77">
        <v>127</v>
      </c>
      <c r="BI134" s="77">
        <v>108</v>
      </c>
      <c r="BJ134" s="77">
        <v>126</v>
      </c>
      <c r="BK134" s="77">
        <v>117</v>
      </c>
      <c r="BL134" s="77">
        <v>97</v>
      </c>
      <c r="BM134" s="77">
        <v>91</v>
      </c>
      <c r="BN134" s="77">
        <v>100</v>
      </c>
      <c r="BO134" s="77">
        <v>109</v>
      </c>
      <c r="BP134" s="77">
        <v>86</v>
      </c>
      <c r="BQ134" s="77">
        <v>75</v>
      </c>
      <c r="BR134" s="77">
        <v>89</v>
      </c>
      <c r="BS134" s="77">
        <v>97</v>
      </c>
      <c r="BT134" s="77">
        <v>83</v>
      </c>
      <c r="BU134" s="77">
        <v>71</v>
      </c>
      <c r="BV134" s="77">
        <v>39</v>
      </c>
      <c r="BW134" s="77">
        <v>7</v>
      </c>
    </row>
    <row r="135" spans="1:84">
      <c r="A135" s="74" t="s">
        <v>162</v>
      </c>
      <c r="B135" s="76">
        <v>202501</v>
      </c>
      <c r="C135" s="77">
        <v>3943</v>
      </c>
      <c r="D135" s="78">
        <v>36311.3667</v>
      </c>
      <c r="E135" s="77">
        <v>3866</v>
      </c>
      <c r="AL135" s="77">
        <v>2</v>
      </c>
      <c r="AM135" s="77">
        <v>4</v>
      </c>
      <c r="AN135" s="77">
        <v>62</v>
      </c>
      <c r="AO135" s="77">
        <v>70</v>
      </c>
      <c r="AP135" s="77">
        <v>82</v>
      </c>
      <c r="AQ135" s="77">
        <v>107</v>
      </c>
      <c r="AR135" s="77">
        <v>105</v>
      </c>
      <c r="AS135" s="77">
        <v>127</v>
      </c>
      <c r="AT135" s="77">
        <v>118</v>
      </c>
      <c r="AU135" s="77">
        <v>137</v>
      </c>
      <c r="AV135" s="77">
        <v>133</v>
      </c>
      <c r="AW135" s="77">
        <v>125</v>
      </c>
      <c r="AX135" s="77">
        <v>131</v>
      </c>
      <c r="AY135" s="77">
        <v>135</v>
      </c>
      <c r="AZ135" s="77">
        <v>111</v>
      </c>
      <c r="BA135" s="77">
        <v>115</v>
      </c>
      <c r="BB135" s="77">
        <v>109</v>
      </c>
      <c r="BC135" s="77">
        <v>101</v>
      </c>
      <c r="BD135" s="77">
        <v>103</v>
      </c>
      <c r="BE135" s="77">
        <v>106</v>
      </c>
      <c r="BF135" s="77">
        <v>115</v>
      </c>
      <c r="BG135" s="77">
        <v>111</v>
      </c>
      <c r="BH135" s="77">
        <v>118</v>
      </c>
      <c r="BI135" s="77">
        <v>141</v>
      </c>
      <c r="BJ135" s="77">
        <v>137</v>
      </c>
      <c r="BK135" s="77">
        <v>143</v>
      </c>
      <c r="BL135" s="77">
        <v>139</v>
      </c>
      <c r="BM135" s="77">
        <v>127</v>
      </c>
      <c r="BN135" s="77">
        <v>121</v>
      </c>
      <c r="BO135" s="77">
        <v>116</v>
      </c>
      <c r="BP135" s="77">
        <v>115</v>
      </c>
      <c r="BQ135" s="77">
        <v>117</v>
      </c>
      <c r="BR135" s="77">
        <v>109</v>
      </c>
      <c r="BS135" s="77">
        <v>111</v>
      </c>
      <c r="BT135" s="77">
        <v>105</v>
      </c>
      <c r="BU135" s="77">
        <v>82</v>
      </c>
      <c r="BV135" s="77">
        <v>40</v>
      </c>
      <c r="BW135" s="77">
        <v>12</v>
      </c>
      <c r="BX135" s="77">
        <v>1</v>
      </c>
    </row>
    <row r="136" spans="1:84">
      <c r="A136" s="74" t="s">
        <v>162</v>
      </c>
      <c r="B136" s="76">
        <v>202502</v>
      </c>
      <c r="C136" s="77">
        <v>3705</v>
      </c>
      <c r="D136" s="78">
        <v>34931.75</v>
      </c>
      <c r="E136" s="77">
        <v>3627</v>
      </c>
      <c r="AM136" s="77">
        <v>4</v>
      </c>
      <c r="AN136" s="77">
        <v>41</v>
      </c>
      <c r="AO136" s="77">
        <v>71</v>
      </c>
      <c r="AP136" s="77">
        <v>90</v>
      </c>
      <c r="AQ136" s="77">
        <v>106</v>
      </c>
      <c r="AR136" s="77">
        <v>99</v>
      </c>
      <c r="AS136" s="77">
        <v>111</v>
      </c>
      <c r="AT136" s="77">
        <v>127</v>
      </c>
      <c r="AU136" s="77">
        <v>123</v>
      </c>
      <c r="AV136" s="77">
        <v>136</v>
      </c>
      <c r="AW136" s="77">
        <v>134</v>
      </c>
      <c r="AX136" s="77">
        <v>145</v>
      </c>
      <c r="AY136" s="77">
        <v>145</v>
      </c>
      <c r="AZ136" s="77">
        <v>109</v>
      </c>
      <c r="BA136" s="77">
        <v>127</v>
      </c>
      <c r="BB136" s="77">
        <v>105</v>
      </c>
      <c r="BC136" s="77">
        <v>80</v>
      </c>
      <c r="BD136" s="77">
        <v>87</v>
      </c>
      <c r="BE136" s="77">
        <v>102</v>
      </c>
      <c r="BF136" s="77">
        <v>98</v>
      </c>
      <c r="BG136" s="77">
        <v>118</v>
      </c>
      <c r="BH136" s="77">
        <v>119</v>
      </c>
      <c r="BI136" s="77">
        <v>134</v>
      </c>
      <c r="BJ136" s="77">
        <v>115</v>
      </c>
      <c r="BK136" s="77">
        <v>106</v>
      </c>
      <c r="BL136" s="77">
        <v>99</v>
      </c>
      <c r="BM136" s="77">
        <v>110</v>
      </c>
      <c r="BN136" s="77">
        <v>104</v>
      </c>
      <c r="BO136" s="77">
        <v>104</v>
      </c>
      <c r="BP136" s="77">
        <v>102</v>
      </c>
      <c r="BQ136" s="77">
        <v>118</v>
      </c>
      <c r="BR136" s="77">
        <v>105</v>
      </c>
      <c r="BS136" s="77">
        <v>97</v>
      </c>
      <c r="BT136" s="77">
        <v>98</v>
      </c>
      <c r="BU136" s="77">
        <v>73</v>
      </c>
      <c r="BV136" s="77">
        <v>50</v>
      </c>
      <c r="BW136" s="77">
        <v>12</v>
      </c>
      <c r="BX136" s="77">
        <v>1</v>
      </c>
    </row>
    <row r="137" spans="1:84">
      <c r="A137" s="74" t="s">
        <v>162</v>
      </c>
      <c r="B137" s="76">
        <v>202503</v>
      </c>
      <c r="C137" s="77">
        <v>5004</v>
      </c>
      <c r="D137" s="78">
        <v>43508.55</v>
      </c>
      <c r="E137" s="77">
        <v>4906</v>
      </c>
      <c r="AL137" s="77">
        <v>1</v>
      </c>
      <c r="AM137" s="77">
        <v>8</v>
      </c>
      <c r="AN137" s="77">
        <v>87</v>
      </c>
      <c r="AO137" s="77">
        <v>110</v>
      </c>
      <c r="AP137" s="77">
        <v>113</v>
      </c>
      <c r="AQ137" s="77">
        <v>117</v>
      </c>
      <c r="AR137" s="77">
        <v>140</v>
      </c>
      <c r="AS137" s="77">
        <v>155</v>
      </c>
      <c r="AT137" s="77">
        <v>166</v>
      </c>
      <c r="AU137" s="77">
        <v>155</v>
      </c>
      <c r="AV137" s="77">
        <v>186</v>
      </c>
      <c r="AW137" s="77">
        <v>201</v>
      </c>
      <c r="AX137" s="77">
        <v>219</v>
      </c>
      <c r="AY137" s="77">
        <v>162</v>
      </c>
      <c r="AZ137" s="77">
        <v>160</v>
      </c>
      <c r="BA137" s="77">
        <v>174</v>
      </c>
      <c r="BB137" s="77">
        <v>148</v>
      </c>
      <c r="BC137" s="77">
        <v>124</v>
      </c>
      <c r="BD137" s="77">
        <v>132</v>
      </c>
      <c r="BE137" s="77">
        <v>143</v>
      </c>
      <c r="BF137" s="77">
        <v>116</v>
      </c>
      <c r="BG137" s="77">
        <v>156</v>
      </c>
      <c r="BH137" s="77">
        <v>150</v>
      </c>
      <c r="BI137" s="77">
        <v>144</v>
      </c>
      <c r="BJ137" s="77">
        <v>138</v>
      </c>
      <c r="BK137" s="77">
        <v>169</v>
      </c>
      <c r="BL137" s="77">
        <v>168</v>
      </c>
      <c r="BM137" s="77">
        <v>139</v>
      </c>
      <c r="BN137" s="77">
        <v>131</v>
      </c>
      <c r="BO137" s="77">
        <v>136</v>
      </c>
      <c r="BP137" s="77">
        <v>148</v>
      </c>
      <c r="BQ137" s="77">
        <v>137</v>
      </c>
      <c r="BR137" s="77">
        <v>130</v>
      </c>
      <c r="BS137" s="77">
        <v>130</v>
      </c>
      <c r="BT137" s="77">
        <v>117</v>
      </c>
      <c r="BU137" s="77">
        <v>95</v>
      </c>
      <c r="BV137" s="77">
        <v>68</v>
      </c>
      <c r="BW137" s="77">
        <v>19</v>
      </c>
      <c r="BX137" s="77">
        <v>2</v>
      </c>
      <c r="BY137" s="77">
        <v>4</v>
      </c>
      <c r="CA137" s="77">
        <v>1</v>
      </c>
      <c r="CB137" s="77">
        <v>1</v>
      </c>
      <c r="CC137" s="77">
        <v>4</v>
      </c>
    </row>
    <row r="138" spans="1:84">
      <c r="A138" s="74" t="s">
        <v>162</v>
      </c>
      <c r="B138" s="76">
        <v>202504</v>
      </c>
      <c r="C138" s="77">
        <v>4516</v>
      </c>
      <c r="D138" s="78">
        <v>41302.2333</v>
      </c>
      <c r="E138" s="77">
        <v>4424</v>
      </c>
      <c r="AM138" s="77">
        <v>10</v>
      </c>
      <c r="AN138" s="77">
        <v>99</v>
      </c>
      <c r="AO138" s="77">
        <v>103</v>
      </c>
      <c r="AP138" s="77">
        <v>113</v>
      </c>
      <c r="AQ138" s="77">
        <v>109</v>
      </c>
      <c r="AR138" s="77">
        <v>128</v>
      </c>
      <c r="AS138" s="77">
        <v>161</v>
      </c>
      <c r="AT138" s="77">
        <v>154</v>
      </c>
      <c r="AU138" s="77">
        <v>163</v>
      </c>
      <c r="AV138" s="77">
        <v>154</v>
      </c>
      <c r="AW138" s="77">
        <v>165</v>
      </c>
      <c r="AX138" s="77">
        <v>164</v>
      </c>
      <c r="AY138" s="77">
        <v>162</v>
      </c>
      <c r="AZ138" s="77">
        <v>123</v>
      </c>
      <c r="BA138" s="77">
        <v>127</v>
      </c>
      <c r="BB138" s="77">
        <v>95</v>
      </c>
      <c r="BC138" s="77">
        <v>118</v>
      </c>
      <c r="BD138" s="77">
        <v>105</v>
      </c>
      <c r="BE138" s="77">
        <v>119</v>
      </c>
      <c r="BF138" s="77">
        <v>124</v>
      </c>
      <c r="BG138" s="77">
        <v>153</v>
      </c>
      <c r="BH138" s="77">
        <v>141</v>
      </c>
      <c r="BI138" s="77">
        <v>136</v>
      </c>
      <c r="BJ138" s="77">
        <v>156</v>
      </c>
      <c r="BK138" s="77">
        <v>143</v>
      </c>
      <c r="BL138" s="77">
        <v>131</v>
      </c>
      <c r="BM138" s="77">
        <v>131</v>
      </c>
      <c r="BN138" s="77">
        <v>124</v>
      </c>
      <c r="BO138" s="77">
        <v>123</v>
      </c>
      <c r="BP138" s="77">
        <v>108</v>
      </c>
      <c r="BQ138" s="77">
        <v>115</v>
      </c>
      <c r="BR138" s="77">
        <v>131</v>
      </c>
      <c r="BS138" s="77">
        <v>98</v>
      </c>
      <c r="BT138" s="77">
        <v>139</v>
      </c>
      <c r="BU138" s="77">
        <v>113</v>
      </c>
      <c r="BV138" s="77">
        <v>61</v>
      </c>
      <c r="BW138" s="77">
        <v>12</v>
      </c>
      <c r="BX138" s="77">
        <v>2</v>
      </c>
      <c r="BY138" s="77">
        <v>1</v>
      </c>
      <c r="BZ138" s="77">
        <v>2</v>
      </c>
    </row>
    <row r="139" spans="1:84">
      <c r="A139" s="74" t="s">
        <v>162</v>
      </c>
      <c r="B139" s="76">
        <v>202505</v>
      </c>
      <c r="C139" s="77">
        <v>3876</v>
      </c>
      <c r="D139" s="78">
        <v>37867.4667</v>
      </c>
      <c r="E139" s="77">
        <v>3791</v>
      </c>
      <c r="AK139" s="77">
        <v>1</v>
      </c>
      <c r="AL139" s="77">
        <v>1</v>
      </c>
      <c r="AM139" s="77">
        <v>1</v>
      </c>
      <c r="AN139" s="77">
        <v>60</v>
      </c>
      <c r="AO139" s="77">
        <v>96</v>
      </c>
      <c r="AP139" s="77">
        <v>87</v>
      </c>
      <c r="AQ139" s="77">
        <v>124</v>
      </c>
      <c r="AR139" s="77">
        <v>129</v>
      </c>
      <c r="AS139" s="77">
        <v>138</v>
      </c>
      <c r="AT139" s="77">
        <v>148</v>
      </c>
      <c r="AU139" s="77">
        <v>171</v>
      </c>
      <c r="AV139" s="77">
        <v>139</v>
      </c>
      <c r="AW139" s="77">
        <v>138</v>
      </c>
      <c r="AX139" s="77">
        <v>130</v>
      </c>
      <c r="AY139" s="77">
        <v>134</v>
      </c>
      <c r="AZ139" s="77">
        <v>133</v>
      </c>
      <c r="BA139" s="77">
        <v>110</v>
      </c>
      <c r="BB139" s="77">
        <v>90</v>
      </c>
      <c r="BC139" s="77">
        <v>94</v>
      </c>
      <c r="BD139" s="77">
        <v>86</v>
      </c>
      <c r="BE139" s="77">
        <v>86</v>
      </c>
      <c r="BF139" s="77">
        <v>90</v>
      </c>
      <c r="BG139" s="77">
        <v>114</v>
      </c>
      <c r="BH139" s="77">
        <v>125</v>
      </c>
      <c r="BI139" s="77">
        <v>117</v>
      </c>
      <c r="BJ139" s="77">
        <v>120</v>
      </c>
      <c r="BK139" s="77">
        <v>122</v>
      </c>
      <c r="BL139" s="77">
        <v>115</v>
      </c>
      <c r="BM139" s="77">
        <v>108</v>
      </c>
      <c r="BN139" s="77">
        <v>91</v>
      </c>
      <c r="BO139" s="77">
        <v>124</v>
      </c>
      <c r="BP139" s="77">
        <v>104</v>
      </c>
      <c r="BQ139" s="77">
        <v>108</v>
      </c>
      <c r="BR139" s="77">
        <v>98</v>
      </c>
      <c r="BS139" s="77">
        <v>106</v>
      </c>
      <c r="BT139" s="77">
        <v>97</v>
      </c>
      <c r="BU139" s="77">
        <v>79</v>
      </c>
      <c r="BV139" s="77">
        <v>49</v>
      </c>
      <c r="BW139" s="77">
        <v>13</v>
      </c>
    </row>
    <row r="140" spans="1:84">
      <c r="A140" s="74" t="s">
        <v>162</v>
      </c>
      <c r="B140" s="76">
        <v>202506</v>
      </c>
      <c r="C140" s="77">
        <v>4046</v>
      </c>
      <c r="D140" s="78">
        <v>39219.1167</v>
      </c>
      <c r="E140" s="77">
        <v>3959</v>
      </c>
      <c r="AL140" s="77">
        <v>1</v>
      </c>
      <c r="AM140" s="77">
        <v>4</v>
      </c>
      <c r="AN140" s="77">
        <v>55</v>
      </c>
      <c r="AO140" s="77">
        <v>88</v>
      </c>
      <c r="AP140" s="77">
        <v>91</v>
      </c>
      <c r="AQ140" s="77">
        <v>128</v>
      </c>
      <c r="AR140" s="77">
        <v>117</v>
      </c>
      <c r="AS140" s="77">
        <v>131</v>
      </c>
      <c r="AT140" s="77">
        <v>128</v>
      </c>
      <c r="AU140" s="77">
        <v>150</v>
      </c>
      <c r="AV140" s="77">
        <v>162</v>
      </c>
      <c r="AW140" s="77">
        <v>153</v>
      </c>
      <c r="AX140" s="77">
        <v>168</v>
      </c>
      <c r="AY140" s="77">
        <v>156</v>
      </c>
      <c r="AZ140" s="77">
        <v>122</v>
      </c>
      <c r="BA140" s="77">
        <v>114</v>
      </c>
      <c r="BB140" s="77">
        <v>106</v>
      </c>
      <c r="BC140" s="77">
        <v>90</v>
      </c>
      <c r="BD140" s="77">
        <v>92</v>
      </c>
      <c r="BE140" s="77">
        <v>113</v>
      </c>
      <c r="BF140" s="77">
        <v>90</v>
      </c>
      <c r="BG140" s="77">
        <v>112</v>
      </c>
      <c r="BH140" s="77">
        <v>138</v>
      </c>
      <c r="BI140" s="77">
        <v>134</v>
      </c>
      <c r="BJ140" s="77">
        <v>110</v>
      </c>
      <c r="BK140" s="77">
        <v>120</v>
      </c>
      <c r="BL140" s="77">
        <v>118</v>
      </c>
      <c r="BM140" s="77">
        <v>140</v>
      </c>
      <c r="BN140" s="77">
        <v>106</v>
      </c>
      <c r="BO140" s="77">
        <v>96</v>
      </c>
      <c r="BP140" s="77">
        <v>120</v>
      </c>
      <c r="BQ140" s="77">
        <v>87</v>
      </c>
      <c r="BR140" s="77">
        <v>115</v>
      </c>
      <c r="BS140" s="77">
        <v>103</v>
      </c>
      <c r="BT140" s="77">
        <v>113</v>
      </c>
      <c r="BU140" s="77">
        <v>82</v>
      </c>
      <c r="BV140" s="77">
        <v>74</v>
      </c>
      <c r="BW140" s="77">
        <v>17</v>
      </c>
      <c r="BX140" s="77">
        <v>2</v>
      </c>
    </row>
    <row r="141" spans="1:84">
      <c r="A141" s="74" t="s">
        <v>162</v>
      </c>
      <c r="B141" s="76">
        <v>202507</v>
      </c>
      <c r="C141" s="77">
        <v>3988</v>
      </c>
      <c r="D141" s="78">
        <v>38993.2833</v>
      </c>
      <c r="E141" s="77">
        <v>3896</v>
      </c>
      <c r="AL141" s="77">
        <v>5</v>
      </c>
      <c r="AM141" s="77">
        <v>3</v>
      </c>
      <c r="AN141" s="77">
        <v>74</v>
      </c>
      <c r="AO141" s="77">
        <v>102</v>
      </c>
      <c r="AP141" s="77">
        <v>120</v>
      </c>
      <c r="AQ141" s="77">
        <v>118</v>
      </c>
      <c r="AR141" s="77">
        <v>162</v>
      </c>
      <c r="AS141" s="77">
        <v>138</v>
      </c>
      <c r="AT141" s="77">
        <v>139</v>
      </c>
      <c r="AU141" s="77">
        <v>145</v>
      </c>
      <c r="AV141" s="77">
        <v>154</v>
      </c>
      <c r="AW141" s="77">
        <v>146</v>
      </c>
      <c r="AX141" s="77">
        <v>150</v>
      </c>
      <c r="AY141" s="77">
        <v>121</v>
      </c>
      <c r="AZ141" s="77">
        <v>112</v>
      </c>
      <c r="BA141" s="77">
        <v>115</v>
      </c>
      <c r="BB141" s="77">
        <v>93</v>
      </c>
      <c r="BC141" s="77">
        <v>88</v>
      </c>
      <c r="BD141" s="77">
        <v>117</v>
      </c>
      <c r="BE141" s="77">
        <v>95</v>
      </c>
      <c r="BF141" s="77">
        <v>91</v>
      </c>
      <c r="BG141" s="77">
        <v>125</v>
      </c>
      <c r="BH141" s="77">
        <v>110</v>
      </c>
      <c r="BI141" s="77">
        <v>124</v>
      </c>
      <c r="BJ141" s="77">
        <v>127</v>
      </c>
      <c r="BK141" s="77">
        <v>117</v>
      </c>
      <c r="BL141" s="77">
        <v>115</v>
      </c>
      <c r="BM141" s="77">
        <v>108</v>
      </c>
      <c r="BN141" s="77">
        <v>98</v>
      </c>
      <c r="BO141" s="77">
        <v>102</v>
      </c>
      <c r="BP141" s="77">
        <v>112</v>
      </c>
      <c r="BQ141" s="77">
        <v>114</v>
      </c>
      <c r="BR141" s="77">
        <v>92</v>
      </c>
      <c r="BS141" s="77">
        <v>91</v>
      </c>
      <c r="BT141" s="77">
        <v>99</v>
      </c>
      <c r="BU141" s="77">
        <v>95</v>
      </c>
      <c r="BV141" s="77">
        <v>51</v>
      </c>
      <c r="BW141" s="77">
        <v>16</v>
      </c>
      <c r="BX141" s="77">
        <v>2</v>
      </c>
      <c r="BZ141" s="77">
        <v>2</v>
      </c>
    </row>
    <row r="142" spans="1:84">
      <c r="A142" s="74" t="s">
        <v>162</v>
      </c>
      <c r="B142" s="76">
        <v>202508</v>
      </c>
      <c r="C142" s="77">
        <v>3678</v>
      </c>
      <c r="D142" s="78">
        <v>36599.7</v>
      </c>
      <c r="E142" s="77">
        <v>3586</v>
      </c>
      <c r="AL142" s="77">
        <v>1</v>
      </c>
      <c r="AM142" s="77">
        <v>7</v>
      </c>
      <c r="AN142" s="77">
        <v>61</v>
      </c>
      <c r="AO142" s="77">
        <v>110</v>
      </c>
      <c r="AP142" s="77">
        <v>106</v>
      </c>
      <c r="AQ142" s="77">
        <v>112</v>
      </c>
      <c r="AR142" s="77">
        <v>133</v>
      </c>
      <c r="AS142" s="77">
        <v>129</v>
      </c>
      <c r="AT142" s="77">
        <v>137</v>
      </c>
      <c r="AU142" s="77">
        <v>142</v>
      </c>
      <c r="AV142" s="77">
        <v>134</v>
      </c>
      <c r="AW142" s="77">
        <v>109</v>
      </c>
      <c r="AX142" s="77">
        <v>140</v>
      </c>
      <c r="AY142" s="77">
        <v>132</v>
      </c>
      <c r="AZ142" s="77">
        <v>102</v>
      </c>
      <c r="BA142" s="77">
        <v>117</v>
      </c>
      <c r="BB142" s="77">
        <v>95</v>
      </c>
      <c r="BC142" s="77">
        <v>89</v>
      </c>
      <c r="BD142" s="77">
        <v>85</v>
      </c>
      <c r="BE142" s="77">
        <v>98</v>
      </c>
      <c r="BF142" s="77">
        <v>106</v>
      </c>
      <c r="BG142" s="77">
        <v>100</v>
      </c>
      <c r="BH142" s="77">
        <v>103</v>
      </c>
      <c r="BI142" s="77">
        <v>86</v>
      </c>
      <c r="BJ142" s="77">
        <v>113</v>
      </c>
      <c r="BK142" s="77">
        <v>114</v>
      </c>
      <c r="BL142" s="77">
        <v>118</v>
      </c>
      <c r="BM142" s="77">
        <v>97</v>
      </c>
      <c r="BN142" s="77">
        <v>104</v>
      </c>
      <c r="BO142" s="77">
        <v>81</v>
      </c>
      <c r="BP142" s="77">
        <v>96</v>
      </c>
      <c r="BQ142" s="77">
        <v>102</v>
      </c>
      <c r="BR142" s="77">
        <v>86</v>
      </c>
      <c r="BS142" s="77">
        <v>88</v>
      </c>
      <c r="BT142" s="77">
        <v>97</v>
      </c>
      <c r="BU142" s="77">
        <v>90</v>
      </c>
      <c r="BV142" s="77">
        <v>39</v>
      </c>
      <c r="BW142" s="77">
        <v>8</v>
      </c>
      <c r="BX142" s="77">
        <v>2</v>
      </c>
      <c r="CB142" s="77">
        <v>2</v>
      </c>
      <c r="CC142" s="77">
        <v>7</v>
      </c>
    </row>
    <row r="143" spans="1:84">
      <c r="A143" s="74" t="s">
        <v>162</v>
      </c>
      <c r="B143" s="76">
        <v>202509</v>
      </c>
      <c r="C143" s="77">
        <v>3788</v>
      </c>
      <c r="D143" s="78">
        <v>38137.4</v>
      </c>
      <c r="E143" s="77">
        <v>3703</v>
      </c>
      <c r="AM143" s="77">
        <v>7</v>
      </c>
      <c r="AN143" s="77">
        <v>49</v>
      </c>
      <c r="AO143" s="77">
        <v>90</v>
      </c>
      <c r="AP143" s="77">
        <v>82</v>
      </c>
      <c r="AQ143" s="77">
        <v>111</v>
      </c>
      <c r="AR143" s="77">
        <v>126</v>
      </c>
      <c r="AS143" s="77">
        <v>126</v>
      </c>
      <c r="AT143" s="77">
        <v>142</v>
      </c>
      <c r="AU143" s="77">
        <v>152</v>
      </c>
      <c r="AV143" s="77">
        <v>152</v>
      </c>
      <c r="AW143" s="77">
        <v>134</v>
      </c>
      <c r="AX143" s="77">
        <v>142</v>
      </c>
      <c r="AY143" s="77">
        <v>142</v>
      </c>
      <c r="AZ143" s="77">
        <v>116</v>
      </c>
      <c r="BA143" s="77">
        <v>127</v>
      </c>
      <c r="BB143" s="77">
        <v>108</v>
      </c>
      <c r="BC143" s="77">
        <v>89</v>
      </c>
      <c r="BD143" s="77">
        <v>96</v>
      </c>
      <c r="BE143" s="77">
        <v>81</v>
      </c>
      <c r="BF143" s="77">
        <v>87</v>
      </c>
      <c r="BG143" s="77">
        <v>113</v>
      </c>
      <c r="BH143" s="77">
        <v>121</v>
      </c>
      <c r="BI143" s="77">
        <v>119</v>
      </c>
      <c r="BJ143" s="77">
        <v>111</v>
      </c>
      <c r="BK143" s="77">
        <v>108</v>
      </c>
      <c r="BL143" s="77">
        <v>118</v>
      </c>
      <c r="BM143" s="77">
        <v>105</v>
      </c>
      <c r="BN143" s="77">
        <v>107</v>
      </c>
      <c r="BO143" s="77">
        <v>88</v>
      </c>
      <c r="BP143" s="77">
        <v>96</v>
      </c>
      <c r="BQ143" s="77">
        <v>96</v>
      </c>
      <c r="BR143" s="77">
        <v>97</v>
      </c>
      <c r="BS143" s="77">
        <v>104</v>
      </c>
      <c r="BT143" s="77">
        <v>107</v>
      </c>
      <c r="BU143" s="77">
        <v>81</v>
      </c>
      <c r="BV143" s="77">
        <v>51</v>
      </c>
      <c r="BW143" s="77">
        <v>7</v>
      </c>
    </row>
    <row r="144" spans="1:84">
      <c r="A144" s="74" t="s">
        <v>162</v>
      </c>
      <c r="B144" s="76">
        <v>202510</v>
      </c>
      <c r="C144" s="77">
        <v>4113</v>
      </c>
      <c r="D144" s="78">
        <v>40050.1333</v>
      </c>
      <c r="E144" s="77">
        <v>4019</v>
      </c>
      <c r="AM144" s="77">
        <v>3</v>
      </c>
      <c r="AN144" s="77">
        <v>66</v>
      </c>
      <c r="AO144" s="77">
        <v>83</v>
      </c>
      <c r="AP144" s="77">
        <v>96</v>
      </c>
      <c r="AQ144" s="77">
        <v>121</v>
      </c>
      <c r="AR144" s="77">
        <v>130</v>
      </c>
      <c r="AS144" s="77">
        <v>119</v>
      </c>
      <c r="AT144" s="77">
        <v>139</v>
      </c>
      <c r="AU144" s="77">
        <v>147</v>
      </c>
      <c r="AV144" s="77">
        <v>140</v>
      </c>
      <c r="AW144" s="77">
        <v>154</v>
      </c>
      <c r="AX144" s="77">
        <v>142</v>
      </c>
      <c r="AY144" s="77">
        <v>137</v>
      </c>
      <c r="AZ144" s="77">
        <v>142</v>
      </c>
      <c r="BA144" s="77">
        <v>128</v>
      </c>
      <c r="BB144" s="77">
        <v>111</v>
      </c>
      <c r="BC144" s="77">
        <v>105</v>
      </c>
      <c r="BD144" s="77">
        <v>97</v>
      </c>
      <c r="BE144" s="77">
        <v>107</v>
      </c>
      <c r="BF144" s="77">
        <v>114</v>
      </c>
      <c r="BG144" s="77">
        <v>123</v>
      </c>
      <c r="BH144" s="77">
        <v>114</v>
      </c>
      <c r="BI144" s="77">
        <v>119</v>
      </c>
      <c r="BJ144" s="77">
        <v>135</v>
      </c>
      <c r="BK144" s="77">
        <v>129</v>
      </c>
      <c r="BL144" s="77">
        <v>121</v>
      </c>
      <c r="BM144" s="77">
        <v>116</v>
      </c>
      <c r="BN144" s="77">
        <v>105</v>
      </c>
      <c r="BO144" s="77">
        <v>125</v>
      </c>
      <c r="BP144" s="77">
        <v>101</v>
      </c>
      <c r="BQ144" s="77">
        <v>106</v>
      </c>
      <c r="BR144" s="77">
        <v>137</v>
      </c>
      <c r="BS144" s="77">
        <v>118</v>
      </c>
      <c r="BT144" s="77">
        <v>108</v>
      </c>
      <c r="BU144" s="77">
        <v>106</v>
      </c>
      <c r="BV144" s="77">
        <v>41</v>
      </c>
      <c r="BW144" s="77">
        <v>17</v>
      </c>
      <c r="BX144" s="77">
        <v>2</v>
      </c>
      <c r="BY144" s="77">
        <v>2</v>
      </c>
      <c r="CC144" s="77">
        <v>2</v>
      </c>
      <c r="CE144" s="77">
        <v>3</v>
      </c>
      <c r="CF144" s="77">
        <v>2</v>
      </c>
    </row>
    <row r="145" spans="1:85">
      <c r="A145" s="74" t="s">
        <v>162</v>
      </c>
      <c r="B145" s="76">
        <v>202511</v>
      </c>
      <c r="C145" s="77">
        <v>3768</v>
      </c>
      <c r="D145" s="78">
        <v>33868.7667</v>
      </c>
      <c r="E145" s="77">
        <v>3694</v>
      </c>
      <c r="AM145" s="77">
        <v>6</v>
      </c>
      <c r="AN145" s="77">
        <v>41</v>
      </c>
      <c r="AO145" s="77">
        <v>74</v>
      </c>
      <c r="AP145" s="77">
        <v>88</v>
      </c>
      <c r="AQ145" s="77">
        <v>110</v>
      </c>
      <c r="AR145" s="77">
        <v>110</v>
      </c>
      <c r="AS145" s="77">
        <v>124</v>
      </c>
      <c r="AT145" s="77">
        <v>112</v>
      </c>
      <c r="AU145" s="77">
        <v>141</v>
      </c>
      <c r="AV145" s="77">
        <v>117</v>
      </c>
      <c r="AW145" s="77">
        <v>149</v>
      </c>
      <c r="AX145" s="77">
        <v>123</v>
      </c>
      <c r="AY145" s="77">
        <v>127</v>
      </c>
      <c r="AZ145" s="77">
        <v>143</v>
      </c>
      <c r="BA145" s="77">
        <v>113</v>
      </c>
      <c r="BB145" s="77">
        <v>91</v>
      </c>
      <c r="BC145" s="77">
        <v>88</v>
      </c>
      <c r="BD145" s="77">
        <v>104</v>
      </c>
      <c r="BE145" s="77">
        <v>97</v>
      </c>
      <c r="BF145" s="77">
        <v>115</v>
      </c>
      <c r="BG145" s="77">
        <v>104</v>
      </c>
      <c r="BH145" s="77">
        <v>101</v>
      </c>
      <c r="BI145" s="77">
        <v>113</v>
      </c>
      <c r="BJ145" s="77">
        <v>126</v>
      </c>
      <c r="BK145" s="77">
        <v>123</v>
      </c>
      <c r="BL145" s="77">
        <v>123</v>
      </c>
      <c r="BM145" s="77">
        <v>112</v>
      </c>
      <c r="BN145" s="77">
        <v>106</v>
      </c>
      <c r="BO145" s="77">
        <v>108</v>
      </c>
      <c r="BP145" s="77">
        <v>109</v>
      </c>
      <c r="BQ145" s="77">
        <v>92</v>
      </c>
      <c r="BR145" s="77">
        <v>101</v>
      </c>
      <c r="BS145" s="77">
        <v>100</v>
      </c>
      <c r="BT145" s="77">
        <v>100</v>
      </c>
      <c r="BU145" s="77">
        <v>93</v>
      </c>
      <c r="BV145" s="77">
        <v>67</v>
      </c>
      <c r="BW145" s="77">
        <v>17</v>
      </c>
    </row>
    <row r="146" spans="1:85">
      <c r="A146" s="74" t="s">
        <v>162</v>
      </c>
      <c r="B146" s="76">
        <v>202512</v>
      </c>
      <c r="C146" s="77">
        <v>3681</v>
      </c>
      <c r="D146" s="78">
        <v>34907.5667</v>
      </c>
      <c r="E146" s="77">
        <v>3606</v>
      </c>
      <c r="AM146" s="77">
        <v>2</v>
      </c>
      <c r="AN146" s="77">
        <v>34</v>
      </c>
      <c r="AO146" s="77">
        <v>60</v>
      </c>
      <c r="AP146" s="77">
        <v>68</v>
      </c>
      <c r="AQ146" s="77">
        <v>88</v>
      </c>
      <c r="AR146" s="77">
        <v>96</v>
      </c>
      <c r="AS146" s="77">
        <v>126</v>
      </c>
      <c r="AT146" s="77">
        <v>123</v>
      </c>
      <c r="AU146" s="77">
        <v>126</v>
      </c>
      <c r="AV146" s="77">
        <v>123</v>
      </c>
      <c r="AW146" s="77">
        <v>132</v>
      </c>
      <c r="AX146" s="77">
        <v>138</v>
      </c>
      <c r="AY146" s="77">
        <v>129</v>
      </c>
      <c r="AZ146" s="77">
        <v>117</v>
      </c>
      <c r="BA146" s="77">
        <v>120</v>
      </c>
      <c r="BB146" s="77">
        <v>101</v>
      </c>
      <c r="BC146" s="77">
        <v>77</v>
      </c>
      <c r="BD146" s="77">
        <v>95</v>
      </c>
      <c r="BE146" s="77">
        <v>110</v>
      </c>
      <c r="BF146" s="77">
        <v>86</v>
      </c>
      <c r="BG146" s="77">
        <v>105</v>
      </c>
      <c r="BH146" s="77">
        <v>114</v>
      </c>
      <c r="BI146" s="77">
        <v>126</v>
      </c>
      <c r="BJ146" s="77">
        <v>111</v>
      </c>
      <c r="BK146" s="77">
        <v>130</v>
      </c>
      <c r="BL146" s="77">
        <v>114</v>
      </c>
      <c r="BM146" s="77">
        <v>117</v>
      </c>
      <c r="BN146" s="77">
        <v>104</v>
      </c>
      <c r="BO146" s="77">
        <v>116</v>
      </c>
      <c r="BP146" s="77">
        <v>113</v>
      </c>
      <c r="BQ146" s="77">
        <v>110</v>
      </c>
      <c r="BR146" s="77">
        <v>115</v>
      </c>
      <c r="BS146" s="77">
        <v>99</v>
      </c>
      <c r="BT146" s="77">
        <v>103</v>
      </c>
      <c r="BU146" s="77">
        <v>90</v>
      </c>
      <c r="BV146" s="77">
        <v>37</v>
      </c>
      <c r="BW146" s="77">
        <v>17</v>
      </c>
      <c r="BY146" s="77">
        <v>2</v>
      </c>
      <c r="BZ146" s="77">
        <v>1</v>
      </c>
      <c r="CA146" s="77">
        <v>2</v>
      </c>
      <c r="CB146" s="77">
        <v>1</v>
      </c>
      <c r="CD146" s="77">
        <v>1</v>
      </c>
      <c r="CE146" s="77">
        <v>1</v>
      </c>
      <c r="CG146" s="77">
        <v>1</v>
      </c>
    </row>
    <row r="147" spans="1:85">
      <c r="A147" s="74" t="s">
        <v>176</v>
      </c>
      <c r="B147" s="76">
        <v>202401</v>
      </c>
      <c r="C147" s="77">
        <v>2581</v>
      </c>
      <c r="D147" s="78">
        <v>51849.1833</v>
      </c>
      <c r="E147" s="77">
        <v>2451</v>
      </c>
      <c r="AM147" s="77">
        <v>13</v>
      </c>
      <c r="AN147" s="77">
        <v>25</v>
      </c>
      <c r="AO147" s="77">
        <v>57</v>
      </c>
      <c r="AP147" s="77">
        <v>60</v>
      </c>
      <c r="AQ147" s="77">
        <v>65</v>
      </c>
      <c r="AR147" s="77">
        <v>72</v>
      </c>
      <c r="AS147" s="77">
        <v>66</v>
      </c>
      <c r="AT147" s="77">
        <v>77</v>
      </c>
      <c r="AU147" s="77">
        <v>115</v>
      </c>
      <c r="AV147" s="77">
        <v>89</v>
      </c>
      <c r="AW147" s="77">
        <v>93</v>
      </c>
      <c r="AX147" s="77">
        <v>111</v>
      </c>
      <c r="AY147" s="77">
        <v>100</v>
      </c>
      <c r="AZ147" s="77">
        <v>75</v>
      </c>
      <c r="BA147" s="77">
        <v>83</v>
      </c>
      <c r="BB147" s="77">
        <v>76</v>
      </c>
      <c r="BC147" s="77">
        <v>66</v>
      </c>
      <c r="BD147" s="77">
        <v>70</v>
      </c>
      <c r="BE147" s="77">
        <v>53</v>
      </c>
      <c r="BF147" s="77">
        <v>82</v>
      </c>
      <c r="BG147" s="77">
        <v>93</v>
      </c>
      <c r="BH147" s="77">
        <v>113</v>
      </c>
      <c r="BI147" s="77">
        <v>69</v>
      </c>
      <c r="BJ147" s="77">
        <v>82</v>
      </c>
      <c r="BK147" s="77">
        <v>87</v>
      </c>
      <c r="BL147" s="77">
        <v>80</v>
      </c>
      <c r="BM147" s="77">
        <v>86</v>
      </c>
      <c r="BN147" s="77">
        <v>74</v>
      </c>
      <c r="BO147" s="77">
        <v>80</v>
      </c>
      <c r="BP147" s="77">
        <v>65</v>
      </c>
      <c r="BQ147" s="77">
        <v>81</v>
      </c>
      <c r="BR147" s="77">
        <v>60</v>
      </c>
      <c r="BS147" s="77">
        <v>61</v>
      </c>
      <c r="BT147" s="77">
        <v>52</v>
      </c>
      <c r="BU147" s="77">
        <v>22</v>
      </c>
      <c r="BV147" s="77">
        <v>28</v>
      </c>
    </row>
    <row r="148" spans="1:85">
      <c r="A148" s="74" t="s">
        <v>176</v>
      </c>
      <c r="B148" s="76">
        <v>202402</v>
      </c>
      <c r="C148" s="77">
        <v>2960</v>
      </c>
      <c r="D148" s="78">
        <v>53202.8167</v>
      </c>
      <c r="E148" s="77">
        <v>2833</v>
      </c>
      <c r="AM148" s="77">
        <v>17</v>
      </c>
      <c r="AN148" s="77">
        <v>39</v>
      </c>
      <c r="AO148" s="77">
        <v>52</v>
      </c>
      <c r="AP148" s="77">
        <v>75</v>
      </c>
      <c r="AQ148" s="77">
        <v>62</v>
      </c>
      <c r="AR148" s="77">
        <v>90</v>
      </c>
      <c r="AS148" s="77">
        <v>100</v>
      </c>
      <c r="AT148" s="77">
        <v>126</v>
      </c>
      <c r="AU148" s="77">
        <v>110</v>
      </c>
      <c r="AV148" s="77">
        <v>120</v>
      </c>
      <c r="AW148" s="77">
        <v>105</v>
      </c>
      <c r="AX148" s="77">
        <v>95</v>
      </c>
      <c r="AY148" s="77">
        <v>116</v>
      </c>
      <c r="AZ148" s="77">
        <v>85</v>
      </c>
      <c r="BA148" s="77">
        <v>83</v>
      </c>
      <c r="BB148" s="77">
        <v>73</v>
      </c>
      <c r="BC148" s="77">
        <v>77</v>
      </c>
      <c r="BD148" s="77">
        <v>75</v>
      </c>
      <c r="BE148" s="77">
        <v>83</v>
      </c>
      <c r="BF148" s="77">
        <v>91</v>
      </c>
      <c r="BG148" s="77">
        <v>87</v>
      </c>
      <c r="BH148" s="77">
        <v>128</v>
      </c>
      <c r="BI148" s="77">
        <v>99</v>
      </c>
      <c r="BJ148" s="77">
        <v>97</v>
      </c>
      <c r="BK148" s="77">
        <v>96</v>
      </c>
      <c r="BL148" s="77">
        <v>105</v>
      </c>
      <c r="BM148" s="77">
        <v>83</v>
      </c>
      <c r="BN148" s="77">
        <v>73</v>
      </c>
      <c r="BO148" s="77">
        <v>78</v>
      </c>
      <c r="BP148" s="77">
        <v>65</v>
      </c>
      <c r="BQ148" s="77">
        <v>89</v>
      </c>
      <c r="BR148" s="77">
        <v>75</v>
      </c>
      <c r="BS148" s="77">
        <v>66</v>
      </c>
      <c r="BT148" s="77">
        <v>68</v>
      </c>
      <c r="BU148" s="77">
        <v>36</v>
      </c>
      <c r="BV148" s="77">
        <v>30</v>
      </c>
      <c r="BW148" s="77">
        <v>4</v>
      </c>
      <c r="BX148" s="77">
        <v>7</v>
      </c>
    </row>
    <row r="149" spans="1:85">
      <c r="A149" s="74" t="s">
        <v>176</v>
      </c>
      <c r="B149" s="76">
        <v>202403</v>
      </c>
      <c r="C149" s="77">
        <v>3524</v>
      </c>
      <c r="D149" s="78">
        <v>56839.95</v>
      </c>
      <c r="E149" s="77">
        <v>3381</v>
      </c>
      <c r="AM149" s="77">
        <v>16</v>
      </c>
      <c r="AN149" s="77">
        <v>50</v>
      </c>
      <c r="AO149" s="77">
        <v>54</v>
      </c>
      <c r="AP149" s="77">
        <v>93</v>
      </c>
      <c r="AQ149" s="77">
        <v>99</v>
      </c>
      <c r="AR149" s="77">
        <v>105</v>
      </c>
      <c r="AS149" s="77">
        <v>119</v>
      </c>
      <c r="AT149" s="77">
        <v>125</v>
      </c>
      <c r="AU149" s="77">
        <v>136</v>
      </c>
      <c r="AV149" s="77">
        <v>113</v>
      </c>
      <c r="AW149" s="77">
        <v>126</v>
      </c>
      <c r="AX149" s="77">
        <v>139</v>
      </c>
      <c r="AY149" s="77">
        <v>119</v>
      </c>
      <c r="AZ149" s="77">
        <v>92</v>
      </c>
      <c r="BA149" s="77">
        <v>99</v>
      </c>
      <c r="BB149" s="77">
        <v>107</v>
      </c>
      <c r="BC149" s="77">
        <v>87</v>
      </c>
      <c r="BD149" s="77">
        <v>90</v>
      </c>
      <c r="BE149" s="77">
        <v>103</v>
      </c>
      <c r="BF149" s="77">
        <v>96</v>
      </c>
      <c r="BG149" s="77">
        <v>122</v>
      </c>
      <c r="BH149" s="77">
        <v>128</v>
      </c>
      <c r="BI149" s="77">
        <v>125</v>
      </c>
      <c r="BJ149" s="77">
        <v>130</v>
      </c>
      <c r="BK149" s="77">
        <v>113</v>
      </c>
      <c r="BL149" s="77">
        <v>112</v>
      </c>
      <c r="BM149" s="77">
        <v>92</v>
      </c>
      <c r="BN149" s="77">
        <v>115</v>
      </c>
      <c r="BO149" s="77">
        <v>109</v>
      </c>
      <c r="BP149" s="77">
        <v>88</v>
      </c>
      <c r="BQ149" s="77">
        <v>91</v>
      </c>
      <c r="BR149" s="77">
        <v>105</v>
      </c>
      <c r="BS149" s="77">
        <v>85</v>
      </c>
      <c r="BT149" s="77">
        <v>67</v>
      </c>
      <c r="BU149" s="77">
        <v>44</v>
      </c>
      <c r="BV149" s="77">
        <v>28</v>
      </c>
      <c r="BW149" s="77">
        <v>1</v>
      </c>
      <c r="BX149" s="77">
        <v>1</v>
      </c>
    </row>
    <row r="150" spans="1:85">
      <c r="A150" s="74" t="s">
        <v>176</v>
      </c>
      <c r="B150" s="76">
        <v>202404</v>
      </c>
      <c r="C150" s="77">
        <v>3027</v>
      </c>
      <c r="D150" s="78">
        <v>56749.6833</v>
      </c>
      <c r="E150" s="77">
        <v>2882</v>
      </c>
      <c r="AL150" s="77">
        <v>2</v>
      </c>
      <c r="AM150" s="77">
        <v>23</v>
      </c>
      <c r="AN150" s="77">
        <v>60</v>
      </c>
      <c r="AO150" s="77">
        <v>53</v>
      </c>
      <c r="AP150" s="77">
        <v>81</v>
      </c>
      <c r="AQ150" s="77">
        <v>88</v>
      </c>
      <c r="AR150" s="77">
        <v>95</v>
      </c>
      <c r="AS150" s="77">
        <v>97</v>
      </c>
      <c r="AT150" s="77">
        <v>122</v>
      </c>
      <c r="AU150" s="77">
        <v>120</v>
      </c>
      <c r="AV150" s="77">
        <v>107</v>
      </c>
      <c r="AW150" s="77">
        <v>109</v>
      </c>
      <c r="AX150" s="77">
        <v>92</v>
      </c>
      <c r="AY150" s="77">
        <v>105</v>
      </c>
      <c r="AZ150" s="77">
        <v>94</v>
      </c>
      <c r="BA150" s="77">
        <v>88</v>
      </c>
      <c r="BB150" s="77">
        <v>93</v>
      </c>
      <c r="BC150" s="77">
        <v>76</v>
      </c>
      <c r="BD150" s="77">
        <v>74</v>
      </c>
      <c r="BE150" s="77">
        <v>73</v>
      </c>
      <c r="BF150" s="77">
        <v>79</v>
      </c>
      <c r="BG150" s="77">
        <v>104</v>
      </c>
      <c r="BH150" s="77">
        <v>92</v>
      </c>
      <c r="BI150" s="77">
        <v>111</v>
      </c>
      <c r="BJ150" s="77">
        <v>118</v>
      </c>
      <c r="BK150" s="77">
        <v>82</v>
      </c>
      <c r="BL150" s="77">
        <v>85</v>
      </c>
      <c r="BM150" s="77">
        <v>96</v>
      </c>
      <c r="BN150" s="77">
        <v>86</v>
      </c>
      <c r="BO150" s="77">
        <v>78</v>
      </c>
      <c r="BP150" s="77">
        <v>81</v>
      </c>
      <c r="BQ150" s="77">
        <v>67</v>
      </c>
      <c r="BR150" s="77">
        <v>72</v>
      </c>
      <c r="BS150" s="77">
        <v>75</v>
      </c>
      <c r="BT150" s="77">
        <v>81</v>
      </c>
      <c r="BU150" s="77">
        <v>35</v>
      </c>
      <c r="BV150" s="77">
        <v>33</v>
      </c>
    </row>
    <row r="151" spans="1:85">
      <c r="A151" s="74" t="s">
        <v>176</v>
      </c>
      <c r="B151" s="76">
        <v>202405</v>
      </c>
      <c r="C151" s="77">
        <v>2627</v>
      </c>
      <c r="D151" s="78">
        <v>57371.0833</v>
      </c>
      <c r="E151" s="77">
        <v>2485</v>
      </c>
      <c r="AM151" s="77">
        <v>23</v>
      </c>
      <c r="AN151" s="77">
        <v>37</v>
      </c>
      <c r="AO151" s="77">
        <v>56</v>
      </c>
      <c r="AP151" s="77">
        <v>75</v>
      </c>
      <c r="AQ151" s="77">
        <v>81</v>
      </c>
      <c r="AR151" s="77">
        <v>90</v>
      </c>
      <c r="AS151" s="77">
        <v>92</v>
      </c>
      <c r="AT151" s="77">
        <v>83</v>
      </c>
      <c r="AU151" s="77">
        <v>104</v>
      </c>
      <c r="AV151" s="77">
        <v>95</v>
      </c>
      <c r="AW151" s="77">
        <v>108</v>
      </c>
      <c r="AX151" s="77">
        <v>89</v>
      </c>
      <c r="AY151" s="77">
        <v>84</v>
      </c>
      <c r="AZ151" s="77">
        <v>81</v>
      </c>
      <c r="BA151" s="77">
        <v>74</v>
      </c>
      <c r="BB151" s="77">
        <v>65</v>
      </c>
      <c r="BC151" s="77">
        <v>75</v>
      </c>
      <c r="BD151" s="77">
        <v>59</v>
      </c>
      <c r="BE151" s="77">
        <v>58</v>
      </c>
      <c r="BF151" s="77">
        <v>80</v>
      </c>
      <c r="BG151" s="77">
        <v>99</v>
      </c>
      <c r="BH151" s="77">
        <v>74</v>
      </c>
      <c r="BI151" s="77">
        <v>83</v>
      </c>
      <c r="BJ151" s="77">
        <v>75</v>
      </c>
      <c r="BK151" s="77">
        <v>78</v>
      </c>
      <c r="BL151" s="77">
        <v>76</v>
      </c>
      <c r="BM151" s="77">
        <v>70</v>
      </c>
      <c r="BN151" s="77">
        <v>92</v>
      </c>
      <c r="BO151" s="77">
        <v>62</v>
      </c>
      <c r="BP151" s="77">
        <v>86</v>
      </c>
      <c r="BQ151" s="77">
        <v>79</v>
      </c>
      <c r="BR151" s="77">
        <v>65</v>
      </c>
      <c r="BS151" s="77">
        <v>59</v>
      </c>
      <c r="BT151" s="77">
        <v>54</v>
      </c>
      <c r="BU151" s="77">
        <v>41</v>
      </c>
      <c r="BV151" s="77">
        <v>25</v>
      </c>
    </row>
    <row r="152" spans="1:85">
      <c r="A152" s="74" t="s">
        <v>176</v>
      </c>
      <c r="B152" s="76">
        <v>202406</v>
      </c>
      <c r="C152" s="77">
        <v>3102</v>
      </c>
      <c r="D152" s="78">
        <v>58041.2</v>
      </c>
      <c r="E152" s="77">
        <v>2961</v>
      </c>
      <c r="AL152" s="77">
        <v>1</v>
      </c>
      <c r="AM152" s="77">
        <v>34</v>
      </c>
      <c r="AN152" s="77">
        <v>50</v>
      </c>
      <c r="AO152" s="77">
        <v>51</v>
      </c>
      <c r="AP152" s="77">
        <v>80</v>
      </c>
      <c r="AQ152" s="77">
        <v>94</v>
      </c>
      <c r="AR152" s="77">
        <v>85</v>
      </c>
      <c r="AS152" s="77">
        <v>105</v>
      </c>
      <c r="AT152" s="77">
        <v>137</v>
      </c>
      <c r="AU152" s="77">
        <v>129</v>
      </c>
      <c r="AV152" s="77">
        <v>126</v>
      </c>
      <c r="AW152" s="77">
        <v>128</v>
      </c>
      <c r="AX152" s="77">
        <v>122</v>
      </c>
      <c r="AY152" s="77">
        <v>114</v>
      </c>
      <c r="AZ152" s="77">
        <v>108</v>
      </c>
      <c r="BA152" s="77">
        <v>73</v>
      </c>
      <c r="BB152" s="77">
        <v>82</v>
      </c>
      <c r="BC152" s="77">
        <v>73</v>
      </c>
      <c r="BD152" s="77">
        <v>59</v>
      </c>
      <c r="BE152" s="77">
        <v>73</v>
      </c>
      <c r="BF152" s="77">
        <v>90</v>
      </c>
      <c r="BG152" s="77">
        <v>78</v>
      </c>
      <c r="BH152" s="77">
        <v>97</v>
      </c>
      <c r="BI152" s="77">
        <v>100</v>
      </c>
      <c r="BJ152" s="77">
        <v>105</v>
      </c>
      <c r="BK152" s="77">
        <v>113</v>
      </c>
      <c r="BL152" s="77">
        <v>91</v>
      </c>
      <c r="BM152" s="77">
        <v>92</v>
      </c>
      <c r="BN152" s="77">
        <v>69</v>
      </c>
      <c r="BO152" s="77">
        <v>94</v>
      </c>
      <c r="BP152" s="77">
        <v>86</v>
      </c>
      <c r="BQ152" s="77">
        <v>80</v>
      </c>
      <c r="BR152" s="77">
        <v>81</v>
      </c>
      <c r="BS152" s="77">
        <v>74</v>
      </c>
      <c r="BT152" s="77">
        <v>57</v>
      </c>
      <c r="BU152" s="77">
        <v>52</v>
      </c>
      <c r="BV152" s="77">
        <v>19</v>
      </c>
    </row>
    <row r="153" spans="1:85">
      <c r="A153" s="74" t="s">
        <v>176</v>
      </c>
      <c r="B153" s="76">
        <v>202407</v>
      </c>
      <c r="C153" s="77">
        <v>3259</v>
      </c>
      <c r="D153" s="78">
        <v>61916.0167</v>
      </c>
      <c r="E153" s="77">
        <v>3104</v>
      </c>
      <c r="AM153" s="77">
        <v>24</v>
      </c>
      <c r="AN153" s="77">
        <v>59</v>
      </c>
      <c r="AO153" s="77">
        <v>66</v>
      </c>
      <c r="AP153" s="77">
        <v>98</v>
      </c>
      <c r="AQ153" s="77">
        <v>113</v>
      </c>
      <c r="AR153" s="77">
        <v>111</v>
      </c>
      <c r="AS153" s="77">
        <v>102</v>
      </c>
      <c r="AT153" s="77">
        <v>131</v>
      </c>
      <c r="AU153" s="77">
        <v>118</v>
      </c>
      <c r="AV153" s="77">
        <v>129</v>
      </c>
      <c r="AW153" s="77">
        <v>123</v>
      </c>
      <c r="AX153" s="77">
        <v>121</v>
      </c>
      <c r="AY153" s="77">
        <v>96</v>
      </c>
      <c r="AZ153" s="77">
        <v>101</v>
      </c>
      <c r="BA153" s="77">
        <v>91</v>
      </c>
      <c r="BB153" s="77">
        <v>94</v>
      </c>
      <c r="BC153" s="77">
        <v>99</v>
      </c>
      <c r="BD153" s="77">
        <v>77</v>
      </c>
      <c r="BE153" s="77">
        <v>75</v>
      </c>
      <c r="BF153" s="77">
        <v>88</v>
      </c>
      <c r="BG153" s="77">
        <v>96</v>
      </c>
      <c r="BH153" s="77">
        <v>97</v>
      </c>
      <c r="BI153" s="77">
        <v>108</v>
      </c>
      <c r="BJ153" s="77">
        <v>105</v>
      </c>
      <c r="BK153" s="77">
        <v>101</v>
      </c>
      <c r="BL153" s="77">
        <v>85</v>
      </c>
      <c r="BM153" s="77">
        <v>95</v>
      </c>
      <c r="BN153" s="77">
        <v>88</v>
      </c>
      <c r="BO153" s="77">
        <v>94</v>
      </c>
      <c r="BP153" s="77">
        <v>92</v>
      </c>
      <c r="BQ153" s="77">
        <v>87</v>
      </c>
      <c r="BR153" s="77">
        <v>63</v>
      </c>
      <c r="BS153" s="77">
        <v>83</v>
      </c>
      <c r="BT153" s="77">
        <v>71</v>
      </c>
      <c r="BU153" s="77">
        <v>53</v>
      </c>
      <c r="BV153" s="77">
        <v>24</v>
      </c>
      <c r="BW153" s="77">
        <v>1</v>
      </c>
    </row>
    <row r="154" spans="1:85">
      <c r="A154" s="74" t="s">
        <v>176</v>
      </c>
      <c r="B154" s="76">
        <v>202408</v>
      </c>
      <c r="C154" s="77">
        <v>2599</v>
      </c>
      <c r="D154" s="78">
        <v>53195.2667</v>
      </c>
      <c r="E154" s="77">
        <v>2467</v>
      </c>
      <c r="AM154" s="77">
        <v>30</v>
      </c>
      <c r="AN154" s="77">
        <v>55</v>
      </c>
      <c r="AO154" s="77">
        <v>69</v>
      </c>
      <c r="AP154" s="77">
        <v>82</v>
      </c>
      <c r="AQ154" s="77">
        <v>85</v>
      </c>
      <c r="AR154" s="77">
        <v>79</v>
      </c>
      <c r="AS154" s="77">
        <v>101</v>
      </c>
      <c r="AT154" s="77">
        <v>93</v>
      </c>
      <c r="AU154" s="77">
        <v>94</v>
      </c>
      <c r="AV154" s="77">
        <v>85</v>
      </c>
      <c r="AW154" s="77">
        <v>86</v>
      </c>
      <c r="AX154" s="77">
        <v>84</v>
      </c>
      <c r="AY154" s="77">
        <v>93</v>
      </c>
      <c r="AZ154" s="77">
        <v>85</v>
      </c>
      <c r="BA154" s="77">
        <v>65</v>
      </c>
      <c r="BB154" s="77">
        <v>68</v>
      </c>
      <c r="BC154" s="77">
        <v>64</v>
      </c>
      <c r="BD154" s="77">
        <v>59</v>
      </c>
      <c r="BE154" s="77">
        <v>64</v>
      </c>
      <c r="BF154" s="77">
        <v>81</v>
      </c>
      <c r="BG154" s="77">
        <v>90</v>
      </c>
      <c r="BH154" s="77">
        <v>84</v>
      </c>
      <c r="BI154" s="77">
        <v>81</v>
      </c>
      <c r="BJ154" s="77">
        <v>87</v>
      </c>
      <c r="BK154" s="77">
        <v>85</v>
      </c>
      <c r="BL154" s="77">
        <v>68</v>
      </c>
      <c r="BM154" s="77">
        <v>95</v>
      </c>
      <c r="BN154" s="77">
        <v>65</v>
      </c>
      <c r="BO154" s="77">
        <v>58</v>
      </c>
      <c r="BP154" s="77">
        <v>60</v>
      </c>
      <c r="BQ154" s="77">
        <v>60</v>
      </c>
      <c r="BR154" s="77">
        <v>60</v>
      </c>
      <c r="BS154" s="77">
        <v>63</v>
      </c>
      <c r="BT154" s="77">
        <v>52</v>
      </c>
      <c r="BU154" s="77">
        <v>34</v>
      </c>
      <c r="BV154" s="77">
        <v>34</v>
      </c>
      <c r="BW154" s="77">
        <v>1</v>
      </c>
    </row>
    <row r="155" spans="1:85">
      <c r="A155" s="74" t="s">
        <v>176</v>
      </c>
      <c r="B155" s="76">
        <v>202409</v>
      </c>
      <c r="C155" s="77">
        <v>2625</v>
      </c>
      <c r="D155" s="78">
        <v>52275.85</v>
      </c>
      <c r="E155" s="77">
        <v>2493</v>
      </c>
      <c r="AM155" s="77">
        <v>23</v>
      </c>
      <c r="AN155" s="77">
        <v>42</v>
      </c>
      <c r="AO155" s="77">
        <v>51</v>
      </c>
      <c r="AP155" s="77">
        <v>80</v>
      </c>
      <c r="AQ155" s="77">
        <v>69</v>
      </c>
      <c r="AR155" s="77">
        <v>61</v>
      </c>
      <c r="AS155" s="77">
        <v>95</v>
      </c>
      <c r="AT155" s="77">
        <v>84</v>
      </c>
      <c r="AU155" s="77">
        <v>105</v>
      </c>
      <c r="AV155" s="77">
        <v>103</v>
      </c>
      <c r="AW155" s="77">
        <v>104</v>
      </c>
      <c r="AX155" s="77">
        <v>110</v>
      </c>
      <c r="AY155" s="77">
        <v>86</v>
      </c>
      <c r="AZ155" s="77">
        <v>84</v>
      </c>
      <c r="BA155" s="77">
        <v>72</v>
      </c>
      <c r="BB155" s="77">
        <v>82</v>
      </c>
      <c r="BC155" s="77">
        <v>61</v>
      </c>
      <c r="BD155" s="77">
        <v>72</v>
      </c>
      <c r="BE155" s="77">
        <v>64</v>
      </c>
      <c r="BF155" s="77">
        <v>60</v>
      </c>
      <c r="BG155" s="77">
        <v>87</v>
      </c>
      <c r="BH155" s="77">
        <v>87</v>
      </c>
      <c r="BI155" s="77">
        <v>84</v>
      </c>
      <c r="BJ155" s="77">
        <v>67</v>
      </c>
      <c r="BK155" s="77">
        <v>80</v>
      </c>
      <c r="BL155" s="77">
        <v>99</v>
      </c>
      <c r="BM155" s="77">
        <v>80</v>
      </c>
      <c r="BN155" s="77">
        <v>97</v>
      </c>
      <c r="BO155" s="77">
        <v>69</v>
      </c>
      <c r="BP155" s="77">
        <v>64</v>
      </c>
      <c r="BQ155" s="77">
        <v>61</v>
      </c>
      <c r="BR155" s="77">
        <v>65</v>
      </c>
      <c r="BS155" s="77">
        <v>61</v>
      </c>
      <c r="BT155" s="77">
        <v>50</v>
      </c>
      <c r="BU155" s="77">
        <v>40</v>
      </c>
      <c r="BV155" s="77">
        <v>26</v>
      </c>
    </row>
    <row r="156" spans="1:85">
      <c r="A156" s="74" t="s">
        <v>176</v>
      </c>
      <c r="B156" s="76">
        <v>202410</v>
      </c>
      <c r="C156" s="77">
        <v>3097</v>
      </c>
      <c r="D156" s="78">
        <v>63444.1</v>
      </c>
      <c r="E156" s="77">
        <v>2944</v>
      </c>
      <c r="AM156" s="77">
        <v>30</v>
      </c>
      <c r="AN156" s="77">
        <v>51</v>
      </c>
      <c r="AO156" s="77">
        <v>73</v>
      </c>
      <c r="AP156" s="77">
        <v>66</v>
      </c>
      <c r="AQ156" s="77">
        <v>80</v>
      </c>
      <c r="AR156" s="77">
        <v>100</v>
      </c>
      <c r="AS156" s="77">
        <v>111</v>
      </c>
      <c r="AT156" s="77">
        <v>122</v>
      </c>
      <c r="AU156" s="77">
        <v>113</v>
      </c>
      <c r="AV156" s="77">
        <v>115</v>
      </c>
      <c r="AW156" s="77">
        <v>107</v>
      </c>
      <c r="AX156" s="77">
        <v>113</v>
      </c>
      <c r="AY156" s="77">
        <v>112</v>
      </c>
      <c r="AZ156" s="77">
        <v>86</v>
      </c>
      <c r="BA156" s="77">
        <v>73</v>
      </c>
      <c r="BB156" s="77">
        <v>94</v>
      </c>
      <c r="BC156" s="77">
        <v>93</v>
      </c>
      <c r="BD156" s="77">
        <v>68</v>
      </c>
      <c r="BE156" s="77">
        <v>79</v>
      </c>
      <c r="BF156" s="77">
        <v>80</v>
      </c>
      <c r="BG156" s="77">
        <v>105</v>
      </c>
      <c r="BH156" s="77">
        <v>114</v>
      </c>
      <c r="BI156" s="77">
        <v>107</v>
      </c>
      <c r="BJ156" s="77">
        <v>103</v>
      </c>
      <c r="BK156" s="77">
        <v>92</v>
      </c>
      <c r="BL156" s="77">
        <v>88</v>
      </c>
      <c r="BM156" s="77">
        <v>99</v>
      </c>
      <c r="BN156" s="77">
        <v>94</v>
      </c>
      <c r="BO156" s="77">
        <v>94</v>
      </c>
      <c r="BP156" s="77">
        <v>99</v>
      </c>
      <c r="BQ156" s="77">
        <v>73</v>
      </c>
      <c r="BR156" s="77">
        <v>80</v>
      </c>
      <c r="BS156" s="77">
        <v>65</v>
      </c>
      <c r="BT156" s="77">
        <v>52</v>
      </c>
      <c r="BU156" s="77">
        <v>43</v>
      </c>
      <c r="BV156" s="77">
        <v>23</v>
      </c>
    </row>
    <row r="157" spans="1:85">
      <c r="A157" s="74" t="s">
        <v>176</v>
      </c>
      <c r="B157" s="76">
        <v>202411</v>
      </c>
      <c r="C157" s="77">
        <v>2800</v>
      </c>
      <c r="D157" s="78">
        <v>56371.8667</v>
      </c>
      <c r="E157" s="77">
        <v>2661</v>
      </c>
      <c r="AM157" s="77">
        <v>23</v>
      </c>
      <c r="AN157" s="77">
        <v>55</v>
      </c>
      <c r="AO157" s="77">
        <v>51</v>
      </c>
      <c r="AP157" s="77">
        <v>69</v>
      </c>
      <c r="AQ157" s="77">
        <v>92</v>
      </c>
      <c r="AR157" s="77">
        <v>93</v>
      </c>
      <c r="AS157" s="77">
        <v>75</v>
      </c>
      <c r="AT157" s="77">
        <v>95</v>
      </c>
      <c r="AU157" s="77">
        <v>88</v>
      </c>
      <c r="AV157" s="77">
        <v>104</v>
      </c>
      <c r="AW157" s="77">
        <v>99</v>
      </c>
      <c r="AX157" s="77">
        <v>107</v>
      </c>
      <c r="AY157" s="77">
        <v>76</v>
      </c>
      <c r="AZ157" s="77">
        <v>99</v>
      </c>
      <c r="BA157" s="77">
        <v>80</v>
      </c>
      <c r="BB157" s="77">
        <v>72</v>
      </c>
      <c r="BC157" s="77">
        <v>90</v>
      </c>
      <c r="BD157" s="77">
        <v>66</v>
      </c>
      <c r="BE157" s="77">
        <v>66</v>
      </c>
      <c r="BF157" s="77">
        <v>80</v>
      </c>
      <c r="BG157" s="77">
        <v>82</v>
      </c>
      <c r="BH157" s="77">
        <v>98</v>
      </c>
      <c r="BI157" s="77">
        <v>86</v>
      </c>
      <c r="BJ157" s="77">
        <v>99</v>
      </c>
      <c r="BK157" s="77">
        <v>72</v>
      </c>
      <c r="BL157" s="77">
        <v>98</v>
      </c>
      <c r="BM157" s="77">
        <v>95</v>
      </c>
      <c r="BN157" s="77">
        <v>68</v>
      </c>
      <c r="BO157" s="77">
        <v>74</v>
      </c>
      <c r="BP157" s="77">
        <v>88</v>
      </c>
      <c r="BQ157" s="77">
        <v>89</v>
      </c>
      <c r="BR157" s="77">
        <v>83</v>
      </c>
      <c r="BS157" s="77">
        <v>68</v>
      </c>
      <c r="BT157" s="77">
        <v>57</v>
      </c>
      <c r="BU157" s="77">
        <v>40</v>
      </c>
      <c r="BV157" s="77">
        <v>22</v>
      </c>
      <c r="BW157" s="77">
        <v>1</v>
      </c>
    </row>
    <row r="158" spans="1:85">
      <c r="A158" s="74" t="s">
        <v>176</v>
      </c>
      <c r="B158" s="76">
        <v>202501</v>
      </c>
      <c r="C158" s="77">
        <v>3097</v>
      </c>
      <c r="D158" s="78">
        <v>53143.55</v>
      </c>
      <c r="E158" s="77">
        <v>2962</v>
      </c>
      <c r="AL158" s="77">
        <v>1</v>
      </c>
      <c r="AM158" s="77">
        <v>17</v>
      </c>
      <c r="AN158" s="77">
        <v>42</v>
      </c>
      <c r="AO158" s="77">
        <v>43</v>
      </c>
      <c r="AP158" s="77">
        <v>59</v>
      </c>
      <c r="AQ158" s="77">
        <v>64</v>
      </c>
      <c r="AR158" s="77">
        <v>87</v>
      </c>
      <c r="AS158" s="77">
        <v>108</v>
      </c>
      <c r="AT158" s="77">
        <v>119</v>
      </c>
      <c r="AU158" s="77">
        <v>123</v>
      </c>
      <c r="AV158" s="77">
        <v>118</v>
      </c>
      <c r="AW158" s="77">
        <v>132</v>
      </c>
      <c r="AX158" s="77">
        <v>134</v>
      </c>
      <c r="AY158" s="77">
        <v>139</v>
      </c>
      <c r="AZ158" s="77">
        <v>100</v>
      </c>
      <c r="BA158" s="77">
        <v>91</v>
      </c>
      <c r="BB158" s="77">
        <v>80</v>
      </c>
      <c r="BC158" s="77">
        <v>90</v>
      </c>
      <c r="BD158" s="77">
        <v>80</v>
      </c>
      <c r="BE158" s="77">
        <v>86</v>
      </c>
      <c r="BF158" s="77">
        <v>108</v>
      </c>
      <c r="BG158" s="77">
        <v>104</v>
      </c>
      <c r="BH158" s="77">
        <v>89</v>
      </c>
      <c r="BI158" s="77">
        <v>98</v>
      </c>
      <c r="BJ158" s="77">
        <v>109</v>
      </c>
      <c r="BK158" s="77">
        <v>96</v>
      </c>
      <c r="BL158" s="77">
        <v>81</v>
      </c>
      <c r="BM158" s="77">
        <v>87</v>
      </c>
      <c r="BN158" s="77">
        <v>101</v>
      </c>
      <c r="BO158" s="77">
        <v>73</v>
      </c>
      <c r="BP158" s="77">
        <v>76</v>
      </c>
      <c r="BQ158" s="77">
        <v>78</v>
      </c>
      <c r="BR158" s="77">
        <v>89</v>
      </c>
      <c r="BS158" s="77">
        <v>65</v>
      </c>
      <c r="BT158" s="77">
        <v>67</v>
      </c>
      <c r="BU158" s="77">
        <v>47</v>
      </c>
      <c r="BV158" s="77">
        <v>16</v>
      </c>
    </row>
    <row r="159" spans="1:85">
      <c r="A159" s="74" t="s">
        <v>176</v>
      </c>
      <c r="B159" s="76">
        <v>202502</v>
      </c>
      <c r="C159" s="77">
        <v>3324</v>
      </c>
      <c r="D159" s="78">
        <v>52729.6333</v>
      </c>
      <c r="E159" s="77">
        <v>3199</v>
      </c>
      <c r="AM159" s="77">
        <v>9</v>
      </c>
      <c r="AN159" s="77">
        <v>39</v>
      </c>
      <c r="AO159" s="77">
        <v>34</v>
      </c>
      <c r="AP159" s="77">
        <v>65</v>
      </c>
      <c r="AQ159" s="77">
        <v>96</v>
      </c>
      <c r="AR159" s="77">
        <v>104</v>
      </c>
      <c r="AS159" s="77">
        <v>101</v>
      </c>
      <c r="AT159" s="77">
        <v>105</v>
      </c>
      <c r="AU159" s="77">
        <v>115</v>
      </c>
      <c r="AV159" s="77">
        <v>121</v>
      </c>
      <c r="AW159" s="77">
        <v>104</v>
      </c>
      <c r="AX159" s="77">
        <v>138</v>
      </c>
      <c r="AY159" s="77">
        <v>128</v>
      </c>
      <c r="AZ159" s="77">
        <v>119</v>
      </c>
      <c r="BA159" s="77">
        <v>96</v>
      </c>
      <c r="BB159" s="77">
        <v>81</v>
      </c>
      <c r="BC159" s="77">
        <v>92</v>
      </c>
      <c r="BD159" s="77">
        <v>87</v>
      </c>
      <c r="BE159" s="77">
        <v>80</v>
      </c>
      <c r="BF159" s="77">
        <v>112</v>
      </c>
      <c r="BG159" s="77">
        <v>98</v>
      </c>
      <c r="BH159" s="77">
        <v>126</v>
      </c>
      <c r="BI159" s="77">
        <v>123</v>
      </c>
      <c r="BJ159" s="77">
        <v>115</v>
      </c>
      <c r="BK159" s="77">
        <v>112</v>
      </c>
      <c r="BL159" s="77">
        <v>121</v>
      </c>
      <c r="BM159" s="77">
        <v>96</v>
      </c>
      <c r="BN159" s="77">
        <v>131</v>
      </c>
      <c r="BO159" s="77">
        <v>83</v>
      </c>
      <c r="BP159" s="77">
        <v>80</v>
      </c>
      <c r="BQ159" s="77">
        <v>80</v>
      </c>
      <c r="BR159" s="77">
        <v>90</v>
      </c>
      <c r="BS159" s="77">
        <v>82</v>
      </c>
      <c r="BT159" s="77">
        <v>78</v>
      </c>
      <c r="BU159" s="77">
        <v>48</v>
      </c>
      <c r="BV159" s="77">
        <v>34</v>
      </c>
      <c r="BW159" s="77">
        <v>1</v>
      </c>
    </row>
    <row r="160" spans="1:85">
      <c r="A160" s="74" t="s">
        <v>176</v>
      </c>
      <c r="B160" s="76">
        <v>202503</v>
      </c>
      <c r="C160" s="77">
        <v>4152</v>
      </c>
      <c r="D160" s="78">
        <v>58599.8833</v>
      </c>
      <c r="E160" s="77">
        <v>4011</v>
      </c>
      <c r="AM160" s="77">
        <v>15</v>
      </c>
      <c r="AN160" s="77">
        <v>66</v>
      </c>
      <c r="AO160" s="77">
        <v>77</v>
      </c>
      <c r="AP160" s="77">
        <v>87</v>
      </c>
      <c r="AQ160" s="77">
        <v>123</v>
      </c>
      <c r="AR160" s="77">
        <v>107</v>
      </c>
      <c r="AS160" s="77">
        <v>125</v>
      </c>
      <c r="AT160" s="77">
        <v>147</v>
      </c>
      <c r="AU160" s="77">
        <v>146</v>
      </c>
      <c r="AV160" s="77">
        <v>166</v>
      </c>
      <c r="AW160" s="77">
        <v>187</v>
      </c>
      <c r="AX160" s="77">
        <v>147</v>
      </c>
      <c r="AY160" s="77">
        <v>151</v>
      </c>
      <c r="AZ160" s="77">
        <v>140</v>
      </c>
      <c r="BA160" s="77">
        <v>139</v>
      </c>
      <c r="BB160" s="77">
        <v>122</v>
      </c>
      <c r="BC160" s="77">
        <v>108</v>
      </c>
      <c r="BD160" s="77">
        <v>103</v>
      </c>
      <c r="BE160" s="77">
        <v>118</v>
      </c>
      <c r="BF160" s="77">
        <v>135</v>
      </c>
      <c r="BG160" s="77">
        <v>110</v>
      </c>
      <c r="BH160" s="77">
        <v>126</v>
      </c>
      <c r="BI160" s="77">
        <v>119</v>
      </c>
      <c r="BJ160" s="77">
        <v>131</v>
      </c>
      <c r="BK160" s="77">
        <v>117</v>
      </c>
      <c r="BL160" s="77">
        <v>133</v>
      </c>
      <c r="BM160" s="77">
        <v>139</v>
      </c>
      <c r="BN160" s="77">
        <v>144</v>
      </c>
      <c r="BO160" s="77">
        <v>111</v>
      </c>
      <c r="BP160" s="77">
        <v>99</v>
      </c>
      <c r="BQ160" s="77">
        <v>129</v>
      </c>
      <c r="BR160" s="77">
        <v>114</v>
      </c>
      <c r="BS160" s="77">
        <v>97</v>
      </c>
      <c r="BT160" s="77">
        <v>74</v>
      </c>
      <c r="BU160" s="77">
        <v>64</v>
      </c>
      <c r="BV160" s="77">
        <v>32</v>
      </c>
      <c r="BW160" s="77">
        <v>3</v>
      </c>
      <c r="BX160" s="77">
        <v>1</v>
      </c>
    </row>
    <row r="161" spans="1:75">
      <c r="A161" s="74" t="s">
        <v>176</v>
      </c>
      <c r="B161" s="76">
        <v>202504</v>
      </c>
      <c r="C161" s="77">
        <v>3437</v>
      </c>
      <c r="D161" s="78">
        <v>57529.6</v>
      </c>
      <c r="E161" s="77">
        <v>3300</v>
      </c>
      <c r="AL161" s="77">
        <v>1</v>
      </c>
      <c r="AM161" s="77">
        <v>17</v>
      </c>
      <c r="AN161" s="77">
        <v>61</v>
      </c>
      <c r="AO161" s="77">
        <v>68</v>
      </c>
      <c r="AP161" s="77">
        <v>84</v>
      </c>
      <c r="AQ161" s="77">
        <v>107</v>
      </c>
      <c r="AR161" s="77">
        <v>131</v>
      </c>
      <c r="AS161" s="77">
        <v>112</v>
      </c>
      <c r="AT161" s="77">
        <v>111</v>
      </c>
      <c r="AU161" s="77">
        <v>145</v>
      </c>
      <c r="AV161" s="77">
        <v>146</v>
      </c>
      <c r="AW161" s="77">
        <v>124</v>
      </c>
      <c r="AX161" s="77">
        <v>131</v>
      </c>
      <c r="AY161" s="77">
        <v>114</v>
      </c>
      <c r="AZ161" s="77">
        <v>109</v>
      </c>
      <c r="BA161" s="77">
        <v>99</v>
      </c>
      <c r="BB161" s="77">
        <v>102</v>
      </c>
      <c r="BC161" s="77">
        <v>86</v>
      </c>
      <c r="BD161" s="77">
        <v>89</v>
      </c>
      <c r="BE161" s="77">
        <v>82</v>
      </c>
      <c r="BF161" s="77">
        <v>82</v>
      </c>
      <c r="BG161" s="77">
        <v>108</v>
      </c>
      <c r="BH161" s="77">
        <v>114</v>
      </c>
      <c r="BI161" s="77">
        <v>107</v>
      </c>
      <c r="BJ161" s="77">
        <v>115</v>
      </c>
      <c r="BK161" s="77">
        <v>101</v>
      </c>
      <c r="BL161" s="77">
        <v>113</v>
      </c>
      <c r="BM161" s="77">
        <v>86</v>
      </c>
      <c r="BN161" s="77">
        <v>91</v>
      </c>
      <c r="BO161" s="77">
        <v>93</v>
      </c>
      <c r="BP161" s="77">
        <v>100</v>
      </c>
      <c r="BQ161" s="77">
        <v>77</v>
      </c>
      <c r="BR161" s="77">
        <v>77</v>
      </c>
      <c r="BS161" s="77">
        <v>85</v>
      </c>
      <c r="BT161" s="77">
        <v>80</v>
      </c>
      <c r="BU161" s="77">
        <v>50</v>
      </c>
      <c r="BV161" s="77">
        <v>35</v>
      </c>
      <c r="BW161" s="77">
        <v>4</v>
      </c>
    </row>
    <row r="162" spans="1:75">
      <c r="A162" s="74" t="s">
        <v>176</v>
      </c>
      <c r="B162" s="76">
        <v>202505</v>
      </c>
      <c r="C162" s="77">
        <v>3050</v>
      </c>
      <c r="D162" s="78">
        <v>55166.7833</v>
      </c>
      <c r="E162" s="77">
        <v>2914</v>
      </c>
      <c r="AM162" s="77">
        <v>16</v>
      </c>
      <c r="AN162" s="77">
        <v>64</v>
      </c>
      <c r="AO162" s="77">
        <v>67</v>
      </c>
      <c r="AP162" s="77">
        <v>80</v>
      </c>
      <c r="AQ162" s="77">
        <v>114</v>
      </c>
      <c r="AR162" s="77">
        <v>99</v>
      </c>
      <c r="AS162" s="77">
        <v>105</v>
      </c>
      <c r="AT162" s="77">
        <v>114</v>
      </c>
      <c r="AU162" s="77">
        <v>112</v>
      </c>
      <c r="AV162" s="77">
        <v>127</v>
      </c>
      <c r="AW162" s="77">
        <v>119</v>
      </c>
      <c r="AX162" s="77">
        <v>102</v>
      </c>
      <c r="AY162" s="77">
        <v>97</v>
      </c>
      <c r="AZ162" s="77">
        <v>101</v>
      </c>
      <c r="BA162" s="77">
        <v>102</v>
      </c>
      <c r="BB162" s="77">
        <v>70</v>
      </c>
      <c r="BC162" s="77">
        <v>93</v>
      </c>
      <c r="BD162" s="77">
        <v>70</v>
      </c>
      <c r="BE162" s="77">
        <v>77</v>
      </c>
      <c r="BF162" s="77">
        <v>71</v>
      </c>
      <c r="BG162" s="77">
        <v>88</v>
      </c>
      <c r="BH162" s="77">
        <v>85</v>
      </c>
      <c r="BI162" s="77">
        <v>107</v>
      </c>
      <c r="BJ162" s="77">
        <v>107</v>
      </c>
      <c r="BK162" s="77">
        <v>90</v>
      </c>
      <c r="BL162" s="77">
        <v>93</v>
      </c>
      <c r="BM162" s="77">
        <v>83</v>
      </c>
      <c r="BN162" s="77">
        <v>81</v>
      </c>
      <c r="BO162" s="77">
        <v>75</v>
      </c>
      <c r="BP162" s="77">
        <v>96</v>
      </c>
      <c r="BQ162" s="77">
        <v>75</v>
      </c>
      <c r="BR162" s="77">
        <v>54</v>
      </c>
      <c r="BS162" s="77">
        <v>68</v>
      </c>
      <c r="BT162" s="77">
        <v>56</v>
      </c>
      <c r="BU162" s="77">
        <v>53</v>
      </c>
      <c r="BV162" s="77">
        <v>32</v>
      </c>
      <c r="BW162" s="77">
        <v>7</v>
      </c>
    </row>
    <row r="163" spans="1:75">
      <c r="A163" s="74" t="s">
        <v>176</v>
      </c>
      <c r="B163" s="76">
        <v>202506</v>
      </c>
      <c r="C163" s="77">
        <v>3461</v>
      </c>
      <c r="D163" s="78">
        <v>59993.1</v>
      </c>
      <c r="E163" s="77">
        <v>3315</v>
      </c>
      <c r="AM163" s="77">
        <v>16</v>
      </c>
      <c r="AN163" s="77">
        <v>53</v>
      </c>
      <c r="AO163" s="77">
        <v>51</v>
      </c>
      <c r="AP163" s="77">
        <v>98</v>
      </c>
      <c r="AQ163" s="77">
        <v>88</v>
      </c>
      <c r="AR163" s="77">
        <v>101</v>
      </c>
      <c r="AS163" s="77">
        <v>127</v>
      </c>
      <c r="AT163" s="77">
        <v>125</v>
      </c>
      <c r="AU163" s="77">
        <v>121</v>
      </c>
      <c r="AV163" s="77">
        <v>129</v>
      </c>
      <c r="AW163" s="77">
        <v>145</v>
      </c>
      <c r="AX163" s="77">
        <v>130</v>
      </c>
      <c r="AY163" s="77">
        <v>126</v>
      </c>
      <c r="AZ163" s="77">
        <v>134</v>
      </c>
      <c r="BA163" s="77">
        <v>94</v>
      </c>
      <c r="BB163" s="77">
        <v>85</v>
      </c>
      <c r="BC163" s="77">
        <v>100</v>
      </c>
      <c r="BD163" s="77">
        <v>92</v>
      </c>
      <c r="BE163" s="77">
        <v>86</v>
      </c>
      <c r="BF163" s="77">
        <v>113</v>
      </c>
      <c r="BG163" s="77">
        <v>119</v>
      </c>
      <c r="BH163" s="77">
        <v>123</v>
      </c>
      <c r="BI163" s="77">
        <v>120</v>
      </c>
      <c r="BJ163" s="77">
        <v>104</v>
      </c>
      <c r="BK163" s="77">
        <v>96</v>
      </c>
      <c r="BL163" s="77">
        <v>105</v>
      </c>
      <c r="BM163" s="77">
        <v>86</v>
      </c>
      <c r="BN163" s="77">
        <v>93</v>
      </c>
      <c r="BO163" s="77">
        <v>92</v>
      </c>
      <c r="BP163" s="77">
        <v>109</v>
      </c>
      <c r="BQ163" s="77">
        <v>75</v>
      </c>
      <c r="BR163" s="77">
        <v>91</v>
      </c>
      <c r="BS163" s="77">
        <v>66</v>
      </c>
      <c r="BT163" s="77">
        <v>91</v>
      </c>
      <c r="BU163" s="77">
        <v>41</v>
      </c>
      <c r="BV163" s="77">
        <v>34</v>
      </c>
      <c r="BW163" s="77">
        <v>2</v>
      </c>
    </row>
    <row r="164" spans="1:75">
      <c r="A164" s="74" t="s">
        <v>176</v>
      </c>
      <c r="B164" s="76">
        <v>202507</v>
      </c>
      <c r="C164" s="77">
        <v>3600</v>
      </c>
      <c r="D164" s="78">
        <v>63074.6167</v>
      </c>
      <c r="E164" s="77">
        <v>3449</v>
      </c>
      <c r="AM164" s="77">
        <v>34</v>
      </c>
      <c r="AN164" s="77">
        <v>78</v>
      </c>
      <c r="AO164" s="77">
        <v>80</v>
      </c>
      <c r="AP164" s="77">
        <v>94</v>
      </c>
      <c r="AQ164" s="77">
        <v>147</v>
      </c>
      <c r="AR164" s="77">
        <v>137</v>
      </c>
      <c r="AS164" s="77">
        <v>123</v>
      </c>
      <c r="AT164" s="77">
        <v>140</v>
      </c>
      <c r="AU164" s="77">
        <v>145</v>
      </c>
      <c r="AV164" s="77">
        <v>130</v>
      </c>
      <c r="AW164" s="77">
        <v>102</v>
      </c>
      <c r="AX164" s="77">
        <v>119</v>
      </c>
      <c r="AY164" s="77">
        <v>133</v>
      </c>
      <c r="AZ164" s="77">
        <v>109</v>
      </c>
      <c r="BA164" s="77">
        <v>111</v>
      </c>
      <c r="BB164" s="77">
        <v>92</v>
      </c>
      <c r="BC164" s="77">
        <v>89</v>
      </c>
      <c r="BD164" s="77">
        <v>78</v>
      </c>
      <c r="BE164" s="77">
        <v>75</v>
      </c>
      <c r="BF164" s="77">
        <v>98</v>
      </c>
      <c r="BG164" s="77">
        <v>133</v>
      </c>
      <c r="BH164" s="77">
        <v>118</v>
      </c>
      <c r="BI164" s="77">
        <v>105</v>
      </c>
      <c r="BJ164" s="77">
        <v>110</v>
      </c>
      <c r="BK164" s="77">
        <v>89</v>
      </c>
      <c r="BL164" s="77">
        <v>108</v>
      </c>
      <c r="BM164" s="77">
        <v>108</v>
      </c>
      <c r="BN164" s="77">
        <v>101</v>
      </c>
      <c r="BO164" s="77">
        <v>73</v>
      </c>
      <c r="BP164" s="77">
        <v>89</v>
      </c>
      <c r="BQ164" s="77">
        <v>90</v>
      </c>
      <c r="BR164" s="77">
        <v>104</v>
      </c>
      <c r="BS164" s="77">
        <v>93</v>
      </c>
      <c r="BT164" s="77">
        <v>72</v>
      </c>
      <c r="BU164" s="77">
        <v>56</v>
      </c>
      <c r="BV164" s="77">
        <v>34</v>
      </c>
      <c r="BW164" s="77">
        <v>3</v>
      </c>
    </row>
    <row r="165" spans="1:75">
      <c r="A165" s="74" t="s">
        <v>176</v>
      </c>
      <c r="B165" s="76">
        <v>202508</v>
      </c>
      <c r="C165" s="77">
        <v>3075</v>
      </c>
      <c r="D165" s="78">
        <v>51740.9167</v>
      </c>
      <c r="E165" s="77">
        <v>2949</v>
      </c>
      <c r="AM165" s="77">
        <v>16</v>
      </c>
      <c r="AN165" s="77">
        <v>50</v>
      </c>
      <c r="AO165" s="77">
        <v>62</v>
      </c>
      <c r="AP165" s="77">
        <v>85</v>
      </c>
      <c r="AQ165" s="77">
        <v>87</v>
      </c>
      <c r="AR165" s="77">
        <v>116</v>
      </c>
      <c r="AS165" s="77">
        <v>92</v>
      </c>
      <c r="AT165" s="77">
        <v>108</v>
      </c>
      <c r="AU165" s="77">
        <v>110</v>
      </c>
      <c r="AV165" s="77">
        <v>126</v>
      </c>
      <c r="AW165" s="77">
        <v>120</v>
      </c>
      <c r="AX165" s="77">
        <v>109</v>
      </c>
      <c r="AY165" s="77">
        <v>100</v>
      </c>
      <c r="AZ165" s="77">
        <v>125</v>
      </c>
      <c r="BA165" s="77">
        <v>70</v>
      </c>
      <c r="BB165" s="77">
        <v>77</v>
      </c>
      <c r="BC165" s="77">
        <v>83</v>
      </c>
      <c r="BD165" s="77">
        <v>59</v>
      </c>
      <c r="BE165" s="77">
        <v>76</v>
      </c>
      <c r="BF165" s="77">
        <v>73</v>
      </c>
      <c r="BG165" s="77">
        <v>108</v>
      </c>
      <c r="BH165" s="77">
        <v>100</v>
      </c>
      <c r="BI165" s="77">
        <v>125</v>
      </c>
      <c r="BJ165" s="77">
        <v>107</v>
      </c>
      <c r="BK165" s="77">
        <v>103</v>
      </c>
      <c r="BL165" s="77">
        <v>94</v>
      </c>
      <c r="BM165" s="77">
        <v>84</v>
      </c>
      <c r="BN165" s="77">
        <v>91</v>
      </c>
      <c r="BO165" s="77">
        <v>90</v>
      </c>
      <c r="BP165" s="77">
        <v>84</v>
      </c>
      <c r="BQ165" s="77">
        <v>78</v>
      </c>
      <c r="BR165" s="77">
        <v>71</v>
      </c>
      <c r="BS165" s="77">
        <v>74</v>
      </c>
      <c r="BT165" s="77">
        <v>53</v>
      </c>
      <c r="BU165" s="77">
        <v>42</v>
      </c>
      <c r="BV165" s="77">
        <v>24</v>
      </c>
      <c r="BW165" s="77">
        <v>3</v>
      </c>
    </row>
    <row r="166" spans="1:75">
      <c r="A166" s="74" t="s">
        <v>176</v>
      </c>
      <c r="B166" s="76">
        <v>202509</v>
      </c>
      <c r="C166" s="77">
        <v>2876</v>
      </c>
      <c r="D166" s="78">
        <v>56110.0167</v>
      </c>
      <c r="E166" s="77">
        <v>2738</v>
      </c>
      <c r="AM166" s="77">
        <v>8</v>
      </c>
      <c r="AN166" s="77">
        <v>61</v>
      </c>
      <c r="AO166" s="77">
        <v>59</v>
      </c>
      <c r="AP166" s="77">
        <v>69</v>
      </c>
      <c r="AQ166" s="77">
        <v>82</v>
      </c>
      <c r="AR166" s="77">
        <v>107</v>
      </c>
      <c r="AS166" s="77">
        <v>97</v>
      </c>
      <c r="AT166" s="77">
        <v>86</v>
      </c>
      <c r="AU166" s="77">
        <v>115</v>
      </c>
      <c r="AV166" s="77">
        <v>112</v>
      </c>
      <c r="AW166" s="77">
        <v>119</v>
      </c>
      <c r="AX166" s="77">
        <v>110</v>
      </c>
      <c r="AY166" s="77">
        <v>105</v>
      </c>
      <c r="AZ166" s="77">
        <v>93</v>
      </c>
      <c r="BA166" s="77">
        <v>81</v>
      </c>
      <c r="BB166" s="77">
        <v>72</v>
      </c>
      <c r="BC166" s="77">
        <v>65</v>
      </c>
      <c r="BD166" s="77">
        <v>67</v>
      </c>
      <c r="BE166" s="77">
        <v>59</v>
      </c>
      <c r="BF166" s="77">
        <v>75</v>
      </c>
      <c r="BG166" s="77">
        <v>97</v>
      </c>
      <c r="BH166" s="77">
        <v>82</v>
      </c>
      <c r="BI166" s="77">
        <v>88</v>
      </c>
      <c r="BJ166" s="77">
        <v>86</v>
      </c>
      <c r="BK166" s="77">
        <v>106</v>
      </c>
      <c r="BL166" s="77">
        <v>95</v>
      </c>
      <c r="BM166" s="77">
        <v>75</v>
      </c>
      <c r="BN166" s="77">
        <v>96</v>
      </c>
      <c r="BO166" s="77">
        <v>78</v>
      </c>
      <c r="BP166" s="77">
        <v>72</v>
      </c>
      <c r="BQ166" s="77">
        <v>74</v>
      </c>
      <c r="BR166" s="77">
        <v>80</v>
      </c>
      <c r="BS166" s="77">
        <v>66</v>
      </c>
      <c r="BT166" s="77">
        <v>59</v>
      </c>
      <c r="BU166" s="77">
        <v>51</v>
      </c>
      <c r="BV166" s="77">
        <v>29</v>
      </c>
    </row>
    <row r="167" spans="1:75">
      <c r="A167" s="74" t="s">
        <v>176</v>
      </c>
      <c r="B167" s="76">
        <v>202510</v>
      </c>
      <c r="C167" s="77">
        <v>3195</v>
      </c>
      <c r="D167" s="78">
        <v>62040.05</v>
      </c>
      <c r="E167" s="77">
        <v>3044</v>
      </c>
      <c r="AL167" s="77">
        <v>1</v>
      </c>
      <c r="AM167" s="77">
        <v>14</v>
      </c>
      <c r="AN167" s="77">
        <v>51</v>
      </c>
      <c r="AO167" s="77">
        <v>71</v>
      </c>
      <c r="AP167" s="77">
        <v>88</v>
      </c>
      <c r="AQ167" s="77">
        <v>108</v>
      </c>
      <c r="AR167" s="77">
        <v>95</v>
      </c>
      <c r="AS167" s="77">
        <v>102</v>
      </c>
      <c r="AT167" s="77">
        <v>116</v>
      </c>
      <c r="AU167" s="77">
        <v>129</v>
      </c>
      <c r="AV167" s="77">
        <v>110</v>
      </c>
      <c r="AW167" s="77">
        <v>124</v>
      </c>
      <c r="AX167" s="77">
        <v>102</v>
      </c>
      <c r="AY167" s="77">
        <v>99</v>
      </c>
      <c r="AZ167" s="77">
        <v>118</v>
      </c>
      <c r="BA167" s="77">
        <v>90</v>
      </c>
      <c r="BB167" s="77">
        <v>87</v>
      </c>
      <c r="BC167" s="77">
        <v>66</v>
      </c>
      <c r="BD167" s="77">
        <v>81</v>
      </c>
      <c r="BE167" s="77">
        <v>65</v>
      </c>
      <c r="BF167" s="77">
        <v>97</v>
      </c>
      <c r="BG167" s="77">
        <v>105</v>
      </c>
      <c r="BH167" s="77">
        <v>82</v>
      </c>
      <c r="BI167" s="77">
        <v>100</v>
      </c>
      <c r="BJ167" s="77">
        <v>88</v>
      </c>
      <c r="BK167" s="77">
        <v>80</v>
      </c>
      <c r="BL167" s="77">
        <v>101</v>
      </c>
      <c r="BM167" s="77">
        <v>87</v>
      </c>
      <c r="BN167" s="77">
        <v>96</v>
      </c>
      <c r="BO167" s="77">
        <v>82</v>
      </c>
      <c r="BP167" s="77">
        <v>94</v>
      </c>
      <c r="BQ167" s="77">
        <v>95</v>
      </c>
      <c r="BR167" s="77">
        <v>111</v>
      </c>
      <c r="BS167" s="77">
        <v>101</v>
      </c>
      <c r="BT167" s="77">
        <v>77</v>
      </c>
      <c r="BU167" s="77">
        <v>48</v>
      </c>
      <c r="BV167" s="77">
        <v>34</v>
      </c>
    </row>
    <row r="168" spans="1:75">
      <c r="A168" s="74" t="s">
        <v>176</v>
      </c>
      <c r="B168" s="76">
        <v>202511</v>
      </c>
      <c r="C168" s="77">
        <v>2736</v>
      </c>
      <c r="D168" s="78">
        <v>47975.3667</v>
      </c>
      <c r="E168" s="77">
        <v>2613</v>
      </c>
      <c r="AM168" s="77">
        <v>11</v>
      </c>
      <c r="AN168" s="77">
        <v>41</v>
      </c>
      <c r="AO168" s="77">
        <v>44</v>
      </c>
      <c r="AP168" s="77">
        <v>64</v>
      </c>
      <c r="AQ168" s="77">
        <v>68</v>
      </c>
      <c r="AR168" s="77">
        <v>73</v>
      </c>
      <c r="AS168" s="77">
        <v>82</v>
      </c>
      <c r="AT168" s="77">
        <v>106</v>
      </c>
      <c r="AU168" s="77">
        <v>114</v>
      </c>
      <c r="AV168" s="77">
        <v>115</v>
      </c>
      <c r="AW168" s="77">
        <v>110</v>
      </c>
      <c r="AX168" s="77">
        <v>119</v>
      </c>
      <c r="AY168" s="77">
        <v>96</v>
      </c>
      <c r="AZ168" s="77">
        <v>107</v>
      </c>
      <c r="BA168" s="77">
        <v>69</v>
      </c>
      <c r="BB168" s="77">
        <v>71</v>
      </c>
      <c r="BC168" s="77">
        <v>84</v>
      </c>
      <c r="BD168" s="77">
        <v>64</v>
      </c>
      <c r="BE168" s="77">
        <v>59</v>
      </c>
      <c r="BF168" s="77">
        <v>91</v>
      </c>
      <c r="BG168" s="77">
        <v>90</v>
      </c>
      <c r="BH168" s="77">
        <v>79</v>
      </c>
      <c r="BI168" s="77">
        <v>82</v>
      </c>
      <c r="BJ168" s="77">
        <v>78</v>
      </c>
      <c r="BK168" s="77">
        <v>89</v>
      </c>
      <c r="BL168" s="77">
        <v>85</v>
      </c>
      <c r="BM168" s="77">
        <v>84</v>
      </c>
      <c r="BN168" s="77">
        <v>87</v>
      </c>
      <c r="BO168" s="77">
        <v>70</v>
      </c>
      <c r="BP168" s="77">
        <v>67</v>
      </c>
      <c r="BQ168" s="77">
        <v>80</v>
      </c>
      <c r="BR168" s="77">
        <v>63</v>
      </c>
      <c r="BS168" s="77">
        <v>71</v>
      </c>
      <c r="BT168" s="77">
        <v>64</v>
      </c>
      <c r="BU168" s="77">
        <v>30</v>
      </c>
      <c r="BV168" s="77">
        <v>29</v>
      </c>
    </row>
    <row r="169" spans="1:75">
      <c r="A169" s="74" t="s">
        <v>176</v>
      </c>
      <c r="B169" s="76">
        <v>202512</v>
      </c>
      <c r="C169" s="77">
        <v>2870</v>
      </c>
      <c r="D169" s="78">
        <v>54130.0667</v>
      </c>
      <c r="E169" s="77">
        <v>2738</v>
      </c>
      <c r="AM169" s="77">
        <v>11</v>
      </c>
      <c r="AN169" s="77">
        <v>62</v>
      </c>
      <c r="AO169" s="77">
        <v>59</v>
      </c>
      <c r="AP169" s="77">
        <v>63</v>
      </c>
      <c r="AQ169" s="77">
        <v>70</v>
      </c>
      <c r="AR169" s="77">
        <v>78</v>
      </c>
      <c r="AS169" s="77">
        <v>85</v>
      </c>
      <c r="AT169" s="77">
        <v>103</v>
      </c>
      <c r="AU169" s="77">
        <v>101</v>
      </c>
      <c r="AV169" s="77">
        <v>124</v>
      </c>
      <c r="AW169" s="77">
        <v>86</v>
      </c>
      <c r="AX169" s="77">
        <v>120</v>
      </c>
      <c r="AY169" s="77">
        <v>103</v>
      </c>
      <c r="AZ169" s="77">
        <v>100</v>
      </c>
      <c r="BA169" s="77">
        <v>89</v>
      </c>
      <c r="BB169" s="77">
        <v>84</v>
      </c>
      <c r="BC169" s="77">
        <v>69</v>
      </c>
      <c r="BD169" s="77">
        <v>75</v>
      </c>
      <c r="BE169" s="77">
        <v>75</v>
      </c>
      <c r="BF169" s="77">
        <v>83</v>
      </c>
      <c r="BG169" s="77">
        <v>86</v>
      </c>
      <c r="BH169" s="77">
        <v>82</v>
      </c>
      <c r="BI169" s="77">
        <v>91</v>
      </c>
      <c r="BJ169" s="77">
        <v>106</v>
      </c>
      <c r="BK169" s="77">
        <v>107</v>
      </c>
      <c r="BL169" s="77">
        <v>89</v>
      </c>
      <c r="BM169" s="77">
        <v>96</v>
      </c>
      <c r="BN169" s="77">
        <v>82</v>
      </c>
      <c r="BO169" s="77">
        <v>74</v>
      </c>
      <c r="BP169" s="77">
        <v>72</v>
      </c>
      <c r="BQ169" s="77">
        <v>63</v>
      </c>
      <c r="BR169" s="77">
        <v>71</v>
      </c>
      <c r="BS169" s="77">
        <v>71</v>
      </c>
      <c r="BT169" s="77">
        <v>77</v>
      </c>
      <c r="BU169" s="77">
        <v>31</v>
      </c>
      <c r="BV169" s="77">
        <v>32</v>
      </c>
    </row>
    <row r="170" spans="1:75">
      <c r="A170" s="74" t="s">
        <v>190</v>
      </c>
      <c r="B170" s="76">
        <v>202401</v>
      </c>
      <c r="C170" s="77">
        <v>3617</v>
      </c>
      <c r="D170" s="78">
        <v>51377.1333</v>
      </c>
      <c r="E170" s="77">
        <v>3488</v>
      </c>
      <c r="AK170" s="77">
        <v>1</v>
      </c>
      <c r="AM170" s="77">
        <v>20</v>
      </c>
      <c r="AN170" s="77">
        <v>46</v>
      </c>
      <c r="AO170" s="77">
        <v>54</v>
      </c>
      <c r="AP170" s="77">
        <v>86</v>
      </c>
      <c r="AQ170" s="77">
        <v>68</v>
      </c>
      <c r="AR170" s="77">
        <v>102</v>
      </c>
      <c r="AS170" s="77">
        <v>114</v>
      </c>
      <c r="AT170" s="77">
        <v>114</v>
      </c>
      <c r="AU170" s="77">
        <v>134</v>
      </c>
      <c r="AV170" s="77">
        <v>154</v>
      </c>
      <c r="AW170" s="77">
        <v>128</v>
      </c>
      <c r="AX170" s="77">
        <v>126</v>
      </c>
      <c r="AY170" s="77">
        <v>122</v>
      </c>
      <c r="AZ170" s="77">
        <v>119</v>
      </c>
      <c r="BA170" s="77">
        <v>130</v>
      </c>
      <c r="BB170" s="77">
        <v>127</v>
      </c>
      <c r="BC170" s="77">
        <v>91</v>
      </c>
      <c r="BD170" s="77">
        <v>97</v>
      </c>
      <c r="BE170" s="77">
        <v>95</v>
      </c>
      <c r="BF170" s="77">
        <v>99</v>
      </c>
      <c r="BG170" s="77">
        <v>115</v>
      </c>
      <c r="BH170" s="77">
        <v>103</v>
      </c>
      <c r="BI170" s="77">
        <v>92</v>
      </c>
      <c r="BJ170" s="77">
        <v>111</v>
      </c>
      <c r="BK170" s="77">
        <v>134</v>
      </c>
      <c r="BL170" s="77">
        <v>109</v>
      </c>
      <c r="BM170" s="77">
        <v>122</v>
      </c>
      <c r="BN170" s="77">
        <v>87</v>
      </c>
      <c r="BO170" s="77">
        <v>115</v>
      </c>
      <c r="BP170" s="77">
        <v>107</v>
      </c>
      <c r="BQ170" s="77">
        <v>108</v>
      </c>
      <c r="BR170" s="77">
        <v>110</v>
      </c>
      <c r="BS170" s="77">
        <v>96</v>
      </c>
      <c r="BT170" s="77">
        <v>90</v>
      </c>
      <c r="BU170" s="77">
        <v>69</v>
      </c>
      <c r="BV170" s="77">
        <v>22</v>
      </c>
    </row>
    <row r="171" spans="1:75">
      <c r="A171" s="74" t="s">
        <v>190</v>
      </c>
      <c r="B171" s="76">
        <v>202402</v>
      </c>
      <c r="C171" s="77">
        <v>3903</v>
      </c>
      <c r="D171" s="78">
        <v>52519.05</v>
      </c>
      <c r="E171" s="77">
        <v>3762</v>
      </c>
      <c r="AL171" s="77">
        <v>2</v>
      </c>
      <c r="AM171" s="77">
        <v>15</v>
      </c>
      <c r="AN171" s="77">
        <v>52</v>
      </c>
      <c r="AO171" s="77">
        <v>74</v>
      </c>
      <c r="AP171" s="77">
        <v>88</v>
      </c>
      <c r="AQ171" s="77">
        <v>91</v>
      </c>
      <c r="AR171" s="77">
        <v>131</v>
      </c>
      <c r="AS171" s="77">
        <v>124</v>
      </c>
      <c r="AT171" s="77">
        <v>122</v>
      </c>
      <c r="AU171" s="77">
        <v>127</v>
      </c>
      <c r="AV171" s="77">
        <v>127</v>
      </c>
      <c r="AW171" s="77">
        <v>145</v>
      </c>
      <c r="AX171" s="77">
        <v>139</v>
      </c>
      <c r="AY171" s="77">
        <v>140</v>
      </c>
      <c r="AZ171" s="77">
        <v>118</v>
      </c>
      <c r="BA171" s="77">
        <v>140</v>
      </c>
      <c r="BB171" s="77">
        <v>116</v>
      </c>
      <c r="BC171" s="77">
        <v>102</v>
      </c>
      <c r="BD171" s="77">
        <v>113</v>
      </c>
      <c r="BE171" s="77">
        <v>107</v>
      </c>
      <c r="BF171" s="77">
        <v>99</v>
      </c>
      <c r="BG171" s="77">
        <v>106</v>
      </c>
      <c r="BH171" s="77">
        <v>128</v>
      </c>
      <c r="BI171" s="77">
        <v>154</v>
      </c>
      <c r="BJ171" s="77">
        <v>136</v>
      </c>
      <c r="BK171" s="77">
        <v>130</v>
      </c>
      <c r="BL171" s="77">
        <v>122</v>
      </c>
      <c r="BM171" s="77">
        <v>129</v>
      </c>
      <c r="BN171" s="77">
        <v>104</v>
      </c>
      <c r="BO171" s="77">
        <v>98</v>
      </c>
      <c r="BP171" s="77">
        <v>108</v>
      </c>
      <c r="BQ171" s="77">
        <v>108</v>
      </c>
      <c r="BR171" s="77">
        <v>108</v>
      </c>
      <c r="BS171" s="77">
        <v>116</v>
      </c>
      <c r="BT171" s="77">
        <v>87</v>
      </c>
      <c r="BU171" s="77">
        <v>74</v>
      </c>
      <c r="BV171" s="77">
        <v>23</v>
      </c>
    </row>
    <row r="172" spans="1:75">
      <c r="A172" s="74" t="s">
        <v>190</v>
      </c>
      <c r="B172" s="76">
        <v>202403</v>
      </c>
      <c r="C172" s="77">
        <v>5416</v>
      </c>
      <c r="D172" s="78">
        <v>58613.1667</v>
      </c>
      <c r="E172" s="77">
        <v>5270</v>
      </c>
      <c r="AL172" s="77">
        <v>3</v>
      </c>
      <c r="AM172" s="77">
        <v>33</v>
      </c>
      <c r="AN172" s="77">
        <v>114</v>
      </c>
      <c r="AO172" s="77">
        <v>94</v>
      </c>
      <c r="AP172" s="77">
        <v>128</v>
      </c>
      <c r="AQ172" s="77">
        <v>156</v>
      </c>
      <c r="AR172" s="77">
        <v>157</v>
      </c>
      <c r="AS172" s="77">
        <v>147</v>
      </c>
      <c r="AT172" s="77">
        <v>177</v>
      </c>
      <c r="AU172" s="77">
        <v>209</v>
      </c>
      <c r="AV172" s="77">
        <v>189</v>
      </c>
      <c r="AW172" s="77">
        <v>203</v>
      </c>
      <c r="AX172" s="77">
        <v>192</v>
      </c>
      <c r="AY172" s="77">
        <v>183</v>
      </c>
      <c r="AZ172" s="77">
        <v>180</v>
      </c>
      <c r="BA172" s="77">
        <v>177</v>
      </c>
      <c r="BB172" s="77">
        <v>161</v>
      </c>
      <c r="BC172" s="77">
        <v>143</v>
      </c>
      <c r="BD172" s="77">
        <v>123</v>
      </c>
      <c r="BE172" s="77">
        <v>135</v>
      </c>
      <c r="BF172" s="77">
        <v>149</v>
      </c>
      <c r="BG172" s="77">
        <v>164</v>
      </c>
      <c r="BH172" s="77">
        <v>168</v>
      </c>
      <c r="BI172" s="77">
        <v>165</v>
      </c>
      <c r="BJ172" s="77">
        <v>187</v>
      </c>
      <c r="BK172" s="77">
        <v>182</v>
      </c>
      <c r="BL172" s="77">
        <v>179</v>
      </c>
      <c r="BM172" s="77">
        <v>160</v>
      </c>
      <c r="BN172" s="77">
        <v>159</v>
      </c>
      <c r="BO172" s="77">
        <v>164</v>
      </c>
      <c r="BP172" s="77">
        <v>167</v>
      </c>
      <c r="BQ172" s="77">
        <v>149</v>
      </c>
      <c r="BR172" s="77">
        <v>140</v>
      </c>
      <c r="BS172" s="77">
        <v>131</v>
      </c>
      <c r="BT172" s="77">
        <v>115</v>
      </c>
      <c r="BU172" s="77">
        <v>90</v>
      </c>
      <c r="BV172" s="77">
        <v>43</v>
      </c>
    </row>
    <row r="173" spans="1:75">
      <c r="A173" s="74" t="s">
        <v>190</v>
      </c>
      <c r="B173" s="76">
        <v>202404</v>
      </c>
      <c r="C173" s="77">
        <v>4554</v>
      </c>
      <c r="D173" s="78">
        <v>60405.8</v>
      </c>
      <c r="E173" s="77">
        <v>4406</v>
      </c>
      <c r="AK173" s="77">
        <v>1</v>
      </c>
      <c r="AL173" s="77">
        <v>1</v>
      </c>
      <c r="AM173" s="77">
        <v>30</v>
      </c>
      <c r="AN173" s="77">
        <v>66</v>
      </c>
      <c r="AO173" s="77">
        <v>95</v>
      </c>
      <c r="AP173" s="77">
        <v>128</v>
      </c>
      <c r="AQ173" s="77">
        <v>113</v>
      </c>
      <c r="AR173" s="77">
        <v>122</v>
      </c>
      <c r="AS173" s="77">
        <v>161</v>
      </c>
      <c r="AT173" s="77">
        <v>153</v>
      </c>
      <c r="AU173" s="77">
        <v>154</v>
      </c>
      <c r="AV173" s="77">
        <v>147</v>
      </c>
      <c r="AW173" s="77">
        <v>174</v>
      </c>
      <c r="AX173" s="77">
        <v>161</v>
      </c>
      <c r="AY173" s="77">
        <v>143</v>
      </c>
      <c r="AZ173" s="77">
        <v>149</v>
      </c>
      <c r="BA173" s="77">
        <v>131</v>
      </c>
      <c r="BB173" s="77">
        <v>111</v>
      </c>
      <c r="BC173" s="77">
        <v>129</v>
      </c>
      <c r="BD173" s="77">
        <v>97</v>
      </c>
      <c r="BE173" s="77">
        <v>119</v>
      </c>
      <c r="BF173" s="77">
        <v>121</v>
      </c>
      <c r="BG173" s="77">
        <v>142</v>
      </c>
      <c r="BH173" s="77">
        <v>136</v>
      </c>
      <c r="BI173" s="77">
        <v>149</v>
      </c>
      <c r="BJ173" s="77">
        <v>130</v>
      </c>
      <c r="BK173" s="77">
        <v>165</v>
      </c>
      <c r="BL173" s="77">
        <v>183</v>
      </c>
      <c r="BM173" s="77">
        <v>145</v>
      </c>
      <c r="BN173" s="77">
        <v>126</v>
      </c>
      <c r="BO173" s="77">
        <v>132</v>
      </c>
      <c r="BP173" s="77">
        <v>130</v>
      </c>
      <c r="BQ173" s="77">
        <v>119</v>
      </c>
      <c r="BR173" s="77">
        <v>117</v>
      </c>
      <c r="BS173" s="77">
        <v>125</v>
      </c>
      <c r="BT173" s="77">
        <v>134</v>
      </c>
      <c r="BU173" s="77">
        <v>81</v>
      </c>
      <c r="BV173" s="77">
        <v>34</v>
      </c>
    </row>
    <row r="174" spans="1:75">
      <c r="A174" s="74" t="s">
        <v>190</v>
      </c>
      <c r="B174" s="76">
        <v>202405</v>
      </c>
      <c r="C174" s="77">
        <v>3765</v>
      </c>
      <c r="D174" s="78">
        <v>57282.5667</v>
      </c>
      <c r="E174" s="77">
        <v>3625</v>
      </c>
      <c r="AK174" s="77">
        <v>1</v>
      </c>
      <c r="AL174" s="77">
        <v>1</v>
      </c>
      <c r="AM174" s="77">
        <v>13</v>
      </c>
      <c r="AN174" s="77">
        <v>59</v>
      </c>
      <c r="AO174" s="77">
        <v>67</v>
      </c>
      <c r="AP174" s="77">
        <v>96</v>
      </c>
      <c r="AQ174" s="77">
        <v>116</v>
      </c>
      <c r="AR174" s="77">
        <v>129</v>
      </c>
      <c r="AS174" s="77">
        <v>121</v>
      </c>
      <c r="AT174" s="77">
        <v>117</v>
      </c>
      <c r="AU174" s="77">
        <v>151</v>
      </c>
      <c r="AV174" s="77">
        <v>145</v>
      </c>
      <c r="AW174" s="77">
        <v>155</v>
      </c>
      <c r="AX174" s="77">
        <v>129</v>
      </c>
      <c r="AY174" s="77">
        <v>130</v>
      </c>
      <c r="AZ174" s="77">
        <v>127</v>
      </c>
      <c r="BA174" s="77">
        <v>93</v>
      </c>
      <c r="BB174" s="77">
        <v>100</v>
      </c>
      <c r="BC174" s="77">
        <v>91</v>
      </c>
      <c r="BD174" s="77">
        <v>79</v>
      </c>
      <c r="BE174" s="77">
        <v>104</v>
      </c>
      <c r="BF174" s="77">
        <v>91</v>
      </c>
      <c r="BG174" s="77">
        <v>117</v>
      </c>
      <c r="BH174" s="77">
        <v>119</v>
      </c>
      <c r="BI174" s="77">
        <v>124</v>
      </c>
      <c r="BJ174" s="77">
        <v>132</v>
      </c>
      <c r="BK174" s="77">
        <v>116</v>
      </c>
      <c r="BL174" s="77">
        <v>109</v>
      </c>
      <c r="BM174" s="77">
        <v>105</v>
      </c>
      <c r="BN174" s="77">
        <v>103</v>
      </c>
      <c r="BO174" s="77">
        <v>107</v>
      </c>
      <c r="BP174" s="77">
        <v>92</v>
      </c>
      <c r="BQ174" s="77">
        <v>119</v>
      </c>
      <c r="BR174" s="77">
        <v>97</v>
      </c>
      <c r="BS174" s="77">
        <v>103</v>
      </c>
      <c r="BT174" s="77">
        <v>94</v>
      </c>
      <c r="BU174" s="77">
        <v>89</v>
      </c>
      <c r="BV174" s="77">
        <v>24</v>
      </c>
    </row>
    <row r="175" spans="1:75">
      <c r="A175" s="74" t="s">
        <v>190</v>
      </c>
      <c r="B175" s="76">
        <v>202406</v>
      </c>
      <c r="C175" s="77">
        <v>4053</v>
      </c>
      <c r="D175" s="78">
        <v>54843.9</v>
      </c>
      <c r="E175" s="77">
        <v>3917</v>
      </c>
      <c r="AL175" s="77">
        <v>4</v>
      </c>
      <c r="AM175" s="77">
        <v>16</v>
      </c>
      <c r="AN175" s="77">
        <v>60</v>
      </c>
      <c r="AO175" s="77">
        <v>66</v>
      </c>
      <c r="AP175" s="77">
        <v>93</v>
      </c>
      <c r="AQ175" s="77">
        <v>126</v>
      </c>
      <c r="AR175" s="77">
        <v>121</v>
      </c>
      <c r="AS175" s="77">
        <v>145</v>
      </c>
      <c r="AT175" s="77">
        <v>147</v>
      </c>
      <c r="AU175" s="77">
        <v>153</v>
      </c>
      <c r="AV175" s="77">
        <v>160</v>
      </c>
      <c r="AW175" s="77">
        <v>163</v>
      </c>
      <c r="AX175" s="77">
        <v>150</v>
      </c>
      <c r="AY175" s="77">
        <v>135</v>
      </c>
      <c r="AZ175" s="77">
        <v>146</v>
      </c>
      <c r="BA175" s="77">
        <v>119</v>
      </c>
      <c r="BB175" s="77">
        <v>98</v>
      </c>
      <c r="BC175" s="77">
        <v>110</v>
      </c>
      <c r="BD175" s="77">
        <v>81</v>
      </c>
      <c r="BE175" s="77">
        <v>83</v>
      </c>
      <c r="BF175" s="77">
        <v>121</v>
      </c>
      <c r="BG175" s="77">
        <v>117</v>
      </c>
      <c r="BH175" s="77">
        <v>137</v>
      </c>
      <c r="BI175" s="77">
        <v>125</v>
      </c>
      <c r="BJ175" s="77">
        <v>128</v>
      </c>
      <c r="BK175" s="77">
        <v>128</v>
      </c>
      <c r="BL175" s="77">
        <v>118</v>
      </c>
      <c r="BM175" s="77">
        <v>124</v>
      </c>
      <c r="BN175" s="77">
        <v>99</v>
      </c>
      <c r="BO175" s="77">
        <v>117</v>
      </c>
      <c r="BP175" s="77">
        <v>111</v>
      </c>
      <c r="BQ175" s="77">
        <v>110</v>
      </c>
      <c r="BR175" s="77">
        <v>121</v>
      </c>
      <c r="BS175" s="77">
        <v>104</v>
      </c>
      <c r="BT175" s="77">
        <v>109</v>
      </c>
      <c r="BU175" s="77">
        <v>67</v>
      </c>
      <c r="BV175" s="77">
        <v>41</v>
      </c>
    </row>
    <row r="176" spans="1:75">
      <c r="A176" s="74" t="s">
        <v>190</v>
      </c>
      <c r="B176" s="76">
        <v>202407</v>
      </c>
      <c r="C176" s="77">
        <v>5149</v>
      </c>
      <c r="D176" s="78">
        <v>62008.8</v>
      </c>
      <c r="E176" s="77">
        <v>4995</v>
      </c>
      <c r="AL176" s="77">
        <v>1</v>
      </c>
      <c r="AM176" s="77">
        <v>21</v>
      </c>
      <c r="AN176" s="77">
        <v>103</v>
      </c>
      <c r="AO176" s="77">
        <v>101</v>
      </c>
      <c r="AP176" s="77">
        <v>111</v>
      </c>
      <c r="AQ176" s="77">
        <v>171</v>
      </c>
      <c r="AR176" s="77">
        <v>150</v>
      </c>
      <c r="AS176" s="77">
        <v>154</v>
      </c>
      <c r="AT176" s="77">
        <v>175</v>
      </c>
      <c r="AU176" s="77">
        <v>176</v>
      </c>
      <c r="AV176" s="77">
        <v>175</v>
      </c>
      <c r="AW176" s="77">
        <v>176</v>
      </c>
      <c r="AX176" s="77">
        <v>201</v>
      </c>
      <c r="AY176" s="77">
        <v>187</v>
      </c>
      <c r="AZ176" s="77">
        <v>198</v>
      </c>
      <c r="BA176" s="77">
        <v>154</v>
      </c>
      <c r="BB176" s="77">
        <v>136</v>
      </c>
      <c r="BC176" s="77">
        <v>124</v>
      </c>
      <c r="BD176" s="77">
        <v>144</v>
      </c>
      <c r="BE176" s="77">
        <v>140</v>
      </c>
      <c r="BF176" s="77">
        <v>162</v>
      </c>
      <c r="BG176" s="77">
        <v>168</v>
      </c>
      <c r="BH176" s="77">
        <v>157</v>
      </c>
      <c r="BI176" s="77">
        <v>157</v>
      </c>
      <c r="BJ176" s="77">
        <v>165</v>
      </c>
      <c r="BK176" s="77">
        <v>143</v>
      </c>
      <c r="BL176" s="77">
        <v>178</v>
      </c>
      <c r="BM176" s="77">
        <v>156</v>
      </c>
      <c r="BN176" s="77">
        <v>145</v>
      </c>
      <c r="BO176" s="77">
        <v>140</v>
      </c>
      <c r="BP176" s="77">
        <v>156</v>
      </c>
      <c r="BQ176" s="77">
        <v>124</v>
      </c>
      <c r="BR176" s="77">
        <v>114</v>
      </c>
      <c r="BS176" s="77">
        <v>143</v>
      </c>
      <c r="BT176" s="77">
        <v>112</v>
      </c>
      <c r="BU176" s="77">
        <v>93</v>
      </c>
      <c r="BV176" s="77">
        <v>38</v>
      </c>
    </row>
    <row r="177" spans="1:75">
      <c r="A177" s="74" t="s">
        <v>190</v>
      </c>
      <c r="B177" s="76">
        <v>202408</v>
      </c>
      <c r="C177" s="77">
        <v>4428</v>
      </c>
      <c r="D177" s="78">
        <v>54445.3167</v>
      </c>
      <c r="E177" s="77">
        <v>4298</v>
      </c>
      <c r="AL177" s="77">
        <v>4</v>
      </c>
      <c r="AM177" s="77">
        <v>28</v>
      </c>
      <c r="AN177" s="77">
        <v>110</v>
      </c>
      <c r="AO177" s="77">
        <v>89</v>
      </c>
      <c r="AP177" s="77">
        <v>126</v>
      </c>
      <c r="AQ177" s="77">
        <v>124</v>
      </c>
      <c r="AR177" s="77">
        <v>158</v>
      </c>
      <c r="AS177" s="77">
        <v>133</v>
      </c>
      <c r="AT177" s="77">
        <v>166</v>
      </c>
      <c r="AU177" s="77">
        <v>175</v>
      </c>
      <c r="AV177" s="77">
        <v>156</v>
      </c>
      <c r="AW177" s="77">
        <v>168</v>
      </c>
      <c r="AX177" s="77">
        <v>169</v>
      </c>
      <c r="AY177" s="77">
        <v>156</v>
      </c>
      <c r="AZ177" s="77">
        <v>152</v>
      </c>
      <c r="BA177" s="77">
        <v>138</v>
      </c>
      <c r="BB177" s="77">
        <v>133</v>
      </c>
      <c r="BC177" s="77">
        <v>102</v>
      </c>
      <c r="BD177" s="77">
        <v>105</v>
      </c>
      <c r="BE177" s="77">
        <v>123</v>
      </c>
      <c r="BF177" s="77">
        <v>125</v>
      </c>
      <c r="BG177" s="77">
        <v>144</v>
      </c>
      <c r="BH177" s="77">
        <v>125</v>
      </c>
      <c r="BI177" s="77">
        <v>125</v>
      </c>
      <c r="BJ177" s="77">
        <v>146</v>
      </c>
      <c r="BK177" s="77">
        <v>117</v>
      </c>
      <c r="BL177" s="77">
        <v>124</v>
      </c>
      <c r="BM177" s="77">
        <v>115</v>
      </c>
      <c r="BN177" s="77">
        <v>121</v>
      </c>
      <c r="BO177" s="77">
        <v>120</v>
      </c>
      <c r="BP177" s="77">
        <v>104</v>
      </c>
      <c r="BQ177" s="77">
        <v>125</v>
      </c>
      <c r="BR177" s="77">
        <v>116</v>
      </c>
      <c r="BS177" s="77">
        <v>102</v>
      </c>
      <c r="BT177" s="77">
        <v>85</v>
      </c>
      <c r="BU177" s="77">
        <v>82</v>
      </c>
      <c r="BV177" s="77">
        <v>37</v>
      </c>
    </row>
    <row r="178" spans="1:75">
      <c r="A178" s="74" t="s">
        <v>190</v>
      </c>
      <c r="B178" s="76">
        <v>202409</v>
      </c>
      <c r="C178" s="77">
        <v>4460</v>
      </c>
      <c r="D178" s="78">
        <v>53401.7667</v>
      </c>
      <c r="E178" s="77">
        <v>4330</v>
      </c>
      <c r="AL178" s="77">
        <v>1</v>
      </c>
      <c r="AM178" s="77">
        <v>17</v>
      </c>
      <c r="AN178" s="77">
        <v>106</v>
      </c>
      <c r="AO178" s="77">
        <v>93</v>
      </c>
      <c r="AP178" s="77">
        <v>142</v>
      </c>
      <c r="AQ178" s="77">
        <v>120</v>
      </c>
      <c r="AR178" s="77">
        <v>137</v>
      </c>
      <c r="AS178" s="77">
        <v>162</v>
      </c>
      <c r="AT178" s="77">
        <v>174</v>
      </c>
      <c r="AU178" s="77">
        <v>195</v>
      </c>
      <c r="AV178" s="77">
        <v>142</v>
      </c>
      <c r="AW178" s="77">
        <v>190</v>
      </c>
      <c r="AX178" s="77">
        <v>152</v>
      </c>
      <c r="AY178" s="77">
        <v>164</v>
      </c>
      <c r="AZ178" s="77">
        <v>135</v>
      </c>
      <c r="BA178" s="77">
        <v>168</v>
      </c>
      <c r="BB178" s="77">
        <v>121</v>
      </c>
      <c r="BC178" s="77">
        <v>107</v>
      </c>
      <c r="BD178" s="77">
        <v>116</v>
      </c>
      <c r="BE178" s="77">
        <v>111</v>
      </c>
      <c r="BF178" s="77">
        <v>114</v>
      </c>
      <c r="BG178" s="77">
        <v>107</v>
      </c>
      <c r="BH178" s="77">
        <v>123</v>
      </c>
      <c r="BI178" s="77">
        <v>136</v>
      </c>
      <c r="BJ178" s="77">
        <v>131</v>
      </c>
      <c r="BK178" s="77">
        <v>128</v>
      </c>
      <c r="BL178" s="77">
        <v>151</v>
      </c>
      <c r="BM178" s="77">
        <v>114</v>
      </c>
      <c r="BN178" s="77">
        <v>129</v>
      </c>
      <c r="BO178" s="77">
        <v>117</v>
      </c>
      <c r="BP178" s="77">
        <v>119</v>
      </c>
      <c r="BQ178" s="77">
        <v>121</v>
      </c>
      <c r="BR178" s="77">
        <v>108</v>
      </c>
      <c r="BS178" s="77">
        <v>125</v>
      </c>
      <c r="BT178" s="77">
        <v>92</v>
      </c>
      <c r="BU178" s="77">
        <v>71</v>
      </c>
      <c r="BV178" s="77">
        <v>21</v>
      </c>
    </row>
    <row r="179" spans="1:75">
      <c r="A179" s="74" t="s">
        <v>190</v>
      </c>
      <c r="B179" s="76">
        <v>202410</v>
      </c>
      <c r="C179" s="77">
        <v>5595</v>
      </c>
      <c r="D179" s="78">
        <v>59901.7667</v>
      </c>
      <c r="E179" s="77">
        <v>5440</v>
      </c>
      <c r="AK179" s="77">
        <v>1</v>
      </c>
      <c r="AL179" s="77">
        <v>2</v>
      </c>
      <c r="AM179" s="77">
        <v>29</v>
      </c>
      <c r="AN179" s="77">
        <v>89</v>
      </c>
      <c r="AO179" s="77">
        <v>124</v>
      </c>
      <c r="AP179" s="77">
        <v>127</v>
      </c>
      <c r="AQ179" s="77">
        <v>157</v>
      </c>
      <c r="AR179" s="77">
        <v>167</v>
      </c>
      <c r="AS179" s="77">
        <v>166</v>
      </c>
      <c r="AT179" s="77">
        <v>201</v>
      </c>
      <c r="AU179" s="77">
        <v>201</v>
      </c>
      <c r="AV179" s="77">
        <v>215</v>
      </c>
      <c r="AW179" s="77">
        <v>216</v>
      </c>
      <c r="AX179" s="77">
        <v>244</v>
      </c>
      <c r="AY179" s="77">
        <v>192</v>
      </c>
      <c r="AZ179" s="77">
        <v>204</v>
      </c>
      <c r="BA179" s="77">
        <v>150</v>
      </c>
      <c r="BB179" s="77">
        <v>169</v>
      </c>
      <c r="BC179" s="77">
        <v>133</v>
      </c>
      <c r="BD179" s="77">
        <v>147</v>
      </c>
      <c r="BE179" s="77">
        <v>123</v>
      </c>
      <c r="BF179" s="77">
        <v>147</v>
      </c>
      <c r="BG179" s="77">
        <v>189</v>
      </c>
      <c r="BH179" s="77">
        <v>156</v>
      </c>
      <c r="BI179" s="77">
        <v>163</v>
      </c>
      <c r="BJ179" s="77">
        <v>183</v>
      </c>
      <c r="BK179" s="77">
        <v>205</v>
      </c>
      <c r="BL179" s="77">
        <v>170</v>
      </c>
      <c r="BM179" s="77">
        <v>163</v>
      </c>
      <c r="BN179" s="77">
        <v>151</v>
      </c>
      <c r="BO179" s="77">
        <v>184</v>
      </c>
      <c r="BP179" s="77">
        <v>159</v>
      </c>
      <c r="BQ179" s="77">
        <v>139</v>
      </c>
      <c r="BR179" s="77">
        <v>146</v>
      </c>
      <c r="BS179" s="77">
        <v>141</v>
      </c>
      <c r="BT179" s="77">
        <v>117</v>
      </c>
      <c r="BU179" s="77">
        <v>96</v>
      </c>
      <c r="BV179" s="77">
        <v>29</v>
      </c>
    </row>
    <row r="180" spans="1:75">
      <c r="A180" s="74" t="s">
        <v>190</v>
      </c>
      <c r="B180" s="76">
        <v>202411</v>
      </c>
      <c r="C180" s="77">
        <v>5050</v>
      </c>
      <c r="D180" s="78">
        <v>54941.3667</v>
      </c>
      <c r="E180" s="77">
        <v>4913</v>
      </c>
      <c r="AL180" s="77">
        <v>4</v>
      </c>
      <c r="AM180" s="77">
        <v>22</v>
      </c>
      <c r="AN180" s="77">
        <v>89</v>
      </c>
      <c r="AO180" s="77">
        <v>96</v>
      </c>
      <c r="AP180" s="77">
        <v>117</v>
      </c>
      <c r="AQ180" s="77">
        <v>148</v>
      </c>
      <c r="AR180" s="77">
        <v>143</v>
      </c>
      <c r="AS180" s="77">
        <v>177</v>
      </c>
      <c r="AT180" s="77">
        <v>187</v>
      </c>
      <c r="AU180" s="77">
        <v>181</v>
      </c>
      <c r="AV180" s="77">
        <v>187</v>
      </c>
      <c r="AW180" s="77">
        <v>211</v>
      </c>
      <c r="AX180" s="77">
        <v>177</v>
      </c>
      <c r="AY180" s="77">
        <v>155</v>
      </c>
      <c r="AZ180" s="77">
        <v>142</v>
      </c>
      <c r="BA180" s="77">
        <v>162</v>
      </c>
      <c r="BB180" s="77">
        <v>143</v>
      </c>
      <c r="BC180" s="77">
        <v>142</v>
      </c>
      <c r="BD180" s="77">
        <v>120</v>
      </c>
      <c r="BE180" s="77">
        <v>117</v>
      </c>
      <c r="BF180" s="77">
        <v>127</v>
      </c>
      <c r="BG180" s="77">
        <v>153</v>
      </c>
      <c r="BH180" s="77">
        <v>165</v>
      </c>
      <c r="BI180" s="77">
        <v>181</v>
      </c>
      <c r="BJ180" s="77">
        <v>140</v>
      </c>
      <c r="BK180" s="77">
        <v>149</v>
      </c>
      <c r="BL180" s="77">
        <v>159</v>
      </c>
      <c r="BM180" s="77">
        <v>151</v>
      </c>
      <c r="BN180" s="77">
        <v>173</v>
      </c>
      <c r="BO180" s="77">
        <v>130</v>
      </c>
      <c r="BP180" s="77">
        <v>145</v>
      </c>
      <c r="BQ180" s="77">
        <v>132</v>
      </c>
      <c r="BR180" s="77">
        <v>137</v>
      </c>
      <c r="BS180" s="77">
        <v>137</v>
      </c>
      <c r="BT180" s="77">
        <v>132</v>
      </c>
      <c r="BU180" s="77">
        <v>90</v>
      </c>
      <c r="BV180" s="77">
        <v>28</v>
      </c>
      <c r="BW180" s="77">
        <v>1</v>
      </c>
    </row>
    <row r="181" spans="1:75">
      <c r="A181" s="74" t="s">
        <v>190</v>
      </c>
      <c r="B181" s="76">
        <v>202412</v>
      </c>
      <c r="C181" s="77">
        <v>5065</v>
      </c>
      <c r="D181" s="78">
        <v>57851.2833</v>
      </c>
      <c r="E181" s="77">
        <v>4927</v>
      </c>
      <c r="AL181" s="77">
        <v>3</v>
      </c>
      <c r="AM181" s="77">
        <v>27</v>
      </c>
      <c r="AN181" s="77">
        <v>120</v>
      </c>
      <c r="AO181" s="77">
        <v>101</v>
      </c>
      <c r="AP181" s="77">
        <v>119</v>
      </c>
      <c r="AQ181" s="77">
        <v>136</v>
      </c>
      <c r="AR181" s="77">
        <v>158</v>
      </c>
      <c r="AS181" s="77">
        <v>155</v>
      </c>
      <c r="AT181" s="77">
        <v>149</v>
      </c>
      <c r="AU181" s="77">
        <v>194</v>
      </c>
      <c r="AV181" s="77">
        <v>175</v>
      </c>
      <c r="AW181" s="77">
        <v>171</v>
      </c>
      <c r="AX181" s="77">
        <v>192</v>
      </c>
      <c r="AY181" s="77">
        <v>198</v>
      </c>
      <c r="AZ181" s="77">
        <v>178</v>
      </c>
      <c r="BA181" s="77">
        <v>138</v>
      </c>
      <c r="BB181" s="77">
        <v>132</v>
      </c>
      <c r="BC181" s="77">
        <v>151</v>
      </c>
      <c r="BD181" s="77">
        <v>138</v>
      </c>
      <c r="BE181" s="77">
        <v>128</v>
      </c>
      <c r="BF181" s="77">
        <v>168</v>
      </c>
      <c r="BG181" s="77">
        <v>135</v>
      </c>
      <c r="BH181" s="77">
        <v>150</v>
      </c>
      <c r="BI181" s="77">
        <v>160</v>
      </c>
      <c r="BJ181" s="77">
        <v>153</v>
      </c>
      <c r="BK181" s="77">
        <v>170</v>
      </c>
      <c r="BL181" s="77">
        <v>133</v>
      </c>
      <c r="BM181" s="77">
        <v>158</v>
      </c>
      <c r="BN181" s="77">
        <v>157</v>
      </c>
      <c r="BO181" s="77">
        <v>146</v>
      </c>
      <c r="BP181" s="77">
        <v>143</v>
      </c>
      <c r="BQ181" s="77">
        <v>129</v>
      </c>
      <c r="BR181" s="77">
        <v>122</v>
      </c>
      <c r="BS181" s="77">
        <v>118</v>
      </c>
      <c r="BT181" s="77">
        <v>114</v>
      </c>
      <c r="BU181" s="77">
        <v>95</v>
      </c>
      <c r="BV181" s="77">
        <v>51</v>
      </c>
    </row>
    <row r="182" spans="1:75">
      <c r="A182" s="74" t="s">
        <v>190</v>
      </c>
      <c r="B182" s="76">
        <v>202501</v>
      </c>
      <c r="C182" s="77">
        <v>5371</v>
      </c>
      <c r="D182" s="78">
        <v>53039.6333</v>
      </c>
      <c r="E182" s="77">
        <v>5227</v>
      </c>
      <c r="AL182" s="77">
        <v>2</v>
      </c>
      <c r="AM182" s="77">
        <v>27</v>
      </c>
      <c r="AN182" s="77">
        <v>90</v>
      </c>
      <c r="AO182" s="77">
        <v>110</v>
      </c>
      <c r="AP182" s="77">
        <v>115</v>
      </c>
      <c r="AQ182" s="77">
        <v>146</v>
      </c>
      <c r="AR182" s="77">
        <v>141</v>
      </c>
      <c r="AS182" s="77">
        <v>169</v>
      </c>
      <c r="AT182" s="77">
        <v>189</v>
      </c>
      <c r="AU182" s="77">
        <v>182</v>
      </c>
      <c r="AV182" s="77">
        <v>200</v>
      </c>
      <c r="AW182" s="77">
        <v>182</v>
      </c>
      <c r="AX182" s="77">
        <v>210</v>
      </c>
      <c r="AY182" s="77">
        <v>185</v>
      </c>
      <c r="AZ182" s="77">
        <v>184</v>
      </c>
      <c r="BA182" s="77">
        <v>165</v>
      </c>
      <c r="BB182" s="77">
        <v>142</v>
      </c>
      <c r="BC182" s="77">
        <v>129</v>
      </c>
      <c r="BD182" s="77">
        <v>148</v>
      </c>
      <c r="BE182" s="77">
        <v>129</v>
      </c>
      <c r="BF182" s="77">
        <v>164</v>
      </c>
      <c r="BG182" s="77">
        <v>157</v>
      </c>
      <c r="BH182" s="77">
        <v>178</v>
      </c>
      <c r="BI182" s="77">
        <v>169</v>
      </c>
      <c r="BJ182" s="77">
        <v>189</v>
      </c>
      <c r="BK182" s="77">
        <v>186</v>
      </c>
      <c r="BL182" s="77">
        <v>176</v>
      </c>
      <c r="BM182" s="77">
        <v>158</v>
      </c>
      <c r="BN182" s="77">
        <v>144</v>
      </c>
      <c r="BO182" s="77">
        <v>164</v>
      </c>
      <c r="BP182" s="77">
        <v>165</v>
      </c>
      <c r="BQ182" s="77">
        <v>141</v>
      </c>
      <c r="BR182" s="77">
        <v>141</v>
      </c>
      <c r="BS182" s="77">
        <v>128</v>
      </c>
      <c r="BT182" s="77">
        <v>113</v>
      </c>
      <c r="BU182" s="77">
        <v>115</v>
      </c>
      <c r="BV182" s="77">
        <v>38</v>
      </c>
    </row>
    <row r="183" spans="1:75">
      <c r="A183" s="74" t="s">
        <v>190</v>
      </c>
      <c r="B183" s="76">
        <v>202502</v>
      </c>
      <c r="C183" s="77">
        <v>5955</v>
      </c>
      <c r="D183" s="78">
        <v>50798.1167</v>
      </c>
      <c r="E183" s="77">
        <v>5808</v>
      </c>
      <c r="AL183" s="77">
        <v>3</v>
      </c>
      <c r="AM183" s="77">
        <v>35</v>
      </c>
      <c r="AN183" s="77">
        <v>147</v>
      </c>
      <c r="AO183" s="77">
        <v>123</v>
      </c>
      <c r="AP183" s="77">
        <v>120</v>
      </c>
      <c r="AQ183" s="77">
        <v>146</v>
      </c>
      <c r="AR183" s="77">
        <v>197</v>
      </c>
      <c r="AS183" s="77">
        <v>184</v>
      </c>
      <c r="AT183" s="77">
        <v>191</v>
      </c>
      <c r="AU183" s="77">
        <v>192</v>
      </c>
      <c r="AV183" s="77">
        <v>191</v>
      </c>
      <c r="AW183" s="77">
        <v>225</v>
      </c>
      <c r="AX183" s="77">
        <v>229</v>
      </c>
      <c r="AY183" s="77">
        <v>193</v>
      </c>
      <c r="AZ183" s="77">
        <v>209</v>
      </c>
      <c r="BA183" s="77">
        <v>180</v>
      </c>
      <c r="BB183" s="77">
        <v>161</v>
      </c>
      <c r="BC183" s="77">
        <v>154</v>
      </c>
      <c r="BD183" s="77">
        <v>156</v>
      </c>
      <c r="BE183" s="77">
        <v>155</v>
      </c>
      <c r="BF183" s="77">
        <v>185</v>
      </c>
      <c r="BG183" s="77">
        <v>164</v>
      </c>
      <c r="BH183" s="77">
        <v>196</v>
      </c>
      <c r="BI183" s="77">
        <v>161</v>
      </c>
      <c r="BJ183" s="77">
        <v>189</v>
      </c>
      <c r="BK183" s="77">
        <v>204</v>
      </c>
      <c r="BL183" s="77">
        <v>203</v>
      </c>
      <c r="BM183" s="77">
        <v>180</v>
      </c>
      <c r="BN183" s="77">
        <v>188</v>
      </c>
      <c r="BO183" s="77">
        <v>177</v>
      </c>
      <c r="BP183" s="77">
        <v>182</v>
      </c>
      <c r="BQ183" s="77">
        <v>153</v>
      </c>
      <c r="BR183" s="77">
        <v>164</v>
      </c>
      <c r="BS183" s="77">
        <v>165</v>
      </c>
      <c r="BT183" s="77">
        <v>115</v>
      </c>
      <c r="BU183" s="77">
        <v>94</v>
      </c>
      <c r="BV183" s="77">
        <v>44</v>
      </c>
    </row>
    <row r="184" spans="1:75">
      <c r="A184" s="74" t="s">
        <v>190</v>
      </c>
      <c r="B184" s="76">
        <v>202503</v>
      </c>
      <c r="C184" s="77">
        <v>7749</v>
      </c>
      <c r="D184" s="78">
        <v>65182.8833</v>
      </c>
      <c r="E184" s="77">
        <v>7551</v>
      </c>
      <c r="AL184" s="77">
        <v>7</v>
      </c>
      <c r="AM184" s="77">
        <v>80</v>
      </c>
      <c r="AN184" s="77">
        <v>218</v>
      </c>
      <c r="AO184" s="77">
        <v>176</v>
      </c>
      <c r="AP184" s="77">
        <v>211</v>
      </c>
      <c r="AQ184" s="77">
        <v>261</v>
      </c>
      <c r="AR184" s="77">
        <v>248</v>
      </c>
      <c r="AS184" s="77">
        <v>221</v>
      </c>
      <c r="AT184" s="77">
        <v>235</v>
      </c>
      <c r="AU184" s="77">
        <v>250</v>
      </c>
      <c r="AV184" s="77">
        <v>250</v>
      </c>
      <c r="AW184" s="77">
        <v>269</v>
      </c>
      <c r="AX184" s="77">
        <v>264</v>
      </c>
      <c r="AY184" s="77">
        <v>251</v>
      </c>
      <c r="AZ184" s="77">
        <v>237</v>
      </c>
      <c r="BA184" s="77">
        <v>217</v>
      </c>
      <c r="BB184" s="77">
        <v>200</v>
      </c>
      <c r="BC184" s="77">
        <v>187</v>
      </c>
      <c r="BD184" s="77">
        <v>190</v>
      </c>
      <c r="BE184" s="77">
        <v>198</v>
      </c>
      <c r="BF184" s="77">
        <v>201</v>
      </c>
      <c r="BG184" s="77">
        <v>216</v>
      </c>
      <c r="BH184" s="77">
        <v>234</v>
      </c>
      <c r="BI184" s="77">
        <v>232</v>
      </c>
      <c r="BJ184" s="77">
        <v>232</v>
      </c>
      <c r="BK184" s="77">
        <v>270</v>
      </c>
      <c r="BL184" s="77">
        <v>232</v>
      </c>
      <c r="BM184" s="77">
        <v>226</v>
      </c>
      <c r="BN184" s="77">
        <v>254</v>
      </c>
      <c r="BO184" s="77">
        <v>215</v>
      </c>
      <c r="BP184" s="77">
        <v>219</v>
      </c>
      <c r="BQ184" s="77">
        <v>214</v>
      </c>
      <c r="BR184" s="77">
        <v>225</v>
      </c>
      <c r="BS184" s="77">
        <v>209</v>
      </c>
      <c r="BT184" s="77">
        <v>188</v>
      </c>
      <c r="BU184" s="77">
        <v>136</v>
      </c>
      <c r="BV184" s="77">
        <v>75</v>
      </c>
      <c r="BW184" s="77">
        <v>1</v>
      </c>
    </row>
    <row r="185" spans="1:75">
      <c r="A185" s="74" t="s">
        <v>190</v>
      </c>
      <c r="B185" s="76">
        <v>202504</v>
      </c>
      <c r="C185" s="77">
        <v>7991</v>
      </c>
      <c r="D185" s="78">
        <v>78213.10000000001</v>
      </c>
      <c r="E185" s="77">
        <v>7798</v>
      </c>
      <c r="AL185" s="77">
        <v>11</v>
      </c>
      <c r="AM185" s="77">
        <v>66</v>
      </c>
      <c r="AN185" s="77">
        <v>193</v>
      </c>
      <c r="AO185" s="77">
        <v>174</v>
      </c>
      <c r="AP185" s="77">
        <v>218</v>
      </c>
      <c r="AQ185" s="77">
        <v>264</v>
      </c>
      <c r="AR185" s="77">
        <v>268</v>
      </c>
      <c r="AS185" s="77">
        <v>273</v>
      </c>
      <c r="AT185" s="77">
        <v>282</v>
      </c>
      <c r="AU185" s="77">
        <v>297</v>
      </c>
      <c r="AV185" s="77">
        <v>312</v>
      </c>
      <c r="AW185" s="77">
        <v>287</v>
      </c>
      <c r="AX185" s="77">
        <v>267</v>
      </c>
      <c r="AY185" s="77">
        <v>264</v>
      </c>
      <c r="AZ185" s="77">
        <v>242</v>
      </c>
      <c r="BA185" s="77">
        <v>222</v>
      </c>
      <c r="BB185" s="77">
        <v>192</v>
      </c>
      <c r="BC185" s="77">
        <v>170</v>
      </c>
      <c r="BD185" s="77">
        <v>179</v>
      </c>
      <c r="BE185" s="77">
        <v>182</v>
      </c>
      <c r="BF185" s="77">
        <v>221</v>
      </c>
      <c r="BG185" s="77">
        <v>217</v>
      </c>
      <c r="BH185" s="77">
        <v>252</v>
      </c>
      <c r="BI185" s="77">
        <v>256</v>
      </c>
      <c r="BJ185" s="77">
        <v>259</v>
      </c>
      <c r="BK185" s="77">
        <v>265</v>
      </c>
      <c r="BL185" s="77">
        <v>224</v>
      </c>
      <c r="BM185" s="77">
        <v>249</v>
      </c>
      <c r="BN185" s="77">
        <v>244</v>
      </c>
      <c r="BO185" s="77">
        <v>232</v>
      </c>
      <c r="BP185" s="77">
        <v>202</v>
      </c>
      <c r="BQ185" s="77">
        <v>185</v>
      </c>
      <c r="BR185" s="77">
        <v>207</v>
      </c>
      <c r="BS185" s="77">
        <v>204</v>
      </c>
      <c r="BT185" s="77">
        <v>186</v>
      </c>
      <c r="BU185" s="77">
        <v>144</v>
      </c>
      <c r="BV185" s="77">
        <v>81</v>
      </c>
    </row>
    <row r="186" spans="1:75">
      <c r="A186" s="74" t="s">
        <v>190</v>
      </c>
      <c r="B186" s="76">
        <v>202505</v>
      </c>
      <c r="C186" s="77">
        <v>8464</v>
      </c>
      <c r="D186" s="78">
        <v>78600.1833</v>
      </c>
      <c r="E186" s="77">
        <v>8274</v>
      </c>
      <c r="AK186" s="77">
        <v>1</v>
      </c>
      <c r="AL186" s="77">
        <v>10</v>
      </c>
      <c r="AM186" s="77">
        <v>45</v>
      </c>
      <c r="AN186" s="77">
        <v>189</v>
      </c>
      <c r="AO186" s="77">
        <v>172</v>
      </c>
      <c r="AP186" s="77">
        <v>221</v>
      </c>
      <c r="AQ186" s="77">
        <v>278</v>
      </c>
      <c r="AR186" s="77">
        <v>279</v>
      </c>
      <c r="AS186" s="77">
        <v>293</v>
      </c>
      <c r="AT186" s="77">
        <v>281</v>
      </c>
      <c r="AU186" s="77">
        <v>338</v>
      </c>
      <c r="AV186" s="77">
        <v>324</v>
      </c>
      <c r="AW186" s="77">
        <v>307</v>
      </c>
      <c r="AX186" s="77">
        <v>280</v>
      </c>
      <c r="AY186" s="77">
        <v>291</v>
      </c>
      <c r="AZ186" s="77">
        <v>262</v>
      </c>
      <c r="BA186" s="77">
        <v>263</v>
      </c>
      <c r="BB186" s="77">
        <v>238</v>
      </c>
      <c r="BC186" s="77">
        <v>201</v>
      </c>
      <c r="BD186" s="77">
        <v>201</v>
      </c>
      <c r="BE186" s="77">
        <v>196</v>
      </c>
      <c r="BF186" s="77">
        <v>221</v>
      </c>
      <c r="BG186" s="77">
        <v>227</v>
      </c>
      <c r="BH186" s="77">
        <v>241</v>
      </c>
      <c r="BI186" s="77">
        <v>276</v>
      </c>
      <c r="BJ186" s="77">
        <v>278</v>
      </c>
      <c r="BK186" s="77">
        <v>256</v>
      </c>
      <c r="BL186" s="77">
        <v>251</v>
      </c>
      <c r="BM186" s="77">
        <v>242</v>
      </c>
      <c r="BN186" s="77">
        <v>240</v>
      </c>
      <c r="BO186" s="77">
        <v>258</v>
      </c>
      <c r="BP186" s="77">
        <v>219</v>
      </c>
      <c r="BQ186" s="77">
        <v>203</v>
      </c>
      <c r="BR186" s="77">
        <v>229</v>
      </c>
      <c r="BS186" s="77">
        <v>229</v>
      </c>
      <c r="BT186" s="77">
        <v>208</v>
      </c>
      <c r="BU186" s="77">
        <v>159</v>
      </c>
      <c r="BV186" s="77">
        <v>57</v>
      </c>
    </row>
    <row r="187" spans="1:75">
      <c r="A187" s="74" t="s">
        <v>190</v>
      </c>
      <c r="B187" s="76">
        <v>202506</v>
      </c>
      <c r="C187" s="77">
        <v>9133</v>
      </c>
      <c r="D187" s="78">
        <v>81675.4333</v>
      </c>
      <c r="E187" s="77">
        <v>8931</v>
      </c>
      <c r="AL187" s="77">
        <v>12</v>
      </c>
      <c r="AM187" s="77">
        <v>61</v>
      </c>
      <c r="AN187" s="77">
        <v>196</v>
      </c>
      <c r="AO187" s="77">
        <v>196</v>
      </c>
      <c r="AP187" s="77">
        <v>224</v>
      </c>
      <c r="AQ187" s="77">
        <v>263</v>
      </c>
      <c r="AR187" s="77">
        <v>263</v>
      </c>
      <c r="AS187" s="77">
        <v>308</v>
      </c>
      <c r="AT187" s="77">
        <v>300</v>
      </c>
      <c r="AU187" s="77">
        <v>304</v>
      </c>
      <c r="AV187" s="77">
        <v>335</v>
      </c>
      <c r="AW187" s="77">
        <v>323</v>
      </c>
      <c r="AX187" s="77">
        <v>318</v>
      </c>
      <c r="AY187" s="77">
        <v>305</v>
      </c>
      <c r="AZ187" s="77">
        <v>292</v>
      </c>
      <c r="BA187" s="77">
        <v>285</v>
      </c>
      <c r="BB187" s="77">
        <v>218</v>
      </c>
      <c r="BC187" s="77">
        <v>222</v>
      </c>
      <c r="BD187" s="77">
        <v>235</v>
      </c>
      <c r="BE187" s="77">
        <v>236</v>
      </c>
      <c r="BF187" s="77">
        <v>254</v>
      </c>
      <c r="BG187" s="77">
        <v>310</v>
      </c>
      <c r="BH187" s="77">
        <v>273</v>
      </c>
      <c r="BI187" s="77">
        <v>308</v>
      </c>
      <c r="BJ187" s="77">
        <v>288</v>
      </c>
      <c r="BK187" s="77">
        <v>287</v>
      </c>
      <c r="BL187" s="77">
        <v>273</v>
      </c>
      <c r="BM187" s="77">
        <v>269</v>
      </c>
      <c r="BN187" s="77">
        <v>259</v>
      </c>
      <c r="BO187" s="77">
        <v>236</v>
      </c>
      <c r="BP187" s="77">
        <v>273</v>
      </c>
      <c r="BQ187" s="77">
        <v>229</v>
      </c>
      <c r="BR187" s="77">
        <v>240</v>
      </c>
      <c r="BS187" s="77">
        <v>250</v>
      </c>
      <c r="BT187" s="77">
        <v>232</v>
      </c>
      <c r="BU187" s="77">
        <v>181</v>
      </c>
      <c r="BV187" s="77">
        <v>75</v>
      </c>
    </row>
    <row r="188" spans="1:75">
      <c r="A188" s="74" t="s">
        <v>190</v>
      </c>
      <c r="B188" s="76">
        <v>202507</v>
      </c>
      <c r="C188" s="77">
        <v>9728</v>
      </c>
      <c r="D188" s="78">
        <v>86208.1167</v>
      </c>
      <c r="E188" s="77">
        <v>9517</v>
      </c>
      <c r="AL188" s="77">
        <v>13</v>
      </c>
      <c r="AM188" s="77">
        <v>69</v>
      </c>
      <c r="AN188" s="77">
        <v>243</v>
      </c>
      <c r="AO188" s="77">
        <v>192</v>
      </c>
      <c r="AP188" s="77">
        <v>256</v>
      </c>
      <c r="AQ188" s="77">
        <v>302</v>
      </c>
      <c r="AR188" s="77">
        <v>323</v>
      </c>
      <c r="AS188" s="77">
        <v>335</v>
      </c>
      <c r="AT188" s="77">
        <v>355</v>
      </c>
      <c r="AU188" s="77">
        <v>386</v>
      </c>
      <c r="AV188" s="77">
        <v>319</v>
      </c>
      <c r="AW188" s="77">
        <v>380</v>
      </c>
      <c r="AX188" s="77">
        <v>333</v>
      </c>
      <c r="AY188" s="77">
        <v>336</v>
      </c>
      <c r="AZ188" s="77">
        <v>310</v>
      </c>
      <c r="BA188" s="77">
        <v>259</v>
      </c>
      <c r="BB188" s="77">
        <v>250</v>
      </c>
      <c r="BC188" s="77">
        <v>244</v>
      </c>
      <c r="BD188" s="77">
        <v>228</v>
      </c>
      <c r="BE188" s="77">
        <v>237</v>
      </c>
      <c r="BF188" s="77">
        <v>231</v>
      </c>
      <c r="BG188" s="77">
        <v>293</v>
      </c>
      <c r="BH188" s="77">
        <v>323</v>
      </c>
      <c r="BI188" s="77">
        <v>309</v>
      </c>
      <c r="BJ188" s="77">
        <v>294</v>
      </c>
      <c r="BK188" s="77">
        <v>312</v>
      </c>
      <c r="BL188" s="77">
        <v>322</v>
      </c>
      <c r="BM188" s="77">
        <v>275</v>
      </c>
      <c r="BN188" s="77">
        <v>279</v>
      </c>
      <c r="BO188" s="77">
        <v>266</v>
      </c>
      <c r="BP188" s="77">
        <v>235</v>
      </c>
      <c r="BQ188" s="77">
        <v>252</v>
      </c>
      <c r="BR188" s="77">
        <v>236</v>
      </c>
      <c r="BS188" s="77">
        <v>234</v>
      </c>
      <c r="BT188" s="77">
        <v>221</v>
      </c>
      <c r="BU188" s="77">
        <v>195</v>
      </c>
      <c r="BV188" s="77">
        <v>81</v>
      </c>
    </row>
    <row r="189" spans="1:75">
      <c r="A189" s="74" t="s">
        <v>190</v>
      </c>
      <c r="B189" s="76">
        <v>202508</v>
      </c>
      <c r="C189" s="77">
        <v>8612</v>
      </c>
      <c r="D189" s="78">
        <v>72672.7167</v>
      </c>
      <c r="E189" s="77">
        <v>8425</v>
      </c>
      <c r="AK189" s="77">
        <v>1</v>
      </c>
      <c r="AL189" s="77">
        <v>8</v>
      </c>
      <c r="AM189" s="77">
        <v>63</v>
      </c>
      <c r="AN189" s="77">
        <v>218</v>
      </c>
      <c r="AO189" s="77">
        <v>200</v>
      </c>
      <c r="AP189" s="77">
        <v>258</v>
      </c>
      <c r="AQ189" s="77">
        <v>239</v>
      </c>
      <c r="AR189" s="77">
        <v>288</v>
      </c>
      <c r="AS189" s="77">
        <v>308</v>
      </c>
      <c r="AT189" s="77">
        <v>309</v>
      </c>
      <c r="AU189" s="77">
        <v>305</v>
      </c>
      <c r="AV189" s="77">
        <v>315</v>
      </c>
      <c r="AW189" s="77">
        <v>347</v>
      </c>
      <c r="AX189" s="77">
        <v>271</v>
      </c>
      <c r="AY189" s="77">
        <v>283</v>
      </c>
      <c r="AZ189" s="77">
        <v>284</v>
      </c>
      <c r="BA189" s="77">
        <v>245</v>
      </c>
      <c r="BB189" s="77">
        <v>225</v>
      </c>
      <c r="BC189" s="77">
        <v>198</v>
      </c>
      <c r="BD189" s="77">
        <v>177</v>
      </c>
      <c r="BE189" s="77">
        <v>184</v>
      </c>
      <c r="BF189" s="77">
        <v>219</v>
      </c>
      <c r="BG189" s="77">
        <v>252</v>
      </c>
      <c r="BH189" s="77">
        <v>266</v>
      </c>
      <c r="BI189" s="77">
        <v>268</v>
      </c>
      <c r="BJ189" s="77">
        <v>240</v>
      </c>
      <c r="BK189" s="77">
        <v>242</v>
      </c>
      <c r="BL189" s="77">
        <v>287</v>
      </c>
      <c r="BM189" s="77">
        <v>271</v>
      </c>
      <c r="BN189" s="77">
        <v>253</v>
      </c>
      <c r="BO189" s="77">
        <v>238</v>
      </c>
      <c r="BP189" s="77">
        <v>248</v>
      </c>
      <c r="BQ189" s="77">
        <v>239</v>
      </c>
      <c r="BR189" s="77">
        <v>228</v>
      </c>
      <c r="BS189" s="77">
        <v>223</v>
      </c>
      <c r="BT189" s="77">
        <v>199</v>
      </c>
      <c r="BU189" s="77">
        <v>153</v>
      </c>
      <c r="BV189" s="77">
        <v>60</v>
      </c>
    </row>
    <row r="190" spans="1:75">
      <c r="A190" s="74" t="s">
        <v>190</v>
      </c>
      <c r="B190" s="76">
        <v>202509</v>
      </c>
      <c r="C190" s="77">
        <v>8755</v>
      </c>
      <c r="D190" s="78">
        <v>77145.6333</v>
      </c>
      <c r="E190" s="77">
        <v>8567</v>
      </c>
      <c r="AL190" s="77">
        <v>11</v>
      </c>
      <c r="AM190" s="77">
        <v>54</v>
      </c>
      <c r="AN190" s="77">
        <v>194</v>
      </c>
      <c r="AO190" s="77">
        <v>189</v>
      </c>
      <c r="AP190" s="77">
        <v>231</v>
      </c>
      <c r="AQ190" s="77">
        <v>259</v>
      </c>
      <c r="AR190" s="77">
        <v>310</v>
      </c>
      <c r="AS190" s="77">
        <v>299</v>
      </c>
      <c r="AT190" s="77">
        <v>311</v>
      </c>
      <c r="AU190" s="77">
        <v>310</v>
      </c>
      <c r="AV190" s="77">
        <v>305</v>
      </c>
      <c r="AW190" s="77">
        <v>300</v>
      </c>
      <c r="AX190" s="77">
        <v>293</v>
      </c>
      <c r="AY190" s="77">
        <v>299</v>
      </c>
      <c r="AZ190" s="77">
        <v>288</v>
      </c>
      <c r="BA190" s="77">
        <v>268</v>
      </c>
      <c r="BB190" s="77">
        <v>231</v>
      </c>
      <c r="BC190" s="77">
        <v>212</v>
      </c>
      <c r="BD190" s="77">
        <v>213</v>
      </c>
      <c r="BE190" s="77">
        <v>197</v>
      </c>
      <c r="BF190" s="77">
        <v>221</v>
      </c>
      <c r="BG190" s="77">
        <v>266</v>
      </c>
      <c r="BH190" s="77">
        <v>255</v>
      </c>
      <c r="BI190" s="77">
        <v>295</v>
      </c>
      <c r="BJ190" s="77">
        <v>271</v>
      </c>
      <c r="BK190" s="77">
        <v>266</v>
      </c>
      <c r="BL190" s="77">
        <v>284</v>
      </c>
      <c r="BM190" s="77">
        <v>241</v>
      </c>
      <c r="BN190" s="77">
        <v>276</v>
      </c>
      <c r="BO190" s="77">
        <v>237</v>
      </c>
      <c r="BP190" s="77">
        <v>240</v>
      </c>
      <c r="BQ190" s="77">
        <v>213</v>
      </c>
      <c r="BR190" s="77">
        <v>256</v>
      </c>
      <c r="BS190" s="77">
        <v>227</v>
      </c>
      <c r="BT190" s="77">
        <v>196</v>
      </c>
      <c r="BU190" s="77">
        <v>169</v>
      </c>
      <c r="BV190" s="77">
        <v>68</v>
      </c>
    </row>
    <row r="191" spans="1:75">
      <c r="A191" s="74" t="s">
        <v>190</v>
      </c>
      <c r="B191" s="76">
        <v>202510</v>
      </c>
      <c r="C191" s="77">
        <v>9527</v>
      </c>
      <c r="D191" s="78">
        <v>84258.85000000001</v>
      </c>
      <c r="E191" s="77">
        <v>9314</v>
      </c>
      <c r="AL191" s="77">
        <v>4</v>
      </c>
      <c r="AM191" s="77">
        <v>57</v>
      </c>
      <c r="AN191" s="77">
        <v>193</v>
      </c>
      <c r="AO191" s="77">
        <v>195</v>
      </c>
      <c r="AP191" s="77">
        <v>228</v>
      </c>
      <c r="AQ191" s="77">
        <v>282</v>
      </c>
      <c r="AR191" s="77">
        <v>264</v>
      </c>
      <c r="AS191" s="77">
        <v>298</v>
      </c>
      <c r="AT191" s="77">
        <v>335</v>
      </c>
      <c r="AU191" s="77">
        <v>364</v>
      </c>
      <c r="AV191" s="77">
        <v>380</v>
      </c>
      <c r="AW191" s="77">
        <v>318</v>
      </c>
      <c r="AX191" s="77">
        <v>368</v>
      </c>
      <c r="AY191" s="77">
        <v>337</v>
      </c>
      <c r="AZ191" s="77">
        <v>328</v>
      </c>
      <c r="BA191" s="77">
        <v>277</v>
      </c>
      <c r="BB191" s="77">
        <v>251</v>
      </c>
      <c r="BC191" s="77">
        <v>254</v>
      </c>
      <c r="BD191" s="77">
        <v>228</v>
      </c>
      <c r="BE191" s="77">
        <v>256</v>
      </c>
      <c r="BF191" s="77">
        <v>250</v>
      </c>
      <c r="BG191" s="77">
        <v>314</v>
      </c>
      <c r="BH191" s="77">
        <v>237</v>
      </c>
      <c r="BI191" s="77">
        <v>281</v>
      </c>
      <c r="BJ191" s="77">
        <v>321</v>
      </c>
      <c r="BK191" s="77">
        <v>279</v>
      </c>
      <c r="BL191" s="77">
        <v>264</v>
      </c>
      <c r="BM191" s="77">
        <v>273</v>
      </c>
      <c r="BN191" s="77">
        <v>316</v>
      </c>
      <c r="BO191" s="77">
        <v>270</v>
      </c>
      <c r="BP191" s="77">
        <v>277</v>
      </c>
      <c r="BQ191" s="77">
        <v>265</v>
      </c>
      <c r="BR191" s="77">
        <v>256</v>
      </c>
      <c r="BS191" s="77">
        <v>249</v>
      </c>
      <c r="BT191" s="77">
        <v>233</v>
      </c>
      <c r="BU191" s="77">
        <v>163</v>
      </c>
      <c r="BV191" s="77">
        <v>62</v>
      </c>
    </row>
    <row r="192" spans="1:75">
      <c r="A192" s="74" t="s">
        <v>190</v>
      </c>
      <c r="B192" s="76">
        <v>202511</v>
      </c>
      <c r="C192" s="77">
        <v>8169</v>
      </c>
      <c r="D192" s="78">
        <v>67349.0833</v>
      </c>
      <c r="E192" s="77">
        <v>7995</v>
      </c>
      <c r="AL192" s="77">
        <v>7</v>
      </c>
      <c r="AM192" s="77">
        <v>35</v>
      </c>
      <c r="AN192" s="77">
        <v>150</v>
      </c>
      <c r="AO192" s="77">
        <v>155</v>
      </c>
      <c r="AP192" s="77">
        <v>192</v>
      </c>
      <c r="AQ192" s="77">
        <v>259</v>
      </c>
      <c r="AR192" s="77">
        <v>253</v>
      </c>
      <c r="AS192" s="77">
        <v>239</v>
      </c>
      <c r="AT192" s="77">
        <v>271</v>
      </c>
      <c r="AU192" s="77">
        <v>315</v>
      </c>
      <c r="AV192" s="77">
        <v>289</v>
      </c>
      <c r="AW192" s="77">
        <v>313</v>
      </c>
      <c r="AX192" s="77">
        <v>293</v>
      </c>
      <c r="AY192" s="77">
        <v>285</v>
      </c>
      <c r="AZ192" s="77">
        <v>257</v>
      </c>
      <c r="BA192" s="77">
        <v>240</v>
      </c>
      <c r="BB192" s="77">
        <v>229</v>
      </c>
      <c r="BC192" s="77">
        <v>227</v>
      </c>
      <c r="BD192" s="77">
        <v>225</v>
      </c>
      <c r="BE192" s="77">
        <v>174</v>
      </c>
      <c r="BF192" s="77">
        <v>228</v>
      </c>
      <c r="BG192" s="77">
        <v>258</v>
      </c>
      <c r="BH192" s="77">
        <v>250</v>
      </c>
      <c r="BI192" s="77">
        <v>272</v>
      </c>
      <c r="BJ192" s="77">
        <v>253</v>
      </c>
      <c r="BK192" s="77">
        <v>233</v>
      </c>
      <c r="BL192" s="77">
        <v>277</v>
      </c>
      <c r="BM192" s="77">
        <v>205</v>
      </c>
      <c r="BN192" s="77">
        <v>255</v>
      </c>
      <c r="BO192" s="77">
        <v>261</v>
      </c>
      <c r="BP192" s="77">
        <v>222</v>
      </c>
      <c r="BQ192" s="77">
        <v>242</v>
      </c>
      <c r="BR192" s="77">
        <v>202</v>
      </c>
      <c r="BS192" s="77">
        <v>207</v>
      </c>
      <c r="BT192" s="77">
        <v>191</v>
      </c>
      <c r="BU192" s="77">
        <v>143</v>
      </c>
      <c r="BV192" s="77">
        <v>62</v>
      </c>
    </row>
    <row r="193" spans="1:74">
      <c r="A193" s="74" t="s">
        <v>190</v>
      </c>
      <c r="B193" s="76">
        <v>202512</v>
      </c>
      <c r="C193" s="77">
        <v>8965</v>
      </c>
      <c r="D193" s="78">
        <v>72148.73330000001</v>
      </c>
      <c r="E193" s="77">
        <v>8782</v>
      </c>
      <c r="AL193" s="77">
        <v>7</v>
      </c>
      <c r="AM193" s="77">
        <v>48</v>
      </c>
      <c r="AN193" s="77">
        <v>158</v>
      </c>
      <c r="AO193" s="77">
        <v>163</v>
      </c>
      <c r="AP193" s="77">
        <v>223</v>
      </c>
      <c r="AQ193" s="77">
        <v>220</v>
      </c>
      <c r="AR193" s="77">
        <v>266</v>
      </c>
      <c r="AS193" s="77">
        <v>256</v>
      </c>
      <c r="AT193" s="77">
        <v>297</v>
      </c>
      <c r="AU193" s="77">
        <v>307</v>
      </c>
      <c r="AV193" s="77">
        <v>330</v>
      </c>
      <c r="AW193" s="77">
        <v>284</v>
      </c>
      <c r="AX193" s="77">
        <v>311</v>
      </c>
      <c r="AY193" s="77">
        <v>317</v>
      </c>
      <c r="AZ193" s="77">
        <v>282</v>
      </c>
      <c r="BA193" s="77">
        <v>289</v>
      </c>
      <c r="BB193" s="77">
        <v>234</v>
      </c>
      <c r="BC193" s="77">
        <v>245</v>
      </c>
      <c r="BD193" s="77">
        <v>226</v>
      </c>
      <c r="BE193" s="77">
        <v>227</v>
      </c>
      <c r="BF193" s="77">
        <v>246</v>
      </c>
      <c r="BG193" s="77">
        <v>293</v>
      </c>
      <c r="BH193" s="77">
        <v>275</v>
      </c>
      <c r="BI193" s="77">
        <v>277</v>
      </c>
      <c r="BJ193" s="77">
        <v>298</v>
      </c>
      <c r="BK193" s="77">
        <v>296</v>
      </c>
      <c r="BL193" s="77">
        <v>282</v>
      </c>
      <c r="BM193" s="77">
        <v>295</v>
      </c>
      <c r="BN193" s="77">
        <v>266</v>
      </c>
      <c r="BO193" s="77">
        <v>267</v>
      </c>
      <c r="BP193" s="77">
        <v>267</v>
      </c>
      <c r="BQ193" s="77">
        <v>275</v>
      </c>
      <c r="BR193" s="77">
        <v>214</v>
      </c>
      <c r="BS193" s="77">
        <v>252</v>
      </c>
      <c r="BT193" s="77">
        <v>226</v>
      </c>
      <c r="BU193" s="77">
        <v>158</v>
      </c>
      <c r="BV193" s="77"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7B8"/>
  </sheetPr>
  <dimension ref="A1:CW47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12.7109375" customWidth="1"/>
    <col min="2" max="5" width="10.7109375" customWidth="1"/>
    <col min="6" max="101" width="5.7109375" customWidth="1"/>
  </cols>
  <sheetData>
    <row r="1" spans="1:101">
      <c r="A1" s="1" t="s">
        <v>568</v>
      </c>
    </row>
    <row r="2" spans="1:101">
      <c r="A2" s="11" t="s">
        <v>517</v>
      </c>
    </row>
    <row r="3" spans="1:101">
      <c r="A3" s="23" t="s">
        <v>518</v>
      </c>
      <c r="B3" s="74" t="s">
        <v>569</v>
      </c>
    </row>
    <row r="4" spans="1:101">
      <c r="A4" s="23" t="s">
        <v>520</v>
      </c>
      <c r="B4" s="74" t="s">
        <v>521</v>
      </c>
    </row>
    <row r="5" spans="1:101">
      <c r="A5" s="23" t="s">
        <v>522</v>
      </c>
      <c r="B5" s="74" t="s">
        <v>570</v>
      </c>
    </row>
    <row r="6" spans="1:101">
      <c r="F6" s="75">
        <v>0</v>
      </c>
      <c r="G6" s="75">
        <v>15</v>
      </c>
      <c r="H6" s="75">
        <v>30</v>
      </c>
      <c r="I6" s="75">
        <v>45</v>
      </c>
      <c r="J6" s="75">
        <v>60</v>
      </c>
      <c r="K6" s="75">
        <v>75</v>
      </c>
      <c r="L6" s="75">
        <v>90</v>
      </c>
      <c r="M6" s="75">
        <v>105</v>
      </c>
      <c r="N6" s="75">
        <v>120</v>
      </c>
      <c r="O6" s="75">
        <v>135</v>
      </c>
      <c r="P6" s="75">
        <v>150</v>
      </c>
      <c r="Q6" s="75">
        <v>165</v>
      </c>
      <c r="R6" s="75">
        <v>180</v>
      </c>
      <c r="S6" s="75">
        <v>195</v>
      </c>
      <c r="T6" s="75">
        <v>210</v>
      </c>
      <c r="U6" s="75">
        <v>225</v>
      </c>
      <c r="V6" s="75">
        <v>240</v>
      </c>
      <c r="W6" s="75">
        <v>255</v>
      </c>
      <c r="X6" s="75">
        <v>270</v>
      </c>
      <c r="Y6" s="75">
        <v>285</v>
      </c>
      <c r="Z6" s="75">
        <v>300</v>
      </c>
      <c r="AA6" s="75">
        <v>315</v>
      </c>
      <c r="AB6" s="75">
        <v>330</v>
      </c>
      <c r="AC6" s="75">
        <v>345</v>
      </c>
      <c r="AD6" s="75">
        <v>360</v>
      </c>
      <c r="AE6" s="75">
        <v>375</v>
      </c>
      <c r="AF6" s="75">
        <v>390</v>
      </c>
      <c r="AG6" s="75">
        <v>405</v>
      </c>
      <c r="AH6" s="75">
        <v>420</v>
      </c>
      <c r="AI6" s="75">
        <v>435</v>
      </c>
      <c r="AJ6" s="75">
        <v>450</v>
      </c>
      <c r="AK6" s="75">
        <v>465</v>
      </c>
      <c r="AL6" s="75">
        <v>480</v>
      </c>
      <c r="AM6" s="75">
        <v>495</v>
      </c>
      <c r="AN6" s="75">
        <v>510</v>
      </c>
      <c r="AO6" s="75">
        <v>525</v>
      </c>
      <c r="AP6" s="75">
        <v>540</v>
      </c>
      <c r="AQ6" s="75">
        <v>555</v>
      </c>
      <c r="AR6" s="75">
        <v>570</v>
      </c>
      <c r="AS6" s="75">
        <v>585</v>
      </c>
      <c r="AT6" s="75">
        <v>600</v>
      </c>
      <c r="AU6" s="75">
        <v>615</v>
      </c>
      <c r="AV6" s="75">
        <v>630</v>
      </c>
      <c r="AW6" s="75">
        <v>645</v>
      </c>
      <c r="AX6" s="75">
        <v>660</v>
      </c>
      <c r="AY6" s="75">
        <v>675</v>
      </c>
      <c r="AZ6" s="75">
        <v>690</v>
      </c>
      <c r="BA6" s="75">
        <v>705</v>
      </c>
      <c r="BB6" s="75">
        <v>720</v>
      </c>
      <c r="BC6" s="75">
        <v>735</v>
      </c>
      <c r="BD6" s="75">
        <v>750</v>
      </c>
      <c r="BE6" s="75">
        <v>765</v>
      </c>
      <c r="BF6" s="75">
        <v>780</v>
      </c>
      <c r="BG6" s="75">
        <v>795</v>
      </c>
      <c r="BH6" s="75">
        <v>810</v>
      </c>
      <c r="BI6" s="75">
        <v>825</v>
      </c>
      <c r="BJ6" s="75">
        <v>840</v>
      </c>
      <c r="BK6" s="75">
        <v>855</v>
      </c>
      <c r="BL6" s="75">
        <v>870</v>
      </c>
      <c r="BM6" s="75">
        <v>885</v>
      </c>
      <c r="BN6" s="75">
        <v>900</v>
      </c>
      <c r="BO6" s="75">
        <v>915</v>
      </c>
      <c r="BP6" s="75">
        <v>930</v>
      </c>
      <c r="BQ6" s="75">
        <v>945</v>
      </c>
      <c r="BR6" s="75">
        <v>960</v>
      </c>
      <c r="BS6" s="75">
        <v>975</v>
      </c>
      <c r="BT6" s="75">
        <v>990</v>
      </c>
      <c r="BU6" s="75">
        <v>1005</v>
      </c>
      <c r="BV6" s="75">
        <v>1020</v>
      </c>
      <c r="BW6" s="75">
        <v>1035</v>
      </c>
      <c r="BX6" s="75">
        <v>1050</v>
      </c>
      <c r="BY6" s="75">
        <v>1065</v>
      </c>
      <c r="BZ6" s="75">
        <v>1080</v>
      </c>
      <c r="CA6" s="75">
        <v>1095</v>
      </c>
      <c r="CB6" s="75">
        <v>1110</v>
      </c>
      <c r="CC6" s="75">
        <v>1125</v>
      </c>
      <c r="CD6" s="75">
        <v>1140</v>
      </c>
      <c r="CE6" s="75">
        <v>1155</v>
      </c>
      <c r="CF6" s="75">
        <v>1170</v>
      </c>
      <c r="CG6" s="75">
        <v>1185</v>
      </c>
      <c r="CH6" s="75">
        <v>1200</v>
      </c>
      <c r="CI6" s="75">
        <v>1215</v>
      </c>
      <c r="CJ6" s="75">
        <v>1230</v>
      </c>
      <c r="CK6" s="75">
        <v>1245</v>
      </c>
      <c r="CL6" s="75">
        <v>1260</v>
      </c>
      <c r="CM6" s="75">
        <v>1275</v>
      </c>
      <c r="CN6" s="75">
        <v>1290</v>
      </c>
      <c r="CO6" s="75">
        <v>1305</v>
      </c>
      <c r="CP6" s="75">
        <v>1320</v>
      </c>
      <c r="CQ6" s="75">
        <v>1335</v>
      </c>
      <c r="CR6" s="75">
        <v>1350</v>
      </c>
      <c r="CS6" s="75">
        <v>1365</v>
      </c>
      <c r="CT6" s="75">
        <v>1380</v>
      </c>
      <c r="CU6" s="75">
        <v>1395</v>
      </c>
      <c r="CV6" s="75">
        <v>1410</v>
      </c>
      <c r="CW6" s="75">
        <v>1425</v>
      </c>
    </row>
    <row r="7" spans="1:101" ht="30" customHeight="1">
      <c r="A7" s="22" t="s">
        <v>4</v>
      </c>
      <c r="B7" s="22" t="s">
        <v>524</v>
      </c>
      <c r="C7" s="22" t="s">
        <v>525</v>
      </c>
      <c r="D7" s="22" t="s">
        <v>526</v>
      </c>
      <c r="E7" s="22" t="s">
        <v>527</v>
      </c>
      <c r="F7" s="22" t="s">
        <v>528</v>
      </c>
      <c r="G7" s="22" t="s">
        <v>529</v>
      </c>
      <c r="H7" s="22" t="s">
        <v>530</v>
      </c>
      <c r="I7" s="22" t="s">
        <v>531</v>
      </c>
      <c r="J7" s="22" t="s">
        <v>532</v>
      </c>
      <c r="K7" s="22" t="s">
        <v>533</v>
      </c>
      <c r="L7" s="22" t="s">
        <v>534</v>
      </c>
      <c r="M7" s="22" t="s">
        <v>535</v>
      </c>
      <c r="N7" s="22" t="s">
        <v>536</v>
      </c>
      <c r="O7" s="22" t="s">
        <v>537</v>
      </c>
      <c r="P7" s="22" t="s">
        <v>538</v>
      </c>
      <c r="Q7" s="22" t="s">
        <v>539</v>
      </c>
      <c r="R7" s="22" t="s">
        <v>540</v>
      </c>
      <c r="S7" s="22" t="s">
        <v>541</v>
      </c>
      <c r="T7" s="22" t="s">
        <v>542</v>
      </c>
      <c r="U7" s="22" t="s">
        <v>543</v>
      </c>
      <c r="V7" s="22" t="s">
        <v>544</v>
      </c>
      <c r="W7" s="22" t="s">
        <v>545</v>
      </c>
      <c r="X7" s="22" t="s">
        <v>546</v>
      </c>
      <c r="Y7" s="22" t="s">
        <v>547</v>
      </c>
      <c r="Z7" s="22" t="s">
        <v>548</v>
      </c>
      <c r="AA7" s="22" t="s">
        <v>549</v>
      </c>
      <c r="AB7" s="22" t="s">
        <v>550</v>
      </c>
      <c r="AC7" s="22" t="s">
        <v>551</v>
      </c>
      <c r="AD7" s="22" t="s">
        <v>552</v>
      </c>
      <c r="AE7" s="22" t="s">
        <v>553</v>
      </c>
      <c r="AF7" s="22" t="s">
        <v>554</v>
      </c>
      <c r="AG7" s="22" t="s">
        <v>555</v>
      </c>
      <c r="AH7" s="22" t="s">
        <v>6</v>
      </c>
      <c r="AI7" s="22" t="s">
        <v>7</v>
      </c>
      <c r="AJ7" s="22" t="s">
        <v>8</v>
      </c>
      <c r="AK7" s="22" t="s">
        <v>9</v>
      </c>
      <c r="AL7" s="22" t="s">
        <v>10</v>
      </c>
      <c r="AM7" s="22" t="s">
        <v>11</v>
      </c>
      <c r="AN7" s="22" t="s">
        <v>12</v>
      </c>
      <c r="AO7" s="22" t="s">
        <v>13</v>
      </c>
      <c r="AP7" s="22" t="s">
        <v>14</v>
      </c>
      <c r="AQ7" s="22" t="s">
        <v>15</v>
      </c>
      <c r="AR7" s="22" t="s">
        <v>16</v>
      </c>
      <c r="AS7" s="22" t="s">
        <v>17</v>
      </c>
      <c r="AT7" s="22" t="s">
        <v>18</v>
      </c>
      <c r="AU7" s="22" t="s">
        <v>19</v>
      </c>
      <c r="AV7" s="22" t="s">
        <v>20</v>
      </c>
      <c r="AW7" s="22" t="s">
        <v>21</v>
      </c>
      <c r="AX7" s="22" t="s">
        <v>22</v>
      </c>
      <c r="AY7" s="22" t="s">
        <v>23</v>
      </c>
      <c r="AZ7" s="22" t="s">
        <v>24</v>
      </c>
      <c r="BA7" s="22" t="s">
        <v>25</v>
      </c>
      <c r="BB7" s="22" t="s">
        <v>26</v>
      </c>
      <c r="BC7" s="22" t="s">
        <v>27</v>
      </c>
      <c r="BD7" s="22" t="s">
        <v>28</v>
      </c>
      <c r="BE7" s="22" t="s">
        <v>29</v>
      </c>
      <c r="BF7" s="22" t="s">
        <v>30</v>
      </c>
      <c r="BG7" s="22" t="s">
        <v>31</v>
      </c>
      <c r="BH7" s="22" t="s">
        <v>32</v>
      </c>
      <c r="BI7" s="22" t="s">
        <v>33</v>
      </c>
      <c r="BJ7" s="22" t="s">
        <v>34</v>
      </c>
      <c r="BK7" s="22" t="s">
        <v>35</v>
      </c>
      <c r="BL7" s="22" t="s">
        <v>36</v>
      </c>
      <c r="BM7" s="22" t="s">
        <v>37</v>
      </c>
      <c r="BN7" s="22" t="s">
        <v>38</v>
      </c>
      <c r="BO7" s="22" t="s">
        <v>39</v>
      </c>
      <c r="BP7" s="22" t="s">
        <v>40</v>
      </c>
      <c r="BQ7" s="22" t="s">
        <v>41</v>
      </c>
      <c r="BR7" s="22" t="s">
        <v>42</v>
      </c>
      <c r="BS7" s="22" t="s">
        <v>43</v>
      </c>
      <c r="BT7" s="22" t="s">
        <v>44</v>
      </c>
      <c r="BU7" s="22" t="s">
        <v>45</v>
      </c>
      <c r="BV7" s="22" t="s">
        <v>46</v>
      </c>
      <c r="BW7" s="22" t="s">
        <v>47</v>
      </c>
      <c r="BX7" s="22" t="s">
        <v>48</v>
      </c>
      <c r="BY7" s="22" t="s">
        <v>49</v>
      </c>
      <c r="BZ7" s="22" t="s">
        <v>50</v>
      </c>
      <c r="CA7" s="22" t="s">
        <v>51</v>
      </c>
      <c r="CB7" s="22" t="s">
        <v>52</v>
      </c>
      <c r="CC7" s="22" t="s">
        <v>53</v>
      </c>
      <c r="CD7" s="22" t="s">
        <v>54</v>
      </c>
      <c r="CE7" s="22" t="s">
        <v>55</v>
      </c>
      <c r="CF7" s="22" t="s">
        <v>56</v>
      </c>
      <c r="CG7" s="22" t="s">
        <v>57</v>
      </c>
      <c r="CH7" s="22" t="s">
        <v>58</v>
      </c>
      <c r="CI7" s="22" t="s">
        <v>59</v>
      </c>
      <c r="CJ7" s="22" t="s">
        <v>60</v>
      </c>
      <c r="CK7" s="22" t="s">
        <v>61</v>
      </c>
      <c r="CL7" s="22" t="s">
        <v>556</v>
      </c>
      <c r="CM7" s="22" t="s">
        <v>557</v>
      </c>
      <c r="CN7" s="22" t="s">
        <v>558</v>
      </c>
      <c r="CO7" s="22" t="s">
        <v>559</v>
      </c>
      <c r="CP7" s="22" t="s">
        <v>560</v>
      </c>
      <c r="CQ7" s="22" t="s">
        <v>561</v>
      </c>
      <c r="CR7" s="22" t="s">
        <v>562</v>
      </c>
      <c r="CS7" s="22" t="s">
        <v>563</v>
      </c>
      <c r="CT7" s="22" t="s">
        <v>564</v>
      </c>
      <c r="CU7" s="22" t="s">
        <v>565</v>
      </c>
      <c r="CV7" s="22" t="s">
        <v>566</v>
      </c>
      <c r="CW7" s="22" t="s">
        <v>567</v>
      </c>
    </row>
    <row r="8" spans="1:101">
      <c r="A8" s="74" t="s">
        <v>92</v>
      </c>
      <c r="B8" s="76">
        <v>202604</v>
      </c>
      <c r="C8" s="77">
        <v>3767</v>
      </c>
      <c r="D8" s="78">
        <v>72243.60000000001</v>
      </c>
      <c r="E8" s="77">
        <v>3623</v>
      </c>
      <c r="AM8" s="77">
        <v>4</v>
      </c>
      <c r="AN8" s="77">
        <v>59</v>
      </c>
      <c r="AO8" s="77">
        <v>54</v>
      </c>
      <c r="AP8" s="77">
        <v>60</v>
      </c>
      <c r="AQ8" s="77">
        <v>87</v>
      </c>
      <c r="AR8" s="77">
        <v>122</v>
      </c>
      <c r="AS8" s="77">
        <v>93</v>
      </c>
      <c r="AT8" s="77">
        <v>110</v>
      </c>
      <c r="AU8" s="77">
        <v>99</v>
      </c>
      <c r="AV8" s="77">
        <v>110</v>
      </c>
      <c r="AW8" s="77">
        <v>130</v>
      </c>
      <c r="AX8" s="77">
        <v>129</v>
      </c>
      <c r="AY8" s="77">
        <v>131</v>
      </c>
      <c r="AZ8" s="77">
        <v>134</v>
      </c>
      <c r="BA8" s="77">
        <v>128</v>
      </c>
      <c r="BB8" s="77">
        <v>112</v>
      </c>
      <c r="BC8" s="77">
        <v>119</v>
      </c>
      <c r="BD8" s="77">
        <v>83</v>
      </c>
      <c r="BE8" s="77">
        <v>98</v>
      </c>
      <c r="BF8" s="77">
        <v>103</v>
      </c>
      <c r="BG8" s="77">
        <v>99</v>
      </c>
      <c r="BH8" s="77">
        <v>97</v>
      </c>
      <c r="BI8" s="77">
        <v>128</v>
      </c>
      <c r="BJ8" s="77">
        <v>147</v>
      </c>
      <c r="BK8" s="77">
        <v>97</v>
      </c>
      <c r="BL8" s="77">
        <v>131</v>
      </c>
      <c r="BM8" s="77">
        <v>142</v>
      </c>
      <c r="BN8" s="77">
        <v>136</v>
      </c>
      <c r="BO8" s="77">
        <v>121</v>
      </c>
      <c r="BP8" s="77">
        <v>117</v>
      </c>
      <c r="BQ8" s="77">
        <v>128</v>
      </c>
      <c r="BR8" s="77">
        <v>122</v>
      </c>
      <c r="BS8" s="77">
        <v>86</v>
      </c>
      <c r="BT8" s="77">
        <v>107</v>
      </c>
      <c r="BU8" s="77">
        <v>83</v>
      </c>
      <c r="BV8" s="77">
        <v>54</v>
      </c>
      <c r="BW8" s="77">
        <v>7</v>
      </c>
    </row>
    <row r="9" spans="1:101">
      <c r="A9" s="74" t="s">
        <v>92</v>
      </c>
      <c r="B9" s="76">
        <v>202605</v>
      </c>
      <c r="C9" s="77">
        <v>3465</v>
      </c>
      <c r="D9" s="78">
        <v>62215.05</v>
      </c>
      <c r="E9" s="77">
        <v>3349</v>
      </c>
      <c r="AM9" s="77">
        <v>4</v>
      </c>
      <c r="AN9" s="77">
        <v>56</v>
      </c>
      <c r="AO9" s="77">
        <v>42</v>
      </c>
      <c r="AP9" s="77">
        <v>62</v>
      </c>
      <c r="AQ9" s="77">
        <v>77</v>
      </c>
      <c r="AR9" s="77">
        <v>100</v>
      </c>
      <c r="AS9" s="77">
        <v>99</v>
      </c>
      <c r="AT9" s="77">
        <v>110</v>
      </c>
      <c r="AU9" s="77">
        <v>114</v>
      </c>
      <c r="AV9" s="77">
        <v>134</v>
      </c>
      <c r="AW9" s="77">
        <v>129</v>
      </c>
      <c r="AX9" s="77">
        <v>115</v>
      </c>
      <c r="AY9" s="77">
        <v>140</v>
      </c>
      <c r="AZ9" s="77">
        <v>116</v>
      </c>
      <c r="BA9" s="77">
        <v>94</v>
      </c>
      <c r="BB9" s="77">
        <v>95</v>
      </c>
      <c r="BC9" s="77">
        <v>82</v>
      </c>
      <c r="BD9" s="77">
        <v>81</v>
      </c>
      <c r="BE9" s="77">
        <v>73</v>
      </c>
      <c r="BF9" s="77">
        <v>78</v>
      </c>
      <c r="BG9" s="77">
        <v>101</v>
      </c>
      <c r="BH9" s="77">
        <v>111</v>
      </c>
      <c r="BI9" s="77">
        <v>82</v>
      </c>
      <c r="BJ9" s="77">
        <v>121</v>
      </c>
      <c r="BK9" s="77">
        <v>105</v>
      </c>
      <c r="BL9" s="77">
        <v>111</v>
      </c>
      <c r="BM9" s="77">
        <v>120</v>
      </c>
      <c r="BN9" s="77">
        <v>128</v>
      </c>
      <c r="BO9" s="77">
        <v>128</v>
      </c>
      <c r="BP9" s="77">
        <v>109</v>
      </c>
      <c r="BQ9" s="77">
        <v>99</v>
      </c>
      <c r="BR9" s="77">
        <v>116</v>
      </c>
      <c r="BS9" s="77">
        <v>101</v>
      </c>
      <c r="BT9" s="77">
        <v>122</v>
      </c>
      <c r="BU9" s="77">
        <v>81</v>
      </c>
      <c r="BV9" s="77">
        <v>27</v>
      </c>
      <c r="BW9" s="77">
        <v>2</v>
      </c>
    </row>
    <row r="10" spans="1:101">
      <c r="A10" s="74" t="s">
        <v>92</v>
      </c>
      <c r="B10" s="76">
        <v>202606</v>
      </c>
      <c r="C10" s="77">
        <v>4777</v>
      </c>
      <c r="D10" s="78">
        <v>77210.7</v>
      </c>
      <c r="E10" s="77">
        <v>4629</v>
      </c>
      <c r="AN10" s="77">
        <v>65</v>
      </c>
      <c r="AO10" s="77">
        <v>58</v>
      </c>
      <c r="AP10" s="77">
        <v>101</v>
      </c>
      <c r="AQ10" s="77">
        <v>109</v>
      </c>
      <c r="AR10" s="77">
        <v>138</v>
      </c>
      <c r="AS10" s="77">
        <v>147</v>
      </c>
      <c r="AT10" s="77">
        <v>171</v>
      </c>
      <c r="AU10" s="77">
        <v>136</v>
      </c>
      <c r="AV10" s="77">
        <v>173</v>
      </c>
      <c r="AW10" s="77">
        <v>185</v>
      </c>
      <c r="AX10" s="77">
        <v>165</v>
      </c>
      <c r="AY10" s="77">
        <v>178</v>
      </c>
      <c r="AZ10" s="77">
        <v>134</v>
      </c>
      <c r="BA10" s="77">
        <v>137</v>
      </c>
      <c r="BB10" s="77">
        <v>113</v>
      </c>
      <c r="BC10" s="77">
        <v>150</v>
      </c>
      <c r="BD10" s="77">
        <v>122</v>
      </c>
      <c r="BE10" s="77">
        <v>118</v>
      </c>
      <c r="BF10" s="77">
        <v>127</v>
      </c>
      <c r="BG10" s="77">
        <v>162</v>
      </c>
      <c r="BH10" s="77">
        <v>163</v>
      </c>
      <c r="BI10" s="77">
        <v>162</v>
      </c>
      <c r="BJ10" s="77">
        <v>139</v>
      </c>
      <c r="BK10" s="77">
        <v>147</v>
      </c>
      <c r="BL10" s="77">
        <v>143</v>
      </c>
      <c r="BM10" s="77">
        <v>155</v>
      </c>
      <c r="BN10" s="77">
        <v>157</v>
      </c>
      <c r="BO10" s="77">
        <v>173</v>
      </c>
      <c r="BP10" s="77">
        <v>150</v>
      </c>
      <c r="BQ10" s="77">
        <v>145</v>
      </c>
      <c r="BR10" s="77">
        <v>144</v>
      </c>
      <c r="BS10" s="77">
        <v>134</v>
      </c>
      <c r="BT10" s="77">
        <v>120</v>
      </c>
      <c r="BU10" s="77">
        <v>109</v>
      </c>
      <c r="BV10" s="77">
        <v>42</v>
      </c>
      <c r="BW10" s="77">
        <v>5</v>
      </c>
    </row>
    <row r="11" spans="1:101">
      <c r="A11" s="74" t="s">
        <v>92</v>
      </c>
      <c r="B11" s="76">
        <v>202607</v>
      </c>
      <c r="C11" s="77">
        <v>4638</v>
      </c>
      <c r="D11" s="78">
        <v>76871.2</v>
      </c>
      <c r="E11" s="77">
        <v>4494</v>
      </c>
      <c r="AN11" s="77">
        <v>60</v>
      </c>
      <c r="AO11" s="77">
        <v>62</v>
      </c>
      <c r="AP11" s="77">
        <v>98</v>
      </c>
      <c r="AQ11" s="77">
        <v>119</v>
      </c>
      <c r="AR11" s="77">
        <v>127</v>
      </c>
      <c r="AS11" s="77">
        <v>137</v>
      </c>
      <c r="AT11" s="77">
        <v>155</v>
      </c>
      <c r="AU11" s="77">
        <v>170</v>
      </c>
      <c r="AV11" s="77">
        <v>163</v>
      </c>
      <c r="AW11" s="77">
        <v>187</v>
      </c>
      <c r="AX11" s="77">
        <v>202</v>
      </c>
      <c r="AY11" s="77">
        <v>153</v>
      </c>
      <c r="AZ11" s="77">
        <v>158</v>
      </c>
      <c r="BA11" s="77">
        <v>139</v>
      </c>
      <c r="BB11" s="77">
        <v>119</v>
      </c>
      <c r="BC11" s="77">
        <v>132</v>
      </c>
      <c r="BD11" s="77">
        <v>107</v>
      </c>
      <c r="BE11" s="77">
        <v>100</v>
      </c>
      <c r="BF11" s="77">
        <v>110</v>
      </c>
      <c r="BG11" s="77">
        <v>120</v>
      </c>
      <c r="BH11" s="77">
        <v>147</v>
      </c>
      <c r="BI11" s="77">
        <v>153</v>
      </c>
      <c r="BJ11" s="77">
        <v>134</v>
      </c>
      <c r="BK11" s="77">
        <v>149</v>
      </c>
      <c r="BL11" s="77">
        <v>140</v>
      </c>
      <c r="BM11" s="77">
        <v>147</v>
      </c>
      <c r="BN11" s="77">
        <v>154</v>
      </c>
      <c r="BO11" s="77">
        <v>180</v>
      </c>
      <c r="BP11" s="77">
        <v>153</v>
      </c>
      <c r="BQ11" s="77">
        <v>141</v>
      </c>
      <c r="BR11" s="77">
        <v>129</v>
      </c>
      <c r="BS11" s="77">
        <v>114</v>
      </c>
      <c r="BT11" s="77">
        <v>128</v>
      </c>
      <c r="BU11" s="77">
        <v>111</v>
      </c>
      <c r="BV11" s="77">
        <v>34</v>
      </c>
      <c r="BW11" s="77">
        <v>6</v>
      </c>
    </row>
    <row r="12" spans="1:101">
      <c r="A12" s="74" t="s">
        <v>92</v>
      </c>
      <c r="B12" s="76">
        <v>202608</v>
      </c>
      <c r="C12" s="77">
        <v>5250</v>
      </c>
      <c r="D12" s="78">
        <v>71305.1333</v>
      </c>
      <c r="E12" s="77">
        <v>5112</v>
      </c>
      <c r="AN12" s="77">
        <v>72</v>
      </c>
      <c r="AO12" s="77">
        <v>79</v>
      </c>
      <c r="AP12" s="77">
        <v>118</v>
      </c>
      <c r="AQ12" s="77">
        <v>119</v>
      </c>
      <c r="AR12" s="77">
        <v>161</v>
      </c>
      <c r="AS12" s="77">
        <v>177</v>
      </c>
      <c r="AT12" s="77">
        <v>169</v>
      </c>
      <c r="AU12" s="77">
        <v>175</v>
      </c>
      <c r="AV12" s="77">
        <v>182</v>
      </c>
      <c r="AW12" s="77">
        <v>167</v>
      </c>
      <c r="AX12" s="77">
        <v>191</v>
      </c>
      <c r="AY12" s="77">
        <v>178</v>
      </c>
      <c r="AZ12" s="77">
        <v>179</v>
      </c>
      <c r="BA12" s="77">
        <v>144</v>
      </c>
      <c r="BB12" s="77">
        <v>134</v>
      </c>
      <c r="BC12" s="77">
        <v>165</v>
      </c>
      <c r="BD12" s="77">
        <v>114</v>
      </c>
      <c r="BE12" s="77">
        <v>122</v>
      </c>
      <c r="BF12" s="77">
        <v>138</v>
      </c>
      <c r="BG12" s="77">
        <v>135</v>
      </c>
      <c r="BH12" s="77">
        <v>168</v>
      </c>
      <c r="BI12" s="77">
        <v>164</v>
      </c>
      <c r="BJ12" s="77">
        <v>152</v>
      </c>
      <c r="BK12" s="77">
        <v>171</v>
      </c>
      <c r="BL12" s="77">
        <v>164</v>
      </c>
      <c r="BM12" s="77">
        <v>163</v>
      </c>
      <c r="BN12" s="77">
        <v>177</v>
      </c>
      <c r="BO12" s="77">
        <v>196</v>
      </c>
      <c r="BP12" s="77">
        <v>169</v>
      </c>
      <c r="BQ12" s="77">
        <v>146</v>
      </c>
      <c r="BR12" s="77">
        <v>178</v>
      </c>
      <c r="BS12" s="77">
        <v>135</v>
      </c>
      <c r="BT12" s="77">
        <v>165</v>
      </c>
      <c r="BU12" s="77">
        <v>109</v>
      </c>
      <c r="BV12" s="77">
        <v>59</v>
      </c>
      <c r="BW12" s="77">
        <v>14</v>
      </c>
      <c r="BX12" s="77">
        <v>1</v>
      </c>
    </row>
    <row r="13" spans="1:101">
      <c r="A13" s="74" t="s">
        <v>92</v>
      </c>
      <c r="B13" s="76">
        <v>202609</v>
      </c>
      <c r="C13" s="77">
        <v>3938</v>
      </c>
      <c r="D13" s="78">
        <v>67934.98330000001</v>
      </c>
      <c r="E13" s="77">
        <v>3815</v>
      </c>
      <c r="AN13" s="77">
        <v>50</v>
      </c>
      <c r="AO13" s="77">
        <v>50</v>
      </c>
      <c r="AP13" s="77">
        <v>84</v>
      </c>
      <c r="AQ13" s="77">
        <v>102</v>
      </c>
      <c r="AR13" s="77">
        <v>87</v>
      </c>
      <c r="AS13" s="77">
        <v>111</v>
      </c>
      <c r="AT13" s="77">
        <v>121</v>
      </c>
      <c r="AU13" s="77">
        <v>127</v>
      </c>
      <c r="AV13" s="77">
        <v>121</v>
      </c>
      <c r="AW13" s="77">
        <v>132</v>
      </c>
      <c r="AX13" s="77">
        <v>155</v>
      </c>
      <c r="AY13" s="77">
        <v>131</v>
      </c>
      <c r="AZ13" s="77">
        <v>120</v>
      </c>
      <c r="BA13" s="77">
        <v>137</v>
      </c>
      <c r="BB13" s="77">
        <v>101</v>
      </c>
      <c r="BC13" s="77">
        <v>105</v>
      </c>
      <c r="BD13" s="77">
        <v>94</v>
      </c>
      <c r="BE13" s="77">
        <v>100</v>
      </c>
      <c r="BF13" s="77">
        <v>87</v>
      </c>
      <c r="BG13" s="77">
        <v>129</v>
      </c>
      <c r="BH13" s="77">
        <v>116</v>
      </c>
      <c r="BI13" s="77">
        <v>140</v>
      </c>
      <c r="BJ13" s="77">
        <v>122</v>
      </c>
      <c r="BK13" s="77">
        <v>119</v>
      </c>
      <c r="BL13" s="77">
        <v>127</v>
      </c>
      <c r="BM13" s="77">
        <v>140</v>
      </c>
      <c r="BN13" s="77">
        <v>135</v>
      </c>
      <c r="BO13" s="77">
        <v>155</v>
      </c>
      <c r="BP13" s="77">
        <v>138</v>
      </c>
      <c r="BQ13" s="77">
        <v>124</v>
      </c>
      <c r="BR13" s="77">
        <v>134</v>
      </c>
      <c r="BS13" s="77">
        <v>111</v>
      </c>
      <c r="BT13" s="77">
        <v>106</v>
      </c>
      <c r="BU13" s="77">
        <v>77</v>
      </c>
      <c r="BV13" s="77">
        <v>46</v>
      </c>
      <c r="BW13" s="77">
        <v>4</v>
      </c>
    </row>
    <row r="14" spans="1:101">
      <c r="A14" s="74" t="s">
        <v>106</v>
      </c>
      <c r="B14" s="76">
        <v>202604</v>
      </c>
      <c r="C14" s="77">
        <v>3595</v>
      </c>
      <c r="D14" s="78">
        <v>78143.0333</v>
      </c>
      <c r="E14" s="77">
        <v>3407</v>
      </c>
      <c r="AM14" s="77">
        <v>15</v>
      </c>
      <c r="AN14" s="77">
        <v>47</v>
      </c>
      <c r="AO14" s="77">
        <v>54</v>
      </c>
      <c r="AP14" s="77">
        <v>85</v>
      </c>
      <c r="AQ14" s="77">
        <v>105</v>
      </c>
      <c r="AR14" s="77">
        <v>117</v>
      </c>
      <c r="AS14" s="77">
        <v>104</v>
      </c>
      <c r="AT14" s="77">
        <v>109</v>
      </c>
      <c r="AU14" s="77">
        <v>132</v>
      </c>
      <c r="AV14" s="77">
        <v>141</v>
      </c>
      <c r="AW14" s="77">
        <v>125</v>
      </c>
      <c r="AX14" s="77">
        <v>128</v>
      </c>
      <c r="AY14" s="77">
        <v>119</v>
      </c>
      <c r="AZ14" s="77">
        <v>132</v>
      </c>
      <c r="BA14" s="77">
        <v>101</v>
      </c>
      <c r="BB14" s="77">
        <v>74</v>
      </c>
      <c r="BC14" s="77">
        <v>96</v>
      </c>
      <c r="BD14" s="77">
        <v>93</v>
      </c>
      <c r="BE14" s="77">
        <v>94</v>
      </c>
      <c r="BF14" s="77">
        <v>92</v>
      </c>
      <c r="BG14" s="77">
        <v>106</v>
      </c>
      <c r="BH14" s="77">
        <v>106</v>
      </c>
      <c r="BI14" s="77">
        <v>115</v>
      </c>
      <c r="BJ14" s="77">
        <v>118</v>
      </c>
      <c r="BK14" s="77">
        <v>145</v>
      </c>
      <c r="BL14" s="77">
        <v>136</v>
      </c>
      <c r="BM14" s="77">
        <v>121</v>
      </c>
      <c r="BN14" s="77">
        <v>132</v>
      </c>
      <c r="BO14" s="77">
        <v>100</v>
      </c>
      <c r="BP14" s="77">
        <v>115</v>
      </c>
      <c r="BQ14" s="77">
        <v>99</v>
      </c>
      <c r="BR14" s="77">
        <v>88</v>
      </c>
      <c r="BS14" s="77">
        <v>92</v>
      </c>
      <c r="BT14" s="77">
        <v>83</v>
      </c>
      <c r="BU14" s="77">
        <v>46</v>
      </c>
      <c r="BV14" s="77">
        <v>28</v>
      </c>
      <c r="BW14" s="77">
        <v>2</v>
      </c>
    </row>
    <row r="15" spans="1:101">
      <c r="A15" s="74" t="s">
        <v>106</v>
      </c>
      <c r="B15" s="76">
        <v>202605</v>
      </c>
      <c r="C15" s="77">
        <v>3507</v>
      </c>
      <c r="D15" s="78">
        <v>70507.9333</v>
      </c>
      <c r="E15" s="77">
        <v>3361</v>
      </c>
      <c r="AM15" s="77">
        <v>17</v>
      </c>
      <c r="AN15" s="77">
        <v>56</v>
      </c>
      <c r="AO15" s="77">
        <v>66</v>
      </c>
      <c r="AP15" s="77">
        <v>100</v>
      </c>
      <c r="AQ15" s="77">
        <v>100</v>
      </c>
      <c r="AR15" s="77">
        <v>106</v>
      </c>
      <c r="AS15" s="77">
        <v>131</v>
      </c>
      <c r="AT15" s="77">
        <v>125</v>
      </c>
      <c r="AU15" s="77">
        <v>137</v>
      </c>
      <c r="AV15" s="77">
        <v>134</v>
      </c>
      <c r="AW15" s="77">
        <v>126</v>
      </c>
      <c r="AX15" s="77">
        <v>145</v>
      </c>
      <c r="AY15" s="77">
        <v>126</v>
      </c>
      <c r="AZ15" s="77">
        <v>130</v>
      </c>
      <c r="BA15" s="77">
        <v>101</v>
      </c>
      <c r="BB15" s="77">
        <v>68</v>
      </c>
      <c r="BC15" s="77">
        <v>75</v>
      </c>
      <c r="BD15" s="77">
        <v>66</v>
      </c>
      <c r="BE15" s="77">
        <v>89</v>
      </c>
      <c r="BF15" s="77">
        <v>79</v>
      </c>
      <c r="BG15" s="77">
        <v>90</v>
      </c>
      <c r="BH15" s="77">
        <v>105</v>
      </c>
      <c r="BI15" s="77">
        <v>90</v>
      </c>
      <c r="BJ15" s="77">
        <v>118</v>
      </c>
      <c r="BK15" s="77">
        <v>109</v>
      </c>
      <c r="BL15" s="77">
        <v>88</v>
      </c>
      <c r="BM15" s="77">
        <v>127</v>
      </c>
      <c r="BN15" s="77">
        <v>111</v>
      </c>
      <c r="BO15" s="77">
        <v>116</v>
      </c>
      <c r="BP15" s="77">
        <v>120</v>
      </c>
      <c r="BQ15" s="77">
        <v>85</v>
      </c>
      <c r="BR15" s="77">
        <v>93</v>
      </c>
      <c r="BS15" s="77">
        <v>87</v>
      </c>
      <c r="BT15" s="77">
        <v>96</v>
      </c>
      <c r="BU15" s="77">
        <v>60</v>
      </c>
      <c r="BV15" s="77">
        <v>34</v>
      </c>
      <c r="BW15" s="77">
        <v>1</v>
      </c>
    </row>
    <row r="16" spans="1:101">
      <c r="A16" s="74" t="s">
        <v>106</v>
      </c>
      <c r="B16" s="76">
        <v>202606</v>
      </c>
      <c r="C16" s="77">
        <v>4559</v>
      </c>
      <c r="D16" s="78">
        <v>83112.39999999999</v>
      </c>
      <c r="E16" s="77">
        <v>4363</v>
      </c>
      <c r="AM16" s="77">
        <v>21</v>
      </c>
      <c r="AN16" s="77">
        <v>59</v>
      </c>
      <c r="AO16" s="77">
        <v>74</v>
      </c>
      <c r="AP16" s="77">
        <v>102</v>
      </c>
      <c r="AQ16" s="77">
        <v>116</v>
      </c>
      <c r="AR16" s="77">
        <v>170</v>
      </c>
      <c r="AS16" s="77">
        <v>149</v>
      </c>
      <c r="AT16" s="77">
        <v>149</v>
      </c>
      <c r="AU16" s="77">
        <v>182</v>
      </c>
      <c r="AV16" s="77">
        <v>173</v>
      </c>
      <c r="AW16" s="77">
        <v>189</v>
      </c>
      <c r="AX16" s="77">
        <v>180</v>
      </c>
      <c r="AY16" s="77">
        <v>165</v>
      </c>
      <c r="AZ16" s="77">
        <v>140</v>
      </c>
      <c r="BA16" s="77">
        <v>116</v>
      </c>
      <c r="BB16" s="77">
        <v>124</v>
      </c>
      <c r="BC16" s="77">
        <v>107</v>
      </c>
      <c r="BD16" s="77">
        <v>88</v>
      </c>
      <c r="BE16" s="77">
        <v>114</v>
      </c>
      <c r="BF16" s="77">
        <v>117</v>
      </c>
      <c r="BG16" s="77">
        <v>131</v>
      </c>
      <c r="BH16" s="77">
        <v>139</v>
      </c>
      <c r="BI16" s="77">
        <v>160</v>
      </c>
      <c r="BJ16" s="77">
        <v>146</v>
      </c>
      <c r="BK16" s="77">
        <v>151</v>
      </c>
      <c r="BL16" s="77">
        <v>162</v>
      </c>
      <c r="BM16" s="77">
        <v>162</v>
      </c>
      <c r="BN16" s="77">
        <v>145</v>
      </c>
      <c r="BO16" s="77">
        <v>133</v>
      </c>
      <c r="BP16" s="77">
        <v>147</v>
      </c>
      <c r="BQ16" s="77">
        <v>129</v>
      </c>
      <c r="BR16" s="77">
        <v>112</v>
      </c>
      <c r="BS16" s="77">
        <v>94</v>
      </c>
      <c r="BT16" s="77">
        <v>112</v>
      </c>
      <c r="BU16" s="77">
        <v>72</v>
      </c>
      <c r="BV16" s="77">
        <v>27</v>
      </c>
      <c r="BW16" s="77">
        <v>2</v>
      </c>
    </row>
    <row r="17" spans="1:87">
      <c r="A17" s="74" t="s">
        <v>106</v>
      </c>
      <c r="B17" s="76">
        <v>202607</v>
      </c>
      <c r="C17" s="77">
        <v>4412</v>
      </c>
      <c r="D17" s="78">
        <v>86539.75</v>
      </c>
      <c r="E17" s="77">
        <v>4208</v>
      </c>
      <c r="AM17" s="77">
        <v>18</v>
      </c>
      <c r="AN17" s="77">
        <v>58</v>
      </c>
      <c r="AO17" s="77">
        <v>76</v>
      </c>
      <c r="AP17" s="77">
        <v>101</v>
      </c>
      <c r="AQ17" s="77">
        <v>125</v>
      </c>
      <c r="AR17" s="77">
        <v>115</v>
      </c>
      <c r="AS17" s="77">
        <v>146</v>
      </c>
      <c r="AT17" s="77">
        <v>165</v>
      </c>
      <c r="AU17" s="77">
        <v>186</v>
      </c>
      <c r="AV17" s="77">
        <v>170</v>
      </c>
      <c r="AW17" s="77">
        <v>188</v>
      </c>
      <c r="AX17" s="77">
        <v>159</v>
      </c>
      <c r="AY17" s="77">
        <v>155</v>
      </c>
      <c r="AZ17" s="77">
        <v>167</v>
      </c>
      <c r="BA17" s="77">
        <v>139</v>
      </c>
      <c r="BB17" s="77">
        <v>110</v>
      </c>
      <c r="BC17" s="77">
        <v>107</v>
      </c>
      <c r="BD17" s="77">
        <v>95</v>
      </c>
      <c r="BE17" s="77">
        <v>105</v>
      </c>
      <c r="BF17" s="77">
        <v>124</v>
      </c>
      <c r="BG17" s="77">
        <v>129</v>
      </c>
      <c r="BH17" s="77">
        <v>133</v>
      </c>
      <c r="BI17" s="77">
        <v>137</v>
      </c>
      <c r="BJ17" s="77">
        <v>134</v>
      </c>
      <c r="BK17" s="77">
        <v>142</v>
      </c>
      <c r="BL17" s="77">
        <v>132</v>
      </c>
      <c r="BM17" s="77">
        <v>158</v>
      </c>
      <c r="BN17" s="77">
        <v>135</v>
      </c>
      <c r="BO17" s="77">
        <v>121</v>
      </c>
      <c r="BP17" s="77">
        <v>121</v>
      </c>
      <c r="BQ17" s="77">
        <v>139</v>
      </c>
      <c r="BR17" s="77">
        <v>118</v>
      </c>
      <c r="BS17" s="77">
        <v>89</v>
      </c>
      <c r="BT17" s="77">
        <v>96</v>
      </c>
      <c r="BU17" s="77">
        <v>86</v>
      </c>
      <c r="BV17" s="77">
        <v>33</v>
      </c>
    </row>
    <row r="18" spans="1:87">
      <c r="A18" s="74" t="s">
        <v>120</v>
      </c>
      <c r="B18" s="76">
        <v>202604</v>
      </c>
      <c r="C18" s="77">
        <v>3624</v>
      </c>
      <c r="D18" s="78">
        <v>72767.4333</v>
      </c>
      <c r="E18" s="77">
        <v>3455</v>
      </c>
      <c r="AO18" s="77">
        <v>7</v>
      </c>
      <c r="AP18" s="77">
        <v>59</v>
      </c>
      <c r="AQ18" s="77">
        <v>61</v>
      </c>
      <c r="AR18" s="77">
        <v>84</v>
      </c>
      <c r="AS18" s="77">
        <v>110</v>
      </c>
      <c r="AT18" s="77">
        <v>131</v>
      </c>
      <c r="AU18" s="77">
        <v>136</v>
      </c>
      <c r="AV18" s="77">
        <v>131</v>
      </c>
      <c r="AW18" s="77">
        <v>123</v>
      </c>
      <c r="AX18" s="77">
        <v>103</v>
      </c>
      <c r="AY18" s="77">
        <v>158</v>
      </c>
      <c r="AZ18" s="77">
        <v>134</v>
      </c>
      <c r="BA18" s="77">
        <v>123</v>
      </c>
      <c r="BB18" s="77">
        <v>110</v>
      </c>
      <c r="BC18" s="77">
        <v>99</v>
      </c>
      <c r="BD18" s="77">
        <v>99</v>
      </c>
      <c r="BE18" s="77">
        <v>85</v>
      </c>
      <c r="BF18" s="77">
        <v>73</v>
      </c>
      <c r="BG18" s="77">
        <v>83</v>
      </c>
      <c r="BH18" s="77">
        <v>90</v>
      </c>
      <c r="BI18" s="77">
        <v>83</v>
      </c>
      <c r="BJ18" s="77">
        <v>99</v>
      </c>
      <c r="BK18" s="77">
        <v>108</v>
      </c>
      <c r="BL18" s="77">
        <v>120</v>
      </c>
      <c r="BM18" s="77">
        <v>108</v>
      </c>
      <c r="BN18" s="77">
        <v>126</v>
      </c>
      <c r="BO18" s="77">
        <v>117</v>
      </c>
      <c r="BP18" s="77">
        <v>119</v>
      </c>
      <c r="BQ18" s="77">
        <v>101</v>
      </c>
      <c r="BR18" s="77">
        <v>113</v>
      </c>
      <c r="BS18" s="77">
        <v>103</v>
      </c>
      <c r="BT18" s="77">
        <v>111</v>
      </c>
      <c r="BU18" s="77">
        <v>92</v>
      </c>
      <c r="BV18" s="77">
        <v>95</v>
      </c>
      <c r="BW18" s="77">
        <v>78</v>
      </c>
      <c r="BX18" s="77">
        <v>45</v>
      </c>
      <c r="BY18" s="77">
        <v>7</v>
      </c>
    </row>
    <row r="19" spans="1:87">
      <c r="A19" s="74" t="s">
        <v>120</v>
      </c>
      <c r="B19" s="76">
        <v>202605</v>
      </c>
      <c r="C19" s="77">
        <v>3868</v>
      </c>
      <c r="D19" s="78">
        <v>62625.5</v>
      </c>
      <c r="E19" s="77">
        <v>3724</v>
      </c>
      <c r="AN19" s="77">
        <v>5</v>
      </c>
      <c r="AO19" s="77">
        <v>10</v>
      </c>
      <c r="AP19" s="77">
        <v>60</v>
      </c>
      <c r="AQ19" s="77">
        <v>58</v>
      </c>
      <c r="AR19" s="77">
        <v>66</v>
      </c>
      <c r="AS19" s="77">
        <v>114</v>
      </c>
      <c r="AT19" s="77">
        <v>134</v>
      </c>
      <c r="AU19" s="77">
        <v>129</v>
      </c>
      <c r="AV19" s="77">
        <v>153</v>
      </c>
      <c r="AW19" s="77">
        <v>140</v>
      </c>
      <c r="AX19" s="77">
        <v>140</v>
      </c>
      <c r="AY19" s="77">
        <v>128</v>
      </c>
      <c r="AZ19" s="77">
        <v>140</v>
      </c>
      <c r="BA19" s="77">
        <v>149</v>
      </c>
      <c r="BB19" s="77">
        <v>128</v>
      </c>
      <c r="BC19" s="77">
        <v>109</v>
      </c>
      <c r="BD19" s="77">
        <v>93</v>
      </c>
      <c r="BE19" s="77">
        <v>93</v>
      </c>
      <c r="BF19" s="77">
        <v>81</v>
      </c>
      <c r="BG19" s="77">
        <v>67</v>
      </c>
      <c r="BH19" s="77">
        <v>89</v>
      </c>
      <c r="BI19" s="77">
        <v>110</v>
      </c>
      <c r="BJ19" s="77">
        <v>101</v>
      </c>
      <c r="BK19" s="77">
        <v>110</v>
      </c>
      <c r="BL19" s="77">
        <v>107</v>
      </c>
      <c r="BM19" s="77">
        <v>117</v>
      </c>
      <c r="BN19" s="77">
        <v>131</v>
      </c>
      <c r="BO19" s="77">
        <v>126</v>
      </c>
      <c r="BP19" s="77">
        <v>134</v>
      </c>
      <c r="BQ19" s="77">
        <v>145</v>
      </c>
      <c r="BR19" s="77">
        <v>104</v>
      </c>
      <c r="BS19" s="77">
        <v>125</v>
      </c>
      <c r="BT19" s="77">
        <v>132</v>
      </c>
      <c r="BU19" s="77">
        <v>100</v>
      </c>
      <c r="BV19" s="77">
        <v>102</v>
      </c>
      <c r="BW19" s="77">
        <v>76</v>
      </c>
      <c r="BX19" s="77">
        <v>53</v>
      </c>
      <c r="BY19" s="77">
        <v>9</v>
      </c>
    </row>
    <row r="20" spans="1:87">
      <c r="A20" s="74" t="s">
        <v>120</v>
      </c>
      <c r="B20" s="76">
        <v>202606</v>
      </c>
      <c r="C20" s="77">
        <v>5278</v>
      </c>
      <c r="D20" s="78">
        <v>77307.25</v>
      </c>
      <c r="E20" s="77">
        <v>5104</v>
      </c>
      <c r="AN20" s="77">
        <v>1</v>
      </c>
      <c r="AO20" s="77">
        <v>9</v>
      </c>
      <c r="AP20" s="77">
        <v>74</v>
      </c>
      <c r="AQ20" s="77">
        <v>73</v>
      </c>
      <c r="AR20" s="77">
        <v>123</v>
      </c>
      <c r="AS20" s="77">
        <v>152</v>
      </c>
      <c r="AT20" s="77">
        <v>156</v>
      </c>
      <c r="AU20" s="77">
        <v>154</v>
      </c>
      <c r="AV20" s="77">
        <v>181</v>
      </c>
      <c r="AW20" s="77">
        <v>174</v>
      </c>
      <c r="AX20" s="77">
        <v>217</v>
      </c>
      <c r="AY20" s="77">
        <v>179</v>
      </c>
      <c r="AZ20" s="77">
        <v>186</v>
      </c>
      <c r="BA20" s="77">
        <v>202</v>
      </c>
      <c r="BB20" s="77">
        <v>189</v>
      </c>
      <c r="BC20" s="77">
        <v>173</v>
      </c>
      <c r="BD20" s="77">
        <v>117</v>
      </c>
      <c r="BE20" s="77">
        <v>126</v>
      </c>
      <c r="BF20" s="77">
        <v>92</v>
      </c>
      <c r="BG20" s="77">
        <v>100</v>
      </c>
      <c r="BH20" s="77">
        <v>143</v>
      </c>
      <c r="BI20" s="77">
        <v>139</v>
      </c>
      <c r="BJ20" s="77">
        <v>155</v>
      </c>
      <c r="BK20" s="77">
        <v>153</v>
      </c>
      <c r="BL20" s="77">
        <v>183</v>
      </c>
      <c r="BM20" s="77">
        <v>176</v>
      </c>
      <c r="BN20" s="77">
        <v>178</v>
      </c>
      <c r="BO20" s="77">
        <v>194</v>
      </c>
      <c r="BP20" s="77">
        <v>182</v>
      </c>
      <c r="BQ20" s="77">
        <v>174</v>
      </c>
      <c r="BR20" s="77">
        <v>169</v>
      </c>
      <c r="BS20" s="77">
        <v>151</v>
      </c>
      <c r="BT20" s="77">
        <v>141</v>
      </c>
      <c r="BU20" s="77">
        <v>157</v>
      </c>
      <c r="BV20" s="77">
        <v>143</v>
      </c>
      <c r="BW20" s="77">
        <v>103</v>
      </c>
      <c r="BX20" s="77">
        <v>50</v>
      </c>
      <c r="BY20" s="77">
        <v>9</v>
      </c>
    </row>
    <row r="21" spans="1:87">
      <c r="A21" s="74" t="s">
        <v>120</v>
      </c>
      <c r="B21" s="76">
        <v>202607</v>
      </c>
      <c r="C21" s="77">
        <v>5466</v>
      </c>
      <c r="D21" s="78">
        <v>79808.10000000001</v>
      </c>
      <c r="E21" s="77">
        <v>5291</v>
      </c>
      <c r="AN21" s="77">
        <v>2</v>
      </c>
      <c r="AO21" s="77">
        <v>7</v>
      </c>
      <c r="AP21" s="77">
        <v>76</v>
      </c>
      <c r="AQ21" s="77">
        <v>98</v>
      </c>
      <c r="AR21" s="77">
        <v>105</v>
      </c>
      <c r="AS21" s="77">
        <v>160</v>
      </c>
      <c r="AT21" s="77">
        <v>156</v>
      </c>
      <c r="AU21" s="77">
        <v>176</v>
      </c>
      <c r="AV21" s="77">
        <v>187</v>
      </c>
      <c r="AW21" s="77">
        <v>195</v>
      </c>
      <c r="AX21" s="77">
        <v>202</v>
      </c>
      <c r="AY21" s="77">
        <v>200</v>
      </c>
      <c r="AZ21" s="77">
        <v>195</v>
      </c>
      <c r="BA21" s="77">
        <v>210</v>
      </c>
      <c r="BB21" s="77">
        <v>206</v>
      </c>
      <c r="BC21" s="77">
        <v>162</v>
      </c>
      <c r="BD21" s="77">
        <v>130</v>
      </c>
      <c r="BE21" s="77">
        <v>115</v>
      </c>
      <c r="BF21" s="77">
        <v>119</v>
      </c>
      <c r="BG21" s="77">
        <v>111</v>
      </c>
      <c r="BH21" s="77">
        <v>124</v>
      </c>
      <c r="BI21" s="77">
        <v>165</v>
      </c>
      <c r="BJ21" s="77">
        <v>145</v>
      </c>
      <c r="BK21" s="77">
        <v>166</v>
      </c>
      <c r="BL21" s="77">
        <v>151</v>
      </c>
      <c r="BM21" s="77">
        <v>135</v>
      </c>
      <c r="BN21" s="77">
        <v>180</v>
      </c>
      <c r="BO21" s="77">
        <v>193</v>
      </c>
      <c r="BP21" s="77">
        <v>173</v>
      </c>
      <c r="BQ21" s="77">
        <v>175</v>
      </c>
      <c r="BR21" s="77">
        <v>175</v>
      </c>
      <c r="BS21" s="77">
        <v>175</v>
      </c>
      <c r="BT21" s="77">
        <v>148</v>
      </c>
      <c r="BU21" s="77">
        <v>165</v>
      </c>
      <c r="BV21" s="77">
        <v>156</v>
      </c>
      <c r="BW21" s="77">
        <v>128</v>
      </c>
      <c r="BX21" s="77">
        <v>88</v>
      </c>
      <c r="BY21" s="77">
        <v>12</v>
      </c>
    </row>
    <row r="22" spans="1:87">
      <c r="A22" s="74" t="s">
        <v>120</v>
      </c>
      <c r="B22" s="76">
        <v>202608</v>
      </c>
      <c r="C22" s="77">
        <v>5944</v>
      </c>
      <c r="D22" s="78">
        <v>72498.25</v>
      </c>
      <c r="E22" s="77">
        <v>5794</v>
      </c>
      <c r="AL22" s="77">
        <v>1</v>
      </c>
      <c r="AN22" s="77">
        <v>3</v>
      </c>
      <c r="AO22" s="77">
        <v>14</v>
      </c>
      <c r="AP22" s="77">
        <v>78</v>
      </c>
      <c r="AQ22" s="77">
        <v>97</v>
      </c>
      <c r="AR22" s="77">
        <v>146</v>
      </c>
      <c r="AS22" s="77">
        <v>161</v>
      </c>
      <c r="AT22" s="77">
        <v>149</v>
      </c>
      <c r="AU22" s="77">
        <v>199</v>
      </c>
      <c r="AV22" s="77">
        <v>198</v>
      </c>
      <c r="AW22" s="77">
        <v>216</v>
      </c>
      <c r="AX22" s="77">
        <v>206</v>
      </c>
      <c r="AY22" s="77">
        <v>233</v>
      </c>
      <c r="AZ22" s="77">
        <v>214</v>
      </c>
      <c r="BA22" s="77">
        <v>217</v>
      </c>
      <c r="BB22" s="77">
        <v>185</v>
      </c>
      <c r="BC22" s="77">
        <v>187</v>
      </c>
      <c r="BD22" s="77">
        <v>145</v>
      </c>
      <c r="BE22" s="77">
        <v>135</v>
      </c>
      <c r="BF22" s="77">
        <v>123</v>
      </c>
      <c r="BG22" s="77">
        <v>118</v>
      </c>
      <c r="BH22" s="77">
        <v>143</v>
      </c>
      <c r="BI22" s="77">
        <v>169</v>
      </c>
      <c r="BJ22" s="77">
        <v>150</v>
      </c>
      <c r="BK22" s="77">
        <v>165</v>
      </c>
      <c r="BL22" s="77">
        <v>186</v>
      </c>
      <c r="BM22" s="77">
        <v>186</v>
      </c>
      <c r="BN22" s="77">
        <v>210</v>
      </c>
      <c r="BO22" s="77">
        <v>191</v>
      </c>
      <c r="BP22" s="77">
        <v>188</v>
      </c>
      <c r="BQ22" s="77">
        <v>175</v>
      </c>
      <c r="BR22" s="77">
        <v>198</v>
      </c>
      <c r="BS22" s="77">
        <v>161</v>
      </c>
      <c r="BT22" s="77">
        <v>182</v>
      </c>
      <c r="BU22" s="77">
        <v>173</v>
      </c>
      <c r="BV22" s="77">
        <v>170</v>
      </c>
      <c r="BW22" s="77">
        <v>123</v>
      </c>
      <c r="BX22" s="77">
        <v>73</v>
      </c>
      <c r="BY22" s="77">
        <v>24</v>
      </c>
      <c r="BZ22" s="77">
        <v>6</v>
      </c>
      <c r="CA22" s="77">
        <v>9</v>
      </c>
      <c r="CB22" s="77">
        <v>4</v>
      </c>
      <c r="CC22" s="77">
        <v>6</v>
      </c>
      <c r="CD22" s="77">
        <v>11</v>
      </c>
      <c r="CE22" s="77">
        <v>5</v>
      </c>
      <c r="CF22" s="77">
        <v>1</v>
      </c>
      <c r="CG22" s="77">
        <v>4</v>
      </c>
      <c r="CH22" s="77">
        <v>3</v>
      </c>
      <c r="CI22" s="77">
        <v>3</v>
      </c>
    </row>
    <row r="23" spans="1:87">
      <c r="A23" s="74" t="s">
        <v>120</v>
      </c>
      <c r="B23" s="76">
        <v>202609</v>
      </c>
      <c r="C23" s="77">
        <v>4485</v>
      </c>
      <c r="D23" s="78">
        <v>66673.5333</v>
      </c>
      <c r="E23" s="77">
        <v>4333</v>
      </c>
      <c r="AN23" s="77">
        <v>2</v>
      </c>
      <c r="AO23" s="77">
        <v>6</v>
      </c>
      <c r="AP23" s="77">
        <v>58</v>
      </c>
      <c r="AQ23" s="77">
        <v>75</v>
      </c>
      <c r="AR23" s="77">
        <v>100</v>
      </c>
      <c r="AS23" s="77">
        <v>109</v>
      </c>
      <c r="AT23" s="77">
        <v>105</v>
      </c>
      <c r="AU23" s="77">
        <v>145</v>
      </c>
      <c r="AV23" s="77">
        <v>164</v>
      </c>
      <c r="AW23" s="77">
        <v>156</v>
      </c>
      <c r="AX23" s="77">
        <v>148</v>
      </c>
      <c r="AY23" s="77">
        <v>136</v>
      </c>
      <c r="AZ23" s="77">
        <v>175</v>
      </c>
      <c r="BA23" s="77">
        <v>176</v>
      </c>
      <c r="BB23" s="77">
        <v>186</v>
      </c>
      <c r="BC23" s="77">
        <v>161</v>
      </c>
      <c r="BD23" s="77">
        <v>114</v>
      </c>
      <c r="BE23" s="77">
        <v>112</v>
      </c>
      <c r="BF23" s="77">
        <v>93</v>
      </c>
      <c r="BG23" s="77">
        <v>99</v>
      </c>
      <c r="BH23" s="77">
        <v>110</v>
      </c>
      <c r="BI23" s="77">
        <v>131</v>
      </c>
      <c r="BJ23" s="77">
        <v>122</v>
      </c>
      <c r="BK23" s="77">
        <v>117</v>
      </c>
      <c r="BL23" s="77">
        <v>135</v>
      </c>
      <c r="BM23" s="77">
        <v>147</v>
      </c>
      <c r="BN23" s="77">
        <v>138</v>
      </c>
      <c r="BO23" s="77">
        <v>149</v>
      </c>
      <c r="BP23" s="77">
        <v>153</v>
      </c>
      <c r="BQ23" s="77">
        <v>155</v>
      </c>
      <c r="BR23" s="77">
        <v>152</v>
      </c>
      <c r="BS23" s="77">
        <v>122</v>
      </c>
      <c r="BT23" s="77">
        <v>122</v>
      </c>
      <c r="BU23" s="77">
        <v>135</v>
      </c>
      <c r="BV23" s="77">
        <v>114</v>
      </c>
      <c r="BW23" s="77">
        <v>113</v>
      </c>
      <c r="BX23" s="77">
        <v>38</v>
      </c>
      <c r="BY23" s="77">
        <v>12</v>
      </c>
    </row>
    <row r="24" spans="1:87">
      <c r="A24" s="74" t="s">
        <v>134</v>
      </c>
      <c r="B24" s="76">
        <v>202604</v>
      </c>
      <c r="C24" s="77">
        <v>5370</v>
      </c>
      <c r="D24" s="78">
        <v>90652.2833</v>
      </c>
      <c r="E24" s="77">
        <v>5209</v>
      </c>
      <c r="AM24" s="77">
        <v>1</v>
      </c>
      <c r="AN24" s="77">
        <v>5</v>
      </c>
      <c r="AO24" s="77">
        <v>12</v>
      </c>
      <c r="AP24" s="77">
        <v>52</v>
      </c>
      <c r="AQ24" s="77">
        <v>76</v>
      </c>
      <c r="AR24" s="77">
        <v>89</v>
      </c>
      <c r="AS24" s="77">
        <v>139</v>
      </c>
      <c r="AT24" s="77">
        <v>164</v>
      </c>
      <c r="AU24" s="77">
        <v>168</v>
      </c>
      <c r="AV24" s="77">
        <v>179</v>
      </c>
      <c r="AW24" s="77">
        <v>166</v>
      </c>
      <c r="AX24" s="77">
        <v>187</v>
      </c>
      <c r="AY24" s="77">
        <v>205</v>
      </c>
      <c r="AZ24" s="77">
        <v>185</v>
      </c>
      <c r="BA24" s="77">
        <v>185</v>
      </c>
      <c r="BB24" s="77">
        <v>189</v>
      </c>
      <c r="BC24" s="77">
        <v>153</v>
      </c>
      <c r="BD24" s="77">
        <v>138</v>
      </c>
      <c r="BE24" s="77">
        <v>121</v>
      </c>
      <c r="BF24" s="77">
        <v>115</v>
      </c>
      <c r="BG24" s="77">
        <v>116</v>
      </c>
      <c r="BH24" s="77">
        <v>142</v>
      </c>
      <c r="BI24" s="77">
        <v>134</v>
      </c>
      <c r="BJ24" s="77">
        <v>125</v>
      </c>
      <c r="BK24" s="77">
        <v>173</v>
      </c>
      <c r="BL24" s="77">
        <v>146</v>
      </c>
      <c r="BM24" s="77">
        <v>169</v>
      </c>
      <c r="BN24" s="77">
        <v>212</v>
      </c>
      <c r="BO24" s="77">
        <v>194</v>
      </c>
      <c r="BP24" s="77">
        <v>158</v>
      </c>
      <c r="BQ24" s="77">
        <v>196</v>
      </c>
      <c r="BR24" s="77">
        <v>161</v>
      </c>
      <c r="BS24" s="77">
        <v>178</v>
      </c>
      <c r="BT24" s="77">
        <v>160</v>
      </c>
      <c r="BU24" s="77">
        <v>168</v>
      </c>
      <c r="BV24" s="77">
        <v>188</v>
      </c>
      <c r="BW24" s="77">
        <v>124</v>
      </c>
      <c r="BX24" s="77">
        <v>87</v>
      </c>
      <c r="BY24" s="77">
        <v>10</v>
      </c>
    </row>
    <row r="25" spans="1:87">
      <c r="A25" s="74" t="s">
        <v>134</v>
      </c>
      <c r="B25" s="76">
        <v>202605</v>
      </c>
      <c r="C25" s="77">
        <v>5020</v>
      </c>
      <c r="D25" s="78">
        <v>75097.6333</v>
      </c>
      <c r="E25" s="77">
        <v>4873</v>
      </c>
      <c r="AN25" s="77">
        <v>5</v>
      </c>
      <c r="AO25" s="77">
        <v>12</v>
      </c>
      <c r="AP25" s="77">
        <v>60</v>
      </c>
      <c r="AQ25" s="77">
        <v>69</v>
      </c>
      <c r="AR25" s="77">
        <v>100</v>
      </c>
      <c r="AS25" s="77">
        <v>122</v>
      </c>
      <c r="AT25" s="77">
        <v>151</v>
      </c>
      <c r="AU25" s="77">
        <v>163</v>
      </c>
      <c r="AV25" s="77">
        <v>160</v>
      </c>
      <c r="AW25" s="77">
        <v>152</v>
      </c>
      <c r="AX25" s="77">
        <v>159</v>
      </c>
      <c r="AY25" s="77">
        <v>196</v>
      </c>
      <c r="AZ25" s="77">
        <v>180</v>
      </c>
      <c r="BA25" s="77">
        <v>165</v>
      </c>
      <c r="BB25" s="77">
        <v>166</v>
      </c>
      <c r="BC25" s="77">
        <v>148</v>
      </c>
      <c r="BD25" s="77">
        <v>127</v>
      </c>
      <c r="BE25" s="77">
        <v>111</v>
      </c>
      <c r="BF25" s="77">
        <v>120</v>
      </c>
      <c r="BG25" s="77">
        <v>146</v>
      </c>
      <c r="BH25" s="77">
        <v>145</v>
      </c>
      <c r="BI25" s="77">
        <v>152</v>
      </c>
      <c r="BJ25" s="77">
        <v>148</v>
      </c>
      <c r="BK25" s="77">
        <v>162</v>
      </c>
      <c r="BL25" s="77">
        <v>135</v>
      </c>
      <c r="BM25" s="77">
        <v>171</v>
      </c>
      <c r="BN25" s="77">
        <v>175</v>
      </c>
      <c r="BO25" s="77">
        <v>152</v>
      </c>
      <c r="BP25" s="77">
        <v>163</v>
      </c>
      <c r="BQ25" s="77">
        <v>177</v>
      </c>
      <c r="BR25" s="77">
        <v>167</v>
      </c>
      <c r="BS25" s="77">
        <v>166</v>
      </c>
      <c r="BT25" s="77">
        <v>150</v>
      </c>
      <c r="BU25" s="77">
        <v>134</v>
      </c>
      <c r="BV25" s="77">
        <v>132</v>
      </c>
      <c r="BW25" s="77">
        <v>108</v>
      </c>
      <c r="BX25" s="77">
        <v>64</v>
      </c>
      <c r="BY25" s="77">
        <v>7</v>
      </c>
    </row>
    <row r="26" spans="1:87">
      <c r="A26" s="74" t="s">
        <v>134</v>
      </c>
      <c r="B26" s="76">
        <v>202606</v>
      </c>
      <c r="C26" s="77">
        <v>6607</v>
      </c>
      <c r="D26" s="78">
        <v>95381.3</v>
      </c>
      <c r="E26" s="77">
        <v>6446</v>
      </c>
      <c r="AM26" s="77">
        <v>2</v>
      </c>
      <c r="AN26" s="77">
        <v>3</v>
      </c>
      <c r="AO26" s="77">
        <v>21</v>
      </c>
      <c r="AP26" s="77">
        <v>75</v>
      </c>
      <c r="AQ26" s="77">
        <v>95</v>
      </c>
      <c r="AR26" s="77">
        <v>141</v>
      </c>
      <c r="AS26" s="77">
        <v>163</v>
      </c>
      <c r="AT26" s="77">
        <v>174</v>
      </c>
      <c r="AU26" s="77">
        <v>182</v>
      </c>
      <c r="AV26" s="77">
        <v>207</v>
      </c>
      <c r="AW26" s="77">
        <v>221</v>
      </c>
      <c r="AX26" s="77">
        <v>217</v>
      </c>
      <c r="AY26" s="77">
        <v>242</v>
      </c>
      <c r="AZ26" s="77">
        <v>206</v>
      </c>
      <c r="BA26" s="77">
        <v>259</v>
      </c>
      <c r="BB26" s="77">
        <v>244</v>
      </c>
      <c r="BC26" s="77">
        <v>211</v>
      </c>
      <c r="BD26" s="77">
        <v>174</v>
      </c>
      <c r="BE26" s="77">
        <v>151</v>
      </c>
      <c r="BF26" s="77">
        <v>167</v>
      </c>
      <c r="BG26" s="77">
        <v>161</v>
      </c>
      <c r="BH26" s="77">
        <v>167</v>
      </c>
      <c r="BI26" s="77">
        <v>189</v>
      </c>
      <c r="BJ26" s="77">
        <v>208</v>
      </c>
      <c r="BK26" s="77">
        <v>208</v>
      </c>
      <c r="BL26" s="77">
        <v>214</v>
      </c>
      <c r="BM26" s="77">
        <v>217</v>
      </c>
      <c r="BN26" s="77">
        <v>231</v>
      </c>
      <c r="BO26" s="77">
        <v>233</v>
      </c>
      <c r="BP26" s="77">
        <v>198</v>
      </c>
      <c r="BQ26" s="77">
        <v>219</v>
      </c>
      <c r="BR26" s="77">
        <v>244</v>
      </c>
      <c r="BS26" s="77">
        <v>179</v>
      </c>
      <c r="BT26" s="77">
        <v>186</v>
      </c>
      <c r="BU26" s="77">
        <v>183</v>
      </c>
      <c r="BV26" s="77">
        <v>179</v>
      </c>
      <c r="BW26" s="77">
        <v>138</v>
      </c>
      <c r="BX26" s="77">
        <v>86</v>
      </c>
      <c r="BY26" s="77">
        <v>12</v>
      </c>
    </row>
    <row r="27" spans="1:87">
      <c r="A27" s="74" t="s">
        <v>134</v>
      </c>
      <c r="B27" s="76">
        <v>202607</v>
      </c>
      <c r="C27" s="77">
        <v>6636</v>
      </c>
      <c r="D27" s="78">
        <v>96082.7167</v>
      </c>
      <c r="E27" s="77">
        <v>6457</v>
      </c>
      <c r="AN27" s="77">
        <v>3</v>
      </c>
      <c r="AO27" s="77">
        <v>15</v>
      </c>
      <c r="AP27" s="77">
        <v>67</v>
      </c>
      <c r="AQ27" s="77">
        <v>96</v>
      </c>
      <c r="AR27" s="77">
        <v>138</v>
      </c>
      <c r="AS27" s="77">
        <v>158</v>
      </c>
      <c r="AT27" s="77">
        <v>184</v>
      </c>
      <c r="AU27" s="77">
        <v>189</v>
      </c>
      <c r="AV27" s="77">
        <v>216</v>
      </c>
      <c r="AW27" s="77">
        <v>228</v>
      </c>
      <c r="AX27" s="77">
        <v>235</v>
      </c>
      <c r="AY27" s="77">
        <v>244</v>
      </c>
      <c r="AZ27" s="77">
        <v>252</v>
      </c>
      <c r="BA27" s="77">
        <v>212</v>
      </c>
      <c r="BB27" s="77">
        <v>219</v>
      </c>
      <c r="BC27" s="77">
        <v>213</v>
      </c>
      <c r="BD27" s="77">
        <v>162</v>
      </c>
      <c r="BE27" s="77">
        <v>158</v>
      </c>
      <c r="BF27" s="77">
        <v>161</v>
      </c>
      <c r="BG27" s="77">
        <v>152</v>
      </c>
      <c r="BH27" s="77">
        <v>173</v>
      </c>
      <c r="BI27" s="77">
        <v>187</v>
      </c>
      <c r="BJ27" s="77">
        <v>185</v>
      </c>
      <c r="BK27" s="77">
        <v>199</v>
      </c>
      <c r="BL27" s="77">
        <v>199</v>
      </c>
      <c r="BM27" s="77">
        <v>224</v>
      </c>
      <c r="BN27" s="77">
        <v>251</v>
      </c>
      <c r="BO27" s="77">
        <v>210</v>
      </c>
      <c r="BP27" s="77">
        <v>219</v>
      </c>
      <c r="BQ27" s="77">
        <v>208</v>
      </c>
      <c r="BR27" s="77">
        <v>245</v>
      </c>
      <c r="BS27" s="77">
        <v>206</v>
      </c>
      <c r="BT27" s="77">
        <v>189</v>
      </c>
      <c r="BU27" s="77">
        <v>175</v>
      </c>
      <c r="BV27" s="77">
        <v>195</v>
      </c>
      <c r="BW27" s="77">
        <v>157</v>
      </c>
      <c r="BX27" s="77">
        <v>94</v>
      </c>
      <c r="BY27" s="77">
        <v>17</v>
      </c>
      <c r="CA27" s="77">
        <v>1</v>
      </c>
    </row>
    <row r="28" spans="1:87">
      <c r="A28" s="74" t="s">
        <v>134</v>
      </c>
      <c r="B28" s="76">
        <v>202608</v>
      </c>
      <c r="C28" s="77">
        <v>7296</v>
      </c>
      <c r="D28" s="78">
        <v>93706.35000000001</v>
      </c>
      <c r="E28" s="77">
        <v>7133</v>
      </c>
      <c r="AN28" s="77">
        <v>2</v>
      </c>
      <c r="AO28" s="77">
        <v>13</v>
      </c>
      <c r="AP28" s="77">
        <v>100</v>
      </c>
      <c r="AQ28" s="77">
        <v>124</v>
      </c>
      <c r="AR28" s="77">
        <v>159</v>
      </c>
      <c r="AS28" s="77">
        <v>217</v>
      </c>
      <c r="AT28" s="77">
        <v>239</v>
      </c>
      <c r="AU28" s="77">
        <v>234</v>
      </c>
      <c r="AV28" s="77">
        <v>235</v>
      </c>
      <c r="AW28" s="77">
        <v>254</v>
      </c>
      <c r="AX28" s="77">
        <v>263</v>
      </c>
      <c r="AY28" s="77">
        <v>258</v>
      </c>
      <c r="AZ28" s="77">
        <v>253</v>
      </c>
      <c r="BA28" s="77">
        <v>241</v>
      </c>
      <c r="BB28" s="77">
        <v>227</v>
      </c>
      <c r="BC28" s="77">
        <v>237</v>
      </c>
      <c r="BD28" s="77">
        <v>199</v>
      </c>
      <c r="BE28" s="77">
        <v>185</v>
      </c>
      <c r="BF28" s="77">
        <v>169</v>
      </c>
      <c r="BG28" s="77">
        <v>159</v>
      </c>
      <c r="BH28" s="77">
        <v>175</v>
      </c>
      <c r="BI28" s="77">
        <v>185</v>
      </c>
      <c r="BJ28" s="77">
        <v>207</v>
      </c>
      <c r="BK28" s="77">
        <v>221</v>
      </c>
      <c r="BL28" s="77">
        <v>227</v>
      </c>
      <c r="BM28" s="77">
        <v>223</v>
      </c>
      <c r="BN28" s="77">
        <v>242</v>
      </c>
      <c r="BO28" s="77">
        <v>226</v>
      </c>
      <c r="BP28" s="77">
        <v>211</v>
      </c>
      <c r="BQ28" s="77">
        <v>216</v>
      </c>
      <c r="BR28" s="77">
        <v>243</v>
      </c>
      <c r="BS28" s="77">
        <v>219</v>
      </c>
      <c r="BT28" s="77">
        <v>229</v>
      </c>
      <c r="BU28" s="77">
        <v>222</v>
      </c>
      <c r="BV28" s="77">
        <v>189</v>
      </c>
      <c r="BW28" s="77">
        <v>163</v>
      </c>
      <c r="BX28" s="77">
        <v>103</v>
      </c>
      <c r="BY28" s="77">
        <v>17</v>
      </c>
      <c r="CA28" s="77">
        <v>10</v>
      </c>
    </row>
    <row r="29" spans="1:87">
      <c r="A29" s="74" t="s">
        <v>134</v>
      </c>
      <c r="B29" s="76">
        <v>202609</v>
      </c>
      <c r="C29" s="77">
        <v>5534</v>
      </c>
      <c r="D29" s="78">
        <v>80943</v>
      </c>
      <c r="E29" s="77">
        <v>5382</v>
      </c>
      <c r="AN29" s="77">
        <v>4</v>
      </c>
      <c r="AO29" s="77">
        <v>9</v>
      </c>
      <c r="AP29" s="77">
        <v>52</v>
      </c>
      <c r="AQ29" s="77">
        <v>83</v>
      </c>
      <c r="AR29" s="77">
        <v>123</v>
      </c>
      <c r="AS29" s="77">
        <v>119</v>
      </c>
      <c r="AT29" s="77">
        <v>155</v>
      </c>
      <c r="AU29" s="77">
        <v>158</v>
      </c>
      <c r="AV29" s="77">
        <v>172</v>
      </c>
      <c r="AW29" s="77">
        <v>210</v>
      </c>
      <c r="AX29" s="77">
        <v>197</v>
      </c>
      <c r="AY29" s="77">
        <v>205</v>
      </c>
      <c r="AZ29" s="77">
        <v>218</v>
      </c>
      <c r="BA29" s="77">
        <v>196</v>
      </c>
      <c r="BB29" s="77">
        <v>199</v>
      </c>
      <c r="BC29" s="77">
        <v>156</v>
      </c>
      <c r="BD29" s="77">
        <v>157</v>
      </c>
      <c r="BE29" s="77">
        <v>130</v>
      </c>
      <c r="BF29" s="77">
        <v>126</v>
      </c>
      <c r="BG29" s="77">
        <v>135</v>
      </c>
      <c r="BH29" s="77">
        <v>148</v>
      </c>
      <c r="BI29" s="77">
        <v>174</v>
      </c>
      <c r="BJ29" s="77">
        <v>149</v>
      </c>
      <c r="BK29" s="77">
        <v>173</v>
      </c>
      <c r="BL29" s="77">
        <v>180</v>
      </c>
      <c r="BM29" s="77">
        <v>176</v>
      </c>
      <c r="BN29" s="77">
        <v>180</v>
      </c>
      <c r="BO29" s="77">
        <v>178</v>
      </c>
      <c r="BP29" s="77">
        <v>172</v>
      </c>
      <c r="BQ29" s="77">
        <v>175</v>
      </c>
      <c r="BR29" s="77">
        <v>167</v>
      </c>
      <c r="BS29" s="77">
        <v>185</v>
      </c>
      <c r="BT29" s="77">
        <v>150</v>
      </c>
      <c r="BU29" s="77">
        <v>160</v>
      </c>
      <c r="BV29" s="77">
        <v>129</v>
      </c>
      <c r="BW29" s="77">
        <v>146</v>
      </c>
      <c r="BX29" s="77">
        <v>68</v>
      </c>
      <c r="BY29" s="77">
        <v>20</v>
      </c>
    </row>
    <row r="30" spans="1:87">
      <c r="A30" s="74" t="s">
        <v>148</v>
      </c>
      <c r="B30" s="76">
        <v>202604</v>
      </c>
      <c r="C30" s="77">
        <v>6558</v>
      </c>
      <c r="D30" s="78">
        <v>166745.4667</v>
      </c>
      <c r="E30" s="77">
        <v>6146</v>
      </c>
      <c r="AK30" s="77">
        <v>1</v>
      </c>
      <c r="AL30" s="77">
        <v>7</v>
      </c>
      <c r="AM30" s="77">
        <v>60</v>
      </c>
      <c r="AN30" s="77">
        <v>91</v>
      </c>
      <c r="AO30" s="77">
        <v>125</v>
      </c>
      <c r="AP30" s="77">
        <v>189</v>
      </c>
      <c r="AQ30" s="77">
        <v>223</v>
      </c>
      <c r="AR30" s="77">
        <v>197</v>
      </c>
      <c r="AS30" s="77">
        <v>226</v>
      </c>
      <c r="AT30" s="77">
        <v>223</v>
      </c>
      <c r="AU30" s="77">
        <v>252</v>
      </c>
      <c r="AV30" s="77">
        <v>255</v>
      </c>
      <c r="AW30" s="77">
        <v>234</v>
      </c>
      <c r="AX30" s="77">
        <v>233</v>
      </c>
      <c r="AY30" s="77">
        <v>200</v>
      </c>
      <c r="AZ30" s="77">
        <v>202</v>
      </c>
      <c r="BA30" s="77">
        <v>166</v>
      </c>
      <c r="BB30" s="77">
        <v>160</v>
      </c>
      <c r="BC30" s="77">
        <v>143</v>
      </c>
      <c r="BD30" s="77">
        <v>135</v>
      </c>
      <c r="BE30" s="77">
        <v>157</v>
      </c>
      <c r="BF30" s="77">
        <v>193</v>
      </c>
      <c r="BG30" s="77">
        <v>190</v>
      </c>
      <c r="BH30" s="77">
        <v>206</v>
      </c>
      <c r="BI30" s="77">
        <v>202</v>
      </c>
      <c r="BJ30" s="77">
        <v>206</v>
      </c>
      <c r="BK30" s="77">
        <v>206</v>
      </c>
      <c r="BL30" s="77">
        <v>218</v>
      </c>
      <c r="BM30" s="77">
        <v>221</v>
      </c>
      <c r="BN30" s="77">
        <v>226</v>
      </c>
      <c r="BO30" s="77">
        <v>188</v>
      </c>
      <c r="BP30" s="77">
        <v>180</v>
      </c>
      <c r="BQ30" s="77">
        <v>207</v>
      </c>
      <c r="BR30" s="77">
        <v>185</v>
      </c>
      <c r="BS30" s="77">
        <v>184</v>
      </c>
      <c r="BT30" s="77">
        <v>142</v>
      </c>
      <c r="BU30" s="77">
        <v>105</v>
      </c>
      <c r="BV30" s="77">
        <v>16</v>
      </c>
      <c r="CE30" s="77">
        <v>4</v>
      </c>
    </row>
    <row r="31" spans="1:87">
      <c r="A31" s="74" t="s">
        <v>148</v>
      </c>
      <c r="B31" s="76">
        <v>202605</v>
      </c>
      <c r="C31" s="77">
        <v>6316</v>
      </c>
      <c r="D31" s="78">
        <v>145365.4167</v>
      </c>
      <c r="E31" s="77">
        <v>5974</v>
      </c>
      <c r="AL31" s="77">
        <v>13</v>
      </c>
      <c r="AM31" s="77">
        <v>96</v>
      </c>
      <c r="AN31" s="77">
        <v>91</v>
      </c>
      <c r="AO31" s="77">
        <v>143</v>
      </c>
      <c r="AP31" s="77">
        <v>192</v>
      </c>
      <c r="AQ31" s="77">
        <v>201</v>
      </c>
      <c r="AR31" s="77">
        <v>202</v>
      </c>
      <c r="AS31" s="77">
        <v>187</v>
      </c>
      <c r="AT31" s="77">
        <v>209</v>
      </c>
      <c r="AU31" s="77">
        <v>220</v>
      </c>
      <c r="AV31" s="77">
        <v>232</v>
      </c>
      <c r="AW31" s="77">
        <v>235</v>
      </c>
      <c r="AX31" s="77">
        <v>205</v>
      </c>
      <c r="AY31" s="77">
        <v>235</v>
      </c>
      <c r="AZ31" s="77">
        <v>230</v>
      </c>
      <c r="BA31" s="77">
        <v>177</v>
      </c>
      <c r="BB31" s="77">
        <v>174</v>
      </c>
      <c r="BC31" s="77">
        <v>145</v>
      </c>
      <c r="BD31" s="77">
        <v>115</v>
      </c>
      <c r="BE31" s="77">
        <v>141</v>
      </c>
      <c r="BF31" s="77">
        <v>158</v>
      </c>
      <c r="BG31" s="77">
        <v>178</v>
      </c>
      <c r="BH31" s="77">
        <v>171</v>
      </c>
      <c r="BI31" s="77">
        <v>202</v>
      </c>
      <c r="BJ31" s="77">
        <v>201</v>
      </c>
      <c r="BK31" s="77">
        <v>199</v>
      </c>
      <c r="BL31" s="77">
        <v>210</v>
      </c>
      <c r="BM31" s="77">
        <v>205</v>
      </c>
      <c r="BN31" s="77">
        <v>196</v>
      </c>
      <c r="BO31" s="77">
        <v>206</v>
      </c>
      <c r="BP31" s="77">
        <v>219</v>
      </c>
      <c r="BQ31" s="77">
        <v>164</v>
      </c>
      <c r="BR31" s="77">
        <v>156</v>
      </c>
      <c r="BS31" s="77">
        <v>169</v>
      </c>
      <c r="BT31" s="77">
        <v>135</v>
      </c>
      <c r="BU31" s="77">
        <v>86</v>
      </c>
      <c r="BV31" s="77">
        <v>18</v>
      </c>
    </row>
    <row r="32" spans="1:87">
      <c r="A32" s="74" t="s">
        <v>148</v>
      </c>
      <c r="B32" s="76">
        <v>202606</v>
      </c>
      <c r="C32" s="77">
        <v>8023</v>
      </c>
      <c r="D32" s="78">
        <v>182167.15</v>
      </c>
      <c r="E32" s="77">
        <v>7589</v>
      </c>
      <c r="AK32" s="77">
        <v>2</v>
      </c>
      <c r="AL32" s="77">
        <v>11</v>
      </c>
      <c r="AM32" s="77">
        <v>115</v>
      </c>
      <c r="AN32" s="77">
        <v>118</v>
      </c>
      <c r="AO32" s="77">
        <v>171</v>
      </c>
      <c r="AP32" s="77">
        <v>230</v>
      </c>
      <c r="AQ32" s="77">
        <v>270</v>
      </c>
      <c r="AR32" s="77">
        <v>280</v>
      </c>
      <c r="AS32" s="77">
        <v>279</v>
      </c>
      <c r="AT32" s="77">
        <v>269</v>
      </c>
      <c r="AU32" s="77">
        <v>250</v>
      </c>
      <c r="AV32" s="77">
        <v>286</v>
      </c>
      <c r="AW32" s="77">
        <v>287</v>
      </c>
      <c r="AX32" s="77">
        <v>269</v>
      </c>
      <c r="AY32" s="77">
        <v>271</v>
      </c>
      <c r="AZ32" s="77">
        <v>251</v>
      </c>
      <c r="BA32" s="77">
        <v>211</v>
      </c>
      <c r="BB32" s="77">
        <v>191</v>
      </c>
      <c r="BC32" s="77">
        <v>185</v>
      </c>
      <c r="BD32" s="77">
        <v>162</v>
      </c>
      <c r="BE32" s="77">
        <v>181</v>
      </c>
      <c r="BF32" s="77">
        <v>190</v>
      </c>
      <c r="BG32" s="77">
        <v>202</v>
      </c>
      <c r="BH32" s="77">
        <v>242</v>
      </c>
      <c r="BI32" s="77">
        <v>258</v>
      </c>
      <c r="BJ32" s="77">
        <v>247</v>
      </c>
      <c r="BK32" s="77">
        <v>267</v>
      </c>
      <c r="BL32" s="77">
        <v>244</v>
      </c>
      <c r="BM32" s="77">
        <v>270</v>
      </c>
      <c r="BN32" s="77">
        <v>261</v>
      </c>
      <c r="BO32" s="77">
        <v>285</v>
      </c>
      <c r="BP32" s="77">
        <v>233</v>
      </c>
      <c r="BQ32" s="77">
        <v>252</v>
      </c>
      <c r="BR32" s="77">
        <v>236</v>
      </c>
      <c r="BS32" s="77">
        <v>215</v>
      </c>
      <c r="BT32" s="77">
        <v>190</v>
      </c>
      <c r="BU32" s="77">
        <v>116</v>
      </c>
      <c r="BV32" s="77">
        <v>26</v>
      </c>
    </row>
    <row r="33" spans="1:86">
      <c r="A33" s="74" t="s">
        <v>148</v>
      </c>
      <c r="B33" s="76">
        <v>202607</v>
      </c>
      <c r="C33" s="77">
        <v>8089</v>
      </c>
      <c r="D33" s="78">
        <v>188601.4</v>
      </c>
      <c r="E33" s="77">
        <v>7679</v>
      </c>
      <c r="AL33" s="77">
        <v>8</v>
      </c>
      <c r="AM33" s="77">
        <v>92</v>
      </c>
      <c r="AN33" s="77">
        <v>133</v>
      </c>
      <c r="AO33" s="77">
        <v>191</v>
      </c>
      <c r="AP33" s="77">
        <v>224</v>
      </c>
      <c r="AQ33" s="77">
        <v>225</v>
      </c>
      <c r="AR33" s="77">
        <v>241</v>
      </c>
      <c r="AS33" s="77">
        <v>241</v>
      </c>
      <c r="AT33" s="77">
        <v>272</v>
      </c>
      <c r="AU33" s="77">
        <v>269</v>
      </c>
      <c r="AV33" s="77">
        <v>280</v>
      </c>
      <c r="AW33" s="77">
        <v>270</v>
      </c>
      <c r="AX33" s="77">
        <v>276</v>
      </c>
      <c r="AY33" s="77">
        <v>267</v>
      </c>
      <c r="AZ33" s="77">
        <v>281</v>
      </c>
      <c r="BA33" s="77">
        <v>260</v>
      </c>
      <c r="BB33" s="77">
        <v>222</v>
      </c>
      <c r="BC33" s="77">
        <v>167</v>
      </c>
      <c r="BD33" s="77">
        <v>134</v>
      </c>
      <c r="BE33" s="77">
        <v>172</v>
      </c>
      <c r="BF33" s="77">
        <v>180</v>
      </c>
      <c r="BG33" s="77">
        <v>175</v>
      </c>
      <c r="BH33" s="77">
        <v>246</v>
      </c>
      <c r="BI33" s="77">
        <v>245</v>
      </c>
      <c r="BJ33" s="77">
        <v>240</v>
      </c>
      <c r="BK33" s="77">
        <v>262</v>
      </c>
      <c r="BL33" s="77">
        <v>272</v>
      </c>
      <c r="BM33" s="77">
        <v>274</v>
      </c>
      <c r="BN33" s="77">
        <v>275</v>
      </c>
      <c r="BO33" s="77">
        <v>265</v>
      </c>
      <c r="BP33" s="77">
        <v>265</v>
      </c>
      <c r="BQ33" s="77">
        <v>288</v>
      </c>
      <c r="BR33" s="77">
        <v>208</v>
      </c>
      <c r="BS33" s="77">
        <v>224</v>
      </c>
      <c r="BT33" s="77">
        <v>205</v>
      </c>
      <c r="BU33" s="77">
        <v>118</v>
      </c>
      <c r="BV33" s="77">
        <v>52</v>
      </c>
      <c r="BW33" s="77">
        <v>21</v>
      </c>
      <c r="BX33" s="77">
        <v>4</v>
      </c>
      <c r="BY33" s="77">
        <v>13</v>
      </c>
      <c r="BZ33" s="77">
        <v>31</v>
      </c>
      <c r="CA33" s="77">
        <v>1</v>
      </c>
    </row>
    <row r="34" spans="1:86">
      <c r="A34" s="74" t="s">
        <v>148</v>
      </c>
      <c r="B34" s="76">
        <v>202608</v>
      </c>
      <c r="C34" s="77">
        <v>8307</v>
      </c>
      <c r="D34" s="78">
        <v>160257.0167</v>
      </c>
      <c r="E34" s="77">
        <v>7939</v>
      </c>
      <c r="AL34" s="77">
        <v>3</v>
      </c>
      <c r="AM34" s="77">
        <v>42</v>
      </c>
      <c r="AN34" s="77">
        <v>168</v>
      </c>
      <c r="AO34" s="77">
        <v>168</v>
      </c>
      <c r="AP34" s="77">
        <v>234</v>
      </c>
      <c r="AQ34" s="77">
        <v>260</v>
      </c>
      <c r="AR34" s="77">
        <v>262</v>
      </c>
      <c r="AS34" s="77">
        <v>271</v>
      </c>
      <c r="AT34" s="77">
        <v>269</v>
      </c>
      <c r="AU34" s="77">
        <v>251</v>
      </c>
      <c r="AV34" s="77">
        <v>281</v>
      </c>
      <c r="AW34" s="77">
        <v>314</v>
      </c>
      <c r="AX34" s="77">
        <v>311</v>
      </c>
      <c r="AY34" s="77">
        <v>298</v>
      </c>
      <c r="AZ34" s="77">
        <v>299</v>
      </c>
      <c r="BA34" s="77">
        <v>251</v>
      </c>
      <c r="BB34" s="77">
        <v>195</v>
      </c>
      <c r="BC34" s="77">
        <v>185</v>
      </c>
      <c r="BD34" s="77">
        <v>175</v>
      </c>
      <c r="BE34" s="77">
        <v>165</v>
      </c>
      <c r="BF34" s="77">
        <v>203</v>
      </c>
      <c r="BG34" s="77">
        <v>191</v>
      </c>
      <c r="BH34" s="77">
        <v>236</v>
      </c>
      <c r="BI34" s="77">
        <v>220</v>
      </c>
      <c r="BJ34" s="77">
        <v>238</v>
      </c>
      <c r="BK34" s="77">
        <v>257</v>
      </c>
      <c r="BL34" s="77">
        <v>258</v>
      </c>
      <c r="BM34" s="77">
        <v>256</v>
      </c>
      <c r="BN34" s="77">
        <v>267</v>
      </c>
      <c r="BO34" s="77">
        <v>292</v>
      </c>
      <c r="BP34" s="77">
        <v>263</v>
      </c>
      <c r="BQ34" s="77">
        <v>266</v>
      </c>
      <c r="BR34" s="77">
        <v>256</v>
      </c>
      <c r="BS34" s="77">
        <v>243</v>
      </c>
      <c r="BT34" s="77">
        <v>216</v>
      </c>
      <c r="BU34" s="77">
        <v>176</v>
      </c>
      <c r="BV34" s="77">
        <v>64</v>
      </c>
      <c r="BW34" s="77">
        <v>3</v>
      </c>
    </row>
    <row r="35" spans="1:86">
      <c r="A35" s="74" t="s">
        <v>148</v>
      </c>
      <c r="B35" s="76">
        <v>202609</v>
      </c>
      <c r="C35" s="77">
        <v>6681</v>
      </c>
      <c r="D35" s="78">
        <v>158141.0667</v>
      </c>
      <c r="E35" s="77">
        <v>6300</v>
      </c>
      <c r="AL35" s="77">
        <v>4</v>
      </c>
      <c r="AM35" s="77">
        <v>27</v>
      </c>
      <c r="AN35" s="77">
        <v>114</v>
      </c>
      <c r="AO35" s="77">
        <v>136</v>
      </c>
      <c r="AP35" s="77">
        <v>212</v>
      </c>
      <c r="AQ35" s="77">
        <v>193</v>
      </c>
      <c r="AR35" s="77">
        <v>221</v>
      </c>
      <c r="AS35" s="77">
        <v>226</v>
      </c>
      <c r="AT35" s="77">
        <v>213</v>
      </c>
      <c r="AU35" s="77">
        <v>217</v>
      </c>
      <c r="AV35" s="77">
        <v>208</v>
      </c>
      <c r="AW35" s="77">
        <v>214</v>
      </c>
      <c r="AX35" s="77">
        <v>228</v>
      </c>
      <c r="AY35" s="77">
        <v>235</v>
      </c>
      <c r="AZ35" s="77">
        <v>250</v>
      </c>
      <c r="BA35" s="77">
        <v>230</v>
      </c>
      <c r="BB35" s="77">
        <v>180</v>
      </c>
      <c r="BC35" s="77">
        <v>183</v>
      </c>
      <c r="BD35" s="77">
        <v>160</v>
      </c>
      <c r="BE35" s="77">
        <v>140</v>
      </c>
      <c r="BF35" s="77">
        <v>151</v>
      </c>
      <c r="BG35" s="77">
        <v>160</v>
      </c>
      <c r="BH35" s="77">
        <v>171</v>
      </c>
      <c r="BI35" s="77">
        <v>180</v>
      </c>
      <c r="BJ35" s="77">
        <v>206</v>
      </c>
      <c r="BK35" s="77">
        <v>219</v>
      </c>
      <c r="BL35" s="77">
        <v>209</v>
      </c>
      <c r="BM35" s="77">
        <v>193</v>
      </c>
      <c r="BN35" s="77">
        <v>229</v>
      </c>
      <c r="BO35" s="77">
        <v>227</v>
      </c>
      <c r="BP35" s="77">
        <v>227</v>
      </c>
      <c r="BQ35" s="77">
        <v>212</v>
      </c>
      <c r="BR35" s="77">
        <v>201</v>
      </c>
      <c r="BS35" s="77">
        <v>157</v>
      </c>
      <c r="BT35" s="77">
        <v>166</v>
      </c>
      <c r="BU35" s="77">
        <v>131</v>
      </c>
      <c r="BV35" s="77">
        <v>50</v>
      </c>
      <c r="CD35" s="77">
        <v>1</v>
      </c>
    </row>
    <row r="36" spans="1:86">
      <c r="A36" s="74" t="s">
        <v>162</v>
      </c>
      <c r="B36" s="76">
        <v>202604</v>
      </c>
      <c r="C36" s="77">
        <v>3284</v>
      </c>
      <c r="D36" s="78">
        <v>57603.0833</v>
      </c>
      <c r="E36" s="77">
        <v>3187</v>
      </c>
      <c r="AK36" s="77">
        <v>1</v>
      </c>
      <c r="AL36" s="77">
        <v>1</v>
      </c>
      <c r="AM36" s="77">
        <v>7</v>
      </c>
      <c r="AN36" s="77">
        <v>38</v>
      </c>
      <c r="AO36" s="77">
        <v>37</v>
      </c>
      <c r="AP36" s="77">
        <v>80</v>
      </c>
      <c r="AQ36" s="77">
        <v>94</v>
      </c>
      <c r="AR36" s="77">
        <v>111</v>
      </c>
      <c r="AS36" s="77">
        <v>114</v>
      </c>
      <c r="AT36" s="77">
        <v>108</v>
      </c>
      <c r="AU36" s="77">
        <v>128</v>
      </c>
      <c r="AV36" s="77">
        <v>131</v>
      </c>
      <c r="AW36" s="77">
        <v>130</v>
      </c>
      <c r="AX36" s="77">
        <v>127</v>
      </c>
      <c r="AY36" s="77">
        <v>116</v>
      </c>
      <c r="AZ36" s="77">
        <v>133</v>
      </c>
      <c r="BA36" s="77">
        <v>118</v>
      </c>
      <c r="BB36" s="77">
        <v>92</v>
      </c>
      <c r="BC36" s="77">
        <v>54</v>
      </c>
      <c r="BD36" s="77">
        <v>67</v>
      </c>
      <c r="BE36" s="77">
        <v>74</v>
      </c>
      <c r="BF36" s="77">
        <v>86</v>
      </c>
      <c r="BG36" s="77">
        <v>102</v>
      </c>
      <c r="BH36" s="77">
        <v>109</v>
      </c>
      <c r="BI36" s="77">
        <v>113</v>
      </c>
      <c r="BJ36" s="77">
        <v>100</v>
      </c>
      <c r="BK36" s="77">
        <v>105</v>
      </c>
      <c r="BL36" s="77">
        <v>119</v>
      </c>
      <c r="BM36" s="77">
        <v>108</v>
      </c>
      <c r="BN36" s="77">
        <v>97</v>
      </c>
      <c r="BO36" s="77">
        <v>87</v>
      </c>
      <c r="BP36" s="77">
        <v>96</v>
      </c>
      <c r="BQ36" s="77">
        <v>86</v>
      </c>
      <c r="BR36" s="77">
        <v>83</v>
      </c>
      <c r="BS36" s="77">
        <v>82</v>
      </c>
      <c r="BT36" s="77">
        <v>63</v>
      </c>
      <c r="BU36" s="77">
        <v>62</v>
      </c>
      <c r="BV36" s="77">
        <v>21</v>
      </c>
      <c r="BW36" s="77">
        <v>4</v>
      </c>
    </row>
    <row r="37" spans="1:86">
      <c r="A37" s="74" t="s">
        <v>162</v>
      </c>
      <c r="B37" s="76">
        <v>202605</v>
      </c>
      <c r="C37" s="77">
        <v>3112</v>
      </c>
      <c r="D37" s="78">
        <v>50767.65</v>
      </c>
      <c r="E37" s="77">
        <v>3037</v>
      </c>
      <c r="AM37" s="77">
        <v>11</v>
      </c>
      <c r="AN37" s="77">
        <v>37</v>
      </c>
      <c r="AO37" s="77">
        <v>49</v>
      </c>
      <c r="AP37" s="77">
        <v>88</v>
      </c>
      <c r="AQ37" s="77">
        <v>98</v>
      </c>
      <c r="AR37" s="77">
        <v>107</v>
      </c>
      <c r="AS37" s="77">
        <v>97</v>
      </c>
      <c r="AT37" s="77">
        <v>111</v>
      </c>
      <c r="AU37" s="77">
        <v>116</v>
      </c>
      <c r="AV37" s="77">
        <v>149</v>
      </c>
      <c r="AW37" s="77">
        <v>118</v>
      </c>
      <c r="AX37" s="77">
        <v>131</v>
      </c>
      <c r="AY37" s="77">
        <v>108</v>
      </c>
      <c r="AZ37" s="77">
        <v>105</v>
      </c>
      <c r="BA37" s="77">
        <v>93</v>
      </c>
      <c r="BB37" s="77">
        <v>68</v>
      </c>
      <c r="BC37" s="77">
        <v>79</v>
      </c>
      <c r="BD37" s="77">
        <v>70</v>
      </c>
      <c r="BE37" s="77">
        <v>72</v>
      </c>
      <c r="BF37" s="77">
        <v>89</v>
      </c>
      <c r="BG37" s="77">
        <v>90</v>
      </c>
      <c r="BH37" s="77">
        <v>96</v>
      </c>
      <c r="BI37" s="77">
        <v>79</v>
      </c>
      <c r="BJ37" s="77">
        <v>92</v>
      </c>
      <c r="BK37" s="77">
        <v>112</v>
      </c>
      <c r="BL37" s="77">
        <v>81</v>
      </c>
      <c r="BM37" s="77">
        <v>94</v>
      </c>
      <c r="BN37" s="77">
        <v>103</v>
      </c>
      <c r="BO37" s="77">
        <v>91</v>
      </c>
      <c r="BP37" s="77">
        <v>100</v>
      </c>
      <c r="BQ37" s="77">
        <v>85</v>
      </c>
      <c r="BR37" s="77">
        <v>70</v>
      </c>
      <c r="BS37" s="77">
        <v>74</v>
      </c>
      <c r="BT37" s="77">
        <v>76</v>
      </c>
      <c r="BU37" s="77">
        <v>45</v>
      </c>
      <c r="BV37" s="77">
        <v>22</v>
      </c>
      <c r="BW37" s="77">
        <v>6</v>
      </c>
    </row>
    <row r="38" spans="1:86">
      <c r="A38" s="74" t="s">
        <v>162</v>
      </c>
      <c r="B38" s="76">
        <v>202606</v>
      </c>
      <c r="C38" s="77">
        <v>4312</v>
      </c>
      <c r="D38" s="78">
        <v>66392.3</v>
      </c>
      <c r="E38" s="77">
        <v>4211</v>
      </c>
      <c r="AL38" s="77">
        <v>2</v>
      </c>
      <c r="AM38" s="77">
        <v>14</v>
      </c>
      <c r="AN38" s="77">
        <v>60</v>
      </c>
      <c r="AO38" s="77">
        <v>59</v>
      </c>
      <c r="AP38" s="77">
        <v>108</v>
      </c>
      <c r="AQ38" s="77">
        <v>131</v>
      </c>
      <c r="AR38" s="77">
        <v>133</v>
      </c>
      <c r="AS38" s="77">
        <v>145</v>
      </c>
      <c r="AT38" s="77">
        <v>155</v>
      </c>
      <c r="AU38" s="77">
        <v>187</v>
      </c>
      <c r="AV38" s="77">
        <v>161</v>
      </c>
      <c r="AW38" s="77">
        <v>194</v>
      </c>
      <c r="AX38" s="77">
        <v>184</v>
      </c>
      <c r="AY38" s="77">
        <v>170</v>
      </c>
      <c r="AZ38" s="77">
        <v>145</v>
      </c>
      <c r="BA38" s="77">
        <v>151</v>
      </c>
      <c r="BB38" s="77">
        <v>100</v>
      </c>
      <c r="BC38" s="77">
        <v>85</v>
      </c>
      <c r="BD38" s="77">
        <v>99</v>
      </c>
      <c r="BE38" s="77">
        <v>83</v>
      </c>
      <c r="BF38" s="77">
        <v>113</v>
      </c>
      <c r="BG38" s="77">
        <v>138</v>
      </c>
      <c r="BH38" s="77">
        <v>131</v>
      </c>
      <c r="BI38" s="77">
        <v>141</v>
      </c>
      <c r="BJ38" s="77">
        <v>159</v>
      </c>
      <c r="BK38" s="77">
        <v>134</v>
      </c>
      <c r="BL38" s="77">
        <v>131</v>
      </c>
      <c r="BM38" s="77">
        <v>125</v>
      </c>
      <c r="BN38" s="77">
        <v>130</v>
      </c>
      <c r="BO38" s="77">
        <v>128</v>
      </c>
      <c r="BP38" s="77">
        <v>122</v>
      </c>
      <c r="BQ38" s="77">
        <v>99</v>
      </c>
      <c r="BR38" s="77">
        <v>104</v>
      </c>
      <c r="BS38" s="77">
        <v>105</v>
      </c>
      <c r="BT38" s="77">
        <v>91</v>
      </c>
      <c r="BU38" s="77">
        <v>66</v>
      </c>
      <c r="BV38" s="77">
        <v>26</v>
      </c>
      <c r="BW38" s="77">
        <v>3</v>
      </c>
    </row>
    <row r="39" spans="1:86">
      <c r="A39" s="74" t="s">
        <v>162</v>
      </c>
      <c r="B39" s="76">
        <v>202607</v>
      </c>
      <c r="C39" s="77">
        <v>4192</v>
      </c>
      <c r="D39" s="78">
        <v>67672.01669999999</v>
      </c>
      <c r="E39" s="77">
        <v>4081</v>
      </c>
      <c r="AK39" s="77">
        <v>1</v>
      </c>
      <c r="AM39" s="77">
        <v>5</v>
      </c>
      <c r="AN39" s="77">
        <v>61</v>
      </c>
      <c r="AO39" s="77">
        <v>63</v>
      </c>
      <c r="AP39" s="77">
        <v>91</v>
      </c>
      <c r="AQ39" s="77">
        <v>119</v>
      </c>
      <c r="AR39" s="77">
        <v>150</v>
      </c>
      <c r="AS39" s="77">
        <v>135</v>
      </c>
      <c r="AT39" s="77">
        <v>139</v>
      </c>
      <c r="AU39" s="77">
        <v>155</v>
      </c>
      <c r="AV39" s="77">
        <v>170</v>
      </c>
      <c r="AW39" s="77">
        <v>176</v>
      </c>
      <c r="AX39" s="77">
        <v>166</v>
      </c>
      <c r="AY39" s="77">
        <v>141</v>
      </c>
      <c r="AZ39" s="77">
        <v>154</v>
      </c>
      <c r="BA39" s="77">
        <v>141</v>
      </c>
      <c r="BB39" s="77">
        <v>107</v>
      </c>
      <c r="BC39" s="77">
        <v>98</v>
      </c>
      <c r="BD39" s="77">
        <v>87</v>
      </c>
      <c r="BE39" s="77">
        <v>105</v>
      </c>
      <c r="BF39" s="77">
        <v>113</v>
      </c>
      <c r="BG39" s="77">
        <v>105</v>
      </c>
      <c r="BH39" s="77">
        <v>130</v>
      </c>
      <c r="BI39" s="77">
        <v>129</v>
      </c>
      <c r="BJ39" s="77">
        <v>152</v>
      </c>
      <c r="BK39" s="77">
        <v>116</v>
      </c>
      <c r="BL39" s="77">
        <v>136</v>
      </c>
      <c r="BM39" s="77">
        <v>115</v>
      </c>
      <c r="BN39" s="77">
        <v>169</v>
      </c>
      <c r="BO39" s="77">
        <v>121</v>
      </c>
      <c r="BP39" s="77">
        <v>112</v>
      </c>
      <c r="BQ39" s="77">
        <v>112</v>
      </c>
      <c r="BR39" s="77">
        <v>109</v>
      </c>
      <c r="BS39" s="77">
        <v>93</v>
      </c>
      <c r="BT39" s="77">
        <v>92</v>
      </c>
      <c r="BU39" s="77">
        <v>79</v>
      </c>
      <c r="BV39" s="77">
        <v>39</v>
      </c>
      <c r="BW39" s="77">
        <v>6</v>
      </c>
    </row>
    <row r="40" spans="1:86">
      <c r="A40" s="74" t="s">
        <v>162</v>
      </c>
      <c r="B40" s="76">
        <v>202608</v>
      </c>
      <c r="C40" s="77">
        <v>4785</v>
      </c>
      <c r="D40" s="78">
        <v>69320.60000000001</v>
      </c>
      <c r="E40" s="77">
        <v>4688</v>
      </c>
      <c r="AK40" s="77">
        <v>2</v>
      </c>
      <c r="AL40" s="77">
        <v>4</v>
      </c>
      <c r="AM40" s="77">
        <v>8</v>
      </c>
      <c r="AN40" s="77">
        <v>62</v>
      </c>
      <c r="AO40" s="77">
        <v>74</v>
      </c>
      <c r="AP40" s="77">
        <v>127</v>
      </c>
      <c r="AQ40" s="77">
        <v>134</v>
      </c>
      <c r="AR40" s="77">
        <v>167</v>
      </c>
      <c r="AS40" s="77">
        <v>144</v>
      </c>
      <c r="AT40" s="77">
        <v>191</v>
      </c>
      <c r="AU40" s="77">
        <v>193</v>
      </c>
      <c r="AV40" s="77">
        <v>170</v>
      </c>
      <c r="AW40" s="77">
        <v>186</v>
      </c>
      <c r="AX40" s="77">
        <v>175</v>
      </c>
      <c r="AY40" s="77">
        <v>200</v>
      </c>
      <c r="AZ40" s="77">
        <v>180</v>
      </c>
      <c r="BA40" s="77">
        <v>147</v>
      </c>
      <c r="BB40" s="77">
        <v>139</v>
      </c>
      <c r="BC40" s="77">
        <v>108</v>
      </c>
      <c r="BD40" s="77">
        <v>94</v>
      </c>
      <c r="BE40" s="77">
        <v>106</v>
      </c>
      <c r="BF40" s="77">
        <v>106</v>
      </c>
      <c r="BG40" s="77">
        <v>113</v>
      </c>
      <c r="BH40" s="77">
        <v>131</v>
      </c>
      <c r="BI40" s="77">
        <v>120</v>
      </c>
      <c r="BJ40" s="77">
        <v>137</v>
      </c>
      <c r="BK40" s="77">
        <v>158</v>
      </c>
      <c r="BL40" s="77">
        <v>142</v>
      </c>
      <c r="BM40" s="77">
        <v>139</v>
      </c>
      <c r="BN40" s="77">
        <v>146</v>
      </c>
      <c r="BO40" s="77">
        <v>111</v>
      </c>
      <c r="BP40" s="77">
        <v>145</v>
      </c>
      <c r="BQ40" s="77">
        <v>137</v>
      </c>
      <c r="BR40" s="77">
        <v>127</v>
      </c>
      <c r="BS40" s="77">
        <v>139</v>
      </c>
      <c r="BT40" s="77">
        <v>99</v>
      </c>
      <c r="BU40" s="77">
        <v>100</v>
      </c>
      <c r="BV40" s="77">
        <v>37</v>
      </c>
      <c r="BW40" s="77">
        <v>12</v>
      </c>
      <c r="BX40" s="77">
        <v>7</v>
      </c>
      <c r="BY40" s="77">
        <v>7</v>
      </c>
      <c r="BZ40" s="77">
        <v>6</v>
      </c>
      <c r="CA40" s="77">
        <v>9</v>
      </c>
      <c r="CB40" s="77">
        <v>11</v>
      </c>
      <c r="CC40" s="77">
        <v>13</v>
      </c>
      <c r="CD40" s="77">
        <v>13</v>
      </c>
      <c r="CE40" s="77">
        <v>5</v>
      </c>
      <c r="CF40" s="77">
        <v>2</v>
      </c>
      <c r="CG40" s="77">
        <v>2</v>
      </c>
    </row>
    <row r="41" spans="1:86">
      <c r="A41" s="74" t="s">
        <v>162</v>
      </c>
      <c r="B41" s="76">
        <v>202609</v>
      </c>
      <c r="C41" s="77">
        <v>3328</v>
      </c>
      <c r="D41" s="78">
        <v>55062.3333</v>
      </c>
      <c r="E41" s="77">
        <v>3233</v>
      </c>
      <c r="AL41" s="77">
        <v>1</v>
      </c>
      <c r="AM41" s="77">
        <v>7</v>
      </c>
      <c r="AN41" s="77">
        <v>54</v>
      </c>
      <c r="AO41" s="77">
        <v>39</v>
      </c>
      <c r="AP41" s="77">
        <v>80</v>
      </c>
      <c r="AQ41" s="77">
        <v>100</v>
      </c>
      <c r="AR41" s="77">
        <v>92</v>
      </c>
      <c r="AS41" s="77">
        <v>125</v>
      </c>
      <c r="AT41" s="77">
        <v>109</v>
      </c>
      <c r="AU41" s="77">
        <v>109</v>
      </c>
      <c r="AV41" s="77">
        <v>126</v>
      </c>
      <c r="AW41" s="77">
        <v>132</v>
      </c>
      <c r="AX41" s="77">
        <v>136</v>
      </c>
      <c r="AY41" s="77">
        <v>133</v>
      </c>
      <c r="AZ41" s="77">
        <v>126</v>
      </c>
      <c r="BA41" s="77">
        <v>130</v>
      </c>
      <c r="BB41" s="77">
        <v>76</v>
      </c>
      <c r="BC41" s="77">
        <v>82</v>
      </c>
      <c r="BD41" s="77">
        <v>63</v>
      </c>
      <c r="BE41" s="77">
        <v>74</v>
      </c>
      <c r="BF41" s="77">
        <v>90</v>
      </c>
      <c r="BG41" s="77">
        <v>82</v>
      </c>
      <c r="BH41" s="77">
        <v>103</v>
      </c>
      <c r="BI41" s="77">
        <v>96</v>
      </c>
      <c r="BJ41" s="77">
        <v>106</v>
      </c>
      <c r="BK41" s="77">
        <v>97</v>
      </c>
      <c r="BL41" s="77">
        <v>95</v>
      </c>
      <c r="BM41" s="77">
        <v>91</v>
      </c>
      <c r="BN41" s="77">
        <v>114</v>
      </c>
      <c r="BO41" s="77">
        <v>110</v>
      </c>
      <c r="BP41" s="77">
        <v>97</v>
      </c>
      <c r="BQ41" s="77">
        <v>102</v>
      </c>
      <c r="BR41" s="77">
        <v>92</v>
      </c>
      <c r="BS41" s="77">
        <v>88</v>
      </c>
      <c r="BT41" s="77">
        <v>86</v>
      </c>
      <c r="BU41" s="77">
        <v>58</v>
      </c>
      <c r="BV41" s="77">
        <v>22</v>
      </c>
      <c r="BW41" s="77">
        <v>5</v>
      </c>
    </row>
    <row r="42" spans="1:86">
      <c r="A42" s="74" t="s">
        <v>190</v>
      </c>
      <c r="B42" s="76">
        <v>202604</v>
      </c>
      <c r="C42" s="77">
        <v>4240</v>
      </c>
      <c r="D42" s="78">
        <v>88581.3333</v>
      </c>
      <c r="E42" s="77">
        <v>4037</v>
      </c>
      <c r="AN42" s="77">
        <v>46</v>
      </c>
      <c r="AO42" s="77">
        <v>58</v>
      </c>
      <c r="AP42" s="77">
        <v>84</v>
      </c>
      <c r="AQ42" s="77">
        <v>130</v>
      </c>
      <c r="AR42" s="77">
        <v>116</v>
      </c>
      <c r="AS42" s="77">
        <v>139</v>
      </c>
      <c r="AT42" s="77">
        <v>141</v>
      </c>
      <c r="AU42" s="77">
        <v>155</v>
      </c>
      <c r="AV42" s="77">
        <v>163</v>
      </c>
      <c r="AW42" s="77">
        <v>155</v>
      </c>
      <c r="AX42" s="77">
        <v>163</v>
      </c>
      <c r="AY42" s="77">
        <v>159</v>
      </c>
      <c r="AZ42" s="77">
        <v>178</v>
      </c>
      <c r="BA42" s="77">
        <v>137</v>
      </c>
      <c r="BB42" s="77">
        <v>105</v>
      </c>
      <c r="BC42" s="77">
        <v>93</v>
      </c>
      <c r="BD42" s="77">
        <v>90</v>
      </c>
      <c r="BE42" s="77">
        <v>91</v>
      </c>
      <c r="BF42" s="77">
        <v>95</v>
      </c>
      <c r="BG42" s="77">
        <v>104</v>
      </c>
      <c r="BH42" s="77">
        <v>127</v>
      </c>
      <c r="BI42" s="77">
        <v>110</v>
      </c>
      <c r="BJ42" s="77">
        <v>132</v>
      </c>
      <c r="BK42" s="77">
        <v>129</v>
      </c>
      <c r="BL42" s="77">
        <v>148</v>
      </c>
      <c r="BM42" s="77">
        <v>136</v>
      </c>
      <c r="BN42" s="77">
        <v>118</v>
      </c>
      <c r="BO42" s="77">
        <v>117</v>
      </c>
      <c r="BP42" s="77">
        <v>128</v>
      </c>
      <c r="BQ42" s="77">
        <v>137</v>
      </c>
      <c r="BR42" s="77">
        <v>123</v>
      </c>
      <c r="BS42" s="77">
        <v>121</v>
      </c>
      <c r="BT42" s="77">
        <v>133</v>
      </c>
      <c r="BU42" s="77">
        <v>98</v>
      </c>
      <c r="BV42" s="77">
        <v>64</v>
      </c>
      <c r="BW42" s="77">
        <v>17</v>
      </c>
    </row>
    <row r="43" spans="1:86">
      <c r="A43" s="74" t="s">
        <v>190</v>
      </c>
      <c r="B43" s="76">
        <v>202605</v>
      </c>
      <c r="C43" s="77">
        <v>4020</v>
      </c>
      <c r="D43" s="78">
        <v>75472.89999999999</v>
      </c>
      <c r="E43" s="77">
        <v>3846</v>
      </c>
      <c r="AN43" s="77">
        <v>37</v>
      </c>
      <c r="AO43" s="77">
        <v>66</v>
      </c>
      <c r="AP43" s="77">
        <v>96</v>
      </c>
      <c r="AQ43" s="77">
        <v>122</v>
      </c>
      <c r="AR43" s="77">
        <v>104</v>
      </c>
      <c r="AS43" s="77">
        <v>140</v>
      </c>
      <c r="AT43" s="77">
        <v>135</v>
      </c>
      <c r="AU43" s="77">
        <v>135</v>
      </c>
      <c r="AV43" s="77">
        <v>151</v>
      </c>
      <c r="AW43" s="77">
        <v>156</v>
      </c>
      <c r="AX43" s="77">
        <v>155</v>
      </c>
      <c r="AY43" s="77">
        <v>146</v>
      </c>
      <c r="AZ43" s="77">
        <v>142</v>
      </c>
      <c r="BA43" s="77">
        <v>127</v>
      </c>
      <c r="BB43" s="77">
        <v>109</v>
      </c>
      <c r="BC43" s="77">
        <v>104</v>
      </c>
      <c r="BD43" s="77">
        <v>90</v>
      </c>
      <c r="BE43" s="77">
        <v>94</v>
      </c>
      <c r="BF43" s="77">
        <v>107</v>
      </c>
      <c r="BG43" s="77">
        <v>116</v>
      </c>
      <c r="BH43" s="77">
        <v>117</v>
      </c>
      <c r="BI43" s="77">
        <v>110</v>
      </c>
      <c r="BJ43" s="77">
        <v>108</v>
      </c>
      <c r="BK43" s="77">
        <v>123</v>
      </c>
      <c r="BL43" s="77">
        <v>116</v>
      </c>
      <c r="BM43" s="77">
        <v>119</v>
      </c>
      <c r="BN43" s="77">
        <v>126</v>
      </c>
      <c r="BO43" s="77">
        <v>125</v>
      </c>
      <c r="BP43" s="77">
        <v>134</v>
      </c>
      <c r="BQ43" s="77">
        <v>129</v>
      </c>
      <c r="BR43" s="77">
        <v>111</v>
      </c>
      <c r="BS43" s="77">
        <v>99</v>
      </c>
      <c r="BT43" s="77">
        <v>109</v>
      </c>
      <c r="BU43" s="77">
        <v>87</v>
      </c>
      <c r="BV43" s="77">
        <v>57</v>
      </c>
      <c r="BW43" s="77">
        <v>16</v>
      </c>
      <c r="BX43" s="77">
        <v>2</v>
      </c>
    </row>
    <row r="44" spans="1:86">
      <c r="A44" s="74" t="s">
        <v>190</v>
      </c>
      <c r="B44" s="76">
        <v>202606</v>
      </c>
      <c r="C44" s="77">
        <v>5511</v>
      </c>
      <c r="D44" s="78">
        <v>91839.7167</v>
      </c>
      <c r="E44" s="77">
        <v>5303</v>
      </c>
      <c r="AN44" s="77">
        <v>54</v>
      </c>
      <c r="AO44" s="77">
        <v>65</v>
      </c>
      <c r="AP44" s="77">
        <v>116</v>
      </c>
      <c r="AQ44" s="77">
        <v>147</v>
      </c>
      <c r="AR44" s="77">
        <v>165</v>
      </c>
      <c r="AS44" s="77">
        <v>175</v>
      </c>
      <c r="AT44" s="77">
        <v>183</v>
      </c>
      <c r="AU44" s="77">
        <v>206</v>
      </c>
      <c r="AV44" s="77">
        <v>217</v>
      </c>
      <c r="AW44" s="77">
        <v>218</v>
      </c>
      <c r="AX44" s="77">
        <v>174</v>
      </c>
      <c r="AY44" s="77">
        <v>208</v>
      </c>
      <c r="AZ44" s="77">
        <v>202</v>
      </c>
      <c r="BA44" s="77">
        <v>169</v>
      </c>
      <c r="BB44" s="77">
        <v>161</v>
      </c>
      <c r="BC44" s="77">
        <v>127</v>
      </c>
      <c r="BD44" s="77">
        <v>136</v>
      </c>
      <c r="BE44" s="77">
        <v>129</v>
      </c>
      <c r="BF44" s="77">
        <v>140</v>
      </c>
      <c r="BG44" s="77">
        <v>149</v>
      </c>
      <c r="BH44" s="77">
        <v>149</v>
      </c>
      <c r="BI44" s="77">
        <v>164</v>
      </c>
      <c r="BJ44" s="77">
        <v>159</v>
      </c>
      <c r="BK44" s="77">
        <v>176</v>
      </c>
      <c r="BL44" s="77">
        <v>172</v>
      </c>
      <c r="BM44" s="77">
        <v>191</v>
      </c>
      <c r="BN44" s="77">
        <v>169</v>
      </c>
      <c r="BO44" s="77">
        <v>160</v>
      </c>
      <c r="BP44" s="77">
        <v>182</v>
      </c>
      <c r="BQ44" s="77">
        <v>179</v>
      </c>
      <c r="BR44" s="77">
        <v>149</v>
      </c>
      <c r="BS44" s="77">
        <v>166</v>
      </c>
      <c r="BT44" s="77">
        <v>131</v>
      </c>
      <c r="BU44" s="77">
        <v>128</v>
      </c>
      <c r="BV44" s="77">
        <v>72</v>
      </c>
      <c r="BW44" s="77">
        <v>23</v>
      </c>
    </row>
    <row r="45" spans="1:86">
      <c r="A45" s="74" t="s">
        <v>190</v>
      </c>
      <c r="B45" s="76">
        <v>202607</v>
      </c>
      <c r="C45" s="77">
        <v>5217</v>
      </c>
      <c r="D45" s="78">
        <v>92873.5</v>
      </c>
      <c r="E45" s="77">
        <v>5013</v>
      </c>
      <c r="AN45" s="77">
        <v>51</v>
      </c>
      <c r="AO45" s="77">
        <v>79</v>
      </c>
      <c r="AP45" s="77">
        <v>119</v>
      </c>
      <c r="AQ45" s="77">
        <v>116</v>
      </c>
      <c r="AR45" s="77">
        <v>159</v>
      </c>
      <c r="AS45" s="77">
        <v>146</v>
      </c>
      <c r="AT45" s="77">
        <v>178</v>
      </c>
      <c r="AU45" s="77">
        <v>179</v>
      </c>
      <c r="AV45" s="77">
        <v>227</v>
      </c>
      <c r="AW45" s="77">
        <v>200</v>
      </c>
      <c r="AX45" s="77">
        <v>185</v>
      </c>
      <c r="AY45" s="77">
        <v>187</v>
      </c>
      <c r="AZ45" s="77">
        <v>200</v>
      </c>
      <c r="BA45" s="77">
        <v>181</v>
      </c>
      <c r="BB45" s="77">
        <v>171</v>
      </c>
      <c r="BC45" s="77">
        <v>117</v>
      </c>
      <c r="BD45" s="77">
        <v>114</v>
      </c>
      <c r="BE45" s="77">
        <v>114</v>
      </c>
      <c r="BF45" s="77">
        <v>110</v>
      </c>
      <c r="BG45" s="77">
        <v>142</v>
      </c>
      <c r="BH45" s="77">
        <v>145</v>
      </c>
      <c r="BI45" s="77">
        <v>150</v>
      </c>
      <c r="BJ45" s="77">
        <v>144</v>
      </c>
      <c r="BK45" s="77">
        <v>143</v>
      </c>
      <c r="BL45" s="77">
        <v>198</v>
      </c>
      <c r="BM45" s="77">
        <v>172</v>
      </c>
      <c r="BN45" s="77">
        <v>181</v>
      </c>
      <c r="BO45" s="77">
        <v>141</v>
      </c>
      <c r="BP45" s="77">
        <v>177</v>
      </c>
      <c r="BQ45" s="77">
        <v>137</v>
      </c>
      <c r="BR45" s="77">
        <v>140</v>
      </c>
      <c r="BS45" s="77">
        <v>135</v>
      </c>
      <c r="BT45" s="77">
        <v>148</v>
      </c>
      <c r="BU45" s="77">
        <v>143</v>
      </c>
      <c r="BV45" s="77">
        <v>72</v>
      </c>
      <c r="BW45" s="77">
        <v>16</v>
      </c>
    </row>
    <row r="46" spans="1:86">
      <c r="A46" s="74" t="s">
        <v>190</v>
      </c>
      <c r="B46" s="76">
        <v>202608</v>
      </c>
      <c r="C46" s="77">
        <v>6528</v>
      </c>
      <c r="D46" s="78">
        <v>86468.5333</v>
      </c>
      <c r="E46" s="77">
        <v>6347</v>
      </c>
      <c r="AN46" s="77">
        <v>79</v>
      </c>
      <c r="AO46" s="77">
        <v>111</v>
      </c>
      <c r="AP46" s="77">
        <v>137</v>
      </c>
      <c r="AQ46" s="77">
        <v>180</v>
      </c>
      <c r="AR46" s="77">
        <v>188</v>
      </c>
      <c r="AS46" s="77">
        <v>205</v>
      </c>
      <c r="AT46" s="77">
        <v>229</v>
      </c>
      <c r="AU46" s="77">
        <v>218</v>
      </c>
      <c r="AV46" s="77">
        <v>272</v>
      </c>
      <c r="AW46" s="77">
        <v>275</v>
      </c>
      <c r="AX46" s="77">
        <v>248</v>
      </c>
      <c r="AY46" s="77">
        <v>223</v>
      </c>
      <c r="AZ46" s="77">
        <v>224</v>
      </c>
      <c r="BA46" s="77">
        <v>228</v>
      </c>
      <c r="BB46" s="77">
        <v>200</v>
      </c>
      <c r="BC46" s="77">
        <v>147</v>
      </c>
      <c r="BD46" s="77">
        <v>148</v>
      </c>
      <c r="BE46" s="77">
        <v>144</v>
      </c>
      <c r="BF46" s="77">
        <v>155</v>
      </c>
      <c r="BG46" s="77">
        <v>173</v>
      </c>
      <c r="BH46" s="77">
        <v>199</v>
      </c>
      <c r="BI46" s="77">
        <v>176</v>
      </c>
      <c r="BJ46" s="77">
        <v>200</v>
      </c>
      <c r="BK46" s="77">
        <v>201</v>
      </c>
      <c r="BL46" s="77">
        <v>193</v>
      </c>
      <c r="BM46" s="77">
        <v>206</v>
      </c>
      <c r="BN46" s="77">
        <v>183</v>
      </c>
      <c r="BO46" s="77">
        <v>207</v>
      </c>
      <c r="BP46" s="77">
        <v>182</v>
      </c>
      <c r="BQ46" s="77">
        <v>182</v>
      </c>
      <c r="BR46" s="77">
        <v>169</v>
      </c>
      <c r="BS46" s="77">
        <v>158</v>
      </c>
      <c r="BT46" s="77">
        <v>150</v>
      </c>
      <c r="BU46" s="77">
        <v>159</v>
      </c>
      <c r="BV46" s="77">
        <v>117</v>
      </c>
      <c r="BW46" s="77">
        <v>21</v>
      </c>
      <c r="BX46" s="77">
        <v>5</v>
      </c>
      <c r="BY46" s="77">
        <v>1</v>
      </c>
      <c r="BZ46" s="77">
        <v>9</v>
      </c>
      <c r="CA46" s="77">
        <v>6</v>
      </c>
      <c r="CB46" s="77">
        <v>3</v>
      </c>
      <c r="CC46" s="77">
        <v>5</v>
      </c>
      <c r="CD46" s="77">
        <v>4</v>
      </c>
      <c r="CE46" s="77">
        <v>5</v>
      </c>
      <c r="CF46" s="77">
        <v>2</v>
      </c>
      <c r="CH46" s="77">
        <v>1</v>
      </c>
    </row>
    <row r="47" spans="1:86">
      <c r="A47" s="74" t="s">
        <v>190</v>
      </c>
      <c r="B47" s="76">
        <v>202609</v>
      </c>
      <c r="C47" s="77">
        <v>4420</v>
      </c>
      <c r="D47" s="78">
        <v>78464.8667</v>
      </c>
      <c r="E47" s="77">
        <v>4241</v>
      </c>
      <c r="AN47" s="77">
        <v>41</v>
      </c>
      <c r="AO47" s="77">
        <v>62</v>
      </c>
      <c r="AP47" s="77">
        <v>85</v>
      </c>
      <c r="AQ47" s="77">
        <v>93</v>
      </c>
      <c r="AR47" s="77">
        <v>121</v>
      </c>
      <c r="AS47" s="77">
        <v>132</v>
      </c>
      <c r="AT47" s="77">
        <v>129</v>
      </c>
      <c r="AU47" s="77">
        <v>162</v>
      </c>
      <c r="AV47" s="77">
        <v>173</v>
      </c>
      <c r="AW47" s="77">
        <v>163</v>
      </c>
      <c r="AX47" s="77">
        <v>168</v>
      </c>
      <c r="AY47" s="77">
        <v>140</v>
      </c>
      <c r="AZ47" s="77">
        <v>163</v>
      </c>
      <c r="BA47" s="77">
        <v>155</v>
      </c>
      <c r="BB47" s="77">
        <v>110</v>
      </c>
      <c r="BC47" s="77">
        <v>131</v>
      </c>
      <c r="BD47" s="77">
        <v>100</v>
      </c>
      <c r="BE47" s="77">
        <v>81</v>
      </c>
      <c r="BF47" s="77">
        <v>96</v>
      </c>
      <c r="BG47" s="77">
        <v>132</v>
      </c>
      <c r="BH47" s="77">
        <v>126</v>
      </c>
      <c r="BI47" s="77">
        <v>139</v>
      </c>
      <c r="BJ47" s="77">
        <v>150</v>
      </c>
      <c r="BK47" s="77">
        <v>142</v>
      </c>
      <c r="BL47" s="77">
        <v>147</v>
      </c>
      <c r="BM47" s="77">
        <v>150</v>
      </c>
      <c r="BN47" s="77">
        <v>122</v>
      </c>
      <c r="BO47" s="77">
        <v>157</v>
      </c>
      <c r="BP47" s="77">
        <v>148</v>
      </c>
      <c r="BQ47" s="77">
        <v>137</v>
      </c>
      <c r="BR47" s="77">
        <v>117</v>
      </c>
      <c r="BS47" s="77">
        <v>125</v>
      </c>
      <c r="BT47" s="77">
        <v>116</v>
      </c>
      <c r="BU47" s="77">
        <v>107</v>
      </c>
      <c r="BV47" s="77">
        <v>80</v>
      </c>
      <c r="BW47" s="77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7B8"/>
  </sheetPr>
  <dimension ref="A1:CV58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30.7109375" customWidth="1"/>
    <col min="2" max="4" width="10.7109375" customWidth="1"/>
    <col min="5" max="100" width="5.7109375" customWidth="1"/>
  </cols>
  <sheetData>
    <row r="1" spans="1:100">
      <c r="A1" s="1" t="s">
        <v>571</v>
      </c>
    </row>
    <row r="2" spans="1:100">
      <c r="A2" s="11" t="s">
        <v>572</v>
      </c>
    </row>
    <row r="6" spans="1:100">
      <c r="E6" s="75">
        <v>0</v>
      </c>
      <c r="F6" s="75">
        <v>15</v>
      </c>
      <c r="G6" s="75">
        <v>30</v>
      </c>
      <c r="H6" s="75">
        <v>45</v>
      </c>
      <c r="I6" s="75">
        <v>60</v>
      </c>
      <c r="J6" s="75">
        <v>75</v>
      </c>
      <c r="K6" s="75">
        <v>90</v>
      </c>
      <c r="L6" s="75">
        <v>105</v>
      </c>
      <c r="M6" s="75">
        <v>120</v>
      </c>
      <c r="N6" s="75">
        <v>135</v>
      </c>
      <c r="O6" s="75">
        <v>150</v>
      </c>
      <c r="P6" s="75">
        <v>165</v>
      </c>
      <c r="Q6" s="75">
        <v>180</v>
      </c>
      <c r="R6" s="75">
        <v>195</v>
      </c>
      <c r="S6" s="75">
        <v>210</v>
      </c>
      <c r="T6" s="75">
        <v>225</v>
      </c>
      <c r="U6" s="75">
        <v>240</v>
      </c>
      <c r="V6" s="75">
        <v>255</v>
      </c>
      <c r="W6" s="75">
        <v>270</v>
      </c>
      <c r="X6" s="75">
        <v>285</v>
      </c>
      <c r="Y6" s="75">
        <v>300</v>
      </c>
      <c r="Z6" s="75">
        <v>315</v>
      </c>
      <c r="AA6" s="75">
        <v>330</v>
      </c>
      <c r="AB6" s="75">
        <v>345</v>
      </c>
      <c r="AC6" s="75">
        <v>360</v>
      </c>
      <c r="AD6" s="75">
        <v>375</v>
      </c>
      <c r="AE6" s="75">
        <v>390</v>
      </c>
      <c r="AF6" s="75">
        <v>405</v>
      </c>
      <c r="AG6" s="75">
        <v>420</v>
      </c>
      <c r="AH6" s="75">
        <v>435</v>
      </c>
      <c r="AI6" s="75">
        <v>450</v>
      </c>
      <c r="AJ6" s="75">
        <v>465</v>
      </c>
      <c r="AK6" s="75">
        <v>480</v>
      </c>
      <c r="AL6" s="75">
        <v>495</v>
      </c>
      <c r="AM6" s="75">
        <v>510</v>
      </c>
      <c r="AN6" s="75">
        <v>525</v>
      </c>
      <c r="AO6" s="75">
        <v>540</v>
      </c>
      <c r="AP6" s="75">
        <v>555</v>
      </c>
      <c r="AQ6" s="75">
        <v>570</v>
      </c>
      <c r="AR6" s="75">
        <v>585</v>
      </c>
      <c r="AS6" s="75">
        <v>600</v>
      </c>
      <c r="AT6" s="75">
        <v>615</v>
      </c>
      <c r="AU6" s="75">
        <v>630</v>
      </c>
      <c r="AV6" s="75">
        <v>645</v>
      </c>
      <c r="AW6" s="75">
        <v>660</v>
      </c>
      <c r="AX6" s="75">
        <v>675</v>
      </c>
      <c r="AY6" s="75">
        <v>690</v>
      </c>
      <c r="AZ6" s="75">
        <v>705</v>
      </c>
      <c r="BA6" s="75">
        <v>720</v>
      </c>
      <c r="BB6" s="75">
        <v>735</v>
      </c>
      <c r="BC6" s="75">
        <v>750</v>
      </c>
      <c r="BD6" s="75">
        <v>765</v>
      </c>
      <c r="BE6" s="75">
        <v>780</v>
      </c>
      <c r="BF6" s="75">
        <v>795</v>
      </c>
      <c r="BG6" s="75">
        <v>810</v>
      </c>
      <c r="BH6" s="75">
        <v>825</v>
      </c>
      <c r="BI6" s="75">
        <v>840</v>
      </c>
      <c r="BJ6" s="75">
        <v>855</v>
      </c>
      <c r="BK6" s="75">
        <v>870</v>
      </c>
      <c r="BL6" s="75">
        <v>885</v>
      </c>
      <c r="BM6" s="75">
        <v>900</v>
      </c>
      <c r="BN6" s="75">
        <v>915</v>
      </c>
      <c r="BO6" s="75">
        <v>930</v>
      </c>
      <c r="BP6" s="75">
        <v>945</v>
      </c>
      <c r="BQ6" s="75">
        <v>960</v>
      </c>
      <c r="BR6" s="75">
        <v>975</v>
      </c>
      <c r="BS6" s="75">
        <v>990</v>
      </c>
      <c r="BT6" s="75">
        <v>1005</v>
      </c>
      <c r="BU6" s="75">
        <v>1020</v>
      </c>
      <c r="BV6" s="75">
        <v>1035</v>
      </c>
      <c r="BW6" s="75">
        <v>1050</v>
      </c>
      <c r="BX6" s="75">
        <v>1065</v>
      </c>
      <c r="BY6" s="75">
        <v>1080</v>
      </c>
      <c r="BZ6" s="75">
        <v>1095</v>
      </c>
      <c r="CA6" s="75">
        <v>1110</v>
      </c>
      <c r="CB6" s="75">
        <v>1125</v>
      </c>
      <c r="CC6" s="75">
        <v>1140</v>
      </c>
      <c r="CD6" s="75">
        <v>1155</v>
      </c>
      <c r="CE6" s="75">
        <v>1170</v>
      </c>
      <c r="CF6" s="75">
        <v>1185</v>
      </c>
      <c r="CG6" s="75">
        <v>1200</v>
      </c>
      <c r="CH6" s="75">
        <v>1215</v>
      </c>
      <c r="CI6" s="75">
        <v>1230</v>
      </c>
      <c r="CJ6" s="75">
        <v>1245</v>
      </c>
      <c r="CK6" s="75">
        <v>1260</v>
      </c>
      <c r="CL6" s="75">
        <v>1275</v>
      </c>
      <c r="CM6" s="75">
        <v>1290</v>
      </c>
      <c r="CN6" s="75">
        <v>1305</v>
      </c>
      <c r="CO6" s="75">
        <v>1320</v>
      </c>
      <c r="CP6" s="75">
        <v>1335</v>
      </c>
      <c r="CQ6" s="75">
        <v>1350</v>
      </c>
      <c r="CR6" s="75">
        <v>1365</v>
      </c>
      <c r="CS6" s="75">
        <v>1380</v>
      </c>
      <c r="CT6" s="75">
        <v>1395</v>
      </c>
      <c r="CU6" s="75">
        <v>1410</v>
      </c>
      <c r="CV6" s="75">
        <v>1425</v>
      </c>
    </row>
    <row r="7" spans="1:100" ht="30" customHeight="1">
      <c r="A7" s="22" t="s">
        <v>573</v>
      </c>
      <c r="B7" s="22" t="s">
        <v>525</v>
      </c>
      <c r="C7" s="22" t="s">
        <v>526</v>
      </c>
      <c r="D7" s="22" t="s">
        <v>527</v>
      </c>
      <c r="E7" s="22" t="s">
        <v>528</v>
      </c>
      <c r="F7" s="22" t="s">
        <v>529</v>
      </c>
      <c r="G7" s="22" t="s">
        <v>530</v>
      </c>
      <c r="H7" s="22" t="s">
        <v>531</v>
      </c>
      <c r="I7" s="22" t="s">
        <v>532</v>
      </c>
      <c r="J7" s="22" t="s">
        <v>533</v>
      </c>
      <c r="K7" s="22" t="s">
        <v>534</v>
      </c>
      <c r="L7" s="22" t="s">
        <v>535</v>
      </c>
      <c r="M7" s="22" t="s">
        <v>536</v>
      </c>
      <c r="N7" s="22" t="s">
        <v>537</v>
      </c>
      <c r="O7" s="22" t="s">
        <v>538</v>
      </c>
      <c r="P7" s="22" t="s">
        <v>539</v>
      </c>
      <c r="Q7" s="22" t="s">
        <v>540</v>
      </c>
      <c r="R7" s="22" t="s">
        <v>541</v>
      </c>
      <c r="S7" s="22" t="s">
        <v>542</v>
      </c>
      <c r="T7" s="22" t="s">
        <v>543</v>
      </c>
      <c r="U7" s="22" t="s">
        <v>544</v>
      </c>
      <c r="V7" s="22" t="s">
        <v>545</v>
      </c>
      <c r="W7" s="22" t="s">
        <v>546</v>
      </c>
      <c r="X7" s="22" t="s">
        <v>547</v>
      </c>
      <c r="Y7" s="22" t="s">
        <v>548</v>
      </c>
      <c r="Z7" s="22" t="s">
        <v>549</v>
      </c>
      <c r="AA7" s="22" t="s">
        <v>550</v>
      </c>
      <c r="AB7" s="22" t="s">
        <v>551</v>
      </c>
      <c r="AC7" s="22" t="s">
        <v>552</v>
      </c>
      <c r="AD7" s="22" t="s">
        <v>553</v>
      </c>
      <c r="AE7" s="22" t="s">
        <v>554</v>
      </c>
      <c r="AF7" s="22" t="s">
        <v>555</v>
      </c>
      <c r="AG7" s="22" t="s">
        <v>6</v>
      </c>
      <c r="AH7" s="22" t="s">
        <v>7</v>
      </c>
      <c r="AI7" s="22" t="s">
        <v>8</v>
      </c>
      <c r="AJ7" s="22" t="s">
        <v>9</v>
      </c>
      <c r="AK7" s="22" t="s">
        <v>10</v>
      </c>
      <c r="AL7" s="22" t="s">
        <v>11</v>
      </c>
      <c r="AM7" s="22" t="s">
        <v>12</v>
      </c>
      <c r="AN7" s="22" t="s">
        <v>13</v>
      </c>
      <c r="AO7" s="22" t="s">
        <v>14</v>
      </c>
      <c r="AP7" s="22" t="s">
        <v>15</v>
      </c>
      <c r="AQ7" s="22" t="s">
        <v>16</v>
      </c>
      <c r="AR7" s="22" t="s">
        <v>17</v>
      </c>
      <c r="AS7" s="22" t="s">
        <v>18</v>
      </c>
      <c r="AT7" s="22" t="s">
        <v>19</v>
      </c>
      <c r="AU7" s="22" t="s">
        <v>20</v>
      </c>
      <c r="AV7" s="22" t="s">
        <v>21</v>
      </c>
      <c r="AW7" s="22" t="s">
        <v>22</v>
      </c>
      <c r="AX7" s="22" t="s">
        <v>23</v>
      </c>
      <c r="AY7" s="22" t="s">
        <v>24</v>
      </c>
      <c r="AZ7" s="22" t="s">
        <v>25</v>
      </c>
      <c r="BA7" s="22" t="s">
        <v>26</v>
      </c>
      <c r="BB7" s="22" t="s">
        <v>27</v>
      </c>
      <c r="BC7" s="22" t="s">
        <v>28</v>
      </c>
      <c r="BD7" s="22" t="s">
        <v>29</v>
      </c>
      <c r="BE7" s="22" t="s">
        <v>30</v>
      </c>
      <c r="BF7" s="22" t="s">
        <v>31</v>
      </c>
      <c r="BG7" s="22" t="s">
        <v>32</v>
      </c>
      <c r="BH7" s="22" t="s">
        <v>33</v>
      </c>
      <c r="BI7" s="22" t="s">
        <v>34</v>
      </c>
      <c r="BJ7" s="22" t="s">
        <v>35</v>
      </c>
      <c r="BK7" s="22" t="s">
        <v>36</v>
      </c>
      <c r="BL7" s="22" t="s">
        <v>37</v>
      </c>
      <c r="BM7" s="22" t="s">
        <v>38</v>
      </c>
      <c r="BN7" s="22" t="s">
        <v>39</v>
      </c>
      <c r="BO7" s="22" t="s">
        <v>40</v>
      </c>
      <c r="BP7" s="22" t="s">
        <v>41</v>
      </c>
      <c r="BQ7" s="22" t="s">
        <v>42</v>
      </c>
      <c r="BR7" s="22" t="s">
        <v>43</v>
      </c>
      <c r="BS7" s="22" t="s">
        <v>44</v>
      </c>
      <c r="BT7" s="22" t="s">
        <v>45</v>
      </c>
      <c r="BU7" s="22" t="s">
        <v>46</v>
      </c>
      <c r="BV7" s="22" t="s">
        <v>47</v>
      </c>
      <c r="BW7" s="22" t="s">
        <v>48</v>
      </c>
      <c r="BX7" s="22" t="s">
        <v>49</v>
      </c>
      <c r="BY7" s="22" t="s">
        <v>50</v>
      </c>
      <c r="BZ7" s="22" t="s">
        <v>51</v>
      </c>
      <c r="CA7" s="22" t="s">
        <v>52</v>
      </c>
      <c r="CB7" s="22" t="s">
        <v>53</v>
      </c>
      <c r="CC7" s="22" t="s">
        <v>54</v>
      </c>
      <c r="CD7" s="22" t="s">
        <v>55</v>
      </c>
      <c r="CE7" s="22" t="s">
        <v>56</v>
      </c>
      <c r="CF7" s="22" t="s">
        <v>57</v>
      </c>
      <c r="CG7" s="22" t="s">
        <v>58</v>
      </c>
      <c r="CH7" s="22" t="s">
        <v>59</v>
      </c>
      <c r="CI7" s="22" t="s">
        <v>60</v>
      </c>
      <c r="CJ7" s="22" t="s">
        <v>61</v>
      </c>
      <c r="CK7" s="22" t="s">
        <v>556</v>
      </c>
      <c r="CL7" s="22" t="s">
        <v>557</v>
      </c>
      <c r="CM7" s="22" t="s">
        <v>558</v>
      </c>
      <c r="CN7" s="22" t="s">
        <v>559</v>
      </c>
      <c r="CO7" s="22" t="s">
        <v>560</v>
      </c>
      <c r="CP7" s="22" t="s">
        <v>561</v>
      </c>
      <c r="CQ7" s="22" t="s">
        <v>562</v>
      </c>
      <c r="CR7" s="22" t="s">
        <v>563</v>
      </c>
      <c r="CS7" s="22" t="s">
        <v>564</v>
      </c>
      <c r="CT7" s="22" t="s">
        <v>565</v>
      </c>
      <c r="CU7" s="22" t="s">
        <v>566</v>
      </c>
      <c r="CV7" s="22" t="s">
        <v>567</v>
      </c>
    </row>
    <row r="8" spans="1:100">
      <c r="A8" s="74" t="s">
        <v>574</v>
      </c>
      <c r="B8" s="77">
        <v>34917</v>
      </c>
      <c r="C8" s="78">
        <v>504277.5833</v>
      </c>
      <c r="D8" s="77">
        <v>33824</v>
      </c>
      <c r="AK8" s="77">
        <v>2</v>
      </c>
      <c r="AL8" s="77">
        <v>50</v>
      </c>
      <c r="AM8" s="77">
        <v>217</v>
      </c>
      <c r="AN8" s="77">
        <v>278</v>
      </c>
      <c r="AO8" s="77">
        <v>510</v>
      </c>
      <c r="AP8" s="77">
        <v>573</v>
      </c>
      <c r="AQ8" s="77">
        <v>707</v>
      </c>
      <c r="AR8" s="77">
        <v>734</v>
      </c>
      <c r="AS8" s="77">
        <v>1009</v>
      </c>
      <c r="AT8" s="77">
        <v>1063</v>
      </c>
      <c r="AU8" s="77">
        <v>1163</v>
      </c>
      <c r="AV8" s="77">
        <v>1213</v>
      </c>
      <c r="AW8" s="77">
        <v>1262</v>
      </c>
      <c r="AX8" s="77">
        <v>1323</v>
      </c>
      <c r="AY8" s="77">
        <v>1383</v>
      </c>
      <c r="AZ8" s="77">
        <v>1209</v>
      </c>
      <c r="BA8" s="77">
        <v>1034</v>
      </c>
      <c r="BB8" s="77">
        <v>897</v>
      </c>
      <c r="BC8" s="77">
        <v>699</v>
      </c>
      <c r="BD8" s="77">
        <v>595</v>
      </c>
      <c r="BE8" s="77">
        <v>643</v>
      </c>
      <c r="BF8" s="77">
        <v>815</v>
      </c>
      <c r="BG8" s="77">
        <v>908</v>
      </c>
      <c r="BH8" s="77">
        <v>1086</v>
      </c>
      <c r="BI8" s="77">
        <v>1125</v>
      </c>
      <c r="BJ8" s="77">
        <v>1193</v>
      </c>
      <c r="BK8" s="77">
        <v>1195</v>
      </c>
      <c r="BL8" s="77">
        <v>1271</v>
      </c>
      <c r="BM8" s="77">
        <v>1299</v>
      </c>
      <c r="BN8" s="77">
        <v>1362</v>
      </c>
      <c r="BO8" s="77">
        <v>1317</v>
      </c>
      <c r="BP8" s="77">
        <v>1258</v>
      </c>
      <c r="BQ8" s="77">
        <v>1131</v>
      </c>
      <c r="BR8" s="77">
        <v>1104</v>
      </c>
      <c r="BS8" s="77">
        <v>1058</v>
      </c>
      <c r="BT8" s="77">
        <v>890</v>
      </c>
      <c r="BU8" s="77">
        <v>673</v>
      </c>
      <c r="BV8" s="77">
        <v>387</v>
      </c>
      <c r="BW8" s="77">
        <v>256</v>
      </c>
      <c r="BX8" s="77">
        <v>23</v>
      </c>
      <c r="BY8" s="77">
        <v>2</v>
      </c>
    </row>
    <row r="9" spans="1:100">
      <c r="A9" s="74" t="s">
        <v>575</v>
      </c>
      <c r="B9" s="77">
        <v>10692</v>
      </c>
      <c r="C9" s="78">
        <v>153431.3833</v>
      </c>
      <c r="D9" s="77">
        <v>10569</v>
      </c>
      <c r="AJ9" s="77">
        <v>3</v>
      </c>
      <c r="AK9" s="77">
        <v>4</v>
      </c>
      <c r="AL9" s="77">
        <v>25</v>
      </c>
      <c r="AM9" s="77">
        <v>162</v>
      </c>
      <c r="AN9" s="77">
        <v>153</v>
      </c>
      <c r="AO9" s="77">
        <v>268</v>
      </c>
      <c r="AP9" s="77">
        <v>310</v>
      </c>
      <c r="AQ9" s="77">
        <v>352</v>
      </c>
      <c r="AR9" s="77">
        <v>375</v>
      </c>
      <c r="AS9" s="77">
        <v>365</v>
      </c>
      <c r="AT9" s="77">
        <v>423</v>
      </c>
      <c r="AU9" s="77">
        <v>446</v>
      </c>
      <c r="AV9" s="77">
        <v>441</v>
      </c>
      <c r="AW9" s="77">
        <v>413</v>
      </c>
      <c r="AX9" s="77">
        <v>363</v>
      </c>
      <c r="AY9" s="77">
        <v>347</v>
      </c>
      <c r="AZ9" s="77">
        <v>335</v>
      </c>
      <c r="BA9" s="77">
        <v>269</v>
      </c>
      <c r="BB9" s="77">
        <v>243</v>
      </c>
      <c r="BC9" s="77">
        <v>235</v>
      </c>
      <c r="BD9" s="77">
        <v>245</v>
      </c>
      <c r="BE9" s="77">
        <v>289</v>
      </c>
      <c r="BF9" s="77">
        <v>306</v>
      </c>
      <c r="BG9" s="77">
        <v>331</v>
      </c>
      <c r="BH9" s="77">
        <v>306</v>
      </c>
      <c r="BI9" s="77">
        <v>353</v>
      </c>
      <c r="BJ9" s="77">
        <v>340</v>
      </c>
      <c r="BK9" s="77">
        <v>334</v>
      </c>
      <c r="BL9" s="77">
        <v>328</v>
      </c>
      <c r="BM9" s="77">
        <v>352</v>
      </c>
      <c r="BN9" s="77">
        <v>305</v>
      </c>
      <c r="BO9" s="77">
        <v>330</v>
      </c>
      <c r="BP9" s="77">
        <v>281</v>
      </c>
      <c r="BQ9" s="77">
        <v>288</v>
      </c>
      <c r="BR9" s="77">
        <v>260</v>
      </c>
      <c r="BS9" s="77">
        <v>244</v>
      </c>
      <c r="BT9" s="77">
        <v>191</v>
      </c>
      <c r="BU9" s="77">
        <v>62</v>
      </c>
      <c r="BV9" s="77">
        <v>15</v>
      </c>
    </row>
    <row r="10" spans="1:100">
      <c r="A10" s="74" t="s">
        <v>411</v>
      </c>
      <c r="B10" s="77">
        <v>10675</v>
      </c>
      <c r="C10" s="78">
        <v>138981.65</v>
      </c>
      <c r="D10" s="77">
        <v>10403</v>
      </c>
      <c r="AJ10" s="77">
        <v>1</v>
      </c>
      <c r="AK10" s="77">
        <v>13</v>
      </c>
      <c r="AL10" s="77">
        <v>90</v>
      </c>
      <c r="AM10" s="77">
        <v>192</v>
      </c>
      <c r="AN10" s="77">
        <v>217</v>
      </c>
      <c r="AO10" s="77">
        <v>254</v>
      </c>
      <c r="AP10" s="77">
        <v>260</v>
      </c>
      <c r="AQ10" s="77">
        <v>349</v>
      </c>
      <c r="AR10" s="77">
        <v>317</v>
      </c>
      <c r="AS10" s="77">
        <v>330</v>
      </c>
      <c r="AT10" s="77">
        <v>359</v>
      </c>
      <c r="AU10" s="77">
        <v>390</v>
      </c>
      <c r="AV10" s="77">
        <v>377</v>
      </c>
      <c r="AW10" s="77">
        <v>385</v>
      </c>
      <c r="AX10" s="77">
        <v>350</v>
      </c>
      <c r="AY10" s="77">
        <v>380</v>
      </c>
      <c r="AZ10" s="77">
        <v>293</v>
      </c>
      <c r="BA10" s="77">
        <v>281</v>
      </c>
      <c r="BB10" s="77">
        <v>263</v>
      </c>
      <c r="BC10" s="77">
        <v>254</v>
      </c>
      <c r="BD10" s="77">
        <v>235</v>
      </c>
      <c r="BE10" s="77">
        <v>276</v>
      </c>
      <c r="BF10" s="77">
        <v>278</v>
      </c>
      <c r="BG10" s="77">
        <v>321</v>
      </c>
      <c r="BH10" s="77">
        <v>318</v>
      </c>
      <c r="BI10" s="77">
        <v>318</v>
      </c>
      <c r="BJ10" s="77">
        <v>322</v>
      </c>
      <c r="BK10" s="77">
        <v>350</v>
      </c>
      <c r="BL10" s="77">
        <v>327</v>
      </c>
      <c r="BM10" s="77">
        <v>378</v>
      </c>
      <c r="BN10" s="77">
        <v>372</v>
      </c>
      <c r="BO10" s="77">
        <v>341</v>
      </c>
      <c r="BP10" s="77">
        <v>337</v>
      </c>
      <c r="BQ10" s="77">
        <v>332</v>
      </c>
      <c r="BR10" s="77">
        <v>299</v>
      </c>
      <c r="BS10" s="77">
        <v>260</v>
      </c>
      <c r="BT10" s="77">
        <v>179</v>
      </c>
      <c r="BU10" s="77">
        <v>69</v>
      </c>
      <c r="BV10" s="77">
        <v>5</v>
      </c>
      <c r="BY10" s="77">
        <v>2</v>
      </c>
      <c r="CD10" s="77">
        <v>1</v>
      </c>
    </row>
    <row r="11" spans="1:100">
      <c r="A11" s="74" t="s">
        <v>576</v>
      </c>
      <c r="B11" s="77">
        <v>10188</v>
      </c>
      <c r="C11" s="78">
        <v>172260.1333</v>
      </c>
      <c r="D11" s="77">
        <v>9928</v>
      </c>
      <c r="AL11" s="77">
        <v>7</v>
      </c>
      <c r="AM11" s="77">
        <v>63</v>
      </c>
      <c r="AN11" s="77">
        <v>76</v>
      </c>
      <c r="AO11" s="77">
        <v>165</v>
      </c>
      <c r="AP11" s="77">
        <v>214</v>
      </c>
      <c r="AQ11" s="77">
        <v>252</v>
      </c>
      <c r="AR11" s="77">
        <v>342</v>
      </c>
      <c r="AS11" s="77">
        <v>357</v>
      </c>
      <c r="AT11" s="77">
        <v>415</v>
      </c>
      <c r="AU11" s="77">
        <v>414</v>
      </c>
      <c r="AV11" s="77">
        <v>428</v>
      </c>
      <c r="AW11" s="77">
        <v>396</v>
      </c>
      <c r="AX11" s="77">
        <v>418</v>
      </c>
      <c r="AY11" s="77">
        <v>390</v>
      </c>
      <c r="AZ11" s="77">
        <v>371</v>
      </c>
      <c r="BA11" s="77">
        <v>335</v>
      </c>
      <c r="BB11" s="77">
        <v>281</v>
      </c>
      <c r="BC11" s="77">
        <v>266</v>
      </c>
      <c r="BD11" s="77">
        <v>240</v>
      </c>
      <c r="BE11" s="77">
        <v>252</v>
      </c>
      <c r="BF11" s="77">
        <v>270</v>
      </c>
      <c r="BG11" s="77">
        <v>330</v>
      </c>
      <c r="BH11" s="77">
        <v>294</v>
      </c>
      <c r="BI11" s="77">
        <v>312</v>
      </c>
      <c r="BJ11" s="77">
        <v>347</v>
      </c>
      <c r="BK11" s="77">
        <v>333</v>
      </c>
      <c r="BL11" s="77">
        <v>323</v>
      </c>
      <c r="BM11" s="77">
        <v>364</v>
      </c>
      <c r="BN11" s="77">
        <v>292</v>
      </c>
      <c r="BO11" s="77">
        <v>313</v>
      </c>
      <c r="BP11" s="77">
        <v>286</v>
      </c>
      <c r="BQ11" s="77">
        <v>230</v>
      </c>
      <c r="BR11" s="77">
        <v>221</v>
      </c>
      <c r="BS11" s="77">
        <v>208</v>
      </c>
      <c r="BT11" s="77">
        <v>171</v>
      </c>
      <c r="BU11" s="77">
        <v>125</v>
      </c>
      <c r="BV11" s="77">
        <v>58</v>
      </c>
      <c r="BW11" s="77">
        <v>28</v>
      </c>
      <c r="BX11" s="77">
        <v>1</v>
      </c>
    </row>
    <row r="12" spans="1:100">
      <c r="A12" s="74" t="s">
        <v>577</v>
      </c>
      <c r="B12" s="77">
        <v>9895</v>
      </c>
      <c r="C12" s="78">
        <v>164557.4333</v>
      </c>
      <c r="D12" s="77">
        <v>9578</v>
      </c>
      <c r="AM12" s="77">
        <v>5</v>
      </c>
      <c r="AN12" s="77">
        <v>26</v>
      </c>
      <c r="AO12" s="77">
        <v>151</v>
      </c>
      <c r="AP12" s="77">
        <v>147</v>
      </c>
      <c r="AQ12" s="77">
        <v>223</v>
      </c>
      <c r="AR12" s="77">
        <v>260</v>
      </c>
      <c r="AS12" s="77">
        <v>297</v>
      </c>
      <c r="AT12" s="77">
        <v>298</v>
      </c>
      <c r="AU12" s="77">
        <v>340</v>
      </c>
      <c r="AV12" s="77">
        <v>367</v>
      </c>
      <c r="AW12" s="77">
        <v>342</v>
      </c>
      <c r="AX12" s="77">
        <v>389</v>
      </c>
      <c r="AY12" s="77">
        <v>333</v>
      </c>
      <c r="AZ12" s="77">
        <v>328</v>
      </c>
      <c r="BA12" s="77">
        <v>328</v>
      </c>
      <c r="BB12" s="77">
        <v>290</v>
      </c>
      <c r="BC12" s="77">
        <v>258</v>
      </c>
      <c r="BD12" s="77">
        <v>254</v>
      </c>
      <c r="BE12" s="77">
        <v>244</v>
      </c>
      <c r="BF12" s="77">
        <v>260</v>
      </c>
      <c r="BG12" s="77">
        <v>267</v>
      </c>
      <c r="BH12" s="77">
        <v>283</v>
      </c>
      <c r="BI12" s="77">
        <v>288</v>
      </c>
      <c r="BJ12" s="77">
        <v>285</v>
      </c>
      <c r="BK12" s="77">
        <v>314</v>
      </c>
      <c r="BL12" s="77">
        <v>314</v>
      </c>
      <c r="BM12" s="77">
        <v>323</v>
      </c>
      <c r="BN12" s="77">
        <v>329</v>
      </c>
      <c r="BO12" s="77">
        <v>254</v>
      </c>
      <c r="BP12" s="77">
        <v>302</v>
      </c>
      <c r="BQ12" s="77">
        <v>324</v>
      </c>
      <c r="BR12" s="77">
        <v>294</v>
      </c>
      <c r="BS12" s="77">
        <v>291</v>
      </c>
      <c r="BT12" s="77">
        <v>261</v>
      </c>
      <c r="BU12" s="77">
        <v>274</v>
      </c>
      <c r="BV12" s="77">
        <v>221</v>
      </c>
      <c r="BW12" s="77">
        <v>109</v>
      </c>
      <c r="BX12" s="77">
        <v>22</v>
      </c>
    </row>
    <row r="13" spans="1:100">
      <c r="A13" s="74" t="s">
        <v>578</v>
      </c>
      <c r="B13" s="77">
        <v>8788</v>
      </c>
      <c r="C13" s="78">
        <v>125288.4333</v>
      </c>
      <c r="D13" s="77">
        <v>8506</v>
      </c>
      <c r="AL13" s="77">
        <v>4</v>
      </c>
      <c r="AM13" s="77">
        <v>76</v>
      </c>
      <c r="AN13" s="77">
        <v>98</v>
      </c>
      <c r="AO13" s="77">
        <v>154</v>
      </c>
      <c r="AP13" s="77">
        <v>188</v>
      </c>
      <c r="AQ13" s="77">
        <v>236</v>
      </c>
      <c r="AR13" s="77">
        <v>278</v>
      </c>
      <c r="AS13" s="77">
        <v>271</v>
      </c>
      <c r="AT13" s="77">
        <v>273</v>
      </c>
      <c r="AU13" s="77">
        <v>298</v>
      </c>
      <c r="AV13" s="77">
        <v>295</v>
      </c>
      <c r="AW13" s="77">
        <v>294</v>
      </c>
      <c r="AX13" s="77">
        <v>320</v>
      </c>
      <c r="AY13" s="77">
        <v>285</v>
      </c>
      <c r="AZ13" s="77">
        <v>289</v>
      </c>
      <c r="BA13" s="77">
        <v>238</v>
      </c>
      <c r="BB13" s="77">
        <v>267</v>
      </c>
      <c r="BC13" s="77">
        <v>252</v>
      </c>
      <c r="BD13" s="77">
        <v>235</v>
      </c>
      <c r="BE13" s="77">
        <v>243</v>
      </c>
      <c r="BF13" s="77">
        <v>259</v>
      </c>
      <c r="BG13" s="77">
        <v>236</v>
      </c>
      <c r="BH13" s="77">
        <v>250</v>
      </c>
      <c r="BI13" s="77">
        <v>261</v>
      </c>
      <c r="BJ13" s="77">
        <v>268</v>
      </c>
      <c r="BK13" s="77">
        <v>245</v>
      </c>
      <c r="BL13" s="77">
        <v>271</v>
      </c>
      <c r="BM13" s="77">
        <v>252</v>
      </c>
      <c r="BN13" s="77">
        <v>252</v>
      </c>
      <c r="BO13" s="77">
        <v>245</v>
      </c>
      <c r="BP13" s="77">
        <v>270</v>
      </c>
      <c r="BQ13" s="77">
        <v>285</v>
      </c>
      <c r="BR13" s="77">
        <v>269</v>
      </c>
      <c r="BS13" s="77">
        <v>247</v>
      </c>
      <c r="BT13" s="77">
        <v>249</v>
      </c>
      <c r="BU13" s="77">
        <v>182</v>
      </c>
      <c r="BV13" s="77">
        <v>80</v>
      </c>
      <c r="BW13" s="77">
        <v>50</v>
      </c>
      <c r="BX13" s="77">
        <v>13</v>
      </c>
      <c r="BZ13" s="77">
        <v>10</v>
      </c>
    </row>
    <row r="14" spans="1:100">
      <c r="A14" s="74" t="s">
        <v>579</v>
      </c>
      <c r="B14" s="77">
        <v>8406</v>
      </c>
      <c r="C14" s="78">
        <v>141648.2333</v>
      </c>
      <c r="D14" s="77">
        <v>8108</v>
      </c>
      <c r="AL14" s="77">
        <v>19</v>
      </c>
      <c r="AM14" s="77">
        <v>50</v>
      </c>
      <c r="AN14" s="77">
        <v>74</v>
      </c>
      <c r="AO14" s="77">
        <v>132</v>
      </c>
      <c r="AP14" s="77">
        <v>170</v>
      </c>
      <c r="AQ14" s="77">
        <v>216</v>
      </c>
      <c r="AR14" s="77">
        <v>219</v>
      </c>
      <c r="AS14" s="77">
        <v>231</v>
      </c>
      <c r="AT14" s="77">
        <v>242</v>
      </c>
      <c r="AU14" s="77">
        <v>275</v>
      </c>
      <c r="AV14" s="77">
        <v>273</v>
      </c>
      <c r="AW14" s="77">
        <v>284</v>
      </c>
      <c r="AX14" s="77">
        <v>290</v>
      </c>
      <c r="AY14" s="77">
        <v>262</v>
      </c>
      <c r="AZ14" s="77">
        <v>261</v>
      </c>
      <c r="BA14" s="77">
        <v>256</v>
      </c>
      <c r="BB14" s="77">
        <v>214</v>
      </c>
      <c r="BC14" s="77">
        <v>211</v>
      </c>
      <c r="BD14" s="77">
        <v>226</v>
      </c>
      <c r="BE14" s="77">
        <v>223</v>
      </c>
      <c r="BF14" s="77">
        <v>221</v>
      </c>
      <c r="BG14" s="77">
        <v>226</v>
      </c>
      <c r="BH14" s="77">
        <v>231</v>
      </c>
      <c r="BI14" s="77">
        <v>216</v>
      </c>
      <c r="BJ14" s="77">
        <v>282</v>
      </c>
      <c r="BK14" s="77">
        <v>256</v>
      </c>
      <c r="BL14" s="77">
        <v>291</v>
      </c>
      <c r="BM14" s="77">
        <v>266</v>
      </c>
      <c r="BN14" s="77">
        <v>258</v>
      </c>
      <c r="BO14" s="77">
        <v>277</v>
      </c>
      <c r="BP14" s="77">
        <v>269</v>
      </c>
      <c r="BQ14" s="77">
        <v>279</v>
      </c>
      <c r="BR14" s="77">
        <v>252</v>
      </c>
      <c r="BS14" s="77">
        <v>275</v>
      </c>
      <c r="BT14" s="77">
        <v>247</v>
      </c>
      <c r="BU14" s="77">
        <v>190</v>
      </c>
      <c r="BV14" s="77">
        <v>158</v>
      </c>
      <c r="BW14" s="77">
        <v>69</v>
      </c>
      <c r="BX14" s="77">
        <v>15</v>
      </c>
    </row>
    <row r="15" spans="1:100">
      <c r="A15" s="74" t="s">
        <v>580</v>
      </c>
      <c r="B15" s="77">
        <v>7421</v>
      </c>
      <c r="C15" s="78">
        <v>96789.26669999999</v>
      </c>
      <c r="D15" s="77">
        <v>7253</v>
      </c>
      <c r="AL15" s="77">
        <v>1</v>
      </c>
      <c r="AM15" s="77">
        <v>83</v>
      </c>
      <c r="AN15" s="77">
        <v>120</v>
      </c>
      <c r="AO15" s="77">
        <v>145</v>
      </c>
      <c r="AP15" s="77">
        <v>184</v>
      </c>
      <c r="AQ15" s="77">
        <v>168</v>
      </c>
      <c r="AR15" s="77">
        <v>202</v>
      </c>
      <c r="AS15" s="77">
        <v>224</v>
      </c>
      <c r="AT15" s="77">
        <v>242</v>
      </c>
      <c r="AU15" s="77">
        <v>265</v>
      </c>
      <c r="AV15" s="77">
        <v>275</v>
      </c>
      <c r="AW15" s="77">
        <v>291</v>
      </c>
      <c r="AX15" s="77">
        <v>240</v>
      </c>
      <c r="AY15" s="77">
        <v>265</v>
      </c>
      <c r="AZ15" s="77">
        <v>223</v>
      </c>
      <c r="BA15" s="77">
        <v>211</v>
      </c>
      <c r="BB15" s="77">
        <v>201</v>
      </c>
      <c r="BC15" s="77">
        <v>179</v>
      </c>
      <c r="BD15" s="77">
        <v>179</v>
      </c>
      <c r="BE15" s="77">
        <v>188</v>
      </c>
      <c r="BF15" s="77">
        <v>210</v>
      </c>
      <c r="BG15" s="77">
        <v>239</v>
      </c>
      <c r="BH15" s="77">
        <v>229</v>
      </c>
      <c r="BI15" s="77">
        <v>212</v>
      </c>
      <c r="BJ15" s="77">
        <v>222</v>
      </c>
      <c r="BK15" s="77">
        <v>230</v>
      </c>
      <c r="BL15" s="77">
        <v>229</v>
      </c>
      <c r="BM15" s="77">
        <v>273</v>
      </c>
      <c r="BN15" s="77">
        <v>282</v>
      </c>
      <c r="BO15" s="77">
        <v>269</v>
      </c>
      <c r="BP15" s="77">
        <v>241</v>
      </c>
      <c r="BQ15" s="77">
        <v>224</v>
      </c>
      <c r="BR15" s="77">
        <v>189</v>
      </c>
      <c r="BS15" s="77">
        <v>206</v>
      </c>
      <c r="BT15" s="77">
        <v>167</v>
      </c>
      <c r="BU15" s="77">
        <v>88</v>
      </c>
      <c r="BV15" s="77">
        <v>25</v>
      </c>
    </row>
    <row r="16" spans="1:100">
      <c r="A16" s="74" t="s">
        <v>581</v>
      </c>
      <c r="B16" s="77">
        <v>7331</v>
      </c>
      <c r="C16" s="78">
        <v>147340.7667</v>
      </c>
      <c r="D16" s="77">
        <v>7077</v>
      </c>
      <c r="AL16" s="77">
        <v>4</v>
      </c>
      <c r="AM16" s="77">
        <v>62</v>
      </c>
      <c r="AN16" s="77">
        <v>71</v>
      </c>
      <c r="AO16" s="77">
        <v>194</v>
      </c>
      <c r="AP16" s="77">
        <v>242</v>
      </c>
      <c r="AQ16" s="77">
        <v>283</v>
      </c>
      <c r="AR16" s="77">
        <v>284</v>
      </c>
      <c r="AS16" s="77">
        <v>298</v>
      </c>
      <c r="AT16" s="77">
        <v>266</v>
      </c>
      <c r="AU16" s="77">
        <v>274</v>
      </c>
      <c r="AV16" s="77">
        <v>258</v>
      </c>
      <c r="AW16" s="77">
        <v>259</v>
      </c>
      <c r="AX16" s="77">
        <v>252</v>
      </c>
      <c r="AY16" s="77">
        <v>250</v>
      </c>
      <c r="AZ16" s="77">
        <v>235</v>
      </c>
      <c r="BA16" s="77">
        <v>199</v>
      </c>
      <c r="BB16" s="77">
        <v>232</v>
      </c>
      <c r="BC16" s="77">
        <v>177</v>
      </c>
      <c r="BD16" s="77">
        <v>166</v>
      </c>
      <c r="BE16" s="77">
        <v>170</v>
      </c>
      <c r="BF16" s="77">
        <v>178</v>
      </c>
      <c r="BG16" s="77">
        <v>219</v>
      </c>
      <c r="BH16" s="77">
        <v>188</v>
      </c>
      <c r="BI16" s="77">
        <v>194</v>
      </c>
      <c r="BJ16" s="77">
        <v>225</v>
      </c>
      <c r="BK16" s="77">
        <v>240</v>
      </c>
      <c r="BL16" s="77">
        <v>204</v>
      </c>
      <c r="BM16" s="77">
        <v>211</v>
      </c>
      <c r="BN16" s="77">
        <v>209</v>
      </c>
      <c r="BO16" s="77">
        <v>217</v>
      </c>
      <c r="BP16" s="77">
        <v>173</v>
      </c>
      <c r="BQ16" s="77">
        <v>184</v>
      </c>
      <c r="BR16" s="77">
        <v>176</v>
      </c>
      <c r="BS16" s="77">
        <v>166</v>
      </c>
      <c r="BT16" s="77">
        <v>139</v>
      </c>
      <c r="BU16" s="77">
        <v>122</v>
      </c>
      <c r="BV16" s="77">
        <v>75</v>
      </c>
      <c r="BW16" s="77">
        <v>27</v>
      </c>
      <c r="BX16" s="77">
        <v>8</v>
      </c>
    </row>
    <row r="17" spans="1:86">
      <c r="A17" s="74" t="s">
        <v>582</v>
      </c>
      <c r="B17" s="77">
        <v>7075</v>
      </c>
      <c r="C17" s="78">
        <v>93620.75</v>
      </c>
      <c r="D17" s="77">
        <v>6874</v>
      </c>
      <c r="AM17" s="77">
        <v>4</v>
      </c>
      <c r="AN17" s="77">
        <v>18</v>
      </c>
      <c r="AO17" s="77">
        <v>100</v>
      </c>
      <c r="AP17" s="77">
        <v>124</v>
      </c>
      <c r="AQ17" s="77">
        <v>169</v>
      </c>
      <c r="AR17" s="77">
        <v>219</v>
      </c>
      <c r="AS17" s="77">
        <v>207</v>
      </c>
      <c r="AT17" s="77">
        <v>262</v>
      </c>
      <c r="AU17" s="77">
        <v>250</v>
      </c>
      <c r="AV17" s="77">
        <v>243</v>
      </c>
      <c r="AW17" s="77">
        <v>232</v>
      </c>
      <c r="AX17" s="77">
        <v>284</v>
      </c>
      <c r="AY17" s="77">
        <v>237</v>
      </c>
      <c r="AZ17" s="77">
        <v>256</v>
      </c>
      <c r="BA17" s="77">
        <v>277</v>
      </c>
      <c r="BB17" s="77">
        <v>237</v>
      </c>
      <c r="BC17" s="77">
        <v>182</v>
      </c>
      <c r="BD17" s="77">
        <v>171</v>
      </c>
      <c r="BE17" s="77">
        <v>146</v>
      </c>
      <c r="BF17" s="77">
        <v>134</v>
      </c>
      <c r="BG17" s="77">
        <v>180</v>
      </c>
      <c r="BH17" s="77">
        <v>190</v>
      </c>
      <c r="BI17" s="77">
        <v>180</v>
      </c>
      <c r="BJ17" s="77">
        <v>201</v>
      </c>
      <c r="BK17" s="77">
        <v>210</v>
      </c>
      <c r="BL17" s="77">
        <v>231</v>
      </c>
      <c r="BM17" s="77">
        <v>230</v>
      </c>
      <c r="BN17" s="77">
        <v>225</v>
      </c>
      <c r="BO17" s="77">
        <v>238</v>
      </c>
      <c r="BP17" s="77">
        <v>215</v>
      </c>
      <c r="BQ17" s="77">
        <v>200</v>
      </c>
      <c r="BR17" s="77">
        <v>206</v>
      </c>
      <c r="BS17" s="77">
        <v>207</v>
      </c>
      <c r="BT17" s="77">
        <v>183</v>
      </c>
      <c r="BU17" s="77">
        <v>187</v>
      </c>
      <c r="BV17" s="77">
        <v>141</v>
      </c>
      <c r="BW17" s="77">
        <v>80</v>
      </c>
      <c r="BX17" s="77">
        <v>19</v>
      </c>
    </row>
    <row r="18" spans="1:86">
      <c r="A18" s="74" t="s">
        <v>583</v>
      </c>
      <c r="B18" s="77">
        <v>6578</v>
      </c>
      <c r="C18" s="78">
        <v>107627.75</v>
      </c>
      <c r="D18" s="77">
        <v>6359</v>
      </c>
      <c r="AK18" s="77">
        <v>10</v>
      </c>
      <c r="AL18" s="77">
        <v>88</v>
      </c>
      <c r="AM18" s="77">
        <v>104</v>
      </c>
      <c r="AN18" s="77">
        <v>118</v>
      </c>
      <c r="AO18" s="77">
        <v>177</v>
      </c>
      <c r="AP18" s="77">
        <v>189</v>
      </c>
      <c r="AQ18" s="77">
        <v>185</v>
      </c>
      <c r="AR18" s="77">
        <v>213</v>
      </c>
      <c r="AS18" s="77">
        <v>208</v>
      </c>
      <c r="AT18" s="77">
        <v>225</v>
      </c>
      <c r="AU18" s="77">
        <v>201</v>
      </c>
      <c r="AV18" s="77">
        <v>230</v>
      </c>
      <c r="AW18" s="77">
        <v>213</v>
      </c>
      <c r="AX18" s="77">
        <v>234</v>
      </c>
      <c r="AY18" s="77">
        <v>186</v>
      </c>
      <c r="AZ18" s="77">
        <v>188</v>
      </c>
      <c r="BA18" s="77">
        <v>176</v>
      </c>
      <c r="BB18" s="77">
        <v>171</v>
      </c>
      <c r="BC18" s="77">
        <v>164</v>
      </c>
      <c r="BD18" s="77">
        <v>177</v>
      </c>
      <c r="BE18" s="77">
        <v>183</v>
      </c>
      <c r="BF18" s="77">
        <v>166</v>
      </c>
      <c r="BG18" s="77">
        <v>174</v>
      </c>
      <c r="BH18" s="77">
        <v>165</v>
      </c>
      <c r="BI18" s="77">
        <v>210</v>
      </c>
      <c r="BJ18" s="77">
        <v>191</v>
      </c>
      <c r="BK18" s="77">
        <v>170</v>
      </c>
      <c r="BL18" s="77">
        <v>209</v>
      </c>
      <c r="BM18" s="77">
        <v>214</v>
      </c>
      <c r="BN18" s="77">
        <v>218</v>
      </c>
      <c r="BO18" s="77">
        <v>228</v>
      </c>
      <c r="BP18" s="77">
        <v>244</v>
      </c>
      <c r="BQ18" s="77">
        <v>220</v>
      </c>
      <c r="BR18" s="77">
        <v>217</v>
      </c>
      <c r="BS18" s="77">
        <v>172</v>
      </c>
      <c r="BT18" s="77">
        <v>110</v>
      </c>
      <c r="BU18" s="77">
        <v>29</v>
      </c>
      <c r="BY18" s="77">
        <v>1</v>
      </c>
    </row>
    <row r="19" spans="1:86">
      <c r="A19" s="74" t="s">
        <v>584</v>
      </c>
      <c r="B19" s="77">
        <v>4761</v>
      </c>
      <c r="C19" s="78">
        <v>112965.8667</v>
      </c>
      <c r="D19" s="77">
        <v>4526</v>
      </c>
      <c r="AM19" s="77">
        <v>11</v>
      </c>
      <c r="AN19" s="77">
        <v>41</v>
      </c>
      <c r="AO19" s="77">
        <v>111</v>
      </c>
      <c r="AP19" s="77">
        <v>161</v>
      </c>
      <c r="AQ19" s="77">
        <v>203</v>
      </c>
      <c r="AR19" s="77">
        <v>213</v>
      </c>
      <c r="AS19" s="77">
        <v>189</v>
      </c>
      <c r="AT19" s="77">
        <v>155</v>
      </c>
      <c r="AU19" s="77">
        <v>187</v>
      </c>
      <c r="AV19" s="77">
        <v>199</v>
      </c>
      <c r="AW19" s="77">
        <v>172</v>
      </c>
      <c r="AX19" s="77">
        <v>192</v>
      </c>
      <c r="AY19" s="77">
        <v>180</v>
      </c>
      <c r="AZ19" s="77">
        <v>176</v>
      </c>
      <c r="BA19" s="77">
        <v>155</v>
      </c>
      <c r="BB19" s="77">
        <v>131</v>
      </c>
      <c r="BC19" s="77">
        <v>98</v>
      </c>
      <c r="BD19" s="77">
        <v>101</v>
      </c>
      <c r="BE19" s="77">
        <v>89</v>
      </c>
      <c r="BF19" s="77">
        <v>113</v>
      </c>
      <c r="BG19" s="77">
        <v>101</v>
      </c>
      <c r="BH19" s="77">
        <v>128</v>
      </c>
      <c r="BI19" s="77">
        <v>125</v>
      </c>
      <c r="BJ19" s="77">
        <v>121</v>
      </c>
      <c r="BK19" s="77">
        <v>128</v>
      </c>
      <c r="BL19" s="77">
        <v>147</v>
      </c>
      <c r="BM19" s="77">
        <v>154</v>
      </c>
      <c r="BN19" s="77">
        <v>129</v>
      </c>
      <c r="BO19" s="77">
        <v>152</v>
      </c>
      <c r="BP19" s="77">
        <v>107</v>
      </c>
      <c r="BQ19" s="77">
        <v>106</v>
      </c>
      <c r="BR19" s="77">
        <v>101</v>
      </c>
      <c r="BS19" s="77">
        <v>96</v>
      </c>
      <c r="BT19" s="77">
        <v>95</v>
      </c>
      <c r="BU19" s="77">
        <v>91</v>
      </c>
      <c r="BV19" s="77">
        <v>66</v>
      </c>
      <c r="BW19" s="77">
        <v>32</v>
      </c>
      <c r="BX19" s="77">
        <v>5</v>
      </c>
    </row>
    <row r="20" spans="1:86">
      <c r="A20" s="74" t="s">
        <v>585</v>
      </c>
      <c r="B20" s="77">
        <v>4737</v>
      </c>
      <c r="C20" s="78">
        <v>82734.64999999999</v>
      </c>
      <c r="D20" s="77">
        <v>4593</v>
      </c>
      <c r="AL20" s="77">
        <v>24</v>
      </c>
      <c r="AM20" s="77">
        <v>76</v>
      </c>
      <c r="AN20" s="77">
        <v>85</v>
      </c>
      <c r="AO20" s="77">
        <v>107</v>
      </c>
      <c r="AP20" s="77">
        <v>147</v>
      </c>
      <c r="AQ20" s="77">
        <v>144</v>
      </c>
      <c r="AR20" s="77">
        <v>163</v>
      </c>
      <c r="AS20" s="77">
        <v>157</v>
      </c>
      <c r="AT20" s="77">
        <v>178</v>
      </c>
      <c r="AU20" s="77">
        <v>194</v>
      </c>
      <c r="AV20" s="77">
        <v>192</v>
      </c>
      <c r="AW20" s="77">
        <v>209</v>
      </c>
      <c r="AX20" s="77">
        <v>147</v>
      </c>
      <c r="AY20" s="77">
        <v>183</v>
      </c>
      <c r="AZ20" s="77">
        <v>135</v>
      </c>
      <c r="BA20" s="77">
        <v>132</v>
      </c>
      <c r="BB20" s="77">
        <v>118</v>
      </c>
      <c r="BC20" s="77">
        <v>108</v>
      </c>
      <c r="BD20" s="77">
        <v>133</v>
      </c>
      <c r="BE20" s="77">
        <v>134</v>
      </c>
      <c r="BF20" s="77">
        <v>130</v>
      </c>
      <c r="BG20" s="77">
        <v>141</v>
      </c>
      <c r="BH20" s="77">
        <v>159</v>
      </c>
      <c r="BI20" s="77">
        <v>158</v>
      </c>
      <c r="BJ20" s="77">
        <v>139</v>
      </c>
      <c r="BK20" s="77">
        <v>139</v>
      </c>
      <c r="BL20" s="77">
        <v>148</v>
      </c>
      <c r="BM20" s="77">
        <v>134</v>
      </c>
      <c r="BN20" s="77">
        <v>121</v>
      </c>
      <c r="BO20" s="77">
        <v>125</v>
      </c>
      <c r="BP20" s="77">
        <v>126</v>
      </c>
      <c r="BQ20" s="77">
        <v>140</v>
      </c>
      <c r="BR20" s="77">
        <v>96</v>
      </c>
      <c r="BS20" s="77">
        <v>101</v>
      </c>
      <c r="BT20" s="77">
        <v>85</v>
      </c>
      <c r="BU20" s="77">
        <v>28</v>
      </c>
      <c r="BV20" s="77">
        <v>1</v>
      </c>
    </row>
    <row r="21" spans="1:86">
      <c r="A21" s="74" t="s">
        <v>586</v>
      </c>
      <c r="B21" s="77">
        <v>4723</v>
      </c>
      <c r="C21" s="78">
        <v>104282.25</v>
      </c>
      <c r="D21" s="77">
        <v>4483</v>
      </c>
      <c r="AJ21" s="77">
        <v>1</v>
      </c>
      <c r="AK21" s="77">
        <v>3</v>
      </c>
      <c r="AL21" s="77">
        <v>58</v>
      </c>
      <c r="AM21" s="77">
        <v>82</v>
      </c>
      <c r="AN21" s="77">
        <v>81</v>
      </c>
      <c r="AO21" s="77">
        <v>116</v>
      </c>
      <c r="AP21" s="77">
        <v>139</v>
      </c>
      <c r="AQ21" s="77">
        <v>118</v>
      </c>
      <c r="AR21" s="77">
        <v>118</v>
      </c>
      <c r="AS21" s="77">
        <v>123</v>
      </c>
      <c r="AT21" s="77">
        <v>119</v>
      </c>
      <c r="AU21" s="77">
        <v>156</v>
      </c>
      <c r="AV21" s="77">
        <v>147</v>
      </c>
      <c r="AW21" s="77">
        <v>181</v>
      </c>
      <c r="AX21" s="77">
        <v>174</v>
      </c>
      <c r="AY21" s="77">
        <v>171</v>
      </c>
      <c r="AZ21" s="77">
        <v>142</v>
      </c>
      <c r="BA21" s="77">
        <v>94</v>
      </c>
      <c r="BB21" s="77">
        <v>53</v>
      </c>
      <c r="BC21" s="77">
        <v>50</v>
      </c>
      <c r="BD21" s="77">
        <v>63</v>
      </c>
      <c r="BE21" s="77">
        <v>72</v>
      </c>
      <c r="BF21" s="77">
        <v>80</v>
      </c>
      <c r="BG21" s="77">
        <v>119</v>
      </c>
      <c r="BH21" s="77">
        <v>125</v>
      </c>
      <c r="BI21" s="77">
        <v>148</v>
      </c>
      <c r="BJ21" s="77">
        <v>169</v>
      </c>
      <c r="BK21" s="77">
        <v>199</v>
      </c>
      <c r="BL21" s="77">
        <v>189</v>
      </c>
      <c r="BM21" s="77">
        <v>186</v>
      </c>
      <c r="BN21" s="77">
        <v>210</v>
      </c>
      <c r="BO21" s="77">
        <v>211</v>
      </c>
      <c r="BP21" s="77">
        <v>210</v>
      </c>
      <c r="BQ21" s="77">
        <v>171</v>
      </c>
      <c r="BR21" s="77">
        <v>159</v>
      </c>
      <c r="BS21" s="77">
        <v>155</v>
      </c>
      <c r="BT21" s="77">
        <v>108</v>
      </c>
      <c r="BU21" s="77">
        <v>21</v>
      </c>
      <c r="BY21" s="77">
        <v>2</v>
      </c>
    </row>
    <row r="22" spans="1:86">
      <c r="A22" s="74" t="s">
        <v>587</v>
      </c>
      <c r="B22" s="77">
        <v>4699</v>
      </c>
      <c r="C22" s="78">
        <v>88443.64999999999</v>
      </c>
      <c r="D22" s="77">
        <v>4521</v>
      </c>
      <c r="AJ22" s="77">
        <v>1</v>
      </c>
      <c r="AK22" s="77">
        <v>2</v>
      </c>
      <c r="AL22" s="77">
        <v>8</v>
      </c>
      <c r="AM22" s="77">
        <v>48</v>
      </c>
      <c r="AN22" s="77">
        <v>46</v>
      </c>
      <c r="AO22" s="77">
        <v>83</v>
      </c>
      <c r="AP22" s="77">
        <v>119</v>
      </c>
      <c r="AQ22" s="77">
        <v>146</v>
      </c>
      <c r="AR22" s="77">
        <v>184</v>
      </c>
      <c r="AS22" s="77">
        <v>183</v>
      </c>
      <c r="AT22" s="77">
        <v>173</v>
      </c>
      <c r="AU22" s="77">
        <v>182</v>
      </c>
      <c r="AV22" s="77">
        <v>201</v>
      </c>
      <c r="AW22" s="77">
        <v>221</v>
      </c>
      <c r="AX22" s="77">
        <v>194</v>
      </c>
      <c r="AY22" s="77">
        <v>166</v>
      </c>
      <c r="AZ22" s="77">
        <v>159</v>
      </c>
      <c r="BA22" s="77">
        <v>134</v>
      </c>
      <c r="BB22" s="77">
        <v>116</v>
      </c>
      <c r="BC22" s="77">
        <v>105</v>
      </c>
      <c r="BD22" s="77">
        <v>103</v>
      </c>
      <c r="BE22" s="77">
        <v>143</v>
      </c>
      <c r="BF22" s="77">
        <v>137</v>
      </c>
      <c r="BG22" s="77">
        <v>154</v>
      </c>
      <c r="BH22" s="77">
        <v>160</v>
      </c>
      <c r="BI22" s="77">
        <v>157</v>
      </c>
      <c r="BJ22" s="77">
        <v>142</v>
      </c>
      <c r="BK22" s="77">
        <v>150</v>
      </c>
      <c r="BL22" s="77">
        <v>148</v>
      </c>
      <c r="BM22" s="77">
        <v>150</v>
      </c>
      <c r="BN22" s="77">
        <v>134</v>
      </c>
      <c r="BO22" s="77">
        <v>125</v>
      </c>
      <c r="BP22" s="77">
        <v>156</v>
      </c>
      <c r="BQ22" s="77">
        <v>105</v>
      </c>
      <c r="BR22" s="77">
        <v>84</v>
      </c>
      <c r="BS22" s="77">
        <v>91</v>
      </c>
      <c r="BT22" s="77">
        <v>62</v>
      </c>
      <c r="BU22" s="77">
        <v>25</v>
      </c>
      <c r="BV22" s="77">
        <v>2</v>
      </c>
    </row>
    <row r="23" spans="1:86">
      <c r="A23" s="74" t="s">
        <v>588</v>
      </c>
      <c r="B23" s="77">
        <v>4443</v>
      </c>
      <c r="C23" s="78">
        <v>58557.1667</v>
      </c>
      <c r="D23" s="77">
        <v>4323</v>
      </c>
      <c r="AM23" s="77">
        <v>6</v>
      </c>
      <c r="AN23" s="77">
        <v>23</v>
      </c>
      <c r="AO23" s="77">
        <v>84</v>
      </c>
      <c r="AP23" s="77">
        <v>71</v>
      </c>
      <c r="AQ23" s="77">
        <v>92</v>
      </c>
      <c r="AR23" s="77">
        <v>134</v>
      </c>
      <c r="AS23" s="77">
        <v>125</v>
      </c>
      <c r="AT23" s="77">
        <v>122</v>
      </c>
      <c r="AU23" s="77">
        <v>170</v>
      </c>
      <c r="AV23" s="77">
        <v>159</v>
      </c>
      <c r="AW23" s="77">
        <v>151</v>
      </c>
      <c r="AX23" s="77">
        <v>141</v>
      </c>
      <c r="AY23" s="77">
        <v>141</v>
      </c>
      <c r="AZ23" s="77">
        <v>148</v>
      </c>
      <c r="BA23" s="77">
        <v>126</v>
      </c>
      <c r="BB23" s="77">
        <v>124</v>
      </c>
      <c r="BC23" s="77">
        <v>96</v>
      </c>
      <c r="BD23" s="77">
        <v>119</v>
      </c>
      <c r="BE23" s="77">
        <v>110</v>
      </c>
      <c r="BF23" s="77">
        <v>90</v>
      </c>
      <c r="BG23" s="77">
        <v>119</v>
      </c>
      <c r="BH23" s="77">
        <v>136</v>
      </c>
      <c r="BI23" s="77">
        <v>132</v>
      </c>
      <c r="BJ23" s="77">
        <v>112</v>
      </c>
      <c r="BK23" s="77">
        <v>121</v>
      </c>
      <c r="BL23" s="77">
        <v>102</v>
      </c>
      <c r="BM23" s="77">
        <v>153</v>
      </c>
      <c r="BN23" s="77">
        <v>123</v>
      </c>
      <c r="BO23" s="77">
        <v>139</v>
      </c>
      <c r="BP23" s="77">
        <v>167</v>
      </c>
      <c r="BQ23" s="77">
        <v>155</v>
      </c>
      <c r="BR23" s="77">
        <v>158</v>
      </c>
      <c r="BS23" s="77">
        <v>142</v>
      </c>
      <c r="BT23" s="77">
        <v>143</v>
      </c>
      <c r="BU23" s="77">
        <v>127</v>
      </c>
      <c r="BV23" s="77">
        <v>120</v>
      </c>
      <c r="BW23" s="77">
        <v>51</v>
      </c>
      <c r="BX23" s="77">
        <v>11</v>
      </c>
    </row>
    <row r="24" spans="1:86">
      <c r="A24" s="74" t="s">
        <v>589</v>
      </c>
      <c r="B24" s="77">
        <v>4336</v>
      </c>
      <c r="C24" s="78">
        <v>89366.7</v>
      </c>
      <c r="D24" s="77">
        <v>4176</v>
      </c>
      <c r="AM24" s="77">
        <v>95</v>
      </c>
      <c r="AN24" s="77">
        <v>71</v>
      </c>
      <c r="AO24" s="77">
        <v>67</v>
      </c>
      <c r="AP24" s="77">
        <v>108</v>
      </c>
      <c r="AQ24" s="77">
        <v>127</v>
      </c>
      <c r="AR24" s="77">
        <v>119</v>
      </c>
      <c r="AS24" s="77">
        <v>148</v>
      </c>
      <c r="AT24" s="77">
        <v>128</v>
      </c>
      <c r="AU24" s="77">
        <v>151</v>
      </c>
      <c r="AV24" s="77">
        <v>154</v>
      </c>
      <c r="AW24" s="77">
        <v>156</v>
      </c>
      <c r="AX24" s="77">
        <v>144</v>
      </c>
      <c r="AY24" s="77">
        <v>127</v>
      </c>
      <c r="AZ24" s="77">
        <v>135</v>
      </c>
      <c r="BA24" s="77">
        <v>112</v>
      </c>
      <c r="BB24" s="77">
        <v>137</v>
      </c>
      <c r="BC24" s="77">
        <v>102</v>
      </c>
      <c r="BD24" s="77">
        <v>114</v>
      </c>
      <c r="BE24" s="77">
        <v>122</v>
      </c>
      <c r="BF24" s="77">
        <v>138</v>
      </c>
      <c r="BG24" s="77">
        <v>121</v>
      </c>
      <c r="BH24" s="77">
        <v>126</v>
      </c>
      <c r="BI24" s="77">
        <v>138</v>
      </c>
      <c r="BJ24" s="77">
        <v>123</v>
      </c>
      <c r="BK24" s="77">
        <v>117</v>
      </c>
      <c r="BL24" s="77">
        <v>132</v>
      </c>
      <c r="BM24" s="77">
        <v>136</v>
      </c>
      <c r="BN24" s="77">
        <v>148</v>
      </c>
      <c r="BO24" s="77">
        <v>146</v>
      </c>
      <c r="BP24" s="77">
        <v>130</v>
      </c>
      <c r="BQ24" s="77">
        <v>141</v>
      </c>
      <c r="BR24" s="77">
        <v>125</v>
      </c>
      <c r="BS24" s="77">
        <v>143</v>
      </c>
      <c r="BT24" s="77">
        <v>114</v>
      </c>
      <c r="BU24" s="77">
        <v>36</v>
      </c>
      <c r="BV24" s="77">
        <v>5</v>
      </c>
    </row>
    <row r="25" spans="1:86">
      <c r="A25" s="74" t="s">
        <v>590</v>
      </c>
      <c r="B25" s="77">
        <v>3935</v>
      </c>
      <c r="C25" s="78">
        <v>53971.8667</v>
      </c>
      <c r="D25" s="77">
        <v>3846</v>
      </c>
      <c r="AM25" s="77">
        <v>50</v>
      </c>
      <c r="AN25" s="77">
        <v>57</v>
      </c>
      <c r="AO25" s="77">
        <v>71</v>
      </c>
      <c r="AP25" s="77">
        <v>92</v>
      </c>
      <c r="AQ25" s="77">
        <v>123</v>
      </c>
      <c r="AR25" s="77">
        <v>137</v>
      </c>
      <c r="AS25" s="77">
        <v>128</v>
      </c>
      <c r="AT25" s="77">
        <v>160</v>
      </c>
      <c r="AU25" s="77">
        <v>179</v>
      </c>
      <c r="AV25" s="77">
        <v>142</v>
      </c>
      <c r="AW25" s="77">
        <v>141</v>
      </c>
      <c r="AX25" s="77">
        <v>151</v>
      </c>
      <c r="AY25" s="77">
        <v>136</v>
      </c>
      <c r="AZ25" s="77">
        <v>116</v>
      </c>
      <c r="BA25" s="77">
        <v>110</v>
      </c>
      <c r="BB25" s="77">
        <v>102</v>
      </c>
      <c r="BC25" s="77">
        <v>86</v>
      </c>
      <c r="BD25" s="77">
        <v>90</v>
      </c>
      <c r="BE25" s="77">
        <v>119</v>
      </c>
      <c r="BF25" s="77">
        <v>122</v>
      </c>
      <c r="BG25" s="77">
        <v>113</v>
      </c>
      <c r="BH25" s="77">
        <v>128</v>
      </c>
      <c r="BI25" s="77">
        <v>114</v>
      </c>
      <c r="BJ25" s="77">
        <v>124</v>
      </c>
      <c r="BK25" s="77">
        <v>135</v>
      </c>
      <c r="BL25" s="77">
        <v>126</v>
      </c>
      <c r="BM25" s="77">
        <v>113</v>
      </c>
      <c r="BN25" s="77">
        <v>123</v>
      </c>
      <c r="BO25" s="77">
        <v>98</v>
      </c>
      <c r="BP25" s="77">
        <v>117</v>
      </c>
      <c r="BQ25" s="77">
        <v>99</v>
      </c>
      <c r="BR25" s="77">
        <v>93</v>
      </c>
      <c r="BS25" s="77">
        <v>90</v>
      </c>
      <c r="BT25" s="77">
        <v>87</v>
      </c>
      <c r="BU25" s="77">
        <v>46</v>
      </c>
      <c r="BV25" s="77">
        <v>17</v>
      </c>
    </row>
    <row r="26" spans="1:86">
      <c r="A26" s="74" t="s">
        <v>591</v>
      </c>
      <c r="B26" s="77">
        <v>3803</v>
      </c>
      <c r="C26" s="78">
        <v>55649.5167</v>
      </c>
      <c r="D26" s="77">
        <v>3707</v>
      </c>
      <c r="AK26" s="77">
        <v>8</v>
      </c>
      <c r="AL26" s="77">
        <v>48</v>
      </c>
      <c r="AM26" s="77">
        <v>63</v>
      </c>
      <c r="AN26" s="77">
        <v>94</v>
      </c>
      <c r="AO26" s="77">
        <v>128</v>
      </c>
      <c r="AP26" s="77">
        <v>106</v>
      </c>
      <c r="AQ26" s="77">
        <v>123</v>
      </c>
      <c r="AR26" s="77">
        <v>145</v>
      </c>
      <c r="AS26" s="77">
        <v>138</v>
      </c>
      <c r="AT26" s="77">
        <v>142</v>
      </c>
      <c r="AU26" s="77">
        <v>138</v>
      </c>
      <c r="AV26" s="77">
        <v>143</v>
      </c>
      <c r="AW26" s="77">
        <v>135</v>
      </c>
      <c r="AX26" s="77">
        <v>126</v>
      </c>
      <c r="AY26" s="77">
        <v>129</v>
      </c>
      <c r="AZ26" s="77">
        <v>120</v>
      </c>
      <c r="BA26" s="77">
        <v>99</v>
      </c>
      <c r="BB26" s="77">
        <v>85</v>
      </c>
      <c r="BC26" s="77">
        <v>70</v>
      </c>
      <c r="BD26" s="77">
        <v>89</v>
      </c>
      <c r="BE26" s="77">
        <v>91</v>
      </c>
      <c r="BF26" s="77">
        <v>103</v>
      </c>
      <c r="BG26" s="77">
        <v>110</v>
      </c>
      <c r="BH26" s="77">
        <v>122</v>
      </c>
      <c r="BI26" s="77">
        <v>101</v>
      </c>
      <c r="BJ26" s="77">
        <v>126</v>
      </c>
      <c r="BK26" s="77">
        <v>125</v>
      </c>
      <c r="BL26" s="77">
        <v>108</v>
      </c>
      <c r="BM26" s="77">
        <v>101</v>
      </c>
      <c r="BN26" s="77">
        <v>121</v>
      </c>
      <c r="BO26" s="77">
        <v>125</v>
      </c>
      <c r="BP26" s="77">
        <v>115</v>
      </c>
      <c r="BQ26" s="77">
        <v>101</v>
      </c>
      <c r="BR26" s="77">
        <v>82</v>
      </c>
      <c r="BS26" s="77">
        <v>83</v>
      </c>
      <c r="BT26" s="77">
        <v>39</v>
      </c>
      <c r="BU26" s="77">
        <v>20</v>
      </c>
      <c r="BY26" s="77">
        <v>1</v>
      </c>
    </row>
    <row r="27" spans="1:86">
      <c r="A27" s="74" t="s">
        <v>592</v>
      </c>
      <c r="B27" s="77">
        <v>3544</v>
      </c>
      <c r="C27" s="78">
        <v>53970.9167</v>
      </c>
      <c r="D27" s="77">
        <v>3415</v>
      </c>
      <c r="AM27" s="77">
        <v>44</v>
      </c>
      <c r="AN27" s="77">
        <v>54</v>
      </c>
      <c r="AO27" s="77">
        <v>80</v>
      </c>
      <c r="AP27" s="77">
        <v>86</v>
      </c>
      <c r="AQ27" s="77">
        <v>94</v>
      </c>
      <c r="AR27" s="77">
        <v>105</v>
      </c>
      <c r="AS27" s="77">
        <v>102</v>
      </c>
      <c r="AT27" s="77">
        <v>121</v>
      </c>
      <c r="AU27" s="77">
        <v>143</v>
      </c>
      <c r="AV27" s="77">
        <v>120</v>
      </c>
      <c r="AW27" s="77">
        <v>117</v>
      </c>
      <c r="AX27" s="77">
        <v>102</v>
      </c>
      <c r="AY27" s="77">
        <v>120</v>
      </c>
      <c r="AZ27" s="77">
        <v>122</v>
      </c>
      <c r="BA27" s="77">
        <v>105</v>
      </c>
      <c r="BB27" s="77">
        <v>101</v>
      </c>
      <c r="BC27" s="77">
        <v>101</v>
      </c>
      <c r="BD27" s="77">
        <v>101</v>
      </c>
      <c r="BE27" s="77">
        <v>85</v>
      </c>
      <c r="BF27" s="77">
        <v>99</v>
      </c>
      <c r="BG27" s="77">
        <v>98</v>
      </c>
      <c r="BH27" s="77">
        <v>99</v>
      </c>
      <c r="BI27" s="77">
        <v>105</v>
      </c>
      <c r="BJ27" s="77">
        <v>85</v>
      </c>
      <c r="BK27" s="77">
        <v>110</v>
      </c>
      <c r="BL27" s="77">
        <v>119</v>
      </c>
      <c r="BM27" s="77">
        <v>86</v>
      </c>
      <c r="BN27" s="77">
        <v>109</v>
      </c>
      <c r="BO27" s="77">
        <v>111</v>
      </c>
      <c r="BP27" s="77">
        <v>113</v>
      </c>
      <c r="BQ27" s="77">
        <v>101</v>
      </c>
      <c r="BR27" s="77">
        <v>129</v>
      </c>
      <c r="BS27" s="77">
        <v>89</v>
      </c>
      <c r="BT27" s="77">
        <v>115</v>
      </c>
      <c r="BU27" s="77">
        <v>59</v>
      </c>
      <c r="BV27" s="77">
        <v>13</v>
      </c>
      <c r="BW27" s="77">
        <v>1</v>
      </c>
    </row>
    <row r="28" spans="1:86">
      <c r="A28" s="74" t="s">
        <v>593</v>
      </c>
      <c r="B28" s="77">
        <v>3532</v>
      </c>
      <c r="C28" s="78">
        <v>56645.8333</v>
      </c>
      <c r="D28" s="77">
        <v>3413</v>
      </c>
      <c r="AK28" s="77">
        <v>2</v>
      </c>
      <c r="AL28" s="77">
        <v>31</v>
      </c>
      <c r="AM28" s="77">
        <v>60</v>
      </c>
      <c r="AN28" s="77">
        <v>81</v>
      </c>
      <c r="AO28" s="77">
        <v>93</v>
      </c>
      <c r="AP28" s="77">
        <v>132</v>
      </c>
      <c r="AQ28" s="77">
        <v>115</v>
      </c>
      <c r="AR28" s="77">
        <v>111</v>
      </c>
      <c r="AS28" s="77">
        <v>135</v>
      </c>
      <c r="AT28" s="77">
        <v>99</v>
      </c>
      <c r="AU28" s="77">
        <v>124</v>
      </c>
      <c r="AV28" s="77">
        <v>114</v>
      </c>
      <c r="AW28" s="77">
        <v>121</v>
      </c>
      <c r="AX28" s="77">
        <v>105</v>
      </c>
      <c r="AY28" s="77">
        <v>135</v>
      </c>
      <c r="AZ28" s="77">
        <v>109</v>
      </c>
      <c r="BA28" s="77">
        <v>104</v>
      </c>
      <c r="BB28" s="77">
        <v>97</v>
      </c>
      <c r="BC28" s="77">
        <v>77</v>
      </c>
      <c r="BD28" s="77">
        <v>76</v>
      </c>
      <c r="BE28" s="77">
        <v>95</v>
      </c>
      <c r="BF28" s="77">
        <v>73</v>
      </c>
      <c r="BG28" s="77">
        <v>109</v>
      </c>
      <c r="BH28" s="77">
        <v>111</v>
      </c>
      <c r="BI28" s="77">
        <v>103</v>
      </c>
      <c r="BJ28" s="77">
        <v>103</v>
      </c>
      <c r="BK28" s="77">
        <v>96</v>
      </c>
      <c r="BL28" s="77">
        <v>99</v>
      </c>
      <c r="BM28" s="77">
        <v>122</v>
      </c>
      <c r="BN28" s="77">
        <v>117</v>
      </c>
      <c r="BO28" s="77">
        <v>98</v>
      </c>
      <c r="BP28" s="77">
        <v>91</v>
      </c>
      <c r="BQ28" s="77">
        <v>76</v>
      </c>
      <c r="BR28" s="77">
        <v>86</v>
      </c>
      <c r="BS28" s="77">
        <v>86</v>
      </c>
      <c r="BT28" s="77">
        <v>76</v>
      </c>
      <c r="BU28" s="77">
        <v>28</v>
      </c>
      <c r="BV28" s="77">
        <v>20</v>
      </c>
      <c r="BW28" s="77">
        <v>4</v>
      </c>
      <c r="BX28" s="77">
        <v>13</v>
      </c>
      <c r="BY28" s="77">
        <v>4</v>
      </c>
      <c r="BZ28" s="77">
        <v>1</v>
      </c>
    </row>
    <row r="29" spans="1:86">
      <c r="A29" s="74" t="s">
        <v>594</v>
      </c>
      <c r="B29" s="77">
        <v>3263</v>
      </c>
      <c r="C29" s="78">
        <v>89046.89999999999</v>
      </c>
      <c r="D29" s="77">
        <v>3050</v>
      </c>
      <c r="AK29" s="77">
        <v>2</v>
      </c>
      <c r="AL29" s="77">
        <v>15</v>
      </c>
      <c r="AM29" s="77">
        <v>34</v>
      </c>
      <c r="AN29" s="77">
        <v>73</v>
      </c>
      <c r="AO29" s="77">
        <v>88</v>
      </c>
      <c r="AP29" s="77">
        <v>98</v>
      </c>
      <c r="AQ29" s="77">
        <v>112</v>
      </c>
      <c r="AR29" s="77">
        <v>140</v>
      </c>
      <c r="AS29" s="77">
        <v>109</v>
      </c>
      <c r="AT29" s="77">
        <v>95</v>
      </c>
      <c r="AU29" s="77">
        <v>136</v>
      </c>
      <c r="AV29" s="77">
        <v>157</v>
      </c>
      <c r="AW29" s="77">
        <v>122</v>
      </c>
      <c r="AX29" s="77">
        <v>121</v>
      </c>
      <c r="AY29" s="77">
        <v>127</v>
      </c>
      <c r="AZ29" s="77">
        <v>85</v>
      </c>
      <c r="BA29" s="77">
        <v>88</v>
      </c>
      <c r="BB29" s="77">
        <v>83</v>
      </c>
      <c r="BC29" s="77">
        <v>54</v>
      </c>
      <c r="BD29" s="77">
        <v>70</v>
      </c>
      <c r="BE29" s="77">
        <v>83</v>
      </c>
      <c r="BF29" s="77">
        <v>75</v>
      </c>
      <c r="BG29" s="77">
        <v>107</v>
      </c>
      <c r="BH29" s="77">
        <v>98</v>
      </c>
      <c r="BI29" s="77">
        <v>118</v>
      </c>
      <c r="BJ29" s="77">
        <v>117</v>
      </c>
      <c r="BK29" s="77">
        <v>112</v>
      </c>
      <c r="BL29" s="77">
        <v>109</v>
      </c>
      <c r="BM29" s="77">
        <v>99</v>
      </c>
      <c r="BN29" s="77">
        <v>105</v>
      </c>
      <c r="BO29" s="77">
        <v>72</v>
      </c>
      <c r="BP29" s="77">
        <v>92</v>
      </c>
      <c r="BQ29" s="77">
        <v>92</v>
      </c>
      <c r="BR29" s="77">
        <v>65</v>
      </c>
      <c r="BS29" s="77">
        <v>58</v>
      </c>
      <c r="BT29" s="77">
        <v>37</v>
      </c>
      <c r="BU29" s="77">
        <v>12</v>
      </c>
      <c r="BY29" s="77">
        <v>2</v>
      </c>
      <c r="CD29" s="77">
        <v>1</v>
      </c>
    </row>
    <row r="30" spans="1:86">
      <c r="A30" s="74" t="s">
        <v>595</v>
      </c>
      <c r="B30" s="77">
        <v>3250</v>
      </c>
      <c r="C30" s="78">
        <v>65750.76669999999</v>
      </c>
      <c r="D30" s="77">
        <v>3094</v>
      </c>
      <c r="AM30" s="77">
        <v>33</v>
      </c>
      <c r="AN30" s="77">
        <v>55</v>
      </c>
      <c r="AO30" s="77">
        <v>80</v>
      </c>
      <c r="AP30" s="77">
        <v>111</v>
      </c>
      <c r="AQ30" s="77">
        <v>91</v>
      </c>
      <c r="AR30" s="77">
        <v>99</v>
      </c>
      <c r="AS30" s="77">
        <v>126</v>
      </c>
      <c r="AT30" s="77">
        <v>115</v>
      </c>
      <c r="AU30" s="77">
        <v>114</v>
      </c>
      <c r="AV30" s="77">
        <v>130</v>
      </c>
      <c r="AW30" s="77">
        <v>114</v>
      </c>
      <c r="AX30" s="77">
        <v>128</v>
      </c>
      <c r="AY30" s="77">
        <v>112</v>
      </c>
      <c r="AZ30" s="77">
        <v>109</v>
      </c>
      <c r="BA30" s="77">
        <v>90</v>
      </c>
      <c r="BB30" s="77">
        <v>86</v>
      </c>
      <c r="BC30" s="77">
        <v>76</v>
      </c>
      <c r="BD30" s="77">
        <v>83</v>
      </c>
      <c r="BE30" s="77">
        <v>70</v>
      </c>
      <c r="BF30" s="77">
        <v>76</v>
      </c>
      <c r="BG30" s="77">
        <v>101</v>
      </c>
      <c r="BH30" s="77">
        <v>69</v>
      </c>
      <c r="BI30" s="77">
        <v>95</v>
      </c>
      <c r="BJ30" s="77">
        <v>103</v>
      </c>
      <c r="BK30" s="77">
        <v>107</v>
      </c>
      <c r="BL30" s="77">
        <v>106</v>
      </c>
      <c r="BM30" s="77">
        <v>96</v>
      </c>
      <c r="BN30" s="77">
        <v>68</v>
      </c>
      <c r="BO30" s="77">
        <v>85</v>
      </c>
      <c r="BP30" s="77">
        <v>82</v>
      </c>
      <c r="BQ30" s="77">
        <v>106</v>
      </c>
      <c r="BR30" s="77">
        <v>88</v>
      </c>
      <c r="BS30" s="77">
        <v>84</v>
      </c>
      <c r="BT30" s="77">
        <v>88</v>
      </c>
      <c r="BU30" s="77">
        <v>57</v>
      </c>
      <c r="BV30" s="77">
        <v>17</v>
      </c>
    </row>
    <row r="31" spans="1:86">
      <c r="A31" s="74" t="s">
        <v>596</v>
      </c>
      <c r="B31" s="77">
        <v>3198</v>
      </c>
      <c r="C31" s="78">
        <v>53352.5667</v>
      </c>
      <c r="D31" s="77">
        <v>3077</v>
      </c>
      <c r="AM31" s="77">
        <v>1</v>
      </c>
      <c r="AN31" s="77">
        <v>3</v>
      </c>
      <c r="AO31" s="77">
        <v>39</v>
      </c>
      <c r="AP31" s="77">
        <v>49</v>
      </c>
      <c r="AQ31" s="77">
        <v>58</v>
      </c>
      <c r="AR31" s="77">
        <v>92</v>
      </c>
      <c r="AS31" s="77">
        <v>111</v>
      </c>
      <c r="AT31" s="77">
        <v>138</v>
      </c>
      <c r="AU31" s="77">
        <v>132</v>
      </c>
      <c r="AV31" s="77">
        <v>145</v>
      </c>
      <c r="AW31" s="77">
        <v>136</v>
      </c>
      <c r="AX31" s="77">
        <v>145</v>
      </c>
      <c r="AY31" s="77">
        <v>135</v>
      </c>
      <c r="AZ31" s="77">
        <v>118</v>
      </c>
      <c r="BA31" s="77">
        <v>125</v>
      </c>
      <c r="BB31" s="77">
        <v>91</v>
      </c>
      <c r="BC31" s="77">
        <v>75</v>
      </c>
      <c r="BD31" s="77">
        <v>74</v>
      </c>
      <c r="BE31" s="77">
        <v>69</v>
      </c>
      <c r="BF31" s="77">
        <v>77</v>
      </c>
      <c r="BG31" s="77">
        <v>86</v>
      </c>
      <c r="BH31" s="77">
        <v>81</v>
      </c>
      <c r="BI31" s="77">
        <v>73</v>
      </c>
      <c r="BJ31" s="77">
        <v>94</v>
      </c>
      <c r="BK31" s="77">
        <v>123</v>
      </c>
      <c r="BL31" s="77">
        <v>94</v>
      </c>
      <c r="BM31" s="77">
        <v>101</v>
      </c>
      <c r="BN31" s="77">
        <v>112</v>
      </c>
      <c r="BO31" s="77">
        <v>76</v>
      </c>
      <c r="BP31" s="77">
        <v>88</v>
      </c>
      <c r="BQ31" s="77">
        <v>93</v>
      </c>
      <c r="BR31" s="77">
        <v>75</v>
      </c>
      <c r="BS31" s="77">
        <v>94</v>
      </c>
      <c r="BT31" s="77">
        <v>63</v>
      </c>
      <c r="BU31" s="77">
        <v>66</v>
      </c>
      <c r="BV31" s="77">
        <v>42</v>
      </c>
      <c r="BW31" s="77">
        <v>20</v>
      </c>
      <c r="BX31" s="77">
        <v>4</v>
      </c>
    </row>
    <row r="32" spans="1:86">
      <c r="A32" s="74" t="s">
        <v>597</v>
      </c>
      <c r="B32" s="77">
        <v>2996</v>
      </c>
      <c r="C32" s="78">
        <v>79748.8333</v>
      </c>
      <c r="D32" s="77">
        <v>2797</v>
      </c>
      <c r="AN32" s="77">
        <v>3</v>
      </c>
      <c r="AO32" s="77">
        <v>44</v>
      </c>
      <c r="AP32" s="77">
        <v>57</v>
      </c>
      <c r="AQ32" s="77">
        <v>67</v>
      </c>
      <c r="AR32" s="77">
        <v>70</v>
      </c>
      <c r="AS32" s="77">
        <v>76</v>
      </c>
      <c r="AT32" s="77">
        <v>89</v>
      </c>
      <c r="AU32" s="77">
        <v>81</v>
      </c>
      <c r="AV32" s="77">
        <v>85</v>
      </c>
      <c r="AW32" s="77">
        <v>79</v>
      </c>
      <c r="AX32" s="77">
        <v>83</v>
      </c>
      <c r="AY32" s="77">
        <v>95</v>
      </c>
      <c r="AZ32" s="77">
        <v>86</v>
      </c>
      <c r="BA32" s="77">
        <v>82</v>
      </c>
      <c r="BB32" s="77">
        <v>74</v>
      </c>
      <c r="BC32" s="77">
        <v>80</v>
      </c>
      <c r="BD32" s="77">
        <v>93</v>
      </c>
      <c r="BE32" s="77">
        <v>67</v>
      </c>
      <c r="BF32" s="77">
        <v>74</v>
      </c>
      <c r="BG32" s="77">
        <v>92</v>
      </c>
      <c r="BH32" s="77">
        <v>83</v>
      </c>
      <c r="BI32" s="77">
        <v>81</v>
      </c>
      <c r="BJ32" s="77">
        <v>74</v>
      </c>
      <c r="BK32" s="77">
        <v>82</v>
      </c>
      <c r="BL32" s="77">
        <v>98</v>
      </c>
      <c r="BM32" s="77">
        <v>101</v>
      </c>
      <c r="BN32" s="77">
        <v>95</v>
      </c>
      <c r="BO32" s="77">
        <v>79</v>
      </c>
      <c r="BP32" s="77">
        <v>92</v>
      </c>
      <c r="BQ32" s="77">
        <v>120</v>
      </c>
      <c r="BR32" s="77">
        <v>95</v>
      </c>
      <c r="BS32" s="77">
        <v>102</v>
      </c>
      <c r="BT32" s="77">
        <v>96</v>
      </c>
      <c r="BU32" s="77">
        <v>105</v>
      </c>
      <c r="BV32" s="77">
        <v>74</v>
      </c>
      <c r="BW32" s="77">
        <v>67</v>
      </c>
      <c r="BX32" s="77">
        <v>22</v>
      </c>
      <c r="BY32" s="77">
        <v>6</v>
      </c>
      <c r="BZ32" s="77">
        <v>10</v>
      </c>
      <c r="CA32" s="77">
        <v>4</v>
      </c>
      <c r="CB32" s="77">
        <v>6</v>
      </c>
      <c r="CC32" s="77">
        <v>11</v>
      </c>
      <c r="CD32" s="77">
        <v>5</v>
      </c>
      <c r="CE32" s="77">
        <v>1</v>
      </c>
      <c r="CF32" s="77">
        <v>4</v>
      </c>
      <c r="CG32" s="77">
        <v>3</v>
      </c>
      <c r="CH32" s="77">
        <v>3</v>
      </c>
    </row>
    <row r="33" spans="1:85">
      <c r="A33" s="74" t="s">
        <v>598</v>
      </c>
      <c r="B33" s="77">
        <v>2944</v>
      </c>
      <c r="C33" s="78">
        <v>55863.9</v>
      </c>
      <c r="D33" s="77">
        <v>2823</v>
      </c>
      <c r="AK33" s="77">
        <v>1</v>
      </c>
      <c r="AN33" s="77">
        <v>1</v>
      </c>
      <c r="AO33" s="77">
        <v>45</v>
      </c>
      <c r="AP33" s="77">
        <v>59</v>
      </c>
      <c r="AQ33" s="77">
        <v>87</v>
      </c>
      <c r="AR33" s="77">
        <v>91</v>
      </c>
      <c r="AS33" s="77">
        <v>75</v>
      </c>
      <c r="AT33" s="77">
        <v>111</v>
      </c>
      <c r="AU33" s="77">
        <v>98</v>
      </c>
      <c r="AV33" s="77">
        <v>110</v>
      </c>
      <c r="AW33" s="77">
        <v>111</v>
      </c>
      <c r="AX33" s="77">
        <v>70</v>
      </c>
      <c r="AY33" s="77">
        <v>119</v>
      </c>
      <c r="AZ33" s="77">
        <v>121</v>
      </c>
      <c r="BA33" s="77">
        <v>95</v>
      </c>
      <c r="BB33" s="77">
        <v>89</v>
      </c>
      <c r="BC33" s="77">
        <v>71</v>
      </c>
      <c r="BD33" s="77">
        <v>84</v>
      </c>
      <c r="BE33" s="77">
        <v>58</v>
      </c>
      <c r="BF33" s="77">
        <v>64</v>
      </c>
      <c r="BG33" s="77">
        <v>68</v>
      </c>
      <c r="BH33" s="77">
        <v>82</v>
      </c>
      <c r="BI33" s="77">
        <v>76</v>
      </c>
      <c r="BJ33" s="77">
        <v>85</v>
      </c>
      <c r="BK33" s="77">
        <v>85</v>
      </c>
      <c r="BL33" s="77">
        <v>83</v>
      </c>
      <c r="BM33" s="77">
        <v>82</v>
      </c>
      <c r="BN33" s="77">
        <v>93</v>
      </c>
      <c r="BO33" s="77">
        <v>83</v>
      </c>
      <c r="BP33" s="77">
        <v>96</v>
      </c>
      <c r="BQ33" s="77">
        <v>81</v>
      </c>
      <c r="BR33" s="77">
        <v>77</v>
      </c>
      <c r="BS33" s="77">
        <v>78</v>
      </c>
      <c r="BT33" s="77">
        <v>88</v>
      </c>
      <c r="BU33" s="77">
        <v>92</v>
      </c>
      <c r="BV33" s="77">
        <v>79</v>
      </c>
      <c r="BW33" s="77">
        <v>48</v>
      </c>
      <c r="BX33" s="77">
        <v>8</v>
      </c>
    </row>
    <row r="34" spans="1:85">
      <c r="A34" s="74" t="s">
        <v>599</v>
      </c>
      <c r="B34" s="77">
        <v>2497</v>
      </c>
      <c r="C34" s="78">
        <v>104761.1333</v>
      </c>
      <c r="D34" s="77">
        <v>2269</v>
      </c>
      <c r="AJ34" s="77">
        <v>1</v>
      </c>
      <c r="AL34" s="77">
        <v>9</v>
      </c>
      <c r="AM34" s="77">
        <v>28</v>
      </c>
      <c r="AN34" s="77">
        <v>41</v>
      </c>
      <c r="AO34" s="77">
        <v>78</v>
      </c>
      <c r="AP34" s="77">
        <v>106</v>
      </c>
      <c r="AQ34" s="77">
        <v>106</v>
      </c>
      <c r="AR34" s="77">
        <v>105</v>
      </c>
      <c r="AS34" s="77">
        <v>83</v>
      </c>
      <c r="AT34" s="77">
        <v>94</v>
      </c>
      <c r="AU34" s="77">
        <v>98</v>
      </c>
      <c r="AV34" s="77">
        <v>89</v>
      </c>
      <c r="AW34" s="77">
        <v>99</v>
      </c>
      <c r="AX34" s="77">
        <v>101</v>
      </c>
      <c r="AY34" s="77">
        <v>87</v>
      </c>
      <c r="AZ34" s="77">
        <v>88</v>
      </c>
      <c r="BA34" s="77">
        <v>72</v>
      </c>
      <c r="BB34" s="77">
        <v>59</v>
      </c>
      <c r="BC34" s="77">
        <v>57</v>
      </c>
      <c r="BD34" s="77">
        <v>56</v>
      </c>
      <c r="BE34" s="77">
        <v>70</v>
      </c>
      <c r="BF34" s="77">
        <v>78</v>
      </c>
      <c r="BG34" s="77">
        <v>77</v>
      </c>
      <c r="BH34" s="77">
        <v>76</v>
      </c>
      <c r="BI34" s="77">
        <v>78</v>
      </c>
      <c r="BJ34" s="77">
        <v>86</v>
      </c>
      <c r="BK34" s="77">
        <v>77</v>
      </c>
      <c r="BL34" s="77">
        <v>100</v>
      </c>
      <c r="BM34" s="77">
        <v>94</v>
      </c>
      <c r="BN34" s="77">
        <v>66</v>
      </c>
      <c r="BO34" s="77">
        <v>47</v>
      </c>
      <c r="BP34" s="77">
        <v>44</v>
      </c>
      <c r="BQ34" s="77">
        <v>42</v>
      </c>
      <c r="BR34" s="77">
        <v>33</v>
      </c>
      <c r="BS34" s="77">
        <v>40</v>
      </c>
      <c r="BT34" s="77">
        <v>22</v>
      </c>
      <c r="BU34" s="77">
        <v>7</v>
      </c>
      <c r="BY34" s="77">
        <v>1</v>
      </c>
      <c r="CC34" s="77">
        <v>1</v>
      </c>
      <c r="CD34" s="77">
        <v>1</v>
      </c>
    </row>
    <row r="35" spans="1:85">
      <c r="A35" s="74" t="s">
        <v>600</v>
      </c>
      <c r="B35" s="77">
        <v>2470</v>
      </c>
      <c r="C35" s="78">
        <v>48364.1167</v>
      </c>
      <c r="D35" s="77">
        <v>2331</v>
      </c>
      <c r="AK35" s="77">
        <v>1</v>
      </c>
      <c r="AL35" s="77">
        <v>2</v>
      </c>
      <c r="AM35" s="77">
        <v>30</v>
      </c>
      <c r="AN35" s="77">
        <v>38</v>
      </c>
      <c r="AO35" s="77">
        <v>77</v>
      </c>
      <c r="AP35" s="77">
        <v>59</v>
      </c>
      <c r="AQ35" s="77">
        <v>67</v>
      </c>
      <c r="AR35" s="77">
        <v>65</v>
      </c>
      <c r="AS35" s="77">
        <v>75</v>
      </c>
      <c r="AT35" s="77">
        <v>78</v>
      </c>
      <c r="AU35" s="77">
        <v>60</v>
      </c>
      <c r="AV35" s="77">
        <v>85</v>
      </c>
      <c r="AW35" s="77">
        <v>73</v>
      </c>
      <c r="AX35" s="77">
        <v>81</v>
      </c>
      <c r="AY35" s="77">
        <v>81</v>
      </c>
      <c r="AZ35" s="77">
        <v>70</v>
      </c>
      <c r="BA35" s="77">
        <v>67</v>
      </c>
      <c r="BB35" s="77">
        <v>71</v>
      </c>
      <c r="BC35" s="77">
        <v>56</v>
      </c>
      <c r="BD35" s="77">
        <v>61</v>
      </c>
      <c r="BE35" s="77">
        <v>62</v>
      </c>
      <c r="BF35" s="77">
        <v>61</v>
      </c>
      <c r="BG35" s="77">
        <v>68</v>
      </c>
      <c r="BH35" s="77">
        <v>61</v>
      </c>
      <c r="BI35" s="77">
        <v>69</v>
      </c>
      <c r="BJ35" s="77">
        <v>65</v>
      </c>
      <c r="BK35" s="77">
        <v>56</v>
      </c>
      <c r="BL35" s="77">
        <v>69</v>
      </c>
      <c r="BM35" s="77">
        <v>75</v>
      </c>
      <c r="BN35" s="77">
        <v>90</v>
      </c>
      <c r="BO35" s="77">
        <v>78</v>
      </c>
      <c r="BP35" s="77">
        <v>66</v>
      </c>
      <c r="BQ35" s="77">
        <v>89</v>
      </c>
      <c r="BR35" s="77">
        <v>76</v>
      </c>
      <c r="BS35" s="77">
        <v>82</v>
      </c>
      <c r="BT35" s="77">
        <v>72</v>
      </c>
      <c r="BU35" s="77">
        <v>41</v>
      </c>
      <c r="BV35" s="77">
        <v>17</v>
      </c>
      <c r="BW35" s="77">
        <v>8</v>
      </c>
      <c r="BX35" s="77">
        <v>7</v>
      </c>
      <c r="BY35" s="77">
        <v>6</v>
      </c>
      <c r="BZ35" s="77">
        <v>9</v>
      </c>
      <c r="CA35" s="77">
        <v>11</v>
      </c>
      <c r="CB35" s="77">
        <v>13</v>
      </c>
      <c r="CC35" s="77">
        <v>13</v>
      </c>
      <c r="CD35" s="77">
        <v>5</v>
      </c>
      <c r="CE35" s="77">
        <v>2</v>
      </c>
      <c r="CF35" s="77">
        <v>2</v>
      </c>
    </row>
    <row r="36" spans="1:85">
      <c r="A36" s="74" t="s">
        <v>601</v>
      </c>
      <c r="B36" s="77">
        <v>2256</v>
      </c>
      <c r="C36" s="78">
        <v>75620.48330000001</v>
      </c>
      <c r="D36" s="77">
        <v>2011</v>
      </c>
      <c r="AK36" s="77">
        <v>1</v>
      </c>
      <c r="AL36" s="77">
        <v>17</v>
      </c>
      <c r="AM36" s="77">
        <v>54</v>
      </c>
      <c r="AN36" s="77">
        <v>88</v>
      </c>
      <c r="AO36" s="77">
        <v>154</v>
      </c>
      <c r="AP36" s="77">
        <v>139</v>
      </c>
      <c r="AQ36" s="77">
        <v>91</v>
      </c>
      <c r="AR36" s="77">
        <v>94</v>
      </c>
      <c r="AS36" s="77">
        <v>85</v>
      </c>
      <c r="AT36" s="77">
        <v>95</v>
      </c>
      <c r="AU36" s="77">
        <v>79</v>
      </c>
      <c r="AV36" s="77">
        <v>80</v>
      </c>
      <c r="AW36" s="77">
        <v>72</v>
      </c>
      <c r="AX36" s="77">
        <v>55</v>
      </c>
      <c r="AY36" s="77">
        <v>60</v>
      </c>
      <c r="AZ36" s="77">
        <v>62</v>
      </c>
      <c r="BA36" s="77">
        <v>59</v>
      </c>
      <c r="BB36" s="77">
        <v>57</v>
      </c>
      <c r="BC36" s="77">
        <v>35</v>
      </c>
      <c r="BD36" s="77">
        <v>42</v>
      </c>
      <c r="BE36" s="77">
        <v>44</v>
      </c>
      <c r="BF36" s="77">
        <v>56</v>
      </c>
      <c r="BG36" s="77">
        <v>53</v>
      </c>
      <c r="BH36" s="77">
        <v>60</v>
      </c>
      <c r="BI36" s="77">
        <v>57</v>
      </c>
      <c r="BJ36" s="77">
        <v>70</v>
      </c>
      <c r="BK36" s="77">
        <v>56</v>
      </c>
      <c r="BL36" s="77">
        <v>44</v>
      </c>
      <c r="BM36" s="77">
        <v>50</v>
      </c>
      <c r="BN36" s="77">
        <v>39</v>
      </c>
      <c r="BO36" s="77">
        <v>51</v>
      </c>
      <c r="BP36" s="77">
        <v>45</v>
      </c>
      <c r="BQ36" s="77">
        <v>53</v>
      </c>
      <c r="BR36" s="77">
        <v>54</v>
      </c>
      <c r="BS36" s="77">
        <v>47</v>
      </c>
      <c r="BT36" s="77">
        <v>47</v>
      </c>
      <c r="BU36" s="77">
        <v>9</v>
      </c>
      <c r="BY36" s="77">
        <v>1</v>
      </c>
      <c r="CD36" s="77">
        <v>1</v>
      </c>
    </row>
    <row r="37" spans="1:85">
      <c r="A37" s="74" t="s">
        <v>602</v>
      </c>
      <c r="B37" s="77">
        <v>2159</v>
      </c>
      <c r="C37" s="78">
        <v>37135.5667</v>
      </c>
      <c r="D37" s="77">
        <v>2038</v>
      </c>
      <c r="AL37" s="77">
        <v>4</v>
      </c>
      <c r="AM37" s="77">
        <v>19</v>
      </c>
      <c r="AN37" s="77">
        <v>27</v>
      </c>
      <c r="AO37" s="77">
        <v>48</v>
      </c>
      <c r="AP37" s="77">
        <v>66</v>
      </c>
      <c r="AQ37" s="77">
        <v>74</v>
      </c>
      <c r="AR37" s="77">
        <v>64</v>
      </c>
      <c r="AS37" s="77">
        <v>76</v>
      </c>
      <c r="AT37" s="77">
        <v>86</v>
      </c>
      <c r="AU37" s="77">
        <v>82</v>
      </c>
      <c r="AV37" s="77">
        <v>85</v>
      </c>
      <c r="AW37" s="77">
        <v>98</v>
      </c>
      <c r="AX37" s="77">
        <v>86</v>
      </c>
      <c r="AY37" s="77">
        <v>97</v>
      </c>
      <c r="AZ37" s="77">
        <v>91</v>
      </c>
      <c r="BA37" s="77">
        <v>50</v>
      </c>
      <c r="BB37" s="77">
        <v>44</v>
      </c>
      <c r="BC37" s="77">
        <v>26</v>
      </c>
      <c r="BD37" s="77">
        <v>46</v>
      </c>
      <c r="BE37" s="77">
        <v>58</v>
      </c>
      <c r="BF37" s="77">
        <v>48</v>
      </c>
      <c r="BG37" s="77">
        <v>70</v>
      </c>
      <c r="BH37" s="77">
        <v>74</v>
      </c>
      <c r="BI37" s="77">
        <v>85</v>
      </c>
      <c r="BJ37" s="77">
        <v>64</v>
      </c>
      <c r="BK37" s="77">
        <v>70</v>
      </c>
      <c r="BL37" s="77">
        <v>52</v>
      </c>
      <c r="BM37" s="77">
        <v>90</v>
      </c>
      <c r="BN37" s="77">
        <v>61</v>
      </c>
      <c r="BO37" s="77">
        <v>67</v>
      </c>
      <c r="BP37" s="77">
        <v>57</v>
      </c>
      <c r="BQ37" s="77">
        <v>47</v>
      </c>
      <c r="BR37" s="77">
        <v>59</v>
      </c>
      <c r="BS37" s="77">
        <v>40</v>
      </c>
      <c r="BT37" s="77">
        <v>30</v>
      </c>
      <c r="BU37" s="77">
        <v>15</v>
      </c>
      <c r="BV37" s="77">
        <v>3</v>
      </c>
    </row>
    <row r="38" spans="1:85">
      <c r="A38" s="74" t="s">
        <v>603</v>
      </c>
      <c r="B38" s="77">
        <v>2128</v>
      </c>
      <c r="C38" s="78">
        <v>36679.4833</v>
      </c>
      <c r="D38" s="77">
        <v>2090</v>
      </c>
      <c r="AL38" s="77">
        <v>7</v>
      </c>
      <c r="AM38" s="77">
        <v>43</v>
      </c>
      <c r="AN38" s="77">
        <v>38</v>
      </c>
      <c r="AO38" s="77">
        <v>42</v>
      </c>
      <c r="AP38" s="77">
        <v>64</v>
      </c>
      <c r="AQ38" s="77">
        <v>75</v>
      </c>
      <c r="AR38" s="77">
        <v>64</v>
      </c>
      <c r="AS38" s="77">
        <v>77</v>
      </c>
      <c r="AT38" s="77">
        <v>74</v>
      </c>
      <c r="AU38" s="77">
        <v>63</v>
      </c>
      <c r="AV38" s="77">
        <v>63</v>
      </c>
      <c r="AW38" s="77">
        <v>70</v>
      </c>
      <c r="AX38" s="77">
        <v>69</v>
      </c>
      <c r="AY38" s="77">
        <v>73</v>
      </c>
      <c r="AZ38" s="77">
        <v>76</v>
      </c>
      <c r="BA38" s="77">
        <v>54</v>
      </c>
      <c r="BB38" s="77">
        <v>64</v>
      </c>
      <c r="BC38" s="77">
        <v>59</v>
      </c>
      <c r="BD38" s="77">
        <v>48</v>
      </c>
      <c r="BE38" s="77">
        <v>54</v>
      </c>
      <c r="BF38" s="77">
        <v>56</v>
      </c>
      <c r="BG38" s="77">
        <v>68</v>
      </c>
      <c r="BH38" s="77">
        <v>60</v>
      </c>
      <c r="BI38" s="77">
        <v>67</v>
      </c>
      <c r="BJ38" s="77">
        <v>66</v>
      </c>
      <c r="BK38" s="77">
        <v>62</v>
      </c>
      <c r="BL38" s="77">
        <v>73</v>
      </c>
      <c r="BM38" s="77">
        <v>85</v>
      </c>
      <c r="BN38" s="77">
        <v>58</v>
      </c>
      <c r="BO38" s="77">
        <v>66</v>
      </c>
      <c r="BP38" s="77">
        <v>58</v>
      </c>
      <c r="BQ38" s="77">
        <v>67</v>
      </c>
      <c r="BR38" s="77">
        <v>58</v>
      </c>
      <c r="BS38" s="77">
        <v>50</v>
      </c>
      <c r="BT38" s="77">
        <v>40</v>
      </c>
      <c r="BU38" s="77">
        <v>15</v>
      </c>
      <c r="BV38" s="77">
        <v>2</v>
      </c>
    </row>
    <row r="39" spans="1:85">
      <c r="A39" s="74" t="s">
        <v>604</v>
      </c>
      <c r="B39" s="77">
        <v>1706</v>
      </c>
      <c r="C39" s="78">
        <v>50902.55</v>
      </c>
      <c r="D39" s="77">
        <v>1586</v>
      </c>
      <c r="AK39" s="77">
        <v>2</v>
      </c>
      <c r="AL39" s="77">
        <v>16</v>
      </c>
      <c r="AM39" s="77">
        <v>33</v>
      </c>
      <c r="AN39" s="77">
        <v>40</v>
      </c>
      <c r="AO39" s="77">
        <v>54</v>
      </c>
      <c r="AP39" s="77">
        <v>51</v>
      </c>
      <c r="AQ39" s="77">
        <v>43</v>
      </c>
      <c r="AR39" s="77">
        <v>47</v>
      </c>
      <c r="AS39" s="77">
        <v>42</v>
      </c>
      <c r="AT39" s="77">
        <v>61</v>
      </c>
      <c r="AU39" s="77">
        <v>48</v>
      </c>
      <c r="AV39" s="77">
        <v>46</v>
      </c>
      <c r="AW39" s="77">
        <v>38</v>
      </c>
      <c r="AX39" s="77">
        <v>51</v>
      </c>
      <c r="AY39" s="77">
        <v>58</v>
      </c>
      <c r="AZ39" s="77">
        <v>47</v>
      </c>
      <c r="BA39" s="77">
        <v>41</v>
      </c>
      <c r="BB39" s="77">
        <v>45</v>
      </c>
      <c r="BC39" s="77">
        <v>35</v>
      </c>
      <c r="BD39" s="77">
        <v>48</v>
      </c>
      <c r="BE39" s="77">
        <v>46</v>
      </c>
      <c r="BF39" s="77">
        <v>44</v>
      </c>
      <c r="BG39" s="77">
        <v>55</v>
      </c>
      <c r="BH39" s="77">
        <v>58</v>
      </c>
      <c r="BI39" s="77">
        <v>40</v>
      </c>
      <c r="BJ39" s="77">
        <v>58</v>
      </c>
      <c r="BK39" s="77">
        <v>59</v>
      </c>
      <c r="BL39" s="77">
        <v>60</v>
      </c>
      <c r="BM39" s="77">
        <v>49</v>
      </c>
      <c r="BN39" s="77">
        <v>57</v>
      </c>
      <c r="BO39" s="77">
        <v>60</v>
      </c>
      <c r="BP39" s="77">
        <v>51</v>
      </c>
      <c r="BQ39" s="77">
        <v>56</v>
      </c>
      <c r="BR39" s="77">
        <v>51</v>
      </c>
      <c r="BS39" s="77">
        <v>57</v>
      </c>
      <c r="BT39" s="77">
        <v>42</v>
      </c>
      <c r="BU39" s="77">
        <v>15</v>
      </c>
      <c r="BV39" s="77">
        <v>1</v>
      </c>
      <c r="BY39" s="77">
        <v>1</v>
      </c>
    </row>
    <row r="40" spans="1:85">
      <c r="A40" s="74" t="s">
        <v>605</v>
      </c>
      <c r="B40" s="77">
        <v>1572</v>
      </c>
      <c r="C40" s="78">
        <v>30867.6333</v>
      </c>
      <c r="D40" s="77">
        <v>1480</v>
      </c>
      <c r="AM40" s="77">
        <v>25</v>
      </c>
      <c r="AN40" s="77">
        <v>25</v>
      </c>
      <c r="AO40" s="77">
        <v>42</v>
      </c>
      <c r="AP40" s="77">
        <v>36</v>
      </c>
      <c r="AQ40" s="77">
        <v>60</v>
      </c>
      <c r="AR40" s="77">
        <v>52</v>
      </c>
      <c r="AS40" s="77">
        <v>60</v>
      </c>
      <c r="AT40" s="77">
        <v>54</v>
      </c>
      <c r="AU40" s="77">
        <v>54</v>
      </c>
      <c r="AV40" s="77">
        <v>59</v>
      </c>
      <c r="AW40" s="77">
        <v>47</v>
      </c>
      <c r="AX40" s="77">
        <v>44</v>
      </c>
      <c r="AY40" s="77">
        <v>59</v>
      </c>
      <c r="AZ40" s="77">
        <v>46</v>
      </c>
      <c r="BA40" s="77">
        <v>41</v>
      </c>
      <c r="BB40" s="77">
        <v>31</v>
      </c>
      <c r="BC40" s="77">
        <v>44</v>
      </c>
      <c r="BD40" s="77">
        <v>33</v>
      </c>
      <c r="BE40" s="77">
        <v>45</v>
      </c>
      <c r="BF40" s="77">
        <v>40</v>
      </c>
      <c r="BG40" s="77">
        <v>35</v>
      </c>
      <c r="BH40" s="77">
        <v>29</v>
      </c>
      <c r="BI40" s="77">
        <v>54</v>
      </c>
      <c r="BJ40" s="77">
        <v>40</v>
      </c>
      <c r="BK40" s="77">
        <v>49</v>
      </c>
      <c r="BL40" s="77">
        <v>41</v>
      </c>
      <c r="BM40" s="77">
        <v>44</v>
      </c>
      <c r="BN40" s="77">
        <v>43</v>
      </c>
      <c r="BO40" s="77">
        <v>40</v>
      </c>
      <c r="BP40" s="77">
        <v>45</v>
      </c>
      <c r="BQ40" s="77">
        <v>41</v>
      </c>
      <c r="BR40" s="77">
        <v>37</v>
      </c>
      <c r="BS40" s="77">
        <v>49</v>
      </c>
      <c r="BT40" s="77">
        <v>39</v>
      </c>
      <c r="BU40" s="77">
        <v>43</v>
      </c>
      <c r="BV40" s="77">
        <v>5</v>
      </c>
      <c r="BW40" s="77">
        <v>5</v>
      </c>
      <c r="BX40" s="77">
        <v>1</v>
      </c>
      <c r="BY40" s="77">
        <v>9</v>
      </c>
      <c r="BZ40" s="77">
        <v>6</v>
      </c>
      <c r="CA40" s="77">
        <v>3</v>
      </c>
      <c r="CB40" s="77">
        <v>5</v>
      </c>
      <c r="CC40" s="77">
        <v>4</v>
      </c>
      <c r="CD40" s="77">
        <v>5</v>
      </c>
      <c r="CE40" s="77">
        <v>2</v>
      </c>
      <c r="CG40" s="77">
        <v>1</v>
      </c>
    </row>
    <row r="41" spans="1:85">
      <c r="A41" s="74" t="s">
        <v>606</v>
      </c>
      <c r="B41" s="77">
        <v>1376</v>
      </c>
      <c r="C41" s="78">
        <v>29472.8167</v>
      </c>
      <c r="D41" s="77">
        <v>1305</v>
      </c>
      <c r="AK41" s="77">
        <v>1</v>
      </c>
      <c r="AL41" s="77">
        <v>1</v>
      </c>
      <c r="AM41" s="77">
        <v>21</v>
      </c>
      <c r="AN41" s="77">
        <v>16</v>
      </c>
      <c r="AO41" s="77">
        <v>38</v>
      </c>
      <c r="AP41" s="77">
        <v>43</v>
      </c>
      <c r="AQ41" s="77">
        <v>47</v>
      </c>
      <c r="AR41" s="77">
        <v>44</v>
      </c>
      <c r="AS41" s="77">
        <v>50</v>
      </c>
      <c r="AT41" s="77">
        <v>57</v>
      </c>
      <c r="AU41" s="77">
        <v>60</v>
      </c>
      <c r="AV41" s="77">
        <v>61</v>
      </c>
      <c r="AW41" s="77">
        <v>64</v>
      </c>
      <c r="AX41" s="77">
        <v>49</v>
      </c>
      <c r="AY41" s="77">
        <v>58</v>
      </c>
      <c r="AZ41" s="77">
        <v>55</v>
      </c>
      <c r="BA41" s="77">
        <v>36</v>
      </c>
      <c r="BB41" s="77">
        <v>28</v>
      </c>
      <c r="BC41" s="77">
        <v>20</v>
      </c>
      <c r="BD41" s="77">
        <v>26</v>
      </c>
      <c r="BE41" s="77">
        <v>36</v>
      </c>
      <c r="BF41" s="77">
        <v>34</v>
      </c>
      <c r="BG41" s="77">
        <v>41</v>
      </c>
      <c r="BH41" s="77">
        <v>45</v>
      </c>
      <c r="BI41" s="77">
        <v>35</v>
      </c>
      <c r="BJ41" s="77">
        <v>44</v>
      </c>
      <c r="BK41" s="77">
        <v>42</v>
      </c>
      <c r="BL41" s="77">
        <v>50</v>
      </c>
      <c r="BM41" s="77">
        <v>51</v>
      </c>
      <c r="BN41" s="77">
        <v>43</v>
      </c>
      <c r="BO41" s="77">
        <v>29</v>
      </c>
      <c r="BP41" s="77">
        <v>31</v>
      </c>
      <c r="BQ41" s="77">
        <v>32</v>
      </c>
      <c r="BR41" s="77">
        <v>34</v>
      </c>
      <c r="BS41" s="77">
        <v>20</v>
      </c>
      <c r="BT41" s="77">
        <v>22</v>
      </c>
      <c r="BU41" s="77">
        <v>9</v>
      </c>
      <c r="BV41" s="77">
        <v>3</v>
      </c>
    </row>
    <row r="42" spans="1:85">
      <c r="A42" s="74" t="s">
        <v>607</v>
      </c>
      <c r="B42" s="77">
        <v>1271</v>
      </c>
      <c r="C42" s="78">
        <v>15760.1</v>
      </c>
      <c r="D42" s="77">
        <v>1232</v>
      </c>
      <c r="AN42" s="77">
        <v>4</v>
      </c>
      <c r="AO42" s="77">
        <v>22</v>
      </c>
      <c r="AP42" s="77">
        <v>24</v>
      </c>
      <c r="AQ42" s="77">
        <v>22</v>
      </c>
      <c r="AR42" s="77">
        <v>26</v>
      </c>
      <c r="AS42" s="77">
        <v>31</v>
      </c>
      <c r="AT42" s="77">
        <v>39</v>
      </c>
      <c r="AU42" s="77">
        <v>47</v>
      </c>
      <c r="AV42" s="77">
        <v>39</v>
      </c>
      <c r="AW42" s="77">
        <v>48</v>
      </c>
      <c r="AX42" s="77">
        <v>42</v>
      </c>
      <c r="AY42" s="77">
        <v>41</v>
      </c>
      <c r="AZ42" s="77">
        <v>53</v>
      </c>
      <c r="BA42" s="77">
        <v>46</v>
      </c>
      <c r="BB42" s="77">
        <v>33</v>
      </c>
      <c r="BC42" s="77">
        <v>39</v>
      </c>
      <c r="BD42" s="77">
        <v>30</v>
      </c>
      <c r="BE42" s="77">
        <v>37</v>
      </c>
      <c r="BF42" s="77">
        <v>32</v>
      </c>
      <c r="BG42" s="77">
        <v>33</v>
      </c>
      <c r="BH42" s="77">
        <v>42</v>
      </c>
      <c r="BI42" s="77">
        <v>40</v>
      </c>
      <c r="BJ42" s="77">
        <v>44</v>
      </c>
      <c r="BK42" s="77">
        <v>36</v>
      </c>
      <c r="BL42" s="77">
        <v>40</v>
      </c>
      <c r="BM42" s="77">
        <v>45</v>
      </c>
      <c r="BN42" s="77">
        <v>40</v>
      </c>
      <c r="BO42" s="77">
        <v>47</v>
      </c>
      <c r="BP42" s="77">
        <v>33</v>
      </c>
      <c r="BQ42" s="77">
        <v>39</v>
      </c>
      <c r="BR42" s="77">
        <v>34</v>
      </c>
      <c r="BS42" s="77">
        <v>38</v>
      </c>
      <c r="BT42" s="77">
        <v>47</v>
      </c>
      <c r="BU42" s="77">
        <v>24</v>
      </c>
      <c r="BV42" s="77">
        <v>17</v>
      </c>
      <c r="BW42" s="77">
        <v>12</v>
      </c>
      <c r="BX42" s="77">
        <v>5</v>
      </c>
    </row>
    <row r="43" spans="1:85">
      <c r="A43" s="74" t="s">
        <v>608</v>
      </c>
      <c r="B43" s="77">
        <v>1212</v>
      </c>
      <c r="C43" s="78">
        <v>47633.3667</v>
      </c>
      <c r="D43" s="77">
        <v>1055</v>
      </c>
      <c r="AL43" s="77">
        <v>6</v>
      </c>
      <c r="AM43" s="77">
        <v>14</v>
      </c>
      <c r="AN43" s="77">
        <v>22</v>
      </c>
      <c r="AO43" s="77">
        <v>29</v>
      </c>
      <c r="AP43" s="77">
        <v>31</v>
      </c>
      <c r="AQ43" s="77">
        <v>43</v>
      </c>
      <c r="AR43" s="77">
        <v>49</v>
      </c>
      <c r="AS43" s="77">
        <v>39</v>
      </c>
      <c r="AT43" s="77">
        <v>43</v>
      </c>
      <c r="AU43" s="77">
        <v>45</v>
      </c>
      <c r="AV43" s="77">
        <v>35</v>
      </c>
      <c r="AW43" s="77">
        <v>39</v>
      </c>
      <c r="AX43" s="77">
        <v>40</v>
      </c>
      <c r="AY43" s="77">
        <v>35</v>
      </c>
      <c r="AZ43" s="77">
        <v>37</v>
      </c>
      <c r="BA43" s="77">
        <v>25</v>
      </c>
      <c r="BB43" s="77">
        <v>35</v>
      </c>
      <c r="BC43" s="77">
        <v>22</v>
      </c>
      <c r="BD43" s="77">
        <v>26</v>
      </c>
      <c r="BE43" s="77">
        <v>22</v>
      </c>
      <c r="BF43" s="77">
        <v>41</v>
      </c>
      <c r="BG43" s="77">
        <v>33</v>
      </c>
      <c r="BH43" s="77">
        <v>43</v>
      </c>
      <c r="BI43" s="77">
        <v>44</v>
      </c>
      <c r="BJ43" s="77">
        <v>46</v>
      </c>
      <c r="BK43" s="77">
        <v>34</v>
      </c>
      <c r="BL43" s="77">
        <v>48</v>
      </c>
      <c r="BM43" s="77">
        <v>40</v>
      </c>
      <c r="BN43" s="77">
        <v>39</v>
      </c>
      <c r="BO43" s="77">
        <v>45</v>
      </c>
      <c r="BP43" s="77">
        <v>37</v>
      </c>
      <c r="BQ43" s="77">
        <v>34</v>
      </c>
      <c r="BR43" s="77">
        <v>24</v>
      </c>
      <c r="BS43" s="77">
        <v>37</v>
      </c>
      <c r="BT43" s="77">
        <v>23</v>
      </c>
      <c r="BU43" s="77">
        <v>7</v>
      </c>
    </row>
    <row r="44" spans="1:85">
      <c r="A44" s="74" t="s">
        <v>609</v>
      </c>
      <c r="B44" s="77">
        <v>1015</v>
      </c>
      <c r="C44" s="78">
        <v>16783.95</v>
      </c>
      <c r="D44" s="77">
        <v>990</v>
      </c>
      <c r="AM44" s="77">
        <v>12</v>
      </c>
      <c r="AN44" s="77">
        <v>9</v>
      </c>
      <c r="AO44" s="77">
        <v>22</v>
      </c>
      <c r="AP44" s="77">
        <v>21</v>
      </c>
      <c r="AQ44" s="77">
        <v>26</v>
      </c>
      <c r="AR44" s="77">
        <v>27</v>
      </c>
      <c r="AS44" s="77">
        <v>37</v>
      </c>
      <c r="AT44" s="77">
        <v>39</v>
      </c>
      <c r="AU44" s="77">
        <v>45</v>
      </c>
      <c r="AV44" s="77">
        <v>41</v>
      </c>
      <c r="AW44" s="77">
        <v>39</v>
      </c>
      <c r="AX44" s="77">
        <v>31</v>
      </c>
      <c r="AY44" s="77">
        <v>30</v>
      </c>
      <c r="AZ44" s="77">
        <v>24</v>
      </c>
      <c r="BA44" s="77">
        <v>22</v>
      </c>
      <c r="BB44" s="77">
        <v>34</v>
      </c>
      <c r="BC44" s="77">
        <v>35</v>
      </c>
      <c r="BD44" s="77">
        <v>24</v>
      </c>
      <c r="BE44" s="77">
        <v>31</v>
      </c>
      <c r="BF44" s="77">
        <v>35</v>
      </c>
      <c r="BG44" s="77">
        <v>34</v>
      </c>
      <c r="BH44" s="77">
        <v>39</v>
      </c>
      <c r="BI44" s="77">
        <v>25</v>
      </c>
      <c r="BJ44" s="77">
        <v>32</v>
      </c>
      <c r="BK44" s="77">
        <v>35</v>
      </c>
      <c r="BL44" s="77">
        <v>31</v>
      </c>
      <c r="BM44" s="77">
        <v>43</v>
      </c>
      <c r="BN44" s="77">
        <v>31</v>
      </c>
      <c r="BO44" s="77">
        <v>23</v>
      </c>
      <c r="BP44" s="77">
        <v>27</v>
      </c>
      <c r="BQ44" s="77">
        <v>28</v>
      </c>
      <c r="BR44" s="77">
        <v>24</v>
      </c>
      <c r="BS44" s="77">
        <v>24</v>
      </c>
      <c r="BT44" s="77">
        <v>23</v>
      </c>
      <c r="BU44" s="77">
        <v>10</v>
      </c>
      <c r="BV44" s="77">
        <v>2</v>
      </c>
    </row>
    <row r="45" spans="1:85">
      <c r="A45" s="74" t="s">
        <v>610</v>
      </c>
      <c r="B45" s="77">
        <v>930</v>
      </c>
      <c r="C45" s="78">
        <v>29904.95</v>
      </c>
      <c r="D45" s="77">
        <v>843</v>
      </c>
      <c r="AK45" s="77">
        <v>1</v>
      </c>
      <c r="AL45" s="77">
        <v>8</v>
      </c>
      <c r="AM45" s="77">
        <v>9</v>
      </c>
      <c r="AN45" s="77">
        <v>10</v>
      </c>
      <c r="AO45" s="77">
        <v>36</v>
      </c>
      <c r="AP45" s="77">
        <v>27</v>
      </c>
      <c r="AQ45" s="77">
        <v>27</v>
      </c>
      <c r="AR45" s="77">
        <v>25</v>
      </c>
      <c r="AS45" s="77">
        <v>36</v>
      </c>
      <c r="AT45" s="77">
        <v>31</v>
      </c>
      <c r="AU45" s="77">
        <v>28</v>
      </c>
      <c r="AV45" s="77">
        <v>45</v>
      </c>
      <c r="AW45" s="77">
        <v>31</v>
      </c>
      <c r="AX45" s="77">
        <v>34</v>
      </c>
      <c r="AY45" s="77">
        <v>23</v>
      </c>
      <c r="AZ45" s="77">
        <v>25</v>
      </c>
      <c r="BA45" s="77">
        <v>20</v>
      </c>
      <c r="BB45" s="77">
        <v>20</v>
      </c>
      <c r="BC45" s="77">
        <v>16</v>
      </c>
      <c r="BD45" s="77">
        <v>24</v>
      </c>
      <c r="BE45" s="77">
        <v>24</v>
      </c>
      <c r="BF45" s="77">
        <v>32</v>
      </c>
      <c r="BG45" s="77">
        <v>30</v>
      </c>
      <c r="BH45" s="77">
        <v>30</v>
      </c>
      <c r="BI45" s="77">
        <v>24</v>
      </c>
      <c r="BJ45" s="77">
        <v>24</v>
      </c>
      <c r="BK45" s="77">
        <v>25</v>
      </c>
      <c r="BL45" s="77">
        <v>27</v>
      </c>
      <c r="BM45" s="77">
        <v>33</v>
      </c>
      <c r="BN45" s="77">
        <v>29</v>
      </c>
      <c r="BO45" s="77">
        <v>30</v>
      </c>
      <c r="BP45" s="77">
        <v>28</v>
      </c>
      <c r="BQ45" s="77">
        <v>30</v>
      </c>
      <c r="BR45" s="77">
        <v>19</v>
      </c>
      <c r="BS45" s="77">
        <v>34</v>
      </c>
      <c r="BT45" s="77">
        <v>26</v>
      </c>
      <c r="BU45" s="77">
        <v>8</v>
      </c>
      <c r="BY45" s="77">
        <v>1</v>
      </c>
    </row>
    <row r="46" spans="1:85">
      <c r="A46" s="74" t="s">
        <v>611</v>
      </c>
      <c r="B46" s="77">
        <v>608</v>
      </c>
      <c r="C46" s="78">
        <v>28677.3667</v>
      </c>
      <c r="D46" s="77">
        <v>513</v>
      </c>
      <c r="AL46" s="77">
        <v>10</v>
      </c>
      <c r="AM46" s="77">
        <v>11</v>
      </c>
      <c r="AN46" s="77">
        <v>15</v>
      </c>
      <c r="AO46" s="77">
        <v>17</v>
      </c>
      <c r="AP46" s="77">
        <v>22</v>
      </c>
      <c r="AQ46" s="77">
        <v>18</v>
      </c>
      <c r="AR46" s="77">
        <v>24</v>
      </c>
      <c r="AS46" s="77">
        <v>20</v>
      </c>
      <c r="AT46" s="77">
        <v>22</v>
      </c>
      <c r="AU46" s="77">
        <v>25</v>
      </c>
      <c r="AV46" s="77">
        <v>19</v>
      </c>
      <c r="AW46" s="77">
        <v>23</v>
      </c>
      <c r="AX46" s="77">
        <v>29</v>
      </c>
      <c r="AY46" s="77">
        <v>25</v>
      </c>
      <c r="AZ46" s="77">
        <v>13</v>
      </c>
      <c r="BA46" s="77">
        <v>18</v>
      </c>
      <c r="BB46" s="77">
        <v>11</v>
      </c>
      <c r="BC46" s="77">
        <v>11</v>
      </c>
      <c r="BD46" s="77">
        <v>12</v>
      </c>
      <c r="BE46" s="77">
        <v>16</v>
      </c>
      <c r="BF46" s="77">
        <v>17</v>
      </c>
      <c r="BG46" s="77">
        <v>19</v>
      </c>
      <c r="BH46" s="77">
        <v>20</v>
      </c>
      <c r="BI46" s="77">
        <v>17</v>
      </c>
      <c r="BJ46" s="77">
        <v>18</v>
      </c>
      <c r="BK46" s="77">
        <v>24</v>
      </c>
      <c r="BL46" s="77">
        <v>20</v>
      </c>
      <c r="BM46" s="77">
        <v>18</v>
      </c>
      <c r="BN46" s="77">
        <v>21</v>
      </c>
      <c r="BO46" s="77">
        <v>14</v>
      </c>
      <c r="BP46" s="77">
        <v>15</v>
      </c>
      <c r="BQ46" s="77">
        <v>15</v>
      </c>
      <c r="BR46" s="77">
        <v>17</v>
      </c>
      <c r="BS46" s="77">
        <v>5</v>
      </c>
      <c r="BT46" s="77">
        <v>3</v>
      </c>
      <c r="BU46" s="77">
        <v>3</v>
      </c>
      <c r="BY46" s="77">
        <v>1</v>
      </c>
    </row>
    <row r="47" spans="1:85">
      <c r="A47" s="74" t="s">
        <v>612</v>
      </c>
      <c r="B47" s="77">
        <v>576</v>
      </c>
      <c r="C47" s="78">
        <v>16187.25</v>
      </c>
      <c r="D47" s="77">
        <v>546</v>
      </c>
      <c r="AL47" s="77">
        <v>2</v>
      </c>
      <c r="AM47" s="77">
        <v>4</v>
      </c>
      <c r="AN47" s="77">
        <v>10</v>
      </c>
      <c r="AO47" s="77">
        <v>19</v>
      </c>
      <c r="AP47" s="77">
        <v>24</v>
      </c>
      <c r="AQ47" s="77">
        <v>25</v>
      </c>
      <c r="AR47" s="77">
        <v>21</v>
      </c>
      <c r="AS47" s="77">
        <v>26</v>
      </c>
      <c r="AT47" s="77">
        <v>20</v>
      </c>
      <c r="AU47" s="77">
        <v>23</v>
      </c>
      <c r="AV47" s="77">
        <v>18</v>
      </c>
      <c r="AW47" s="77">
        <v>19</v>
      </c>
      <c r="AX47" s="77">
        <v>26</v>
      </c>
      <c r="AY47" s="77">
        <v>22</v>
      </c>
      <c r="AZ47" s="77">
        <v>22</v>
      </c>
      <c r="BA47" s="77">
        <v>14</v>
      </c>
      <c r="BB47" s="77">
        <v>19</v>
      </c>
      <c r="BC47" s="77">
        <v>11</v>
      </c>
      <c r="BD47" s="77">
        <v>17</v>
      </c>
      <c r="BE47" s="77">
        <v>11</v>
      </c>
      <c r="BF47" s="77">
        <v>13</v>
      </c>
      <c r="BG47" s="77">
        <v>22</v>
      </c>
      <c r="BH47" s="77">
        <v>23</v>
      </c>
      <c r="BI47" s="77">
        <v>10</v>
      </c>
      <c r="BJ47" s="77">
        <v>18</v>
      </c>
      <c r="BK47" s="77">
        <v>17</v>
      </c>
      <c r="BL47" s="77">
        <v>22</v>
      </c>
      <c r="BM47" s="77">
        <v>13</v>
      </c>
      <c r="BN47" s="77">
        <v>16</v>
      </c>
      <c r="BO47" s="77">
        <v>19</v>
      </c>
      <c r="BP47" s="77">
        <v>10</v>
      </c>
      <c r="BQ47" s="77">
        <v>8</v>
      </c>
      <c r="BR47" s="77">
        <v>14</v>
      </c>
      <c r="BS47" s="77">
        <v>8</v>
      </c>
      <c r="BT47" s="77">
        <v>7</v>
      </c>
      <c r="BU47" s="77">
        <v>2</v>
      </c>
      <c r="BY47" s="77">
        <v>1</v>
      </c>
    </row>
    <row r="48" spans="1:85">
      <c r="A48" s="74" t="s">
        <v>613</v>
      </c>
      <c r="B48" s="77">
        <v>438</v>
      </c>
      <c r="C48" s="78">
        <v>14346.05</v>
      </c>
      <c r="D48" s="77">
        <v>408</v>
      </c>
      <c r="AL48" s="77">
        <v>3</v>
      </c>
      <c r="AM48" s="77">
        <v>3</v>
      </c>
      <c r="AN48" s="77">
        <v>9</v>
      </c>
      <c r="AO48" s="77">
        <v>7</v>
      </c>
      <c r="AP48" s="77">
        <v>12</v>
      </c>
      <c r="AQ48" s="77">
        <v>13</v>
      </c>
      <c r="AR48" s="77">
        <v>12</v>
      </c>
      <c r="AS48" s="77">
        <v>13</v>
      </c>
      <c r="AT48" s="77">
        <v>10</v>
      </c>
      <c r="AU48" s="77">
        <v>20</v>
      </c>
      <c r="AV48" s="77">
        <v>19</v>
      </c>
      <c r="AW48" s="77">
        <v>15</v>
      </c>
      <c r="AX48" s="77">
        <v>22</v>
      </c>
      <c r="AY48" s="77">
        <v>18</v>
      </c>
      <c r="AZ48" s="77">
        <v>16</v>
      </c>
      <c r="BA48" s="77">
        <v>13</v>
      </c>
      <c r="BB48" s="77">
        <v>8</v>
      </c>
      <c r="BC48" s="77">
        <v>10</v>
      </c>
      <c r="BD48" s="77">
        <v>11</v>
      </c>
      <c r="BE48" s="77">
        <v>9</v>
      </c>
      <c r="BF48" s="77">
        <v>13</v>
      </c>
      <c r="BG48" s="77">
        <v>11</v>
      </c>
      <c r="BH48" s="77">
        <v>21</v>
      </c>
      <c r="BI48" s="77">
        <v>12</v>
      </c>
      <c r="BJ48" s="77">
        <v>17</v>
      </c>
      <c r="BK48" s="77">
        <v>13</v>
      </c>
      <c r="BL48" s="77">
        <v>11</v>
      </c>
      <c r="BM48" s="77">
        <v>16</v>
      </c>
      <c r="BN48" s="77">
        <v>14</v>
      </c>
      <c r="BO48" s="77">
        <v>19</v>
      </c>
      <c r="BP48" s="77">
        <v>11</v>
      </c>
      <c r="BQ48" s="77">
        <v>10</v>
      </c>
      <c r="BR48" s="77">
        <v>13</v>
      </c>
      <c r="BS48" s="77">
        <v>6</v>
      </c>
      <c r="BT48" s="77">
        <v>6</v>
      </c>
      <c r="BU48" s="77">
        <v>1</v>
      </c>
      <c r="BY48" s="77">
        <v>1</v>
      </c>
    </row>
    <row r="49" spans="1:77">
      <c r="A49" s="74" t="s">
        <v>614</v>
      </c>
      <c r="B49" s="77">
        <v>367</v>
      </c>
      <c r="C49" s="78">
        <v>9761.35</v>
      </c>
      <c r="D49" s="77">
        <v>344</v>
      </c>
      <c r="AL49" s="77">
        <v>4</v>
      </c>
      <c r="AM49" s="77">
        <v>10</v>
      </c>
      <c r="AN49" s="77">
        <v>6</v>
      </c>
      <c r="AO49" s="77">
        <v>10</v>
      </c>
      <c r="AP49" s="77">
        <v>6</v>
      </c>
      <c r="AQ49" s="77">
        <v>13</v>
      </c>
      <c r="AR49" s="77">
        <v>15</v>
      </c>
      <c r="AS49" s="77">
        <v>16</v>
      </c>
      <c r="AT49" s="77">
        <v>11</v>
      </c>
      <c r="AU49" s="77">
        <v>15</v>
      </c>
      <c r="AV49" s="77">
        <v>15</v>
      </c>
      <c r="AW49" s="77">
        <v>20</v>
      </c>
      <c r="AX49" s="77">
        <v>14</v>
      </c>
      <c r="AY49" s="77">
        <v>17</v>
      </c>
      <c r="AZ49" s="77">
        <v>10</v>
      </c>
      <c r="BA49" s="77">
        <v>9</v>
      </c>
      <c r="BB49" s="77">
        <v>9</v>
      </c>
      <c r="BC49" s="77">
        <v>7</v>
      </c>
      <c r="BD49" s="77">
        <v>11</v>
      </c>
      <c r="BE49" s="77">
        <v>9</v>
      </c>
      <c r="BF49" s="77">
        <v>7</v>
      </c>
      <c r="BG49" s="77">
        <v>15</v>
      </c>
      <c r="BH49" s="77">
        <v>14</v>
      </c>
      <c r="BI49" s="77">
        <v>9</v>
      </c>
      <c r="BJ49" s="77">
        <v>7</v>
      </c>
      <c r="BK49" s="77">
        <v>7</v>
      </c>
      <c r="BL49" s="77">
        <v>15</v>
      </c>
      <c r="BM49" s="77">
        <v>14</v>
      </c>
      <c r="BN49" s="77">
        <v>8</v>
      </c>
      <c r="BO49" s="77">
        <v>7</v>
      </c>
      <c r="BP49" s="77">
        <v>10</v>
      </c>
      <c r="BQ49" s="77">
        <v>7</v>
      </c>
      <c r="BR49" s="77">
        <v>11</v>
      </c>
      <c r="BS49" s="77">
        <v>3</v>
      </c>
      <c r="BT49" s="77">
        <v>4</v>
      </c>
      <c r="BY49" s="77">
        <v>2</v>
      </c>
    </row>
    <row r="50" spans="1:77">
      <c r="A50" s="74" t="s">
        <v>615</v>
      </c>
      <c r="B50" s="77">
        <v>238</v>
      </c>
      <c r="C50" s="78">
        <v>13901.6</v>
      </c>
      <c r="D50" s="77">
        <v>204</v>
      </c>
      <c r="AL50" s="77">
        <v>2</v>
      </c>
      <c r="AM50" s="77">
        <v>3</v>
      </c>
      <c r="AN50" s="77">
        <v>6</v>
      </c>
      <c r="AO50" s="77">
        <v>6</v>
      </c>
      <c r="AP50" s="77">
        <v>15</v>
      </c>
      <c r="AQ50" s="77">
        <v>6</v>
      </c>
      <c r="AR50" s="77">
        <v>11</v>
      </c>
      <c r="AS50" s="77">
        <v>17</v>
      </c>
      <c r="AT50" s="77">
        <v>13</v>
      </c>
      <c r="AU50" s="77">
        <v>6</v>
      </c>
      <c r="AV50" s="77">
        <v>10</v>
      </c>
      <c r="AW50" s="77">
        <v>12</v>
      </c>
      <c r="AX50" s="77">
        <v>8</v>
      </c>
      <c r="AY50" s="77">
        <v>6</v>
      </c>
      <c r="AZ50" s="77">
        <v>7</v>
      </c>
      <c r="BA50" s="77">
        <v>3</v>
      </c>
      <c r="BB50" s="77">
        <v>2</v>
      </c>
      <c r="BC50" s="77">
        <v>4</v>
      </c>
      <c r="BD50" s="77">
        <v>4</v>
      </c>
      <c r="BE50" s="77">
        <v>7</v>
      </c>
      <c r="BF50" s="77">
        <v>7</v>
      </c>
      <c r="BG50" s="77">
        <v>1</v>
      </c>
      <c r="BH50" s="77">
        <v>7</v>
      </c>
      <c r="BI50" s="77">
        <v>12</v>
      </c>
      <c r="BJ50" s="77">
        <v>8</v>
      </c>
      <c r="BK50" s="77">
        <v>6</v>
      </c>
      <c r="BL50" s="77">
        <v>7</v>
      </c>
      <c r="BM50" s="77">
        <v>10</v>
      </c>
      <c r="BN50" s="77">
        <v>7</v>
      </c>
      <c r="BO50" s="77">
        <v>4</v>
      </c>
      <c r="BP50" s="77">
        <v>7</v>
      </c>
      <c r="BQ50" s="77">
        <v>2</v>
      </c>
      <c r="BR50" s="77">
        <v>5</v>
      </c>
      <c r="BS50" s="77">
        <v>3</v>
      </c>
      <c r="BT50" s="77">
        <v>3</v>
      </c>
      <c r="BY50" s="77">
        <v>1</v>
      </c>
    </row>
    <row r="51" spans="1:77">
      <c r="A51" s="74" t="s">
        <v>616</v>
      </c>
      <c r="B51" s="77">
        <v>225</v>
      </c>
      <c r="C51" s="78">
        <v>7060.0833</v>
      </c>
      <c r="D51" s="77">
        <v>211</v>
      </c>
      <c r="AM51" s="77">
        <v>2</v>
      </c>
      <c r="AN51" s="77">
        <v>4</v>
      </c>
      <c r="AO51" s="77">
        <v>9</v>
      </c>
      <c r="AP51" s="77">
        <v>7</v>
      </c>
      <c r="AQ51" s="77">
        <v>10</v>
      </c>
      <c r="AR51" s="77">
        <v>6</v>
      </c>
      <c r="AS51" s="77">
        <v>14</v>
      </c>
      <c r="AT51" s="77">
        <v>11</v>
      </c>
      <c r="AU51" s="77">
        <v>7</v>
      </c>
      <c r="AV51" s="77">
        <v>5</v>
      </c>
      <c r="AW51" s="77">
        <v>9</v>
      </c>
      <c r="AX51" s="77">
        <v>7</v>
      </c>
      <c r="AY51" s="77">
        <v>7</v>
      </c>
      <c r="AZ51" s="77">
        <v>9</v>
      </c>
      <c r="BA51" s="77">
        <v>4</v>
      </c>
      <c r="BB51" s="77">
        <v>10</v>
      </c>
      <c r="BC51" s="77">
        <v>4</v>
      </c>
      <c r="BD51" s="77">
        <v>6</v>
      </c>
      <c r="BF51" s="77">
        <v>7</v>
      </c>
      <c r="BG51" s="77">
        <v>9</v>
      </c>
      <c r="BH51" s="77">
        <v>9</v>
      </c>
      <c r="BI51" s="77">
        <v>4</v>
      </c>
      <c r="BJ51" s="77">
        <v>9</v>
      </c>
      <c r="BK51" s="77">
        <v>6</v>
      </c>
      <c r="BL51" s="77">
        <v>7</v>
      </c>
      <c r="BM51" s="77">
        <v>4</v>
      </c>
      <c r="BN51" s="77">
        <v>5</v>
      </c>
      <c r="BO51" s="77">
        <v>5</v>
      </c>
      <c r="BP51" s="77">
        <v>7</v>
      </c>
      <c r="BQ51" s="77">
        <v>4</v>
      </c>
      <c r="BR51" s="77">
        <v>6</v>
      </c>
      <c r="BS51" s="77">
        <v>2</v>
      </c>
      <c r="BT51" s="77">
        <v>7</v>
      </c>
      <c r="BU51" s="77">
        <v>2</v>
      </c>
      <c r="BY51" s="77">
        <v>1</v>
      </c>
    </row>
    <row r="52" spans="1:77">
      <c r="A52" s="74" t="s">
        <v>617</v>
      </c>
      <c r="B52" s="77">
        <v>206</v>
      </c>
      <c r="C52" s="78">
        <v>6064.4</v>
      </c>
      <c r="D52" s="77">
        <v>200</v>
      </c>
      <c r="AM52" s="77">
        <v>3</v>
      </c>
      <c r="AN52" s="77">
        <v>9</v>
      </c>
      <c r="AO52" s="77">
        <v>7</v>
      </c>
      <c r="AP52" s="77">
        <v>2</v>
      </c>
      <c r="AQ52" s="77">
        <v>7</v>
      </c>
      <c r="AR52" s="77">
        <v>5</v>
      </c>
      <c r="AS52" s="77">
        <v>6</v>
      </c>
      <c r="AT52" s="77">
        <v>12</v>
      </c>
      <c r="AU52" s="77">
        <v>10</v>
      </c>
      <c r="AV52" s="77">
        <v>10</v>
      </c>
      <c r="AW52" s="77">
        <v>8</v>
      </c>
      <c r="AX52" s="77">
        <v>6</v>
      </c>
      <c r="AY52" s="77">
        <v>7</v>
      </c>
      <c r="AZ52" s="77">
        <v>7</v>
      </c>
      <c r="BA52" s="77">
        <v>5</v>
      </c>
      <c r="BB52" s="77">
        <v>4</v>
      </c>
      <c r="BC52" s="77">
        <v>1</v>
      </c>
      <c r="BD52" s="77">
        <v>4</v>
      </c>
      <c r="BE52" s="77">
        <v>2</v>
      </c>
      <c r="BF52" s="77">
        <v>7</v>
      </c>
      <c r="BG52" s="77">
        <v>6</v>
      </c>
      <c r="BH52" s="77">
        <v>5</v>
      </c>
      <c r="BI52" s="77">
        <v>6</v>
      </c>
      <c r="BJ52" s="77">
        <v>9</v>
      </c>
      <c r="BK52" s="77">
        <v>5</v>
      </c>
      <c r="BL52" s="77">
        <v>1</v>
      </c>
      <c r="BM52" s="77">
        <v>12</v>
      </c>
      <c r="BN52" s="77">
        <v>9</v>
      </c>
      <c r="BO52" s="77">
        <v>4</v>
      </c>
      <c r="BP52" s="77">
        <v>7</v>
      </c>
      <c r="BQ52" s="77">
        <v>10</v>
      </c>
      <c r="BR52" s="77">
        <v>6</v>
      </c>
      <c r="BS52" s="77">
        <v>2</v>
      </c>
      <c r="BT52" s="77">
        <v>1</v>
      </c>
      <c r="BY52" s="77">
        <v>1</v>
      </c>
    </row>
    <row r="53" spans="1:77">
      <c r="A53" s="74" t="s">
        <v>618</v>
      </c>
      <c r="B53" s="77">
        <v>203</v>
      </c>
      <c r="C53" s="78">
        <v>10915.75</v>
      </c>
      <c r="D53" s="77">
        <v>163</v>
      </c>
      <c r="AL53" s="77">
        <v>1</v>
      </c>
      <c r="AM53" s="77">
        <v>2</v>
      </c>
      <c r="AN53" s="77">
        <v>4</v>
      </c>
      <c r="AO53" s="77">
        <v>3</v>
      </c>
      <c r="AP53" s="77">
        <v>5</v>
      </c>
      <c r="AQ53" s="77">
        <v>10</v>
      </c>
      <c r="AR53" s="77">
        <v>14</v>
      </c>
      <c r="AS53" s="77">
        <v>6</v>
      </c>
      <c r="AT53" s="77">
        <v>10</v>
      </c>
      <c r="AU53" s="77">
        <v>5</v>
      </c>
      <c r="AV53" s="77">
        <v>8</v>
      </c>
      <c r="AW53" s="77">
        <v>4</v>
      </c>
      <c r="AX53" s="77">
        <v>4</v>
      </c>
      <c r="AY53" s="77">
        <v>5</v>
      </c>
      <c r="AZ53" s="77">
        <v>4</v>
      </c>
      <c r="BB53" s="77">
        <v>6</v>
      </c>
      <c r="BC53" s="77">
        <v>5</v>
      </c>
      <c r="BD53" s="77">
        <v>4</v>
      </c>
      <c r="BE53" s="77">
        <v>1</v>
      </c>
      <c r="BF53" s="77">
        <v>9</v>
      </c>
      <c r="BG53" s="77">
        <v>8</v>
      </c>
      <c r="BH53" s="77">
        <v>12</v>
      </c>
      <c r="BI53" s="77">
        <v>6</v>
      </c>
      <c r="BJ53" s="77">
        <v>5</v>
      </c>
      <c r="BK53" s="77">
        <v>11</v>
      </c>
      <c r="BL53" s="77">
        <v>13</v>
      </c>
      <c r="BM53" s="77">
        <v>6</v>
      </c>
      <c r="BN53" s="77">
        <v>6</v>
      </c>
      <c r="BO53" s="77">
        <v>5</v>
      </c>
      <c r="BP53" s="77">
        <v>4</v>
      </c>
      <c r="BQ53" s="77">
        <v>4</v>
      </c>
      <c r="BR53" s="77">
        <v>6</v>
      </c>
      <c r="BS53" s="77">
        <v>2</v>
      </c>
      <c r="BT53" s="77">
        <v>4</v>
      </c>
      <c r="BY53" s="77">
        <v>1</v>
      </c>
    </row>
    <row r="54" spans="1:77">
      <c r="A54" s="74" t="s">
        <v>619</v>
      </c>
      <c r="B54" s="77">
        <v>113</v>
      </c>
      <c r="C54" s="78">
        <v>3157.6333</v>
      </c>
      <c r="D54" s="77">
        <v>97</v>
      </c>
      <c r="AK54" s="77">
        <v>2</v>
      </c>
      <c r="AN54" s="77">
        <v>1</v>
      </c>
      <c r="AO54" s="77">
        <v>1</v>
      </c>
      <c r="AP54" s="77">
        <v>1</v>
      </c>
      <c r="AQ54" s="77">
        <v>4</v>
      </c>
      <c r="AR54" s="77">
        <v>3</v>
      </c>
      <c r="AS54" s="77">
        <v>4</v>
      </c>
      <c r="AT54" s="77">
        <v>7</v>
      </c>
      <c r="AU54" s="77">
        <v>4</v>
      </c>
      <c r="AV54" s="77">
        <v>1</v>
      </c>
      <c r="AW54" s="77">
        <v>3</v>
      </c>
      <c r="AX54" s="77">
        <v>2</v>
      </c>
      <c r="AY54" s="77">
        <v>2</v>
      </c>
      <c r="AZ54" s="77">
        <v>3</v>
      </c>
      <c r="BA54" s="77">
        <v>1</v>
      </c>
      <c r="BB54" s="77">
        <v>2</v>
      </c>
      <c r="BC54" s="77">
        <v>3</v>
      </c>
      <c r="BD54" s="77">
        <v>3</v>
      </c>
      <c r="BE54" s="77">
        <v>7</v>
      </c>
      <c r="BF54" s="77">
        <v>3</v>
      </c>
      <c r="BH54" s="77">
        <v>4</v>
      </c>
      <c r="BI54" s="77">
        <v>6</v>
      </c>
      <c r="BJ54" s="77">
        <v>6</v>
      </c>
      <c r="BL54" s="77">
        <v>6</v>
      </c>
      <c r="BM54" s="77">
        <v>2</v>
      </c>
      <c r="BN54" s="77">
        <v>4</v>
      </c>
      <c r="BO54" s="77">
        <v>1</v>
      </c>
      <c r="BP54" s="77">
        <v>3</v>
      </c>
      <c r="BQ54" s="77">
        <v>4</v>
      </c>
      <c r="BR54" s="77">
        <v>4</v>
      </c>
      <c r="BS54" s="77">
        <v>4</v>
      </c>
      <c r="BT54" s="77">
        <v>7</v>
      </c>
      <c r="BU54" s="77">
        <v>4</v>
      </c>
      <c r="BY54" s="77">
        <v>1</v>
      </c>
    </row>
    <row r="55" spans="1:77">
      <c r="A55" s="74" t="s">
        <v>620</v>
      </c>
      <c r="B55" s="77">
        <v>87</v>
      </c>
      <c r="C55" s="78">
        <v>5195.1333</v>
      </c>
      <c r="D55" s="77">
        <v>74</v>
      </c>
      <c r="AM55" s="77">
        <v>4</v>
      </c>
      <c r="AN55" s="77">
        <v>3</v>
      </c>
      <c r="AO55" s="77">
        <v>3</v>
      </c>
      <c r="AQ55" s="77">
        <v>4</v>
      </c>
      <c r="AR55" s="77">
        <v>2</v>
      </c>
      <c r="AS55" s="77">
        <v>3</v>
      </c>
      <c r="AT55" s="77">
        <v>6</v>
      </c>
      <c r="AU55" s="77">
        <v>2</v>
      </c>
      <c r="AV55" s="77">
        <v>4</v>
      </c>
      <c r="AW55" s="77">
        <v>1</v>
      </c>
      <c r="AX55" s="77">
        <v>7</v>
      </c>
      <c r="AY55" s="77">
        <v>2</v>
      </c>
      <c r="AZ55" s="77">
        <v>4</v>
      </c>
      <c r="BA55" s="77">
        <v>2</v>
      </c>
      <c r="BB55" s="77">
        <v>1</v>
      </c>
      <c r="BC55" s="77">
        <v>1</v>
      </c>
      <c r="BE55" s="77">
        <v>3</v>
      </c>
      <c r="BF55" s="77">
        <v>1</v>
      </c>
      <c r="BG55" s="77">
        <v>6</v>
      </c>
      <c r="BH55" s="77">
        <v>1</v>
      </c>
      <c r="BI55" s="77">
        <v>4</v>
      </c>
      <c r="BJ55" s="77">
        <v>3</v>
      </c>
      <c r="BK55" s="77">
        <v>5</v>
      </c>
      <c r="BL55" s="77">
        <v>2</v>
      </c>
      <c r="BM55" s="77">
        <v>2</v>
      </c>
      <c r="BN55" s="77">
        <v>1</v>
      </c>
      <c r="BO55" s="77">
        <v>1</v>
      </c>
      <c r="BP55" s="77">
        <v>2</v>
      </c>
      <c r="BR55" s="77">
        <v>2</v>
      </c>
      <c r="BS55" s="77">
        <v>2</v>
      </c>
      <c r="BT55" s="77">
        <v>2</v>
      </c>
      <c r="BY55" s="77">
        <v>1</v>
      </c>
    </row>
    <row r="56" spans="1:77">
      <c r="A56" s="74" t="s">
        <v>621</v>
      </c>
      <c r="B56" s="77">
        <v>64</v>
      </c>
      <c r="C56" s="78">
        <v>0</v>
      </c>
      <c r="D56" s="77">
        <v>0</v>
      </c>
      <c r="AL56" s="77">
        <v>1</v>
      </c>
      <c r="AN56" s="77">
        <v>1</v>
      </c>
      <c r="AO56" s="77">
        <v>2</v>
      </c>
      <c r="AP56" s="77">
        <v>1</v>
      </c>
      <c r="AQ56" s="77">
        <v>1</v>
      </c>
      <c r="AR56" s="77">
        <v>3</v>
      </c>
      <c r="AS56" s="77">
        <v>2</v>
      </c>
      <c r="AT56" s="77">
        <v>4</v>
      </c>
      <c r="AV56" s="77">
        <v>9</v>
      </c>
      <c r="AW56" s="77">
        <v>3</v>
      </c>
      <c r="AY56" s="77">
        <v>3</v>
      </c>
      <c r="AZ56" s="77">
        <v>1</v>
      </c>
      <c r="BA56" s="77">
        <v>1</v>
      </c>
      <c r="BB56" s="77">
        <v>3</v>
      </c>
      <c r="BC56" s="77">
        <v>3</v>
      </c>
      <c r="BD56" s="77">
        <v>2</v>
      </c>
      <c r="BE56" s="77">
        <v>3</v>
      </c>
      <c r="BG56" s="77">
        <v>1</v>
      </c>
      <c r="BJ56" s="77">
        <v>2</v>
      </c>
      <c r="BK56" s="77">
        <v>1</v>
      </c>
      <c r="BL56" s="77">
        <v>2</v>
      </c>
      <c r="BM56" s="77">
        <v>2</v>
      </c>
      <c r="BO56" s="77">
        <v>2</v>
      </c>
      <c r="BP56" s="77">
        <v>2</v>
      </c>
      <c r="BR56" s="77">
        <v>2</v>
      </c>
      <c r="BS56" s="77">
        <v>2</v>
      </c>
      <c r="BU56" s="77">
        <v>2</v>
      </c>
      <c r="BV56" s="77">
        <v>2</v>
      </c>
      <c r="BW56" s="77">
        <v>1</v>
      </c>
    </row>
    <row r="57" spans="1:77">
      <c r="A57" s="74" t="s">
        <v>622</v>
      </c>
      <c r="B57" s="77">
        <v>63</v>
      </c>
      <c r="C57" s="78">
        <v>2907.8167</v>
      </c>
      <c r="D57" s="77">
        <v>60</v>
      </c>
      <c r="AN57" s="77">
        <v>2</v>
      </c>
      <c r="AO57" s="77">
        <v>1</v>
      </c>
      <c r="AQ57" s="77">
        <v>1</v>
      </c>
      <c r="AR57" s="77">
        <v>2</v>
      </c>
      <c r="AS57" s="77">
        <v>2</v>
      </c>
      <c r="AT57" s="77">
        <v>1</v>
      </c>
      <c r="AU57" s="77">
        <v>3</v>
      </c>
      <c r="AV57" s="77">
        <v>5</v>
      </c>
      <c r="AW57" s="77">
        <v>4</v>
      </c>
      <c r="AX57" s="77">
        <v>1</v>
      </c>
      <c r="AY57" s="77">
        <v>1</v>
      </c>
      <c r="AZ57" s="77">
        <v>4</v>
      </c>
      <c r="BB57" s="77">
        <v>1</v>
      </c>
      <c r="BC57" s="77">
        <v>6</v>
      </c>
      <c r="BD57" s="77">
        <v>1</v>
      </c>
      <c r="BE57" s="77">
        <v>7</v>
      </c>
      <c r="BF57" s="77">
        <v>1</v>
      </c>
      <c r="BG57" s="77">
        <v>1</v>
      </c>
      <c r="BH57" s="77">
        <v>1</v>
      </c>
      <c r="BI57" s="77">
        <v>5</v>
      </c>
      <c r="BL57" s="77">
        <v>1</v>
      </c>
      <c r="BN57" s="77">
        <v>3</v>
      </c>
      <c r="BO57" s="77">
        <v>1</v>
      </c>
      <c r="BP57" s="77">
        <v>3</v>
      </c>
      <c r="BQ57" s="77">
        <v>2</v>
      </c>
      <c r="BR57" s="77">
        <v>1</v>
      </c>
      <c r="BT57" s="77">
        <v>1</v>
      </c>
      <c r="BY57" s="77">
        <v>1</v>
      </c>
    </row>
    <row r="58" spans="1:77">
      <c r="A58" s="74" t="s">
        <v>623</v>
      </c>
      <c r="B58" s="77">
        <v>49</v>
      </c>
      <c r="C58" s="78">
        <v>3188.1333</v>
      </c>
      <c r="D58" s="77">
        <v>40</v>
      </c>
      <c r="AL58" s="77">
        <v>1</v>
      </c>
      <c r="AM58" s="77">
        <v>1</v>
      </c>
      <c r="AN58" s="77">
        <v>1</v>
      </c>
      <c r="AO58" s="77">
        <v>1</v>
      </c>
      <c r="AP58" s="77">
        <v>2</v>
      </c>
      <c r="AR58" s="77">
        <v>1</v>
      </c>
      <c r="AS58" s="77">
        <v>3</v>
      </c>
      <c r="AT58" s="77">
        <v>2</v>
      </c>
      <c r="AU58" s="77">
        <v>6</v>
      </c>
      <c r="AV58" s="77">
        <v>1</v>
      </c>
      <c r="AW58" s="77">
        <v>1</v>
      </c>
      <c r="AX58" s="77">
        <v>2</v>
      </c>
      <c r="AY58" s="77">
        <v>2</v>
      </c>
      <c r="BC58" s="77">
        <v>1</v>
      </c>
      <c r="BD58" s="77">
        <v>3</v>
      </c>
      <c r="BE58" s="77">
        <v>1</v>
      </c>
      <c r="BF58" s="77">
        <v>1</v>
      </c>
      <c r="BG58" s="77">
        <v>3</v>
      </c>
      <c r="BH58" s="77">
        <v>2</v>
      </c>
      <c r="BJ58" s="77">
        <v>2</v>
      </c>
      <c r="BK58" s="77">
        <v>4</v>
      </c>
      <c r="BL58" s="77">
        <v>1</v>
      </c>
      <c r="BM58" s="77">
        <v>2</v>
      </c>
      <c r="BN58" s="77">
        <v>2</v>
      </c>
      <c r="BP58" s="77">
        <v>1</v>
      </c>
      <c r="BT58" s="77">
        <v>1</v>
      </c>
      <c r="BY58" s="77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7B8"/>
  </sheetPr>
  <dimension ref="A1:BE313"/>
  <sheetViews>
    <sheetView showGridLines="0" workbookViewId="0"/>
  </sheetViews>
  <sheetFormatPr defaultRowHeight="15"/>
  <cols>
    <col min="1" max="1" width="22.7109375" customWidth="1"/>
    <col min="2" max="57" width="9.7109375" customWidth="1"/>
  </cols>
  <sheetData>
    <row r="1" spans="1:57">
      <c r="A1" s="72" t="s">
        <v>381</v>
      </c>
    </row>
    <row r="2" spans="1:57">
      <c r="A2" t="s">
        <v>382</v>
      </c>
      <c r="B2">
        <f>MATCH('ダッシュボード'!$D$4&amp;"|"&amp;'ダッシュボード'!$J$4,'データ'!$A$7:$A$123,0)</f>
        <v>1</v>
      </c>
    </row>
    <row r="3" spans="1:57">
      <c r="A3" t="s">
        <v>383</v>
      </c>
      <c r="B3">
        <f>MATCH('ダッシュボード'!$D$5,$A$310:$A$313,0)</f>
        <v>1</v>
      </c>
    </row>
    <row r="4" spans="1:57">
      <c r="A4" t="s">
        <v>388</v>
      </c>
      <c r="B4" t="str">
        <f>"7:00"</f>
        <v>7:00</v>
      </c>
      <c r="C4" t="str">
        <f>"7:15"</f>
        <v>7:15</v>
      </c>
      <c r="D4" t="str">
        <f>"7:30"</f>
        <v>7:30</v>
      </c>
      <c r="E4" t="str">
        <f>"7:45"</f>
        <v>7:45</v>
      </c>
      <c r="F4" t="str">
        <f>"8:00"</f>
        <v>8:00</v>
      </c>
      <c r="G4" t="str">
        <f>"8:15"</f>
        <v>8:15</v>
      </c>
      <c r="H4" t="str">
        <f>"8:30"</f>
        <v>8:30</v>
      </c>
      <c r="I4" t="str">
        <f>"8:45"</f>
        <v>8:45</v>
      </c>
      <c r="J4" t="str">
        <f>"9:00"</f>
        <v>9:00</v>
      </c>
      <c r="K4" t="str">
        <f>"9:15"</f>
        <v>9:15</v>
      </c>
      <c r="L4" t="str">
        <f>"9:30"</f>
        <v>9:30</v>
      </c>
      <c r="M4" t="str">
        <f>"9:45"</f>
        <v>9:45</v>
      </c>
      <c r="N4" t="str">
        <f>"10:00"</f>
        <v>10:00</v>
      </c>
      <c r="O4" t="str">
        <f>"10:15"</f>
        <v>10:15</v>
      </c>
      <c r="P4" t="str">
        <f>"10:30"</f>
        <v>10:30</v>
      </c>
      <c r="Q4" t="str">
        <f>"10:45"</f>
        <v>10:45</v>
      </c>
      <c r="R4" t="str">
        <f>"11:00"</f>
        <v>11:00</v>
      </c>
      <c r="S4" t="str">
        <f>"11:15"</f>
        <v>11:15</v>
      </c>
      <c r="T4" t="str">
        <f>"11:30"</f>
        <v>11:30</v>
      </c>
      <c r="U4" t="str">
        <f>"11:45"</f>
        <v>11:45</v>
      </c>
      <c r="V4" t="str">
        <f>"12:00"</f>
        <v>12:00</v>
      </c>
      <c r="W4" t="str">
        <f>"12:15"</f>
        <v>12:15</v>
      </c>
      <c r="X4" t="str">
        <f>"12:30"</f>
        <v>12:30</v>
      </c>
      <c r="Y4" t="str">
        <f>"12:45"</f>
        <v>12:45</v>
      </c>
      <c r="Z4" t="str">
        <f>"13:00"</f>
        <v>13:00</v>
      </c>
      <c r="AA4" t="str">
        <f>"13:15"</f>
        <v>13:15</v>
      </c>
      <c r="AB4" t="str">
        <f>"13:30"</f>
        <v>13:30</v>
      </c>
      <c r="AC4" t="str">
        <f>"13:45"</f>
        <v>13:45</v>
      </c>
      <c r="AD4" t="str">
        <f>"14:00"</f>
        <v>14:00</v>
      </c>
      <c r="AE4" t="str">
        <f>"14:15"</f>
        <v>14:15</v>
      </c>
      <c r="AF4" t="str">
        <f>"14:30"</f>
        <v>14:30</v>
      </c>
      <c r="AG4" t="str">
        <f>"14:45"</f>
        <v>14:45</v>
      </c>
      <c r="AH4" t="str">
        <f>"15:00"</f>
        <v>15:00</v>
      </c>
      <c r="AI4" t="str">
        <f>"15:15"</f>
        <v>15:15</v>
      </c>
      <c r="AJ4" t="str">
        <f>"15:30"</f>
        <v>15:30</v>
      </c>
      <c r="AK4" t="str">
        <f>"15:45"</f>
        <v>15:45</v>
      </c>
      <c r="AL4" t="str">
        <f>"16:00"</f>
        <v>16:00</v>
      </c>
      <c r="AM4" t="str">
        <f>"16:15"</f>
        <v>16:15</v>
      </c>
      <c r="AN4" t="str">
        <f>"16:30"</f>
        <v>16:30</v>
      </c>
      <c r="AO4" t="str">
        <f>"16:45"</f>
        <v>16:45</v>
      </c>
      <c r="AP4" t="str">
        <f>"17:00"</f>
        <v>17:00</v>
      </c>
      <c r="AQ4" t="str">
        <f>"17:15"</f>
        <v>17:15</v>
      </c>
      <c r="AR4" t="str">
        <f>"17:30"</f>
        <v>17:30</v>
      </c>
      <c r="AS4" t="str">
        <f>"17:45"</f>
        <v>17:45</v>
      </c>
      <c r="AT4" t="str">
        <f>"18:00"</f>
        <v>18:00</v>
      </c>
      <c r="AU4" t="str">
        <f>"18:15"</f>
        <v>18:15</v>
      </c>
      <c r="AV4" t="str">
        <f>"18:30"</f>
        <v>18:30</v>
      </c>
      <c r="AW4" t="str">
        <f>"18:45"</f>
        <v>18:45</v>
      </c>
      <c r="AX4" t="str">
        <f>"19:00"</f>
        <v>19:00</v>
      </c>
      <c r="AY4" t="str">
        <f>"19:15"</f>
        <v>19:15</v>
      </c>
      <c r="AZ4" t="str">
        <f>"19:30"</f>
        <v>19:30</v>
      </c>
      <c r="BA4" t="str">
        <f>"19:45"</f>
        <v>19:45</v>
      </c>
      <c r="BB4" t="str">
        <f>"20:00"</f>
        <v>20:00</v>
      </c>
      <c r="BC4" t="str">
        <f>"20:15"</f>
        <v>20:15</v>
      </c>
      <c r="BD4" t="str">
        <f>"20:30"</f>
        <v>20:30</v>
      </c>
      <c r="BE4" t="str">
        <f>"20:45"</f>
        <v>20:45</v>
      </c>
    </row>
    <row r="5" spans="1:57">
      <c r="A5" t="s">
        <v>63</v>
      </c>
      <c r="B5">
        <v>420</v>
      </c>
      <c r="C5">
        <v>435</v>
      </c>
      <c r="D5">
        <v>450</v>
      </c>
      <c r="E5">
        <v>465</v>
      </c>
      <c r="F5">
        <v>480</v>
      </c>
      <c r="G5">
        <v>495</v>
      </c>
      <c r="H5">
        <v>510</v>
      </c>
      <c r="I5">
        <v>525</v>
      </c>
      <c r="J5">
        <v>540</v>
      </c>
      <c r="K5">
        <v>555</v>
      </c>
      <c r="L5">
        <v>570</v>
      </c>
      <c r="M5">
        <v>585</v>
      </c>
      <c r="N5">
        <v>600</v>
      </c>
      <c r="O5">
        <v>615</v>
      </c>
      <c r="P5">
        <v>630</v>
      </c>
      <c r="Q5">
        <v>645</v>
      </c>
      <c r="R5">
        <v>660</v>
      </c>
      <c r="S5">
        <v>675</v>
      </c>
      <c r="T5">
        <v>690</v>
      </c>
      <c r="U5">
        <v>705</v>
      </c>
      <c r="V5">
        <v>720</v>
      </c>
      <c r="W5">
        <v>735</v>
      </c>
      <c r="X5">
        <v>750</v>
      </c>
      <c r="Y5">
        <v>765</v>
      </c>
      <c r="Z5">
        <v>780</v>
      </c>
      <c r="AA5">
        <v>795</v>
      </c>
      <c r="AB5">
        <v>810</v>
      </c>
      <c r="AC5">
        <v>825</v>
      </c>
      <c r="AD5">
        <v>840</v>
      </c>
      <c r="AE5">
        <v>855</v>
      </c>
      <c r="AF5">
        <v>870</v>
      </c>
      <c r="AG5">
        <v>885</v>
      </c>
      <c r="AH5">
        <v>900</v>
      </c>
      <c r="AI5">
        <v>915</v>
      </c>
      <c r="AJ5">
        <v>930</v>
      </c>
      <c r="AK5">
        <v>945</v>
      </c>
      <c r="AL5">
        <v>960</v>
      </c>
      <c r="AM5">
        <v>975</v>
      </c>
      <c r="AN5">
        <v>990</v>
      </c>
      <c r="AO5">
        <v>1005</v>
      </c>
      <c r="AP5">
        <v>1020</v>
      </c>
      <c r="AQ5">
        <v>1035</v>
      </c>
      <c r="AR5">
        <v>1050</v>
      </c>
      <c r="AS5">
        <v>1065</v>
      </c>
      <c r="AT5">
        <v>1080</v>
      </c>
      <c r="AU5">
        <v>1095</v>
      </c>
      <c r="AV5">
        <v>1110</v>
      </c>
      <c r="AW5">
        <v>1125</v>
      </c>
      <c r="AX5">
        <v>1140</v>
      </c>
      <c r="AY5">
        <v>1155</v>
      </c>
      <c r="AZ5">
        <v>1170</v>
      </c>
      <c r="BA5">
        <v>1185</v>
      </c>
      <c r="BB5">
        <v>1200</v>
      </c>
      <c r="BC5">
        <v>1215</v>
      </c>
      <c r="BD5">
        <v>1230</v>
      </c>
      <c r="BE5">
        <v>1245</v>
      </c>
    </row>
    <row r="6" spans="1:57">
      <c r="A6" t="s">
        <v>384</v>
      </c>
      <c r="B6">
        <f>CHOOSE($B$3,INDEX('データ'!D$7:D$123,$B$2),INDEX('データ'!D$128:D$244,$B$2),INDEX('データ'!D$249:D$365,$B$2),INDEX('データ'!D$370:D$486,$B$2))</f>
        <v>0.0</v>
      </c>
      <c r="C6">
        <f>CHOOSE($B$3,INDEX('データ'!E$7:E$123,$B$2),INDEX('データ'!E$128:E$244,$B$2),INDEX('データ'!E$249:E$365,$B$2),INDEX('データ'!E$370:E$486,$B$2))</f>
        <v>0.0</v>
      </c>
      <c r="D6">
        <f>CHOOSE($B$3,INDEX('データ'!F$7:F$123,$B$2),INDEX('データ'!F$128:F$244,$B$2),INDEX('データ'!F$249:F$365,$B$2),INDEX('データ'!F$370:F$486,$B$2))</f>
        <v>3.0</v>
      </c>
      <c r="E6">
        <f>CHOOSE($B$3,INDEX('データ'!G$7:G$123,$B$2),INDEX('データ'!G$128:G$244,$B$2),INDEX('データ'!G$249:G$365,$B$2),INDEX('データ'!G$370:G$486,$B$2))</f>
        <v>183.0</v>
      </c>
      <c r="F6">
        <f>CHOOSE($B$3,INDEX('データ'!H$7:H$123,$B$2),INDEX('データ'!H$128:H$244,$B$2),INDEX('データ'!H$249:H$365,$B$2),INDEX('データ'!H$370:H$486,$B$2))</f>
        <v>1610.0</v>
      </c>
      <c r="G6">
        <f>CHOOSE($B$3,INDEX('データ'!I$7:I$123,$B$2),INDEX('データ'!I$128:I$244,$B$2),INDEX('データ'!I$249:I$365,$B$2),INDEX('データ'!I$370:I$486,$B$2))</f>
        <v>6985.0</v>
      </c>
      <c r="H6">
        <f>CHOOSE($B$3,INDEX('データ'!J$7:J$123,$B$2),INDEX('データ'!J$128:J$244,$B$2),INDEX('データ'!J$249:J$365,$B$2),INDEX('データ'!J$370:J$486,$B$2))</f>
        <v>15366.0</v>
      </c>
      <c r="I6">
        <f>CHOOSE($B$3,INDEX('データ'!K$7:K$123,$B$2),INDEX('データ'!K$128:K$244,$B$2),INDEX('データ'!K$249:K$365,$B$2),INDEX('データ'!K$370:K$486,$B$2))</f>
        <v>16427.0</v>
      </c>
      <c r="J6">
        <f>CHOOSE($B$3,INDEX('データ'!L$7:L$123,$B$2),INDEX('データ'!L$128:L$244,$B$2),INDEX('データ'!L$249:L$365,$B$2),INDEX('データ'!L$370:L$486,$B$2))</f>
        <v>18795.0</v>
      </c>
      <c r="K6">
        <f>CHOOSE($B$3,INDEX('データ'!M$7:M$123,$B$2),INDEX('データ'!M$128:M$244,$B$2),INDEX('データ'!M$249:M$365,$B$2),INDEX('データ'!M$370:M$486,$B$2))</f>
        <v>21042.0</v>
      </c>
      <c r="L6">
        <f>CHOOSE($B$3,INDEX('データ'!N$7:N$123,$B$2),INDEX('データ'!N$128:N$244,$B$2),INDEX('データ'!N$249:N$365,$B$2),INDEX('データ'!N$370:N$486,$B$2))</f>
        <v>22530.0</v>
      </c>
      <c r="M6">
        <f>CHOOSE($B$3,INDEX('データ'!O$7:O$123,$B$2),INDEX('データ'!O$128:O$244,$B$2),INDEX('データ'!O$249:O$365,$B$2),INDEX('データ'!O$370:O$486,$B$2))</f>
        <v>23911.0</v>
      </c>
      <c r="N6">
        <f>CHOOSE($B$3,INDEX('データ'!P$7:P$123,$B$2),INDEX('データ'!P$128:P$244,$B$2),INDEX('データ'!P$249:P$365,$B$2),INDEX('データ'!P$370:P$486,$B$2))</f>
        <v>25200.0</v>
      </c>
      <c r="O6">
        <f>CHOOSE($B$3,INDEX('データ'!Q$7:Q$123,$B$2),INDEX('データ'!Q$128:Q$244,$B$2),INDEX('データ'!Q$249:Q$365,$B$2),INDEX('データ'!Q$370:Q$486,$B$2))</f>
        <v>26206.0</v>
      </c>
      <c r="P6">
        <f>CHOOSE($B$3,INDEX('データ'!R$7:R$123,$B$2),INDEX('データ'!R$128:R$244,$B$2),INDEX('データ'!R$249:R$365,$B$2),INDEX('データ'!R$370:R$486,$B$2))</f>
        <v>26217.0</v>
      </c>
      <c r="Q6">
        <f>CHOOSE($B$3,INDEX('データ'!S$7:S$123,$B$2),INDEX('データ'!S$128:S$244,$B$2),INDEX('データ'!S$249:S$365,$B$2),INDEX('データ'!S$370:S$486,$B$2))</f>
        <v>26186.0</v>
      </c>
      <c r="R6">
        <f>CHOOSE($B$3,INDEX('データ'!T$7:T$123,$B$2),INDEX('データ'!T$128:T$244,$B$2),INDEX('データ'!T$249:T$365,$B$2),INDEX('データ'!T$370:T$486,$B$2))</f>
        <v>25985.0</v>
      </c>
      <c r="S6">
        <f>CHOOSE($B$3,INDEX('データ'!U$7:U$123,$B$2),INDEX('データ'!U$128:U$244,$B$2),INDEX('データ'!U$249:U$365,$B$2),INDEX('データ'!U$370:U$486,$B$2))</f>
        <v>24776.0</v>
      </c>
      <c r="T6">
        <f>CHOOSE($B$3,INDEX('データ'!V$7:V$123,$B$2),INDEX('データ'!V$128:V$244,$B$2),INDEX('データ'!V$249:V$365,$B$2),INDEX('データ'!V$370:V$486,$B$2))</f>
        <v>23366.0</v>
      </c>
      <c r="U6">
        <f>CHOOSE($B$3,INDEX('データ'!W$7:W$123,$B$2),INDEX('データ'!W$128:W$244,$B$2),INDEX('データ'!W$249:W$365,$B$2),INDEX('データ'!W$370:W$486,$B$2))</f>
        <v>21302.0</v>
      </c>
      <c r="V6">
        <f>CHOOSE($B$3,INDEX('データ'!X$7:X$123,$B$2),INDEX('データ'!X$128:X$244,$B$2),INDEX('データ'!X$249:X$365,$B$2),INDEX('データ'!X$370:X$486,$B$2))</f>
        <v>20028.0</v>
      </c>
      <c r="W6">
        <f>CHOOSE($B$3,INDEX('データ'!Y$7:Y$123,$B$2),INDEX('データ'!Y$128:Y$244,$B$2),INDEX('データ'!Y$249:Y$365,$B$2),INDEX('データ'!Y$370:Y$486,$B$2))</f>
        <v>19497.0</v>
      </c>
      <c r="X6">
        <f>CHOOSE($B$3,INDEX('データ'!Z$7:Z$123,$B$2),INDEX('データ'!Z$128:Z$244,$B$2),INDEX('データ'!Z$249:Z$365,$B$2),INDEX('データ'!Z$370:Z$486,$B$2))</f>
        <v>19397.0</v>
      </c>
      <c r="Y6">
        <f>CHOOSE($B$3,INDEX('データ'!AA$7:AA$123,$B$2),INDEX('データ'!AA$128:AA$244,$B$2),INDEX('データ'!AA$249:AA$365,$B$2),INDEX('データ'!AA$370:AA$486,$B$2))</f>
        <v>19438.0</v>
      </c>
      <c r="Z6">
        <f>CHOOSE($B$3,INDEX('データ'!AB$7:AB$123,$B$2),INDEX('データ'!AB$128:AB$244,$B$2),INDEX('データ'!AB$249:AB$365,$B$2),INDEX('データ'!AB$370:AB$486,$B$2))</f>
        <v>20947.0</v>
      </c>
      <c r="AA6">
        <f>CHOOSE($B$3,INDEX('データ'!AC$7:AC$123,$B$2),INDEX('データ'!AC$128:AC$244,$B$2),INDEX('データ'!AC$249:AC$365,$B$2),INDEX('データ'!AC$370:AC$486,$B$2))</f>
        <v>22841.0</v>
      </c>
      <c r="AB6">
        <f>CHOOSE($B$3,INDEX('データ'!AD$7:AD$123,$B$2),INDEX('データ'!AD$128:AD$244,$B$2),INDEX('データ'!AD$249:AD$365,$B$2),INDEX('データ'!AD$370:AD$486,$B$2))</f>
        <v>23475.0</v>
      </c>
      <c r="AC6">
        <f>CHOOSE($B$3,INDEX('データ'!AE$7:AE$123,$B$2),INDEX('データ'!AE$128:AE$244,$B$2),INDEX('データ'!AE$249:AE$365,$B$2),INDEX('データ'!AE$370:AE$486,$B$2))</f>
        <v>24330.0</v>
      </c>
      <c r="AD6">
        <f>CHOOSE($B$3,INDEX('データ'!AF$7:AF$123,$B$2),INDEX('データ'!AF$128:AF$244,$B$2),INDEX('データ'!AF$249:AF$365,$B$2),INDEX('データ'!AF$370:AF$486,$B$2))</f>
        <v>24146.0</v>
      </c>
      <c r="AE6">
        <f>CHOOSE($B$3,INDEX('データ'!AG$7:AG$123,$B$2),INDEX('データ'!AG$128:AG$244,$B$2),INDEX('データ'!AG$249:AG$365,$B$2),INDEX('データ'!AG$370:AG$486,$B$2))</f>
        <v>24119.0</v>
      </c>
      <c r="AF6">
        <f>CHOOSE($B$3,INDEX('データ'!AH$7:AH$123,$B$2),INDEX('データ'!AH$128:AH$244,$B$2),INDEX('データ'!AH$249:AH$365,$B$2),INDEX('データ'!AH$370:AH$486,$B$2))</f>
        <v>23771.0</v>
      </c>
      <c r="AG6">
        <f>CHOOSE($B$3,INDEX('データ'!AI$7:AI$123,$B$2),INDEX('データ'!AI$128:AI$244,$B$2),INDEX('データ'!AI$249:AI$365,$B$2),INDEX('データ'!AI$370:AI$486,$B$2))</f>
        <v>22927.0</v>
      </c>
      <c r="AH6">
        <f>CHOOSE($B$3,INDEX('データ'!AJ$7:AJ$123,$B$2),INDEX('データ'!AJ$128:AJ$244,$B$2),INDEX('データ'!AJ$249:AJ$365,$B$2),INDEX('データ'!AJ$370:AJ$486,$B$2))</f>
        <v>22391.0</v>
      </c>
      <c r="AI6">
        <f>CHOOSE($B$3,INDEX('データ'!AK$7:AK$123,$B$2),INDEX('データ'!AK$128:AK$244,$B$2),INDEX('データ'!AK$249:AK$365,$B$2),INDEX('データ'!AK$370:AK$486,$B$2))</f>
        <v>21913.0</v>
      </c>
      <c r="AJ6">
        <f>CHOOSE($B$3,INDEX('データ'!AL$7:AL$123,$B$2),INDEX('データ'!AL$128:AL$244,$B$2),INDEX('データ'!AL$249:AL$365,$B$2),INDEX('データ'!AL$370:AL$486,$B$2))</f>
        <v>21830.0</v>
      </c>
      <c r="AK6">
        <f>CHOOSE($B$3,INDEX('データ'!AM$7:AM$123,$B$2),INDEX('データ'!AM$128:AM$244,$B$2),INDEX('データ'!AM$249:AM$365,$B$2),INDEX('データ'!AM$370:AM$486,$B$2))</f>
        <v>20933.0</v>
      </c>
      <c r="AL6">
        <f>CHOOSE($B$3,INDEX('データ'!AN$7:AN$123,$B$2),INDEX('データ'!AN$128:AN$244,$B$2),INDEX('データ'!AN$249:AN$365,$B$2),INDEX('データ'!AN$370:AN$486,$B$2))</f>
        <v>20714.0</v>
      </c>
      <c r="AM6">
        <f>CHOOSE($B$3,INDEX('データ'!AO$7:AO$123,$B$2),INDEX('データ'!AO$128:AO$244,$B$2),INDEX('データ'!AO$249:AO$365,$B$2),INDEX('データ'!AO$370:AO$486,$B$2))</f>
        <v>20176.0</v>
      </c>
      <c r="AN6">
        <f>CHOOSE($B$3,INDEX('データ'!AP$7:AP$123,$B$2),INDEX('データ'!AP$128:AP$244,$B$2),INDEX('データ'!AP$249:AP$365,$B$2),INDEX('データ'!AP$370:AP$486,$B$2))</f>
        <v>18403.0</v>
      </c>
      <c r="AO6">
        <f>CHOOSE($B$3,INDEX('データ'!AQ$7:AQ$123,$B$2),INDEX('データ'!AQ$128:AQ$244,$B$2),INDEX('データ'!AQ$249:AQ$365,$B$2),INDEX('データ'!AQ$370:AQ$486,$B$2))</f>
        <v>14050.0</v>
      </c>
      <c r="AP6">
        <f>CHOOSE($B$3,INDEX('データ'!AR$7:AR$123,$B$2),INDEX('データ'!AR$128:AR$244,$B$2),INDEX('データ'!AR$249:AR$365,$B$2),INDEX('データ'!AR$370:AR$486,$B$2))</f>
        <v>7535.0</v>
      </c>
      <c r="AQ6">
        <f>CHOOSE($B$3,INDEX('データ'!AS$7:AS$123,$B$2),INDEX('データ'!AS$128:AS$244,$B$2),INDEX('データ'!AS$249:AS$365,$B$2),INDEX('データ'!AS$370:AS$486,$B$2))</f>
        <v>1794.0</v>
      </c>
      <c r="AR6">
        <f>CHOOSE($B$3,INDEX('データ'!AT$7:AT$123,$B$2),INDEX('データ'!AT$128:AT$244,$B$2),INDEX('データ'!AT$249:AT$365,$B$2),INDEX('データ'!AT$370:AT$486,$B$2))</f>
        <v>432.0</v>
      </c>
      <c r="AS6">
        <f>CHOOSE($B$3,INDEX('データ'!AU$7:AU$123,$B$2),INDEX('データ'!AU$128:AU$244,$B$2),INDEX('データ'!AU$249:AU$365,$B$2),INDEX('データ'!AU$370:AU$486,$B$2))</f>
        <v>209.0</v>
      </c>
      <c r="AT6">
        <f>CHOOSE($B$3,INDEX('データ'!AV$7:AV$123,$B$2),INDEX('データ'!AV$128:AV$244,$B$2),INDEX('データ'!AV$249:AV$365,$B$2),INDEX('データ'!AV$370:AV$486,$B$2))</f>
        <v>135.0</v>
      </c>
      <c r="AU6">
        <f>CHOOSE($B$3,INDEX('データ'!AW$7:AW$123,$B$2),INDEX('データ'!AW$128:AW$244,$B$2),INDEX('データ'!AW$249:AW$365,$B$2),INDEX('データ'!AW$370:AW$486,$B$2))</f>
        <v>139.0</v>
      </c>
      <c r="AV6">
        <f>CHOOSE($B$3,INDEX('データ'!AX$7:AX$123,$B$2),INDEX('データ'!AX$128:AX$244,$B$2),INDEX('データ'!AX$249:AX$365,$B$2),INDEX('データ'!AX$370:AX$486,$B$2))</f>
        <v>124.0</v>
      </c>
      <c r="AW6">
        <f>CHOOSE($B$3,INDEX('データ'!AY$7:AY$123,$B$2),INDEX('データ'!AY$128:AY$244,$B$2),INDEX('データ'!AY$249:AY$365,$B$2),INDEX('データ'!AY$370:AY$486,$B$2))</f>
        <v>79.0</v>
      </c>
      <c r="AX6">
        <f>CHOOSE($B$3,INDEX('データ'!AZ$7:AZ$123,$B$2),INDEX('データ'!AZ$128:AZ$244,$B$2),INDEX('データ'!AZ$249:AZ$365,$B$2),INDEX('データ'!AZ$370:AZ$486,$B$2))</f>
        <v>77.0</v>
      </c>
      <c r="AY6">
        <f>CHOOSE($B$3,INDEX('データ'!BA$7:BA$123,$B$2),INDEX('データ'!BA$128:BA$244,$B$2),INDEX('データ'!BA$249:BA$365,$B$2),INDEX('データ'!BA$370:BA$486,$B$2))</f>
        <v>40.0</v>
      </c>
      <c r="AZ6">
        <f>CHOOSE($B$3,INDEX('データ'!BB$7:BB$123,$B$2),INDEX('データ'!BB$128:BB$244,$B$2),INDEX('データ'!BB$249:BB$365,$B$2),INDEX('データ'!BB$370:BB$486,$B$2))</f>
        <v>14.0</v>
      </c>
      <c r="BA6">
        <f>CHOOSE($B$3,INDEX('データ'!BC$7:BC$123,$B$2),INDEX('データ'!BC$128:BC$244,$B$2),INDEX('データ'!BC$249:BC$365,$B$2),INDEX('データ'!BC$370:BC$486,$B$2))</f>
        <v>5.0</v>
      </c>
      <c r="BB6">
        <f>CHOOSE($B$3,INDEX('データ'!BD$7:BD$123,$B$2),INDEX('データ'!BD$128:BD$244,$B$2),INDEX('データ'!BD$249:BD$365,$B$2),INDEX('データ'!BD$370:BD$486,$B$2))</f>
        <v>3.0</v>
      </c>
      <c r="BC6">
        <f>CHOOSE($B$3,INDEX('データ'!BE$7:BE$123,$B$2),INDEX('データ'!BE$128:BE$244,$B$2),INDEX('データ'!BE$249:BE$365,$B$2),INDEX('データ'!BE$370:BE$486,$B$2))</f>
        <v>0.0</v>
      </c>
      <c r="BD6">
        <f>CHOOSE($B$3,INDEX('データ'!BF$7:BF$123,$B$2),INDEX('データ'!BF$128:BF$244,$B$2),INDEX('データ'!BF$249:BF$365,$B$2),INDEX('データ'!BF$370:BF$486,$B$2))</f>
        <v>0.0</v>
      </c>
      <c r="BE6">
        <f>CHOOSE($B$3,INDEX('データ'!BG$7:BG$123,$B$2),INDEX('データ'!BG$128:BG$244,$B$2),INDEX('データ'!BG$249:BG$365,$B$2),INDEX('データ'!BG$370:BG$486,$B$2))</f>
        <v>0.0</v>
      </c>
    </row>
    <row r="7" spans="1:57">
      <c r="A7" t="s">
        <v>385</v>
      </c>
      <c r="B7">
        <f>IF(AND(B$5&gt;=$B$10,B$5&lt;$B$11),B6,0)</f>
        <v>0.0</v>
      </c>
      <c r="C7">
        <f>IF(AND(C$5&gt;=$B$10,C$5&lt;$B$11),C6,0)</f>
        <v>0.0</v>
      </c>
      <c r="D7">
        <f>IF(AND(D$5&gt;=$B$10,D$5&lt;$B$11),D6,0)</f>
        <v>0.0</v>
      </c>
      <c r="E7">
        <f>IF(AND(E$5&gt;=$B$10,E$5&lt;$B$11),E6,0)</f>
        <v>0.0</v>
      </c>
      <c r="F7">
        <f>IF(AND(F$5&gt;=$B$10,F$5&lt;$B$11),F6,0)</f>
        <v>0.0</v>
      </c>
      <c r="G7">
        <f>IF(AND(G$5&gt;=$B$10,G$5&lt;$B$11),G6,0)</f>
        <v>0.0</v>
      </c>
      <c r="H7">
        <f>IF(AND(H$5&gt;=$B$10,H$5&lt;$B$11),H6,0)</f>
        <v>0.0</v>
      </c>
      <c r="I7">
        <f>IF(AND(I$5&gt;=$B$10,I$5&lt;$B$11),I6,0)</f>
        <v>0.0</v>
      </c>
      <c r="J7">
        <f>IF(AND(J$5&gt;=$B$10,J$5&lt;$B$11),J6,0)</f>
        <v>18795.0</v>
      </c>
      <c r="K7">
        <f>IF(AND(K$5&gt;=$B$10,K$5&lt;$B$11),K6,0)</f>
        <v>21042.0</v>
      </c>
      <c r="L7">
        <f>IF(AND(L$5&gt;=$B$10,L$5&lt;$B$11),L6,0)</f>
        <v>22530.0</v>
      </c>
      <c r="M7">
        <f>IF(AND(M$5&gt;=$B$10,M$5&lt;$B$11),M6,0)</f>
        <v>23911.0</v>
      </c>
      <c r="N7">
        <f>IF(AND(N$5&gt;=$B$10,N$5&lt;$B$11),N6,0)</f>
        <v>25200.0</v>
      </c>
      <c r="O7">
        <f>IF(AND(O$5&gt;=$B$10,O$5&lt;$B$11),O6,0)</f>
        <v>26206.0</v>
      </c>
      <c r="P7">
        <f>IF(AND(P$5&gt;=$B$10,P$5&lt;$B$11),P6,0)</f>
        <v>26217.0</v>
      </c>
      <c r="Q7">
        <f>IF(AND(Q$5&gt;=$B$10,Q$5&lt;$B$11),Q6,0)</f>
        <v>26186.0</v>
      </c>
      <c r="R7">
        <f>IF(AND(R$5&gt;=$B$10,R$5&lt;$B$11),R6,0)</f>
        <v>25985.0</v>
      </c>
      <c r="S7">
        <f>IF(AND(S$5&gt;=$B$10,S$5&lt;$B$11),S6,0)</f>
        <v>24776.0</v>
      </c>
      <c r="T7">
        <f>IF(AND(T$5&gt;=$B$10,T$5&lt;$B$11),T6,0)</f>
        <v>23366.0</v>
      </c>
      <c r="U7">
        <f>IF(AND(U$5&gt;=$B$10,U$5&lt;$B$11),U6,0)</f>
        <v>21302.0</v>
      </c>
      <c r="V7">
        <f>IF(AND(V$5&gt;=$B$10,V$5&lt;$B$11),V6,0)</f>
        <v>20028.0</v>
      </c>
      <c r="W7">
        <f>IF(AND(W$5&gt;=$B$10,W$5&lt;$B$11),W6,0)</f>
        <v>19497.0</v>
      </c>
      <c r="X7">
        <f>IF(AND(X$5&gt;=$B$10,X$5&lt;$B$11),X6,0)</f>
        <v>19397.0</v>
      </c>
      <c r="Y7">
        <f>IF(AND(Y$5&gt;=$B$10,Y$5&lt;$B$11),Y6,0)</f>
        <v>19438.0</v>
      </c>
      <c r="Z7">
        <f>IF(AND(Z$5&gt;=$B$10,Z$5&lt;$B$11),Z6,0)</f>
        <v>20947.0</v>
      </c>
      <c r="AA7">
        <f>IF(AND(AA$5&gt;=$B$10,AA$5&lt;$B$11),AA6,0)</f>
        <v>22841.0</v>
      </c>
      <c r="AB7">
        <f>IF(AND(AB$5&gt;=$B$10,AB$5&lt;$B$11),AB6,0)</f>
        <v>23475.0</v>
      </c>
      <c r="AC7">
        <f>IF(AND(AC$5&gt;=$B$10,AC$5&lt;$B$11),AC6,0)</f>
        <v>24330.0</v>
      </c>
      <c r="AD7">
        <f>IF(AND(AD$5&gt;=$B$10,AD$5&lt;$B$11),AD6,0)</f>
        <v>24146.0</v>
      </c>
      <c r="AE7">
        <f>IF(AND(AE$5&gt;=$B$10,AE$5&lt;$B$11),AE6,0)</f>
        <v>24119.0</v>
      </c>
      <c r="AF7">
        <f>IF(AND(AF$5&gt;=$B$10,AF$5&lt;$B$11),AF6,0)</f>
        <v>23771.0</v>
      </c>
      <c r="AG7">
        <f>IF(AND(AG$5&gt;=$B$10,AG$5&lt;$B$11),AG6,0)</f>
        <v>22927.0</v>
      </c>
      <c r="AH7">
        <f>IF(AND(AH$5&gt;=$B$10,AH$5&lt;$B$11),AH6,0)</f>
        <v>22391.0</v>
      </c>
      <c r="AI7">
        <f>IF(AND(AI$5&gt;=$B$10,AI$5&lt;$B$11),AI6,0)</f>
        <v>21913.0</v>
      </c>
      <c r="AJ7">
        <f>IF(AND(AJ$5&gt;=$B$10,AJ$5&lt;$B$11),AJ6,0)</f>
        <v>21830.0</v>
      </c>
      <c r="AK7">
        <f>IF(AND(AK$5&gt;=$B$10,AK$5&lt;$B$11),AK6,0)</f>
        <v>20933.0</v>
      </c>
      <c r="AL7">
        <f>IF(AND(AL$5&gt;=$B$10,AL$5&lt;$B$11),AL6,0)</f>
        <v>20714.0</v>
      </c>
      <c r="AM7">
        <f>IF(AND(AM$5&gt;=$B$10,AM$5&lt;$B$11),AM6,0)</f>
        <v>20176.0</v>
      </c>
      <c r="AN7">
        <f>IF(AND(AN$5&gt;=$B$10,AN$5&lt;$B$11),AN6,0)</f>
        <v>0.0</v>
      </c>
      <c r="AO7">
        <f>IF(AND(AO$5&gt;=$B$10,AO$5&lt;$B$11),AO6,0)</f>
        <v>0.0</v>
      </c>
      <c r="AP7">
        <f>IF(AND(AP$5&gt;=$B$10,AP$5&lt;$B$11),AP6,0)</f>
        <v>0.0</v>
      </c>
      <c r="AQ7">
        <f>IF(AND(AQ$5&gt;=$B$10,AQ$5&lt;$B$11),AQ6,0)</f>
        <v>0.0</v>
      </c>
      <c r="AR7">
        <f>IF(AND(AR$5&gt;=$B$10,AR$5&lt;$B$11),AR6,0)</f>
        <v>0.0</v>
      </c>
      <c r="AS7">
        <f>IF(AND(AS$5&gt;=$B$10,AS$5&lt;$B$11),AS6,0)</f>
        <v>0.0</v>
      </c>
      <c r="AT7">
        <f>IF(AND(AT$5&gt;=$B$10,AT$5&lt;$B$11),AT6,0)</f>
        <v>0.0</v>
      </c>
      <c r="AU7">
        <f>IF(AND(AU$5&gt;=$B$10,AU$5&lt;$B$11),AU6,0)</f>
        <v>0.0</v>
      </c>
      <c r="AV7">
        <f>IF(AND(AV$5&gt;=$B$10,AV$5&lt;$B$11),AV6,0)</f>
        <v>0.0</v>
      </c>
      <c r="AW7">
        <f>IF(AND(AW$5&gt;=$B$10,AW$5&lt;$B$11),AW6,0)</f>
        <v>0.0</v>
      </c>
      <c r="AX7">
        <f>IF(AND(AX$5&gt;=$B$10,AX$5&lt;$B$11),AX6,0)</f>
        <v>0.0</v>
      </c>
      <c r="AY7">
        <f>IF(AND(AY$5&gt;=$B$10,AY$5&lt;$B$11),AY6,0)</f>
        <v>0.0</v>
      </c>
      <c r="AZ7">
        <f>IF(AND(AZ$5&gt;=$B$10,AZ$5&lt;$B$11),AZ6,0)</f>
        <v>0.0</v>
      </c>
      <c r="BA7">
        <f>IF(AND(BA$5&gt;=$B$10,BA$5&lt;$B$11),BA6,0)</f>
        <v>0.0</v>
      </c>
      <c r="BB7">
        <f>IF(AND(BB$5&gt;=$B$10,BB$5&lt;$B$11),BB6,0)</f>
        <v>0.0</v>
      </c>
      <c r="BC7">
        <f>IF(AND(BC$5&gt;=$B$10,BC$5&lt;$B$11),BC6,0)</f>
        <v>0.0</v>
      </c>
      <c r="BD7">
        <f>IF(AND(BD$5&gt;=$B$10,BD$5&lt;$B$11),BD6,0)</f>
        <v>0.0</v>
      </c>
      <c r="BE7">
        <f>IF(AND(BE$5&gt;=$B$10,BE$5&lt;$B$11),BE6,0)</f>
        <v>0.0</v>
      </c>
    </row>
    <row r="8" spans="1:57">
      <c r="A8" t="s">
        <v>386</v>
      </c>
      <c r="B8">
        <f>B6-B7</f>
        <v>0.0</v>
      </c>
      <c r="C8">
        <f>C6-C7</f>
        <v>0.0</v>
      </c>
      <c r="D8">
        <f>D6-D7</f>
        <v>3.0</v>
      </c>
      <c r="E8">
        <f>E6-E7</f>
        <v>183.0</v>
      </c>
      <c r="F8">
        <f>F6-F7</f>
        <v>1610.0</v>
      </c>
      <c r="G8">
        <f>G6-G7</f>
        <v>6985.0</v>
      </c>
      <c r="H8">
        <f>H6-H7</f>
        <v>15366.0</v>
      </c>
      <c r="I8">
        <f>I6-I7</f>
        <v>16427.0</v>
      </c>
      <c r="J8">
        <f>J6-J7</f>
        <v>0.0</v>
      </c>
      <c r="K8">
        <f>K6-K7</f>
        <v>0.0</v>
      </c>
      <c r="L8">
        <f>L6-L7</f>
        <v>0.0</v>
      </c>
      <c r="M8">
        <f>M6-M7</f>
        <v>0.0</v>
      </c>
      <c r="N8">
        <f>N6-N7</f>
        <v>0.0</v>
      </c>
      <c r="O8">
        <f>O6-O7</f>
        <v>0.0</v>
      </c>
      <c r="P8">
        <f>P6-P7</f>
        <v>0.0</v>
      </c>
      <c r="Q8">
        <f>Q6-Q7</f>
        <v>0.0</v>
      </c>
      <c r="R8">
        <f>R6-R7</f>
        <v>0.0</v>
      </c>
      <c r="S8">
        <f>S6-S7</f>
        <v>0.0</v>
      </c>
      <c r="T8">
        <f>T6-T7</f>
        <v>0.0</v>
      </c>
      <c r="U8">
        <f>U6-U7</f>
        <v>0.0</v>
      </c>
      <c r="V8">
        <f>V6-V7</f>
        <v>0.0</v>
      </c>
      <c r="W8">
        <f>W6-W7</f>
        <v>0.0</v>
      </c>
      <c r="X8">
        <f>X6-X7</f>
        <v>0.0</v>
      </c>
      <c r="Y8">
        <f>Y6-Y7</f>
        <v>0.0</v>
      </c>
      <c r="Z8">
        <f>Z6-Z7</f>
        <v>0.0</v>
      </c>
      <c r="AA8">
        <f>AA6-AA7</f>
        <v>0.0</v>
      </c>
      <c r="AB8">
        <f>AB6-AB7</f>
        <v>0.0</v>
      </c>
      <c r="AC8">
        <f>AC6-AC7</f>
        <v>0.0</v>
      </c>
      <c r="AD8">
        <f>AD6-AD7</f>
        <v>0.0</v>
      </c>
      <c r="AE8">
        <f>AE6-AE7</f>
        <v>0.0</v>
      </c>
      <c r="AF8">
        <f>AF6-AF7</f>
        <v>0.0</v>
      </c>
      <c r="AG8">
        <f>AG6-AG7</f>
        <v>0.0</v>
      </c>
      <c r="AH8">
        <f>AH6-AH7</f>
        <v>0.0</v>
      </c>
      <c r="AI8">
        <f>AI6-AI7</f>
        <v>0.0</v>
      </c>
      <c r="AJ8">
        <f>AJ6-AJ7</f>
        <v>0.0</v>
      </c>
      <c r="AK8">
        <f>AK6-AK7</f>
        <v>0.0</v>
      </c>
      <c r="AL8">
        <f>AL6-AL7</f>
        <v>0.0</v>
      </c>
      <c r="AM8">
        <f>AM6-AM7</f>
        <v>0.0</v>
      </c>
      <c r="AN8">
        <f>AN6-AN7</f>
        <v>18403.0</v>
      </c>
      <c r="AO8">
        <f>AO6-AO7</f>
        <v>14050.0</v>
      </c>
      <c r="AP8">
        <f>AP6-AP7</f>
        <v>7535.0</v>
      </c>
      <c r="AQ8">
        <f>AQ6-AQ7</f>
        <v>1794.0</v>
      </c>
      <c r="AR8">
        <f>AR6-AR7</f>
        <v>432.0</v>
      </c>
      <c r="AS8">
        <f>AS6-AS7</f>
        <v>209.0</v>
      </c>
      <c r="AT8">
        <f>AT6-AT7</f>
        <v>135.0</v>
      </c>
      <c r="AU8">
        <f>AU6-AU7</f>
        <v>139.0</v>
      </c>
      <c r="AV8">
        <f>AV6-AV7</f>
        <v>124.0</v>
      </c>
      <c r="AW8">
        <f>AW6-AW7</f>
        <v>79.0</v>
      </c>
      <c r="AX8">
        <f>AX6-AX7</f>
        <v>77.0</v>
      </c>
      <c r="AY8">
        <f>AY6-AY7</f>
        <v>40.0</v>
      </c>
      <c r="AZ8">
        <f>AZ6-AZ7</f>
        <v>14.0</v>
      </c>
      <c r="BA8">
        <f>BA6-BA7</f>
        <v>5.0</v>
      </c>
      <c r="BB8">
        <f>BB6-BB7</f>
        <v>3.0</v>
      </c>
      <c r="BC8">
        <f>BC6-BC7</f>
        <v>0.0</v>
      </c>
      <c r="BD8">
        <f>BD6-BD7</f>
        <v>0.0</v>
      </c>
      <c r="BE8">
        <f>BE6-BE7</f>
        <v>0.0</v>
      </c>
    </row>
    <row r="9" spans="1:57">
      <c r="A9" t="s">
        <v>387</v>
      </c>
      <c r="B9">
        <f>INDEX('データ'!D$7:D$123,$B$2)</f>
        <v>0</v>
      </c>
      <c r="C9">
        <f>INDEX('データ'!E$7:E$123,$B$2)</f>
        <v>0</v>
      </c>
      <c r="D9">
        <f>INDEX('データ'!F$7:F$123,$B$2)</f>
        <v>3</v>
      </c>
      <c r="E9">
        <f>INDEX('データ'!G$7:G$123,$B$2)</f>
        <v>183</v>
      </c>
      <c r="F9">
        <f>INDEX('データ'!H$7:H$123,$B$2)</f>
        <v>1610</v>
      </c>
      <c r="G9">
        <f>INDEX('データ'!I$7:I$123,$B$2)</f>
        <v>6985</v>
      </c>
      <c r="H9">
        <f>INDEX('データ'!J$7:J$123,$B$2)</f>
        <v>15366</v>
      </c>
      <c r="I9">
        <f>INDEX('データ'!K$7:K$123,$B$2)</f>
        <v>16427</v>
      </c>
      <c r="J9">
        <f>INDEX('データ'!L$7:L$123,$B$2)</f>
        <v>18795</v>
      </c>
      <c r="K9">
        <f>INDEX('データ'!M$7:M$123,$B$2)</f>
        <v>21042</v>
      </c>
      <c r="L9">
        <f>INDEX('データ'!N$7:N$123,$B$2)</f>
        <v>22530</v>
      </c>
      <c r="M9">
        <f>INDEX('データ'!O$7:O$123,$B$2)</f>
        <v>23911</v>
      </c>
      <c r="N9">
        <f>INDEX('データ'!P$7:P$123,$B$2)</f>
        <v>25200</v>
      </c>
      <c r="O9">
        <f>INDEX('データ'!Q$7:Q$123,$B$2)</f>
        <v>26206</v>
      </c>
      <c r="P9">
        <f>INDEX('データ'!R$7:R$123,$B$2)</f>
        <v>26217</v>
      </c>
      <c r="Q9">
        <f>INDEX('データ'!S$7:S$123,$B$2)</f>
        <v>26186</v>
      </c>
      <c r="R9">
        <f>INDEX('データ'!T$7:T$123,$B$2)</f>
        <v>25985</v>
      </c>
      <c r="S9">
        <f>INDEX('データ'!U$7:U$123,$B$2)</f>
        <v>24776</v>
      </c>
      <c r="T9">
        <f>INDEX('データ'!V$7:V$123,$B$2)</f>
        <v>23366</v>
      </c>
      <c r="U9">
        <f>INDEX('データ'!W$7:W$123,$B$2)</f>
        <v>21302</v>
      </c>
      <c r="V9">
        <f>INDEX('データ'!X$7:X$123,$B$2)</f>
        <v>20028</v>
      </c>
      <c r="W9">
        <f>INDEX('データ'!Y$7:Y$123,$B$2)</f>
        <v>19497</v>
      </c>
      <c r="X9">
        <f>INDEX('データ'!Z$7:Z$123,$B$2)</f>
        <v>19397</v>
      </c>
      <c r="Y9">
        <f>INDEX('データ'!AA$7:AA$123,$B$2)</f>
        <v>19438</v>
      </c>
      <c r="Z9">
        <f>INDEX('データ'!AB$7:AB$123,$B$2)</f>
        <v>20947</v>
      </c>
      <c r="AA9">
        <f>INDEX('データ'!AC$7:AC$123,$B$2)</f>
        <v>22841</v>
      </c>
      <c r="AB9">
        <f>INDEX('データ'!AD$7:AD$123,$B$2)</f>
        <v>23475</v>
      </c>
      <c r="AC9">
        <f>INDEX('データ'!AE$7:AE$123,$B$2)</f>
        <v>24330</v>
      </c>
      <c r="AD9">
        <f>INDEX('データ'!AF$7:AF$123,$B$2)</f>
        <v>24146</v>
      </c>
      <c r="AE9">
        <f>INDEX('データ'!AG$7:AG$123,$B$2)</f>
        <v>24119</v>
      </c>
      <c r="AF9">
        <f>INDEX('データ'!AH$7:AH$123,$B$2)</f>
        <v>23771</v>
      </c>
      <c r="AG9">
        <f>INDEX('データ'!AI$7:AI$123,$B$2)</f>
        <v>22927</v>
      </c>
      <c r="AH9">
        <f>INDEX('データ'!AJ$7:AJ$123,$B$2)</f>
        <v>22391</v>
      </c>
      <c r="AI9">
        <f>INDEX('データ'!AK$7:AK$123,$B$2)</f>
        <v>21913</v>
      </c>
      <c r="AJ9">
        <f>INDEX('データ'!AL$7:AL$123,$B$2)</f>
        <v>21830</v>
      </c>
      <c r="AK9">
        <f>INDEX('データ'!AM$7:AM$123,$B$2)</f>
        <v>20933</v>
      </c>
      <c r="AL9">
        <f>INDEX('データ'!AN$7:AN$123,$B$2)</f>
        <v>20714</v>
      </c>
      <c r="AM9">
        <f>INDEX('データ'!AO$7:AO$123,$B$2)</f>
        <v>20176</v>
      </c>
      <c r="AN9">
        <f>INDEX('データ'!AP$7:AP$123,$B$2)</f>
        <v>18403</v>
      </c>
      <c r="AO9">
        <f>INDEX('データ'!AQ$7:AQ$123,$B$2)</f>
        <v>14050</v>
      </c>
      <c r="AP9">
        <f>INDEX('データ'!AR$7:AR$123,$B$2)</f>
        <v>7535</v>
      </c>
      <c r="AQ9">
        <f>INDEX('データ'!AS$7:AS$123,$B$2)</f>
        <v>1794</v>
      </c>
      <c r="AR9">
        <f>INDEX('データ'!AT$7:AT$123,$B$2)</f>
        <v>432</v>
      </c>
      <c r="AS9">
        <f>INDEX('データ'!AU$7:AU$123,$B$2)</f>
        <v>209</v>
      </c>
      <c r="AT9">
        <f>INDEX('データ'!AV$7:AV$123,$B$2)</f>
        <v>135</v>
      </c>
      <c r="AU9">
        <f>INDEX('データ'!AW$7:AW$123,$B$2)</f>
        <v>139</v>
      </c>
      <c r="AV9">
        <f>INDEX('データ'!AX$7:AX$123,$B$2)</f>
        <v>124</v>
      </c>
      <c r="AW9">
        <f>INDEX('データ'!AY$7:AY$123,$B$2)</f>
        <v>79</v>
      </c>
      <c r="AX9">
        <f>INDEX('データ'!AZ$7:AZ$123,$B$2)</f>
        <v>77</v>
      </c>
      <c r="AY9">
        <f>INDEX('データ'!BA$7:BA$123,$B$2)</f>
        <v>40</v>
      </c>
      <c r="AZ9">
        <f>INDEX('データ'!BB$7:BB$123,$B$2)</f>
        <v>14</v>
      </c>
      <c r="BA9">
        <f>INDEX('データ'!BC$7:BC$123,$B$2)</f>
        <v>5</v>
      </c>
      <c r="BB9">
        <f>INDEX('データ'!BD$7:BD$123,$B$2)</f>
        <v>3</v>
      </c>
      <c r="BC9">
        <f>INDEX('データ'!BE$7:BE$123,$B$2)</f>
        <v>0</v>
      </c>
      <c r="BD9">
        <f>INDEX('データ'!BF$7:BF$123,$B$2)</f>
        <v>0</v>
      </c>
      <c r="BE9">
        <f>INDEX('データ'!BG$7:BG$123,$B$2)</f>
        <v>0</v>
      </c>
    </row>
    <row r="10" spans="1:57">
      <c r="A10" t="s">
        <v>63</v>
      </c>
      <c r="B10">
        <f>ROUND('ダッシュボード'!$P$4*1440,0)</f>
        <v>540</v>
      </c>
    </row>
    <row r="11" spans="1:57">
      <c r="A11" t="s">
        <v>389</v>
      </c>
      <c r="B11">
        <f>ROUND('ダッシュボード'!$V$4*1440,0)</f>
        <v>990</v>
      </c>
    </row>
    <row r="13" spans="1:57">
      <c r="A13" t="s">
        <v>390</v>
      </c>
      <c r="B13">
        <f>SUM(B9:BE9)</f>
        <v>762002</v>
      </c>
    </row>
    <row r="14" spans="1:57">
      <c r="A14" t="s">
        <v>385</v>
      </c>
      <c r="B14">
        <f>SUMPRODUCT((B5:BE5&gt;=B10)*(B5:BE5&lt;B11)*B9:BE9)</f>
        <v>678389</v>
      </c>
    </row>
    <row r="15" spans="1:57">
      <c r="A15" t="s">
        <v>386</v>
      </c>
      <c r="B15">
        <f>B13-B14</f>
        <v>83613</v>
      </c>
    </row>
    <row r="16" spans="1:57">
      <c r="A16" t="s">
        <v>391</v>
      </c>
      <c r="B16">
        <f>IF(B13=0,0,B15/B13)</f>
        <v>0.10972805845653949</v>
      </c>
    </row>
    <row r="17" spans="1:2">
      <c r="A17" t="s">
        <v>392</v>
      </c>
      <c r="B17">
        <f>MATCH(MAX(B9:BE9),B9:BE9,0)</f>
        <v>15</v>
      </c>
    </row>
    <row r="18" spans="1:2">
      <c r="A18" t="s">
        <v>393</v>
      </c>
      <c r="B18" t="str">
        <f>TEXT(INDEX(B5:BE5,B17)/1440,"h:mm")&amp;"〜"&amp;TEXT((INDEX(B5:BE5,B17)+15)/1440,"h:mm")</f>
        <v>10:30〜10:45</v>
      </c>
    </row>
    <row r="19" spans="1:2">
      <c r="A19" t="s">
        <v>394</v>
      </c>
      <c r="B19">
        <f>MAX(B9:BE9)</f>
        <v>26217</v>
      </c>
    </row>
    <row r="21" spans="1:2">
      <c r="A21" t="s">
        <v>395</v>
      </c>
      <c r="B21">
        <f>INDEX(B200:B212,MATCH('ダッシュボード'!$J$4,A200:A212,0))</f>
        <v>0</v>
      </c>
    </row>
    <row r="22" spans="1:2">
      <c r="A22" t="s">
        <v>396</v>
      </c>
      <c r="B22">
        <f>MATCH('ダッシュボード'!$D$4,'データ'!$B$879:$J$879,0)</f>
        <v>1</v>
      </c>
    </row>
    <row r="23" spans="1:2">
      <c r="A23" t="s">
        <v>397</v>
      </c>
      <c r="B23">
        <f>SUMPRODUCT((INDEX('データ'!$B$880:$J$1244,0,B22)&gt;0)*(((B21=0)+(MONTH('データ'!$A$880:$A$1244)=B21))&gt;0))</f>
        <v>258</v>
      </c>
    </row>
    <row r="24" spans="1:2">
      <c r="A24" t="s">
        <v>398</v>
      </c>
      <c r="B24">
        <f>IF(B23=0,0,B13/B23)</f>
        <v>2953.4961240310076</v>
      </c>
    </row>
    <row r="25" spans="1:2">
      <c r="A25" t="s">
        <v>328</v>
      </c>
      <c r="B25">
        <f>IF(INDEX('データ'!F$759:F$875,$B$2)=0,0,INDEX('データ'!E$759:E$875,$B$2)/INDEX('データ'!F$759:F$875,$B$2)/60)</f>
        <v>7.83873782856882</v>
      </c>
    </row>
    <row r="26" spans="1:2">
      <c r="A26" t="s">
        <v>399</v>
      </c>
      <c r="B26">
        <f>IF(SUM(INDEX('データ'!K$759:K$875,$B$2),INDEX('データ'!L$759:L$875,$B$2),INDEX('データ'!M$759:M$875,$B$2),INDEX('データ'!N$759:N$875,$B$2),INDEX('データ'!O$759:O$875,$B$2),INDEX('データ'!P$759:P$875,$B$2))=0,0,SUM(INDEX('データ'!K$759:K$875,$B$2),INDEX('データ'!L$759:L$875,$B$2),INDEX('データ'!M$759:M$875,$B$2))/SUM(INDEX('データ'!K$759:K$875,$B$2),INDEX('データ'!L$759:L$875,$B$2),INDEX('データ'!M$759:M$875,$B$2),INDEX('データ'!N$759:N$875,$B$2),INDEX('データ'!O$759:O$875,$B$2),INDEX('データ'!P$759:P$875,$B$2)))</f>
        <v>0.8495236364067446</v>
      </c>
    </row>
    <row r="27" spans="1:2">
      <c r="A27" t="s">
        <v>329</v>
      </c>
      <c r="B27">
        <f>IF(INDEX('データ'!H$759:H$875,$B$2)=0,0,INDEX('データ'!G$759:G$875,$B$2)/INDEX('データ'!H$759:H$875,$B$2)/60)</f>
        <v>7.637563638348003</v>
      </c>
    </row>
    <row r="28" spans="1:2">
      <c r="A28" t="s">
        <v>330</v>
      </c>
      <c r="B28">
        <f>IF(INDEX('データ'!J$759:J$875,$B$2)=0,0,INDEX('データ'!I$759:I$875,$B$2)/INDEX('データ'!J$759:J$875,$B$2)/60)</f>
        <v>15.309631307740862</v>
      </c>
    </row>
    <row r="30" spans="1:2">
      <c r="A30" t="s">
        <v>400</v>
      </c>
      <c r="B30">
        <f>IF(B3=3,2,IF(B3=4,3,1))</f>
        <v>1</v>
      </c>
    </row>
    <row r="31" spans="1:2">
      <c r="A31" t="s">
        <v>401</v>
      </c>
      <c r="B31">
        <f>CHOOSE($B$30,INDEX('データ'!K$759:K$875,$B$2),INDEX('データ'!Q$759:Q$875,$B$2),INDEX('データ'!W$759:W$875,$B$2))</f>
        <v>486037</v>
      </c>
    </row>
    <row r="32" spans="1:2">
      <c r="A32" t="s">
        <v>402</v>
      </c>
      <c r="B32">
        <f>CHOOSE($B$30,INDEX('データ'!L$759:L$875,$B$2),INDEX('データ'!R$759:R$875,$B$2),INDEX('データ'!X$759:X$875,$B$2))</f>
        <v>103207</v>
      </c>
    </row>
    <row r="33" spans="1:9">
      <c r="A33" t="s">
        <v>403</v>
      </c>
      <c r="B33">
        <f>CHOOSE($B$30,INDEX('データ'!M$759:M$875,$B$2),INDEX('データ'!S$759:S$875,$B$2),INDEX('データ'!Y$759:Y$875,$B$2))</f>
        <v>55705</v>
      </c>
    </row>
    <row r="34" spans="1:9">
      <c r="A34" t="s">
        <v>404</v>
      </c>
      <c r="B34">
        <f>CHOOSE($B$30,INDEX('データ'!N$759:N$875,$B$2),INDEX('データ'!T$759:T$875,$B$2),INDEX('データ'!Z$759:Z$875,$B$2))</f>
        <v>69466</v>
      </c>
    </row>
    <row r="35" spans="1:9">
      <c r="A35" t="s">
        <v>405</v>
      </c>
      <c r="B35">
        <f>CHOOSE($B$30,INDEX('データ'!O$759:O$875,$B$2),INDEX('データ'!U$759:U$875,$B$2),INDEX('データ'!AA$759:AA$875,$B$2))</f>
        <v>32734</v>
      </c>
    </row>
    <row r="36" spans="1:9">
      <c r="A36" t="s">
        <v>406</v>
      </c>
      <c r="B36">
        <f>CHOOSE($B$30,INDEX('データ'!P$759:P$875,$B$2),INDEX('データ'!V$759:V$875,$B$2),INDEX('データ'!AB$759:AB$875,$B$2))</f>
        <v>12040</v>
      </c>
    </row>
    <row r="39" spans="1:9">
      <c r="A39" t="s">
        <v>4</v>
      </c>
      <c r="B39" t="s">
        <v>407</v>
      </c>
      <c r="C39" t="s">
        <v>408</v>
      </c>
      <c r="F39" t="s">
        <v>409</v>
      </c>
      <c r="G39" t="s">
        <v>407</v>
      </c>
      <c r="H39" t="s">
        <v>410</v>
      </c>
      <c r="I39" t="s">
        <v>411</v>
      </c>
    </row>
    <row r="40" spans="1:9">
      <c r="A40" t="s">
        <v>92</v>
      </c>
      <c r="B40">
        <f>CHOOSE($B$3,INDEX('データ'!BH$7:BH$123,MATCH(A40&amp;"|"&amp;'ダッシュボード'!$J$4,'データ'!$A$7:$A$123,0)),IFERROR(INDEX('データ'!E$759:E$875,MATCH(A40&amp;"|"&amp;'ダッシュボード'!$J$4,'データ'!$A$7:$A$123,0))/INDEX('データ'!F$759:F$875,MATCH(A40&amp;"|"&amp;'ダッシュボード'!$J$4,'データ'!$A$7:$A$123,0))/60,0),IFERROR(INDEX('データ'!G$759:G$875,MATCH(A40&amp;"|"&amp;'ダッシュボード'!$J$4,'データ'!$A$7:$A$123,0))/INDEX('データ'!H$759:H$875,MATCH(A40&amp;"|"&amp;'ダッシュボード'!$J$4,'データ'!$A$7:$A$123,0))/60,0),IFERROR(INDEX('データ'!I$759:I$875,MATCH(A40&amp;"|"&amp;'ダッシュボード'!$J$4,'データ'!$A$7:$A$123,0))/INDEX('データ'!J$759:J$875,MATCH(A40&amp;"|"&amp;'ダッシュボード'!$J$4,'データ'!$A$7:$A$123,0))/60,0))</f>
        <v>143974.0</v>
      </c>
      <c r="C40">
        <f>B40+ROW()/1000000</f>
        <v>143974.0</v>
      </c>
      <c r="F40" t="str">
        <f>INDEX($A$40:$A$47,MATCH(LARGE($C$40:$C$47,1),$C$40:$C$47,0))</f>
        <v>中区</v>
      </c>
      <c r="G40">
        <f>INDEX($B$40:$B$47,MATCH(F40,$A$40:$A$47,0))</f>
        <v>143974.0</v>
      </c>
      <c r="H40">
        <f>IF(F40='ダッシュボード'!$D$4,G40,0)</f>
        <v>0</v>
      </c>
      <c r="I40">
        <f>IF(F40='ダッシュボード'!$D$4,0,G40)</f>
        <v>143974.0</v>
      </c>
    </row>
    <row r="41" spans="1:9">
      <c r="A41" t="s">
        <v>106</v>
      </c>
      <c r="B41">
        <f>CHOOSE($B$3,INDEX('データ'!BH$7:BH$123,MATCH(A41&amp;"|"&amp;'ダッシュボード'!$J$4,'データ'!$A$7:$A$123,0)),IFERROR(INDEX('データ'!E$759:E$875,MATCH(A41&amp;"|"&amp;'ダッシュボード'!$J$4,'データ'!$A$7:$A$123,0))/INDEX('データ'!F$759:F$875,MATCH(A41&amp;"|"&amp;'ダッシュボード'!$J$4,'データ'!$A$7:$A$123,0))/60,0),IFERROR(INDEX('データ'!G$759:G$875,MATCH(A41&amp;"|"&amp;'ダッシュボード'!$J$4,'データ'!$A$7:$A$123,0))/INDEX('データ'!H$759:H$875,MATCH(A41&amp;"|"&amp;'ダッシュボード'!$J$4,'データ'!$A$7:$A$123,0))/60,0),IFERROR(INDEX('データ'!I$759:I$875,MATCH(A41&amp;"|"&amp;'ダッシュボード'!$J$4,'データ'!$A$7:$A$123,0))/INDEX('データ'!J$759:J$875,MATCH(A41&amp;"|"&amp;'ダッシュボード'!$J$4,'データ'!$A$7:$A$123,0))/60,0))</f>
        <v>81818.0</v>
      </c>
      <c r="C41">
        <f>B41+ROW()/1000000</f>
        <v>81818.0</v>
      </c>
      <c r="F41" t="str">
        <f>INDEX($A$40:$A$47,MATCH(LARGE($C$40:$C$47,2),$C$40:$C$47,0))</f>
        <v>西区</v>
      </c>
      <c r="G41">
        <f>INDEX($B$40:$B$47,MATCH(F41,$A$40:$A$47,0))</f>
        <v>141243.0</v>
      </c>
      <c r="H41">
        <f>IF(F41='ダッシュボード'!$D$4,G41,0)</f>
        <v>0</v>
      </c>
      <c r="I41">
        <f>IF(F41='ダッシュボード'!$D$4,0,G41)</f>
        <v>141243.0</v>
      </c>
    </row>
    <row r="42" spans="1:9">
      <c r="A42" t="s">
        <v>120</v>
      </c>
      <c r="B42">
        <f>CHOOSE($B$3,INDEX('データ'!BH$7:BH$123,MATCH(A42&amp;"|"&amp;'ダッシュボード'!$J$4,'データ'!$A$7:$A$123,0)),IFERROR(INDEX('データ'!E$759:E$875,MATCH(A42&amp;"|"&amp;'ダッシュボード'!$J$4,'データ'!$A$7:$A$123,0))/INDEX('データ'!F$759:F$875,MATCH(A42&amp;"|"&amp;'ダッシュボード'!$J$4,'データ'!$A$7:$A$123,0))/60,0),IFERROR(INDEX('データ'!G$759:G$875,MATCH(A42&amp;"|"&amp;'ダッシュボード'!$J$4,'データ'!$A$7:$A$123,0))/INDEX('データ'!H$759:H$875,MATCH(A42&amp;"|"&amp;'ダッシュボード'!$J$4,'データ'!$A$7:$A$123,0))/60,0),IFERROR(INDEX('データ'!I$759:I$875,MATCH(A42&amp;"|"&amp;'ダッシュボード'!$J$4,'データ'!$A$7:$A$123,0))/INDEX('データ'!J$759:J$875,MATCH(A42&amp;"|"&amp;'ダッシュボード'!$J$4,'データ'!$A$7:$A$123,0))/60,0))</f>
        <v>115887.0</v>
      </c>
      <c r="C42">
        <f>B42+ROW()/1000000</f>
        <v>115887.0</v>
      </c>
      <c r="F42" t="str">
        <f>INDEX($A$40:$A$47,MATCH(LARGE($C$40:$C$47,3),$C$40:$C$47,0))</f>
        <v>南区</v>
      </c>
      <c r="G42">
        <f>INDEX($B$40:$B$47,MATCH(F42,$A$40:$A$47,0))</f>
        <v>115887.0</v>
      </c>
      <c r="H42">
        <f>IF(F42='ダッシュボード'!$D$4,G42,0)</f>
        <v>0</v>
      </c>
      <c r="I42">
        <f>IF(F42='ダッシュボード'!$D$4,0,G42)</f>
        <v>115887.0</v>
      </c>
    </row>
    <row r="43" spans="1:9">
      <c r="A43" t="s">
        <v>134</v>
      </c>
      <c r="B43">
        <f>CHOOSE($B$3,INDEX('データ'!BH$7:BH$123,MATCH(A43&amp;"|"&amp;'ダッシュボード'!$J$4,'データ'!$A$7:$A$123,0)),IFERROR(INDEX('データ'!E$759:E$875,MATCH(A43&amp;"|"&amp;'ダッシュボード'!$J$4,'データ'!$A$7:$A$123,0))/INDEX('データ'!F$759:F$875,MATCH(A43&amp;"|"&amp;'ダッシュボード'!$J$4,'データ'!$A$7:$A$123,0))/60,0),IFERROR(INDEX('データ'!G$759:G$875,MATCH(A43&amp;"|"&amp;'ダッシュボード'!$J$4,'データ'!$A$7:$A$123,0))/INDEX('データ'!H$759:H$875,MATCH(A43&amp;"|"&amp;'ダッシュボード'!$J$4,'データ'!$A$7:$A$123,0))/60,0),IFERROR(INDEX('データ'!I$759:I$875,MATCH(A43&amp;"|"&amp;'ダッシュボード'!$J$4,'データ'!$A$7:$A$123,0))/INDEX('データ'!J$759:J$875,MATCH(A43&amp;"|"&amp;'ダッシュボード'!$J$4,'データ'!$A$7:$A$123,0))/60,0))</f>
        <v>141243.0</v>
      </c>
      <c r="C43">
        <f>B43+ROW()/1000000</f>
        <v>141243.0</v>
      </c>
      <c r="F43" t="str">
        <f>INDEX($A$40:$A$47,MATCH(LARGE($C$40:$C$47,4),$C$40:$C$47,0))</f>
        <v>佐伯区</v>
      </c>
      <c r="G43">
        <f>INDEX($B$40:$B$47,MATCH(F43,$A$40:$A$47,0))</f>
        <v>104764.0</v>
      </c>
      <c r="H43">
        <f>IF(F43='ダッシュボード'!$D$4,G43,0)</f>
        <v>0</v>
      </c>
      <c r="I43">
        <f>IF(F43='ダッシュボード'!$D$4,0,G43)</f>
        <v>104764.0</v>
      </c>
    </row>
    <row r="44" spans="1:9">
      <c r="A44" t="s">
        <v>148</v>
      </c>
      <c r="B44">
        <f>CHOOSE($B$3,INDEX('データ'!BH$7:BH$123,MATCH(A44&amp;"|"&amp;'ダッシュボード'!$J$4,'データ'!$A$7:$A$123,0)),IFERROR(INDEX('データ'!E$759:E$875,MATCH(A44&amp;"|"&amp;'ダッシュボード'!$J$4,'データ'!$A$7:$A$123,0))/INDEX('データ'!F$759:F$875,MATCH(A44&amp;"|"&amp;'ダッシュボード'!$J$4,'データ'!$A$7:$A$123,0))/60,0),IFERROR(INDEX('データ'!G$759:G$875,MATCH(A44&amp;"|"&amp;'ダッシュボード'!$J$4,'データ'!$A$7:$A$123,0))/INDEX('データ'!H$759:H$875,MATCH(A44&amp;"|"&amp;'ダッシュボード'!$J$4,'データ'!$A$7:$A$123,0))/60,0),IFERROR(INDEX('データ'!I$759:I$875,MATCH(A44&amp;"|"&amp;'ダッシュボード'!$J$4,'データ'!$A$7:$A$123,0))/INDEX('データ'!J$759:J$875,MATCH(A44&amp;"|"&amp;'ダッシュボード'!$J$4,'データ'!$A$7:$A$123,0))/60,0))</f>
        <v>88181.0</v>
      </c>
      <c r="C44">
        <f>B44+ROW()/1000000</f>
        <v>88181.0</v>
      </c>
      <c r="F44" t="str">
        <f>INDEX($A$40:$A$47,MATCH(LARGE($C$40:$C$47,5),$C$40:$C$47,0))</f>
        <v>安佐南区</v>
      </c>
      <c r="G44">
        <f>INDEX($B$40:$B$47,MATCH(F44,$A$40:$A$47,0))</f>
        <v>88181.0</v>
      </c>
      <c r="H44">
        <f>IF(F44='ダッシュボード'!$D$4,G44,0)</f>
        <v>0</v>
      </c>
      <c r="I44">
        <f>IF(F44='ダッシュボード'!$D$4,0,G44)</f>
        <v>88181.0</v>
      </c>
    </row>
    <row r="45" spans="1:9">
      <c r="A45" t="s">
        <v>162</v>
      </c>
      <c r="B45">
        <f>CHOOSE($B$3,INDEX('データ'!BH$7:BH$123,MATCH(A45&amp;"|"&amp;'ダッシュボード'!$J$4,'データ'!$A$7:$A$123,0)),IFERROR(INDEX('データ'!E$759:E$875,MATCH(A45&amp;"|"&amp;'ダッシュボード'!$J$4,'データ'!$A$7:$A$123,0))/INDEX('データ'!F$759:F$875,MATCH(A45&amp;"|"&amp;'ダッシュボード'!$J$4,'データ'!$A$7:$A$123,0))/60,0),IFERROR(INDEX('データ'!G$759:G$875,MATCH(A45&amp;"|"&amp;'ダッシュボード'!$J$4,'データ'!$A$7:$A$123,0))/INDEX('データ'!H$759:H$875,MATCH(A45&amp;"|"&amp;'ダッシュボード'!$J$4,'データ'!$A$7:$A$123,0))/60,0),IFERROR(INDEX('データ'!I$759:I$875,MATCH(A45&amp;"|"&amp;'ダッシュボード'!$J$4,'データ'!$A$7:$A$123,0))/INDEX('データ'!J$759:J$875,MATCH(A45&amp;"|"&amp;'ダッシュボード'!$J$4,'データ'!$A$7:$A$123,0))/60,0))</f>
        <v>48568.0</v>
      </c>
      <c r="C45">
        <f>B45+ROW()/1000000</f>
        <v>48568.0</v>
      </c>
      <c r="F45" t="str">
        <f>INDEX($A$40:$A$47,MATCH(LARGE($C$40:$C$47,6),$C$40:$C$47,0))</f>
        <v>東区</v>
      </c>
      <c r="G45">
        <f>INDEX($B$40:$B$47,MATCH(F45,$A$40:$A$47,0))</f>
        <v>81818.0</v>
      </c>
      <c r="H45">
        <f>IF(F45='ダッシュボード'!$D$4,G45,0)</f>
        <v>0</v>
      </c>
      <c r="I45">
        <f>IF(F45='ダッシュボード'!$D$4,0,G45)</f>
        <v>81818.0</v>
      </c>
    </row>
    <row r="46" spans="1:9">
      <c r="A46" t="s">
        <v>176</v>
      </c>
      <c r="B46">
        <f>CHOOSE($B$3,INDEX('データ'!BH$7:BH$123,MATCH(A46&amp;"|"&amp;'ダッシュボード'!$J$4,'データ'!$A$7:$A$123,0)),IFERROR(INDEX('データ'!E$759:E$875,MATCH(A46&amp;"|"&amp;'ダッシュボード'!$J$4,'データ'!$A$7:$A$123,0))/INDEX('データ'!F$759:F$875,MATCH(A46&amp;"|"&amp;'ダッシュボード'!$J$4,'データ'!$A$7:$A$123,0))/60,0),IFERROR(INDEX('データ'!G$759:G$875,MATCH(A46&amp;"|"&amp;'ダッシュボード'!$J$4,'データ'!$A$7:$A$123,0))/INDEX('データ'!H$759:H$875,MATCH(A46&amp;"|"&amp;'ダッシュボード'!$J$4,'データ'!$A$7:$A$123,0))/60,0),IFERROR(INDEX('データ'!I$759:I$875,MATCH(A46&amp;"|"&amp;'ダッシュボード'!$J$4,'データ'!$A$7:$A$123,0))/INDEX('データ'!J$759:J$875,MATCH(A46&amp;"|"&amp;'ダッシュボード'!$J$4,'データ'!$A$7:$A$123,0))/60,0))</f>
        <v>37567.0</v>
      </c>
      <c r="C46">
        <f>B46+ROW()/1000000</f>
        <v>37567.0</v>
      </c>
      <c r="F46" t="str">
        <f>INDEX($A$40:$A$47,MATCH(LARGE($C$40:$C$47,7),$C$40:$C$47,0))</f>
        <v>安佐北区</v>
      </c>
      <c r="G46">
        <f>INDEX($B$40:$B$47,MATCH(F46,$A$40:$A$47,0))</f>
        <v>48568.0</v>
      </c>
      <c r="H46">
        <f>IF(F46='ダッシュボード'!$D$4,G46,0)</f>
        <v>0</v>
      </c>
      <c r="I46">
        <f>IF(F46='ダッシュボード'!$D$4,0,G46)</f>
        <v>48568.0</v>
      </c>
    </row>
    <row r="47" spans="1:9">
      <c r="A47" t="s">
        <v>190</v>
      </c>
      <c r="B47">
        <f>CHOOSE($B$3,INDEX('データ'!BH$7:BH$123,MATCH(A47&amp;"|"&amp;'ダッシュボード'!$J$4,'データ'!$A$7:$A$123,0)),IFERROR(INDEX('データ'!E$759:E$875,MATCH(A47&amp;"|"&amp;'ダッシュボード'!$J$4,'データ'!$A$7:$A$123,0))/INDEX('データ'!F$759:F$875,MATCH(A47&amp;"|"&amp;'ダッシュボード'!$J$4,'データ'!$A$7:$A$123,0))/60,0),IFERROR(INDEX('データ'!G$759:G$875,MATCH(A47&amp;"|"&amp;'ダッシュボード'!$J$4,'データ'!$A$7:$A$123,0))/INDEX('データ'!H$759:H$875,MATCH(A47&amp;"|"&amp;'ダッシュボード'!$J$4,'データ'!$A$7:$A$123,0))/60,0),IFERROR(INDEX('データ'!I$759:I$875,MATCH(A47&amp;"|"&amp;'ダッシュボード'!$J$4,'データ'!$A$7:$A$123,0))/INDEX('データ'!J$759:J$875,MATCH(A47&amp;"|"&amp;'ダッシュボード'!$J$4,'データ'!$A$7:$A$123,0))/60,0))</f>
        <v>104764.0</v>
      </c>
      <c r="C47">
        <f>B47+ROW()/1000000</f>
        <v>104764.0</v>
      </c>
      <c r="F47" t="str">
        <f>INDEX($A$40:$A$47,MATCH(LARGE($C$40:$C$47,8),$C$40:$C$47,0))</f>
        <v>安芸区</v>
      </c>
      <c r="G47">
        <f>INDEX($B$40:$B$47,MATCH(F47,$A$40:$A$47,0))</f>
        <v>37567.0</v>
      </c>
      <c r="H47">
        <f>IF(F47='ダッシュボード'!$D$4,G47,0)</f>
        <v>0</v>
      </c>
      <c r="I47">
        <f>IF(F47='ダッシュボード'!$D$4,0,G47)</f>
        <v>37567.0</v>
      </c>
    </row>
    <row r="49" spans="1:4">
      <c r="A49" t="s">
        <v>5</v>
      </c>
      <c r="B49" t="s">
        <v>407</v>
      </c>
      <c r="C49" t="s">
        <v>412</v>
      </c>
    </row>
    <row r="50" spans="1:4">
      <c r="A50" t="s">
        <v>68</v>
      </c>
      <c r="B50">
        <f>CHOOSE($B$3,INDEX('データ'!BH$7:BH$123,MATCH('ダッシュボード'!$D$4&amp;"|"&amp;A50,'データ'!$A$7:$A$123,0)),IFERROR(INDEX('データ'!E$759:E$875,MATCH('ダッシュボード'!$D$4&amp;"|"&amp;A50,'データ'!$A$7:$A$123,0))/INDEX('データ'!F$759:F$875,MATCH('ダッシュボード'!$D$4&amp;"|"&amp;A50,'データ'!$A$7:$A$123,0))/60,0),IFERROR(INDEX('データ'!G$759:G$875,MATCH('ダッシュボード'!$D$4&amp;"|"&amp;A50,'データ'!$A$7:$A$123,0))/INDEX('データ'!H$759:H$875,MATCH('ダッシュボード'!$D$4&amp;"|"&amp;A50,'データ'!$A$7:$A$123,0))/60,0),IFERROR(INDEX('データ'!I$759:I$875,MATCH('ダッシュボード'!$D$4&amp;"|"&amp;A50,'データ'!$A$7:$A$123,0))/INDEX('データ'!J$759:J$875,MATCH('ダッシュボード'!$D$4&amp;"|"&amp;A50,'データ'!$A$7:$A$123,0))/60,0))</f>
        <v>69708.0</v>
      </c>
      <c r="C50" t="e">
        <f>IF(AND(A50='ダッシュボード'!$J$4,B50&lt;&gt;0),B50,NA())</f>
        <v>#N/A</v>
      </c>
      <c r="D50">
        <f>IF(B50=0,NA(),B50)</f>
        <v>69708.0</v>
      </c>
    </row>
    <row r="51" spans="1:4">
      <c r="A51" t="s">
        <v>70</v>
      </c>
      <c r="B51">
        <f>CHOOSE($B$3,INDEX('データ'!BH$7:BH$123,MATCH('ダッシュボード'!$D$4&amp;"|"&amp;A51,'データ'!$A$7:$A$123,0)),IFERROR(INDEX('データ'!E$759:E$875,MATCH('ダッシュボード'!$D$4&amp;"|"&amp;A51,'データ'!$A$7:$A$123,0))/INDEX('データ'!F$759:F$875,MATCH('ダッシュボード'!$D$4&amp;"|"&amp;A51,'データ'!$A$7:$A$123,0))/60,0),IFERROR(INDEX('データ'!G$759:G$875,MATCH('ダッシュボード'!$D$4&amp;"|"&amp;A51,'データ'!$A$7:$A$123,0))/INDEX('データ'!H$759:H$875,MATCH('ダッシュボード'!$D$4&amp;"|"&amp;A51,'データ'!$A$7:$A$123,0))/60,0),IFERROR(INDEX('データ'!I$759:I$875,MATCH('ダッシュボード'!$D$4&amp;"|"&amp;A51,'データ'!$A$7:$A$123,0))/INDEX('データ'!J$759:J$875,MATCH('ダッシュボード'!$D$4&amp;"|"&amp;A51,'データ'!$A$7:$A$123,0))/60,0))</f>
        <v>63291.0</v>
      </c>
      <c r="C51" t="e">
        <f>IF(AND(A51='ダッシュボード'!$J$4,B51&lt;&gt;0),B51,NA())</f>
        <v>#N/A</v>
      </c>
      <c r="D51">
        <f>IF(B51=0,NA(),B51)</f>
        <v>63291.0</v>
      </c>
    </row>
    <row r="52" spans="1:4">
      <c r="A52" t="s">
        <v>72</v>
      </c>
      <c r="B52">
        <f>CHOOSE($B$3,INDEX('データ'!BH$7:BH$123,MATCH('ダッシュボード'!$D$4&amp;"|"&amp;A52,'データ'!$A$7:$A$123,0)),IFERROR(INDEX('データ'!E$759:E$875,MATCH('ダッシュボード'!$D$4&amp;"|"&amp;A52,'データ'!$A$7:$A$123,0))/INDEX('データ'!F$759:F$875,MATCH('ダッシュボード'!$D$4&amp;"|"&amp;A52,'データ'!$A$7:$A$123,0))/60,0),IFERROR(INDEX('データ'!G$759:G$875,MATCH('ダッシュボード'!$D$4&amp;"|"&amp;A52,'データ'!$A$7:$A$123,0))/INDEX('データ'!H$759:H$875,MATCH('ダッシュボード'!$D$4&amp;"|"&amp;A52,'データ'!$A$7:$A$123,0))/60,0),IFERROR(INDEX('データ'!I$759:I$875,MATCH('ダッシュボード'!$D$4&amp;"|"&amp;A52,'データ'!$A$7:$A$123,0))/INDEX('データ'!J$759:J$875,MATCH('ダッシュボード'!$D$4&amp;"|"&amp;A52,'データ'!$A$7:$A$123,0))/60,0))</f>
        <v>65022.0</v>
      </c>
      <c r="C52" t="e">
        <f>IF(AND(A52='ダッシュボード'!$J$4,B52&lt;&gt;0),B52,NA())</f>
        <v>#N/A</v>
      </c>
      <c r="D52">
        <f>IF(B52=0,NA(),B52)</f>
        <v>65022.0</v>
      </c>
    </row>
    <row r="53" spans="1:4">
      <c r="A53" t="s">
        <v>74</v>
      </c>
      <c r="B53">
        <f>CHOOSE($B$3,INDEX('データ'!BH$7:BH$123,MATCH('ダッシュボード'!$D$4&amp;"|"&amp;A53,'データ'!$A$7:$A$123,0)),IFERROR(INDEX('データ'!E$759:E$875,MATCH('ダッシュボード'!$D$4&amp;"|"&amp;A53,'データ'!$A$7:$A$123,0))/INDEX('データ'!F$759:F$875,MATCH('ダッシュボード'!$D$4&amp;"|"&amp;A53,'データ'!$A$7:$A$123,0))/60,0),IFERROR(INDEX('データ'!G$759:G$875,MATCH('ダッシュボード'!$D$4&amp;"|"&amp;A53,'データ'!$A$7:$A$123,0))/INDEX('データ'!H$759:H$875,MATCH('ダッシュボード'!$D$4&amp;"|"&amp;A53,'データ'!$A$7:$A$123,0))/60,0),IFERROR(INDEX('データ'!I$759:I$875,MATCH('ダッシュボード'!$D$4&amp;"|"&amp;A53,'データ'!$A$7:$A$123,0))/INDEX('データ'!J$759:J$875,MATCH('ダッシュボード'!$D$4&amp;"|"&amp;A53,'データ'!$A$7:$A$123,0))/60,0))</f>
        <v>68469.0</v>
      </c>
      <c r="C53" t="e">
        <f>IF(AND(A53='ダッシュボード'!$J$4,B53&lt;&gt;0),B53,NA())</f>
        <v>#N/A</v>
      </c>
      <c r="D53">
        <f>IF(B53=0,NA(),B53)</f>
        <v>68469.0</v>
      </c>
    </row>
    <row r="54" spans="1:4">
      <c r="A54" t="s">
        <v>76</v>
      </c>
      <c r="B54">
        <f>CHOOSE($B$3,INDEX('データ'!BH$7:BH$123,MATCH('ダッシュボード'!$D$4&amp;"|"&amp;A54,'データ'!$A$7:$A$123,0)),IFERROR(INDEX('データ'!E$759:E$875,MATCH('ダッシュボード'!$D$4&amp;"|"&amp;A54,'データ'!$A$7:$A$123,0))/INDEX('データ'!F$759:F$875,MATCH('ダッシュボード'!$D$4&amp;"|"&amp;A54,'データ'!$A$7:$A$123,0))/60,0),IFERROR(INDEX('データ'!G$759:G$875,MATCH('ダッシュボード'!$D$4&amp;"|"&amp;A54,'データ'!$A$7:$A$123,0))/INDEX('データ'!H$759:H$875,MATCH('ダッシュボード'!$D$4&amp;"|"&amp;A54,'データ'!$A$7:$A$123,0))/60,0),IFERROR(INDEX('データ'!I$759:I$875,MATCH('ダッシュボード'!$D$4&amp;"|"&amp;A54,'データ'!$A$7:$A$123,0))/INDEX('データ'!J$759:J$875,MATCH('ダッシュボード'!$D$4&amp;"|"&amp;A54,'データ'!$A$7:$A$123,0))/60,0))</f>
        <v>60107.0</v>
      </c>
      <c r="C54" t="e">
        <f>IF(AND(A54='ダッシュボード'!$J$4,B54&lt;&gt;0),B54,NA())</f>
        <v>#N/A</v>
      </c>
      <c r="D54">
        <f>IF(B54=0,NA(),B54)</f>
        <v>60107.0</v>
      </c>
    </row>
    <row r="55" spans="1:4">
      <c r="A55" t="s">
        <v>78</v>
      </c>
      <c r="B55">
        <f>CHOOSE($B$3,INDEX('データ'!BH$7:BH$123,MATCH('ダッシュボード'!$D$4&amp;"|"&amp;A55,'データ'!$A$7:$A$123,0)),IFERROR(INDEX('データ'!E$759:E$875,MATCH('ダッシュボード'!$D$4&amp;"|"&amp;A55,'データ'!$A$7:$A$123,0))/INDEX('データ'!F$759:F$875,MATCH('ダッシュボード'!$D$4&amp;"|"&amp;A55,'データ'!$A$7:$A$123,0))/60,0),IFERROR(INDEX('データ'!G$759:G$875,MATCH('ダッシュボード'!$D$4&amp;"|"&amp;A55,'データ'!$A$7:$A$123,0))/INDEX('データ'!H$759:H$875,MATCH('ダッシュボード'!$D$4&amp;"|"&amp;A55,'データ'!$A$7:$A$123,0))/60,0),IFERROR(INDEX('データ'!I$759:I$875,MATCH('ダッシュボード'!$D$4&amp;"|"&amp;A55,'データ'!$A$7:$A$123,0))/INDEX('データ'!J$759:J$875,MATCH('ダッシュボード'!$D$4&amp;"|"&amp;A55,'データ'!$A$7:$A$123,0))/60,0))</f>
        <v>59672.0</v>
      </c>
      <c r="C55" t="e">
        <f>IF(AND(A55='ダッシュボード'!$J$4,B55&lt;&gt;0),B55,NA())</f>
        <v>#N/A</v>
      </c>
      <c r="D55">
        <f>IF(B55=0,NA(),B55)</f>
        <v>59672.0</v>
      </c>
    </row>
    <row r="56" spans="1:4">
      <c r="A56" t="s">
        <v>80</v>
      </c>
      <c r="B56">
        <f>CHOOSE($B$3,INDEX('データ'!BH$7:BH$123,MATCH('ダッシュボード'!$D$4&amp;"|"&amp;A56,'データ'!$A$7:$A$123,0)),IFERROR(INDEX('データ'!E$759:E$875,MATCH('ダッシュボード'!$D$4&amp;"|"&amp;A56,'データ'!$A$7:$A$123,0))/INDEX('データ'!F$759:F$875,MATCH('ダッシュボード'!$D$4&amp;"|"&amp;A56,'データ'!$A$7:$A$123,0))/60,0),IFERROR(INDEX('データ'!G$759:G$875,MATCH('ダッシュボード'!$D$4&amp;"|"&amp;A56,'データ'!$A$7:$A$123,0))/INDEX('データ'!H$759:H$875,MATCH('ダッシュボード'!$D$4&amp;"|"&amp;A56,'データ'!$A$7:$A$123,0))/60,0),IFERROR(INDEX('データ'!I$759:I$875,MATCH('ダッシュボード'!$D$4&amp;"|"&amp;A56,'データ'!$A$7:$A$123,0))/INDEX('データ'!J$759:J$875,MATCH('ダッシュボード'!$D$4&amp;"|"&amp;A56,'データ'!$A$7:$A$123,0))/60,0))</f>
        <v>66477.0</v>
      </c>
      <c r="C56" t="e">
        <f>IF(AND(A56='ダッシュボード'!$J$4,B56&lt;&gt;0),B56,NA())</f>
        <v>#N/A</v>
      </c>
      <c r="D56">
        <f>IF(B56=0,NA(),B56)</f>
        <v>66477.0</v>
      </c>
    </row>
    <row r="57" spans="1:4">
      <c r="A57" t="s">
        <v>82</v>
      </c>
      <c r="B57">
        <f>CHOOSE($B$3,INDEX('データ'!BH$7:BH$123,MATCH('ダッシュボード'!$D$4&amp;"|"&amp;A57,'データ'!$A$7:$A$123,0)),IFERROR(INDEX('データ'!E$759:E$875,MATCH('ダッシュボード'!$D$4&amp;"|"&amp;A57,'データ'!$A$7:$A$123,0))/INDEX('データ'!F$759:F$875,MATCH('ダッシュボード'!$D$4&amp;"|"&amp;A57,'データ'!$A$7:$A$123,0))/60,0),IFERROR(INDEX('データ'!G$759:G$875,MATCH('ダッシュボード'!$D$4&amp;"|"&amp;A57,'データ'!$A$7:$A$123,0))/INDEX('データ'!H$759:H$875,MATCH('ダッシュボード'!$D$4&amp;"|"&amp;A57,'データ'!$A$7:$A$123,0))/60,0),IFERROR(INDEX('データ'!I$759:I$875,MATCH('ダッシュボード'!$D$4&amp;"|"&amp;A57,'データ'!$A$7:$A$123,0))/INDEX('データ'!J$759:J$875,MATCH('ダッシュボード'!$D$4&amp;"|"&amp;A57,'データ'!$A$7:$A$123,0))/60,0))</f>
        <v>49498.0</v>
      </c>
      <c r="C57" t="e">
        <f>IF(AND(A57='ダッシュボード'!$J$4,B57&lt;&gt;0),B57,NA())</f>
        <v>#N/A</v>
      </c>
      <c r="D57">
        <f>IF(B57=0,NA(),B57)</f>
        <v>49498.0</v>
      </c>
    </row>
    <row r="58" spans="1:4">
      <c r="A58" t="s">
        <v>84</v>
      </c>
      <c r="B58">
        <f>CHOOSE($B$3,INDEX('データ'!BH$7:BH$123,MATCH('ダッシュボード'!$D$4&amp;"|"&amp;A58,'データ'!$A$7:$A$123,0)),IFERROR(INDEX('データ'!E$759:E$875,MATCH('ダッシュボード'!$D$4&amp;"|"&amp;A58,'データ'!$A$7:$A$123,0))/INDEX('データ'!F$759:F$875,MATCH('ダッシュボード'!$D$4&amp;"|"&amp;A58,'データ'!$A$7:$A$123,0))/60,0),IFERROR(INDEX('データ'!G$759:G$875,MATCH('ダッシュボード'!$D$4&amp;"|"&amp;A58,'データ'!$A$7:$A$123,0))/INDEX('データ'!H$759:H$875,MATCH('ダッシュボード'!$D$4&amp;"|"&amp;A58,'データ'!$A$7:$A$123,0))/60,0),IFERROR(INDEX('データ'!I$759:I$875,MATCH('ダッシュボード'!$D$4&amp;"|"&amp;A58,'データ'!$A$7:$A$123,0))/INDEX('データ'!J$759:J$875,MATCH('ダッシュボード'!$D$4&amp;"|"&amp;A58,'データ'!$A$7:$A$123,0))/60,0))</f>
        <v>54884.0</v>
      </c>
      <c r="C58" t="e">
        <f>IF(AND(A58='ダッシュボード'!$J$4,B58&lt;&gt;0),B58,NA())</f>
        <v>#N/A</v>
      </c>
      <c r="D58">
        <f>IF(B58=0,NA(),B58)</f>
        <v>54884.0</v>
      </c>
    </row>
    <row r="59" spans="1:4">
      <c r="A59" t="s">
        <v>86</v>
      </c>
      <c r="B59">
        <f>CHOOSE($B$3,INDEX('データ'!BH$7:BH$123,MATCH('ダッシュボード'!$D$4&amp;"|"&amp;A59,'データ'!$A$7:$A$123,0)),IFERROR(INDEX('データ'!E$759:E$875,MATCH('ダッシュボード'!$D$4&amp;"|"&amp;A59,'データ'!$A$7:$A$123,0))/INDEX('データ'!F$759:F$875,MATCH('ダッシュボード'!$D$4&amp;"|"&amp;A59,'データ'!$A$7:$A$123,0))/60,0),IFERROR(INDEX('データ'!G$759:G$875,MATCH('ダッシュボード'!$D$4&amp;"|"&amp;A59,'データ'!$A$7:$A$123,0))/INDEX('データ'!H$759:H$875,MATCH('ダッシュボード'!$D$4&amp;"|"&amp;A59,'データ'!$A$7:$A$123,0))/60,0),IFERROR(INDEX('データ'!I$759:I$875,MATCH('ダッシュボード'!$D$4&amp;"|"&amp;A59,'データ'!$A$7:$A$123,0))/INDEX('データ'!J$759:J$875,MATCH('ダッシュボード'!$D$4&amp;"|"&amp;A59,'データ'!$A$7:$A$123,0))/60,0))</f>
        <v>48430.0</v>
      </c>
      <c r="C59" t="e">
        <f>IF(AND(A59='ダッシュボード'!$J$4,B59&lt;&gt;0),B59,NA())</f>
        <v>#N/A</v>
      </c>
      <c r="D59">
        <f>IF(B59=0,NA(),B59)</f>
        <v>48430.0</v>
      </c>
    </row>
    <row r="60" spans="1:4">
      <c r="A60" t="s">
        <v>88</v>
      </c>
      <c r="B60">
        <f>CHOOSE($B$3,INDEX('データ'!BH$7:BH$123,MATCH('ダッシュボード'!$D$4&amp;"|"&amp;A60,'データ'!$A$7:$A$123,0)),IFERROR(INDEX('データ'!E$759:E$875,MATCH('ダッシュボード'!$D$4&amp;"|"&amp;A60,'データ'!$A$7:$A$123,0))/INDEX('データ'!F$759:F$875,MATCH('ダッシュボード'!$D$4&amp;"|"&amp;A60,'データ'!$A$7:$A$123,0))/60,0),IFERROR(INDEX('データ'!G$759:G$875,MATCH('ダッシュボード'!$D$4&amp;"|"&amp;A60,'データ'!$A$7:$A$123,0))/INDEX('データ'!H$759:H$875,MATCH('ダッシュボード'!$D$4&amp;"|"&amp;A60,'データ'!$A$7:$A$123,0))/60,0),IFERROR(INDEX('データ'!I$759:I$875,MATCH('ダッシュボード'!$D$4&amp;"|"&amp;A60,'データ'!$A$7:$A$123,0))/INDEX('データ'!J$759:J$875,MATCH('ダッシュボード'!$D$4&amp;"|"&amp;A60,'データ'!$A$7:$A$123,0))/60,0))</f>
        <v>68773.0</v>
      </c>
      <c r="C60" t="e">
        <f>IF(AND(A60='ダッシュボード'!$J$4,B60&lt;&gt;0),B60,NA())</f>
        <v>#N/A</v>
      </c>
      <c r="D60">
        <f>IF(B60=0,NA(),B60)</f>
        <v>68773.0</v>
      </c>
    </row>
    <row r="61" spans="1:4">
      <c r="A61" t="s">
        <v>90</v>
      </c>
      <c r="B61">
        <f>CHOOSE($B$3,INDEX('データ'!BH$7:BH$123,MATCH('ダッシュボード'!$D$4&amp;"|"&amp;A61,'データ'!$A$7:$A$123,0)),IFERROR(INDEX('データ'!E$759:E$875,MATCH('ダッシュボード'!$D$4&amp;"|"&amp;A61,'データ'!$A$7:$A$123,0))/INDEX('データ'!F$759:F$875,MATCH('ダッシュボード'!$D$4&amp;"|"&amp;A61,'データ'!$A$7:$A$123,0))/60,0),IFERROR(INDEX('データ'!G$759:G$875,MATCH('ダッシュボード'!$D$4&amp;"|"&amp;A61,'データ'!$A$7:$A$123,0))/INDEX('データ'!H$759:H$875,MATCH('ダッシュボード'!$D$4&amp;"|"&amp;A61,'データ'!$A$7:$A$123,0))/60,0),IFERROR(INDEX('データ'!I$759:I$875,MATCH('ダッシュボード'!$D$4&amp;"|"&amp;A61,'データ'!$A$7:$A$123,0))/INDEX('データ'!J$759:J$875,MATCH('ダッシュボード'!$D$4&amp;"|"&amp;A61,'データ'!$A$7:$A$123,0))/60,0))</f>
        <v>87671.0</v>
      </c>
      <c r="C61" t="e">
        <f>IF(AND(A61='ダッシュボード'!$J$4,B61&lt;&gt;0),B61,NA())</f>
        <v>#N/A</v>
      </c>
      <c r="D61">
        <f>IF(B61=0,NA(),B61)</f>
        <v>87671.0</v>
      </c>
    </row>
    <row r="70" spans="1:2">
      <c r="A70" t="s">
        <v>413</v>
      </c>
      <c r="B70" t="str">
        <f>CHOOSE($B$3,"時間帯別（15分ごと）の来庁者数","時間帯別（15分ごと）の平均待ち時間","時間帯別（15分ごと）の平均対応時間","時間帯別（15分ごと）の平均滞在時間")</f>
        <v>時間帯別（15分ごと）の来庁者数</v>
      </c>
    </row>
    <row r="71" spans="1:2">
      <c r="A71" t="s">
        <v>414</v>
      </c>
      <c r="B71" t="str">
        <f>"区別の"&amp;'ダッシュボード'!$D$5&amp;"（"&amp;'ダッシュボード'!$J$4&amp;"）"</f>
        <v>区別の来庁者数（全期間）</v>
      </c>
    </row>
    <row r="72" spans="1:2">
      <c r="A72" t="s">
        <v>415</v>
      </c>
      <c r="B72" t="str">
        <f>"月別の"&amp;'ダッシュボード'!$D$5&amp;"（"&amp;'ダッシュボード'!$D$4&amp;"）"</f>
        <v>月別の来庁者数（全区）</v>
      </c>
    </row>
    <row r="73" spans="1:2">
      <c r="A73" t="s">
        <v>416</v>
      </c>
      <c r="B73" t="str">
        <f>CHOOSE($B$30,"待ち時間の分布","対応時間の分布","滞在時間の分布")&amp;"（"&amp;'ダッシュボード'!$D$4&amp;"／"&amp;'ダッシュボード'!$J$4&amp;"）"</f>
        <v>待ち時間の分布（全区／全期間）</v>
      </c>
    </row>
    <row r="74" spans="1:2">
      <c r="A74" t="s">
        <v>417</v>
      </c>
      <c r="B74" t="str">
        <f>CHOOSE($B$3,"人数（人）","時間（分）","時間（分）","時間（分）")</f>
        <v>人数（人）</v>
      </c>
    </row>
    <row r="200" spans="1:2">
      <c r="A200" t="s">
        <v>66</v>
      </c>
      <c r="B200">
        <v>0</v>
      </c>
    </row>
    <row r="201" spans="1:2">
      <c r="A201" t="s">
        <v>68</v>
      </c>
      <c r="B201">
        <v>4</v>
      </c>
    </row>
    <row r="202" spans="1:2">
      <c r="A202" t="s">
        <v>70</v>
      </c>
      <c r="B202">
        <v>5</v>
      </c>
    </row>
    <row r="203" spans="1:2">
      <c r="A203" t="s">
        <v>72</v>
      </c>
      <c r="B203">
        <v>6</v>
      </c>
    </row>
    <row r="204" spans="1:2">
      <c r="A204" t="s">
        <v>74</v>
      </c>
      <c r="B204">
        <v>7</v>
      </c>
    </row>
    <row r="205" spans="1:2">
      <c r="A205" t="s">
        <v>76</v>
      </c>
      <c r="B205">
        <v>8</v>
      </c>
    </row>
    <row r="206" spans="1:2">
      <c r="A206" t="s">
        <v>78</v>
      </c>
      <c r="B206">
        <v>9</v>
      </c>
    </row>
    <row r="207" spans="1:2">
      <c r="A207" t="s">
        <v>80</v>
      </c>
      <c r="B207">
        <v>10</v>
      </c>
    </row>
    <row r="208" spans="1:2">
      <c r="A208" t="s">
        <v>82</v>
      </c>
      <c r="B208">
        <v>11</v>
      </c>
    </row>
    <row r="209" spans="1:2">
      <c r="A209" t="s">
        <v>84</v>
      </c>
      <c r="B209">
        <v>12</v>
      </c>
    </row>
    <row r="210" spans="1:2">
      <c r="A210" t="s">
        <v>86</v>
      </c>
      <c r="B210">
        <v>1</v>
      </c>
    </row>
    <row r="211" spans="1:2">
      <c r="A211" t="s">
        <v>88</v>
      </c>
      <c r="B211">
        <v>2</v>
      </c>
    </row>
    <row r="212" spans="1:2">
      <c r="A212" t="s">
        <v>90</v>
      </c>
      <c r="B212">
        <v>3</v>
      </c>
    </row>
    <row r="220" spans="1:2">
      <c r="A220" s="79">
        <v>0.2916666666666667</v>
      </c>
    </row>
    <row r="221" spans="1:2">
      <c r="A221" s="79">
        <v>0.3020833333333333</v>
      </c>
    </row>
    <row r="222" spans="1:2">
      <c r="A222" s="79">
        <v>0.3125</v>
      </c>
    </row>
    <row r="223" spans="1:2">
      <c r="A223" s="79">
        <v>0.3229166666666667</v>
      </c>
    </row>
    <row r="224" spans="1:2">
      <c r="A224" s="79">
        <v>0.3333333333333333</v>
      </c>
    </row>
    <row r="225" spans="1:1">
      <c r="A225" s="79">
        <v>0.34375</v>
      </c>
    </row>
    <row r="226" spans="1:1">
      <c r="A226" s="79">
        <v>0.3541666666666667</v>
      </c>
    </row>
    <row r="227" spans="1:1">
      <c r="A227" s="79">
        <v>0.3645833333333333</v>
      </c>
    </row>
    <row r="228" spans="1:1">
      <c r="A228" s="79">
        <v>0.375</v>
      </c>
    </row>
    <row r="229" spans="1:1">
      <c r="A229" s="79">
        <v>0.3854166666666667</v>
      </c>
    </row>
    <row r="230" spans="1:1">
      <c r="A230" s="79">
        <v>0.3958333333333333</v>
      </c>
    </row>
    <row r="231" spans="1:1">
      <c r="A231" s="79">
        <v>0.40625</v>
      </c>
    </row>
    <row r="232" spans="1:1">
      <c r="A232" s="79">
        <v>0.4166666666666667</v>
      </c>
    </row>
    <row r="233" spans="1:1">
      <c r="A233" s="79">
        <v>0.4270833333333333</v>
      </c>
    </row>
    <row r="234" spans="1:1">
      <c r="A234" s="79">
        <v>0.4375</v>
      </c>
    </row>
    <row r="235" spans="1:1">
      <c r="A235" s="79">
        <v>0.4479166666666667</v>
      </c>
    </row>
    <row r="236" spans="1:1">
      <c r="A236" s="79">
        <v>0.4583333333333333</v>
      </c>
    </row>
    <row r="237" spans="1:1">
      <c r="A237" s="79">
        <v>0.46875</v>
      </c>
    </row>
    <row r="238" spans="1:1">
      <c r="A238" s="79">
        <v>0.4791666666666667</v>
      </c>
    </row>
    <row r="239" spans="1:1">
      <c r="A239" s="79">
        <v>0.4895833333333333</v>
      </c>
    </row>
    <row r="240" spans="1:1">
      <c r="A240" s="79">
        <v>0.5</v>
      </c>
    </row>
    <row r="241" spans="1:1">
      <c r="A241" s="79">
        <v>0.5104166666666666</v>
      </c>
    </row>
    <row r="242" spans="1:1">
      <c r="A242" s="79">
        <v>0.5208333333333334</v>
      </c>
    </row>
    <row r="243" spans="1:1">
      <c r="A243" s="79">
        <v>0.53125</v>
      </c>
    </row>
    <row r="244" spans="1:1">
      <c r="A244" s="79">
        <v>0.5416666666666666</v>
      </c>
    </row>
    <row r="245" spans="1:1">
      <c r="A245" s="79">
        <v>0.5520833333333334</v>
      </c>
    </row>
    <row r="246" spans="1:1">
      <c r="A246" s="79">
        <v>0.5625</v>
      </c>
    </row>
    <row r="247" spans="1:1">
      <c r="A247" s="79">
        <v>0.5729166666666666</v>
      </c>
    </row>
    <row r="248" spans="1:1">
      <c r="A248" s="79">
        <v>0.5833333333333334</v>
      </c>
    </row>
    <row r="249" spans="1:1">
      <c r="A249" s="79">
        <v>0.59375</v>
      </c>
    </row>
    <row r="250" spans="1:1">
      <c r="A250" s="79">
        <v>0.6041666666666666</v>
      </c>
    </row>
    <row r="251" spans="1:1">
      <c r="A251" s="79">
        <v>0.6145833333333334</v>
      </c>
    </row>
    <row r="252" spans="1:1">
      <c r="A252" s="79">
        <v>0.625</v>
      </c>
    </row>
    <row r="253" spans="1:1">
      <c r="A253" s="79">
        <v>0.6354166666666666</v>
      </c>
    </row>
    <row r="254" spans="1:1">
      <c r="A254" s="79">
        <v>0.6458333333333334</v>
      </c>
    </row>
    <row r="255" spans="1:1">
      <c r="A255" s="79">
        <v>0.65625</v>
      </c>
    </row>
    <row r="256" spans="1:1">
      <c r="A256" s="79">
        <v>0.6666666666666666</v>
      </c>
    </row>
    <row r="257" spans="1:1">
      <c r="A257" s="79">
        <v>0.6770833333333334</v>
      </c>
    </row>
    <row r="258" spans="1:1">
      <c r="A258" s="79">
        <v>0.6875</v>
      </c>
    </row>
    <row r="259" spans="1:1">
      <c r="A259" s="79">
        <v>0.6979166666666666</v>
      </c>
    </row>
    <row r="260" spans="1:1">
      <c r="A260" s="79">
        <v>0.7083333333333334</v>
      </c>
    </row>
    <row r="261" spans="1:1">
      <c r="A261" s="79">
        <v>0.71875</v>
      </c>
    </row>
    <row r="262" spans="1:1">
      <c r="A262" s="79">
        <v>0.7291666666666666</v>
      </c>
    </row>
    <row r="263" spans="1:1">
      <c r="A263" s="79">
        <v>0.7395833333333334</v>
      </c>
    </row>
    <row r="264" spans="1:1">
      <c r="A264" s="79">
        <v>0.75</v>
      </c>
    </row>
    <row r="265" spans="1:1">
      <c r="A265" s="79">
        <v>0.7604166666666666</v>
      </c>
    </row>
    <row r="266" spans="1:1">
      <c r="A266" s="79">
        <v>0.7708333333333334</v>
      </c>
    </row>
    <row r="267" spans="1:1">
      <c r="A267" s="79">
        <v>0.78125</v>
      </c>
    </row>
    <row r="268" spans="1:1">
      <c r="A268" s="79">
        <v>0.7916666666666666</v>
      </c>
    </row>
    <row r="269" spans="1:1">
      <c r="A269" s="79">
        <v>0.8020833333333334</v>
      </c>
    </row>
    <row r="270" spans="1:1">
      <c r="A270" s="79">
        <v>0.8125</v>
      </c>
    </row>
    <row r="271" spans="1:1">
      <c r="A271" s="79">
        <v>0.8229166666666666</v>
      </c>
    </row>
    <row r="272" spans="1:1">
      <c r="A272" s="79">
        <v>0.8333333333333334</v>
      </c>
    </row>
    <row r="273" spans="1:1">
      <c r="A273" s="79">
        <v>0.84375</v>
      </c>
    </row>
    <row r="274" spans="1:1">
      <c r="A274" s="79">
        <v>0.8541666666666666</v>
      </c>
    </row>
    <row r="275" spans="1:1">
      <c r="A275" s="79">
        <v>0.8645833333333334</v>
      </c>
    </row>
    <row r="276" spans="1:1">
      <c r="A276" s="79">
        <v>0.875</v>
      </c>
    </row>
    <row r="300" spans="1:1">
      <c r="A300" t="s">
        <v>65</v>
      </c>
    </row>
    <row r="301" spans="1:1">
      <c r="A301" t="s">
        <v>92</v>
      </c>
    </row>
    <row r="302" spans="1:1">
      <c r="A302" t="s">
        <v>106</v>
      </c>
    </row>
    <row r="303" spans="1:1">
      <c r="A303" t="s">
        <v>120</v>
      </c>
    </row>
    <row r="304" spans="1:1">
      <c r="A304" t="s">
        <v>134</v>
      </c>
    </row>
    <row r="305" spans="1:1">
      <c r="A305" t="s">
        <v>148</v>
      </c>
    </row>
    <row r="306" spans="1:1">
      <c r="A306" t="s">
        <v>162</v>
      </c>
    </row>
    <row r="307" spans="1:1">
      <c r="A307" t="s">
        <v>176</v>
      </c>
    </row>
    <row r="308" spans="1:1">
      <c r="A308" t="s">
        <v>190</v>
      </c>
    </row>
    <row r="310" spans="1:1">
      <c r="A310" t="s">
        <v>387</v>
      </c>
    </row>
    <row r="311" spans="1:1">
      <c r="A311" t="s">
        <v>418</v>
      </c>
    </row>
    <row r="312" spans="1:1">
      <c r="A312" t="s">
        <v>419</v>
      </c>
    </row>
    <row r="313" spans="1:1">
      <c r="A313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はじめに</vt:lpstr>
      <vt:lpstr>ダッシュボード</vt:lpstr>
      <vt:lpstr>時間外削減効果</vt:lpstr>
      <vt:lpstr>計算の説明</vt:lpstr>
      <vt:lpstr>市民部</vt:lpstr>
      <vt:lpstr>厚生部</vt:lpstr>
      <vt:lpstr>待ち・対応時間</vt:lpstr>
      <vt:lpstr>ヒートマップ</vt:lpstr>
      <vt:lpstr>カレンダー</vt:lpstr>
      <vt:lpstr>シミュレーター</vt:lpstr>
      <vt:lpstr>業務ランキング</vt:lpstr>
      <vt:lpstr>データ</vt:lpstr>
      <vt:lpstr>取込_市民部</vt:lpstr>
      <vt:lpstr>取込_厚生部</vt:lpstr>
      <vt:lpstr>取込_業務別</vt:lpstr>
      <vt:lpstr>計算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2026-10-27T00:26:30Z</dcterms:created>
  <dcterms:modified xsi:type="dcterms:W3CDTF">2026-10-27T00:26:30Z</dcterms:modified>
</cp:coreProperties>
</file>