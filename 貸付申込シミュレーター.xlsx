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申込シミュレーション" sheetId="2" state="visible" r:id="rId4"/>
    <sheet name="添書" sheetId="3" state="visible" r:id="rId5"/>
    <sheet name="償還表" sheetId="4" state="visible" r:id="rId6"/>
    <sheet name="早見表" sheetId="5" state="visible" r:id="rId7"/>
    <sheet name="マスタ" sheetId="6" state="visible" r:id="rId8"/>
    <sheet name="計算過程" sheetId="7" state="visible" r:id="rId9"/>
  </sheets>
  <definedNames>
    <definedName function="false" hidden="false" localSheetId="2" name="_xlnm.Print_Area" vbProcedure="false">添書!$A$1:$G$62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<sst xmlns="http://schemas.openxmlformats.org/spreadsheetml/2006/main" count="705" uniqueCount="484">
  <si>
    <t xml:space="preserve">貸付申込シミュレーター 使い方</t>
  </si>
  <si>
    <r>
      <rPr>
        <sz val="10"/>
        <color rgb="FF000000"/>
        <rFont val="WenQuanYi Zen Hei"/>
        <family val="2"/>
      </rPr>
      <t xml:space="preserve">共済組合の貸付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普通・特別・住宅・災害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について、申込者ご自身で「必要書類」「申込可能額」「償還額・償還期間」などを確認するための</t>
    </r>
    <r>
      <rPr>
        <sz val="10"/>
        <color rgb="FF000000"/>
        <rFont val="Meiryo UI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です。</t>
    </r>
  </si>
  <si>
    <r>
      <rPr>
        <b val="true"/>
        <sz val="10"/>
        <color rgb="FFFFFFFF"/>
        <rFont val="WenQuanYi Zen Hei"/>
        <family val="2"/>
      </rPr>
      <t xml:space="preserve">この</t>
    </r>
    <r>
      <rPr>
        <b val="true"/>
        <sz val="10"/>
        <color rgb="FFFFFFFF"/>
        <rFont val="Meiryo UI"/>
        <family val="0"/>
        <charset val="1"/>
      </rPr>
      <t xml:space="preserve">Excel</t>
    </r>
    <r>
      <rPr>
        <b val="true"/>
        <sz val="10"/>
        <color rgb="FFFFFFFF"/>
        <rFont val="WenQuanYi Zen Hei"/>
        <family val="2"/>
      </rPr>
      <t xml:space="preserve">でできること</t>
    </r>
  </si>
  <si>
    <r>
      <rPr>
        <b val="true"/>
        <sz val="10"/>
        <color rgb="FF000000"/>
        <rFont val="Meiryo UI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申込可能額</t>
    </r>
  </si>
  <si>
    <r>
      <rPr>
        <sz val="10"/>
        <color rgb="FF000000"/>
        <rFont val="WenQuanYi Zen Hei"/>
        <family val="2"/>
      </rPr>
      <t xml:space="preserve">貸付区分・給料月額・組合員期間などから、貸付限度額と「償還額が給料月額・年収額の</t>
    </r>
    <r>
      <rPr>
        <sz val="10"/>
        <color rgb="FF000000"/>
        <rFont val="Meiryo UI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以内」となる範囲を同時に判定し、申込可能額を表示します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手計算・仮入力が不要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</si>
  <si>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color rgb="FF000000"/>
        <rFont val="Meiryo UI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償還額・償還期間</t>
    </r>
  </si>
  <si>
    <r>
      <rPr>
        <sz val="10"/>
        <color rgb="FF000000"/>
        <rFont val="WenQuanYi Zen Hei"/>
        <family val="2"/>
      </rPr>
      <t xml:space="preserve">償還回数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または毎月償還額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を入力すると、毎月償還額・ボーナス償還額・返済総額・償還開始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終了年月を表示します。『償還表』に月別の明細、『早見表』に金額</t>
    </r>
    <r>
      <rPr>
        <sz val="10"/>
        <color rgb="FF000000"/>
        <rFont val="Meiryo UI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回数の一覧があります。</t>
    </r>
  </si>
  <si>
    <r>
      <rPr>
        <b val="true"/>
        <sz val="10"/>
        <color rgb="FF000000"/>
        <rFont val="Meiryo UI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必要書類</t>
    </r>
  </si>
  <si>
    <r>
      <rPr>
        <sz val="10"/>
        <color rgb="FF000000"/>
        <rFont val="WenQuanYi Zen Hei"/>
        <family val="2"/>
      </rPr>
      <t xml:space="preserve">貸付区分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住宅は事由別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に応じて、申込時の提出書類と貸付金交付後の提出書類を自動表示します。提出先・申込締切日・交付日も表示します。</t>
    </r>
  </si>
  <si>
    <r>
      <rPr>
        <b val="true"/>
        <sz val="10"/>
        <color rgb="FF000000"/>
        <rFont val="Meiryo UI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添書</t>
    </r>
  </si>
  <si>
    <r>
      <rPr>
        <sz val="10"/>
        <color rgb="FF000000"/>
        <rFont val="WenQuanYi Zen Hei"/>
        <family val="2"/>
      </rPr>
      <t xml:space="preserve">『添書』シートに、申込内容に応じた添書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提出書類のチェックリスト付き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を自動作成します。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件ずつ手作成する必要がありません。印刷してそのまま使えます。</t>
    </r>
  </si>
  <si>
    <r>
      <rPr>
        <b val="true"/>
        <sz val="10"/>
        <color rgb="FF000000"/>
        <rFont val="Meiryo UI"/>
        <family val="0"/>
        <charset val="1"/>
      </rPr>
      <t xml:space="preserve">5. </t>
    </r>
    <r>
      <rPr>
        <b val="true"/>
        <sz val="10"/>
        <color rgb="FF000000"/>
        <rFont val="WenQuanYi Zen Hei"/>
        <family val="2"/>
      </rPr>
      <t xml:space="preserve">借入状況の確認</t>
    </r>
  </si>
  <si>
    <r>
      <rPr>
        <sz val="10"/>
        <color rgb="FF000000"/>
        <rFont val="WenQuanYi Zen Hei"/>
        <family val="2"/>
      </rPr>
      <t xml:space="preserve">借入状況等申告書の</t>
    </r>
    <r>
      <rPr>
        <sz val="10"/>
        <color rgb="FF000000"/>
        <rFont val="Meiryo UI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(M)</t>
    </r>
    <r>
      <rPr>
        <sz val="10"/>
        <color rgb="FF000000"/>
        <rFont val="WenQuanYi Zen Hei"/>
        <family val="2"/>
      </rPr>
      <t xml:space="preserve">と同じ計算</t>
    </r>
    <r>
      <rPr>
        <sz val="10"/>
        <color rgb="FF000000"/>
        <rFont val="Meiryo UI"/>
        <family val="0"/>
        <charset val="1"/>
      </rPr>
      <t xml:space="preserve">(E÷K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Meiryo UI"/>
        <family val="0"/>
        <charset val="1"/>
      </rPr>
      <t xml:space="preserve">L÷M)</t>
    </r>
    <r>
      <rPr>
        <sz val="10"/>
        <color rgb="FF000000"/>
        <rFont val="WenQuanYi Zen Hei"/>
        <family val="2"/>
      </rPr>
      <t xml:space="preserve">を自動で行い、</t>
    </r>
    <r>
      <rPr>
        <sz val="10"/>
        <color rgb="FF000000"/>
        <rFont val="Meiryo UI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超を○</t>
    </r>
    <r>
      <rPr>
        <sz val="10"/>
        <color rgb="FF000000"/>
        <rFont val="Meiryo UI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で判定します。</t>
    </r>
  </si>
  <si>
    <t xml:space="preserve">使い方</t>
  </si>
  <si>
    <t xml:space="preserve">手順</t>
  </si>
  <si>
    <r>
      <rPr>
        <sz val="10"/>
        <color rgb="FF000000"/>
        <rFont val="WenQuanYi Zen Hei"/>
        <family val="2"/>
      </rPr>
      <t xml:space="preserve">①『申込シミュレーション』の黄色いセルに入力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青字・黄色セルが入力欄。入力例が入っています</t>
    </r>
    <r>
      <rPr>
        <sz val="10"/>
        <color rgb="FF000000"/>
        <rFont val="Meiryo UI"/>
        <family val="0"/>
        <charset val="1"/>
      </rPr>
      <t xml:space="preserve">) → ②</t>
    </r>
    <r>
      <rPr>
        <sz val="10"/>
        <color rgb="FF000000"/>
        <rFont val="WenQuanYi Zen Hei"/>
        <family val="2"/>
      </rPr>
      <t xml:space="preserve">右側の判定結果・⑤判定の内訳を確認 → ③必要書類・日程を確認 → ④『添書』を印刷。</t>
    </r>
  </si>
  <si>
    <t xml:space="preserve">色の意味</t>
  </si>
  <si>
    <r>
      <rPr>
        <sz val="10"/>
        <color rgb="FF000000"/>
        <rFont val="WenQuanYi Zen Hei"/>
        <family val="2"/>
      </rPr>
      <t xml:space="preserve">青字</t>
    </r>
    <r>
      <rPr>
        <sz val="10"/>
        <color rgb="FF000000"/>
        <rFont val="Meiryo UI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黄色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入力するセル </t>
    </r>
    <r>
      <rPr>
        <sz val="10"/>
        <color rgb="FF000000"/>
        <rFont val="Meiryo UI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黒字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自動計算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触らない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。判定は ○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適合、</t>
    </r>
    <r>
      <rPr>
        <sz val="10"/>
        <color rgb="FF000000"/>
        <rFont val="Meiryo UI"/>
        <family val="0"/>
        <charset val="1"/>
      </rPr>
      <t xml:space="preserve">×=</t>
    </r>
    <r>
      <rPr>
        <sz val="10"/>
        <color rgb="FF000000"/>
        <rFont val="WenQuanYi Zen Hei"/>
        <family val="2"/>
      </rPr>
      <t xml:space="preserve">不適合、△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要確認、－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対象外。</t>
    </r>
  </si>
  <si>
    <t xml:space="preserve">利率・数値の改定</t>
  </si>
  <si>
    <t xml:space="preserve">利率・限度額・書類表・締切日などはすべて『マスタ』シートの値を参照します。改定時はマスタを直すだけで、全シートに反映されます。祝日は毎年追加してください。</t>
  </si>
  <si>
    <t xml:space="preserve">出典</t>
  </si>
  <si>
    <r>
      <rPr>
        <sz val="10"/>
        <color rgb="FF000000"/>
        <rFont val="WenQuanYi Zen Hei"/>
        <family val="2"/>
      </rPr>
      <t xml:space="preserve">広島市職員共済組合ハンドブック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令和</t>
    </r>
    <r>
      <rPr>
        <sz val="10"/>
        <color rgb="FF000000"/>
        <rFont val="Meiryo UI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年度改訂版</t>
    </r>
    <r>
      <rPr>
        <sz val="10"/>
        <color rgb="FF000000"/>
        <rFont val="Meiryo UI"/>
        <family val="0"/>
        <charset val="1"/>
      </rPr>
      <t xml:space="preserve">)p.40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 UI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、貸付金借用証書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様式第</t>
    </r>
    <r>
      <rPr>
        <sz val="10"/>
        <color rgb="FF000000"/>
        <rFont val="Meiryo UI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号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、借入状況等申告書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様式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。利率は令和</t>
    </r>
    <r>
      <rPr>
        <sz val="10"/>
        <color rgb="FF000000"/>
        <rFont val="Meiryo UI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日現在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普通・特別・住宅 年</t>
    </r>
    <r>
      <rPr>
        <sz val="10"/>
        <color rgb="FF000000"/>
        <rFont val="Meiryo UI"/>
        <family val="0"/>
        <charset val="1"/>
      </rPr>
      <t xml:space="preserve">1.26%</t>
    </r>
    <r>
      <rPr>
        <sz val="10"/>
        <color rgb="FF000000"/>
        <rFont val="WenQuanYi Zen Hei"/>
        <family val="2"/>
      </rPr>
      <t xml:space="preserve">、災害 年</t>
    </r>
    <r>
      <rPr>
        <sz val="10"/>
        <color rgb="FF000000"/>
        <rFont val="Meiryo UI"/>
        <family val="0"/>
        <charset val="1"/>
      </rPr>
      <t xml:space="preserve">0.93%</t>
    </r>
    <r>
      <rPr>
        <sz val="10"/>
        <color rgb="FF000000"/>
        <rFont val="WenQuanYi Zen Hei"/>
        <family val="2"/>
      </rPr>
      <t xml:space="preserve">、在宅介護対応住宅加算部分 年</t>
    </r>
    <r>
      <rPr>
        <sz val="10"/>
        <color rgb="FF000000"/>
        <rFont val="Meiryo UI"/>
        <family val="0"/>
        <charset val="1"/>
      </rPr>
      <t xml:space="preserve">1.00%)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</si>
  <si>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color rgb="FFFFFFFF"/>
        <rFont val="WenQuanYi Zen Hei"/>
        <family val="2"/>
      </rPr>
      <t xml:space="preserve">前提・注意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必ずお読みください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</si>
  <si>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試算であること</t>
  </si>
  <si>
    <r>
      <rPr>
        <sz val="10"/>
        <color rgb="FF000000"/>
        <rFont val="WenQuanYi Zen Hei"/>
        <family val="2"/>
      </rPr>
      <t xml:space="preserve">実際の貸付可否は共済組合の審査によります。償還額は元利均等の概算で、実際の償還表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円未満の端数処理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と数円の差が出る場合があります。確定額は貸付決定通知で確認してください。</t>
    </r>
  </si>
  <si>
    <t xml:space="preserve">ボーナス併用償還</t>
  </si>
  <si>
    <r>
      <rPr>
        <sz val="10"/>
        <color rgb="FF000000"/>
        <rFont val="Meiryo UI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月・</t>
    </r>
    <r>
      <rPr>
        <sz val="10"/>
        <color rgb="FF000000"/>
        <rFont val="Meiryo UI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月に償還するものとし、半年あたりの利率は月利を</t>
    </r>
    <r>
      <rPr>
        <sz val="10"/>
        <color rgb="FF000000"/>
        <rFont val="Meiryo UI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か月複利換算、基本部分に充てるものとして計算しています。</t>
    </r>
  </si>
  <si>
    <t xml:space="preserve">要確認としている点</t>
  </si>
  <si>
    <r>
      <rPr>
        <sz val="10"/>
        <color rgb="FF000000"/>
        <rFont val="WenQuanYi Zen Hei"/>
        <family val="2"/>
      </rPr>
      <t xml:space="preserve">①災害家財貸付の申込単位</t>
    </r>
    <r>
      <rPr>
        <sz val="10"/>
        <color rgb="FF000000"/>
        <rFont val="Meiryo UI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と償還回数上限</t>
    </r>
    <r>
      <rPr>
        <sz val="10"/>
        <color rgb="FF000000"/>
        <rFont val="Meiryo UI"/>
        <family val="0"/>
        <charset val="1"/>
      </rPr>
      <t xml:space="preserve">(360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はハンドブックの災害貸付の記載を準用 ②災害住宅貸付で組合員期間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年未満の月数・最低保障額は最下段を適用 ③在宅介護対応住宅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加算部分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の利率を災害貸付と併用する場合の取扱い ④住宅貸付の貸付決定時期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ハンドブックの「締切日の同月</t>
    </r>
    <r>
      <rPr>
        <sz val="10"/>
        <color rgb="FF000000"/>
        <rFont val="Meiryo UI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日頃」の記載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。いずれも共済組合に確認のうえ、必要ならマスタを修正してください。</t>
    </r>
  </si>
  <si>
    <t xml:space="preserve">対象外のもの</t>
  </si>
  <si>
    <r>
      <rPr>
        <sz val="10"/>
        <color rgb="FF000000"/>
        <rFont val="WenQuanYi Zen Hei"/>
        <family val="2"/>
      </rPr>
      <t xml:space="preserve">自動車購入貸付で既に貸付残がある場合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一括償還が必要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、同一貸付対象について複数申込できない取扱い、育児・介護休業中の償還猶予、修学貸付の修学期間中の利息のみの償還、任期のある職員の償還期間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任期末まで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は自動判定していません。個別に共済組合へご相談ください。</t>
    </r>
  </si>
  <si>
    <t xml:space="preserve">お問合せ</t>
  </si>
  <si>
    <r>
      <rPr>
        <sz val="10"/>
        <color rgb="FF000000"/>
        <rFont val="WenQuanYi Zen Hei"/>
        <family val="2"/>
      </rPr>
      <t xml:space="preserve">広島市職員共済組合 庶務係 ☎</t>
    </r>
    <r>
      <rPr>
        <sz val="10"/>
        <color rgb="FF000000"/>
        <rFont val="Meiryo UI"/>
        <family val="0"/>
        <charset val="1"/>
      </rPr>
      <t xml:space="preserve">082-504-2061(</t>
    </r>
    <r>
      <rPr>
        <sz val="10"/>
        <color rgb="FF000000"/>
        <rFont val="WenQuanYi Zen Hei"/>
        <family val="2"/>
      </rPr>
      <t xml:space="preserve">内線 </t>
    </r>
    <r>
      <rPr>
        <sz val="10"/>
        <color rgb="FF000000"/>
        <rFont val="Meiryo UI"/>
        <family val="0"/>
        <charset val="1"/>
      </rPr>
      <t xml:space="preserve">81-2361,2362)</t>
    </r>
  </si>
  <si>
    <r>
      <rPr>
        <b val="true"/>
        <sz val="16"/>
        <color rgb="FF1F4E78"/>
        <rFont val="WenQuanYi Zen Hei"/>
        <family val="2"/>
      </rPr>
      <t xml:space="preserve">貸付申込シミュレーター</t>
    </r>
    <r>
      <rPr>
        <b val="true"/>
        <sz val="16"/>
        <color rgb="FF1F4E78"/>
        <rFont val="Meiryo UI"/>
        <family val="0"/>
        <charset val="1"/>
      </rPr>
      <t xml:space="preserve">(</t>
    </r>
    <r>
      <rPr>
        <b val="true"/>
        <sz val="16"/>
        <color rgb="FF1F4E78"/>
        <rFont val="WenQuanYi Zen Hei"/>
        <family val="2"/>
      </rPr>
      <t xml:space="preserve">広島市職員共済組合 貸付</t>
    </r>
    <r>
      <rPr>
        <b val="true"/>
        <sz val="16"/>
        <color rgb="FF1F4E78"/>
        <rFont val="Meiryo UI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</si>
  <si>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黄色のセルに入力してください</t>
    </r>
    <r>
      <rPr>
        <sz val="10"/>
        <color rgb="FF595959"/>
        <rFont val="Meiryo UI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入力例が入っています。上書きして使います</t>
    </r>
    <r>
      <rPr>
        <sz val="10"/>
        <color rgb="FF595959"/>
        <rFont val="Meiryo UI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。結果は右側に自動表示されます。</t>
    </r>
  </si>
  <si>
    <t xml:space="preserve">※試算用です。実際の貸付可否・償還額は共済組合の審査・償還表によります。利率・限度額などの根拠は「マスタ」シートにあります。</t>
  </si>
  <si>
    <t xml:space="preserve">① 申込者・貸付の内容</t>
  </si>
  <si>
    <t xml:space="preserve">③ 判定結果</t>
  </si>
  <si>
    <t xml:space="preserve">所属区分</t>
  </si>
  <si>
    <r>
      <rPr>
        <sz val="10"/>
        <color rgb="FF0000FF"/>
        <rFont val="WenQuanYi Zen Hei"/>
        <family val="2"/>
      </rPr>
      <t xml:space="preserve">市長事務部局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給与支給の派遣職員を含む</t>
    </r>
    <r>
      <rPr>
        <sz val="10"/>
        <color rgb="FF0000FF"/>
        <rFont val="Meiryo UI"/>
        <family val="0"/>
        <charset val="1"/>
      </rPr>
      <t xml:space="preserve">)</t>
    </r>
  </si>
  <si>
    <t xml:space="preserve">提出先の案内に使います</t>
  </si>
  <si>
    <t xml:space="preserve">総合判定</t>
  </si>
  <si>
    <t xml:space="preserve">所属名</t>
  </si>
  <si>
    <t xml:space="preserve">○○局○○課</t>
  </si>
  <si>
    <t xml:space="preserve">添書の宛名に使います</t>
  </si>
  <si>
    <t xml:space="preserve">区分群</t>
  </si>
  <si>
    <t xml:space="preserve">氏名</t>
  </si>
  <si>
    <t xml:space="preserve">広島 太郎</t>
  </si>
  <si>
    <t xml:space="preserve">組合員期間</t>
  </si>
  <si>
    <t xml:space="preserve">資格取得日〜申込予定日</t>
  </si>
  <si>
    <t xml:space="preserve">貸付区分 ※プルダウン</t>
  </si>
  <si>
    <r>
      <rPr>
        <sz val="10"/>
        <color rgb="FF0000FF"/>
        <rFont val="WenQuanYi Zen Hei"/>
        <family val="2"/>
      </rPr>
      <t xml:space="preserve">普通貸付</t>
    </r>
    <r>
      <rPr>
        <sz val="10"/>
        <color rgb="FF0000FF"/>
        <rFont val="Meiryo UI"/>
        <family val="0"/>
        <charset val="1"/>
      </rPr>
      <t xml:space="preserve">:</t>
    </r>
    <r>
      <rPr>
        <sz val="10"/>
        <color rgb="FF0000FF"/>
        <rFont val="WenQuanYi Zen Hei"/>
        <family val="2"/>
      </rPr>
      <t xml:space="preserve">自動車購入</t>
    </r>
  </si>
  <si>
    <t xml:space="preserve">貸付の種類を選びます</t>
  </si>
  <si>
    <r>
      <rPr>
        <sz val="10"/>
        <color rgb="FF000000"/>
        <rFont val="WenQuanYi Zen Hei"/>
        <family val="2"/>
      </rPr>
      <t xml:space="preserve">適用利率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</si>
  <si>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変動利率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令和</t>
    </r>
    <r>
      <rPr>
        <i val="true"/>
        <sz val="9"/>
        <color rgb="FF595959"/>
        <rFont val="Meiryo UI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年</t>
    </r>
    <r>
      <rPr>
        <i val="true"/>
        <sz val="9"/>
        <color rgb="FF595959"/>
        <rFont val="Meiryo UI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月</t>
    </r>
    <r>
      <rPr>
        <i val="true"/>
        <sz val="9"/>
        <color rgb="FF595959"/>
        <rFont val="Meiryo UI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日現在</t>
    </r>
    <r>
      <rPr>
        <i val="true"/>
        <sz val="9"/>
        <color rgb="FF595959"/>
        <rFont val="Meiryo UI"/>
        <family val="0"/>
        <charset val="1"/>
      </rPr>
      <t xml:space="preserve">)</t>
    </r>
  </si>
  <si>
    <t xml:space="preserve">申込予定日</t>
  </si>
  <si>
    <t xml:space="preserve">締切日・交付日・組合員期間の判定に使います</t>
  </si>
  <si>
    <r>
      <rPr>
        <sz val="10"/>
        <color rgb="FF000000"/>
        <rFont val="WenQuanYi Zen Hei"/>
        <family val="2"/>
      </rPr>
      <t xml:space="preserve">貸付限度額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基本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</si>
  <si>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給料月額</t>
    </r>
    <r>
      <rPr>
        <i val="true"/>
        <sz val="9"/>
        <color rgb="FF595959"/>
        <rFont val="Meiryo UI"/>
        <family val="0"/>
        <charset val="1"/>
      </rPr>
      <t xml:space="preserve">×</t>
    </r>
    <r>
      <rPr>
        <i val="true"/>
        <sz val="9"/>
        <color rgb="FF595959"/>
        <rFont val="WenQuanYi Zen Hei"/>
        <family val="2"/>
      </rPr>
      <t xml:space="preserve">月数、最低保障額などから計算</t>
    </r>
  </si>
  <si>
    <t xml:space="preserve">組合員資格取得日</t>
  </si>
  <si>
    <t xml:space="preserve">組合員期間の計算に使います</t>
  </si>
  <si>
    <t xml:space="preserve">在宅介護対応の加算限度</t>
  </si>
  <si>
    <r>
      <rPr>
        <sz val="10"/>
        <color rgb="FF000000"/>
        <rFont val="WenQuanYi Zen Hei"/>
        <family val="2"/>
      </rPr>
      <t xml:space="preserve">給料月額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</si>
  <si>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手当等は含めない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部分休業等で減額中は減額後</t>
    </r>
    <r>
      <rPr>
        <i val="true"/>
        <sz val="9"/>
        <color rgb="FF595959"/>
        <rFont val="Meiryo UI"/>
        <family val="0"/>
        <charset val="1"/>
      </rPr>
      <t xml:space="preserve">)</t>
    </r>
  </si>
  <si>
    <t xml:space="preserve">返済能力から見た借入上限</t>
  </si>
  <si>
    <r>
      <rPr>
        <sz val="10"/>
        <color rgb="FF000000"/>
        <rFont val="WenQuanYi Zen Hei"/>
        <family val="2"/>
      </rPr>
      <t xml:space="preserve">事由発生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予定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日</t>
    </r>
  </si>
  <si>
    <t xml:space="preserve">★ 申込可能額</t>
  </si>
  <si>
    <t xml:space="preserve">給与の差押さえ等</t>
  </si>
  <si>
    <t xml:space="preserve">無</t>
  </si>
  <si>
    <t xml:space="preserve">有・無</t>
  </si>
  <si>
    <t xml:space="preserve">試算に用いた申込額</t>
  </si>
  <si>
    <t xml:space="preserve">申込希望金額を入力するとその金額で試算</t>
  </si>
  <si>
    <r>
      <rPr>
        <sz val="10"/>
        <color rgb="FF000000"/>
        <rFont val="WenQuanYi Zen Hei"/>
        <family val="2"/>
      </rPr>
      <t xml:space="preserve">無給休職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育児休業を除く</t>
    </r>
    <r>
      <rPr>
        <sz val="10"/>
        <color rgb="FF000000"/>
        <rFont val="Meiryo UI"/>
        <family val="0"/>
        <charset val="1"/>
      </rPr>
      <t xml:space="preserve">)</t>
    </r>
  </si>
  <si>
    <t xml:space="preserve">償還回数</t>
  </si>
  <si>
    <r>
      <rPr>
        <sz val="10"/>
        <color rgb="FF000000"/>
        <rFont val="WenQuanYi Zen Hei"/>
        <family val="2"/>
      </rPr>
      <t xml:space="preserve">修学月数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修学貸付のみ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</si>
  <si>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学年単位・修業年限以内。</t>
    </r>
    <r>
      <rPr>
        <i val="true"/>
        <sz val="9"/>
        <color rgb="FF595959"/>
        <rFont val="Meiryo UI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か月</t>
    </r>
    <r>
      <rPr>
        <i val="true"/>
        <sz val="9"/>
        <color rgb="FF595959"/>
        <rFont val="Meiryo UI"/>
        <family val="0"/>
        <charset val="1"/>
      </rPr>
      <t xml:space="preserve">15</t>
    </r>
    <r>
      <rPr>
        <i val="true"/>
        <sz val="9"/>
        <color rgb="FF595959"/>
        <rFont val="WenQuanYi Zen Hei"/>
        <family val="2"/>
      </rPr>
      <t xml:space="preserve">万円</t>
    </r>
  </si>
  <si>
    <t xml:space="preserve">毎月償還額</t>
  </si>
  <si>
    <r>
      <rPr>
        <i val="true"/>
        <sz val="9"/>
        <color rgb="FF595959"/>
        <rFont val="WenQuanYi Zen Hei"/>
        <family val="2"/>
      </rPr>
      <t xml:space="preserve">元利均等・給与控除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概算</t>
    </r>
    <r>
      <rPr>
        <i val="true"/>
        <sz val="9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</si>
  <si>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申込希望金額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</si>
  <si>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t xml:space="preserve">空欄なら申込可能額で試算します</t>
  </si>
  <si>
    <r>
      <rPr>
        <sz val="10"/>
        <color rgb="FF000000"/>
        <rFont val="WenQuanYi Zen Hei"/>
        <family val="2"/>
      </rPr>
      <t xml:space="preserve">ボーナス償還額</t>
    </r>
    <r>
      <rPr>
        <sz val="10"/>
        <color rgb="FF000000"/>
        <rFont val="Meiryo UI"/>
        <family val="0"/>
        <charset val="1"/>
      </rPr>
      <t xml:space="preserve">(1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</si>
  <si>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Meiryo UI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月・</t>
    </r>
    <r>
      <rPr>
        <i val="true"/>
        <sz val="9"/>
        <color rgb="FF595959"/>
        <rFont val="Meiryo UI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月</t>
    </r>
  </si>
  <si>
    <r>
      <rPr>
        <sz val="10"/>
        <color rgb="FF000000"/>
        <rFont val="WenQuanYi Zen Hei"/>
        <family val="2"/>
      </rPr>
      <t xml:space="preserve">償還回数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</si>
  <si>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t xml:space="preserve">回数か毎月償還額のどちらかを設定</t>
  </si>
  <si>
    <t xml:space="preserve">償還開始</t>
  </si>
  <si>
    <t xml:space="preserve">貸付を受けた月の翌月から</t>
  </si>
  <si>
    <r>
      <rPr>
        <sz val="10"/>
        <color rgb="FF000000"/>
        <rFont val="WenQuanYi Zen Hei"/>
        <family val="2"/>
      </rPr>
      <t xml:space="preserve">毎月償還額の希望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</si>
  <si>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t xml:space="preserve">回数が空欄のとき、返済できる回数を逆算</t>
  </si>
  <si>
    <t xml:space="preserve">償還終了予定</t>
  </si>
  <si>
    <r>
      <rPr>
        <i val="true"/>
        <sz val="9"/>
        <color rgb="FF595959"/>
        <rFont val="WenQuanYi Zen Hei"/>
        <family val="2"/>
      </rPr>
      <t xml:space="preserve">住宅系で申込</t>
    </r>
    <r>
      <rPr>
        <i val="true"/>
        <sz val="9"/>
        <color rgb="FF595959"/>
        <rFont val="Meiryo UI"/>
        <family val="0"/>
        <charset val="1"/>
      </rPr>
      <t xml:space="preserve">300</t>
    </r>
    <r>
      <rPr>
        <i val="true"/>
        <sz val="9"/>
        <color rgb="FF595959"/>
        <rFont val="WenQuanYi Zen Hei"/>
        <family val="2"/>
      </rPr>
      <t xml:space="preserve">万円以上の場合のみ</t>
    </r>
  </si>
  <si>
    <t xml:space="preserve">返済総額</t>
  </si>
  <si>
    <r>
      <rPr>
        <sz val="10"/>
        <color rgb="FF000000"/>
        <rFont val="WenQuanYi Zen Hei"/>
        <family val="2"/>
      </rPr>
      <t xml:space="preserve">ボーナス償還分の元金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</si>
  <si>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Meiryo UI"/>
        <family val="0"/>
        <charset val="1"/>
      </rPr>
      <t xml:space="preserve">100</t>
    </r>
    <r>
      <rPr>
        <i val="true"/>
        <sz val="9"/>
        <color rgb="FF595959"/>
        <rFont val="WenQuanYi Zen Hei"/>
        <family val="2"/>
      </rPr>
      <t xml:space="preserve">万円以上・貸付金額の</t>
    </r>
    <r>
      <rPr>
        <i val="true"/>
        <sz val="9"/>
        <color rgb="FF595959"/>
        <rFont val="Meiryo UI"/>
        <family val="0"/>
        <charset val="1"/>
      </rPr>
      <t xml:space="preserve">1/2</t>
    </r>
    <r>
      <rPr>
        <i val="true"/>
        <sz val="9"/>
        <color rgb="FF595959"/>
        <rFont val="WenQuanYi Zen Hei"/>
        <family val="2"/>
      </rPr>
      <t xml:space="preserve">以内・</t>
    </r>
    <r>
      <rPr>
        <i val="true"/>
        <sz val="9"/>
        <color rgb="FF595959"/>
        <rFont val="Meiryo UI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万円単位</t>
    </r>
  </si>
  <si>
    <t xml:space="preserve">うち利息</t>
  </si>
  <si>
    <r>
      <rPr>
        <sz val="10"/>
        <color rgb="FF000000"/>
        <rFont val="WenQuanYi Zen Hei"/>
        <family val="2"/>
      </rPr>
      <t xml:space="preserve">ボーナス償還回数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</si>
  <si>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Meiryo UI"/>
        <family val="0"/>
        <charset val="1"/>
      </rPr>
      <t xml:space="preserve">60</t>
    </r>
    <r>
      <rPr>
        <i val="true"/>
        <sz val="9"/>
        <color rgb="FF595959"/>
        <rFont val="WenQuanYi Zen Hei"/>
        <family val="2"/>
      </rPr>
      <t xml:space="preserve">回以内</t>
    </r>
    <r>
      <rPr>
        <i val="true"/>
        <sz val="9"/>
        <color rgb="FF595959"/>
        <rFont val="Meiryo UI"/>
        <family val="0"/>
        <charset val="1"/>
      </rPr>
      <t xml:space="preserve">(6</t>
    </r>
    <r>
      <rPr>
        <i val="true"/>
        <sz val="9"/>
        <color rgb="FF595959"/>
        <rFont val="WenQuanYi Zen Hei"/>
        <family val="2"/>
      </rPr>
      <t xml:space="preserve">月・</t>
    </r>
    <r>
      <rPr>
        <i val="true"/>
        <sz val="9"/>
        <color rgb="FF595959"/>
        <rFont val="Meiryo UI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月の計</t>
    </r>
    <r>
      <rPr>
        <i val="true"/>
        <sz val="9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</si>
  <si>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在宅介護対応住宅の該当部分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</si>
  <si>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住宅系のみ。</t>
    </r>
    <r>
      <rPr>
        <i val="true"/>
        <sz val="9"/>
        <color rgb="FF595959"/>
        <rFont val="Meiryo UI"/>
        <family val="0"/>
        <charset val="1"/>
      </rPr>
      <t xml:space="preserve">300</t>
    </r>
    <r>
      <rPr>
        <i val="true"/>
        <sz val="9"/>
        <color rgb="FF595959"/>
        <rFont val="WenQuanYi Zen Hei"/>
        <family val="2"/>
      </rPr>
      <t xml:space="preserve">万円を限度に加算</t>
    </r>
  </si>
  <si>
    <r>
      <rPr>
        <b val="true"/>
        <sz val="10"/>
        <color rgb="FFFFFFFF"/>
        <rFont val="WenQuanYi Zen Hei"/>
        <family val="2"/>
      </rPr>
      <t xml:space="preserve">④ 償還額の割合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借入状況等申告書の計算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</si>
  <si>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住宅書類の区分 ※災害住宅・再貸付のみ</t>
  </si>
  <si>
    <r>
      <rPr>
        <i val="true"/>
        <sz val="9"/>
        <color rgb="FF595959"/>
        <rFont val="WenQuanYi Zen Hei"/>
        <family val="2"/>
      </rPr>
      <t xml:space="preserve">必要書類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住宅〔表</t>
    </r>
    <r>
      <rPr>
        <i val="true"/>
        <sz val="9"/>
        <color rgb="FF595959"/>
        <rFont val="Meiryo UI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〕</t>
    </r>
    <r>
      <rPr>
        <i val="true"/>
        <sz val="9"/>
        <color rgb="FF595959"/>
        <rFont val="Meiryo UI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の判定に使います</t>
    </r>
  </si>
  <si>
    <r>
      <rPr>
        <sz val="10"/>
        <color rgb="FF000000"/>
        <rFont val="WenQuanYi Zen Hei"/>
        <family val="2"/>
      </rPr>
      <t xml:space="preserve">毎月の償還額</t>
    </r>
    <r>
      <rPr>
        <sz val="10"/>
        <color rgb="FF000000"/>
        <rFont val="Meiryo UI"/>
        <family val="0"/>
        <charset val="1"/>
      </rPr>
      <t xml:space="preserve">(E)=A+B+C+D</t>
    </r>
  </si>
  <si>
    <r>
      <rPr>
        <i val="true"/>
        <sz val="9"/>
        <color rgb="FF595959"/>
        <rFont val="Meiryo UI"/>
        <family val="0"/>
        <charset val="1"/>
      </rPr>
      <t xml:space="preserve">D=</t>
    </r>
    <r>
      <rPr>
        <i val="true"/>
        <sz val="9"/>
        <color rgb="FF595959"/>
        <rFont val="WenQuanYi Zen Hei"/>
        <family val="2"/>
      </rPr>
      <t xml:space="preserve">今回の貸付の毎月償還額</t>
    </r>
  </si>
  <si>
    <r>
      <rPr>
        <sz val="10"/>
        <color rgb="FF000000"/>
        <rFont val="WenQuanYi Zen Hei"/>
        <family val="2"/>
      </rPr>
      <t xml:space="preserve">ボーナス償還額</t>
    </r>
    <r>
      <rPr>
        <sz val="10"/>
        <color rgb="FF000000"/>
        <rFont val="Meiryo UI"/>
        <family val="0"/>
        <charset val="1"/>
      </rPr>
      <t xml:space="preserve">(J)=F+G+H+I</t>
    </r>
  </si>
  <si>
    <r>
      <rPr>
        <b val="true"/>
        <sz val="10"/>
        <color rgb="FFFFFFFF"/>
        <rFont val="WenQuanYi Zen Hei"/>
        <family val="2"/>
      </rPr>
      <t xml:space="preserve">② 他の借入・共済組合の既貸付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借入状況等申告書の項目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</si>
  <si>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給料月額</t>
    </r>
    <r>
      <rPr>
        <sz val="10"/>
        <color rgb="FF000000"/>
        <rFont val="Meiryo UI"/>
        <family val="0"/>
        <charset val="1"/>
      </rPr>
      <t xml:space="preserve">(K)</t>
    </r>
  </si>
  <si>
    <r>
      <rPr>
        <sz val="10"/>
        <color rgb="FF000000"/>
        <rFont val="Meiryo UI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他の金融機関等 既借入 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</si>
  <si>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他の金融機関等の返済がなければ</t>
    </r>
    <r>
      <rPr>
        <i val="true"/>
        <sz val="9"/>
        <color rgb="FF595959"/>
        <rFont val="Meiryo UI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。裏面の記入上の注意に従い、予定分も含めます。</t>
    </r>
  </si>
  <si>
    <r>
      <rPr>
        <b val="true"/>
        <sz val="10"/>
        <color rgb="FF000000"/>
        <rFont val="WenQuanYi Zen Hei"/>
        <family val="2"/>
      </rPr>
      <t xml:space="preserve">毎月償還額の割合 </t>
    </r>
    <r>
      <rPr>
        <b val="true"/>
        <sz val="10"/>
        <color rgb="FF000000"/>
        <rFont val="Meiryo UI"/>
        <family val="0"/>
        <charset val="1"/>
      </rPr>
      <t xml:space="preserve">E÷K</t>
    </r>
  </si>
  <si>
    <r>
      <rPr>
        <sz val="10"/>
        <color rgb="FF000000"/>
        <rFont val="Meiryo UI"/>
        <family val="0"/>
        <charset val="1"/>
      </rPr>
      <t xml:space="preserve">(F)</t>
    </r>
    <r>
      <rPr>
        <sz val="10"/>
        <color rgb="FF000000"/>
        <rFont val="WenQuanYi Zen Hei"/>
        <family val="2"/>
      </rPr>
      <t xml:space="preserve">同上 ボーナス償還額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</si>
  <si>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年間償還額</t>
    </r>
    <r>
      <rPr>
        <sz val="10"/>
        <color rgb="FF000000"/>
        <rFont val="Meiryo UI"/>
        <family val="0"/>
        <charset val="1"/>
      </rPr>
      <t xml:space="preserve">(L)=E×12+J×2</t>
    </r>
  </si>
  <si>
    <r>
      <rPr>
        <sz val="10"/>
        <color rgb="FF000000"/>
        <rFont val="Meiryo UI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他の金融機関等 新規借入 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</si>
  <si>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年収額</t>
    </r>
    <r>
      <rPr>
        <sz val="10"/>
        <color rgb="FF000000"/>
        <rFont val="Meiryo UI"/>
        <family val="0"/>
        <charset val="1"/>
      </rPr>
      <t xml:space="preserve">(M)=K×12+K×4</t>
    </r>
  </si>
  <si>
    <r>
      <rPr>
        <sz val="10"/>
        <color rgb="FF000000"/>
        <rFont val="Meiryo UI"/>
        <family val="0"/>
        <charset val="1"/>
      </rPr>
      <t xml:space="preserve">(G)</t>
    </r>
    <r>
      <rPr>
        <sz val="10"/>
        <color rgb="FF000000"/>
        <rFont val="WenQuanYi Zen Hei"/>
        <family val="2"/>
      </rPr>
      <t xml:space="preserve">同上 ボーナス償還額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</si>
  <si>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年間償還額の割合 </t>
    </r>
    <r>
      <rPr>
        <b val="true"/>
        <sz val="10"/>
        <color rgb="FF000000"/>
        <rFont val="Meiryo UI"/>
        <family val="0"/>
        <charset val="1"/>
      </rPr>
      <t xml:space="preserve">L÷M</t>
    </r>
  </si>
  <si>
    <r>
      <rPr>
        <sz val="10"/>
        <color rgb="FF000000"/>
        <rFont val="Meiryo UI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共済組合 既貸付 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</si>
  <si>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(H)</t>
    </r>
    <r>
      <rPr>
        <sz val="10"/>
        <color rgb="FF000000"/>
        <rFont val="WenQuanYi Zen Hei"/>
        <family val="2"/>
      </rPr>
      <t xml:space="preserve">共済組合 既貸付 ボーナス償還額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</si>
  <si>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⑤ 判定の内訳</t>
    </r>
    <r>
      <rPr>
        <b val="true"/>
        <sz val="10"/>
        <color rgb="FFFFFFFF"/>
        <rFont val="Meiryo UI"/>
        <family val="0"/>
        <charset val="1"/>
      </rPr>
      <t xml:space="preserve">(○=</t>
    </r>
    <r>
      <rPr>
        <b val="true"/>
        <sz val="10"/>
        <color rgb="FFFFFFFF"/>
        <rFont val="WenQuanYi Zen Hei"/>
        <family val="2"/>
      </rPr>
      <t xml:space="preserve">適合 </t>
    </r>
    <r>
      <rPr>
        <b val="true"/>
        <sz val="10"/>
        <color rgb="FFFFFFFF"/>
        <rFont val="Meiryo UI"/>
        <family val="0"/>
        <charset val="1"/>
      </rPr>
      <t xml:space="preserve">×=</t>
    </r>
    <r>
      <rPr>
        <b val="true"/>
        <sz val="10"/>
        <color rgb="FFFFFFFF"/>
        <rFont val="WenQuanYi Zen Hei"/>
        <family val="2"/>
      </rPr>
      <t xml:space="preserve">不適合 △</t>
    </r>
    <r>
      <rPr>
        <b val="true"/>
        <sz val="10"/>
        <color rgb="FFFFFFFF"/>
        <rFont val="Meiryo UI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要確認 －</t>
    </r>
    <r>
      <rPr>
        <b val="true"/>
        <sz val="10"/>
        <color rgb="FFFFFFFF"/>
        <rFont val="Meiryo UI"/>
        <family val="0"/>
        <charset val="1"/>
      </rPr>
      <t xml:space="preserve">=</t>
    </r>
    <r>
      <rPr>
        <b val="true"/>
        <sz val="10"/>
        <color rgb="FFFFFFFF"/>
        <rFont val="WenQuanYi Zen Hei"/>
        <family val="2"/>
      </rPr>
      <t xml:space="preserve">対象外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</si>
  <si>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貸付区分</t>
  </si>
  <si>
    <r>
      <rPr>
        <b val="true"/>
        <sz val="10"/>
        <color rgb="FFFFFFFF"/>
        <rFont val="WenQuanYi Zen Hei"/>
        <family val="2"/>
      </rPr>
      <t xml:space="preserve">⑦ 申込時の提出書類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貸付区分に応じて自動表示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</si>
  <si>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給料月額</t>
  </si>
  <si>
    <r>
      <rPr>
        <sz val="10"/>
        <color rgb="FF000000"/>
        <rFont val="WenQuanYi Zen Hei"/>
        <family val="2"/>
      </rPr>
      <t xml:space="preserve">借受資格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組合員期間</t>
    </r>
    <r>
      <rPr>
        <sz val="10"/>
        <color rgb="FF000000"/>
        <rFont val="Meiryo UI"/>
        <family val="0"/>
        <charset val="1"/>
      </rPr>
      <t xml:space="preserve">)</t>
    </r>
  </si>
  <si>
    <t xml:space="preserve">無給休職</t>
  </si>
  <si>
    <t xml:space="preserve">申込時期</t>
  </si>
  <si>
    <t xml:space="preserve">修学月数</t>
  </si>
  <si>
    <t xml:space="preserve">申込金額の下限・単位</t>
  </si>
  <si>
    <t xml:space="preserve">貸付限度額</t>
  </si>
  <si>
    <r>
      <rPr>
        <sz val="10"/>
        <color rgb="FF000000"/>
        <rFont val="WenQuanYi Zen Hei"/>
        <family val="2"/>
      </rPr>
      <t xml:space="preserve">毎月償還額の割合</t>
    </r>
    <r>
      <rPr>
        <sz val="10"/>
        <color rgb="FF000000"/>
        <rFont val="Meiryo UI"/>
        <family val="0"/>
        <charset val="1"/>
      </rPr>
      <t xml:space="preserve">(30%)</t>
    </r>
  </si>
  <si>
    <r>
      <rPr>
        <sz val="10"/>
        <color rgb="FF000000"/>
        <rFont val="WenQuanYi Zen Hei"/>
        <family val="2"/>
      </rPr>
      <t xml:space="preserve">年間償還額の割合</t>
    </r>
    <r>
      <rPr>
        <sz val="10"/>
        <color rgb="FF000000"/>
        <rFont val="Meiryo UI"/>
        <family val="0"/>
        <charset val="1"/>
      </rPr>
      <t xml:space="preserve">(30%)</t>
    </r>
  </si>
  <si>
    <t xml:space="preserve">ボーナス併用の条件</t>
  </si>
  <si>
    <t xml:space="preserve">住宅書類の区分</t>
  </si>
  <si>
    <t xml:space="preserve">在宅介護対応住宅</t>
  </si>
  <si>
    <r>
      <rPr>
        <b val="true"/>
        <sz val="10"/>
        <color rgb="FFFFFFFF"/>
        <rFont val="WenQuanYi Zen Hei"/>
        <family val="2"/>
      </rPr>
      <t xml:space="preserve">⑥ 日程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申込予定日から自動計算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</si>
  <si>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申込締切日</t>
  </si>
  <si>
    <r>
      <rPr>
        <i val="true"/>
        <sz val="9"/>
        <color rgb="FF595959"/>
        <rFont val="WenQuanYi Zen Hei"/>
        <family val="2"/>
      </rPr>
      <t xml:space="preserve">毎月</t>
    </r>
    <r>
      <rPr>
        <i val="true"/>
        <sz val="9"/>
        <color rgb="FF595959"/>
        <rFont val="Meiryo UI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日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住宅貸付は毎月</t>
    </r>
    <r>
      <rPr>
        <i val="true"/>
        <sz val="9"/>
        <color rgb="FF595959"/>
        <rFont val="Meiryo UI"/>
        <family val="0"/>
        <charset val="1"/>
      </rPr>
      <t xml:space="preserve">20</t>
    </r>
    <r>
      <rPr>
        <i val="true"/>
        <sz val="9"/>
        <color rgb="FF595959"/>
        <rFont val="WenQuanYi Zen Hei"/>
        <family val="2"/>
      </rPr>
      <t xml:space="preserve">日</t>
    </r>
    <r>
      <rPr>
        <i val="true"/>
        <sz val="9"/>
        <color rgb="FF595959"/>
        <rFont val="Meiryo UI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・休日の場合は翌日</t>
    </r>
  </si>
  <si>
    <t xml:space="preserve">提出先</t>
  </si>
  <si>
    <t xml:space="preserve">⑧ 貸付金交付後の提出書類</t>
  </si>
  <si>
    <r>
      <rPr>
        <sz val="10"/>
        <color rgb="FF000000"/>
        <rFont val="WenQuanYi Zen Hei"/>
        <family val="2"/>
      </rPr>
      <t xml:space="preserve">貸付決定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目安</t>
    </r>
    <r>
      <rPr>
        <sz val="10"/>
        <color rgb="FF000000"/>
        <rFont val="Meiryo UI"/>
        <family val="0"/>
        <charset val="1"/>
      </rPr>
      <t xml:space="preserve">)</t>
    </r>
  </si>
  <si>
    <t xml:space="preserve">貸付金交付日</t>
  </si>
  <si>
    <r>
      <rPr>
        <i val="true"/>
        <sz val="9"/>
        <color rgb="FF595959"/>
        <rFont val="WenQuanYi Zen Hei"/>
        <family val="2"/>
      </rPr>
      <t xml:space="preserve">締切日の同月末日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休日・祝日の場合は前日</t>
    </r>
    <r>
      <rPr>
        <i val="true"/>
        <sz val="9"/>
        <color rgb="FF595959"/>
        <rFont val="Meiryo UI"/>
        <family val="0"/>
        <charset val="1"/>
      </rPr>
      <t xml:space="preserve">)</t>
    </r>
  </si>
  <si>
    <t xml:space="preserve">交付後の書類の提出期限</t>
  </si>
  <si>
    <t xml:space="preserve">該当する場合のみ</t>
  </si>
  <si>
    <r>
      <rPr>
        <i val="true"/>
        <sz val="9"/>
        <color rgb="FF595959"/>
        <rFont val="WenQuanYi Zen Hei"/>
        <family val="2"/>
      </rPr>
      <t xml:space="preserve">添書</t>
    </r>
    <r>
      <rPr>
        <i val="true"/>
        <sz val="9"/>
        <color rgb="FF595959"/>
        <rFont val="Meiryo UI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自動作成</t>
    </r>
    <r>
      <rPr>
        <i val="true"/>
        <sz val="9"/>
        <color rgb="FF595959"/>
        <rFont val="Meiryo UI"/>
        <family val="0"/>
        <charset val="1"/>
      </rPr>
      <t xml:space="preserve">)― </t>
    </r>
    <r>
      <rPr>
        <i val="true"/>
        <sz val="9"/>
        <color rgb="FF595959"/>
        <rFont val="WenQuanYi Zen Hei"/>
        <family val="2"/>
      </rPr>
      <t xml:space="preserve">申込シミュレーションの入力内容から作成します。印刷してそのまま使えます。</t>
    </r>
  </si>
  <si>
    <t xml:space="preserve">広島市職員共済組合</t>
  </si>
  <si>
    <r>
      <rPr>
        <sz val="9"/>
        <color rgb="FF000000"/>
        <rFont val="Meiryo UI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庶務係 ☎</t>
    </r>
    <r>
      <rPr>
        <sz val="9"/>
        <color rgb="FF000000"/>
        <rFont val="Meiryo UI"/>
        <family val="0"/>
        <charset val="1"/>
      </rPr>
      <t xml:space="preserve">082-504-2061 / </t>
    </r>
    <r>
      <rPr>
        <sz val="9"/>
        <color rgb="FF000000"/>
        <rFont val="WenQuanYi Zen Hei"/>
        <family val="2"/>
      </rPr>
      <t xml:space="preserve">内線 </t>
    </r>
    <r>
      <rPr>
        <sz val="9"/>
        <color rgb="FF000000"/>
        <rFont val="Meiryo UI"/>
        <family val="0"/>
        <charset val="1"/>
      </rPr>
      <t xml:space="preserve">81-2361,2362)</t>
    </r>
  </si>
  <si>
    <t xml:space="preserve">標記について、貸付申込書類を送付します。下記の書類を添えて、申込締切日までにお申込みください。</t>
  </si>
  <si>
    <t xml:space="preserve">記</t>
  </si>
  <si>
    <r>
      <rPr>
        <b val="true"/>
        <sz val="10"/>
        <color rgb="FF000000"/>
        <rFont val="Meiryo UI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　申込内容</t>
    </r>
  </si>
  <si>
    <r>
      <rPr>
        <sz val="10"/>
        <color rgb="FF000000"/>
        <rFont val="WenQuanYi Zen Hei"/>
        <family val="2"/>
      </rPr>
      <t xml:space="preserve">申込金額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試算</t>
    </r>
    <r>
      <rPr>
        <sz val="10"/>
        <color rgb="FF000000"/>
        <rFont val="Meiryo UI"/>
        <family val="0"/>
        <charset val="1"/>
      </rPr>
      <t xml:space="preserve">)</t>
    </r>
  </si>
  <si>
    <t xml:space="preserve">償還回数・期間</t>
  </si>
  <si>
    <r>
      <rPr>
        <sz val="10"/>
        <color rgb="FF000000"/>
        <rFont val="WenQuanYi Zen Hei"/>
        <family val="2"/>
      </rPr>
      <t xml:space="preserve">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概算</t>
    </r>
    <r>
      <rPr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</si>
  <si>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Meiryo UI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　申込締切日・提出先</t>
    </r>
  </si>
  <si>
    <t xml:space="preserve">貸付金交付予定日</t>
  </si>
  <si>
    <r>
      <rPr>
        <b val="true"/>
        <sz val="10"/>
        <color rgb="FF000000"/>
        <rFont val="Meiryo UI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　申込時の提出書類</t>
    </r>
    <r>
      <rPr>
        <b val="true"/>
        <sz val="10"/>
        <color rgb="FF000000"/>
        <rFont val="Meiryo UI"/>
        <family val="0"/>
        <charset val="1"/>
      </rPr>
      <t xml:space="preserve">(□</t>
    </r>
    <r>
      <rPr>
        <b val="true"/>
        <sz val="10"/>
        <color rgb="FF000000"/>
        <rFont val="WenQuanYi Zen Hei"/>
        <family val="2"/>
      </rPr>
      <t xml:space="preserve">にチェックしてください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</si>
  <si>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Meiryo UI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　貸付金交付後の提出書類</t>
    </r>
  </si>
  <si>
    <r>
      <rPr>
        <b val="true"/>
        <sz val="10"/>
        <color rgb="FF000000"/>
        <rFont val="Meiryo UI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　注意事項</t>
    </r>
  </si>
  <si>
    <r>
      <rPr>
        <sz val="10"/>
        <color rgb="FF000000"/>
        <rFont val="WenQuanYi Zen Hei"/>
        <family val="2"/>
      </rPr>
      <t xml:space="preserve">・印鑑登録証明書は貸付金交付日前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か月以内に発行されたものを提出してください。</t>
    </r>
  </si>
  <si>
    <r>
      <rPr>
        <sz val="10"/>
        <color rgb="FF000000"/>
        <rFont val="WenQuanYi Zen Hei"/>
        <family val="2"/>
      </rPr>
      <t xml:space="preserve">・毎月の償還額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他の金融機関等を含む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が給料月額の</t>
    </r>
    <r>
      <rPr>
        <sz val="10"/>
        <color rgb="FF000000"/>
        <rFont val="Meiryo UI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、年間償還額が年収額の</t>
    </r>
    <r>
      <rPr>
        <sz val="10"/>
        <color rgb="FF000000"/>
        <rFont val="Meiryo UI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を超える場合は、貸付できません。</t>
    </r>
  </si>
  <si>
    <t xml:space="preserve">・住宅貸付は、必ず事前に共済組合へご相談ください。</t>
  </si>
  <si>
    <r>
      <rPr>
        <sz val="10"/>
        <color rgb="FF000000"/>
        <rFont val="WenQuanYi Zen Hei"/>
        <family val="2"/>
      </rPr>
      <t xml:space="preserve">・償還額は試算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概算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です。確定額は貸付決定通知でお知らせします。</t>
    </r>
  </si>
  <si>
    <r>
      <rPr>
        <b val="true"/>
        <sz val="13"/>
        <color rgb="FF000000"/>
        <rFont val="WenQuanYi Zen Hei"/>
        <family val="2"/>
      </rPr>
      <t xml:space="preserve">償還表</t>
    </r>
    <r>
      <rPr>
        <b val="true"/>
        <sz val="13"/>
        <color rgb="FF000000"/>
        <rFont val="Meiryo UI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試算</t>
    </r>
    <r>
      <rPr>
        <b val="true"/>
        <sz val="13"/>
        <color rgb="FF000000"/>
        <rFont val="Meiryo UI"/>
        <family val="0"/>
        <charset val="1"/>
      </rPr>
      <t xml:space="preserve">)― </t>
    </r>
    <r>
      <rPr>
        <b val="true"/>
        <sz val="13"/>
        <color rgb="FF000000"/>
        <rFont val="WenQuanYi Zen Hei"/>
        <family val="2"/>
      </rPr>
      <t xml:space="preserve">申込シミュレーションの内容から自動作成</t>
    </r>
  </si>
  <si>
    <r>
      <rPr>
        <i val="true"/>
        <sz val="9"/>
        <color rgb="FFC00000"/>
        <rFont val="WenQuanYi Zen Hei"/>
        <family val="2"/>
      </rPr>
      <t xml:space="preserve">元利均等返済の概算です。円未満の端数処理が実際の償還表と異なるため、数円の差が出る場合があります。ボーナス償還は</t>
    </r>
    <r>
      <rPr>
        <i val="true"/>
        <sz val="9"/>
        <color rgb="FFC00000"/>
        <rFont val="Meiryo UI"/>
        <family val="0"/>
        <charset val="1"/>
      </rPr>
      <t xml:space="preserve">6</t>
    </r>
    <r>
      <rPr>
        <i val="true"/>
        <sz val="9"/>
        <color rgb="FFC00000"/>
        <rFont val="WenQuanYi Zen Hei"/>
        <family val="2"/>
      </rPr>
      <t xml:space="preserve">月・</t>
    </r>
    <r>
      <rPr>
        <i val="true"/>
        <sz val="9"/>
        <color rgb="FFC00000"/>
        <rFont val="Meiryo UI"/>
        <family val="0"/>
        <charset val="1"/>
      </rPr>
      <t xml:space="preserve">12</t>
    </r>
    <r>
      <rPr>
        <i val="true"/>
        <sz val="9"/>
        <color rgb="FFC00000"/>
        <rFont val="WenQuanYi Zen Hei"/>
        <family val="2"/>
      </rPr>
      <t xml:space="preserve">月に償還するものとして計算しています。</t>
    </r>
  </si>
  <si>
    <t xml:space="preserve">合計</t>
  </si>
  <si>
    <t xml:space="preserve">回</t>
  </si>
  <si>
    <t xml:space="preserve">償還年月</t>
  </si>
  <si>
    <t xml:space="preserve">うち元金</t>
  </si>
  <si>
    <r>
      <rPr>
        <b val="true"/>
        <sz val="10"/>
        <color rgb="FFFFFFFF"/>
        <rFont val="WenQuanYi Zen Hei"/>
        <family val="2"/>
      </rPr>
      <t xml:space="preserve">残高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基本部分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</si>
  <si>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残高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在宅介護部分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</si>
  <si>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残高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毎月分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</si>
  <si>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ボーナス回次</t>
  </si>
  <si>
    <t xml:space="preserve">ボーナス償還額</t>
  </si>
  <si>
    <t xml:space="preserve">ボーナス分残高</t>
  </si>
  <si>
    <t xml:space="preserve">償還額合計</t>
  </si>
  <si>
    <t xml:space="preserve">残高合計</t>
  </si>
  <si>
    <t xml:space="preserve">開始時</t>
  </si>
  <si>
    <r>
      <rPr>
        <b val="true"/>
        <sz val="13"/>
        <color rgb="FF000000"/>
        <rFont val="WenQuanYi Zen Hei"/>
        <family val="2"/>
      </rPr>
      <t xml:space="preserve">毎月償還額 早見表</t>
    </r>
    <r>
      <rPr>
        <b val="true"/>
        <sz val="13"/>
        <color rgb="FF000000"/>
        <rFont val="Meiryo UI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元利均等・円</t>
    </r>
    <r>
      <rPr>
        <b val="true"/>
        <sz val="13"/>
        <color rgb="FF000000"/>
        <rFont val="Meiryo UI"/>
        <family val="0"/>
        <charset val="1"/>
      </rPr>
      <t xml:space="preserve">)― </t>
    </r>
    <r>
      <rPr>
        <b val="true"/>
        <sz val="13"/>
        <color rgb="FF000000"/>
        <rFont val="WenQuanYi Zen Hei"/>
        <family val="2"/>
      </rPr>
      <t xml:space="preserve">利率はマスタの値を使用、改定すると自動で変わります</t>
    </r>
  </si>
  <si>
    <t xml:space="preserve">概算です。ボーナス併用なし。実際の償還表と数円の差が出る場合があります。</t>
  </si>
  <si>
    <t xml:space="preserve">申込金額＼償還回数</t>
  </si>
  <si>
    <r>
      <rPr>
        <b val="true"/>
        <sz val="13"/>
        <color rgb="FF000000"/>
        <rFont val="WenQuanYi Zen Hei"/>
        <family val="2"/>
      </rPr>
      <t xml:space="preserve">マスタ</t>
    </r>
    <r>
      <rPr>
        <b val="true"/>
        <sz val="13"/>
        <color rgb="FF000000"/>
        <rFont val="Meiryo UI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制度の数値・書類表</t>
    </r>
    <r>
      <rPr>
        <b val="true"/>
        <sz val="13"/>
        <color rgb="FF000000"/>
        <rFont val="Meiryo UI"/>
        <family val="0"/>
        <charset val="1"/>
      </rPr>
      <t xml:space="preserve">)― </t>
    </r>
    <r>
      <rPr>
        <b val="true"/>
        <sz val="13"/>
        <color rgb="FF000000"/>
        <rFont val="WenQuanYi Zen Hei"/>
        <family val="2"/>
      </rPr>
      <t xml:space="preserve">制度改正・利率改定時はここだけ修正します</t>
    </r>
  </si>
  <si>
    <r>
      <rPr>
        <i val="true"/>
        <sz val="10"/>
        <color rgb="FF595959"/>
        <rFont val="WenQuanYi Zen Hei"/>
        <family val="2"/>
      </rPr>
      <t xml:space="preserve">青字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入力値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制度から転記した値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。出典</t>
    </r>
    <r>
      <rPr>
        <i val="true"/>
        <sz val="10"/>
        <color rgb="FF595959"/>
        <rFont val="Meiryo UI"/>
        <family val="0"/>
        <charset val="1"/>
      </rPr>
      <t xml:space="preserve">:</t>
    </r>
    <r>
      <rPr>
        <i val="true"/>
        <sz val="10"/>
        <color rgb="FF595959"/>
        <rFont val="WenQuanYi Zen Hei"/>
        <family val="2"/>
      </rPr>
      <t xml:space="preserve">広島市職員共済組合ハンドブック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令和</t>
    </r>
    <r>
      <rPr>
        <i val="true"/>
        <sz val="10"/>
        <color rgb="FF595959"/>
        <rFont val="Meiryo UI"/>
        <family val="0"/>
        <charset val="1"/>
      </rPr>
      <t xml:space="preserve">8</t>
    </r>
    <r>
      <rPr>
        <i val="true"/>
        <sz val="10"/>
        <color rgb="FF595959"/>
        <rFont val="WenQuanYi Zen Hei"/>
        <family val="2"/>
      </rPr>
      <t xml:space="preserve">年度改訂版</t>
    </r>
    <r>
      <rPr>
        <i val="true"/>
        <sz val="10"/>
        <color rgb="FF595959"/>
        <rFont val="Meiryo UI"/>
        <family val="0"/>
        <charset val="1"/>
      </rPr>
      <t xml:space="preserve">)p.40</t>
    </r>
    <r>
      <rPr>
        <i val="true"/>
        <sz val="10"/>
        <color rgb="FF595959"/>
        <rFont val="WenQuanYi Zen Hei"/>
        <family val="2"/>
      </rPr>
      <t xml:space="preserve">〜</t>
    </r>
    <r>
      <rPr>
        <i val="true"/>
        <sz val="10"/>
        <color rgb="FF595959"/>
        <rFont val="Meiryo UI"/>
        <family val="0"/>
        <charset val="1"/>
      </rPr>
      <t xml:space="preserve">45</t>
    </r>
    <r>
      <rPr>
        <i val="true"/>
        <sz val="10"/>
        <color rgb="FF595959"/>
        <rFont val="WenQuanYi Zen Hei"/>
        <family val="2"/>
      </rPr>
      <t xml:space="preserve">、貸付金借用証書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様式第</t>
    </r>
    <r>
      <rPr>
        <i val="true"/>
        <sz val="10"/>
        <color rgb="FF595959"/>
        <rFont val="Meiryo UI"/>
        <family val="0"/>
        <charset val="1"/>
      </rPr>
      <t xml:space="preserve">4</t>
    </r>
    <r>
      <rPr>
        <i val="true"/>
        <sz val="10"/>
        <color rgb="FF595959"/>
        <rFont val="WenQuanYi Zen Hei"/>
        <family val="2"/>
      </rPr>
      <t xml:space="preserve">号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、借入状況等申告書</t>
    </r>
  </si>
  <si>
    <r>
      <rPr>
        <b val="true"/>
        <sz val="10"/>
        <color rgb="FFFFFFFF"/>
        <rFont val="Meiryo UI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利率・基準値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令和</t>
    </r>
    <r>
      <rPr>
        <b val="true"/>
        <sz val="10"/>
        <color rgb="FFFFFFFF"/>
        <rFont val="Meiryo UI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Meiryo UI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日現在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</si>
  <si>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普通貸付・特別貸付の利率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</si>
  <si>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ハンドブック</t>
    </r>
    <r>
      <rPr>
        <i val="true"/>
        <sz val="10"/>
        <color rgb="FF595959"/>
        <rFont val="Meiryo UI"/>
        <family val="0"/>
        <charset val="1"/>
      </rPr>
      <t xml:space="preserve">p.41 </t>
    </r>
    <r>
      <rPr>
        <i val="true"/>
        <sz val="10"/>
        <color rgb="FF595959"/>
        <rFont val="WenQuanYi Zen Hei"/>
        <family val="2"/>
      </rPr>
      <t xml:space="preserve">変動利率</t>
    </r>
  </si>
  <si>
    <r>
      <rPr>
        <sz val="10"/>
        <color rgb="FF000000"/>
        <rFont val="WenQuanYi Zen Hei"/>
        <family val="2"/>
      </rPr>
      <t xml:space="preserve">住宅貸付の利率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</si>
  <si>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ハンドブック</t>
    </r>
    <r>
      <rPr>
        <i val="true"/>
        <sz val="10"/>
        <color rgb="FF595959"/>
        <rFont val="Meiryo UI"/>
        <family val="0"/>
        <charset val="1"/>
      </rPr>
      <t xml:space="preserve">p.42 </t>
    </r>
    <r>
      <rPr>
        <i val="true"/>
        <sz val="10"/>
        <color rgb="FF595959"/>
        <rFont val="WenQuanYi Zen Hei"/>
        <family val="2"/>
      </rPr>
      <t xml:space="preserve">変動利率</t>
    </r>
  </si>
  <si>
    <r>
      <rPr>
        <sz val="10"/>
        <color rgb="FF000000"/>
        <rFont val="WenQuanYi Zen Hei"/>
        <family val="2"/>
      </rPr>
      <t xml:space="preserve">災害貸付の利率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</si>
  <si>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ハンドブック</t>
    </r>
    <r>
      <rPr>
        <i val="true"/>
        <sz val="10"/>
        <color rgb="FF595959"/>
        <rFont val="Meiryo UI"/>
        <family val="0"/>
        <charset val="1"/>
      </rPr>
      <t xml:space="preserve">p.45 </t>
    </r>
    <r>
      <rPr>
        <i val="true"/>
        <sz val="10"/>
        <color rgb="FF595959"/>
        <rFont val="WenQuanYi Zen Hei"/>
        <family val="2"/>
      </rPr>
      <t xml:space="preserve">変動利率</t>
    </r>
  </si>
  <si>
    <r>
      <rPr>
        <sz val="10"/>
        <color rgb="FF000000"/>
        <rFont val="WenQuanYi Zen Hei"/>
        <family val="2"/>
      </rPr>
      <t xml:space="preserve">在宅介護対応住宅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加算部分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の利率差</t>
    </r>
  </si>
  <si>
    <r>
      <rPr>
        <i val="true"/>
        <sz val="10"/>
        <color rgb="FF595959"/>
        <rFont val="WenQuanYi Zen Hei"/>
        <family val="2"/>
      </rPr>
      <t xml:space="preserve">住宅貸付の利率より年</t>
    </r>
    <r>
      <rPr>
        <i val="true"/>
        <sz val="10"/>
        <color rgb="FF595959"/>
        <rFont val="Meiryo UI"/>
        <family val="0"/>
        <charset val="1"/>
      </rPr>
      <t xml:space="preserve">0.26%</t>
    </r>
    <r>
      <rPr>
        <i val="true"/>
        <sz val="10"/>
        <color rgb="FF595959"/>
        <rFont val="WenQuanYi Zen Hei"/>
        <family val="2"/>
      </rPr>
      <t xml:space="preserve">低い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借用証書では年</t>
    </r>
    <r>
      <rPr>
        <i val="true"/>
        <sz val="10"/>
        <color rgb="FF595959"/>
        <rFont val="Meiryo UI"/>
        <family val="0"/>
        <charset val="1"/>
      </rPr>
      <t xml:space="preserve">1.00%)</t>
    </r>
  </si>
  <si>
    <r>
      <rPr>
        <sz val="10"/>
        <color rgb="FF000000"/>
        <rFont val="WenQuanYi Zen Hei"/>
        <family val="2"/>
      </rPr>
      <t xml:space="preserve">償還額割合の上限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給料月額・年収額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</si>
  <si>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他の金融機関等を含む。</t>
    </r>
    <r>
      <rPr>
        <i val="true"/>
        <sz val="10"/>
        <color rgb="FF595959"/>
        <rFont val="Meiryo UI"/>
        <family val="0"/>
        <charset val="1"/>
      </rPr>
      <t xml:space="preserve">30%</t>
    </r>
    <r>
      <rPr>
        <i val="true"/>
        <sz val="10"/>
        <color rgb="FF595959"/>
        <rFont val="WenQuanYi Zen Hei"/>
        <family val="2"/>
      </rPr>
      <t xml:space="preserve">超は貸付不可</t>
    </r>
  </si>
  <si>
    <t xml:space="preserve">年収額の算定に用いるボーナス月数</t>
  </si>
  <si>
    <r>
      <rPr>
        <i val="true"/>
        <sz val="10"/>
        <color rgb="FF595959"/>
        <rFont val="WenQuanYi Zen Hei"/>
        <family val="2"/>
      </rPr>
      <t xml:space="preserve">借入状況等申告書「｛Ｋ</t>
    </r>
    <r>
      <rPr>
        <i val="true"/>
        <sz val="10"/>
        <color rgb="FF595959"/>
        <rFont val="Meiryo UI"/>
        <family val="0"/>
        <charset val="1"/>
      </rPr>
      <t xml:space="preserve">×12</t>
    </r>
    <r>
      <rPr>
        <i val="true"/>
        <sz val="10"/>
        <color rgb="FF595959"/>
        <rFont val="WenQuanYi Zen Hei"/>
        <family val="2"/>
      </rPr>
      <t xml:space="preserve">＋Ｋ</t>
    </r>
    <r>
      <rPr>
        <i val="true"/>
        <sz val="10"/>
        <color rgb="FF595959"/>
        <rFont val="Meiryo UI"/>
        <family val="0"/>
        <charset val="1"/>
      </rPr>
      <t xml:space="preserve">×4</t>
    </r>
    <r>
      <rPr>
        <i val="true"/>
        <sz val="10"/>
        <color rgb="FF595959"/>
        <rFont val="WenQuanYi Zen Hei"/>
        <family val="2"/>
      </rPr>
      <t xml:space="preserve">｝」より</t>
    </r>
  </si>
  <si>
    <r>
      <rPr>
        <sz val="10"/>
        <color rgb="FF000000"/>
        <rFont val="WenQuanYi Zen Hei"/>
        <family val="2"/>
      </rPr>
      <t xml:space="preserve">申込金額の下限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</si>
  <si>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全貸付共通</t>
    </r>
    <r>
      <rPr>
        <i val="true"/>
        <sz val="10"/>
        <color rgb="FF595959"/>
        <rFont val="Meiryo UI"/>
        <family val="0"/>
        <charset val="1"/>
      </rPr>
      <t xml:space="preserve">(10</t>
    </r>
    <r>
      <rPr>
        <i val="true"/>
        <sz val="10"/>
        <color rgb="FF595959"/>
        <rFont val="WenQuanYi Zen Hei"/>
        <family val="2"/>
      </rPr>
      <t xml:space="preserve">万円以上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</si>
  <si>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在宅介護対応住宅の加算限度額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</si>
  <si>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該当部分の金額に対し</t>
    </r>
    <r>
      <rPr>
        <i val="true"/>
        <sz val="10"/>
        <color rgb="FF595959"/>
        <rFont val="Meiryo UI"/>
        <family val="0"/>
        <charset val="1"/>
      </rPr>
      <t xml:space="preserve">300</t>
    </r>
    <r>
      <rPr>
        <i val="true"/>
        <sz val="10"/>
        <color rgb="FF595959"/>
        <rFont val="WenQuanYi Zen Hei"/>
        <family val="2"/>
      </rPr>
      <t xml:space="preserve">万円を限度に加算</t>
    </r>
  </si>
  <si>
    <r>
      <rPr>
        <sz val="10"/>
        <color rgb="FF000000"/>
        <rFont val="WenQuanYi Zen Hei"/>
        <family val="2"/>
      </rPr>
      <t xml:space="preserve">ボーナス併用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申込金額の下限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</si>
  <si>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申込金額が</t>
    </r>
    <r>
      <rPr>
        <i val="true"/>
        <sz val="10"/>
        <color rgb="FF595959"/>
        <rFont val="Meiryo UI"/>
        <family val="0"/>
        <charset val="1"/>
      </rPr>
      <t xml:space="preserve">300</t>
    </r>
    <r>
      <rPr>
        <i val="true"/>
        <sz val="10"/>
        <color rgb="FF595959"/>
        <rFont val="WenQuanYi Zen Hei"/>
        <family val="2"/>
      </rPr>
      <t xml:space="preserve">万円以上の場合</t>
    </r>
  </si>
  <si>
    <r>
      <rPr>
        <sz val="10"/>
        <color rgb="FF000000"/>
        <rFont val="WenQuanYi Zen Hei"/>
        <family val="2"/>
      </rPr>
      <t xml:space="preserve">ボーナス償還分の下限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</si>
  <si>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Meiryo UI"/>
        <family val="0"/>
        <charset val="1"/>
      </rPr>
      <t xml:space="preserve">100</t>
    </r>
    <r>
      <rPr>
        <i val="true"/>
        <sz val="10"/>
        <color rgb="FF595959"/>
        <rFont val="WenQuanYi Zen Hei"/>
        <family val="2"/>
      </rPr>
      <t xml:space="preserve">万円以上</t>
    </r>
  </si>
  <si>
    <r>
      <rPr>
        <sz val="10"/>
        <color rgb="FF000000"/>
        <rFont val="WenQuanYi Zen Hei"/>
        <family val="2"/>
      </rPr>
      <t xml:space="preserve">ボーナス償還分の上限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貸付金額に対する割合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</si>
  <si>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貸付金額の</t>
    </r>
    <r>
      <rPr>
        <i val="true"/>
        <sz val="10"/>
        <color rgb="FF595959"/>
        <rFont val="Meiryo UI"/>
        <family val="0"/>
        <charset val="1"/>
      </rPr>
      <t xml:space="preserve">1/2</t>
    </r>
    <r>
      <rPr>
        <i val="true"/>
        <sz val="10"/>
        <color rgb="FF595959"/>
        <rFont val="WenQuanYi Zen Hei"/>
        <family val="2"/>
      </rPr>
      <t xml:space="preserve">以内</t>
    </r>
  </si>
  <si>
    <r>
      <rPr>
        <sz val="10"/>
        <color rgb="FF000000"/>
        <rFont val="WenQuanYi Zen Hei"/>
        <family val="2"/>
      </rPr>
      <t xml:space="preserve">ボーナス償還分の単位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</si>
  <si>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Meiryo UI"/>
        <family val="0"/>
        <charset val="1"/>
      </rPr>
      <t xml:space="preserve">5</t>
    </r>
    <r>
      <rPr>
        <i val="true"/>
        <sz val="10"/>
        <color rgb="FF595959"/>
        <rFont val="WenQuanYi Zen Hei"/>
        <family val="2"/>
      </rPr>
      <t xml:space="preserve">万円単位</t>
    </r>
  </si>
  <si>
    <r>
      <rPr>
        <sz val="10"/>
        <color rgb="FF000000"/>
        <rFont val="WenQuanYi Zen Hei"/>
        <family val="2"/>
      </rPr>
      <t xml:space="preserve">ボーナス償還回数の上限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</si>
  <si>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Meiryo UI"/>
        <family val="0"/>
        <charset val="1"/>
      </rPr>
      <t xml:space="preserve">60</t>
    </r>
    <r>
      <rPr>
        <i val="true"/>
        <sz val="10"/>
        <color rgb="FF595959"/>
        <rFont val="WenQuanYi Zen Hei"/>
        <family val="2"/>
      </rPr>
      <t xml:space="preserve">回以内</t>
    </r>
    <r>
      <rPr>
        <i val="true"/>
        <sz val="10"/>
        <color rgb="FF595959"/>
        <rFont val="Meiryo UI"/>
        <family val="0"/>
        <charset val="1"/>
      </rPr>
      <t xml:space="preserve">(6</t>
    </r>
    <r>
      <rPr>
        <i val="true"/>
        <sz val="10"/>
        <color rgb="FF595959"/>
        <rFont val="WenQuanYi Zen Hei"/>
        <family val="2"/>
      </rPr>
      <t xml:space="preserve">月・</t>
    </r>
    <r>
      <rPr>
        <i val="true"/>
        <sz val="10"/>
        <color rgb="FF595959"/>
        <rFont val="Meiryo UI"/>
        <family val="0"/>
        <charset val="1"/>
      </rPr>
      <t xml:space="preserve">12</t>
    </r>
    <r>
      <rPr>
        <i val="true"/>
        <sz val="10"/>
        <color rgb="FF595959"/>
        <rFont val="WenQuanYi Zen Hei"/>
        <family val="2"/>
      </rPr>
      <t xml:space="preserve">月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</si>
  <si>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住宅貸付の借受に必要な組合員期間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</si>
  <si>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組合員期間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年以上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災害住宅貸付は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年未満も可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</si>
  <si>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修学貸付</t>
    </r>
    <r>
      <rPr>
        <sz val="10"/>
        <color rgb="FF000000"/>
        <rFont val="Meiryo UI"/>
        <family val="0"/>
        <charset val="1"/>
      </rPr>
      <t xml:space="preserve">:1</t>
    </r>
    <r>
      <rPr>
        <sz val="10"/>
        <color rgb="FF000000"/>
        <rFont val="WenQuanYi Zen Hei"/>
        <family val="2"/>
      </rPr>
      <t xml:space="preserve">か月あたりの貸付額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</si>
  <si>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か月につき</t>
    </r>
    <r>
      <rPr>
        <i val="true"/>
        <sz val="10"/>
        <color rgb="FF595959"/>
        <rFont val="Meiryo UI"/>
        <family val="0"/>
        <charset val="1"/>
      </rPr>
      <t xml:space="preserve">15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学年単位、修業年限以内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</si>
  <si>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貸付区分表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区分ごとの限度額・単位・償還回数・書類・日程のルール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</si>
  <si>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限度額の計算方式</t>
  </si>
  <si>
    <t xml:space="preserve">給料月数</t>
  </si>
  <si>
    <r>
      <rPr>
        <b val="true"/>
        <sz val="10"/>
        <color rgb="FF000000"/>
        <rFont val="WenQuanYi Zen Hei"/>
        <family val="2"/>
      </rPr>
      <t xml:space="preserve">上限額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万円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</si>
  <si>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申込単位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万円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</si>
  <si>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償還回数の上限</t>
  </si>
  <si>
    <t xml:space="preserve">利率種別</t>
  </si>
  <si>
    <r>
      <rPr>
        <b val="true"/>
        <sz val="10"/>
        <color rgb="FF000000"/>
        <rFont val="WenQuanYi Zen Hei"/>
        <family val="2"/>
      </rPr>
      <t xml:space="preserve">申込締切日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毎月○日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</si>
  <si>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住宅書類の列</t>
    </r>
    <r>
      <rPr>
        <b val="true"/>
        <sz val="10"/>
        <color rgb="FF000000"/>
        <rFont val="Meiryo UI"/>
        <family val="0"/>
        <charset val="1"/>
      </rPr>
      <t xml:space="preserve">No</t>
    </r>
  </si>
  <si>
    <t xml:space="preserve">事由別の添付書類</t>
  </si>
  <si>
    <t xml:space="preserve">基準日の名称</t>
  </si>
  <si>
    <r>
      <rPr>
        <b val="true"/>
        <sz val="10"/>
        <color rgb="FF000000"/>
        <rFont val="WenQuanYi Zen Hei"/>
        <family val="2"/>
      </rPr>
      <t xml:space="preserve">申込可能期間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基準日の何か月前から</t>
    </r>
  </si>
  <si>
    <r>
      <rPr>
        <b val="true"/>
        <sz val="10"/>
        <color rgb="FF000000"/>
        <rFont val="WenQuanYi Zen Hei"/>
        <family val="2"/>
      </rPr>
      <t xml:space="preserve">申込可能期間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基準日の何か月後まで</t>
    </r>
  </si>
  <si>
    <t xml:space="preserve">貸付金交付後の提出書類</t>
  </si>
  <si>
    <r>
      <rPr>
        <b val="true"/>
        <sz val="10"/>
        <color rgb="FF000000"/>
        <rFont val="WenQuanYi Zen Hei"/>
        <family val="2"/>
      </rPr>
      <t xml:space="preserve">交付後の提出期限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</si>
  <si>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期限の起算</t>
  </si>
  <si>
    <r>
      <rPr>
        <b val="true"/>
        <sz val="10"/>
        <color rgb="FF000000"/>
        <rFont val="WenQuanYi Zen Hei"/>
        <family val="2"/>
      </rPr>
      <t xml:space="preserve">貸付決定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目安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</si>
  <si>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普通貸付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自動車購入</t>
    </r>
  </si>
  <si>
    <t xml:space="preserve">普通貸付</t>
  </si>
  <si>
    <t xml:space="preserve">月数</t>
  </si>
  <si>
    <t xml:space="preserve">通常</t>
  </si>
  <si>
    <r>
      <rPr>
        <sz val="10"/>
        <color rgb="FF0000FF"/>
        <rFont val="WenQuanYi Zen Hei"/>
        <family val="2"/>
      </rPr>
      <t xml:space="preserve">注文書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又は発注書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)(</t>
    </r>
    <r>
      <rPr>
        <sz val="10"/>
        <color rgb="FF0000FF"/>
        <rFont val="WenQuanYi Zen Hei"/>
        <family val="2"/>
      </rPr>
      <t xml:space="preserve">見積書は不可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</si>
  <si>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自動車登録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名義変更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前で代金支払前</t>
    </r>
  </si>
  <si>
    <r>
      <rPr>
        <sz val="10"/>
        <color rgb="FF0000FF"/>
        <rFont val="WenQuanYi Zen Hei"/>
        <family val="2"/>
      </rPr>
      <t xml:space="preserve">自動車の登録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予定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日</t>
    </r>
  </si>
  <si>
    <r>
      <rPr>
        <sz val="10"/>
        <color rgb="FF0000FF"/>
        <rFont val="WenQuanYi Zen Hei"/>
        <family val="2"/>
      </rPr>
      <t xml:space="preserve">完了届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自動車検査証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及び自動車検査証記録事項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を添付</t>
    </r>
    <r>
      <rPr>
        <sz val="10"/>
        <color rgb="FF0000FF"/>
        <rFont val="Meiryo UI"/>
        <family val="0"/>
        <charset val="1"/>
      </rPr>
      <t xml:space="preserve">)</t>
    </r>
  </si>
  <si>
    <t xml:space="preserve">交付日</t>
  </si>
  <si>
    <r>
      <rPr>
        <sz val="10"/>
        <color rgb="FF0000FF"/>
        <rFont val="WenQuanYi Zen Hei"/>
        <family val="2"/>
      </rPr>
      <t xml:space="preserve">締切日の同月</t>
    </r>
    <r>
      <rPr>
        <sz val="10"/>
        <color rgb="FF0000FF"/>
        <rFont val="Meiryo UI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日頃</t>
    </r>
  </si>
  <si>
    <r>
      <rPr>
        <b val="true"/>
        <sz val="10"/>
        <color rgb="FF000000"/>
        <rFont val="WenQuanYi Zen Hei"/>
        <family val="2"/>
      </rPr>
      <t xml:space="preserve">普通貸付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出産</t>
    </r>
  </si>
  <si>
    <r>
      <rPr>
        <sz val="10"/>
        <color rgb="FF0000FF"/>
        <rFont val="WenQuanYi Zen Hei"/>
        <family val="2"/>
      </rPr>
      <t xml:space="preserve">母子手帳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又は出産証明書</t>
    </r>
  </si>
  <si>
    <r>
      <rPr>
        <sz val="10"/>
        <color rgb="FF0000FF"/>
        <rFont val="WenQuanYi Zen Hei"/>
        <family val="2"/>
      </rPr>
      <t xml:space="preserve">出産日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又は予定日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の前後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か月以内</t>
    </r>
  </si>
  <si>
    <r>
      <rPr>
        <sz val="10"/>
        <color rgb="FF0000FF"/>
        <rFont val="WenQuanYi Zen Hei"/>
        <family val="2"/>
      </rPr>
      <t xml:space="preserve">出産日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予定日</t>
    </r>
    <r>
      <rPr>
        <sz val="10"/>
        <color rgb="FF0000FF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</si>
  <si>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入学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大学等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</si>
  <si>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特別貸付</t>
  </si>
  <si>
    <r>
      <rPr>
        <sz val="10"/>
        <color rgb="FF0000FF"/>
        <rFont val="WenQuanYi Zen Hei"/>
        <family val="2"/>
      </rPr>
      <t xml:space="preserve">合格通知書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又は入学許可書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</si>
  <si>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合格の時から入学後</t>
    </r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か月以内</t>
    </r>
  </si>
  <si>
    <t xml:space="preserve">入学日</t>
  </si>
  <si>
    <r>
      <rPr>
        <sz val="10"/>
        <color rgb="FF0000FF"/>
        <rFont val="WenQuanYi Zen Hei"/>
        <family val="2"/>
      </rPr>
      <t xml:space="preserve">在学証明書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入学後の申込みは貸付金交付後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か月以内</t>
    </r>
    <r>
      <rPr>
        <sz val="10"/>
        <color rgb="FF0000FF"/>
        <rFont val="Meiryo UI"/>
        <family val="0"/>
        <charset val="1"/>
      </rPr>
      <t xml:space="preserve">)</t>
    </r>
  </si>
  <si>
    <t xml:space="preserve">入学</t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</si>
  <si>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入学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高校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</si>
  <si>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修学</t>
    </r>
  </si>
  <si>
    <t xml:space="preserve">修学</t>
  </si>
  <si>
    <r>
      <rPr>
        <sz val="10"/>
        <color rgb="FF0000FF"/>
        <rFont val="WenQuanYi Zen Hei"/>
        <family val="2"/>
      </rPr>
      <t xml:space="preserve">在学証明書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 ※</t>
    </r>
    <r>
      <rPr>
        <sz val="10"/>
        <color rgb="FF0000FF"/>
        <rFont val="WenQuanYi Zen Hei"/>
        <family val="2"/>
      </rPr>
      <t xml:space="preserve">入学前は合格通知書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又は入学許可書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</si>
  <si>
    <t xml:space="preserve">修学期間中</t>
  </si>
  <si>
    <t xml:space="preserve">修学期間の開始日</t>
  </si>
  <si>
    <t xml:space="preserve">新年度の在学証明書</t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</si>
  <si>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結婚</t>
    </r>
  </si>
  <si>
    <r>
      <rPr>
        <sz val="10"/>
        <color rgb="FF0000FF"/>
        <rFont val="Meiryo UI"/>
        <family val="0"/>
        <charset val="1"/>
      </rPr>
      <t xml:space="preserve">[</t>
    </r>
    <r>
      <rPr>
        <sz val="10"/>
        <color rgb="FF0000FF"/>
        <rFont val="WenQuanYi Zen Hei"/>
        <family val="2"/>
      </rPr>
      <t xml:space="preserve">婚姻前</t>
    </r>
    <r>
      <rPr>
        <sz val="10"/>
        <color rgb="FF0000FF"/>
        <rFont val="Meiryo UI"/>
        <family val="0"/>
        <charset val="1"/>
      </rPr>
      <t xml:space="preserve">]</t>
    </r>
    <r>
      <rPr>
        <sz val="10"/>
        <color rgb="FF0000FF"/>
        <rFont val="WenQuanYi Zen Hei"/>
        <family val="2"/>
      </rPr>
      <t xml:space="preserve">案内状又は媒酌人等の証明 </t>
    </r>
    <r>
      <rPr>
        <sz val="10"/>
        <color rgb="FF0000FF"/>
        <rFont val="Meiryo UI"/>
        <family val="0"/>
        <charset val="1"/>
      </rPr>
      <t xml:space="preserve">/ [</t>
    </r>
    <r>
      <rPr>
        <sz val="10"/>
        <color rgb="FF0000FF"/>
        <rFont val="WenQuanYi Zen Hei"/>
        <family val="2"/>
      </rPr>
      <t xml:space="preserve">婚姻後</t>
    </r>
    <r>
      <rPr>
        <sz val="10"/>
        <color rgb="FF0000FF"/>
        <rFont val="Meiryo UI"/>
        <family val="0"/>
        <charset val="1"/>
      </rPr>
      <t xml:space="preserve">]</t>
    </r>
    <r>
      <rPr>
        <sz val="10"/>
        <color rgb="FF0000FF"/>
        <rFont val="WenQuanYi Zen Hei"/>
        <family val="2"/>
      </rPr>
      <t xml:space="preserve">婚姻を証明する書類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戸籍抄本等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</si>
  <si>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婚姻前</t>
    </r>
    <r>
      <rPr>
        <sz val="10"/>
        <color rgb="FF0000FF"/>
        <rFont val="Meiryo UI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か月以内・婚姻後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か月以内</t>
    </r>
  </si>
  <si>
    <r>
      <rPr>
        <sz val="10"/>
        <color rgb="FF0000FF"/>
        <rFont val="WenQuanYi Zen Hei"/>
        <family val="2"/>
      </rPr>
      <t xml:space="preserve">婚姻日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予定日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</si>
  <si>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婚姻を証明する書類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戸籍抄本</t>
    </r>
    <r>
      <rPr>
        <sz val="10"/>
        <color rgb="FF0000FF"/>
        <rFont val="Meiryo UI"/>
        <family val="0"/>
        <charset val="1"/>
      </rPr>
      <t xml:space="preserve">)</t>
    </r>
  </si>
  <si>
    <t xml:space="preserve">事由日</t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</si>
  <si>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葬祭</t>
    </r>
  </si>
  <si>
    <r>
      <rPr>
        <sz val="10"/>
        <color rgb="FF0000FF"/>
        <rFont val="WenQuanYi Zen Hei"/>
        <family val="2"/>
      </rPr>
      <t xml:space="preserve">死亡診断書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又は埋火葬許可書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)/</t>
    </r>
    <r>
      <rPr>
        <sz val="10"/>
        <color rgb="FF0000FF"/>
        <rFont val="WenQuanYi Zen Hei"/>
        <family val="2"/>
      </rPr>
      <t xml:space="preserve">続柄の確認できるもの</t>
    </r>
    <r>
      <rPr>
        <sz val="10"/>
        <color rgb="FF0000FF"/>
        <rFont val="Meiryo UI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請求書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写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等</t>
    </r>
  </si>
  <si>
    <r>
      <rPr>
        <sz val="10"/>
        <color rgb="FF0000FF"/>
        <rFont val="WenQuanYi Zen Hei"/>
        <family val="2"/>
      </rPr>
      <t xml:space="preserve">葬祭の日から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か月以内</t>
    </r>
  </si>
  <si>
    <t xml:space="preserve">葬祭日</t>
  </si>
  <si>
    <r>
      <rPr>
        <b val="true"/>
        <sz val="10"/>
        <color rgb="FF000000"/>
        <rFont val="WenQuanYi Zen Hei"/>
        <family val="2"/>
      </rPr>
      <t xml:space="preserve">特別貸付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医療</t>
    </r>
  </si>
  <si>
    <r>
      <rPr>
        <sz val="10"/>
        <color rgb="FF0000FF"/>
        <rFont val="WenQuanYi Zen Hei"/>
        <family val="2"/>
      </rPr>
      <t xml:space="preserve">診断書等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病名・術式・費用・療養期間等を明示したもの</t>
    </r>
    <r>
      <rPr>
        <sz val="10"/>
        <color rgb="FF0000FF"/>
        <rFont val="Meiryo UI"/>
        <family val="0"/>
        <charset val="1"/>
      </rPr>
      <t xml:space="preserve">)</t>
    </r>
  </si>
  <si>
    <t xml:space="preserve">療養期間中</t>
  </si>
  <si>
    <t xml:space="preserve">療養開始日</t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</si>
  <si>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土地付住宅購入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新築物件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</si>
  <si>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住宅貸付</t>
  </si>
  <si>
    <t xml:space="preserve">住宅</t>
  </si>
  <si>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表</t>
    </r>
    <r>
      <rPr>
        <sz val="10"/>
        <color rgb="FF0000FF"/>
        <rFont val="Meiryo UI"/>
        <family val="0"/>
        <charset val="1"/>
      </rPr>
      <t xml:space="preserve">1)</t>
    </r>
  </si>
  <si>
    <r>
      <rPr>
        <sz val="10"/>
        <color rgb="FF0000FF"/>
        <rFont val="WenQuanYi Zen Hei"/>
        <family val="2"/>
      </rPr>
      <t xml:space="preserve">物件購入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引渡し及び登記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前</t>
    </r>
  </si>
  <si>
    <t xml:space="preserve">引渡し予定日</t>
  </si>
  <si>
    <r>
      <rPr>
        <sz val="10"/>
        <color rgb="FF0000FF"/>
        <rFont val="WenQuanYi Zen Hei"/>
        <family val="2"/>
      </rPr>
      <t xml:space="preserve">ハンドブックには「締切日の同月</t>
    </r>
    <r>
      <rPr>
        <sz val="10"/>
        <color rgb="FF0000FF"/>
        <rFont val="Meiryo UI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日頃」と記載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要確認</t>
    </r>
    <r>
      <rPr>
        <sz val="10"/>
        <color rgb="FF0000FF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</si>
  <si>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土地付住宅購入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中古物件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</si>
  <si>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土地購入</t>
    </r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</si>
  <si>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土地購入・住宅の新築</t>
    </r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</si>
  <si>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住宅の新築</t>
    </r>
  </si>
  <si>
    <t xml:space="preserve">工事完了前</t>
  </si>
  <si>
    <t xml:space="preserve">工事完了予定日</t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</si>
  <si>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住宅の増築・改築</t>
    </r>
  </si>
  <si>
    <r>
      <rPr>
        <b val="true"/>
        <sz val="10"/>
        <color rgb="FF000000"/>
        <rFont val="WenQuanYi Zen Hei"/>
        <family val="2"/>
      </rPr>
      <t xml:space="preserve">住宅貸付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修理</t>
    </r>
  </si>
  <si>
    <r>
      <rPr>
        <b val="true"/>
        <sz val="10"/>
        <color rgb="FF000000"/>
        <rFont val="WenQuanYi Zen Hei"/>
        <family val="2"/>
      </rPr>
      <t xml:space="preserve">災害貸付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災害家財</t>
    </r>
  </si>
  <si>
    <t xml:space="preserve">災害貸付</t>
  </si>
  <si>
    <t xml:space="preserve">災害</t>
  </si>
  <si>
    <r>
      <rPr>
        <sz val="10"/>
        <color rgb="FF0000FF"/>
        <rFont val="WenQuanYi Zen Hei"/>
        <family val="2"/>
      </rPr>
      <t xml:space="preserve">り災証明書及び被害が確認できる写真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状況により他の書類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</si>
  <si>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災害発生後</t>
    </r>
    <r>
      <rPr>
        <sz val="10"/>
        <color rgb="FF0000FF"/>
        <rFont val="Meiryo UI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か月以内</t>
    </r>
  </si>
  <si>
    <t xml:space="preserve">災害発生日</t>
  </si>
  <si>
    <r>
      <rPr>
        <b val="true"/>
        <sz val="10"/>
        <color rgb="FF000000"/>
        <rFont val="WenQuanYi Zen Hei"/>
        <family val="2"/>
      </rPr>
      <t xml:space="preserve">災害貸付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災害住宅</t>
    </r>
  </si>
  <si>
    <r>
      <rPr>
        <b val="true"/>
        <sz val="10"/>
        <color rgb="FF000000"/>
        <rFont val="WenQuanYi Zen Hei"/>
        <family val="2"/>
      </rPr>
      <t xml:space="preserve">災害貸付</t>
    </r>
    <r>
      <rPr>
        <b val="true"/>
        <sz val="10"/>
        <color rgb="FF000000"/>
        <rFont val="Meiryo UI"/>
        <family val="0"/>
        <charset val="1"/>
      </rPr>
      <t xml:space="preserve">:</t>
    </r>
    <r>
      <rPr>
        <b val="true"/>
        <sz val="10"/>
        <color rgb="FF000000"/>
        <rFont val="WenQuanYi Zen Hei"/>
        <family val="2"/>
      </rPr>
      <t xml:space="preserve">災害再貸付</t>
    </r>
  </si>
  <si>
    <t xml:space="preserve">再貸付</t>
  </si>
  <si>
    <r>
      <rPr>
        <b val="true"/>
        <sz val="10"/>
        <color rgb="FFFFFFFF"/>
        <rFont val="Meiryo UI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組合員期間別の月数・最低保障額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住宅貸付・災害住宅貸付・災害再貸付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</si>
  <si>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組合員期間の下限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月数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</si>
  <si>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区分表示</t>
  </si>
  <si>
    <t xml:space="preserve">給料月額に乗じる月数</t>
  </si>
  <si>
    <r>
      <rPr>
        <b val="true"/>
        <sz val="10"/>
        <color rgb="FF000000"/>
        <rFont val="WenQuanYi Zen Hei"/>
        <family val="2"/>
      </rPr>
      <t xml:space="preserve">最低保障額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住宅</t>
    </r>
    <r>
      <rPr>
        <b val="true"/>
        <sz val="10"/>
        <color rgb="FF000000"/>
        <rFont val="Meiryo UI"/>
        <family val="0"/>
        <charset val="1"/>
      </rPr>
      <t xml:space="preserve">)(</t>
    </r>
    <r>
      <rPr>
        <b val="true"/>
        <sz val="10"/>
        <color rgb="FF000000"/>
        <rFont val="WenQuanYi Zen Hei"/>
        <family val="2"/>
      </rPr>
      <t xml:space="preserve">万円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</si>
  <si>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最低保障額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災害再貸付</t>
    </r>
    <r>
      <rPr>
        <b val="true"/>
        <sz val="10"/>
        <color rgb="FF000000"/>
        <rFont val="Meiryo UI"/>
        <family val="0"/>
        <charset val="1"/>
      </rPr>
      <t xml:space="preserve">)(</t>
    </r>
    <r>
      <rPr>
        <b val="true"/>
        <sz val="10"/>
        <color rgb="FF000000"/>
        <rFont val="WenQuanYi Zen Hei"/>
        <family val="2"/>
      </rPr>
      <t xml:space="preserve">万円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</si>
  <si>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</si>
  <si>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年未満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災害は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年未満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</si>
  <si>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</si>
  <si>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</si>
  <si>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</si>
  <si>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</si>
  <si>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</si>
  <si>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</si>
  <si>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</si>
  <si>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年以上</t>
    </r>
  </si>
  <si>
    <r>
      <rPr>
        <sz val="10"/>
        <color rgb="FF000000"/>
        <rFont val="Meiryo UI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年以上</t>
    </r>
    <r>
      <rPr>
        <sz val="10"/>
        <color rgb="FF000000"/>
        <rFont val="Meiryo UI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年未満</t>
    </r>
  </si>
  <si>
    <r>
      <rPr>
        <sz val="10"/>
        <color rgb="FF000000"/>
        <rFont val="Meiryo UI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年以上</t>
    </r>
  </si>
  <si>
    <r>
      <rPr>
        <i val="true"/>
        <sz val="10"/>
        <color rgb="FF595959"/>
        <rFont val="WenQuanYi Zen Hei"/>
        <family val="2"/>
      </rPr>
      <t xml:space="preserve">上限</t>
    </r>
    <r>
      <rPr>
        <i val="true"/>
        <sz val="10"/>
        <color rgb="FF595959"/>
        <rFont val="Meiryo UI"/>
        <family val="0"/>
        <charset val="1"/>
      </rPr>
      <t xml:space="preserve">:</t>
    </r>
    <r>
      <rPr>
        <i val="true"/>
        <sz val="10"/>
        <color rgb="FF595959"/>
        <rFont val="WenQuanYi Zen Hei"/>
        <family val="2"/>
      </rPr>
      <t xml:space="preserve">住宅貸付・災害住宅貸付 </t>
    </r>
    <r>
      <rPr>
        <i val="true"/>
        <sz val="10"/>
        <color rgb="FF595959"/>
        <rFont val="Meiryo UI"/>
        <family val="0"/>
        <charset val="1"/>
      </rPr>
      <t xml:space="preserve">1,800</t>
    </r>
    <r>
      <rPr>
        <i val="true"/>
        <sz val="10"/>
        <color rgb="FF595959"/>
        <rFont val="WenQuanYi Zen Hei"/>
        <family val="2"/>
      </rPr>
      <t xml:space="preserve">万円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災害再貸付 </t>
    </r>
    <r>
      <rPr>
        <i val="true"/>
        <sz val="10"/>
        <color rgb="FF595959"/>
        <rFont val="Meiryo UI"/>
        <family val="0"/>
        <charset val="1"/>
      </rPr>
      <t xml:space="preserve">1,900</t>
    </r>
    <r>
      <rPr>
        <i val="true"/>
        <sz val="10"/>
        <color rgb="FF595959"/>
        <rFont val="WenQuanYi Zen Hei"/>
        <family val="2"/>
      </rPr>
      <t xml:space="preserve">万円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区分表の上限額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。災害再貸付は「月数</t>
    </r>
    <r>
      <rPr>
        <i val="true"/>
        <sz val="10"/>
        <color rgb="FF595959"/>
        <rFont val="Meiryo UI"/>
        <family val="0"/>
        <charset val="1"/>
      </rPr>
      <t xml:space="preserve">×2</t>
    </r>
    <r>
      <rPr>
        <i val="true"/>
        <sz val="10"/>
        <color rgb="FF595959"/>
        <rFont val="WenQuanYi Zen Hei"/>
        <family val="2"/>
      </rPr>
      <t xml:space="preserve">」と災害用最低保障額の高い方。組合員期間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年未満の災害住宅貸付は最下段の区分を適用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要確認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。</t>
    </r>
  </si>
  <si>
    <r>
      <rPr>
        <b val="true"/>
        <sz val="10"/>
        <color rgb="FFFFFFFF"/>
        <rFont val="Meiryo UI"/>
        <family val="0"/>
        <charset val="1"/>
      </rPr>
      <t xml:space="preserve">4. </t>
    </r>
    <r>
      <rPr>
        <b val="true"/>
        <sz val="10"/>
        <color rgb="FFFFFFFF"/>
        <rFont val="WenQuanYi Zen Hei"/>
        <family val="2"/>
      </rPr>
      <t xml:space="preserve">住宅貸付 申込時の提出書類〔表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〕</t>
    </r>
    <r>
      <rPr>
        <b val="true"/>
        <sz val="10"/>
        <color rgb="FFFFFFFF"/>
        <rFont val="Meiryo UI"/>
        <family val="0"/>
        <charset val="1"/>
      </rPr>
      <t xml:space="preserve">(○=</t>
    </r>
    <r>
      <rPr>
        <b val="true"/>
        <sz val="10"/>
        <color rgb="FFFFFFFF"/>
        <rFont val="WenQuanYi Zen Hei"/>
        <family val="2"/>
      </rPr>
      <t xml:space="preserve">必要。括弧内は注記。共通の</t>
    </r>
    <r>
      <rPr>
        <b val="true"/>
        <sz val="10"/>
        <color rgb="FFFFFFFF"/>
        <rFont val="Meiryo U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書類は下の「</t>
    </r>
    <r>
      <rPr>
        <b val="true"/>
        <sz val="10"/>
        <color rgb="FFFFFFFF"/>
        <rFont val="Meiryo U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」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</si>
  <si>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提出書類</t>
  </si>
  <si>
    <r>
      <rPr>
        <b val="true"/>
        <sz val="10"/>
        <color rgb="FF000000"/>
        <rFont val="WenQuanYi Zen Hei"/>
        <family val="2"/>
      </rPr>
      <t xml:space="preserve">土地付住宅購入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新築物件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</si>
  <si>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土地付住宅購入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中古物件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</si>
  <si>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土地購入</t>
  </si>
  <si>
    <t xml:space="preserve">土地購入・住宅の新築</t>
  </si>
  <si>
    <t xml:space="preserve">住宅の新築</t>
  </si>
  <si>
    <t xml:space="preserve">住宅の増築・改築</t>
  </si>
  <si>
    <t xml:space="preserve">修理</t>
  </si>
  <si>
    <r>
      <rPr>
        <sz val="10"/>
        <color rgb="FF000000"/>
        <rFont val="WenQuanYi Zen Hei"/>
        <family val="2"/>
      </rPr>
      <t xml:space="preserve">土地の登記事項証明書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登記簿謄本</t>
    </r>
    <r>
      <rPr>
        <sz val="10"/>
        <color rgb="FF000000"/>
        <rFont val="Meiryo UI"/>
        <family val="0"/>
        <charset val="1"/>
      </rPr>
      <t xml:space="preserve">)※</t>
    </r>
    <r>
      <rPr>
        <sz val="10"/>
        <color rgb="FF000000"/>
        <rFont val="WenQuanYi Zen Hei"/>
        <family val="2"/>
      </rPr>
      <t xml:space="preserve">交付日前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か月以内に発行されたもの・コピー不可</t>
    </r>
  </si>
  <si>
    <t xml:space="preserve">○（所有者は売主名義）</t>
  </si>
  <si>
    <t xml:space="preserve">○</t>
  </si>
  <si>
    <r>
      <rPr>
        <sz val="10"/>
        <color rgb="FF000000"/>
        <rFont val="WenQuanYi Zen Hei"/>
        <family val="2"/>
      </rPr>
      <t xml:space="preserve">【土地が農地の場合】転用許可書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又は転用受理書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</si>
  <si>
    <t xml:space="preserve">【土地建物が共有又は他の者の名義になっている場合】同意書</t>
  </si>
  <si>
    <t xml:space="preserve">工事見積書</t>
  </si>
  <si>
    <t xml:space="preserve">平面図</t>
  </si>
  <si>
    <r>
      <rPr>
        <sz val="10"/>
        <color rgb="FF000000"/>
        <rFont val="WenQuanYi Zen Hei"/>
        <family val="2"/>
      </rPr>
      <t xml:space="preserve">建物の登記事項証明書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登記簿謄本</t>
    </r>
    <r>
      <rPr>
        <sz val="10"/>
        <color rgb="FF000000"/>
        <rFont val="Meiryo UI"/>
        <family val="0"/>
        <charset val="1"/>
      </rPr>
      <t xml:space="preserve">)※</t>
    </r>
    <r>
      <rPr>
        <sz val="10"/>
        <color rgb="FF000000"/>
        <rFont val="WenQuanYi Zen Hei"/>
        <family val="2"/>
      </rPr>
      <t xml:space="preserve">交付日前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か月以内に発行されたもの・コピー不可</t>
    </r>
  </si>
  <si>
    <r>
      <rPr>
        <sz val="10"/>
        <color rgb="FF000000"/>
        <rFont val="WenQuanYi Zen Hei"/>
        <family val="2"/>
      </rPr>
      <t xml:space="preserve">建築確認済証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</si>
  <si>
    <t xml:space="preserve">○（建築基準法上、確認を要しないものを除く）</t>
  </si>
  <si>
    <r>
      <rPr>
        <sz val="10"/>
        <color rgb="FF000000"/>
        <rFont val="WenQuanYi Zen Hei"/>
        <family val="2"/>
      </rPr>
      <t xml:space="preserve">売買契約書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</si>
  <si>
    <t xml:space="preserve">対象物件の周辺地図</t>
  </si>
  <si>
    <r>
      <rPr>
        <b val="true"/>
        <sz val="10"/>
        <color rgb="FFFFFFFF"/>
        <rFont val="Meiryo UI"/>
        <family val="0"/>
        <charset val="1"/>
      </rPr>
      <t xml:space="preserve">5. </t>
    </r>
    <r>
      <rPr>
        <b val="true"/>
        <sz val="10"/>
        <color rgb="FFFFFFFF"/>
        <rFont val="WenQuanYi Zen Hei"/>
        <family val="2"/>
      </rPr>
      <t xml:space="preserve">住宅貸付 貸付金交付後の提出書類〔表</t>
    </r>
    <r>
      <rPr>
        <b val="true"/>
        <sz val="10"/>
        <color rgb="FFFFFFFF"/>
        <rFont val="Meiryo U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〕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完了届に添付。交付後</t>
    </r>
    <r>
      <rPr>
        <b val="true"/>
        <sz val="10"/>
        <color rgb="FFFFFFFF"/>
        <rFont val="Meiryo U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か月以内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</si>
  <si>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支払領収書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</si>
  <si>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土地の登記事項証明書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登記簿謄本</t>
    </r>
    <r>
      <rPr>
        <sz val="10"/>
        <color rgb="FF000000"/>
        <rFont val="Meiryo UI"/>
        <family val="0"/>
        <charset val="1"/>
      </rPr>
      <t xml:space="preserve">)※</t>
    </r>
    <r>
      <rPr>
        <sz val="10"/>
        <color rgb="FF000000"/>
        <rFont val="WenQuanYi Zen Hei"/>
        <family val="2"/>
      </rPr>
      <t xml:space="preserve">提出日前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か月以内・コピー不可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所有権保存登記後又は所有権移転登記後のもの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</si>
  <si>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建物の登記事項証明書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登記簿謄本</t>
    </r>
    <r>
      <rPr>
        <sz val="10"/>
        <color rgb="FF000000"/>
        <rFont val="Meiryo UI"/>
        <family val="0"/>
        <charset val="1"/>
      </rPr>
      <t xml:space="preserve">)※</t>
    </r>
    <r>
      <rPr>
        <sz val="10"/>
        <color rgb="FF000000"/>
        <rFont val="WenQuanYi Zen Hei"/>
        <family val="2"/>
      </rPr>
      <t xml:space="preserve">提出日前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か月以内・コピー不可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所有権保存登記後又は所有権移転登記後のもの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</si>
  <si>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住民票※個人番号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マイナンバー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の記載のないもの・提出日前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か月以内・コピー不可</t>
    </r>
  </si>
  <si>
    <r>
      <rPr>
        <sz val="10"/>
        <color rgb="FF000000"/>
        <rFont val="WenQuanYi Zen Hei"/>
        <family val="2"/>
      </rPr>
      <t xml:space="preserve">竣工検査済証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写</t>
    </r>
    <r>
      <rPr>
        <sz val="10"/>
        <color rgb="FF000000"/>
        <rFont val="Meiryo UI"/>
        <family val="0"/>
        <charset val="1"/>
      </rPr>
      <t xml:space="preserve">)</t>
    </r>
  </si>
  <si>
    <t xml:space="preserve">○（申込時に建築確認済証を添付した場合のみ）</t>
  </si>
  <si>
    <r>
      <rPr>
        <b val="true"/>
        <sz val="10"/>
        <color rgb="FFFFFFFF"/>
        <rFont val="Meiryo UI"/>
        <family val="0"/>
        <charset val="1"/>
      </rPr>
      <t xml:space="preserve">6. </t>
    </r>
    <r>
      <rPr>
        <b val="true"/>
        <sz val="10"/>
        <color rgb="FFFFFFFF"/>
        <rFont val="WenQuanYi Zen Hei"/>
        <family val="2"/>
      </rPr>
      <t xml:space="preserve">全区分共通の提出書類</t>
    </r>
  </si>
  <si>
    <r>
      <rPr>
        <b val="true"/>
        <sz val="10"/>
        <color rgb="FF000000"/>
        <rFont val="WenQuanYi Zen Hei"/>
        <family val="2"/>
      </rPr>
      <t xml:space="preserve">提出書類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住宅貸付以外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</si>
  <si>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提出書類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住宅貸付・災害住宅貸付・災害再貸付</t>
    </r>
    <r>
      <rPr>
        <b val="true"/>
        <sz val="10"/>
        <color rgb="FF000000"/>
        <rFont val="Meiryo UI"/>
        <family val="0"/>
        <charset val="1"/>
      </rPr>
      <t xml:space="preserve">)</t>
    </r>
  </si>
  <si>
    <t xml:space="preserve">貸付申込書</t>
  </si>
  <si>
    <r>
      <rPr>
        <sz val="10"/>
        <color rgb="FF0000FF"/>
        <rFont val="WenQuanYi Zen Hei"/>
        <family val="2"/>
      </rPr>
      <t xml:space="preserve">貸付申込書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住宅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</si>
  <si>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貸付金借用証書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様式第</t>
    </r>
    <r>
      <rPr>
        <sz val="10"/>
        <color rgb="FF0000FF"/>
        <rFont val="Meiryo UI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号・共済組合で配布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</si>
  <si>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印鑑登録証明書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貸付金交付日前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か月以内に発行されたもの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</si>
  <si>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印鑑登録証明書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貸付金交付日前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か月以内に発行されたもの・コピー不可</t>
    </r>
    <r>
      <rPr>
        <sz val="10"/>
        <color rgb="FF0000FF"/>
        <rFont val="Meiryo UI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</si>
  <si>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給与支払明細書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直近のもの</t>
    </r>
    <r>
      <rPr>
        <sz val="10"/>
        <color rgb="FF0000FF"/>
        <rFont val="Meiryo UI"/>
        <family val="0"/>
        <charset val="1"/>
      </rPr>
      <t xml:space="preserve">)</t>
    </r>
  </si>
  <si>
    <t xml:space="preserve">借入状況等申告書</t>
  </si>
  <si>
    <r>
      <rPr>
        <sz val="10"/>
        <color rgb="FF0000FF"/>
        <rFont val="WenQuanYi Zen Hei"/>
        <family val="2"/>
      </rPr>
      <t xml:space="preserve">借入状況等申告書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他の金融機関等から借入がある場合は、借入状況及び毎月の弁済状況を確認できる書類〔住宅ローン申込書の写し、融資決定通知書の写し、償還表の写し等〕を添付</t>
    </r>
    <r>
      <rPr>
        <sz val="10"/>
        <color rgb="FF0000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</si>
  <si>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7. </t>
    </r>
    <r>
      <rPr>
        <b val="true"/>
        <sz val="10"/>
        <color rgb="FFFFFFFF"/>
        <rFont val="WenQuanYi Zen Hei"/>
        <family val="2"/>
      </rPr>
      <t xml:space="preserve">所属区分と提出先</t>
    </r>
  </si>
  <si>
    <r>
      <rPr>
        <sz val="10"/>
        <color rgb="FF0000FF"/>
        <rFont val="WenQuanYi Zen Hei"/>
        <family val="2"/>
      </rPr>
      <t xml:space="preserve">共済組合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庶務係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へ直接提出してください。</t>
    </r>
  </si>
  <si>
    <t xml:space="preserve">水道局</t>
  </si>
  <si>
    <t xml:space="preserve">水道局人事課給与係へ提出してください。</t>
  </si>
  <si>
    <r>
      <rPr>
        <sz val="10"/>
        <color rgb="FF0000FF"/>
        <rFont val="WenQuanYi Zen Hei"/>
        <family val="2"/>
      </rPr>
      <t xml:space="preserve">その他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消防局・病院機構・議会事務局・教育委員会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学校等を含む</t>
    </r>
    <r>
      <rPr>
        <sz val="10"/>
        <color rgb="FF0000FF"/>
        <rFont val="Meiryo UI"/>
        <family val="0"/>
        <charset val="1"/>
      </rPr>
      <t xml:space="preserve">)</t>
    </r>
    <r>
      <rPr>
        <sz val="10"/>
        <color rgb="FF0000FF"/>
        <rFont val="WenQuanYi Zen Hei"/>
        <family val="2"/>
      </rPr>
      <t xml:space="preserve">・選挙管理委員会・人事委員会・監査事務局・農業委員会等</t>
    </r>
    <r>
      <rPr>
        <sz val="10"/>
        <color rgb="FF0000FF"/>
        <rFont val="Meiryo UI"/>
        <family val="0"/>
        <charset val="1"/>
      </rPr>
      <t xml:space="preserve">)</t>
    </r>
  </si>
  <si>
    <t xml:space="preserve">各部局給与担当課長の給与等の確認を受けたうえで、共済組合へ提出してください。</t>
  </si>
  <si>
    <r>
      <rPr>
        <b val="true"/>
        <sz val="10"/>
        <color rgb="FFFFFFFF"/>
        <rFont val="Meiryo UI"/>
        <family val="0"/>
        <charset val="1"/>
      </rPr>
      <t xml:space="preserve">8. </t>
    </r>
    <r>
      <rPr>
        <b val="true"/>
        <sz val="10"/>
        <color rgb="FFFFFFFF"/>
        <rFont val="WenQuanYi Zen Hei"/>
        <family val="2"/>
      </rPr>
      <t xml:space="preserve">休日・祝日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締切日・交付日の判定に使用。土日は自動判定。毎年追加してください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</si>
  <si>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日付</t>
  </si>
  <si>
    <t xml:space="preserve">名称</t>
  </si>
  <si>
    <t xml:space="preserve">スポーツの日</t>
  </si>
  <si>
    <r>
      <rPr>
        <i val="true"/>
        <sz val="10"/>
        <color rgb="FFC00000"/>
        <rFont val="Meiryo UI"/>
        <family val="0"/>
        <charset val="1"/>
      </rPr>
      <t xml:space="preserve">※2026</t>
    </r>
    <r>
      <rPr>
        <i val="true"/>
        <sz val="10"/>
        <color rgb="FFC00000"/>
        <rFont val="WenQuanYi Zen Hei"/>
        <family val="2"/>
      </rPr>
      <t xml:space="preserve">〜</t>
    </r>
    <r>
      <rPr>
        <i val="true"/>
        <sz val="10"/>
        <color rgb="FFC00000"/>
        <rFont val="Meiryo UI"/>
        <family val="0"/>
        <charset val="1"/>
      </rPr>
      <t xml:space="preserve">2027</t>
    </r>
    <r>
      <rPr>
        <i val="true"/>
        <sz val="10"/>
        <color rgb="FFC00000"/>
        <rFont val="WenQuanYi Zen Hei"/>
        <family val="2"/>
      </rPr>
      <t xml:space="preserve">年の暦から作成。内閣府の公表と庁の閉庁日で必ず確認してください。</t>
    </r>
  </si>
  <si>
    <t xml:space="preserve">文化の日</t>
  </si>
  <si>
    <t xml:space="preserve">勤労感謝の日</t>
  </si>
  <si>
    <r>
      <rPr>
        <sz val="10"/>
        <color rgb="FF0000FF"/>
        <rFont val="WenQuanYi Zen Hei"/>
        <family val="2"/>
      </rPr>
      <t xml:space="preserve">年末年始</t>
    </r>
    <r>
      <rPr>
        <sz val="10"/>
        <color rgb="FF0000FF"/>
        <rFont val="Meiryo UI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閉庁</t>
    </r>
    <r>
      <rPr>
        <sz val="10"/>
        <color rgb="FF0000FF"/>
        <rFont val="Meiryo UI"/>
        <family val="0"/>
        <charset val="1"/>
      </rPr>
      <t xml:space="preserve">)</t>
    </r>
  </si>
  <si>
    <t xml:space="preserve">元日</t>
  </si>
  <si>
    <t xml:space="preserve">成人の日</t>
  </si>
  <si>
    <t xml:space="preserve">建国記念の日</t>
  </si>
  <si>
    <t xml:space="preserve">天皇誕生日</t>
  </si>
  <si>
    <t xml:space="preserve">春分の日</t>
  </si>
  <si>
    <t xml:space="preserve">春分の日の振替休日</t>
  </si>
  <si>
    <t xml:space="preserve">昭和の日</t>
  </si>
  <si>
    <t xml:space="preserve">憲法記念日</t>
  </si>
  <si>
    <t xml:space="preserve">みどりの日</t>
  </si>
  <si>
    <t xml:space="preserve">こどもの日</t>
  </si>
  <si>
    <t xml:space="preserve">海の日</t>
  </si>
  <si>
    <t xml:space="preserve">山の日</t>
  </si>
  <si>
    <t xml:space="preserve">敬老の日</t>
  </si>
  <si>
    <t xml:space="preserve">秋分の日</t>
  </si>
  <si>
    <r>
      <rPr>
        <b val="true"/>
        <sz val="13"/>
        <color rgb="FF000000"/>
        <rFont val="WenQuanYi Zen Hei"/>
        <family val="2"/>
      </rPr>
      <t xml:space="preserve">計算過程</t>
    </r>
    <r>
      <rPr>
        <b val="true"/>
        <sz val="13"/>
        <color rgb="FF000000"/>
        <rFont val="Meiryo UI"/>
        <family val="0"/>
        <charset val="1"/>
      </rPr>
      <t xml:space="preserve">(</t>
    </r>
    <r>
      <rPr>
        <b val="true"/>
        <sz val="13"/>
        <color rgb="FF000000"/>
        <rFont val="WenQuanYi Zen Hei"/>
        <family val="2"/>
      </rPr>
      <t xml:space="preserve">中間計算・書類判定</t>
    </r>
    <r>
      <rPr>
        <b val="true"/>
        <sz val="13"/>
        <color rgb="FF000000"/>
        <rFont val="Meiryo UI"/>
        <family val="0"/>
        <charset val="1"/>
      </rPr>
      <t xml:space="preserve">)― </t>
    </r>
    <r>
      <rPr>
        <b val="true"/>
        <sz val="13"/>
        <color rgb="FF000000"/>
        <rFont val="WenQuanYi Zen Hei"/>
        <family val="2"/>
      </rPr>
      <t xml:space="preserve">通常は触らないでください</t>
    </r>
  </si>
  <si>
    <t xml:space="preserve">申込シミュレーションの結果は、すべてこのシートの数式から表示しています。</t>
  </si>
  <si>
    <t xml:space="preserve">項目</t>
  </si>
  <si>
    <t xml:space="preserve">値</t>
  </si>
  <si>
    <t xml:space="preserve">計算の考え方</t>
  </si>
  <si>
    <t xml:space="preserve">貸付区分表の行番号</t>
  </si>
  <si>
    <r>
      <rPr>
        <i val="true"/>
        <sz val="10"/>
        <color rgb="FF595959"/>
        <rFont val="WenQuanYi Zen Hei"/>
        <family val="2"/>
      </rPr>
      <t xml:space="preserve">貸付区分の選択位置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未選択のときは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行目で仮計算し、判定は</t>
    </r>
    <r>
      <rPr>
        <i val="true"/>
        <sz val="10"/>
        <color rgb="FF595959"/>
        <rFont val="Meiryo UI"/>
        <family val="0"/>
        <charset val="1"/>
      </rPr>
      <t xml:space="preserve">×)</t>
    </r>
  </si>
  <si>
    <r>
      <rPr>
        <sz val="10"/>
        <color rgb="FF000000"/>
        <rFont val="WenQuanYi Zen Hei"/>
        <family val="2"/>
      </rPr>
      <t xml:space="preserve">給料月数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月数方式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</si>
  <si>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上限額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</si>
  <si>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申込単位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</si>
  <si>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申込締切日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</si>
  <si>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住宅書類の列</t>
    </r>
    <r>
      <rPr>
        <sz val="10"/>
        <color rgb="FF000000"/>
        <rFont val="Meiryo UI"/>
        <family val="0"/>
        <charset val="1"/>
      </rPr>
      <t xml:space="preserve">No(</t>
    </r>
    <r>
      <rPr>
        <sz val="10"/>
        <color rgb="FF000000"/>
        <rFont val="WenQuanYi Zen Hei"/>
        <family val="2"/>
      </rPr>
      <t xml:space="preserve">住宅貸付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</si>
  <si>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申込可能期間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基準日の何か月前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空白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制限なし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</si>
  <si>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申込可能期間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基準日の何か月後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空白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制限なし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</si>
  <si>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交付後の提出書類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住宅以外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</si>
  <si>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交付後の提出期限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</si>
  <si>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住宅系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住宅・災害住宅・災害再貸付</t>
    </r>
    <r>
      <rPr>
        <sz val="10"/>
        <color rgb="FF000000"/>
        <rFont val="Meiryo UI"/>
        <family val="0"/>
        <charset val="1"/>
      </rPr>
      <t xml:space="preserve">)=1</t>
    </r>
  </si>
  <si>
    <r>
      <rPr>
        <sz val="10"/>
        <color rgb="FF000000"/>
        <rFont val="WenQuanYi Zen Hei"/>
        <family val="2"/>
      </rPr>
      <t xml:space="preserve">在宅介護対応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加算部分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の利率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</si>
  <si>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住宅貸付の利率</t>
    </r>
    <r>
      <rPr>
        <i val="true"/>
        <sz val="10"/>
        <color rgb="FF595959"/>
        <rFont val="Meiryo UI"/>
        <family val="0"/>
        <charset val="1"/>
      </rPr>
      <t xml:space="preserve">-0.26%(</t>
    </r>
    <r>
      <rPr>
        <i val="true"/>
        <sz val="10"/>
        <color rgb="FF595959"/>
        <rFont val="WenQuanYi Zen Hei"/>
        <family val="2"/>
      </rPr>
      <t xml:space="preserve">災害貸付との併用は要確認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</si>
  <si>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組合員期間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月数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</si>
  <si>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組合員期間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表示</t>
    </r>
    <r>
      <rPr>
        <sz val="10"/>
        <color rgb="FF000000"/>
        <rFont val="Meiryo UI"/>
        <family val="0"/>
        <charset val="1"/>
      </rPr>
      <t xml:space="preserve">)</t>
    </r>
  </si>
  <si>
    <t xml:space="preserve">月数表の区分位置</t>
  </si>
  <si>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年未満は最下段を適用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災害住宅貸付のみ貸付可</t>
    </r>
    <r>
      <rPr>
        <i val="true"/>
        <sz val="10"/>
        <color rgb="FF595959"/>
        <rFont val="Meiryo UI"/>
        <family val="0"/>
        <charset val="1"/>
      </rPr>
      <t xml:space="preserve">)</t>
    </r>
  </si>
  <si>
    <t xml:space="preserve">最低保障額表の区分位置</t>
  </si>
  <si>
    <r>
      <rPr>
        <sz val="10"/>
        <color rgb="FF000000"/>
        <rFont val="WenQuanYi Zen Hei"/>
        <family val="2"/>
      </rPr>
      <t xml:space="preserve">住宅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給料月額に乗じる月数</t>
    </r>
  </si>
  <si>
    <r>
      <rPr>
        <sz val="10"/>
        <color rgb="FF000000"/>
        <rFont val="WenQuanYi Zen Hei"/>
        <family val="2"/>
      </rPr>
      <t xml:space="preserve">住宅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最低保障額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</si>
  <si>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災害再貸付</t>
    </r>
    <r>
      <rPr>
        <sz val="10"/>
        <color rgb="FF000000"/>
        <rFont val="Meiryo UI"/>
        <family val="0"/>
        <charset val="1"/>
      </rPr>
      <t xml:space="preserve">:</t>
    </r>
    <r>
      <rPr>
        <sz val="10"/>
        <color rgb="FF000000"/>
        <rFont val="WenQuanYi Zen Hei"/>
        <family val="2"/>
      </rPr>
      <t xml:space="preserve">最低保障額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</si>
  <si>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貸付限度額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基本・円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</si>
  <si>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月数方式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給料月額</t>
    </r>
    <r>
      <rPr>
        <i val="true"/>
        <sz val="10"/>
        <color rgb="FF595959"/>
        <rFont val="Meiryo UI"/>
        <family val="0"/>
        <charset val="1"/>
      </rPr>
      <t xml:space="preserve">×</t>
    </r>
    <r>
      <rPr>
        <i val="true"/>
        <sz val="10"/>
        <color rgb="FF595959"/>
        <rFont val="WenQuanYi Zen Hei"/>
        <family val="2"/>
      </rPr>
      <t xml:space="preserve">月数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上限あり</t>
    </r>
    <r>
      <rPr>
        <i val="true"/>
        <sz val="10"/>
        <color rgb="FF595959"/>
        <rFont val="Meiryo UI"/>
        <family val="0"/>
        <charset val="1"/>
      </rPr>
      <t xml:space="preserve">) / </t>
    </r>
    <r>
      <rPr>
        <i val="true"/>
        <sz val="10"/>
        <color rgb="FF595959"/>
        <rFont val="WenQuanYi Zen Hei"/>
        <family val="2"/>
      </rPr>
      <t xml:space="preserve">修学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月額</t>
    </r>
    <r>
      <rPr>
        <i val="true"/>
        <sz val="10"/>
        <color rgb="FF595959"/>
        <rFont val="Meiryo UI"/>
        <family val="0"/>
        <charset val="1"/>
      </rPr>
      <t xml:space="preserve">×</t>
    </r>
    <r>
      <rPr>
        <i val="true"/>
        <sz val="10"/>
        <color rgb="FF595959"/>
        <rFont val="WenQuanYi Zen Hei"/>
        <family val="2"/>
      </rPr>
      <t xml:space="preserve">修学月数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住宅</t>
    </r>
    <r>
      <rPr>
        <i val="true"/>
        <sz val="10"/>
        <color rgb="FF595959"/>
        <rFont val="Meiryo UI"/>
        <family val="0"/>
        <charset val="1"/>
      </rPr>
      <t xml:space="preserve">=(</t>
    </r>
    <r>
      <rPr>
        <i val="true"/>
        <sz val="10"/>
        <color rgb="FF595959"/>
        <rFont val="WenQuanYi Zen Hei"/>
        <family val="2"/>
      </rPr>
      <t xml:space="preserve">給料月額</t>
    </r>
    <r>
      <rPr>
        <i val="true"/>
        <sz val="10"/>
        <color rgb="FF595959"/>
        <rFont val="Meiryo UI"/>
        <family val="0"/>
        <charset val="1"/>
      </rPr>
      <t xml:space="preserve">×</t>
    </r>
    <r>
      <rPr>
        <i val="true"/>
        <sz val="10"/>
        <color rgb="FF595959"/>
        <rFont val="WenQuanYi Zen Hei"/>
        <family val="2"/>
      </rPr>
      <t xml:space="preserve">月数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と最低保障額の高い方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再貸付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月数を</t>
    </r>
    <r>
      <rPr>
        <i val="true"/>
        <sz val="10"/>
        <color rgb="FF595959"/>
        <rFont val="Meiryo UI"/>
        <family val="0"/>
        <charset val="1"/>
      </rPr>
      <t xml:space="preserve">2</t>
    </r>
    <r>
      <rPr>
        <i val="true"/>
        <sz val="10"/>
        <color rgb="FF595959"/>
        <rFont val="WenQuanYi Zen Hei"/>
        <family val="2"/>
      </rPr>
      <t xml:space="preserve">倍</t>
    </r>
  </si>
  <si>
    <r>
      <rPr>
        <sz val="10"/>
        <color rgb="FF000000"/>
        <rFont val="WenQuanYi Zen Hei"/>
        <family val="2"/>
      </rPr>
      <t xml:space="preserve">在宅介護対応住宅の加算限度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</si>
  <si>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入力した該当部分の金額</t>
    </r>
    <r>
      <rPr>
        <i val="true"/>
        <sz val="10"/>
        <color rgb="FF595959"/>
        <rFont val="Meiryo UI"/>
        <family val="0"/>
        <charset val="1"/>
      </rPr>
      <t xml:space="preserve">(300</t>
    </r>
    <r>
      <rPr>
        <i val="true"/>
        <sz val="10"/>
        <color rgb="FF595959"/>
        <rFont val="WenQuanYi Zen Hei"/>
        <family val="2"/>
      </rPr>
      <t xml:space="preserve">万円まで</t>
    </r>
    <r>
      <rPr>
        <i val="true"/>
        <sz val="10"/>
        <color rgb="FF595959"/>
        <rFont val="Meiryo UI"/>
        <family val="0"/>
        <charset val="1"/>
      </rPr>
      <t xml:space="preserve">)</t>
    </r>
    <r>
      <rPr>
        <i val="true"/>
        <sz val="10"/>
        <color rgb="FF595959"/>
        <rFont val="WenQuanYi Zen Hei"/>
        <family val="2"/>
      </rPr>
      <t xml:space="preserve">を限度額に加算</t>
    </r>
  </si>
  <si>
    <r>
      <rPr>
        <sz val="10"/>
        <color rgb="FF000000"/>
        <rFont val="WenQuanYi Zen Hei"/>
        <family val="2"/>
      </rPr>
      <t xml:space="preserve">貸付限度額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合計・円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</si>
  <si>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申込単位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</si>
  <si>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申込金額の下限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</si>
  <si>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他の借入等の毎月償還額 </t>
    </r>
    <r>
      <rPr>
        <sz val="10"/>
        <color rgb="FF000000"/>
        <rFont val="Meiryo UI"/>
        <family val="0"/>
        <charset val="1"/>
      </rPr>
      <t xml:space="preserve">A+B+C</t>
    </r>
  </si>
  <si>
    <r>
      <rPr>
        <sz val="10"/>
        <color rgb="FF000000"/>
        <rFont val="WenQuanYi Zen Hei"/>
        <family val="2"/>
      </rPr>
      <t xml:space="preserve">他の借入等のボーナス償還額 </t>
    </r>
    <r>
      <rPr>
        <sz val="10"/>
        <color rgb="FF000000"/>
        <rFont val="Meiryo UI"/>
        <family val="0"/>
        <charset val="1"/>
      </rPr>
      <t xml:space="preserve">F+G+H</t>
    </r>
  </si>
  <si>
    <r>
      <rPr>
        <sz val="10"/>
        <color rgb="FF000000"/>
        <rFont val="WenQuanYi Zen Hei"/>
        <family val="2"/>
      </rPr>
      <t xml:space="preserve">毎月償還額</t>
    </r>
    <r>
      <rPr>
        <sz val="10"/>
        <color rgb="FF000000"/>
        <rFont val="Meiryo UI"/>
        <family val="0"/>
        <charset val="1"/>
      </rPr>
      <t xml:space="preserve">(E)</t>
    </r>
    <r>
      <rPr>
        <sz val="10"/>
        <color rgb="FF000000"/>
        <rFont val="WenQuanYi Zen Hei"/>
        <family val="2"/>
      </rPr>
      <t xml:space="preserve">の上限</t>
    </r>
  </si>
  <si>
    <r>
      <rPr>
        <i val="true"/>
        <sz val="10"/>
        <color rgb="FF595959"/>
        <rFont val="WenQuanYi Zen Hei"/>
        <family val="2"/>
      </rPr>
      <t xml:space="preserve">①給料月額の</t>
    </r>
    <r>
      <rPr>
        <i val="true"/>
        <sz val="10"/>
        <color rgb="FF595959"/>
        <rFont val="Meiryo UI"/>
        <family val="0"/>
        <charset val="1"/>
      </rPr>
      <t xml:space="preserve">30% ②</t>
    </r>
    <r>
      <rPr>
        <i val="true"/>
        <sz val="10"/>
        <color rgb="FF595959"/>
        <rFont val="WenQuanYi Zen Hei"/>
        <family val="2"/>
      </rPr>
      <t xml:space="preserve">年収額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給料月額</t>
    </r>
    <r>
      <rPr>
        <i val="true"/>
        <sz val="10"/>
        <color rgb="FF595959"/>
        <rFont val="Meiryo UI"/>
        <family val="0"/>
        <charset val="1"/>
      </rPr>
      <t xml:space="preserve">×16)</t>
    </r>
    <r>
      <rPr>
        <i val="true"/>
        <sz val="10"/>
        <color rgb="FF595959"/>
        <rFont val="WenQuanYi Zen Hei"/>
        <family val="2"/>
      </rPr>
      <t xml:space="preserve">の</t>
    </r>
    <r>
      <rPr>
        <i val="true"/>
        <sz val="10"/>
        <color rgb="FF595959"/>
        <rFont val="Meiryo UI"/>
        <family val="0"/>
        <charset val="1"/>
      </rPr>
      <t xml:space="preserve">30%</t>
    </r>
    <r>
      <rPr>
        <i val="true"/>
        <sz val="10"/>
        <color rgb="FF595959"/>
        <rFont val="WenQuanYi Zen Hei"/>
        <family val="2"/>
      </rPr>
      <t xml:space="preserve">から年間ボーナス償還を差し引いた月額、の小さい方</t>
    </r>
  </si>
  <si>
    <r>
      <rPr>
        <sz val="10"/>
        <color rgb="FF000000"/>
        <rFont val="WenQuanYi Zen Hei"/>
        <family val="2"/>
      </rPr>
      <t xml:space="preserve">今回の貸付の毎月償還額の上限</t>
    </r>
    <r>
      <rPr>
        <sz val="10"/>
        <color rgb="FF000000"/>
        <rFont val="Meiryo UI"/>
        <family val="0"/>
        <charset val="1"/>
      </rPr>
      <t xml:space="preserve">(D)</t>
    </r>
  </si>
  <si>
    <t xml:space="preserve">返済能力の試算に用いる償還回数</t>
  </si>
  <si>
    <t xml:space="preserve">償還回数未入力のときは上限回数で試算</t>
  </si>
  <si>
    <r>
      <rPr>
        <sz val="10"/>
        <color rgb="FF000000"/>
        <rFont val="WenQuanYi Zen Hei"/>
        <family val="2"/>
      </rPr>
      <t xml:space="preserve">返済能力から見た借入上限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</si>
  <si>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毎月償還額の上限で元利均等返済できる元金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基本利率で試算</t>
    </r>
    <r>
      <rPr>
        <i val="true"/>
        <sz val="10"/>
        <color rgb="FF595959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</si>
  <si>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申込可能額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</si>
  <si>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t xml:space="preserve">限度額と返済能力の小さい方を申込単位で切り捨て</t>
  </si>
  <si>
    <t xml:space="preserve">申込可能額を決めている要因</t>
  </si>
  <si>
    <r>
      <rPr>
        <sz val="10"/>
        <color rgb="FF000000"/>
        <rFont val="WenQuanYi Zen Hei"/>
        <family val="2"/>
      </rPr>
      <t xml:space="preserve">算定に用いる申込額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</si>
  <si>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t xml:space="preserve">申込希望金額が空欄のときは申込可能額で試算</t>
  </si>
  <si>
    <r>
      <rPr>
        <sz val="10"/>
        <color rgb="FF000000"/>
        <rFont val="WenQuanYi Zen Hei"/>
        <family val="2"/>
      </rPr>
      <t xml:space="preserve">うち在宅介護対応部分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</si>
  <si>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うち基本部分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</si>
  <si>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ボーナス償還分の元金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</si>
  <si>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t xml:space="preserve">基本部分に充てるものとして計算</t>
  </si>
  <si>
    <r>
      <rPr>
        <sz val="10"/>
        <color rgb="FF000000"/>
        <rFont val="WenQuanYi Zen Hei"/>
        <family val="2"/>
      </rPr>
      <t xml:space="preserve">毎月償還の回数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回</t>
    </r>
    <r>
      <rPr>
        <sz val="10"/>
        <color rgb="FF000000"/>
        <rFont val="Meiryo UI"/>
        <family val="0"/>
        <charset val="1"/>
      </rPr>
      <t xml:space="preserve">)</t>
    </r>
  </si>
  <si>
    <r>
      <rPr>
        <i val="true"/>
        <sz val="10"/>
        <color rgb="FF595959"/>
        <rFont val="WenQuanYi Zen Hei"/>
        <family val="2"/>
      </rPr>
      <t xml:space="preserve">回数を入力→その回数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回数が空欄で月額を入力→返済できる回数を逆算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両方空欄→上限回数</t>
    </r>
  </si>
  <si>
    <r>
      <rPr>
        <sz val="10"/>
        <color rgb="FF000000"/>
        <rFont val="WenQuanYi Zen Hei"/>
        <family val="2"/>
      </rPr>
      <t xml:space="preserve">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基本部分・円未満含む</t>
    </r>
    <r>
      <rPr>
        <sz val="10"/>
        <color rgb="FF000000"/>
        <rFont val="Meiryo UI"/>
        <family val="0"/>
        <charset val="1"/>
      </rPr>
      <t xml:space="preserve">)</t>
    </r>
  </si>
  <si>
    <t xml:space="preserve">元利均等</t>
  </si>
  <si>
    <r>
      <rPr>
        <sz val="10"/>
        <color rgb="FF000000"/>
        <rFont val="WenQuanYi Zen Hei"/>
        <family val="2"/>
      </rPr>
      <t xml:space="preserve">毎月償還額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在宅介護部分・円未満含む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</si>
  <si>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毎月償還額</t>
    </r>
    <r>
      <rPr>
        <sz val="10"/>
        <color rgb="FF000000"/>
        <rFont val="Meiryo UI"/>
        <family val="0"/>
        <charset val="1"/>
      </rPr>
      <t xml:space="preserve">(D)</t>
    </r>
  </si>
  <si>
    <t xml:space="preserve">実際の償還表と数円の差が出る場合があります</t>
  </si>
  <si>
    <r>
      <rPr>
        <sz val="10"/>
        <color rgb="FF000000"/>
        <rFont val="WenQuanYi Zen Hei"/>
        <family val="2"/>
      </rPr>
      <t xml:space="preserve">ボーナス償還の期間利率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半年</t>
    </r>
    <r>
      <rPr>
        <sz val="10"/>
        <color rgb="FF000000"/>
        <rFont val="Meiryo UI"/>
        <family val="0"/>
        <charset val="1"/>
      </rPr>
      <t xml:space="preserve">)</t>
    </r>
  </si>
  <si>
    <t xml:space="preserve">月利を半年分に複利換算</t>
  </si>
  <si>
    <r>
      <rPr>
        <sz val="10"/>
        <color rgb="FF000000"/>
        <rFont val="WenQuanYi Zen Hei"/>
        <family val="2"/>
      </rPr>
      <t xml:space="preserve">ボーナス償還額</t>
    </r>
    <r>
      <rPr>
        <sz val="10"/>
        <color rgb="FF000000"/>
        <rFont val="Meiryo UI"/>
        <family val="0"/>
        <charset val="1"/>
      </rPr>
      <t xml:space="preserve">(1</t>
    </r>
    <r>
      <rPr>
        <sz val="10"/>
        <color rgb="FF000000"/>
        <rFont val="WenQuanYi Zen Hei"/>
        <family val="2"/>
      </rPr>
      <t xml:space="preserve">回・円未満含む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</si>
  <si>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ボーナス償還額</t>
    </r>
    <r>
      <rPr>
        <sz val="10"/>
        <color rgb="FF000000"/>
        <rFont val="Meiryo UI"/>
        <family val="0"/>
        <charset val="1"/>
      </rPr>
      <t xml:space="preserve">(I)</t>
    </r>
  </si>
  <si>
    <r>
      <rPr>
        <i val="true"/>
        <sz val="10"/>
        <color rgb="FF595959"/>
        <rFont val="Meiryo UI"/>
        <family val="0"/>
        <charset val="1"/>
      </rPr>
      <t xml:space="preserve">6</t>
    </r>
    <r>
      <rPr>
        <i val="true"/>
        <sz val="10"/>
        <color rgb="FF595959"/>
        <rFont val="WenQuanYi Zen Hei"/>
        <family val="2"/>
      </rPr>
      <t xml:space="preserve">月・</t>
    </r>
    <r>
      <rPr>
        <i val="true"/>
        <sz val="10"/>
        <color rgb="FF595959"/>
        <rFont val="Meiryo UI"/>
        <family val="0"/>
        <charset val="1"/>
      </rPr>
      <t xml:space="preserve">12</t>
    </r>
    <r>
      <rPr>
        <i val="true"/>
        <sz val="10"/>
        <color rgb="FF595959"/>
        <rFont val="WenQuanYi Zen Hei"/>
        <family val="2"/>
      </rPr>
      <t xml:space="preserve">月の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回あたり</t>
    </r>
  </si>
  <si>
    <r>
      <rPr>
        <sz val="10"/>
        <color rgb="FF000000"/>
        <rFont val="WenQuanYi Zen Hei"/>
        <family val="2"/>
      </rPr>
      <t xml:space="preserve">返済総額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</si>
  <si>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利息総額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円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</si>
  <si>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毎月償還額の割合</t>
    </r>
    <r>
      <rPr>
        <sz val="10"/>
        <color rgb="FF000000"/>
        <rFont val="Meiryo UI"/>
        <family val="0"/>
        <charset val="1"/>
      </rPr>
      <t xml:space="preserve">(E÷K)</t>
    </r>
  </si>
  <si>
    <r>
      <rPr>
        <sz val="10"/>
        <color rgb="FF000000"/>
        <rFont val="WenQuanYi Zen Hei"/>
        <family val="2"/>
      </rPr>
      <t xml:space="preserve">年間償還額の割合</t>
    </r>
    <r>
      <rPr>
        <sz val="10"/>
        <color rgb="FF000000"/>
        <rFont val="Meiryo UI"/>
        <family val="0"/>
        <charset val="1"/>
      </rPr>
      <t xml:space="preserve">(L÷M)</t>
    </r>
  </si>
  <si>
    <t xml:space="preserve">今月の締切日</t>
  </si>
  <si>
    <t xml:space="preserve">休日・祝日の場合は翌開庁日</t>
  </si>
  <si>
    <t xml:space="preserve">翌月の締切日</t>
  </si>
  <si>
    <r>
      <rPr>
        <sz val="10"/>
        <color rgb="FF000000"/>
        <rFont val="WenQuanYi Zen Hei"/>
        <family val="2"/>
      </rPr>
      <t xml:space="preserve">申込締切日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申込予定日に対する</t>
    </r>
    <r>
      <rPr>
        <sz val="10"/>
        <color rgb="FF000000"/>
        <rFont val="Meiryo UI"/>
        <family val="0"/>
        <charset val="1"/>
      </rPr>
      <t xml:space="preserve">)</t>
    </r>
  </si>
  <si>
    <t xml:space="preserve">申込予定日が今月の締切日を過ぎていれば翌月の締切日</t>
  </si>
  <si>
    <r>
      <rPr>
        <i val="true"/>
        <sz val="10"/>
        <color rgb="FF595959"/>
        <rFont val="WenQuanYi Zen Hei"/>
        <family val="2"/>
      </rPr>
      <t xml:space="preserve">締切日の同月末日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休日・祝日の場合は前日</t>
    </r>
    <r>
      <rPr>
        <i val="true"/>
        <sz val="10"/>
        <color rgb="FF595959"/>
        <rFont val="Meiryo UI"/>
        <family val="0"/>
        <charset val="1"/>
      </rPr>
      <t xml:space="preserve">)</t>
    </r>
  </si>
  <si>
    <t xml:space="preserve">償還開始年月</t>
  </si>
  <si>
    <t xml:space="preserve">償還終了予定年月</t>
  </si>
  <si>
    <r>
      <rPr>
        <sz val="10"/>
        <color rgb="FF000000"/>
        <rFont val="WenQuanYi Zen Hei"/>
        <family val="2"/>
      </rPr>
      <t xml:space="preserve">償還期間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表示</t>
    </r>
    <r>
      <rPr>
        <sz val="10"/>
        <color rgb="FF000000"/>
        <rFont val="Meiryo UI"/>
        <family val="0"/>
        <charset val="1"/>
      </rPr>
      <t xml:space="preserve">)</t>
    </r>
  </si>
  <si>
    <t xml:space="preserve">交付後の提出期限</t>
  </si>
  <si>
    <r>
      <rPr>
        <i val="true"/>
        <sz val="10"/>
        <color rgb="FF595959"/>
        <rFont val="WenQuanYi Zen Hei"/>
        <family val="2"/>
      </rPr>
      <t xml:space="preserve">住宅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交付後</t>
    </r>
    <r>
      <rPr>
        <i val="true"/>
        <sz val="10"/>
        <color rgb="FF595959"/>
        <rFont val="Meiryo UI"/>
        <family val="0"/>
        <charset val="1"/>
      </rPr>
      <t xml:space="preserve">6</t>
    </r>
    <r>
      <rPr>
        <i val="true"/>
        <sz val="10"/>
        <color rgb="FF595959"/>
        <rFont val="WenQuanYi Zen Hei"/>
        <family val="2"/>
      </rPr>
      <t xml:space="preserve">か月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自動車・修学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交付後</t>
    </r>
    <r>
      <rPr>
        <i val="true"/>
        <sz val="10"/>
        <color rgb="FF595959"/>
        <rFont val="Meiryo UI"/>
        <family val="0"/>
        <charset val="1"/>
      </rPr>
      <t xml:space="preserve">2</t>
    </r>
    <r>
      <rPr>
        <i val="true"/>
        <sz val="10"/>
        <color rgb="FF595959"/>
        <rFont val="WenQuanYi Zen Hei"/>
        <family val="2"/>
      </rPr>
      <t xml:space="preserve">か月 </t>
    </r>
    <r>
      <rPr>
        <i val="true"/>
        <sz val="10"/>
        <color rgb="FF595959"/>
        <rFont val="Meiryo UI"/>
        <family val="0"/>
        <charset val="1"/>
      </rPr>
      <t xml:space="preserve">/ </t>
    </r>
    <r>
      <rPr>
        <i val="true"/>
        <sz val="10"/>
        <color rgb="FF595959"/>
        <rFont val="WenQuanYi Zen Hei"/>
        <family val="2"/>
      </rPr>
      <t xml:space="preserve">入学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入学後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か月</t>
    </r>
    <r>
      <rPr>
        <i val="true"/>
        <sz val="10"/>
        <color rgb="FF595959"/>
        <rFont val="Meiryo UI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入学後の申込は交付後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か月</t>
    </r>
    <r>
      <rPr>
        <i val="true"/>
        <sz val="10"/>
        <color rgb="FF595959"/>
        <rFont val="Meiryo UI"/>
        <family val="0"/>
        <charset val="1"/>
      </rPr>
      <t xml:space="preserve">) / </t>
    </r>
    <r>
      <rPr>
        <i val="true"/>
        <sz val="10"/>
        <color rgb="FF595959"/>
        <rFont val="WenQuanYi Zen Hei"/>
        <family val="2"/>
      </rPr>
      <t xml:space="preserve">結婚</t>
    </r>
    <r>
      <rPr>
        <i val="true"/>
        <sz val="10"/>
        <color rgb="FF595959"/>
        <rFont val="Meiryo UI"/>
        <family val="0"/>
        <charset val="1"/>
      </rPr>
      <t xml:space="preserve">=</t>
    </r>
    <r>
      <rPr>
        <i val="true"/>
        <sz val="10"/>
        <color rgb="FF595959"/>
        <rFont val="WenQuanYi Zen Hei"/>
        <family val="2"/>
      </rPr>
      <t xml:space="preserve">婚姻後</t>
    </r>
    <r>
      <rPr>
        <i val="true"/>
        <sz val="10"/>
        <color rgb="FF595959"/>
        <rFont val="Meiryo UI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か月</t>
    </r>
  </si>
  <si>
    <r>
      <rPr>
        <sz val="10"/>
        <color rgb="FF000000"/>
        <rFont val="WenQuanYi Zen Hei"/>
        <family val="2"/>
      </rPr>
      <t xml:space="preserve">住宅書類の列</t>
    </r>
    <r>
      <rPr>
        <sz val="10"/>
        <color rgb="FF000000"/>
        <rFont val="Meiryo UI"/>
        <family val="0"/>
        <charset val="1"/>
      </rPr>
      <t xml:space="preserve">No(</t>
    </r>
    <r>
      <rPr>
        <sz val="10"/>
        <color rgb="FF000000"/>
        <rFont val="WenQuanYi Zen Hei"/>
        <family val="2"/>
      </rPr>
      <t xml:space="preserve">適用</t>
    </r>
    <r>
      <rPr>
        <sz val="10"/>
        <color rgb="FF000000"/>
        <rFont val="Meiryo UI"/>
        <family val="0"/>
        <charset val="1"/>
      </rPr>
      <t xml:space="preserve">)</t>
    </r>
  </si>
  <si>
    <t xml:space="preserve">災害住宅・災害再貸付は『住宅書類の区分』の選択で決定</t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</si>
  <si>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貸付区分の選択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</si>
  <si>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給料月額の入力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</si>
  <si>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借受資格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組合員期間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</si>
  <si>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給与の差押さえ等の貸付制限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</si>
  <si>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無給休職でないこと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</si>
  <si>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申込時期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</si>
  <si>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修学月数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</si>
  <si>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申込金額の下限・単位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</si>
  <si>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貸付限度額以内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</si>
  <si>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償還回数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</si>
  <si>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毎月償還額の割合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</si>
  <si>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年間償還額の割合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</si>
  <si>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ボーナス併用償還の条件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</si>
  <si>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住宅書類の区分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災害住宅・災害再貸付</t>
    </r>
    <r>
      <rPr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</si>
  <si>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000000"/>
        <rFont val="Meiryo UI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チェック</t>
    </r>
    <r>
      <rPr>
        <sz val="10"/>
        <color rgb="FF000000"/>
        <rFont val="Meiryo UI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在宅介護対応住宅</t>
    </r>
  </si>
  <si>
    <r>
      <rPr>
        <sz val="10"/>
        <color rgb="FF000000"/>
        <rFont val="Meiryo UI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の件数</t>
    </r>
  </si>
  <si>
    <t xml:space="preserve">△の件数</t>
  </si>
  <si>
    <r>
      <rPr>
        <b val="true"/>
        <sz val="10"/>
        <color rgb="FF000000"/>
        <rFont val="WenQuanYi Zen Hei"/>
        <family val="2"/>
      </rPr>
      <t xml:space="preserve">提出書類の判定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申込時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</si>
  <si>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必要</t>
    </r>
    <r>
      <rPr>
        <b val="true"/>
        <sz val="10"/>
        <color rgb="FF000000"/>
        <rFont val="Meiryo UI"/>
        <family val="0"/>
        <charset val="1"/>
      </rPr>
      <t xml:space="preserve">=1</t>
    </r>
  </si>
  <si>
    <t xml:space="preserve">連番</t>
  </si>
  <si>
    <r>
      <rPr>
        <b val="true"/>
        <sz val="10"/>
        <color rgb="FF000000"/>
        <rFont val="WenQuanYi Zen Hei"/>
        <family val="2"/>
      </rPr>
      <t xml:space="preserve">提出書類の出力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申込時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</si>
  <si>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提出書類の判定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貸付金交付後</t>
    </r>
    <r>
      <rPr>
        <b val="true"/>
        <sz val="10"/>
        <color rgb="FF000000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</si>
  <si>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提出書類の出力</t>
    </r>
    <r>
      <rPr>
        <b val="true"/>
        <sz val="10"/>
        <color rgb="FF000000"/>
        <rFont val="Meiryo UI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貸付金交付後</t>
    </r>
    <r>
      <rPr>
        <b val="true"/>
        <sz val="10"/>
        <color rgb="FF000000"/>
        <rFont val="Meiryo U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</si>
</sst>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yyyy/mm/dd"/>
    <numFmt numFmtId="167" formatCode="#,##0\円"/>
    <numFmt numFmtId="168" formatCode="#,##0\回"/>
    <numFmt numFmtId="169" formatCode="0&quot;か月&quot;"/>
    <numFmt numFmtId="170" formatCode="#,##0&quot;万円&quot;"/>
    <numFmt numFmtId="171" formatCode="yyyy\年m\月"/>
    <numFmt numFmtId="172" formatCode="0.0%"/>
    <numFmt numFmtId="173" formatCode="yyyy/mm/dd\(AAA\)"/>
    <numFmt numFmtId="174" formatCode="#,##0"/>
    <numFmt numFmtId="175" formatCode="0&quot;か月以上&quot;"/>
    <numFmt numFmtId="176" formatCode="0&quot;か月分&quot;"/>
    <numFmt numFmtId="177" formatCode="0"/>
    <numFmt numFmtId="178" formatCode="#,##0.00"/>
    <numFmt numFmtId="179" formatCode="0.000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10"/>
      <color rgb="FF000000"/>
      <name val="Meiryo UI"/>
      <family val="0"/>
      <charset val="1"/>
    </font>
    <font>
      <b val="true"/>
      <sz val="10"/>
      <color rgb="FF000000"/>
      <name val="WenQuanYi Zen Hei"/>
      <family val="2"/>
    </font>
    <font>
      <b val="true"/>
      <sz val="16"/>
      <color rgb="FF1F4E78"/>
      <name val="Meiryo UI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Meiryo UI"/>
      <family val="0"/>
      <charset val="1"/>
    </font>
    <font>
      <i val="true"/>
      <sz val="10"/>
      <color rgb="FFC00000"/>
      <name val="WenQuanYi Zen Hei"/>
      <family val="2"/>
    </font>
    <font>
      <sz val="10"/>
      <color rgb="FF0000FF"/>
      <name val="WenQuanYi Zen Hei"/>
      <family val="2"/>
    </font>
    <font>
      <sz val="10"/>
      <color rgb="FF0000FF"/>
      <name val="Meiryo UI"/>
      <family val="0"/>
      <charset val="1"/>
    </font>
    <font>
      <i val="true"/>
      <sz val="9"/>
      <color rgb="FF595959"/>
      <name val="WenQuanYi Zen Hei"/>
      <family val="2"/>
    </font>
    <font>
      <b val="true"/>
      <sz val="12"/>
      <color rgb="FF000000"/>
      <name val="WenQuanYi Zen Hei"/>
      <family val="2"/>
    </font>
    <font>
      <i val="true"/>
      <sz val="9"/>
      <color rgb="FF595959"/>
      <name val="Meiryo UI"/>
      <family val="0"/>
      <charset val="1"/>
    </font>
    <font>
      <b val="true"/>
      <sz val="12"/>
      <color rgb="FF000000"/>
      <name val="Meiryo UI"/>
      <family val="0"/>
      <charset val="1"/>
    </font>
    <font>
      <sz val="9"/>
      <color rgb="FF000000"/>
      <name val="WenQuanYi Zen Hei"/>
      <family val="2"/>
    </font>
    <font>
      <sz val="11"/>
      <color rgb="FF000000"/>
      <name val="WenQuanYi Zen Hei"/>
      <family val="2"/>
    </font>
    <font>
      <b val="true"/>
      <sz val="13"/>
      <color rgb="FF000000"/>
      <name val="WenQuanYi Zen Hei"/>
      <family val="2"/>
    </font>
    <font>
      <b val="true"/>
      <sz val="11"/>
      <color rgb="FF000000"/>
      <name val="WenQuanYi Zen Hei"/>
      <family val="2"/>
    </font>
    <font>
      <sz val="9"/>
      <color rgb="FF000000"/>
      <name val="Meiryo UI"/>
      <family val="0"/>
      <charset val="1"/>
    </font>
    <font>
      <b val="true"/>
      <sz val="13"/>
      <color rgb="FF000000"/>
      <name val="Meiryo UI"/>
      <family val="0"/>
      <charset val="1"/>
    </font>
    <font>
      <i val="true"/>
      <sz val="9"/>
      <color rgb="FFC00000"/>
      <name val="WenQuanYi Zen Hei"/>
      <family val="2"/>
    </font>
    <font>
      <i val="true"/>
      <sz val="9"/>
      <color rgb="FFC00000"/>
      <name val="Meiryo UI"/>
      <family val="0"/>
      <charset val="1"/>
    </font>
    <font>
      <b val="true"/>
      <sz val="10"/>
      <color rgb="FF0000FF"/>
      <name val="Meiryo UI"/>
      <family val="0"/>
      <charset val="1"/>
    </font>
    <font>
      <i val="true"/>
      <sz val="10"/>
      <color rgb="FF595959"/>
      <name val="WenQuanYi Zen Hei"/>
      <family val="2"/>
    </font>
    <font>
      <i val="true"/>
      <sz val="10"/>
      <color rgb="FF595959"/>
      <name val="Meiryo UI"/>
      <family val="0"/>
      <charset val="1"/>
    </font>
    <font>
      <i val="true"/>
      <sz val="10"/>
      <color rgb="FFC00000"/>
      <name val="Meiryo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Meiryo UI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Meiryo U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Meiryo U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Meiryo UI"/>
        <charset val="1"/>
        <family val="0"/>
        <b val="1"/>
        <color rgb="FF9C0006"/>
        <sz val="12"/>
      </font>
      <fill>
        <patternFill>
          <bgColor rgb="FFF8CBAD"/>
        </patternFill>
      </fill>
    </dxf>
    <dxf>
      <font>
        <name val="Meiryo UI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ont>
        <name val="Meiryo UI"/>
        <charset val="1"/>
        <family val="0"/>
        <b val="1"/>
        <color rgb="FF9C5700"/>
        <sz val="12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  <c r="C2" s="2"/>
    </row>
    <row r="4" customFormat="false" ht="15" hidden="false" customHeight="false" outlineLevel="0" collapsed="false">
      <c r="B4" s="3" t="s">
        <v>2</v>
      </c>
      <c r="C4" s="3"/>
    </row>
    <row r="5" customFormat="false" ht="37.5" hidden="false" customHeight="true" outlineLevel="0" collapsed="false">
      <c r="B5" s="4" t="s">
        <v>3</v>
      </c>
      <c r="C5" s="5" t="s">
        <v>4</v>
      </c>
    </row>
    <row r="6" customFormat="false" ht="37.5" hidden="false" customHeight="true" outlineLevel="0" collapsed="false">
      <c r="B6" s="4" t="s">
        <v>5</v>
      </c>
      <c r="C6" s="5" t="s">
        <v>6</v>
      </c>
    </row>
    <row r="7" customFormat="false" ht="37.5" hidden="false" customHeight="true" outlineLevel="0" collapsed="false">
      <c r="B7" s="4" t="s">
        <v>7</v>
      </c>
      <c r="C7" s="5" t="s">
        <v>8</v>
      </c>
    </row>
    <row r="8" customFormat="false" ht="37.5" hidden="false" customHeight="true" outlineLevel="0" collapsed="false">
      <c r="B8" s="4" t="s">
        <v>9</v>
      </c>
      <c r="C8" s="5" t="s">
        <v>10</v>
      </c>
    </row>
    <row r="9" customFormat="false" ht="21.75" hidden="false" customHeight="true" outlineLevel="0" collapsed="false">
      <c r="B9" s="4" t="s">
        <v>11</v>
      </c>
      <c r="C9" s="5" t="s">
        <v>12</v>
      </c>
    </row>
    <row r="10" customFormat="false" ht="15" hidden="false" customHeight="false" outlineLevel="0" collapsed="false">
      <c r="B10" s="3" t="s">
        <v>13</v>
      </c>
      <c r="C10" s="3"/>
    </row>
    <row r="11" customFormat="false" ht="37.5" hidden="false" customHeight="true" outlineLevel="0" collapsed="false">
      <c r="B11" s="6" t="s">
        <v>14</v>
      </c>
      <c r="C11" s="5" t="s">
        <v>15</v>
      </c>
    </row>
    <row r="12" customFormat="false" ht="21.75" hidden="false" customHeight="true" outlineLevel="0" collapsed="false">
      <c r="B12" s="6" t="s">
        <v>16</v>
      </c>
      <c r="C12" s="5" t="s">
        <v>17</v>
      </c>
    </row>
    <row r="13" customFormat="false" ht="37.5" hidden="false" customHeight="true" outlineLevel="0" collapsed="false">
      <c r="B13" s="6" t="s">
        <v>18</v>
      </c>
      <c r="C13" s="5" t="s">
        <v>19</v>
      </c>
    </row>
    <row r="14" customFormat="false" ht="37.5" hidden="false" customHeight="true" outlineLevel="0" collapsed="false">
      <c r="B14" s="6" t="s">
        <v>20</v>
      </c>
      <c r="C14" s="5" t="s">
        <v>21</v>
      </c>
    </row>
    <row r="15" customFormat="false" ht="15" hidden="false" customHeight="false" outlineLevel="0" collapsed="false">
      <c r="B15" s="3" t="s">
        <v>22</v>
      </c>
      <c r="C15" s="3"/>
    </row>
    <row r="16" customFormat="false" ht="37.5" hidden="false" customHeight="true" outlineLevel="0" collapsed="false">
      <c r="B16" s="6" t="s">
        <v>23</v>
      </c>
      <c r="C16" s="5" t="s">
        <v>24</v>
      </c>
    </row>
    <row r="17" customFormat="false" ht="21.75" hidden="false" customHeight="true" outlineLevel="0" collapsed="false">
      <c r="B17" s="6" t="s">
        <v>25</v>
      </c>
      <c r="C17" s="7" t="s">
        <v>26</v>
      </c>
    </row>
    <row r="18" customFormat="false" ht="69.75" hidden="false" customHeight="true" outlineLevel="0" collapsed="false">
      <c r="B18" s="6" t="s">
        <v>27</v>
      </c>
      <c r="C18" s="5" t="s">
        <v>28</v>
      </c>
    </row>
    <row r="19" customFormat="false" ht="54" hidden="false" customHeight="true" outlineLevel="0" collapsed="false">
      <c r="B19" s="6" t="s">
        <v>29</v>
      </c>
      <c r="C19" s="5" t="s">
        <v>30</v>
      </c>
    </row>
    <row r="20" customFormat="false" ht="21.75" hidden="false" customHeight="true" outlineLevel="0" collapsed="false">
      <c r="B20" s="6" t="s">
        <v>31</v>
      </c>
      <c r="C20" s="5" t="s">
        <v>32</v>
      </c>
    </row>
  </sheetData>
  <mergeCells count="4">
    <mergeCell ref="B2:C2"/>
    <mergeCell ref="B4:C4"/>
    <mergeCell ref="B10:C10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58"/>
  </cols>
  <sheetData>
    <row r="1" customFormat="false" ht="25.5" hidden="false" customHeight="true" outlineLevel="0" collapsed="false">
      <c r="B1" s="1" t="s">
        <v>33</v>
      </c>
    </row>
    <row r="2" customFormat="false" ht="15" hidden="false" customHeight="false" outlineLevel="0" collapsed="false">
      <c r="B2" s="8" t="s">
        <v>34</v>
      </c>
    </row>
    <row r="3" customFormat="false" ht="15" hidden="false" customHeight="false" outlineLevel="0" collapsed="false">
      <c r="B3" s="9" t="s">
        <v>35</v>
      </c>
    </row>
    <row r="5" customFormat="false" ht="15" hidden="false" customHeight="false" outlineLevel="0" collapsed="false">
      <c r="B5" s="3" t="s">
        <v>36</v>
      </c>
      <c r="C5" s="3"/>
      <c r="D5" s="3"/>
      <c r="F5" s="3" t="s">
        <v>37</v>
      </c>
      <c r="G5" s="3"/>
      <c r="H5" s="3"/>
    </row>
    <row r="6" customFormat="false" ht="24" hidden="false" customHeight="true" outlineLevel="0" collapsed="false">
      <c r="B6" s="10" t="s">
        <v>38</v>
      </c>
      <c r="C6" s="11" t="s">
        <v>39</v>
      </c>
      <c r="D6" s="12" t="s">
        <v>40</v>
      </c>
      <c r="F6" s="13" t="s">
        <v>41</v>
      </c>
      <c r="G6" s="14" t="str">
        <f aca="false">計算過程!$B$108</f>
        <v>申込可能</v>
      </c>
      <c r="H6" s="14"/>
    </row>
    <row r="7" customFormat="false" ht="15" hidden="false" customHeight="false" outlineLevel="0" collapsed="false">
      <c r="B7" s="10" t="s">
        <v>42</v>
      </c>
      <c r="C7" s="11" t="s">
        <v>43</v>
      </c>
      <c r="D7" s="12" t="s">
        <v>44</v>
      </c>
      <c r="F7" s="10" t="s">
        <v>45</v>
      </c>
      <c r="G7" s="15" t="str">
        <f aca="false">計算過程!$B$5</f>
        <v>普通貸付</v>
      </c>
    </row>
    <row r="8" customFormat="false" ht="15" hidden="false" customHeight="false" outlineLevel="0" collapsed="false">
      <c r="B8" s="10" t="s">
        <v>46</v>
      </c>
      <c r="C8" s="11" t="s">
        <v>47</v>
      </c>
      <c r="D8" s="12" t="s">
        <v>44</v>
      </c>
      <c r="F8" s="10" t="s">
        <v>48</v>
      </c>
      <c r="G8" s="15" t="str">
        <f aca="false">計算過程!$B$27</f>
        <v>14年7か月</v>
      </c>
      <c r="H8" s="12" t="s">
        <v>49</v>
      </c>
    </row>
    <row r="9" customFormat="false" ht="15" hidden="false" customHeight="false" outlineLevel="0" collapsed="false">
      <c r="B9" s="10" t="s">
        <v>50</v>
      </c>
      <c r="C9" s="11" t="s">
        <v>51</v>
      </c>
      <c r="D9" s="12" t="s">
        <v>52</v>
      </c>
      <c r="F9" s="10" t="s">
        <v>53</v>
      </c>
      <c r="G9" s="16" t="n">
        <f aca="false">計算過程!$B$24</f>
        <v>0.0126</v>
      </c>
      <c r="H9" s="12" t="s">
        <v>54</v>
      </c>
    </row>
    <row r="10" customFormat="false" ht="15" hidden="false" customHeight="false" outlineLevel="0" collapsed="false">
      <c r="B10" s="10" t="s">
        <v>55</v>
      </c>
      <c r="C10" s="17" t="n">
        <v>46328</v>
      </c>
      <c r="D10" s="12" t="s">
        <v>56</v>
      </c>
      <c r="F10" s="10" t="s">
        <v>57</v>
      </c>
      <c r="G10" s="18" t="n">
        <f aca="false">計算過程!$B$33</f>
        <v>1740000</v>
      </c>
      <c r="H10" s="12" t="s">
        <v>58</v>
      </c>
    </row>
    <row r="11" customFormat="false" ht="15" hidden="false" customHeight="false" outlineLevel="0" collapsed="false">
      <c r="B11" s="10" t="s">
        <v>59</v>
      </c>
      <c r="C11" s="17" t="n">
        <v>41000</v>
      </c>
      <c r="D11" s="12" t="s">
        <v>60</v>
      </c>
      <c r="F11" s="10" t="s">
        <v>61</v>
      </c>
      <c r="G11" s="18" t="n">
        <f aca="false">計算過程!$B$34</f>
        <v>0</v>
      </c>
    </row>
    <row r="12" customFormat="false" ht="15" hidden="false" customHeight="false" outlineLevel="0" collapsed="false">
      <c r="B12" s="10" t="s">
        <v>62</v>
      </c>
      <c r="C12" s="19" t="n">
        <v>290000</v>
      </c>
      <c r="D12" s="12" t="s">
        <v>63</v>
      </c>
      <c r="F12" s="10" t="s">
        <v>64</v>
      </c>
      <c r="G12" s="18" t="n">
        <f aca="false">計算過程!$B$43</f>
        <v>3312812.42092399</v>
      </c>
      <c r="H12" s="12" t="str">
        <f aca="false">"毎月償還額の上限 "&amp;TEXT(計算過程!$B$41,"#,##0")&amp;"円(今回分)で試算"</f>
        <v>毎月償還額の上限 57,000円(今回分)で試算</v>
      </c>
    </row>
    <row r="13" customFormat="false" ht="25.5" hidden="false" customHeight="true" outlineLevel="0" collapsed="false">
      <c r="B13" s="10" t="s">
        <v>65</v>
      </c>
      <c r="C13" s="17"/>
      <c r="D13" s="12" t="str">
        <f aca="false">IFERROR("基準日:"&amp;計算過程!$B$16&amp;"("&amp;計算過程!$B$15&amp;")","")</f>
        <v>基準日:自動車の登録(予定)日(自動車登録(名義変更)前で代金支払前)</v>
      </c>
      <c r="F13" s="13" t="s">
        <v>66</v>
      </c>
      <c r="G13" s="20" t="n">
        <f aca="false">計算過程!$B$44</f>
        <v>1740000</v>
      </c>
      <c r="H13" s="12" t="str">
        <f aca="false">"決定要因:"&amp;計算過程!$B$45</f>
        <v>決定要因:貸付限度額</v>
      </c>
    </row>
    <row r="14" customFormat="false" ht="15" hidden="false" customHeight="false" outlineLevel="0" collapsed="false">
      <c r="B14" s="10" t="s">
        <v>67</v>
      </c>
      <c r="C14" s="21" t="s">
        <v>68</v>
      </c>
      <c r="D14" s="12" t="s">
        <v>69</v>
      </c>
      <c r="F14" s="10" t="s">
        <v>70</v>
      </c>
      <c r="G14" s="18" t="n">
        <f aca="false">計算過程!$B$46</f>
        <v>1500000</v>
      </c>
      <c r="H14" s="12" t="s">
        <v>71</v>
      </c>
    </row>
    <row r="15" customFormat="false" ht="15" hidden="false" customHeight="false" outlineLevel="0" collapsed="false">
      <c r="B15" s="10" t="s">
        <v>72</v>
      </c>
      <c r="C15" s="21" t="s">
        <v>68</v>
      </c>
      <c r="D15" s="12" t="s">
        <v>69</v>
      </c>
      <c r="F15" s="10" t="s">
        <v>73</v>
      </c>
      <c r="G15" s="22" t="n">
        <f aca="false">計算過程!$B$51</f>
        <v>60</v>
      </c>
      <c r="H15" s="12" t="str">
        <f aca="false">"償還期間 "&amp;計算過程!$B$73</f>
        <v>償還期間 5年0か月</v>
      </c>
    </row>
    <row r="16" customFormat="false" ht="15" hidden="false" customHeight="false" outlineLevel="0" collapsed="false">
      <c r="B16" s="10" t="s">
        <v>74</v>
      </c>
      <c r="C16" s="23"/>
      <c r="D16" s="12" t="s">
        <v>75</v>
      </c>
      <c r="F16" s="13" t="s">
        <v>76</v>
      </c>
      <c r="G16" s="24" t="n">
        <f aca="false">計算過程!$B$54</f>
        <v>25809</v>
      </c>
      <c r="H16" s="12" t="s">
        <v>77</v>
      </c>
    </row>
    <row r="17" customFormat="false" ht="15" hidden="false" customHeight="false" outlineLevel="0" collapsed="false">
      <c r="B17" s="10" t="s">
        <v>78</v>
      </c>
      <c r="C17" s="25" t="n">
        <v>150</v>
      </c>
      <c r="D17" s="12" t="s">
        <v>79</v>
      </c>
      <c r="F17" s="10" t="s">
        <v>80</v>
      </c>
      <c r="G17" s="18" t="n">
        <f aca="false">計算過程!$B$57</f>
        <v>0</v>
      </c>
      <c r="H17" s="26" t="s">
        <v>81</v>
      </c>
    </row>
    <row r="18" customFormat="false" ht="15" hidden="false" customHeight="false" outlineLevel="0" collapsed="false">
      <c r="B18" s="10" t="s">
        <v>82</v>
      </c>
      <c r="C18" s="27" t="n">
        <v>60</v>
      </c>
      <c r="D18" s="12" t="s">
        <v>83</v>
      </c>
      <c r="F18" s="10" t="s">
        <v>84</v>
      </c>
      <c r="G18" s="28" t="n">
        <f aca="false">計算過程!$B$71</f>
        <v>46357</v>
      </c>
      <c r="H18" s="12" t="s">
        <v>85</v>
      </c>
    </row>
    <row r="19" customFormat="false" ht="15" hidden="false" customHeight="false" outlineLevel="0" collapsed="false">
      <c r="B19" s="10" t="s">
        <v>86</v>
      </c>
      <c r="C19" s="19"/>
      <c r="D19" s="12" t="s">
        <v>87</v>
      </c>
      <c r="F19" s="10" t="s">
        <v>88</v>
      </c>
      <c r="G19" s="28" t="n">
        <f aca="false">計算過程!$B$72</f>
        <v>48153</v>
      </c>
    </row>
    <row r="20" customFormat="false" ht="15" hidden="false" customHeight="false" outlineLevel="0" collapsed="false">
      <c r="B20" s="10" t="s">
        <v>25</v>
      </c>
      <c r="C20" s="21" t="s">
        <v>68</v>
      </c>
      <c r="D20" s="12" t="s">
        <v>89</v>
      </c>
      <c r="F20" s="10" t="s">
        <v>90</v>
      </c>
      <c r="G20" s="18" t="n">
        <f aca="false">計算過程!$B$58</f>
        <v>1548540</v>
      </c>
    </row>
    <row r="21" customFormat="false" ht="15" hidden="false" customHeight="false" outlineLevel="0" collapsed="false">
      <c r="B21" s="10" t="s">
        <v>91</v>
      </c>
      <c r="C21" s="25"/>
      <c r="D21" s="26" t="s">
        <v>92</v>
      </c>
      <c r="F21" s="10" t="s">
        <v>93</v>
      </c>
      <c r="G21" s="18" t="n">
        <f aca="false">計算過程!$B$59</f>
        <v>48540</v>
      </c>
    </row>
    <row r="22" customFormat="false" ht="15" hidden="false" customHeight="false" outlineLevel="0" collapsed="false">
      <c r="B22" s="10" t="s">
        <v>94</v>
      </c>
      <c r="C22" s="27"/>
      <c r="D22" s="26" t="s">
        <v>95</v>
      </c>
    </row>
    <row r="23" customFormat="false" ht="15" hidden="false" customHeight="false" outlineLevel="0" collapsed="false">
      <c r="B23" s="10" t="s">
        <v>96</v>
      </c>
      <c r="C23" s="25"/>
      <c r="D23" s="12" t="s">
        <v>97</v>
      </c>
      <c r="F23" s="3" t="s">
        <v>98</v>
      </c>
      <c r="G23" s="3"/>
      <c r="H23" s="3"/>
    </row>
    <row r="24" customFormat="false" ht="15" hidden="false" customHeight="false" outlineLevel="0" collapsed="false">
      <c r="B24" s="10" t="s">
        <v>99</v>
      </c>
      <c r="C24" s="29"/>
      <c r="D24" s="12" t="s">
        <v>100</v>
      </c>
      <c r="F24" s="10" t="s">
        <v>101</v>
      </c>
      <c r="G24" s="18" t="n">
        <f aca="false">計算過程!$B$60</f>
        <v>55809</v>
      </c>
      <c r="H24" s="26" t="s">
        <v>102</v>
      </c>
    </row>
    <row r="25" customFormat="false" ht="15" hidden="false" customHeight="false" outlineLevel="0" collapsed="false">
      <c r="F25" s="10" t="s">
        <v>103</v>
      </c>
      <c r="G25" s="18" t="n">
        <f aca="false">計算過程!$B$61</f>
        <v>0</v>
      </c>
    </row>
    <row r="26" customFormat="false" ht="15" hidden="false" customHeight="false" outlineLevel="0" collapsed="false">
      <c r="B26" s="3" t="s">
        <v>104</v>
      </c>
      <c r="C26" s="3"/>
      <c r="D26" s="3"/>
      <c r="F26" s="10" t="s">
        <v>105</v>
      </c>
      <c r="G26" s="18" t="n">
        <f aca="false">計算過程!$B$62</f>
        <v>290000</v>
      </c>
    </row>
    <row r="27" customFormat="false" ht="25.5" hidden="false" customHeight="true" outlineLevel="0" collapsed="false">
      <c r="B27" s="30" t="s">
        <v>106</v>
      </c>
      <c r="C27" s="19" t="n">
        <v>18000</v>
      </c>
      <c r="D27" s="12" t="s">
        <v>107</v>
      </c>
      <c r="F27" s="13" t="s">
        <v>108</v>
      </c>
      <c r="G27" s="31" t="n">
        <f aca="false">計算過程!$B$63</f>
        <v>0.192444827586207</v>
      </c>
      <c r="H27" s="12" t="str">
        <f aca="false">IF(計算過程!$B$96=1,"○ 30%以内","× 30%超")</f>
        <v>○ 30%以内</v>
      </c>
    </row>
    <row r="28" customFormat="false" ht="15" hidden="false" customHeight="false" outlineLevel="0" collapsed="false">
      <c r="B28" s="30" t="s">
        <v>109</v>
      </c>
      <c r="C28" s="19" t="n">
        <v>0</v>
      </c>
      <c r="F28" s="10" t="s">
        <v>110</v>
      </c>
      <c r="G28" s="18" t="n">
        <f aca="false">計算過程!$B$64</f>
        <v>669708</v>
      </c>
    </row>
    <row r="29" customFormat="false" ht="15" hidden="false" customHeight="false" outlineLevel="0" collapsed="false">
      <c r="B29" s="30" t="s">
        <v>111</v>
      </c>
      <c r="C29" s="19" t="n">
        <v>0</v>
      </c>
      <c r="F29" s="10" t="s">
        <v>112</v>
      </c>
      <c r="G29" s="18" t="n">
        <f aca="false">計算過程!$B$65</f>
        <v>4640000</v>
      </c>
    </row>
    <row r="30" customFormat="false" ht="15" hidden="false" customHeight="false" outlineLevel="0" collapsed="false">
      <c r="B30" s="30" t="s">
        <v>113</v>
      </c>
      <c r="C30" s="19" t="n">
        <v>0</v>
      </c>
      <c r="F30" s="13" t="s">
        <v>114</v>
      </c>
      <c r="G30" s="31" t="n">
        <f aca="false">計算過程!$B$66</f>
        <v>0.144333620689655</v>
      </c>
      <c r="H30" s="12" t="str">
        <f aca="false">IF(計算過程!$B$98=1,"○ 30%以内","× 30%超")</f>
        <v>○ 30%以内</v>
      </c>
    </row>
    <row r="31" customFormat="false" ht="15" hidden="false" customHeight="false" outlineLevel="0" collapsed="false">
      <c r="B31" s="30" t="s">
        <v>115</v>
      </c>
      <c r="C31" s="19" t="n">
        <v>12000</v>
      </c>
    </row>
    <row r="32" customFormat="false" ht="15" hidden="false" customHeight="false" outlineLevel="0" collapsed="false">
      <c r="B32" s="30" t="s">
        <v>116</v>
      </c>
      <c r="C32" s="19" t="n">
        <v>0</v>
      </c>
      <c r="F32" s="3" t="s">
        <v>117</v>
      </c>
      <c r="G32" s="3"/>
      <c r="H32" s="3"/>
    </row>
    <row r="33" customFormat="false" ht="25.5" hidden="false" customHeight="true" outlineLevel="0" collapsed="false">
      <c r="F33" s="10" t="s">
        <v>118</v>
      </c>
      <c r="G33" s="32" t="str">
        <f aca="false">CHOOSE(計算過程!$B$76+1,"×","○","△","－")</f>
        <v>○</v>
      </c>
      <c r="H33" s="33" t="str">
        <f aca="false">計算過程!$B$77</f>
        <v>貸付区分:普通貸付:自動車購入</v>
      </c>
    </row>
    <row r="34" customFormat="false" ht="25.5" hidden="false" customHeight="true" outlineLevel="0" collapsed="false">
      <c r="B34" s="3" t="s">
        <v>119</v>
      </c>
      <c r="C34" s="3"/>
      <c r="D34" s="3"/>
      <c r="F34" s="10" t="s">
        <v>120</v>
      </c>
      <c r="G34" s="32" t="str">
        <f aca="false">CHOOSE(計算過程!$B$78+1,"×","○","△","－")</f>
        <v>○</v>
      </c>
      <c r="H34" s="33" t="str">
        <f aca="false">計算過程!$B$79</f>
        <v>給料月額(手当等を含まない・部分休業等による減額後)</v>
      </c>
    </row>
    <row r="35" customFormat="false" ht="27.75" hidden="false" customHeight="true" outlineLevel="0" collapsed="false">
      <c r="B35" s="34" t="str">
        <f aca="false">IF(計算過程!$A$128="","","□ "&amp;計算過程!$A$128)</f>
        <v>□ 貸付申込書</v>
      </c>
      <c r="C35" s="34"/>
      <c r="D35" s="34"/>
      <c r="F35" s="10" t="s">
        <v>121</v>
      </c>
      <c r="G35" s="32" t="str">
        <f aca="false">CHOOSE(計算過程!$B$80+1,"×","○","△","－")</f>
        <v>○</v>
      </c>
      <c r="H35" s="33" t="str">
        <f aca="false">計算過程!$B$81</f>
        <v>組合員資格取得日から借受可(現在14年7か月)</v>
      </c>
    </row>
    <row r="36" customFormat="false" ht="27.75" hidden="false" customHeight="true" outlineLevel="0" collapsed="false">
      <c r="B36" s="34" t="str">
        <f aca="false">IF(計算過程!$A$129="","","□ "&amp;計算過程!$A$129)</f>
        <v>□ 貸付金借用証書(様式第4号・共済組合で配布)</v>
      </c>
      <c r="C36" s="34"/>
      <c r="D36" s="34"/>
      <c r="F36" s="10" t="s">
        <v>67</v>
      </c>
      <c r="G36" s="32" t="str">
        <f aca="false">CHOOSE(計算過程!$B$82+1,"×","○","△","－")</f>
        <v>○</v>
      </c>
      <c r="H36" s="33" t="str">
        <f aca="false">計算過程!$B$83</f>
        <v>貸付制限に該当しない</v>
      </c>
    </row>
    <row r="37" customFormat="false" ht="27.75" hidden="false" customHeight="true" outlineLevel="0" collapsed="false">
      <c r="B37" s="34" t="str">
        <f aca="false">IF(計算過程!$A$130="","","□ "&amp;計算過程!$A$130)</f>
        <v>□ 印鑑登録証明書(貸付金交付日前3か月以内に発行されたもの)</v>
      </c>
      <c r="C37" s="34"/>
      <c r="D37" s="34"/>
      <c r="F37" s="10" t="s">
        <v>122</v>
      </c>
      <c r="G37" s="32" t="str">
        <f aca="false">CHOOSE(計算過程!$B$84+1,"×","○","△","－")</f>
        <v>○</v>
      </c>
      <c r="H37" s="33" t="str">
        <f aca="false">計算過程!$B$85</f>
        <v>無給休職でない(育児休業は除く)</v>
      </c>
    </row>
    <row r="38" customFormat="false" ht="27.75" hidden="false" customHeight="true" outlineLevel="0" collapsed="false">
      <c r="B38" s="34" t="str">
        <f aca="false">IF(計算過程!$A$131="","","□ "&amp;計算過程!$A$131)</f>
        <v>□ 給与支払明細書(直近のもの)</v>
      </c>
      <c r="C38" s="34"/>
      <c r="D38" s="34"/>
      <c r="F38" s="10" t="s">
        <v>123</v>
      </c>
      <c r="G38" s="32" t="str">
        <f aca="false">CHOOSE(計算過程!$B$86+1,"×","○","△","－")</f>
        <v>－</v>
      </c>
      <c r="H38" s="33" t="str">
        <f aca="false">計算過程!$B$87</f>
        <v>申込時期:自動車登録(名義変更)前で代金支払前</v>
      </c>
    </row>
    <row r="39" customFormat="false" ht="27.75" hidden="false" customHeight="true" outlineLevel="0" collapsed="false">
      <c r="B39" s="34" t="str">
        <f aca="false">IF(計算過程!$A$132="","","□ "&amp;計算過程!$A$132)</f>
        <v>□ 借入状況等申告書</v>
      </c>
      <c r="C39" s="34"/>
      <c r="D39" s="34"/>
      <c r="F39" s="10" t="s">
        <v>124</v>
      </c>
      <c r="G39" s="32" t="str">
        <f aca="false">CHOOSE(計算過程!$B$88+1,"×","○","△","－")</f>
        <v>－</v>
      </c>
      <c r="H39" s="33" t="str">
        <f aca="false">計算過程!$B$89</f>
        <v>修学貸付のみ対象</v>
      </c>
    </row>
    <row r="40" customFormat="false" ht="27.75" hidden="false" customHeight="true" outlineLevel="0" collapsed="false">
      <c r="B40" s="34" t="str">
        <f aca="false">IF(計算過程!$A$133="","","□ "&amp;計算過程!$A$133)</f>
        <v>□ 【事由別】注文書(写)又は発注書(写)(見積書は不可)</v>
      </c>
      <c r="C40" s="34"/>
      <c r="D40" s="34"/>
      <c r="F40" s="10" t="s">
        <v>125</v>
      </c>
      <c r="G40" s="32" t="str">
        <f aca="false">CHOOSE(計算過程!$B$90+1,"×","○","△","－")</f>
        <v>○</v>
      </c>
      <c r="H40" s="33" t="str">
        <f aca="false">計算過程!$B$91</f>
        <v>申込金額は10万円以上・1万円単位(試算額:1,500,000円)</v>
      </c>
    </row>
    <row r="41" customFormat="false" ht="27.75" hidden="false" customHeight="true" outlineLevel="0" collapsed="false">
      <c r="B41" s="34" t="str">
        <f aca="false">IF(計算過程!$A$134="","","□ "&amp;計算過程!$A$134)</f>
        <v/>
      </c>
      <c r="C41" s="34"/>
      <c r="D41" s="34"/>
      <c r="F41" s="10" t="s">
        <v>126</v>
      </c>
      <c r="G41" s="32" t="str">
        <f aca="false">CHOOSE(計算過程!$B$92+1,"×","○","△","－")</f>
        <v>○</v>
      </c>
      <c r="H41" s="33" t="str">
        <f aca="false">計算過程!$B$93</f>
        <v>貸付限度額 1,740,000円(うち在宅介護加算 0円)</v>
      </c>
    </row>
    <row r="42" customFormat="false" ht="27.75" hidden="false" customHeight="true" outlineLevel="0" collapsed="false">
      <c r="B42" s="34" t="str">
        <f aca="false">IF(計算過程!$A$135="","","□ "&amp;計算過程!$A$135)</f>
        <v/>
      </c>
      <c r="C42" s="34"/>
      <c r="D42" s="34"/>
      <c r="F42" s="10" t="s">
        <v>73</v>
      </c>
      <c r="G42" s="32" t="str">
        <f aca="false">CHOOSE(計算過程!$B$94+1,"×","○","△","－")</f>
        <v>○</v>
      </c>
      <c r="H42" s="33" t="str">
        <f aca="false">計算過程!$B$95</f>
        <v>償還回数 60回(上限120回)</v>
      </c>
    </row>
    <row r="43" customFormat="false" ht="27.75" hidden="false" customHeight="true" outlineLevel="0" collapsed="false">
      <c r="B43" s="34" t="str">
        <f aca="false">IF(計算過程!$A$136="","","□ "&amp;計算過程!$A$136)</f>
        <v/>
      </c>
      <c r="C43" s="34"/>
      <c r="D43" s="34"/>
      <c r="F43" s="10" t="s">
        <v>127</v>
      </c>
      <c r="G43" s="32" t="str">
        <f aca="false">CHOOSE(計算過程!$B$96+1,"×","○","△","－")</f>
        <v>○</v>
      </c>
      <c r="H43" s="33" t="str">
        <f aca="false">計算過程!$B$97</f>
        <v>毎月償還額÷給料月額=19.2%(上限30%・他の金融機関等を含む)</v>
      </c>
    </row>
    <row r="44" customFormat="false" ht="27.75" hidden="false" customHeight="true" outlineLevel="0" collapsed="false">
      <c r="B44" s="34" t="str">
        <f aca="false">IF(計算過程!$A$137="","","□ "&amp;計算過程!$A$137)</f>
        <v/>
      </c>
      <c r="C44" s="34"/>
      <c r="D44" s="34"/>
      <c r="F44" s="10" t="s">
        <v>128</v>
      </c>
      <c r="G44" s="32" t="str">
        <f aca="false">CHOOSE(計算過程!$B$98+1,"×","○","△","－")</f>
        <v>○</v>
      </c>
      <c r="H44" s="33" t="str">
        <f aca="false">計算過程!$B$99</f>
        <v>年間償還額÷年収額=14.4%(上限30%・他の金融機関等を含む)</v>
      </c>
    </row>
    <row r="45" customFormat="false" ht="27.75" hidden="false" customHeight="true" outlineLevel="0" collapsed="false">
      <c r="B45" s="34" t="str">
        <f aca="false">IF(計算過程!$A$138="","","□ "&amp;計算過程!$A$138)</f>
        <v/>
      </c>
      <c r="C45" s="34"/>
      <c r="D45" s="34"/>
      <c r="F45" s="10" t="s">
        <v>129</v>
      </c>
      <c r="G45" s="32" t="str">
        <f aca="false">CHOOSE(計算過程!$B$100+1,"×","○","△","－")</f>
        <v>－</v>
      </c>
      <c r="H45" s="33" t="str">
        <f aca="false">計算過程!$B$101</f>
        <v>ボーナス併用なし</v>
      </c>
    </row>
    <row r="46" customFormat="false" ht="27.75" hidden="false" customHeight="true" outlineLevel="0" collapsed="false">
      <c r="B46" s="34" t="str">
        <f aca="false">IF(計算過程!$A$139="","","□ "&amp;計算過程!$A$139)</f>
        <v/>
      </c>
      <c r="C46" s="34"/>
      <c r="D46" s="34"/>
      <c r="F46" s="10" t="s">
        <v>130</v>
      </c>
      <c r="G46" s="32" t="str">
        <f aca="false">CHOOSE(計算過程!$B$102+1,"×","○","△","－")</f>
        <v>－</v>
      </c>
      <c r="H46" s="33" t="str">
        <f aca="false">計算過程!$B$103</f>
        <v>住宅書類の区分を選択済み/対象外</v>
      </c>
    </row>
    <row r="47" customFormat="false" ht="27.75" hidden="false" customHeight="true" outlineLevel="0" collapsed="false">
      <c r="B47" s="34" t="str">
        <f aca="false">IF(計算過程!$A$140="","","□ "&amp;計算過程!$A$140)</f>
        <v/>
      </c>
      <c r="C47" s="34"/>
      <c r="D47" s="34"/>
      <c r="F47" s="10" t="s">
        <v>131</v>
      </c>
      <c r="G47" s="32" t="str">
        <f aca="false">CHOOSE(計算過程!$B$104+1,"×","○","△","－")</f>
        <v>－</v>
      </c>
      <c r="H47" s="33" t="str">
        <f aca="false">計算過程!$B$105</f>
        <v>在宅介護対応の加算なし</v>
      </c>
    </row>
    <row r="48" customFormat="false" ht="27.75" hidden="false" customHeight="true" outlineLevel="0" collapsed="false">
      <c r="B48" s="34" t="str">
        <f aca="false">IF(計算過程!$A$141="","","□ "&amp;計算過程!$A$141)</f>
        <v/>
      </c>
      <c r="C48" s="34"/>
      <c r="D48" s="34"/>
    </row>
    <row r="49" customFormat="false" ht="27.75" hidden="false" customHeight="true" outlineLevel="0" collapsed="false">
      <c r="B49" s="34" t="str">
        <f aca="false">IF(計算過程!$A$142="","","□ "&amp;計算過程!$A$142)</f>
        <v/>
      </c>
      <c r="C49" s="34"/>
      <c r="D49" s="34"/>
      <c r="F49" s="3" t="s">
        <v>132</v>
      </c>
      <c r="G49" s="3"/>
      <c r="H49" s="3"/>
    </row>
    <row r="50" customFormat="false" ht="27.75" hidden="false" customHeight="true" outlineLevel="0" collapsed="false">
      <c r="B50" s="34" t="str">
        <f aca="false">IF(計算過程!$A$143="","","□ "&amp;計算過程!$A$143)</f>
        <v/>
      </c>
      <c r="C50" s="34"/>
      <c r="D50" s="34"/>
      <c r="F50" s="10" t="s">
        <v>133</v>
      </c>
      <c r="G50" s="35" t="n">
        <f aca="false">計算過程!$B$69</f>
        <v>46331</v>
      </c>
      <c r="H50" s="12" t="s">
        <v>134</v>
      </c>
    </row>
    <row r="51" customFormat="false" ht="27.75" hidden="false" customHeight="true" outlineLevel="0" collapsed="false">
      <c r="F51" s="10" t="s">
        <v>135</v>
      </c>
      <c r="G51" s="36" t="str">
        <f aca="false">IFERROR(INDEX(マスタ!$B$85:$B$87,MATCH(申込シミュレーション!$C$6,マスタ!$A$85:$A$87,0)),"所属区分を選択してください")</f>
        <v>共済組合(庶務係)へ直接提出してください。</v>
      </c>
      <c r="H51" s="36"/>
    </row>
    <row r="52" customFormat="false" ht="27.75" hidden="false" customHeight="true" outlineLevel="0" collapsed="false">
      <c r="B52" s="3" t="s">
        <v>136</v>
      </c>
      <c r="C52" s="3"/>
      <c r="D52" s="3"/>
      <c r="F52" s="10" t="s">
        <v>137</v>
      </c>
      <c r="G52" s="36" t="str">
        <f aca="false">計算過程!$B$22</f>
        <v>締切日の同月10日頃</v>
      </c>
      <c r="H52" s="36"/>
    </row>
    <row r="53" customFormat="false" ht="27.75" hidden="false" customHeight="true" outlineLevel="0" collapsed="false">
      <c r="B53" s="34" t="str">
        <f aca="false">IF(計算過程!$A$156="","","□ "&amp;計算過程!$A$156)</f>
        <v>□ 完了届(自動車検査証(写)及び自動車検査証記録事項(写)を添付)</v>
      </c>
      <c r="C53" s="34"/>
      <c r="D53" s="34"/>
      <c r="F53" s="10" t="s">
        <v>138</v>
      </c>
      <c r="G53" s="35" t="n">
        <f aca="false">計算過程!$B$70</f>
        <v>46356</v>
      </c>
      <c r="H53" s="12" t="s">
        <v>139</v>
      </c>
    </row>
    <row r="54" customFormat="false" ht="27.75" hidden="false" customHeight="true" outlineLevel="0" collapsed="false">
      <c r="B54" s="34" t="str">
        <f aca="false">IF(計算過程!$A$157="","","□ "&amp;計算過程!$A$157)</f>
        <v/>
      </c>
      <c r="C54" s="34"/>
      <c r="D54" s="34"/>
      <c r="F54" s="10" t="s">
        <v>140</v>
      </c>
      <c r="G54" s="35" t="n">
        <f aca="false">計算過程!$B$74</f>
        <v>46417</v>
      </c>
      <c r="H54" s="12" t="s">
        <v>141</v>
      </c>
    </row>
    <row r="55" customFormat="false" ht="27.75" hidden="false" customHeight="true" outlineLevel="0" collapsed="false">
      <c r="B55" s="34" t="str">
        <f aca="false">IF(計算過程!$A$158="","","□ "&amp;計算過程!$A$158)</f>
        <v/>
      </c>
      <c r="C55" s="34"/>
      <c r="D55" s="34"/>
    </row>
    <row r="56" customFormat="false" ht="27.75" hidden="false" customHeight="true" outlineLevel="0" collapsed="false">
      <c r="B56" s="34" t="str">
        <f aca="false">IF(計算過程!$A$159="","","□ "&amp;計算過程!$A$159)</f>
        <v/>
      </c>
      <c r="C56" s="34"/>
      <c r="D56" s="34"/>
    </row>
    <row r="57" customFormat="false" ht="27.75" hidden="false" customHeight="true" outlineLevel="0" collapsed="false">
      <c r="B57" s="34" t="str">
        <f aca="false">IF(計算過程!$A$160="","","□ "&amp;計算過程!$A$160)</f>
        <v/>
      </c>
      <c r="C57" s="34"/>
      <c r="D57" s="34"/>
    </row>
    <row r="58" customFormat="false" ht="27.75" hidden="false" customHeight="true" outlineLevel="0" collapsed="false">
      <c r="B58" s="34" t="str">
        <f aca="false">IF(計算過程!$A$161="","","□ "&amp;計算過程!$A$161)</f>
        <v/>
      </c>
      <c r="C58" s="34"/>
      <c r="D58" s="34"/>
    </row>
    <row r="59" customFormat="false" ht="27.75" hidden="false" customHeight="true" outlineLevel="0" collapsed="false">
      <c r="B59" s="34" t="str">
        <f aca="false">IF(計算過程!$A$162="","","□ "&amp;計算過程!$A$162)</f>
        <v/>
      </c>
      <c r="C59" s="34"/>
      <c r="D59" s="34"/>
    </row>
    <row r="60" customFormat="false" ht="27.75" hidden="false" customHeight="true" outlineLevel="0" collapsed="false">
      <c r="B60" s="34" t="str">
        <f aca="false">IF(計算過程!$A$163="","","□ "&amp;計算過程!$A$163)</f>
        <v/>
      </c>
      <c r="C60" s="34"/>
      <c r="D60" s="34"/>
    </row>
  </sheetData>
  <mergeCells count="35">
    <mergeCell ref="B5:D5"/>
    <mergeCell ref="F5:H5"/>
    <mergeCell ref="G6:H6"/>
    <mergeCell ref="F23:H23"/>
    <mergeCell ref="B26:D26"/>
    <mergeCell ref="F32:H32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F49:H49"/>
    <mergeCell ref="B50:D50"/>
    <mergeCell ref="G51:H51"/>
    <mergeCell ref="B52:D52"/>
    <mergeCell ref="G52:H52"/>
    <mergeCell ref="B53:D53"/>
    <mergeCell ref="B54:D54"/>
    <mergeCell ref="B55:D55"/>
    <mergeCell ref="B56:D56"/>
    <mergeCell ref="B57:D57"/>
    <mergeCell ref="B58:D58"/>
    <mergeCell ref="B59:D59"/>
    <mergeCell ref="B60:D60"/>
  </mergeCells>
  <conditionalFormatting sqref="G33:G47">
    <cfRule type="expression" priority="2" aboveAverage="0" equalAverage="0" bottom="0" percent="0" rank="0" text="" dxfId="0">
      <formula>G33="×"</formula>
    </cfRule>
    <cfRule type="expression" priority="3" aboveAverage="0" equalAverage="0" bottom="0" percent="0" rank="0" text="" dxfId="1">
      <formula>G33="○"</formula>
    </cfRule>
    <cfRule type="expression" priority="4" aboveAverage="0" equalAverage="0" bottom="0" percent="0" rank="0" text="" dxfId="2">
      <formula>G33="△"</formula>
    </cfRule>
  </conditionalFormatting>
  <conditionalFormatting sqref="G6:H6">
    <cfRule type="expression" priority="5" aboveAverage="0" equalAverage="0" bottom="0" percent="0" rank="0" text="" dxfId="3">
      <formula>LEFT($G$6,4)="申込不可"</formula>
    </cfRule>
    <cfRule type="expression" priority="6" aboveAverage="0" equalAverage="0" bottom="0" percent="0" rank="0" text="" dxfId="4">
      <formula>$G$6="申込可能"</formula>
    </cfRule>
    <cfRule type="expression" priority="7" aboveAverage="0" equalAverage="0" bottom="0" percent="0" rank="0" text="" dxfId="5">
      <formula>LEFT($G$6,6)="申込可能(△"</formula>
    </cfRule>
  </conditionalFormatting>
  <dataValidations count="6">
    <dataValidation allowBlank="true" errorStyle="stop" operator="between" showDropDown="false" showErrorMessage="false" showInputMessage="false" sqref="C6" type="list">
      <formula1>マスタ!$A$85:$A$87</formula1>
      <formula2>0</formula2>
    </dataValidation>
    <dataValidation allowBlank="false" errorStyle="stop" operator="between" showDropDown="false" showErrorMessage="false" showInputMessage="false" sqref="C9" type="list">
      <formula1>マスタ!$A$22:$A$39</formula1>
      <formula2>0</formula2>
    </dataValidation>
    <dataValidation allowBlank="false" errorStyle="stop" operator="between" showDropDown="false" showErrorMessage="false" showInputMessage="false" sqref="C14:C15 C20" type="list">
      <formula1>"有,無"</formula1>
      <formula2>0</formula2>
    </dataValidation>
    <dataValidation allowBlank="true" errorStyle="stop" operator="between" showDropDown="false" showErrorMessage="false" showInputMessage="false" sqref="C24" type="list">
      <formula1>マスタ!$B$53:$H$53</formula1>
      <formula2>0</formula2>
    </dataValidation>
    <dataValidation allowBlank="true" error="日付を入力してください(例 2026/11/2)" errorStyle="stop" operator="greaterThan" showDropDown="false" showErrorMessage="true" showInputMessage="false" sqref="C10:C11 C13" type="date">
      <formula1>36526</formula1>
      <formula2>0</formula2>
    </dataValidation>
    <dataValidation allowBlank="true" error="0以上の数値を入力してください" errorStyle="stop" operator="greaterThanOrEqual" showDropDown="false" showErrorMessage="true" showInputMessage="false" sqref="C12 C16:C19 C21:C23 C27:C3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20"/>
  </cols>
  <sheetData>
    <row r="1" customFormat="false" ht="15" hidden="false" customHeight="false" outlineLevel="0" collapsed="false">
      <c r="B1" s="37" t="s">
        <v>142</v>
      </c>
    </row>
    <row r="3" customFormat="false" ht="15" hidden="false" customHeight="false" outlineLevel="0" collapsed="false">
      <c r="B3" s="38" t="str">
        <f aca="true">"令和"&amp;(YEAR(TODAY())-2018)&amp;"年"&amp;MONTH(TODAY())&amp;"月"&amp;DAY(TODAY())&amp;"日"</f>
        <v>令和8年10月19日</v>
      </c>
      <c r="C3" s="38"/>
      <c r="D3" s="38"/>
      <c r="E3" s="38"/>
      <c r="F3" s="38"/>
      <c r="G3" s="38"/>
    </row>
    <row r="5" customFormat="false" ht="17.15" hidden="false" customHeight="false" outlineLevel="0" collapsed="false">
      <c r="B5" s="39" t="str">
        <f aca="false">IF(申込シミュレーション!$C$7="","(所属名)",申込シミュレーション!$C$7)&amp;"　"&amp;IF(申込シミュレーション!$C$8="","(氏名)",申込シミュレーション!$C$8)&amp;"　様"</f>
        <v>○○局○○課　広島 太郎　様</v>
      </c>
      <c r="C5" s="39"/>
      <c r="D5" s="39"/>
      <c r="E5" s="39"/>
      <c r="F5" s="39"/>
      <c r="G5" s="39"/>
    </row>
    <row r="7" customFormat="false" ht="15" hidden="false" customHeight="true" outlineLevel="0" collapsed="false">
      <c r="B7" s="40" t="s">
        <v>143</v>
      </c>
      <c r="C7" s="40"/>
      <c r="D7" s="40"/>
      <c r="E7" s="40"/>
      <c r="F7" s="40"/>
      <c r="G7" s="40"/>
    </row>
    <row r="8" customFormat="false" ht="15" hidden="false" customHeight="true" outlineLevel="0" collapsed="false">
      <c r="B8" s="41" t="s">
        <v>144</v>
      </c>
      <c r="C8" s="41"/>
      <c r="D8" s="41"/>
      <c r="E8" s="41"/>
      <c r="F8" s="41"/>
      <c r="G8" s="41"/>
    </row>
    <row r="10" customFormat="false" ht="24" hidden="false" customHeight="true" outlineLevel="0" collapsed="false">
      <c r="B10" s="42" t="str">
        <f aca="false">"貸付申込書類の送付について("&amp;申込シミュレーション!$C$9&amp;")"</f>
        <v>貸付申込書類の送付について(普通貸付:自動車購入)</v>
      </c>
      <c r="C10" s="42"/>
      <c r="D10" s="42"/>
      <c r="E10" s="42"/>
      <c r="F10" s="42"/>
      <c r="G10" s="42"/>
    </row>
    <row r="12" customFormat="false" ht="33.75" hidden="false" customHeight="true" outlineLevel="0" collapsed="false">
      <c r="B12" s="43" t="s">
        <v>145</v>
      </c>
      <c r="C12" s="43"/>
      <c r="D12" s="43"/>
      <c r="E12" s="43"/>
      <c r="F12" s="43"/>
      <c r="G12" s="43"/>
    </row>
    <row r="14" customFormat="false" ht="15" hidden="false" customHeight="true" outlineLevel="0" collapsed="false">
      <c r="B14" s="44" t="s">
        <v>146</v>
      </c>
      <c r="C14" s="44"/>
      <c r="D14" s="44"/>
      <c r="E14" s="44"/>
      <c r="F14" s="44"/>
      <c r="G14" s="44"/>
    </row>
    <row r="15" customFormat="false" ht="15" hidden="false" customHeight="false" outlineLevel="0" collapsed="false">
      <c r="B15" s="45" t="s">
        <v>147</v>
      </c>
    </row>
    <row r="16" customFormat="false" ht="15" hidden="false" customHeight="false" outlineLevel="0" collapsed="false">
      <c r="B16" s="10" t="s">
        <v>118</v>
      </c>
      <c r="C16" s="15" t="str">
        <f aca="false">申込シミュレーション!$C$9</f>
        <v>普通貸付:自動車購入</v>
      </c>
      <c r="D16" s="15"/>
      <c r="E16" s="15"/>
      <c r="F16" s="15"/>
      <c r="G16" s="15"/>
    </row>
    <row r="17" customFormat="false" ht="15" hidden="false" customHeight="false" outlineLevel="0" collapsed="false">
      <c r="B17" s="10" t="s">
        <v>148</v>
      </c>
      <c r="C17" s="15" t="str">
        <f aca="false">TEXT(計算過程!$B$46,"#,##0")&amp;"円"</f>
        <v>1,500,000円</v>
      </c>
      <c r="D17" s="15"/>
      <c r="E17" s="15"/>
      <c r="F17" s="15"/>
      <c r="G17" s="15"/>
    </row>
    <row r="18" customFormat="false" ht="15" hidden="false" customHeight="false" outlineLevel="0" collapsed="false">
      <c r="B18" s="10" t="s">
        <v>53</v>
      </c>
      <c r="C18" s="15" t="str">
        <f aca="false">TEXT(計算過程!$B$24,"0.00%")&amp;"(変動利率)"</f>
        <v>1.26%(変動利率)</v>
      </c>
      <c r="D18" s="15"/>
      <c r="E18" s="15"/>
      <c r="F18" s="15"/>
      <c r="G18" s="15"/>
    </row>
    <row r="19" customFormat="false" ht="15" hidden="false" customHeight="false" outlineLevel="0" collapsed="false">
      <c r="B19" s="10" t="s">
        <v>149</v>
      </c>
      <c r="C19" s="15" t="str">
        <f aca="false">計算過程!$B$51&amp;"回("&amp;計算過程!$B$73&amp;")"</f>
        <v>60回(5年0か月)</v>
      </c>
      <c r="D19" s="15"/>
      <c r="E19" s="15"/>
      <c r="F19" s="15"/>
      <c r="G19" s="15"/>
    </row>
    <row r="20" customFormat="false" ht="15" hidden="false" customHeight="false" outlineLevel="0" collapsed="false">
      <c r="B20" s="10" t="s">
        <v>150</v>
      </c>
      <c r="C20" s="15" t="str">
        <f aca="false">TEXT(計算過程!$B$54,"#,##0")&amp;"円"&amp;IF(計算過程!$B$57&gt;0," / ボーナス償還額(1回) "&amp;TEXT(計算過程!$B$57,"#,##0")&amp;"円","")</f>
        <v>25,809円</v>
      </c>
      <c r="D20" s="15"/>
      <c r="E20" s="15"/>
      <c r="F20" s="15"/>
      <c r="G20" s="15"/>
    </row>
    <row r="21" customFormat="false" ht="15" hidden="false" customHeight="false" outlineLevel="0" collapsed="false">
      <c r="B21" s="10" t="s">
        <v>84</v>
      </c>
      <c r="C21" s="15" t="str">
        <f aca="false">IF(計算過程!$B$71="","","令和"&amp;(YEAR(計算過程!$B$71)-2018)&amp;"年"&amp;MONTH(計算過程!$B$71)&amp;"月分の給与から")</f>
        <v>令和8年12月分の給与から</v>
      </c>
      <c r="D21" s="15"/>
      <c r="E21" s="15"/>
      <c r="F21" s="15"/>
      <c r="G21" s="15"/>
    </row>
    <row r="23" customFormat="false" ht="15" hidden="false" customHeight="false" outlineLevel="0" collapsed="false">
      <c r="B23" s="45" t="s">
        <v>151</v>
      </c>
    </row>
    <row r="24" customFormat="false" ht="15" hidden="false" customHeight="false" outlineLevel="0" collapsed="false">
      <c r="B24" s="10" t="s">
        <v>133</v>
      </c>
      <c r="C24" s="15" t="str">
        <f aca="false">IF(計算過程!$B$69="","","令和"&amp;(YEAR(計算過程!$B$69)-2018)&amp;"年"&amp;MONTH(計算過程!$B$69)&amp;"月"&amp;DAY(計算過程!$B$69)&amp;"日")</f>
        <v>令和8年11月5日</v>
      </c>
      <c r="D24" s="15"/>
      <c r="E24" s="15"/>
      <c r="F24" s="15"/>
      <c r="G24" s="15"/>
    </row>
    <row r="25" customFormat="false" ht="30" hidden="false" customHeight="true" outlineLevel="0" collapsed="false">
      <c r="B25" s="10" t="s">
        <v>135</v>
      </c>
      <c r="C25" s="46" t="str">
        <f aca="false">IFERROR(INDEX(マスタ!$B$85:$B$87,MATCH(申込シミュレーション!$C$6,マスタ!$A$85:$A$87,0)),"")</f>
        <v>共済組合(庶務係)へ直接提出してください。</v>
      </c>
      <c r="D25" s="46"/>
      <c r="E25" s="46"/>
      <c r="F25" s="46"/>
      <c r="G25" s="46"/>
    </row>
    <row r="26" customFormat="false" ht="15" hidden="false" customHeight="false" outlineLevel="0" collapsed="false">
      <c r="B26" s="10" t="s">
        <v>152</v>
      </c>
      <c r="C26" s="15" t="str">
        <f aca="false">IF(計算過程!$B$70="","","令和"&amp;(YEAR(計算過程!$B$70)-2018)&amp;"年"&amp;MONTH(計算過程!$B$70)&amp;"月"&amp;DAY(計算過程!$B$70)&amp;"日")</f>
        <v>令和8年11月30日</v>
      </c>
      <c r="D26" s="15"/>
      <c r="E26" s="15"/>
      <c r="F26" s="15"/>
      <c r="G26" s="15"/>
    </row>
    <row r="28" customFormat="false" ht="15" hidden="false" customHeight="false" outlineLevel="0" collapsed="false">
      <c r="B28" s="45" t="s">
        <v>153</v>
      </c>
    </row>
    <row r="29" customFormat="false" ht="30" hidden="false" customHeight="true" outlineLevel="0" collapsed="false">
      <c r="B29" s="34" t="str">
        <f aca="false">IF(計算過程!$A$128="","","□ "&amp;計算過程!$A$128)</f>
        <v>□ 貸付申込書</v>
      </c>
      <c r="C29" s="34"/>
      <c r="D29" s="34"/>
      <c r="E29" s="34"/>
      <c r="F29" s="34"/>
      <c r="G29" s="34"/>
    </row>
    <row r="30" customFormat="false" ht="30" hidden="false" customHeight="true" outlineLevel="0" collapsed="false">
      <c r="B30" s="34" t="str">
        <f aca="false">IF(計算過程!$A$129="","","□ "&amp;計算過程!$A$129)</f>
        <v>□ 貸付金借用証書(様式第4号・共済組合で配布)</v>
      </c>
      <c r="C30" s="34"/>
      <c r="D30" s="34"/>
      <c r="E30" s="34"/>
      <c r="F30" s="34"/>
      <c r="G30" s="34"/>
    </row>
    <row r="31" customFormat="false" ht="30" hidden="false" customHeight="true" outlineLevel="0" collapsed="false">
      <c r="B31" s="34" t="str">
        <f aca="false">IF(計算過程!$A$130="","","□ "&amp;計算過程!$A$130)</f>
        <v>□ 印鑑登録証明書(貸付金交付日前3か月以内に発行されたもの)</v>
      </c>
      <c r="C31" s="34"/>
      <c r="D31" s="34"/>
      <c r="E31" s="34"/>
      <c r="F31" s="34"/>
      <c r="G31" s="34"/>
    </row>
    <row r="32" customFormat="false" ht="30" hidden="false" customHeight="true" outlineLevel="0" collapsed="false">
      <c r="B32" s="34" t="str">
        <f aca="false">IF(計算過程!$A$131="","","□ "&amp;計算過程!$A$131)</f>
        <v>□ 給与支払明細書(直近のもの)</v>
      </c>
      <c r="C32" s="34"/>
      <c r="D32" s="34"/>
      <c r="E32" s="34"/>
      <c r="F32" s="34"/>
      <c r="G32" s="34"/>
    </row>
    <row r="33" customFormat="false" ht="30" hidden="false" customHeight="true" outlineLevel="0" collapsed="false">
      <c r="B33" s="34" t="str">
        <f aca="false">IF(計算過程!$A$132="","","□ "&amp;計算過程!$A$132)</f>
        <v>□ 借入状況等申告書</v>
      </c>
      <c r="C33" s="34"/>
      <c r="D33" s="34"/>
      <c r="E33" s="34"/>
      <c r="F33" s="34"/>
      <c r="G33" s="34"/>
    </row>
    <row r="34" customFormat="false" ht="30" hidden="false" customHeight="true" outlineLevel="0" collapsed="false">
      <c r="B34" s="34" t="str">
        <f aca="false">IF(計算過程!$A$133="","","□ "&amp;計算過程!$A$133)</f>
        <v>□ 【事由別】注文書(写)又は発注書(写)(見積書は不可)</v>
      </c>
      <c r="C34" s="34"/>
      <c r="D34" s="34"/>
      <c r="E34" s="34"/>
      <c r="F34" s="34"/>
      <c r="G34" s="34"/>
    </row>
    <row r="35" customFormat="false" ht="30" hidden="false" customHeight="true" outlineLevel="0" collapsed="false">
      <c r="B35" s="34" t="str">
        <f aca="false">IF(計算過程!$A$134="","","□ "&amp;計算過程!$A$134)</f>
        <v/>
      </c>
      <c r="C35" s="34"/>
      <c r="D35" s="34"/>
      <c r="E35" s="34"/>
      <c r="F35" s="34"/>
      <c r="G35" s="34"/>
    </row>
    <row r="36" customFormat="false" ht="30" hidden="false" customHeight="true" outlineLevel="0" collapsed="false">
      <c r="B36" s="34" t="str">
        <f aca="false">IF(計算過程!$A$135="","","□ "&amp;計算過程!$A$135)</f>
        <v/>
      </c>
      <c r="C36" s="34"/>
      <c r="D36" s="34"/>
      <c r="E36" s="34"/>
      <c r="F36" s="34"/>
      <c r="G36" s="34"/>
    </row>
    <row r="37" customFormat="false" ht="30" hidden="false" customHeight="true" outlineLevel="0" collapsed="false">
      <c r="B37" s="34" t="str">
        <f aca="false">IF(計算過程!$A$136="","","□ "&amp;計算過程!$A$136)</f>
        <v/>
      </c>
      <c r="C37" s="34"/>
      <c r="D37" s="34"/>
      <c r="E37" s="34"/>
      <c r="F37" s="34"/>
      <c r="G37" s="34"/>
    </row>
    <row r="38" customFormat="false" ht="30" hidden="false" customHeight="true" outlineLevel="0" collapsed="false">
      <c r="B38" s="34" t="str">
        <f aca="false">IF(計算過程!$A$137="","","□ "&amp;計算過程!$A$137)</f>
        <v/>
      </c>
      <c r="C38" s="34"/>
      <c r="D38" s="34"/>
      <c r="E38" s="34"/>
      <c r="F38" s="34"/>
      <c r="G38" s="34"/>
    </row>
    <row r="39" customFormat="false" ht="30" hidden="false" customHeight="true" outlineLevel="0" collapsed="false">
      <c r="B39" s="34" t="str">
        <f aca="false">IF(計算過程!$A$138="","","□ "&amp;計算過程!$A$138)</f>
        <v/>
      </c>
      <c r="C39" s="34"/>
      <c r="D39" s="34"/>
      <c r="E39" s="34"/>
      <c r="F39" s="34"/>
      <c r="G39" s="34"/>
    </row>
    <row r="40" customFormat="false" ht="30" hidden="false" customHeight="true" outlineLevel="0" collapsed="false">
      <c r="B40" s="34" t="str">
        <f aca="false">IF(計算過程!$A$139="","","□ "&amp;計算過程!$A$139)</f>
        <v/>
      </c>
      <c r="C40" s="34"/>
      <c r="D40" s="34"/>
      <c r="E40" s="34"/>
      <c r="F40" s="34"/>
      <c r="G40" s="34"/>
    </row>
    <row r="41" customFormat="false" ht="30" hidden="false" customHeight="true" outlineLevel="0" collapsed="false">
      <c r="B41" s="34" t="str">
        <f aca="false">IF(計算過程!$A$140="","","□ "&amp;計算過程!$A$140)</f>
        <v/>
      </c>
      <c r="C41" s="34"/>
      <c r="D41" s="34"/>
      <c r="E41" s="34"/>
      <c r="F41" s="34"/>
      <c r="G41" s="34"/>
    </row>
    <row r="42" customFormat="false" ht="30" hidden="false" customHeight="true" outlineLevel="0" collapsed="false">
      <c r="B42" s="34" t="str">
        <f aca="false">IF(計算過程!$A$141="","","□ "&amp;計算過程!$A$141)</f>
        <v/>
      </c>
      <c r="C42" s="34"/>
      <c r="D42" s="34"/>
      <c r="E42" s="34"/>
      <c r="F42" s="34"/>
      <c r="G42" s="34"/>
    </row>
    <row r="43" customFormat="false" ht="30" hidden="false" customHeight="true" outlineLevel="0" collapsed="false">
      <c r="B43" s="34" t="str">
        <f aca="false">IF(計算過程!$A$142="","","□ "&amp;計算過程!$A$142)</f>
        <v/>
      </c>
      <c r="C43" s="34"/>
      <c r="D43" s="34"/>
      <c r="E43" s="34"/>
      <c r="F43" s="34"/>
      <c r="G43" s="34"/>
    </row>
    <row r="44" customFormat="false" ht="30" hidden="false" customHeight="true" outlineLevel="0" collapsed="false">
      <c r="B44" s="34" t="str">
        <f aca="false">IF(計算過程!$A$143="","","□ "&amp;計算過程!$A$143)</f>
        <v/>
      </c>
      <c r="C44" s="34"/>
      <c r="D44" s="34"/>
      <c r="E44" s="34"/>
      <c r="F44" s="34"/>
      <c r="G44" s="34"/>
    </row>
    <row r="46" customFormat="false" ht="15" hidden="false" customHeight="false" outlineLevel="0" collapsed="false">
      <c r="B46" s="45" t="s">
        <v>154</v>
      </c>
    </row>
    <row r="47" customFormat="false" ht="30" hidden="false" customHeight="true" outlineLevel="0" collapsed="false">
      <c r="B47" s="34" t="str">
        <f aca="false">IF(計算過程!$A$156="","","□ "&amp;計算過程!$A$156)</f>
        <v>□ 完了届(自動車検査証(写)及び自動車検査証記録事項(写)を添付)</v>
      </c>
      <c r="C47" s="34"/>
      <c r="D47" s="34"/>
      <c r="E47" s="34"/>
      <c r="F47" s="34"/>
      <c r="G47" s="34"/>
    </row>
    <row r="48" customFormat="false" ht="30" hidden="false" customHeight="true" outlineLevel="0" collapsed="false">
      <c r="B48" s="34" t="str">
        <f aca="false">IF(計算過程!$A$157="","","□ "&amp;計算過程!$A$157)</f>
        <v/>
      </c>
      <c r="C48" s="34"/>
      <c r="D48" s="34"/>
      <c r="E48" s="34"/>
      <c r="F48" s="34"/>
      <c r="G48" s="34"/>
    </row>
    <row r="49" customFormat="false" ht="30" hidden="false" customHeight="true" outlineLevel="0" collapsed="false">
      <c r="B49" s="34" t="str">
        <f aca="false">IF(計算過程!$A$158="","","□ "&amp;計算過程!$A$158)</f>
        <v/>
      </c>
      <c r="C49" s="34"/>
      <c r="D49" s="34"/>
      <c r="E49" s="34"/>
      <c r="F49" s="34"/>
      <c r="G49" s="34"/>
    </row>
    <row r="50" customFormat="false" ht="30" hidden="false" customHeight="true" outlineLevel="0" collapsed="false">
      <c r="B50" s="34" t="str">
        <f aca="false">IF(計算過程!$A$159="","","□ "&amp;計算過程!$A$159)</f>
        <v/>
      </c>
      <c r="C50" s="34"/>
      <c r="D50" s="34"/>
      <c r="E50" s="34"/>
      <c r="F50" s="34"/>
      <c r="G50" s="34"/>
    </row>
    <row r="51" customFormat="false" ht="30" hidden="false" customHeight="true" outlineLevel="0" collapsed="false">
      <c r="B51" s="34" t="str">
        <f aca="false">IF(計算過程!$A$160="","","□ "&amp;計算過程!$A$160)</f>
        <v/>
      </c>
      <c r="C51" s="34"/>
      <c r="D51" s="34"/>
      <c r="E51" s="34"/>
      <c r="F51" s="34"/>
      <c r="G51" s="34"/>
    </row>
    <row r="52" customFormat="false" ht="30" hidden="false" customHeight="true" outlineLevel="0" collapsed="false">
      <c r="B52" s="34" t="str">
        <f aca="false">IF(計算過程!$A$161="","","□ "&amp;計算過程!$A$161)</f>
        <v/>
      </c>
      <c r="C52" s="34"/>
      <c r="D52" s="34"/>
      <c r="E52" s="34"/>
      <c r="F52" s="34"/>
      <c r="G52" s="34"/>
    </row>
    <row r="53" customFormat="false" ht="30" hidden="false" customHeight="true" outlineLevel="0" collapsed="false">
      <c r="B53" s="34" t="str">
        <f aca="false">IF(計算過程!$A$162="","","□ "&amp;計算過程!$A$162)</f>
        <v/>
      </c>
      <c r="C53" s="34"/>
      <c r="D53" s="34"/>
      <c r="E53" s="34"/>
      <c r="F53" s="34"/>
      <c r="G53" s="34"/>
    </row>
    <row r="54" customFormat="false" ht="30" hidden="false" customHeight="true" outlineLevel="0" collapsed="false">
      <c r="B54" s="34" t="str">
        <f aca="false">IF(計算過程!$A$163="","","□ "&amp;計算過程!$A$163)</f>
        <v/>
      </c>
      <c r="C54" s="34"/>
      <c r="D54" s="34"/>
      <c r="E54" s="34"/>
      <c r="F54" s="34"/>
      <c r="G54" s="34"/>
    </row>
    <row r="55" customFormat="false" ht="15" hidden="false" customHeight="false" outlineLevel="0" collapsed="false">
      <c r="B55" s="2" t="str">
        <f aca="false">IF(計算過程!$B$74="","","提出期限:"&amp;"令和"&amp;(YEAR(計算過程!$B$74)-2018)&amp;"年"&amp;MONTH(計算過程!$B$74)&amp;"月"&amp;DAY(計算過程!$B$74)&amp;"日まで")</f>
        <v>提出期限:令和9年1月30日まで</v>
      </c>
      <c r="C55" s="2"/>
      <c r="D55" s="2"/>
      <c r="E55" s="2"/>
      <c r="F55" s="2"/>
      <c r="G55" s="2"/>
    </row>
    <row r="57" customFormat="false" ht="15" hidden="false" customHeight="false" outlineLevel="0" collapsed="false">
      <c r="B57" s="45" t="s">
        <v>155</v>
      </c>
    </row>
    <row r="58" customFormat="false" ht="30" hidden="false" customHeight="true" outlineLevel="0" collapsed="false">
      <c r="B58" s="34" t="s">
        <v>156</v>
      </c>
      <c r="C58" s="34"/>
      <c r="D58" s="34"/>
      <c r="E58" s="34"/>
      <c r="F58" s="34"/>
      <c r="G58" s="34"/>
    </row>
    <row r="59" customFormat="false" ht="30" hidden="false" customHeight="true" outlineLevel="0" collapsed="false">
      <c r="B59" s="34" t="s">
        <v>157</v>
      </c>
      <c r="C59" s="34"/>
      <c r="D59" s="34"/>
      <c r="E59" s="34"/>
      <c r="F59" s="34"/>
      <c r="G59" s="34"/>
    </row>
    <row r="60" customFormat="false" ht="30" hidden="false" customHeight="true" outlineLevel="0" collapsed="false">
      <c r="B60" s="34" t="s">
        <v>158</v>
      </c>
      <c r="C60" s="34"/>
      <c r="D60" s="34"/>
      <c r="E60" s="34"/>
      <c r="F60" s="34"/>
      <c r="G60" s="34"/>
    </row>
    <row r="61" customFormat="false" ht="30" hidden="false" customHeight="true" outlineLevel="0" collapsed="false">
      <c r="B61" s="34" t="s">
        <v>159</v>
      </c>
      <c r="C61" s="34"/>
      <c r="D61" s="34"/>
      <c r="E61" s="34"/>
      <c r="F61" s="34"/>
      <c r="G61" s="34"/>
    </row>
  </sheetData>
  <mergeCells count="45">
    <mergeCell ref="B3:G3"/>
    <mergeCell ref="B5:G5"/>
    <mergeCell ref="B7:G7"/>
    <mergeCell ref="B8:G8"/>
    <mergeCell ref="B10:G10"/>
    <mergeCell ref="B12:G12"/>
    <mergeCell ref="B14:G14"/>
    <mergeCell ref="C16:G16"/>
    <mergeCell ref="C17:G17"/>
    <mergeCell ref="C18:G18"/>
    <mergeCell ref="C19:G19"/>
    <mergeCell ref="C20:G20"/>
    <mergeCell ref="C21:G21"/>
    <mergeCell ref="C24:G24"/>
    <mergeCell ref="C25:G25"/>
    <mergeCell ref="C26:G26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8:G58"/>
    <mergeCell ref="B59:G59"/>
    <mergeCell ref="B60:G60"/>
    <mergeCell ref="B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5" min="13" style="0" width="16"/>
  </cols>
  <sheetData>
    <row r="1" customFormat="false" ht="17.15" hidden="false" customHeight="false" outlineLevel="0" collapsed="false">
      <c r="A1" s="47" t="s">
        <v>160</v>
      </c>
    </row>
    <row r="2" customFormat="false" ht="15" hidden="false" customHeight="false" outlineLevel="0" collapsed="false">
      <c r="A2" s="48" t="str">
        <f aca="false">"貸付区分:"&amp;申込シミュレーション!$C$9&amp;"　申込額:"&amp;TEXT(計算過程!$B$46,"#,##0")&amp;"円　利率:"&amp;TEXT(計算過程!$B$24,"0.00%")&amp;"　毎月償還:"&amp;計算過程!$B$51&amp;"回"</f>
        <v>貸付区分:普通貸付:自動車購入　申込額:1,500,000円　利率:1.26%　毎月償還:60回</v>
      </c>
    </row>
    <row r="3" customFormat="false" ht="15" hidden="false" customHeight="false" outlineLevel="0" collapsed="false">
      <c r="A3" s="49" t="s">
        <v>161</v>
      </c>
    </row>
    <row r="5" customFormat="false" ht="15" hidden="false" customHeight="false" outlineLevel="0" collapsed="false">
      <c r="A5" s="50" t="s">
        <v>162</v>
      </c>
      <c r="B5" s="51"/>
      <c r="C5" s="52" t="n">
        <f aca="false">SUM(C8:C367)</f>
        <v>1548540</v>
      </c>
      <c r="D5" s="52" t="n">
        <f aca="false">SUM(D8:D367)</f>
        <v>48535</v>
      </c>
      <c r="E5" s="52" t="n">
        <f aca="false">SUM(E8:E367)</f>
        <v>1500005</v>
      </c>
      <c r="F5" s="51"/>
      <c r="G5" s="51"/>
      <c r="H5" s="51"/>
      <c r="I5" s="51"/>
      <c r="J5" s="52" t="n">
        <f aca="false">SUM(J8:J367)</f>
        <v>0</v>
      </c>
      <c r="K5" s="52" t="n">
        <f aca="false">SUM(K8:K367)</f>
        <v>0</v>
      </c>
      <c r="L5" s="52" t="n">
        <f aca="false">SUM(L8:L367)</f>
        <v>0</v>
      </c>
      <c r="M5" s="51"/>
      <c r="N5" s="52" t="n">
        <f aca="false">SUM(N8:N367)</f>
        <v>1548540</v>
      </c>
      <c r="O5" s="51"/>
    </row>
    <row r="6" customFormat="false" ht="31.5" hidden="false" customHeight="true" outlineLevel="0" collapsed="false">
      <c r="A6" s="53" t="s">
        <v>163</v>
      </c>
      <c r="B6" s="53" t="s">
        <v>164</v>
      </c>
      <c r="C6" s="53" t="s">
        <v>76</v>
      </c>
      <c r="D6" s="53" t="s">
        <v>93</v>
      </c>
      <c r="E6" s="53" t="s">
        <v>165</v>
      </c>
      <c r="F6" s="53" t="s">
        <v>166</v>
      </c>
      <c r="G6" s="53" t="s">
        <v>167</v>
      </c>
      <c r="H6" s="53" t="s">
        <v>168</v>
      </c>
      <c r="I6" s="53" t="s">
        <v>169</v>
      </c>
      <c r="J6" s="53" t="s">
        <v>170</v>
      </c>
      <c r="K6" s="53" t="s">
        <v>93</v>
      </c>
      <c r="L6" s="53" t="s">
        <v>165</v>
      </c>
      <c r="M6" s="53" t="s">
        <v>171</v>
      </c>
      <c r="N6" s="53" t="s">
        <v>172</v>
      </c>
      <c r="O6" s="53" t="s">
        <v>173</v>
      </c>
    </row>
    <row r="7" customFormat="false" ht="15" hidden="false" customHeight="false" outlineLevel="0" collapsed="false">
      <c r="A7" s="54" t="n">
        <v>0</v>
      </c>
      <c r="B7" s="55" t="s">
        <v>174</v>
      </c>
      <c r="F7" s="56" t="n">
        <f aca="false">計算過程!$B$48-計算過程!$B$49</f>
        <v>1500000</v>
      </c>
      <c r="G7" s="56" t="n">
        <f aca="false">計算過程!$B$47</f>
        <v>0</v>
      </c>
      <c r="H7" s="56" t="n">
        <f aca="false">F7+G7</f>
        <v>1500000</v>
      </c>
      <c r="I7" s="55" t="n">
        <v>0</v>
      </c>
      <c r="M7" s="56" t="n">
        <f aca="false">計算過程!$B$49</f>
        <v>0</v>
      </c>
      <c r="O7" s="56" t="n">
        <f aca="false">H7+M7</f>
        <v>1500000</v>
      </c>
    </row>
    <row r="8" customFormat="false" ht="15" hidden="false" customHeight="false" outlineLevel="0" collapsed="false">
      <c r="A8" s="55" t="n">
        <f aca="false">IF(ROWS($A$8:A8)&lt;=計算過程!$B$51,ROWS($A$8:A8),"")</f>
        <v>1</v>
      </c>
      <c r="B8" s="57" t="n">
        <f aca="false">IF(A8="","",EDATE(計算過程!$B$71,A8-1))</f>
        <v>46357</v>
      </c>
      <c r="C8" s="56" t="n">
        <f aca="false">IF(A8="","",計算過程!$B$54)</f>
        <v>25809</v>
      </c>
      <c r="D8" s="56" t="n">
        <f aca="false">IF(A8="","",ROUND(F7*計算過程!$B$24/12+G7*計算過程!$B$25/12,0))</f>
        <v>1575</v>
      </c>
      <c r="E8" s="56" t="n">
        <f aca="false">IF(A8="","",C8-D8)</f>
        <v>24234</v>
      </c>
      <c r="F8" s="56" t="n">
        <f aca="false">IF(A8="","",MAX(0,F7*(1+計算過程!$B$24/12)-計算過程!$B$52))</f>
        <v>1475766.11342979</v>
      </c>
      <c r="G8" s="56" t="n">
        <f aca="false">IF(A8="","",MAX(0,G7*(1+計算過程!$B$25/12)-計算過程!$B$53))</f>
        <v>0</v>
      </c>
      <c r="H8" s="56" t="n">
        <f aca="false">IF(A8="","",F8+G8)</f>
        <v>1475766.11342979</v>
      </c>
      <c r="I8" s="55" t="n">
        <f aca="false">IF(A8="","",IF(AND(OR(MONTH(B8)=6,MONTH(B8)=12),I7&lt;計算過程!$B$50),I7+1,I7))</f>
        <v>0</v>
      </c>
      <c r="J8" s="56" t="n">
        <f aca="false">IF(A8="","",IF(I8&gt;I7,計算過程!$B$57,0))</f>
        <v>0</v>
      </c>
      <c r="K8" s="56" t="n">
        <f aca="false">IF(A8="","",IF(I8&gt;I7,ROUND(M7*計算過程!$B$55,0),0))</f>
        <v>0</v>
      </c>
      <c r="L8" s="56" t="n">
        <f aca="false">IF(A8="","",J8-K8)</f>
        <v>0</v>
      </c>
      <c r="M8" s="56" t="n">
        <f aca="false">IF(A8="","",IF(I8&gt;I7,MAX(0,M7*(1+計算過程!$B$55)-計算過程!$B$56),M7))</f>
        <v>0</v>
      </c>
      <c r="N8" s="56" t="n">
        <f aca="false">IF(A8="","",C8+J8)</f>
        <v>25809</v>
      </c>
      <c r="O8" s="56" t="n">
        <f aca="false">IF(A8="","",H8+M8)</f>
        <v>1475766.11342979</v>
      </c>
    </row>
    <row r="9" customFormat="false" ht="15" hidden="false" customHeight="false" outlineLevel="0" collapsed="false">
      <c r="A9" s="55" t="n">
        <f aca="false">IF(ROWS($A$8:A9)&lt;=計算過程!$B$51,ROWS($A$8:A9),"")</f>
        <v>2</v>
      </c>
      <c r="B9" s="57" t="n">
        <f aca="false">IF(A9="","",EDATE(計算過程!$B$71,A9-1))</f>
        <v>46388</v>
      </c>
      <c r="C9" s="56" t="n">
        <f aca="false">IF(A9="","",計算過程!$B$54)</f>
        <v>25809</v>
      </c>
      <c r="D9" s="56" t="n">
        <f aca="false">IF(A9="","",ROUND(F8*計算過程!$B$24/12+G8*計算過程!$B$25/12,0))</f>
        <v>1550</v>
      </c>
      <c r="E9" s="56" t="n">
        <f aca="false">IF(A9="","",C9-D9)</f>
        <v>24259</v>
      </c>
      <c r="F9" s="56" t="n">
        <f aca="false">IF(A9="","",MAX(0,F8*(1+計算過程!$B$24/12)-計算過程!$B$52))</f>
        <v>1451506.78127869</v>
      </c>
      <c r="G9" s="56" t="n">
        <f aca="false">IF(A9="","",MAX(0,G8*(1+計算過程!$B$25/12)-計算過程!$B$53))</f>
        <v>0</v>
      </c>
      <c r="H9" s="56" t="n">
        <f aca="false">IF(A9="","",F9+G9)</f>
        <v>1451506.78127869</v>
      </c>
      <c r="I9" s="55" t="n">
        <f aca="false">IF(A9="","",IF(AND(OR(MONTH(B9)=6,MONTH(B9)=12),I8&lt;計算過程!$B$50),I8+1,I8))</f>
        <v>0</v>
      </c>
      <c r="J9" s="56" t="n">
        <f aca="false">IF(A9="","",IF(I9&gt;I8,計算過程!$B$57,0))</f>
        <v>0</v>
      </c>
      <c r="K9" s="56" t="n">
        <f aca="false">IF(A9="","",IF(I9&gt;I8,ROUND(M8*計算過程!$B$55,0),0))</f>
        <v>0</v>
      </c>
      <c r="L9" s="56" t="n">
        <f aca="false">IF(A9="","",J9-K9)</f>
        <v>0</v>
      </c>
      <c r="M9" s="56" t="n">
        <f aca="false">IF(A9="","",IF(I9&gt;I8,MAX(0,M8*(1+計算過程!$B$55)-計算過程!$B$56),M8))</f>
        <v>0</v>
      </c>
      <c r="N9" s="56" t="n">
        <f aca="false">IF(A9="","",C9+J9)</f>
        <v>25809</v>
      </c>
      <c r="O9" s="56" t="n">
        <f aca="false">IF(A9="","",H9+M9)</f>
        <v>1451506.78127869</v>
      </c>
    </row>
    <row r="10" customFormat="false" ht="15" hidden="false" customHeight="false" outlineLevel="0" collapsed="false">
      <c r="A10" s="55" t="n">
        <f aca="false">IF(ROWS($A$8:A10)&lt;=計算過程!$B$51,ROWS($A$8:A10),"")</f>
        <v>3</v>
      </c>
      <c r="B10" s="57" t="n">
        <f aca="false">IF(A10="","",EDATE(計算過程!$B$71,A10-1))</f>
        <v>46419</v>
      </c>
      <c r="C10" s="56" t="n">
        <f aca="false">IF(A10="","",計算過程!$B$54)</f>
        <v>25809</v>
      </c>
      <c r="D10" s="56" t="n">
        <f aca="false">IF(A10="","",ROUND(F9*計算過程!$B$24/12+G9*計算過程!$B$25/12,0))</f>
        <v>1524</v>
      </c>
      <c r="E10" s="56" t="n">
        <f aca="false">IF(A10="","",C10-D10)</f>
        <v>24285</v>
      </c>
      <c r="F10" s="56" t="n">
        <f aca="false">IF(A10="","",MAX(0,F9*(1+計算過程!$B$24/12)-計算過程!$B$52))</f>
        <v>1427221.97682882</v>
      </c>
      <c r="G10" s="56" t="n">
        <f aca="false">IF(A10="","",MAX(0,G9*(1+計算過程!$B$25/12)-計算過程!$B$53))</f>
        <v>0</v>
      </c>
      <c r="H10" s="56" t="n">
        <f aca="false">IF(A10="","",F10+G10)</f>
        <v>1427221.97682882</v>
      </c>
      <c r="I10" s="55" t="n">
        <f aca="false">IF(A10="","",IF(AND(OR(MONTH(B10)=6,MONTH(B10)=12),I9&lt;計算過程!$B$50),I9+1,I9))</f>
        <v>0</v>
      </c>
      <c r="J10" s="56" t="n">
        <f aca="false">IF(A10="","",IF(I10&gt;I9,計算過程!$B$57,0))</f>
        <v>0</v>
      </c>
      <c r="K10" s="56" t="n">
        <f aca="false">IF(A10="","",IF(I10&gt;I9,ROUND(M9*計算過程!$B$55,0),0))</f>
        <v>0</v>
      </c>
      <c r="L10" s="56" t="n">
        <f aca="false">IF(A10="","",J10-K10)</f>
        <v>0</v>
      </c>
      <c r="M10" s="56" t="n">
        <f aca="false">IF(A10="","",IF(I10&gt;I9,MAX(0,M9*(1+計算過程!$B$55)-計算過程!$B$56),M9))</f>
        <v>0</v>
      </c>
      <c r="N10" s="56" t="n">
        <f aca="false">IF(A10="","",C10+J10)</f>
        <v>25809</v>
      </c>
      <c r="O10" s="56" t="n">
        <f aca="false">IF(A10="","",H10+M10)</f>
        <v>1427221.97682882</v>
      </c>
    </row>
    <row r="11" customFormat="false" ht="15" hidden="false" customHeight="false" outlineLevel="0" collapsed="false">
      <c r="A11" s="55" t="n">
        <f aca="false">IF(ROWS($A$8:A11)&lt;=計算過程!$B$51,ROWS($A$8:A11),"")</f>
        <v>4</v>
      </c>
      <c r="B11" s="57" t="n">
        <f aca="false">IF(A11="","",EDATE(計算過程!$B$71,A11-1))</f>
        <v>46447</v>
      </c>
      <c r="C11" s="56" t="n">
        <f aca="false">IF(A11="","",計算過程!$B$54)</f>
        <v>25809</v>
      </c>
      <c r="D11" s="56" t="n">
        <f aca="false">IF(A11="","",ROUND(F10*計算過程!$B$24/12+G10*計算過程!$B$25/12,0))</f>
        <v>1499</v>
      </c>
      <c r="E11" s="56" t="n">
        <f aca="false">IF(A11="","",C11-D11)</f>
        <v>24310</v>
      </c>
      <c r="F11" s="56" t="n">
        <f aca="false">IF(A11="","",MAX(0,F10*(1+計算過程!$B$24/12)-計算過程!$B$52))</f>
        <v>1402911.67333429</v>
      </c>
      <c r="G11" s="56" t="n">
        <f aca="false">IF(A11="","",MAX(0,G10*(1+計算過程!$B$25/12)-計算過程!$B$53))</f>
        <v>0</v>
      </c>
      <c r="H11" s="56" t="n">
        <f aca="false">IF(A11="","",F11+G11)</f>
        <v>1402911.67333429</v>
      </c>
      <c r="I11" s="55" t="n">
        <f aca="false">IF(A11="","",IF(AND(OR(MONTH(B11)=6,MONTH(B11)=12),I10&lt;計算過程!$B$50),I10+1,I10))</f>
        <v>0</v>
      </c>
      <c r="J11" s="56" t="n">
        <f aca="false">IF(A11="","",IF(I11&gt;I10,計算過程!$B$57,0))</f>
        <v>0</v>
      </c>
      <c r="K11" s="56" t="n">
        <f aca="false">IF(A11="","",IF(I11&gt;I10,ROUND(M10*計算過程!$B$55,0),0))</f>
        <v>0</v>
      </c>
      <c r="L11" s="56" t="n">
        <f aca="false">IF(A11="","",J11-K11)</f>
        <v>0</v>
      </c>
      <c r="M11" s="56" t="n">
        <f aca="false">IF(A11="","",IF(I11&gt;I10,MAX(0,M10*(1+計算過程!$B$55)-計算過程!$B$56),M10))</f>
        <v>0</v>
      </c>
      <c r="N11" s="56" t="n">
        <f aca="false">IF(A11="","",C11+J11)</f>
        <v>25809</v>
      </c>
      <c r="O11" s="56" t="n">
        <f aca="false">IF(A11="","",H11+M11)</f>
        <v>1402911.67333429</v>
      </c>
    </row>
    <row r="12" customFormat="false" ht="15" hidden="false" customHeight="false" outlineLevel="0" collapsed="false">
      <c r="A12" s="55" t="n">
        <f aca="false">IF(ROWS($A$8:A12)&lt;=計算過程!$B$51,ROWS($A$8:A12),"")</f>
        <v>5</v>
      </c>
      <c r="B12" s="57" t="n">
        <f aca="false">IF(A12="","",EDATE(計算過程!$B$71,A12-1))</f>
        <v>46478</v>
      </c>
      <c r="C12" s="56" t="n">
        <f aca="false">IF(A12="","",計算過程!$B$54)</f>
        <v>25809</v>
      </c>
      <c r="D12" s="56" t="n">
        <f aca="false">IF(A12="","",ROUND(F11*計算過程!$B$24/12+G11*計算過程!$B$25/12,0))</f>
        <v>1473</v>
      </c>
      <c r="E12" s="56" t="n">
        <f aca="false">IF(A12="","",C12-D12)</f>
        <v>24336</v>
      </c>
      <c r="F12" s="56" t="n">
        <f aca="false">IF(A12="","",MAX(0,F11*(1+計算過程!$B$24/12)-計算過程!$B$52))</f>
        <v>1378575.84402108</v>
      </c>
      <c r="G12" s="56" t="n">
        <f aca="false">IF(A12="","",MAX(0,G11*(1+計算過程!$B$25/12)-計算過程!$B$53))</f>
        <v>0</v>
      </c>
      <c r="H12" s="56" t="n">
        <f aca="false">IF(A12="","",F12+G12)</f>
        <v>1378575.84402108</v>
      </c>
      <c r="I12" s="55" t="n">
        <f aca="false">IF(A12="","",IF(AND(OR(MONTH(B12)=6,MONTH(B12)=12),I11&lt;計算過程!$B$50),I11+1,I11))</f>
        <v>0</v>
      </c>
      <c r="J12" s="56" t="n">
        <f aca="false">IF(A12="","",IF(I12&gt;I11,計算過程!$B$57,0))</f>
        <v>0</v>
      </c>
      <c r="K12" s="56" t="n">
        <f aca="false">IF(A12="","",IF(I12&gt;I11,ROUND(M11*計算過程!$B$55,0),0))</f>
        <v>0</v>
      </c>
      <c r="L12" s="56" t="n">
        <f aca="false">IF(A12="","",J12-K12)</f>
        <v>0</v>
      </c>
      <c r="M12" s="56" t="n">
        <f aca="false">IF(A12="","",IF(I12&gt;I11,MAX(0,M11*(1+計算過程!$B$55)-計算過程!$B$56),M11))</f>
        <v>0</v>
      </c>
      <c r="N12" s="56" t="n">
        <f aca="false">IF(A12="","",C12+J12)</f>
        <v>25809</v>
      </c>
      <c r="O12" s="56" t="n">
        <f aca="false">IF(A12="","",H12+M12)</f>
        <v>1378575.84402108</v>
      </c>
    </row>
    <row r="13" customFormat="false" ht="15" hidden="false" customHeight="false" outlineLevel="0" collapsed="false">
      <c r="A13" s="55" t="n">
        <f aca="false">IF(ROWS($A$8:A13)&lt;=計算過程!$B$51,ROWS($A$8:A13),"")</f>
        <v>6</v>
      </c>
      <c r="B13" s="57" t="n">
        <f aca="false">IF(A13="","",EDATE(計算過程!$B$71,A13-1))</f>
        <v>46508</v>
      </c>
      <c r="C13" s="56" t="n">
        <f aca="false">IF(A13="","",計算過程!$B$54)</f>
        <v>25809</v>
      </c>
      <c r="D13" s="56" t="n">
        <f aca="false">IF(A13="","",ROUND(F12*計算過程!$B$24/12+G12*計算過程!$B$25/12,0))</f>
        <v>1448</v>
      </c>
      <c r="E13" s="56" t="n">
        <f aca="false">IF(A13="","",C13-D13)</f>
        <v>24361</v>
      </c>
      <c r="F13" s="56" t="n">
        <f aca="false">IF(A13="","",MAX(0,F12*(1+計算過程!$B$24/12)-計算過程!$B$52))</f>
        <v>1354214.4620871</v>
      </c>
      <c r="G13" s="56" t="n">
        <f aca="false">IF(A13="","",MAX(0,G12*(1+計算過程!$B$25/12)-計算過程!$B$53))</f>
        <v>0</v>
      </c>
      <c r="H13" s="56" t="n">
        <f aca="false">IF(A13="","",F13+G13)</f>
        <v>1354214.4620871</v>
      </c>
      <c r="I13" s="55" t="n">
        <f aca="false">IF(A13="","",IF(AND(OR(MONTH(B13)=6,MONTH(B13)=12),I12&lt;計算過程!$B$50),I12+1,I12))</f>
        <v>0</v>
      </c>
      <c r="J13" s="56" t="n">
        <f aca="false">IF(A13="","",IF(I13&gt;I12,計算過程!$B$57,0))</f>
        <v>0</v>
      </c>
      <c r="K13" s="56" t="n">
        <f aca="false">IF(A13="","",IF(I13&gt;I12,ROUND(M12*計算過程!$B$55,0),0))</f>
        <v>0</v>
      </c>
      <c r="L13" s="56" t="n">
        <f aca="false">IF(A13="","",J13-K13)</f>
        <v>0</v>
      </c>
      <c r="M13" s="56" t="n">
        <f aca="false">IF(A13="","",IF(I13&gt;I12,MAX(0,M12*(1+計算過程!$B$55)-計算過程!$B$56),M12))</f>
        <v>0</v>
      </c>
      <c r="N13" s="56" t="n">
        <f aca="false">IF(A13="","",C13+J13)</f>
        <v>25809</v>
      </c>
      <c r="O13" s="56" t="n">
        <f aca="false">IF(A13="","",H13+M13)</f>
        <v>1354214.4620871</v>
      </c>
    </row>
    <row r="14" customFormat="false" ht="15" hidden="false" customHeight="false" outlineLevel="0" collapsed="false">
      <c r="A14" s="55" t="n">
        <f aca="false">IF(ROWS($A$8:A14)&lt;=計算過程!$B$51,ROWS($A$8:A14),"")</f>
        <v>7</v>
      </c>
      <c r="B14" s="57" t="n">
        <f aca="false">IF(A14="","",EDATE(計算過程!$B$71,A14-1))</f>
        <v>46539</v>
      </c>
      <c r="C14" s="56" t="n">
        <f aca="false">IF(A14="","",計算過程!$B$54)</f>
        <v>25809</v>
      </c>
      <c r="D14" s="56" t="n">
        <f aca="false">IF(A14="","",ROUND(F13*計算過程!$B$24/12+G13*計算過程!$B$25/12,0))</f>
        <v>1422</v>
      </c>
      <c r="E14" s="56" t="n">
        <f aca="false">IF(A14="","",C14-D14)</f>
        <v>24387</v>
      </c>
      <c r="F14" s="56" t="n">
        <f aca="false">IF(A14="","",MAX(0,F13*(1+計算過程!$B$24/12)-計算過程!$B$52))</f>
        <v>1329827.50070208</v>
      </c>
      <c r="G14" s="56" t="n">
        <f aca="false">IF(A14="","",MAX(0,G13*(1+計算過程!$B$25/12)-計算過程!$B$53))</f>
        <v>0</v>
      </c>
      <c r="H14" s="56" t="n">
        <f aca="false">IF(A14="","",F14+G14)</f>
        <v>1329827.50070208</v>
      </c>
      <c r="I14" s="55" t="n">
        <f aca="false">IF(A14="","",IF(AND(OR(MONTH(B14)=6,MONTH(B14)=12),I13&lt;計算過程!$B$50),I13+1,I13))</f>
        <v>0</v>
      </c>
      <c r="J14" s="56" t="n">
        <f aca="false">IF(A14="","",IF(I14&gt;I13,計算過程!$B$57,0))</f>
        <v>0</v>
      </c>
      <c r="K14" s="56" t="n">
        <f aca="false">IF(A14="","",IF(I14&gt;I13,ROUND(M13*計算過程!$B$55,0),0))</f>
        <v>0</v>
      </c>
      <c r="L14" s="56" t="n">
        <f aca="false">IF(A14="","",J14-K14)</f>
        <v>0</v>
      </c>
      <c r="M14" s="56" t="n">
        <f aca="false">IF(A14="","",IF(I14&gt;I13,MAX(0,M13*(1+計算過程!$B$55)-計算過程!$B$56),M13))</f>
        <v>0</v>
      </c>
      <c r="N14" s="56" t="n">
        <f aca="false">IF(A14="","",C14+J14)</f>
        <v>25809</v>
      </c>
      <c r="O14" s="56" t="n">
        <f aca="false">IF(A14="","",H14+M14)</f>
        <v>1329827.50070208</v>
      </c>
    </row>
    <row r="15" customFormat="false" ht="15" hidden="false" customHeight="false" outlineLevel="0" collapsed="false">
      <c r="A15" s="55" t="n">
        <f aca="false">IF(ROWS($A$8:A15)&lt;=計算過程!$B$51,ROWS($A$8:A15),"")</f>
        <v>8</v>
      </c>
      <c r="B15" s="57" t="n">
        <f aca="false">IF(A15="","",EDATE(計算過程!$B$71,A15-1))</f>
        <v>46569</v>
      </c>
      <c r="C15" s="56" t="n">
        <f aca="false">IF(A15="","",計算過程!$B$54)</f>
        <v>25809</v>
      </c>
      <c r="D15" s="56" t="n">
        <f aca="false">IF(A15="","",ROUND(F14*計算過程!$B$24/12+G14*計算過程!$B$25/12,0))</f>
        <v>1396</v>
      </c>
      <c r="E15" s="56" t="n">
        <f aca="false">IF(A15="","",C15-D15)</f>
        <v>24413</v>
      </c>
      <c r="F15" s="56" t="n">
        <f aca="false">IF(A15="","",MAX(0,F14*(1+計算過程!$B$24/12)-計算過程!$B$52))</f>
        <v>1305414.93300761</v>
      </c>
      <c r="G15" s="56" t="n">
        <f aca="false">IF(A15="","",MAX(0,G14*(1+計算過程!$B$25/12)-計算過程!$B$53))</f>
        <v>0</v>
      </c>
      <c r="H15" s="56" t="n">
        <f aca="false">IF(A15="","",F15+G15)</f>
        <v>1305414.93300761</v>
      </c>
      <c r="I15" s="55" t="n">
        <f aca="false">IF(A15="","",IF(AND(OR(MONTH(B15)=6,MONTH(B15)=12),I14&lt;計算過程!$B$50),I14+1,I14))</f>
        <v>0</v>
      </c>
      <c r="J15" s="56" t="n">
        <f aca="false">IF(A15="","",IF(I15&gt;I14,計算過程!$B$57,0))</f>
        <v>0</v>
      </c>
      <c r="K15" s="56" t="n">
        <f aca="false">IF(A15="","",IF(I15&gt;I14,ROUND(M14*計算過程!$B$55,0),0))</f>
        <v>0</v>
      </c>
      <c r="L15" s="56" t="n">
        <f aca="false">IF(A15="","",J15-K15)</f>
        <v>0</v>
      </c>
      <c r="M15" s="56" t="n">
        <f aca="false">IF(A15="","",IF(I15&gt;I14,MAX(0,M14*(1+計算過程!$B$55)-計算過程!$B$56),M14))</f>
        <v>0</v>
      </c>
      <c r="N15" s="56" t="n">
        <f aca="false">IF(A15="","",C15+J15)</f>
        <v>25809</v>
      </c>
      <c r="O15" s="56" t="n">
        <f aca="false">IF(A15="","",H15+M15)</f>
        <v>1305414.93300761</v>
      </c>
    </row>
    <row r="16" customFormat="false" ht="15" hidden="false" customHeight="false" outlineLevel="0" collapsed="false">
      <c r="A16" s="55" t="n">
        <f aca="false">IF(ROWS($A$8:A16)&lt;=計算過程!$B$51,ROWS($A$8:A16),"")</f>
        <v>9</v>
      </c>
      <c r="B16" s="57" t="n">
        <f aca="false">IF(A16="","",EDATE(計算過程!$B$71,A16-1))</f>
        <v>46600</v>
      </c>
      <c r="C16" s="56" t="n">
        <f aca="false">IF(A16="","",計算過程!$B$54)</f>
        <v>25809</v>
      </c>
      <c r="D16" s="56" t="n">
        <f aca="false">IF(A16="","",ROUND(F15*計算過程!$B$24/12+G15*計算過程!$B$25/12,0))</f>
        <v>1371</v>
      </c>
      <c r="E16" s="56" t="n">
        <f aca="false">IF(A16="","",C16-D16)</f>
        <v>24438</v>
      </c>
      <c r="F16" s="56" t="n">
        <f aca="false">IF(A16="","",MAX(0,F15*(1+計算過程!$B$24/12)-計算過程!$B$52))</f>
        <v>1280976.73211706</v>
      </c>
      <c r="G16" s="56" t="n">
        <f aca="false">IF(A16="","",MAX(0,G15*(1+計算過程!$B$25/12)-計算過程!$B$53))</f>
        <v>0</v>
      </c>
      <c r="H16" s="56" t="n">
        <f aca="false">IF(A16="","",F16+G16)</f>
        <v>1280976.73211706</v>
      </c>
      <c r="I16" s="55" t="n">
        <f aca="false">IF(A16="","",IF(AND(OR(MONTH(B16)=6,MONTH(B16)=12),I15&lt;計算過程!$B$50),I15+1,I15))</f>
        <v>0</v>
      </c>
      <c r="J16" s="56" t="n">
        <f aca="false">IF(A16="","",IF(I16&gt;I15,計算過程!$B$57,0))</f>
        <v>0</v>
      </c>
      <c r="K16" s="56" t="n">
        <f aca="false">IF(A16="","",IF(I16&gt;I15,ROUND(M15*計算過程!$B$55,0),0))</f>
        <v>0</v>
      </c>
      <c r="L16" s="56" t="n">
        <f aca="false">IF(A16="","",J16-K16)</f>
        <v>0</v>
      </c>
      <c r="M16" s="56" t="n">
        <f aca="false">IF(A16="","",IF(I16&gt;I15,MAX(0,M15*(1+計算過程!$B$55)-計算過程!$B$56),M15))</f>
        <v>0</v>
      </c>
      <c r="N16" s="56" t="n">
        <f aca="false">IF(A16="","",C16+J16)</f>
        <v>25809</v>
      </c>
      <c r="O16" s="56" t="n">
        <f aca="false">IF(A16="","",H16+M16)</f>
        <v>1280976.73211706</v>
      </c>
    </row>
    <row r="17" customFormat="false" ht="15" hidden="false" customHeight="false" outlineLevel="0" collapsed="false">
      <c r="A17" s="55" t="n">
        <f aca="false">IF(ROWS($A$8:A17)&lt;=計算過程!$B$51,ROWS($A$8:A17),"")</f>
        <v>10</v>
      </c>
      <c r="B17" s="57" t="n">
        <f aca="false">IF(A17="","",EDATE(計算過程!$B$71,A17-1))</f>
        <v>46631</v>
      </c>
      <c r="C17" s="56" t="n">
        <f aca="false">IF(A17="","",計算過程!$B$54)</f>
        <v>25809</v>
      </c>
      <c r="D17" s="56" t="n">
        <f aca="false">IF(A17="","",ROUND(F16*計算過程!$B$24/12+G16*計算過程!$B$25/12,0))</f>
        <v>1345</v>
      </c>
      <c r="E17" s="56" t="n">
        <f aca="false">IF(A17="","",C17-D17)</f>
        <v>24464</v>
      </c>
      <c r="F17" s="56" t="n">
        <f aca="false">IF(A17="","",MAX(0,F16*(1+計算過程!$B$24/12)-計算過程!$B$52))</f>
        <v>1256512.87111558</v>
      </c>
      <c r="G17" s="56" t="n">
        <f aca="false">IF(A17="","",MAX(0,G16*(1+計算過程!$B$25/12)-計算過程!$B$53))</f>
        <v>0</v>
      </c>
      <c r="H17" s="56" t="n">
        <f aca="false">IF(A17="","",F17+G17)</f>
        <v>1256512.87111558</v>
      </c>
      <c r="I17" s="55" t="n">
        <f aca="false">IF(A17="","",IF(AND(OR(MONTH(B17)=6,MONTH(B17)=12),I16&lt;計算過程!$B$50),I16+1,I16))</f>
        <v>0</v>
      </c>
      <c r="J17" s="56" t="n">
        <f aca="false">IF(A17="","",IF(I17&gt;I16,計算過程!$B$57,0))</f>
        <v>0</v>
      </c>
      <c r="K17" s="56" t="n">
        <f aca="false">IF(A17="","",IF(I17&gt;I16,ROUND(M16*計算過程!$B$55,0),0))</f>
        <v>0</v>
      </c>
      <c r="L17" s="56" t="n">
        <f aca="false">IF(A17="","",J17-K17)</f>
        <v>0</v>
      </c>
      <c r="M17" s="56" t="n">
        <f aca="false">IF(A17="","",IF(I17&gt;I16,MAX(0,M16*(1+計算過程!$B$55)-計算過程!$B$56),M16))</f>
        <v>0</v>
      </c>
      <c r="N17" s="56" t="n">
        <f aca="false">IF(A17="","",C17+J17)</f>
        <v>25809</v>
      </c>
      <c r="O17" s="56" t="n">
        <f aca="false">IF(A17="","",H17+M17)</f>
        <v>1256512.87111558</v>
      </c>
    </row>
    <row r="18" customFormat="false" ht="15" hidden="false" customHeight="false" outlineLevel="0" collapsed="false">
      <c r="A18" s="55" t="n">
        <f aca="false">IF(ROWS($A$8:A18)&lt;=計算過程!$B$51,ROWS($A$8:A18),"")</f>
        <v>11</v>
      </c>
      <c r="B18" s="57" t="n">
        <f aca="false">IF(A18="","",EDATE(計算過程!$B$71,A18-1))</f>
        <v>46661</v>
      </c>
      <c r="C18" s="56" t="n">
        <f aca="false">IF(A18="","",計算過程!$B$54)</f>
        <v>25809</v>
      </c>
      <c r="D18" s="56" t="n">
        <f aca="false">IF(A18="","",ROUND(F17*計算過程!$B$24/12+G17*計算過程!$B$25/12,0))</f>
        <v>1319</v>
      </c>
      <c r="E18" s="56" t="n">
        <f aca="false">IF(A18="","",C18-D18)</f>
        <v>24490</v>
      </c>
      <c r="F18" s="56" t="n">
        <f aca="false">IF(A18="","",MAX(0,F17*(1+計算過程!$B$24/12)-計算過程!$B$52))</f>
        <v>1232023.32306004</v>
      </c>
      <c r="G18" s="56" t="n">
        <f aca="false">IF(A18="","",MAX(0,G17*(1+計算過程!$B$25/12)-計算過程!$B$53))</f>
        <v>0</v>
      </c>
      <c r="H18" s="56" t="n">
        <f aca="false">IF(A18="","",F18+G18)</f>
        <v>1232023.32306004</v>
      </c>
      <c r="I18" s="55" t="n">
        <f aca="false">IF(A18="","",IF(AND(OR(MONTH(B18)=6,MONTH(B18)=12),I17&lt;計算過程!$B$50),I17+1,I17))</f>
        <v>0</v>
      </c>
      <c r="J18" s="56" t="n">
        <f aca="false">IF(A18="","",IF(I18&gt;I17,計算過程!$B$57,0))</f>
        <v>0</v>
      </c>
      <c r="K18" s="56" t="n">
        <f aca="false">IF(A18="","",IF(I18&gt;I17,ROUND(M17*計算過程!$B$55,0),0))</f>
        <v>0</v>
      </c>
      <c r="L18" s="56" t="n">
        <f aca="false">IF(A18="","",J18-K18)</f>
        <v>0</v>
      </c>
      <c r="M18" s="56" t="n">
        <f aca="false">IF(A18="","",IF(I18&gt;I17,MAX(0,M17*(1+計算過程!$B$55)-計算過程!$B$56),M17))</f>
        <v>0</v>
      </c>
      <c r="N18" s="56" t="n">
        <f aca="false">IF(A18="","",C18+J18)</f>
        <v>25809</v>
      </c>
      <c r="O18" s="56" t="n">
        <f aca="false">IF(A18="","",H18+M18)</f>
        <v>1232023.32306004</v>
      </c>
    </row>
    <row r="19" customFormat="false" ht="15" hidden="false" customHeight="false" outlineLevel="0" collapsed="false">
      <c r="A19" s="55" t="n">
        <f aca="false">IF(ROWS($A$8:A19)&lt;=計算過程!$B$51,ROWS($A$8:A19),"")</f>
        <v>12</v>
      </c>
      <c r="B19" s="57" t="n">
        <f aca="false">IF(A19="","",EDATE(計算過程!$B$71,A19-1))</f>
        <v>46692</v>
      </c>
      <c r="C19" s="56" t="n">
        <f aca="false">IF(A19="","",計算過程!$B$54)</f>
        <v>25809</v>
      </c>
      <c r="D19" s="56" t="n">
        <f aca="false">IF(A19="","",ROUND(F18*計算過程!$B$24/12+G18*計算過程!$B$25/12,0))</f>
        <v>1294</v>
      </c>
      <c r="E19" s="56" t="n">
        <f aca="false">IF(A19="","",C19-D19)</f>
        <v>24515</v>
      </c>
      <c r="F19" s="56" t="n">
        <f aca="false">IF(A19="","",MAX(0,F18*(1+計算過程!$B$24/12)-計算過程!$B$52))</f>
        <v>1207508.06097905</v>
      </c>
      <c r="G19" s="56" t="n">
        <f aca="false">IF(A19="","",MAX(0,G18*(1+計算過程!$B$25/12)-計算過程!$B$53))</f>
        <v>0</v>
      </c>
      <c r="H19" s="56" t="n">
        <f aca="false">IF(A19="","",F19+G19)</f>
        <v>1207508.06097905</v>
      </c>
      <c r="I19" s="55" t="n">
        <f aca="false">IF(A19="","",IF(AND(OR(MONTH(B19)=6,MONTH(B19)=12),I18&lt;計算過程!$B$50),I18+1,I18))</f>
        <v>0</v>
      </c>
      <c r="J19" s="56" t="n">
        <f aca="false">IF(A19="","",IF(I19&gt;I18,計算過程!$B$57,0))</f>
        <v>0</v>
      </c>
      <c r="K19" s="56" t="n">
        <f aca="false">IF(A19="","",IF(I19&gt;I18,ROUND(M18*計算過程!$B$55,0),0))</f>
        <v>0</v>
      </c>
      <c r="L19" s="56" t="n">
        <f aca="false">IF(A19="","",J19-K19)</f>
        <v>0</v>
      </c>
      <c r="M19" s="56" t="n">
        <f aca="false">IF(A19="","",IF(I19&gt;I18,MAX(0,M18*(1+計算過程!$B$55)-計算過程!$B$56),M18))</f>
        <v>0</v>
      </c>
      <c r="N19" s="56" t="n">
        <f aca="false">IF(A19="","",C19+J19)</f>
        <v>25809</v>
      </c>
      <c r="O19" s="56" t="n">
        <f aca="false">IF(A19="","",H19+M19)</f>
        <v>1207508.06097905</v>
      </c>
    </row>
    <row r="20" customFormat="false" ht="15" hidden="false" customHeight="false" outlineLevel="0" collapsed="false">
      <c r="A20" s="55" t="n">
        <f aca="false">IF(ROWS($A$8:A20)&lt;=計算過程!$B$51,ROWS($A$8:A20),"")</f>
        <v>13</v>
      </c>
      <c r="B20" s="57" t="n">
        <f aca="false">IF(A20="","",EDATE(計算過程!$B$71,A20-1))</f>
        <v>46722</v>
      </c>
      <c r="C20" s="56" t="n">
        <f aca="false">IF(A20="","",計算過程!$B$54)</f>
        <v>25809</v>
      </c>
      <c r="D20" s="56" t="n">
        <f aca="false">IF(A20="","",ROUND(F19*計算過程!$B$24/12+G19*計算過程!$B$25/12,0))</f>
        <v>1268</v>
      </c>
      <c r="E20" s="56" t="n">
        <f aca="false">IF(A20="","",C20-D20)</f>
        <v>24541</v>
      </c>
      <c r="F20" s="56" t="n">
        <f aca="false">IF(A20="","",MAX(0,F19*(1+計算過程!$B$24/12)-計算過程!$B$52))</f>
        <v>1182967.05787287</v>
      </c>
      <c r="G20" s="56" t="n">
        <f aca="false">IF(A20="","",MAX(0,G19*(1+計算過程!$B$25/12)-計算過程!$B$53))</f>
        <v>0</v>
      </c>
      <c r="H20" s="56" t="n">
        <f aca="false">IF(A20="","",F20+G20)</f>
        <v>1182967.05787287</v>
      </c>
      <c r="I20" s="55" t="n">
        <f aca="false">IF(A20="","",IF(AND(OR(MONTH(B20)=6,MONTH(B20)=12),I19&lt;計算過程!$B$50),I19+1,I19))</f>
        <v>0</v>
      </c>
      <c r="J20" s="56" t="n">
        <f aca="false">IF(A20="","",IF(I20&gt;I19,計算過程!$B$57,0))</f>
        <v>0</v>
      </c>
      <c r="K20" s="56" t="n">
        <f aca="false">IF(A20="","",IF(I20&gt;I19,ROUND(M19*計算過程!$B$55,0),0))</f>
        <v>0</v>
      </c>
      <c r="L20" s="56" t="n">
        <f aca="false">IF(A20="","",J20-K20)</f>
        <v>0</v>
      </c>
      <c r="M20" s="56" t="n">
        <f aca="false">IF(A20="","",IF(I20&gt;I19,MAX(0,M19*(1+計算過程!$B$55)-計算過程!$B$56),M19))</f>
        <v>0</v>
      </c>
      <c r="N20" s="56" t="n">
        <f aca="false">IF(A20="","",C20+J20)</f>
        <v>25809</v>
      </c>
      <c r="O20" s="56" t="n">
        <f aca="false">IF(A20="","",H20+M20)</f>
        <v>1182967.05787287</v>
      </c>
    </row>
    <row r="21" customFormat="false" ht="15" hidden="false" customHeight="false" outlineLevel="0" collapsed="false">
      <c r="A21" s="55" t="n">
        <f aca="false">IF(ROWS($A$8:A21)&lt;=計算過程!$B$51,ROWS($A$8:A21),"")</f>
        <v>14</v>
      </c>
      <c r="B21" s="57" t="n">
        <f aca="false">IF(A21="","",EDATE(計算過程!$B$71,A21-1))</f>
        <v>46753</v>
      </c>
      <c r="C21" s="56" t="n">
        <f aca="false">IF(A21="","",計算過程!$B$54)</f>
        <v>25809</v>
      </c>
      <c r="D21" s="56" t="n">
        <f aca="false">IF(A21="","",ROUND(F20*計算過程!$B$24/12+G20*計算過程!$B$25/12,0))</f>
        <v>1242</v>
      </c>
      <c r="E21" s="56" t="n">
        <f aca="false">IF(A21="","",C21-D21)</f>
        <v>24567</v>
      </c>
      <c r="F21" s="56" t="n">
        <f aca="false">IF(A21="","",MAX(0,F20*(1+計算過程!$B$24/12)-計算過程!$B$52))</f>
        <v>1158400.28671343</v>
      </c>
      <c r="G21" s="56" t="n">
        <f aca="false">IF(A21="","",MAX(0,G20*(1+計算過程!$B$25/12)-計算過程!$B$53))</f>
        <v>0</v>
      </c>
      <c r="H21" s="56" t="n">
        <f aca="false">IF(A21="","",F21+G21)</f>
        <v>1158400.28671343</v>
      </c>
      <c r="I21" s="55" t="n">
        <f aca="false">IF(A21="","",IF(AND(OR(MONTH(B21)=6,MONTH(B21)=12),I20&lt;計算過程!$B$50),I20+1,I20))</f>
        <v>0</v>
      </c>
      <c r="J21" s="56" t="n">
        <f aca="false">IF(A21="","",IF(I21&gt;I20,計算過程!$B$57,0))</f>
        <v>0</v>
      </c>
      <c r="K21" s="56" t="n">
        <f aca="false">IF(A21="","",IF(I21&gt;I20,ROUND(M20*計算過程!$B$55,0),0))</f>
        <v>0</v>
      </c>
      <c r="L21" s="56" t="n">
        <f aca="false">IF(A21="","",J21-K21)</f>
        <v>0</v>
      </c>
      <c r="M21" s="56" t="n">
        <f aca="false">IF(A21="","",IF(I21&gt;I20,MAX(0,M20*(1+計算過程!$B$55)-計算過程!$B$56),M20))</f>
        <v>0</v>
      </c>
      <c r="N21" s="56" t="n">
        <f aca="false">IF(A21="","",C21+J21)</f>
        <v>25809</v>
      </c>
      <c r="O21" s="56" t="n">
        <f aca="false">IF(A21="","",H21+M21)</f>
        <v>1158400.28671343</v>
      </c>
    </row>
    <row r="22" customFormat="false" ht="15" hidden="false" customHeight="false" outlineLevel="0" collapsed="false">
      <c r="A22" s="55" t="n">
        <f aca="false">IF(ROWS($A$8:A22)&lt;=計算過程!$B$51,ROWS($A$8:A22),"")</f>
        <v>15</v>
      </c>
      <c r="B22" s="57" t="n">
        <f aca="false">IF(A22="","",EDATE(計算過程!$B$71,A22-1))</f>
        <v>46784</v>
      </c>
      <c r="C22" s="56" t="n">
        <f aca="false">IF(A22="","",計算過程!$B$54)</f>
        <v>25809</v>
      </c>
      <c r="D22" s="56" t="n">
        <f aca="false">IF(A22="","",ROUND(F21*計算過程!$B$24/12+G21*計算過程!$B$25/12,0))</f>
        <v>1216</v>
      </c>
      <c r="E22" s="56" t="n">
        <f aca="false">IF(A22="","",C22-D22)</f>
        <v>24593</v>
      </c>
      <c r="F22" s="56" t="n">
        <f aca="false">IF(A22="","",MAX(0,F21*(1+計算過程!$B$24/12)-計算過程!$B$52))</f>
        <v>1133807.72044427</v>
      </c>
      <c r="G22" s="56" t="n">
        <f aca="false">IF(A22="","",MAX(0,G21*(1+計算過程!$B$25/12)-計算過程!$B$53))</f>
        <v>0</v>
      </c>
      <c r="H22" s="56" t="n">
        <f aca="false">IF(A22="","",F22+G22)</f>
        <v>1133807.72044427</v>
      </c>
      <c r="I22" s="55" t="n">
        <f aca="false">IF(A22="","",IF(AND(OR(MONTH(B22)=6,MONTH(B22)=12),I21&lt;計算過程!$B$50),I21+1,I21))</f>
        <v>0</v>
      </c>
      <c r="J22" s="56" t="n">
        <f aca="false">IF(A22="","",IF(I22&gt;I21,計算過程!$B$57,0))</f>
        <v>0</v>
      </c>
      <c r="K22" s="56" t="n">
        <f aca="false">IF(A22="","",IF(I22&gt;I21,ROUND(M21*計算過程!$B$55,0),0))</f>
        <v>0</v>
      </c>
      <c r="L22" s="56" t="n">
        <f aca="false">IF(A22="","",J22-K22)</f>
        <v>0</v>
      </c>
      <c r="M22" s="56" t="n">
        <f aca="false">IF(A22="","",IF(I22&gt;I21,MAX(0,M21*(1+計算過程!$B$55)-計算過程!$B$56),M21))</f>
        <v>0</v>
      </c>
      <c r="N22" s="56" t="n">
        <f aca="false">IF(A22="","",C22+J22)</f>
        <v>25809</v>
      </c>
      <c r="O22" s="56" t="n">
        <f aca="false">IF(A22="","",H22+M22)</f>
        <v>1133807.72044427</v>
      </c>
    </row>
    <row r="23" customFormat="false" ht="15" hidden="false" customHeight="false" outlineLevel="0" collapsed="false">
      <c r="A23" s="55" t="n">
        <f aca="false">IF(ROWS($A$8:A23)&lt;=計算過程!$B$51,ROWS($A$8:A23),"")</f>
        <v>16</v>
      </c>
      <c r="B23" s="57" t="n">
        <f aca="false">IF(A23="","",EDATE(計算過程!$B$71,A23-1))</f>
        <v>46813</v>
      </c>
      <c r="C23" s="56" t="n">
        <f aca="false">IF(A23="","",計算過程!$B$54)</f>
        <v>25809</v>
      </c>
      <c r="D23" s="56" t="n">
        <f aca="false">IF(A23="","",ROUND(F22*計算過程!$B$24/12+G22*計算過程!$B$25/12,0))</f>
        <v>1190</v>
      </c>
      <c r="E23" s="56" t="n">
        <f aca="false">IF(A23="","",C23-D23)</f>
        <v>24619</v>
      </c>
      <c r="F23" s="56" t="n">
        <f aca="false">IF(A23="","",MAX(0,F22*(1+計算過程!$B$24/12)-計算過程!$B$52))</f>
        <v>1109189.33198053</v>
      </c>
      <c r="G23" s="56" t="n">
        <f aca="false">IF(A23="","",MAX(0,G22*(1+計算過程!$B$25/12)-計算過程!$B$53))</f>
        <v>0</v>
      </c>
      <c r="H23" s="56" t="n">
        <f aca="false">IF(A23="","",F23+G23)</f>
        <v>1109189.33198053</v>
      </c>
      <c r="I23" s="55" t="n">
        <f aca="false">IF(A23="","",IF(AND(OR(MONTH(B23)=6,MONTH(B23)=12),I22&lt;計算過程!$B$50),I22+1,I22))</f>
        <v>0</v>
      </c>
      <c r="J23" s="56" t="n">
        <f aca="false">IF(A23="","",IF(I23&gt;I22,計算過程!$B$57,0))</f>
        <v>0</v>
      </c>
      <c r="K23" s="56" t="n">
        <f aca="false">IF(A23="","",IF(I23&gt;I22,ROUND(M22*計算過程!$B$55,0),0))</f>
        <v>0</v>
      </c>
      <c r="L23" s="56" t="n">
        <f aca="false">IF(A23="","",J23-K23)</f>
        <v>0</v>
      </c>
      <c r="M23" s="56" t="n">
        <f aca="false">IF(A23="","",IF(I23&gt;I22,MAX(0,M22*(1+計算過程!$B$55)-計算過程!$B$56),M22))</f>
        <v>0</v>
      </c>
      <c r="N23" s="56" t="n">
        <f aca="false">IF(A23="","",C23+J23)</f>
        <v>25809</v>
      </c>
      <c r="O23" s="56" t="n">
        <f aca="false">IF(A23="","",H23+M23)</f>
        <v>1109189.33198053</v>
      </c>
    </row>
    <row r="24" customFormat="false" ht="15" hidden="false" customHeight="false" outlineLevel="0" collapsed="false">
      <c r="A24" s="55" t="n">
        <f aca="false">IF(ROWS($A$8:A24)&lt;=計算過程!$B$51,ROWS($A$8:A24),"")</f>
        <v>17</v>
      </c>
      <c r="B24" s="57" t="n">
        <f aca="false">IF(A24="","",EDATE(計算過程!$B$71,A24-1))</f>
        <v>46844</v>
      </c>
      <c r="C24" s="56" t="n">
        <f aca="false">IF(A24="","",計算過程!$B$54)</f>
        <v>25809</v>
      </c>
      <c r="D24" s="56" t="n">
        <f aca="false">IF(A24="","",ROUND(F23*計算過程!$B$24/12+G23*計算過程!$B$25/12,0))</f>
        <v>1165</v>
      </c>
      <c r="E24" s="56" t="n">
        <f aca="false">IF(A24="","",C24-D24)</f>
        <v>24644</v>
      </c>
      <c r="F24" s="56" t="n">
        <f aca="false">IF(A24="","",MAX(0,F23*(1+計算過程!$B$24/12)-計算過程!$B$52))</f>
        <v>1084545.0942089</v>
      </c>
      <c r="G24" s="56" t="n">
        <f aca="false">IF(A24="","",MAX(0,G23*(1+計算過程!$B$25/12)-計算過程!$B$53))</f>
        <v>0</v>
      </c>
      <c r="H24" s="56" t="n">
        <f aca="false">IF(A24="","",F24+G24)</f>
        <v>1084545.0942089</v>
      </c>
      <c r="I24" s="55" t="n">
        <f aca="false">IF(A24="","",IF(AND(OR(MONTH(B24)=6,MONTH(B24)=12),I23&lt;計算過程!$B$50),I23+1,I23))</f>
        <v>0</v>
      </c>
      <c r="J24" s="56" t="n">
        <f aca="false">IF(A24="","",IF(I24&gt;I23,計算過程!$B$57,0))</f>
        <v>0</v>
      </c>
      <c r="K24" s="56" t="n">
        <f aca="false">IF(A24="","",IF(I24&gt;I23,ROUND(M23*計算過程!$B$55,0),0))</f>
        <v>0</v>
      </c>
      <c r="L24" s="56" t="n">
        <f aca="false">IF(A24="","",J24-K24)</f>
        <v>0</v>
      </c>
      <c r="M24" s="56" t="n">
        <f aca="false">IF(A24="","",IF(I24&gt;I23,MAX(0,M23*(1+計算過程!$B$55)-計算過程!$B$56),M23))</f>
        <v>0</v>
      </c>
      <c r="N24" s="56" t="n">
        <f aca="false">IF(A24="","",C24+J24)</f>
        <v>25809</v>
      </c>
      <c r="O24" s="56" t="n">
        <f aca="false">IF(A24="","",H24+M24)</f>
        <v>1084545.0942089</v>
      </c>
    </row>
    <row r="25" customFormat="false" ht="15" hidden="false" customHeight="false" outlineLevel="0" collapsed="false">
      <c r="A25" s="55" t="n">
        <f aca="false">IF(ROWS($A$8:A25)&lt;=計算過程!$B$51,ROWS($A$8:A25),"")</f>
        <v>18</v>
      </c>
      <c r="B25" s="57" t="n">
        <f aca="false">IF(A25="","",EDATE(計算過程!$B$71,A25-1))</f>
        <v>46874</v>
      </c>
      <c r="C25" s="56" t="n">
        <f aca="false">IF(A25="","",計算過程!$B$54)</f>
        <v>25809</v>
      </c>
      <c r="D25" s="56" t="n">
        <f aca="false">IF(A25="","",ROUND(F24*計算過程!$B$24/12+G24*計算過程!$B$25/12,0))</f>
        <v>1139</v>
      </c>
      <c r="E25" s="56" t="n">
        <f aca="false">IF(A25="","",C25-D25)</f>
        <v>24670</v>
      </c>
      <c r="F25" s="56" t="n">
        <f aca="false">IF(A25="","",MAX(0,F24*(1+計算過程!$B$24/12)-計算過程!$B$52))</f>
        <v>1059874.97998762</v>
      </c>
      <c r="G25" s="56" t="n">
        <f aca="false">IF(A25="","",MAX(0,G24*(1+計算過程!$B$25/12)-計算過程!$B$53))</f>
        <v>0</v>
      </c>
      <c r="H25" s="56" t="n">
        <f aca="false">IF(A25="","",F25+G25)</f>
        <v>1059874.97998762</v>
      </c>
      <c r="I25" s="55" t="n">
        <f aca="false">IF(A25="","",IF(AND(OR(MONTH(B25)=6,MONTH(B25)=12),I24&lt;計算過程!$B$50),I24+1,I24))</f>
        <v>0</v>
      </c>
      <c r="J25" s="56" t="n">
        <f aca="false">IF(A25="","",IF(I25&gt;I24,計算過程!$B$57,0))</f>
        <v>0</v>
      </c>
      <c r="K25" s="56" t="n">
        <f aca="false">IF(A25="","",IF(I25&gt;I24,ROUND(M24*計算過程!$B$55,0),0))</f>
        <v>0</v>
      </c>
      <c r="L25" s="56" t="n">
        <f aca="false">IF(A25="","",J25-K25)</f>
        <v>0</v>
      </c>
      <c r="M25" s="56" t="n">
        <f aca="false">IF(A25="","",IF(I25&gt;I24,MAX(0,M24*(1+計算過程!$B$55)-計算過程!$B$56),M24))</f>
        <v>0</v>
      </c>
      <c r="N25" s="56" t="n">
        <f aca="false">IF(A25="","",C25+J25)</f>
        <v>25809</v>
      </c>
      <c r="O25" s="56" t="n">
        <f aca="false">IF(A25="","",H25+M25)</f>
        <v>1059874.97998762</v>
      </c>
    </row>
    <row r="26" customFormat="false" ht="15" hidden="false" customHeight="false" outlineLevel="0" collapsed="false">
      <c r="A26" s="55" t="n">
        <f aca="false">IF(ROWS($A$8:A26)&lt;=計算過程!$B$51,ROWS($A$8:A26),"")</f>
        <v>19</v>
      </c>
      <c r="B26" s="57" t="n">
        <f aca="false">IF(A26="","",EDATE(計算過程!$B$71,A26-1))</f>
        <v>46905</v>
      </c>
      <c r="C26" s="56" t="n">
        <f aca="false">IF(A26="","",計算過程!$B$54)</f>
        <v>25809</v>
      </c>
      <c r="D26" s="56" t="n">
        <f aca="false">IF(A26="","",ROUND(F25*計算過程!$B$24/12+G25*計算過程!$B$25/12,0))</f>
        <v>1113</v>
      </c>
      <c r="E26" s="56" t="n">
        <f aca="false">IF(A26="","",C26-D26)</f>
        <v>24696</v>
      </c>
      <c r="F26" s="56" t="n">
        <f aca="false">IF(A26="","",MAX(0,F25*(1+計算過程!$B$24/12)-計算過程!$B$52))</f>
        <v>1035178.9621464</v>
      </c>
      <c r="G26" s="56" t="n">
        <f aca="false">IF(A26="","",MAX(0,G25*(1+計算過程!$B$25/12)-計算過程!$B$53))</f>
        <v>0</v>
      </c>
      <c r="H26" s="56" t="n">
        <f aca="false">IF(A26="","",F26+G26)</f>
        <v>1035178.9621464</v>
      </c>
      <c r="I26" s="55" t="n">
        <f aca="false">IF(A26="","",IF(AND(OR(MONTH(B26)=6,MONTH(B26)=12),I25&lt;計算過程!$B$50),I25+1,I25))</f>
        <v>0</v>
      </c>
      <c r="J26" s="56" t="n">
        <f aca="false">IF(A26="","",IF(I26&gt;I25,計算過程!$B$57,0))</f>
        <v>0</v>
      </c>
      <c r="K26" s="56" t="n">
        <f aca="false">IF(A26="","",IF(I26&gt;I25,ROUND(M25*計算過程!$B$55,0),0))</f>
        <v>0</v>
      </c>
      <c r="L26" s="56" t="n">
        <f aca="false">IF(A26="","",J26-K26)</f>
        <v>0</v>
      </c>
      <c r="M26" s="56" t="n">
        <f aca="false">IF(A26="","",IF(I26&gt;I25,MAX(0,M25*(1+計算過程!$B$55)-計算過程!$B$56),M25))</f>
        <v>0</v>
      </c>
      <c r="N26" s="56" t="n">
        <f aca="false">IF(A26="","",C26+J26)</f>
        <v>25809</v>
      </c>
      <c r="O26" s="56" t="n">
        <f aca="false">IF(A26="","",H26+M26)</f>
        <v>1035178.9621464</v>
      </c>
    </row>
    <row r="27" customFormat="false" ht="15" hidden="false" customHeight="false" outlineLevel="0" collapsed="false">
      <c r="A27" s="55" t="n">
        <f aca="false">IF(ROWS($A$8:A27)&lt;=計算過程!$B$51,ROWS($A$8:A27),"")</f>
        <v>20</v>
      </c>
      <c r="B27" s="57" t="n">
        <f aca="false">IF(A27="","",EDATE(計算過程!$B$71,A27-1))</f>
        <v>46935</v>
      </c>
      <c r="C27" s="56" t="n">
        <f aca="false">IF(A27="","",計算過程!$B$54)</f>
        <v>25809</v>
      </c>
      <c r="D27" s="56" t="n">
        <f aca="false">IF(A27="","",ROUND(F26*計算過程!$B$24/12+G26*計算過程!$B$25/12,0))</f>
        <v>1087</v>
      </c>
      <c r="E27" s="56" t="n">
        <f aca="false">IF(A27="","",C27-D27)</f>
        <v>24722</v>
      </c>
      <c r="F27" s="56" t="n">
        <f aca="false">IF(A27="","",MAX(0,F26*(1+計算過程!$B$24/12)-計算過程!$B$52))</f>
        <v>1010457.01348644</v>
      </c>
      <c r="G27" s="56" t="n">
        <f aca="false">IF(A27="","",MAX(0,G26*(1+計算過程!$B$25/12)-計算過程!$B$53))</f>
        <v>0</v>
      </c>
      <c r="H27" s="56" t="n">
        <f aca="false">IF(A27="","",F27+G27)</f>
        <v>1010457.01348644</v>
      </c>
      <c r="I27" s="55" t="n">
        <f aca="false">IF(A27="","",IF(AND(OR(MONTH(B27)=6,MONTH(B27)=12),I26&lt;計算過程!$B$50),I26+1,I26))</f>
        <v>0</v>
      </c>
      <c r="J27" s="56" t="n">
        <f aca="false">IF(A27="","",IF(I27&gt;I26,計算過程!$B$57,0))</f>
        <v>0</v>
      </c>
      <c r="K27" s="56" t="n">
        <f aca="false">IF(A27="","",IF(I27&gt;I26,ROUND(M26*計算過程!$B$55,0),0))</f>
        <v>0</v>
      </c>
      <c r="L27" s="56" t="n">
        <f aca="false">IF(A27="","",J27-K27)</f>
        <v>0</v>
      </c>
      <c r="M27" s="56" t="n">
        <f aca="false">IF(A27="","",IF(I27&gt;I26,MAX(0,M26*(1+計算過程!$B$55)-計算過程!$B$56),M26))</f>
        <v>0</v>
      </c>
      <c r="N27" s="56" t="n">
        <f aca="false">IF(A27="","",C27+J27)</f>
        <v>25809</v>
      </c>
      <c r="O27" s="56" t="n">
        <f aca="false">IF(A27="","",H27+M27)</f>
        <v>1010457.01348644</v>
      </c>
    </row>
    <row r="28" customFormat="false" ht="15" hidden="false" customHeight="false" outlineLevel="0" collapsed="false">
      <c r="A28" s="55" t="n">
        <f aca="false">IF(ROWS($A$8:A28)&lt;=計算過程!$B$51,ROWS($A$8:A28),"")</f>
        <v>21</v>
      </c>
      <c r="B28" s="57" t="n">
        <f aca="false">IF(A28="","",EDATE(計算過程!$B$71,A28-1))</f>
        <v>46966</v>
      </c>
      <c r="C28" s="56" t="n">
        <f aca="false">IF(A28="","",計算過程!$B$54)</f>
        <v>25809</v>
      </c>
      <c r="D28" s="56" t="n">
        <f aca="false">IF(A28="","",ROUND(F27*計算過程!$B$24/12+G27*計算過程!$B$25/12,0))</f>
        <v>1061</v>
      </c>
      <c r="E28" s="56" t="n">
        <f aca="false">IF(A28="","",C28-D28)</f>
        <v>24748</v>
      </c>
      <c r="F28" s="56" t="n">
        <f aca="false">IF(A28="","",MAX(0,F27*(1+計算過程!$B$24/12)-計算過程!$B$52))</f>
        <v>985709.106780398</v>
      </c>
      <c r="G28" s="56" t="n">
        <f aca="false">IF(A28="","",MAX(0,G27*(1+計算過程!$B$25/12)-計算過程!$B$53))</f>
        <v>0</v>
      </c>
      <c r="H28" s="56" t="n">
        <f aca="false">IF(A28="","",F28+G28)</f>
        <v>985709.106780398</v>
      </c>
      <c r="I28" s="55" t="n">
        <f aca="false">IF(A28="","",IF(AND(OR(MONTH(B28)=6,MONTH(B28)=12),I27&lt;計算過程!$B$50),I27+1,I27))</f>
        <v>0</v>
      </c>
      <c r="J28" s="56" t="n">
        <f aca="false">IF(A28="","",IF(I28&gt;I27,計算過程!$B$57,0))</f>
        <v>0</v>
      </c>
      <c r="K28" s="56" t="n">
        <f aca="false">IF(A28="","",IF(I28&gt;I27,ROUND(M27*計算過程!$B$55,0),0))</f>
        <v>0</v>
      </c>
      <c r="L28" s="56" t="n">
        <f aca="false">IF(A28="","",J28-K28)</f>
        <v>0</v>
      </c>
      <c r="M28" s="56" t="n">
        <f aca="false">IF(A28="","",IF(I28&gt;I27,MAX(0,M27*(1+計算過程!$B$55)-計算過程!$B$56),M27))</f>
        <v>0</v>
      </c>
      <c r="N28" s="56" t="n">
        <f aca="false">IF(A28="","",C28+J28)</f>
        <v>25809</v>
      </c>
      <c r="O28" s="56" t="n">
        <f aca="false">IF(A28="","",H28+M28)</f>
        <v>985709.106780398</v>
      </c>
    </row>
    <row r="29" customFormat="false" ht="15" hidden="false" customHeight="false" outlineLevel="0" collapsed="false">
      <c r="A29" s="55" t="n">
        <f aca="false">IF(ROWS($A$8:A29)&lt;=計算過程!$B$51,ROWS($A$8:A29),"")</f>
        <v>22</v>
      </c>
      <c r="B29" s="57" t="n">
        <f aca="false">IF(A29="","",EDATE(計算過程!$B$71,A29-1))</f>
        <v>46997</v>
      </c>
      <c r="C29" s="56" t="n">
        <f aca="false">IF(A29="","",計算過程!$B$54)</f>
        <v>25809</v>
      </c>
      <c r="D29" s="56" t="n">
        <f aca="false">IF(A29="","",ROUND(F28*計算過程!$B$24/12+G28*計算過程!$B$25/12,0))</f>
        <v>1035</v>
      </c>
      <c r="E29" s="56" t="n">
        <f aca="false">IF(A29="","",C29-D29)</f>
        <v>24774</v>
      </c>
      <c r="F29" s="56" t="n">
        <f aca="false">IF(A29="","",MAX(0,F28*(1+計算過程!$B$24/12)-計算過程!$B$52))</f>
        <v>960935.214772311</v>
      </c>
      <c r="G29" s="56" t="n">
        <f aca="false">IF(A29="","",MAX(0,G28*(1+計算過程!$B$25/12)-計算過程!$B$53))</f>
        <v>0</v>
      </c>
      <c r="H29" s="56" t="n">
        <f aca="false">IF(A29="","",F29+G29)</f>
        <v>960935.214772311</v>
      </c>
      <c r="I29" s="55" t="n">
        <f aca="false">IF(A29="","",IF(AND(OR(MONTH(B29)=6,MONTH(B29)=12),I28&lt;計算過程!$B$50),I28+1,I28))</f>
        <v>0</v>
      </c>
      <c r="J29" s="56" t="n">
        <f aca="false">IF(A29="","",IF(I29&gt;I28,計算過程!$B$57,0))</f>
        <v>0</v>
      </c>
      <c r="K29" s="56" t="n">
        <f aca="false">IF(A29="","",IF(I29&gt;I28,ROUND(M28*計算過程!$B$55,0),0))</f>
        <v>0</v>
      </c>
      <c r="L29" s="56" t="n">
        <f aca="false">IF(A29="","",J29-K29)</f>
        <v>0</v>
      </c>
      <c r="M29" s="56" t="n">
        <f aca="false">IF(A29="","",IF(I29&gt;I28,MAX(0,M28*(1+計算過程!$B$55)-計算過程!$B$56),M28))</f>
        <v>0</v>
      </c>
      <c r="N29" s="56" t="n">
        <f aca="false">IF(A29="","",C29+J29)</f>
        <v>25809</v>
      </c>
      <c r="O29" s="56" t="n">
        <f aca="false">IF(A29="","",H29+M29)</f>
        <v>960935.214772311</v>
      </c>
    </row>
    <row r="30" customFormat="false" ht="15" hidden="false" customHeight="false" outlineLevel="0" collapsed="false">
      <c r="A30" s="55" t="n">
        <f aca="false">IF(ROWS($A$8:A30)&lt;=計算過程!$B$51,ROWS($A$8:A30),"")</f>
        <v>23</v>
      </c>
      <c r="B30" s="57" t="n">
        <f aca="false">IF(A30="","",EDATE(計算過程!$B$71,A30-1))</f>
        <v>47027</v>
      </c>
      <c r="C30" s="56" t="n">
        <f aca="false">IF(A30="","",計算過程!$B$54)</f>
        <v>25809</v>
      </c>
      <c r="D30" s="56" t="n">
        <f aca="false">IF(A30="","",ROUND(F29*計算過程!$B$24/12+G29*計算過程!$B$25/12,0))</f>
        <v>1009</v>
      </c>
      <c r="E30" s="56" t="n">
        <f aca="false">IF(A30="","",C30-D30)</f>
        <v>24800</v>
      </c>
      <c r="F30" s="56" t="n">
        <f aca="false">IF(A30="","",MAX(0,F29*(1+計算過程!$B$24/12)-計算過程!$B$52))</f>
        <v>936135.310177615</v>
      </c>
      <c r="G30" s="56" t="n">
        <f aca="false">IF(A30="","",MAX(0,G29*(1+計算過程!$B$25/12)-計算過程!$B$53))</f>
        <v>0</v>
      </c>
      <c r="H30" s="56" t="n">
        <f aca="false">IF(A30="","",F30+G30)</f>
        <v>936135.310177615</v>
      </c>
      <c r="I30" s="55" t="n">
        <f aca="false">IF(A30="","",IF(AND(OR(MONTH(B30)=6,MONTH(B30)=12),I29&lt;計算過程!$B$50),I29+1,I29))</f>
        <v>0</v>
      </c>
      <c r="J30" s="56" t="n">
        <f aca="false">IF(A30="","",IF(I30&gt;I29,計算過程!$B$57,0))</f>
        <v>0</v>
      </c>
      <c r="K30" s="56" t="n">
        <f aca="false">IF(A30="","",IF(I30&gt;I29,ROUND(M29*計算過程!$B$55,0),0))</f>
        <v>0</v>
      </c>
      <c r="L30" s="56" t="n">
        <f aca="false">IF(A30="","",J30-K30)</f>
        <v>0</v>
      </c>
      <c r="M30" s="56" t="n">
        <f aca="false">IF(A30="","",IF(I30&gt;I29,MAX(0,M29*(1+計算過程!$B$55)-計算過程!$B$56),M29))</f>
        <v>0</v>
      </c>
      <c r="N30" s="56" t="n">
        <f aca="false">IF(A30="","",C30+J30)</f>
        <v>25809</v>
      </c>
      <c r="O30" s="56" t="n">
        <f aca="false">IF(A30="","",H30+M30)</f>
        <v>936135.310177615</v>
      </c>
    </row>
    <row r="31" customFormat="false" ht="15" hidden="false" customHeight="false" outlineLevel="0" collapsed="false">
      <c r="A31" s="55" t="n">
        <f aca="false">IF(ROWS($A$8:A31)&lt;=計算過程!$B$51,ROWS($A$8:A31),"")</f>
        <v>24</v>
      </c>
      <c r="B31" s="57" t="n">
        <f aca="false">IF(A31="","",EDATE(計算過程!$B$71,A31-1))</f>
        <v>47058</v>
      </c>
      <c r="C31" s="56" t="n">
        <f aca="false">IF(A31="","",計算過程!$B$54)</f>
        <v>25809</v>
      </c>
      <c r="D31" s="56" t="n">
        <f aca="false">IF(A31="","",ROUND(F30*計算過程!$B$24/12+G30*計算過程!$B$25/12,0))</f>
        <v>983</v>
      </c>
      <c r="E31" s="56" t="n">
        <f aca="false">IF(A31="","",C31-D31)</f>
        <v>24826</v>
      </c>
      <c r="F31" s="56" t="n">
        <f aca="false">IF(A31="","",MAX(0,F30*(1+計算過程!$B$24/12)-計算過程!$B$52))</f>
        <v>911309.365683095</v>
      </c>
      <c r="G31" s="56" t="n">
        <f aca="false">IF(A31="","",MAX(0,G30*(1+計算過程!$B$25/12)-計算過程!$B$53))</f>
        <v>0</v>
      </c>
      <c r="H31" s="56" t="n">
        <f aca="false">IF(A31="","",F31+G31)</f>
        <v>911309.365683095</v>
      </c>
      <c r="I31" s="55" t="n">
        <f aca="false">IF(A31="","",IF(AND(OR(MONTH(B31)=6,MONTH(B31)=12),I30&lt;計算過程!$B$50),I30+1,I30))</f>
        <v>0</v>
      </c>
      <c r="J31" s="56" t="n">
        <f aca="false">IF(A31="","",IF(I31&gt;I30,計算過程!$B$57,0))</f>
        <v>0</v>
      </c>
      <c r="K31" s="56" t="n">
        <f aca="false">IF(A31="","",IF(I31&gt;I30,ROUND(M30*計算過程!$B$55,0),0))</f>
        <v>0</v>
      </c>
      <c r="L31" s="56" t="n">
        <f aca="false">IF(A31="","",J31-K31)</f>
        <v>0</v>
      </c>
      <c r="M31" s="56" t="n">
        <f aca="false">IF(A31="","",IF(I31&gt;I30,MAX(0,M30*(1+計算過程!$B$55)-計算過程!$B$56),M30))</f>
        <v>0</v>
      </c>
      <c r="N31" s="56" t="n">
        <f aca="false">IF(A31="","",C31+J31)</f>
        <v>25809</v>
      </c>
      <c r="O31" s="56" t="n">
        <f aca="false">IF(A31="","",H31+M31)</f>
        <v>911309.365683095</v>
      </c>
    </row>
    <row r="32" customFormat="false" ht="15" hidden="false" customHeight="false" outlineLevel="0" collapsed="false">
      <c r="A32" s="55" t="n">
        <f aca="false">IF(ROWS($A$8:A32)&lt;=計算過程!$B$51,ROWS($A$8:A32),"")</f>
        <v>25</v>
      </c>
      <c r="B32" s="57" t="n">
        <f aca="false">IF(A32="","",EDATE(計算過程!$B$71,A32-1))</f>
        <v>47088</v>
      </c>
      <c r="C32" s="56" t="n">
        <f aca="false">IF(A32="","",計算過程!$B$54)</f>
        <v>25809</v>
      </c>
      <c r="D32" s="56" t="n">
        <f aca="false">IF(A32="","",ROUND(F31*計算過程!$B$24/12+G31*計算過程!$B$25/12,0))</f>
        <v>957</v>
      </c>
      <c r="E32" s="56" t="n">
        <f aca="false">IF(A32="","",C32-D32)</f>
        <v>24852</v>
      </c>
      <c r="F32" s="56" t="n">
        <f aca="false">IF(A32="","",MAX(0,F31*(1+計算過程!$B$24/12)-計算過程!$B$52))</f>
        <v>886457.353946855</v>
      </c>
      <c r="G32" s="56" t="n">
        <f aca="false">IF(A32="","",MAX(0,G31*(1+計算過程!$B$25/12)-計算過程!$B$53))</f>
        <v>0</v>
      </c>
      <c r="H32" s="56" t="n">
        <f aca="false">IF(A32="","",F32+G32)</f>
        <v>886457.353946855</v>
      </c>
      <c r="I32" s="55" t="n">
        <f aca="false">IF(A32="","",IF(AND(OR(MONTH(B32)=6,MONTH(B32)=12),I31&lt;計算過程!$B$50),I31+1,I31))</f>
        <v>0</v>
      </c>
      <c r="J32" s="56" t="n">
        <f aca="false">IF(A32="","",IF(I32&gt;I31,計算過程!$B$57,0))</f>
        <v>0</v>
      </c>
      <c r="K32" s="56" t="n">
        <f aca="false">IF(A32="","",IF(I32&gt;I31,ROUND(M31*計算過程!$B$55,0),0))</f>
        <v>0</v>
      </c>
      <c r="L32" s="56" t="n">
        <f aca="false">IF(A32="","",J32-K32)</f>
        <v>0</v>
      </c>
      <c r="M32" s="56" t="n">
        <f aca="false">IF(A32="","",IF(I32&gt;I31,MAX(0,M31*(1+計算過程!$B$55)-計算過程!$B$56),M31))</f>
        <v>0</v>
      </c>
      <c r="N32" s="56" t="n">
        <f aca="false">IF(A32="","",C32+J32)</f>
        <v>25809</v>
      </c>
      <c r="O32" s="56" t="n">
        <f aca="false">IF(A32="","",H32+M32)</f>
        <v>886457.353946855</v>
      </c>
    </row>
    <row r="33" customFormat="false" ht="15" hidden="false" customHeight="false" outlineLevel="0" collapsed="false">
      <c r="A33" s="55" t="n">
        <f aca="false">IF(ROWS($A$8:A33)&lt;=計算過程!$B$51,ROWS($A$8:A33),"")</f>
        <v>26</v>
      </c>
      <c r="B33" s="57" t="n">
        <f aca="false">IF(A33="","",EDATE(計算過程!$B$71,A33-1))</f>
        <v>47119</v>
      </c>
      <c r="C33" s="56" t="n">
        <f aca="false">IF(A33="","",計算過程!$B$54)</f>
        <v>25809</v>
      </c>
      <c r="D33" s="56" t="n">
        <f aca="false">IF(A33="","",ROUND(F32*計算過程!$B$24/12+G32*計算過程!$B$25/12,0))</f>
        <v>931</v>
      </c>
      <c r="E33" s="56" t="n">
        <f aca="false">IF(A33="","",C33-D33)</f>
        <v>24878</v>
      </c>
      <c r="F33" s="56" t="n">
        <f aca="false">IF(A33="","",MAX(0,F32*(1+計算過程!$B$24/12)-計算過程!$B$52))</f>
        <v>861579.247598292</v>
      </c>
      <c r="G33" s="56" t="n">
        <f aca="false">IF(A33="","",MAX(0,G32*(1+計算過程!$B$25/12)-計算過程!$B$53))</f>
        <v>0</v>
      </c>
      <c r="H33" s="56" t="n">
        <f aca="false">IF(A33="","",F33+G33)</f>
        <v>861579.247598292</v>
      </c>
      <c r="I33" s="55" t="n">
        <f aca="false">IF(A33="","",IF(AND(OR(MONTH(B33)=6,MONTH(B33)=12),I32&lt;計算過程!$B$50),I32+1,I32))</f>
        <v>0</v>
      </c>
      <c r="J33" s="56" t="n">
        <f aca="false">IF(A33="","",IF(I33&gt;I32,計算過程!$B$57,0))</f>
        <v>0</v>
      </c>
      <c r="K33" s="56" t="n">
        <f aca="false">IF(A33="","",IF(I33&gt;I32,ROUND(M32*計算過程!$B$55,0),0))</f>
        <v>0</v>
      </c>
      <c r="L33" s="56" t="n">
        <f aca="false">IF(A33="","",J33-K33)</f>
        <v>0</v>
      </c>
      <c r="M33" s="56" t="n">
        <f aca="false">IF(A33="","",IF(I33&gt;I32,MAX(0,M32*(1+計算過程!$B$55)-計算過程!$B$56),M32))</f>
        <v>0</v>
      </c>
      <c r="N33" s="56" t="n">
        <f aca="false">IF(A33="","",C33+J33)</f>
        <v>25809</v>
      </c>
      <c r="O33" s="56" t="n">
        <f aca="false">IF(A33="","",H33+M33)</f>
        <v>861579.247598292</v>
      </c>
    </row>
    <row r="34" customFormat="false" ht="15" hidden="false" customHeight="false" outlineLevel="0" collapsed="false">
      <c r="A34" s="55" t="n">
        <f aca="false">IF(ROWS($A$8:A34)&lt;=計算過程!$B$51,ROWS($A$8:A34),"")</f>
        <v>27</v>
      </c>
      <c r="B34" s="57" t="n">
        <f aca="false">IF(A34="","",EDATE(計算過程!$B$71,A34-1))</f>
        <v>47150</v>
      </c>
      <c r="C34" s="56" t="n">
        <f aca="false">IF(A34="","",計算過程!$B$54)</f>
        <v>25809</v>
      </c>
      <c r="D34" s="56" t="n">
        <f aca="false">IF(A34="","",ROUND(F33*計算過程!$B$24/12+G33*計算過程!$B$25/12,0))</f>
        <v>905</v>
      </c>
      <c r="E34" s="56" t="n">
        <f aca="false">IF(A34="","",C34-D34)</f>
        <v>24904</v>
      </c>
      <c r="F34" s="56" t="n">
        <f aca="false">IF(A34="","",MAX(0,F33*(1+計算過程!$B$24/12)-計算過程!$B$52))</f>
        <v>836675.019238064</v>
      </c>
      <c r="G34" s="56" t="n">
        <f aca="false">IF(A34="","",MAX(0,G33*(1+計算過程!$B$25/12)-計算過程!$B$53))</f>
        <v>0</v>
      </c>
      <c r="H34" s="56" t="n">
        <f aca="false">IF(A34="","",F34+G34)</f>
        <v>836675.019238064</v>
      </c>
      <c r="I34" s="55" t="n">
        <f aca="false">IF(A34="","",IF(AND(OR(MONTH(B34)=6,MONTH(B34)=12),I33&lt;計算過程!$B$50),I33+1,I33))</f>
        <v>0</v>
      </c>
      <c r="J34" s="56" t="n">
        <f aca="false">IF(A34="","",IF(I34&gt;I33,計算過程!$B$57,0))</f>
        <v>0</v>
      </c>
      <c r="K34" s="56" t="n">
        <f aca="false">IF(A34="","",IF(I34&gt;I33,ROUND(M33*計算過程!$B$55,0),0))</f>
        <v>0</v>
      </c>
      <c r="L34" s="56" t="n">
        <f aca="false">IF(A34="","",J34-K34)</f>
        <v>0</v>
      </c>
      <c r="M34" s="56" t="n">
        <f aca="false">IF(A34="","",IF(I34&gt;I33,MAX(0,M33*(1+計算過程!$B$55)-計算過程!$B$56),M33))</f>
        <v>0</v>
      </c>
      <c r="N34" s="56" t="n">
        <f aca="false">IF(A34="","",C34+J34)</f>
        <v>25809</v>
      </c>
      <c r="O34" s="56" t="n">
        <f aca="false">IF(A34="","",H34+M34)</f>
        <v>836675.019238064</v>
      </c>
    </row>
    <row r="35" customFormat="false" ht="15" hidden="false" customHeight="false" outlineLevel="0" collapsed="false">
      <c r="A35" s="55" t="n">
        <f aca="false">IF(ROWS($A$8:A35)&lt;=計算過程!$B$51,ROWS($A$8:A35),"")</f>
        <v>28</v>
      </c>
      <c r="B35" s="57" t="n">
        <f aca="false">IF(A35="","",EDATE(計算過程!$B$71,A35-1))</f>
        <v>47178</v>
      </c>
      <c r="C35" s="56" t="n">
        <f aca="false">IF(A35="","",計算過程!$B$54)</f>
        <v>25809</v>
      </c>
      <c r="D35" s="56" t="n">
        <f aca="false">IF(A35="","",ROUND(F34*計算過程!$B$24/12+G34*計算過程!$B$25/12,0))</f>
        <v>879</v>
      </c>
      <c r="E35" s="56" t="n">
        <f aca="false">IF(A35="","",C35-D35)</f>
        <v>24930</v>
      </c>
      <c r="F35" s="56" t="n">
        <f aca="false">IF(A35="","",MAX(0,F34*(1+計算過程!$B$24/12)-計算過程!$B$52))</f>
        <v>811744.641438057</v>
      </c>
      <c r="G35" s="56" t="n">
        <f aca="false">IF(A35="","",MAX(0,G34*(1+計算過程!$B$25/12)-計算過程!$B$53))</f>
        <v>0</v>
      </c>
      <c r="H35" s="56" t="n">
        <f aca="false">IF(A35="","",F35+G35)</f>
        <v>811744.641438057</v>
      </c>
      <c r="I35" s="55" t="n">
        <f aca="false">IF(A35="","",IF(AND(OR(MONTH(B35)=6,MONTH(B35)=12),I34&lt;計算過程!$B$50),I34+1,I34))</f>
        <v>0</v>
      </c>
      <c r="J35" s="56" t="n">
        <f aca="false">IF(A35="","",IF(I35&gt;I34,計算過程!$B$57,0))</f>
        <v>0</v>
      </c>
      <c r="K35" s="56" t="n">
        <f aca="false">IF(A35="","",IF(I35&gt;I34,ROUND(M34*計算過程!$B$55,0),0))</f>
        <v>0</v>
      </c>
      <c r="L35" s="56" t="n">
        <f aca="false">IF(A35="","",J35-K35)</f>
        <v>0</v>
      </c>
      <c r="M35" s="56" t="n">
        <f aca="false">IF(A35="","",IF(I35&gt;I34,MAX(0,M34*(1+計算過程!$B$55)-計算過程!$B$56),M34))</f>
        <v>0</v>
      </c>
      <c r="N35" s="56" t="n">
        <f aca="false">IF(A35="","",C35+J35)</f>
        <v>25809</v>
      </c>
      <c r="O35" s="56" t="n">
        <f aca="false">IF(A35="","",H35+M35)</f>
        <v>811744.641438057</v>
      </c>
    </row>
    <row r="36" customFormat="false" ht="15" hidden="false" customHeight="false" outlineLevel="0" collapsed="false">
      <c r="A36" s="55" t="n">
        <f aca="false">IF(ROWS($A$8:A36)&lt;=計算過程!$B$51,ROWS($A$8:A36),"")</f>
        <v>29</v>
      </c>
      <c r="B36" s="57" t="n">
        <f aca="false">IF(A36="","",EDATE(計算過程!$B$71,A36-1))</f>
        <v>47209</v>
      </c>
      <c r="C36" s="56" t="n">
        <f aca="false">IF(A36="","",計算過程!$B$54)</f>
        <v>25809</v>
      </c>
      <c r="D36" s="56" t="n">
        <f aca="false">IF(A36="","",ROUND(F35*計算過程!$B$24/12+G35*計算過程!$B$25/12,0))</f>
        <v>852</v>
      </c>
      <c r="E36" s="56" t="n">
        <f aca="false">IF(A36="","",C36-D36)</f>
        <v>24957</v>
      </c>
      <c r="F36" s="56" t="n">
        <f aca="false">IF(A36="","",MAX(0,F35*(1+計算過程!$B$24/12)-計算過程!$B$52))</f>
        <v>786788.08674136</v>
      </c>
      <c r="G36" s="56" t="n">
        <f aca="false">IF(A36="","",MAX(0,G35*(1+計算過程!$B$25/12)-計算過程!$B$53))</f>
        <v>0</v>
      </c>
      <c r="H36" s="56" t="n">
        <f aca="false">IF(A36="","",F36+G36)</f>
        <v>786788.08674136</v>
      </c>
      <c r="I36" s="55" t="n">
        <f aca="false">IF(A36="","",IF(AND(OR(MONTH(B36)=6,MONTH(B36)=12),I35&lt;計算過程!$B$50),I35+1,I35))</f>
        <v>0</v>
      </c>
      <c r="J36" s="56" t="n">
        <f aca="false">IF(A36="","",IF(I36&gt;I35,計算過程!$B$57,0))</f>
        <v>0</v>
      </c>
      <c r="K36" s="56" t="n">
        <f aca="false">IF(A36="","",IF(I36&gt;I35,ROUND(M35*計算過程!$B$55,0),0))</f>
        <v>0</v>
      </c>
      <c r="L36" s="56" t="n">
        <f aca="false">IF(A36="","",J36-K36)</f>
        <v>0</v>
      </c>
      <c r="M36" s="56" t="n">
        <f aca="false">IF(A36="","",IF(I36&gt;I35,MAX(0,M35*(1+計算過程!$B$55)-計算過程!$B$56),M35))</f>
        <v>0</v>
      </c>
      <c r="N36" s="56" t="n">
        <f aca="false">IF(A36="","",C36+J36)</f>
        <v>25809</v>
      </c>
      <c r="O36" s="56" t="n">
        <f aca="false">IF(A36="","",H36+M36)</f>
        <v>786788.08674136</v>
      </c>
    </row>
    <row r="37" customFormat="false" ht="15" hidden="false" customHeight="false" outlineLevel="0" collapsed="false">
      <c r="A37" s="55" t="n">
        <f aca="false">IF(ROWS($A$8:A37)&lt;=計算過程!$B$51,ROWS($A$8:A37),"")</f>
        <v>30</v>
      </c>
      <c r="B37" s="57" t="n">
        <f aca="false">IF(A37="","",EDATE(計算過程!$B$71,A37-1))</f>
        <v>47239</v>
      </c>
      <c r="C37" s="56" t="n">
        <f aca="false">IF(A37="","",計算過程!$B$54)</f>
        <v>25809</v>
      </c>
      <c r="D37" s="56" t="n">
        <f aca="false">IF(A37="","",ROUND(F36*計算過程!$B$24/12+G36*計算過程!$B$25/12,0))</f>
        <v>826</v>
      </c>
      <c r="E37" s="56" t="n">
        <f aca="false">IF(A37="","",C37-D37)</f>
        <v>24983</v>
      </c>
      <c r="F37" s="56" t="n">
        <f aca="false">IF(A37="","",MAX(0,F36*(1+計算過程!$B$24/12)-計算過程!$B$52))</f>
        <v>761805.327662232</v>
      </c>
      <c r="G37" s="56" t="n">
        <f aca="false">IF(A37="","",MAX(0,G36*(1+計算過程!$B$25/12)-計算過程!$B$53))</f>
        <v>0</v>
      </c>
      <c r="H37" s="56" t="n">
        <f aca="false">IF(A37="","",F37+G37)</f>
        <v>761805.327662232</v>
      </c>
      <c r="I37" s="55" t="n">
        <f aca="false">IF(A37="","",IF(AND(OR(MONTH(B37)=6,MONTH(B37)=12),I36&lt;計算過程!$B$50),I36+1,I36))</f>
        <v>0</v>
      </c>
      <c r="J37" s="56" t="n">
        <f aca="false">IF(A37="","",IF(I37&gt;I36,計算過程!$B$57,0))</f>
        <v>0</v>
      </c>
      <c r="K37" s="56" t="n">
        <f aca="false">IF(A37="","",IF(I37&gt;I36,ROUND(M36*計算過程!$B$55,0),0))</f>
        <v>0</v>
      </c>
      <c r="L37" s="56" t="n">
        <f aca="false">IF(A37="","",J37-K37)</f>
        <v>0</v>
      </c>
      <c r="M37" s="56" t="n">
        <f aca="false">IF(A37="","",IF(I37&gt;I36,MAX(0,M36*(1+計算過程!$B$55)-計算過程!$B$56),M36))</f>
        <v>0</v>
      </c>
      <c r="N37" s="56" t="n">
        <f aca="false">IF(A37="","",C37+J37)</f>
        <v>25809</v>
      </c>
      <c r="O37" s="56" t="n">
        <f aca="false">IF(A37="","",H37+M37)</f>
        <v>761805.327662232</v>
      </c>
    </row>
    <row r="38" customFormat="false" ht="15" hidden="false" customHeight="false" outlineLevel="0" collapsed="false">
      <c r="A38" s="55" t="n">
        <f aca="false">IF(ROWS($A$8:A38)&lt;=計算過程!$B$51,ROWS($A$8:A38),"")</f>
        <v>31</v>
      </c>
      <c r="B38" s="57" t="n">
        <f aca="false">IF(A38="","",EDATE(計算過程!$B$71,A38-1))</f>
        <v>47270</v>
      </c>
      <c r="C38" s="56" t="n">
        <f aca="false">IF(A38="","",計算過程!$B$54)</f>
        <v>25809</v>
      </c>
      <c r="D38" s="56" t="n">
        <f aca="false">IF(A38="","",ROUND(F37*計算過程!$B$24/12+G37*計算過程!$B$25/12,0))</f>
        <v>800</v>
      </c>
      <c r="E38" s="56" t="n">
        <f aca="false">IF(A38="","",C38-D38)</f>
        <v>25009</v>
      </c>
      <c r="F38" s="56" t="n">
        <f aca="false">IF(A38="","",MAX(0,F37*(1+計算過程!$B$24/12)-計算過程!$B$52))</f>
        <v>736796.33668607</v>
      </c>
      <c r="G38" s="56" t="n">
        <f aca="false">IF(A38="","",MAX(0,G37*(1+計算過程!$B$25/12)-計算過程!$B$53))</f>
        <v>0</v>
      </c>
      <c r="H38" s="56" t="n">
        <f aca="false">IF(A38="","",F38+G38)</f>
        <v>736796.33668607</v>
      </c>
      <c r="I38" s="55" t="n">
        <f aca="false">IF(A38="","",IF(AND(OR(MONTH(B38)=6,MONTH(B38)=12),I37&lt;計算過程!$B$50),I37+1,I37))</f>
        <v>0</v>
      </c>
      <c r="J38" s="56" t="n">
        <f aca="false">IF(A38="","",IF(I38&gt;I37,計算過程!$B$57,0))</f>
        <v>0</v>
      </c>
      <c r="K38" s="56" t="n">
        <f aca="false">IF(A38="","",IF(I38&gt;I37,ROUND(M37*計算過程!$B$55,0),0))</f>
        <v>0</v>
      </c>
      <c r="L38" s="56" t="n">
        <f aca="false">IF(A38="","",J38-K38)</f>
        <v>0</v>
      </c>
      <c r="M38" s="56" t="n">
        <f aca="false">IF(A38="","",IF(I38&gt;I37,MAX(0,M37*(1+計算過程!$B$55)-計算過程!$B$56),M37))</f>
        <v>0</v>
      </c>
      <c r="N38" s="56" t="n">
        <f aca="false">IF(A38="","",C38+J38)</f>
        <v>25809</v>
      </c>
      <c r="O38" s="56" t="n">
        <f aca="false">IF(A38="","",H38+M38)</f>
        <v>736796.33668607</v>
      </c>
    </row>
    <row r="39" customFormat="false" ht="15" hidden="false" customHeight="false" outlineLevel="0" collapsed="false">
      <c r="A39" s="55" t="n">
        <f aca="false">IF(ROWS($A$8:A39)&lt;=計算過程!$B$51,ROWS($A$8:A39),"")</f>
        <v>32</v>
      </c>
      <c r="B39" s="57" t="n">
        <f aca="false">IF(A39="","",EDATE(計算過程!$B$71,A39-1))</f>
        <v>47300</v>
      </c>
      <c r="C39" s="56" t="n">
        <f aca="false">IF(A39="","",計算過程!$B$54)</f>
        <v>25809</v>
      </c>
      <c r="D39" s="56" t="n">
        <f aca="false">IF(A39="","",ROUND(F38*計算過程!$B$24/12+G38*計算過程!$B$25/12,0))</f>
        <v>774</v>
      </c>
      <c r="E39" s="56" t="n">
        <f aca="false">IF(A39="","",C39-D39)</f>
        <v>25035</v>
      </c>
      <c r="F39" s="56" t="n">
        <f aca="false">IF(A39="","",MAX(0,F38*(1+計算過程!$B$24/12)-計算過程!$B$52))</f>
        <v>711761.086269383</v>
      </c>
      <c r="G39" s="56" t="n">
        <f aca="false">IF(A39="","",MAX(0,G38*(1+計算過程!$B$25/12)-計算過程!$B$53))</f>
        <v>0</v>
      </c>
      <c r="H39" s="56" t="n">
        <f aca="false">IF(A39="","",F39+G39)</f>
        <v>711761.086269383</v>
      </c>
      <c r="I39" s="55" t="n">
        <f aca="false">IF(A39="","",IF(AND(OR(MONTH(B39)=6,MONTH(B39)=12),I38&lt;計算過程!$B$50),I38+1,I38))</f>
        <v>0</v>
      </c>
      <c r="J39" s="56" t="n">
        <f aca="false">IF(A39="","",IF(I39&gt;I38,計算過程!$B$57,0))</f>
        <v>0</v>
      </c>
      <c r="K39" s="56" t="n">
        <f aca="false">IF(A39="","",IF(I39&gt;I38,ROUND(M38*計算過程!$B$55,0),0))</f>
        <v>0</v>
      </c>
      <c r="L39" s="56" t="n">
        <f aca="false">IF(A39="","",J39-K39)</f>
        <v>0</v>
      </c>
      <c r="M39" s="56" t="n">
        <f aca="false">IF(A39="","",IF(I39&gt;I38,MAX(0,M38*(1+計算過程!$B$55)-計算過程!$B$56),M38))</f>
        <v>0</v>
      </c>
      <c r="N39" s="56" t="n">
        <f aca="false">IF(A39="","",C39+J39)</f>
        <v>25809</v>
      </c>
      <c r="O39" s="56" t="n">
        <f aca="false">IF(A39="","",H39+M39)</f>
        <v>711761.086269383</v>
      </c>
    </row>
    <row r="40" customFormat="false" ht="15" hidden="false" customHeight="false" outlineLevel="0" collapsed="false">
      <c r="A40" s="55" t="n">
        <f aca="false">IF(ROWS($A$8:A40)&lt;=計算過程!$B$51,ROWS($A$8:A40),"")</f>
        <v>33</v>
      </c>
      <c r="B40" s="57" t="n">
        <f aca="false">IF(A40="","",EDATE(計算過程!$B$71,A40-1))</f>
        <v>47331</v>
      </c>
      <c r="C40" s="56" t="n">
        <f aca="false">IF(A40="","",計算過程!$B$54)</f>
        <v>25809</v>
      </c>
      <c r="D40" s="56" t="n">
        <f aca="false">IF(A40="","",ROUND(F39*計算過程!$B$24/12+G39*計算過程!$B$25/12,0))</f>
        <v>747</v>
      </c>
      <c r="E40" s="56" t="n">
        <f aca="false">IF(A40="","",C40-D40)</f>
        <v>25062</v>
      </c>
      <c r="F40" s="56" t="n">
        <f aca="false">IF(A40="","",MAX(0,F39*(1+計算過程!$B$24/12)-計算過程!$B$52))</f>
        <v>686699.548839759</v>
      </c>
      <c r="G40" s="56" t="n">
        <f aca="false">IF(A40="","",MAX(0,G39*(1+計算過程!$B$25/12)-計算過程!$B$53))</f>
        <v>0</v>
      </c>
      <c r="H40" s="56" t="n">
        <f aca="false">IF(A40="","",F40+G40)</f>
        <v>686699.548839759</v>
      </c>
      <c r="I40" s="55" t="n">
        <f aca="false">IF(A40="","",IF(AND(OR(MONTH(B40)=6,MONTH(B40)=12),I39&lt;計算過程!$B$50),I39+1,I39))</f>
        <v>0</v>
      </c>
      <c r="J40" s="56" t="n">
        <f aca="false">IF(A40="","",IF(I40&gt;I39,計算過程!$B$57,0))</f>
        <v>0</v>
      </c>
      <c r="K40" s="56" t="n">
        <f aca="false">IF(A40="","",IF(I40&gt;I39,ROUND(M39*計算過程!$B$55,0),0))</f>
        <v>0</v>
      </c>
      <c r="L40" s="56" t="n">
        <f aca="false">IF(A40="","",J40-K40)</f>
        <v>0</v>
      </c>
      <c r="M40" s="56" t="n">
        <f aca="false">IF(A40="","",IF(I40&gt;I39,MAX(0,M39*(1+計算過程!$B$55)-計算過程!$B$56),M39))</f>
        <v>0</v>
      </c>
      <c r="N40" s="56" t="n">
        <f aca="false">IF(A40="","",C40+J40)</f>
        <v>25809</v>
      </c>
      <c r="O40" s="56" t="n">
        <f aca="false">IF(A40="","",H40+M40)</f>
        <v>686699.548839759</v>
      </c>
    </row>
    <row r="41" customFormat="false" ht="15" hidden="false" customHeight="false" outlineLevel="0" collapsed="false">
      <c r="A41" s="55" t="n">
        <f aca="false">IF(ROWS($A$8:A41)&lt;=計算過程!$B$51,ROWS($A$8:A41),"")</f>
        <v>34</v>
      </c>
      <c r="B41" s="57" t="n">
        <f aca="false">IF(A41="","",EDATE(計算過程!$B$71,A41-1))</f>
        <v>47362</v>
      </c>
      <c r="C41" s="56" t="n">
        <f aca="false">IF(A41="","",計算過程!$B$54)</f>
        <v>25809</v>
      </c>
      <c r="D41" s="56" t="n">
        <f aca="false">IF(A41="","",ROUND(F40*計算過程!$B$24/12+G40*計算過程!$B$25/12,0))</f>
        <v>721</v>
      </c>
      <c r="E41" s="56" t="n">
        <f aca="false">IF(A41="","",C41-D41)</f>
        <v>25088</v>
      </c>
      <c r="F41" s="56" t="n">
        <f aca="false">IF(A41="","",MAX(0,F40*(1+計算過程!$B$24/12)-計算過程!$B$52))</f>
        <v>661611.696795834</v>
      </c>
      <c r="G41" s="56" t="n">
        <f aca="false">IF(A41="","",MAX(0,G40*(1+計算過程!$B$25/12)-計算過程!$B$53))</f>
        <v>0</v>
      </c>
      <c r="H41" s="56" t="n">
        <f aca="false">IF(A41="","",F41+G41)</f>
        <v>661611.696795834</v>
      </c>
      <c r="I41" s="55" t="n">
        <f aca="false">IF(A41="","",IF(AND(OR(MONTH(B41)=6,MONTH(B41)=12),I40&lt;計算過程!$B$50),I40+1,I40))</f>
        <v>0</v>
      </c>
      <c r="J41" s="56" t="n">
        <f aca="false">IF(A41="","",IF(I41&gt;I40,計算過程!$B$57,0))</f>
        <v>0</v>
      </c>
      <c r="K41" s="56" t="n">
        <f aca="false">IF(A41="","",IF(I41&gt;I40,ROUND(M40*計算過程!$B$55,0),0))</f>
        <v>0</v>
      </c>
      <c r="L41" s="56" t="n">
        <f aca="false">IF(A41="","",J41-K41)</f>
        <v>0</v>
      </c>
      <c r="M41" s="56" t="n">
        <f aca="false">IF(A41="","",IF(I41&gt;I40,MAX(0,M40*(1+計算過程!$B$55)-計算過程!$B$56),M40))</f>
        <v>0</v>
      </c>
      <c r="N41" s="56" t="n">
        <f aca="false">IF(A41="","",C41+J41)</f>
        <v>25809</v>
      </c>
      <c r="O41" s="56" t="n">
        <f aca="false">IF(A41="","",H41+M41)</f>
        <v>661611.696795834</v>
      </c>
    </row>
    <row r="42" customFormat="false" ht="15" hidden="false" customHeight="false" outlineLevel="0" collapsed="false">
      <c r="A42" s="55" t="n">
        <f aca="false">IF(ROWS($A$8:A42)&lt;=計算過程!$B$51,ROWS($A$8:A42),"")</f>
        <v>35</v>
      </c>
      <c r="B42" s="57" t="n">
        <f aca="false">IF(A42="","",EDATE(計算過程!$B$71,A42-1))</f>
        <v>47392</v>
      </c>
      <c r="C42" s="56" t="n">
        <f aca="false">IF(A42="","",計算過程!$B$54)</f>
        <v>25809</v>
      </c>
      <c r="D42" s="56" t="n">
        <f aca="false">IF(A42="","",ROUND(F41*計算過程!$B$24/12+G41*計算過程!$B$25/12,0))</f>
        <v>695</v>
      </c>
      <c r="E42" s="56" t="n">
        <f aca="false">IF(A42="","",C42-D42)</f>
        <v>25114</v>
      </c>
      <c r="F42" s="56" t="n">
        <f aca="false">IF(A42="","",MAX(0,F41*(1+計算過程!$B$24/12)-計算過程!$B$52))</f>
        <v>636497.502507263</v>
      </c>
      <c r="G42" s="56" t="n">
        <f aca="false">IF(A42="","",MAX(0,G41*(1+計算過程!$B$25/12)-計算過程!$B$53))</f>
        <v>0</v>
      </c>
      <c r="H42" s="56" t="n">
        <f aca="false">IF(A42="","",F42+G42)</f>
        <v>636497.502507263</v>
      </c>
      <c r="I42" s="55" t="n">
        <f aca="false">IF(A42="","",IF(AND(OR(MONTH(B42)=6,MONTH(B42)=12),I41&lt;計算過程!$B$50),I41+1,I41))</f>
        <v>0</v>
      </c>
      <c r="J42" s="56" t="n">
        <f aca="false">IF(A42="","",IF(I42&gt;I41,計算過程!$B$57,0))</f>
        <v>0</v>
      </c>
      <c r="K42" s="56" t="n">
        <f aca="false">IF(A42="","",IF(I42&gt;I41,ROUND(M41*計算過程!$B$55,0),0))</f>
        <v>0</v>
      </c>
      <c r="L42" s="56" t="n">
        <f aca="false">IF(A42="","",J42-K42)</f>
        <v>0</v>
      </c>
      <c r="M42" s="56" t="n">
        <f aca="false">IF(A42="","",IF(I42&gt;I41,MAX(0,M41*(1+計算過程!$B$55)-計算過程!$B$56),M41))</f>
        <v>0</v>
      </c>
      <c r="N42" s="56" t="n">
        <f aca="false">IF(A42="","",C42+J42)</f>
        <v>25809</v>
      </c>
      <c r="O42" s="56" t="n">
        <f aca="false">IF(A42="","",H42+M42)</f>
        <v>636497.502507263</v>
      </c>
    </row>
    <row r="43" customFormat="false" ht="15" hidden="false" customHeight="false" outlineLevel="0" collapsed="false">
      <c r="A43" s="55" t="n">
        <f aca="false">IF(ROWS($A$8:A43)&lt;=計算過程!$B$51,ROWS($A$8:A43),"")</f>
        <v>36</v>
      </c>
      <c r="B43" s="57" t="n">
        <f aca="false">IF(A43="","",EDATE(計算過程!$B$71,A43-1))</f>
        <v>47423</v>
      </c>
      <c r="C43" s="56" t="n">
        <f aca="false">IF(A43="","",計算過程!$B$54)</f>
        <v>25809</v>
      </c>
      <c r="D43" s="56" t="n">
        <f aca="false">IF(A43="","",ROUND(F42*計算過程!$B$24/12+G42*計算過程!$B$25/12,0))</f>
        <v>668</v>
      </c>
      <c r="E43" s="56" t="n">
        <f aca="false">IF(A43="","",C43-D43)</f>
        <v>25141</v>
      </c>
      <c r="F43" s="56" t="n">
        <f aca="false">IF(A43="","",MAX(0,F42*(1+計算過程!$B$24/12)-計算過程!$B$52))</f>
        <v>611356.938314689</v>
      </c>
      <c r="G43" s="56" t="n">
        <f aca="false">IF(A43="","",MAX(0,G42*(1+計算過程!$B$25/12)-計算過程!$B$53))</f>
        <v>0</v>
      </c>
      <c r="H43" s="56" t="n">
        <f aca="false">IF(A43="","",F43+G43)</f>
        <v>611356.938314689</v>
      </c>
      <c r="I43" s="55" t="n">
        <f aca="false">IF(A43="","",IF(AND(OR(MONTH(B43)=6,MONTH(B43)=12),I42&lt;計算過程!$B$50),I42+1,I42))</f>
        <v>0</v>
      </c>
      <c r="J43" s="56" t="n">
        <f aca="false">IF(A43="","",IF(I43&gt;I42,計算過程!$B$57,0))</f>
        <v>0</v>
      </c>
      <c r="K43" s="56" t="n">
        <f aca="false">IF(A43="","",IF(I43&gt;I42,ROUND(M42*計算過程!$B$55,0),0))</f>
        <v>0</v>
      </c>
      <c r="L43" s="56" t="n">
        <f aca="false">IF(A43="","",J43-K43)</f>
        <v>0</v>
      </c>
      <c r="M43" s="56" t="n">
        <f aca="false">IF(A43="","",IF(I43&gt;I42,MAX(0,M42*(1+計算過程!$B$55)-計算過程!$B$56),M42))</f>
        <v>0</v>
      </c>
      <c r="N43" s="56" t="n">
        <f aca="false">IF(A43="","",C43+J43)</f>
        <v>25809</v>
      </c>
      <c r="O43" s="56" t="n">
        <f aca="false">IF(A43="","",H43+M43)</f>
        <v>611356.938314689</v>
      </c>
    </row>
    <row r="44" customFormat="false" ht="15" hidden="false" customHeight="false" outlineLevel="0" collapsed="false">
      <c r="A44" s="55" t="n">
        <f aca="false">IF(ROWS($A$8:A44)&lt;=計算過程!$B$51,ROWS($A$8:A44),"")</f>
        <v>37</v>
      </c>
      <c r="B44" s="57" t="n">
        <f aca="false">IF(A44="","",EDATE(計算過程!$B$71,A44-1))</f>
        <v>47453</v>
      </c>
      <c r="C44" s="56" t="n">
        <f aca="false">IF(A44="","",計算過程!$B$54)</f>
        <v>25809</v>
      </c>
      <c r="D44" s="56" t="n">
        <f aca="false">IF(A44="","",ROUND(F43*計算過程!$B$24/12+G43*計算過程!$B$25/12,0))</f>
        <v>642</v>
      </c>
      <c r="E44" s="56" t="n">
        <f aca="false">IF(A44="","",C44-D44)</f>
        <v>25167</v>
      </c>
      <c r="F44" s="56" t="n">
        <f aca="false">IF(A44="","",MAX(0,F43*(1+計算過程!$B$24/12)-計算過程!$B$52))</f>
        <v>586189.976529712</v>
      </c>
      <c r="G44" s="56" t="n">
        <f aca="false">IF(A44="","",MAX(0,G43*(1+計算過程!$B$25/12)-計算過程!$B$53))</f>
        <v>0</v>
      </c>
      <c r="H44" s="56" t="n">
        <f aca="false">IF(A44="","",F44+G44)</f>
        <v>586189.976529712</v>
      </c>
      <c r="I44" s="55" t="n">
        <f aca="false">IF(A44="","",IF(AND(OR(MONTH(B44)=6,MONTH(B44)=12),I43&lt;計算過程!$B$50),I43+1,I43))</f>
        <v>0</v>
      </c>
      <c r="J44" s="56" t="n">
        <f aca="false">IF(A44="","",IF(I44&gt;I43,計算過程!$B$57,0))</f>
        <v>0</v>
      </c>
      <c r="K44" s="56" t="n">
        <f aca="false">IF(A44="","",IF(I44&gt;I43,ROUND(M43*計算過程!$B$55,0),0))</f>
        <v>0</v>
      </c>
      <c r="L44" s="56" t="n">
        <f aca="false">IF(A44="","",J44-K44)</f>
        <v>0</v>
      </c>
      <c r="M44" s="56" t="n">
        <f aca="false">IF(A44="","",IF(I44&gt;I43,MAX(0,M43*(1+計算過程!$B$55)-計算過程!$B$56),M43))</f>
        <v>0</v>
      </c>
      <c r="N44" s="56" t="n">
        <f aca="false">IF(A44="","",C44+J44)</f>
        <v>25809</v>
      </c>
      <c r="O44" s="56" t="n">
        <f aca="false">IF(A44="","",H44+M44)</f>
        <v>586189.976529712</v>
      </c>
    </row>
    <row r="45" customFormat="false" ht="15" hidden="false" customHeight="false" outlineLevel="0" collapsed="false">
      <c r="A45" s="55" t="n">
        <f aca="false">IF(ROWS($A$8:A45)&lt;=計算過程!$B$51,ROWS($A$8:A45),"")</f>
        <v>38</v>
      </c>
      <c r="B45" s="57" t="n">
        <f aca="false">IF(A45="","",EDATE(計算過程!$B$71,A45-1))</f>
        <v>47484</v>
      </c>
      <c r="C45" s="56" t="n">
        <f aca="false">IF(A45="","",計算過程!$B$54)</f>
        <v>25809</v>
      </c>
      <c r="D45" s="56" t="n">
        <f aca="false">IF(A45="","",ROUND(F44*計算過程!$B$24/12+G44*計算過程!$B$25/12,0))</f>
        <v>615</v>
      </c>
      <c r="E45" s="56" t="n">
        <f aca="false">IF(A45="","",C45-D45)</f>
        <v>25194</v>
      </c>
      <c r="F45" s="56" t="n">
        <f aca="false">IF(A45="","",MAX(0,F44*(1+計算過程!$B$24/12)-計算過程!$B$52))</f>
        <v>560996.589434862</v>
      </c>
      <c r="G45" s="56" t="n">
        <f aca="false">IF(A45="","",MAX(0,G44*(1+計算過程!$B$25/12)-計算過程!$B$53))</f>
        <v>0</v>
      </c>
      <c r="H45" s="56" t="n">
        <f aca="false">IF(A45="","",F45+G45)</f>
        <v>560996.589434862</v>
      </c>
      <c r="I45" s="55" t="n">
        <f aca="false">IF(A45="","",IF(AND(OR(MONTH(B45)=6,MONTH(B45)=12),I44&lt;計算過程!$B$50),I44+1,I44))</f>
        <v>0</v>
      </c>
      <c r="J45" s="56" t="n">
        <f aca="false">IF(A45="","",IF(I45&gt;I44,計算過程!$B$57,0))</f>
        <v>0</v>
      </c>
      <c r="K45" s="56" t="n">
        <f aca="false">IF(A45="","",IF(I45&gt;I44,ROUND(M44*計算過程!$B$55,0),0))</f>
        <v>0</v>
      </c>
      <c r="L45" s="56" t="n">
        <f aca="false">IF(A45="","",J45-K45)</f>
        <v>0</v>
      </c>
      <c r="M45" s="56" t="n">
        <f aca="false">IF(A45="","",IF(I45&gt;I44,MAX(0,M44*(1+計算過程!$B$55)-計算過程!$B$56),M44))</f>
        <v>0</v>
      </c>
      <c r="N45" s="56" t="n">
        <f aca="false">IF(A45="","",C45+J45)</f>
        <v>25809</v>
      </c>
      <c r="O45" s="56" t="n">
        <f aca="false">IF(A45="","",H45+M45)</f>
        <v>560996.589434862</v>
      </c>
    </row>
    <row r="46" customFormat="false" ht="15" hidden="false" customHeight="false" outlineLevel="0" collapsed="false">
      <c r="A46" s="55" t="n">
        <f aca="false">IF(ROWS($A$8:A46)&lt;=計算過程!$B$51,ROWS($A$8:A46),"")</f>
        <v>39</v>
      </c>
      <c r="B46" s="57" t="n">
        <f aca="false">IF(A46="","",EDATE(計算過程!$B$71,A46-1))</f>
        <v>47515</v>
      </c>
      <c r="C46" s="56" t="n">
        <f aca="false">IF(A46="","",計算過程!$B$54)</f>
        <v>25809</v>
      </c>
      <c r="D46" s="56" t="n">
        <f aca="false">IF(A46="","",ROUND(F45*計算過程!$B$24/12+G45*計算過程!$B$25/12,0))</f>
        <v>589</v>
      </c>
      <c r="E46" s="56" t="n">
        <f aca="false">IF(A46="","",C46-D46)</f>
        <v>25220</v>
      </c>
      <c r="F46" s="56" t="n">
        <f aca="false">IF(A46="","",MAX(0,F45*(1+計算過程!$B$24/12)-計算過程!$B$52))</f>
        <v>535776.749283562</v>
      </c>
      <c r="G46" s="56" t="n">
        <f aca="false">IF(A46="","",MAX(0,G45*(1+計算過程!$B$25/12)-計算過程!$B$53))</f>
        <v>0</v>
      </c>
      <c r="H46" s="56" t="n">
        <f aca="false">IF(A46="","",F46+G46)</f>
        <v>535776.749283562</v>
      </c>
      <c r="I46" s="55" t="n">
        <f aca="false">IF(A46="","",IF(AND(OR(MONTH(B46)=6,MONTH(B46)=12),I45&lt;計算過程!$B$50),I45+1,I45))</f>
        <v>0</v>
      </c>
      <c r="J46" s="56" t="n">
        <f aca="false">IF(A46="","",IF(I46&gt;I45,計算過程!$B$57,0))</f>
        <v>0</v>
      </c>
      <c r="K46" s="56" t="n">
        <f aca="false">IF(A46="","",IF(I46&gt;I45,ROUND(M45*計算過程!$B$55,0),0))</f>
        <v>0</v>
      </c>
      <c r="L46" s="56" t="n">
        <f aca="false">IF(A46="","",J46-K46)</f>
        <v>0</v>
      </c>
      <c r="M46" s="56" t="n">
        <f aca="false">IF(A46="","",IF(I46&gt;I45,MAX(0,M45*(1+計算過程!$B$55)-計算過程!$B$56),M45))</f>
        <v>0</v>
      </c>
      <c r="N46" s="56" t="n">
        <f aca="false">IF(A46="","",C46+J46)</f>
        <v>25809</v>
      </c>
      <c r="O46" s="56" t="n">
        <f aca="false">IF(A46="","",H46+M46)</f>
        <v>535776.749283562</v>
      </c>
    </row>
    <row r="47" customFormat="false" ht="15" hidden="false" customHeight="false" outlineLevel="0" collapsed="false">
      <c r="A47" s="55" t="n">
        <f aca="false">IF(ROWS($A$8:A47)&lt;=計算過程!$B$51,ROWS($A$8:A47),"")</f>
        <v>40</v>
      </c>
      <c r="B47" s="57" t="n">
        <f aca="false">IF(A47="","",EDATE(計算過程!$B$71,A47-1))</f>
        <v>47543</v>
      </c>
      <c r="C47" s="56" t="n">
        <f aca="false">IF(A47="","",計算過程!$B$54)</f>
        <v>25809</v>
      </c>
      <c r="D47" s="56" t="n">
        <f aca="false">IF(A47="","",ROUND(F46*計算過程!$B$24/12+G46*計算過程!$B$25/12,0))</f>
        <v>563</v>
      </c>
      <c r="E47" s="56" t="n">
        <f aca="false">IF(A47="","",C47-D47)</f>
        <v>25246</v>
      </c>
      <c r="F47" s="56" t="n">
        <f aca="false">IF(A47="","",MAX(0,F46*(1+計算過程!$B$24/12)-計算過程!$B$52))</f>
        <v>510530.428300103</v>
      </c>
      <c r="G47" s="56" t="n">
        <f aca="false">IF(A47="","",MAX(0,G46*(1+計算過程!$B$25/12)-計算過程!$B$53))</f>
        <v>0</v>
      </c>
      <c r="H47" s="56" t="n">
        <f aca="false">IF(A47="","",F47+G47)</f>
        <v>510530.428300103</v>
      </c>
      <c r="I47" s="55" t="n">
        <f aca="false">IF(A47="","",IF(AND(OR(MONTH(B47)=6,MONTH(B47)=12),I46&lt;計算過程!$B$50),I46+1,I46))</f>
        <v>0</v>
      </c>
      <c r="J47" s="56" t="n">
        <f aca="false">IF(A47="","",IF(I47&gt;I46,計算過程!$B$57,0))</f>
        <v>0</v>
      </c>
      <c r="K47" s="56" t="n">
        <f aca="false">IF(A47="","",IF(I47&gt;I46,ROUND(M46*計算過程!$B$55,0),0))</f>
        <v>0</v>
      </c>
      <c r="L47" s="56" t="n">
        <f aca="false">IF(A47="","",J47-K47)</f>
        <v>0</v>
      </c>
      <c r="M47" s="56" t="n">
        <f aca="false">IF(A47="","",IF(I47&gt;I46,MAX(0,M46*(1+計算過程!$B$55)-計算過程!$B$56),M46))</f>
        <v>0</v>
      </c>
      <c r="N47" s="56" t="n">
        <f aca="false">IF(A47="","",C47+J47)</f>
        <v>25809</v>
      </c>
      <c r="O47" s="56" t="n">
        <f aca="false">IF(A47="","",H47+M47)</f>
        <v>510530.428300103</v>
      </c>
    </row>
    <row r="48" customFormat="false" ht="15" hidden="false" customHeight="false" outlineLevel="0" collapsed="false">
      <c r="A48" s="55" t="n">
        <f aca="false">IF(ROWS($A$8:A48)&lt;=計算過程!$B$51,ROWS($A$8:A48),"")</f>
        <v>41</v>
      </c>
      <c r="B48" s="57" t="n">
        <f aca="false">IF(A48="","",EDATE(計算過程!$B$71,A48-1))</f>
        <v>47574</v>
      </c>
      <c r="C48" s="56" t="n">
        <f aca="false">IF(A48="","",計算過程!$B$54)</f>
        <v>25809</v>
      </c>
      <c r="D48" s="56" t="n">
        <f aca="false">IF(A48="","",ROUND(F47*計算過程!$B$24/12+G47*計算過程!$B$25/12,0))</f>
        <v>536</v>
      </c>
      <c r="E48" s="56" t="n">
        <f aca="false">IF(A48="","",C48-D48)</f>
        <v>25273</v>
      </c>
      <c r="F48" s="56" t="n">
        <f aca="false">IF(A48="","",MAX(0,F47*(1+計算過程!$B$24/12)-計算過程!$B$52))</f>
        <v>485257.598679611</v>
      </c>
      <c r="G48" s="56" t="n">
        <f aca="false">IF(A48="","",MAX(0,G47*(1+計算過程!$B$25/12)-計算過程!$B$53))</f>
        <v>0</v>
      </c>
      <c r="H48" s="56" t="n">
        <f aca="false">IF(A48="","",F48+G48)</f>
        <v>485257.598679611</v>
      </c>
      <c r="I48" s="55" t="n">
        <f aca="false">IF(A48="","",IF(AND(OR(MONTH(B48)=6,MONTH(B48)=12),I47&lt;計算過程!$B$50),I47+1,I47))</f>
        <v>0</v>
      </c>
      <c r="J48" s="56" t="n">
        <f aca="false">IF(A48="","",IF(I48&gt;I47,計算過程!$B$57,0))</f>
        <v>0</v>
      </c>
      <c r="K48" s="56" t="n">
        <f aca="false">IF(A48="","",IF(I48&gt;I47,ROUND(M47*計算過程!$B$55,0),0))</f>
        <v>0</v>
      </c>
      <c r="L48" s="56" t="n">
        <f aca="false">IF(A48="","",J48-K48)</f>
        <v>0</v>
      </c>
      <c r="M48" s="56" t="n">
        <f aca="false">IF(A48="","",IF(I48&gt;I47,MAX(0,M47*(1+計算過程!$B$55)-計算過程!$B$56),M47))</f>
        <v>0</v>
      </c>
      <c r="N48" s="56" t="n">
        <f aca="false">IF(A48="","",C48+J48)</f>
        <v>25809</v>
      </c>
      <c r="O48" s="56" t="n">
        <f aca="false">IF(A48="","",H48+M48)</f>
        <v>485257.598679611</v>
      </c>
    </row>
    <row r="49" customFormat="false" ht="15" hidden="false" customHeight="false" outlineLevel="0" collapsed="false">
      <c r="A49" s="55" t="n">
        <f aca="false">IF(ROWS($A$8:A49)&lt;=計算過程!$B$51,ROWS($A$8:A49),"")</f>
        <v>42</v>
      </c>
      <c r="B49" s="57" t="n">
        <f aca="false">IF(A49="","",EDATE(計算過程!$B$71,A49-1))</f>
        <v>47604</v>
      </c>
      <c r="C49" s="56" t="n">
        <f aca="false">IF(A49="","",計算過程!$B$54)</f>
        <v>25809</v>
      </c>
      <c r="D49" s="56" t="n">
        <f aca="false">IF(A49="","",ROUND(F48*計算過程!$B$24/12+G48*計算過程!$B$25/12,0))</f>
        <v>510</v>
      </c>
      <c r="E49" s="56" t="n">
        <f aca="false">IF(A49="","",C49-D49)</f>
        <v>25299</v>
      </c>
      <c r="F49" s="56" t="n">
        <f aca="false">IF(A49="","",MAX(0,F48*(1+計算過程!$B$24/12)-計算過程!$B$52))</f>
        <v>459958.232588018</v>
      </c>
      <c r="G49" s="56" t="n">
        <f aca="false">IF(A49="","",MAX(0,G48*(1+計算過程!$B$25/12)-計算過程!$B$53))</f>
        <v>0</v>
      </c>
      <c r="H49" s="56" t="n">
        <f aca="false">IF(A49="","",F49+G49)</f>
        <v>459958.232588018</v>
      </c>
      <c r="I49" s="55" t="n">
        <f aca="false">IF(A49="","",IF(AND(OR(MONTH(B49)=6,MONTH(B49)=12),I48&lt;計算過程!$B$50),I48+1,I48))</f>
        <v>0</v>
      </c>
      <c r="J49" s="56" t="n">
        <f aca="false">IF(A49="","",IF(I49&gt;I48,計算過程!$B$57,0))</f>
        <v>0</v>
      </c>
      <c r="K49" s="56" t="n">
        <f aca="false">IF(A49="","",IF(I49&gt;I48,ROUND(M48*計算過程!$B$55,0),0))</f>
        <v>0</v>
      </c>
      <c r="L49" s="56" t="n">
        <f aca="false">IF(A49="","",J49-K49)</f>
        <v>0</v>
      </c>
      <c r="M49" s="56" t="n">
        <f aca="false">IF(A49="","",IF(I49&gt;I48,MAX(0,M48*(1+計算過程!$B$55)-計算過程!$B$56),M48))</f>
        <v>0</v>
      </c>
      <c r="N49" s="56" t="n">
        <f aca="false">IF(A49="","",C49+J49)</f>
        <v>25809</v>
      </c>
      <c r="O49" s="56" t="n">
        <f aca="false">IF(A49="","",H49+M49)</f>
        <v>459958.232588018</v>
      </c>
    </row>
    <row r="50" customFormat="false" ht="15" hidden="false" customHeight="false" outlineLevel="0" collapsed="false">
      <c r="A50" s="55" t="n">
        <f aca="false">IF(ROWS($A$8:A50)&lt;=計算過程!$B$51,ROWS($A$8:A50),"")</f>
        <v>43</v>
      </c>
      <c r="B50" s="57" t="n">
        <f aca="false">IF(A50="","",EDATE(計算過程!$B$71,A50-1))</f>
        <v>47635</v>
      </c>
      <c r="C50" s="56" t="n">
        <f aca="false">IF(A50="","",計算過程!$B$54)</f>
        <v>25809</v>
      </c>
      <c r="D50" s="56" t="n">
        <f aca="false">IF(A50="","",ROUND(F49*計算過程!$B$24/12+G49*計算過程!$B$25/12,0))</f>
        <v>483</v>
      </c>
      <c r="E50" s="56" t="n">
        <f aca="false">IF(A50="","",C50-D50)</f>
        <v>25326</v>
      </c>
      <c r="F50" s="56" t="n">
        <f aca="false">IF(A50="","",MAX(0,F49*(1+計算過程!$B$24/12)-計算過程!$B$52))</f>
        <v>434632.302162028</v>
      </c>
      <c r="G50" s="56" t="n">
        <f aca="false">IF(A50="","",MAX(0,G49*(1+計算過程!$B$25/12)-計算過程!$B$53))</f>
        <v>0</v>
      </c>
      <c r="H50" s="56" t="n">
        <f aca="false">IF(A50="","",F50+G50)</f>
        <v>434632.302162028</v>
      </c>
      <c r="I50" s="55" t="n">
        <f aca="false">IF(A50="","",IF(AND(OR(MONTH(B50)=6,MONTH(B50)=12),I49&lt;計算過程!$B$50),I49+1,I49))</f>
        <v>0</v>
      </c>
      <c r="J50" s="56" t="n">
        <f aca="false">IF(A50="","",IF(I50&gt;I49,計算過程!$B$57,0))</f>
        <v>0</v>
      </c>
      <c r="K50" s="56" t="n">
        <f aca="false">IF(A50="","",IF(I50&gt;I49,ROUND(M49*計算過程!$B$55,0),0))</f>
        <v>0</v>
      </c>
      <c r="L50" s="56" t="n">
        <f aca="false">IF(A50="","",J50-K50)</f>
        <v>0</v>
      </c>
      <c r="M50" s="56" t="n">
        <f aca="false">IF(A50="","",IF(I50&gt;I49,MAX(0,M49*(1+計算過程!$B$55)-計算過程!$B$56),M49))</f>
        <v>0</v>
      </c>
      <c r="N50" s="56" t="n">
        <f aca="false">IF(A50="","",C50+J50)</f>
        <v>25809</v>
      </c>
      <c r="O50" s="56" t="n">
        <f aca="false">IF(A50="","",H50+M50)</f>
        <v>434632.302162028</v>
      </c>
    </row>
    <row r="51" customFormat="false" ht="15" hidden="false" customHeight="false" outlineLevel="0" collapsed="false">
      <c r="A51" s="55" t="n">
        <f aca="false">IF(ROWS($A$8:A51)&lt;=計算過程!$B$51,ROWS($A$8:A51),"")</f>
        <v>44</v>
      </c>
      <c r="B51" s="57" t="n">
        <f aca="false">IF(A51="","",EDATE(計算過程!$B$71,A51-1))</f>
        <v>47665</v>
      </c>
      <c r="C51" s="56" t="n">
        <f aca="false">IF(A51="","",計算過程!$B$54)</f>
        <v>25809</v>
      </c>
      <c r="D51" s="56" t="n">
        <f aca="false">IF(A51="","",ROUND(F50*計算過程!$B$24/12+G50*計算過程!$B$25/12,0))</f>
        <v>456</v>
      </c>
      <c r="E51" s="56" t="n">
        <f aca="false">IF(A51="","",C51-D51)</f>
        <v>25353</v>
      </c>
      <c r="F51" s="56" t="n">
        <f aca="false">IF(A51="","",MAX(0,F50*(1+計算過程!$B$24/12)-計算過程!$B$52))</f>
        <v>409279.779509091</v>
      </c>
      <c r="G51" s="56" t="n">
        <f aca="false">IF(A51="","",MAX(0,G50*(1+計算過程!$B$25/12)-計算過程!$B$53))</f>
        <v>0</v>
      </c>
      <c r="H51" s="56" t="n">
        <f aca="false">IF(A51="","",F51+G51)</f>
        <v>409279.779509091</v>
      </c>
      <c r="I51" s="55" t="n">
        <f aca="false">IF(A51="","",IF(AND(OR(MONTH(B51)=6,MONTH(B51)=12),I50&lt;計算過程!$B$50),I50+1,I50))</f>
        <v>0</v>
      </c>
      <c r="J51" s="56" t="n">
        <f aca="false">IF(A51="","",IF(I51&gt;I50,計算過程!$B$57,0))</f>
        <v>0</v>
      </c>
      <c r="K51" s="56" t="n">
        <f aca="false">IF(A51="","",IF(I51&gt;I50,ROUND(M50*計算過程!$B$55,0),0))</f>
        <v>0</v>
      </c>
      <c r="L51" s="56" t="n">
        <f aca="false">IF(A51="","",J51-K51)</f>
        <v>0</v>
      </c>
      <c r="M51" s="56" t="n">
        <f aca="false">IF(A51="","",IF(I51&gt;I50,MAX(0,M50*(1+計算過程!$B$55)-計算過程!$B$56),M50))</f>
        <v>0</v>
      </c>
      <c r="N51" s="56" t="n">
        <f aca="false">IF(A51="","",C51+J51)</f>
        <v>25809</v>
      </c>
      <c r="O51" s="56" t="n">
        <f aca="false">IF(A51="","",H51+M51)</f>
        <v>409279.779509091</v>
      </c>
    </row>
    <row r="52" customFormat="false" ht="15" hidden="false" customHeight="false" outlineLevel="0" collapsed="false">
      <c r="A52" s="55" t="n">
        <f aca="false">IF(ROWS($A$8:A52)&lt;=計算過程!$B$51,ROWS($A$8:A52),"")</f>
        <v>45</v>
      </c>
      <c r="B52" s="57" t="n">
        <f aca="false">IF(A52="","",EDATE(計算過程!$B$71,A52-1))</f>
        <v>47696</v>
      </c>
      <c r="C52" s="56" t="n">
        <f aca="false">IF(A52="","",計算過程!$B$54)</f>
        <v>25809</v>
      </c>
      <c r="D52" s="56" t="n">
        <f aca="false">IF(A52="","",ROUND(F51*計算過程!$B$24/12+G51*計算過程!$B$25/12,0))</f>
        <v>430</v>
      </c>
      <c r="E52" s="56" t="n">
        <f aca="false">IF(A52="","",C52-D52)</f>
        <v>25379</v>
      </c>
      <c r="F52" s="56" t="n">
        <f aca="false">IF(A52="","",MAX(0,F51*(1+計算過程!$B$24/12)-計算過程!$B$52))</f>
        <v>383900.636707369</v>
      </c>
      <c r="G52" s="56" t="n">
        <f aca="false">IF(A52="","",MAX(0,G51*(1+計算過程!$B$25/12)-計算過程!$B$53))</f>
        <v>0</v>
      </c>
      <c r="H52" s="56" t="n">
        <f aca="false">IF(A52="","",F52+G52)</f>
        <v>383900.636707369</v>
      </c>
      <c r="I52" s="55" t="n">
        <f aca="false">IF(A52="","",IF(AND(OR(MONTH(B52)=6,MONTH(B52)=12),I51&lt;計算過程!$B$50),I51+1,I51))</f>
        <v>0</v>
      </c>
      <c r="J52" s="56" t="n">
        <f aca="false">IF(A52="","",IF(I52&gt;I51,計算過程!$B$57,0))</f>
        <v>0</v>
      </c>
      <c r="K52" s="56" t="n">
        <f aca="false">IF(A52="","",IF(I52&gt;I51,ROUND(M51*計算過程!$B$55,0),0))</f>
        <v>0</v>
      </c>
      <c r="L52" s="56" t="n">
        <f aca="false">IF(A52="","",J52-K52)</f>
        <v>0</v>
      </c>
      <c r="M52" s="56" t="n">
        <f aca="false">IF(A52="","",IF(I52&gt;I51,MAX(0,M51*(1+計算過程!$B$55)-計算過程!$B$56),M51))</f>
        <v>0</v>
      </c>
      <c r="N52" s="56" t="n">
        <f aca="false">IF(A52="","",C52+J52)</f>
        <v>25809</v>
      </c>
      <c r="O52" s="56" t="n">
        <f aca="false">IF(A52="","",H52+M52)</f>
        <v>383900.636707369</v>
      </c>
    </row>
    <row r="53" customFormat="false" ht="15" hidden="false" customHeight="false" outlineLevel="0" collapsed="false">
      <c r="A53" s="55" t="n">
        <f aca="false">IF(ROWS($A$8:A53)&lt;=計算過程!$B$51,ROWS($A$8:A53),"")</f>
        <v>46</v>
      </c>
      <c r="B53" s="57" t="n">
        <f aca="false">IF(A53="","",EDATE(計算過程!$B$71,A53-1))</f>
        <v>47727</v>
      </c>
      <c r="C53" s="56" t="n">
        <f aca="false">IF(A53="","",計算過程!$B$54)</f>
        <v>25809</v>
      </c>
      <c r="D53" s="56" t="n">
        <f aca="false">IF(A53="","",ROUND(F52*計算過程!$B$24/12+G52*計算過程!$B$25/12,0))</f>
        <v>403</v>
      </c>
      <c r="E53" s="56" t="n">
        <f aca="false">IF(A53="","",C53-D53)</f>
        <v>25406</v>
      </c>
      <c r="F53" s="56" t="n">
        <f aca="false">IF(A53="","",MAX(0,F52*(1+計算過程!$B$24/12)-計算過程!$B$52))</f>
        <v>358494.845805705</v>
      </c>
      <c r="G53" s="56" t="n">
        <f aca="false">IF(A53="","",MAX(0,G52*(1+計算過程!$B$25/12)-計算過程!$B$53))</f>
        <v>0</v>
      </c>
      <c r="H53" s="56" t="n">
        <f aca="false">IF(A53="","",F53+G53)</f>
        <v>358494.845805705</v>
      </c>
      <c r="I53" s="55" t="n">
        <f aca="false">IF(A53="","",IF(AND(OR(MONTH(B53)=6,MONTH(B53)=12),I52&lt;計算過程!$B$50),I52+1,I52))</f>
        <v>0</v>
      </c>
      <c r="J53" s="56" t="n">
        <f aca="false">IF(A53="","",IF(I53&gt;I52,計算過程!$B$57,0))</f>
        <v>0</v>
      </c>
      <c r="K53" s="56" t="n">
        <f aca="false">IF(A53="","",IF(I53&gt;I52,ROUND(M52*計算過程!$B$55,0),0))</f>
        <v>0</v>
      </c>
      <c r="L53" s="56" t="n">
        <f aca="false">IF(A53="","",J53-K53)</f>
        <v>0</v>
      </c>
      <c r="M53" s="56" t="n">
        <f aca="false">IF(A53="","",IF(I53&gt;I52,MAX(0,M52*(1+計算過程!$B$55)-計算過程!$B$56),M52))</f>
        <v>0</v>
      </c>
      <c r="N53" s="56" t="n">
        <f aca="false">IF(A53="","",C53+J53)</f>
        <v>25809</v>
      </c>
      <c r="O53" s="56" t="n">
        <f aca="false">IF(A53="","",H53+M53)</f>
        <v>358494.845805705</v>
      </c>
    </row>
    <row r="54" customFormat="false" ht="15" hidden="false" customHeight="false" outlineLevel="0" collapsed="false">
      <c r="A54" s="55" t="n">
        <f aca="false">IF(ROWS($A$8:A54)&lt;=計算過程!$B$51,ROWS($A$8:A54),"")</f>
        <v>47</v>
      </c>
      <c r="B54" s="57" t="n">
        <f aca="false">IF(A54="","",EDATE(計算過程!$B$71,A54-1))</f>
        <v>47757</v>
      </c>
      <c r="C54" s="56" t="n">
        <f aca="false">IF(A54="","",計算過程!$B$54)</f>
        <v>25809</v>
      </c>
      <c r="D54" s="56" t="n">
        <f aca="false">IF(A54="","",ROUND(F53*計算過程!$B$24/12+G53*計算過程!$B$25/12,0))</f>
        <v>376</v>
      </c>
      <c r="E54" s="56" t="n">
        <f aca="false">IF(A54="","",C54-D54)</f>
        <v>25433</v>
      </c>
      <c r="F54" s="56" t="n">
        <f aca="false">IF(A54="","",MAX(0,F53*(1+計算過程!$B$24/12)-計算過程!$B$52))</f>
        <v>333062.378823594</v>
      </c>
      <c r="G54" s="56" t="n">
        <f aca="false">IF(A54="","",MAX(0,G53*(1+計算過程!$B$25/12)-計算過程!$B$53))</f>
        <v>0</v>
      </c>
      <c r="H54" s="56" t="n">
        <f aca="false">IF(A54="","",F54+G54)</f>
        <v>333062.378823594</v>
      </c>
      <c r="I54" s="55" t="n">
        <f aca="false">IF(A54="","",IF(AND(OR(MONTH(B54)=6,MONTH(B54)=12),I53&lt;計算過程!$B$50),I53+1,I53))</f>
        <v>0</v>
      </c>
      <c r="J54" s="56" t="n">
        <f aca="false">IF(A54="","",IF(I54&gt;I53,計算過程!$B$57,0))</f>
        <v>0</v>
      </c>
      <c r="K54" s="56" t="n">
        <f aca="false">IF(A54="","",IF(I54&gt;I53,ROUND(M53*計算過程!$B$55,0),0))</f>
        <v>0</v>
      </c>
      <c r="L54" s="56" t="n">
        <f aca="false">IF(A54="","",J54-K54)</f>
        <v>0</v>
      </c>
      <c r="M54" s="56" t="n">
        <f aca="false">IF(A54="","",IF(I54&gt;I53,MAX(0,M53*(1+計算過程!$B$55)-計算過程!$B$56),M53))</f>
        <v>0</v>
      </c>
      <c r="N54" s="56" t="n">
        <f aca="false">IF(A54="","",C54+J54)</f>
        <v>25809</v>
      </c>
      <c r="O54" s="56" t="n">
        <f aca="false">IF(A54="","",H54+M54)</f>
        <v>333062.378823594</v>
      </c>
    </row>
    <row r="55" customFormat="false" ht="15" hidden="false" customHeight="false" outlineLevel="0" collapsed="false">
      <c r="A55" s="55" t="n">
        <f aca="false">IF(ROWS($A$8:A55)&lt;=計算過程!$B$51,ROWS($A$8:A55),"")</f>
        <v>48</v>
      </c>
      <c r="B55" s="57" t="n">
        <f aca="false">IF(A55="","",EDATE(計算過程!$B$71,A55-1))</f>
        <v>47788</v>
      </c>
      <c r="C55" s="56" t="n">
        <f aca="false">IF(A55="","",計算過程!$B$54)</f>
        <v>25809</v>
      </c>
      <c r="D55" s="56" t="n">
        <f aca="false">IF(A55="","",ROUND(F54*計算過程!$B$24/12+G54*計算過程!$B$25/12,0))</f>
        <v>350</v>
      </c>
      <c r="E55" s="56" t="n">
        <f aca="false">IF(A55="","",C55-D55)</f>
        <v>25459</v>
      </c>
      <c r="F55" s="56" t="n">
        <f aca="false">IF(A55="","",MAX(0,F54*(1+計算過程!$B$24/12)-計算過程!$B$52))</f>
        <v>307603.207751152</v>
      </c>
      <c r="G55" s="56" t="n">
        <f aca="false">IF(A55="","",MAX(0,G54*(1+計算過程!$B$25/12)-計算過程!$B$53))</f>
        <v>0</v>
      </c>
      <c r="H55" s="56" t="n">
        <f aca="false">IF(A55="","",F55+G55)</f>
        <v>307603.207751152</v>
      </c>
      <c r="I55" s="55" t="n">
        <f aca="false">IF(A55="","",IF(AND(OR(MONTH(B55)=6,MONTH(B55)=12),I54&lt;計算過程!$B$50),I54+1,I54))</f>
        <v>0</v>
      </c>
      <c r="J55" s="56" t="n">
        <f aca="false">IF(A55="","",IF(I55&gt;I54,計算過程!$B$57,0))</f>
        <v>0</v>
      </c>
      <c r="K55" s="56" t="n">
        <f aca="false">IF(A55="","",IF(I55&gt;I54,ROUND(M54*計算過程!$B$55,0),0))</f>
        <v>0</v>
      </c>
      <c r="L55" s="56" t="n">
        <f aca="false">IF(A55="","",J55-K55)</f>
        <v>0</v>
      </c>
      <c r="M55" s="56" t="n">
        <f aca="false">IF(A55="","",IF(I55&gt;I54,MAX(0,M54*(1+計算過程!$B$55)-計算過程!$B$56),M54))</f>
        <v>0</v>
      </c>
      <c r="N55" s="56" t="n">
        <f aca="false">IF(A55="","",C55+J55)</f>
        <v>25809</v>
      </c>
      <c r="O55" s="56" t="n">
        <f aca="false">IF(A55="","",H55+M55)</f>
        <v>307603.207751152</v>
      </c>
    </row>
    <row r="56" customFormat="false" ht="15" hidden="false" customHeight="false" outlineLevel="0" collapsed="false">
      <c r="A56" s="55" t="n">
        <f aca="false">IF(ROWS($A$8:A56)&lt;=計算過程!$B$51,ROWS($A$8:A56),"")</f>
        <v>49</v>
      </c>
      <c r="B56" s="57" t="n">
        <f aca="false">IF(A56="","",EDATE(計算過程!$B$71,A56-1))</f>
        <v>47818</v>
      </c>
      <c r="C56" s="56" t="n">
        <f aca="false">IF(A56="","",計算過程!$B$54)</f>
        <v>25809</v>
      </c>
      <c r="D56" s="56" t="n">
        <f aca="false">IF(A56="","",ROUND(F55*計算過程!$B$24/12+G55*計算過程!$B$25/12,0))</f>
        <v>323</v>
      </c>
      <c r="E56" s="56" t="n">
        <f aca="false">IF(A56="","",C56-D56)</f>
        <v>25486</v>
      </c>
      <c r="F56" s="56" t="n">
        <f aca="false">IF(A56="","",MAX(0,F55*(1+計算過程!$B$24/12)-計算過程!$B$52))</f>
        <v>282117.304549084</v>
      </c>
      <c r="G56" s="56" t="n">
        <f aca="false">IF(A56="","",MAX(0,G55*(1+計算過程!$B$25/12)-計算過程!$B$53))</f>
        <v>0</v>
      </c>
      <c r="H56" s="56" t="n">
        <f aca="false">IF(A56="","",F56+G56)</f>
        <v>282117.304549084</v>
      </c>
      <c r="I56" s="55" t="n">
        <f aca="false">IF(A56="","",IF(AND(OR(MONTH(B56)=6,MONTH(B56)=12),I55&lt;計算過程!$B$50),I55+1,I55))</f>
        <v>0</v>
      </c>
      <c r="J56" s="56" t="n">
        <f aca="false">IF(A56="","",IF(I56&gt;I55,計算過程!$B$57,0))</f>
        <v>0</v>
      </c>
      <c r="K56" s="56" t="n">
        <f aca="false">IF(A56="","",IF(I56&gt;I55,ROUND(M55*計算過程!$B$55,0),0))</f>
        <v>0</v>
      </c>
      <c r="L56" s="56" t="n">
        <f aca="false">IF(A56="","",J56-K56)</f>
        <v>0</v>
      </c>
      <c r="M56" s="56" t="n">
        <f aca="false">IF(A56="","",IF(I56&gt;I55,MAX(0,M55*(1+計算過程!$B$55)-計算過程!$B$56),M55))</f>
        <v>0</v>
      </c>
      <c r="N56" s="56" t="n">
        <f aca="false">IF(A56="","",C56+J56)</f>
        <v>25809</v>
      </c>
      <c r="O56" s="56" t="n">
        <f aca="false">IF(A56="","",H56+M56)</f>
        <v>282117.304549084</v>
      </c>
    </row>
    <row r="57" customFormat="false" ht="15" hidden="false" customHeight="false" outlineLevel="0" collapsed="false">
      <c r="A57" s="55" t="n">
        <f aca="false">IF(ROWS($A$8:A57)&lt;=計算過程!$B$51,ROWS($A$8:A57),"")</f>
        <v>50</v>
      </c>
      <c r="B57" s="57" t="n">
        <f aca="false">IF(A57="","",EDATE(計算過程!$B$71,A57-1))</f>
        <v>47849</v>
      </c>
      <c r="C57" s="56" t="n">
        <f aca="false">IF(A57="","",計算過程!$B$54)</f>
        <v>25809</v>
      </c>
      <c r="D57" s="56" t="n">
        <f aca="false">IF(A57="","",ROUND(F56*計算過程!$B$24/12+G56*計算過程!$B$25/12,0))</f>
        <v>296</v>
      </c>
      <c r="E57" s="56" t="n">
        <f aca="false">IF(A57="","",C57-D57)</f>
        <v>25513</v>
      </c>
      <c r="F57" s="56" t="n">
        <f aca="false">IF(A57="","",MAX(0,F56*(1+計算過程!$B$24/12)-計算過程!$B$52))</f>
        <v>256604.641148654</v>
      </c>
      <c r="G57" s="56" t="n">
        <f aca="false">IF(A57="","",MAX(0,G56*(1+計算過程!$B$25/12)-計算過程!$B$53))</f>
        <v>0</v>
      </c>
      <c r="H57" s="56" t="n">
        <f aca="false">IF(A57="","",F57+G57)</f>
        <v>256604.641148654</v>
      </c>
      <c r="I57" s="55" t="n">
        <f aca="false">IF(A57="","",IF(AND(OR(MONTH(B57)=6,MONTH(B57)=12),I56&lt;計算過程!$B$50),I56+1,I56))</f>
        <v>0</v>
      </c>
      <c r="J57" s="56" t="n">
        <f aca="false">IF(A57="","",IF(I57&gt;I56,計算過程!$B$57,0))</f>
        <v>0</v>
      </c>
      <c r="K57" s="56" t="n">
        <f aca="false">IF(A57="","",IF(I57&gt;I56,ROUND(M56*計算過程!$B$55,0),0))</f>
        <v>0</v>
      </c>
      <c r="L57" s="56" t="n">
        <f aca="false">IF(A57="","",J57-K57)</f>
        <v>0</v>
      </c>
      <c r="M57" s="56" t="n">
        <f aca="false">IF(A57="","",IF(I57&gt;I56,MAX(0,M56*(1+計算過程!$B$55)-計算過程!$B$56),M56))</f>
        <v>0</v>
      </c>
      <c r="N57" s="56" t="n">
        <f aca="false">IF(A57="","",C57+J57)</f>
        <v>25809</v>
      </c>
      <c r="O57" s="56" t="n">
        <f aca="false">IF(A57="","",H57+M57)</f>
        <v>256604.641148654</v>
      </c>
    </row>
    <row r="58" customFormat="false" ht="15" hidden="false" customHeight="false" outlineLevel="0" collapsed="false">
      <c r="A58" s="55" t="n">
        <f aca="false">IF(ROWS($A$8:A58)&lt;=計算過程!$B$51,ROWS($A$8:A58),"")</f>
        <v>51</v>
      </c>
      <c r="B58" s="57" t="n">
        <f aca="false">IF(A58="","",EDATE(計算過程!$B$71,A58-1))</f>
        <v>47880</v>
      </c>
      <c r="C58" s="56" t="n">
        <f aca="false">IF(A58="","",計算過程!$B$54)</f>
        <v>25809</v>
      </c>
      <c r="D58" s="56" t="n">
        <f aca="false">IF(A58="","",ROUND(F57*計算過程!$B$24/12+G57*計算過程!$B$25/12,0))</f>
        <v>269</v>
      </c>
      <c r="E58" s="56" t="n">
        <f aca="false">IF(A58="","",C58-D58)</f>
        <v>25540</v>
      </c>
      <c r="F58" s="56" t="n">
        <f aca="false">IF(A58="","",MAX(0,F57*(1+計算過程!$B$24/12)-計算過程!$B$52))</f>
        <v>231065.189451653</v>
      </c>
      <c r="G58" s="56" t="n">
        <f aca="false">IF(A58="","",MAX(0,G57*(1+計算過程!$B$25/12)-計算過程!$B$53))</f>
        <v>0</v>
      </c>
      <c r="H58" s="56" t="n">
        <f aca="false">IF(A58="","",F58+G58)</f>
        <v>231065.189451653</v>
      </c>
      <c r="I58" s="55" t="n">
        <f aca="false">IF(A58="","",IF(AND(OR(MONTH(B58)=6,MONTH(B58)=12),I57&lt;計算過程!$B$50),I57+1,I57))</f>
        <v>0</v>
      </c>
      <c r="J58" s="56" t="n">
        <f aca="false">IF(A58="","",IF(I58&gt;I57,計算過程!$B$57,0))</f>
        <v>0</v>
      </c>
      <c r="K58" s="56" t="n">
        <f aca="false">IF(A58="","",IF(I58&gt;I57,ROUND(M57*計算過程!$B$55,0),0))</f>
        <v>0</v>
      </c>
      <c r="L58" s="56" t="n">
        <f aca="false">IF(A58="","",J58-K58)</f>
        <v>0</v>
      </c>
      <c r="M58" s="56" t="n">
        <f aca="false">IF(A58="","",IF(I58&gt;I57,MAX(0,M57*(1+計算過程!$B$55)-計算過程!$B$56),M57))</f>
        <v>0</v>
      </c>
      <c r="N58" s="56" t="n">
        <f aca="false">IF(A58="","",C58+J58)</f>
        <v>25809</v>
      </c>
      <c r="O58" s="56" t="n">
        <f aca="false">IF(A58="","",H58+M58)</f>
        <v>231065.189451653</v>
      </c>
    </row>
    <row r="59" customFormat="false" ht="15" hidden="false" customHeight="false" outlineLevel="0" collapsed="false">
      <c r="A59" s="55" t="n">
        <f aca="false">IF(ROWS($A$8:A59)&lt;=計算過程!$B$51,ROWS($A$8:A59),"")</f>
        <v>52</v>
      </c>
      <c r="B59" s="57" t="n">
        <f aca="false">IF(A59="","",EDATE(計算過程!$B$71,A59-1))</f>
        <v>47908</v>
      </c>
      <c r="C59" s="56" t="n">
        <f aca="false">IF(A59="","",計算過程!$B$54)</f>
        <v>25809</v>
      </c>
      <c r="D59" s="56" t="n">
        <f aca="false">IF(A59="","",ROUND(F58*計算過程!$B$24/12+G58*計算過程!$B$25/12,0))</f>
        <v>243</v>
      </c>
      <c r="E59" s="56" t="n">
        <f aca="false">IF(A59="","",C59-D59)</f>
        <v>25566</v>
      </c>
      <c r="F59" s="56" t="n">
        <f aca="false">IF(A59="","",MAX(0,F58*(1+計算過程!$B$24/12)-計算過程!$B$52))</f>
        <v>205498.92133037</v>
      </c>
      <c r="G59" s="56" t="n">
        <f aca="false">IF(A59="","",MAX(0,G58*(1+計算過程!$B$25/12)-計算過程!$B$53))</f>
        <v>0</v>
      </c>
      <c r="H59" s="56" t="n">
        <f aca="false">IF(A59="","",F59+G59)</f>
        <v>205498.92133037</v>
      </c>
      <c r="I59" s="55" t="n">
        <f aca="false">IF(A59="","",IF(AND(OR(MONTH(B59)=6,MONTH(B59)=12),I58&lt;計算過程!$B$50),I58+1,I58))</f>
        <v>0</v>
      </c>
      <c r="J59" s="56" t="n">
        <f aca="false">IF(A59="","",IF(I59&gt;I58,計算過程!$B$57,0))</f>
        <v>0</v>
      </c>
      <c r="K59" s="56" t="n">
        <f aca="false">IF(A59="","",IF(I59&gt;I58,ROUND(M58*計算過程!$B$55,0),0))</f>
        <v>0</v>
      </c>
      <c r="L59" s="56" t="n">
        <f aca="false">IF(A59="","",J59-K59)</f>
        <v>0</v>
      </c>
      <c r="M59" s="56" t="n">
        <f aca="false">IF(A59="","",IF(I59&gt;I58,MAX(0,M58*(1+計算過程!$B$55)-計算過程!$B$56),M58))</f>
        <v>0</v>
      </c>
      <c r="N59" s="56" t="n">
        <f aca="false">IF(A59="","",C59+J59)</f>
        <v>25809</v>
      </c>
      <c r="O59" s="56" t="n">
        <f aca="false">IF(A59="","",H59+M59)</f>
        <v>205498.92133037</v>
      </c>
    </row>
    <row r="60" customFormat="false" ht="15" hidden="false" customHeight="false" outlineLevel="0" collapsed="false">
      <c r="A60" s="55" t="n">
        <f aca="false">IF(ROWS($A$8:A60)&lt;=計算過程!$B$51,ROWS($A$8:A60),"")</f>
        <v>53</v>
      </c>
      <c r="B60" s="57" t="n">
        <f aca="false">IF(A60="","",EDATE(計算過程!$B$71,A60-1))</f>
        <v>47939</v>
      </c>
      <c r="C60" s="56" t="n">
        <f aca="false">IF(A60="","",計算過程!$B$54)</f>
        <v>25809</v>
      </c>
      <c r="D60" s="56" t="n">
        <f aca="false">IF(A60="","",ROUND(F59*計算過程!$B$24/12+G59*計算過程!$B$25/12,0))</f>
        <v>216</v>
      </c>
      <c r="E60" s="56" t="n">
        <f aca="false">IF(A60="","",C60-D60)</f>
        <v>25593</v>
      </c>
      <c r="F60" s="56" t="n">
        <f aca="false">IF(A60="","",MAX(0,F59*(1+計算過程!$B$24/12)-計算過程!$B$52))</f>
        <v>179905.80862756</v>
      </c>
      <c r="G60" s="56" t="n">
        <f aca="false">IF(A60="","",MAX(0,G59*(1+計算過程!$B$25/12)-計算過程!$B$53))</f>
        <v>0</v>
      </c>
      <c r="H60" s="56" t="n">
        <f aca="false">IF(A60="","",F60+G60)</f>
        <v>179905.80862756</v>
      </c>
      <c r="I60" s="55" t="n">
        <f aca="false">IF(A60="","",IF(AND(OR(MONTH(B60)=6,MONTH(B60)=12),I59&lt;計算過程!$B$50),I59+1,I59))</f>
        <v>0</v>
      </c>
      <c r="J60" s="56" t="n">
        <f aca="false">IF(A60="","",IF(I60&gt;I59,計算過程!$B$57,0))</f>
        <v>0</v>
      </c>
      <c r="K60" s="56" t="n">
        <f aca="false">IF(A60="","",IF(I60&gt;I59,ROUND(M59*計算過程!$B$55,0),0))</f>
        <v>0</v>
      </c>
      <c r="L60" s="56" t="n">
        <f aca="false">IF(A60="","",J60-K60)</f>
        <v>0</v>
      </c>
      <c r="M60" s="56" t="n">
        <f aca="false">IF(A60="","",IF(I60&gt;I59,MAX(0,M59*(1+計算過程!$B$55)-計算過程!$B$56),M59))</f>
        <v>0</v>
      </c>
      <c r="N60" s="56" t="n">
        <f aca="false">IF(A60="","",C60+J60)</f>
        <v>25809</v>
      </c>
      <c r="O60" s="56" t="n">
        <f aca="false">IF(A60="","",H60+M60)</f>
        <v>179905.80862756</v>
      </c>
    </row>
    <row r="61" customFormat="false" ht="15" hidden="false" customHeight="false" outlineLevel="0" collapsed="false">
      <c r="A61" s="55" t="n">
        <f aca="false">IF(ROWS($A$8:A61)&lt;=計算過程!$B$51,ROWS($A$8:A61),"")</f>
        <v>54</v>
      </c>
      <c r="B61" s="57" t="n">
        <f aca="false">IF(A61="","",EDATE(計算過程!$B$71,A61-1))</f>
        <v>47969</v>
      </c>
      <c r="C61" s="56" t="n">
        <f aca="false">IF(A61="","",計算過程!$B$54)</f>
        <v>25809</v>
      </c>
      <c r="D61" s="56" t="n">
        <f aca="false">IF(A61="","",ROUND(F60*計算過程!$B$24/12+G60*計算過程!$B$25/12,0))</f>
        <v>189</v>
      </c>
      <c r="E61" s="56" t="n">
        <f aca="false">IF(A61="","",C61-D61)</f>
        <v>25620</v>
      </c>
      <c r="F61" s="56" t="n">
        <f aca="false">IF(A61="","",MAX(0,F60*(1+計算過程!$B$24/12)-計算過程!$B$52))</f>
        <v>154285.823156412</v>
      </c>
      <c r="G61" s="56" t="n">
        <f aca="false">IF(A61="","",MAX(0,G60*(1+計算過程!$B$25/12)-計算過程!$B$53))</f>
        <v>0</v>
      </c>
      <c r="H61" s="56" t="n">
        <f aca="false">IF(A61="","",F61+G61)</f>
        <v>154285.823156412</v>
      </c>
      <c r="I61" s="55" t="n">
        <f aca="false">IF(A61="","",IF(AND(OR(MONTH(B61)=6,MONTH(B61)=12),I60&lt;計算過程!$B$50),I60+1,I60))</f>
        <v>0</v>
      </c>
      <c r="J61" s="56" t="n">
        <f aca="false">IF(A61="","",IF(I61&gt;I60,計算過程!$B$57,0))</f>
        <v>0</v>
      </c>
      <c r="K61" s="56" t="n">
        <f aca="false">IF(A61="","",IF(I61&gt;I60,ROUND(M60*計算過程!$B$55,0),0))</f>
        <v>0</v>
      </c>
      <c r="L61" s="56" t="n">
        <f aca="false">IF(A61="","",J61-K61)</f>
        <v>0</v>
      </c>
      <c r="M61" s="56" t="n">
        <f aca="false">IF(A61="","",IF(I61&gt;I60,MAX(0,M60*(1+計算過程!$B$55)-計算過程!$B$56),M60))</f>
        <v>0</v>
      </c>
      <c r="N61" s="56" t="n">
        <f aca="false">IF(A61="","",C61+J61)</f>
        <v>25809</v>
      </c>
      <c r="O61" s="56" t="n">
        <f aca="false">IF(A61="","",H61+M61)</f>
        <v>154285.823156412</v>
      </c>
    </row>
    <row r="62" customFormat="false" ht="15" hidden="false" customHeight="false" outlineLevel="0" collapsed="false">
      <c r="A62" s="55" t="n">
        <f aca="false">IF(ROWS($A$8:A62)&lt;=計算過程!$B$51,ROWS($A$8:A62),"")</f>
        <v>55</v>
      </c>
      <c r="B62" s="57" t="n">
        <f aca="false">IF(A62="","",EDATE(計算過程!$B$71,A62-1))</f>
        <v>48000</v>
      </c>
      <c r="C62" s="56" t="n">
        <f aca="false">IF(A62="","",計算過程!$B$54)</f>
        <v>25809</v>
      </c>
      <c r="D62" s="56" t="n">
        <f aca="false">IF(A62="","",ROUND(F61*計算過程!$B$24/12+G61*計算過程!$B$25/12,0))</f>
        <v>162</v>
      </c>
      <c r="E62" s="56" t="n">
        <f aca="false">IF(A62="","",C62-D62)</f>
        <v>25647</v>
      </c>
      <c r="F62" s="56" t="n">
        <f aca="false">IF(A62="","",MAX(0,F61*(1+計算過程!$B$24/12)-計算過程!$B$52))</f>
        <v>128638.93670052</v>
      </c>
      <c r="G62" s="56" t="n">
        <f aca="false">IF(A62="","",MAX(0,G61*(1+計算過程!$B$25/12)-計算過程!$B$53))</f>
        <v>0</v>
      </c>
      <c r="H62" s="56" t="n">
        <f aca="false">IF(A62="","",F62+G62)</f>
        <v>128638.93670052</v>
      </c>
      <c r="I62" s="55" t="n">
        <f aca="false">IF(A62="","",IF(AND(OR(MONTH(B62)=6,MONTH(B62)=12),I61&lt;計算過程!$B$50),I61+1,I61))</f>
        <v>0</v>
      </c>
      <c r="J62" s="56" t="n">
        <f aca="false">IF(A62="","",IF(I62&gt;I61,計算過程!$B$57,0))</f>
        <v>0</v>
      </c>
      <c r="K62" s="56" t="n">
        <f aca="false">IF(A62="","",IF(I62&gt;I61,ROUND(M61*計算過程!$B$55,0),0))</f>
        <v>0</v>
      </c>
      <c r="L62" s="56" t="n">
        <f aca="false">IF(A62="","",J62-K62)</f>
        <v>0</v>
      </c>
      <c r="M62" s="56" t="n">
        <f aca="false">IF(A62="","",IF(I62&gt;I61,MAX(0,M61*(1+計算過程!$B$55)-計算過程!$B$56),M61))</f>
        <v>0</v>
      </c>
      <c r="N62" s="56" t="n">
        <f aca="false">IF(A62="","",C62+J62)</f>
        <v>25809</v>
      </c>
      <c r="O62" s="56" t="n">
        <f aca="false">IF(A62="","",H62+M62)</f>
        <v>128638.93670052</v>
      </c>
    </row>
    <row r="63" customFormat="false" ht="15" hidden="false" customHeight="false" outlineLevel="0" collapsed="false">
      <c r="A63" s="55" t="n">
        <f aca="false">IF(ROWS($A$8:A63)&lt;=計算過程!$B$51,ROWS($A$8:A63),"")</f>
        <v>56</v>
      </c>
      <c r="B63" s="57" t="n">
        <f aca="false">IF(A63="","",EDATE(計算過程!$B$71,A63-1))</f>
        <v>48030</v>
      </c>
      <c r="C63" s="56" t="n">
        <f aca="false">IF(A63="","",計算過程!$B$54)</f>
        <v>25809</v>
      </c>
      <c r="D63" s="56" t="n">
        <f aca="false">IF(A63="","",ROUND(F62*計算過程!$B$24/12+G62*計算過程!$B$25/12,0))</f>
        <v>135</v>
      </c>
      <c r="E63" s="56" t="n">
        <f aca="false">IF(A63="","",C63-D63)</f>
        <v>25674</v>
      </c>
      <c r="F63" s="56" t="n">
        <f aca="false">IF(A63="","",MAX(0,F62*(1+計算過程!$B$24/12)-計算過程!$B$52))</f>
        <v>102965.121013848</v>
      </c>
      <c r="G63" s="56" t="n">
        <f aca="false">IF(A63="","",MAX(0,G62*(1+計算過程!$B$25/12)-計算過程!$B$53))</f>
        <v>0</v>
      </c>
      <c r="H63" s="56" t="n">
        <f aca="false">IF(A63="","",F63+G63)</f>
        <v>102965.121013848</v>
      </c>
      <c r="I63" s="55" t="n">
        <f aca="false">IF(A63="","",IF(AND(OR(MONTH(B63)=6,MONTH(B63)=12),I62&lt;計算過程!$B$50),I62+1,I62))</f>
        <v>0</v>
      </c>
      <c r="J63" s="56" t="n">
        <f aca="false">IF(A63="","",IF(I63&gt;I62,計算過程!$B$57,0))</f>
        <v>0</v>
      </c>
      <c r="K63" s="56" t="n">
        <f aca="false">IF(A63="","",IF(I63&gt;I62,ROUND(M62*計算過程!$B$55,0),0))</f>
        <v>0</v>
      </c>
      <c r="L63" s="56" t="n">
        <f aca="false">IF(A63="","",J63-K63)</f>
        <v>0</v>
      </c>
      <c r="M63" s="56" t="n">
        <f aca="false">IF(A63="","",IF(I63&gt;I62,MAX(0,M62*(1+計算過程!$B$55)-計算過程!$B$56),M62))</f>
        <v>0</v>
      </c>
      <c r="N63" s="56" t="n">
        <f aca="false">IF(A63="","",C63+J63)</f>
        <v>25809</v>
      </c>
      <c r="O63" s="56" t="n">
        <f aca="false">IF(A63="","",H63+M63)</f>
        <v>102965.121013848</v>
      </c>
    </row>
    <row r="64" customFormat="false" ht="15" hidden="false" customHeight="false" outlineLevel="0" collapsed="false">
      <c r="A64" s="55" t="n">
        <f aca="false">IF(ROWS($A$8:A64)&lt;=計算過程!$B$51,ROWS($A$8:A64),"")</f>
        <v>57</v>
      </c>
      <c r="B64" s="57" t="n">
        <f aca="false">IF(A64="","",EDATE(計算過程!$B$71,A64-1))</f>
        <v>48061</v>
      </c>
      <c r="C64" s="56" t="n">
        <f aca="false">IF(A64="","",計算過程!$B$54)</f>
        <v>25809</v>
      </c>
      <c r="D64" s="56" t="n">
        <f aca="false">IF(A64="","",ROUND(F63*計算過程!$B$24/12+G63*計算過程!$B$25/12,0))</f>
        <v>108</v>
      </c>
      <c r="E64" s="56" t="n">
        <f aca="false">IF(A64="","",C64-D64)</f>
        <v>25701</v>
      </c>
      <c r="F64" s="56" t="n">
        <f aca="false">IF(A64="","",MAX(0,F63*(1+計算過程!$B$24/12)-計算過程!$B$52))</f>
        <v>77264.3478207062</v>
      </c>
      <c r="G64" s="56" t="n">
        <f aca="false">IF(A64="","",MAX(0,G63*(1+計算過程!$B$25/12)-計算過程!$B$53))</f>
        <v>0</v>
      </c>
      <c r="H64" s="56" t="n">
        <f aca="false">IF(A64="","",F64+G64)</f>
        <v>77264.3478207062</v>
      </c>
      <c r="I64" s="55" t="n">
        <f aca="false">IF(A64="","",IF(AND(OR(MONTH(B64)=6,MONTH(B64)=12),I63&lt;計算過程!$B$50),I63+1,I63))</f>
        <v>0</v>
      </c>
      <c r="J64" s="56" t="n">
        <f aca="false">IF(A64="","",IF(I64&gt;I63,計算過程!$B$57,0))</f>
        <v>0</v>
      </c>
      <c r="K64" s="56" t="n">
        <f aca="false">IF(A64="","",IF(I64&gt;I63,ROUND(M63*計算過程!$B$55,0),0))</f>
        <v>0</v>
      </c>
      <c r="L64" s="56" t="n">
        <f aca="false">IF(A64="","",J64-K64)</f>
        <v>0</v>
      </c>
      <c r="M64" s="56" t="n">
        <f aca="false">IF(A64="","",IF(I64&gt;I63,MAX(0,M63*(1+計算過程!$B$55)-計算過程!$B$56),M63))</f>
        <v>0</v>
      </c>
      <c r="N64" s="56" t="n">
        <f aca="false">IF(A64="","",C64+J64)</f>
        <v>25809</v>
      </c>
      <c r="O64" s="56" t="n">
        <f aca="false">IF(A64="","",H64+M64)</f>
        <v>77264.3478207062</v>
      </c>
    </row>
    <row r="65" customFormat="false" ht="15" hidden="false" customHeight="false" outlineLevel="0" collapsed="false">
      <c r="A65" s="55" t="n">
        <f aca="false">IF(ROWS($A$8:A65)&lt;=計算過程!$B$51,ROWS($A$8:A65),"")</f>
        <v>58</v>
      </c>
      <c r="B65" s="57" t="n">
        <f aca="false">IF(A65="","",EDATE(計算過程!$B$71,A65-1))</f>
        <v>48092</v>
      </c>
      <c r="C65" s="56" t="n">
        <f aca="false">IF(A65="","",計算過程!$B$54)</f>
        <v>25809</v>
      </c>
      <c r="D65" s="56" t="n">
        <f aca="false">IF(A65="","",ROUND(F64*計算過程!$B$24/12+G64*計算過程!$B$25/12,0))</f>
        <v>81</v>
      </c>
      <c r="E65" s="56" t="n">
        <f aca="false">IF(A65="","",C65-D65)</f>
        <v>25728</v>
      </c>
      <c r="F65" s="56" t="n">
        <f aca="false">IF(A65="","",MAX(0,F64*(1+計算過程!$B$24/12)-計算過程!$B$52))</f>
        <v>51536.5888157111</v>
      </c>
      <c r="G65" s="56" t="n">
        <f aca="false">IF(A65="","",MAX(0,G64*(1+計算過程!$B$25/12)-計算過程!$B$53))</f>
        <v>0</v>
      </c>
      <c r="H65" s="56" t="n">
        <f aca="false">IF(A65="","",F65+G65)</f>
        <v>51536.5888157111</v>
      </c>
      <c r="I65" s="55" t="n">
        <f aca="false">IF(A65="","",IF(AND(OR(MONTH(B65)=6,MONTH(B65)=12),I64&lt;計算過程!$B$50),I64+1,I64))</f>
        <v>0</v>
      </c>
      <c r="J65" s="56" t="n">
        <f aca="false">IF(A65="","",IF(I65&gt;I64,計算過程!$B$57,0))</f>
        <v>0</v>
      </c>
      <c r="K65" s="56" t="n">
        <f aca="false">IF(A65="","",IF(I65&gt;I64,ROUND(M64*計算過程!$B$55,0),0))</f>
        <v>0</v>
      </c>
      <c r="L65" s="56" t="n">
        <f aca="false">IF(A65="","",J65-K65)</f>
        <v>0</v>
      </c>
      <c r="M65" s="56" t="n">
        <f aca="false">IF(A65="","",IF(I65&gt;I64,MAX(0,M64*(1+計算過程!$B$55)-計算過程!$B$56),M64))</f>
        <v>0</v>
      </c>
      <c r="N65" s="56" t="n">
        <f aca="false">IF(A65="","",C65+J65)</f>
        <v>25809</v>
      </c>
      <c r="O65" s="56" t="n">
        <f aca="false">IF(A65="","",H65+M65)</f>
        <v>51536.5888157111</v>
      </c>
    </row>
    <row r="66" customFormat="false" ht="15" hidden="false" customHeight="false" outlineLevel="0" collapsed="false">
      <c r="A66" s="55" t="n">
        <f aca="false">IF(ROWS($A$8:A66)&lt;=計算過程!$B$51,ROWS($A$8:A66),"")</f>
        <v>59</v>
      </c>
      <c r="B66" s="57" t="n">
        <f aca="false">IF(A66="","",EDATE(計算過程!$B$71,A66-1))</f>
        <v>48122</v>
      </c>
      <c r="C66" s="56" t="n">
        <f aca="false">IF(A66="","",計算過程!$B$54)</f>
        <v>25809</v>
      </c>
      <c r="D66" s="56" t="n">
        <f aca="false">IF(A66="","",ROUND(F65*計算過程!$B$24/12+G65*計算過程!$B$25/12,0))</f>
        <v>54</v>
      </c>
      <c r="E66" s="56" t="n">
        <f aca="false">IF(A66="","",C66-D66)</f>
        <v>25755</v>
      </c>
      <c r="F66" s="56" t="n">
        <f aca="false">IF(A66="","",MAX(0,F65*(1+計算過程!$B$24/12)-計算過程!$B$52))</f>
        <v>25781.8156637607</v>
      </c>
      <c r="G66" s="56" t="n">
        <f aca="false">IF(A66="","",MAX(0,G65*(1+計算過程!$B$25/12)-計算過程!$B$53))</f>
        <v>0</v>
      </c>
      <c r="H66" s="56" t="n">
        <f aca="false">IF(A66="","",F66+G66)</f>
        <v>25781.8156637607</v>
      </c>
      <c r="I66" s="55" t="n">
        <f aca="false">IF(A66="","",IF(AND(OR(MONTH(B66)=6,MONTH(B66)=12),I65&lt;計算過程!$B$50),I65+1,I65))</f>
        <v>0</v>
      </c>
      <c r="J66" s="56" t="n">
        <f aca="false">IF(A66="","",IF(I66&gt;I65,計算過程!$B$57,0))</f>
        <v>0</v>
      </c>
      <c r="K66" s="56" t="n">
        <f aca="false">IF(A66="","",IF(I66&gt;I65,ROUND(M65*計算過程!$B$55,0),0))</f>
        <v>0</v>
      </c>
      <c r="L66" s="56" t="n">
        <f aca="false">IF(A66="","",J66-K66)</f>
        <v>0</v>
      </c>
      <c r="M66" s="56" t="n">
        <f aca="false">IF(A66="","",IF(I66&gt;I65,MAX(0,M65*(1+計算過程!$B$55)-計算過程!$B$56),M65))</f>
        <v>0</v>
      </c>
      <c r="N66" s="56" t="n">
        <f aca="false">IF(A66="","",C66+J66)</f>
        <v>25809</v>
      </c>
      <c r="O66" s="56" t="n">
        <f aca="false">IF(A66="","",H66+M66)</f>
        <v>25781.8156637607</v>
      </c>
    </row>
    <row r="67" customFormat="false" ht="15" hidden="false" customHeight="false" outlineLevel="0" collapsed="false">
      <c r="A67" s="55" t="n">
        <f aca="false">IF(ROWS($A$8:A67)&lt;=計算過程!$B$51,ROWS($A$8:A67),"")</f>
        <v>60</v>
      </c>
      <c r="B67" s="57" t="n">
        <f aca="false">IF(A67="","",EDATE(計算過程!$B$71,A67-1))</f>
        <v>48153</v>
      </c>
      <c r="C67" s="56" t="n">
        <f aca="false">IF(A67="","",計算過程!$B$54)</f>
        <v>25809</v>
      </c>
      <c r="D67" s="56" t="n">
        <f aca="false">IF(A67="","",ROUND(F66*計算過程!$B$24/12+G66*計算過程!$B$25/12,0))</f>
        <v>27</v>
      </c>
      <c r="E67" s="56" t="n">
        <f aca="false">IF(A67="","",C67-D67)</f>
        <v>25782</v>
      </c>
      <c r="F67" s="56" t="n">
        <f aca="false">IF(A67="","",MAX(0,F66*(1+計算過程!$B$24/12)-計算過程!$B$52))</f>
        <v>7.93079379945993E-010</v>
      </c>
      <c r="G67" s="56" t="n">
        <f aca="false">IF(A67="","",MAX(0,G66*(1+計算過程!$B$25/12)-計算過程!$B$53))</f>
        <v>0</v>
      </c>
      <c r="H67" s="56" t="n">
        <f aca="false">IF(A67="","",F67+G67)</f>
        <v>7.93079379945993E-010</v>
      </c>
      <c r="I67" s="55" t="n">
        <f aca="false">IF(A67="","",IF(AND(OR(MONTH(B67)=6,MONTH(B67)=12),I66&lt;計算過程!$B$50),I66+1,I66))</f>
        <v>0</v>
      </c>
      <c r="J67" s="56" t="n">
        <f aca="false">IF(A67="","",IF(I67&gt;I66,計算過程!$B$57,0))</f>
        <v>0</v>
      </c>
      <c r="K67" s="56" t="n">
        <f aca="false">IF(A67="","",IF(I67&gt;I66,ROUND(M66*計算過程!$B$55,0),0))</f>
        <v>0</v>
      </c>
      <c r="L67" s="56" t="n">
        <f aca="false">IF(A67="","",J67-K67)</f>
        <v>0</v>
      </c>
      <c r="M67" s="56" t="n">
        <f aca="false">IF(A67="","",IF(I67&gt;I66,MAX(0,M66*(1+計算過程!$B$55)-計算過程!$B$56),M66))</f>
        <v>0</v>
      </c>
      <c r="N67" s="56" t="n">
        <f aca="false">IF(A67="","",C67+J67)</f>
        <v>25809</v>
      </c>
      <c r="O67" s="56" t="n">
        <f aca="false">IF(A67="","",H67+M67)</f>
        <v>7.93079379945993E-010</v>
      </c>
    </row>
    <row r="68" customFormat="false" ht="15" hidden="false" customHeight="false" outlineLevel="0" collapsed="false">
      <c r="A68" s="55" t="str">
        <f aca="false">IF(ROWS($A$8:A68)&lt;=計算過程!$B$51,ROWS($A$8:A68),"")</f>
        <v/>
      </c>
      <c r="B68" s="57" t="str">
        <f aca="false">IF(A68="","",EDATE(計算過程!$B$71,A68-1))</f>
        <v/>
      </c>
      <c r="C68" s="56" t="str">
        <f aca="false">IF(A68="","",計算過程!$B$54)</f>
        <v/>
      </c>
      <c r="D68" s="56" t="str">
        <f aca="false">IF(A68="","",ROUND(F67*計算過程!$B$24/12+G67*計算過程!$B$25/12,0))</f>
        <v/>
      </c>
      <c r="E68" s="56" t="str">
        <f aca="false">IF(A68="","",C68-D68)</f>
        <v/>
      </c>
      <c r="F68" s="56" t="str">
        <f aca="false">IF(A68="","",MAX(0,F67*(1+計算過程!$B$24/12)-計算過程!$B$52))</f>
        <v/>
      </c>
      <c r="G68" s="56" t="str">
        <f aca="false">IF(A68="","",MAX(0,G67*(1+計算過程!$B$25/12)-計算過程!$B$53))</f>
        <v/>
      </c>
      <c r="H68" s="56" t="str">
        <f aca="false">IF(A68="","",F68+G68)</f>
        <v/>
      </c>
      <c r="I68" s="55" t="str">
        <f aca="false">IF(A68="","",IF(AND(OR(MONTH(B68)=6,MONTH(B68)=12),I67&lt;計算過程!$B$50),I67+1,I67))</f>
        <v/>
      </c>
      <c r="J68" s="56" t="str">
        <f aca="false">IF(A68="","",IF(I68&gt;I67,計算過程!$B$57,0))</f>
        <v/>
      </c>
      <c r="K68" s="56" t="str">
        <f aca="false">IF(A68="","",IF(I68&gt;I67,ROUND(M67*計算過程!$B$55,0),0))</f>
        <v/>
      </c>
      <c r="L68" s="56" t="str">
        <f aca="false">IF(A68="","",J68-K68)</f>
        <v/>
      </c>
      <c r="M68" s="56" t="str">
        <f aca="false">IF(A68="","",IF(I68&gt;I67,MAX(0,M67*(1+計算過程!$B$55)-計算過程!$B$56),M67))</f>
        <v/>
      </c>
      <c r="N68" s="56" t="str">
        <f aca="false">IF(A68="","",C68+J68)</f>
        <v/>
      </c>
      <c r="O68" s="56" t="str">
        <f aca="false">IF(A68="","",H68+M68)</f>
        <v/>
      </c>
    </row>
    <row r="69" customFormat="false" ht="15" hidden="false" customHeight="false" outlineLevel="0" collapsed="false">
      <c r="A69" s="55" t="str">
        <f aca="false">IF(ROWS($A$8:A69)&lt;=計算過程!$B$51,ROWS($A$8:A69),"")</f>
        <v/>
      </c>
      <c r="B69" s="57" t="str">
        <f aca="false">IF(A69="","",EDATE(計算過程!$B$71,A69-1))</f>
        <v/>
      </c>
      <c r="C69" s="56" t="str">
        <f aca="false">IF(A69="","",計算過程!$B$54)</f>
        <v/>
      </c>
      <c r="D69" s="56" t="str">
        <f aca="false">IF(A69="","",ROUND(F68*計算過程!$B$24/12+G68*計算過程!$B$25/12,0))</f>
        <v/>
      </c>
      <c r="E69" s="56" t="str">
        <f aca="false">IF(A69="","",C69-D69)</f>
        <v/>
      </c>
      <c r="F69" s="56" t="str">
        <f aca="false">IF(A69="","",MAX(0,F68*(1+計算過程!$B$24/12)-計算過程!$B$52))</f>
        <v/>
      </c>
      <c r="G69" s="56" t="str">
        <f aca="false">IF(A69="","",MAX(0,G68*(1+計算過程!$B$25/12)-計算過程!$B$53))</f>
        <v/>
      </c>
      <c r="H69" s="56" t="str">
        <f aca="false">IF(A69="","",F69+G69)</f>
        <v/>
      </c>
      <c r="I69" s="55" t="str">
        <f aca="false">IF(A69="","",IF(AND(OR(MONTH(B69)=6,MONTH(B69)=12),I68&lt;計算過程!$B$50),I68+1,I68))</f>
        <v/>
      </c>
      <c r="J69" s="56" t="str">
        <f aca="false">IF(A69="","",IF(I69&gt;I68,計算過程!$B$57,0))</f>
        <v/>
      </c>
      <c r="K69" s="56" t="str">
        <f aca="false">IF(A69="","",IF(I69&gt;I68,ROUND(M68*計算過程!$B$55,0),0))</f>
        <v/>
      </c>
      <c r="L69" s="56" t="str">
        <f aca="false">IF(A69="","",J69-K69)</f>
        <v/>
      </c>
      <c r="M69" s="56" t="str">
        <f aca="false">IF(A69="","",IF(I69&gt;I68,MAX(0,M68*(1+計算過程!$B$55)-計算過程!$B$56),M68))</f>
        <v/>
      </c>
      <c r="N69" s="56" t="str">
        <f aca="false">IF(A69="","",C69+J69)</f>
        <v/>
      </c>
      <c r="O69" s="56" t="str">
        <f aca="false">IF(A69="","",H69+M69)</f>
        <v/>
      </c>
    </row>
    <row r="70" customFormat="false" ht="15" hidden="false" customHeight="false" outlineLevel="0" collapsed="false">
      <c r="A70" s="55" t="str">
        <f aca="false">IF(ROWS($A$8:A70)&lt;=計算過程!$B$51,ROWS($A$8:A70),"")</f>
        <v/>
      </c>
      <c r="B70" s="57" t="str">
        <f aca="false">IF(A70="","",EDATE(計算過程!$B$71,A70-1))</f>
        <v/>
      </c>
      <c r="C70" s="56" t="str">
        <f aca="false">IF(A70="","",計算過程!$B$54)</f>
        <v/>
      </c>
      <c r="D70" s="56" t="str">
        <f aca="false">IF(A70="","",ROUND(F69*計算過程!$B$24/12+G69*計算過程!$B$25/12,0))</f>
        <v/>
      </c>
      <c r="E70" s="56" t="str">
        <f aca="false">IF(A70="","",C70-D70)</f>
        <v/>
      </c>
      <c r="F70" s="56" t="str">
        <f aca="false">IF(A70="","",MAX(0,F69*(1+計算過程!$B$24/12)-計算過程!$B$52))</f>
        <v/>
      </c>
      <c r="G70" s="56" t="str">
        <f aca="false">IF(A70="","",MAX(0,G69*(1+計算過程!$B$25/12)-計算過程!$B$53))</f>
        <v/>
      </c>
      <c r="H70" s="56" t="str">
        <f aca="false">IF(A70="","",F70+G70)</f>
        <v/>
      </c>
      <c r="I70" s="55" t="str">
        <f aca="false">IF(A70="","",IF(AND(OR(MONTH(B70)=6,MONTH(B70)=12),I69&lt;計算過程!$B$50),I69+1,I69))</f>
        <v/>
      </c>
      <c r="J70" s="56" t="str">
        <f aca="false">IF(A70="","",IF(I70&gt;I69,計算過程!$B$57,0))</f>
        <v/>
      </c>
      <c r="K70" s="56" t="str">
        <f aca="false">IF(A70="","",IF(I70&gt;I69,ROUND(M69*計算過程!$B$55,0),0))</f>
        <v/>
      </c>
      <c r="L70" s="56" t="str">
        <f aca="false">IF(A70="","",J70-K70)</f>
        <v/>
      </c>
      <c r="M70" s="56" t="str">
        <f aca="false">IF(A70="","",IF(I70&gt;I69,MAX(0,M69*(1+計算過程!$B$55)-計算過程!$B$56),M69))</f>
        <v/>
      </c>
      <c r="N70" s="56" t="str">
        <f aca="false">IF(A70="","",C70+J70)</f>
        <v/>
      </c>
      <c r="O70" s="56" t="str">
        <f aca="false">IF(A70="","",H70+M70)</f>
        <v/>
      </c>
    </row>
    <row r="71" customFormat="false" ht="15" hidden="false" customHeight="false" outlineLevel="0" collapsed="false">
      <c r="A71" s="55" t="str">
        <f aca="false">IF(ROWS($A$8:A71)&lt;=計算過程!$B$51,ROWS($A$8:A71),"")</f>
        <v/>
      </c>
      <c r="B71" s="57" t="str">
        <f aca="false">IF(A71="","",EDATE(計算過程!$B$71,A71-1))</f>
        <v/>
      </c>
      <c r="C71" s="56" t="str">
        <f aca="false">IF(A71="","",計算過程!$B$54)</f>
        <v/>
      </c>
      <c r="D71" s="56" t="str">
        <f aca="false">IF(A71="","",ROUND(F70*計算過程!$B$24/12+G70*計算過程!$B$25/12,0))</f>
        <v/>
      </c>
      <c r="E71" s="56" t="str">
        <f aca="false">IF(A71="","",C71-D71)</f>
        <v/>
      </c>
      <c r="F71" s="56" t="str">
        <f aca="false">IF(A71="","",MAX(0,F70*(1+計算過程!$B$24/12)-計算過程!$B$52))</f>
        <v/>
      </c>
      <c r="G71" s="56" t="str">
        <f aca="false">IF(A71="","",MAX(0,G70*(1+計算過程!$B$25/12)-計算過程!$B$53))</f>
        <v/>
      </c>
      <c r="H71" s="56" t="str">
        <f aca="false">IF(A71="","",F71+G71)</f>
        <v/>
      </c>
      <c r="I71" s="55" t="str">
        <f aca="false">IF(A71="","",IF(AND(OR(MONTH(B71)=6,MONTH(B71)=12),I70&lt;計算過程!$B$50),I70+1,I70))</f>
        <v/>
      </c>
      <c r="J71" s="56" t="str">
        <f aca="false">IF(A71="","",IF(I71&gt;I70,計算過程!$B$57,0))</f>
        <v/>
      </c>
      <c r="K71" s="56" t="str">
        <f aca="false">IF(A71="","",IF(I71&gt;I70,ROUND(M70*計算過程!$B$55,0),0))</f>
        <v/>
      </c>
      <c r="L71" s="56" t="str">
        <f aca="false">IF(A71="","",J71-K71)</f>
        <v/>
      </c>
      <c r="M71" s="56" t="str">
        <f aca="false">IF(A71="","",IF(I71&gt;I70,MAX(0,M70*(1+計算過程!$B$55)-計算過程!$B$56),M70))</f>
        <v/>
      </c>
      <c r="N71" s="56" t="str">
        <f aca="false">IF(A71="","",C71+J71)</f>
        <v/>
      </c>
      <c r="O71" s="56" t="str">
        <f aca="false">IF(A71="","",H71+M71)</f>
        <v/>
      </c>
    </row>
    <row r="72" customFormat="false" ht="15" hidden="false" customHeight="false" outlineLevel="0" collapsed="false">
      <c r="A72" s="55" t="str">
        <f aca="false">IF(ROWS($A$8:A72)&lt;=計算過程!$B$51,ROWS($A$8:A72),"")</f>
        <v/>
      </c>
      <c r="B72" s="57" t="str">
        <f aca="false">IF(A72="","",EDATE(計算過程!$B$71,A72-1))</f>
        <v/>
      </c>
      <c r="C72" s="56" t="str">
        <f aca="false">IF(A72="","",計算過程!$B$54)</f>
        <v/>
      </c>
      <c r="D72" s="56" t="str">
        <f aca="false">IF(A72="","",ROUND(F71*計算過程!$B$24/12+G71*計算過程!$B$25/12,0))</f>
        <v/>
      </c>
      <c r="E72" s="56" t="str">
        <f aca="false">IF(A72="","",C72-D72)</f>
        <v/>
      </c>
      <c r="F72" s="56" t="str">
        <f aca="false">IF(A72="","",MAX(0,F71*(1+計算過程!$B$24/12)-計算過程!$B$52))</f>
        <v/>
      </c>
      <c r="G72" s="56" t="str">
        <f aca="false">IF(A72="","",MAX(0,G71*(1+計算過程!$B$25/12)-計算過程!$B$53))</f>
        <v/>
      </c>
      <c r="H72" s="56" t="str">
        <f aca="false">IF(A72="","",F72+G72)</f>
        <v/>
      </c>
      <c r="I72" s="55" t="str">
        <f aca="false">IF(A72="","",IF(AND(OR(MONTH(B72)=6,MONTH(B72)=12),I71&lt;計算過程!$B$50),I71+1,I71))</f>
        <v/>
      </c>
      <c r="J72" s="56" t="str">
        <f aca="false">IF(A72="","",IF(I72&gt;I71,計算過程!$B$57,0))</f>
        <v/>
      </c>
      <c r="K72" s="56" t="str">
        <f aca="false">IF(A72="","",IF(I72&gt;I71,ROUND(M71*計算過程!$B$55,0),0))</f>
        <v/>
      </c>
      <c r="L72" s="56" t="str">
        <f aca="false">IF(A72="","",J72-K72)</f>
        <v/>
      </c>
      <c r="M72" s="56" t="str">
        <f aca="false">IF(A72="","",IF(I72&gt;I71,MAX(0,M71*(1+計算過程!$B$55)-計算過程!$B$56),M71))</f>
        <v/>
      </c>
      <c r="N72" s="56" t="str">
        <f aca="false">IF(A72="","",C72+J72)</f>
        <v/>
      </c>
      <c r="O72" s="56" t="str">
        <f aca="false">IF(A72="","",H72+M72)</f>
        <v/>
      </c>
    </row>
    <row r="73" customFormat="false" ht="15" hidden="false" customHeight="false" outlineLevel="0" collapsed="false">
      <c r="A73" s="55" t="str">
        <f aca="false">IF(ROWS($A$8:A73)&lt;=計算過程!$B$51,ROWS($A$8:A73),"")</f>
        <v/>
      </c>
      <c r="B73" s="57" t="str">
        <f aca="false">IF(A73="","",EDATE(計算過程!$B$71,A73-1))</f>
        <v/>
      </c>
      <c r="C73" s="56" t="str">
        <f aca="false">IF(A73="","",計算過程!$B$54)</f>
        <v/>
      </c>
      <c r="D73" s="56" t="str">
        <f aca="false">IF(A73="","",ROUND(F72*計算過程!$B$24/12+G72*計算過程!$B$25/12,0))</f>
        <v/>
      </c>
      <c r="E73" s="56" t="str">
        <f aca="false">IF(A73="","",C73-D73)</f>
        <v/>
      </c>
      <c r="F73" s="56" t="str">
        <f aca="false">IF(A73="","",MAX(0,F72*(1+計算過程!$B$24/12)-計算過程!$B$52))</f>
        <v/>
      </c>
      <c r="G73" s="56" t="str">
        <f aca="false">IF(A73="","",MAX(0,G72*(1+計算過程!$B$25/12)-計算過程!$B$53))</f>
        <v/>
      </c>
      <c r="H73" s="56" t="str">
        <f aca="false">IF(A73="","",F73+G73)</f>
        <v/>
      </c>
      <c r="I73" s="55" t="str">
        <f aca="false">IF(A73="","",IF(AND(OR(MONTH(B73)=6,MONTH(B73)=12),I72&lt;計算過程!$B$50),I72+1,I72))</f>
        <v/>
      </c>
      <c r="J73" s="56" t="str">
        <f aca="false">IF(A73="","",IF(I73&gt;I72,計算過程!$B$57,0))</f>
        <v/>
      </c>
      <c r="K73" s="56" t="str">
        <f aca="false">IF(A73="","",IF(I73&gt;I72,ROUND(M72*計算過程!$B$55,0),0))</f>
        <v/>
      </c>
      <c r="L73" s="56" t="str">
        <f aca="false">IF(A73="","",J73-K73)</f>
        <v/>
      </c>
      <c r="M73" s="56" t="str">
        <f aca="false">IF(A73="","",IF(I73&gt;I72,MAX(0,M72*(1+計算過程!$B$55)-計算過程!$B$56),M72))</f>
        <v/>
      </c>
      <c r="N73" s="56" t="str">
        <f aca="false">IF(A73="","",C73+J73)</f>
        <v/>
      </c>
      <c r="O73" s="56" t="str">
        <f aca="false">IF(A73="","",H73+M73)</f>
        <v/>
      </c>
    </row>
    <row r="74" customFormat="false" ht="15" hidden="false" customHeight="false" outlineLevel="0" collapsed="false">
      <c r="A74" s="55" t="str">
        <f aca="false">IF(ROWS($A$8:A74)&lt;=計算過程!$B$51,ROWS($A$8:A74),"")</f>
        <v/>
      </c>
      <c r="B74" s="57" t="str">
        <f aca="false">IF(A74="","",EDATE(計算過程!$B$71,A74-1))</f>
        <v/>
      </c>
      <c r="C74" s="56" t="str">
        <f aca="false">IF(A74="","",計算過程!$B$54)</f>
        <v/>
      </c>
      <c r="D74" s="56" t="str">
        <f aca="false">IF(A74="","",ROUND(F73*計算過程!$B$24/12+G73*計算過程!$B$25/12,0))</f>
        <v/>
      </c>
      <c r="E74" s="56" t="str">
        <f aca="false">IF(A74="","",C74-D74)</f>
        <v/>
      </c>
      <c r="F74" s="56" t="str">
        <f aca="false">IF(A74="","",MAX(0,F73*(1+計算過程!$B$24/12)-計算過程!$B$52))</f>
        <v/>
      </c>
      <c r="G74" s="56" t="str">
        <f aca="false">IF(A74="","",MAX(0,G73*(1+計算過程!$B$25/12)-計算過程!$B$53))</f>
        <v/>
      </c>
      <c r="H74" s="56" t="str">
        <f aca="false">IF(A74="","",F74+G74)</f>
        <v/>
      </c>
      <c r="I74" s="55" t="str">
        <f aca="false">IF(A74="","",IF(AND(OR(MONTH(B74)=6,MONTH(B74)=12),I73&lt;計算過程!$B$50),I73+1,I73))</f>
        <v/>
      </c>
      <c r="J74" s="56" t="str">
        <f aca="false">IF(A74="","",IF(I74&gt;I73,計算過程!$B$57,0))</f>
        <v/>
      </c>
      <c r="K74" s="56" t="str">
        <f aca="false">IF(A74="","",IF(I74&gt;I73,ROUND(M73*計算過程!$B$55,0),0))</f>
        <v/>
      </c>
      <c r="L74" s="56" t="str">
        <f aca="false">IF(A74="","",J74-K74)</f>
        <v/>
      </c>
      <c r="M74" s="56" t="str">
        <f aca="false">IF(A74="","",IF(I74&gt;I73,MAX(0,M73*(1+計算過程!$B$55)-計算過程!$B$56),M73))</f>
        <v/>
      </c>
      <c r="N74" s="56" t="str">
        <f aca="false">IF(A74="","",C74+J74)</f>
        <v/>
      </c>
      <c r="O74" s="56" t="str">
        <f aca="false">IF(A74="","",H74+M74)</f>
        <v/>
      </c>
    </row>
    <row r="75" customFormat="false" ht="15" hidden="false" customHeight="false" outlineLevel="0" collapsed="false">
      <c r="A75" s="55" t="str">
        <f aca="false">IF(ROWS($A$8:A75)&lt;=計算過程!$B$51,ROWS($A$8:A75),"")</f>
        <v/>
      </c>
      <c r="B75" s="57" t="str">
        <f aca="false">IF(A75="","",EDATE(計算過程!$B$71,A75-1))</f>
        <v/>
      </c>
      <c r="C75" s="56" t="str">
        <f aca="false">IF(A75="","",計算過程!$B$54)</f>
        <v/>
      </c>
      <c r="D75" s="56" t="str">
        <f aca="false">IF(A75="","",ROUND(F74*計算過程!$B$24/12+G74*計算過程!$B$25/12,0))</f>
        <v/>
      </c>
      <c r="E75" s="56" t="str">
        <f aca="false">IF(A75="","",C75-D75)</f>
        <v/>
      </c>
      <c r="F75" s="56" t="str">
        <f aca="false">IF(A75="","",MAX(0,F74*(1+計算過程!$B$24/12)-計算過程!$B$52))</f>
        <v/>
      </c>
      <c r="G75" s="56" t="str">
        <f aca="false">IF(A75="","",MAX(0,G74*(1+計算過程!$B$25/12)-計算過程!$B$53))</f>
        <v/>
      </c>
      <c r="H75" s="56" t="str">
        <f aca="false">IF(A75="","",F75+G75)</f>
        <v/>
      </c>
      <c r="I75" s="55" t="str">
        <f aca="false">IF(A75="","",IF(AND(OR(MONTH(B75)=6,MONTH(B75)=12),I74&lt;計算過程!$B$50),I74+1,I74))</f>
        <v/>
      </c>
      <c r="J75" s="56" t="str">
        <f aca="false">IF(A75="","",IF(I75&gt;I74,計算過程!$B$57,0))</f>
        <v/>
      </c>
      <c r="K75" s="56" t="str">
        <f aca="false">IF(A75="","",IF(I75&gt;I74,ROUND(M74*計算過程!$B$55,0),0))</f>
        <v/>
      </c>
      <c r="L75" s="56" t="str">
        <f aca="false">IF(A75="","",J75-K75)</f>
        <v/>
      </c>
      <c r="M75" s="56" t="str">
        <f aca="false">IF(A75="","",IF(I75&gt;I74,MAX(0,M74*(1+計算過程!$B$55)-計算過程!$B$56),M74))</f>
        <v/>
      </c>
      <c r="N75" s="56" t="str">
        <f aca="false">IF(A75="","",C75+J75)</f>
        <v/>
      </c>
      <c r="O75" s="56" t="str">
        <f aca="false">IF(A75="","",H75+M75)</f>
        <v/>
      </c>
    </row>
    <row r="76" customFormat="false" ht="15" hidden="false" customHeight="false" outlineLevel="0" collapsed="false">
      <c r="A76" s="55" t="str">
        <f aca="false">IF(ROWS($A$8:A76)&lt;=計算過程!$B$51,ROWS($A$8:A76),"")</f>
        <v/>
      </c>
      <c r="B76" s="57" t="str">
        <f aca="false">IF(A76="","",EDATE(計算過程!$B$71,A76-1))</f>
        <v/>
      </c>
      <c r="C76" s="56" t="str">
        <f aca="false">IF(A76="","",計算過程!$B$54)</f>
        <v/>
      </c>
      <c r="D76" s="56" t="str">
        <f aca="false">IF(A76="","",ROUND(F75*計算過程!$B$24/12+G75*計算過程!$B$25/12,0))</f>
        <v/>
      </c>
      <c r="E76" s="56" t="str">
        <f aca="false">IF(A76="","",C76-D76)</f>
        <v/>
      </c>
      <c r="F76" s="56" t="str">
        <f aca="false">IF(A76="","",MAX(0,F75*(1+計算過程!$B$24/12)-計算過程!$B$52))</f>
        <v/>
      </c>
      <c r="G76" s="56" t="str">
        <f aca="false">IF(A76="","",MAX(0,G75*(1+計算過程!$B$25/12)-計算過程!$B$53))</f>
        <v/>
      </c>
      <c r="H76" s="56" t="str">
        <f aca="false">IF(A76="","",F76+G76)</f>
        <v/>
      </c>
      <c r="I76" s="55" t="str">
        <f aca="false">IF(A76="","",IF(AND(OR(MONTH(B76)=6,MONTH(B76)=12),I75&lt;計算過程!$B$50),I75+1,I75))</f>
        <v/>
      </c>
      <c r="J76" s="56" t="str">
        <f aca="false">IF(A76="","",IF(I76&gt;I75,計算過程!$B$57,0))</f>
        <v/>
      </c>
      <c r="K76" s="56" t="str">
        <f aca="false">IF(A76="","",IF(I76&gt;I75,ROUND(M75*計算過程!$B$55,0),0))</f>
        <v/>
      </c>
      <c r="L76" s="56" t="str">
        <f aca="false">IF(A76="","",J76-K76)</f>
        <v/>
      </c>
      <c r="M76" s="56" t="str">
        <f aca="false">IF(A76="","",IF(I76&gt;I75,MAX(0,M75*(1+計算過程!$B$55)-計算過程!$B$56),M75))</f>
        <v/>
      </c>
      <c r="N76" s="56" t="str">
        <f aca="false">IF(A76="","",C76+J76)</f>
        <v/>
      </c>
      <c r="O76" s="56" t="str">
        <f aca="false">IF(A76="","",H76+M76)</f>
        <v/>
      </c>
    </row>
    <row r="77" customFormat="false" ht="15" hidden="false" customHeight="false" outlineLevel="0" collapsed="false">
      <c r="A77" s="55" t="str">
        <f aca="false">IF(ROWS($A$8:A77)&lt;=計算過程!$B$51,ROWS($A$8:A77),"")</f>
        <v/>
      </c>
      <c r="B77" s="57" t="str">
        <f aca="false">IF(A77="","",EDATE(計算過程!$B$71,A77-1))</f>
        <v/>
      </c>
      <c r="C77" s="56" t="str">
        <f aca="false">IF(A77="","",計算過程!$B$54)</f>
        <v/>
      </c>
      <c r="D77" s="56" t="str">
        <f aca="false">IF(A77="","",ROUND(F76*計算過程!$B$24/12+G76*計算過程!$B$25/12,0))</f>
        <v/>
      </c>
      <c r="E77" s="56" t="str">
        <f aca="false">IF(A77="","",C77-D77)</f>
        <v/>
      </c>
      <c r="F77" s="56" t="str">
        <f aca="false">IF(A77="","",MAX(0,F76*(1+計算過程!$B$24/12)-計算過程!$B$52))</f>
        <v/>
      </c>
      <c r="G77" s="56" t="str">
        <f aca="false">IF(A77="","",MAX(0,G76*(1+計算過程!$B$25/12)-計算過程!$B$53))</f>
        <v/>
      </c>
      <c r="H77" s="56" t="str">
        <f aca="false">IF(A77="","",F77+G77)</f>
        <v/>
      </c>
      <c r="I77" s="55" t="str">
        <f aca="false">IF(A77="","",IF(AND(OR(MONTH(B77)=6,MONTH(B77)=12),I76&lt;計算過程!$B$50),I76+1,I76))</f>
        <v/>
      </c>
      <c r="J77" s="56" t="str">
        <f aca="false">IF(A77="","",IF(I77&gt;I76,計算過程!$B$57,0))</f>
        <v/>
      </c>
      <c r="K77" s="56" t="str">
        <f aca="false">IF(A77="","",IF(I77&gt;I76,ROUND(M76*計算過程!$B$55,0),0))</f>
        <v/>
      </c>
      <c r="L77" s="56" t="str">
        <f aca="false">IF(A77="","",J77-K77)</f>
        <v/>
      </c>
      <c r="M77" s="56" t="str">
        <f aca="false">IF(A77="","",IF(I77&gt;I76,MAX(0,M76*(1+計算過程!$B$55)-計算過程!$B$56),M76))</f>
        <v/>
      </c>
      <c r="N77" s="56" t="str">
        <f aca="false">IF(A77="","",C77+J77)</f>
        <v/>
      </c>
      <c r="O77" s="56" t="str">
        <f aca="false">IF(A77="","",H77+M77)</f>
        <v/>
      </c>
    </row>
    <row r="78" customFormat="false" ht="15" hidden="false" customHeight="false" outlineLevel="0" collapsed="false">
      <c r="A78" s="55" t="str">
        <f aca="false">IF(ROWS($A$8:A78)&lt;=計算過程!$B$51,ROWS($A$8:A78),"")</f>
        <v/>
      </c>
      <c r="B78" s="57" t="str">
        <f aca="false">IF(A78="","",EDATE(計算過程!$B$71,A78-1))</f>
        <v/>
      </c>
      <c r="C78" s="56" t="str">
        <f aca="false">IF(A78="","",計算過程!$B$54)</f>
        <v/>
      </c>
      <c r="D78" s="56" t="str">
        <f aca="false">IF(A78="","",ROUND(F77*計算過程!$B$24/12+G77*計算過程!$B$25/12,0))</f>
        <v/>
      </c>
      <c r="E78" s="56" t="str">
        <f aca="false">IF(A78="","",C78-D78)</f>
        <v/>
      </c>
      <c r="F78" s="56" t="str">
        <f aca="false">IF(A78="","",MAX(0,F77*(1+計算過程!$B$24/12)-計算過程!$B$52))</f>
        <v/>
      </c>
      <c r="G78" s="56" t="str">
        <f aca="false">IF(A78="","",MAX(0,G77*(1+計算過程!$B$25/12)-計算過程!$B$53))</f>
        <v/>
      </c>
      <c r="H78" s="56" t="str">
        <f aca="false">IF(A78="","",F78+G78)</f>
        <v/>
      </c>
      <c r="I78" s="55" t="str">
        <f aca="false">IF(A78="","",IF(AND(OR(MONTH(B78)=6,MONTH(B78)=12),I77&lt;計算過程!$B$50),I77+1,I77))</f>
        <v/>
      </c>
      <c r="J78" s="56" t="str">
        <f aca="false">IF(A78="","",IF(I78&gt;I77,計算過程!$B$57,0))</f>
        <v/>
      </c>
      <c r="K78" s="56" t="str">
        <f aca="false">IF(A78="","",IF(I78&gt;I77,ROUND(M77*計算過程!$B$55,0),0))</f>
        <v/>
      </c>
      <c r="L78" s="56" t="str">
        <f aca="false">IF(A78="","",J78-K78)</f>
        <v/>
      </c>
      <c r="M78" s="56" t="str">
        <f aca="false">IF(A78="","",IF(I78&gt;I77,MAX(0,M77*(1+計算過程!$B$55)-計算過程!$B$56),M77))</f>
        <v/>
      </c>
      <c r="N78" s="56" t="str">
        <f aca="false">IF(A78="","",C78+J78)</f>
        <v/>
      </c>
      <c r="O78" s="56" t="str">
        <f aca="false">IF(A78="","",H78+M78)</f>
        <v/>
      </c>
    </row>
    <row r="79" customFormat="false" ht="15" hidden="false" customHeight="false" outlineLevel="0" collapsed="false">
      <c r="A79" s="55" t="str">
        <f aca="false">IF(ROWS($A$8:A79)&lt;=計算過程!$B$51,ROWS($A$8:A79),"")</f>
        <v/>
      </c>
      <c r="B79" s="57" t="str">
        <f aca="false">IF(A79="","",EDATE(計算過程!$B$71,A79-1))</f>
        <v/>
      </c>
      <c r="C79" s="56" t="str">
        <f aca="false">IF(A79="","",計算過程!$B$54)</f>
        <v/>
      </c>
      <c r="D79" s="56" t="str">
        <f aca="false">IF(A79="","",ROUND(F78*計算過程!$B$24/12+G78*計算過程!$B$25/12,0))</f>
        <v/>
      </c>
      <c r="E79" s="56" t="str">
        <f aca="false">IF(A79="","",C79-D79)</f>
        <v/>
      </c>
      <c r="F79" s="56" t="str">
        <f aca="false">IF(A79="","",MAX(0,F78*(1+計算過程!$B$24/12)-計算過程!$B$52))</f>
        <v/>
      </c>
      <c r="G79" s="56" t="str">
        <f aca="false">IF(A79="","",MAX(0,G78*(1+計算過程!$B$25/12)-計算過程!$B$53))</f>
        <v/>
      </c>
      <c r="H79" s="56" t="str">
        <f aca="false">IF(A79="","",F79+G79)</f>
        <v/>
      </c>
      <c r="I79" s="55" t="str">
        <f aca="false">IF(A79="","",IF(AND(OR(MONTH(B79)=6,MONTH(B79)=12),I78&lt;計算過程!$B$50),I78+1,I78))</f>
        <v/>
      </c>
      <c r="J79" s="56" t="str">
        <f aca="false">IF(A79="","",IF(I79&gt;I78,計算過程!$B$57,0))</f>
        <v/>
      </c>
      <c r="K79" s="56" t="str">
        <f aca="false">IF(A79="","",IF(I79&gt;I78,ROUND(M78*計算過程!$B$55,0),0))</f>
        <v/>
      </c>
      <c r="L79" s="56" t="str">
        <f aca="false">IF(A79="","",J79-K79)</f>
        <v/>
      </c>
      <c r="M79" s="56" t="str">
        <f aca="false">IF(A79="","",IF(I79&gt;I78,MAX(0,M78*(1+計算過程!$B$55)-計算過程!$B$56),M78))</f>
        <v/>
      </c>
      <c r="N79" s="56" t="str">
        <f aca="false">IF(A79="","",C79+J79)</f>
        <v/>
      </c>
      <c r="O79" s="56" t="str">
        <f aca="false">IF(A79="","",H79+M79)</f>
        <v/>
      </c>
    </row>
    <row r="80" customFormat="false" ht="15" hidden="false" customHeight="false" outlineLevel="0" collapsed="false">
      <c r="A80" s="55" t="str">
        <f aca="false">IF(ROWS($A$8:A80)&lt;=計算過程!$B$51,ROWS($A$8:A80),"")</f>
        <v/>
      </c>
      <c r="B80" s="57" t="str">
        <f aca="false">IF(A80="","",EDATE(計算過程!$B$71,A80-1))</f>
        <v/>
      </c>
      <c r="C80" s="56" t="str">
        <f aca="false">IF(A80="","",計算過程!$B$54)</f>
        <v/>
      </c>
      <c r="D80" s="56" t="str">
        <f aca="false">IF(A80="","",ROUND(F79*計算過程!$B$24/12+G79*計算過程!$B$25/12,0))</f>
        <v/>
      </c>
      <c r="E80" s="56" t="str">
        <f aca="false">IF(A80="","",C80-D80)</f>
        <v/>
      </c>
      <c r="F80" s="56" t="str">
        <f aca="false">IF(A80="","",MAX(0,F79*(1+計算過程!$B$24/12)-計算過程!$B$52))</f>
        <v/>
      </c>
      <c r="G80" s="56" t="str">
        <f aca="false">IF(A80="","",MAX(0,G79*(1+計算過程!$B$25/12)-計算過程!$B$53))</f>
        <v/>
      </c>
      <c r="H80" s="56" t="str">
        <f aca="false">IF(A80="","",F80+G80)</f>
        <v/>
      </c>
      <c r="I80" s="55" t="str">
        <f aca="false">IF(A80="","",IF(AND(OR(MONTH(B80)=6,MONTH(B80)=12),I79&lt;計算過程!$B$50),I79+1,I79))</f>
        <v/>
      </c>
      <c r="J80" s="56" t="str">
        <f aca="false">IF(A80="","",IF(I80&gt;I79,計算過程!$B$57,0))</f>
        <v/>
      </c>
      <c r="K80" s="56" t="str">
        <f aca="false">IF(A80="","",IF(I80&gt;I79,ROUND(M79*計算過程!$B$55,0),0))</f>
        <v/>
      </c>
      <c r="L80" s="56" t="str">
        <f aca="false">IF(A80="","",J80-K80)</f>
        <v/>
      </c>
      <c r="M80" s="56" t="str">
        <f aca="false">IF(A80="","",IF(I80&gt;I79,MAX(0,M79*(1+計算過程!$B$55)-計算過程!$B$56),M79))</f>
        <v/>
      </c>
      <c r="N80" s="56" t="str">
        <f aca="false">IF(A80="","",C80+J80)</f>
        <v/>
      </c>
      <c r="O80" s="56" t="str">
        <f aca="false">IF(A80="","",H80+M80)</f>
        <v/>
      </c>
    </row>
    <row r="81" customFormat="false" ht="15" hidden="false" customHeight="false" outlineLevel="0" collapsed="false">
      <c r="A81" s="55" t="str">
        <f aca="false">IF(ROWS($A$8:A81)&lt;=計算過程!$B$51,ROWS($A$8:A81),"")</f>
        <v/>
      </c>
      <c r="B81" s="57" t="str">
        <f aca="false">IF(A81="","",EDATE(計算過程!$B$71,A81-1))</f>
        <v/>
      </c>
      <c r="C81" s="56" t="str">
        <f aca="false">IF(A81="","",計算過程!$B$54)</f>
        <v/>
      </c>
      <c r="D81" s="56" t="str">
        <f aca="false">IF(A81="","",ROUND(F80*計算過程!$B$24/12+G80*計算過程!$B$25/12,0))</f>
        <v/>
      </c>
      <c r="E81" s="56" t="str">
        <f aca="false">IF(A81="","",C81-D81)</f>
        <v/>
      </c>
      <c r="F81" s="56" t="str">
        <f aca="false">IF(A81="","",MAX(0,F80*(1+計算過程!$B$24/12)-計算過程!$B$52))</f>
        <v/>
      </c>
      <c r="G81" s="56" t="str">
        <f aca="false">IF(A81="","",MAX(0,G80*(1+計算過程!$B$25/12)-計算過程!$B$53))</f>
        <v/>
      </c>
      <c r="H81" s="56" t="str">
        <f aca="false">IF(A81="","",F81+G81)</f>
        <v/>
      </c>
      <c r="I81" s="55" t="str">
        <f aca="false">IF(A81="","",IF(AND(OR(MONTH(B81)=6,MONTH(B81)=12),I80&lt;計算過程!$B$50),I80+1,I80))</f>
        <v/>
      </c>
      <c r="J81" s="56" t="str">
        <f aca="false">IF(A81="","",IF(I81&gt;I80,計算過程!$B$57,0))</f>
        <v/>
      </c>
      <c r="K81" s="56" t="str">
        <f aca="false">IF(A81="","",IF(I81&gt;I80,ROUND(M80*計算過程!$B$55,0),0))</f>
        <v/>
      </c>
      <c r="L81" s="56" t="str">
        <f aca="false">IF(A81="","",J81-K81)</f>
        <v/>
      </c>
      <c r="M81" s="56" t="str">
        <f aca="false">IF(A81="","",IF(I81&gt;I80,MAX(0,M80*(1+計算過程!$B$55)-計算過程!$B$56),M80))</f>
        <v/>
      </c>
      <c r="N81" s="56" t="str">
        <f aca="false">IF(A81="","",C81+J81)</f>
        <v/>
      </c>
      <c r="O81" s="56" t="str">
        <f aca="false">IF(A81="","",H81+M81)</f>
        <v/>
      </c>
    </row>
    <row r="82" customFormat="false" ht="15" hidden="false" customHeight="false" outlineLevel="0" collapsed="false">
      <c r="A82" s="55" t="str">
        <f aca="false">IF(ROWS($A$8:A82)&lt;=計算過程!$B$51,ROWS($A$8:A82),"")</f>
        <v/>
      </c>
      <c r="B82" s="57" t="str">
        <f aca="false">IF(A82="","",EDATE(計算過程!$B$71,A82-1))</f>
        <v/>
      </c>
      <c r="C82" s="56" t="str">
        <f aca="false">IF(A82="","",計算過程!$B$54)</f>
        <v/>
      </c>
      <c r="D82" s="56" t="str">
        <f aca="false">IF(A82="","",ROUND(F81*計算過程!$B$24/12+G81*計算過程!$B$25/12,0))</f>
        <v/>
      </c>
      <c r="E82" s="56" t="str">
        <f aca="false">IF(A82="","",C82-D82)</f>
        <v/>
      </c>
      <c r="F82" s="56" t="str">
        <f aca="false">IF(A82="","",MAX(0,F81*(1+計算過程!$B$24/12)-計算過程!$B$52))</f>
        <v/>
      </c>
      <c r="G82" s="56" t="str">
        <f aca="false">IF(A82="","",MAX(0,G81*(1+計算過程!$B$25/12)-計算過程!$B$53))</f>
        <v/>
      </c>
      <c r="H82" s="56" t="str">
        <f aca="false">IF(A82="","",F82+G82)</f>
        <v/>
      </c>
      <c r="I82" s="55" t="str">
        <f aca="false">IF(A82="","",IF(AND(OR(MONTH(B82)=6,MONTH(B82)=12),I81&lt;計算過程!$B$50),I81+1,I81))</f>
        <v/>
      </c>
      <c r="J82" s="56" t="str">
        <f aca="false">IF(A82="","",IF(I82&gt;I81,計算過程!$B$57,0))</f>
        <v/>
      </c>
      <c r="K82" s="56" t="str">
        <f aca="false">IF(A82="","",IF(I82&gt;I81,ROUND(M81*計算過程!$B$55,0),0))</f>
        <v/>
      </c>
      <c r="L82" s="56" t="str">
        <f aca="false">IF(A82="","",J82-K82)</f>
        <v/>
      </c>
      <c r="M82" s="56" t="str">
        <f aca="false">IF(A82="","",IF(I82&gt;I81,MAX(0,M81*(1+計算過程!$B$55)-計算過程!$B$56),M81))</f>
        <v/>
      </c>
      <c r="N82" s="56" t="str">
        <f aca="false">IF(A82="","",C82+J82)</f>
        <v/>
      </c>
      <c r="O82" s="56" t="str">
        <f aca="false">IF(A82="","",H82+M82)</f>
        <v/>
      </c>
    </row>
    <row r="83" customFormat="false" ht="15" hidden="false" customHeight="false" outlineLevel="0" collapsed="false">
      <c r="A83" s="55" t="str">
        <f aca="false">IF(ROWS($A$8:A83)&lt;=計算過程!$B$51,ROWS($A$8:A83),"")</f>
        <v/>
      </c>
      <c r="B83" s="57" t="str">
        <f aca="false">IF(A83="","",EDATE(計算過程!$B$71,A83-1))</f>
        <v/>
      </c>
      <c r="C83" s="56" t="str">
        <f aca="false">IF(A83="","",計算過程!$B$54)</f>
        <v/>
      </c>
      <c r="D83" s="56" t="str">
        <f aca="false">IF(A83="","",ROUND(F82*計算過程!$B$24/12+G82*計算過程!$B$25/12,0))</f>
        <v/>
      </c>
      <c r="E83" s="56" t="str">
        <f aca="false">IF(A83="","",C83-D83)</f>
        <v/>
      </c>
      <c r="F83" s="56" t="str">
        <f aca="false">IF(A83="","",MAX(0,F82*(1+計算過程!$B$24/12)-計算過程!$B$52))</f>
        <v/>
      </c>
      <c r="G83" s="56" t="str">
        <f aca="false">IF(A83="","",MAX(0,G82*(1+計算過程!$B$25/12)-計算過程!$B$53))</f>
        <v/>
      </c>
      <c r="H83" s="56" t="str">
        <f aca="false">IF(A83="","",F83+G83)</f>
        <v/>
      </c>
      <c r="I83" s="55" t="str">
        <f aca="false">IF(A83="","",IF(AND(OR(MONTH(B83)=6,MONTH(B83)=12),I82&lt;計算過程!$B$50),I82+1,I82))</f>
        <v/>
      </c>
      <c r="J83" s="56" t="str">
        <f aca="false">IF(A83="","",IF(I83&gt;I82,計算過程!$B$57,0))</f>
        <v/>
      </c>
      <c r="K83" s="56" t="str">
        <f aca="false">IF(A83="","",IF(I83&gt;I82,ROUND(M82*計算過程!$B$55,0),0))</f>
        <v/>
      </c>
      <c r="L83" s="56" t="str">
        <f aca="false">IF(A83="","",J83-K83)</f>
        <v/>
      </c>
      <c r="M83" s="56" t="str">
        <f aca="false">IF(A83="","",IF(I83&gt;I82,MAX(0,M82*(1+計算過程!$B$55)-計算過程!$B$56),M82))</f>
        <v/>
      </c>
      <c r="N83" s="56" t="str">
        <f aca="false">IF(A83="","",C83+J83)</f>
        <v/>
      </c>
      <c r="O83" s="56" t="str">
        <f aca="false">IF(A83="","",H83+M83)</f>
        <v/>
      </c>
    </row>
    <row r="84" customFormat="false" ht="15" hidden="false" customHeight="false" outlineLevel="0" collapsed="false">
      <c r="A84" s="55" t="str">
        <f aca="false">IF(ROWS($A$8:A84)&lt;=計算過程!$B$51,ROWS($A$8:A84),"")</f>
        <v/>
      </c>
      <c r="B84" s="57" t="str">
        <f aca="false">IF(A84="","",EDATE(計算過程!$B$71,A84-1))</f>
        <v/>
      </c>
      <c r="C84" s="56" t="str">
        <f aca="false">IF(A84="","",計算過程!$B$54)</f>
        <v/>
      </c>
      <c r="D84" s="56" t="str">
        <f aca="false">IF(A84="","",ROUND(F83*計算過程!$B$24/12+G83*計算過程!$B$25/12,0))</f>
        <v/>
      </c>
      <c r="E84" s="56" t="str">
        <f aca="false">IF(A84="","",C84-D84)</f>
        <v/>
      </c>
      <c r="F84" s="56" t="str">
        <f aca="false">IF(A84="","",MAX(0,F83*(1+計算過程!$B$24/12)-計算過程!$B$52))</f>
        <v/>
      </c>
      <c r="G84" s="56" t="str">
        <f aca="false">IF(A84="","",MAX(0,G83*(1+計算過程!$B$25/12)-計算過程!$B$53))</f>
        <v/>
      </c>
      <c r="H84" s="56" t="str">
        <f aca="false">IF(A84="","",F84+G84)</f>
        <v/>
      </c>
      <c r="I84" s="55" t="str">
        <f aca="false">IF(A84="","",IF(AND(OR(MONTH(B84)=6,MONTH(B84)=12),I83&lt;計算過程!$B$50),I83+1,I83))</f>
        <v/>
      </c>
      <c r="J84" s="56" t="str">
        <f aca="false">IF(A84="","",IF(I84&gt;I83,計算過程!$B$57,0))</f>
        <v/>
      </c>
      <c r="K84" s="56" t="str">
        <f aca="false">IF(A84="","",IF(I84&gt;I83,ROUND(M83*計算過程!$B$55,0),0))</f>
        <v/>
      </c>
      <c r="L84" s="56" t="str">
        <f aca="false">IF(A84="","",J84-K84)</f>
        <v/>
      </c>
      <c r="M84" s="56" t="str">
        <f aca="false">IF(A84="","",IF(I84&gt;I83,MAX(0,M83*(1+計算過程!$B$55)-計算過程!$B$56),M83))</f>
        <v/>
      </c>
      <c r="N84" s="56" t="str">
        <f aca="false">IF(A84="","",C84+J84)</f>
        <v/>
      </c>
      <c r="O84" s="56" t="str">
        <f aca="false">IF(A84="","",H84+M84)</f>
        <v/>
      </c>
    </row>
    <row r="85" customFormat="false" ht="15" hidden="false" customHeight="false" outlineLevel="0" collapsed="false">
      <c r="A85" s="55" t="str">
        <f aca="false">IF(ROWS($A$8:A85)&lt;=計算過程!$B$51,ROWS($A$8:A85),"")</f>
        <v/>
      </c>
      <c r="B85" s="57" t="str">
        <f aca="false">IF(A85="","",EDATE(計算過程!$B$71,A85-1))</f>
        <v/>
      </c>
      <c r="C85" s="56" t="str">
        <f aca="false">IF(A85="","",計算過程!$B$54)</f>
        <v/>
      </c>
      <c r="D85" s="56" t="str">
        <f aca="false">IF(A85="","",ROUND(F84*計算過程!$B$24/12+G84*計算過程!$B$25/12,0))</f>
        <v/>
      </c>
      <c r="E85" s="56" t="str">
        <f aca="false">IF(A85="","",C85-D85)</f>
        <v/>
      </c>
      <c r="F85" s="56" t="str">
        <f aca="false">IF(A85="","",MAX(0,F84*(1+計算過程!$B$24/12)-計算過程!$B$52))</f>
        <v/>
      </c>
      <c r="G85" s="56" t="str">
        <f aca="false">IF(A85="","",MAX(0,G84*(1+計算過程!$B$25/12)-計算過程!$B$53))</f>
        <v/>
      </c>
      <c r="H85" s="56" t="str">
        <f aca="false">IF(A85="","",F85+G85)</f>
        <v/>
      </c>
      <c r="I85" s="55" t="str">
        <f aca="false">IF(A85="","",IF(AND(OR(MONTH(B85)=6,MONTH(B85)=12),I84&lt;計算過程!$B$50),I84+1,I84))</f>
        <v/>
      </c>
      <c r="J85" s="56" t="str">
        <f aca="false">IF(A85="","",IF(I85&gt;I84,計算過程!$B$57,0))</f>
        <v/>
      </c>
      <c r="K85" s="56" t="str">
        <f aca="false">IF(A85="","",IF(I85&gt;I84,ROUND(M84*計算過程!$B$55,0),0))</f>
        <v/>
      </c>
      <c r="L85" s="56" t="str">
        <f aca="false">IF(A85="","",J85-K85)</f>
        <v/>
      </c>
      <c r="M85" s="56" t="str">
        <f aca="false">IF(A85="","",IF(I85&gt;I84,MAX(0,M84*(1+計算過程!$B$55)-計算過程!$B$56),M84))</f>
        <v/>
      </c>
      <c r="N85" s="56" t="str">
        <f aca="false">IF(A85="","",C85+J85)</f>
        <v/>
      </c>
      <c r="O85" s="56" t="str">
        <f aca="false">IF(A85="","",H85+M85)</f>
        <v/>
      </c>
    </row>
    <row r="86" customFormat="false" ht="15" hidden="false" customHeight="false" outlineLevel="0" collapsed="false">
      <c r="A86" s="55" t="str">
        <f aca="false">IF(ROWS($A$8:A86)&lt;=計算過程!$B$51,ROWS($A$8:A86),"")</f>
        <v/>
      </c>
      <c r="B86" s="57" t="str">
        <f aca="false">IF(A86="","",EDATE(計算過程!$B$71,A86-1))</f>
        <v/>
      </c>
      <c r="C86" s="56" t="str">
        <f aca="false">IF(A86="","",計算過程!$B$54)</f>
        <v/>
      </c>
      <c r="D86" s="56" t="str">
        <f aca="false">IF(A86="","",ROUND(F85*計算過程!$B$24/12+G85*計算過程!$B$25/12,0))</f>
        <v/>
      </c>
      <c r="E86" s="56" t="str">
        <f aca="false">IF(A86="","",C86-D86)</f>
        <v/>
      </c>
      <c r="F86" s="56" t="str">
        <f aca="false">IF(A86="","",MAX(0,F85*(1+計算過程!$B$24/12)-計算過程!$B$52))</f>
        <v/>
      </c>
      <c r="G86" s="56" t="str">
        <f aca="false">IF(A86="","",MAX(0,G85*(1+計算過程!$B$25/12)-計算過程!$B$53))</f>
        <v/>
      </c>
      <c r="H86" s="56" t="str">
        <f aca="false">IF(A86="","",F86+G86)</f>
        <v/>
      </c>
      <c r="I86" s="55" t="str">
        <f aca="false">IF(A86="","",IF(AND(OR(MONTH(B86)=6,MONTH(B86)=12),I85&lt;計算過程!$B$50),I85+1,I85))</f>
        <v/>
      </c>
      <c r="J86" s="56" t="str">
        <f aca="false">IF(A86="","",IF(I86&gt;I85,計算過程!$B$57,0))</f>
        <v/>
      </c>
      <c r="K86" s="56" t="str">
        <f aca="false">IF(A86="","",IF(I86&gt;I85,ROUND(M85*計算過程!$B$55,0),0))</f>
        <v/>
      </c>
      <c r="L86" s="56" t="str">
        <f aca="false">IF(A86="","",J86-K86)</f>
        <v/>
      </c>
      <c r="M86" s="56" t="str">
        <f aca="false">IF(A86="","",IF(I86&gt;I85,MAX(0,M85*(1+計算過程!$B$55)-計算過程!$B$56),M85))</f>
        <v/>
      </c>
      <c r="N86" s="56" t="str">
        <f aca="false">IF(A86="","",C86+J86)</f>
        <v/>
      </c>
      <c r="O86" s="56" t="str">
        <f aca="false">IF(A86="","",H86+M86)</f>
        <v/>
      </c>
    </row>
    <row r="87" customFormat="false" ht="15" hidden="false" customHeight="false" outlineLevel="0" collapsed="false">
      <c r="A87" s="55" t="str">
        <f aca="false">IF(ROWS($A$8:A87)&lt;=計算過程!$B$51,ROWS($A$8:A87),"")</f>
        <v/>
      </c>
      <c r="B87" s="57" t="str">
        <f aca="false">IF(A87="","",EDATE(計算過程!$B$71,A87-1))</f>
        <v/>
      </c>
      <c r="C87" s="56" t="str">
        <f aca="false">IF(A87="","",計算過程!$B$54)</f>
        <v/>
      </c>
      <c r="D87" s="56" t="str">
        <f aca="false">IF(A87="","",ROUND(F86*計算過程!$B$24/12+G86*計算過程!$B$25/12,0))</f>
        <v/>
      </c>
      <c r="E87" s="56" t="str">
        <f aca="false">IF(A87="","",C87-D87)</f>
        <v/>
      </c>
      <c r="F87" s="56" t="str">
        <f aca="false">IF(A87="","",MAX(0,F86*(1+計算過程!$B$24/12)-計算過程!$B$52))</f>
        <v/>
      </c>
      <c r="G87" s="56" t="str">
        <f aca="false">IF(A87="","",MAX(0,G86*(1+計算過程!$B$25/12)-計算過程!$B$53))</f>
        <v/>
      </c>
      <c r="H87" s="56" t="str">
        <f aca="false">IF(A87="","",F87+G87)</f>
        <v/>
      </c>
      <c r="I87" s="55" t="str">
        <f aca="false">IF(A87="","",IF(AND(OR(MONTH(B87)=6,MONTH(B87)=12),I86&lt;計算過程!$B$50),I86+1,I86))</f>
        <v/>
      </c>
      <c r="J87" s="56" t="str">
        <f aca="false">IF(A87="","",IF(I87&gt;I86,計算過程!$B$57,0))</f>
        <v/>
      </c>
      <c r="K87" s="56" t="str">
        <f aca="false">IF(A87="","",IF(I87&gt;I86,ROUND(M86*計算過程!$B$55,0),0))</f>
        <v/>
      </c>
      <c r="L87" s="56" t="str">
        <f aca="false">IF(A87="","",J87-K87)</f>
        <v/>
      </c>
      <c r="M87" s="56" t="str">
        <f aca="false">IF(A87="","",IF(I87&gt;I86,MAX(0,M86*(1+計算過程!$B$55)-計算過程!$B$56),M86))</f>
        <v/>
      </c>
      <c r="N87" s="56" t="str">
        <f aca="false">IF(A87="","",C87+J87)</f>
        <v/>
      </c>
      <c r="O87" s="56" t="str">
        <f aca="false">IF(A87="","",H87+M87)</f>
        <v/>
      </c>
    </row>
    <row r="88" customFormat="false" ht="15" hidden="false" customHeight="false" outlineLevel="0" collapsed="false">
      <c r="A88" s="55" t="str">
        <f aca="false">IF(ROWS($A$8:A88)&lt;=計算過程!$B$51,ROWS($A$8:A88),"")</f>
        <v/>
      </c>
      <c r="B88" s="57" t="str">
        <f aca="false">IF(A88="","",EDATE(計算過程!$B$71,A88-1))</f>
        <v/>
      </c>
      <c r="C88" s="56" t="str">
        <f aca="false">IF(A88="","",計算過程!$B$54)</f>
        <v/>
      </c>
      <c r="D88" s="56" t="str">
        <f aca="false">IF(A88="","",ROUND(F87*計算過程!$B$24/12+G87*計算過程!$B$25/12,0))</f>
        <v/>
      </c>
      <c r="E88" s="56" t="str">
        <f aca="false">IF(A88="","",C88-D88)</f>
        <v/>
      </c>
      <c r="F88" s="56" t="str">
        <f aca="false">IF(A88="","",MAX(0,F87*(1+計算過程!$B$24/12)-計算過程!$B$52))</f>
        <v/>
      </c>
      <c r="G88" s="56" t="str">
        <f aca="false">IF(A88="","",MAX(0,G87*(1+計算過程!$B$25/12)-計算過程!$B$53))</f>
        <v/>
      </c>
      <c r="H88" s="56" t="str">
        <f aca="false">IF(A88="","",F88+G88)</f>
        <v/>
      </c>
      <c r="I88" s="55" t="str">
        <f aca="false">IF(A88="","",IF(AND(OR(MONTH(B88)=6,MONTH(B88)=12),I87&lt;計算過程!$B$50),I87+1,I87))</f>
        <v/>
      </c>
      <c r="J88" s="56" t="str">
        <f aca="false">IF(A88="","",IF(I88&gt;I87,計算過程!$B$57,0))</f>
        <v/>
      </c>
      <c r="K88" s="56" t="str">
        <f aca="false">IF(A88="","",IF(I88&gt;I87,ROUND(M87*計算過程!$B$55,0),0))</f>
        <v/>
      </c>
      <c r="L88" s="56" t="str">
        <f aca="false">IF(A88="","",J88-K88)</f>
        <v/>
      </c>
      <c r="M88" s="56" t="str">
        <f aca="false">IF(A88="","",IF(I88&gt;I87,MAX(0,M87*(1+計算過程!$B$55)-計算過程!$B$56),M87))</f>
        <v/>
      </c>
      <c r="N88" s="56" t="str">
        <f aca="false">IF(A88="","",C88+J88)</f>
        <v/>
      </c>
      <c r="O88" s="56" t="str">
        <f aca="false">IF(A88="","",H88+M88)</f>
        <v/>
      </c>
    </row>
    <row r="89" customFormat="false" ht="15" hidden="false" customHeight="false" outlineLevel="0" collapsed="false">
      <c r="A89" s="55" t="str">
        <f aca="false">IF(ROWS($A$8:A89)&lt;=計算過程!$B$51,ROWS($A$8:A89),"")</f>
        <v/>
      </c>
      <c r="B89" s="57" t="str">
        <f aca="false">IF(A89="","",EDATE(計算過程!$B$71,A89-1))</f>
        <v/>
      </c>
      <c r="C89" s="56" t="str">
        <f aca="false">IF(A89="","",計算過程!$B$54)</f>
        <v/>
      </c>
      <c r="D89" s="56" t="str">
        <f aca="false">IF(A89="","",ROUND(F88*計算過程!$B$24/12+G88*計算過程!$B$25/12,0))</f>
        <v/>
      </c>
      <c r="E89" s="56" t="str">
        <f aca="false">IF(A89="","",C89-D89)</f>
        <v/>
      </c>
      <c r="F89" s="56" t="str">
        <f aca="false">IF(A89="","",MAX(0,F88*(1+計算過程!$B$24/12)-計算過程!$B$52))</f>
        <v/>
      </c>
      <c r="G89" s="56" t="str">
        <f aca="false">IF(A89="","",MAX(0,G88*(1+計算過程!$B$25/12)-計算過程!$B$53))</f>
        <v/>
      </c>
      <c r="H89" s="56" t="str">
        <f aca="false">IF(A89="","",F89+G89)</f>
        <v/>
      </c>
      <c r="I89" s="55" t="str">
        <f aca="false">IF(A89="","",IF(AND(OR(MONTH(B89)=6,MONTH(B89)=12),I88&lt;計算過程!$B$50),I88+1,I88))</f>
        <v/>
      </c>
      <c r="J89" s="56" t="str">
        <f aca="false">IF(A89="","",IF(I89&gt;I88,計算過程!$B$57,0))</f>
        <v/>
      </c>
      <c r="K89" s="56" t="str">
        <f aca="false">IF(A89="","",IF(I89&gt;I88,ROUND(M88*計算過程!$B$55,0),0))</f>
        <v/>
      </c>
      <c r="L89" s="56" t="str">
        <f aca="false">IF(A89="","",J89-K89)</f>
        <v/>
      </c>
      <c r="M89" s="56" t="str">
        <f aca="false">IF(A89="","",IF(I89&gt;I88,MAX(0,M88*(1+計算過程!$B$55)-計算過程!$B$56),M88))</f>
        <v/>
      </c>
      <c r="N89" s="56" t="str">
        <f aca="false">IF(A89="","",C89+J89)</f>
        <v/>
      </c>
      <c r="O89" s="56" t="str">
        <f aca="false">IF(A89="","",H89+M89)</f>
        <v/>
      </c>
    </row>
    <row r="90" customFormat="false" ht="15" hidden="false" customHeight="false" outlineLevel="0" collapsed="false">
      <c r="A90" s="55" t="str">
        <f aca="false">IF(ROWS($A$8:A90)&lt;=計算過程!$B$51,ROWS($A$8:A90),"")</f>
        <v/>
      </c>
      <c r="B90" s="57" t="str">
        <f aca="false">IF(A90="","",EDATE(計算過程!$B$71,A90-1))</f>
        <v/>
      </c>
      <c r="C90" s="56" t="str">
        <f aca="false">IF(A90="","",計算過程!$B$54)</f>
        <v/>
      </c>
      <c r="D90" s="56" t="str">
        <f aca="false">IF(A90="","",ROUND(F89*計算過程!$B$24/12+G89*計算過程!$B$25/12,0))</f>
        <v/>
      </c>
      <c r="E90" s="56" t="str">
        <f aca="false">IF(A90="","",C90-D90)</f>
        <v/>
      </c>
      <c r="F90" s="56" t="str">
        <f aca="false">IF(A90="","",MAX(0,F89*(1+計算過程!$B$24/12)-計算過程!$B$52))</f>
        <v/>
      </c>
      <c r="G90" s="56" t="str">
        <f aca="false">IF(A90="","",MAX(0,G89*(1+計算過程!$B$25/12)-計算過程!$B$53))</f>
        <v/>
      </c>
      <c r="H90" s="56" t="str">
        <f aca="false">IF(A90="","",F90+G90)</f>
        <v/>
      </c>
      <c r="I90" s="55" t="str">
        <f aca="false">IF(A90="","",IF(AND(OR(MONTH(B90)=6,MONTH(B90)=12),I89&lt;計算過程!$B$50),I89+1,I89))</f>
        <v/>
      </c>
      <c r="J90" s="56" t="str">
        <f aca="false">IF(A90="","",IF(I90&gt;I89,計算過程!$B$57,0))</f>
        <v/>
      </c>
      <c r="K90" s="56" t="str">
        <f aca="false">IF(A90="","",IF(I90&gt;I89,ROUND(M89*計算過程!$B$55,0),0))</f>
        <v/>
      </c>
      <c r="L90" s="56" t="str">
        <f aca="false">IF(A90="","",J90-K90)</f>
        <v/>
      </c>
      <c r="M90" s="56" t="str">
        <f aca="false">IF(A90="","",IF(I90&gt;I89,MAX(0,M89*(1+計算過程!$B$55)-計算過程!$B$56),M89))</f>
        <v/>
      </c>
      <c r="N90" s="56" t="str">
        <f aca="false">IF(A90="","",C90+J90)</f>
        <v/>
      </c>
      <c r="O90" s="56" t="str">
        <f aca="false">IF(A90="","",H90+M90)</f>
        <v/>
      </c>
    </row>
    <row r="91" customFormat="false" ht="15" hidden="false" customHeight="false" outlineLevel="0" collapsed="false">
      <c r="A91" s="55" t="str">
        <f aca="false">IF(ROWS($A$8:A91)&lt;=計算過程!$B$51,ROWS($A$8:A91),"")</f>
        <v/>
      </c>
      <c r="B91" s="57" t="str">
        <f aca="false">IF(A91="","",EDATE(計算過程!$B$71,A91-1))</f>
        <v/>
      </c>
      <c r="C91" s="56" t="str">
        <f aca="false">IF(A91="","",計算過程!$B$54)</f>
        <v/>
      </c>
      <c r="D91" s="56" t="str">
        <f aca="false">IF(A91="","",ROUND(F90*計算過程!$B$24/12+G90*計算過程!$B$25/12,0))</f>
        <v/>
      </c>
      <c r="E91" s="56" t="str">
        <f aca="false">IF(A91="","",C91-D91)</f>
        <v/>
      </c>
      <c r="F91" s="56" t="str">
        <f aca="false">IF(A91="","",MAX(0,F90*(1+計算過程!$B$24/12)-計算過程!$B$52))</f>
        <v/>
      </c>
      <c r="G91" s="56" t="str">
        <f aca="false">IF(A91="","",MAX(0,G90*(1+計算過程!$B$25/12)-計算過程!$B$53))</f>
        <v/>
      </c>
      <c r="H91" s="56" t="str">
        <f aca="false">IF(A91="","",F91+G91)</f>
        <v/>
      </c>
      <c r="I91" s="55" t="str">
        <f aca="false">IF(A91="","",IF(AND(OR(MONTH(B91)=6,MONTH(B91)=12),I90&lt;計算過程!$B$50),I90+1,I90))</f>
        <v/>
      </c>
      <c r="J91" s="56" t="str">
        <f aca="false">IF(A91="","",IF(I91&gt;I90,計算過程!$B$57,0))</f>
        <v/>
      </c>
      <c r="K91" s="56" t="str">
        <f aca="false">IF(A91="","",IF(I91&gt;I90,ROUND(M90*計算過程!$B$55,0),0))</f>
        <v/>
      </c>
      <c r="L91" s="56" t="str">
        <f aca="false">IF(A91="","",J91-K91)</f>
        <v/>
      </c>
      <c r="M91" s="56" t="str">
        <f aca="false">IF(A91="","",IF(I91&gt;I90,MAX(0,M90*(1+計算過程!$B$55)-計算過程!$B$56),M90))</f>
        <v/>
      </c>
      <c r="N91" s="56" t="str">
        <f aca="false">IF(A91="","",C91+J91)</f>
        <v/>
      </c>
      <c r="O91" s="56" t="str">
        <f aca="false">IF(A91="","",H91+M91)</f>
        <v/>
      </c>
    </row>
    <row r="92" customFormat="false" ht="15" hidden="false" customHeight="false" outlineLevel="0" collapsed="false">
      <c r="A92" s="55" t="str">
        <f aca="false">IF(ROWS($A$8:A92)&lt;=計算過程!$B$51,ROWS($A$8:A92),"")</f>
        <v/>
      </c>
      <c r="B92" s="57" t="str">
        <f aca="false">IF(A92="","",EDATE(計算過程!$B$71,A92-1))</f>
        <v/>
      </c>
      <c r="C92" s="56" t="str">
        <f aca="false">IF(A92="","",計算過程!$B$54)</f>
        <v/>
      </c>
      <c r="D92" s="56" t="str">
        <f aca="false">IF(A92="","",ROUND(F91*計算過程!$B$24/12+G91*計算過程!$B$25/12,0))</f>
        <v/>
      </c>
      <c r="E92" s="56" t="str">
        <f aca="false">IF(A92="","",C92-D92)</f>
        <v/>
      </c>
      <c r="F92" s="56" t="str">
        <f aca="false">IF(A92="","",MAX(0,F91*(1+計算過程!$B$24/12)-計算過程!$B$52))</f>
        <v/>
      </c>
      <c r="G92" s="56" t="str">
        <f aca="false">IF(A92="","",MAX(0,G91*(1+計算過程!$B$25/12)-計算過程!$B$53))</f>
        <v/>
      </c>
      <c r="H92" s="56" t="str">
        <f aca="false">IF(A92="","",F92+G92)</f>
        <v/>
      </c>
      <c r="I92" s="55" t="str">
        <f aca="false">IF(A92="","",IF(AND(OR(MONTH(B92)=6,MONTH(B92)=12),I91&lt;計算過程!$B$50),I91+1,I91))</f>
        <v/>
      </c>
      <c r="J92" s="56" t="str">
        <f aca="false">IF(A92="","",IF(I92&gt;I91,計算過程!$B$57,0))</f>
        <v/>
      </c>
      <c r="K92" s="56" t="str">
        <f aca="false">IF(A92="","",IF(I92&gt;I91,ROUND(M91*計算過程!$B$55,0),0))</f>
        <v/>
      </c>
      <c r="L92" s="56" t="str">
        <f aca="false">IF(A92="","",J92-K92)</f>
        <v/>
      </c>
      <c r="M92" s="56" t="str">
        <f aca="false">IF(A92="","",IF(I92&gt;I91,MAX(0,M91*(1+計算過程!$B$55)-計算過程!$B$56),M91))</f>
        <v/>
      </c>
      <c r="N92" s="56" t="str">
        <f aca="false">IF(A92="","",C92+J92)</f>
        <v/>
      </c>
      <c r="O92" s="56" t="str">
        <f aca="false">IF(A92="","",H92+M92)</f>
        <v/>
      </c>
    </row>
    <row r="93" customFormat="false" ht="15" hidden="false" customHeight="false" outlineLevel="0" collapsed="false">
      <c r="A93" s="55" t="str">
        <f aca="false">IF(ROWS($A$8:A93)&lt;=計算過程!$B$51,ROWS($A$8:A93),"")</f>
        <v/>
      </c>
      <c r="B93" s="57" t="str">
        <f aca="false">IF(A93="","",EDATE(計算過程!$B$71,A93-1))</f>
        <v/>
      </c>
      <c r="C93" s="56" t="str">
        <f aca="false">IF(A93="","",計算過程!$B$54)</f>
        <v/>
      </c>
      <c r="D93" s="56" t="str">
        <f aca="false">IF(A93="","",ROUND(F92*計算過程!$B$24/12+G92*計算過程!$B$25/12,0))</f>
        <v/>
      </c>
      <c r="E93" s="56" t="str">
        <f aca="false">IF(A93="","",C93-D93)</f>
        <v/>
      </c>
      <c r="F93" s="56" t="str">
        <f aca="false">IF(A93="","",MAX(0,F92*(1+計算過程!$B$24/12)-計算過程!$B$52))</f>
        <v/>
      </c>
      <c r="G93" s="56" t="str">
        <f aca="false">IF(A93="","",MAX(0,G92*(1+計算過程!$B$25/12)-計算過程!$B$53))</f>
        <v/>
      </c>
      <c r="H93" s="56" t="str">
        <f aca="false">IF(A93="","",F93+G93)</f>
        <v/>
      </c>
      <c r="I93" s="55" t="str">
        <f aca="false">IF(A93="","",IF(AND(OR(MONTH(B93)=6,MONTH(B93)=12),I92&lt;計算過程!$B$50),I92+1,I92))</f>
        <v/>
      </c>
      <c r="J93" s="56" t="str">
        <f aca="false">IF(A93="","",IF(I93&gt;I92,計算過程!$B$57,0))</f>
        <v/>
      </c>
      <c r="K93" s="56" t="str">
        <f aca="false">IF(A93="","",IF(I93&gt;I92,ROUND(M92*計算過程!$B$55,0),0))</f>
        <v/>
      </c>
      <c r="L93" s="56" t="str">
        <f aca="false">IF(A93="","",J93-K93)</f>
        <v/>
      </c>
      <c r="M93" s="56" t="str">
        <f aca="false">IF(A93="","",IF(I93&gt;I92,MAX(0,M92*(1+計算過程!$B$55)-計算過程!$B$56),M92))</f>
        <v/>
      </c>
      <c r="N93" s="56" t="str">
        <f aca="false">IF(A93="","",C93+J93)</f>
        <v/>
      </c>
      <c r="O93" s="56" t="str">
        <f aca="false">IF(A93="","",H93+M93)</f>
        <v/>
      </c>
    </row>
    <row r="94" customFormat="false" ht="15" hidden="false" customHeight="false" outlineLevel="0" collapsed="false">
      <c r="A94" s="55" t="str">
        <f aca="false">IF(ROWS($A$8:A94)&lt;=計算過程!$B$51,ROWS($A$8:A94),"")</f>
        <v/>
      </c>
      <c r="B94" s="57" t="str">
        <f aca="false">IF(A94="","",EDATE(計算過程!$B$71,A94-1))</f>
        <v/>
      </c>
      <c r="C94" s="56" t="str">
        <f aca="false">IF(A94="","",計算過程!$B$54)</f>
        <v/>
      </c>
      <c r="D94" s="56" t="str">
        <f aca="false">IF(A94="","",ROUND(F93*計算過程!$B$24/12+G93*計算過程!$B$25/12,0))</f>
        <v/>
      </c>
      <c r="E94" s="56" t="str">
        <f aca="false">IF(A94="","",C94-D94)</f>
        <v/>
      </c>
      <c r="F94" s="56" t="str">
        <f aca="false">IF(A94="","",MAX(0,F93*(1+計算過程!$B$24/12)-計算過程!$B$52))</f>
        <v/>
      </c>
      <c r="G94" s="56" t="str">
        <f aca="false">IF(A94="","",MAX(0,G93*(1+計算過程!$B$25/12)-計算過程!$B$53))</f>
        <v/>
      </c>
      <c r="H94" s="56" t="str">
        <f aca="false">IF(A94="","",F94+G94)</f>
        <v/>
      </c>
      <c r="I94" s="55" t="str">
        <f aca="false">IF(A94="","",IF(AND(OR(MONTH(B94)=6,MONTH(B94)=12),I93&lt;計算過程!$B$50),I93+1,I93))</f>
        <v/>
      </c>
      <c r="J94" s="56" t="str">
        <f aca="false">IF(A94="","",IF(I94&gt;I93,計算過程!$B$57,0))</f>
        <v/>
      </c>
      <c r="K94" s="56" t="str">
        <f aca="false">IF(A94="","",IF(I94&gt;I93,ROUND(M93*計算過程!$B$55,0),0))</f>
        <v/>
      </c>
      <c r="L94" s="56" t="str">
        <f aca="false">IF(A94="","",J94-K94)</f>
        <v/>
      </c>
      <c r="M94" s="56" t="str">
        <f aca="false">IF(A94="","",IF(I94&gt;I93,MAX(0,M93*(1+計算過程!$B$55)-計算過程!$B$56),M93))</f>
        <v/>
      </c>
      <c r="N94" s="56" t="str">
        <f aca="false">IF(A94="","",C94+J94)</f>
        <v/>
      </c>
      <c r="O94" s="56" t="str">
        <f aca="false">IF(A94="","",H94+M94)</f>
        <v/>
      </c>
    </row>
    <row r="95" customFormat="false" ht="15" hidden="false" customHeight="false" outlineLevel="0" collapsed="false">
      <c r="A95" s="55" t="str">
        <f aca="false">IF(ROWS($A$8:A95)&lt;=計算過程!$B$51,ROWS($A$8:A95),"")</f>
        <v/>
      </c>
      <c r="B95" s="57" t="str">
        <f aca="false">IF(A95="","",EDATE(計算過程!$B$71,A95-1))</f>
        <v/>
      </c>
      <c r="C95" s="56" t="str">
        <f aca="false">IF(A95="","",計算過程!$B$54)</f>
        <v/>
      </c>
      <c r="D95" s="56" t="str">
        <f aca="false">IF(A95="","",ROUND(F94*計算過程!$B$24/12+G94*計算過程!$B$25/12,0))</f>
        <v/>
      </c>
      <c r="E95" s="56" t="str">
        <f aca="false">IF(A95="","",C95-D95)</f>
        <v/>
      </c>
      <c r="F95" s="56" t="str">
        <f aca="false">IF(A95="","",MAX(0,F94*(1+計算過程!$B$24/12)-計算過程!$B$52))</f>
        <v/>
      </c>
      <c r="G95" s="56" t="str">
        <f aca="false">IF(A95="","",MAX(0,G94*(1+計算過程!$B$25/12)-計算過程!$B$53))</f>
        <v/>
      </c>
      <c r="H95" s="56" t="str">
        <f aca="false">IF(A95="","",F95+G95)</f>
        <v/>
      </c>
      <c r="I95" s="55" t="str">
        <f aca="false">IF(A95="","",IF(AND(OR(MONTH(B95)=6,MONTH(B95)=12),I94&lt;計算過程!$B$50),I94+1,I94))</f>
        <v/>
      </c>
      <c r="J95" s="56" t="str">
        <f aca="false">IF(A95="","",IF(I95&gt;I94,計算過程!$B$57,0))</f>
        <v/>
      </c>
      <c r="K95" s="56" t="str">
        <f aca="false">IF(A95="","",IF(I95&gt;I94,ROUND(M94*計算過程!$B$55,0),0))</f>
        <v/>
      </c>
      <c r="L95" s="56" t="str">
        <f aca="false">IF(A95="","",J95-K95)</f>
        <v/>
      </c>
      <c r="M95" s="56" t="str">
        <f aca="false">IF(A95="","",IF(I95&gt;I94,MAX(0,M94*(1+計算過程!$B$55)-計算過程!$B$56),M94))</f>
        <v/>
      </c>
      <c r="N95" s="56" t="str">
        <f aca="false">IF(A95="","",C95+J95)</f>
        <v/>
      </c>
      <c r="O95" s="56" t="str">
        <f aca="false">IF(A95="","",H95+M95)</f>
        <v/>
      </c>
    </row>
    <row r="96" customFormat="false" ht="15" hidden="false" customHeight="false" outlineLevel="0" collapsed="false">
      <c r="A96" s="55" t="str">
        <f aca="false">IF(ROWS($A$8:A96)&lt;=計算過程!$B$51,ROWS($A$8:A96),"")</f>
        <v/>
      </c>
      <c r="B96" s="57" t="str">
        <f aca="false">IF(A96="","",EDATE(計算過程!$B$71,A96-1))</f>
        <v/>
      </c>
      <c r="C96" s="56" t="str">
        <f aca="false">IF(A96="","",計算過程!$B$54)</f>
        <v/>
      </c>
      <c r="D96" s="56" t="str">
        <f aca="false">IF(A96="","",ROUND(F95*計算過程!$B$24/12+G95*計算過程!$B$25/12,0))</f>
        <v/>
      </c>
      <c r="E96" s="56" t="str">
        <f aca="false">IF(A96="","",C96-D96)</f>
        <v/>
      </c>
      <c r="F96" s="56" t="str">
        <f aca="false">IF(A96="","",MAX(0,F95*(1+計算過程!$B$24/12)-計算過程!$B$52))</f>
        <v/>
      </c>
      <c r="G96" s="56" t="str">
        <f aca="false">IF(A96="","",MAX(0,G95*(1+計算過程!$B$25/12)-計算過程!$B$53))</f>
        <v/>
      </c>
      <c r="H96" s="56" t="str">
        <f aca="false">IF(A96="","",F96+G96)</f>
        <v/>
      </c>
      <c r="I96" s="55" t="str">
        <f aca="false">IF(A96="","",IF(AND(OR(MONTH(B96)=6,MONTH(B96)=12),I95&lt;計算過程!$B$50),I95+1,I95))</f>
        <v/>
      </c>
      <c r="J96" s="56" t="str">
        <f aca="false">IF(A96="","",IF(I96&gt;I95,計算過程!$B$57,0))</f>
        <v/>
      </c>
      <c r="K96" s="56" t="str">
        <f aca="false">IF(A96="","",IF(I96&gt;I95,ROUND(M95*計算過程!$B$55,0),0))</f>
        <v/>
      </c>
      <c r="L96" s="56" t="str">
        <f aca="false">IF(A96="","",J96-K96)</f>
        <v/>
      </c>
      <c r="M96" s="56" t="str">
        <f aca="false">IF(A96="","",IF(I96&gt;I95,MAX(0,M95*(1+計算過程!$B$55)-計算過程!$B$56),M95))</f>
        <v/>
      </c>
      <c r="N96" s="56" t="str">
        <f aca="false">IF(A96="","",C96+J96)</f>
        <v/>
      </c>
      <c r="O96" s="56" t="str">
        <f aca="false">IF(A96="","",H96+M96)</f>
        <v/>
      </c>
    </row>
    <row r="97" customFormat="false" ht="15" hidden="false" customHeight="false" outlineLevel="0" collapsed="false">
      <c r="A97" s="55" t="str">
        <f aca="false">IF(ROWS($A$8:A97)&lt;=計算過程!$B$51,ROWS($A$8:A97),"")</f>
        <v/>
      </c>
      <c r="B97" s="57" t="str">
        <f aca="false">IF(A97="","",EDATE(計算過程!$B$71,A97-1))</f>
        <v/>
      </c>
      <c r="C97" s="56" t="str">
        <f aca="false">IF(A97="","",計算過程!$B$54)</f>
        <v/>
      </c>
      <c r="D97" s="56" t="str">
        <f aca="false">IF(A97="","",ROUND(F96*計算過程!$B$24/12+G96*計算過程!$B$25/12,0))</f>
        <v/>
      </c>
      <c r="E97" s="56" t="str">
        <f aca="false">IF(A97="","",C97-D97)</f>
        <v/>
      </c>
      <c r="F97" s="56" t="str">
        <f aca="false">IF(A97="","",MAX(0,F96*(1+計算過程!$B$24/12)-計算過程!$B$52))</f>
        <v/>
      </c>
      <c r="G97" s="56" t="str">
        <f aca="false">IF(A97="","",MAX(0,G96*(1+計算過程!$B$25/12)-計算過程!$B$53))</f>
        <v/>
      </c>
      <c r="H97" s="56" t="str">
        <f aca="false">IF(A97="","",F97+G97)</f>
        <v/>
      </c>
      <c r="I97" s="55" t="str">
        <f aca="false">IF(A97="","",IF(AND(OR(MONTH(B97)=6,MONTH(B97)=12),I96&lt;計算過程!$B$50),I96+1,I96))</f>
        <v/>
      </c>
      <c r="J97" s="56" t="str">
        <f aca="false">IF(A97="","",IF(I97&gt;I96,計算過程!$B$57,0))</f>
        <v/>
      </c>
      <c r="K97" s="56" t="str">
        <f aca="false">IF(A97="","",IF(I97&gt;I96,ROUND(M96*計算過程!$B$55,0),0))</f>
        <v/>
      </c>
      <c r="L97" s="56" t="str">
        <f aca="false">IF(A97="","",J97-K97)</f>
        <v/>
      </c>
      <c r="M97" s="56" t="str">
        <f aca="false">IF(A97="","",IF(I97&gt;I96,MAX(0,M96*(1+計算過程!$B$55)-計算過程!$B$56),M96))</f>
        <v/>
      </c>
      <c r="N97" s="56" t="str">
        <f aca="false">IF(A97="","",C97+J97)</f>
        <v/>
      </c>
      <c r="O97" s="56" t="str">
        <f aca="false">IF(A97="","",H97+M97)</f>
        <v/>
      </c>
    </row>
    <row r="98" customFormat="false" ht="15" hidden="false" customHeight="false" outlineLevel="0" collapsed="false">
      <c r="A98" s="55" t="str">
        <f aca="false">IF(ROWS($A$8:A98)&lt;=計算過程!$B$51,ROWS($A$8:A98),"")</f>
        <v/>
      </c>
      <c r="B98" s="57" t="str">
        <f aca="false">IF(A98="","",EDATE(計算過程!$B$71,A98-1))</f>
        <v/>
      </c>
      <c r="C98" s="56" t="str">
        <f aca="false">IF(A98="","",計算過程!$B$54)</f>
        <v/>
      </c>
      <c r="D98" s="56" t="str">
        <f aca="false">IF(A98="","",ROUND(F97*計算過程!$B$24/12+G97*計算過程!$B$25/12,0))</f>
        <v/>
      </c>
      <c r="E98" s="56" t="str">
        <f aca="false">IF(A98="","",C98-D98)</f>
        <v/>
      </c>
      <c r="F98" s="56" t="str">
        <f aca="false">IF(A98="","",MAX(0,F97*(1+計算過程!$B$24/12)-計算過程!$B$52))</f>
        <v/>
      </c>
      <c r="G98" s="56" t="str">
        <f aca="false">IF(A98="","",MAX(0,G97*(1+計算過程!$B$25/12)-計算過程!$B$53))</f>
        <v/>
      </c>
      <c r="H98" s="56" t="str">
        <f aca="false">IF(A98="","",F98+G98)</f>
        <v/>
      </c>
      <c r="I98" s="55" t="str">
        <f aca="false">IF(A98="","",IF(AND(OR(MONTH(B98)=6,MONTH(B98)=12),I97&lt;計算過程!$B$50),I97+1,I97))</f>
        <v/>
      </c>
      <c r="J98" s="56" t="str">
        <f aca="false">IF(A98="","",IF(I98&gt;I97,計算過程!$B$57,0))</f>
        <v/>
      </c>
      <c r="K98" s="56" t="str">
        <f aca="false">IF(A98="","",IF(I98&gt;I97,ROUND(M97*計算過程!$B$55,0),0))</f>
        <v/>
      </c>
      <c r="L98" s="56" t="str">
        <f aca="false">IF(A98="","",J98-K98)</f>
        <v/>
      </c>
      <c r="M98" s="56" t="str">
        <f aca="false">IF(A98="","",IF(I98&gt;I97,MAX(0,M97*(1+計算過程!$B$55)-計算過程!$B$56),M97))</f>
        <v/>
      </c>
      <c r="N98" s="56" t="str">
        <f aca="false">IF(A98="","",C98+J98)</f>
        <v/>
      </c>
      <c r="O98" s="56" t="str">
        <f aca="false">IF(A98="","",H98+M98)</f>
        <v/>
      </c>
    </row>
    <row r="99" customFormat="false" ht="15" hidden="false" customHeight="false" outlineLevel="0" collapsed="false">
      <c r="A99" s="55" t="str">
        <f aca="false">IF(ROWS($A$8:A99)&lt;=計算過程!$B$51,ROWS($A$8:A99),"")</f>
        <v/>
      </c>
      <c r="B99" s="57" t="str">
        <f aca="false">IF(A99="","",EDATE(計算過程!$B$71,A99-1))</f>
        <v/>
      </c>
      <c r="C99" s="56" t="str">
        <f aca="false">IF(A99="","",計算過程!$B$54)</f>
        <v/>
      </c>
      <c r="D99" s="56" t="str">
        <f aca="false">IF(A99="","",ROUND(F98*計算過程!$B$24/12+G98*計算過程!$B$25/12,0))</f>
        <v/>
      </c>
      <c r="E99" s="56" t="str">
        <f aca="false">IF(A99="","",C99-D99)</f>
        <v/>
      </c>
      <c r="F99" s="56" t="str">
        <f aca="false">IF(A99="","",MAX(0,F98*(1+計算過程!$B$24/12)-計算過程!$B$52))</f>
        <v/>
      </c>
      <c r="G99" s="56" t="str">
        <f aca="false">IF(A99="","",MAX(0,G98*(1+計算過程!$B$25/12)-計算過程!$B$53))</f>
        <v/>
      </c>
      <c r="H99" s="56" t="str">
        <f aca="false">IF(A99="","",F99+G99)</f>
        <v/>
      </c>
      <c r="I99" s="55" t="str">
        <f aca="false">IF(A99="","",IF(AND(OR(MONTH(B99)=6,MONTH(B99)=12),I98&lt;計算過程!$B$50),I98+1,I98))</f>
        <v/>
      </c>
      <c r="J99" s="56" t="str">
        <f aca="false">IF(A99="","",IF(I99&gt;I98,計算過程!$B$57,0))</f>
        <v/>
      </c>
      <c r="K99" s="56" t="str">
        <f aca="false">IF(A99="","",IF(I99&gt;I98,ROUND(M98*計算過程!$B$55,0),0))</f>
        <v/>
      </c>
      <c r="L99" s="56" t="str">
        <f aca="false">IF(A99="","",J99-K99)</f>
        <v/>
      </c>
      <c r="M99" s="56" t="str">
        <f aca="false">IF(A99="","",IF(I99&gt;I98,MAX(0,M98*(1+計算過程!$B$55)-計算過程!$B$56),M98))</f>
        <v/>
      </c>
      <c r="N99" s="56" t="str">
        <f aca="false">IF(A99="","",C99+J99)</f>
        <v/>
      </c>
      <c r="O99" s="56" t="str">
        <f aca="false">IF(A99="","",H99+M99)</f>
        <v/>
      </c>
    </row>
    <row r="100" customFormat="false" ht="15" hidden="false" customHeight="false" outlineLevel="0" collapsed="false">
      <c r="A100" s="55" t="str">
        <f aca="false">IF(ROWS($A$8:A100)&lt;=計算過程!$B$51,ROWS($A$8:A100),"")</f>
        <v/>
      </c>
      <c r="B100" s="57" t="str">
        <f aca="false">IF(A100="","",EDATE(計算過程!$B$71,A100-1))</f>
        <v/>
      </c>
      <c r="C100" s="56" t="str">
        <f aca="false">IF(A100="","",計算過程!$B$54)</f>
        <v/>
      </c>
      <c r="D100" s="56" t="str">
        <f aca="false">IF(A100="","",ROUND(F99*計算過程!$B$24/12+G99*計算過程!$B$25/12,0))</f>
        <v/>
      </c>
      <c r="E100" s="56" t="str">
        <f aca="false">IF(A100="","",C100-D100)</f>
        <v/>
      </c>
      <c r="F100" s="56" t="str">
        <f aca="false">IF(A100="","",MAX(0,F99*(1+計算過程!$B$24/12)-計算過程!$B$52))</f>
        <v/>
      </c>
      <c r="G100" s="56" t="str">
        <f aca="false">IF(A100="","",MAX(0,G99*(1+計算過程!$B$25/12)-計算過程!$B$53))</f>
        <v/>
      </c>
      <c r="H100" s="56" t="str">
        <f aca="false">IF(A100="","",F100+G100)</f>
        <v/>
      </c>
      <c r="I100" s="55" t="str">
        <f aca="false">IF(A100="","",IF(AND(OR(MONTH(B100)=6,MONTH(B100)=12),I99&lt;計算過程!$B$50),I99+1,I99))</f>
        <v/>
      </c>
      <c r="J100" s="56" t="str">
        <f aca="false">IF(A100="","",IF(I100&gt;I99,計算過程!$B$57,0))</f>
        <v/>
      </c>
      <c r="K100" s="56" t="str">
        <f aca="false">IF(A100="","",IF(I100&gt;I99,ROUND(M99*計算過程!$B$55,0),0))</f>
        <v/>
      </c>
      <c r="L100" s="56" t="str">
        <f aca="false">IF(A100="","",J100-K100)</f>
        <v/>
      </c>
      <c r="M100" s="56" t="str">
        <f aca="false">IF(A100="","",IF(I100&gt;I99,MAX(0,M99*(1+計算過程!$B$55)-計算過程!$B$56),M99))</f>
        <v/>
      </c>
      <c r="N100" s="56" t="str">
        <f aca="false">IF(A100="","",C100+J100)</f>
        <v/>
      </c>
      <c r="O100" s="56" t="str">
        <f aca="false">IF(A100="","",H100+M100)</f>
        <v/>
      </c>
    </row>
    <row r="101" customFormat="false" ht="15" hidden="false" customHeight="false" outlineLevel="0" collapsed="false">
      <c r="A101" s="55" t="str">
        <f aca="false">IF(ROWS($A$8:A101)&lt;=計算過程!$B$51,ROWS($A$8:A101),"")</f>
        <v/>
      </c>
      <c r="B101" s="57" t="str">
        <f aca="false">IF(A101="","",EDATE(計算過程!$B$71,A101-1))</f>
        <v/>
      </c>
      <c r="C101" s="56" t="str">
        <f aca="false">IF(A101="","",計算過程!$B$54)</f>
        <v/>
      </c>
      <c r="D101" s="56" t="str">
        <f aca="false">IF(A101="","",ROUND(F100*計算過程!$B$24/12+G100*計算過程!$B$25/12,0))</f>
        <v/>
      </c>
      <c r="E101" s="56" t="str">
        <f aca="false">IF(A101="","",C101-D101)</f>
        <v/>
      </c>
      <c r="F101" s="56" t="str">
        <f aca="false">IF(A101="","",MAX(0,F100*(1+計算過程!$B$24/12)-計算過程!$B$52))</f>
        <v/>
      </c>
      <c r="G101" s="56" t="str">
        <f aca="false">IF(A101="","",MAX(0,G100*(1+計算過程!$B$25/12)-計算過程!$B$53))</f>
        <v/>
      </c>
      <c r="H101" s="56" t="str">
        <f aca="false">IF(A101="","",F101+G101)</f>
        <v/>
      </c>
      <c r="I101" s="55" t="str">
        <f aca="false">IF(A101="","",IF(AND(OR(MONTH(B101)=6,MONTH(B101)=12),I100&lt;計算過程!$B$50),I100+1,I100))</f>
        <v/>
      </c>
      <c r="J101" s="56" t="str">
        <f aca="false">IF(A101="","",IF(I101&gt;I100,計算過程!$B$57,0))</f>
        <v/>
      </c>
      <c r="K101" s="56" t="str">
        <f aca="false">IF(A101="","",IF(I101&gt;I100,ROUND(M100*計算過程!$B$55,0),0))</f>
        <v/>
      </c>
      <c r="L101" s="56" t="str">
        <f aca="false">IF(A101="","",J101-K101)</f>
        <v/>
      </c>
      <c r="M101" s="56" t="str">
        <f aca="false">IF(A101="","",IF(I101&gt;I100,MAX(0,M100*(1+計算過程!$B$55)-計算過程!$B$56),M100))</f>
        <v/>
      </c>
      <c r="N101" s="56" t="str">
        <f aca="false">IF(A101="","",C101+J101)</f>
        <v/>
      </c>
      <c r="O101" s="56" t="str">
        <f aca="false">IF(A101="","",H101+M101)</f>
        <v/>
      </c>
    </row>
    <row r="102" customFormat="false" ht="15" hidden="false" customHeight="false" outlineLevel="0" collapsed="false">
      <c r="A102" s="55" t="str">
        <f aca="false">IF(ROWS($A$8:A102)&lt;=計算過程!$B$51,ROWS($A$8:A102),"")</f>
        <v/>
      </c>
      <c r="B102" s="57" t="str">
        <f aca="false">IF(A102="","",EDATE(計算過程!$B$71,A102-1))</f>
        <v/>
      </c>
      <c r="C102" s="56" t="str">
        <f aca="false">IF(A102="","",計算過程!$B$54)</f>
        <v/>
      </c>
      <c r="D102" s="56" t="str">
        <f aca="false">IF(A102="","",ROUND(F101*計算過程!$B$24/12+G101*計算過程!$B$25/12,0))</f>
        <v/>
      </c>
      <c r="E102" s="56" t="str">
        <f aca="false">IF(A102="","",C102-D102)</f>
        <v/>
      </c>
      <c r="F102" s="56" t="str">
        <f aca="false">IF(A102="","",MAX(0,F101*(1+計算過程!$B$24/12)-計算過程!$B$52))</f>
        <v/>
      </c>
      <c r="G102" s="56" t="str">
        <f aca="false">IF(A102="","",MAX(0,G101*(1+計算過程!$B$25/12)-計算過程!$B$53))</f>
        <v/>
      </c>
      <c r="H102" s="56" t="str">
        <f aca="false">IF(A102="","",F102+G102)</f>
        <v/>
      </c>
      <c r="I102" s="55" t="str">
        <f aca="false">IF(A102="","",IF(AND(OR(MONTH(B102)=6,MONTH(B102)=12),I101&lt;計算過程!$B$50),I101+1,I101))</f>
        <v/>
      </c>
      <c r="J102" s="56" t="str">
        <f aca="false">IF(A102="","",IF(I102&gt;I101,計算過程!$B$57,0))</f>
        <v/>
      </c>
      <c r="K102" s="56" t="str">
        <f aca="false">IF(A102="","",IF(I102&gt;I101,ROUND(M101*計算過程!$B$55,0),0))</f>
        <v/>
      </c>
      <c r="L102" s="56" t="str">
        <f aca="false">IF(A102="","",J102-K102)</f>
        <v/>
      </c>
      <c r="M102" s="56" t="str">
        <f aca="false">IF(A102="","",IF(I102&gt;I101,MAX(0,M101*(1+計算過程!$B$55)-計算過程!$B$56),M101))</f>
        <v/>
      </c>
      <c r="N102" s="56" t="str">
        <f aca="false">IF(A102="","",C102+J102)</f>
        <v/>
      </c>
      <c r="O102" s="56" t="str">
        <f aca="false">IF(A102="","",H102+M102)</f>
        <v/>
      </c>
    </row>
    <row r="103" customFormat="false" ht="15" hidden="false" customHeight="false" outlineLevel="0" collapsed="false">
      <c r="A103" s="55" t="str">
        <f aca="false">IF(ROWS($A$8:A103)&lt;=計算過程!$B$51,ROWS($A$8:A103),"")</f>
        <v/>
      </c>
      <c r="B103" s="57" t="str">
        <f aca="false">IF(A103="","",EDATE(計算過程!$B$71,A103-1))</f>
        <v/>
      </c>
      <c r="C103" s="56" t="str">
        <f aca="false">IF(A103="","",計算過程!$B$54)</f>
        <v/>
      </c>
      <c r="D103" s="56" t="str">
        <f aca="false">IF(A103="","",ROUND(F102*計算過程!$B$24/12+G102*計算過程!$B$25/12,0))</f>
        <v/>
      </c>
      <c r="E103" s="56" t="str">
        <f aca="false">IF(A103="","",C103-D103)</f>
        <v/>
      </c>
      <c r="F103" s="56" t="str">
        <f aca="false">IF(A103="","",MAX(0,F102*(1+計算過程!$B$24/12)-計算過程!$B$52))</f>
        <v/>
      </c>
      <c r="G103" s="56" t="str">
        <f aca="false">IF(A103="","",MAX(0,G102*(1+計算過程!$B$25/12)-計算過程!$B$53))</f>
        <v/>
      </c>
      <c r="H103" s="56" t="str">
        <f aca="false">IF(A103="","",F103+G103)</f>
        <v/>
      </c>
      <c r="I103" s="55" t="str">
        <f aca="false">IF(A103="","",IF(AND(OR(MONTH(B103)=6,MONTH(B103)=12),I102&lt;計算過程!$B$50),I102+1,I102))</f>
        <v/>
      </c>
      <c r="J103" s="56" t="str">
        <f aca="false">IF(A103="","",IF(I103&gt;I102,計算過程!$B$57,0))</f>
        <v/>
      </c>
      <c r="K103" s="56" t="str">
        <f aca="false">IF(A103="","",IF(I103&gt;I102,ROUND(M102*計算過程!$B$55,0),0))</f>
        <v/>
      </c>
      <c r="L103" s="56" t="str">
        <f aca="false">IF(A103="","",J103-K103)</f>
        <v/>
      </c>
      <c r="M103" s="56" t="str">
        <f aca="false">IF(A103="","",IF(I103&gt;I102,MAX(0,M102*(1+計算過程!$B$55)-計算過程!$B$56),M102))</f>
        <v/>
      </c>
      <c r="N103" s="56" t="str">
        <f aca="false">IF(A103="","",C103+J103)</f>
        <v/>
      </c>
      <c r="O103" s="56" t="str">
        <f aca="false">IF(A103="","",H103+M103)</f>
        <v/>
      </c>
    </row>
    <row r="104" customFormat="false" ht="15" hidden="false" customHeight="false" outlineLevel="0" collapsed="false">
      <c r="A104" s="55" t="str">
        <f aca="false">IF(ROWS($A$8:A104)&lt;=計算過程!$B$51,ROWS($A$8:A104),"")</f>
        <v/>
      </c>
      <c r="B104" s="57" t="str">
        <f aca="false">IF(A104="","",EDATE(計算過程!$B$71,A104-1))</f>
        <v/>
      </c>
      <c r="C104" s="56" t="str">
        <f aca="false">IF(A104="","",計算過程!$B$54)</f>
        <v/>
      </c>
      <c r="D104" s="56" t="str">
        <f aca="false">IF(A104="","",ROUND(F103*計算過程!$B$24/12+G103*計算過程!$B$25/12,0))</f>
        <v/>
      </c>
      <c r="E104" s="56" t="str">
        <f aca="false">IF(A104="","",C104-D104)</f>
        <v/>
      </c>
      <c r="F104" s="56" t="str">
        <f aca="false">IF(A104="","",MAX(0,F103*(1+計算過程!$B$24/12)-計算過程!$B$52))</f>
        <v/>
      </c>
      <c r="G104" s="56" t="str">
        <f aca="false">IF(A104="","",MAX(0,G103*(1+計算過程!$B$25/12)-計算過程!$B$53))</f>
        <v/>
      </c>
      <c r="H104" s="56" t="str">
        <f aca="false">IF(A104="","",F104+G104)</f>
        <v/>
      </c>
      <c r="I104" s="55" t="str">
        <f aca="false">IF(A104="","",IF(AND(OR(MONTH(B104)=6,MONTH(B104)=12),I103&lt;計算過程!$B$50),I103+1,I103))</f>
        <v/>
      </c>
      <c r="J104" s="56" t="str">
        <f aca="false">IF(A104="","",IF(I104&gt;I103,計算過程!$B$57,0))</f>
        <v/>
      </c>
      <c r="K104" s="56" t="str">
        <f aca="false">IF(A104="","",IF(I104&gt;I103,ROUND(M103*計算過程!$B$55,0),0))</f>
        <v/>
      </c>
      <c r="L104" s="56" t="str">
        <f aca="false">IF(A104="","",J104-K104)</f>
        <v/>
      </c>
      <c r="M104" s="56" t="str">
        <f aca="false">IF(A104="","",IF(I104&gt;I103,MAX(0,M103*(1+計算過程!$B$55)-計算過程!$B$56),M103))</f>
        <v/>
      </c>
      <c r="N104" s="56" t="str">
        <f aca="false">IF(A104="","",C104+J104)</f>
        <v/>
      </c>
      <c r="O104" s="56" t="str">
        <f aca="false">IF(A104="","",H104+M104)</f>
        <v/>
      </c>
    </row>
    <row r="105" customFormat="false" ht="15" hidden="false" customHeight="false" outlineLevel="0" collapsed="false">
      <c r="A105" s="55" t="str">
        <f aca="false">IF(ROWS($A$8:A105)&lt;=計算過程!$B$51,ROWS($A$8:A105),"")</f>
        <v/>
      </c>
      <c r="B105" s="57" t="str">
        <f aca="false">IF(A105="","",EDATE(計算過程!$B$71,A105-1))</f>
        <v/>
      </c>
      <c r="C105" s="56" t="str">
        <f aca="false">IF(A105="","",計算過程!$B$54)</f>
        <v/>
      </c>
      <c r="D105" s="56" t="str">
        <f aca="false">IF(A105="","",ROUND(F104*計算過程!$B$24/12+G104*計算過程!$B$25/12,0))</f>
        <v/>
      </c>
      <c r="E105" s="56" t="str">
        <f aca="false">IF(A105="","",C105-D105)</f>
        <v/>
      </c>
      <c r="F105" s="56" t="str">
        <f aca="false">IF(A105="","",MAX(0,F104*(1+計算過程!$B$24/12)-計算過程!$B$52))</f>
        <v/>
      </c>
      <c r="G105" s="56" t="str">
        <f aca="false">IF(A105="","",MAX(0,G104*(1+計算過程!$B$25/12)-計算過程!$B$53))</f>
        <v/>
      </c>
      <c r="H105" s="56" t="str">
        <f aca="false">IF(A105="","",F105+G105)</f>
        <v/>
      </c>
      <c r="I105" s="55" t="str">
        <f aca="false">IF(A105="","",IF(AND(OR(MONTH(B105)=6,MONTH(B105)=12),I104&lt;計算過程!$B$50),I104+1,I104))</f>
        <v/>
      </c>
      <c r="J105" s="56" t="str">
        <f aca="false">IF(A105="","",IF(I105&gt;I104,計算過程!$B$57,0))</f>
        <v/>
      </c>
      <c r="K105" s="56" t="str">
        <f aca="false">IF(A105="","",IF(I105&gt;I104,ROUND(M104*計算過程!$B$55,0),0))</f>
        <v/>
      </c>
      <c r="L105" s="56" t="str">
        <f aca="false">IF(A105="","",J105-K105)</f>
        <v/>
      </c>
      <c r="M105" s="56" t="str">
        <f aca="false">IF(A105="","",IF(I105&gt;I104,MAX(0,M104*(1+計算過程!$B$55)-計算過程!$B$56),M104))</f>
        <v/>
      </c>
      <c r="N105" s="56" t="str">
        <f aca="false">IF(A105="","",C105+J105)</f>
        <v/>
      </c>
      <c r="O105" s="56" t="str">
        <f aca="false">IF(A105="","",H105+M105)</f>
        <v/>
      </c>
    </row>
    <row r="106" customFormat="false" ht="15" hidden="false" customHeight="false" outlineLevel="0" collapsed="false">
      <c r="A106" s="55" t="str">
        <f aca="false">IF(ROWS($A$8:A106)&lt;=計算過程!$B$51,ROWS($A$8:A106),"")</f>
        <v/>
      </c>
      <c r="B106" s="57" t="str">
        <f aca="false">IF(A106="","",EDATE(計算過程!$B$71,A106-1))</f>
        <v/>
      </c>
      <c r="C106" s="56" t="str">
        <f aca="false">IF(A106="","",計算過程!$B$54)</f>
        <v/>
      </c>
      <c r="D106" s="56" t="str">
        <f aca="false">IF(A106="","",ROUND(F105*計算過程!$B$24/12+G105*計算過程!$B$25/12,0))</f>
        <v/>
      </c>
      <c r="E106" s="56" t="str">
        <f aca="false">IF(A106="","",C106-D106)</f>
        <v/>
      </c>
      <c r="F106" s="56" t="str">
        <f aca="false">IF(A106="","",MAX(0,F105*(1+計算過程!$B$24/12)-計算過程!$B$52))</f>
        <v/>
      </c>
      <c r="G106" s="56" t="str">
        <f aca="false">IF(A106="","",MAX(0,G105*(1+計算過程!$B$25/12)-計算過程!$B$53))</f>
        <v/>
      </c>
      <c r="H106" s="56" t="str">
        <f aca="false">IF(A106="","",F106+G106)</f>
        <v/>
      </c>
      <c r="I106" s="55" t="str">
        <f aca="false">IF(A106="","",IF(AND(OR(MONTH(B106)=6,MONTH(B106)=12),I105&lt;計算過程!$B$50),I105+1,I105))</f>
        <v/>
      </c>
      <c r="J106" s="56" t="str">
        <f aca="false">IF(A106="","",IF(I106&gt;I105,計算過程!$B$57,0))</f>
        <v/>
      </c>
      <c r="K106" s="56" t="str">
        <f aca="false">IF(A106="","",IF(I106&gt;I105,ROUND(M105*計算過程!$B$55,0),0))</f>
        <v/>
      </c>
      <c r="L106" s="56" t="str">
        <f aca="false">IF(A106="","",J106-K106)</f>
        <v/>
      </c>
      <c r="M106" s="56" t="str">
        <f aca="false">IF(A106="","",IF(I106&gt;I105,MAX(0,M105*(1+計算過程!$B$55)-計算過程!$B$56),M105))</f>
        <v/>
      </c>
      <c r="N106" s="56" t="str">
        <f aca="false">IF(A106="","",C106+J106)</f>
        <v/>
      </c>
      <c r="O106" s="56" t="str">
        <f aca="false">IF(A106="","",H106+M106)</f>
        <v/>
      </c>
    </row>
    <row r="107" customFormat="false" ht="15" hidden="false" customHeight="false" outlineLevel="0" collapsed="false">
      <c r="A107" s="55" t="str">
        <f aca="false">IF(ROWS($A$8:A107)&lt;=計算過程!$B$51,ROWS($A$8:A107),"")</f>
        <v/>
      </c>
      <c r="B107" s="57" t="str">
        <f aca="false">IF(A107="","",EDATE(計算過程!$B$71,A107-1))</f>
        <v/>
      </c>
      <c r="C107" s="56" t="str">
        <f aca="false">IF(A107="","",計算過程!$B$54)</f>
        <v/>
      </c>
      <c r="D107" s="56" t="str">
        <f aca="false">IF(A107="","",ROUND(F106*計算過程!$B$24/12+G106*計算過程!$B$25/12,0))</f>
        <v/>
      </c>
      <c r="E107" s="56" t="str">
        <f aca="false">IF(A107="","",C107-D107)</f>
        <v/>
      </c>
      <c r="F107" s="56" t="str">
        <f aca="false">IF(A107="","",MAX(0,F106*(1+計算過程!$B$24/12)-計算過程!$B$52))</f>
        <v/>
      </c>
      <c r="G107" s="56" t="str">
        <f aca="false">IF(A107="","",MAX(0,G106*(1+計算過程!$B$25/12)-計算過程!$B$53))</f>
        <v/>
      </c>
      <c r="H107" s="56" t="str">
        <f aca="false">IF(A107="","",F107+G107)</f>
        <v/>
      </c>
      <c r="I107" s="55" t="str">
        <f aca="false">IF(A107="","",IF(AND(OR(MONTH(B107)=6,MONTH(B107)=12),I106&lt;計算過程!$B$50),I106+1,I106))</f>
        <v/>
      </c>
      <c r="J107" s="56" t="str">
        <f aca="false">IF(A107="","",IF(I107&gt;I106,計算過程!$B$57,0))</f>
        <v/>
      </c>
      <c r="K107" s="56" t="str">
        <f aca="false">IF(A107="","",IF(I107&gt;I106,ROUND(M106*計算過程!$B$55,0),0))</f>
        <v/>
      </c>
      <c r="L107" s="56" t="str">
        <f aca="false">IF(A107="","",J107-K107)</f>
        <v/>
      </c>
      <c r="M107" s="56" t="str">
        <f aca="false">IF(A107="","",IF(I107&gt;I106,MAX(0,M106*(1+計算過程!$B$55)-計算過程!$B$56),M106))</f>
        <v/>
      </c>
      <c r="N107" s="56" t="str">
        <f aca="false">IF(A107="","",C107+J107)</f>
        <v/>
      </c>
      <c r="O107" s="56" t="str">
        <f aca="false">IF(A107="","",H107+M107)</f>
        <v/>
      </c>
    </row>
    <row r="108" customFormat="false" ht="15" hidden="false" customHeight="false" outlineLevel="0" collapsed="false">
      <c r="A108" s="55" t="str">
        <f aca="false">IF(ROWS($A$8:A108)&lt;=計算過程!$B$51,ROWS($A$8:A108),"")</f>
        <v/>
      </c>
      <c r="B108" s="57" t="str">
        <f aca="false">IF(A108="","",EDATE(計算過程!$B$71,A108-1))</f>
        <v/>
      </c>
      <c r="C108" s="56" t="str">
        <f aca="false">IF(A108="","",計算過程!$B$54)</f>
        <v/>
      </c>
      <c r="D108" s="56" t="str">
        <f aca="false">IF(A108="","",ROUND(F107*計算過程!$B$24/12+G107*計算過程!$B$25/12,0))</f>
        <v/>
      </c>
      <c r="E108" s="56" t="str">
        <f aca="false">IF(A108="","",C108-D108)</f>
        <v/>
      </c>
      <c r="F108" s="56" t="str">
        <f aca="false">IF(A108="","",MAX(0,F107*(1+計算過程!$B$24/12)-計算過程!$B$52))</f>
        <v/>
      </c>
      <c r="G108" s="56" t="str">
        <f aca="false">IF(A108="","",MAX(0,G107*(1+計算過程!$B$25/12)-計算過程!$B$53))</f>
        <v/>
      </c>
      <c r="H108" s="56" t="str">
        <f aca="false">IF(A108="","",F108+G108)</f>
        <v/>
      </c>
      <c r="I108" s="55" t="str">
        <f aca="false">IF(A108="","",IF(AND(OR(MONTH(B108)=6,MONTH(B108)=12),I107&lt;計算過程!$B$50),I107+1,I107))</f>
        <v/>
      </c>
      <c r="J108" s="56" t="str">
        <f aca="false">IF(A108="","",IF(I108&gt;I107,計算過程!$B$57,0))</f>
        <v/>
      </c>
      <c r="K108" s="56" t="str">
        <f aca="false">IF(A108="","",IF(I108&gt;I107,ROUND(M107*計算過程!$B$55,0),0))</f>
        <v/>
      </c>
      <c r="L108" s="56" t="str">
        <f aca="false">IF(A108="","",J108-K108)</f>
        <v/>
      </c>
      <c r="M108" s="56" t="str">
        <f aca="false">IF(A108="","",IF(I108&gt;I107,MAX(0,M107*(1+計算過程!$B$55)-計算過程!$B$56),M107))</f>
        <v/>
      </c>
      <c r="N108" s="56" t="str">
        <f aca="false">IF(A108="","",C108+J108)</f>
        <v/>
      </c>
      <c r="O108" s="56" t="str">
        <f aca="false">IF(A108="","",H108+M108)</f>
        <v/>
      </c>
    </row>
    <row r="109" customFormat="false" ht="15" hidden="false" customHeight="false" outlineLevel="0" collapsed="false">
      <c r="A109" s="55" t="str">
        <f aca="false">IF(ROWS($A$8:A109)&lt;=計算過程!$B$51,ROWS($A$8:A109),"")</f>
        <v/>
      </c>
      <c r="B109" s="57" t="str">
        <f aca="false">IF(A109="","",EDATE(計算過程!$B$71,A109-1))</f>
        <v/>
      </c>
      <c r="C109" s="56" t="str">
        <f aca="false">IF(A109="","",計算過程!$B$54)</f>
        <v/>
      </c>
      <c r="D109" s="56" t="str">
        <f aca="false">IF(A109="","",ROUND(F108*計算過程!$B$24/12+G108*計算過程!$B$25/12,0))</f>
        <v/>
      </c>
      <c r="E109" s="56" t="str">
        <f aca="false">IF(A109="","",C109-D109)</f>
        <v/>
      </c>
      <c r="F109" s="56" t="str">
        <f aca="false">IF(A109="","",MAX(0,F108*(1+計算過程!$B$24/12)-計算過程!$B$52))</f>
        <v/>
      </c>
      <c r="G109" s="56" t="str">
        <f aca="false">IF(A109="","",MAX(0,G108*(1+計算過程!$B$25/12)-計算過程!$B$53))</f>
        <v/>
      </c>
      <c r="H109" s="56" t="str">
        <f aca="false">IF(A109="","",F109+G109)</f>
        <v/>
      </c>
      <c r="I109" s="55" t="str">
        <f aca="false">IF(A109="","",IF(AND(OR(MONTH(B109)=6,MONTH(B109)=12),I108&lt;計算過程!$B$50),I108+1,I108))</f>
        <v/>
      </c>
      <c r="J109" s="56" t="str">
        <f aca="false">IF(A109="","",IF(I109&gt;I108,計算過程!$B$57,0))</f>
        <v/>
      </c>
      <c r="K109" s="56" t="str">
        <f aca="false">IF(A109="","",IF(I109&gt;I108,ROUND(M108*計算過程!$B$55,0),0))</f>
        <v/>
      </c>
      <c r="L109" s="56" t="str">
        <f aca="false">IF(A109="","",J109-K109)</f>
        <v/>
      </c>
      <c r="M109" s="56" t="str">
        <f aca="false">IF(A109="","",IF(I109&gt;I108,MAX(0,M108*(1+計算過程!$B$55)-計算過程!$B$56),M108))</f>
        <v/>
      </c>
      <c r="N109" s="56" t="str">
        <f aca="false">IF(A109="","",C109+J109)</f>
        <v/>
      </c>
      <c r="O109" s="56" t="str">
        <f aca="false">IF(A109="","",H109+M109)</f>
        <v/>
      </c>
    </row>
    <row r="110" customFormat="false" ht="15" hidden="false" customHeight="false" outlineLevel="0" collapsed="false">
      <c r="A110" s="55" t="str">
        <f aca="false">IF(ROWS($A$8:A110)&lt;=計算過程!$B$51,ROWS($A$8:A110),"")</f>
        <v/>
      </c>
      <c r="B110" s="57" t="str">
        <f aca="false">IF(A110="","",EDATE(計算過程!$B$71,A110-1))</f>
        <v/>
      </c>
      <c r="C110" s="56" t="str">
        <f aca="false">IF(A110="","",計算過程!$B$54)</f>
        <v/>
      </c>
      <c r="D110" s="56" t="str">
        <f aca="false">IF(A110="","",ROUND(F109*計算過程!$B$24/12+G109*計算過程!$B$25/12,0))</f>
        <v/>
      </c>
      <c r="E110" s="56" t="str">
        <f aca="false">IF(A110="","",C110-D110)</f>
        <v/>
      </c>
      <c r="F110" s="56" t="str">
        <f aca="false">IF(A110="","",MAX(0,F109*(1+計算過程!$B$24/12)-計算過程!$B$52))</f>
        <v/>
      </c>
      <c r="G110" s="56" t="str">
        <f aca="false">IF(A110="","",MAX(0,G109*(1+計算過程!$B$25/12)-計算過程!$B$53))</f>
        <v/>
      </c>
      <c r="H110" s="56" t="str">
        <f aca="false">IF(A110="","",F110+G110)</f>
        <v/>
      </c>
      <c r="I110" s="55" t="str">
        <f aca="false">IF(A110="","",IF(AND(OR(MONTH(B110)=6,MONTH(B110)=12),I109&lt;計算過程!$B$50),I109+1,I109))</f>
        <v/>
      </c>
      <c r="J110" s="56" t="str">
        <f aca="false">IF(A110="","",IF(I110&gt;I109,計算過程!$B$57,0))</f>
        <v/>
      </c>
      <c r="K110" s="56" t="str">
        <f aca="false">IF(A110="","",IF(I110&gt;I109,ROUND(M109*計算過程!$B$55,0),0))</f>
        <v/>
      </c>
      <c r="L110" s="56" t="str">
        <f aca="false">IF(A110="","",J110-K110)</f>
        <v/>
      </c>
      <c r="M110" s="56" t="str">
        <f aca="false">IF(A110="","",IF(I110&gt;I109,MAX(0,M109*(1+計算過程!$B$55)-計算過程!$B$56),M109))</f>
        <v/>
      </c>
      <c r="N110" s="56" t="str">
        <f aca="false">IF(A110="","",C110+J110)</f>
        <v/>
      </c>
      <c r="O110" s="56" t="str">
        <f aca="false">IF(A110="","",H110+M110)</f>
        <v/>
      </c>
    </row>
    <row r="111" customFormat="false" ht="15" hidden="false" customHeight="false" outlineLevel="0" collapsed="false">
      <c r="A111" s="55" t="str">
        <f aca="false">IF(ROWS($A$8:A111)&lt;=計算過程!$B$51,ROWS($A$8:A111),"")</f>
        <v/>
      </c>
      <c r="B111" s="57" t="str">
        <f aca="false">IF(A111="","",EDATE(計算過程!$B$71,A111-1))</f>
        <v/>
      </c>
      <c r="C111" s="56" t="str">
        <f aca="false">IF(A111="","",計算過程!$B$54)</f>
        <v/>
      </c>
      <c r="D111" s="56" t="str">
        <f aca="false">IF(A111="","",ROUND(F110*計算過程!$B$24/12+G110*計算過程!$B$25/12,0))</f>
        <v/>
      </c>
      <c r="E111" s="56" t="str">
        <f aca="false">IF(A111="","",C111-D111)</f>
        <v/>
      </c>
      <c r="F111" s="56" t="str">
        <f aca="false">IF(A111="","",MAX(0,F110*(1+計算過程!$B$24/12)-計算過程!$B$52))</f>
        <v/>
      </c>
      <c r="G111" s="56" t="str">
        <f aca="false">IF(A111="","",MAX(0,G110*(1+計算過程!$B$25/12)-計算過程!$B$53))</f>
        <v/>
      </c>
      <c r="H111" s="56" t="str">
        <f aca="false">IF(A111="","",F111+G111)</f>
        <v/>
      </c>
      <c r="I111" s="55" t="str">
        <f aca="false">IF(A111="","",IF(AND(OR(MONTH(B111)=6,MONTH(B111)=12),I110&lt;計算過程!$B$50),I110+1,I110))</f>
        <v/>
      </c>
      <c r="J111" s="56" t="str">
        <f aca="false">IF(A111="","",IF(I111&gt;I110,計算過程!$B$57,0))</f>
        <v/>
      </c>
      <c r="K111" s="56" t="str">
        <f aca="false">IF(A111="","",IF(I111&gt;I110,ROUND(M110*計算過程!$B$55,0),0))</f>
        <v/>
      </c>
      <c r="L111" s="56" t="str">
        <f aca="false">IF(A111="","",J111-K111)</f>
        <v/>
      </c>
      <c r="M111" s="56" t="str">
        <f aca="false">IF(A111="","",IF(I111&gt;I110,MAX(0,M110*(1+計算過程!$B$55)-計算過程!$B$56),M110))</f>
        <v/>
      </c>
      <c r="N111" s="56" t="str">
        <f aca="false">IF(A111="","",C111+J111)</f>
        <v/>
      </c>
      <c r="O111" s="56" t="str">
        <f aca="false">IF(A111="","",H111+M111)</f>
        <v/>
      </c>
    </row>
    <row r="112" customFormat="false" ht="15" hidden="false" customHeight="false" outlineLevel="0" collapsed="false">
      <c r="A112" s="55" t="str">
        <f aca="false">IF(ROWS($A$8:A112)&lt;=計算過程!$B$51,ROWS($A$8:A112),"")</f>
        <v/>
      </c>
      <c r="B112" s="57" t="str">
        <f aca="false">IF(A112="","",EDATE(計算過程!$B$71,A112-1))</f>
        <v/>
      </c>
      <c r="C112" s="56" t="str">
        <f aca="false">IF(A112="","",計算過程!$B$54)</f>
        <v/>
      </c>
      <c r="D112" s="56" t="str">
        <f aca="false">IF(A112="","",ROUND(F111*計算過程!$B$24/12+G111*計算過程!$B$25/12,0))</f>
        <v/>
      </c>
      <c r="E112" s="56" t="str">
        <f aca="false">IF(A112="","",C112-D112)</f>
        <v/>
      </c>
      <c r="F112" s="56" t="str">
        <f aca="false">IF(A112="","",MAX(0,F111*(1+計算過程!$B$24/12)-計算過程!$B$52))</f>
        <v/>
      </c>
      <c r="G112" s="56" t="str">
        <f aca="false">IF(A112="","",MAX(0,G111*(1+計算過程!$B$25/12)-計算過程!$B$53))</f>
        <v/>
      </c>
      <c r="H112" s="56" t="str">
        <f aca="false">IF(A112="","",F112+G112)</f>
        <v/>
      </c>
      <c r="I112" s="55" t="str">
        <f aca="false">IF(A112="","",IF(AND(OR(MONTH(B112)=6,MONTH(B112)=12),I111&lt;計算過程!$B$50),I111+1,I111))</f>
        <v/>
      </c>
      <c r="J112" s="56" t="str">
        <f aca="false">IF(A112="","",IF(I112&gt;I111,計算過程!$B$57,0))</f>
        <v/>
      </c>
      <c r="K112" s="56" t="str">
        <f aca="false">IF(A112="","",IF(I112&gt;I111,ROUND(M111*計算過程!$B$55,0),0))</f>
        <v/>
      </c>
      <c r="L112" s="56" t="str">
        <f aca="false">IF(A112="","",J112-K112)</f>
        <v/>
      </c>
      <c r="M112" s="56" t="str">
        <f aca="false">IF(A112="","",IF(I112&gt;I111,MAX(0,M111*(1+計算過程!$B$55)-計算過程!$B$56),M111))</f>
        <v/>
      </c>
      <c r="N112" s="56" t="str">
        <f aca="false">IF(A112="","",C112+J112)</f>
        <v/>
      </c>
      <c r="O112" s="56" t="str">
        <f aca="false">IF(A112="","",H112+M112)</f>
        <v/>
      </c>
    </row>
    <row r="113" customFormat="false" ht="15" hidden="false" customHeight="false" outlineLevel="0" collapsed="false">
      <c r="A113" s="55" t="str">
        <f aca="false">IF(ROWS($A$8:A113)&lt;=計算過程!$B$51,ROWS($A$8:A113),"")</f>
        <v/>
      </c>
      <c r="B113" s="57" t="str">
        <f aca="false">IF(A113="","",EDATE(計算過程!$B$71,A113-1))</f>
        <v/>
      </c>
      <c r="C113" s="56" t="str">
        <f aca="false">IF(A113="","",計算過程!$B$54)</f>
        <v/>
      </c>
      <c r="D113" s="56" t="str">
        <f aca="false">IF(A113="","",ROUND(F112*計算過程!$B$24/12+G112*計算過程!$B$25/12,0))</f>
        <v/>
      </c>
      <c r="E113" s="56" t="str">
        <f aca="false">IF(A113="","",C113-D113)</f>
        <v/>
      </c>
      <c r="F113" s="56" t="str">
        <f aca="false">IF(A113="","",MAX(0,F112*(1+計算過程!$B$24/12)-計算過程!$B$52))</f>
        <v/>
      </c>
      <c r="G113" s="56" t="str">
        <f aca="false">IF(A113="","",MAX(0,G112*(1+計算過程!$B$25/12)-計算過程!$B$53))</f>
        <v/>
      </c>
      <c r="H113" s="56" t="str">
        <f aca="false">IF(A113="","",F113+G113)</f>
        <v/>
      </c>
      <c r="I113" s="55" t="str">
        <f aca="false">IF(A113="","",IF(AND(OR(MONTH(B113)=6,MONTH(B113)=12),I112&lt;計算過程!$B$50),I112+1,I112))</f>
        <v/>
      </c>
      <c r="J113" s="56" t="str">
        <f aca="false">IF(A113="","",IF(I113&gt;I112,計算過程!$B$57,0))</f>
        <v/>
      </c>
      <c r="K113" s="56" t="str">
        <f aca="false">IF(A113="","",IF(I113&gt;I112,ROUND(M112*計算過程!$B$55,0),0))</f>
        <v/>
      </c>
      <c r="L113" s="56" t="str">
        <f aca="false">IF(A113="","",J113-K113)</f>
        <v/>
      </c>
      <c r="M113" s="56" t="str">
        <f aca="false">IF(A113="","",IF(I113&gt;I112,MAX(0,M112*(1+計算過程!$B$55)-計算過程!$B$56),M112))</f>
        <v/>
      </c>
      <c r="N113" s="56" t="str">
        <f aca="false">IF(A113="","",C113+J113)</f>
        <v/>
      </c>
      <c r="O113" s="56" t="str">
        <f aca="false">IF(A113="","",H113+M113)</f>
        <v/>
      </c>
    </row>
    <row r="114" customFormat="false" ht="15" hidden="false" customHeight="false" outlineLevel="0" collapsed="false">
      <c r="A114" s="55" t="str">
        <f aca="false">IF(ROWS($A$8:A114)&lt;=計算過程!$B$51,ROWS($A$8:A114),"")</f>
        <v/>
      </c>
      <c r="B114" s="57" t="str">
        <f aca="false">IF(A114="","",EDATE(計算過程!$B$71,A114-1))</f>
        <v/>
      </c>
      <c r="C114" s="56" t="str">
        <f aca="false">IF(A114="","",計算過程!$B$54)</f>
        <v/>
      </c>
      <c r="D114" s="56" t="str">
        <f aca="false">IF(A114="","",ROUND(F113*計算過程!$B$24/12+G113*計算過程!$B$25/12,0))</f>
        <v/>
      </c>
      <c r="E114" s="56" t="str">
        <f aca="false">IF(A114="","",C114-D114)</f>
        <v/>
      </c>
      <c r="F114" s="56" t="str">
        <f aca="false">IF(A114="","",MAX(0,F113*(1+計算過程!$B$24/12)-計算過程!$B$52))</f>
        <v/>
      </c>
      <c r="G114" s="56" t="str">
        <f aca="false">IF(A114="","",MAX(0,G113*(1+計算過程!$B$25/12)-計算過程!$B$53))</f>
        <v/>
      </c>
      <c r="H114" s="56" t="str">
        <f aca="false">IF(A114="","",F114+G114)</f>
        <v/>
      </c>
      <c r="I114" s="55" t="str">
        <f aca="false">IF(A114="","",IF(AND(OR(MONTH(B114)=6,MONTH(B114)=12),I113&lt;計算過程!$B$50),I113+1,I113))</f>
        <v/>
      </c>
      <c r="J114" s="56" t="str">
        <f aca="false">IF(A114="","",IF(I114&gt;I113,計算過程!$B$57,0))</f>
        <v/>
      </c>
      <c r="K114" s="56" t="str">
        <f aca="false">IF(A114="","",IF(I114&gt;I113,ROUND(M113*計算過程!$B$55,0),0))</f>
        <v/>
      </c>
      <c r="L114" s="56" t="str">
        <f aca="false">IF(A114="","",J114-K114)</f>
        <v/>
      </c>
      <c r="M114" s="56" t="str">
        <f aca="false">IF(A114="","",IF(I114&gt;I113,MAX(0,M113*(1+計算過程!$B$55)-計算過程!$B$56),M113))</f>
        <v/>
      </c>
      <c r="N114" s="56" t="str">
        <f aca="false">IF(A114="","",C114+J114)</f>
        <v/>
      </c>
      <c r="O114" s="56" t="str">
        <f aca="false">IF(A114="","",H114+M114)</f>
        <v/>
      </c>
    </row>
    <row r="115" customFormat="false" ht="15" hidden="false" customHeight="false" outlineLevel="0" collapsed="false">
      <c r="A115" s="55" t="str">
        <f aca="false">IF(ROWS($A$8:A115)&lt;=計算過程!$B$51,ROWS($A$8:A115),"")</f>
        <v/>
      </c>
      <c r="B115" s="57" t="str">
        <f aca="false">IF(A115="","",EDATE(計算過程!$B$71,A115-1))</f>
        <v/>
      </c>
      <c r="C115" s="56" t="str">
        <f aca="false">IF(A115="","",計算過程!$B$54)</f>
        <v/>
      </c>
      <c r="D115" s="56" t="str">
        <f aca="false">IF(A115="","",ROUND(F114*計算過程!$B$24/12+G114*計算過程!$B$25/12,0))</f>
        <v/>
      </c>
      <c r="E115" s="56" t="str">
        <f aca="false">IF(A115="","",C115-D115)</f>
        <v/>
      </c>
      <c r="F115" s="56" t="str">
        <f aca="false">IF(A115="","",MAX(0,F114*(1+計算過程!$B$24/12)-計算過程!$B$52))</f>
        <v/>
      </c>
      <c r="G115" s="56" t="str">
        <f aca="false">IF(A115="","",MAX(0,G114*(1+計算過程!$B$25/12)-計算過程!$B$53))</f>
        <v/>
      </c>
      <c r="H115" s="56" t="str">
        <f aca="false">IF(A115="","",F115+G115)</f>
        <v/>
      </c>
      <c r="I115" s="55" t="str">
        <f aca="false">IF(A115="","",IF(AND(OR(MONTH(B115)=6,MONTH(B115)=12),I114&lt;計算過程!$B$50),I114+1,I114))</f>
        <v/>
      </c>
      <c r="J115" s="56" t="str">
        <f aca="false">IF(A115="","",IF(I115&gt;I114,計算過程!$B$57,0))</f>
        <v/>
      </c>
      <c r="K115" s="56" t="str">
        <f aca="false">IF(A115="","",IF(I115&gt;I114,ROUND(M114*計算過程!$B$55,0),0))</f>
        <v/>
      </c>
      <c r="L115" s="56" t="str">
        <f aca="false">IF(A115="","",J115-K115)</f>
        <v/>
      </c>
      <c r="M115" s="56" t="str">
        <f aca="false">IF(A115="","",IF(I115&gt;I114,MAX(0,M114*(1+計算過程!$B$55)-計算過程!$B$56),M114))</f>
        <v/>
      </c>
      <c r="N115" s="56" t="str">
        <f aca="false">IF(A115="","",C115+J115)</f>
        <v/>
      </c>
      <c r="O115" s="56" t="str">
        <f aca="false">IF(A115="","",H115+M115)</f>
        <v/>
      </c>
    </row>
    <row r="116" customFormat="false" ht="15" hidden="false" customHeight="false" outlineLevel="0" collapsed="false">
      <c r="A116" s="55" t="str">
        <f aca="false">IF(ROWS($A$8:A116)&lt;=計算過程!$B$51,ROWS($A$8:A116),"")</f>
        <v/>
      </c>
      <c r="B116" s="57" t="str">
        <f aca="false">IF(A116="","",EDATE(計算過程!$B$71,A116-1))</f>
        <v/>
      </c>
      <c r="C116" s="56" t="str">
        <f aca="false">IF(A116="","",計算過程!$B$54)</f>
        <v/>
      </c>
      <c r="D116" s="56" t="str">
        <f aca="false">IF(A116="","",ROUND(F115*計算過程!$B$24/12+G115*計算過程!$B$25/12,0))</f>
        <v/>
      </c>
      <c r="E116" s="56" t="str">
        <f aca="false">IF(A116="","",C116-D116)</f>
        <v/>
      </c>
      <c r="F116" s="56" t="str">
        <f aca="false">IF(A116="","",MAX(0,F115*(1+計算過程!$B$24/12)-計算過程!$B$52))</f>
        <v/>
      </c>
      <c r="G116" s="56" t="str">
        <f aca="false">IF(A116="","",MAX(0,G115*(1+計算過程!$B$25/12)-計算過程!$B$53))</f>
        <v/>
      </c>
      <c r="H116" s="56" t="str">
        <f aca="false">IF(A116="","",F116+G116)</f>
        <v/>
      </c>
      <c r="I116" s="55" t="str">
        <f aca="false">IF(A116="","",IF(AND(OR(MONTH(B116)=6,MONTH(B116)=12),I115&lt;計算過程!$B$50),I115+1,I115))</f>
        <v/>
      </c>
      <c r="J116" s="56" t="str">
        <f aca="false">IF(A116="","",IF(I116&gt;I115,計算過程!$B$57,0))</f>
        <v/>
      </c>
      <c r="K116" s="56" t="str">
        <f aca="false">IF(A116="","",IF(I116&gt;I115,ROUND(M115*計算過程!$B$55,0),0))</f>
        <v/>
      </c>
      <c r="L116" s="56" t="str">
        <f aca="false">IF(A116="","",J116-K116)</f>
        <v/>
      </c>
      <c r="M116" s="56" t="str">
        <f aca="false">IF(A116="","",IF(I116&gt;I115,MAX(0,M115*(1+計算過程!$B$55)-計算過程!$B$56),M115))</f>
        <v/>
      </c>
      <c r="N116" s="56" t="str">
        <f aca="false">IF(A116="","",C116+J116)</f>
        <v/>
      </c>
      <c r="O116" s="56" t="str">
        <f aca="false">IF(A116="","",H116+M116)</f>
        <v/>
      </c>
    </row>
    <row r="117" customFormat="false" ht="15" hidden="false" customHeight="false" outlineLevel="0" collapsed="false">
      <c r="A117" s="55" t="str">
        <f aca="false">IF(ROWS($A$8:A117)&lt;=計算過程!$B$51,ROWS($A$8:A117),"")</f>
        <v/>
      </c>
      <c r="B117" s="57" t="str">
        <f aca="false">IF(A117="","",EDATE(計算過程!$B$71,A117-1))</f>
        <v/>
      </c>
      <c r="C117" s="56" t="str">
        <f aca="false">IF(A117="","",計算過程!$B$54)</f>
        <v/>
      </c>
      <c r="D117" s="56" t="str">
        <f aca="false">IF(A117="","",ROUND(F116*計算過程!$B$24/12+G116*計算過程!$B$25/12,0))</f>
        <v/>
      </c>
      <c r="E117" s="56" t="str">
        <f aca="false">IF(A117="","",C117-D117)</f>
        <v/>
      </c>
      <c r="F117" s="56" t="str">
        <f aca="false">IF(A117="","",MAX(0,F116*(1+計算過程!$B$24/12)-計算過程!$B$52))</f>
        <v/>
      </c>
      <c r="G117" s="56" t="str">
        <f aca="false">IF(A117="","",MAX(0,G116*(1+計算過程!$B$25/12)-計算過程!$B$53))</f>
        <v/>
      </c>
      <c r="H117" s="56" t="str">
        <f aca="false">IF(A117="","",F117+G117)</f>
        <v/>
      </c>
      <c r="I117" s="55" t="str">
        <f aca="false">IF(A117="","",IF(AND(OR(MONTH(B117)=6,MONTH(B117)=12),I116&lt;計算過程!$B$50),I116+1,I116))</f>
        <v/>
      </c>
      <c r="J117" s="56" t="str">
        <f aca="false">IF(A117="","",IF(I117&gt;I116,計算過程!$B$57,0))</f>
        <v/>
      </c>
      <c r="K117" s="56" t="str">
        <f aca="false">IF(A117="","",IF(I117&gt;I116,ROUND(M116*計算過程!$B$55,0),0))</f>
        <v/>
      </c>
      <c r="L117" s="56" t="str">
        <f aca="false">IF(A117="","",J117-K117)</f>
        <v/>
      </c>
      <c r="M117" s="56" t="str">
        <f aca="false">IF(A117="","",IF(I117&gt;I116,MAX(0,M116*(1+計算過程!$B$55)-計算過程!$B$56),M116))</f>
        <v/>
      </c>
      <c r="N117" s="56" t="str">
        <f aca="false">IF(A117="","",C117+J117)</f>
        <v/>
      </c>
      <c r="O117" s="56" t="str">
        <f aca="false">IF(A117="","",H117+M117)</f>
        <v/>
      </c>
    </row>
    <row r="118" customFormat="false" ht="15" hidden="false" customHeight="false" outlineLevel="0" collapsed="false">
      <c r="A118" s="55" t="str">
        <f aca="false">IF(ROWS($A$8:A118)&lt;=計算過程!$B$51,ROWS($A$8:A118),"")</f>
        <v/>
      </c>
      <c r="B118" s="57" t="str">
        <f aca="false">IF(A118="","",EDATE(計算過程!$B$71,A118-1))</f>
        <v/>
      </c>
      <c r="C118" s="56" t="str">
        <f aca="false">IF(A118="","",計算過程!$B$54)</f>
        <v/>
      </c>
      <c r="D118" s="56" t="str">
        <f aca="false">IF(A118="","",ROUND(F117*計算過程!$B$24/12+G117*計算過程!$B$25/12,0))</f>
        <v/>
      </c>
      <c r="E118" s="56" t="str">
        <f aca="false">IF(A118="","",C118-D118)</f>
        <v/>
      </c>
      <c r="F118" s="56" t="str">
        <f aca="false">IF(A118="","",MAX(0,F117*(1+計算過程!$B$24/12)-計算過程!$B$52))</f>
        <v/>
      </c>
      <c r="G118" s="56" t="str">
        <f aca="false">IF(A118="","",MAX(0,G117*(1+計算過程!$B$25/12)-計算過程!$B$53))</f>
        <v/>
      </c>
      <c r="H118" s="56" t="str">
        <f aca="false">IF(A118="","",F118+G118)</f>
        <v/>
      </c>
      <c r="I118" s="55" t="str">
        <f aca="false">IF(A118="","",IF(AND(OR(MONTH(B118)=6,MONTH(B118)=12),I117&lt;計算過程!$B$50),I117+1,I117))</f>
        <v/>
      </c>
      <c r="J118" s="56" t="str">
        <f aca="false">IF(A118="","",IF(I118&gt;I117,計算過程!$B$57,0))</f>
        <v/>
      </c>
      <c r="K118" s="56" t="str">
        <f aca="false">IF(A118="","",IF(I118&gt;I117,ROUND(M117*計算過程!$B$55,0),0))</f>
        <v/>
      </c>
      <c r="L118" s="56" t="str">
        <f aca="false">IF(A118="","",J118-K118)</f>
        <v/>
      </c>
      <c r="M118" s="56" t="str">
        <f aca="false">IF(A118="","",IF(I118&gt;I117,MAX(0,M117*(1+計算過程!$B$55)-計算過程!$B$56),M117))</f>
        <v/>
      </c>
      <c r="N118" s="56" t="str">
        <f aca="false">IF(A118="","",C118+J118)</f>
        <v/>
      </c>
      <c r="O118" s="56" t="str">
        <f aca="false">IF(A118="","",H118+M118)</f>
        <v/>
      </c>
    </row>
    <row r="119" customFormat="false" ht="15" hidden="false" customHeight="false" outlineLevel="0" collapsed="false">
      <c r="A119" s="55" t="str">
        <f aca="false">IF(ROWS($A$8:A119)&lt;=計算過程!$B$51,ROWS($A$8:A119),"")</f>
        <v/>
      </c>
      <c r="B119" s="57" t="str">
        <f aca="false">IF(A119="","",EDATE(計算過程!$B$71,A119-1))</f>
        <v/>
      </c>
      <c r="C119" s="56" t="str">
        <f aca="false">IF(A119="","",計算過程!$B$54)</f>
        <v/>
      </c>
      <c r="D119" s="56" t="str">
        <f aca="false">IF(A119="","",ROUND(F118*計算過程!$B$24/12+G118*計算過程!$B$25/12,0))</f>
        <v/>
      </c>
      <c r="E119" s="56" t="str">
        <f aca="false">IF(A119="","",C119-D119)</f>
        <v/>
      </c>
      <c r="F119" s="56" t="str">
        <f aca="false">IF(A119="","",MAX(0,F118*(1+計算過程!$B$24/12)-計算過程!$B$52))</f>
        <v/>
      </c>
      <c r="G119" s="56" t="str">
        <f aca="false">IF(A119="","",MAX(0,G118*(1+計算過程!$B$25/12)-計算過程!$B$53))</f>
        <v/>
      </c>
      <c r="H119" s="56" t="str">
        <f aca="false">IF(A119="","",F119+G119)</f>
        <v/>
      </c>
      <c r="I119" s="55" t="str">
        <f aca="false">IF(A119="","",IF(AND(OR(MONTH(B119)=6,MONTH(B119)=12),I118&lt;計算過程!$B$50),I118+1,I118))</f>
        <v/>
      </c>
      <c r="J119" s="56" t="str">
        <f aca="false">IF(A119="","",IF(I119&gt;I118,計算過程!$B$57,0))</f>
        <v/>
      </c>
      <c r="K119" s="56" t="str">
        <f aca="false">IF(A119="","",IF(I119&gt;I118,ROUND(M118*計算過程!$B$55,0),0))</f>
        <v/>
      </c>
      <c r="L119" s="56" t="str">
        <f aca="false">IF(A119="","",J119-K119)</f>
        <v/>
      </c>
      <c r="M119" s="56" t="str">
        <f aca="false">IF(A119="","",IF(I119&gt;I118,MAX(0,M118*(1+計算過程!$B$55)-計算過程!$B$56),M118))</f>
        <v/>
      </c>
      <c r="N119" s="56" t="str">
        <f aca="false">IF(A119="","",C119+J119)</f>
        <v/>
      </c>
      <c r="O119" s="56" t="str">
        <f aca="false">IF(A119="","",H119+M119)</f>
        <v/>
      </c>
    </row>
    <row r="120" customFormat="false" ht="15" hidden="false" customHeight="false" outlineLevel="0" collapsed="false">
      <c r="A120" s="55" t="str">
        <f aca="false">IF(ROWS($A$8:A120)&lt;=計算過程!$B$51,ROWS($A$8:A120),"")</f>
        <v/>
      </c>
      <c r="B120" s="57" t="str">
        <f aca="false">IF(A120="","",EDATE(計算過程!$B$71,A120-1))</f>
        <v/>
      </c>
      <c r="C120" s="56" t="str">
        <f aca="false">IF(A120="","",計算過程!$B$54)</f>
        <v/>
      </c>
      <c r="D120" s="56" t="str">
        <f aca="false">IF(A120="","",ROUND(F119*計算過程!$B$24/12+G119*計算過程!$B$25/12,0))</f>
        <v/>
      </c>
      <c r="E120" s="56" t="str">
        <f aca="false">IF(A120="","",C120-D120)</f>
        <v/>
      </c>
      <c r="F120" s="56" t="str">
        <f aca="false">IF(A120="","",MAX(0,F119*(1+計算過程!$B$24/12)-計算過程!$B$52))</f>
        <v/>
      </c>
      <c r="G120" s="56" t="str">
        <f aca="false">IF(A120="","",MAX(0,G119*(1+計算過程!$B$25/12)-計算過程!$B$53))</f>
        <v/>
      </c>
      <c r="H120" s="56" t="str">
        <f aca="false">IF(A120="","",F120+G120)</f>
        <v/>
      </c>
      <c r="I120" s="55" t="str">
        <f aca="false">IF(A120="","",IF(AND(OR(MONTH(B120)=6,MONTH(B120)=12),I119&lt;計算過程!$B$50),I119+1,I119))</f>
        <v/>
      </c>
      <c r="J120" s="56" t="str">
        <f aca="false">IF(A120="","",IF(I120&gt;I119,計算過程!$B$57,0))</f>
        <v/>
      </c>
      <c r="K120" s="56" t="str">
        <f aca="false">IF(A120="","",IF(I120&gt;I119,ROUND(M119*計算過程!$B$55,0),0))</f>
        <v/>
      </c>
      <c r="L120" s="56" t="str">
        <f aca="false">IF(A120="","",J120-K120)</f>
        <v/>
      </c>
      <c r="M120" s="56" t="str">
        <f aca="false">IF(A120="","",IF(I120&gt;I119,MAX(0,M119*(1+計算過程!$B$55)-計算過程!$B$56),M119))</f>
        <v/>
      </c>
      <c r="N120" s="56" t="str">
        <f aca="false">IF(A120="","",C120+J120)</f>
        <v/>
      </c>
      <c r="O120" s="56" t="str">
        <f aca="false">IF(A120="","",H120+M120)</f>
        <v/>
      </c>
    </row>
    <row r="121" customFormat="false" ht="15" hidden="false" customHeight="false" outlineLevel="0" collapsed="false">
      <c r="A121" s="55" t="str">
        <f aca="false">IF(ROWS($A$8:A121)&lt;=計算過程!$B$51,ROWS($A$8:A121),"")</f>
        <v/>
      </c>
      <c r="B121" s="57" t="str">
        <f aca="false">IF(A121="","",EDATE(計算過程!$B$71,A121-1))</f>
        <v/>
      </c>
      <c r="C121" s="56" t="str">
        <f aca="false">IF(A121="","",計算過程!$B$54)</f>
        <v/>
      </c>
      <c r="D121" s="56" t="str">
        <f aca="false">IF(A121="","",ROUND(F120*計算過程!$B$24/12+G120*計算過程!$B$25/12,0))</f>
        <v/>
      </c>
      <c r="E121" s="56" t="str">
        <f aca="false">IF(A121="","",C121-D121)</f>
        <v/>
      </c>
      <c r="F121" s="56" t="str">
        <f aca="false">IF(A121="","",MAX(0,F120*(1+計算過程!$B$24/12)-計算過程!$B$52))</f>
        <v/>
      </c>
      <c r="G121" s="56" t="str">
        <f aca="false">IF(A121="","",MAX(0,G120*(1+計算過程!$B$25/12)-計算過程!$B$53))</f>
        <v/>
      </c>
      <c r="H121" s="56" t="str">
        <f aca="false">IF(A121="","",F121+G121)</f>
        <v/>
      </c>
      <c r="I121" s="55" t="str">
        <f aca="false">IF(A121="","",IF(AND(OR(MONTH(B121)=6,MONTH(B121)=12),I120&lt;計算過程!$B$50),I120+1,I120))</f>
        <v/>
      </c>
      <c r="J121" s="56" t="str">
        <f aca="false">IF(A121="","",IF(I121&gt;I120,計算過程!$B$57,0))</f>
        <v/>
      </c>
      <c r="K121" s="56" t="str">
        <f aca="false">IF(A121="","",IF(I121&gt;I120,ROUND(M120*計算過程!$B$55,0),0))</f>
        <v/>
      </c>
      <c r="L121" s="56" t="str">
        <f aca="false">IF(A121="","",J121-K121)</f>
        <v/>
      </c>
      <c r="M121" s="56" t="str">
        <f aca="false">IF(A121="","",IF(I121&gt;I120,MAX(0,M120*(1+計算過程!$B$55)-計算過程!$B$56),M120))</f>
        <v/>
      </c>
      <c r="N121" s="56" t="str">
        <f aca="false">IF(A121="","",C121+J121)</f>
        <v/>
      </c>
      <c r="O121" s="56" t="str">
        <f aca="false">IF(A121="","",H121+M121)</f>
        <v/>
      </c>
    </row>
    <row r="122" customFormat="false" ht="15" hidden="false" customHeight="false" outlineLevel="0" collapsed="false">
      <c r="A122" s="55" t="str">
        <f aca="false">IF(ROWS($A$8:A122)&lt;=計算過程!$B$51,ROWS($A$8:A122),"")</f>
        <v/>
      </c>
      <c r="B122" s="57" t="str">
        <f aca="false">IF(A122="","",EDATE(計算過程!$B$71,A122-1))</f>
        <v/>
      </c>
      <c r="C122" s="56" t="str">
        <f aca="false">IF(A122="","",計算過程!$B$54)</f>
        <v/>
      </c>
      <c r="D122" s="56" t="str">
        <f aca="false">IF(A122="","",ROUND(F121*計算過程!$B$24/12+G121*計算過程!$B$25/12,0))</f>
        <v/>
      </c>
      <c r="E122" s="56" t="str">
        <f aca="false">IF(A122="","",C122-D122)</f>
        <v/>
      </c>
      <c r="F122" s="56" t="str">
        <f aca="false">IF(A122="","",MAX(0,F121*(1+計算過程!$B$24/12)-計算過程!$B$52))</f>
        <v/>
      </c>
      <c r="G122" s="56" t="str">
        <f aca="false">IF(A122="","",MAX(0,G121*(1+計算過程!$B$25/12)-計算過程!$B$53))</f>
        <v/>
      </c>
      <c r="H122" s="56" t="str">
        <f aca="false">IF(A122="","",F122+G122)</f>
        <v/>
      </c>
      <c r="I122" s="55" t="str">
        <f aca="false">IF(A122="","",IF(AND(OR(MONTH(B122)=6,MONTH(B122)=12),I121&lt;計算過程!$B$50),I121+1,I121))</f>
        <v/>
      </c>
      <c r="J122" s="56" t="str">
        <f aca="false">IF(A122="","",IF(I122&gt;I121,計算過程!$B$57,0))</f>
        <v/>
      </c>
      <c r="K122" s="56" t="str">
        <f aca="false">IF(A122="","",IF(I122&gt;I121,ROUND(M121*計算過程!$B$55,0),0))</f>
        <v/>
      </c>
      <c r="L122" s="56" t="str">
        <f aca="false">IF(A122="","",J122-K122)</f>
        <v/>
      </c>
      <c r="M122" s="56" t="str">
        <f aca="false">IF(A122="","",IF(I122&gt;I121,MAX(0,M121*(1+計算過程!$B$55)-計算過程!$B$56),M121))</f>
        <v/>
      </c>
      <c r="N122" s="56" t="str">
        <f aca="false">IF(A122="","",C122+J122)</f>
        <v/>
      </c>
      <c r="O122" s="56" t="str">
        <f aca="false">IF(A122="","",H122+M122)</f>
        <v/>
      </c>
    </row>
    <row r="123" customFormat="false" ht="15" hidden="false" customHeight="false" outlineLevel="0" collapsed="false">
      <c r="A123" s="55" t="str">
        <f aca="false">IF(ROWS($A$8:A123)&lt;=計算過程!$B$51,ROWS($A$8:A123),"")</f>
        <v/>
      </c>
      <c r="B123" s="57" t="str">
        <f aca="false">IF(A123="","",EDATE(計算過程!$B$71,A123-1))</f>
        <v/>
      </c>
      <c r="C123" s="56" t="str">
        <f aca="false">IF(A123="","",計算過程!$B$54)</f>
        <v/>
      </c>
      <c r="D123" s="56" t="str">
        <f aca="false">IF(A123="","",ROUND(F122*計算過程!$B$24/12+G122*計算過程!$B$25/12,0))</f>
        <v/>
      </c>
      <c r="E123" s="56" t="str">
        <f aca="false">IF(A123="","",C123-D123)</f>
        <v/>
      </c>
      <c r="F123" s="56" t="str">
        <f aca="false">IF(A123="","",MAX(0,F122*(1+計算過程!$B$24/12)-計算過程!$B$52))</f>
        <v/>
      </c>
      <c r="G123" s="56" t="str">
        <f aca="false">IF(A123="","",MAX(0,G122*(1+計算過程!$B$25/12)-計算過程!$B$53))</f>
        <v/>
      </c>
      <c r="H123" s="56" t="str">
        <f aca="false">IF(A123="","",F123+G123)</f>
        <v/>
      </c>
      <c r="I123" s="55" t="str">
        <f aca="false">IF(A123="","",IF(AND(OR(MONTH(B123)=6,MONTH(B123)=12),I122&lt;計算過程!$B$50),I122+1,I122))</f>
        <v/>
      </c>
      <c r="J123" s="56" t="str">
        <f aca="false">IF(A123="","",IF(I123&gt;I122,計算過程!$B$57,0))</f>
        <v/>
      </c>
      <c r="K123" s="56" t="str">
        <f aca="false">IF(A123="","",IF(I123&gt;I122,ROUND(M122*計算過程!$B$55,0),0))</f>
        <v/>
      </c>
      <c r="L123" s="56" t="str">
        <f aca="false">IF(A123="","",J123-K123)</f>
        <v/>
      </c>
      <c r="M123" s="56" t="str">
        <f aca="false">IF(A123="","",IF(I123&gt;I122,MAX(0,M122*(1+計算過程!$B$55)-計算過程!$B$56),M122))</f>
        <v/>
      </c>
      <c r="N123" s="56" t="str">
        <f aca="false">IF(A123="","",C123+J123)</f>
        <v/>
      </c>
      <c r="O123" s="56" t="str">
        <f aca="false">IF(A123="","",H123+M123)</f>
        <v/>
      </c>
    </row>
    <row r="124" customFormat="false" ht="15" hidden="false" customHeight="false" outlineLevel="0" collapsed="false">
      <c r="A124" s="55" t="str">
        <f aca="false">IF(ROWS($A$8:A124)&lt;=計算過程!$B$51,ROWS($A$8:A124),"")</f>
        <v/>
      </c>
      <c r="B124" s="57" t="str">
        <f aca="false">IF(A124="","",EDATE(計算過程!$B$71,A124-1))</f>
        <v/>
      </c>
      <c r="C124" s="56" t="str">
        <f aca="false">IF(A124="","",計算過程!$B$54)</f>
        <v/>
      </c>
      <c r="D124" s="56" t="str">
        <f aca="false">IF(A124="","",ROUND(F123*計算過程!$B$24/12+G123*計算過程!$B$25/12,0))</f>
        <v/>
      </c>
      <c r="E124" s="56" t="str">
        <f aca="false">IF(A124="","",C124-D124)</f>
        <v/>
      </c>
      <c r="F124" s="56" t="str">
        <f aca="false">IF(A124="","",MAX(0,F123*(1+計算過程!$B$24/12)-計算過程!$B$52))</f>
        <v/>
      </c>
      <c r="G124" s="56" t="str">
        <f aca="false">IF(A124="","",MAX(0,G123*(1+計算過程!$B$25/12)-計算過程!$B$53))</f>
        <v/>
      </c>
      <c r="H124" s="56" t="str">
        <f aca="false">IF(A124="","",F124+G124)</f>
        <v/>
      </c>
      <c r="I124" s="55" t="str">
        <f aca="false">IF(A124="","",IF(AND(OR(MONTH(B124)=6,MONTH(B124)=12),I123&lt;計算過程!$B$50),I123+1,I123))</f>
        <v/>
      </c>
      <c r="J124" s="56" t="str">
        <f aca="false">IF(A124="","",IF(I124&gt;I123,計算過程!$B$57,0))</f>
        <v/>
      </c>
      <c r="K124" s="56" t="str">
        <f aca="false">IF(A124="","",IF(I124&gt;I123,ROUND(M123*計算過程!$B$55,0),0))</f>
        <v/>
      </c>
      <c r="L124" s="56" t="str">
        <f aca="false">IF(A124="","",J124-K124)</f>
        <v/>
      </c>
      <c r="M124" s="56" t="str">
        <f aca="false">IF(A124="","",IF(I124&gt;I123,MAX(0,M123*(1+計算過程!$B$55)-計算過程!$B$56),M123))</f>
        <v/>
      </c>
      <c r="N124" s="56" t="str">
        <f aca="false">IF(A124="","",C124+J124)</f>
        <v/>
      </c>
      <c r="O124" s="56" t="str">
        <f aca="false">IF(A124="","",H124+M124)</f>
        <v/>
      </c>
    </row>
    <row r="125" customFormat="false" ht="15" hidden="false" customHeight="false" outlineLevel="0" collapsed="false">
      <c r="A125" s="55" t="str">
        <f aca="false">IF(ROWS($A$8:A125)&lt;=計算過程!$B$51,ROWS($A$8:A125),"")</f>
        <v/>
      </c>
      <c r="B125" s="57" t="str">
        <f aca="false">IF(A125="","",EDATE(計算過程!$B$71,A125-1))</f>
        <v/>
      </c>
      <c r="C125" s="56" t="str">
        <f aca="false">IF(A125="","",計算過程!$B$54)</f>
        <v/>
      </c>
      <c r="D125" s="56" t="str">
        <f aca="false">IF(A125="","",ROUND(F124*計算過程!$B$24/12+G124*計算過程!$B$25/12,0))</f>
        <v/>
      </c>
      <c r="E125" s="56" t="str">
        <f aca="false">IF(A125="","",C125-D125)</f>
        <v/>
      </c>
      <c r="F125" s="56" t="str">
        <f aca="false">IF(A125="","",MAX(0,F124*(1+計算過程!$B$24/12)-計算過程!$B$52))</f>
        <v/>
      </c>
      <c r="G125" s="56" t="str">
        <f aca="false">IF(A125="","",MAX(0,G124*(1+計算過程!$B$25/12)-計算過程!$B$53))</f>
        <v/>
      </c>
      <c r="H125" s="56" t="str">
        <f aca="false">IF(A125="","",F125+G125)</f>
        <v/>
      </c>
      <c r="I125" s="55" t="str">
        <f aca="false">IF(A125="","",IF(AND(OR(MONTH(B125)=6,MONTH(B125)=12),I124&lt;計算過程!$B$50),I124+1,I124))</f>
        <v/>
      </c>
      <c r="J125" s="56" t="str">
        <f aca="false">IF(A125="","",IF(I125&gt;I124,計算過程!$B$57,0))</f>
        <v/>
      </c>
      <c r="K125" s="56" t="str">
        <f aca="false">IF(A125="","",IF(I125&gt;I124,ROUND(M124*計算過程!$B$55,0),0))</f>
        <v/>
      </c>
      <c r="L125" s="56" t="str">
        <f aca="false">IF(A125="","",J125-K125)</f>
        <v/>
      </c>
      <c r="M125" s="56" t="str">
        <f aca="false">IF(A125="","",IF(I125&gt;I124,MAX(0,M124*(1+計算過程!$B$55)-計算過程!$B$56),M124))</f>
        <v/>
      </c>
      <c r="N125" s="56" t="str">
        <f aca="false">IF(A125="","",C125+J125)</f>
        <v/>
      </c>
      <c r="O125" s="56" t="str">
        <f aca="false">IF(A125="","",H125+M125)</f>
        <v/>
      </c>
    </row>
    <row r="126" customFormat="false" ht="15" hidden="false" customHeight="false" outlineLevel="0" collapsed="false">
      <c r="A126" s="55" t="str">
        <f aca="false">IF(ROWS($A$8:A126)&lt;=計算過程!$B$51,ROWS($A$8:A126),"")</f>
        <v/>
      </c>
      <c r="B126" s="57" t="str">
        <f aca="false">IF(A126="","",EDATE(計算過程!$B$71,A126-1))</f>
        <v/>
      </c>
      <c r="C126" s="56" t="str">
        <f aca="false">IF(A126="","",計算過程!$B$54)</f>
        <v/>
      </c>
      <c r="D126" s="56" t="str">
        <f aca="false">IF(A126="","",ROUND(F125*計算過程!$B$24/12+G125*計算過程!$B$25/12,0))</f>
        <v/>
      </c>
      <c r="E126" s="56" t="str">
        <f aca="false">IF(A126="","",C126-D126)</f>
        <v/>
      </c>
      <c r="F126" s="56" t="str">
        <f aca="false">IF(A126="","",MAX(0,F125*(1+計算過程!$B$24/12)-計算過程!$B$52))</f>
        <v/>
      </c>
      <c r="G126" s="56" t="str">
        <f aca="false">IF(A126="","",MAX(0,G125*(1+計算過程!$B$25/12)-計算過程!$B$53))</f>
        <v/>
      </c>
      <c r="H126" s="56" t="str">
        <f aca="false">IF(A126="","",F126+G126)</f>
        <v/>
      </c>
      <c r="I126" s="55" t="str">
        <f aca="false">IF(A126="","",IF(AND(OR(MONTH(B126)=6,MONTH(B126)=12),I125&lt;計算過程!$B$50),I125+1,I125))</f>
        <v/>
      </c>
      <c r="J126" s="56" t="str">
        <f aca="false">IF(A126="","",IF(I126&gt;I125,計算過程!$B$57,0))</f>
        <v/>
      </c>
      <c r="K126" s="56" t="str">
        <f aca="false">IF(A126="","",IF(I126&gt;I125,ROUND(M125*計算過程!$B$55,0),0))</f>
        <v/>
      </c>
      <c r="L126" s="56" t="str">
        <f aca="false">IF(A126="","",J126-K126)</f>
        <v/>
      </c>
      <c r="M126" s="56" t="str">
        <f aca="false">IF(A126="","",IF(I126&gt;I125,MAX(0,M125*(1+計算過程!$B$55)-計算過程!$B$56),M125))</f>
        <v/>
      </c>
      <c r="N126" s="56" t="str">
        <f aca="false">IF(A126="","",C126+J126)</f>
        <v/>
      </c>
      <c r="O126" s="56" t="str">
        <f aca="false">IF(A126="","",H126+M126)</f>
        <v/>
      </c>
    </row>
    <row r="127" customFormat="false" ht="15" hidden="false" customHeight="false" outlineLevel="0" collapsed="false">
      <c r="A127" s="55" t="str">
        <f aca="false">IF(ROWS($A$8:A127)&lt;=計算過程!$B$51,ROWS($A$8:A127),"")</f>
        <v/>
      </c>
      <c r="B127" s="57" t="str">
        <f aca="false">IF(A127="","",EDATE(計算過程!$B$71,A127-1))</f>
        <v/>
      </c>
      <c r="C127" s="56" t="str">
        <f aca="false">IF(A127="","",計算過程!$B$54)</f>
        <v/>
      </c>
      <c r="D127" s="56" t="str">
        <f aca="false">IF(A127="","",ROUND(F126*計算過程!$B$24/12+G126*計算過程!$B$25/12,0))</f>
        <v/>
      </c>
      <c r="E127" s="56" t="str">
        <f aca="false">IF(A127="","",C127-D127)</f>
        <v/>
      </c>
      <c r="F127" s="56" t="str">
        <f aca="false">IF(A127="","",MAX(0,F126*(1+計算過程!$B$24/12)-計算過程!$B$52))</f>
        <v/>
      </c>
      <c r="G127" s="56" t="str">
        <f aca="false">IF(A127="","",MAX(0,G126*(1+計算過程!$B$25/12)-計算過程!$B$53))</f>
        <v/>
      </c>
      <c r="H127" s="56" t="str">
        <f aca="false">IF(A127="","",F127+G127)</f>
        <v/>
      </c>
      <c r="I127" s="55" t="str">
        <f aca="false">IF(A127="","",IF(AND(OR(MONTH(B127)=6,MONTH(B127)=12),I126&lt;計算過程!$B$50),I126+1,I126))</f>
        <v/>
      </c>
      <c r="J127" s="56" t="str">
        <f aca="false">IF(A127="","",IF(I127&gt;I126,計算過程!$B$57,0))</f>
        <v/>
      </c>
      <c r="K127" s="56" t="str">
        <f aca="false">IF(A127="","",IF(I127&gt;I126,ROUND(M126*計算過程!$B$55,0),0))</f>
        <v/>
      </c>
      <c r="L127" s="56" t="str">
        <f aca="false">IF(A127="","",J127-K127)</f>
        <v/>
      </c>
      <c r="M127" s="56" t="str">
        <f aca="false">IF(A127="","",IF(I127&gt;I126,MAX(0,M126*(1+計算過程!$B$55)-計算過程!$B$56),M126))</f>
        <v/>
      </c>
      <c r="N127" s="56" t="str">
        <f aca="false">IF(A127="","",C127+J127)</f>
        <v/>
      </c>
      <c r="O127" s="56" t="str">
        <f aca="false">IF(A127="","",H127+M127)</f>
        <v/>
      </c>
    </row>
    <row r="128" customFormat="false" ht="15" hidden="false" customHeight="false" outlineLevel="0" collapsed="false">
      <c r="A128" s="55" t="str">
        <f aca="false">IF(ROWS($A$8:A128)&lt;=計算過程!$B$51,ROWS($A$8:A128),"")</f>
        <v/>
      </c>
      <c r="B128" s="57" t="str">
        <f aca="false">IF(A128="","",EDATE(計算過程!$B$71,A128-1))</f>
        <v/>
      </c>
      <c r="C128" s="56" t="str">
        <f aca="false">IF(A128="","",計算過程!$B$54)</f>
        <v/>
      </c>
      <c r="D128" s="56" t="str">
        <f aca="false">IF(A128="","",ROUND(F127*計算過程!$B$24/12+G127*計算過程!$B$25/12,0))</f>
        <v/>
      </c>
      <c r="E128" s="56" t="str">
        <f aca="false">IF(A128="","",C128-D128)</f>
        <v/>
      </c>
      <c r="F128" s="56" t="str">
        <f aca="false">IF(A128="","",MAX(0,F127*(1+計算過程!$B$24/12)-計算過程!$B$52))</f>
        <v/>
      </c>
      <c r="G128" s="56" t="str">
        <f aca="false">IF(A128="","",MAX(0,G127*(1+計算過程!$B$25/12)-計算過程!$B$53))</f>
        <v/>
      </c>
      <c r="H128" s="56" t="str">
        <f aca="false">IF(A128="","",F128+G128)</f>
        <v/>
      </c>
      <c r="I128" s="55" t="str">
        <f aca="false">IF(A128="","",IF(AND(OR(MONTH(B128)=6,MONTH(B128)=12),I127&lt;計算過程!$B$50),I127+1,I127))</f>
        <v/>
      </c>
      <c r="J128" s="56" t="str">
        <f aca="false">IF(A128="","",IF(I128&gt;I127,計算過程!$B$57,0))</f>
        <v/>
      </c>
      <c r="K128" s="56" t="str">
        <f aca="false">IF(A128="","",IF(I128&gt;I127,ROUND(M127*計算過程!$B$55,0),0))</f>
        <v/>
      </c>
      <c r="L128" s="56" t="str">
        <f aca="false">IF(A128="","",J128-K128)</f>
        <v/>
      </c>
      <c r="M128" s="56" t="str">
        <f aca="false">IF(A128="","",IF(I128&gt;I127,MAX(0,M127*(1+計算過程!$B$55)-計算過程!$B$56),M127))</f>
        <v/>
      </c>
      <c r="N128" s="56" t="str">
        <f aca="false">IF(A128="","",C128+J128)</f>
        <v/>
      </c>
      <c r="O128" s="56" t="str">
        <f aca="false">IF(A128="","",H128+M128)</f>
        <v/>
      </c>
    </row>
    <row r="129" customFormat="false" ht="15" hidden="false" customHeight="false" outlineLevel="0" collapsed="false">
      <c r="A129" s="55" t="str">
        <f aca="false">IF(ROWS($A$8:A129)&lt;=計算過程!$B$51,ROWS($A$8:A129),"")</f>
        <v/>
      </c>
      <c r="B129" s="57" t="str">
        <f aca="false">IF(A129="","",EDATE(計算過程!$B$71,A129-1))</f>
        <v/>
      </c>
      <c r="C129" s="56" t="str">
        <f aca="false">IF(A129="","",計算過程!$B$54)</f>
        <v/>
      </c>
      <c r="D129" s="56" t="str">
        <f aca="false">IF(A129="","",ROUND(F128*計算過程!$B$24/12+G128*計算過程!$B$25/12,0))</f>
        <v/>
      </c>
      <c r="E129" s="56" t="str">
        <f aca="false">IF(A129="","",C129-D129)</f>
        <v/>
      </c>
      <c r="F129" s="56" t="str">
        <f aca="false">IF(A129="","",MAX(0,F128*(1+計算過程!$B$24/12)-計算過程!$B$52))</f>
        <v/>
      </c>
      <c r="G129" s="56" t="str">
        <f aca="false">IF(A129="","",MAX(0,G128*(1+計算過程!$B$25/12)-計算過程!$B$53))</f>
        <v/>
      </c>
      <c r="H129" s="56" t="str">
        <f aca="false">IF(A129="","",F129+G129)</f>
        <v/>
      </c>
      <c r="I129" s="55" t="str">
        <f aca="false">IF(A129="","",IF(AND(OR(MONTH(B129)=6,MONTH(B129)=12),I128&lt;計算過程!$B$50),I128+1,I128))</f>
        <v/>
      </c>
      <c r="J129" s="56" t="str">
        <f aca="false">IF(A129="","",IF(I129&gt;I128,計算過程!$B$57,0))</f>
        <v/>
      </c>
      <c r="K129" s="56" t="str">
        <f aca="false">IF(A129="","",IF(I129&gt;I128,ROUND(M128*計算過程!$B$55,0),0))</f>
        <v/>
      </c>
      <c r="L129" s="56" t="str">
        <f aca="false">IF(A129="","",J129-K129)</f>
        <v/>
      </c>
      <c r="M129" s="56" t="str">
        <f aca="false">IF(A129="","",IF(I129&gt;I128,MAX(0,M128*(1+計算過程!$B$55)-計算過程!$B$56),M128))</f>
        <v/>
      </c>
      <c r="N129" s="56" t="str">
        <f aca="false">IF(A129="","",C129+J129)</f>
        <v/>
      </c>
      <c r="O129" s="56" t="str">
        <f aca="false">IF(A129="","",H129+M129)</f>
        <v/>
      </c>
    </row>
    <row r="130" customFormat="false" ht="15" hidden="false" customHeight="false" outlineLevel="0" collapsed="false">
      <c r="A130" s="55" t="str">
        <f aca="false">IF(ROWS($A$8:A130)&lt;=計算過程!$B$51,ROWS($A$8:A130),"")</f>
        <v/>
      </c>
      <c r="B130" s="57" t="str">
        <f aca="false">IF(A130="","",EDATE(計算過程!$B$71,A130-1))</f>
        <v/>
      </c>
      <c r="C130" s="56" t="str">
        <f aca="false">IF(A130="","",計算過程!$B$54)</f>
        <v/>
      </c>
      <c r="D130" s="56" t="str">
        <f aca="false">IF(A130="","",ROUND(F129*計算過程!$B$24/12+G129*計算過程!$B$25/12,0))</f>
        <v/>
      </c>
      <c r="E130" s="56" t="str">
        <f aca="false">IF(A130="","",C130-D130)</f>
        <v/>
      </c>
      <c r="F130" s="56" t="str">
        <f aca="false">IF(A130="","",MAX(0,F129*(1+計算過程!$B$24/12)-計算過程!$B$52))</f>
        <v/>
      </c>
      <c r="G130" s="56" t="str">
        <f aca="false">IF(A130="","",MAX(0,G129*(1+計算過程!$B$25/12)-計算過程!$B$53))</f>
        <v/>
      </c>
      <c r="H130" s="56" t="str">
        <f aca="false">IF(A130="","",F130+G130)</f>
        <v/>
      </c>
      <c r="I130" s="55" t="str">
        <f aca="false">IF(A130="","",IF(AND(OR(MONTH(B130)=6,MONTH(B130)=12),I129&lt;計算過程!$B$50),I129+1,I129))</f>
        <v/>
      </c>
      <c r="J130" s="56" t="str">
        <f aca="false">IF(A130="","",IF(I130&gt;I129,計算過程!$B$57,0))</f>
        <v/>
      </c>
      <c r="K130" s="56" t="str">
        <f aca="false">IF(A130="","",IF(I130&gt;I129,ROUND(M129*計算過程!$B$55,0),0))</f>
        <v/>
      </c>
      <c r="L130" s="56" t="str">
        <f aca="false">IF(A130="","",J130-K130)</f>
        <v/>
      </c>
      <c r="M130" s="56" t="str">
        <f aca="false">IF(A130="","",IF(I130&gt;I129,MAX(0,M129*(1+計算過程!$B$55)-計算過程!$B$56),M129))</f>
        <v/>
      </c>
      <c r="N130" s="56" t="str">
        <f aca="false">IF(A130="","",C130+J130)</f>
        <v/>
      </c>
      <c r="O130" s="56" t="str">
        <f aca="false">IF(A130="","",H130+M130)</f>
        <v/>
      </c>
    </row>
    <row r="131" customFormat="false" ht="15" hidden="false" customHeight="false" outlineLevel="0" collapsed="false">
      <c r="A131" s="55" t="str">
        <f aca="false">IF(ROWS($A$8:A131)&lt;=計算過程!$B$51,ROWS($A$8:A131),"")</f>
        <v/>
      </c>
      <c r="B131" s="57" t="str">
        <f aca="false">IF(A131="","",EDATE(計算過程!$B$71,A131-1))</f>
        <v/>
      </c>
      <c r="C131" s="56" t="str">
        <f aca="false">IF(A131="","",計算過程!$B$54)</f>
        <v/>
      </c>
      <c r="D131" s="56" t="str">
        <f aca="false">IF(A131="","",ROUND(F130*計算過程!$B$24/12+G130*計算過程!$B$25/12,0))</f>
        <v/>
      </c>
      <c r="E131" s="56" t="str">
        <f aca="false">IF(A131="","",C131-D131)</f>
        <v/>
      </c>
      <c r="F131" s="56" t="str">
        <f aca="false">IF(A131="","",MAX(0,F130*(1+計算過程!$B$24/12)-計算過程!$B$52))</f>
        <v/>
      </c>
      <c r="G131" s="56" t="str">
        <f aca="false">IF(A131="","",MAX(0,G130*(1+計算過程!$B$25/12)-計算過程!$B$53))</f>
        <v/>
      </c>
      <c r="H131" s="56" t="str">
        <f aca="false">IF(A131="","",F131+G131)</f>
        <v/>
      </c>
      <c r="I131" s="55" t="str">
        <f aca="false">IF(A131="","",IF(AND(OR(MONTH(B131)=6,MONTH(B131)=12),I130&lt;計算過程!$B$50),I130+1,I130))</f>
        <v/>
      </c>
      <c r="J131" s="56" t="str">
        <f aca="false">IF(A131="","",IF(I131&gt;I130,計算過程!$B$57,0))</f>
        <v/>
      </c>
      <c r="K131" s="56" t="str">
        <f aca="false">IF(A131="","",IF(I131&gt;I130,ROUND(M130*計算過程!$B$55,0),0))</f>
        <v/>
      </c>
      <c r="L131" s="56" t="str">
        <f aca="false">IF(A131="","",J131-K131)</f>
        <v/>
      </c>
      <c r="M131" s="56" t="str">
        <f aca="false">IF(A131="","",IF(I131&gt;I130,MAX(0,M130*(1+計算過程!$B$55)-計算過程!$B$56),M130))</f>
        <v/>
      </c>
      <c r="N131" s="56" t="str">
        <f aca="false">IF(A131="","",C131+J131)</f>
        <v/>
      </c>
      <c r="O131" s="56" t="str">
        <f aca="false">IF(A131="","",H131+M131)</f>
        <v/>
      </c>
    </row>
    <row r="132" customFormat="false" ht="15" hidden="false" customHeight="false" outlineLevel="0" collapsed="false">
      <c r="A132" s="55" t="str">
        <f aca="false">IF(ROWS($A$8:A132)&lt;=計算過程!$B$51,ROWS($A$8:A132),"")</f>
        <v/>
      </c>
      <c r="B132" s="57" t="str">
        <f aca="false">IF(A132="","",EDATE(計算過程!$B$71,A132-1))</f>
        <v/>
      </c>
      <c r="C132" s="56" t="str">
        <f aca="false">IF(A132="","",計算過程!$B$54)</f>
        <v/>
      </c>
      <c r="D132" s="56" t="str">
        <f aca="false">IF(A132="","",ROUND(F131*計算過程!$B$24/12+G131*計算過程!$B$25/12,0))</f>
        <v/>
      </c>
      <c r="E132" s="56" t="str">
        <f aca="false">IF(A132="","",C132-D132)</f>
        <v/>
      </c>
      <c r="F132" s="56" t="str">
        <f aca="false">IF(A132="","",MAX(0,F131*(1+計算過程!$B$24/12)-計算過程!$B$52))</f>
        <v/>
      </c>
      <c r="G132" s="56" t="str">
        <f aca="false">IF(A132="","",MAX(0,G131*(1+計算過程!$B$25/12)-計算過程!$B$53))</f>
        <v/>
      </c>
      <c r="H132" s="56" t="str">
        <f aca="false">IF(A132="","",F132+G132)</f>
        <v/>
      </c>
      <c r="I132" s="55" t="str">
        <f aca="false">IF(A132="","",IF(AND(OR(MONTH(B132)=6,MONTH(B132)=12),I131&lt;計算過程!$B$50),I131+1,I131))</f>
        <v/>
      </c>
      <c r="J132" s="56" t="str">
        <f aca="false">IF(A132="","",IF(I132&gt;I131,計算過程!$B$57,0))</f>
        <v/>
      </c>
      <c r="K132" s="56" t="str">
        <f aca="false">IF(A132="","",IF(I132&gt;I131,ROUND(M131*計算過程!$B$55,0),0))</f>
        <v/>
      </c>
      <c r="L132" s="56" t="str">
        <f aca="false">IF(A132="","",J132-K132)</f>
        <v/>
      </c>
      <c r="M132" s="56" t="str">
        <f aca="false">IF(A132="","",IF(I132&gt;I131,MAX(0,M131*(1+計算過程!$B$55)-計算過程!$B$56),M131))</f>
        <v/>
      </c>
      <c r="N132" s="56" t="str">
        <f aca="false">IF(A132="","",C132+J132)</f>
        <v/>
      </c>
      <c r="O132" s="56" t="str">
        <f aca="false">IF(A132="","",H132+M132)</f>
        <v/>
      </c>
    </row>
    <row r="133" customFormat="false" ht="15" hidden="false" customHeight="false" outlineLevel="0" collapsed="false">
      <c r="A133" s="55" t="str">
        <f aca="false">IF(ROWS($A$8:A133)&lt;=計算過程!$B$51,ROWS($A$8:A133),"")</f>
        <v/>
      </c>
      <c r="B133" s="57" t="str">
        <f aca="false">IF(A133="","",EDATE(計算過程!$B$71,A133-1))</f>
        <v/>
      </c>
      <c r="C133" s="56" t="str">
        <f aca="false">IF(A133="","",計算過程!$B$54)</f>
        <v/>
      </c>
      <c r="D133" s="56" t="str">
        <f aca="false">IF(A133="","",ROUND(F132*計算過程!$B$24/12+G132*計算過程!$B$25/12,0))</f>
        <v/>
      </c>
      <c r="E133" s="56" t="str">
        <f aca="false">IF(A133="","",C133-D133)</f>
        <v/>
      </c>
      <c r="F133" s="56" t="str">
        <f aca="false">IF(A133="","",MAX(0,F132*(1+計算過程!$B$24/12)-計算過程!$B$52))</f>
        <v/>
      </c>
      <c r="G133" s="56" t="str">
        <f aca="false">IF(A133="","",MAX(0,G132*(1+計算過程!$B$25/12)-計算過程!$B$53))</f>
        <v/>
      </c>
      <c r="H133" s="56" t="str">
        <f aca="false">IF(A133="","",F133+G133)</f>
        <v/>
      </c>
      <c r="I133" s="55" t="str">
        <f aca="false">IF(A133="","",IF(AND(OR(MONTH(B133)=6,MONTH(B133)=12),I132&lt;計算過程!$B$50),I132+1,I132))</f>
        <v/>
      </c>
      <c r="J133" s="56" t="str">
        <f aca="false">IF(A133="","",IF(I133&gt;I132,計算過程!$B$57,0))</f>
        <v/>
      </c>
      <c r="K133" s="56" t="str">
        <f aca="false">IF(A133="","",IF(I133&gt;I132,ROUND(M132*計算過程!$B$55,0),0))</f>
        <v/>
      </c>
      <c r="L133" s="56" t="str">
        <f aca="false">IF(A133="","",J133-K133)</f>
        <v/>
      </c>
      <c r="M133" s="56" t="str">
        <f aca="false">IF(A133="","",IF(I133&gt;I132,MAX(0,M132*(1+計算過程!$B$55)-計算過程!$B$56),M132))</f>
        <v/>
      </c>
      <c r="N133" s="56" t="str">
        <f aca="false">IF(A133="","",C133+J133)</f>
        <v/>
      </c>
      <c r="O133" s="56" t="str">
        <f aca="false">IF(A133="","",H133+M133)</f>
        <v/>
      </c>
    </row>
    <row r="134" customFormat="false" ht="15" hidden="false" customHeight="false" outlineLevel="0" collapsed="false">
      <c r="A134" s="55" t="str">
        <f aca="false">IF(ROWS($A$8:A134)&lt;=計算過程!$B$51,ROWS($A$8:A134),"")</f>
        <v/>
      </c>
      <c r="B134" s="57" t="str">
        <f aca="false">IF(A134="","",EDATE(計算過程!$B$71,A134-1))</f>
        <v/>
      </c>
      <c r="C134" s="56" t="str">
        <f aca="false">IF(A134="","",計算過程!$B$54)</f>
        <v/>
      </c>
      <c r="D134" s="56" t="str">
        <f aca="false">IF(A134="","",ROUND(F133*計算過程!$B$24/12+G133*計算過程!$B$25/12,0))</f>
        <v/>
      </c>
      <c r="E134" s="56" t="str">
        <f aca="false">IF(A134="","",C134-D134)</f>
        <v/>
      </c>
      <c r="F134" s="56" t="str">
        <f aca="false">IF(A134="","",MAX(0,F133*(1+計算過程!$B$24/12)-計算過程!$B$52))</f>
        <v/>
      </c>
      <c r="G134" s="56" t="str">
        <f aca="false">IF(A134="","",MAX(0,G133*(1+計算過程!$B$25/12)-計算過程!$B$53))</f>
        <v/>
      </c>
      <c r="H134" s="56" t="str">
        <f aca="false">IF(A134="","",F134+G134)</f>
        <v/>
      </c>
      <c r="I134" s="55" t="str">
        <f aca="false">IF(A134="","",IF(AND(OR(MONTH(B134)=6,MONTH(B134)=12),I133&lt;計算過程!$B$50),I133+1,I133))</f>
        <v/>
      </c>
      <c r="J134" s="56" t="str">
        <f aca="false">IF(A134="","",IF(I134&gt;I133,計算過程!$B$57,0))</f>
        <v/>
      </c>
      <c r="K134" s="56" t="str">
        <f aca="false">IF(A134="","",IF(I134&gt;I133,ROUND(M133*計算過程!$B$55,0),0))</f>
        <v/>
      </c>
      <c r="L134" s="56" t="str">
        <f aca="false">IF(A134="","",J134-K134)</f>
        <v/>
      </c>
      <c r="M134" s="56" t="str">
        <f aca="false">IF(A134="","",IF(I134&gt;I133,MAX(0,M133*(1+計算過程!$B$55)-計算過程!$B$56),M133))</f>
        <v/>
      </c>
      <c r="N134" s="56" t="str">
        <f aca="false">IF(A134="","",C134+J134)</f>
        <v/>
      </c>
      <c r="O134" s="56" t="str">
        <f aca="false">IF(A134="","",H134+M134)</f>
        <v/>
      </c>
    </row>
    <row r="135" customFormat="false" ht="15" hidden="false" customHeight="false" outlineLevel="0" collapsed="false">
      <c r="A135" s="55" t="str">
        <f aca="false">IF(ROWS($A$8:A135)&lt;=計算過程!$B$51,ROWS($A$8:A135),"")</f>
        <v/>
      </c>
      <c r="B135" s="57" t="str">
        <f aca="false">IF(A135="","",EDATE(計算過程!$B$71,A135-1))</f>
        <v/>
      </c>
      <c r="C135" s="56" t="str">
        <f aca="false">IF(A135="","",計算過程!$B$54)</f>
        <v/>
      </c>
      <c r="D135" s="56" t="str">
        <f aca="false">IF(A135="","",ROUND(F134*計算過程!$B$24/12+G134*計算過程!$B$25/12,0))</f>
        <v/>
      </c>
      <c r="E135" s="56" t="str">
        <f aca="false">IF(A135="","",C135-D135)</f>
        <v/>
      </c>
      <c r="F135" s="56" t="str">
        <f aca="false">IF(A135="","",MAX(0,F134*(1+計算過程!$B$24/12)-計算過程!$B$52))</f>
        <v/>
      </c>
      <c r="G135" s="56" t="str">
        <f aca="false">IF(A135="","",MAX(0,G134*(1+計算過程!$B$25/12)-計算過程!$B$53))</f>
        <v/>
      </c>
      <c r="H135" s="56" t="str">
        <f aca="false">IF(A135="","",F135+G135)</f>
        <v/>
      </c>
      <c r="I135" s="55" t="str">
        <f aca="false">IF(A135="","",IF(AND(OR(MONTH(B135)=6,MONTH(B135)=12),I134&lt;計算過程!$B$50),I134+1,I134))</f>
        <v/>
      </c>
      <c r="J135" s="56" t="str">
        <f aca="false">IF(A135="","",IF(I135&gt;I134,計算過程!$B$57,0))</f>
        <v/>
      </c>
      <c r="K135" s="56" t="str">
        <f aca="false">IF(A135="","",IF(I135&gt;I134,ROUND(M134*計算過程!$B$55,0),0))</f>
        <v/>
      </c>
      <c r="L135" s="56" t="str">
        <f aca="false">IF(A135="","",J135-K135)</f>
        <v/>
      </c>
      <c r="M135" s="56" t="str">
        <f aca="false">IF(A135="","",IF(I135&gt;I134,MAX(0,M134*(1+計算過程!$B$55)-計算過程!$B$56),M134))</f>
        <v/>
      </c>
      <c r="N135" s="56" t="str">
        <f aca="false">IF(A135="","",C135+J135)</f>
        <v/>
      </c>
      <c r="O135" s="56" t="str">
        <f aca="false">IF(A135="","",H135+M135)</f>
        <v/>
      </c>
    </row>
    <row r="136" customFormat="false" ht="15" hidden="false" customHeight="false" outlineLevel="0" collapsed="false">
      <c r="A136" s="55" t="str">
        <f aca="false">IF(ROWS($A$8:A136)&lt;=計算過程!$B$51,ROWS($A$8:A136),"")</f>
        <v/>
      </c>
      <c r="B136" s="57" t="str">
        <f aca="false">IF(A136="","",EDATE(計算過程!$B$71,A136-1))</f>
        <v/>
      </c>
      <c r="C136" s="56" t="str">
        <f aca="false">IF(A136="","",計算過程!$B$54)</f>
        <v/>
      </c>
      <c r="D136" s="56" t="str">
        <f aca="false">IF(A136="","",ROUND(F135*計算過程!$B$24/12+G135*計算過程!$B$25/12,0))</f>
        <v/>
      </c>
      <c r="E136" s="56" t="str">
        <f aca="false">IF(A136="","",C136-D136)</f>
        <v/>
      </c>
      <c r="F136" s="56" t="str">
        <f aca="false">IF(A136="","",MAX(0,F135*(1+計算過程!$B$24/12)-計算過程!$B$52))</f>
        <v/>
      </c>
      <c r="G136" s="56" t="str">
        <f aca="false">IF(A136="","",MAX(0,G135*(1+計算過程!$B$25/12)-計算過程!$B$53))</f>
        <v/>
      </c>
      <c r="H136" s="56" t="str">
        <f aca="false">IF(A136="","",F136+G136)</f>
        <v/>
      </c>
      <c r="I136" s="55" t="str">
        <f aca="false">IF(A136="","",IF(AND(OR(MONTH(B136)=6,MONTH(B136)=12),I135&lt;計算過程!$B$50),I135+1,I135))</f>
        <v/>
      </c>
      <c r="J136" s="56" t="str">
        <f aca="false">IF(A136="","",IF(I136&gt;I135,計算過程!$B$57,0))</f>
        <v/>
      </c>
      <c r="K136" s="56" t="str">
        <f aca="false">IF(A136="","",IF(I136&gt;I135,ROUND(M135*計算過程!$B$55,0),0))</f>
        <v/>
      </c>
      <c r="L136" s="56" t="str">
        <f aca="false">IF(A136="","",J136-K136)</f>
        <v/>
      </c>
      <c r="M136" s="56" t="str">
        <f aca="false">IF(A136="","",IF(I136&gt;I135,MAX(0,M135*(1+計算過程!$B$55)-計算過程!$B$56),M135))</f>
        <v/>
      </c>
      <c r="N136" s="56" t="str">
        <f aca="false">IF(A136="","",C136+J136)</f>
        <v/>
      </c>
      <c r="O136" s="56" t="str">
        <f aca="false">IF(A136="","",H136+M136)</f>
        <v/>
      </c>
    </row>
    <row r="137" customFormat="false" ht="15" hidden="false" customHeight="false" outlineLevel="0" collapsed="false">
      <c r="A137" s="55" t="str">
        <f aca="false">IF(ROWS($A$8:A137)&lt;=計算過程!$B$51,ROWS($A$8:A137),"")</f>
        <v/>
      </c>
      <c r="B137" s="57" t="str">
        <f aca="false">IF(A137="","",EDATE(計算過程!$B$71,A137-1))</f>
        <v/>
      </c>
      <c r="C137" s="56" t="str">
        <f aca="false">IF(A137="","",計算過程!$B$54)</f>
        <v/>
      </c>
      <c r="D137" s="56" t="str">
        <f aca="false">IF(A137="","",ROUND(F136*計算過程!$B$24/12+G136*計算過程!$B$25/12,0))</f>
        <v/>
      </c>
      <c r="E137" s="56" t="str">
        <f aca="false">IF(A137="","",C137-D137)</f>
        <v/>
      </c>
      <c r="F137" s="56" t="str">
        <f aca="false">IF(A137="","",MAX(0,F136*(1+計算過程!$B$24/12)-計算過程!$B$52))</f>
        <v/>
      </c>
      <c r="G137" s="56" t="str">
        <f aca="false">IF(A137="","",MAX(0,G136*(1+計算過程!$B$25/12)-計算過程!$B$53))</f>
        <v/>
      </c>
      <c r="H137" s="56" t="str">
        <f aca="false">IF(A137="","",F137+G137)</f>
        <v/>
      </c>
      <c r="I137" s="55" t="str">
        <f aca="false">IF(A137="","",IF(AND(OR(MONTH(B137)=6,MONTH(B137)=12),I136&lt;計算過程!$B$50),I136+1,I136))</f>
        <v/>
      </c>
      <c r="J137" s="56" t="str">
        <f aca="false">IF(A137="","",IF(I137&gt;I136,計算過程!$B$57,0))</f>
        <v/>
      </c>
      <c r="K137" s="56" t="str">
        <f aca="false">IF(A137="","",IF(I137&gt;I136,ROUND(M136*計算過程!$B$55,0),0))</f>
        <v/>
      </c>
      <c r="L137" s="56" t="str">
        <f aca="false">IF(A137="","",J137-K137)</f>
        <v/>
      </c>
      <c r="M137" s="56" t="str">
        <f aca="false">IF(A137="","",IF(I137&gt;I136,MAX(0,M136*(1+計算過程!$B$55)-計算過程!$B$56),M136))</f>
        <v/>
      </c>
      <c r="N137" s="56" t="str">
        <f aca="false">IF(A137="","",C137+J137)</f>
        <v/>
      </c>
      <c r="O137" s="56" t="str">
        <f aca="false">IF(A137="","",H137+M137)</f>
        <v/>
      </c>
    </row>
    <row r="138" customFormat="false" ht="15" hidden="false" customHeight="false" outlineLevel="0" collapsed="false">
      <c r="A138" s="55" t="str">
        <f aca="false">IF(ROWS($A$8:A138)&lt;=計算過程!$B$51,ROWS($A$8:A138),"")</f>
        <v/>
      </c>
      <c r="B138" s="57" t="str">
        <f aca="false">IF(A138="","",EDATE(計算過程!$B$71,A138-1))</f>
        <v/>
      </c>
      <c r="C138" s="56" t="str">
        <f aca="false">IF(A138="","",計算過程!$B$54)</f>
        <v/>
      </c>
      <c r="D138" s="56" t="str">
        <f aca="false">IF(A138="","",ROUND(F137*計算過程!$B$24/12+G137*計算過程!$B$25/12,0))</f>
        <v/>
      </c>
      <c r="E138" s="56" t="str">
        <f aca="false">IF(A138="","",C138-D138)</f>
        <v/>
      </c>
      <c r="F138" s="56" t="str">
        <f aca="false">IF(A138="","",MAX(0,F137*(1+計算過程!$B$24/12)-計算過程!$B$52))</f>
        <v/>
      </c>
      <c r="G138" s="56" t="str">
        <f aca="false">IF(A138="","",MAX(0,G137*(1+計算過程!$B$25/12)-計算過程!$B$53))</f>
        <v/>
      </c>
      <c r="H138" s="56" t="str">
        <f aca="false">IF(A138="","",F138+G138)</f>
        <v/>
      </c>
      <c r="I138" s="55" t="str">
        <f aca="false">IF(A138="","",IF(AND(OR(MONTH(B138)=6,MONTH(B138)=12),I137&lt;計算過程!$B$50),I137+1,I137))</f>
        <v/>
      </c>
      <c r="J138" s="56" t="str">
        <f aca="false">IF(A138="","",IF(I138&gt;I137,計算過程!$B$57,0))</f>
        <v/>
      </c>
      <c r="K138" s="56" t="str">
        <f aca="false">IF(A138="","",IF(I138&gt;I137,ROUND(M137*計算過程!$B$55,0),0))</f>
        <v/>
      </c>
      <c r="L138" s="56" t="str">
        <f aca="false">IF(A138="","",J138-K138)</f>
        <v/>
      </c>
      <c r="M138" s="56" t="str">
        <f aca="false">IF(A138="","",IF(I138&gt;I137,MAX(0,M137*(1+計算過程!$B$55)-計算過程!$B$56),M137))</f>
        <v/>
      </c>
      <c r="N138" s="56" t="str">
        <f aca="false">IF(A138="","",C138+J138)</f>
        <v/>
      </c>
      <c r="O138" s="56" t="str">
        <f aca="false">IF(A138="","",H138+M138)</f>
        <v/>
      </c>
    </row>
    <row r="139" customFormat="false" ht="15" hidden="false" customHeight="false" outlineLevel="0" collapsed="false">
      <c r="A139" s="55" t="str">
        <f aca="false">IF(ROWS($A$8:A139)&lt;=計算過程!$B$51,ROWS($A$8:A139),"")</f>
        <v/>
      </c>
      <c r="B139" s="57" t="str">
        <f aca="false">IF(A139="","",EDATE(計算過程!$B$71,A139-1))</f>
        <v/>
      </c>
      <c r="C139" s="56" t="str">
        <f aca="false">IF(A139="","",計算過程!$B$54)</f>
        <v/>
      </c>
      <c r="D139" s="56" t="str">
        <f aca="false">IF(A139="","",ROUND(F138*計算過程!$B$24/12+G138*計算過程!$B$25/12,0))</f>
        <v/>
      </c>
      <c r="E139" s="56" t="str">
        <f aca="false">IF(A139="","",C139-D139)</f>
        <v/>
      </c>
      <c r="F139" s="56" t="str">
        <f aca="false">IF(A139="","",MAX(0,F138*(1+計算過程!$B$24/12)-計算過程!$B$52))</f>
        <v/>
      </c>
      <c r="G139" s="56" t="str">
        <f aca="false">IF(A139="","",MAX(0,G138*(1+計算過程!$B$25/12)-計算過程!$B$53))</f>
        <v/>
      </c>
      <c r="H139" s="56" t="str">
        <f aca="false">IF(A139="","",F139+G139)</f>
        <v/>
      </c>
      <c r="I139" s="55" t="str">
        <f aca="false">IF(A139="","",IF(AND(OR(MONTH(B139)=6,MONTH(B139)=12),I138&lt;計算過程!$B$50),I138+1,I138))</f>
        <v/>
      </c>
      <c r="J139" s="56" t="str">
        <f aca="false">IF(A139="","",IF(I139&gt;I138,計算過程!$B$57,0))</f>
        <v/>
      </c>
      <c r="K139" s="56" t="str">
        <f aca="false">IF(A139="","",IF(I139&gt;I138,ROUND(M138*計算過程!$B$55,0),0))</f>
        <v/>
      </c>
      <c r="L139" s="56" t="str">
        <f aca="false">IF(A139="","",J139-K139)</f>
        <v/>
      </c>
      <c r="M139" s="56" t="str">
        <f aca="false">IF(A139="","",IF(I139&gt;I138,MAX(0,M138*(1+計算過程!$B$55)-計算過程!$B$56),M138))</f>
        <v/>
      </c>
      <c r="N139" s="56" t="str">
        <f aca="false">IF(A139="","",C139+J139)</f>
        <v/>
      </c>
      <c r="O139" s="56" t="str">
        <f aca="false">IF(A139="","",H139+M139)</f>
        <v/>
      </c>
    </row>
    <row r="140" customFormat="false" ht="15" hidden="false" customHeight="false" outlineLevel="0" collapsed="false">
      <c r="A140" s="55" t="str">
        <f aca="false">IF(ROWS($A$8:A140)&lt;=計算過程!$B$51,ROWS($A$8:A140),"")</f>
        <v/>
      </c>
      <c r="B140" s="57" t="str">
        <f aca="false">IF(A140="","",EDATE(計算過程!$B$71,A140-1))</f>
        <v/>
      </c>
      <c r="C140" s="56" t="str">
        <f aca="false">IF(A140="","",計算過程!$B$54)</f>
        <v/>
      </c>
      <c r="D140" s="56" t="str">
        <f aca="false">IF(A140="","",ROUND(F139*計算過程!$B$24/12+G139*計算過程!$B$25/12,0))</f>
        <v/>
      </c>
      <c r="E140" s="56" t="str">
        <f aca="false">IF(A140="","",C140-D140)</f>
        <v/>
      </c>
      <c r="F140" s="56" t="str">
        <f aca="false">IF(A140="","",MAX(0,F139*(1+計算過程!$B$24/12)-計算過程!$B$52))</f>
        <v/>
      </c>
      <c r="G140" s="56" t="str">
        <f aca="false">IF(A140="","",MAX(0,G139*(1+計算過程!$B$25/12)-計算過程!$B$53))</f>
        <v/>
      </c>
      <c r="H140" s="56" t="str">
        <f aca="false">IF(A140="","",F140+G140)</f>
        <v/>
      </c>
      <c r="I140" s="55" t="str">
        <f aca="false">IF(A140="","",IF(AND(OR(MONTH(B140)=6,MONTH(B140)=12),I139&lt;計算過程!$B$50),I139+1,I139))</f>
        <v/>
      </c>
      <c r="J140" s="56" t="str">
        <f aca="false">IF(A140="","",IF(I140&gt;I139,計算過程!$B$57,0))</f>
        <v/>
      </c>
      <c r="K140" s="56" t="str">
        <f aca="false">IF(A140="","",IF(I140&gt;I139,ROUND(M139*計算過程!$B$55,0),0))</f>
        <v/>
      </c>
      <c r="L140" s="56" t="str">
        <f aca="false">IF(A140="","",J140-K140)</f>
        <v/>
      </c>
      <c r="M140" s="56" t="str">
        <f aca="false">IF(A140="","",IF(I140&gt;I139,MAX(0,M139*(1+計算過程!$B$55)-計算過程!$B$56),M139))</f>
        <v/>
      </c>
      <c r="N140" s="56" t="str">
        <f aca="false">IF(A140="","",C140+J140)</f>
        <v/>
      </c>
      <c r="O140" s="56" t="str">
        <f aca="false">IF(A140="","",H140+M140)</f>
        <v/>
      </c>
    </row>
    <row r="141" customFormat="false" ht="15" hidden="false" customHeight="false" outlineLevel="0" collapsed="false">
      <c r="A141" s="55" t="str">
        <f aca="false">IF(ROWS($A$8:A141)&lt;=計算過程!$B$51,ROWS($A$8:A141),"")</f>
        <v/>
      </c>
      <c r="B141" s="57" t="str">
        <f aca="false">IF(A141="","",EDATE(計算過程!$B$71,A141-1))</f>
        <v/>
      </c>
      <c r="C141" s="56" t="str">
        <f aca="false">IF(A141="","",計算過程!$B$54)</f>
        <v/>
      </c>
      <c r="D141" s="56" t="str">
        <f aca="false">IF(A141="","",ROUND(F140*計算過程!$B$24/12+G140*計算過程!$B$25/12,0))</f>
        <v/>
      </c>
      <c r="E141" s="56" t="str">
        <f aca="false">IF(A141="","",C141-D141)</f>
        <v/>
      </c>
      <c r="F141" s="56" t="str">
        <f aca="false">IF(A141="","",MAX(0,F140*(1+計算過程!$B$24/12)-計算過程!$B$52))</f>
        <v/>
      </c>
      <c r="G141" s="56" t="str">
        <f aca="false">IF(A141="","",MAX(0,G140*(1+計算過程!$B$25/12)-計算過程!$B$53))</f>
        <v/>
      </c>
      <c r="H141" s="56" t="str">
        <f aca="false">IF(A141="","",F141+G141)</f>
        <v/>
      </c>
      <c r="I141" s="55" t="str">
        <f aca="false">IF(A141="","",IF(AND(OR(MONTH(B141)=6,MONTH(B141)=12),I140&lt;計算過程!$B$50),I140+1,I140))</f>
        <v/>
      </c>
      <c r="J141" s="56" t="str">
        <f aca="false">IF(A141="","",IF(I141&gt;I140,計算過程!$B$57,0))</f>
        <v/>
      </c>
      <c r="K141" s="56" t="str">
        <f aca="false">IF(A141="","",IF(I141&gt;I140,ROUND(M140*計算過程!$B$55,0),0))</f>
        <v/>
      </c>
      <c r="L141" s="56" t="str">
        <f aca="false">IF(A141="","",J141-K141)</f>
        <v/>
      </c>
      <c r="M141" s="56" t="str">
        <f aca="false">IF(A141="","",IF(I141&gt;I140,MAX(0,M140*(1+計算過程!$B$55)-計算過程!$B$56),M140))</f>
        <v/>
      </c>
      <c r="N141" s="56" t="str">
        <f aca="false">IF(A141="","",C141+J141)</f>
        <v/>
      </c>
      <c r="O141" s="56" t="str">
        <f aca="false">IF(A141="","",H141+M141)</f>
        <v/>
      </c>
    </row>
    <row r="142" customFormat="false" ht="15" hidden="false" customHeight="false" outlineLevel="0" collapsed="false">
      <c r="A142" s="55" t="str">
        <f aca="false">IF(ROWS($A$8:A142)&lt;=計算過程!$B$51,ROWS($A$8:A142),"")</f>
        <v/>
      </c>
      <c r="B142" s="57" t="str">
        <f aca="false">IF(A142="","",EDATE(計算過程!$B$71,A142-1))</f>
        <v/>
      </c>
      <c r="C142" s="56" t="str">
        <f aca="false">IF(A142="","",計算過程!$B$54)</f>
        <v/>
      </c>
      <c r="D142" s="56" t="str">
        <f aca="false">IF(A142="","",ROUND(F141*計算過程!$B$24/12+G141*計算過程!$B$25/12,0))</f>
        <v/>
      </c>
      <c r="E142" s="56" t="str">
        <f aca="false">IF(A142="","",C142-D142)</f>
        <v/>
      </c>
      <c r="F142" s="56" t="str">
        <f aca="false">IF(A142="","",MAX(0,F141*(1+計算過程!$B$24/12)-計算過程!$B$52))</f>
        <v/>
      </c>
      <c r="G142" s="56" t="str">
        <f aca="false">IF(A142="","",MAX(0,G141*(1+計算過程!$B$25/12)-計算過程!$B$53))</f>
        <v/>
      </c>
      <c r="H142" s="56" t="str">
        <f aca="false">IF(A142="","",F142+G142)</f>
        <v/>
      </c>
      <c r="I142" s="55" t="str">
        <f aca="false">IF(A142="","",IF(AND(OR(MONTH(B142)=6,MONTH(B142)=12),I141&lt;計算過程!$B$50),I141+1,I141))</f>
        <v/>
      </c>
      <c r="J142" s="56" t="str">
        <f aca="false">IF(A142="","",IF(I142&gt;I141,計算過程!$B$57,0))</f>
        <v/>
      </c>
      <c r="K142" s="56" t="str">
        <f aca="false">IF(A142="","",IF(I142&gt;I141,ROUND(M141*計算過程!$B$55,0),0))</f>
        <v/>
      </c>
      <c r="L142" s="56" t="str">
        <f aca="false">IF(A142="","",J142-K142)</f>
        <v/>
      </c>
      <c r="M142" s="56" t="str">
        <f aca="false">IF(A142="","",IF(I142&gt;I141,MAX(0,M141*(1+計算過程!$B$55)-計算過程!$B$56),M141))</f>
        <v/>
      </c>
      <c r="N142" s="56" t="str">
        <f aca="false">IF(A142="","",C142+J142)</f>
        <v/>
      </c>
      <c r="O142" s="56" t="str">
        <f aca="false">IF(A142="","",H142+M142)</f>
        <v/>
      </c>
    </row>
    <row r="143" customFormat="false" ht="15" hidden="false" customHeight="false" outlineLevel="0" collapsed="false">
      <c r="A143" s="55" t="str">
        <f aca="false">IF(ROWS($A$8:A143)&lt;=計算過程!$B$51,ROWS($A$8:A143),"")</f>
        <v/>
      </c>
      <c r="B143" s="57" t="str">
        <f aca="false">IF(A143="","",EDATE(計算過程!$B$71,A143-1))</f>
        <v/>
      </c>
      <c r="C143" s="56" t="str">
        <f aca="false">IF(A143="","",計算過程!$B$54)</f>
        <v/>
      </c>
      <c r="D143" s="56" t="str">
        <f aca="false">IF(A143="","",ROUND(F142*計算過程!$B$24/12+G142*計算過程!$B$25/12,0))</f>
        <v/>
      </c>
      <c r="E143" s="56" t="str">
        <f aca="false">IF(A143="","",C143-D143)</f>
        <v/>
      </c>
      <c r="F143" s="56" t="str">
        <f aca="false">IF(A143="","",MAX(0,F142*(1+計算過程!$B$24/12)-計算過程!$B$52))</f>
        <v/>
      </c>
      <c r="G143" s="56" t="str">
        <f aca="false">IF(A143="","",MAX(0,G142*(1+計算過程!$B$25/12)-計算過程!$B$53))</f>
        <v/>
      </c>
      <c r="H143" s="56" t="str">
        <f aca="false">IF(A143="","",F143+G143)</f>
        <v/>
      </c>
      <c r="I143" s="55" t="str">
        <f aca="false">IF(A143="","",IF(AND(OR(MONTH(B143)=6,MONTH(B143)=12),I142&lt;計算過程!$B$50),I142+1,I142))</f>
        <v/>
      </c>
      <c r="J143" s="56" t="str">
        <f aca="false">IF(A143="","",IF(I143&gt;I142,計算過程!$B$57,0))</f>
        <v/>
      </c>
      <c r="K143" s="56" t="str">
        <f aca="false">IF(A143="","",IF(I143&gt;I142,ROUND(M142*計算過程!$B$55,0),0))</f>
        <v/>
      </c>
      <c r="L143" s="56" t="str">
        <f aca="false">IF(A143="","",J143-K143)</f>
        <v/>
      </c>
      <c r="M143" s="56" t="str">
        <f aca="false">IF(A143="","",IF(I143&gt;I142,MAX(0,M142*(1+計算過程!$B$55)-計算過程!$B$56),M142))</f>
        <v/>
      </c>
      <c r="N143" s="56" t="str">
        <f aca="false">IF(A143="","",C143+J143)</f>
        <v/>
      </c>
      <c r="O143" s="56" t="str">
        <f aca="false">IF(A143="","",H143+M143)</f>
        <v/>
      </c>
    </row>
    <row r="144" customFormat="false" ht="15" hidden="false" customHeight="false" outlineLevel="0" collapsed="false">
      <c r="A144" s="55" t="str">
        <f aca="false">IF(ROWS($A$8:A144)&lt;=計算過程!$B$51,ROWS($A$8:A144),"")</f>
        <v/>
      </c>
      <c r="B144" s="57" t="str">
        <f aca="false">IF(A144="","",EDATE(計算過程!$B$71,A144-1))</f>
        <v/>
      </c>
      <c r="C144" s="56" t="str">
        <f aca="false">IF(A144="","",計算過程!$B$54)</f>
        <v/>
      </c>
      <c r="D144" s="56" t="str">
        <f aca="false">IF(A144="","",ROUND(F143*計算過程!$B$24/12+G143*計算過程!$B$25/12,0))</f>
        <v/>
      </c>
      <c r="E144" s="56" t="str">
        <f aca="false">IF(A144="","",C144-D144)</f>
        <v/>
      </c>
      <c r="F144" s="56" t="str">
        <f aca="false">IF(A144="","",MAX(0,F143*(1+計算過程!$B$24/12)-計算過程!$B$52))</f>
        <v/>
      </c>
      <c r="G144" s="56" t="str">
        <f aca="false">IF(A144="","",MAX(0,G143*(1+計算過程!$B$25/12)-計算過程!$B$53))</f>
        <v/>
      </c>
      <c r="H144" s="56" t="str">
        <f aca="false">IF(A144="","",F144+G144)</f>
        <v/>
      </c>
      <c r="I144" s="55" t="str">
        <f aca="false">IF(A144="","",IF(AND(OR(MONTH(B144)=6,MONTH(B144)=12),I143&lt;計算過程!$B$50),I143+1,I143))</f>
        <v/>
      </c>
      <c r="J144" s="56" t="str">
        <f aca="false">IF(A144="","",IF(I144&gt;I143,計算過程!$B$57,0))</f>
        <v/>
      </c>
      <c r="K144" s="56" t="str">
        <f aca="false">IF(A144="","",IF(I144&gt;I143,ROUND(M143*計算過程!$B$55,0),0))</f>
        <v/>
      </c>
      <c r="L144" s="56" t="str">
        <f aca="false">IF(A144="","",J144-K144)</f>
        <v/>
      </c>
      <c r="M144" s="56" t="str">
        <f aca="false">IF(A144="","",IF(I144&gt;I143,MAX(0,M143*(1+計算過程!$B$55)-計算過程!$B$56),M143))</f>
        <v/>
      </c>
      <c r="N144" s="56" t="str">
        <f aca="false">IF(A144="","",C144+J144)</f>
        <v/>
      </c>
      <c r="O144" s="56" t="str">
        <f aca="false">IF(A144="","",H144+M144)</f>
        <v/>
      </c>
    </row>
    <row r="145" customFormat="false" ht="15" hidden="false" customHeight="false" outlineLevel="0" collapsed="false">
      <c r="A145" s="55" t="str">
        <f aca="false">IF(ROWS($A$8:A145)&lt;=計算過程!$B$51,ROWS($A$8:A145),"")</f>
        <v/>
      </c>
      <c r="B145" s="57" t="str">
        <f aca="false">IF(A145="","",EDATE(計算過程!$B$71,A145-1))</f>
        <v/>
      </c>
      <c r="C145" s="56" t="str">
        <f aca="false">IF(A145="","",計算過程!$B$54)</f>
        <v/>
      </c>
      <c r="D145" s="56" t="str">
        <f aca="false">IF(A145="","",ROUND(F144*計算過程!$B$24/12+G144*計算過程!$B$25/12,0))</f>
        <v/>
      </c>
      <c r="E145" s="56" t="str">
        <f aca="false">IF(A145="","",C145-D145)</f>
        <v/>
      </c>
      <c r="F145" s="56" t="str">
        <f aca="false">IF(A145="","",MAX(0,F144*(1+計算過程!$B$24/12)-計算過程!$B$52))</f>
        <v/>
      </c>
      <c r="G145" s="56" t="str">
        <f aca="false">IF(A145="","",MAX(0,G144*(1+計算過程!$B$25/12)-計算過程!$B$53))</f>
        <v/>
      </c>
      <c r="H145" s="56" t="str">
        <f aca="false">IF(A145="","",F145+G145)</f>
        <v/>
      </c>
      <c r="I145" s="55" t="str">
        <f aca="false">IF(A145="","",IF(AND(OR(MONTH(B145)=6,MONTH(B145)=12),I144&lt;計算過程!$B$50),I144+1,I144))</f>
        <v/>
      </c>
      <c r="J145" s="56" t="str">
        <f aca="false">IF(A145="","",IF(I145&gt;I144,計算過程!$B$57,0))</f>
        <v/>
      </c>
      <c r="K145" s="56" t="str">
        <f aca="false">IF(A145="","",IF(I145&gt;I144,ROUND(M144*計算過程!$B$55,0),0))</f>
        <v/>
      </c>
      <c r="L145" s="56" t="str">
        <f aca="false">IF(A145="","",J145-K145)</f>
        <v/>
      </c>
      <c r="M145" s="56" t="str">
        <f aca="false">IF(A145="","",IF(I145&gt;I144,MAX(0,M144*(1+計算過程!$B$55)-計算過程!$B$56),M144))</f>
        <v/>
      </c>
      <c r="N145" s="56" t="str">
        <f aca="false">IF(A145="","",C145+J145)</f>
        <v/>
      </c>
      <c r="O145" s="56" t="str">
        <f aca="false">IF(A145="","",H145+M145)</f>
        <v/>
      </c>
    </row>
    <row r="146" customFormat="false" ht="15" hidden="false" customHeight="false" outlineLevel="0" collapsed="false">
      <c r="A146" s="55" t="str">
        <f aca="false">IF(ROWS($A$8:A146)&lt;=計算過程!$B$51,ROWS($A$8:A146),"")</f>
        <v/>
      </c>
      <c r="B146" s="57" t="str">
        <f aca="false">IF(A146="","",EDATE(計算過程!$B$71,A146-1))</f>
        <v/>
      </c>
      <c r="C146" s="56" t="str">
        <f aca="false">IF(A146="","",計算過程!$B$54)</f>
        <v/>
      </c>
      <c r="D146" s="56" t="str">
        <f aca="false">IF(A146="","",ROUND(F145*計算過程!$B$24/12+G145*計算過程!$B$25/12,0))</f>
        <v/>
      </c>
      <c r="E146" s="56" t="str">
        <f aca="false">IF(A146="","",C146-D146)</f>
        <v/>
      </c>
      <c r="F146" s="56" t="str">
        <f aca="false">IF(A146="","",MAX(0,F145*(1+計算過程!$B$24/12)-計算過程!$B$52))</f>
        <v/>
      </c>
      <c r="G146" s="56" t="str">
        <f aca="false">IF(A146="","",MAX(0,G145*(1+計算過程!$B$25/12)-計算過程!$B$53))</f>
        <v/>
      </c>
      <c r="H146" s="56" t="str">
        <f aca="false">IF(A146="","",F146+G146)</f>
        <v/>
      </c>
      <c r="I146" s="55" t="str">
        <f aca="false">IF(A146="","",IF(AND(OR(MONTH(B146)=6,MONTH(B146)=12),I145&lt;計算過程!$B$50),I145+1,I145))</f>
        <v/>
      </c>
      <c r="J146" s="56" t="str">
        <f aca="false">IF(A146="","",IF(I146&gt;I145,計算過程!$B$57,0))</f>
        <v/>
      </c>
      <c r="K146" s="56" t="str">
        <f aca="false">IF(A146="","",IF(I146&gt;I145,ROUND(M145*計算過程!$B$55,0),0))</f>
        <v/>
      </c>
      <c r="L146" s="56" t="str">
        <f aca="false">IF(A146="","",J146-K146)</f>
        <v/>
      </c>
      <c r="M146" s="56" t="str">
        <f aca="false">IF(A146="","",IF(I146&gt;I145,MAX(0,M145*(1+計算過程!$B$55)-計算過程!$B$56),M145))</f>
        <v/>
      </c>
      <c r="N146" s="56" t="str">
        <f aca="false">IF(A146="","",C146+J146)</f>
        <v/>
      </c>
      <c r="O146" s="56" t="str">
        <f aca="false">IF(A146="","",H146+M146)</f>
        <v/>
      </c>
    </row>
    <row r="147" customFormat="false" ht="15" hidden="false" customHeight="false" outlineLevel="0" collapsed="false">
      <c r="A147" s="55" t="str">
        <f aca="false">IF(ROWS($A$8:A147)&lt;=計算過程!$B$51,ROWS($A$8:A147),"")</f>
        <v/>
      </c>
      <c r="B147" s="57" t="str">
        <f aca="false">IF(A147="","",EDATE(計算過程!$B$71,A147-1))</f>
        <v/>
      </c>
      <c r="C147" s="56" t="str">
        <f aca="false">IF(A147="","",計算過程!$B$54)</f>
        <v/>
      </c>
      <c r="D147" s="56" t="str">
        <f aca="false">IF(A147="","",ROUND(F146*計算過程!$B$24/12+G146*計算過程!$B$25/12,0))</f>
        <v/>
      </c>
      <c r="E147" s="56" t="str">
        <f aca="false">IF(A147="","",C147-D147)</f>
        <v/>
      </c>
      <c r="F147" s="56" t="str">
        <f aca="false">IF(A147="","",MAX(0,F146*(1+計算過程!$B$24/12)-計算過程!$B$52))</f>
        <v/>
      </c>
      <c r="G147" s="56" t="str">
        <f aca="false">IF(A147="","",MAX(0,G146*(1+計算過程!$B$25/12)-計算過程!$B$53))</f>
        <v/>
      </c>
      <c r="H147" s="56" t="str">
        <f aca="false">IF(A147="","",F147+G147)</f>
        <v/>
      </c>
      <c r="I147" s="55" t="str">
        <f aca="false">IF(A147="","",IF(AND(OR(MONTH(B147)=6,MONTH(B147)=12),I146&lt;計算過程!$B$50),I146+1,I146))</f>
        <v/>
      </c>
      <c r="J147" s="56" t="str">
        <f aca="false">IF(A147="","",IF(I147&gt;I146,計算過程!$B$57,0))</f>
        <v/>
      </c>
      <c r="K147" s="56" t="str">
        <f aca="false">IF(A147="","",IF(I147&gt;I146,ROUND(M146*計算過程!$B$55,0),0))</f>
        <v/>
      </c>
      <c r="L147" s="56" t="str">
        <f aca="false">IF(A147="","",J147-K147)</f>
        <v/>
      </c>
      <c r="M147" s="56" t="str">
        <f aca="false">IF(A147="","",IF(I147&gt;I146,MAX(0,M146*(1+計算過程!$B$55)-計算過程!$B$56),M146))</f>
        <v/>
      </c>
      <c r="N147" s="56" t="str">
        <f aca="false">IF(A147="","",C147+J147)</f>
        <v/>
      </c>
      <c r="O147" s="56" t="str">
        <f aca="false">IF(A147="","",H147+M147)</f>
        <v/>
      </c>
    </row>
    <row r="148" customFormat="false" ht="15" hidden="false" customHeight="false" outlineLevel="0" collapsed="false">
      <c r="A148" s="55" t="str">
        <f aca="false">IF(ROWS($A$8:A148)&lt;=計算過程!$B$51,ROWS($A$8:A148),"")</f>
        <v/>
      </c>
      <c r="B148" s="57" t="str">
        <f aca="false">IF(A148="","",EDATE(計算過程!$B$71,A148-1))</f>
        <v/>
      </c>
      <c r="C148" s="56" t="str">
        <f aca="false">IF(A148="","",計算過程!$B$54)</f>
        <v/>
      </c>
      <c r="D148" s="56" t="str">
        <f aca="false">IF(A148="","",ROUND(F147*計算過程!$B$24/12+G147*計算過程!$B$25/12,0))</f>
        <v/>
      </c>
      <c r="E148" s="56" t="str">
        <f aca="false">IF(A148="","",C148-D148)</f>
        <v/>
      </c>
      <c r="F148" s="56" t="str">
        <f aca="false">IF(A148="","",MAX(0,F147*(1+計算過程!$B$24/12)-計算過程!$B$52))</f>
        <v/>
      </c>
      <c r="G148" s="56" t="str">
        <f aca="false">IF(A148="","",MAX(0,G147*(1+計算過程!$B$25/12)-計算過程!$B$53))</f>
        <v/>
      </c>
      <c r="H148" s="56" t="str">
        <f aca="false">IF(A148="","",F148+G148)</f>
        <v/>
      </c>
      <c r="I148" s="55" t="str">
        <f aca="false">IF(A148="","",IF(AND(OR(MONTH(B148)=6,MONTH(B148)=12),I147&lt;計算過程!$B$50),I147+1,I147))</f>
        <v/>
      </c>
      <c r="J148" s="56" t="str">
        <f aca="false">IF(A148="","",IF(I148&gt;I147,計算過程!$B$57,0))</f>
        <v/>
      </c>
      <c r="K148" s="56" t="str">
        <f aca="false">IF(A148="","",IF(I148&gt;I147,ROUND(M147*計算過程!$B$55,0),0))</f>
        <v/>
      </c>
      <c r="L148" s="56" t="str">
        <f aca="false">IF(A148="","",J148-K148)</f>
        <v/>
      </c>
      <c r="M148" s="56" t="str">
        <f aca="false">IF(A148="","",IF(I148&gt;I147,MAX(0,M147*(1+計算過程!$B$55)-計算過程!$B$56),M147))</f>
        <v/>
      </c>
      <c r="N148" s="56" t="str">
        <f aca="false">IF(A148="","",C148+J148)</f>
        <v/>
      </c>
      <c r="O148" s="56" t="str">
        <f aca="false">IF(A148="","",H148+M148)</f>
        <v/>
      </c>
    </row>
    <row r="149" customFormat="false" ht="15" hidden="false" customHeight="false" outlineLevel="0" collapsed="false">
      <c r="A149" s="55" t="str">
        <f aca="false">IF(ROWS($A$8:A149)&lt;=計算過程!$B$51,ROWS($A$8:A149),"")</f>
        <v/>
      </c>
      <c r="B149" s="57" t="str">
        <f aca="false">IF(A149="","",EDATE(計算過程!$B$71,A149-1))</f>
        <v/>
      </c>
      <c r="C149" s="56" t="str">
        <f aca="false">IF(A149="","",計算過程!$B$54)</f>
        <v/>
      </c>
      <c r="D149" s="56" t="str">
        <f aca="false">IF(A149="","",ROUND(F148*計算過程!$B$24/12+G148*計算過程!$B$25/12,0))</f>
        <v/>
      </c>
      <c r="E149" s="56" t="str">
        <f aca="false">IF(A149="","",C149-D149)</f>
        <v/>
      </c>
      <c r="F149" s="56" t="str">
        <f aca="false">IF(A149="","",MAX(0,F148*(1+計算過程!$B$24/12)-計算過程!$B$52))</f>
        <v/>
      </c>
      <c r="G149" s="56" t="str">
        <f aca="false">IF(A149="","",MAX(0,G148*(1+計算過程!$B$25/12)-計算過程!$B$53))</f>
        <v/>
      </c>
      <c r="H149" s="56" t="str">
        <f aca="false">IF(A149="","",F149+G149)</f>
        <v/>
      </c>
      <c r="I149" s="55" t="str">
        <f aca="false">IF(A149="","",IF(AND(OR(MONTH(B149)=6,MONTH(B149)=12),I148&lt;計算過程!$B$50),I148+1,I148))</f>
        <v/>
      </c>
      <c r="J149" s="56" t="str">
        <f aca="false">IF(A149="","",IF(I149&gt;I148,計算過程!$B$57,0))</f>
        <v/>
      </c>
      <c r="K149" s="56" t="str">
        <f aca="false">IF(A149="","",IF(I149&gt;I148,ROUND(M148*計算過程!$B$55,0),0))</f>
        <v/>
      </c>
      <c r="L149" s="56" t="str">
        <f aca="false">IF(A149="","",J149-K149)</f>
        <v/>
      </c>
      <c r="M149" s="56" t="str">
        <f aca="false">IF(A149="","",IF(I149&gt;I148,MAX(0,M148*(1+計算過程!$B$55)-計算過程!$B$56),M148))</f>
        <v/>
      </c>
      <c r="N149" s="56" t="str">
        <f aca="false">IF(A149="","",C149+J149)</f>
        <v/>
      </c>
      <c r="O149" s="56" t="str">
        <f aca="false">IF(A149="","",H149+M149)</f>
        <v/>
      </c>
    </row>
    <row r="150" customFormat="false" ht="15" hidden="false" customHeight="false" outlineLevel="0" collapsed="false">
      <c r="A150" s="55" t="str">
        <f aca="false">IF(ROWS($A$8:A150)&lt;=計算過程!$B$51,ROWS($A$8:A150),"")</f>
        <v/>
      </c>
      <c r="B150" s="57" t="str">
        <f aca="false">IF(A150="","",EDATE(計算過程!$B$71,A150-1))</f>
        <v/>
      </c>
      <c r="C150" s="56" t="str">
        <f aca="false">IF(A150="","",計算過程!$B$54)</f>
        <v/>
      </c>
      <c r="D150" s="56" t="str">
        <f aca="false">IF(A150="","",ROUND(F149*計算過程!$B$24/12+G149*計算過程!$B$25/12,0))</f>
        <v/>
      </c>
      <c r="E150" s="56" t="str">
        <f aca="false">IF(A150="","",C150-D150)</f>
        <v/>
      </c>
      <c r="F150" s="56" t="str">
        <f aca="false">IF(A150="","",MAX(0,F149*(1+計算過程!$B$24/12)-計算過程!$B$52))</f>
        <v/>
      </c>
      <c r="G150" s="56" t="str">
        <f aca="false">IF(A150="","",MAX(0,G149*(1+計算過程!$B$25/12)-計算過程!$B$53))</f>
        <v/>
      </c>
      <c r="H150" s="56" t="str">
        <f aca="false">IF(A150="","",F150+G150)</f>
        <v/>
      </c>
      <c r="I150" s="55" t="str">
        <f aca="false">IF(A150="","",IF(AND(OR(MONTH(B150)=6,MONTH(B150)=12),I149&lt;計算過程!$B$50),I149+1,I149))</f>
        <v/>
      </c>
      <c r="J150" s="56" t="str">
        <f aca="false">IF(A150="","",IF(I150&gt;I149,計算過程!$B$57,0))</f>
        <v/>
      </c>
      <c r="K150" s="56" t="str">
        <f aca="false">IF(A150="","",IF(I150&gt;I149,ROUND(M149*計算過程!$B$55,0),0))</f>
        <v/>
      </c>
      <c r="L150" s="56" t="str">
        <f aca="false">IF(A150="","",J150-K150)</f>
        <v/>
      </c>
      <c r="M150" s="56" t="str">
        <f aca="false">IF(A150="","",IF(I150&gt;I149,MAX(0,M149*(1+計算過程!$B$55)-計算過程!$B$56),M149))</f>
        <v/>
      </c>
      <c r="N150" s="56" t="str">
        <f aca="false">IF(A150="","",C150+J150)</f>
        <v/>
      </c>
      <c r="O150" s="56" t="str">
        <f aca="false">IF(A150="","",H150+M150)</f>
        <v/>
      </c>
    </row>
    <row r="151" customFormat="false" ht="15" hidden="false" customHeight="false" outlineLevel="0" collapsed="false">
      <c r="A151" s="55" t="str">
        <f aca="false">IF(ROWS($A$8:A151)&lt;=計算過程!$B$51,ROWS($A$8:A151),"")</f>
        <v/>
      </c>
      <c r="B151" s="57" t="str">
        <f aca="false">IF(A151="","",EDATE(計算過程!$B$71,A151-1))</f>
        <v/>
      </c>
      <c r="C151" s="56" t="str">
        <f aca="false">IF(A151="","",計算過程!$B$54)</f>
        <v/>
      </c>
      <c r="D151" s="56" t="str">
        <f aca="false">IF(A151="","",ROUND(F150*計算過程!$B$24/12+G150*計算過程!$B$25/12,0))</f>
        <v/>
      </c>
      <c r="E151" s="56" t="str">
        <f aca="false">IF(A151="","",C151-D151)</f>
        <v/>
      </c>
      <c r="F151" s="56" t="str">
        <f aca="false">IF(A151="","",MAX(0,F150*(1+計算過程!$B$24/12)-計算過程!$B$52))</f>
        <v/>
      </c>
      <c r="G151" s="56" t="str">
        <f aca="false">IF(A151="","",MAX(0,G150*(1+計算過程!$B$25/12)-計算過程!$B$53))</f>
        <v/>
      </c>
      <c r="H151" s="56" t="str">
        <f aca="false">IF(A151="","",F151+G151)</f>
        <v/>
      </c>
      <c r="I151" s="55" t="str">
        <f aca="false">IF(A151="","",IF(AND(OR(MONTH(B151)=6,MONTH(B151)=12),I150&lt;計算過程!$B$50),I150+1,I150))</f>
        <v/>
      </c>
      <c r="J151" s="56" t="str">
        <f aca="false">IF(A151="","",IF(I151&gt;I150,計算過程!$B$57,0))</f>
        <v/>
      </c>
      <c r="K151" s="56" t="str">
        <f aca="false">IF(A151="","",IF(I151&gt;I150,ROUND(M150*計算過程!$B$55,0),0))</f>
        <v/>
      </c>
      <c r="L151" s="56" t="str">
        <f aca="false">IF(A151="","",J151-K151)</f>
        <v/>
      </c>
      <c r="M151" s="56" t="str">
        <f aca="false">IF(A151="","",IF(I151&gt;I150,MAX(0,M150*(1+計算過程!$B$55)-計算過程!$B$56),M150))</f>
        <v/>
      </c>
      <c r="N151" s="56" t="str">
        <f aca="false">IF(A151="","",C151+J151)</f>
        <v/>
      </c>
      <c r="O151" s="56" t="str">
        <f aca="false">IF(A151="","",H151+M151)</f>
        <v/>
      </c>
    </row>
    <row r="152" customFormat="false" ht="15" hidden="false" customHeight="false" outlineLevel="0" collapsed="false">
      <c r="A152" s="55" t="str">
        <f aca="false">IF(ROWS($A$8:A152)&lt;=計算過程!$B$51,ROWS($A$8:A152),"")</f>
        <v/>
      </c>
      <c r="B152" s="57" t="str">
        <f aca="false">IF(A152="","",EDATE(計算過程!$B$71,A152-1))</f>
        <v/>
      </c>
      <c r="C152" s="56" t="str">
        <f aca="false">IF(A152="","",計算過程!$B$54)</f>
        <v/>
      </c>
      <c r="D152" s="56" t="str">
        <f aca="false">IF(A152="","",ROUND(F151*計算過程!$B$24/12+G151*計算過程!$B$25/12,0))</f>
        <v/>
      </c>
      <c r="E152" s="56" t="str">
        <f aca="false">IF(A152="","",C152-D152)</f>
        <v/>
      </c>
      <c r="F152" s="56" t="str">
        <f aca="false">IF(A152="","",MAX(0,F151*(1+計算過程!$B$24/12)-計算過程!$B$52))</f>
        <v/>
      </c>
      <c r="G152" s="56" t="str">
        <f aca="false">IF(A152="","",MAX(0,G151*(1+計算過程!$B$25/12)-計算過程!$B$53))</f>
        <v/>
      </c>
      <c r="H152" s="56" t="str">
        <f aca="false">IF(A152="","",F152+G152)</f>
        <v/>
      </c>
      <c r="I152" s="55" t="str">
        <f aca="false">IF(A152="","",IF(AND(OR(MONTH(B152)=6,MONTH(B152)=12),I151&lt;計算過程!$B$50),I151+1,I151))</f>
        <v/>
      </c>
      <c r="J152" s="56" t="str">
        <f aca="false">IF(A152="","",IF(I152&gt;I151,計算過程!$B$57,0))</f>
        <v/>
      </c>
      <c r="K152" s="56" t="str">
        <f aca="false">IF(A152="","",IF(I152&gt;I151,ROUND(M151*計算過程!$B$55,0),0))</f>
        <v/>
      </c>
      <c r="L152" s="56" t="str">
        <f aca="false">IF(A152="","",J152-K152)</f>
        <v/>
      </c>
      <c r="M152" s="56" t="str">
        <f aca="false">IF(A152="","",IF(I152&gt;I151,MAX(0,M151*(1+計算過程!$B$55)-計算過程!$B$56),M151))</f>
        <v/>
      </c>
      <c r="N152" s="56" t="str">
        <f aca="false">IF(A152="","",C152+J152)</f>
        <v/>
      </c>
      <c r="O152" s="56" t="str">
        <f aca="false">IF(A152="","",H152+M152)</f>
        <v/>
      </c>
    </row>
    <row r="153" customFormat="false" ht="15" hidden="false" customHeight="false" outlineLevel="0" collapsed="false">
      <c r="A153" s="55" t="str">
        <f aca="false">IF(ROWS($A$8:A153)&lt;=計算過程!$B$51,ROWS($A$8:A153),"")</f>
        <v/>
      </c>
      <c r="B153" s="57" t="str">
        <f aca="false">IF(A153="","",EDATE(計算過程!$B$71,A153-1))</f>
        <v/>
      </c>
      <c r="C153" s="56" t="str">
        <f aca="false">IF(A153="","",計算過程!$B$54)</f>
        <v/>
      </c>
      <c r="D153" s="56" t="str">
        <f aca="false">IF(A153="","",ROUND(F152*計算過程!$B$24/12+G152*計算過程!$B$25/12,0))</f>
        <v/>
      </c>
      <c r="E153" s="56" t="str">
        <f aca="false">IF(A153="","",C153-D153)</f>
        <v/>
      </c>
      <c r="F153" s="56" t="str">
        <f aca="false">IF(A153="","",MAX(0,F152*(1+計算過程!$B$24/12)-計算過程!$B$52))</f>
        <v/>
      </c>
      <c r="G153" s="56" t="str">
        <f aca="false">IF(A153="","",MAX(0,G152*(1+計算過程!$B$25/12)-計算過程!$B$53))</f>
        <v/>
      </c>
      <c r="H153" s="56" t="str">
        <f aca="false">IF(A153="","",F153+G153)</f>
        <v/>
      </c>
      <c r="I153" s="55" t="str">
        <f aca="false">IF(A153="","",IF(AND(OR(MONTH(B153)=6,MONTH(B153)=12),I152&lt;計算過程!$B$50),I152+1,I152))</f>
        <v/>
      </c>
      <c r="J153" s="56" t="str">
        <f aca="false">IF(A153="","",IF(I153&gt;I152,計算過程!$B$57,0))</f>
        <v/>
      </c>
      <c r="K153" s="56" t="str">
        <f aca="false">IF(A153="","",IF(I153&gt;I152,ROUND(M152*計算過程!$B$55,0),0))</f>
        <v/>
      </c>
      <c r="L153" s="56" t="str">
        <f aca="false">IF(A153="","",J153-K153)</f>
        <v/>
      </c>
      <c r="M153" s="56" t="str">
        <f aca="false">IF(A153="","",IF(I153&gt;I152,MAX(0,M152*(1+計算過程!$B$55)-計算過程!$B$56),M152))</f>
        <v/>
      </c>
      <c r="N153" s="56" t="str">
        <f aca="false">IF(A153="","",C153+J153)</f>
        <v/>
      </c>
      <c r="O153" s="56" t="str">
        <f aca="false">IF(A153="","",H153+M153)</f>
        <v/>
      </c>
    </row>
    <row r="154" customFormat="false" ht="15" hidden="false" customHeight="false" outlineLevel="0" collapsed="false">
      <c r="A154" s="55" t="str">
        <f aca="false">IF(ROWS($A$8:A154)&lt;=計算過程!$B$51,ROWS($A$8:A154),"")</f>
        <v/>
      </c>
      <c r="B154" s="57" t="str">
        <f aca="false">IF(A154="","",EDATE(計算過程!$B$71,A154-1))</f>
        <v/>
      </c>
      <c r="C154" s="56" t="str">
        <f aca="false">IF(A154="","",計算過程!$B$54)</f>
        <v/>
      </c>
      <c r="D154" s="56" t="str">
        <f aca="false">IF(A154="","",ROUND(F153*計算過程!$B$24/12+G153*計算過程!$B$25/12,0))</f>
        <v/>
      </c>
      <c r="E154" s="56" t="str">
        <f aca="false">IF(A154="","",C154-D154)</f>
        <v/>
      </c>
      <c r="F154" s="56" t="str">
        <f aca="false">IF(A154="","",MAX(0,F153*(1+計算過程!$B$24/12)-計算過程!$B$52))</f>
        <v/>
      </c>
      <c r="G154" s="56" t="str">
        <f aca="false">IF(A154="","",MAX(0,G153*(1+計算過程!$B$25/12)-計算過程!$B$53))</f>
        <v/>
      </c>
      <c r="H154" s="56" t="str">
        <f aca="false">IF(A154="","",F154+G154)</f>
        <v/>
      </c>
      <c r="I154" s="55" t="str">
        <f aca="false">IF(A154="","",IF(AND(OR(MONTH(B154)=6,MONTH(B154)=12),I153&lt;計算過程!$B$50),I153+1,I153))</f>
        <v/>
      </c>
      <c r="J154" s="56" t="str">
        <f aca="false">IF(A154="","",IF(I154&gt;I153,計算過程!$B$57,0))</f>
        <v/>
      </c>
      <c r="K154" s="56" t="str">
        <f aca="false">IF(A154="","",IF(I154&gt;I153,ROUND(M153*計算過程!$B$55,0),0))</f>
        <v/>
      </c>
      <c r="L154" s="56" t="str">
        <f aca="false">IF(A154="","",J154-K154)</f>
        <v/>
      </c>
      <c r="M154" s="56" t="str">
        <f aca="false">IF(A154="","",IF(I154&gt;I153,MAX(0,M153*(1+計算過程!$B$55)-計算過程!$B$56),M153))</f>
        <v/>
      </c>
      <c r="N154" s="56" t="str">
        <f aca="false">IF(A154="","",C154+J154)</f>
        <v/>
      </c>
      <c r="O154" s="56" t="str">
        <f aca="false">IF(A154="","",H154+M154)</f>
        <v/>
      </c>
    </row>
    <row r="155" customFormat="false" ht="15" hidden="false" customHeight="false" outlineLevel="0" collapsed="false">
      <c r="A155" s="55" t="str">
        <f aca="false">IF(ROWS($A$8:A155)&lt;=計算過程!$B$51,ROWS($A$8:A155),"")</f>
        <v/>
      </c>
      <c r="B155" s="57" t="str">
        <f aca="false">IF(A155="","",EDATE(計算過程!$B$71,A155-1))</f>
        <v/>
      </c>
      <c r="C155" s="56" t="str">
        <f aca="false">IF(A155="","",計算過程!$B$54)</f>
        <v/>
      </c>
      <c r="D155" s="56" t="str">
        <f aca="false">IF(A155="","",ROUND(F154*計算過程!$B$24/12+G154*計算過程!$B$25/12,0))</f>
        <v/>
      </c>
      <c r="E155" s="56" t="str">
        <f aca="false">IF(A155="","",C155-D155)</f>
        <v/>
      </c>
      <c r="F155" s="56" t="str">
        <f aca="false">IF(A155="","",MAX(0,F154*(1+計算過程!$B$24/12)-計算過程!$B$52))</f>
        <v/>
      </c>
      <c r="G155" s="56" t="str">
        <f aca="false">IF(A155="","",MAX(0,G154*(1+計算過程!$B$25/12)-計算過程!$B$53))</f>
        <v/>
      </c>
      <c r="H155" s="56" t="str">
        <f aca="false">IF(A155="","",F155+G155)</f>
        <v/>
      </c>
      <c r="I155" s="55" t="str">
        <f aca="false">IF(A155="","",IF(AND(OR(MONTH(B155)=6,MONTH(B155)=12),I154&lt;計算過程!$B$50),I154+1,I154))</f>
        <v/>
      </c>
      <c r="J155" s="56" t="str">
        <f aca="false">IF(A155="","",IF(I155&gt;I154,計算過程!$B$57,0))</f>
        <v/>
      </c>
      <c r="K155" s="56" t="str">
        <f aca="false">IF(A155="","",IF(I155&gt;I154,ROUND(M154*計算過程!$B$55,0),0))</f>
        <v/>
      </c>
      <c r="L155" s="56" t="str">
        <f aca="false">IF(A155="","",J155-K155)</f>
        <v/>
      </c>
      <c r="M155" s="56" t="str">
        <f aca="false">IF(A155="","",IF(I155&gt;I154,MAX(0,M154*(1+計算過程!$B$55)-計算過程!$B$56),M154))</f>
        <v/>
      </c>
      <c r="N155" s="56" t="str">
        <f aca="false">IF(A155="","",C155+J155)</f>
        <v/>
      </c>
      <c r="O155" s="56" t="str">
        <f aca="false">IF(A155="","",H155+M155)</f>
        <v/>
      </c>
    </row>
    <row r="156" customFormat="false" ht="15" hidden="false" customHeight="false" outlineLevel="0" collapsed="false">
      <c r="A156" s="55" t="str">
        <f aca="false">IF(ROWS($A$8:A156)&lt;=計算過程!$B$51,ROWS($A$8:A156),"")</f>
        <v/>
      </c>
      <c r="B156" s="57" t="str">
        <f aca="false">IF(A156="","",EDATE(計算過程!$B$71,A156-1))</f>
        <v/>
      </c>
      <c r="C156" s="56" t="str">
        <f aca="false">IF(A156="","",計算過程!$B$54)</f>
        <v/>
      </c>
      <c r="D156" s="56" t="str">
        <f aca="false">IF(A156="","",ROUND(F155*計算過程!$B$24/12+G155*計算過程!$B$25/12,0))</f>
        <v/>
      </c>
      <c r="E156" s="56" t="str">
        <f aca="false">IF(A156="","",C156-D156)</f>
        <v/>
      </c>
      <c r="F156" s="56" t="str">
        <f aca="false">IF(A156="","",MAX(0,F155*(1+計算過程!$B$24/12)-計算過程!$B$52))</f>
        <v/>
      </c>
      <c r="G156" s="56" t="str">
        <f aca="false">IF(A156="","",MAX(0,G155*(1+計算過程!$B$25/12)-計算過程!$B$53))</f>
        <v/>
      </c>
      <c r="H156" s="56" t="str">
        <f aca="false">IF(A156="","",F156+G156)</f>
        <v/>
      </c>
      <c r="I156" s="55" t="str">
        <f aca="false">IF(A156="","",IF(AND(OR(MONTH(B156)=6,MONTH(B156)=12),I155&lt;計算過程!$B$50),I155+1,I155))</f>
        <v/>
      </c>
      <c r="J156" s="56" t="str">
        <f aca="false">IF(A156="","",IF(I156&gt;I155,計算過程!$B$57,0))</f>
        <v/>
      </c>
      <c r="K156" s="56" t="str">
        <f aca="false">IF(A156="","",IF(I156&gt;I155,ROUND(M155*計算過程!$B$55,0),0))</f>
        <v/>
      </c>
      <c r="L156" s="56" t="str">
        <f aca="false">IF(A156="","",J156-K156)</f>
        <v/>
      </c>
      <c r="M156" s="56" t="str">
        <f aca="false">IF(A156="","",IF(I156&gt;I155,MAX(0,M155*(1+計算過程!$B$55)-計算過程!$B$56),M155))</f>
        <v/>
      </c>
      <c r="N156" s="56" t="str">
        <f aca="false">IF(A156="","",C156+J156)</f>
        <v/>
      </c>
      <c r="O156" s="56" t="str">
        <f aca="false">IF(A156="","",H156+M156)</f>
        <v/>
      </c>
    </row>
    <row r="157" customFormat="false" ht="15" hidden="false" customHeight="false" outlineLevel="0" collapsed="false">
      <c r="A157" s="55" t="str">
        <f aca="false">IF(ROWS($A$8:A157)&lt;=計算過程!$B$51,ROWS($A$8:A157),"")</f>
        <v/>
      </c>
      <c r="B157" s="57" t="str">
        <f aca="false">IF(A157="","",EDATE(計算過程!$B$71,A157-1))</f>
        <v/>
      </c>
      <c r="C157" s="56" t="str">
        <f aca="false">IF(A157="","",計算過程!$B$54)</f>
        <v/>
      </c>
      <c r="D157" s="56" t="str">
        <f aca="false">IF(A157="","",ROUND(F156*計算過程!$B$24/12+G156*計算過程!$B$25/12,0))</f>
        <v/>
      </c>
      <c r="E157" s="56" t="str">
        <f aca="false">IF(A157="","",C157-D157)</f>
        <v/>
      </c>
      <c r="F157" s="56" t="str">
        <f aca="false">IF(A157="","",MAX(0,F156*(1+計算過程!$B$24/12)-計算過程!$B$52))</f>
        <v/>
      </c>
      <c r="G157" s="56" t="str">
        <f aca="false">IF(A157="","",MAX(0,G156*(1+計算過程!$B$25/12)-計算過程!$B$53))</f>
        <v/>
      </c>
      <c r="H157" s="56" t="str">
        <f aca="false">IF(A157="","",F157+G157)</f>
        <v/>
      </c>
      <c r="I157" s="55" t="str">
        <f aca="false">IF(A157="","",IF(AND(OR(MONTH(B157)=6,MONTH(B157)=12),I156&lt;計算過程!$B$50),I156+1,I156))</f>
        <v/>
      </c>
      <c r="J157" s="56" t="str">
        <f aca="false">IF(A157="","",IF(I157&gt;I156,計算過程!$B$57,0))</f>
        <v/>
      </c>
      <c r="K157" s="56" t="str">
        <f aca="false">IF(A157="","",IF(I157&gt;I156,ROUND(M156*計算過程!$B$55,0),0))</f>
        <v/>
      </c>
      <c r="L157" s="56" t="str">
        <f aca="false">IF(A157="","",J157-K157)</f>
        <v/>
      </c>
      <c r="M157" s="56" t="str">
        <f aca="false">IF(A157="","",IF(I157&gt;I156,MAX(0,M156*(1+計算過程!$B$55)-計算過程!$B$56),M156))</f>
        <v/>
      </c>
      <c r="N157" s="56" t="str">
        <f aca="false">IF(A157="","",C157+J157)</f>
        <v/>
      </c>
      <c r="O157" s="56" t="str">
        <f aca="false">IF(A157="","",H157+M157)</f>
        <v/>
      </c>
    </row>
    <row r="158" customFormat="false" ht="15" hidden="false" customHeight="false" outlineLevel="0" collapsed="false">
      <c r="A158" s="55" t="str">
        <f aca="false">IF(ROWS($A$8:A158)&lt;=計算過程!$B$51,ROWS($A$8:A158),"")</f>
        <v/>
      </c>
      <c r="B158" s="57" t="str">
        <f aca="false">IF(A158="","",EDATE(計算過程!$B$71,A158-1))</f>
        <v/>
      </c>
      <c r="C158" s="56" t="str">
        <f aca="false">IF(A158="","",計算過程!$B$54)</f>
        <v/>
      </c>
      <c r="D158" s="56" t="str">
        <f aca="false">IF(A158="","",ROUND(F157*計算過程!$B$24/12+G157*計算過程!$B$25/12,0))</f>
        <v/>
      </c>
      <c r="E158" s="56" t="str">
        <f aca="false">IF(A158="","",C158-D158)</f>
        <v/>
      </c>
      <c r="F158" s="56" t="str">
        <f aca="false">IF(A158="","",MAX(0,F157*(1+計算過程!$B$24/12)-計算過程!$B$52))</f>
        <v/>
      </c>
      <c r="G158" s="56" t="str">
        <f aca="false">IF(A158="","",MAX(0,G157*(1+計算過程!$B$25/12)-計算過程!$B$53))</f>
        <v/>
      </c>
      <c r="H158" s="56" t="str">
        <f aca="false">IF(A158="","",F158+G158)</f>
        <v/>
      </c>
      <c r="I158" s="55" t="str">
        <f aca="false">IF(A158="","",IF(AND(OR(MONTH(B158)=6,MONTH(B158)=12),I157&lt;計算過程!$B$50),I157+1,I157))</f>
        <v/>
      </c>
      <c r="J158" s="56" t="str">
        <f aca="false">IF(A158="","",IF(I158&gt;I157,計算過程!$B$57,0))</f>
        <v/>
      </c>
      <c r="K158" s="56" t="str">
        <f aca="false">IF(A158="","",IF(I158&gt;I157,ROUND(M157*計算過程!$B$55,0),0))</f>
        <v/>
      </c>
      <c r="L158" s="56" t="str">
        <f aca="false">IF(A158="","",J158-K158)</f>
        <v/>
      </c>
      <c r="M158" s="56" t="str">
        <f aca="false">IF(A158="","",IF(I158&gt;I157,MAX(0,M157*(1+計算過程!$B$55)-計算過程!$B$56),M157))</f>
        <v/>
      </c>
      <c r="N158" s="56" t="str">
        <f aca="false">IF(A158="","",C158+J158)</f>
        <v/>
      </c>
      <c r="O158" s="56" t="str">
        <f aca="false">IF(A158="","",H158+M158)</f>
        <v/>
      </c>
    </row>
    <row r="159" customFormat="false" ht="15" hidden="false" customHeight="false" outlineLevel="0" collapsed="false">
      <c r="A159" s="55" t="str">
        <f aca="false">IF(ROWS($A$8:A159)&lt;=計算過程!$B$51,ROWS($A$8:A159),"")</f>
        <v/>
      </c>
      <c r="B159" s="57" t="str">
        <f aca="false">IF(A159="","",EDATE(計算過程!$B$71,A159-1))</f>
        <v/>
      </c>
      <c r="C159" s="56" t="str">
        <f aca="false">IF(A159="","",計算過程!$B$54)</f>
        <v/>
      </c>
      <c r="D159" s="56" t="str">
        <f aca="false">IF(A159="","",ROUND(F158*計算過程!$B$24/12+G158*計算過程!$B$25/12,0))</f>
        <v/>
      </c>
      <c r="E159" s="56" t="str">
        <f aca="false">IF(A159="","",C159-D159)</f>
        <v/>
      </c>
      <c r="F159" s="56" t="str">
        <f aca="false">IF(A159="","",MAX(0,F158*(1+計算過程!$B$24/12)-計算過程!$B$52))</f>
        <v/>
      </c>
      <c r="G159" s="56" t="str">
        <f aca="false">IF(A159="","",MAX(0,G158*(1+計算過程!$B$25/12)-計算過程!$B$53))</f>
        <v/>
      </c>
      <c r="H159" s="56" t="str">
        <f aca="false">IF(A159="","",F159+G159)</f>
        <v/>
      </c>
      <c r="I159" s="55" t="str">
        <f aca="false">IF(A159="","",IF(AND(OR(MONTH(B159)=6,MONTH(B159)=12),I158&lt;計算過程!$B$50),I158+1,I158))</f>
        <v/>
      </c>
      <c r="J159" s="56" t="str">
        <f aca="false">IF(A159="","",IF(I159&gt;I158,計算過程!$B$57,0))</f>
        <v/>
      </c>
      <c r="K159" s="56" t="str">
        <f aca="false">IF(A159="","",IF(I159&gt;I158,ROUND(M158*計算過程!$B$55,0),0))</f>
        <v/>
      </c>
      <c r="L159" s="56" t="str">
        <f aca="false">IF(A159="","",J159-K159)</f>
        <v/>
      </c>
      <c r="M159" s="56" t="str">
        <f aca="false">IF(A159="","",IF(I159&gt;I158,MAX(0,M158*(1+計算過程!$B$55)-計算過程!$B$56),M158))</f>
        <v/>
      </c>
      <c r="N159" s="56" t="str">
        <f aca="false">IF(A159="","",C159+J159)</f>
        <v/>
      </c>
      <c r="O159" s="56" t="str">
        <f aca="false">IF(A159="","",H159+M159)</f>
        <v/>
      </c>
    </row>
    <row r="160" customFormat="false" ht="15" hidden="false" customHeight="false" outlineLevel="0" collapsed="false">
      <c r="A160" s="55" t="str">
        <f aca="false">IF(ROWS($A$8:A160)&lt;=計算過程!$B$51,ROWS($A$8:A160),"")</f>
        <v/>
      </c>
      <c r="B160" s="57" t="str">
        <f aca="false">IF(A160="","",EDATE(計算過程!$B$71,A160-1))</f>
        <v/>
      </c>
      <c r="C160" s="56" t="str">
        <f aca="false">IF(A160="","",計算過程!$B$54)</f>
        <v/>
      </c>
      <c r="D160" s="56" t="str">
        <f aca="false">IF(A160="","",ROUND(F159*計算過程!$B$24/12+G159*計算過程!$B$25/12,0))</f>
        <v/>
      </c>
      <c r="E160" s="56" t="str">
        <f aca="false">IF(A160="","",C160-D160)</f>
        <v/>
      </c>
      <c r="F160" s="56" t="str">
        <f aca="false">IF(A160="","",MAX(0,F159*(1+計算過程!$B$24/12)-計算過程!$B$52))</f>
        <v/>
      </c>
      <c r="G160" s="56" t="str">
        <f aca="false">IF(A160="","",MAX(0,G159*(1+計算過程!$B$25/12)-計算過程!$B$53))</f>
        <v/>
      </c>
      <c r="H160" s="56" t="str">
        <f aca="false">IF(A160="","",F160+G160)</f>
        <v/>
      </c>
      <c r="I160" s="55" t="str">
        <f aca="false">IF(A160="","",IF(AND(OR(MONTH(B160)=6,MONTH(B160)=12),I159&lt;計算過程!$B$50),I159+1,I159))</f>
        <v/>
      </c>
      <c r="J160" s="56" t="str">
        <f aca="false">IF(A160="","",IF(I160&gt;I159,計算過程!$B$57,0))</f>
        <v/>
      </c>
      <c r="K160" s="56" t="str">
        <f aca="false">IF(A160="","",IF(I160&gt;I159,ROUND(M159*計算過程!$B$55,0),0))</f>
        <v/>
      </c>
      <c r="L160" s="56" t="str">
        <f aca="false">IF(A160="","",J160-K160)</f>
        <v/>
      </c>
      <c r="M160" s="56" t="str">
        <f aca="false">IF(A160="","",IF(I160&gt;I159,MAX(0,M159*(1+計算過程!$B$55)-計算過程!$B$56),M159))</f>
        <v/>
      </c>
      <c r="N160" s="56" t="str">
        <f aca="false">IF(A160="","",C160+J160)</f>
        <v/>
      </c>
      <c r="O160" s="56" t="str">
        <f aca="false">IF(A160="","",H160+M160)</f>
        <v/>
      </c>
    </row>
    <row r="161" customFormat="false" ht="15" hidden="false" customHeight="false" outlineLevel="0" collapsed="false">
      <c r="A161" s="55" t="str">
        <f aca="false">IF(ROWS($A$8:A161)&lt;=計算過程!$B$51,ROWS($A$8:A161),"")</f>
        <v/>
      </c>
      <c r="B161" s="57" t="str">
        <f aca="false">IF(A161="","",EDATE(計算過程!$B$71,A161-1))</f>
        <v/>
      </c>
      <c r="C161" s="56" t="str">
        <f aca="false">IF(A161="","",計算過程!$B$54)</f>
        <v/>
      </c>
      <c r="D161" s="56" t="str">
        <f aca="false">IF(A161="","",ROUND(F160*計算過程!$B$24/12+G160*計算過程!$B$25/12,0))</f>
        <v/>
      </c>
      <c r="E161" s="56" t="str">
        <f aca="false">IF(A161="","",C161-D161)</f>
        <v/>
      </c>
      <c r="F161" s="56" t="str">
        <f aca="false">IF(A161="","",MAX(0,F160*(1+計算過程!$B$24/12)-計算過程!$B$52))</f>
        <v/>
      </c>
      <c r="G161" s="56" t="str">
        <f aca="false">IF(A161="","",MAX(0,G160*(1+計算過程!$B$25/12)-計算過程!$B$53))</f>
        <v/>
      </c>
      <c r="H161" s="56" t="str">
        <f aca="false">IF(A161="","",F161+G161)</f>
        <v/>
      </c>
      <c r="I161" s="55" t="str">
        <f aca="false">IF(A161="","",IF(AND(OR(MONTH(B161)=6,MONTH(B161)=12),I160&lt;計算過程!$B$50),I160+1,I160))</f>
        <v/>
      </c>
      <c r="J161" s="56" t="str">
        <f aca="false">IF(A161="","",IF(I161&gt;I160,計算過程!$B$57,0))</f>
        <v/>
      </c>
      <c r="K161" s="56" t="str">
        <f aca="false">IF(A161="","",IF(I161&gt;I160,ROUND(M160*計算過程!$B$55,0),0))</f>
        <v/>
      </c>
      <c r="L161" s="56" t="str">
        <f aca="false">IF(A161="","",J161-K161)</f>
        <v/>
      </c>
      <c r="M161" s="56" t="str">
        <f aca="false">IF(A161="","",IF(I161&gt;I160,MAX(0,M160*(1+計算過程!$B$55)-計算過程!$B$56),M160))</f>
        <v/>
      </c>
      <c r="N161" s="56" t="str">
        <f aca="false">IF(A161="","",C161+J161)</f>
        <v/>
      </c>
      <c r="O161" s="56" t="str">
        <f aca="false">IF(A161="","",H161+M161)</f>
        <v/>
      </c>
    </row>
    <row r="162" customFormat="false" ht="15" hidden="false" customHeight="false" outlineLevel="0" collapsed="false">
      <c r="A162" s="55" t="str">
        <f aca="false">IF(ROWS($A$8:A162)&lt;=計算過程!$B$51,ROWS($A$8:A162),"")</f>
        <v/>
      </c>
      <c r="B162" s="57" t="str">
        <f aca="false">IF(A162="","",EDATE(計算過程!$B$71,A162-1))</f>
        <v/>
      </c>
      <c r="C162" s="56" t="str">
        <f aca="false">IF(A162="","",計算過程!$B$54)</f>
        <v/>
      </c>
      <c r="D162" s="56" t="str">
        <f aca="false">IF(A162="","",ROUND(F161*計算過程!$B$24/12+G161*計算過程!$B$25/12,0))</f>
        <v/>
      </c>
      <c r="E162" s="56" t="str">
        <f aca="false">IF(A162="","",C162-D162)</f>
        <v/>
      </c>
      <c r="F162" s="56" t="str">
        <f aca="false">IF(A162="","",MAX(0,F161*(1+計算過程!$B$24/12)-計算過程!$B$52))</f>
        <v/>
      </c>
      <c r="G162" s="56" t="str">
        <f aca="false">IF(A162="","",MAX(0,G161*(1+計算過程!$B$25/12)-計算過程!$B$53))</f>
        <v/>
      </c>
      <c r="H162" s="56" t="str">
        <f aca="false">IF(A162="","",F162+G162)</f>
        <v/>
      </c>
      <c r="I162" s="55" t="str">
        <f aca="false">IF(A162="","",IF(AND(OR(MONTH(B162)=6,MONTH(B162)=12),I161&lt;計算過程!$B$50),I161+1,I161))</f>
        <v/>
      </c>
      <c r="J162" s="56" t="str">
        <f aca="false">IF(A162="","",IF(I162&gt;I161,計算過程!$B$57,0))</f>
        <v/>
      </c>
      <c r="K162" s="56" t="str">
        <f aca="false">IF(A162="","",IF(I162&gt;I161,ROUND(M161*計算過程!$B$55,0),0))</f>
        <v/>
      </c>
      <c r="L162" s="56" t="str">
        <f aca="false">IF(A162="","",J162-K162)</f>
        <v/>
      </c>
      <c r="M162" s="56" t="str">
        <f aca="false">IF(A162="","",IF(I162&gt;I161,MAX(0,M161*(1+計算過程!$B$55)-計算過程!$B$56),M161))</f>
        <v/>
      </c>
      <c r="N162" s="56" t="str">
        <f aca="false">IF(A162="","",C162+J162)</f>
        <v/>
      </c>
      <c r="O162" s="56" t="str">
        <f aca="false">IF(A162="","",H162+M162)</f>
        <v/>
      </c>
    </row>
    <row r="163" customFormat="false" ht="15" hidden="false" customHeight="false" outlineLevel="0" collapsed="false">
      <c r="A163" s="55" t="str">
        <f aca="false">IF(ROWS($A$8:A163)&lt;=計算過程!$B$51,ROWS($A$8:A163),"")</f>
        <v/>
      </c>
      <c r="B163" s="57" t="str">
        <f aca="false">IF(A163="","",EDATE(計算過程!$B$71,A163-1))</f>
        <v/>
      </c>
      <c r="C163" s="56" t="str">
        <f aca="false">IF(A163="","",計算過程!$B$54)</f>
        <v/>
      </c>
      <c r="D163" s="56" t="str">
        <f aca="false">IF(A163="","",ROUND(F162*計算過程!$B$24/12+G162*計算過程!$B$25/12,0))</f>
        <v/>
      </c>
      <c r="E163" s="56" t="str">
        <f aca="false">IF(A163="","",C163-D163)</f>
        <v/>
      </c>
      <c r="F163" s="56" t="str">
        <f aca="false">IF(A163="","",MAX(0,F162*(1+計算過程!$B$24/12)-計算過程!$B$52))</f>
        <v/>
      </c>
      <c r="G163" s="56" t="str">
        <f aca="false">IF(A163="","",MAX(0,G162*(1+計算過程!$B$25/12)-計算過程!$B$53))</f>
        <v/>
      </c>
      <c r="H163" s="56" t="str">
        <f aca="false">IF(A163="","",F163+G163)</f>
        <v/>
      </c>
      <c r="I163" s="55" t="str">
        <f aca="false">IF(A163="","",IF(AND(OR(MONTH(B163)=6,MONTH(B163)=12),I162&lt;計算過程!$B$50),I162+1,I162))</f>
        <v/>
      </c>
      <c r="J163" s="56" t="str">
        <f aca="false">IF(A163="","",IF(I163&gt;I162,計算過程!$B$57,0))</f>
        <v/>
      </c>
      <c r="K163" s="56" t="str">
        <f aca="false">IF(A163="","",IF(I163&gt;I162,ROUND(M162*計算過程!$B$55,0),0))</f>
        <v/>
      </c>
      <c r="L163" s="56" t="str">
        <f aca="false">IF(A163="","",J163-K163)</f>
        <v/>
      </c>
      <c r="M163" s="56" t="str">
        <f aca="false">IF(A163="","",IF(I163&gt;I162,MAX(0,M162*(1+計算過程!$B$55)-計算過程!$B$56),M162))</f>
        <v/>
      </c>
      <c r="N163" s="56" t="str">
        <f aca="false">IF(A163="","",C163+J163)</f>
        <v/>
      </c>
      <c r="O163" s="56" t="str">
        <f aca="false">IF(A163="","",H163+M163)</f>
        <v/>
      </c>
    </row>
    <row r="164" customFormat="false" ht="15" hidden="false" customHeight="false" outlineLevel="0" collapsed="false">
      <c r="A164" s="55" t="str">
        <f aca="false">IF(ROWS($A$8:A164)&lt;=計算過程!$B$51,ROWS($A$8:A164),"")</f>
        <v/>
      </c>
      <c r="B164" s="57" t="str">
        <f aca="false">IF(A164="","",EDATE(計算過程!$B$71,A164-1))</f>
        <v/>
      </c>
      <c r="C164" s="56" t="str">
        <f aca="false">IF(A164="","",計算過程!$B$54)</f>
        <v/>
      </c>
      <c r="D164" s="56" t="str">
        <f aca="false">IF(A164="","",ROUND(F163*計算過程!$B$24/12+G163*計算過程!$B$25/12,0))</f>
        <v/>
      </c>
      <c r="E164" s="56" t="str">
        <f aca="false">IF(A164="","",C164-D164)</f>
        <v/>
      </c>
      <c r="F164" s="56" t="str">
        <f aca="false">IF(A164="","",MAX(0,F163*(1+計算過程!$B$24/12)-計算過程!$B$52))</f>
        <v/>
      </c>
      <c r="G164" s="56" t="str">
        <f aca="false">IF(A164="","",MAX(0,G163*(1+計算過程!$B$25/12)-計算過程!$B$53))</f>
        <v/>
      </c>
      <c r="H164" s="56" t="str">
        <f aca="false">IF(A164="","",F164+G164)</f>
        <v/>
      </c>
      <c r="I164" s="55" t="str">
        <f aca="false">IF(A164="","",IF(AND(OR(MONTH(B164)=6,MONTH(B164)=12),I163&lt;計算過程!$B$50),I163+1,I163))</f>
        <v/>
      </c>
      <c r="J164" s="56" t="str">
        <f aca="false">IF(A164="","",IF(I164&gt;I163,計算過程!$B$57,0))</f>
        <v/>
      </c>
      <c r="K164" s="56" t="str">
        <f aca="false">IF(A164="","",IF(I164&gt;I163,ROUND(M163*計算過程!$B$55,0),0))</f>
        <v/>
      </c>
      <c r="L164" s="56" t="str">
        <f aca="false">IF(A164="","",J164-K164)</f>
        <v/>
      </c>
      <c r="M164" s="56" t="str">
        <f aca="false">IF(A164="","",IF(I164&gt;I163,MAX(0,M163*(1+計算過程!$B$55)-計算過程!$B$56),M163))</f>
        <v/>
      </c>
      <c r="N164" s="56" t="str">
        <f aca="false">IF(A164="","",C164+J164)</f>
        <v/>
      </c>
      <c r="O164" s="56" t="str">
        <f aca="false">IF(A164="","",H164+M164)</f>
        <v/>
      </c>
    </row>
    <row r="165" customFormat="false" ht="15" hidden="false" customHeight="false" outlineLevel="0" collapsed="false">
      <c r="A165" s="55" t="str">
        <f aca="false">IF(ROWS($A$8:A165)&lt;=計算過程!$B$51,ROWS($A$8:A165),"")</f>
        <v/>
      </c>
      <c r="B165" s="57" t="str">
        <f aca="false">IF(A165="","",EDATE(計算過程!$B$71,A165-1))</f>
        <v/>
      </c>
      <c r="C165" s="56" t="str">
        <f aca="false">IF(A165="","",計算過程!$B$54)</f>
        <v/>
      </c>
      <c r="D165" s="56" t="str">
        <f aca="false">IF(A165="","",ROUND(F164*計算過程!$B$24/12+G164*計算過程!$B$25/12,0))</f>
        <v/>
      </c>
      <c r="E165" s="56" t="str">
        <f aca="false">IF(A165="","",C165-D165)</f>
        <v/>
      </c>
      <c r="F165" s="56" t="str">
        <f aca="false">IF(A165="","",MAX(0,F164*(1+計算過程!$B$24/12)-計算過程!$B$52))</f>
        <v/>
      </c>
      <c r="G165" s="56" t="str">
        <f aca="false">IF(A165="","",MAX(0,G164*(1+計算過程!$B$25/12)-計算過程!$B$53))</f>
        <v/>
      </c>
      <c r="H165" s="56" t="str">
        <f aca="false">IF(A165="","",F165+G165)</f>
        <v/>
      </c>
      <c r="I165" s="55" t="str">
        <f aca="false">IF(A165="","",IF(AND(OR(MONTH(B165)=6,MONTH(B165)=12),I164&lt;計算過程!$B$50),I164+1,I164))</f>
        <v/>
      </c>
      <c r="J165" s="56" t="str">
        <f aca="false">IF(A165="","",IF(I165&gt;I164,計算過程!$B$57,0))</f>
        <v/>
      </c>
      <c r="K165" s="56" t="str">
        <f aca="false">IF(A165="","",IF(I165&gt;I164,ROUND(M164*計算過程!$B$55,0),0))</f>
        <v/>
      </c>
      <c r="L165" s="56" t="str">
        <f aca="false">IF(A165="","",J165-K165)</f>
        <v/>
      </c>
      <c r="M165" s="56" t="str">
        <f aca="false">IF(A165="","",IF(I165&gt;I164,MAX(0,M164*(1+計算過程!$B$55)-計算過程!$B$56),M164))</f>
        <v/>
      </c>
      <c r="N165" s="56" t="str">
        <f aca="false">IF(A165="","",C165+J165)</f>
        <v/>
      </c>
      <c r="O165" s="56" t="str">
        <f aca="false">IF(A165="","",H165+M165)</f>
        <v/>
      </c>
    </row>
    <row r="166" customFormat="false" ht="15" hidden="false" customHeight="false" outlineLevel="0" collapsed="false">
      <c r="A166" s="55" t="str">
        <f aca="false">IF(ROWS($A$8:A166)&lt;=計算過程!$B$51,ROWS($A$8:A166),"")</f>
        <v/>
      </c>
      <c r="B166" s="57" t="str">
        <f aca="false">IF(A166="","",EDATE(計算過程!$B$71,A166-1))</f>
        <v/>
      </c>
      <c r="C166" s="56" t="str">
        <f aca="false">IF(A166="","",計算過程!$B$54)</f>
        <v/>
      </c>
      <c r="D166" s="56" t="str">
        <f aca="false">IF(A166="","",ROUND(F165*計算過程!$B$24/12+G165*計算過程!$B$25/12,0))</f>
        <v/>
      </c>
      <c r="E166" s="56" t="str">
        <f aca="false">IF(A166="","",C166-D166)</f>
        <v/>
      </c>
      <c r="F166" s="56" t="str">
        <f aca="false">IF(A166="","",MAX(0,F165*(1+計算過程!$B$24/12)-計算過程!$B$52))</f>
        <v/>
      </c>
      <c r="G166" s="56" t="str">
        <f aca="false">IF(A166="","",MAX(0,G165*(1+計算過程!$B$25/12)-計算過程!$B$53))</f>
        <v/>
      </c>
      <c r="H166" s="56" t="str">
        <f aca="false">IF(A166="","",F166+G166)</f>
        <v/>
      </c>
      <c r="I166" s="55" t="str">
        <f aca="false">IF(A166="","",IF(AND(OR(MONTH(B166)=6,MONTH(B166)=12),I165&lt;計算過程!$B$50),I165+1,I165))</f>
        <v/>
      </c>
      <c r="J166" s="56" t="str">
        <f aca="false">IF(A166="","",IF(I166&gt;I165,計算過程!$B$57,0))</f>
        <v/>
      </c>
      <c r="K166" s="56" t="str">
        <f aca="false">IF(A166="","",IF(I166&gt;I165,ROUND(M165*計算過程!$B$55,0),0))</f>
        <v/>
      </c>
      <c r="L166" s="56" t="str">
        <f aca="false">IF(A166="","",J166-K166)</f>
        <v/>
      </c>
      <c r="M166" s="56" t="str">
        <f aca="false">IF(A166="","",IF(I166&gt;I165,MAX(0,M165*(1+計算過程!$B$55)-計算過程!$B$56),M165))</f>
        <v/>
      </c>
      <c r="N166" s="56" t="str">
        <f aca="false">IF(A166="","",C166+J166)</f>
        <v/>
      </c>
      <c r="O166" s="56" t="str">
        <f aca="false">IF(A166="","",H166+M166)</f>
        <v/>
      </c>
    </row>
    <row r="167" customFormat="false" ht="15" hidden="false" customHeight="false" outlineLevel="0" collapsed="false">
      <c r="A167" s="55" t="str">
        <f aca="false">IF(ROWS($A$8:A167)&lt;=計算過程!$B$51,ROWS($A$8:A167),"")</f>
        <v/>
      </c>
      <c r="B167" s="57" t="str">
        <f aca="false">IF(A167="","",EDATE(計算過程!$B$71,A167-1))</f>
        <v/>
      </c>
      <c r="C167" s="56" t="str">
        <f aca="false">IF(A167="","",計算過程!$B$54)</f>
        <v/>
      </c>
      <c r="D167" s="56" t="str">
        <f aca="false">IF(A167="","",ROUND(F166*計算過程!$B$24/12+G166*計算過程!$B$25/12,0))</f>
        <v/>
      </c>
      <c r="E167" s="56" t="str">
        <f aca="false">IF(A167="","",C167-D167)</f>
        <v/>
      </c>
      <c r="F167" s="56" t="str">
        <f aca="false">IF(A167="","",MAX(0,F166*(1+計算過程!$B$24/12)-計算過程!$B$52))</f>
        <v/>
      </c>
      <c r="G167" s="56" t="str">
        <f aca="false">IF(A167="","",MAX(0,G166*(1+計算過程!$B$25/12)-計算過程!$B$53))</f>
        <v/>
      </c>
      <c r="H167" s="56" t="str">
        <f aca="false">IF(A167="","",F167+G167)</f>
        <v/>
      </c>
      <c r="I167" s="55" t="str">
        <f aca="false">IF(A167="","",IF(AND(OR(MONTH(B167)=6,MONTH(B167)=12),I166&lt;計算過程!$B$50),I166+1,I166))</f>
        <v/>
      </c>
      <c r="J167" s="56" t="str">
        <f aca="false">IF(A167="","",IF(I167&gt;I166,計算過程!$B$57,0))</f>
        <v/>
      </c>
      <c r="K167" s="56" t="str">
        <f aca="false">IF(A167="","",IF(I167&gt;I166,ROUND(M166*計算過程!$B$55,0),0))</f>
        <v/>
      </c>
      <c r="L167" s="56" t="str">
        <f aca="false">IF(A167="","",J167-K167)</f>
        <v/>
      </c>
      <c r="M167" s="56" t="str">
        <f aca="false">IF(A167="","",IF(I167&gt;I166,MAX(0,M166*(1+計算過程!$B$55)-計算過程!$B$56),M166))</f>
        <v/>
      </c>
      <c r="N167" s="56" t="str">
        <f aca="false">IF(A167="","",C167+J167)</f>
        <v/>
      </c>
      <c r="O167" s="56" t="str">
        <f aca="false">IF(A167="","",H167+M167)</f>
        <v/>
      </c>
    </row>
    <row r="168" customFormat="false" ht="15" hidden="false" customHeight="false" outlineLevel="0" collapsed="false">
      <c r="A168" s="55" t="str">
        <f aca="false">IF(ROWS($A$8:A168)&lt;=計算過程!$B$51,ROWS($A$8:A168),"")</f>
        <v/>
      </c>
      <c r="B168" s="57" t="str">
        <f aca="false">IF(A168="","",EDATE(計算過程!$B$71,A168-1))</f>
        <v/>
      </c>
      <c r="C168" s="56" t="str">
        <f aca="false">IF(A168="","",計算過程!$B$54)</f>
        <v/>
      </c>
      <c r="D168" s="56" t="str">
        <f aca="false">IF(A168="","",ROUND(F167*計算過程!$B$24/12+G167*計算過程!$B$25/12,0))</f>
        <v/>
      </c>
      <c r="E168" s="56" t="str">
        <f aca="false">IF(A168="","",C168-D168)</f>
        <v/>
      </c>
      <c r="F168" s="56" t="str">
        <f aca="false">IF(A168="","",MAX(0,F167*(1+計算過程!$B$24/12)-計算過程!$B$52))</f>
        <v/>
      </c>
      <c r="G168" s="56" t="str">
        <f aca="false">IF(A168="","",MAX(0,G167*(1+計算過程!$B$25/12)-計算過程!$B$53))</f>
        <v/>
      </c>
      <c r="H168" s="56" t="str">
        <f aca="false">IF(A168="","",F168+G168)</f>
        <v/>
      </c>
      <c r="I168" s="55" t="str">
        <f aca="false">IF(A168="","",IF(AND(OR(MONTH(B168)=6,MONTH(B168)=12),I167&lt;計算過程!$B$50),I167+1,I167))</f>
        <v/>
      </c>
      <c r="J168" s="56" t="str">
        <f aca="false">IF(A168="","",IF(I168&gt;I167,計算過程!$B$57,0))</f>
        <v/>
      </c>
      <c r="K168" s="56" t="str">
        <f aca="false">IF(A168="","",IF(I168&gt;I167,ROUND(M167*計算過程!$B$55,0),0))</f>
        <v/>
      </c>
      <c r="L168" s="56" t="str">
        <f aca="false">IF(A168="","",J168-K168)</f>
        <v/>
      </c>
      <c r="M168" s="56" t="str">
        <f aca="false">IF(A168="","",IF(I168&gt;I167,MAX(0,M167*(1+計算過程!$B$55)-計算過程!$B$56),M167))</f>
        <v/>
      </c>
      <c r="N168" s="56" t="str">
        <f aca="false">IF(A168="","",C168+J168)</f>
        <v/>
      </c>
      <c r="O168" s="56" t="str">
        <f aca="false">IF(A168="","",H168+M168)</f>
        <v/>
      </c>
    </row>
    <row r="169" customFormat="false" ht="15" hidden="false" customHeight="false" outlineLevel="0" collapsed="false">
      <c r="A169" s="55" t="str">
        <f aca="false">IF(ROWS($A$8:A169)&lt;=計算過程!$B$51,ROWS($A$8:A169),"")</f>
        <v/>
      </c>
      <c r="B169" s="57" t="str">
        <f aca="false">IF(A169="","",EDATE(計算過程!$B$71,A169-1))</f>
        <v/>
      </c>
      <c r="C169" s="56" t="str">
        <f aca="false">IF(A169="","",計算過程!$B$54)</f>
        <v/>
      </c>
      <c r="D169" s="56" t="str">
        <f aca="false">IF(A169="","",ROUND(F168*計算過程!$B$24/12+G168*計算過程!$B$25/12,0))</f>
        <v/>
      </c>
      <c r="E169" s="56" t="str">
        <f aca="false">IF(A169="","",C169-D169)</f>
        <v/>
      </c>
      <c r="F169" s="56" t="str">
        <f aca="false">IF(A169="","",MAX(0,F168*(1+計算過程!$B$24/12)-計算過程!$B$52))</f>
        <v/>
      </c>
      <c r="G169" s="56" t="str">
        <f aca="false">IF(A169="","",MAX(0,G168*(1+計算過程!$B$25/12)-計算過程!$B$53))</f>
        <v/>
      </c>
      <c r="H169" s="56" t="str">
        <f aca="false">IF(A169="","",F169+G169)</f>
        <v/>
      </c>
      <c r="I169" s="55" t="str">
        <f aca="false">IF(A169="","",IF(AND(OR(MONTH(B169)=6,MONTH(B169)=12),I168&lt;計算過程!$B$50),I168+1,I168))</f>
        <v/>
      </c>
      <c r="J169" s="56" t="str">
        <f aca="false">IF(A169="","",IF(I169&gt;I168,計算過程!$B$57,0))</f>
        <v/>
      </c>
      <c r="K169" s="56" t="str">
        <f aca="false">IF(A169="","",IF(I169&gt;I168,ROUND(M168*計算過程!$B$55,0),0))</f>
        <v/>
      </c>
      <c r="L169" s="56" t="str">
        <f aca="false">IF(A169="","",J169-K169)</f>
        <v/>
      </c>
      <c r="M169" s="56" t="str">
        <f aca="false">IF(A169="","",IF(I169&gt;I168,MAX(0,M168*(1+計算過程!$B$55)-計算過程!$B$56),M168))</f>
        <v/>
      </c>
      <c r="N169" s="56" t="str">
        <f aca="false">IF(A169="","",C169+J169)</f>
        <v/>
      </c>
      <c r="O169" s="56" t="str">
        <f aca="false">IF(A169="","",H169+M169)</f>
        <v/>
      </c>
    </row>
    <row r="170" customFormat="false" ht="15" hidden="false" customHeight="false" outlineLevel="0" collapsed="false">
      <c r="A170" s="55" t="str">
        <f aca="false">IF(ROWS($A$8:A170)&lt;=計算過程!$B$51,ROWS($A$8:A170),"")</f>
        <v/>
      </c>
      <c r="B170" s="57" t="str">
        <f aca="false">IF(A170="","",EDATE(計算過程!$B$71,A170-1))</f>
        <v/>
      </c>
      <c r="C170" s="56" t="str">
        <f aca="false">IF(A170="","",計算過程!$B$54)</f>
        <v/>
      </c>
      <c r="D170" s="56" t="str">
        <f aca="false">IF(A170="","",ROUND(F169*計算過程!$B$24/12+G169*計算過程!$B$25/12,0))</f>
        <v/>
      </c>
      <c r="E170" s="56" t="str">
        <f aca="false">IF(A170="","",C170-D170)</f>
        <v/>
      </c>
      <c r="F170" s="56" t="str">
        <f aca="false">IF(A170="","",MAX(0,F169*(1+計算過程!$B$24/12)-計算過程!$B$52))</f>
        <v/>
      </c>
      <c r="G170" s="56" t="str">
        <f aca="false">IF(A170="","",MAX(0,G169*(1+計算過程!$B$25/12)-計算過程!$B$53))</f>
        <v/>
      </c>
      <c r="H170" s="56" t="str">
        <f aca="false">IF(A170="","",F170+G170)</f>
        <v/>
      </c>
      <c r="I170" s="55" t="str">
        <f aca="false">IF(A170="","",IF(AND(OR(MONTH(B170)=6,MONTH(B170)=12),I169&lt;計算過程!$B$50),I169+1,I169))</f>
        <v/>
      </c>
      <c r="J170" s="56" t="str">
        <f aca="false">IF(A170="","",IF(I170&gt;I169,計算過程!$B$57,0))</f>
        <v/>
      </c>
      <c r="K170" s="56" t="str">
        <f aca="false">IF(A170="","",IF(I170&gt;I169,ROUND(M169*計算過程!$B$55,0),0))</f>
        <v/>
      </c>
      <c r="L170" s="56" t="str">
        <f aca="false">IF(A170="","",J170-K170)</f>
        <v/>
      </c>
      <c r="M170" s="56" t="str">
        <f aca="false">IF(A170="","",IF(I170&gt;I169,MAX(0,M169*(1+計算過程!$B$55)-計算過程!$B$56),M169))</f>
        <v/>
      </c>
      <c r="N170" s="56" t="str">
        <f aca="false">IF(A170="","",C170+J170)</f>
        <v/>
      </c>
      <c r="O170" s="56" t="str">
        <f aca="false">IF(A170="","",H170+M170)</f>
        <v/>
      </c>
    </row>
    <row r="171" customFormat="false" ht="15" hidden="false" customHeight="false" outlineLevel="0" collapsed="false">
      <c r="A171" s="55" t="str">
        <f aca="false">IF(ROWS($A$8:A171)&lt;=計算過程!$B$51,ROWS($A$8:A171),"")</f>
        <v/>
      </c>
      <c r="B171" s="57" t="str">
        <f aca="false">IF(A171="","",EDATE(計算過程!$B$71,A171-1))</f>
        <v/>
      </c>
      <c r="C171" s="56" t="str">
        <f aca="false">IF(A171="","",計算過程!$B$54)</f>
        <v/>
      </c>
      <c r="D171" s="56" t="str">
        <f aca="false">IF(A171="","",ROUND(F170*計算過程!$B$24/12+G170*計算過程!$B$25/12,0))</f>
        <v/>
      </c>
      <c r="E171" s="56" t="str">
        <f aca="false">IF(A171="","",C171-D171)</f>
        <v/>
      </c>
      <c r="F171" s="56" t="str">
        <f aca="false">IF(A171="","",MAX(0,F170*(1+計算過程!$B$24/12)-計算過程!$B$52))</f>
        <v/>
      </c>
      <c r="G171" s="56" t="str">
        <f aca="false">IF(A171="","",MAX(0,G170*(1+計算過程!$B$25/12)-計算過程!$B$53))</f>
        <v/>
      </c>
      <c r="H171" s="56" t="str">
        <f aca="false">IF(A171="","",F171+G171)</f>
        <v/>
      </c>
      <c r="I171" s="55" t="str">
        <f aca="false">IF(A171="","",IF(AND(OR(MONTH(B171)=6,MONTH(B171)=12),I170&lt;計算過程!$B$50),I170+1,I170))</f>
        <v/>
      </c>
      <c r="J171" s="56" t="str">
        <f aca="false">IF(A171="","",IF(I171&gt;I170,計算過程!$B$57,0))</f>
        <v/>
      </c>
      <c r="K171" s="56" t="str">
        <f aca="false">IF(A171="","",IF(I171&gt;I170,ROUND(M170*計算過程!$B$55,0),0))</f>
        <v/>
      </c>
      <c r="L171" s="56" t="str">
        <f aca="false">IF(A171="","",J171-K171)</f>
        <v/>
      </c>
      <c r="M171" s="56" t="str">
        <f aca="false">IF(A171="","",IF(I171&gt;I170,MAX(0,M170*(1+計算過程!$B$55)-計算過程!$B$56),M170))</f>
        <v/>
      </c>
      <c r="N171" s="56" t="str">
        <f aca="false">IF(A171="","",C171+J171)</f>
        <v/>
      </c>
      <c r="O171" s="56" t="str">
        <f aca="false">IF(A171="","",H171+M171)</f>
        <v/>
      </c>
    </row>
    <row r="172" customFormat="false" ht="15" hidden="false" customHeight="false" outlineLevel="0" collapsed="false">
      <c r="A172" s="55" t="str">
        <f aca="false">IF(ROWS($A$8:A172)&lt;=計算過程!$B$51,ROWS($A$8:A172),"")</f>
        <v/>
      </c>
      <c r="B172" s="57" t="str">
        <f aca="false">IF(A172="","",EDATE(計算過程!$B$71,A172-1))</f>
        <v/>
      </c>
      <c r="C172" s="56" t="str">
        <f aca="false">IF(A172="","",計算過程!$B$54)</f>
        <v/>
      </c>
      <c r="D172" s="56" t="str">
        <f aca="false">IF(A172="","",ROUND(F171*計算過程!$B$24/12+G171*計算過程!$B$25/12,0))</f>
        <v/>
      </c>
      <c r="E172" s="56" t="str">
        <f aca="false">IF(A172="","",C172-D172)</f>
        <v/>
      </c>
      <c r="F172" s="56" t="str">
        <f aca="false">IF(A172="","",MAX(0,F171*(1+計算過程!$B$24/12)-計算過程!$B$52))</f>
        <v/>
      </c>
      <c r="G172" s="56" t="str">
        <f aca="false">IF(A172="","",MAX(0,G171*(1+計算過程!$B$25/12)-計算過程!$B$53))</f>
        <v/>
      </c>
      <c r="H172" s="56" t="str">
        <f aca="false">IF(A172="","",F172+G172)</f>
        <v/>
      </c>
      <c r="I172" s="55" t="str">
        <f aca="false">IF(A172="","",IF(AND(OR(MONTH(B172)=6,MONTH(B172)=12),I171&lt;計算過程!$B$50),I171+1,I171))</f>
        <v/>
      </c>
      <c r="J172" s="56" t="str">
        <f aca="false">IF(A172="","",IF(I172&gt;I171,計算過程!$B$57,0))</f>
        <v/>
      </c>
      <c r="K172" s="56" t="str">
        <f aca="false">IF(A172="","",IF(I172&gt;I171,ROUND(M171*計算過程!$B$55,0),0))</f>
        <v/>
      </c>
      <c r="L172" s="56" t="str">
        <f aca="false">IF(A172="","",J172-K172)</f>
        <v/>
      </c>
      <c r="M172" s="56" t="str">
        <f aca="false">IF(A172="","",IF(I172&gt;I171,MAX(0,M171*(1+計算過程!$B$55)-計算過程!$B$56),M171))</f>
        <v/>
      </c>
      <c r="N172" s="56" t="str">
        <f aca="false">IF(A172="","",C172+J172)</f>
        <v/>
      </c>
      <c r="O172" s="56" t="str">
        <f aca="false">IF(A172="","",H172+M172)</f>
        <v/>
      </c>
    </row>
    <row r="173" customFormat="false" ht="15" hidden="false" customHeight="false" outlineLevel="0" collapsed="false">
      <c r="A173" s="55" t="str">
        <f aca="false">IF(ROWS($A$8:A173)&lt;=計算過程!$B$51,ROWS($A$8:A173),"")</f>
        <v/>
      </c>
      <c r="B173" s="57" t="str">
        <f aca="false">IF(A173="","",EDATE(計算過程!$B$71,A173-1))</f>
        <v/>
      </c>
      <c r="C173" s="56" t="str">
        <f aca="false">IF(A173="","",計算過程!$B$54)</f>
        <v/>
      </c>
      <c r="D173" s="56" t="str">
        <f aca="false">IF(A173="","",ROUND(F172*計算過程!$B$24/12+G172*計算過程!$B$25/12,0))</f>
        <v/>
      </c>
      <c r="E173" s="56" t="str">
        <f aca="false">IF(A173="","",C173-D173)</f>
        <v/>
      </c>
      <c r="F173" s="56" t="str">
        <f aca="false">IF(A173="","",MAX(0,F172*(1+計算過程!$B$24/12)-計算過程!$B$52))</f>
        <v/>
      </c>
      <c r="G173" s="56" t="str">
        <f aca="false">IF(A173="","",MAX(0,G172*(1+計算過程!$B$25/12)-計算過程!$B$53))</f>
        <v/>
      </c>
      <c r="H173" s="56" t="str">
        <f aca="false">IF(A173="","",F173+G173)</f>
        <v/>
      </c>
      <c r="I173" s="55" t="str">
        <f aca="false">IF(A173="","",IF(AND(OR(MONTH(B173)=6,MONTH(B173)=12),I172&lt;計算過程!$B$50),I172+1,I172))</f>
        <v/>
      </c>
      <c r="J173" s="56" t="str">
        <f aca="false">IF(A173="","",IF(I173&gt;I172,計算過程!$B$57,0))</f>
        <v/>
      </c>
      <c r="K173" s="56" t="str">
        <f aca="false">IF(A173="","",IF(I173&gt;I172,ROUND(M172*計算過程!$B$55,0),0))</f>
        <v/>
      </c>
      <c r="L173" s="56" t="str">
        <f aca="false">IF(A173="","",J173-K173)</f>
        <v/>
      </c>
      <c r="M173" s="56" t="str">
        <f aca="false">IF(A173="","",IF(I173&gt;I172,MAX(0,M172*(1+計算過程!$B$55)-計算過程!$B$56),M172))</f>
        <v/>
      </c>
      <c r="N173" s="56" t="str">
        <f aca="false">IF(A173="","",C173+J173)</f>
        <v/>
      </c>
      <c r="O173" s="56" t="str">
        <f aca="false">IF(A173="","",H173+M173)</f>
        <v/>
      </c>
    </row>
    <row r="174" customFormat="false" ht="15" hidden="false" customHeight="false" outlineLevel="0" collapsed="false">
      <c r="A174" s="55" t="str">
        <f aca="false">IF(ROWS($A$8:A174)&lt;=計算過程!$B$51,ROWS($A$8:A174),"")</f>
        <v/>
      </c>
      <c r="B174" s="57" t="str">
        <f aca="false">IF(A174="","",EDATE(計算過程!$B$71,A174-1))</f>
        <v/>
      </c>
      <c r="C174" s="56" t="str">
        <f aca="false">IF(A174="","",計算過程!$B$54)</f>
        <v/>
      </c>
      <c r="D174" s="56" t="str">
        <f aca="false">IF(A174="","",ROUND(F173*計算過程!$B$24/12+G173*計算過程!$B$25/12,0))</f>
        <v/>
      </c>
      <c r="E174" s="56" t="str">
        <f aca="false">IF(A174="","",C174-D174)</f>
        <v/>
      </c>
      <c r="F174" s="56" t="str">
        <f aca="false">IF(A174="","",MAX(0,F173*(1+計算過程!$B$24/12)-計算過程!$B$52))</f>
        <v/>
      </c>
      <c r="G174" s="56" t="str">
        <f aca="false">IF(A174="","",MAX(0,G173*(1+計算過程!$B$25/12)-計算過程!$B$53))</f>
        <v/>
      </c>
      <c r="H174" s="56" t="str">
        <f aca="false">IF(A174="","",F174+G174)</f>
        <v/>
      </c>
      <c r="I174" s="55" t="str">
        <f aca="false">IF(A174="","",IF(AND(OR(MONTH(B174)=6,MONTH(B174)=12),I173&lt;計算過程!$B$50),I173+1,I173))</f>
        <v/>
      </c>
      <c r="J174" s="56" t="str">
        <f aca="false">IF(A174="","",IF(I174&gt;I173,計算過程!$B$57,0))</f>
        <v/>
      </c>
      <c r="K174" s="56" t="str">
        <f aca="false">IF(A174="","",IF(I174&gt;I173,ROUND(M173*計算過程!$B$55,0),0))</f>
        <v/>
      </c>
      <c r="L174" s="56" t="str">
        <f aca="false">IF(A174="","",J174-K174)</f>
        <v/>
      </c>
      <c r="M174" s="56" t="str">
        <f aca="false">IF(A174="","",IF(I174&gt;I173,MAX(0,M173*(1+計算過程!$B$55)-計算過程!$B$56),M173))</f>
        <v/>
      </c>
      <c r="N174" s="56" t="str">
        <f aca="false">IF(A174="","",C174+J174)</f>
        <v/>
      </c>
      <c r="O174" s="56" t="str">
        <f aca="false">IF(A174="","",H174+M174)</f>
        <v/>
      </c>
    </row>
    <row r="175" customFormat="false" ht="15" hidden="false" customHeight="false" outlineLevel="0" collapsed="false">
      <c r="A175" s="55" t="str">
        <f aca="false">IF(ROWS($A$8:A175)&lt;=計算過程!$B$51,ROWS($A$8:A175),"")</f>
        <v/>
      </c>
      <c r="B175" s="57" t="str">
        <f aca="false">IF(A175="","",EDATE(計算過程!$B$71,A175-1))</f>
        <v/>
      </c>
      <c r="C175" s="56" t="str">
        <f aca="false">IF(A175="","",計算過程!$B$54)</f>
        <v/>
      </c>
      <c r="D175" s="56" t="str">
        <f aca="false">IF(A175="","",ROUND(F174*計算過程!$B$24/12+G174*計算過程!$B$25/12,0))</f>
        <v/>
      </c>
      <c r="E175" s="56" t="str">
        <f aca="false">IF(A175="","",C175-D175)</f>
        <v/>
      </c>
      <c r="F175" s="56" t="str">
        <f aca="false">IF(A175="","",MAX(0,F174*(1+計算過程!$B$24/12)-計算過程!$B$52))</f>
        <v/>
      </c>
      <c r="G175" s="56" t="str">
        <f aca="false">IF(A175="","",MAX(0,G174*(1+計算過程!$B$25/12)-計算過程!$B$53))</f>
        <v/>
      </c>
      <c r="H175" s="56" t="str">
        <f aca="false">IF(A175="","",F175+G175)</f>
        <v/>
      </c>
      <c r="I175" s="55" t="str">
        <f aca="false">IF(A175="","",IF(AND(OR(MONTH(B175)=6,MONTH(B175)=12),I174&lt;計算過程!$B$50),I174+1,I174))</f>
        <v/>
      </c>
      <c r="J175" s="56" t="str">
        <f aca="false">IF(A175="","",IF(I175&gt;I174,計算過程!$B$57,0))</f>
        <v/>
      </c>
      <c r="K175" s="56" t="str">
        <f aca="false">IF(A175="","",IF(I175&gt;I174,ROUND(M174*計算過程!$B$55,0),0))</f>
        <v/>
      </c>
      <c r="L175" s="56" t="str">
        <f aca="false">IF(A175="","",J175-K175)</f>
        <v/>
      </c>
      <c r="M175" s="56" t="str">
        <f aca="false">IF(A175="","",IF(I175&gt;I174,MAX(0,M174*(1+計算過程!$B$55)-計算過程!$B$56),M174))</f>
        <v/>
      </c>
      <c r="N175" s="56" t="str">
        <f aca="false">IF(A175="","",C175+J175)</f>
        <v/>
      </c>
      <c r="O175" s="56" t="str">
        <f aca="false">IF(A175="","",H175+M175)</f>
        <v/>
      </c>
    </row>
    <row r="176" customFormat="false" ht="15" hidden="false" customHeight="false" outlineLevel="0" collapsed="false">
      <c r="A176" s="55" t="str">
        <f aca="false">IF(ROWS($A$8:A176)&lt;=計算過程!$B$51,ROWS($A$8:A176),"")</f>
        <v/>
      </c>
      <c r="B176" s="57" t="str">
        <f aca="false">IF(A176="","",EDATE(計算過程!$B$71,A176-1))</f>
        <v/>
      </c>
      <c r="C176" s="56" t="str">
        <f aca="false">IF(A176="","",計算過程!$B$54)</f>
        <v/>
      </c>
      <c r="D176" s="56" t="str">
        <f aca="false">IF(A176="","",ROUND(F175*計算過程!$B$24/12+G175*計算過程!$B$25/12,0))</f>
        <v/>
      </c>
      <c r="E176" s="56" t="str">
        <f aca="false">IF(A176="","",C176-D176)</f>
        <v/>
      </c>
      <c r="F176" s="56" t="str">
        <f aca="false">IF(A176="","",MAX(0,F175*(1+計算過程!$B$24/12)-計算過程!$B$52))</f>
        <v/>
      </c>
      <c r="G176" s="56" t="str">
        <f aca="false">IF(A176="","",MAX(0,G175*(1+計算過程!$B$25/12)-計算過程!$B$53))</f>
        <v/>
      </c>
      <c r="H176" s="56" t="str">
        <f aca="false">IF(A176="","",F176+G176)</f>
        <v/>
      </c>
      <c r="I176" s="55" t="str">
        <f aca="false">IF(A176="","",IF(AND(OR(MONTH(B176)=6,MONTH(B176)=12),I175&lt;計算過程!$B$50),I175+1,I175))</f>
        <v/>
      </c>
      <c r="J176" s="56" t="str">
        <f aca="false">IF(A176="","",IF(I176&gt;I175,計算過程!$B$57,0))</f>
        <v/>
      </c>
      <c r="K176" s="56" t="str">
        <f aca="false">IF(A176="","",IF(I176&gt;I175,ROUND(M175*計算過程!$B$55,0),0))</f>
        <v/>
      </c>
      <c r="L176" s="56" t="str">
        <f aca="false">IF(A176="","",J176-K176)</f>
        <v/>
      </c>
      <c r="M176" s="56" t="str">
        <f aca="false">IF(A176="","",IF(I176&gt;I175,MAX(0,M175*(1+計算過程!$B$55)-計算過程!$B$56),M175))</f>
        <v/>
      </c>
      <c r="N176" s="56" t="str">
        <f aca="false">IF(A176="","",C176+J176)</f>
        <v/>
      </c>
      <c r="O176" s="56" t="str">
        <f aca="false">IF(A176="","",H176+M176)</f>
        <v/>
      </c>
    </row>
    <row r="177" customFormat="false" ht="15" hidden="false" customHeight="false" outlineLevel="0" collapsed="false">
      <c r="A177" s="55" t="str">
        <f aca="false">IF(ROWS($A$8:A177)&lt;=計算過程!$B$51,ROWS($A$8:A177),"")</f>
        <v/>
      </c>
      <c r="B177" s="57" t="str">
        <f aca="false">IF(A177="","",EDATE(計算過程!$B$71,A177-1))</f>
        <v/>
      </c>
      <c r="C177" s="56" t="str">
        <f aca="false">IF(A177="","",計算過程!$B$54)</f>
        <v/>
      </c>
      <c r="D177" s="56" t="str">
        <f aca="false">IF(A177="","",ROUND(F176*計算過程!$B$24/12+G176*計算過程!$B$25/12,0))</f>
        <v/>
      </c>
      <c r="E177" s="56" t="str">
        <f aca="false">IF(A177="","",C177-D177)</f>
        <v/>
      </c>
      <c r="F177" s="56" t="str">
        <f aca="false">IF(A177="","",MAX(0,F176*(1+計算過程!$B$24/12)-計算過程!$B$52))</f>
        <v/>
      </c>
      <c r="G177" s="56" t="str">
        <f aca="false">IF(A177="","",MAX(0,G176*(1+計算過程!$B$25/12)-計算過程!$B$53))</f>
        <v/>
      </c>
      <c r="H177" s="56" t="str">
        <f aca="false">IF(A177="","",F177+G177)</f>
        <v/>
      </c>
      <c r="I177" s="55" t="str">
        <f aca="false">IF(A177="","",IF(AND(OR(MONTH(B177)=6,MONTH(B177)=12),I176&lt;計算過程!$B$50),I176+1,I176))</f>
        <v/>
      </c>
      <c r="J177" s="56" t="str">
        <f aca="false">IF(A177="","",IF(I177&gt;I176,計算過程!$B$57,0))</f>
        <v/>
      </c>
      <c r="K177" s="56" t="str">
        <f aca="false">IF(A177="","",IF(I177&gt;I176,ROUND(M176*計算過程!$B$55,0),0))</f>
        <v/>
      </c>
      <c r="L177" s="56" t="str">
        <f aca="false">IF(A177="","",J177-K177)</f>
        <v/>
      </c>
      <c r="M177" s="56" t="str">
        <f aca="false">IF(A177="","",IF(I177&gt;I176,MAX(0,M176*(1+計算過程!$B$55)-計算過程!$B$56),M176))</f>
        <v/>
      </c>
      <c r="N177" s="56" t="str">
        <f aca="false">IF(A177="","",C177+J177)</f>
        <v/>
      </c>
      <c r="O177" s="56" t="str">
        <f aca="false">IF(A177="","",H177+M177)</f>
        <v/>
      </c>
    </row>
    <row r="178" customFormat="false" ht="15" hidden="false" customHeight="false" outlineLevel="0" collapsed="false">
      <c r="A178" s="55" t="str">
        <f aca="false">IF(ROWS($A$8:A178)&lt;=計算過程!$B$51,ROWS($A$8:A178),"")</f>
        <v/>
      </c>
      <c r="B178" s="57" t="str">
        <f aca="false">IF(A178="","",EDATE(計算過程!$B$71,A178-1))</f>
        <v/>
      </c>
      <c r="C178" s="56" t="str">
        <f aca="false">IF(A178="","",計算過程!$B$54)</f>
        <v/>
      </c>
      <c r="D178" s="56" t="str">
        <f aca="false">IF(A178="","",ROUND(F177*計算過程!$B$24/12+G177*計算過程!$B$25/12,0))</f>
        <v/>
      </c>
      <c r="E178" s="56" t="str">
        <f aca="false">IF(A178="","",C178-D178)</f>
        <v/>
      </c>
      <c r="F178" s="56" t="str">
        <f aca="false">IF(A178="","",MAX(0,F177*(1+計算過程!$B$24/12)-計算過程!$B$52))</f>
        <v/>
      </c>
      <c r="G178" s="56" t="str">
        <f aca="false">IF(A178="","",MAX(0,G177*(1+計算過程!$B$25/12)-計算過程!$B$53))</f>
        <v/>
      </c>
      <c r="H178" s="56" t="str">
        <f aca="false">IF(A178="","",F178+G178)</f>
        <v/>
      </c>
      <c r="I178" s="55" t="str">
        <f aca="false">IF(A178="","",IF(AND(OR(MONTH(B178)=6,MONTH(B178)=12),I177&lt;計算過程!$B$50),I177+1,I177))</f>
        <v/>
      </c>
      <c r="J178" s="56" t="str">
        <f aca="false">IF(A178="","",IF(I178&gt;I177,計算過程!$B$57,0))</f>
        <v/>
      </c>
      <c r="K178" s="56" t="str">
        <f aca="false">IF(A178="","",IF(I178&gt;I177,ROUND(M177*計算過程!$B$55,0),0))</f>
        <v/>
      </c>
      <c r="L178" s="56" t="str">
        <f aca="false">IF(A178="","",J178-K178)</f>
        <v/>
      </c>
      <c r="M178" s="56" t="str">
        <f aca="false">IF(A178="","",IF(I178&gt;I177,MAX(0,M177*(1+計算過程!$B$55)-計算過程!$B$56),M177))</f>
        <v/>
      </c>
      <c r="N178" s="56" t="str">
        <f aca="false">IF(A178="","",C178+J178)</f>
        <v/>
      </c>
      <c r="O178" s="56" t="str">
        <f aca="false">IF(A178="","",H178+M178)</f>
        <v/>
      </c>
    </row>
    <row r="179" customFormat="false" ht="15" hidden="false" customHeight="false" outlineLevel="0" collapsed="false">
      <c r="A179" s="55" t="str">
        <f aca="false">IF(ROWS($A$8:A179)&lt;=計算過程!$B$51,ROWS($A$8:A179),"")</f>
        <v/>
      </c>
      <c r="B179" s="57" t="str">
        <f aca="false">IF(A179="","",EDATE(計算過程!$B$71,A179-1))</f>
        <v/>
      </c>
      <c r="C179" s="56" t="str">
        <f aca="false">IF(A179="","",計算過程!$B$54)</f>
        <v/>
      </c>
      <c r="D179" s="56" t="str">
        <f aca="false">IF(A179="","",ROUND(F178*計算過程!$B$24/12+G178*計算過程!$B$25/12,0))</f>
        <v/>
      </c>
      <c r="E179" s="56" t="str">
        <f aca="false">IF(A179="","",C179-D179)</f>
        <v/>
      </c>
      <c r="F179" s="56" t="str">
        <f aca="false">IF(A179="","",MAX(0,F178*(1+計算過程!$B$24/12)-計算過程!$B$52))</f>
        <v/>
      </c>
      <c r="G179" s="56" t="str">
        <f aca="false">IF(A179="","",MAX(0,G178*(1+計算過程!$B$25/12)-計算過程!$B$53))</f>
        <v/>
      </c>
      <c r="H179" s="56" t="str">
        <f aca="false">IF(A179="","",F179+G179)</f>
        <v/>
      </c>
      <c r="I179" s="55" t="str">
        <f aca="false">IF(A179="","",IF(AND(OR(MONTH(B179)=6,MONTH(B179)=12),I178&lt;計算過程!$B$50),I178+1,I178))</f>
        <v/>
      </c>
      <c r="J179" s="56" t="str">
        <f aca="false">IF(A179="","",IF(I179&gt;I178,計算過程!$B$57,0))</f>
        <v/>
      </c>
      <c r="K179" s="56" t="str">
        <f aca="false">IF(A179="","",IF(I179&gt;I178,ROUND(M178*計算過程!$B$55,0),0))</f>
        <v/>
      </c>
      <c r="L179" s="56" t="str">
        <f aca="false">IF(A179="","",J179-K179)</f>
        <v/>
      </c>
      <c r="M179" s="56" t="str">
        <f aca="false">IF(A179="","",IF(I179&gt;I178,MAX(0,M178*(1+計算過程!$B$55)-計算過程!$B$56),M178))</f>
        <v/>
      </c>
      <c r="N179" s="56" t="str">
        <f aca="false">IF(A179="","",C179+J179)</f>
        <v/>
      </c>
      <c r="O179" s="56" t="str">
        <f aca="false">IF(A179="","",H179+M179)</f>
        <v/>
      </c>
    </row>
    <row r="180" customFormat="false" ht="15" hidden="false" customHeight="false" outlineLevel="0" collapsed="false">
      <c r="A180" s="55" t="str">
        <f aca="false">IF(ROWS($A$8:A180)&lt;=計算過程!$B$51,ROWS($A$8:A180),"")</f>
        <v/>
      </c>
      <c r="B180" s="57" t="str">
        <f aca="false">IF(A180="","",EDATE(計算過程!$B$71,A180-1))</f>
        <v/>
      </c>
      <c r="C180" s="56" t="str">
        <f aca="false">IF(A180="","",計算過程!$B$54)</f>
        <v/>
      </c>
      <c r="D180" s="56" t="str">
        <f aca="false">IF(A180="","",ROUND(F179*計算過程!$B$24/12+G179*計算過程!$B$25/12,0))</f>
        <v/>
      </c>
      <c r="E180" s="56" t="str">
        <f aca="false">IF(A180="","",C180-D180)</f>
        <v/>
      </c>
      <c r="F180" s="56" t="str">
        <f aca="false">IF(A180="","",MAX(0,F179*(1+計算過程!$B$24/12)-計算過程!$B$52))</f>
        <v/>
      </c>
      <c r="G180" s="56" t="str">
        <f aca="false">IF(A180="","",MAX(0,G179*(1+計算過程!$B$25/12)-計算過程!$B$53))</f>
        <v/>
      </c>
      <c r="H180" s="56" t="str">
        <f aca="false">IF(A180="","",F180+G180)</f>
        <v/>
      </c>
      <c r="I180" s="55" t="str">
        <f aca="false">IF(A180="","",IF(AND(OR(MONTH(B180)=6,MONTH(B180)=12),I179&lt;計算過程!$B$50),I179+1,I179))</f>
        <v/>
      </c>
      <c r="J180" s="56" t="str">
        <f aca="false">IF(A180="","",IF(I180&gt;I179,計算過程!$B$57,0))</f>
        <v/>
      </c>
      <c r="K180" s="56" t="str">
        <f aca="false">IF(A180="","",IF(I180&gt;I179,ROUND(M179*計算過程!$B$55,0),0))</f>
        <v/>
      </c>
      <c r="L180" s="56" t="str">
        <f aca="false">IF(A180="","",J180-K180)</f>
        <v/>
      </c>
      <c r="M180" s="56" t="str">
        <f aca="false">IF(A180="","",IF(I180&gt;I179,MAX(0,M179*(1+計算過程!$B$55)-計算過程!$B$56),M179))</f>
        <v/>
      </c>
      <c r="N180" s="56" t="str">
        <f aca="false">IF(A180="","",C180+J180)</f>
        <v/>
      </c>
      <c r="O180" s="56" t="str">
        <f aca="false">IF(A180="","",H180+M180)</f>
        <v/>
      </c>
    </row>
    <row r="181" customFormat="false" ht="15" hidden="false" customHeight="false" outlineLevel="0" collapsed="false">
      <c r="A181" s="55" t="str">
        <f aca="false">IF(ROWS($A$8:A181)&lt;=計算過程!$B$51,ROWS($A$8:A181),"")</f>
        <v/>
      </c>
      <c r="B181" s="57" t="str">
        <f aca="false">IF(A181="","",EDATE(計算過程!$B$71,A181-1))</f>
        <v/>
      </c>
      <c r="C181" s="56" t="str">
        <f aca="false">IF(A181="","",計算過程!$B$54)</f>
        <v/>
      </c>
      <c r="D181" s="56" t="str">
        <f aca="false">IF(A181="","",ROUND(F180*計算過程!$B$24/12+G180*計算過程!$B$25/12,0))</f>
        <v/>
      </c>
      <c r="E181" s="56" t="str">
        <f aca="false">IF(A181="","",C181-D181)</f>
        <v/>
      </c>
      <c r="F181" s="56" t="str">
        <f aca="false">IF(A181="","",MAX(0,F180*(1+計算過程!$B$24/12)-計算過程!$B$52))</f>
        <v/>
      </c>
      <c r="G181" s="56" t="str">
        <f aca="false">IF(A181="","",MAX(0,G180*(1+計算過程!$B$25/12)-計算過程!$B$53))</f>
        <v/>
      </c>
      <c r="H181" s="56" t="str">
        <f aca="false">IF(A181="","",F181+G181)</f>
        <v/>
      </c>
      <c r="I181" s="55" t="str">
        <f aca="false">IF(A181="","",IF(AND(OR(MONTH(B181)=6,MONTH(B181)=12),I180&lt;計算過程!$B$50),I180+1,I180))</f>
        <v/>
      </c>
      <c r="J181" s="56" t="str">
        <f aca="false">IF(A181="","",IF(I181&gt;I180,計算過程!$B$57,0))</f>
        <v/>
      </c>
      <c r="K181" s="56" t="str">
        <f aca="false">IF(A181="","",IF(I181&gt;I180,ROUND(M180*計算過程!$B$55,0),0))</f>
        <v/>
      </c>
      <c r="L181" s="56" t="str">
        <f aca="false">IF(A181="","",J181-K181)</f>
        <v/>
      </c>
      <c r="M181" s="56" t="str">
        <f aca="false">IF(A181="","",IF(I181&gt;I180,MAX(0,M180*(1+計算過程!$B$55)-計算過程!$B$56),M180))</f>
        <v/>
      </c>
      <c r="N181" s="56" t="str">
        <f aca="false">IF(A181="","",C181+J181)</f>
        <v/>
      </c>
      <c r="O181" s="56" t="str">
        <f aca="false">IF(A181="","",H181+M181)</f>
        <v/>
      </c>
    </row>
    <row r="182" customFormat="false" ht="15" hidden="false" customHeight="false" outlineLevel="0" collapsed="false">
      <c r="A182" s="55" t="str">
        <f aca="false">IF(ROWS($A$8:A182)&lt;=計算過程!$B$51,ROWS($A$8:A182),"")</f>
        <v/>
      </c>
      <c r="B182" s="57" t="str">
        <f aca="false">IF(A182="","",EDATE(計算過程!$B$71,A182-1))</f>
        <v/>
      </c>
      <c r="C182" s="56" t="str">
        <f aca="false">IF(A182="","",計算過程!$B$54)</f>
        <v/>
      </c>
      <c r="D182" s="56" t="str">
        <f aca="false">IF(A182="","",ROUND(F181*計算過程!$B$24/12+G181*計算過程!$B$25/12,0))</f>
        <v/>
      </c>
      <c r="E182" s="56" t="str">
        <f aca="false">IF(A182="","",C182-D182)</f>
        <v/>
      </c>
      <c r="F182" s="56" t="str">
        <f aca="false">IF(A182="","",MAX(0,F181*(1+計算過程!$B$24/12)-計算過程!$B$52))</f>
        <v/>
      </c>
      <c r="G182" s="56" t="str">
        <f aca="false">IF(A182="","",MAX(0,G181*(1+計算過程!$B$25/12)-計算過程!$B$53))</f>
        <v/>
      </c>
      <c r="H182" s="56" t="str">
        <f aca="false">IF(A182="","",F182+G182)</f>
        <v/>
      </c>
      <c r="I182" s="55" t="str">
        <f aca="false">IF(A182="","",IF(AND(OR(MONTH(B182)=6,MONTH(B182)=12),I181&lt;計算過程!$B$50),I181+1,I181))</f>
        <v/>
      </c>
      <c r="J182" s="56" t="str">
        <f aca="false">IF(A182="","",IF(I182&gt;I181,計算過程!$B$57,0))</f>
        <v/>
      </c>
      <c r="K182" s="56" t="str">
        <f aca="false">IF(A182="","",IF(I182&gt;I181,ROUND(M181*計算過程!$B$55,0),0))</f>
        <v/>
      </c>
      <c r="L182" s="56" t="str">
        <f aca="false">IF(A182="","",J182-K182)</f>
        <v/>
      </c>
      <c r="M182" s="56" t="str">
        <f aca="false">IF(A182="","",IF(I182&gt;I181,MAX(0,M181*(1+計算過程!$B$55)-計算過程!$B$56),M181))</f>
        <v/>
      </c>
      <c r="N182" s="56" t="str">
        <f aca="false">IF(A182="","",C182+J182)</f>
        <v/>
      </c>
      <c r="O182" s="56" t="str">
        <f aca="false">IF(A182="","",H182+M182)</f>
        <v/>
      </c>
    </row>
    <row r="183" customFormat="false" ht="15" hidden="false" customHeight="false" outlineLevel="0" collapsed="false">
      <c r="A183" s="55" t="str">
        <f aca="false">IF(ROWS($A$8:A183)&lt;=計算過程!$B$51,ROWS($A$8:A183),"")</f>
        <v/>
      </c>
      <c r="B183" s="57" t="str">
        <f aca="false">IF(A183="","",EDATE(計算過程!$B$71,A183-1))</f>
        <v/>
      </c>
      <c r="C183" s="56" t="str">
        <f aca="false">IF(A183="","",計算過程!$B$54)</f>
        <v/>
      </c>
      <c r="D183" s="56" t="str">
        <f aca="false">IF(A183="","",ROUND(F182*計算過程!$B$24/12+G182*計算過程!$B$25/12,0))</f>
        <v/>
      </c>
      <c r="E183" s="56" t="str">
        <f aca="false">IF(A183="","",C183-D183)</f>
        <v/>
      </c>
      <c r="F183" s="56" t="str">
        <f aca="false">IF(A183="","",MAX(0,F182*(1+計算過程!$B$24/12)-計算過程!$B$52))</f>
        <v/>
      </c>
      <c r="G183" s="56" t="str">
        <f aca="false">IF(A183="","",MAX(0,G182*(1+計算過程!$B$25/12)-計算過程!$B$53))</f>
        <v/>
      </c>
      <c r="H183" s="56" t="str">
        <f aca="false">IF(A183="","",F183+G183)</f>
        <v/>
      </c>
      <c r="I183" s="55" t="str">
        <f aca="false">IF(A183="","",IF(AND(OR(MONTH(B183)=6,MONTH(B183)=12),I182&lt;計算過程!$B$50),I182+1,I182))</f>
        <v/>
      </c>
      <c r="J183" s="56" t="str">
        <f aca="false">IF(A183="","",IF(I183&gt;I182,計算過程!$B$57,0))</f>
        <v/>
      </c>
      <c r="K183" s="56" t="str">
        <f aca="false">IF(A183="","",IF(I183&gt;I182,ROUND(M182*計算過程!$B$55,0),0))</f>
        <v/>
      </c>
      <c r="L183" s="56" t="str">
        <f aca="false">IF(A183="","",J183-K183)</f>
        <v/>
      </c>
      <c r="M183" s="56" t="str">
        <f aca="false">IF(A183="","",IF(I183&gt;I182,MAX(0,M182*(1+計算過程!$B$55)-計算過程!$B$56),M182))</f>
        <v/>
      </c>
      <c r="N183" s="56" t="str">
        <f aca="false">IF(A183="","",C183+J183)</f>
        <v/>
      </c>
      <c r="O183" s="56" t="str">
        <f aca="false">IF(A183="","",H183+M183)</f>
        <v/>
      </c>
    </row>
    <row r="184" customFormat="false" ht="15" hidden="false" customHeight="false" outlineLevel="0" collapsed="false">
      <c r="A184" s="55" t="str">
        <f aca="false">IF(ROWS($A$8:A184)&lt;=計算過程!$B$51,ROWS($A$8:A184),"")</f>
        <v/>
      </c>
      <c r="B184" s="57" t="str">
        <f aca="false">IF(A184="","",EDATE(計算過程!$B$71,A184-1))</f>
        <v/>
      </c>
      <c r="C184" s="56" t="str">
        <f aca="false">IF(A184="","",計算過程!$B$54)</f>
        <v/>
      </c>
      <c r="D184" s="56" t="str">
        <f aca="false">IF(A184="","",ROUND(F183*計算過程!$B$24/12+G183*計算過程!$B$25/12,0))</f>
        <v/>
      </c>
      <c r="E184" s="56" t="str">
        <f aca="false">IF(A184="","",C184-D184)</f>
        <v/>
      </c>
      <c r="F184" s="56" t="str">
        <f aca="false">IF(A184="","",MAX(0,F183*(1+計算過程!$B$24/12)-計算過程!$B$52))</f>
        <v/>
      </c>
      <c r="G184" s="56" t="str">
        <f aca="false">IF(A184="","",MAX(0,G183*(1+計算過程!$B$25/12)-計算過程!$B$53))</f>
        <v/>
      </c>
      <c r="H184" s="56" t="str">
        <f aca="false">IF(A184="","",F184+G184)</f>
        <v/>
      </c>
      <c r="I184" s="55" t="str">
        <f aca="false">IF(A184="","",IF(AND(OR(MONTH(B184)=6,MONTH(B184)=12),I183&lt;計算過程!$B$50),I183+1,I183))</f>
        <v/>
      </c>
      <c r="J184" s="56" t="str">
        <f aca="false">IF(A184="","",IF(I184&gt;I183,計算過程!$B$57,0))</f>
        <v/>
      </c>
      <c r="K184" s="56" t="str">
        <f aca="false">IF(A184="","",IF(I184&gt;I183,ROUND(M183*計算過程!$B$55,0),0))</f>
        <v/>
      </c>
      <c r="L184" s="56" t="str">
        <f aca="false">IF(A184="","",J184-K184)</f>
        <v/>
      </c>
      <c r="M184" s="56" t="str">
        <f aca="false">IF(A184="","",IF(I184&gt;I183,MAX(0,M183*(1+計算過程!$B$55)-計算過程!$B$56),M183))</f>
        <v/>
      </c>
      <c r="N184" s="56" t="str">
        <f aca="false">IF(A184="","",C184+J184)</f>
        <v/>
      </c>
      <c r="O184" s="56" t="str">
        <f aca="false">IF(A184="","",H184+M184)</f>
        <v/>
      </c>
    </row>
    <row r="185" customFormat="false" ht="15" hidden="false" customHeight="false" outlineLevel="0" collapsed="false">
      <c r="A185" s="55" t="str">
        <f aca="false">IF(ROWS($A$8:A185)&lt;=計算過程!$B$51,ROWS($A$8:A185),"")</f>
        <v/>
      </c>
      <c r="B185" s="57" t="str">
        <f aca="false">IF(A185="","",EDATE(計算過程!$B$71,A185-1))</f>
        <v/>
      </c>
      <c r="C185" s="56" t="str">
        <f aca="false">IF(A185="","",計算過程!$B$54)</f>
        <v/>
      </c>
      <c r="D185" s="56" t="str">
        <f aca="false">IF(A185="","",ROUND(F184*計算過程!$B$24/12+G184*計算過程!$B$25/12,0))</f>
        <v/>
      </c>
      <c r="E185" s="56" t="str">
        <f aca="false">IF(A185="","",C185-D185)</f>
        <v/>
      </c>
      <c r="F185" s="56" t="str">
        <f aca="false">IF(A185="","",MAX(0,F184*(1+計算過程!$B$24/12)-計算過程!$B$52))</f>
        <v/>
      </c>
      <c r="G185" s="56" t="str">
        <f aca="false">IF(A185="","",MAX(0,G184*(1+計算過程!$B$25/12)-計算過程!$B$53))</f>
        <v/>
      </c>
      <c r="H185" s="56" t="str">
        <f aca="false">IF(A185="","",F185+G185)</f>
        <v/>
      </c>
      <c r="I185" s="55" t="str">
        <f aca="false">IF(A185="","",IF(AND(OR(MONTH(B185)=6,MONTH(B185)=12),I184&lt;計算過程!$B$50),I184+1,I184))</f>
        <v/>
      </c>
      <c r="J185" s="56" t="str">
        <f aca="false">IF(A185="","",IF(I185&gt;I184,計算過程!$B$57,0))</f>
        <v/>
      </c>
      <c r="K185" s="56" t="str">
        <f aca="false">IF(A185="","",IF(I185&gt;I184,ROUND(M184*計算過程!$B$55,0),0))</f>
        <v/>
      </c>
      <c r="L185" s="56" t="str">
        <f aca="false">IF(A185="","",J185-K185)</f>
        <v/>
      </c>
      <c r="M185" s="56" t="str">
        <f aca="false">IF(A185="","",IF(I185&gt;I184,MAX(0,M184*(1+計算過程!$B$55)-計算過程!$B$56),M184))</f>
        <v/>
      </c>
      <c r="N185" s="56" t="str">
        <f aca="false">IF(A185="","",C185+J185)</f>
        <v/>
      </c>
      <c r="O185" s="56" t="str">
        <f aca="false">IF(A185="","",H185+M185)</f>
        <v/>
      </c>
    </row>
    <row r="186" customFormat="false" ht="15" hidden="false" customHeight="false" outlineLevel="0" collapsed="false">
      <c r="A186" s="55" t="str">
        <f aca="false">IF(ROWS($A$8:A186)&lt;=計算過程!$B$51,ROWS($A$8:A186),"")</f>
        <v/>
      </c>
      <c r="B186" s="57" t="str">
        <f aca="false">IF(A186="","",EDATE(計算過程!$B$71,A186-1))</f>
        <v/>
      </c>
      <c r="C186" s="56" t="str">
        <f aca="false">IF(A186="","",計算過程!$B$54)</f>
        <v/>
      </c>
      <c r="D186" s="56" t="str">
        <f aca="false">IF(A186="","",ROUND(F185*計算過程!$B$24/12+G185*計算過程!$B$25/12,0))</f>
        <v/>
      </c>
      <c r="E186" s="56" t="str">
        <f aca="false">IF(A186="","",C186-D186)</f>
        <v/>
      </c>
      <c r="F186" s="56" t="str">
        <f aca="false">IF(A186="","",MAX(0,F185*(1+計算過程!$B$24/12)-計算過程!$B$52))</f>
        <v/>
      </c>
      <c r="G186" s="56" t="str">
        <f aca="false">IF(A186="","",MAX(0,G185*(1+計算過程!$B$25/12)-計算過程!$B$53))</f>
        <v/>
      </c>
      <c r="H186" s="56" t="str">
        <f aca="false">IF(A186="","",F186+G186)</f>
        <v/>
      </c>
      <c r="I186" s="55" t="str">
        <f aca="false">IF(A186="","",IF(AND(OR(MONTH(B186)=6,MONTH(B186)=12),I185&lt;計算過程!$B$50),I185+1,I185))</f>
        <v/>
      </c>
      <c r="J186" s="56" t="str">
        <f aca="false">IF(A186="","",IF(I186&gt;I185,計算過程!$B$57,0))</f>
        <v/>
      </c>
      <c r="K186" s="56" t="str">
        <f aca="false">IF(A186="","",IF(I186&gt;I185,ROUND(M185*計算過程!$B$55,0),0))</f>
        <v/>
      </c>
      <c r="L186" s="56" t="str">
        <f aca="false">IF(A186="","",J186-K186)</f>
        <v/>
      </c>
      <c r="M186" s="56" t="str">
        <f aca="false">IF(A186="","",IF(I186&gt;I185,MAX(0,M185*(1+計算過程!$B$55)-計算過程!$B$56),M185))</f>
        <v/>
      </c>
      <c r="N186" s="56" t="str">
        <f aca="false">IF(A186="","",C186+J186)</f>
        <v/>
      </c>
      <c r="O186" s="56" t="str">
        <f aca="false">IF(A186="","",H186+M186)</f>
        <v/>
      </c>
    </row>
    <row r="187" customFormat="false" ht="15" hidden="false" customHeight="false" outlineLevel="0" collapsed="false">
      <c r="A187" s="55" t="str">
        <f aca="false">IF(ROWS($A$8:A187)&lt;=計算過程!$B$51,ROWS($A$8:A187),"")</f>
        <v/>
      </c>
      <c r="B187" s="57" t="str">
        <f aca="false">IF(A187="","",EDATE(計算過程!$B$71,A187-1))</f>
        <v/>
      </c>
      <c r="C187" s="56" t="str">
        <f aca="false">IF(A187="","",計算過程!$B$54)</f>
        <v/>
      </c>
      <c r="D187" s="56" t="str">
        <f aca="false">IF(A187="","",ROUND(F186*計算過程!$B$24/12+G186*計算過程!$B$25/12,0))</f>
        <v/>
      </c>
      <c r="E187" s="56" t="str">
        <f aca="false">IF(A187="","",C187-D187)</f>
        <v/>
      </c>
      <c r="F187" s="56" t="str">
        <f aca="false">IF(A187="","",MAX(0,F186*(1+計算過程!$B$24/12)-計算過程!$B$52))</f>
        <v/>
      </c>
      <c r="G187" s="56" t="str">
        <f aca="false">IF(A187="","",MAX(0,G186*(1+計算過程!$B$25/12)-計算過程!$B$53))</f>
        <v/>
      </c>
      <c r="H187" s="56" t="str">
        <f aca="false">IF(A187="","",F187+G187)</f>
        <v/>
      </c>
      <c r="I187" s="55" t="str">
        <f aca="false">IF(A187="","",IF(AND(OR(MONTH(B187)=6,MONTH(B187)=12),I186&lt;計算過程!$B$50),I186+1,I186))</f>
        <v/>
      </c>
      <c r="J187" s="56" t="str">
        <f aca="false">IF(A187="","",IF(I187&gt;I186,計算過程!$B$57,0))</f>
        <v/>
      </c>
      <c r="K187" s="56" t="str">
        <f aca="false">IF(A187="","",IF(I187&gt;I186,ROUND(M186*計算過程!$B$55,0),0))</f>
        <v/>
      </c>
      <c r="L187" s="56" t="str">
        <f aca="false">IF(A187="","",J187-K187)</f>
        <v/>
      </c>
      <c r="M187" s="56" t="str">
        <f aca="false">IF(A187="","",IF(I187&gt;I186,MAX(0,M186*(1+計算過程!$B$55)-計算過程!$B$56),M186))</f>
        <v/>
      </c>
      <c r="N187" s="56" t="str">
        <f aca="false">IF(A187="","",C187+J187)</f>
        <v/>
      </c>
      <c r="O187" s="56" t="str">
        <f aca="false">IF(A187="","",H187+M187)</f>
        <v/>
      </c>
    </row>
    <row r="188" customFormat="false" ht="15" hidden="false" customHeight="false" outlineLevel="0" collapsed="false">
      <c r="A188" s="55" t="str">
        <f aca="false">IF(ROWS($A$8:A188)&lt;=計算過程!$B$51,ROWS($A$8:A188),"")</f>
        <v/>
      </c>
      <c r="B188" s="57" t="str">
        <f aca="false">IF(A188="","",EDATE(計算過程!$B$71,A188-1))</f>
        <v/>
      </c>
      <c r="C188" s="56" t="str">
        <f aca="false">IF(A188="","",計算過程!$B$54)</f>
        <v/>
      </c>
      <c r="D188" s="56" t="str">
        <f aca="false">IF(A188="","",ROUND(F187*計算過程!$B$24/12+G187*計算過程!$B$25/12,0))</f>
        <v/>
      </c>
      <c r="E188" s="56" t="str">
        <f aca="false">IF(A188="","",C188-D188)</f>
        <v/>
      </c>
      <c r="F188" s="56" t="str">
        <f aca="false">IF(A188="","",MAX(0,F187*(1+計算過程!$B$24/12)-計算過程!$B$52))</f>
        <v/>
      </c>
      <c r="G188" s="56" t="str">
        <f aca="false">IF(A188="","",MAX(0,G187*(1+計算過程!$B$25/12)-計算過程!$B$53))</f>
        <v/>
      </c>
      <c r="H188" s="56" t="str">
        <f aca="false">IF(A188="","",F188+G188)</f>
        <v/>
      </c>
      <c r="I188" s="55" t="str">
        <f aca="false">IF(A188="","",IF(AND(OR(MONTH(B188)=6,MONTH(B188)=12),I187&lt;計算過程!$B$50),I187+1,I187))</f>
        <v/>
      </c>
      <c r="J188" s="56" t="str">
        <f aca="false">IF(A188="","",IF(I188&gt;I187,計算過程!$B$57,0))</f>
        <v/>
      </c>
      <c r="K188" s="56" t="str">
        <f aca="false">IF(A188="","",IF(I188&gt;I187,ROUND(M187*計算過程!$B$55,0),0))</f>
        <v/>
      </c>
      <c r="L188" s="56" t="str">
        <f aca="false">IF(A188="","",J188-K188)</f>
        <v/>
      </c>
      <c r="M188" s="56" t="str">
        <f aca="false">IF(A188="","",IF(I188&gt;I187,MAX(0,M187*(1+計算過程!$B$55)-計算過程!$B$56),M187))</f>
        <v/>
      </c>
      <c r="N188" s="56" t="str">
        <f aca="false">IF(A188="","",C188+J188)</f>
        <v/>
      </c>
      <c r="O188" s="56" t="str">
        <f aca="false">IF(A188="","",H188+M188)</f>
        <v/>
      </c>
    </row>
    <row r="189" customFormat="false" ht="15" hidden="false" customHeight="false" outlineLevel="0" collapsed="false">
      <c r="A189" s="55" t="str">
        <f aca="false">IF(ROWS($A$8:A189)&lt;=計算過程!$B$51,ROWS($A$8:A189),"")</f>
        <v/>
      </c>
      <c r="B189" s="57" t="str">
        <f aca="false">IF(A189="","",EDATE(計算過程!$B$71,A189-1))</f>
        <v/>
      </c>
      <c r="C189" s="56" t="str">
        <f aca="false">IF(A189="","",計算過程!$B$54)</f>
        <v/>
      </c>
      <c r="D189" s="56" t="str">
        <f aca="false">IF(A189="","",ROUND(F188*計算過程!$B$24/12+G188*計算過程!$B$25/12,0))</f>
        <v/>
      </c>
      <c r="E189" s="56" t="str">
        <f aca="false">IF(A189="","",C189-D189)</f>
        <v/>
      </c>
      <c r="F189" s="56" t="str">
        <f aca="false">IF(A189="","",MAX(0,F188*(1+計算過程!$B$24/12)-計算過程!$B$52))</f>
        <v/>
      </c>
      <c r="G189" s="56" t="str">
        <f aca="false">IF(A189="","",MAX(0,G188*(1+計算過程!$B$25/12)-計算過程!$B$53))</f>
        <v/>
      </c>
      <c r="H189" s="56" t="str">
        <f aca="false">IF(A189="","",F189+G189)</f>
        <v/>
      </c>
      <c r="I189" s="55" t="str">
        <f aca="false">IF(A189="","",IF(AND(OR(MONTH(B189)=6,MONTH(B189)=12),I188&lt;計算過程!$B$50),I188+1,I188))</f>
        <v/>
      </c>
      <c r="J189" s="56" t="str">
        <f aca="false">IF(A189="","",IF(I189&gt;I188,計算過程!$B$57,0))</f>
        <v/>
      </c>
      <c r="K189" s="56" t="str">
        <f aca="false">IF(A189="","",IF(I189&gt;I188,ROUND(M188*計算過程!$B$55,0),0))</f>
        <v/>
      </c>
      <c r="L189" s="56" t="str">
        <f aca="false">IF(A189="","",J189-K189)</f>
        <v/>
      </c>
      <c r="M189" s="56" t="str">
        <f aca="false">IF(A189="","",IF(I189&gt;I188,MAX(0,M188*(1+計算過程!$B$55)-計算過程!$B$56),M188))</f>
        <v/>
      </c>
      <c r="N189" s="56" t="str">
        <f aca="false">IF(A189="","",C189+J189)</f>
        <v/>
      </c>
      <c r="O189" s="56" t="str">
        <f aca="false">IF(A189="","",H189+M189)</f>
        <v/>
      </c>
    </row>
    <row r="190" customFormat="false" ht="15" hidden="false" customHeight="false" outlineLevel="0" collapsed="false">
      <c r="A190" s="55" t="str">
        <f aca="false">IF(ROWS($A$8:A190)&lt;=計算過程!$B$51,ROWS($A$8:A190),"")</f>
        <v/>
      </c>
      <c r="B190" s="57" t="str">
        <f aca="false">IF(A190="","",EDATE(計算過程!$B$71,A190-1))</f>
        <v/>
      </c>
      <c r="C190" s="56" t="str">
        <f aca="false">IF(A190="","",計算過程!$B$54)</f>
        <v/>
      </c>
      <c r="D190" s="56" t="str">
        <f aca="false">IF(A190="","",ROUND(F189*計算過程!$B$24/12+G189*計算過程!$B$25/12,0))</f>
        <v/>
      </c>
      <c r="E190" s="56" t="str">
        <f aca="false">IF(A190="","",C190-D190)</f>
        <v/>
      </c>
      <c r="F190" s="56" t="str">
        <f aca="false">IF(A190="","",MAX(0,F189*(1+計算過程!$B$24/12)-計算過程!$B$52))</f>
        <v/>
      </c>
      <c r="G190" s="56" t="str">
        <f aca="false">IF(A190="","",MAX(0,G189*(1+計算過程!$B$25/12)-計算過程!$B$53))</f>
        <v/>
      </c>
      <c r="H190" s="56" t="str">
        <f aca="false">IF(A190="","",F190+G190)</f>
        <v/>
      </c>
      <c r="I190" s="55" t="str">
        <f aca="false">IF(A190="","",IF(AND(OR(MONTH(B190)=6,MONTH(B190)=12),I189&lt;計算過程!$B$50),I189+1,I189))</f>
        <v/>
      </c>
      <c r="J190" s="56" t="str">
        <f aca="false">IF(A190="","",IF(I190&gt;I189,計算過程!$B$57,0))</f>
        <v/>
      </c>
      <c r="K190" s="56" t="str">
        <f aca="false">IF(A190="","",IF(I190&gt;I189,ROUND(M189*計算過程!$B$55,0),0))</f>
        <v/>
      </c>
      <c r="L190" s="56" t="str">
        <f aca="false">IF(A190="","",J190-K190)</f>
        <v/>
      </c>
      <c r="M190" s="56" t="str">
        <f aca="false">IF(A190="","",IF(I190&gt;I189,MAX(0,M189*(1+計算過程!$B$55)-計算過程!$B$56),M189))</f>
        <v/>
      </c>
      <c r="N190" s="56" t="str">
        <f aca="false">IF(A190="","",C190+J190)</f>
        <v/>
      </c>
      <c r="O190" s="56" t="str">
        <f aca="false">IF(A190="","",H190+M190)</f>
        <v/>
      </c>
    </row>
    <row r="191" customFormat="false" ht="15" hidden="false" customHeight="false" outlineLevel="0" collapsed="false">
      <c r="A191" s="55" t="str">
        <f aca="false">IF(ROWS($A$8:A191)&lt;=計算過程!$B$51,ROWS($A$8:A191),"")</f>
        <v/>
      </c>
      <c r="B191" s="57" t="str">
        <f aca="false">IF(A191="","",EDATE(計算過程!$B$71,A191-1))</f>
        <v/>
      </c>
      <c r="C191" s="56" t="str">
        <f aca="false">IF(A191="","",計算過程!$B$54)</f>
        <v/>
      </c>
      <c r="D191" s="56" t="str">
        <f aca="false">IF(A191="","",ROUND(F190*計算過程!$B$24/12+G190*計算過程!$B$25/12,0))</f>
        <v/>
      </c>
      <c r="E191" s="56" t="str">
        <f aca="false">IF(A191="","",C191-D191)</f>
        <v/>
      </c>
      <c r="F191" s="56" t="str">
        <f aca="false">IF(A191="","",MAX(0,F190*(1+計算過程!$B$24/12)-計算過程!$B$52))</f>
        <v/>
      </c>
      <c r="G191" s="56" t="str">
        <f aca="false">IF(A191="","",MAX(0,G190*(1+計算過程!$B$25/12)-計算過程!$B$53))</f>
        <v/>
      </c>
      <c r="H191" s="56" t="str">
        <f aca="false">IF(A191="","",F191+G191)</f>
        <v/>
      </c>
      <c r="I191" s="55" t="str">
        <f aca="false">IF(A191="","",IF(AND(OR(MONTH(B191)=6,MONTH(B191)=12),I190&lt;計算過程!$B$50),I190+1,I190))</f>
        <v/>
      </c>
      <c r="J191" s="56" t="str">
        <f aca="false">IF(A191="","",IF(I191&gt;I190,計算過程!$B$57,0))</f>
        <v/>
      </c>
      <c r="K191" s="56" t="str">
        <f aca="false">IF(A191="","",IF(I191&gt;I190,ROUND(M190*計算過程!$B$55,0),0))</f>
        <v/>
      </c>
      <c r="L191" s="56" t="str">
        <f aca="false">IF(A191="","",J191-K191)</f>
        <v/>
      </c>
      <c r="M191" s="56" t="str">
        <f aca="false">IF(A191="","",IF(I191&gt;I190,MAX(0,M190*(1+計算過程!$B$55)-計算過程!$B$56),M190))</f>
        <v/>
      </c>
      <c r="N191" s="56" t="str">
        <f aca="false">IF(A191="","",C191+J191)</f>
        <v/>
      </c>
      <c r="O191" s="56" t="str">
        <f aca="false">IF(A191="","",H191+M191)</f>
        <v/>
      </c>
    </row>
    <row r="192" customFormat="false" ht="15" hidden="false" customHeight="false" outlineLevel="0" collapsed="false">
      <c r="A192" s="55" t="str">
        <f aca="false">IF(ROWS($A$8:A192)&lt;=計算過程!$B$51,ROWS($A$8:A192),"")</f>
        <v/>
      </c>
      <c r="B192" s="57" t="str">
        <f aca="false">IF(A192="","",EDATE(計算過程!$B$71,A192-1))</f>
        <v/>
      </c>
      <c r="C192" s="56" t="str">
        <f aca="false">IF(A192="","",計算過程!$B$54)</f>
        <v/>
      </c>
      <c r="D192" s="56" t="str">
        <f aca="false">IF(A192="","",ROUND(F191*計算過程!$B$24/12+G191*計算過程!$B$25/12,0))</f>
        <v/>
      </c>
      <c r="E192" s="56" t="str">
        <f aca="false">IF(A192="","",C192-D192)</f>
        <v/>
      </c>
      <c r="F192" s="56" t="str">
        <f aca="false">IF(A192="","",MAX(0,F191*(1+計算過程!$B$24/12)-計算過程!$B$52))</f>
        <v/>
      </c>
      <c r="G192" s="56" t="str">
        <f aca="false">IF(A192="","",MAX(0,G191*(1+計算過程!$B$25/12)-計算過程!$B$53))</f>
        <v/>
      </c>
      <c r="H192" s="56" t="str">
        <f aca="false">IF(A192="","",F192+G192)</f>
        <v/>
      </c>
      <c r="I192" s="55" t="str">
        <f aca="false">IF(A192="","",IF(AND(OR(MONTH(B192)=6,MONTH(B192)=12),I191&lt;計算過程!$B$50),I191+1,I191))</f>
        <v/>
      </c>
      <c r="J192" s="56" t="str">
        <f aca="false">IF(A192="","",IF(I192&gt;I191,計算過程!$B$57,0))</f>
        <v/>
      </c>
      <c r="K192" s="56" t="str">
        <f aca="false">IF(A192="","",IF(I192&gt;I191,ROUND(M191*計算過程!$B$55,0),0))</f>
        <v/>
      </c>
      <c r="L192" s="56" t="str">
        <f aca="false">IF(A192="","",J192-K192)</f>
        <v/>
      </c>
      <c r="M192" s="56" t="str">
        <f aca="false">IF(A192="","",IF(I192&gt;I191,MAX(0,M191*(1+計算過程!$B$55)-計算過程!$B$56),M191))</f>
        <v/>
      </c>
      <c r="N192" s="56" t="str">
        <f aca="false">IF(A192="","",C192+J192)</f>
        <v/>
      </c>
      <c r="O192" s="56" t="str">
        <f aca="false">IF(A192="","",H192+M192)</f>
        <v/>
      </c>
    </row>
    <row r="193" customFormat="false" ht="15" hidden="false" customHeight="false" outlineLevel="0" collapsed="false">
      <c r="A193" s="55" t="str">
        <f aca="false">IF(ROWS($A$8:A193)&lt;=計算過程!$B$51,ROWS($A$8:A193),"")</f>
        <v/>
      </c>
      <c r="B193" s="57" t="str">
        <f aca="false">IF(A193="","",EDATE(計算過程!$B$71,A193-1))</f>
        <v/>
      </c>
      <c r="C193" s="56" t="str">
        <f aca="false">IF(A193="","",計算過程!$B$54)</f>
        <v/>
      </c>
      <c r="D193" s="56" t="str">
        <f aca="false">IF(A193="","",ROUND(F192*計算過程!$B$24/12+G192*計算過程!$B$25/12,0))</f>
        <v/>
      </c>
      <c r="E193" s="56" t="str">
        <f aca="false">IF(A193="","",C193-D193)</f>
        <v/>
      </c>
      <c r="F193" s="56" t="str">
        <f aca="false">IF(A193="","",MAX(0,F192*(1+計算過程!$B$24/12)-計算過程!$B$52))</f>
        <v/>
      </c>
      <c r="G193" s="56" t="str">
        <f aca="false">IF(A193="","",MAX(0,G192*(1+計算過程!$B$25/12)-計算過程!$B$53))</f>
        <v/>
      </c>
      <c r="H193" s="56" t="str">
        <f aca="false">IF(A193="","",F193+G193)</f>
        <v/>
      </c>
      <c r="I193" s="55" t="str">
        <f aca="false">IF(A193="","",IF(AND(OR(MONTH(B193)=6,MONTH(B193)=12),I192&lt;計算過程!$B$50),I192+1,I192))</f>
        <v/>
      </c>
      <c r="J193" s="56" t="str">
        <f aca="false">IF(A193="","",IF(I193&gt;I192,計算過程!$B$57,0))</f>
        <v/>
      </c>
      <c r="K193" s="56" t="str">
        <f aca="false">IF(A193="","",IF(I193&gt;I192,ROUND(M192*計算過程!$B$55,0),0))</f>
        <v/>
      </c>
      <c r="L193" s="56" t="str">
        <f aca="false">IF(A193="","",J193-K193)</f>
        <v/>
      </c>
      <c r="M193" s="56" t="str">
        <f aca="false">IF(A193="","",IF(I193&gt;I192,MAX(0,M192*(1+計算過程!$B$55)-計算過程!$B$56),M192))</f>
        <v/>
      </c>
      <c r="N193" s="56" t="str">
        <f aca="false">IF(A193="","",C193+J193)</f>
        <v/>
      </c>
      <c r="O193" s="56" t="str">
        <f aca="false">IF(A193="","",H193+M193)</f>
        <v/>
      </c>
    </row>
    <row r="194" customFormat="false" ht="15" hidden="false" customHeight="false" outlineLevel="0" collapsed="false">
      <c r="A194" s="55" t="str">
        <f aca="false">IF(ROWS($A$8:A194)&lt;=計算過程!$B$51,ROWS($A$8:A194),"")</f>
        <v/>
      </c>
      <c r="B194" s="57" t="str">
        <f aca="false">IF(A194="","",EDATE(計算過程!$B$71,A194-1))</f>
        <v/>
      </c>
      <c r="C194" s="56" t="str">
        <f aca="false">IF(A194="","",計算過程!$B$54)</f>
        <v/>
      </c>
      <c r="D194" s="56" t="str">
        <f aca="false">IF(A194="","",ROUND(F193*計算過程!$B$24/12+G193*計算過程!$B$25/12,0))</f>
        <v/>
      </c>
      <c r="E194" s="56" t="str">
        <f aca="false">IF(A194="","",C194-D194)</f>
        <v/>
      </c>
      <c r="F194" s="56" t="str">
        <f aca="false">IF(A194="","",MAX(0,F193*(1+計算過程!$B$24/12)-計算過程!$B$52))</f>
        <v/>
      </c>
      <c r="G194" s="56" t="str">
        <f aca="false">IF(A194="","",MAX(0,G193*(1+計算過程!$B$25/12)-計算過程!$B$53))</f>
        <v/>
      </c>
      <c r="H194" s="56" t="str">
        <f aca="false">IF(A194="","",F194+G194)</f>
        <v/>
      </c>
      <c r="I194" s="55" t="str">
        <f aca="false">IF(A194="","",IF(AND(OR(MONTH(B194)=6,MONTH(B194)=12),I193&lt;計算過程!$B$50),I193+1,I193))</f>
        <v/>
      </c>
      <c r="J194" s="56" t="str">
        <f aca="false">IF(A194="","",IF(I194&gt;I193,計算過程!$B$57,0))</f>
        <v/>
      </c>
      <c r="K194" s="56" t="str">
        <f aca="false">IF(A194="","",IF(I194&gt;I193,ROUND(M193*計算過程!$B$55,0),0))</f>
        <v/>
      </c>
      <c r="L194" s="56" t="str">
        <f aca="false">IF(A194="","",J194-K194)</f>
        <v/>
      </c>
      <c r="M194" s="56" t="str">
        <f aca="false">IF(A194="","",IF(I194&gt;I193,MAX(0,M193*(1+計算過程!$B$55)-計算過程!$B$56),M193))</f>
        <v/>
      </c>
      <c r="N194" s="56" t="str">
        <f aca="false">IF(A194="","",C194+J194)</f>
        <v/>
      </c>
      <c r="O194" s="56" t="str">
        <f aca="false">IF(A194="","",H194+M194)</f>
        <v/>
      </c>
    </row>
    <row r="195" customFormat="false" ht="15" hidden="false" customHeight="false" outlineLevel="0" collapsed="false">
      <c r="A195" s="55" t="str">
        <f aca="false">IF(ROWS($A$8:A195)&lt;=計算過程!$B$51,ROWS($A$8:A195),"")</f>
        <v/>
      </c>
      <c r="B195" s="57" t="str">
        <f aca="false">IF(A195="","",EDATE(計算過程!$B$71,A195-1))</f>
        <v/>
      </c>
      <c r="C195" s="56" t="str">
        <f aca="false">IF(A195="","",計算過程!$B$54)</f>
        <v/>
      </c>
      <c r="D195" s="56" t="str">
        <f aca="false">IF(A195="","",ROUND(F194*計算過程!$B$24/12+G194*計算過程!$B$25/12,0))</f>
        <v/>
      </c>
      <c r="E195" s="56" t="str">
        <f aca="false">IF(A195="","",C195-D195)</f>
        <v/>
      </c>
      <c r="F195" s="56" t="str">
        <f aca="false">IF(A195="","",MAX(0,F194*(1+計算過程!$B$24/12)-計算過程!$B$52))</f>
        <v/>
      </c>
      <c r="G195" s="56" t="str">
        <f aca="false">IF(A195="","",MAX(0,G194*(1+計算過程!$B$25/12)-計算過程!$B$53))</f>
        <v/>
      </c>
      <c r="H195" s="56" t="str">
        <f aca="false">IF(A195="","",F195+G195)</f>
        <v/>
      </c>
      <c r="I195" s="55" t="str">
        <f aca="false">IF(A195="","",IF(AND(OR(MONTH(B195)=6,MONTH(B195)=12),I194&lt;計算過程!$B$50),I194+1,I194))</f>
        <v/>
      </c>
      <c r="J195" s="56" t="str">
        <f aca="false">IF(A195="","",IF(I195&gt;I194,計算過程!$B$57,0))</f>
        <v/>
      </c>
      <c r="K195" s="56" t="str">
        <f aca="false">IF(A195="","",IF(I195&gt;I194,ROUND(M194*計算過程!$B$55,0),0))</f>
        <v/>
      </c>
      <c r="L195" s="56" t="str">
        <f aca="false">IF(A195="","",J195-K195)</f>
        <v/>
      </c>
      <c r="M195" s="56" t="str">
        <f aca="false">IF(A195="","",IF(I195&gt;I194,MAX(0,M194*(1+計算過程!$B$55)-計算過程!$B$56),M194))</f>
        <v/>
      </c>
      <c r="N195" s="56" t="str">
        <f aca="false">IF(A195="","",C195+J195)</f>
        <v/>
      </c>
      <c r="O195" s="56" t="str">
        <f aca="false">IF(A195="","",H195+M195)</f>
        <v/>
      </c>
    </row>
    <row r="196" customFormat="false" ht="15" hidden="false" customHeight="false" outlineLevel="0" collapsed="false">
      <c r="A196" s="55" t="str">
        <f aca="false">IF(ROWS($A$8:A196)&lt;=計算過程!$B$51,ROWS($A$8:A196),"")</f>
        <v/>
      </c>
      <c r="B196" s="57" t="str">
        <f aca="false">IF(A196="","",EDATE(計算過程!$B$71,A196-1))</f>
        <v/>
      </c>
      <c r="C196" s="56" t="str">
        <f aca="false">IF(A196="","",計算過程!$B$54)</f>
        <v/>
      </c>
      <c r="D196" s="56" t="str">
        <f aca="false">IF(A196="","",ROUND(F195*計算過程!$B$24/12+G195*計算過程!$B$25/12,0))</f>
        <v/>
      </c>
      <c r="E196" s="56" t="str">
        <f aca="false">IF(A196="","",C196-D196)</f>
        <v/>
      </c>
      <c r="F196" s="56" t="str">
        <f aca="false">IF(A196="","",MAX(0,F195*(1+計算過程!$B$24/12)-計算過程!$B$52))</f>
        <v/>
      </c>
      <c r="G196" s="56" t="str">
        <f aca="false">IF(A196="","",MAX(0,G195*(1+計算過程!$B$25/12)-計算過程!$B$53))</f>
        <v/>
      </c>
      <c r="H196" s="56" t="str">
        <f aca="false">IF(A196="","",F196+G196)</f>
        <v/>
      </c>
      <c r="I196" s="55" t="str">
        <f aca="false">IF(A196="","",IF(AND(OR(MONTH(B196)=6,MONTH(B196)=12),I195&lt;計算過程!$B$50),I195+1,I195))</f>
        <v/>
      </c>
      <c r="J196" s="56" t="str">
        <f aca="false">IF(A196="","",IF(I196&gt;I195,計算過程!$B$57,0))</f>
        <v/>
      </c>
      <c r="K196" s="56" t="str">
        <f aca="false">IF(A196="","",IF(I196&gt;I195,ROUND(M195*計算過程!$B$55,0),0))</f>
        <v/>
      </c>
      <c r="L196" s="56" t="str">
        <f aca="false">IF(A196="","",J196-K196)</f>
        <v/>
      </c>
      <c r="M196" s="56" t="str">
        <f aca="false">IF(A196="","",IF(I196&gt;I195,MAX(0,M195*(1+計算過程!$B$55)-計算過程!$B$56),M195))</f>
        <v/>
      </c>
      <c r="N196" s="56" t="str">
        <f aca="false">IF(A196="","",C196+J196)</f>
        <v/>
      </c>
      <c r="O196" s="56" t="str">
        <f aca="false">IF(A196="","",H196+M196)</f>
        <v/>
      </c>
    </row>
    <row r="197" customFormat="false" ht="15" hidden="false" customHeight="false" outlineLevel="0" collapsed="false">
      <c r="A197" s="55" t="str">
        <f aca="false">IF(ROWS($A$8:A197)&lt;=計算過程!$B$51,ROWS($A$8:A197),"")</f>
        <v/>
      </c>
      <c r="B197" s="57" t="str">
        <f aca="false">IF(A197="","",EDATE(計算過程!$B$71,A197-1))</f>
        <v/>
      </c>
      <c r="C197" s="56" t="str">
        <f aca="false">IF(A197="","",計算過程!$B$54)</f>
        <v/>
      </c>
      <c r="D197" s="56" t="str">
        <f aca="false">IF(A197="","",ROUND(F196*計算過程!$B$24/12+G196*計算過程!$B$25/12,0))</f>
        <v/>
      </c>
      <c r="E197" s="56" t="str">
        <f aca="false">IF(A197="","",C197-D197)</f>
        <v/>
      </c>
      <c r="F197" s="56" t="str">
        <f aca="false">IF(A197="","",MAX(0,F196*(1+計算過程!$B$24/12)-計算過程!$B$52))</f>
        <v/>
      </c>
      <c r="G197" s="56" t="str">
        <f aca="false">IF(A197="","",MAX(0,G196*(1+計算過程!$B$25/12)-計算過程!$B$53))</f>
        <v/>
      </c>
      <c r="H197" s="56" t="str">
        <f aca="false">IF(A197="","",F197+G197)</f>
        <v/>
      </c>
      <c r="I197" s="55" t="str">
        <f aca="false">IF(A197="","",IF(AND(OR(MONTH(B197)=6,MONTH(B197)=12),I196&lt;計算過程!$B$50),I196+1,I196))</f>
        <v/>
      </c>
      <c r="J197" s="56" t="str">
        <f aca="false">IF(A197="","",IF(I197&gt;I196,計算過程!$B$57,0))</f>
        <v/>
      </c>
      <c r="K197" s="56" t="str">
        <f aca="false">IF(A197="","",IF(I197&gt;I196,ROUND(M196*計算過程!$B$55,0),0))</f>
        <v/>
      </c>
      <c r="L197" s="56" t="str">
        <f aca="false">IF(A197="","",J197-K197)</f>
        <v/>
      </c>
      <c r="M197" s="56" t="str">
        <f aca="false">IF(A197="","",IF(I197&gt;I196,MAX(0,M196*(1+計算過程!$B$55)-計算過程!$B$56),M196))</f>
        <v/>
      </c>
      <c r="N197" s="56" t="str">
        <f aca="false">IF(A197="","",C197+J197)</f>
        <v/>
      </c>
      <c r="O197" s="56" t="str">
        <f aca="false">IF(A197="","",H197+M197)</f>
        <v/>
      </c>
    </row>
    <row r="198" customFormat="false" ht="15" hidden="false" customHeight="false" outlineLevel="0" collapsed="false">
      <c r="A198" s="55" t="str">
        <f aca="false">IF(ROWS($A$8:A198)&lt;=計算過程!$B$51,ROWS($A$8:A198),"")</f>
        <v/>
      </c>
      <c r="B198" s="57" t="str">
        <f aca="false">IF(A198="","",EDATE(計算過程!$B$71,A198-1))</f>
        <v/>
      </c>
      <c r="C198" s="56" t="str">
        <f aca="false">IF(A198="","",計算過程!$B$54)</f>
        <v/>
      </c>
      <c r="D198" s="56" t="str">
        <f aca="false">IF(A198="","",ROUND(F197*計算過程!$B$24/12+G197*計算過程!$B$25/12,0))</f>
        <v/>
      </c>
      <c r="E198" s="56" t="str">
        <f aca="false">IF(A198="","",C198-D198)</f>
        <v/>
      </c>
      <c r="F198" s="56" t="str">
        <f aca="false">IF(A198="","",MAX(0,F197*(1+計算過程!$B$24/12)-計算過程!$B$52))</f>
        <v/>
      </c>
      <c r="G198" s="56" t="str">
        <f aca="false">IF(A198="","",MAX(0,G197*(1+計算過程!$B$25/12)-計算過程!$B$53))</f>
        <v/>
      </c>
      <c r="H198" s="56" t="str">
        <f aca="false">IF(A198="","",F198+G198)</f>
        <v/>
      </c>
      <c r="I198" s="55" t="str">
        <f aca="false">IF(A198="","",IF(AND(OR(MONTH(B198)=6,MONTH(B198)=12),I197&lt;計算過程!$B$50),I197+1,I197))</f>
        <v/>
      </c>
      <c r="J198" s="56" t="str">
        <f aca="false">IF(A198="","",IF(I198&gt;I197,計算過程!$B$57,0))</f>
        <v/>
      </c>
      <c r="K198" s="56" t="str">
        <f aca="false">IF(A198="","",IF(I198&gt;I197,ROUND(M197*計算過程!$B$55,0),0))</f>
        <v/>
      </c>
      <c r="L198" s="56" t="str">
        <f aca="false">IF(A198="","",J198-K198)</f>
        <v/>
      </c>
      <c r="M198" s="56" t="str">
        <f aca="false">IF(A198="","",IF(I198&gt;I197,MAX(0,M197*(1+計算過程!$B$55)-計算過程!$B$56),M197))</f>
        <v/>
      </c>
      <c r="N198" s="56" t="str">
        <f aca="false">IF(A198="","",C198+J198)</f>
        <v/>
      </c>
      <c r="O198" s="56" t="str">
        <f aca="false">IF(A198="","",H198+M198)</f>
        <v/>
      </c>
    </row>
    <row r="199" customFormat="false" ht="15" hidden="false" customHeight="false" outlineLevel="0" collapsed="false">
      <c r="A199" s="55" t="str">
        <f aca="false">IF(ROWS($A$8:A199)&lt;=計算過程!$B$51,ROWS($A$8:A199),"")</f>
        <v/>
      </c>
      <c r="B199" s="57" t="str">
        <f aca="false">IF(A199="","",EDATE(計算過程!$B$71,A199-1))</f>
        <v/>
      </c>
      <c r="C199" s="56" t="str">
        <f aca="false">IF(A199="","",計算過程!$B$54)</f>
        <v/>
      </c>
      <c r="D199" s="56" t="str">
        <f aca="false">IF(A199="","",ROUND(F198*計算過程!$B$24/12+G198*計算過程!$B$25/12,0))</f>
        <v/>
      </c>
      <c r="E199" s="56" t="str">
        <f aca="false">IF(A199="","",C199-D199)</f>
        <v/>
      </c>
      <c r="F199" s="56" t="str">
        <f aca="false">IF(A199="","",MAX(0,F198*(1+計算過程!$B$24/12)-計算過程!$B$52))</f>
        <v/>
      </c>
      <c r="G199" s="56" t="str">
        <f aca="false">IF(A199="","",MAX(0,G198*(1+計算過程!$B$25/12)-計算過程!$B$53))</f>
        <v/>
      </c>
      <c r="H199" s="56" t="str">
        <f aca="false">IF(A199="","",F199+G199)</f>
        <v/>
      </c>
      <c r="I199" s="55" t="str">
        <f aca="false">IF(A199="","",IF(AND(OR(MONTH(B199)=6,MONTH(B199)=12),I198&lt;計算過程!$B$50),I198+1,I198))</f>
        <v/>
      </c>
      <c r="J199" s="56" t="str">
        <f aca="false">IF(A199="","",IF(I199&gt;I198,計算過程!$B$57,0))</f>
        <v/>
      </c>
      <c r="K199" s="56" t="str">
        <f aca="false">IF(A199="","",IF(I199&gt;I198,ROUND(M198*計算過程!$B$55,0),0))</f>
        <v/>
      </c>
      <c r="L199" s="56" t="str">
        <f aca="false">IF(A199="","",J199-K199)</f>
        <v/>
      </c>
      <c r="M199" s="56" t="str">
        <f aca="false">IF(A199="","",IF(I199&gt;I198,MAX(0,M198*(1+計算過程!$B$55)-計算過程!$B$56),M198))</f>
        <v/>
      </c>
      <c r="N199" s="56" t="str">
        <f aca="false">IF(A199="","",C199+J199)</f>
        <v/>
      </c>
      <c r="O199" s="56" t="str">
        <f aca="false">IF(A199="","",H199+M199)</f>
        <v/>
      </c>
    </row>
    <row r="200" customFormat="false" ht="15" hidden="false" customHeight="false" outlineLevel="0" collapsed="false">
      <c r="A200" s="55" t="str">
        <f aca="false">IF(ROWS($A$8:A200)&lt;=計算過程!$B$51,ROWS($A$8:A200),"")</f>
        <v/>
      </c>
      <c r="B200" s="57" t="str">
        <f aca="false">IF(A200="","",EDATE(計算過程!$B$71,A200-1))</f>
        <v/>
      </c>
      <c r="C200" s="56" t="str">
        <f aca="false">IF(A200="","",計算過程!$B$54)</f>
        <v/>
      </c>
      <c r="D200" s="56" t="str">
        <f aca="false">IF(A200="","",ROUND(F199*計算過程!$B$24/12+G199*計算過程!$B$25/12,0))</f>
        <v/>
      </c>
      <c r="E200" s="56" t="str">
        <f aca="false">IF(A200="","",C200-D200)</f>
        <v/>
      </c>
      <c r="F200" s="56" t="str">
        <f aca="false">IF(A200="","",MAX(0,F199*(1+計算過程!$B$24/12)-計算過程!$B$52))</f>
        <v/>
      </c>
      <c r="G200" s="56" t="str">
        <f aca="false">IF(A200="","",MAX(0,G199*(1+計算過程!$B$25/12)-計算過程!$B$53))</f>
        <v/>
      </c>
      <c r="H200" s="56" t="str">
        <f aca="false">IF(A200="","",F200+G200)</f>
        <v/>
      </c>
      <c r="I200" s="55" t="str">
        <f aca="false">IF(A200="","",IF(AND(OR(MONTH(B200)=6,MONTH(B200)=12),I199&lt;計算過程!$B$50),I199+1,I199))</f>
        <v/>
      </c>
      <c r="J200" s="56" t="str">
        <f aca="false">IF(A200="","",IF(I200&gt;I199,計算過程!$B$57,0))</f>
        <v/>
      </c>
      <c r="K200" s="56" t="str">
        <f aca="false">IF(A200="","",IF(I200&gt;I199,ROUND(M199*計算過程!$B$55,0),0))</f>
        <v/>
      </c>
      <c r="L200" s="56" t="str">
        <f aca="false">IF(A200="","",J200-K200)</f>
        <v/>
      </c>
      <c r="M200" s="56" t="str">
        <f aca="false">IF(A200="","",IF(I200&gt;I199,MAX(0,M199*(1+計算過程!$B$55)-計算過程!$B$56),M199))</f>
        <v/>
      </c>
      <c r="N200" s="56" t="str">
        <f aca="false">IF(A200="","",C200+J200)</f>
        <v/>
      </c>
      <c r="O200" s="56" t="str">
        <f aca="false">IF(A200="","",H200+M200)</f>
        <v/>
      </c>
    </row>
    <row r="201" customFormat="false" ht="15" hidden="false" customHeight="false" outlineLevel="0" collapsed="false">
      <c r="A201" s="55" t="str">
        <f aca="false">IF(ROWS($A$8:A201)&lt;=計算過程!$B$51,ROWS($A$8:A201),"")</f>
        <v/>
      </c>
      <c r="B201" s="57" t="str">
        <f aca="false">IF(A201="","",EDATE(計算過程!$B$71,A201-1))</f>
        <v/>
      </c>
      <c r="C201" s="56" t="str">
        <f aca="false">IF(A201="","",計算過程!$B$54)</f>
        <v/>
      </c>
      <c r="D201" s="56" t="str">
        <f aca="false">IF(A201="","",ROUND(F200*計算過程!$B$24/12+G200*計算過程!$B$25/12,0))</f>
        <v/>
      </c>
      <c r="E201" s="56" t="str">
        <f aca="false">IF(A201="","",C201-D201)</f>
        <v/>
      </c>
      <c r="F201" s="56" t="str">
        <f aca="false">IF(A201="","",MAX(0,F200*(1+計算過程!$B$24/12)-計算過程!$B$52))</f>
        <v/>
      </c>
      <c r="G201" s="56" t="str">
        <f aca="false">IF(A201="","",MAX(0,G200*(1+計算過程!$B$25/12)-計算過程!$B$53))</f>
        <v/>
      </c>
      <c r="H201" s="56" t="str">
        <f aca="false">IF(A201="","",F201+G201)</f>
        <v/>
      </c>
      <c r="I201" s="55" t="str">
        <f aca="false">IF(A201="","",IF(AND(OR(MONTH(B201)=6,MONTH(B201)=12),I200&lt;計算過程!$B$50),I200+1,I200))</f>
        <v/>
      </c>
      <c r="J201" s="56" t="str">
        <f aca="false">IF(A201="","",IF(I201&gt;I200,計算過程!$B$57,0))</f>
        <v/>
      </c>
      <c r="K201" s="56" t="str">
        <f aca="false">IF(A201="","",IF(I201&gt;I200,ROUND(M200*計算過程!$B$55,0),0))</f>
        <v/>
      </c>
      <c r="L201" s="56" t="str">
        <f aca="false">IF(A201="","",J201-K201)</f>
        <v/>
      </c>
      <c r="M201" s="56" t="str">
        <f aca="false">IF(A201="","",IF(I201&gt;I200,MAX(0,M200*(1+計算過程!$B$55)-計算過程!$B$56),M200))</f>
        <v/>
      </c>
      <c r="N201" s="56" t="str">
        <f aca="false">IF(A201="","",C201+J201)</f>
        <v/>
      </c>
      <c r="O201" s="56" t="str">
        <f aca="false">IF(A201="","",H201+M201)</f>
        <v/>
      </c>
    </row>
    <row r="202" customFormat="false" ht="15" hidden="false" customHeight="false" outlineLevel="0" collapsed="false">
      <c r="A202" s="55" t="str">
        <f aca="false">IF(ROWS($A$8:A202)&lt;=計算過程!$B$51,ROWS($A$8:A202),"")</f>
        <v/>
      </c>
      <c r="B202" s="57" t="str">
        <f aca="false">IF(A202="","",EDATE(計算過程!$B$71,A202-1))</f>
        <v/>
      </c>
      <c r="C202" s="56" t="str">
        <f aca="false">IF(A202="","",計算過程!$B$54)</f>
        <v/>
      </c>
      <c r="D202" s="56" t="str">
        <f aca="false">IF(A202="","",ROUND(F201*計算過程!$B$24/12+G201*計算過程!$B$25/12,0))</f>
        <v/>
      </c>
      <c r="E202" s="56" t="str">
        <f aca="false">IF(A202="","",C202-D202)</f>
        <v/>
      </c>
      <c r="F202" s="56" t="str">
        <f aca="false">IF(A202="","",MAX(0,F201*(1+計算過程!$B$24/12)-計算過程!$B$52))</f>
        <v/>
      </c>
      <c r="G202" s="56" t="str">
        <f aca="false">IF(A202="","",MAX(0,G201*(1+計算過程!$B$25/12)-計算過程!$B$53))</f>
        <v/>
      </c>
      <c r="H202" s="56" t="str">
        <f aca="false">IF(A202="","",F202+G202)</f>
        <v/>
      </c>
      <c r="I202" s="55" t="str">
        <f aca="false">IF(A202="","",IF(AND(OR(MONTH(B202)=6,MONTH(B202)=12),I201&lt;計算過程!$B$50),I201+1,I201))</f>
        <v/>
      </c>
      <c r="J202" s="56" t="str">
        <f aca="false">IF(A202="","",IF(I202&gt;I201,計算過程!$B$57,0))</f>
        <v/>
      </c>
      <c r="K202" s="56" t="str">
        <f aca="false">IF(A202="","",IF(I202&gt;I201,ROUND(M201*計算過程!$B$55,0),0))</f>
        <v/>
      </c>
      <c r="L202" s="56" t="str">
        <f aca="false">IF(A202="","",J202-K202)</f>
        <v/>
      </c>
      <c r="M202" s="56" t="str">
        <f aca="false">IF(A202="","",IF(I202&gt;I201,MAX(0,M201*(1+計算過程!$B$55)-計算過程!$B$56),M201))</f>
        <v/>
      </c>
      <c r="N202" s="56" t="str">
        <f aca="false">IF(A202="","",C202+J202)</f>
        <v/>
      </c>
      <c r="O202" s="56" t="str">
        <f aca="false">IF(A202="","",H202+M202)</f>
        <v/>
      </c>
    </row>
    <row r="203" customFormat="false" ht="15" hidden="false" customHeight="false" outlineLevel="0" collapsed="false">
      <c r="A203" s="55" t="str">
        <f aca="false">IF(ROWS($A$8:A203)&lt;=計算過程!$B$51,ROWS($A$8:A203),"")</f>
        <v/>
      </c>
      <c r="B203" s="57" t="str">
        <f aca="false">IF(A203="","",EDATE(計算過程!$B$71,A203-1))</f>
        <v/>
      </c>
      <c r="C203" s="56" t="str">
        <f aca="false">IF(A203="","",計算過程!$B$54)</f>
        <v/>
      </c>
      <c r="D203" s="56" t="str">
        <f aca="false">IF(A203="","",ROUND(F202*計算過程!$B$24/12+G202*計算過程!$B$25/12,0))</f>
        <v/>
      </c>
      <c r="E203" s="56" t="str">
        <f aca="false">IF(A203="","",C203-D203)</f>
        <v/>
      </c>
      <c r="F203" s="56" t="str">
        <f aca="false">IF(A203="","",MAX(0,F202*(1+計算過程!$B$24/12)-計算過程!$B$52))</f>
        <v/>
      </c>
      <c r="G203" s="56" t="str">
        <f aca="false">IF(A203="","",MAX(0,G202*(1+計算過程!$B$25/12)-計算過程!$B$53))</f>
        <v/>
      </c>
      <c r="H203" s="56" t="str">
        <f aca="false">IF(A203="","",F203+G203)</f>
        <v/>
      </c>
      <c r="I203" s="55" t="str">
        <f aca="false">IF(A203="","",IF(AND(OR(MONTH(B203)=6,MONTH(B203)=12),I202&lt;計算過程!$B$50),I202+1,I202))</f>
        <v/>
      </c>
      <c r="J203" s="56" t="str">
        <f aca="false">IF(A203="","",IF(I203&gt;I202,計算過程!$B$57,0))</f>
        <v/>
      </c>
      <c r="K203" s="56" t="str">
        <f aca="false">IF(A203="","",IF(I203&gt;I202,ROUND(M202*計算過程!$B$55,0),0))</f>
        <v/>
      </c>
      <c r="L203" s="56" t="str">
        <f aca="false">IF(A203="","",J203-K203)</f>
        <v/>
      </c>
      <c r="M203" s="56" t="str">
        <f aca="false">IF(A203="","",IF(I203&gt;I202,MAX(0,M202*(1+計算過程!$B$55)-計算過程!$B$56),M202))</f>
        <v/>
      </c>
      <c r="N203" s="56" t="str">
        <f aca="false">IF(A203="","",C203+J203)</f>
        <v/>
      </c>
      <c r="O203" s="56" t="str">
        <f aca="false">IF(A203="","",H203+M203)</f>
        <v/>
      </c>
    </row>
    <row r="204" customFormat="false" ht="15" hidden="false" customHeight="false" outlineLevel="0" collapsed="false">
      <c r="A204" s="55" t="str">
        <f aca="false">IF(ROWS($A$8:A204)&lt;=計算過程!$B$51,ROWS($A$8:A204),"")</f>
        <v/>
      </c>
      <c r="B204" s="57" t="str">
        <f aca="false">IF(A204="","",EDATE(計算過程!$B$71,A204-1))</f>
        <v/>
      </c>
      <c r="C204" s="56" t="str">
        <f aca="false">IF(A204="","",計算過程!$B$54)</f>
        <v/>
      </c>
      <c r="D204" s="56" t="str">
        <f aca="false">IF(A204="","",ROUND(F203*計算過程!$B$24/12+G203*計算過程!$B$25/12,0))</f>
        <v/>
      </c>
      <c r="E204" s="56" t="str">
        <f aca="false">IF(A204="","",C204-D204)</f>
        <v/>
      </c>
      <c r="F204" s="56" t="str">
        <f aca="false">IF(A204="","",MAX(0,F203*(1+計算過程!$B$24/12)-計算過程!$B$52))</f>
        <v/>
      </c>
      <c r="G204" s="56" t="str">
        <f aca="false">IF(A204="","",MAX(0,G203*(1+計算過程!$B$25/12)-計算過程!$B$53))</f>
        <v/>
      </c>
      <c r="H204" s="56" t="str">
        <f aca="false">IF(A204="","",F204+G204)</f>
        <v/>
      </c>
      <c r="I204" s="55" t="str">
        <f aca="false">IF(A204="","",IF(AND(OR(MONTH(B204)=6,MONTH(B204)=12),I203&lt;計算過程!$B$50),I203+1,I203))</f>
        <v/>
      </c>
      <c r="J204" s="56" t="str">
        <f aca="false">IF(A204="","",IF(I204&gt;I203,計算過程!$B$57,0))</f>
        <v/>
      </c>
      <c r="K204" s="56" t="str">
        <f aca="false">IF(A204="","",IF(I204&gt;I203,ROUND(M203*計算過程!$B$55,0),0))</f>
        <v/>
      </c>
      <c r="L204" s="56" t="str">
        <f aca="false">IF(A204="","",J204-K204)</f>
        <v/>
      </c>
      <c r="M204" s="56" t="str">
        <f aca="false">IF(A204="","",IF(I204&gt;I203,MAX(0,M203*(1+計算過程!$B$55)-計算過程!$B$56),M203))</f>
        <v/>
      </c>
      <c r="N204" s="56" t="str">
        <f aca="false">IF(A204="","",C204+J204)</f>
        <v/>
      </c>
      <c r="O204" s="56" t="str">
        <f aca="false">IF(A204="","",H204+M204)</f>
        <v/>
      </c>
    </row>
    <row r="205" customFormat="false" ht="15" hidden="false" customHeight="false" outlineLevel="0" collapsed="false">
      <c r="A205" s="55" t="str">
        <f aca="false">IF(ROWS($A$8:A205)&lt;=計算過程!$B$51,ROWS($A$8:A205),"")</f>
        <v/>
      </c>
      <c r="B205" s="57" t="str">
        <f aca="false">IF(A205="","",EDATE(計算過程!$B$71,A205-1))</f>
        <v/>
      </c>
      <c r="C205" s="56" t="str">
        <f aca="false">IF(A205="","",計算過程!$B$54)</f>
        <v/>
      </c>
      <c r="D205" s="56" t="str">
        <f aca="false">IF(A205="","",ROUND(F204*計算過程!$B$24/12+G204*計算過程!$B$25/12,0))</f>
        <v/>
      </c>
      <c r="E205" s="56" t="str">
        <f aca="false">IF(A205="","",C205-D205)</f>
        <v/>
      </c>
      <c r="F205" s="56" t="str">
        <f aca="false">IF(A205="","",MAX(0,F204*(1+計算過程!$B$24/12)-計算過程!$B$52))</f>
        <v/>
      </c>
      <c r="G205" s="56" t="str">
        <f aca="false">IF(A205="","",MAX(0,G204*(1+計算過程!$B$25/12)-計算過程!$B$53))</f>
        <v/>
      </c>
      <c r="H205" s="56" t="str">
        <f aca="false">IF(A205="","",F205+G205)</f>
        <v/>
      </c>
      <c r="I205" s="55" t="str">
        <f aca="false">IF(A205="","",IF(AND(OR(MONTH(B205)=6,MONTH(B205)=12),I204&lt;計算過程!$B$50),I204+1,I204))</f>
        <v/>
      </c>
      <c r="J205" s="56" t="str">
        <f aca="false">IF(A205="","",IF(I205&gt;I204,計算過程!$B$57,0))</f>
        <v/>
      </c>
      <c r="K205" s="56" t="str">
        <f aca="false">IF(A205="","",IF(I205&gt;I204,ROUND(M204*計算過程!$B$55,0),0))</f>
        <v/>
      </c>
      <c r="L205" s="56" t="str">
        <f aca="false">IF(A205="","",J205-K205)</f>
        <v/>
      </c>
      <c r="M205" s="56" t="str">
        <f aca="false">IF(A205="","",IF(I205&gt;I204,MAX(0,M204*(1+計算過程!$B$55)-計算過程!$B$56),M204))</f>
        <v/>
      </c>
      <c r="N205" s="56" t="str">
        <f aca="false">IF(A205="","",C205+J205)</f>
        <v/>
      </c>
      <c r="O205" s="56" t="str">
        <f aca="false">IF(A205="","",H205+M205)</f>
        <v/>
      </c>
    </row>
    <row r="206" customFormat="false" ht="15" hidden="false" customHeight="false" outlineLevel="0" collapsed="false">
      <c r="A206" s="55" t="str">
        <f aca="false">IF(ROWS($A$8:A206)&lt;=計算過程!$B$51,ROWS($A$8:A206),"")</f>
        <v/>
      </c>
      <c r="B206" s="57" t="str">
        <f aca="false">IF(A206="","",EDATE(計算過程!$B$71,A206-1))</f>
        <v/>
      </c>
      <c r="C206" s="56" t="str">
        <f aca="false">IF(A206="","",計算過程!$B$54)</f>
        <v/>
      </c>
      <c r="D206" s="56" t="str">
        <f aca="false">IF(A206="","",ROUND(F205*計算過程!$B$24/12+G205*計算過程!$B$25/12,0))</f>
        <v/>
      </c>
      <c r="E206" s="56" t="str">
        <f aca="false">IF(A206="","",C206-D206)</f>
        <v/>
      </c>
      <c r="F206" s="56" t="str">
        <f aca="false">IF(A206="","",MAX(0,F205*(1+計算過程!$B$24/12)-計算過程!$B$52))</f>
        <v/>
      </c>
      <c r="G206" s="56" t="str">
        <f aca="false">IF(A206="","",MAX(0,G205*(1+計算過程!$B$25/12)-計算過程!$B$53))</f>
        <v/>
      </c>
      <c r="H206" s="56" t="str">
        <f aca="false">IF(A206="","",F206+G206)</f>
        <v/>
      </c>
      <c r="I206" s="55" t="str">
        <f aca="false">IF(A206="","",IF(AND(OR(MONTH(B206)=6,MONTH(B206)=12),I205&lt;計算過程!$B$50),I205+1,I205))</f>
        <v/>
      </c>
      <c r="J206" s="56" t="str">
        <f aca="false">IF(A206="","",IF(I206&gt;I205,計算過程!$B$57,0))</f>
        <v/>
      </c>
      <c r="K206" s="56" t="str">
        <f aca="false">IF(A206="","",IF(I206&gt;I205,ROUND(M205*計算過程!$B$55,0),0))</f>
        <v/>
      </c>
      <c r="L206" s="56" t="str">
        <f aca="false">IF(A206="","",J206-K206)</f>
        <v/>
      </c>
      <c r="M206" s="56" t="str">
        <f aca="false">IF(A206="","",IF(I206&gt;I205,MAX(0,M205*(1+計算過程!$B$55)-計算過程!$B$56),M205))</f>
        <v/>
      </c>
      <c r="N206" s="56" t="str">
        <f aca="false">IF(A206="","",C206+J206)</f>
        <v/>
      </c>
      <c r="O206" s="56" t="str">
        <f aca="false">IF(A206="","",H206+M206)</f>
        <v/>
      </c>
    </row>
    <row r="207" customFormat="false" ht="15" hidden="false" customHeight="false" outlineLevel="0" collapsed="false">
      <c r="A207" s="55" t="str">
        <f aca="false">IF(ROWS($A$8:A207)&lt;=計算過程!$B$51,ROWS($A$8:A207),"")</f>
        <v/>
      </c>
      <c r="B207" s="57" t="str">
        <f aca="false">IF(A207="","",EDATE(計算過程!$B$71,A207-1))</f>
        <v/>
      </c>
      <c r="C207" s="56" t="str">
        <f aca="false">IF(A207="","",計算過程!$B$54)</f>
        <v/>
      </c>
      <c r="D207" s="56" t="str">
        <f aca="false">IF(A207="","",ROUND(F206*計算過程!$B$24/12+G206*計算過程!$B$25/12,0))</f>
        <v/>
      </c>
      <c r="E207" s="56" t="str">
        <f aca="false">IF(A207="","",C207-D207)</f>
        <v/>
      </c>
      <c r="F207" s="56" t="str">
        <f aca="false">IF(A207="","",MAX(0,F206*(1+計算過程!$B$24/12)-計算過程!$B$52))</f>
        <v/>
      </c>
      <c r="G207" s="56" t="str">
        <f aca="false">IF(A207="","",MAX(0,G206*(1+計算過程!$B$25/12)-計算過程!$B$53))</f>
        <v/>
      </c>
      <c r="H207" s="56" t="str">
        <f aca="false">IF(A207="","",F207+G207)</f>
        <v/>
      </c>
      <c r="I207" s="55" t="str">
        <f aca="false">IF(A207="","",IF(AND(OR(MONTH(B207)=6,MONTH(B207)=12),I206&lt;計算過程!$B$50),I206+1,I206))</f>
        <v/>
      </c>
      <c r="J207" s="56" t="str">
        <f aca="false">IF(A207="","",IF(I207&gt;I206,計算過程!$B$57,0))</f>
        <v/>
      </c>
      <c r="K207" s="56" t="str">
        <f aca="false">IF(A207="","",IF(I207&gt;I206,ROUND(M206*計算過程!$B$55,0),0))</f>
        <v/>
      </c>
      <c r="L207" s="56" t="str">
        <f aca="false">IF(A207="","",J207-K207)</f>
        <v/>
      </c>
      <c r="M207" s="56" t="str">
        <f aca="false">IF(A207="","",IF(I207&gt;I206,MAX(0,M206*(1+計算過程!$B$55)-計算過程!$B$56),M206))</f>
        <v/>
      </c>
      <c r="N207" s="56" t="str">
        <f aca="false">IF(A207="","",C207+J207)</f>
        <v/>
      </c>
      <c r="O207" s="56" t="str">
        <f aca="false">IF(A207="","",H207+M207)</f>
        <v/>
      </c>
    </row>
    <row r="208" customFormat="false" ht="15" hidden="false" customHeight="false" outlineLevel="0" collapsed="false">
      <c r="A208" s="55" t="str">
        <f aca="false">IF(ROWS($A$8:A208)&lt;=計算過程!$B$51,ROWS($A$8:A208),"")</f>
        <v/>
      </c>
      <c r="B208" s="57" t="str">
        <f aca="false">IF(A208="","",EDATE(計算過程!$B$71,A208-1))</f>
        <v/>
      </c>
      <c r="C208" s="56" t="str">
        <f aca="false">IF(A208="","",計算過程!$B$54)</f>
        <v/>
      </c>
      <c r="D208" s="56" t="str">
        <f aca="false">IF(A208="","",ROUND(F207*計算過程!$B$24/12+G207*計算過程!$B$25/12,0))</f>
        <v/>
      </c>
      <c r="E208" s="56" t="str">
        <f aca="false">IF(A208="","",C208-D208)</f>
        <v/>
      </c>
      <c r="F208" s="56" t="str">
        <f aca="false">IF(A208="","",MAX(0,F207*(1+計算過程!$B$24/12)-計算過程!$B$52))</f>
        <v/>
      </c>
      <c r="G208" s="56" t="str">
        <f aca="false">IF(A208="","",MAX(0,G207*(1+計算過程!$B$25/12)-計算過程!$B$53))</f>
        <v/>
      </c>
      <c r="H208" s="56" t="str">
        <f aca="false">IF(A208="","",F208+G208)</f>
        <v/>
      </c>
      <c r="I208" s="55" t="str">
        <f aca="false">IF(A208="","",IF(AND(OR(MONTH(B208)=6,MONTH(B208)=12),I207&lt;計算過程!$B$50),I207+1,I207))</f>
        <v/>
      </c>
      <c r="J208" s="56" t="str">
        <f aca="false">IF(A208="","",IF(I208&gt;I207,計算過程!$B$57,0))</f>
        <v/>
      </c>
      <c r="K208" s="56" t="str">
        <f aca="false">IF(A208="","",IF(I208&gt;I207,ROUND(M207*計算過程!$B$55,0),0))</f>
        <v/>
      </c>
      <c r="L208" s="56" t="str">
        <f aca="false">IF(A208="","",J208-K208)</f>
        <v/>
      </c>
      <c r="M208" s="56" t="str">
        <f aca="false">IF(A208="","",IF(I208&gt;I207,MAX(0,M207*(1+計算過程!$B$55)-計算過程!$B$56),M207))</f>
        <v/>
      </c>
      <c r="N208" s="56" t="str">
        <f aca="false">IF(A208="","",C208+J208)</f>
        <v/>
      </c>
      <c r="O208" s="56" t="str">
        <f aca="false">IF(A208="","",H208+M208)</f>
        <v/>
      </c>
    </row>
    <row r="209" customFormat="false" ht="15" hidden="false" customHeight="false" outlineLevel="0" collapsed="false">
      <c r="A209" s="55" t="str">
        <f aca="false">IF(ROWS($A$8:A209)&lt;=計算過程!$B$51,ROWS($A$8:A209),"")</f>
        <v/>
      </c>
      <c r="B209" s="57" t="str">
        <f aca="false">IF(A209="","",EDATE(計算過程!$B$71,A209-1))</f>
        <v/>
      </c>
      <c r="C209" s="56" t="str">
        <f aca="false">IF(A209="","",計算過程!$B$54)</f>
        <v/>
      </c>
      <c r="D209" s="56" t="str">
        <f aca="false">IF(A209="","",ROUND(F208*計算過程!$B$24/12+G208*計算過程!$B$25/12,0))</f>
        <v/>
      </c>
      <c r="E209" s="56" t="str">
        <f aca="false">IF(A209="","",C209-D209)</f>
        <v/>
      </c>
      <c r="F209" s="56" t="str">
        <f aca="false">IF(A209="","",MAX(0,F208*(1+計算過程!$B$24/12)-計算過程!$B$52))</f>
        <v/>
      </c>
      <c r="G209" s="56" t="str">
        <f aca="false">IF(A209="","",MAX(0,G208*(1+計算過程!$B$25/12)-計算過程!$B$53))</f>
        <v/>
      </c>
      <c r="H209" s="56" t="str">
        <f aca="false">IF(A209="","",F209+G209)</f>
        <v/>
      </c>
      <c r="I209" s="55" t="str">
        <f aca="false">IF(A209="","",IF(AND(OR(MONTH(B209)=6,MONTH(B209)=12),I208&lt;計算過程!$B$50),I208+1,I208))</f>
        <v/>
      </c>
      <c r="J209" s="56" t="str">
        <f aca="false">IF(A209="","",IF(I209&gt;I208,計算過程!$B$57,0))</f>
        <v/>
      </c>
      <c r="K209" s="56" t="str">
        <f aca="false">IF(A209="","",IF(I209&gt;I208,ROUND(M208*計算過程!$B$55,0),0))</f>
        <v/>
      </c>
      <c r="L209" s="56" t="str">
        <f aca="false">IF(A209="","",J209-K209)</f>
        <v/>
      </c>
      <c r="M209" s="56" t="str">
        <f aca="false">IF(A209="","",IF(I209&gt;I208,MAX(0,M208*(1+計算過程!$B$55)-計算過程!$B$56),M208))</f>
        <v/>
      </c>
      <c r="N209" s="56" t="str">
        <f aca="false">IF(A209="","",C209+J209)</f>
        <v/>
      </c>
      <c r="O209" s="56" t="str">
        <f aca="false">IF(A209="","",H209+M209)</f>
        <v/>
      </c>
    </row>
    <row r="210" customFormat="false" ht="15" hidden="false" customHeight="false" outlineLevel="0" collapsed="false">
      <c r="A210" s="55" t="str">
        <f aca="false">IF(ROWS($A$8:A210)&lt;=計算過程!$B$51,ROWS($A$8:A210),"")</f>
        <v/>
      </c>
      <c r="B210" s="57" t="str">
        <f aca="false">IF(A210="","",EDATE(計算過程!$B$71,A210-1))</f>
        <v/>
      </c>
      <c r="C210" s="56" t="str">
        <f aca="false">IF(A210="","",計算過程!$B$54)</f>
        <v/>
      </c>
      <c r="D210" s="56" t="str">
        <f aca="false">IF(A210="","",ROUND(F209*計算過程!$B$24/12+G209*計算過程!$B$25/12,0))</f>
        <v/>
      </c>
      <c r="E210" s="56" t="str">
        <f aca="false">IF(A210="","",C210-D210)</f>
        <v/>
      </c>
      <c r="F210" s="56" t="str">
        <f aca="false">IF(A210="","",MAX(0,F209*(1+計算過程!$B$24/12)-計算過程!$B$52))</f>
        <v/>
      </c>
      <c r="G210" s="56" t="str">
        <f aca="false">IF(A210="","",MAX(0,G209*(1+計算過程!$B$25/12)-計算過程!$B$53))</f>
        <v/>
      </c>
      <c r="H210" s="56" t="str">
        <f aca="false">IF(A210="","",F210+G210)</f>
        <v/>
      </c>
      <c r="I210" s="55" t="str">
        <f aca="false">IF(A210="","",IF(AND(OR(MONTH(B210)=6,MONTH(B210)=12),I209&lt;計算過程!$B$50),I209+1,I209))</f>
        <v/>
      </c>
      <c r="J210" s="56" t="str">
        <f aca="false">IF(A210="","",IF(I210&gt;I209,計算過程!$B$57,0))</f>
        <v/>
      </c>
      <c r="K210" s="56" t="str">
        <f aca="false">IF(A210="","",IF(I210&gt;I209,ROUND(M209*計算過程!$B$55,0),0))</f>
        <v/>
      </c>
      <c r="L210" s="56" t="str">
        <f aca="false">IF(A210="","",J210-K210)</f>
        <v/>
      </c>
      <c r="M210" s="56" t="str">
        <f aca="false">IF(A210="","",IF(I210&gt;I209,MAX(0,M209*(1+計算過程!$B$55)-計算過程!$B$56),M209))</f>
        <v/>
      </c>
      <c r="N210" s="56" t="str">
        <f aca="false">IF(A210="","",C210+J210)</f>
        <v/>
      </c>
      <c r="O210" s="56" t="str">
        <f aca="false">IF(A210="","",H210+M210)</f>
        <v/>
      </c>
    </row>
    <row r="211" customFormat="false" ht="15" hidden="false" customHeight="false" outlineLevel="0" collapsed="false">
      <c r="A211" s="55" t="str">
        <f aca="false">IF(ROWS($A$8:A211)&lt;=計算過程!$B$51,ROWS($A$8:A211),"")</f>
        <v/>
      </c>
      <c r="B211" s="57" t="str">
        <f aca="false">IF(A211="","",EDATE(計算過程!$B$71,A211-1))</f>
        <v/>
      </c>
      <c r="C211" s="56" t="str">
        <f aca="false">IF(A211="","",計算過程!$B$54)</f>
        <v/>
      </c>
      <c r="D211" s="56" t="str">
        <f aca="false">IF(A211="","",ROUND(F210*計算過程!$B$24/12+G210*計算過程!$B$25/12,0))</f>
        <v/>
      </c>
      <c r="E211" s="56" t="str">
        <f aca="false">IF(A211="","",C211-D211)</f>
        <v/>
      </c>
      <c r="F211" s="56" t="str">
        <f aca="false">IF(A211="","",MAX(0,F210*(1+計算過程!$B$24/12)-計算過程!$B$52))</f>
        <v/>
      </c>
      <c r="G211" s="56" t="str">
        <f aca="false">IF(A211="","",MAX(0,G210*(1+計算過程!$B$25/12)-計算過程!$B$53))</f>
        <v/>
      </c>
      <c r="H211" s="56" t="str">
        <f aca="false">IF(A211="","",F211+G211)</f>
        <v/>
      </c>
      <c r="I211" s="55" t="str">
        <f aca="false">IF(A211="","",IF(AND(OR(MONTH(B211)=6,MONTH(B211)=12),I210&lt;計算過程!$B$50),I210+1,I210))</f>
        <v/>
      </c>
      <c r="J211" s="56" t="str">
        <f aca="false">IF(A211="","",IF(I211&gt;I210,計算過程!$B$57,0))</f>
        <v/>
      </c>
      <c r="K211" s="56" t="str">
        <f aca="false">IF(A211="","",IF(I211&gt;I210,ROUND(M210*計算過程!$B$55,0),0))</f>
        <v/>
      </c>
      <c r="L211" s="56" t="str">
        <f aca="false">IF(A211="","",J211-K211)</f>
        <v/>
      </c>
      <c r="M211" s="56" t="str">
        <f aca="false">IF(A211="","",IF(I211&gt;I210,MAX(0,M210*(1+計算過程!$B$55)-計算過程!$B$56),M210))</f>
        <v/>
      </c>
      <c r="N211" s="56" t="str">
        <f aca="false">IF(A211="","",C211+J211)</f>
        <v/>
      </c>
      <c r="O211" s="56" t="str">
        <f aca="false">IF(A211="","",H211+M211)</f>
        <v/>
      </c>
    </row>
    <row r="212" customFormat="false" ht="15" hidden="false" customHeight="false" outlineLevel="0" collapsed="false">
      <c r="A212" s="55" t="str">
        <f aca="false">IF(ROWS($A$8:A212)&lt;=計算過程!$B$51,ROWS($A$8:A212),"")</f>
        <v/>
      </c>
      <c r="B212" s="57" t="str">
        <f aca="false">IF(A212="","",EDATE(計算過程!$B$71,A212-1))</f>
        <v/>
      </c>
      <c r="C212" s="56" t="str">
        <f aca="false">IF(A212="","",計算過程!$B$54)</f>
        <v/>
      </c>
      <c r="D212" s="56" t="str">
        <f aca="false">IF(A212="","",ROUND(F211*計算過程!$B$24/12+G211*計算過程!$B$25/12,0))</f>
        <v/>
      </c>
      <c r="E212" s="56" t="str">
        <f aca="false">IF(A212="","",C212-D212)</f>
        <v/>
      </c>
      <c r="F212" s="56" t="str">
        <f aca="false">IF(A212="","",MAX(0,F211*(1+計算過程!$B$24/12)-計算過程!$B$52))</f>
        <v/>
      </c>
      <c r="G212" s="56" t="str">
        <f aca="false">IF(A212="","",MAX(0,G211*(1+計算過程!$B$25/12)-計算過程!$B$53))</f>
        <v/>
      </c>
      <c r="H212" s="56" t="str">
        <f aca="false">IF(A212="","",F212+G212)</f>
        <v/>
      </c>
      <c r="I212" s="55" t="str">
        <f aca="false">IF(A212="","",IF(AND(OR(MONTH(B212)=6,MONTH(B212)=12),I211&lt;計算過程!$B$50),I211+1,I211))</f>
        <v/>
      </c>
      <c r="J212" s="56" t="str">
        <f aca="false">IF(A212="","",IF(I212&gt;I211,計算過程!$B$57,0))</f>
        <v/>
      </c>
      <c r="K212" s="56" t="str">
        <f aca="false">IF(A212="","",IF(I212&gt;I211,ROUND(M211*計算過程!$B$55,0),0))</f>
        <v/>
      </c>
      <c r="L212" s="56" t="str">
        <f aca="false">IF(A212="","",J212-K212)</f>
        <v/>
      </c>
      <c r="M212" s="56" t="str">
        <f aca="false">IF(A212="","",IF(I212&gt;I211,MAX(0,M211*(1+計算過程!$B$55)-計算過程!$B$56),M211))</f>
        <v/>
      </c>
      <c r="N212" s="56" t="str">
        <f aca="false">IF(A212="","",C212+J212)</f>
        <v/>
      </c>
      <c r="O212" s="56" t="str">
        <f aca="false">IF(A212="","",H212+M212)</f>
        <v/>
      </c>
    </row>
    <row r="213" customFormat="false" ht="15" hidden="false" customHeight="false" outlineLevel="0" collapsed="false">
      <c r="A213" s="55" t="str">
        <f aca="false">IF(ROWS($A$8:A213)&lt;=計算過程!$B$51,ROWS($A$8:A213),"")</f>
        <v/>
      </c>
      <c r="B213" s="57" t="str">
        <f aca="false">IF(A213="","",EDATE(計算過程!$B$71,A213-1))</f>
        <v/>
      </c>
      <c r="C213" s="56" t="str">
        <f aca="false">IF(A213="","",計算過程!$B$54)</f>
        <v/>
      </c>
      <c r="D213" s="56" t="str">
        <f aca="false">IF(A213="","",ROUND(F212*計算過程!$B$24/12+G212*計算過程!$B$25/12,0))</f>
        <v/>
      </c>
      <c r="E213" s="56" t="str">
        <f aca="false">IF(A213="","",C213-D213)</f>
        <v/>
      </c>
      <c r="F213" s="56" t="str">
        <f aca="false">IF(A213="","",MAX(0,F212*(1+計算過程!$B$24/12)-計算過程!$B$52))</f>
        <v/>
      </c>
      <c r="G213" s="56" t="str">
        <f aca="false">IF(A213="","",MAX(0,G212*(1+計算過程!$B$25/12)-計算過程!$B$53))</f>
        <v/>
      </c>
      <c r="H213" s="56" t="str">
        <f aca="false">IF(A213="","",F213+G213)</f>
        <v/>
      </c>
      <c r="I213" s="55" t="str">
        <f aca="false">IF(A213="","",IF(AND(OR(MONTH(B213)=6,MONTH(B213)=12),I212&lt;計算過程!$B$50),I212+1,I212))</f>
        <v/>
      </c>
      <c r="J213" s="56" t="str">
        <f aca="false">IF(A213="","",IF(I213&gt;I212,計算過程!$B$57,0))</f>
        <v/>
      </c>
      <c r="K213" s="56" t="str">
        <f aca="false">IF(A213="","",IF(I213&gt;I212,ROUND(M212*計算過程!$B$55,0),0))</f>
        <v/>
      </c>
      <c r="L213" s="56" t="str">
        <f aca="false">IF(A213="","",J213-K213)</f>
        <v/>
      </c>
      <c r="M213" s="56" t="str">
        <f aca="false">IF(A213="","",IF(I213&gt;I212,MAX(0,M212*(1+計算過程!$B$55)-計算過程!$B$56),M212))</f>
        <v/>
      </c>
      <c r="N213" s="56" t="str">
        <f aca="false">IF(A213="","",C213+J213)</f>
        <v/>
      </c>
      <c r="O213" s="56" t="str">
        <f aca="false">IF(A213="","",H213+M213)</f>
        <v/>
      </c>
    </row>
    <row r="214" customFormat="false" ht="15" hidden="false" customHeight="false" outlineLevel="0" collapsed="false">
      <c r="A214" s="55" t="str">
        <f aca="false">IF(ROWS($A$8:A214)&lt;=計算過程!$B$51,ROWS($A$8:A214),"")</f>
        <v/>
      </c>
      <c r="B214" s="57" t="str">
        <f aca="false">IF(A214="","",EDATE(計算過程!$B$71,A214-1))</f>
        <v/>
      </c>
      <c r="C214" s="56" t="str">
        <f aca="false">IF(A214="","",計算過程!$B$54)</f>
        <v/>
      </c>
      <c r="D214" s="56" t="str">
        <f aca="false">IF(A214="","",ROUND(F213*計算過程!$B$24/12+G213*計算過程!$B$25/12,0))</f>
        <v/>
      </c>
      <c r="E214" s="56" t="str">
        <f aca="false">IF(A214="","",C214-D214)</f>
        <v/>
      </c>
      <c r="F214" s="56" t="str">
        <f aca="false">IF(A214="","",MAX(0,F213*(1+計算過程!$B$24/12)-計算過程!$B$52))</f>
        <v/>
      </c>
      <c r="G214" s="56" t="str">
        <f aca="false">IF(A214="","",MAX(0,G213*(1+計算過程!$B$25/12)-計算過程!$B$53))</f>
        <v/>
      </c>
      <c r="H214" s="56" t="str">
        <f aca="false">IF(A214="","",F214+G214)</f>
        <v/>
      </c>
      <c r="I214" s="55" t="str">
        <f aca="false">IF(A214="","",IF(AND(OR(MONTH(B214)=6,MONTH(B214)=12),I213&lt;計算過程!$B$50),I213+1,I213))</f>
        <v/>
      </c>
      <c r="J214" s="56" t="str">
        <f aca="false">IF(A214="","",IF(I214&gt;I213,計算過程!$B$57,0))</f>
        <v/>
      </c>
      <c r="K214" s="56" t="str">
        <f aca="false">IF(A214="","",IF(I214&gt;I213,ROUND(M213*計算過程!$B$55,0),0))</f>
        <v/>
      </c>
      <c r="L214" s="56" t="str">
        <f aca="false">IF(A214="","",J214-K214)</f>
        <v/>
      </c>
      <c r="M214" s="56" t="str">
        <f aca="false">IF(A214="","",IF(I214&gt;I213,MAX(0,M213*(1+計算過程!$B$55)-計算過程!$B$56),M213))</f>
        <v/>
      </c>
      <c r="N214" s="56" t="str">
        <f aca="false">IF(A214="","",C214+J214)</f>
        <v/>
      </c>
      <c r="O214" s="56" t="str">
        <f aca="false">IF(A214="","",H214+M214)</f>
        <v/>
      </c>
    </row>
    <row r="215" customFormat="false" ht="15" hidden="false" customHeight="false" outlineLevel="0" collapsed="false">
      <c r="A215" s="55" t="str">
        <f aca="false">IF(ROWS($A$8:A215)&lt;=計算過程!$B$51,ROWS($A$8:A215),"")</f>
        <v/>
      </c>
      <c r="B215" s="57" t="str">
        <f aca="false">IF(A215="","",EDATE(計算過程!$B$71,A215-1))</f>
        <v/>
      </c>
      <c r="C215" s="56" t="str">
        <f aca="false">IF(A215="","",計算過程!$B$54)</f>
        <v/>
      </c>
      <c r="D215" s="56" t="str">
        <f aca="false">IF(A215="","",ROUND(F214*計算過程!$B$24/12+G214*計算過程!$B$25/12,0))</f>
        <v/>
      </c>
      <c r="E215" s="56" t="str">
        <f aca="false">IF(A215="","",C215-D215)</f>
        <v/>
      </c>
      <c r="F215" s="56" t="str">
        <f aca="false">IF(A215="","",MAX(0,F214*(1+計算過程!$B$24/12)-計算過程!$B$52))</f>
        <v/>
      </c>
      <c r="G215" s="56" t="str">
        <f aca="false">IF(A215="","",MAX(0,G214*(1+計算過程!$B$25/12)-計算過程!$B$53))</f>
        <v/>
      </c>
      <c r="H215" s="56" t="str">
        <f aca="false">IF(A215="","",F215+G215)</f>
        <v/>
      </c>
      <c r="I215" s="55" t="str">
        <f aca="false">IF(A215="","",IF(AND(OR(MONTH(B215)=6,MONTH(B215)=12),I214&lt;計算過程!$B$50),I214+1,I214))</f>
        <v/>
      </c>
      <c r="J215" s="56" t="str">
        <f aca="false">IF(A215="","",IF(I215&gt;I214,計算過程!$B$57,0))</f>
        <v/>
      </c>
      <c r="K215" s="56" t="str">
        <f aca="false">IF(A215="","",IF(I215&gt;I214,ROUND(M214*計算過程!$B$55,0),0))</f>
        <v/>
      </c>
      <c r="L215" s="56" t="str">
        <f aca="false">IF(A215="","",J215-K215)</f>
        <v/>
      </c>
      <c r="M215" s="56" t="str">
        <f aca="false">IF(A215="","",IF(I215&gt;I214,MAX(0,M214*(1+計算過程!$B$55)-計算過程!$B$56),M214))</f>
        <v/>
      </c>
      <c r="N215" s="56" t="str">
        <f aca="false">IF(A215="","",C215+J215)</f>
        <v/>
      </c>
      <c r="O215" s="56" t="str">
        <f aca="false">IF(A215="","",H215+M215)</f>
        <v/>
      </c>
    </row>
    <row r="216" customFormat="false" ht="15" hidden="false" customHeight="false" outlineLevel="0" collapsed="false">
      <c r="A216" s="55" t="str">
        <f aca="false">IF(ROWS($A$8:A216)&lt;=計算過程!$B$51,ROWS($A$8:A216),"")</f>
        <v/>
      </c>
      <c r="B216" s="57" t="str">
        <f aca="false">IF(A216="","",EDATE(計算過程!$B$71,A216-1))</f>
        <v/>
      </c>
      <c r="C216" s="56" t="str">
        <f aca="false">IF(A216="","",計算過程!$B$54)</f>
        <v/>
      </c>
      <c r="D216" s="56" t="str">
        <f aca="false">IF(A216="","",ROUND(F215*計算過程!$B$24/12+G215*計算過程!$B$25/12,0))</f>
        <v/>
      </c>
      <c r="E216" s="56" t="str">
        <f aca="false">IF(A216="","",C216-D216)</f>
        <v/>
      </c>
      <c r="F216" s="56" t="str">
        <f aca="false">IF(A216="","",MAX(0,F215*(1+計算過程!$B$24/12)-計算過程!$B$52))</f>
        <v/>
      </c>
      <c r="G216" s="56" t="str">
        <f aca="false">IF(A216="","",MAX(0,G215*(1+計算過程!$B$25/12)-計算過程!$B$53))</f>
        <v/>
      </c>
      <c r="H216" s="56" t="str">
        <f aca="false">IF(A216="","",F216+G216)</f>
        <v/>
      </c>
      <c r="I216" s="55" t="str">
        <f aca="false">IF(A216="","",IF(AND(OR(MONTH(B216)=6,MONTH(B216)=12),I215&lt;計算過程!$B$50),I215+1,I215))</f>
        <v/>
      </c>
      <c r="J216" s="56" t="str">
        <f aca="false">IF(A216="","",IF(I216&gt;I215,計算過程!$B$57,0))</f>
        <v/>
      </c>
      <c r="K216" s="56" t="str">
        <f aca="false">IF(A216="","",IF(I216&gt;I215,ROUND(M215*計算過程!$B$55,0),0))</f>
        <v/>
      </c>
      <c r="L216" s="56" t="str">
        <f aca="false">IF(A216="","",J216-K216)</f>
        <v/>
      </c>
      <c r="M216" s="56" t="str">
        <f aca="false">IF(A216="","",IF(I216&gt;I215,MAX(0,M215*(1+計算過程!$B$55)-計算過程!$B$56),M215))</f>
        <v/>
      </c>
      <c r="N216" s="56" t="str">
        <f aca="false">IF(A216="","",C216+J216)</f>
        <v/>
      </c>
      <c r="O216" s="56" t="str">
        <f aca="false">IF(A216="","",H216+M216)</f>
        <v/>
      </c>
    </row>
    <row r="217" customFormat="false" ht="15" hidden="false" customHeight="false" outlineLevel="0" collapsed="false">
      <c r="A217" s="55" t="str">
        <f aca="false">IF(ROWS($A$8:A217)&lt;=計算過程!$B$51,ROWS($A$8:A217),"")</f>
        <v/>
      </c>
      <c r="B217" s="57" t="str">
        <f aca="false">IF(A217="","",EDATE(計算過程!$B$71,A217-1))</f>
        <v/>
      </c>
      <c r="C217" s="56" t="str">
        <f aca="false">IF(A217="","",計算過程!$B$54)</f>
        <v/>
      </c>
      <c r="D217" s="56" t="str">
        <f aca="false">IF(A217="","",ROUND(F216*計算過程!$B$24/12+G216*計算過程!$B$25/12,0))</f>
        <v/>
      </c>
      <c r="E217" s="56" t="str">
        <f aca="false">IF(A217="","",C217-D217)</f>
        <v/>
      </c>
      <c r="F217" s="56" t="str">
        <f aca="false">IF(A217="","",MAX(0,F216*(1+計算過程!$B$24/12)-計算過程!$B$52))</f>
        <v/>
      </c>
      <c r="G217" s="56" t="str">
        <f aca="false">IF(A217="","",MAX(0,G216*(1+計算過程!$B$25/12)-計算過程!$B$53))</f>
        <v/>
      </c>
      <c r="H217" s="56" t="str">
        <f aca="false">IF(A217="","",F217+G217)</f>
        <v/>
      </c>
      <c r="I217" s="55" t="str">
        <f aca="false">IF(A217="","",IF(AND(OR(MONTH(B217)=6,MONTH(B217)=12),I216&lt;計算過程!$B$50),I216+1,I216))</f>
        <v/>
      </c>
      <c r="J217" s="56" t="str">
        <f aca="false">IF(A217="","",IF(I217&gt;I216,計算過程!$B$57,0))</f>
        <v/>
      </c>
      <c r="K217" s="56" t="str">
        <f aca="false">IF(A217="","",IF(I217&gt;I216,ROUND(M216*計算過程!$B$55,0),0))</f>
        <v/>
      </c>
      <c r="L217" s="56" t="str">
        <f aca="false">IF(A217="","",J217-K217)</f>
        <v/>
      </c>
      <c r="M217" s="56" t="str">
        <f aca="false">IF(A217="","",IF(I217&gt;I216,MAX(0,M216*(1+計算過程!$B$55)-計算過程!$B$56),M216))</f>
        <v/>
      </c>
      <c r="N217" s="56" t="str">
        <f aca="false">IF(A217="","",C217+J217)</f>
        <v/>
      </c>
      <c r="O217" s="56" t="str">
        <f aca="false">IF(A217="","",H217+M217)</f>
        <v/>
      </c>
    </row>
    <row r="218" customFormat="false" ht="15" hidden="false" customHeight="false" outlineLevel="0" collapsed="false">
      <c r="A218" s="55" t="str">
        <f aca="false">IF(ROWS($A$8:A218)&lt;=計算過程!$B$51,ROWS($A$8:A218),"")</f>
        <v/>
      </c>
      <c r="B218" s="57" t="str">
        <f aca="false">IF(A218="","",EDATE(計算過程!$B$71,A218-1))</f>
        <v/>
      </c>
      <c r="C218" s="56" t="str">
        <f aca="false">IF(A218="","",計算過程!$B$54)</f>
        <v/>
      </c>
      <c r="D218" s="56" t="str">
        <f aca="false">IF(A218="","",ROUND(F217*計算過程!$B$24/12+G217*計算過程!$B$25/12,0))</f>
        <v/>
      </c>
      <c r="E218" s="56" t="str">
        <f aca="false">IF(A218="","",C218-D218)</f>
        <v/>
      </c>
      <c r="F218" s="56" t="str">
        <f aca="false">IF(A218="","",MAX(0,F217*(1+計算過程!$B$24/12)-計算過程!$B$52))</f>
        <v/>
      </c>
      <c r="G218" s="56" t="str">
        <f aca="false">IF(A218="","",MAX(0,G217*(1+計算過程!$B$25/12)-計算過程!$B$53))</f>
        <v/>
      </c>
      <c r="H218" s="56" t="str">
        <f aca="false">IF(A218="","",F218+G218)</f>
        <v/>
      </c>
      <c r="I218" s="55" t="str">
        <f aca="false">IF(A218="","",IF(AND(OR(MONTH(B218)=6,MONTH(B218)=12),I217&lt;計算過程!$B$50),I217+1,I217))</f>
        <v/>
      </c>
      <c r="J218" s="56" t="str">
        <f aca="false">IF(A218="","",IF(I218&gt;I217,計算過程!$B$57,0))</f>
        <v/>
      </c>
      <c r="K218" s="56" t="str">
        <f aca="false">IF(A218="","",IF(I218&gt;I217,ROUND(M217*計算過程!$B$55,0),0))</f>
        <v/>
      </c>
      <c r="L218" s="56" t="str">
        <f aca="false">IF(A218="","",J218-K218)</f>
        <v/>
      </c>
      <c r="M218" s="56" t="str">
        <f aca="false">IF(A218="","",IF(I218&gt;I217,MAX(0,M217*(1+計算過程!$B$55)-計算過程!$B$56),M217))</f>
        <v/>
      </c>
      <c r="N218" s="56" t="str">
        <f aca="false">IF(A218="","",C218+J218)</f>
        <v/>
      </c>
      <c r="O218" s="56" t="str">
        <f aca="false">IF(A218="","",H218+M218)</f>
        <v/>
      </c>
    </row>
    <row r="219" customFormat="false" ht="15" hidden="false" customHeight="false" outlineLevel="0" collapsed="false">
      <c r="A219" s="55" t="str">
        <f aca="false">IF(ROWS($A$8:A219)&lt;=計算過程!$B$51,ROWS($A$8:A219),"")</f>
        <v/>
      </c>
      <c r="B219" s="57" t="str">
        <f aca="false">IF(A219="","",EDATE(計算過程!$B$71,A219-1))</f>
        <v/>
      </c>
      <c r="C219" s="56" t="str">
        <f aca="false">IF(A219="","",計算過程!$B$54)</f>
        <v/>
      </c>
      <c r="D219" s="56" t="str">
        <f aca="false">IF(A219="","",ROUND(F218*計算過程!$B$24/12+G218*計算過程!$B$25/12,0))</f>
        <v/>
      </c>
      <c r="E219" s="56" t="str">
        <f aca="false">IF(A219="","",C219-D219)</f>
        <v/>
      </c>
      <c r="F219" s="56" t="str">
        <f aca="false">IF(A219="","",MAX(0,F218*(1+計算過程!$B$24/12)-計算過程!$B$52))</f>
        <v/>
      </c>
      <c r="G219" s="56" t="str">
        <f aca="false">IF(A219="","",MAX(0,G218*(1+計算過程!$B$25/12)-計算過程!$B$53))</f>
        <v/>
      </c>
      <c r="H219" s="56" t="str">
        <f aca="false">IF(A219="","",F219+G219)</f>
        <v/>
      </c>
      <c r="I219" s="55" t="str">
        <f aca="false">IF(A219="","",IF(AND(OR(MONTH(B219)=6,MONTH(B219)=12),I218&lt;計算過程!$B$50),I218+1,I218))</f>
        <v/>
      </c>
      <c r="J219" s="56" t="str">
        <f aca="false">IF(A219="","",IF(I219&gt;I218,計算過程!$B$57,0))</f>
        <v/>
      </c>
      <c r="K219" s="56" t="str">
        <f aca="false">IF(A219="","",IF(I219&gt;I218,ROUND(M218*計算過程!$B$55,0),0))</f>
        <v/>
      </c>
      <c r="L219" s="56" t="str">
        <f aca="false">IF(A219="","",J219-K219)</f>
        <v/>
      </c>
      <c r="M219" s="56" t="str">
        <f aca="false">IF(A219="","",IF(I219&gt;I218,MAX(0,M218*(1+計算過程!$B$55)-計算過程!$B$56),M218))</f>
        <v/>
      </c>
      <c r="N219" s="56" t="str">
        <f aca="false">IF(A219="","",C219+J219)</f>
        <v/>
      </c>
      <c r="O219" s="56" t="str">
        <f aca="false">IF(A219="","",H219+M219)</f>
        <v/>
      </c>
    </row>
    <row r="220" customFormat="false" ht="15" hidden="false" customHeight="false" outlineLevel="0" collapsed="false">
      <c r="A220" s="55" t="str">
        <f aca="false">IF(ROWS($A$8:A220)&lt;=計算過程!$B$51,ROWS($A$8:A220),"")</f>
        <v/>
      </c>
      <c r="B220" s="57" t="str">
        <f aca="false">IF(A220="","",EDATE(計算過程!$B$71,A220-1))</f>
        <v/>
      </c>
      <c r="C220" s="56" t="str">
        <f aca="false">IF(A220="","",計算過程!$B$54)</f>
        <v/>
      </c>
      <c r="D220" s="56" t="str">
        <f aca="false">IF(A220="","",ROUND(F219*計算過程!$B$24/12+G219*計算過程!$B$25/12,0))</f>
        <v/>
      </c>
      <c r="E220" s="56" t="str">
        <f aca="false">IF(A220="","",C220-D220)</f>
        <v/>
      </c>
      <c r="F220" s="56" t="str">
        <f aca="false">IF(A220="","",MAX(0,F219*(1+計算過程!$B$24/12)-計算過程!$B$52))</f>
        <v/>
      </c>
      <c r="G220" s="56" t="str">
        <f aca="false">IF(A220="","",MAX(0,G219*(1+計算過程!$B$25/12)-計算過程!$B$53))</f>
        <v/>
      </c>
      <c r="H220" s="56" t="str">
        <f aca="false">IF(A220="","",F220+G220)</f>
        <v/>
      </c>
      <c r="I220" s="55" t="str">
        <f aca="false">IF(A220="","",IF(AND(OR(MONTH(B220)=6,MONTH(B220)=12),I219&lt;計算過程!$B$50),I219+1,I219))</f>
        <v/>
      </c>
      <c r="J220" s="56" t="str">
        <f aca="false">IF(A220="","",IF(I220&gt;I219,計算過程!$B$57,0))</f>
        <v/>
      </c>
      <c r="K220" s="56" t="str">
        <f aca="false">IF(A220="","",IF(I220&gt;I219,ROUND(M219*計算過程!$B$55,0),0))</f>
        <v/>
      </c>
      <c r="L220" s="56" t="str">
        <f aca="false">IF(A220="","",J220-K220)</f>
        <v/>
      </c>
      <c r="M220" s="56" t="str">
        <f aca="false">IF(A220="","",IF(I220&gt;I219,MAX(0,M219*(1+計算過程!$B$55)-計算過程!$B$56),M219))</f>
        <v/>
      </c>
      <c r="N220" s="56" t="str">
        <f aca="false">IF(A220="","",C220+J220)</f>
        <v/>
      </c>
      <c r="O220" s="56" t="str">
        <f aca="false">IF(A220="","",H220+M220)</f>
        <v/>
      </c>
    </row>
    <row r="221" customFormat="false" ht="15" hidden="false" customHeight="false" outlineLevel="0" collapsed="false">
      <c r="A221" s="55" t="str">
        <f aca="false">IF(ROWS($A$8:A221)&lt;=計算過程!$B$51,ROWS($A$8:A221),"")</f>
        <v/>
      </c>
      <c r="B221" s="57" t="str">
        <f aca="false">IF(A221="","",EDATE(計算過程!$B$71,A221-1))</f>
        <v/>
      </c>
      <c r="C221" s="56" t="str">
        <f aca="false">IF(A221="","",計算過程!$B$54)</f>
        <v/>
      </c>
      <c r="D221" s="56" t="str">
        <f aca="false">IF(A221="","",ROUND(F220*計算過程!$B$24/12+G220*計算過程!$B$25/12,0))</f>
        <v/>
      </c>
      <c r="E221" s="56" t="str">
        <f aca="false">IF(A221="","",C221-D221)</f>
        <v/>
      </c>
      <c r="F221" s="56" t="str">
        <f aca="false">IF(A221="","",MAX(0,F220*(1+計算過程!$B$24/12)-計算過程!$B$52))</f>
        <v/>
      </c>
      <c r="G221" s="56" t="str">
        <f aca="false">IF(A221="","",MAX(0,G220*(1+計算過程!$B$25/12)-計算過程!$B$53))</f>
        <v/>
      </c>
      <c r="H221" s="56" t="str">
        <f aca="false">IF(A221="","",F221+G221)</f>
        <v/>
      </c>
      <c r="I221" s="55" t="str">
        <f aca="false">IF(A221="","",IF(AND(OR(MONTH(B221)=6,MONTH(B221)=12),I220&lt;計算過程!$B$50),I220+1,I220))</f>
        <v/>
      </c>
      <c r="J221" s="56" t="str">
        <f aca="false">IF(A221="","",IF(I221&gt;I220,計算過程!$B$57,0))</f>
        <v/>
      </c>
      <c r="K221" s="56" t="str">
        <f aca="false">IF(A221="","",IF(I221&gt;I220,ROUND(M220*計算過程!$B$55,0),0))</f>
        <v/>
      </c>
      <c r="L221" s="56" t="str">
        <f aca="false">IF(A221="","",J221-K221)</f>
        <v/>
      </c>
      <c r="M221" s="56" t="str">
        <f aca="false">IF(A221="","",IF(I221&gt;I220,MAX(0,M220*(1+計算過程!$B$55)-計算過程!$B$56),M220))</f>
        <v/>
      </c>
      <c r="N221" s="56" t="str">
        <f aca="false">IF(A221="","",C221+J221)</f>
        <v/>
      </c>
      <c r="O221" s="56" t="str">
        <f aca="false">IF(A221="","",H221+M221)</f>
        <v/>
      </c>
    </row>
    <row r="222" customFormat="false" ht="15" hidden="false" customHeight="false" outlineLevel="0" collapsed="false">
      <c r="A222" s="55" t="str">
        <f aca="false">IF(ROWS($A$8:A222)&lt;=計算過程!$B$51,ROWS($A$8:A222),"")</f>
        <v/>
      </c>
      <c r="B222" s="57" t="str">
        <f aca="false">IF(A222="","",EDATE(計算過程!$B$71,A222-1))</f>
        <v/>
      </c>
      <c r="C222" s="56" t="str">
        <f aca="false">IF(A222="","",計算過程!$B$54)</f>
        <v/>
      </c>
      <c r="D222" s="56" t="str">
        <f aca="false">IF(A222="","",ROUND(F221*計算過程!$B$24/12+G221*計算過程!$B$25/12,0))</f>
        <v/>
      </c>
      <c r="E222" s="56" t="str">
        <f aca="false">IF(A222="","",C222-D222)</f>
        <v/>
      </c>
      <c r="F222" s="56" t="str">
        <f aca="false">IF(A222="","",MAX(0,F221*(1+計算過程!$B$24/12)-計算過程!$B$52))</f>
        <v/>
      </c>
      <c r="G222" s="56" t="str">
        <f aca="false">IF(A222="","",MAX(0,G221*(1+計算過程!$B$25/12)-計算過程!$B$53))</f>
        <v/>
      </c>
      <c r="H222" s="56" t="str">
        <f aca="false">IF(A222="","",F222+G222)</f>
        <v/>
      </c>
      <c r="I222" s="55" t="str">
        <f aca="false">IF(A222="","",IF(AND(OR(MONTH(B222)=6,MONTH(B222)=12),I221&lt;計算過程!$B$50),I221+1,I221))</f>
        <v/>
      </c>
      <c r="J222" s="56" t="str">
        <f aca="false">IF(A222="","",IF(I222&gt;I221,計算過程!$B$57,0))</f>
        <v/>
      </c>
      <c r="K222" s="56" t="str">
        <f aca="false">IF(A222="","",IF(I222&gt;I221,ROUND(M221*計算過程!$B$55,0),0))</f>
        <v/>
      </c>
      <c r="L222" s="56" t="str">
        <f aca="false">IF(A222="","",J222-K222)</f>
        <v/>
      </c>
      <c r="M222" s="56" t="str">
        <f aca="false">IF(A222="","",IF(I222&gt;I221,MAX(0,M221*(1+計算過程!$B$55)-計算過程!$B$56),M221))</f>
        <v/>
      </c>
      <c r="N222" s="56" t="str">
        <f aca="false">IF(A222="","",C222+J222)</f>
        <v/>
      </c>
      <c r="O222" s="56" t="str">
        <f aca="false">IF(A222="","",H222+M222)</f>
        <v/>
      </c>
    </row>
    <row r="223" customFormat="false" ht="15" hidden="false" customHeight="false" outlineLevel="0" collapsed="false">
      <c r="A223" s="55" t="str">
        <f aca="false">IF(ROWS($A$8:A223)&lt;=計算過程!$B$51,ROWS($A$8:A223),"")</f>
        <v/>
      </c>
      <c r="B223" s="57" t="str">
        <f aca="false">IF(A223="","",EDATE(計算過程!$B$71,A223-1))</f>
        <v/>
      </c>
      <c r="C223" s="56" t="str">
        <f aca="false">IF(A223="","",計算過程!$B$54)</f>
        <v/>
      </c>
      <c r="D223" s="56" t="str">
        <f aca="false">IF(A223="","",ROUND(F222*計算過程!$B$24/12+G222*計算過程!$B$25/12,0))</f>
        <v/>
      </c>
      <c r="E223" s="56" t="str">
        <f aca="false">IF(A223="","",C223-D223)</f>
        <v/>
      </c>
      <c r="F223" s="56" t="str">
        <f aca="false">IF(A223="","",MAX(0,F222*(1+計算過程!$B$24/12)-計算過程!$B$52))</f>
        <v/>
      </c>
      <c r="G223" s="56" t="str">
        <f aca="false">IF(A223="","",MAX(0,G222*(1+計算過程!$B$25/12)-計算過程!$B$53))</f>
        <v/>
      </c>
      <c r="H223" s="56" t="str">
        <f aca="false">IF(A223="","",F223+G223)</f>
        <v/>
      </c>
      <c r="I223" s="55" t="str">
        <f aca="false">IF(A223="","",IF(AND(OR(MONTH(B223)=6,MONTH(B223)=12),I222&lt;計算過程!$B$50),I222+1,I222))</f>
        <v/>
      </c>
      <c r="J223" s="56" t="str">
        <f aca="false">IF(A223="","",IF(I223&gt;I222,計算過程!$B$57,0))</f>
        <v/>
      </c>
      <c r="K223" s="56" t="str">
        <f aca="false">IF(A223="","",IF(I223&gt;I222,ROUND(M222*計算過程!$B$55,0),0))</f>
        <v/>
      </c>
      <c r="L223" s="56" t="str">
        <f aca="false">IF(A223="","",J223-K223)</f>
        <v/>
      </c>
      <c r="M223" s="56" t="str">
        <f aca="false">IF(A223="","",IF(I223&gt;I222,MAX(0,M222*(1+計算過程!$B$55)-計算過程!$B$56),M222))</f>
        <v/>
      </c>
      <c r="N223" s="56" t="str">
        <f aca="false">IF(A223="","",C223+J223)</f>
        <v/>
      </c>
      <c r="O223" s="56" t="str">
        <f aca="false">IF(A223="","",H223+M223)</f>
        <v/>
      </c>
    </row>
    <row r="224" customFormat="false" ht="15" hidden="false" customHeight="false" outlineLevel="0" collapsed="false">
      <c r="A224" s="55" t="str">
        <f aca="false">IF(ROWS($A$8:A224)&lt;=計算過程!$B$51,ROWS($A$8:A224),"")</f>
        <v/>
      </c>
      <c r="B224" s="57" t="str">
        <f aca="false">IF(A224="","",EDATE(計算過程!$B$71,A224-1))</f>
        <v/>
      </c>
      <c r="C224" s="56" t="str">
        <f aca="false">IF(A224="","",計算過程!$B$54)</f>
        <v/>
      </c>
      <c r="D224" s="56" t="str">
        <f aca="false">IF(A224="","",ROUND(F223*計算過程!$B$24/12+G223*計算過程!$B$25/12,0))</f>
        <v/>
      </c>
      <c r="E224" s="56" t="str">
        <f aca="false">IF(A224="","",C224-D224)</f>
        <v/>
      </c>
      <c r="F224" s="56" t="str">
        <f aca="false">IF(A224="","",MAX(0,F223*(1+計算過程!$B$24/12)-計算過程!$B$52))</f>
        <v/>
      </c>
      <c r="G224" s="56" t="str">
        <f aca="false">IF(A224="","",MAX(0,G223*(1+計算過程!$B$25/12)-計算過程!$B$53))</f>
        <v/>
      </c>
      <c r="H224" s="56" t="str">
        <f aca="false">IF(A224="","",F224+G224)</f>
        <v/>
      </c>
      <c r="I224" s="55" t="str">
        <f aca="false">IF(A224="","",IF(AND(OR(MONTH(B224)=6,MONTH(B224)=12),I223&lt;計算過程!$B$50),I223+1,I223))</f>
        <v/>
      </c>
      <c r="J224" s="56" t="str">
        <f aca="false">IF(A224="","",IF(I224&gt;I223,計算過程!$B$57,0))</f>
        <v/>
      </c>
      <c r="K224" s="56" t="str">
        <f aca="false">IF(A224="","",IF(I224&gt;I223,ROUND(M223*計算過程!$B$55,0),0))</f>
        <v/>
      </c>
      <c r="L224" s="56" t="str">
        <f aca="false">IF(A224="","",J224-K224)</f>
        <v/>
      </c>
      <c r="M224" s="56" t="str">
        <f aca="false">IF(A224="","",IF(I224&gt;I223,MAX(0,M223*(1+計算過程!$B$55)-計算過程!$B$56),M223))</f>
        <v/>
      </c>
      <c r="N224" s="56" t="str">
        <f aca="false">IF(A224="","",C224+J224)</f>
        <v/>
      </c>
      <c r="O224" s="56" t="str">
        <f aca="false">IF(A224="","",H224+M224)</f>
        <v/>
      </c>
    </row>
    <row r="225" customFormat="false" ht="15" hidden="false" customHeight="false" outlineLevel="0" collapsed="false">
      <c r="A225" s="55" t="str">
        <f aca="false">IF(ROWS($A$8:A225)&lt;=計算過程!$B$51,ROWS($A$8:A225),"")</f>
        <v/>
      </c>
      <c r="B225" s="57" t="str">
        <f aca="false">IF(A225="","",EDATE(計算過程!$B$71,A225-1))</f>
        <v/>
      </c>
      <c r="C225" s="56" t="str">
        <f aca="false">IF(A225="","",計算過程!$B$54)</f>
        <v/>
      </c>
      <c r="D225" s="56" t="str">
        <f aca="false">IF(A225="","",ROUND(F224*計算過程!$B$24/12+G224*計算過程!$B$25/12,0))</f>
        <v/>
      </c>
      <c r="E225" s="56" t="str">
        <f aca="false">IF(A225="","",C225-D225)</f>
        <v/>
      </c>
      <c r="F225" s="56" t="str">
        <f aca="false">IF(A225="","",MAX(0,F224*(1+計算過程!$B$24/12)-計算過程!$B$52))</f>
        <v/>
      </c>
      <c r="G225" s="56" t="str">
        <f aca="false">IF(A225="","",MAX(0,G224*(1+計算過程!$B$25/12)-計算過程!$B$53))</f>
        <v/>
      </c>
      <c r="H225" s="56" t="str">
        <f aca="false">IF(A225="","",F225+G225)</f>
        <v/>
      </c>
      <c r="I225" s="55" t="str">
        <f aca="false">IF(A225="","",IF(AND(OR(MONTH(B225)=6,MONTH(B225)=12),I224&lt;計算過程!$B$50),I224+1,I224))</f>
        <v/>
      </c>
      <c r="J225" s="56" t="str">
        <f aca="false">IF(A225="","",IF(I225&gt;I224,計算過程!$B$57,0))</f>
        <v/>
      </c>
      <c r="K225" s="56" t="str">
        <f aca="false">IF(A225="","",IF(I225&gt;I224,ROUND(M224*計算過程!$B$55,0),0))</f>
        <v/>
      </c>
      <c r="L225" s="56" t="str">
        <f aca="false">IF(A225="","",J225-K225)</f>
        <v/>
      </c>
      <c r="M225" s="56" t="str">
        <f aca="false">IF(A225="","",IF(I225&gt;I224,MAX(0,M224*(1+計算過程!$B$55)-計算過程!$B$56),M224))</f>
        <v/>
      </c>
      <c r="N225" s="56" t="str">
        <f aca="false">IF(A225="","",C225+J225)</f>
        <v/>
      </c>
      <c r="O225" s="56" t="str">
        <f aca="false">IF(A225="","",H225+M225)</f>
        <v/>
      </c>
    </row>
    <row r="226" customFormat="false" ht="15" hidden="false" customHeight="false" outlineLevel="0" collapsed="false">
      <c r="A226" s="55" t="str">
        <f aca="false">IF(ROWS($A$8:A226)&lt;=計算過程!$B$51,ROWS($A$8:A226),"")</f>
        <v/>
      </c>
      <c r="B226" s="57" t="str">
        <f aca="false">IF(A226="","",EDATE(計算過程!$B$71,A226-1))</f>
        <v/>
      </c>
      <c r="C226" s="56" t="str">
        <f aca="false">IF(A226="","",計算過程!$B$54)</f>
        <v/>
      </c>
      <c r="D226" s="56" t="str">
        <f aca="false">IF(A226="","",ROUND(F225*計算過程!$B$24/12+G225*計算過程!$B$25/12,0))</f>
        <v/>
      </c>
      <c r="E226" s="56" t="str">
        <f aca="false">IF(A226="","",C226-D226)</f>
        <v/>
      </c>
      <c r="F226" s="56" t="str">
        <f aca="false">IF(A226="","",MAX(0,F225*(1+計算過程!$B$24/12)-計算過程!$B$52))</f>
        <v/>
      </c>
      <c r="G226" s="56" t="str">
        <f aca="false">IF(A226="","",MAX(0,G225*(1+計算過程!$B$25/12)-計算過程!$B$53))</f>
        <v/>
      </c>
      <c r="H226" s="56" t="str">
        <f aca="false">IF(A226="","",F226+G226)</f>
        <v/>
      </c>
      <c r="I226" s="55" t="str">
        <f aca="false">IF(A226="","",IF(AND(OR(MONTH(B226)=6,MONTH(B226)=12),I225&lt;計算過程!$B$50),I225+1,I225))</f>
        <v/>
      </c>
      <c r="J226" s="56" t="str">
        <f aca="false">IF(A226="","",IF(I226&gt;I225,計算過程!$B$57,0))</f>
        <v/>
      </c>
      <c r="K226" s="56" t="str">
        <f aca="false">IF(A226="","",IF(I226&gt;I225,ROUND(M225*計算過程!$B$55,0),0))</f>
        <v/>
      </c>
      <c r="L226" s="56" t="str">
        <f aca="false">IF(A226="","",J226-K226)</f>
        <v/>
      </c>
      <c r="M226" s="56" t="str">
        <f aca="false">IF(A226="","",IF(I226&gt;I225,MAX(0,M225*(1+計算過程!$B$55)-計算過程!$B$56),M225))</f>
        <v/>
      </c>
      <c r="N226" s="56" t="str">
        <f aca="false">IF(A226="","",C226+J226)</f>
        <v/>
      </c>
      <c r="O226" s="56" t="str">
        <f aca="false">IF(A226="","",H226+M226)</f>
        <v/>
      </c>
    </row>
    <row r="227" customFormat="false" ht="15" hidden="false" customHeight="false" outlineLevel="0" collapsed="false">
      <c r="A227" s="55" t="str">
        <f aca="false">IF(ROWS($A$8:A227)&lt;=計算過程!$B$51,ROWS($A$8:A227),"")</f>
        <v/>
      </c>
      <c r="B227" s="57" t="str">
        <f aca="false">IF(A227="","",EDATE(計算過程!$B$71,A227-1))</f>
        <v/>
      </c>
      <c r="C227" s="56" t="str">
        <f aca="false">IF(A227="","",計算過程!$B$54)</f>
        <v/>
      </c>
      <c r="D227" s="56" t="str">
        <f aca="false">IF(A227="","",ROUND(F226*計算過程!$B$24/12+G226*計算過程!$B$25/12,0))</f>
        <v/>
      </c>
      <c r="E227" s="56" t="str">
        <f aca="false">IF(A227="","",C227-D227)</f>
        <v/>
      </c>
      <c r="F227" s="56" t="str">
        <f aca="false">IF(A227="","",MAX(0,F226*(1+計算過程!$B$24/12)-計算過程!$B$52))</f>
        <v/>
      </c>
      <c r="G227" s="56" t="str">
        <f aca="false">IF(A227="","",MAX(0,G226*(1+計算過程!$B$25/12)-計算過程!$B$53))</f>
        <v/>
      </c>
      <c r="H227" s="56" t="str">
        <f aca="false">IF(A227="","",F227+G227)</f>
        <v/>
      </c>
      <c r="I227" s="55" t="str">
        <f aca="false">IF(A227="","",IF(AND(OR(MONTH(B227)=6,MONTH(B227)=12),I226&lt;計算過程!$B$50),I226+1,I226))</f>
        <v/>
      </c>
      <c r="J227" s="56" t="str">
        <f aca="false">IF(A227="","",IF(I227&gt;I226,計算過程!$B$57,0))</f>
        <v/>
      </c>
      <c r="K227" s="56" t="str">
        <f aca="false">IF(A227="","",IF(I227&gt;I226,ROUND(M226*計算過程!$B$55,0),0))</f>
        <v/>
      </c>
      <c r="L227" s="56" t="str">
        <f aca="false">IF(A227="","",J227-K227)</f>
        <v/>
      </c>
      <c r="M227" s="56" t="str">
        <f aca="false">IF(A227="","",IF(I227&gt;I226,MAX(0,M226*(1+計算過程!$B$55)-計算過程!$B$56),M226))</f>
        <v/>
      </c>
      <c r="N227" s="56" t="str">
        <f aca="false">IF(A227="","",C227+J227)</f>
        <v/>
      </c>
      <c r="O227" s="56" t="str">
        <f aca="false">IF(A227="","",H227+M227)</f>
        <v/>
      </c>
    </row>
    <row r="228" customFormat="false" ht="15" hidden="false" customHeight="false" outlineLevel="0" collapsed="false">
      <c r="A228" s="55" t="str">
        <f aca="false">IF(ROWS($A$8:A228)&lt;=計算過程!$B$51,ROWS($A$8:A228),"")</f>
        <v/>
      </c>
      <c r="B228" s="57" t="str">
        <f aca="false">IF(A228="","",EDATE(計算過程!$B$71,A228-1))</f>
        <v/>
      </c>
      <c r="C228" s="56" t="str">
        <f aca="false">IF(A228="","",計算過程!$B$54)</f>
        <v/>
      </c>
      <c r="D228" s="56" t="str">
        <f aca="false">IF(A228="","",ROUND(F227*計算過程!$B$24/12+G227*計算過程!$B$25/12,0))</f>
        <v/>
      </c>
      <c r="E228" s="56" t="str">
        <f aca="false">IF(A228="","",C228-D228)</f>
        <v/>
      </c>
      <c r="F228" s="56" t="str">
        <f aca="false">IF(A228="","",MAX(0,F227*(1+計算過程!$B$24/12)-計算過程!$B$52))</f>
        <v/>
      </c>
      <c r="G228" s="56" t="str">
        <f aca="false">IF(A228="","",MAX(0,G227*(1+計算過程!$B$25/12)-計算過程!$B$53))</f>
        <v/>
      </c>
      <c r="H228" s="56" t="str">
        <f aca="false">IF(A228="","",F228+G228)</f>
        <v/>
      </c>
      <c r="I228" s="55" t="str">
        <f aca="false">IF(A228="","",IF(AND(OR(MONTH(B228)=6,MONTH(B228)=12),I227&lt;計算過程!$B$50),I227+1,I227))</f>
        <v/>
      </c>
      <c r="J228" s="56" t="str">
        <f aca="false">IF(A228="","",IF(I228&gt;I227,計算過程!$B$57,0))</f>
        <v/>
      </c>
      <c r="K228" s="56" t="str">
        <f aca="false">IF(A228="","",IF(I228&gt;I227,ROUND(M227*計算過程!$B$55,0),0))</f>
        <v/>
      </c>
      <c r="L228" s="56" t="str">
        <f aca="false">IF(A228="","",J228-K228)</f>
        <v/>
      </c>
      <c r="M228" s="56" t="str">
        <f aca="false">IF(A228="","",IF(I228&gt;I227,MAX(0,M227*(1+計算過程!$B$55)-計算過程!$B$56),M227))</f>
        <v/>
      </c>
      <c r="N228" s="56" t="str">
        <f aca="false">IF(A228="","",C228+J228)</f>
        <v/>
      </c>
      <c r="O228" s="56" t="str">
        <f aca="false">IF(A228="","",H228+M228)</f>
        <v/>
      </c>
    </row>
    <row r="229" customFormat="false" ht="15" hidden="false" customHeight="false" outlineLevel="0" collapsed="false">
      <c r="A229" s="55" t="str">
        <f aca="false">IF(ROWS($A$8:A229)&lt;=計算過程!$B$51,ROWS($A$8:A229),"")</f>
        <v/>
      </c>
      <c r="B229" s="57" t="str">
        <f aca="false">IF(A229="","",EDATE(計算過程!$B$71,A229-1))</f>
        <v/>
      </c>
      <c r="C229" s="56" t="str">
        <f aca="false">IF(A229="","",計算過程!$B$54)</f>
        <v/>
      </c>
      <c r="D229" s="56" t="str">
        <f aca="false">IF(A229="","",ROUND(F228*計算過程!$B$24/12+G228*計算過程!$B$25/12,0))</f>
        <v/>
      </c>
      <c r="E229" s="56" t="str">
        <f aca="false">IF(A229="","",C229-D229)</f>
        <v/>
      </c>
      <c r="F229" s="56" t="str">
        <f aca="false">IF(A229="","",MAX(0,F228*(1+計算過程!$B$24/12)-計算過程!$B$52))</f>
        <v/>
      </c>
      <c r="G229" s="56" t="str">
        <f aca="false">IF(A229="","",MAX(0,G228*(1+計算過程!$B$25/12)-計算過程!$B$53))</f>
        <v/>
      </c>
      <c r="H229" s="56" t="str">
        <f aca="false">IF(A229="","",F229+G229)</f>
        <v/>
      </c>
      <c r="I229" s="55" t="str">
        <f aca="false">IF(A229="","",IF(AND(OR(MONTH(B229)=6,MONTH(B229)=12),I228&lt;計算過程!$B$50),I228+1,I228))</f>
        <v/>
      </c>
      <c r="J229" s="56" t="str">
        <f aca="false">IF(A229="","",IF(I229&gt;I228,計算過程!$B$57,0))</f>
        <v/>
      </c>
      <c r="K229" s="56" t="str">
        <f aca="false">IF(A229="","",IF(I229&gt;I228,ROUND(M228*計算過程!$B$55,0),0))</f>
        <v/>
      </c>
      <c r="L229" s="56" t="str">
        <f aca="false">IF(A229="","",J229-K229)</f>
        <v/>
      </c>
      <c r="M229" s="56" t="str">
        <f aca="false">IF(A229="","",IF(I229&gt;I228,MAX(0,M228*(1+計算過程!$B$55)-計算過程!$B$56),M228))</f>
        <v/>
      </c>
      <c r="N229" s="56" t="str">
        <f aca="false">IF(A229="","",C229+J229)</f>
        <v/>
      </c>
      <c r="O229" s="56" t="str">
        <f aca="false">IF(A229="","",H229+M229)</f>
        <v/>
      </c>
    </row>
    <row r="230" customFormat="false" ht="15" hidden="false" customHeight="false" outlineLevel="0" collapsed="false">
      <c r="A230" s="55" t="str">
        <f aca="false">IF(ROWS($A$8:A230)&lt;=計算過程!$B$51,ROWS($A$8:A230),"")</f>
        <v/>
      </c>
      <c r="B230" s="57" t="str">
        <f aca="false">IF(A230="","",EDATE(計算過程!$B$71,A230-1))</f>
        <v/>
      </c>
      <c r="C230" s="56" t="str">
        <f aca="false">IF(A230="","",計算過程!$B$54)</f>
        <v/>
      </c>
      <c r="D230" s="56" t="str">
        <f aca="false">IF(A230="","",ROUND(F229*計算過程!$B$24/12+G229*計算過程!$B$25/12,0))</f>
        <v/>
      </c>
      <c r="E230" s="56" t="str">
        <f aca="false">IF(A230="","",C230-D230)</f>
        <v/>
      </c>
      <c r="F230" s="56" t="str">
        <f aca="false">IF(A230="","",MAX(0,F229*(1+計算過程!$B$24/12)-計算過程!$B$52))</f>
        <v/>
      </c>
      <c r="G230" s="56" t="str">
        <f aca="false">IF(A230="","",MAX(0,G229*(1+計算過程!$B$25/12)-計算過程!$B$53))</f>
        <v/>
      </c>
      <c r="H230" s="56" t="str">
        <f aca="false">IF(A230="","",F230+G230)</f>
        <v/>
      </c>
      <c r="I230" s="55" t="str">
        <f aca="false">IF(A230="","",IF(AND(OR(MONTH(B230)=6,MONTH(B230)=12),I229&lt;計算過程!$B$50),I229+1,I229))</f>
        <v/>
      </c>
      <c r="J230" s="56" t="str">
        <f aca="false">IF(A230="","",IF(I230&gt;I229,計算過程!$B$57,0))</f>
        <v/>
      </c>
      <c r="K230" s="56" t="str">
        <f aca="false">IF(A230="","",IF(I230&gt;I229,ROUND(M229*計算過程!$B$55,0),0))</f>
        <v/>
      </c>
      <c r="L230" s="56" t="str">
        <f aca="false">IF(A230="","",J230-K230)</f>
        <v/>
      </c>
      <c r="M230" s="56" t="str">
        <f aca="false">IF(A230="","",IF(I230&gt;I229,MAX(0,M229*(1+計算過程!$B$55)-計算過程!$B$56),M229))</f>
        <v/>
      </c>
      <c r="N230" s="56" t="str">
        <f aca="false">IF(A230="","",C230+J230)</f>
        <v/>
      </c>
      <c r="O230" s="56" t="str">
        <f aca="false">IF(A230="","",H230+M230)</f>
        <v/>
      </c>
    </row>
    <row r="231" customFormat="false" ht="15" hidden="false" customHeight="false" outlineLevel="0" collapsed="false">
      <c r="A231" s="55" t="str">
        <f aca="false">IF(ROWS($A$8:A231)&lt;=計算過程!$B$51,ROWS($A$8:A231),"")</f>
        <v/>
      </c>
      <c r="B231" s="57" t="str">
        <f aca="false">IF(A231="","",EDATE(計算過程!$B$71,A231-1))</f>
        <v/>
      </c>
      <c r="C231" s="56" t="str">
        <f aca="false">IF(A231="","",計算過程!$B$54)</f>
        <v/>
      </c>
      <c r="D231" s="56" t="str">
        <f aca="false">IF(A231="","",ROUND(F230*計算過程!$B$24/12+G230*計算過程!$B$25/12,0))</f>
        <v/>
      </c>
      <c r="E231" s="56" t="str">
        <f aca="false">IF(A231="","",C231-D231)</f>
        <v/>
      </c>
      <c r="F231" s="56" t="str">
        <f aca="false">IF(A231="","",MAX(0,F230*(1+計算過程!$B$24/12)-計算過程!$B$52))</f>
        <v/>
      </c>
      <c r="G231" s="56" t="str">
        <f aca="false">IF(A231="","",MAX(0,G230*(1+計算過程!$B$25/12)-計算過程!$B$53))</f>
        <v/>
      </c>
      <c r="H231" s="56" t="str">
        <f aca="false">IF(A231="","",F231+G231)</f>
        <v/>
      </c>
      <c r="I231" s="55" t="str">
        <f aca="false">IF(A231="","",IF(AND(OR(MONTH(B231)=6,MONTH(B231)=12),I230&lt;計算過程!$B$50),I230+1,I230))</f>
        <v/>
      </c>
      <c r="J231" s="56" t="str">
        <f aca="false">IF(A231="","",IF(I231&gt;I230,計算過程!$B$57,0))</f>
        <v/>
      </c>
      <c r="K231" s="56" t="str">
        <f aca="false">IF(A231="","",IF(I231&gt;I230,ROUND(M230*計算過程!$B$55,0),0))</f>
        <v/>
      </c>
      <c r="L231" s="56" t="str">
        <f aca="false">IF(A231="","",J231-K231)</f>
        <v/>
      </c>
      <c r="M231" s="56" t="str">
        <f aca="false">IF(A231="","",IF(I231&gt;I230,MAX(0,M230*(1+計算過程!$B$55)-計算過程!$B$56),M230))</f>
        <v/>
      </c>
      <c r="N231" s="56" t="str">
        <f aca="false">IF(A231="","",C231+J231)</f>
        <v/>
      </c>
      <c r="O231" s="56" t="str">
        <f aca="false">IF(A231="","",H231+M231)</f>
        <v/>
      </c>
    </row>
    <row r="232" customFormat="false" ht="15" hidden="false" customHeight="false" outlineLevel="0" collapsed="false">
      <c r="A232" s="55" t="str">
        <f aca="false">IF(ROWS($A$8:A232)&lt;=計算過程!$B$51,ROWS($A$8:A232),"")</f>
        <v/>
      </c>
      <c r="B232" s="57" t="str">
        <f aca="false">IF(A232="","",EDATE(計算過程!$B$71,A232-1))</f>
        <v/>
      </c>
      <c r="C232" s="56" t="str">
        <f aca="false">IF(A232="","",計算過程!$B$54)</f>
        <v/>
      </c>
      <c r="D232" s="56" t="str">
        <f aca="false">IF(A232="","",ROUND(F231*計算過程!$B$24/12+G231*計算過程!$B$25/12,0))</f>
        <v/>
      </c>
      <c r="E232" s="56" t="str">
        <f aca="false">IF(A232="","",C232-D232)</f>
        <v/>
      </c>
      <c r="F232" s="56" t="str">
        <f aca="false">IF(A232="","",MAX(0,F231*(1+計算過程!$B$24/12)-計算過程!$B$52))</f>
        <v/>
      </c>
      <c r="G232" s="56" t="str">
        <f aca="false">IF(A232="","",MAX(0,G231*(1+計算過程!$B$25/12)-計算過程!$B$53))</f>
        <v/>
      </c>
      <c r="H232" s="56" t="str">
        <f aca="false">IF(A232="","",F232+G232)</f>
        <v/>
      </c>
      <c r="I232" s="55" t="str">
        <f aca="false">IF(A232="","",IF(AND(OR(MONTH(B232)=6,MONTH(B232)=12),I231&lt;計算過程!$B$50),I231+1,I231))</f>
        <v/>
      </c>
      <c r="J232" s="56" t="str">
        <f aca="false">IF(A232="","",IF(I232&gt;I231,計算過程!$B$57,0))</f>
        <v/>
      </c>
      <c r="K232" s="56" t="str">
        <f aca="false">IF(A232="","",IF(I232&gt;I231,ROUND(M231*計算過程!$B$55,0),0))</f>
        <v/>
      </c>
      <c r="L232" s="56" t="str">
        <f aca="false">IF(A232="","",J232-K232)</f>
        <v/>
      </c>
      <c r="M232" s="56" t="str">
        <f aca="false">IF(A232="","",IF(I232&gt;I231,MAX(0,M231*(1+計算過程!$B$55)-計算過程!$B$56),M231))</f>
        <v/>
      </c>
      <c r="N232" s="56" t="str">
        <f aca="false">IF(A232="","",C232+J232)</f>
        <v/>
      </c>
      <c r="O232" s="56" t="str">
        <f aca="false">IF(A232="","",H232+M232)</f>
        <v/>
      </c>
    </row>
    <row r="233" customFormat="false" ht="15" hidden="false" customHeight="false" outlineLevel="0" collapsed="false">
      <c r="A233" s="55" t="str">
        <f aca="false">IF(ROWS($A$8:A233)&lt;=計算過程!$B$51,ROWS($A$8:A233),"")</f>
        <v/>
      </c>
      <c r="B233" s="57" t="str">
        <f aca="false">IF(A233="","",EDATE(計算過程!$B$71,A233-1))</f>
        <v/>
      </c>
      <c r="C233" s="56" t="str">
        <f aca="false">IF(A233="","",計算過程!$B$54)</f>
        <v/>
      </c>
      <c r="D233" s="56" t="str">
        <f aca="false">IF(A233="","",ROUND(F232*計算過程!$B$24/12+G232*計算過程!$B$25/12,0))</f>
        <v/>
      </c>
      <c r="E233" s="56" t="str">
        <f aca="false">IF(A233="","",C233-D233)</f>
        <v/>
      </c>
      <c r="F233" s="56" t="str">
        <f aca="false">IF(A233="","",MAX(0,F232*(1+計算過程!$B$24/12)-計算過程!$B$52))</f>
        <v/>
      </c>
      <c r="G233" s="56" t="str">
        <f aca="false">IF(A233="","",MAX(0,G232*(1+計算過程!$B$25/12)-計算過程!$B$53))</f>
        <v/>
      </c>
      <c r="H233" s="56" t="str">
        <f aca="false">IF(A233="","",F233+G233)</f>
        <v/>
      </c>
      <c r="I233" s="55" t="str">
        <f aca="false">IF(A233="","",IF(AND(OR(MONTH(B233)=6,MONTH(B233)=12),I232&lt;計算過程!$B$50),I232+1,I232))</f>
        <v/>
      </c>
      <c r="J233" s="56" t="str">
        <f aca="false">IF(A233="","",IF(I233&gt;I232,計算過程!$B$57,0))</f>
        <v/>
      </c>
      <c r="K233" s="56" t="str">
        <f aca="false">IF(A233="","",IF(I233&gt;I232,ROUND(M232*計算過程!$B$55,0),0))</f>
        <v/>
      </c>
      <c r="L233" s="56" t="str">
        <f aca="false">IF(A233="","",J233-K233)</f>
        <v/>
      </c>
      <c r="M233" s="56" t="str">
        <f aca="false">IF(A233="","",IF(I233&gt;I232,MAX(0,M232*(1+計算過程!$B$55)-計算過程!$B$56),M232))</f>
        <v/>
      </c>
      <c r="N233" s="56" t="str">
        <f aca="false">IF(A233="","",C233+J233)</f>
        <v/>
      </c>
      <c r="O233" s="56" t="str">
        <f aca="false">IF(A233="","",H233+M233)</f>
        <v/>
      </c>
    </row>
    <row r="234" customFormat="false" ht="15" hidden="false" customHeight="false" outlineLevel="0" collapsed="false">
      <c r="A234" s="55" t="str">
        <f aca="false">IF(ROWS($A$8:A234)&lt;=計算過程!$B$51,ROWS($A$8:A234),"")</f>
        <v/>
      </c>
      <c r="B234" s="57" t="str">
        <f aca="false">IF(A234="","",EDATE(計算過程!$B$71,A234-1))</f>
        <v/>
      </c>
      <c r="C234" s="56" t="str">
        <f aca="false">IF(A234="","",計算過程!$B$54)</f>
        <v/>
      </c>
      <c r="D234" s="56" t="str">
        <f aca="false">IF(A234="","",ROUND(F233*計算過程!$B$24/12+G233*計算過程!$B$25/12,0))</f>
        <v/>
      </c>
      <c r="E234" s="56" t="str">
        <f aca="false">IF(A234="","",C234-D234)</f>
        <v/>
      </c>
      <c r="F234" s="56" t="str">
        <f aca="false">IF(A234="","",MAX(0,F233*(1+計算過程!$B$24/12)-計算過程!$B$52))</f>
        <v/>
      </c>
      <c r="G234" s="56" t="str">
        <f aca="false">IF(A234="","",MAX(0,G233*(1+計算過程!$B$25/12)-計算過程!$B$53))</f>
        <v/>
      </c>
      <c r="H234" s="56" t="str">
        <f aca="false">IF(A234="","",F234+G234)</f>
        <v/>
      </c>
      <c r="I234" s="55" t="str">
        <f aca="false">IF(A234="","",IF(AND(OR(MONTH(B234)=6,MONTH(B234)=12),I233&lt;計算過程!$B$50),I233+1,I233))</f>
        <v/>
      </c>
      <c r="J234" s="56" t="str">
        <f aca="false">IF(A234="","",IF(I234&gt;I233,計算過程!$B$57,0))</f>
        <v/>
      </c>
      <c r="K234" s="56" t="str">
        <f aca="false">IF(A234="","",IF(I234&gt;I233,ROUND(M233*計算過程!$B$55,0),0))</f>
        <v/>
      </c>
      <c r="L234" s="56" t="str">
        <f aca="false">IF(A234="","",J234-K234)</f>
        <v/>
      </c>
      <c r="M234" s="56" t="str">
        <f aca="false">IF(A234="","",IF(I234&gt;I233,MAX(0,M233*(1+計算過程!$B$55)-計算過程!$B$56),M233))</f>
        <v/>
      </c>
      <c r="N234" s="56" t="str">
        <f aca="false">IF(A234="","",C234+J234)</f>
        <v/>
      </c>
      <c r="O234" s="56" t="str">
        <f aca="false">IF(A234="","",H234+M234)</f>
        <v/>
      </c>
    </row>
    <row r="235" customFormat="false" ht="15" hidden="false" customHeight="false" outlineLevel="0" collapsed="false">
      <c r="A235" s="55" t="str">
        <f aca="false">IF(ROWS($A$8:A235)&lt;=計算過程!$B$51,ROWS($A$8:A235),"")</f>
        <v/>
      </c>
      <c r="B235" s="57" t="str">
        <f aca="false">IF(A235="","",EDATE(計算過程!$B$71,A235-1))</f>
        <v/>
      </c>
      <c r="C235" s="56" t="str">
        <f aca="false">IF(A235="","",計算過程!$B$54)</f>
        <v/>
      </c>
      <c r="D235" s="56" t="str">
        <f aca="false">IF(A235="","",ROUND(F234*計算過程!$B$24/12+G234*計算過程!$B$25/12,0))</f>
        <v/>
      </c>
      <c r="E235" s="56" t="str">
        <f aca="false">IF(A235="","",C235-D235)</f>
        <v/>
      </c>
      <c r="F235" s="56" t="str">
        <f aca="false">IF(A235="","",MAX(0,F234*(1+計算過程!$B$24/12)-計算過程!$B$52))</f>
        <v/>
      </c>
      <c r="G235" s="56" t="str">
        <f aca="false">IF(A235="","",MAX(0,G234*(1+計算過程!$B$25/12)-計算過程!$B$53))</f>
        <v/>
      </c>
      <c r="H235" s="56" t="str">
        <f aca="false">IF(A235="","",F235+G235)</f>
        <v/>
      </c>
      <c r="I235" s="55" t="str">
        <f aca="false">IF(A235="","",IF(AND(OR(MONTH(B235)=6,MONTH(B235)=12),I234&lt;計算過程!$B$50),I234+1,I234))</f>
        <v/>
      </c>
      <c r="J235" s="56" t="str">
        <f aca="false">IF(A235="","",IF(I235&gt;I234,計算過程!$B$57,0))</f>
        <v/>
      </c>
      <c r="K235" s="56" t="str">
        <f aca="false">IF(A235="","",IF(I235&gt;I234,ROUND(M234*計算過程!$B$55,0),0))</f>
        <v/>
      </c>
      <c r="L235" s="56" t="str">
        <f aca="false">IF(A235="","",J235-K235)</f>
        <v/>
      </c>
      <c r="M235" s="56" t="str">
        <f aca="false">IF(A235="","",IF(I235&gt;I234,MAX(0,M234*(1+計算過程!$B$55)-計算過程!$B$56),M234))</f>
        <v/>
      </c>
      <c r="N235" s="56" t="str">
        <f aca="false">IF(A235="","",C235+J235)</f>
        <v/>
      </c>
      <c r="O235" s="56" t="str">
        <f aca="false">IF(A235="","",H235+M235)</f>
        <v/>
      </c>
    </row>
    <row r="236" customFormat="false" ht="15" hidden="false" customHeight="false" outlineLevel="0" collapsed="false">
      <c r="A236" s="55" t="str">
        <f aca="false">IF(ROWS($A$8:A236)&lt;=計算過程!$B$51,ROWS($A$8:A236),"")</f>
        <v/>
      </c>
      <c r="B236" s="57" t="str">
        <f aca="false">IF(A236="","",EDATE(計算過程!$B$71,A236-1))</f>
        <v/>
      </c>
      <c r="C236" s="56" t="str">
        <f aca="false">IF(A236="","",計算過程!$B$54)</f>
        <v/>
      </c>
      <c r="D236" s="56" t="str">
        <f aca="false">IF(A236="","",ROUND(F235*計算過程!$B$24/12+G235*計算過程!$B$25/12,0))</f>
        <v/>
      </c>
      <c r="E236" s="56" t="str">
        <f aca="false">IF(A236="","",C236-D236)</f>
        <v/>
      </c>
      <c r="F236" s="56" t="str">
        <f aca="false">IF(A236="","",MAX(0,F235*(1+計算過程!$B$24/12)-計算過程!$B$52))</f>
        <v/>
      </c>
      <c r="G236" s="56" t="str">
        <f aca="false">IF(A236="","",MAX(0,G235*(1+計算過程!$B$25/12)-計算過程!$B$53))</f>
        <v/>
      </c>
      <c r="H236" s="56" t="str">
        <f aca="false">IF(A236="","",F236+G236)</f>
        <v/>
      </c>
      <c r="I236" s="55" t="str">
        <f aca="false">IF(A236="","",IF(AND(OR(MONTH(B236)=6,MONTH(B236)=12),I235&lt;計算過程!$B$50),I235+1,I235))</f>
        <v/>
      </c>
      <c r="J236" s="56" t="str">
        <f aca="false">IF(A236="","",IF(I236&gt;I235,計算過程!$B$57,0))</f>
        <v/>
      </c>
      <c r="K236" s="56" t="str">
        <f aca="false">IF(A236="","",IF(I236&gt;I235,ROUND(M235*計算過程!$B$55,0),0))</f>
        <v/>
      </c>
      <c r="L236" s="56" t="str">
        <f aca="false">IF(A236="","",J236-K236)</f>
        <v/>
      </c>
      <c r="M236" s="56" t="str">
        <f aca="false">IF(A236="","",IF(I236&gt;I235,MAX(0,M235*(1+計算過程!$B$55)-計算過程!$B$56),M235))</f>
        <v/>
      </c>
      <c r="N236" s="56" t="str">
        <f aca="false">IF(A236="","",C236+J236)</f>
        <v/>
      </c>
      <c r="O236" s="56" t="str">
        <f aca="false">IF(A236="","",H236+M236)</f>
        <v/>
      </c>
    </row>
    <row r="237" customFormat="false" ht="15" hidden="false" customHeight="false" outlineLevel="0" collapsed="false">
      <c r="A237" s="55" t="str">
        <f aca="false">IF(ROWS($A$8:A237)&lt;=計算過程!$B$51,ROWS($A$8:A237),"")</f>
        <v/>
      </c>
      <c r="B237" s="57" t="str">
        <f aca="false">IF(A237="","",EDATE(計算過程!$B$71,A237-1))</f>
        <v/>
      </c>
      <c r="C237" s="56" t="str">
        <f aca="false">IF(A237="","",計算過程!$B$54)</f>
        <v/>
      </c>
      <c r="D237" s="56" t="str">
        <f aca="false">IF(A237="","",ROUND(F236*計算過程!$B$24/12+G236*計算過程!$B$25/12,0))</f>
        <v/>
      </c>
      <c r="E237" s="56" t="str">
        <f aca="false">IF(A237="","",C237-D237)</f>
        <v/>
      </c>
      <c r="F237" s="56" t="str">
        <f aca="false">IF(A237="","",MAX(0,F236*(1+計算過程!$B$24/12)-計算過程!$B$52))</f>
        <v/>
      </c>
      <c r="G237" s="56" t="str">
        <f aca="false">IF(A237="","",MAX(0,G236*(1+計算過程!$B$25/12)-計算過程!$B$53))</f>
        <v/>
      </c>
      <c r="H237" s="56" t="str">
        <f aca="false">IF(A237="","",F237+G237)</f>
        <v/>
      </c>
      <c r="I237" s="55" t="str">
        <f aca="false">IF(A237="","",IF(AND(OR(MONTH(B237)=6,MONTH(B237)=12),I236&lt;計算過程!$B$50),I236+1,I236))</f>
        <v/>
      </c>
      <c r="J237" s="56" t="str">
        <f aca="false">IF(A237="","",IF(I237&gt;I236,計算過程!$B$57,0))</f>
        <v/>
      </c>
      <c r="K237" s="56" t="str">
        <f aca="false">IF(A237="","",IF(I237&gt;I236,ROUND(M236*計算過程!$B$55,0),0))</f>
        <v/>
      </c>
      <c r="L237" s="56" t="str">
        <f aca="false">IF(A237="","",J237-K237)</f>
        <v/>
      </c>
      <c r="M237" s="56" t="str">
        <f aca="false">IF(A237="","",IF(I237&gt;I236,MAX(0,M236*(1+計算過程!$B$55)-計算過程!$B$56),M236))</f>
        <v/>
      </c>
      <c r="N237" s="56" t="str">
        <f aca="false">IF(A237="","",C237+J237)</f>
        <v/>
      </c>
      <c r="O237" s="56" t="str">
        <f aca="false">IF(A237="","",H237+M237)</f>
        <v/>
      </c>
    </row>
    <row r="238" customFormat="false" ht="15" hidden="false" customHeight="false" outlineLevel="0" collapsed="false">
      <c r="A238" s="55" t="str">
        <f aca="false">IF(ROWS($A$8:A238)&lt;=計算過程!$B$51,ROWS($A$8:A238),"")</f>
        <v/>
      </c>
      <c r="B238" s="57" t="str">
        <f aca="false">IF(A238="","",EDATE(計算過程!$B$71,A238-1))</f>
        <v/>
      </c>
      <c r="C238" s="56" t="str">
        <f aca="false">IF(A238="","",計算過程!$B$54)</f>
        <v/>
      </c>
      <c r="D238" s="56" t="str">
        <f aca="false">IF(A238="","",ROUND(F237*計算過程!$B$24/12+G237*計算過程!$B$25/12,0))</f>
        <v/>
      </c>
      <c r="E238" s="56" t="str">
        <f aca="false">IF(A238="","",C238-D238)</f>
        <v/>
      </c>
      <c r="F238" s="56" t="str">
        <f aca="false">IF(A238="","",MAX(0,F237*(1+計算過程!$B$24/12)-計算過程!$B$52))</f>
        <v/>
      </c>
      <c r="G238" s="56" t="str">
        <f aca="false">IF(A238="","",MAX(0,G237*(1+計算過程!$B$25/12)-計算過程!$B$53))</f>
        <v/>
      </c>
      <c r="H238" s="56" t="str">
        <f aca="false">IF(A238="","",F238+G238)</f>
        <v/>
      </c>
      <c r="I238" s="55" t="str">
        <f aca="false">IF(A238="","",IF(AND(OR(MONTH(B238)=6,MONTH(B238)=12),I237&lt;計算過程!$B$50),I237+1,I237))</f>
        <v/>
      </c>
      <c r="J238" s="56" t="str">
        <f aca="false">IF(A238="","",IF(I238&gt;I237,計算過程!$B$57,0))</f>
        <v/>
      </c>
      <c r="K238" s="56" t="str">
        <f aca="false">IF(A238="","",IF(I238&gt;I237,ROUND(M237*計算過程!$B$55,0),0))</f>
        <v/>
      </c>
      <c r="L238" s="56" t="str">
        <f aca="false">IF(A238="","",J238-K238)</f>
        <v/>
      </c>
      <c r="M238" s="56" t="str">
        <f aca="false">IF(A238="","",IF(I238&gt;I237,MAX(0,M237*(1+計算過程!$B$55)-計算過程!$B$56),M237))</f>
        <v/>
      </c>
      <c r="N238" s="56" t="str">
        <f aca="false">IF(A238="","",C238+J238)</f>
        <v/>
      </c>
      <c r="O238" s="56" t="str">
        <f aca="false">IF(A238="","",H238+M238)</f>
        <v/>
      </c>
    </row>
    <row r="239" customFormat="false" ht="15" hidden="false" customHeight="false" outlineLevel="0" collapsed="false">
      <c r="A239" s="55" t="str">
        <f aca="false">IF(ROWS($A$8:A239)&lt;=計算過程!$B$51,ROWS($A$8:A239),"")</f>
        <v/>
      </c>
      <c r="B239" s="57" t="str">
        <f aca="false">IF(A239="","",EDATE(計算過程!$B$71,A239-1))</f>
        <v/>
      </c>
      <c r="C239" s="56" t="str">
        <f aca="false">IF(A239="","",計算過程!$B$54)</f>
        <v/>
      </c>
      <c r="D239" s="56" t="str">
        <f aca="false">IF(A239="","",ROUND(F238*計算過程!$B$24/12+G238*計算過程!$B$25/12,0))</f>
        <v/>
      </c>
      <c r="E239" s="56" t="str">
        <f aca="false">IF(A239="","",C239-D239)</f>
        <v/>
      </c>
      <c r="F239" s="56" t="str">
        <f aca="false">IF(A239="","",MAX(0,F238*(1+計算過程!$B$24/12)-計算過程!$B$52))</f>
        <v/>
      </c>
      <c r="G239" s="56" t="str">
        <f aca="false">IF(A239="","",MAX(0,G238*(1+計算過程!$B$25/12)-計算過程!$B$53))</f>
        <v/>
      </c>
      <c r="H239" s="56" t="str">
        <f aca="false">IF(A239="","",F239+G239)</f>
        <v/>
      </c>
      <c r="I239" s="55" t="str">
        <f aca="false">IF(A239="","",IF(AND(OR(MONTH(B239)=6,MONTH(B239)=12),I238&lt;計算過程!$B$50),I238+1,I238))</f>
        <v/>
      </c>
      <c r="J239" s="56" t="str">
        <f aca="false">IF(A239="","",IF(I239&gt;I238,計算過程!$B$57,0))</f>
        <v/>
      </c>
      <c r="K239" s="56" t="str">
        <f aca="false">IF(A239="","",IF(I239&gt;I238,ROUND(M238*計算過程!$B$55,0),0))</f>
        <v/>
      </c>
      <c r="L239" s="56" t="str">
        <f aca="false">IF(A239="","",J239-K239)</f>
        <v/>
      </c>
      <c r="M239" s="56" t="str">
        <f aca="false">IF(A239="","",IF(I239&gt;I238,MAX(0,M238*(1+計算過程!$B$55)-計算過程!$B$56),M238))</f>
        <v/>
      </c>
      <c r="N239" s="56" t="str">
        <f aca="false">IF(A239="","",C239+J239)</f>
        <v/>
      </c>
      <c r="O239" s="56" t="str">
        <f aca="false">IF(A239="","",H239+M239)</f>
        <v/>
      </c>
    </row>
    <row r="240" customFormat="false" ht="15" hidden="false" customHeight="false" outlineLevel="0" collapsed="false">
      <c r="A240" s="55" t="str">
        <f aca="false">IF(ROWS($A$8:A240)&lt;=計算過程!$B$51,ROWS($A$8:A240),"")</f>
        <v/>
      </c>
      <c r="B240" s="57" t="str">
        <f aca="false">IF(A240="","",EDATE(計算過程!$B$71,A240-1))</f>
        <v/>
      </c>
      <c r="C240" s="56" t="str">
        <f aca="false">IF(A240="","",計算過程!$B$54)</f>
        <v/>
      </c>
      <c r="D240" s="56" t="str">
        <f aca="false">IF(A240="","",ROUND(F239*計算過程!$B$24/12+G239*計算過程!$B$25/12,0))</f>
        <v/>
      </c>
      <c r="E240" s="56" t="str">
        <f aca="false">IF(A240="","",C240-D240)</f>
        <v/>
      </c>
      <c r="F240" s="56" t="str">
        <f aca="false">IF(A240="","",MAX(0,F239*(1+計算過程!$B$24/12)-計算過程!$B$52))</f>
        <v/>
      </c>
      <c r="G240" s="56" t="str">
        <f aca="false">IF(A240="","",MAX(0,G239*(1+計算過程!$B$25/12)-計算過程!$B$53))</f>
        <v/>
      </c>
      <c r="H240" s="56" t="str">
        <f aca="false">IF(A240="","",F240+G240)</f>
        <v/>
      </c>
      <c r="I240" s="55" t="str">
        <f aca="false">IF(A240="","",IF(AND(OR(MONTH(B240)=6,MONTH(B240)=12),I239&lt;計算過程!$B$50),I239+1,I239))</f>
        <v/>
      </c>
      <c r="J240" s="56" t="str">
        <f aca="false">IF(A240="","",IF(I240&gt;I239,計算過程!$B$57,0))</f>
        <v/>
      </c>
      <c r="K240" s="56" t="str">
        <f aca="false">IF(A240="","",IF(I240&gt;I239,ROUND(M239*計算過程!$B$55,0),0))</f>
        <v/>
      </c>
      <c r="L240" s="56" t="str">
        <f aca="false">IF(A240="","",J240-K240)</f>
        <v/>
      </c>
      <c r="M240" s="56" t="str">
        <f aca="false">IF(A240="","",IF(I240&gt;I239,MAX(0,M239*(1+計算過程!$B$55)-計算過程!$B$56),M239))</f>
        <v/>
      </c>
      <c r="N240" s="56" t="str">
        <f aca="false">IF(A240="","",C240+J240)</f>
        <v/>
      </c>
      <c r="O240" s="56" t="str">
        <f aca="false">IF(A240="","",H240+M240)</f>
        <v/>
      </c>
    </row>
    <row r="241" customFormat="false" ht="15" hidden="false" customHeight="false" outlineLevel="0" collapsed="false">
      <c r="A241" s="55" t="str">
        <f aca="false">IF(ROWS($A$8:A241)&lt;=計算過程!$B$51,ROWS($A$8:A241),"")</f>
        <v/>
      </c>
      <c r="B241" s="57" t="str">
        <f aca="false">IF(A241="","",EDATE(計算過程!$B$71,A241-1))</f>
        <v/>
      </c>
      <c r="C241" s="56" t="str">
        <f aca="false">IF(A241="","",計算過程!$B$54)</f>
        <v/>
      </c>
      <c r="D241" s="56" t="str">
        <f aca="false">IF(A241="","",ROUND(F240*計算過程!$B$24/12+G240*計算過程!$B$25/12,0))</f>
        <v/>
      </c>
      <c r="E241" s="56" t="str">
        <f aca="false">IF(A241="","",C241-D241)</f>
        <v/>
      </c>
      <c r="F241" s="56" t="str">
        <f aca="false">IF(A241="","",MAX(0,F240*(1+計算過程!$B$24/12)-計算過程!$B$52))</f>
        <v/>
      </c>
      <c r="G241" s="56" t="str">
        <f aca="false">IF(A241="","",MAX(0,G240*(1+計算過程!$B$25/12)-計算過程!$B$53))</f>
        <v/>
      </c>
      <c r="H241" s="56" t="str">
        <f aca="false">IF(A241="","",F241+G241)</f>
        <v/>
      </c>
      <c r="I241" s="55" t="str">
        <f aca="false">IF(A241="","",IF(AND(OR(MONTH(B241)=6,MONTH(B241)=12),I240&lt;計算過程!$B$50),I240+1,I240))</f>
        <v/>
      </c>
      <c r="J241" s="56" t="str">
        <f aca="false">IF(A241="","",IF(I241&gt;I240,計算過程!$B$57,0))</f>
        <v/>
      </c>
      <c r="K241" s="56" t="str">
        <f aca="false">IF(A241="","",IF(I241&gt;I240,ROUND(M240*計算過程!$B$55,0),0))</f>
        <v/>
      </c>
      <c r="L241" s="56" t="str">
        <f aca="false">IF(A241="","",J241-K241)</f>
        <v/>
      </c>
      <c r="M241" s="56" t="str">
        <f aca="false">IF(A241="","",IF(I241&gt;I240,MAX(0,M240*(1+計算過程!$B$55)-計算過程!$B$56),M240))</f>
        <v/>
      </c>
      <c r="N241" s="56" t="str">
        <f aca="false">IF(A241="","",C241+J241)</f>
        <v/>
      </c>
      <c r="O241" s="56" t="str">
        <f aca="false">IF(A241="","",H241+M241)</f>
        <v/>
      </c>
    </row>
    <row r="242" customFormat="false" ht="15" hidden="false" customHeight="false" outlineLevel="0" collapsed="false">
      <c r="A242" s="55" t="str">
        <f aca="false">IF(ROWS($A$8:A242)&lt;=計算過程!$B$51,ROWS($A$8:A242),"")</f>
        <v/>
      </c>
      <c r="B242" s="57" t="str">
        <f aca="false">IF(A242="","",EDATE(計算過程!$B$71,A242-1))</f>
        <v/>
      </c>
      <c r="C242" s="56" t="str">
        <f aca="false">IF(A242="","",計算過程!$B$54)</f>
        <v/>
      </c>
      <c r="D242" s="56" t="str">
        <f aca="false">IF(A242="","",ROUND(F241*計算過程!$B$24/12+G241*計算過程!$B$25/12,0))</f>
        <v/>
      </c>
      <c r="E242" s="56" t="str">
        <f aca="false">IF(A242="","",C242-D242)</f>
        <v/>
      </c>
      <c r="F242" s="56" t="str">
        <f aca="false">IF(A242="","",MAX(0,F241*(1+計算過程!$B$24/12)-計算過程!$B$52))</f>
        <v/>
      </c>
      <c r="G242" s="56" t="str">
        <f aca="false">IF(A242="","",MAX(0,G241*(1+計算過程!$B$25/12)-計算過程!$B$53))</f>
        <v/>
      </c>
      <c r="H242" s="56" t="str">
        <f aca="false">IF(A242="","",F242+G242)</f>
        <v/>
      </c>
      <c r="I242" s="55" t="str">
        <f aca="false">IF(A242="","",IF(AND(OR(MONTH(B242)=6,MONTH(B242)=12),I241&lt;計算過程!$B$50),I241+1,I241))</f>
        <v/>
      </c>
      <c r="J242" s="56" t="str">
        <f aca="false">IF(A242="","",IF(I242&gt;I241,計算過程!$B$57,0))</f>
        <v/>
      </c>
      <c r="K242" s="56" t="str">
        <f aca="false">IF(A242="","",IF(I242&gt;I241,ROUND(M241*計算過程!$B$55,0),0))</f>
        <v/>
      </c>
      <c r="L242" s="56" t="str">
        <f aca="false">IF(A242="","",J242-K242)</f>
        <v/>
      </c>
      <c r="M242" s="56" t="str">
        <f aca="false">IF(A242="","",IF(I242&gt;I241,MAX(0,M241*(1+計算過程!$B$55)-計算過程!$B$56),M241))</f>
        <v/>
      </c>
      <c r="N242" s="56" t="str">
        <f aca="false">IF(A242="","",C242+J242)</f>
        <v/>
      </c>
      <c r="O242" s="56" t="str">
        <f aca="false">IF(A242="","",H242+M242)</f>
        <v/>
      </c>
    </row>
    <row r="243" customFormat="false" ht="15" hidden="false" customHeight="false" outlineLevel="0" collapsed="false">
      <c r="A243" s="55" t="str">
        <f aca="false">IF(ROWS($A$8:A243)&lt;=計算過程!$B$51,ROWS($A$8:A243),"")</f>
        <v/>
      </c>
      <c r="B243" s="57" t="str">
        <f aca="false">IF(A243="","",EDATE(計算過程!$B$71,A243-1))</f>
        <v/>
      </c>
      <c r="C243" s="56" t="str">
        <f aca="false">IF(A243="","",計算過程!$B$54)</f>
        <v/>
      </c>
      <c r="D243" s="56" t="str">
        <f aca="false">IF(A243="","",ROUND(F242*計算過程!$B$24/12+G242*計算過程!$B$25/12,0))</f>
        <v/>
      </c>
      <c r="E243" s="56" t="str">
        <f aca="false">IF(A243="","",C243-D243)</f>
        <v/>
      </c>
      <c r="F243" s="56" t="str">
        <f aca="false">IF(A243="","",MAX(0,F242*(1+計算過程!$B$24/12)-計算過程!$B$52))</f>
        <v/>
      </c>
      <c r="G243" s="56" t="str">
        <f aca="false">IF(A243="","",MAX(0,G242*(1+計算過程!$B$25/12)-計算過程!$B$53))</f>
        <v/>
      </c>
      <c r="H243" s="56" t="str">
        <f aca="false">IF(A243="","",F243+G243)</f>
        <v/>
      </c>
      <c r="I243" s="55" t="str">
        <f aca="false">IF(A243="","",IF(AND(OR(MONTH(B243)=6,MONTH(B243)=12),I242&lt;計算過程!$B$50),I242+1,I242))</f>
        <v/>
      </c>
      <c r="J243" s="56" t="str">
        <f aca="false">IF(A243="","",IF(I243&gt;I242,計算過程!$B$57,0))</f>
        <v/>
      </c>
      <c r="K243" s="56" t="str">
        <f aca="false">IF(A243="","",IF(I243&gt;I242,ROUND(M242*計算過程!$B$55,0),0))</f>
        <v/>
      </c>
      <c r="L243" s="56" t="str">
        <f aca="false">IF(A243="","",J243-K243)</f>
        <v/>
      </c>
      <c r="M243" s="56" t="str">
        <f aca="false">IF(A243="","",IF(I243&gt;I242,MAX(0,M242*(1+計算過程!$B$55)-計算過程!$B$56),M242))</f>
        <v/>
      </c>
      <c r="N243" s="56" t="str">
        <f aca="false">IF(A243="","",C243+J243)</f>
        <v/>
      </c>
      <c r="O243" s="56" t="str">
        <f aca="false">IF(A243="","",H243+M243)</f>
        <v/>
      </c>
    </row>
    <row r="244" customFormat="false" ht="15" hidden="false" customHeight="false" outlineLevel="0" collapsed="false">
      <c r="A244" s="55" t="str">
        <f aca="false">IF(ROWS($A$8:A244)&lt;=計算過程!$B$51,ROWS($A$8:A244),"")</f>
        <v/>
      </c>
      <c r="B244" s="57" t="str">
        <f aca="false">IF(A244="","",EDATE(計算過程!$B$71,A244-1))</f>
        <v/>
      </c>
      <c r="C244" s="56" t="str">
        <f aca="false">IF(A244="","",計算過程!$B$54)</f>
        <v/>
      </c>
      <c r="D244" s="56" t="str">
        <f aca="false">IF(A244="","",ROUND(F243*計算過程!$B$24/12+G243*計算過程!$B$25/12,0))</f>
        <v/>
      </c>
      <c r="E244" s="56" t="str">
        <f aca="false">IF(A244="","",C244-D244)</f>
        <v/>
      </c>
      <c r="F244" s="56" t="str">
        <f aca="false">IF(A244="","",MAX(0,F243*(1+計算過程!$B$24/12)-計算過程!$B$52))</f>
        <v/>
      </c>
      <c r="G244" s="56" t="str">
        <f aca="false">IF(A244="","",MAX(0,G243*(1+計算過程!$B$25/12)-計算過程!$B$53))</f>
        <v/>
      </c>
      <c r="H244" s="56" t="str">
        <f aca="false">IF(A244="","",F244+G244)</f>
        <v/>
      </c>
      <c r="I244" s="55" t="str">
        <f aca="false">IF(A244="","",IF(AND(OR(MONTH(B244)=6,MONTH(B244)=12),I243&lt;計算過程!$B$50),I243+1,I243))</f>
        <v/>
      </c>
      <c r="J244" s="56" t="str">
        <f aca="false">IF(A244="","",IF(I244&gt;I243,計算過程!$B$57,0))</f>
        <v/>
      </c>
      <c r="K244" s="56" t="str">
        <f aca="false">IF(A244="","",IF(I244&gt;I243,ROUND(M243*計算過程!$B$55,0),0))</f>
        <v/>
      </c>
      <c r="L244" s="56" t="str">
        <f aca="false">IF(A244="","",J244-K244)</f>
        <v/>
      </c>
      <c r="M244" s="56" t="str">
        <f aca="false">IF(A244="","",IF(I244&gt;I243,MAX(0,M243*(1+計算過程!$B$55)-計算過程!$B$56),M243))</f>
        <v/>
      </c>
      <c r="N244" s="56" t="str">
        <f aca="false">IF(A244="","",C244+J244)</f>
        <v/>
      </c>
      <c r="O244" s="56" t="str">
        <f aca="false">IF(A244="","",H244+M244)</f>
        <v/>
      </c>
    </row>
    <row r="245" customFormat="false" ht="15" hidden="false" customHeight="false" outlineLevel="0" collapsed="false">
      <c r="A245" s="55" t="str">
        <f aca="false">IF(ROWS($A$8:A245)&lt;=計算過程!$B$51,ROWS($A$8:A245),"")</f>
        <v/>
      </c>
      <c r="B245" s="57" t="str">
        <f aca="false">IF(A245="","",EDATE(計算過程!$B$71,A245-1))</f>
        <v/>
      </c>
      <c r="C245" s="56" t="str">
        <f aca="false">IF(A245="","",計算過程!$B$54)</f>
        <v/>
      </c>
      <c r="D245" s="56" t="str">
        <f aca="false">IF(A245="","",ROUND(F244*計算過程!$B$24/12+G244*計算過程!$B$25/12,0))</f>
        <v/>
      </c>
      <c r="E245" s="56" t="str">
        <f aca="false">IF(A245="","",C245-D245)</f>
        <v/>
      </c>
      <c r="F245" s="56" t="str">
        <f aca="false">IF(A245="","",MAX(0,F244*(1+計算過程!$B$24/12)-計算過程!$B$52))</f>
        <v/>
      </c>
      <c r="G245" s="56" t="str">
        <f aca="false">IF(A245="","",MAX(0,G244*(1+計算過程!$B$25/12)-計算過程!$B$53))</f>
        <v/>
      </c>
      <c r="H245" s="56" t="str">
        <f aca="false">IF(A245="","",F245+G245)</f>
        <v/>
      </c>
      <c r="I245" s="55" t="str">
        <f aca="false">IF(A245="","",IF(AND(OR(MONTH(B245)=6,MONTH(B245)=12),I244&lt;計算過程!$B$50),I244+1,I244))</f>
        <v/>
      </c>
      <c r="J245" s="56" t="str">
        <f aca="false">IF(A245="","",IF(I245&gt;I244,計算過程!$B$57,0))</f>
        <v/>
      </c>
      <c r="K245" s="56" t="str">
        <f aca="false">IF(A245="","",IF(I245&gt;I244,ROUND(M244*計算過程!$B$55,0),0))</f>
        <v/>
      </c>
      <c r="L245" s="56" t="str">
        <f aca="false">IF(A245="","",J245-K245)</f>
        <v/>
      </c>
      <c r="M245" s="56" t="str">
        <f aca="false">IF(A245="","",IF(I245&gt;I244,MAX(0,M244*(1+計算過程!$B$55)-計算過程!$B$56),M244))</f>
        <v/>
      </c>
      <c r="N245" s="56" t="str">
        <f aca="false">IF(A245="","",C245+J245)</f>
        <v/>
      </c>
      <c r="O245" s="56" t="str">
        <f aca="false">IF(A245="","",H245+M245)</f>
        <v/>
      </c>
    </row>
    <row r="246" customFormat="false" ht="15" hidden="false" customHeight="false" outlineLevel="0" collapsed="false">
      <c r="A246" s="55" t="str">
        <f aca="false">IF(ROWS($A$8:A246)&lt;=計算過程!$B$51,ROWS($A$8:A246),"")</f>
        <v/>
      </c>
      <c r="B246" s="57" t="str">
        <f aca="false">IF(A246="","",EDATE(計算過程!$B$71,A246-1))</f>
        <v/>
      </c>
      <c r="C246" s="56" t="str">
        <f aca="false">IF(A246="","",計算過程!$B$54)</f>
        <v/>
      </c>
      <c r="D246" s="56" t="str">
        <f aca="false">IF(A246="","",ROUND(F245*計算過程!$B$24/12+G245*計算過程!$B$25/12,0))</f>
        <v/>
      </c>
      <c r="E246" s="56" t="str">
        <f aca="false">IF(A246="","",C246-D246)</f>
        <v/>
      </c>
      <c r="F246" s="56" t="str">
        <f aca="false">IF(A246="","",MAX(0,F245*(1+計算過程!$B$24/12)-計算過程!$B$52))</f>
        <v/>
      </c>
      <c r="G246" s="56" t="str">
        <f aca="false">IF(A246="","",MAX(0,G245*(1+計算過程!$B$25/12)-計算過程!$B$53))</f>
        <v/>
      </c>
      <c r="H246" s="56" t="str">
        <f aca="false">IF(A246="","",F246+G246)</f>
        <v/>
      </c>
      <c r="I246" s="55" t="str">
        <f aca="false">IF(A246="","",IF(AND(OR(MONTH(B246)=6,MONTH(B246)=12),I245&lt;計算過程!$B$50),I245+1,I245))</f>
        <v/>
      </c>
      <c r="J246" s="56" t="str">
        <f aca="false">IF(A246="","",IF(I246&gt;I245,計算過程!$B$57,0))</f>
        <v/>
      </c>
      <c r="K246" s="56" t="str">
        <f aca="false">IF(A246="","",IF(I246&gt;I245,ROUND(M245*計算過程!$B$55,0),0))</f>
        <v/>
      </c>
      <c r="L246" s="56" t="str">
        <f aca="false">IF(A246="","",J246-K246)</f>
        <v/>
      </c>
      <c r="M246" s="56" t="str">
        <f aca="false">IF(A246="","",IF(I246&gt;I245,MAX(0,M245*(1+計算過程!$B$55)-計算過程!$B$56),M245))</f>
        <v/>
      </c>
      <c r="N246" s="56" t="str">
        <f aca="false">IF(A246="","",C246+J246)</f>
        <v/>
      </c>
      <c r="O246" s="56" t="str">
        <f aca="false">IF(A246="","",H246+M246)</f>
        <v/>
      </c>
    </row>
    <row r="247" customFormat="false" ht="15" hidden="false" customHeight="false" outlineLevel="0" collapsed="false">
      <c r="A247" s="55" t="str">
        <f aca="false">IF(ROWS($A$8:A247)&lt;=計算過程!$B$51,ROWS($A$8:A247),"")</f>
        <v/>
      </c>
      <c r="B247" s="57" t="str">
        <f aca="false">IF(A247="","",EDATE(計算過程!$B$71,A247-1))</f>
        <v/>
      </c>
      <c r="C247" s="56" t="str">
        <f aca="false">IF(A247="","",計算過程!$B$54)</f>
        <v/>
      </c>
      <c r="D247" s="56" t="str">
        <f aca="false">IF(A247="","",ROUND(F246*計算過程!$B$24/12+G246*計算過程!$B$25/12,0))</f>
        <v/>
      </c>
      <c r="E247" s="56" t="str">
        <f aca="false">IF(A247="","",C247-D247)</f>
        <v/>
      </c>
      <c r="F247" s="56" t="str">
        <f aca="false">IF(A247="","",MAX(0,F246*(1+計算過程!$B$24/12)-計算過程!$B$52))</f>
        <v/>
      </c>
      <c r="G247" s="56" t="str">
        <f aca="false">IF(A247="","",MAX(0,G246*(1+計算過程!$B$25/12)-計算過程!$B$53))</f>
        <v/>
      </c>
      <c r="H247" s="56" t="str">
        <f aca="false">IF(A247="","",F247+G247)</f>
        <v/>
      </c>
      <c r="I247" s="55" t="str">
        <f aca="false">IF(A247="","",IF(AND(OR(MONTH(B247)=6,MONTH(B247)=12),I246&lt;計算過程!$B$50),I246+1,I246))</f>
        <v/>
      </c>
      <c r="J247" s="56" t="str">
        <f aca="false">IF(A247="","",IF(I247&gt;I246,計算過程!$B$57,0))</f>
        <v/>
      </c>
      <c r="K247" s="56" t="str">
        <f aca="false">IF(A247="","",IF(I247&gt;I246,ROUND(M246*計算過程!$B$55,0),0))</f>
        <v/>
      </c>
      <c r="L247" s="56" t="str">
        <f aca="false">IF(A247="","",J247-K247)</f>
        <v/>
      </c>
      <c r="M247" s="56" t="str">
        <f aca="false">IF(A247="","",IF(I247&gt;I246,MAX(0,M246*(1+計算過程!$B$55)-計算過程!$B$56),M246))</f>
        <v/>
      </c>
      <c r="N247" s="56" t="str">
        <f aca="false">IF(A247="","",C247+J247)</f>
        <v/>
      </c>
      <c r="O247" s="56" t="str">
        <f aca="false">IF(A247="","",H247+M247)</f>
        <v/>
      </c>
    </row>
    <row r="248" customFormat="false" ht="15" hidden="false" customHeight="false" outlineLevel="0" collapsed="false">
      <c r="A248" s="55" t="str">
        <f aca="false">IF(ROWS($A$8:A248)&lt;=計算過程!$B$51,ROWS($A$8:A248),"")</f>
        <v/>
      </c>
      <c r="B248" s="57" t="str">
        <f aca="false">IF(A248="","",EDATE(計算過程!$B$71,A248-1))</f>
        <v/>
      </c>
      <c r="C248" s="56" t="str">
        <f aca="false">IF(A248="","",計算過程!$B$54)</f>
        <v/>
      </c>
      <c r="D248" s="56" t="str">
        <f aca="false">IF(A248="","",ROUND(F247*計算過程!$B$24/12+G247*計算過程!$B$25/12,0))</f>
        <v/>
      </c>
      <c r="E248" s="56" t="str">
        <f aca="false">IF(A248="","",C248-D248)</f>
        <v/>
      </c>
      <c r="F248" s="56" t="str">
        <f aca="false">IF(A248="","",MAX(0,F247*(1+計算過程!$B$24/12)-計算過程!$B$52))</f>
        <v/>
      </c>
      <c r="G248" s="56" t="str">
        <f aca="false">IF(A248="","",MAX(0,G247*(1+計算過程!$B$25/12)-計算過程!$B$53))</f>
        <v/>
      </c>
      <c r="H248" s="56" t="str">
        <f aca="false">IF(A248="","",F248+G248)</f>
        <v/>
      </c>
      <c r="I248" s="55" t="str">
        <f aca="false">IF(A248="","",IF(AND(OR(MONTH(B248)=6,MONTH(B248)=12),I247&lt;計算過程!$B$50),I247+1,I247))</f>
        <v/>
      </c>
      <c r="J248" s="56" t="str">
        <f aca="false">IF(A248="","",IF(I248&gt;I247,計算過程!$B$57,0))</f>
        <v/>
      </c>
      <c r="K248" s="56" t="str">
        <f aca="false">IF(A248="","",IF(I248&gt;I247,ROUND(M247*計算過程!$B$55,0),0))</f>
        <v/>
      </c>
      <c r="L248" s="56" t="str">
        <f aca="false">IF(A248="","",J248-K248)</f>
        <v/>
      </c>
      <c r="M248" s="56" t="str">
        <f aca="false">IF(A248="","",IF(I248&gt;I247,MAX(0,M247*(1+計算過程!$B$55)-計算過程!$B$56),M247))</f>
        <v/>
      </c>
      <c r="N248" s="56" t="str">
        <f aca="false">IF(A248="","",C248+J248)</f>
        <v/>
      </c>
      <c r="O248" s="56" t="str">
        <f aca="false">IF(A248="","",H248+M248)</f>
        <v/>
      </c>
    </row>
    <row r="249" customFormat="false" ht="15" hidden="false" customHeight="false" outlineLevel="0" collapsed="false">
      <c r="A249" s="55" t="str">
        <f aca="false">IF(ROWS($A$8:A249)&lt;=計算過程!$B$51,ROWS($A$8:A249),"")</f>
        <v/>
      </c>
      <c r="B249" s="57" t="str">
        <f aca="false">IF(A249="","",EDATE(計算過程!$B$71,A249-1))</f>
        <v/>
      </c>
      <c r="C249" s="56" t="str">
        <f aca="false">IF(A249="","",計算過程!$B$54)</f>
        <v/>
      </c>
      <c r="D249" s="56" t="str">
        <f aca="false">IF(A249="","",ROUND(F248*計算過程!$B$24/12+G248*計算過程!$B$25/12,0))</f>
        <v/>
      </c>
      <c r="E249" s="56" t="str">
        <f aca="false">IF(A249="","",C249-D249)</f>
        <v/>
      </c>
      <c r="F249" s="56" t="str">
        <f aca="false">IF(A249="","",MAX(0,F248*(1+計算過程!$B$24/12)-計算過程!$B$52))</f>
        <v/>
      </c>
      <c r="G249" s="56" t="str">
        <f aca="false">IF(A249="","",MAX(0,G248*(1+計算過程!$B$25/12)-計算過程!$B$53))</f>
        <v/>
      </c>
      <c r="H249" s="56" t="str">
        <f aca="false">IF(A249="","",F249+G249)</f>
        <v/>
      </c>
      <c r="I249" s="55" t="str">
        <f aca="false">IF(A249="","",IF(AND(OR(MONTH(B249)=6,MONTH(B249)=12),I248&lt;計算過程!$B$50),I248+1,I248))</f>
        <v/>
      </c>
      <c r="J249" s="56" t="str">
        <f aca="false">IF(A249="","",IF(I249&gt;I248,計算過程!$B$57,0))</f>
        <v/>
      </c>
      <c r="K249" s="56" t="str">
        <f aca="false">IF(A249="","",IF(I249&gt;I248,ROUND(M248*計算過程!$B$55,0),0))</f>
        <v/>
      </c>
      <c r="L249" s="56" t="str">
        <f aca="false">IF(A249="","",J249-K249)</f>
        <v/>
      </c>
      <c r="M249" s="56" t="str">
        <f aca="false">IF(A249="","",IF(I249&gt;I248,MAX(0,M248*(1+計算過程!$B$55)-計算過程!$B$56),M248))</f>
        <v/>
      </c>
      <c r="N249" s="56" t="str">
        <f aca="false">IF(A249="","",C249+J249)</f>
        <v/>
      </c>
      <c r="O249" s="56" t="str">
        <f aca="false">IF(A249="","",H249+M249)</f>
        <v/>
      </c>
    </row>
    <row r="250" customFormat="false" ht="15" hidden="false" customHeight="false" outlineLevel="0" collapsed="false">
      <c r="A250" s="55" t="str">
        <f aca="false">IF(ROWS($A$8:A250)&lt;=計算過程!$B$51,ROWS($A$8:A250),"")</f>
        <v/>
      </c>
      <c r="B250" s="57" t="str">
        <f aca="false">IF(A250="","",EDATE(計算過程!$B$71,A250-1))</f>
        <v/>
      </c>
      <c r="C250" s="56" t="str">
        <f aca="false">IF(A250="","",計算過程!$B$54)</f>
        <v/>
      </c>
      <c r="D250" s="56" t="str">
        <f aca="false">IF(A250="","",ROUND(F249*計算過程!$B$24/12+G249*計算過程!$B$25/12,0))</f>
        <v/>
      </c>
      <c r="E250" s="56" t="str">
        <f aca="false">IF(A250="","",C250-D250)</f>
        <v/>
      </c>
      <c r="F250" s="56" t="str">
        <f aca="false">IF(A250="","",MAX(0,F249*(1+計算過程!$B$24/12)-計算過程!$B$52))</f>
        <v/>
      </c>
      <c r="G250" s="56" t="str">
        <f aca="false">IF(A250="","",MAX(0,G249*(1+計算過程!$B$25/12)-計算過程!$B$53))</f>
        <v/>
      </c>
      <c r="H250" s="56" t="str">
        <f aca="false">IF(A250="","",F250+G250)</f>
        <v/>
      </c>
      <c r="I250" s="55" t="str">
        <f aca="false">IF(A250="","",IF(AND(OR(MONTH(B250)=6,MONTH(B250)=12),I249&lt;計算過程!$B$50),I249+1,I249))</f>
        <v/>
      </c>
      <c r="J250" s="56" t="str">
        <f aca="false">IF(A250="","",IF(I250&gt;I249,計算過程!$B$57,0))</f>
        <v/>
      </c>
      <c r="K250" s="56" t="str">
        <f aca="false">IF(A250="","",IF(I250&gt;I249,ROUND(M249*計算過程!$B$55,0),0))</f>
        <v/>
      </c>
      <c r="L250" s="56" t="str">
        <f aca="false">IF(A250="","",J250-K250)</f>
        <v/>
      </c>
      <c r="M250" s="56" t="str">
        <f aca="false">IF(A250="","",IF(I250&gt;I249,MAX(0,M249*(1+計算過程!$B$55)-計算過程!$B$56),M249))</f>
        <v/>
      </c>
      <c r="N250" s="56" t="str">
        <f aca="false">IF(A250="","",C250+J250)</f>
        <v/>
      </c>
      <c r="O250" s="56" t="str">
        <f aca="false">IF(A250="","",H250+M250)</f>
        <v/>
      </c>
    </row>
    <row r="251" customFormat="false" ht="15" hidden="false" customHeight="false" outlineLevel="0" collapsed="false">
      <c r="A251" s="55" t="str">
        <f aca="false">IF(ROWS($A$8:A251)&lt;=計算過程!$B$51,ROWS($A$8:A251),"")</f>
        <v/>
      </c>
      <c r="B251" s="57" t="str">
        <f aca="false">IF(A251="","",EDATE(計算過程!$B$71,A251-1))</f>
        <v/>
      </c>
      <c r="C251" s="56" t="str">
        <f aca="false">IF(A251="","",計算過程!$B$54)</f>
        <v/>
      </c>
      <c r="D251" s="56" t="str">
        <f aca="false">IF(A251="","",ROUND(F250*計算過程!$B$24/12+G250*計算過程!$B$25/12,0))</f>
        <v/>
      </c>
      <c r="E251" s="56" t="str">
        <f aca="false">IF(A251="","",C251-D251)</f>
        <v/>
      </c>
      <c r="F251" s="56" t="str">
        <f aca="false">IF(A251="","",MAX(0,F250*(1+計算過程!$B$24/12)-計算過程!$B$52))</f>
        <v/>
      </c>
      <c r="G251" s="56" t="str">
        <f aca="false">IF(A251="","",MAX(0,G250*(1+計算過程!$B$25/12)-計算過程!$B$53))</f>
        <v/>
      </c>
      <c r="H251" s="56" t="str">
        <f aca="false">IF(A251="","",F251+G251)</f>
        <v/>
      </c>
      <c r="I251" s="55" t="str">
        <f aca="false">IF(A251="","",IF(AND(OR(MONTH(B251)=6,MONTH(B251)=12),I250&lt;計算過程!$B$50),I250+1,I250))</f>
        <v/>
      </c>
      <c r="J251" s="56" t="str">
        <f aca="false">IF(A251="","",IF(I251&gt;I250,計算過程!$B$57,0))</f>
        <v/>
      </c>
      <c r="K251" s="56" t="str">
        <f aca="false">IF(A251="","",IF(I251&gt;I250,ROUND(M250*計算過程!$B$55,0),0))</f>
        <v/>
      </c>
      <c r="L251" s="56" t="str">
        <f aca="false">IF(A251="","",J251-K251)</f>
        <v/>
      </c>
      <c r="M251" s="56" t="str">
        <f aca="false">IF(A251="","",IF(I251&gt;I250,MAX(0,M250*(1+計算過程!$B$55)-計算過程!$B$56),M250))</f>
        <v/>
      </c>
      <c r="N251" s="56" t="str">
        <f aca="false">IF(A251="","",C251+J251)</f>
        <v/>
      </c>
      <c r="O251" s="56" t="str">
        <f aca="false">IF(A251="","",H251+M251)</f>
        <v/>
      </c>
    </row>
    <row r="252" customFormat="false" ht="15" hidden="false" customHeight="false" outlineLevel="0" collapsed="false">
      <c r="A252" s="55" t="str">
        <f aca="false">IF(ROWS($A$8:A252)&lt;=計算過程!$B$51,ROWS($A$8:A252),"")</f>
        <v/>
      </c>
      <c r="B252" s="57" t="str">
        <f aca="false">IF(A252="","",EDATE(計算過程!$B$71,A252-1))</f>
        <v/>
      </c>
      <c r="C252" s="56" t="str">
        <f aca="false">IF(A252="","",計算過程!$B$54)</f>
        <v/>
      </c>
      <c r="D252" s="56" t="str">
        <f aca="false">IF(A252="","",ROUND(F251*計算過程!$B$24/12+G251*計算過程!$B$25/12,0))</f>
        <v/>
      </c>
      <c r="E252" s="56" t="str">
        <f aca="false">IF(A252="","",C252-D252)</f>
        <v/>
      </c>
      <c r="F252" s="56" t="str">
        <f aca="false">IF(A252="","",MAX(0,F251*(1+計算過程!$B$24/12)-計算過程!$B$52))</f>
        <v/>
      </c>
      <c r="G252" s="56" t="str">
        <f aca="false">IF(A252="","",MAX(0,G251*(1+計算過程!$B$25/12)-計算過程!$B$53))</f>
        <v/>
      </c>
      <c r="H252" s="56" t="str">
        <f aca="false">IF(A252="","",F252+G252)</f>
        <v/>
      </c>
      <c r="I252" s="55" t="str">
        <f aca="false">IF(A252="","",IF(AND(OR(MONTH(B252)=6,MONTH(B252)=12),I251&lt;計算過程!$B$50),I251+1,I251))</f>
        <v/>
      </c>
      <c r="J252" s="56" t="str">
        <f aca="false">IF(A252="","",IF(I252&gt;I251,計算過程!$B$57,0))</f>
        <v/>
      </c>
      <c r="K252" s="56" t="str">
        <f aca="false">IF(A252="","",IF(I252&gt;I251,ROUND(M251*計算過程!$B$55,0),0))</f>
        <v/>
      </c>
      <c r="L252" s="56" t="str">
        <f aca="false">IF(A252="","",J252-K252)</f>
        <v/>
      </c>
      <c r="M252" s="56" t="str">
        <f aca="false">IF(A252="","",IF(I252&gt;I251,MAX(0,M251*(1+計算過程!$B$55)-計算過程!$B$56),M251))</f>
        <v/>
      </c>
      <c r="N252" s="56" t="str">
        <f aca="false">IF(A252="","",C252+J252)</f>
        <v/>
      </c>
      <c r="O252" s="56" t="str">
        <f aca="false">IF(A252="","",H252+M252)</f>
        <v/>
      </c>
    </row>
    <row r="253" customFormat="false" ht="15" hidden="false" customHeight="false" outlineLevel="0" collapsed="false">
      <c r="A253" s="55" t="str">
        <f aca="false">IF(ROWS($A$8:A253)&lt;=計算過程!$B$51,ROWS($A$8:A253),"")</f>
        <v/>
      </c>
      <c r="B253" s="57" t="str">
        <f aca="false">IF(A253="","",EDATE(計算過程!$B$71,A253-1))</f>
        <v/>
      </c>
      <c r="C253" s="56" t="str">
        <f aca="false">IF(A253="","",計算過程!$B$54)</f>
        <v/>
      </c>
      <c r="D253" s="56" t="str">
        <f aca="false">IF(A253="","",ROUND(F252*計算過程!$B$24/12+G252*計算過程!$B$25/12,0))</f>
        <v/>
      </c>
      <c r="E253" s="56" t="str">
        <f aca="false">IF(A253="","",C253-D253)</f>
        <v/>
      </c>
      <c r="F253" s="56" t="str">
        <f aca="false">IF(A253="","",MAX(0,F252*(1+計算過程!$B$24/12)-計算過程!$B$52))</f>
        <v/>
      </c>
      <c r="G253" s="56" t="str">
        <f aca="false">IF(A253="","",MAX(0,G252*(1+計算過程!$B$25/12)-計算過程!$B$53))</f>
        <v/>
      </c>
      <c r="H253" s="56" t="str">
        <f aca="false">IF(A253="","",F253+G253)</f>
        <v/>
      </c>
      <c r="I253" s="55" t="str">
        <f aca="false">IF(A253="","",IF(AND(OR(MONTH(B253)=6,MONTH(B253)=12),I252&lt;計算過程!$B$50),I252+1,I252))</f>
        <v/>
      </c>
      <c r="J253" s="56" t="str">
        <f aca="false">IF(A253="","",IF(I253&gt;I252,計算過程!$B$57,0))</f>
        <v/>
      </c>
      <c r="K253" s="56" t="str">
        <f aca="false">IF(A253="","",IF(I253&gt;I252,ROUND(M252*計算過程!$B$55,0),0))</f>
        <v/>
      </c>
      <c r="L253" s="56" t="str">
        <f aca="false">IF(A253="","",J253-K253)</f>
        <v/>
      </c>
      <c r="M253" s="56" t="str">
        <f aca="false">IF(A253="","",IF(I253&gt;I252,MAX(0,M252*(1+計算過程!$B$55)-計算過程!$B$56),M252))</f>
        <v/>
      </c>
      <c r="N253" s="56" t="str">
        <f aca="false">IF(A253="","",C253+J253)</f>
        <v/>
      </c>
      <c r="O253" s="56" t="str">
        <f aca="false">IF(A253="","",H253+M253)</f>
        <v/>
      </c>
    </row>
    <row r="254" customFormat="false" ht="15" hidden="false" customHeight="false" outlineLevel="0" collapsed="false">
      <c r="A254" s="55" t="str">
        <f aca="false">IF(ROWS($A$8:A254)&lt;=計算過程!$B$51,ROWS($A$8:A254),"")</f>
        <v/>
      </c>
      <c r="B254" s="57" t="str">
        <f aca="false">IF(A254="","",EDATE(計算過程!$B$71,A254-1))</f>
        <v/>
      </c>
      <c r="C254" s="56" t="str">
        <f aca="false">IF(A254="","",計算過程!$B$54)</f>
        <v/>
      </c>
      <c r="D254" s="56" t="str">
        <f aca="false">IF(A254="","",ROUND(F253*計算過程!$B$24/12+G253*計算過程!$B$25/12,0))</f>
        <v/>
      </c>
      <c r="E254" s="56" t="str">
        <f aca="false">IF(A254="","",C254-D254)</f>
        <v/>
      </c>
      <c r="F254" s="56" t="str">
        <f aca="false">IF(A254="","",MAX(0,F253*(1+計算過程!$B$24/12)-計算過程!$B$52))</f>
        <v/>
      </c>
      <c r="G254" s="56" t="str">
        <f aca="false">IF(A254="","",MAX(0,G253*(1+計算過程!$B$25/12)-計算過程!$B$53))</f>
        <v/>
      </c>
      <c r="H254" s="56" t="str">
        <f aca="false">IF(A254="","",F254+G254)</f>
        <v/>
      </c>
      <c r="I254" s="55" t="str">
        <f aca="false">IF(A254="","",IF(AND(OR(MONTH(B254)=6,MONTH(B254)=12),I253&lt;計算過程!$B$50),I253+1,I253))</f>
        <v/>
      </c>
      <c r="J254" s="56" t="str">
        <f aca="false">IF(A254="","",IF(I254&gt;I253,計算過程!$B$57,0))</f>
        <v/>
      </c>
      <c r="K254" s="56" t="str">
        <f aca="false">IF(A254="","",IF(I254&gt;I253,ROUND(M253*計算過程!$B$55,0),0))</f>
        <v/>
      </c>
      <c r="L254" s="56" t="str">
        <f aca="false">IF(A254="","",J254-K254)</f>
        <v/>
      </c>
      <c r="M254" s="56" t="str">
        <f aca="false">IF(A254="","",IF(I254&gt;I253,MAX(0,M253*(1+計算過程!$B$55)-計算過程!$B$56),M253))</f>
        <v/>
      </c>
      <c r="N254" s="56" t="str">
        <f aca="false">IF(A254="","",C254+J254)</f>
        <v/>
      </c>
      <c r="O254" s="56" t="str">
        <f aca="false">IF(A254="","",H254+M254)</f>
        <v/>
      </c>
    </row>
    <row r="255" customFormat="false" ht="15" hidden="false" customHeight="false" outlineLevel="0" collapsed="false">
      <c r="A255" s="55" t="str">
        <f aca="false">IF(ROWS($A$8:A255)&lt;=計算過程!$B$51,ROWS($A$8:A255),"")</f>
        <v/>
      </c>
      <c r="B255" s="57" t="str">
        <f aca="false">IF(A255="","",EDATE(計算過程!$B$71,A255-1))</f>
        <v/>
      </c>
      <c r="C255" s="56" t="str">
        <f aca="false">IF(A255="","",計算過程!$B$54)</f>
        <v/>
      </c>
      <c r="D255" s="56" t="str">
        <f aca="false">IF(A255="","",ROUND(F254*計算過程!$B$24/12+G254*計算過程!$B$25/12,0))</f>
        <v/>
      </c>
      <c r="E255" s="56" t="str">
        <f aca="false">IF(A255="","",C255-D255)</f>
        <v/>
      </c>
      <c r="F255" s="56" t="str">
        <f aca="false">IF(A255="","",MAX(0,F254*(1+計算過程!$B$24/12)-計算過程!$B$52))</f>
        <v/>
      </c>
      <c r="G255" s="56" t="str">
        <f aca="false">IF(A255="","",MAX(0,G254*(1+計算過程!$B$25/12)-計算過程!$B$53))</f>
        <v/>
      </c>
      <c r="H255" s="56" t="str">
        <f aca="false">IF(A255="","",F255+G255)</f>
        <v/>
      </c>
      <c r="I255" s="55" t="str">
        <f aca="false">IF(A255="","",IF(AND(OR(MONTH(B255)=6,MONTH(B255)=12),I254&lt;計算過程!$B$50),I254+1,I254))</f>
        <v/>
      </c>
      <c r="J255" s="56" t="str">
        <f aca="false">IF(A255="","",IF(I255&gt;I254,計算過程!$B$57,0))</f>
        <v/>
      </c>
      <c r="K255" s="56" t="str">
        <f aca="false">IF(A255="","",IF(I255&gt;I254,ROUND(M254*計算過程!$B$55,0),0))</f>
        <v/>
      </c>
      <c r="L255" s="56" t="str">
        <f aca="false">IF(A255="","",J255-K255)</f>
        <v/>
      </c>
      <c r="M255" s="56" t="str">
        <f aca="false">IF(A255="","",IF(I255&gt;I254,MAX(0,M254*(1+計算過程!$B$55)-計算過程!$B$56),M254))</f>
        <v/>
      </c>
      <c r="N255" s="56" t="str">
        <f aca="false">IF(A255="","",C255+J255)</f>
        <v/>
      </c>
      <c r="O255" s="56" t="str">
        <f aca="false">IF(A255="","",H255+M255)</f>
        <v/>
      </c>
    </row>
    <row r="256" customFormat="false" ht="15" hidden="false" customHeight="false" outlineLevel="0" collapsed="false">
      <c r="A256" s="55" t="str">
        <f aca="false">IF(ROWS($A$8:A256)&lt;=計算過程!$B$51,ROWS($A$8:A256),"")</f>
        <v/>
      </c>
      <c r="B256" s="57" t="str">
        <f aca="false">IF(A256="","",EDATE(計算過程!$B$71,A256-1))</f>
        <v/>
      </c>
      <c r="C256" s="56" t="str">
        <f aca="false">IF(A256="","",計算過程!$B$54)</f>
        <v/>
      </c>
      <c r="D256" s="56" t="str">
        <f aca="false">IF(A256="","",ROUND(F255*計算過程!$B$24/12+G255*計算過程!$B$25/12,0))</f>
        <v/>
      </c>
      <c r="E256" s="56" t="str">
        <f aca="false">IF(A256="","",C256-D256)</f>
        <v/>
      </c>
      <c r="F256" s="56" t="str">
        <f aca="false">IF(A256="","",MAX(0,F255*(1+計算過程!$B$24/12)-計算過程!$B$52))</f>
        <v/>
      </c>
      <c r="G256" s="56" t="str">
        <f aca="false">IF(A256="","",MAX(0,G255*(1+計算過程!$B$25/12)-計算過程!$B$53))</f>
        <v/>
      </c>
      <c r="H256" s="56" t="str">
        <f aca="false">IF(A256="","",F256+G256)</f>
        <v/>
      </c>
      <c r="I256" s="55" t="str">
        <f aca="false">IF(A256="","",IF(AND(OR(MONTH(B256)=6,MONTH(B256)=12),I255&lt;計算過程!$B$50),I255+1,I255))</f>
        <v/>
      </c>
      <c r="J256" s="56" t="str">
        <f aca="false">IF(A256="","",IF(I256&gt;I255,計算過程!$B$57,0))</f>
        <v/>
      </c>
      <c r="K256" s="56" t="str">
        <f aca="false">IF(A256="","",IF(I256&gt;I255,ROUND(M255*計算過程!$B$55,0),0))</f>
        <v/>
      </c>
      <c r="L256" s="56" t="str">
        <f aca="false">IF(A256="","",J256-K256)</f>
        <v/>
      </c>
      <c r="M256" s="56" t="str">
        <f aca="false">IF(A256="","",IF(I256&gt;I255,MAX(0,M255*(1+計算過程!$B$55)-計算過程!$B$56),M255))</f>
        <v/>
      </c>
      <c r="N256" s="56" t="str">
        <f aca="false">IF(A256="","",C256+J256)</f>
        <v/>
      </c>
      <c r="O256" s="56" t="str">
        <f aca="false">IF(A256="","",H256+M256)</f>
        <v/>
      </c>
    </row>
    <row r="257" customFormat="false" ht="15" hidden="false" customHeight="false" outlineLevel="0" collapsed="false">
      <c r="A257" s="55" t="str">
        <f aca="false">IF(ROWS($A$8:A257)&lt;=計算過程!$B$51,ROWS($A$8:A257),"")</f>
        <v/>
      </c>
      <c r="B257" s="57" t="str">
        <f aca="false">IF(A257="","",EDATE(計算過程!$B$71,A257-1))</f>
        <v/>
      </c>
      <c r="C257" s="56" t="str">
        <f aca="false">IF(A257="","",計算過程!$B$54)</f>
        <v/>
      </c>
      <c r="D257" s="56" t="str">
        <f aca="false">IF(A257="","",ROUND(F256*計算過程!$B$24/12+G256*計算過程!$B$25/12,0))</f>
        <v/>
      </c>
      <c r="E257" s="56" t="str">
        <f aca="false">IF(A257="","",C257-D257)</f>
        <v/>
      </c>
      <c r="F257" s="56" t="str">
        <f aca="false">IF(A257="","",MAX(0,F256*(1+計算過程!$B$24/12)-計算過程!$B$52))</f>
        <v/>
      </c>
      <c r="G257" s="56" t="str">
        <f aca="false">IF(A257="","",MAX(0,G256*(1+計算過程!$B$25/12)-計算過程!$B$53))</f>
        <v/>
      </c>
      <c r="H257" s="56" t="str">
        <f aca="false">IF(A257="","",F257+G257)</f>
        <v/>
      </c>
      <c r="I257" s="55" t="str">
        <f aca="false">IF(A257="","",IF(AND(OR(MONTH(B257)=6,MONTH(B257)=12),I256&lt;計算過程!$B$50),I256+1,I256))</f>
        <v/>
      </c>
      <c r="J257" s="56" t="str">
        <f aca="false">IF(A257="","",IF(I257&gt;I256,計算過程!$B$57,0))</f>
        <v/>
      </c>
      <c r="K257" s="56" t="str">
        <f aca="false">IF(A257="","",IF(I257&gt;I256,ROUND(M256*計算過程!$B$55,0),0))</f>
        <v/>
      </c>
      <c r="L257" s="56" t="str">
        <f aca="false">IF(A257="","",J257-K257)</f>
        <v/>
      </c>
      <c r="M257" s="56" t="str">
        <f aca="false">IF(A257="","",IF(I257&gt;I256,MAX(0,M256*(1+計算過程!$B$55)-計算過程!$B$56),M256))</f>
        <v/>
      </c>
      <c r="N257" s="56" t="str">
        <f aca="false">IF(A257="","",C257+J257)</f>
        <v/>
      </c>
      <c r="O257" s="56" t="str">
        <f aca="false">IF(A257="","",H257+M257)</f>
        <v/>
      </c>
    </row>
    <row r="258" customFormat="false" ht="15" hidden="false" customHeight="false" outlineLevel="0" collapsed="false">
      <c r="A258" s="55" t="str">
        <f aca="false">IF(ROWS($A$8:A258)&lt;=計算過程!$B$51,ROWS($A$8:A258),"")</f>
        <v/>
      </c>
      <c r="B258" s="57" t="str">
        <f aca="false">IF(A258="","",EDATE(計算過程!$B$71,A258-1))</f>
        <v/>
      </c>
      <c r="C258" s="56" t="str">
        <f aca="false">IF(A258="","",計算過程!$B$54)</f>
        <v/>
      </c>
      <c r="D258" s="56" t="str">
        <f aca="false">IF(A258="","",ROUND(F257*計算過程!$B$24/12+G257*計算過程!$B$25/12,0))</f>
        <v/>
      </c>
      <c r="E258" s="56" t="str">
        <f aca="false">IF(A258="","",C258-D258)</f>
        <v/>
      </c>
      <c r="F258" s="56" t="str">
        <f aca="false">IF(A258="","",MAX(0,F257*(1+計算過程!$B$24/12)-計算過程!$B$52))</f>
        <v/>
      </c>
      <c r="G258" s="56" t="str">
        <f aca="false">IF(A258="","",MAX(0,G257*(1+計算過程!$B$25/12)-計算過程!$B$53))</f>
        <v/>
      </c>
      <c r="H258" s="56" t="str">
        <f aca="false">IF(A258="","",F258+G258)</f>
        <v/>
      </c>
      <c r="I258" s="55" t="str">
        <f aca="false">IF(A258="","",IF(AND(OR(MONTH(B258)=6,MONTH(B258)=12),I257&lt;計算過程!$B$50),I257+1,I257))</f>
        <v/>
      </c>
      <c r="J258" s="56" t="str">
        <f aca="false">IF(A258="","",IF(I258&gt;I257,計算過程!$B$57,0))</f>
        <v/>
      </c>
      <c r="K258" s="56" t="str">
        <f aca="false">IF(A258="","",IF(I258&gt;I257,ROUND(M257*計算過程!$B$55,0),0))</f>
        <v/>
      </c>
      <c r="L258" s="56" t="str">
        <f aca="false">IF(A258="","",J258-K258)</f>
        <v/>
      </c>
      <c r="M258" s="56" t="str">
        <f aca="false">IF(A258="","",IF(I258&gt;I257,MAX(0,M257*(1+計算過程!$B$55)-計算過程!$B$56),M257))</f>
        <v/>
      </c>
      <c r="N258" s="56" t="str">
        <f aca="false">IF(A258="","",C258+J258)</f>
        <v/>
      </c>
      <c r="O258" s="56" t="str">
        <f aca="false">IF(A258="","",H258+M258)</f>
        <v/>
      </c>
    </row>
    <row r="259" customFormat="false" ht="15" hidden="false" customHeight="false" outlineLevel="0" collapsed="false">
      <c r="A259" s="55" t="str">
        <f aca="false">IF(ROWS($A$8:A259)&lt;=計算過程!$B$51,ROWS($A$8:A259),"")</f>
        <v/>
      </c>
      <c r="B259" s="57" t="str">
        <f aca="false">IF(A259="","",EDATE(計算過程!$B$71,A259-1))</f>
        <v/>
      </c>
      <c r="C259" s="56" t="str">
        <f aca="false">IF(A259="","",計算過程!$B$54)</f>
        <v/>
      </c>
      <c r="D259" s="56" t="str">
        <f aca="false">IF(A259="","",ROUND(F258*計算過程!$B$24/12+G258*計算過程!$B$25/12,0))</f>
        <v/>
      </c>
      <c r="E259" s="56" t="str">
        <f aca="false">IF(A259="","",C259-D259)</f>
        <v/>
      </c>
      <c r="F259" s="56" t="str">
        <f aca="false">IF(A259="","",MAX(0,F258*(1+計算過程!$B$24/12)-計算過程!$B$52))</f>
        <v/>
      </c>
      <c r="G259" s="56" t="str">
        <f aca="false">IF(A259="","",MAX(0,G258*(1+計算過程!$B$25/12)-計算過程!$B$53))</f>
        <v/>
      </c>
      <c r="H259" s="56" t="str">
        <f aca="false">IF(A259="","",F259+G259)</f>
        <v/>
      </c>
      <c r="I259" s="55" t="str">
        <f aca="false">IF(A259="","",IF(AND(OR(MONTH(B259)=6,MONTH(B259)=12),I258&lt;計算過程!$B$50),I258+1,I258))</f>
        <v/>
      </c>
      <c r="J259" s="56" t="str">
        <f aca="false">IF(A259="","",IF(I259&gt;I258,計算過程!$B$57,0))</f>
        <v/>
      </c>
      <c r="K259" s="56" t="str">
        <f aca="false">IF(A259="","",IF(I259&gt;I258,ROUND(M258*計算過程!$B$55,0),0))</f>
        <v/>
      </c>
      <c r="L259" s="56" t="str">
        <f aca="false">IF(A259="","",J259-K259)</f>
        <v/>
      </c>
      <c r="M259" s="56" t="str">
        <f aca="false">IF(A259="","",IF(I259&gt;I258,MAX(0,M258*(1+計算過程!$B$55)-計算過程!$B$56),M258))</f>
        <v/>
      </c>
      <c r="N259" s="56" t="str">
        <f aca="false">IF(A259="","",C259+J259)</f>
        <v/>
      </c>
      <c r="O259" s="56" t="str">
        <f aca="false">IF(A259="","",H259+M259)</f>
        <v/>
      </c>
    </row>
    <row r="260" customFormat="false" ht="15" hidden="false" customHeight="false" outlineLevel="0" collapsed="false">
      <c r="A260" s="55" t="str">
        <f aca="false">IF(ROWS($A$8:A260)&lt;=計算過程!$B$51,ROWS($A$8:A260),"")</f>
        <v/>
      </c>
      <c r="B260" s="57" t="str">
        <f aca="false">IF(A260="","",EDATE(計算過程!$B$71,A260-1))</f>
        <v/>
      </c>
      <c r="C260" s="56" t="str">
        <f aca="false">IF(A260="","",計算過程!$B$54)</f>
        <v/>
      </c>
      <c r="D260" s="56" t="str">
        <f aca="false">IF(A260="","",ROUND(F259*計算過程!$B$24/12+G259*計算過程!$B$25/12,0))</f>
        <v/>
      </c>
      <c r="E260" s="56" t="str">
        <f aca="false">IF(A260="","",C260-D260)</f>
        <v/>
      </c>
      <c r="F260" s="56" t="str">
        <f aca="false">IF(A260="","",MAX(0,F259*(1+計算過程!$B$24/12)-計算過程!$B$52))</f>
        <v/>
      </c>
      <c r="G260" s="56" t="str">
        <f aca="false">IF(A260="","",MAX(0,G259*(1+計算過程!$B$25/12)-計算過程!$B$53))</f>
        <v/>
      </c>
      <c r="H260" s="56" t="str">
        <f aca="false">IF(A260="","",F260+G260)</f>
        <v/>
      </c>
      <c r="I260" s="55" t="str">
        <f aca="false">IF(A260="","",IF(AND(OR(MONTH(B260)=6,MONTH(B260)=12),I259&lt;計算過程!$B$50),I259+1,I259))</f>
        <v/>
      </c>
      <c r="J260" s="56" t="str">
        <f aca="false">IF(A260="","",IF(I260&gt;I259,計算過程!$B$57,0))</f>
        <v/>
      </c>
      <c r="K260" s="56" t="str">
        <f aca="false">IF(A260="","",IF(I260&gt;I259,ROUND(M259*計算過程!$B$55,0),0))</f>
        <v/>
      </c>
      <c r="L260" s="56" t="str">
        <f aca="false">IF(A260="","",J260-K260)</f>
        <v/>
      </c>
      <c r="M260" s="56" t="str">
        <f aca="false">IF(A260="","",IF(I260&gt;I259,MAX(0,M259*(1+計算過程!$B$55)-計算過程!$B$56),M259))</f>
        <v/>
      </c>
      <c r="N260" s="56" t="str">
        <f aca="false">IF(A260="","",C260+J260)</f>
        <v/>
      </c>
      <c r="O260" s="56" t="str">
        <f aca="false">IF(A260="","",H260+M260)</f>
        <v/>
      </c>
    </row>
    <row r="261" customFormat="false" ht="15" hidden="false" customHeight="false" outlineLevel="0" collapsed="false">
      <c r="A261" s="55" t="str">
        <f aca="false">IF(ROWS($A$8:A261)&lt;=計算過程!$B$51,ROWS($A$8:A261),"")</f>
        <v/>
      </c>
      <c r="B261" s="57" t="str">
        <f aca="false">IF(A261="","",EDATE(計算過程!$B$71,A261-1))</f>
        <v/>
      </c>
      <c r="C261" s="56" t="str">
        <f aca="false">IF(A261="","",計算過程!$B$54)</f>
        <v/>
      </c>
      <c r="D261" s="56" t="str">
        <f aca="false">IF(A261="","",ROUND(F260*計算過程!$B$24/12+G260*計算過程!$B$25/12,0))</f>
        <v/>
      </c>
      <c r="E261" s="56" t="str">
        <f aca="false">IF(A261="","",C261-D261)</f>
        <v/>
      </c>
      <c r="F261" s="56" t="str">
        <f aca="false">IF(A261="","",MAX(0,F260*(1+計算過程!$B$24/12)-計算過程!$B$52))</f>
        <v/>
      </c>
      <c r="G261" s="56" t="str">
        <f aca="false">IF(A261="","",MAX(0,G260*(1+計算過程!$B$25/12)-計算過程!$B$53))</f>
        <v/>
      </c>
      <c r="H261" s="56" t="str">
        <f aca="false">IF(A261="","",F261+G261)</f>
        <v/>
      </c>
      <c r="I261" s="55" t="str">
        <f aca="false">IF(A261="","",IF(AND(OR(MONTH(B261)=6,MONTH(B261)=12),I260&lt;計算過程!$B$50),I260+1,I260))</f>
        <v/>
      </c>
      <c r="J261" s="56" t="str">
        <f aca="false">IF(A261="","",IF(I261&gt;I260,計算過程!$B$57,0))</f>
        <v/>
      </c>
      <c r="K261" s="56" t="str">
        <f aca="false">IF(A261="","",IF(I261&gt;I260,ROUND(M260*計算過程!$B$55,0),0))</f>
        <v/>
      </c>
      <c r="L261" s="56" t="str">
        <f aca="false">IF(A261="","",J261-K261)</f>
        <v/>
      </c>
      <c r="M261" s="56" t="str">
        <f aca="false">IF(A261="","",IF(I261&gt;I260,MAX(0,M260*(1+計算過程!$B$55)-計算過程!$B$56),M260))</f>
        <v/>
      </c>
      <c r="N261" s="56" t="str">
        <f aca="false">IF(A261="","",C261+J261)</f>
        <v/>
      </c>
      <c r="O261" s="56" t="str">
        <f aca="false">IF(A261="","",H261+M261)</f>
        <v/>
      </c>
    </row>
    <row r="262" customFormat="false" ht="15" hidden="false" customHeight="false" outlineLevel="0" collapsed="false">
      <c r="A262" s="55" t="str">
        <f aca="false">IF(ROWS($A$8:A262)&lt;=計算過程!$B$51,ROWS($A$8:A262),"")</f>
        <v/>
      </c>
      <c r="B262" s="57" t="str">
        <f aca="false">IF(A262="","",EDATE(計算過程!$B$71,A262-1))</f>
        <v/>
      </c>
      <c r="C262" s="56" t="str">
        <f aca="false">IF(A262="","",計算過程!$B$54)</f>
        <v/>
      </c>
      <c r="D262" s="56" t="str">
        <f aca="false">IF(A262="","",ROUND(F261*計算過程!$B$24/12+G261*計算過程!$B$25/12,0))</f>
        <v/>
      </c>
      <c r="E262" s="56" t="str">
        <f aca="false">IF(A262="","",C262-D262)</f>
        <v/>
      </c>
      <c r="F262" s="56" t="str">
        <f aca="false">IF(A262="","",MAX(0,F261*(1+計算過程!$B$24/12)-計算過程!$B$52))</f>
        <v/>
      </c>
      <c r="G262" s="56" t="str">
        <f aca="false">IF(A262="","",MAX(0,G261*(1+計算過程!$B$25/12)-計算過程!$B$53))</f>
        <v/>
      </c>
      <c r="H262" s="56" t="str">
        <f aca="false">IF(A262="","",F262+G262)</f>
        <v/>
      </c>
      <c r="I262" s="55" t="str">
        <f aca="false">IF(A262="","",IF(AND(OR(MONTH(B262)=6,MONTH(B262)=12),I261&lt;計算過程!$B$50),I261+1,I261))</f>
        <v/>
      </c>
      <c r="J262" s="56" t="str">
        <f aca="false">IF(A262="","",IF(I262&gt;I261,計算過程!$B$57,0))</f>
        <v/>
      </c>
      <c r="K262" s="56" t="str">
        <f aca="false">IF(A262="","",IF(I262&gt;I261,ROUND(M261*計算過程!$B$55,0),0))</f>
        <v/>
      </c>
      <c r="L262" s="56" t="str">
        <f aca="false">IF(A262="","",J262-K262)</f>
        <v/>
      </c>
      <c r="M262" s="56" t="str">
        <f aca="false">IF(A262="","",IF(I262&gt;I261,MAX(0,M261*(1+計算過程!$B$55)-計算過程!$B$56),M261))</f>
        <v/>
      </c>
      <c r="N262" s="56" t="str">
        <f aca="false">IF(A262="","",C262+J262)</f>
        <v/>
      </c>
      <c r="O262" s="56" t="str">
        <f aca="false">IF(A262="","",H262+M262)</f>
        <v/>
      </c>
    </row>
    <row r="263" customFormat="false" ht="15" hidden="false" customHeight="false" outlineLevel="0" collapsed="false">
      <c r="A263" s="55" t="str">
        <f aca="false">IF(ROWS($A$8:A263)&lt;=計算過程!$B$51,ROWS($A$8:A263),"")</f>
        <v/>
      </c>
      <c r="B263" s="57" t="str">
        <f aca="false">IF(A263="","",EDATE(計算過程!$B$71,A263-1))</f>
        <v/>
      </c>
      <c r="C263" s="56" t="str">
        <f aca="false">IF(A263="","",計算過程!$B$54)</f>
        <v/>
      </c>
      <c r="D263" s="56" t="str">
        <f aca="false">IF(A263="","",ROUND(F262*計算過程!$B$24/12+G262*計算過程!$B$25/12,0))</f>
        <v/>
      </c>
      <c r="E263" s="56" t="str">
        <f aca="false">IF(A263="","",C263-D263)</f>
        <v/>
      </c>
      <c r="F263" s="56" t="str">
        <f aca="false">IF(A263="","",MAX(0,F262*(1+計算過程!$B$24/12)-計算過程!$B$52))</f>
        <v/>
      </c>
      <c r="G263" s="56" t="str">
        <f aca="false">IF(A263="","",MAX(0,G262*(1+計算過程!$B$25/12)-計算過程!$B$53))</f>
        <v/>
      </c>
      <c r="H263" s="56" t="str">
        <f aca="false">IF(A263="","",F263+G263)</f>
        <v/>
      </c>
      <c r="I263" s="55" t="str">
        <f aca="false">IF(A263="","",IF(AND(OR(MONTH(B263)=6,MONTH(B263)=12),I262&lt;計算過程!$B$50),I262+1,I262))</f>
        <v/>
      </c>
      <c r="J263" s="56" t="str">
        <f aca="false">IF(A263="","",IF(I263&gt;I262,計算過程!$B$57,0))</f>
        <v/>
      </c>
      <c r="K263" s="56" t="str">
        <f aca="false">IF(A263="","",IF(I263&gt;I262,ROUND(M262*計算過程!$B$55,0),0))</f>
        <v/>
      </c>
      <c r="L263" s="56" t="str">
        <f aca="false">IF(A263="","",J263-K263)</f>
        <v/>
      </c>
      <c r="M263" s="56" t="str">
        <f aca="false">IF(A263="","",IF(I263&gt;I262,MAX(0,M262*(1+計算過程!$B$55)-計算過程!$B$56),M262))</f>
        <v/>
      </c>
      <c r="N263" s="56" t="str">
        <f aca="false">IF(A263="","",C263+J263)</f>
        <v/>
      </c>
      <c r="O263" s="56" t="str">
        <f aca="false">IF(A263="","",H263+M263)</f>
        <v/>
      </c>
    </row>
    <row r="264" customFormat="false" ht="15" hidden="false" customHeight="false" outlineLevel="0" collapsed="false">
      <c r="A264" s="55" t="str">
        <f aca="false">IF(ROWS($A$8:A264)&lt;=計算過程!$B$51,ROWS($A$8:A264),"")</f>
        <v/>
      </c>
      <c r="B264" s="57" t="str">
        <f aca="false">IF(A264="","",EDATE(計算過程!$B$71,A264-1))</f>
        <v/>
      </c>
      <c r="C264" s="56" t="str">
        <f aca="false">IF(A264="","",計算過程!$B$54)</f>
        <v/>
      </c>
      <c r="D264" s="56" t="str">
        <f aca="false">IF(A264="","",ROUND(F263*計算過程!$B$24/12+G263*計算過程!$B$25/12,0))</f>
        <v/>
      </c>
      <c r="E264" s="56" t="str">
        <f aca="false">IF(A264="","",C264-D264)</f>
        <v/>
      </c>
      <c r="F264" s="56" t="str">
        <f aca="false">IF(A264="","",MAX(0,F263*(1+計算過程!$B$24/12)-計算過程!$B$52))</f>
        <v/>
      </c>
      <c r="G264" s="56" t="str">
        <f aca="false">IF(A264="","",MAX(0,G263*(1+計算過程!$B$25/12)-計算過程!$B$53))</f>
        <v/>
      </c>
      <c r="H264" s="56" t="str">
        <f aca="false">IF(A264="","",F264+G264)</f>
        <v/>
      </c>
      <c r="I264" s="55" t="str">
        <f aca="false">IF(A264="","",IF(AND(OR(MONTH(B264)=6,MONTH(B264)=12),I263&lt;計算過程!$B$50),I263+1,I263))</f>
        <v/>
      </c>
      <c r="J264" s="56" t="str">
        <f aca="false">IF(A264="","",IF(I264&gt;I263,計算過程!$B$57,0))</f>
        <v/>
      </c>
      <c r="K264" s="56" t="str">
        <f aca="false">IF(A264="","",IF(I264&gt;I263,ROUND(M263*計算過程!$B$55,0),0))</f>
        <v/>
      </c>
      <c r="L264" s="56" t="str">
        <f aca="false">IF(A264="","",J264-K264)</f>
        <v/>
      </c>
      <c r="M264" s="56" t="str">
        <f aca="false">IF(A264="","",IF(I264&gt;I263,MAX(0,M263*(1+計算過程!$B$55)-計算過程!$B$56),M263))</f>
        <v/>
      </c>
      <c r="N264" s="56" t="str">
        <f aca="false">IF(A264="","",C264+J264)</f>
        <v/>
      </c>
      <c r="O264" s="56" t="str">
        <f aca="false">IF(A264="","",H264+M264)</f>
        <v/>
      </c>
    </row>
    <row r="265" customFormat="false" ht="15" hidden="false" customHeight="false" outlineLevel="0" collapsed="false">
      <c r="A265" s="55" t="str">
        <f aca="false">IF(ROWS($A$8:A265)&lt;=計算過程!$B$51,ROWS($A$8:A265),"")</f>
        <v/>
      </c>
      <c r="B265" s="57" t="str">
        <f aca="false">IF(A265="","",EDATE(計算過程!$B$71,A265-1))</f>
        <v/>
      </c>
      <c r="C265" s="56" t="str">
        <f aca="false">IF(A265="","",計算過程!$B$54)</f>
        <v/>
      </c>
      <c r="D265" s="56" t="str">
        <f aca="false">IF(A265="","",ROUND(F264*計算過程!$B$24/12+G264*計算過程!$B$25/12,0))</f>
        <v/>
      </c>
      <c r="E265" s="56" t="str">
        <f aca="false">IF(A265="","",C265-D265)</f>
        <v/>
      </c>
      <c r="F265" s="56" t="str">
        <f aca="false">IF(A265="","",MAX(0,F264*(1+計算過程!$B$24/12)-計算過程!$B$52))</f>
        <v/>
      </c>
      <c r="G265" s="56" t="str">
        <f aca="false">IF(A265="","",MAX(0,G264*(1+計算過程!$B$25/12)-計算過程!$B$53))</f>
        <v/>
      </c>
      <c r="H265" s="56" t="str">
        <f aca="false">IF(A265="","",F265+G265)</f>
        <v/>
      </c>
      <c r="I265" s="55" t="str">
        <f aca="false">IF(A265="","",IF(AND(OR(MONTH(B265)=6,MONTH(B265)=12),I264&lt;計算過程!$B$50),I264+1,I264))</f>
        <v/>
      </c>
      <c r="J265" s="56" t="str">
        <f aca="false">IF(A265="","",IF(I265&gt;I264,計算過程!$B$57,0))</f>
        <v/>
      </c>
      <c r="K265" s="56" t="str">
        <f aca="false">IF(A265="","",IF(I265&gt;I264,ROUND(M264*計算過程!$B$55,0),0))</f>
        <v/>
      </c>
      <c r="L265" s="56" t="str">
        <f aca="false">IF(A265="","",J265-K265)</f>
        <v/>
      </c>
      <c r="M265" s="56" t="str">
        <f aca="false">IF(A265="","",IF(I265&gt;I264,MAX(0,M264*(1+計算過程!$B$55)-計算過程!$B$56),M264))</f>
        <v/>
      </c>
      <c r="N265" s="56" t="str">
        <f aca="false">IF(A265="","",C265+J265)</f>
        <v/>
      </c>
      <c r="O265" s="56" t="str">
        <f aca="false">IF(A265="","",H265+M265)</f>
        <v/>
      </c>
    </row>
    <row r="266" customFormat="false" ht="15" hidden="false" customHeight="false" outlineLevel="0" collapsed="false">
      <c r="A266" s="55" t="str">
        <f aca="false">IF(ROWS($A$8:A266)&lt;=計算過程!$B$51,ROWS($A$8:A266),"")</f>
        <v/>
      </c>
      <c r="B266" s="57" t="str">
        <f aca="false">IF(A266="","",EDATE(計算過程!$B$71,A266-1))</f>
        <v/>
      </c>
      <c r="C266" s="56" t="str">
        <f aca="false">IF(A266="","",計算過程!$B$54)</f>
        <v/>
      </c>
      <c r="D266" s="56" t="str">
        <f aca="false">IF(A266="","",ROUND(F265*計算過程!$B$24/12+G265*計算過程!$B$25/12,0))</f>
        <v/>
      </c>
      <c r="E266" s="56" t="str">
        <f aca="false">IF(A266="","",C266-D266)</f>
        <v/>
      </c>
      <c r="F266" s="56" t="str">
        <f aca="false">IF(A266="","",MAX(0,F265*(1+計算過程!$B$24/12)-計算過程!$B$52))</f>
        <v/>
      </c>
      <c r="G266" s="56" t="str">
        <f aca="false">IF(A266="","",MAX(0,G265*(1+計算過程!$B$25/12)-計算過程!$B$53))</f>
        <v/>
      </c>
      <c r="H266" s="56" t="str">
        <f aca="false">IF(A266="","",F266+G266)</f>
        <v/>
      </c>
      <c r="I266" s="55" t="str">
        <f aca="false">IF(A266="","",IF(AND(OR(MONTH(B266)=6,MONTH(B266)=12),I265&lt;計算過程!$B$50),I265+1,I265))</f>
        <v/>
      </c>
      <c r="J266" s="56" t="str">
        <f aca="false">IF(A266="","",IF(I266&gt;I265,計算過程!$B$57,0))</f>
        <v/>
      </c>
      <c r="K266" s="56" t="str">
        <f aca="false">IF(A266="","",IF(I266&gt;I265,ROUND(M265*計算過程!$B$55,0),0))</f>
        <v/>
      </c>
      <c r="L266" s="56" t="str">
        <f aca="false">IF(A266="","",J266-K266)</f>
        <v/>
      </c>
      <c r="M266" s="56" t="str">
        <f aca="false">IF(A266="","",IF(I266&gt;I265,MAX(0,M265*(1+計算過程!$B$55)-計算過程!$B$56),M265))</f>
        <v/>
      </c>
      <c r="N266" s="56" t="str">
        <f aca="false">IF(A266="","",C266+J266)</f>
        <v/>
      </c>
      <c r="O266" s="56" t="str">
        <f aca="false">IF(A266="","",H266+M266)</f>
        <v/>
      </c>
    </row>
    <row r="267" customFormat="false" ht="15" hidden="false" customHeight="false" outlineLevel="0" collapsed="false">
      <c r="A267" s="55" t="str">
        <f aca="false">IF(ROWS($A$8:A267)&lt;=計算過程!$B$51,ROWS($A$8:A267),"")</f>
        <v/>
      </c>
      <c r="B267" s="57" t="str">
        <f aca="false">IF(A267="","",EDATE(計算過程!$B$71,A267-1))</f>
        <v/>
      </c>
      <c r="C267" s="56" t="str">
        <f aca="false">IF(A267="","",計算過程!$B$54)</f>
        <v/>
      </c>
      <c r="D267" s="56" t="str">
        <f aca="false">IF(A267="","",ROUND(F266*計算過程!$B$24/12+G266*計算過程!$B$25/12,0))</f>
        <v/>
      </c>
      <c r="E267" s="56" t="str">
        <f aca="false">IF(A267="","",C267-D267)</f>
        <v/>
      </c>
      <c r="F267" s="56" t="str">
        <f aca="false">IF(A267="","",MAX(0,F266*(1+計算過程!$B$24/12)-計算過程!$B$52))</f>
        <v/>
      </c>
      <c r="G267" s="56" t="str">
        <f aca="false">IF(A267="","",MAX(0,G266*(1+計算過程!$B$25/12)-計算過程!$B$53))</f>
        <v/>
      </c>
      <c r="H267" s="56" t="str">
        <f aca="false">IF(A267="","",F267+G267)</f>
        <v/>
      </c>
      <c r="I267" s="55" t="str">
        <f aca="false">IF(A267="","",IF(AND(OR(MONTH(B267)=6,MONTH(B267)=12),I266&lt;計算過程!$B$50),I266+1,I266))</f>
        <v/>
      </c>
      <c r="J267" s="56" t="str">
        <f aca="false">IF(A267="","",IF(I267&gt;I266,計算過程!$B$57,0))</f>
        <v/>
      </c>
      <c r="K267" s="56" t="str">
        <f aca="false">IF(A267="","",IF(I267&gt;I266,ROUND(M266*計算過程!$B$55,0),0))</f>
        <v/>
      </c>
      <c r="L267" s="56" t="str">
        <f aca="false">IF(A267="","",J267-K267)</f>
        <v/>
      </c>
      <c r="M267" s="56" t="str">
        <f aca="false">IF(A267="","",IF(I267&gt;I266,MAX(0,M266*(1+計算過程!$B$55)-計算過程!$B$56),M266))</f>
        <v/>
      </c>
      <c r="N267" s="56" t="str">
        <f aca="false">IF(A267="","",C267+J267)</f>
        <v/>
      </c>
      <c r="O267" s="56" t="str">
        <f aca="false">IF(A267="","",H267+M267)</f>
        <v/>
      </c>
    </row>
    <row r="268" customFormat="false" ht="15" hidden="false" customHeight="false" outlineLevel="0" collapsed="false">
      <c r="A268" s="55" t="str">
        <f aca="false">IF(ROWS($A$8:A268)&lt;=計算過程!$B$51,ROWS($A$8:A268),"")</f>
        <v/>
      </c>
      <c r="B268" s="57" t="str">
        <f aca="false">IF(A268="","",EDATE(計算過程!$B$71,A268-1))</f>
        <v/>
      </c>
      <c r="C268" s="56" t="str">
        <f aca="false">IF(A268="","",計算過程!$B$54)</f>
        <v/>
      </c>
      <c r="D268" s="56" t="str">
        <f aca="false">IF(A268="","",ROUND(F267*計算過程!$B$24/12+G267*計算過程!$B$25/12,0))</f>
        <v/>
      </c>
      <c r="E268" s="56" t="str">
        <f aca="false">IF(A268="","",C268-D268)</f>
        <v/>
      </c>
      <c r="F268" s="56" t="str">
        <f aca="false">IF(A268="","",MAX(0,F267*(1+計算過程!$B$24/12)-計算過程!$B$52))</f>
        <v/>
      </c>
      <c r="G268" s="56" t="str">
        <f aca="false">IF(A268="","",MAX(0,G267*(1+計算過程!$B$25/12)-計算過程!$B$53))</f>
        <v/>
      </c>
      <c r="H268" s="56" t="str">
        <f aca="false">IF(A268="","",F268+G268)</f>
        <v/>
      </c>
      <c r="I268" s="55" t="str">
        <f aca="false">IF(A268="","",IF(AND(OR(MONTH(B268)=6,MONTH(B268)=12),I267&lt;計算過程!$B$50),I267+1,I267))</f>
        <v/>
      </c>
      <c r="J268" s="56" t="str">
        <f aca="false">IF(A268="","",IF(I268&gt;I267,計算過程!$B$57,0))</f>
        <v/>
      </c>
      <c r="K268" s="56" t="str">
        <f aca="false">IF(A268="","",IF(I268&gt;I267,ROUND(M267*計算過程!$B$55,0),0))</f>
        <v/>
      </c>
      <c r="L268" s="56" t="str">
        <f aca="false">IF(A268="","",J268-K268)</f>
        <v/>
      </c>
      <c r="M268" s="56" t="str">
        <f aca="false">IF(A268="","",IF(I268&gt;I267,MAX(0,M267*(1+計算過程!$B$55)-計算過程!$B$56),M267))</f>
        <v/>
      </c>
      <c r="N268" s="56" t="str">
        <f aca="false">IF(A268="","",C268+J268)</f>
        <v/>
      </c>
      <c r="O268" s="56" t="str">
        <f aca="false">IF(A268="","",H268+M268)</f>
        <v/>
      </c>
    </row>
    <row r="269" customFormat="false" ht="15" hidden="false" customHeight="false" outlineLevel="0" collapsed="false">
      <c r="A269" s="55" t="str">
        <f aca="false">IF(ROWS($A$8:A269)&lt;=計算過程!$B$51,ROWS($A$8:A269),"")</f>
        <v/>
      </c>
      <c r="B269" s="57" t="str">
        <f aca="false">IF(A269="","",EDATE(計算過程!$B$71,A269-1))</f>
        <v/>
      </c>
      <c r="C269" s="56" t="str">
        <f aca="false">IF(A269="","",計算過程!$B$54)</f>
        <v/>
      </c>
      <c r="D269" s="56" t="str">
        <f aca="false">IF(A269="","",ROUND(F268*計算過程!$B$24/12+G268*計算過程!$B$25/12,0))</f>
        <v/>
      </c>
      <c r="E269" s="56" t="str">
        <f aca="false">IF(A269="","",C269-D269)</f>
        <v/>
      </c>
      <c r="F269" s="56" t="str">
        <f aca="false">IF(A269="","",MAX(0,F268*(1+計算過程!$B$24/12)-計算過程!$B$52))</f>
        <v/>
      </c>
      <c r="G269" s="56" t="str">
        <f aca="false">IF(A269="","",MAX(0,G268*(1+計算過程!$B$25/12)-計算過程!$B$53))</f>
        <v/>
      </c>
      <c r="H269" s="56" t="str">
        <f aca="false">IF(A269="","",F269+G269)</f>
        <v/>
      </c>
      <c r="I269" s="55" t="str">
        <f aca="false">IF(A269="","",IF(AND(OR(MONTH(B269)=6,MONTH(B269)=12),I268&lt;計算過程!$B$50),I268+1,I268))</f>
        <v/>
      </c>
      <c r="J269" s="56" t="str">
        <f aca="false">IF(A269="","",IF(I269&gt;I268,計算過程!$B$57,0))</f>
        <v/>
      </c>
      <c r="K269" s="56" t="str">
        <f aca="false">IF(A269="","",IF(I269&gt;I268,ROUND(M268*計算過程!$B$55,0),0))</f>
        <v/>
      </c>
      <c r="L269" s="56" t="str">
        <f aca="false">IF(A269="","",J269-K269)</f>
        <v/>
      </c>
      <c r="M269" s="56" t="str">
        <f aca="false">IF(A269="","",IF(I269&gt;I268,MAX(0,M268*(1+計算過程!$B$55)-計算過程!$B$56),M268))</f>
        <v/>
      </c>
      <c r="N269" s="56" t="str">
        <f aca="false">IF(A269="","",C269+J269)</f>
        <v/>
      </c>
      <c r="O269" s="56" t="str">
        <f aca="false">IF(A269="","",H269+M269)</f>
        <v/>
      </c>
    </row>
    <row r="270" customFormat="false" ht="15" hidden="false" customHeight="false" outlineLevel="0" collapsed="false">
      <c r="A270" s="55" t="str">
        <f aca="false">IF(ROWS($A$8:A270)&lt;=計算過程!$B$51,ROWS($A$8:A270),"")</f>
        <v/>
      </c>
      <c r="B270" s="57" t="str">
        <f aca="false">IF(A270="","",EDATE(計算過程!$B$71,A270-1))</f>
        <v/>
      </c>
      <c r="C270" s="56" t="str">
        <f aca="false">IF(A270="","",計算過程!$B$54)</f>
        <v/>
      </c>
      <c r="D270" s="56" t="str">
        <f aca="false">IF(A270="","",ROUND(F269*計算過程!$B$24/12+G269*計算過程!$B$25/12,0))</f>
        <v/>
      </c>
      <c r="E270" s="56" t="str">
        <f aca="false">IF(A270="","",C270-D270)</f>
        <v/>
      </c>
      <c r="F270" s="56" t="str">
        <f aca="false">IF(A270="","",MAX(0,F269*(1+計算過程!$B$24/12)-計算過程!$B$52))</f>
        <v/>
      </c>
      <c r="G270" s="56" t="str">
        <f aca="false">IF(A270="","",MAX(0,G269*(1+計算過程!$B$25/12)-計算過程!$B$53))</f>
        <v/>
      </c>
      <c r="H270" s="56" t="str">
        <f aca="false">IF(A270="","",F270+G270)</f>
        <v/>
      </c>
      <c r="I270" s="55" t="str">
        <f aca="false">IF(A270="","",IF(AND(OR(MONTH(B270)=6,MONTH(B270)=12),I269&lt;計算過程!$B$50),I269+1,I269))</f>
        <v/>
      </c>
      <c r="J270" s="56" t="str">
        <f aca="false">IF(A270="","",IF(I270&gt;I269,計算過程!$B$57,0))</f>
        <v/>
      </c>
      <c r="K270" s="56" t="str">
        <f aca="false">IF(A270="","",IF(I270&gt;I269,ROUND(M269*計算過程!$B$55,0),0))</f>
        <v/>
      </c>
      <c r="L270" s="56" t="str">
        <f aca="false">IF(A270="","",J270-K270)</f>
        <v/>
      </c>
      <c r="M270" s="56" t="str">
        <f aca="false">IF(A270="","",IF(I270&gt;I269,MAX(0,M269*(1+計算過程!$B$55)-計算過程!$B$56),M269))</f>
        <v/>
      </c>
      <c r="N270" s="56" t="str">
        <f aca="false">IF(A270="","",C270+J270)</f>
        <v/>
      </c>
      <c r="O270" s="56" t="str">
        <f aca="false">IF(A270="","",H270+M270)</f>
        <v/>
      </c>
    </row>
    <row r="271" customFormat="false" ht="15" hidden="false" customHeight="false" outlineLevel="0" collapsed="false">
      <c r="A271" s="55" t="str">
        <f aca="false">IF(ROWS($A$8:A271)&lt;=計算過程!$B$51,ROWS($A$8:A271),"")</f>
        <v/>
      </c>
      <c r="B271" s="57" t="str">
        <f aca="false">IF(A271="","",EDATE(計算過程!$B$71,A271-1))</f>
        <v/>
      </c>
      <c r="C271" s="56" t="str">
        <f aca="false">IF(A271="","",計算過程!$B$54)</f>
        <v/>
      </c>
      <c r="D271" s="56" t="str">
        <f aca="false">IF(A271="","",ROUND(F270*計算過程!$B$24/12+G270*計算過程!$B$25/12,0))</f>
        <v/>
      </c>
      <c r="E271" s="56" t="str">
        <f aca="false">IF(A271="","",C271-D271)</f>
        <v/>
      </c>
      <c r="F271" s="56" t="str">
        <f aca="false">IF(A271="","",MAX(0,F270*(1+計算過程!$B$24/12)-計算過程!$B$52))</f>
        <v/>
      </c>
      <c r="G271" s="56" t="str">
        <f aca="false">IF(A271="","",MAX(0,G270*(1+計算過程!$B$25/12)-計算過程!$B$53))</f>
        <v/>
      </c>
      <c r="H271" s="56" t="str">
        <f aca="false">IF(A271="","",F271+G271)</f>
        <v/>
      </c>
      <c r="I271" s="55" t="str">
        <f aca="false">IF(A271="","",IF(AND(OR(MONTH(B271)=6,MONTH(B271)=12),I270&lt;計算過程!$B$50),I270+1,I270))</f>
        <v/>
      </c>
      <c r="J271" s="56" t="str">
        <f aca="false">IF(A271="","",IF(I271&gt;I270,計算過程!$B$57,0))</f>
        <v/>
      </c>
      <c r="K271" s="56" t="str">
        <f aca="false">IF(A271="","",IF(I271&gt;I270,ROUND(M270*計算過程!$B$55,0),0))</f>
        <v/>
      </c>
      <c r="L271" s="56" t="str">
        <f aca="false">IF(A271="","",J271-K271)</f>
        <v/>
      </c>
      <c r="M271" s="56" t="str">
        <f aca="false">IF(A271="","",IF(I271&gt;I270,MAX(0,M270*(1+計算過程!$B$55)-計算過程!$B$56),M270))</f>
        <v/>
      </c>
      <c r="N271" s="56" t="str">
        <f aca="false">IF(A271="","",C271+J271)</f>
        <v/>
      </c>
      <c r="O271" s="56" t="str">
        <f aca="false">IF(A271="","",H271+M271)</f>
        <v/>
      </c>
    </row>
    <row r="272" customFormat="false" ht="15" hidden="false" customHeight="false" outlineLevel="0" collapsed="false">
      <c r="A272" s="55" t="str">
        <f aca="false">IF(ROWS($A$8:A272)&lt;=計算過程!$B$51,ROWS($A$8:A272),"")</f>
        <v/>
      </c>
      <c r="B272" s="57" t="str">
        <f aca="false">IF(A272="","",EDATE(計算過程!$B$71,A272-1))</f>
        <v/>
      </c>
      <c r="C272" s="56" t="str">
        <f aca="false">IF(A272="","",計算過程!$B$54)</f>
        <v/>
      </c>
      <c r="D272" s="56" t="str">
        <f aca="false">IF(A272="","",ROUND(F271*計算過程!$B$24/12+G271*計算過程!$B$25/12,0))</f>
        <v/>
      </c>
      <c r="E272" s="56" t="str">
        <f aca="false">IF(A272="","",C272-D272)</f>
        <v/>
      </c>
      <c r="F272" s="56" t="str">
        <f aca="false">IF(A272="","",MAX(0,F271*(1+計算過程!$B$24/12)-計算過程!$B$52))</f>
        <v/>
      </c>
      <c r="G272" s="56" t="str">
        <f aca="false">IF(A272="","",MAX(0,G271*(1+計算過程!$B$25/12)-計算過程!$B$53))</f>
        <v/>
      </c>
      <c r="H272" s="56" t="str">
        <f aca="false">IF(A272="","",F272+G272)</f>
        <v/>
      </c>
      <c r="I272" s="55" t="str">
        <f aca="false">IF(A272="","",IF(AND(OR(MONTH(B272)=6,MONTH(B272)=12),I271&lt;計算過程!$B$50),I271+1,I271))</f>
        <v/>
      </c>
      <c r="J272" s="56" t="str">
        <f aca="false">IF(A272="","",IF(I272&gt;I271,計算過程!$B$57,0))</f>
        <v/>
      </c>
      <c r="K272" s="56" t="str">
        <f aca="false">IF(A272="","",IF(I272&gt;I271,ROUND(M271*計算過程!$B$55,0),0))</f>
        <v/>
      </c>
      <c r="L272" s="56" t="str">
        <f aca="false">IF(A272="","",J272-K272)</f>
        <v/>
      </c>
      <c r="M272" s="56" t="str">
        <f aca="false">IF(A272="","",IF(I272&gt;I271,MAX(0,M271*(1+計算過程!$B$55)-計算過程!$B$56),M271))</f>
        <v/>
      </c>
      <c r="N272" s="56" t="str">
        <f aca="false">IF(A272="","",C272+J272)</f>
        <v/>
      </c>
      <c r="O272" s="56" t="str">
        <f aca="false">IF(A272="","",H272+M272)</f>
        <v/>
      </c>
    </row>
    <row r="273" customFormat="false" ht="15" hidden="false" customHeight="false" outlineLevel="0" collapsed="false">
      <c r="A273" s="55" t="str">
        <f aca="false">IF(ROWS($A$8:A273)&lt;=計算過程!$B$51,ROWS($A$8:A273),"")</f>
        <v/>
      </c>
      <c r="B273" s="57" t="str">
        <f aca="false">IF(A273="","",EDATE(計算過程!$B$71,A273-1))</f>
        <v/>
      </c>
      <c r="C273" s="56" t="str">
        <f aca="false">IF(A273="","",計算過程!$B$54)</f>
        <v/>
      </c>
      <c r="D273" s="56" t="str">
        <f aca="false">IF(A273="","",ROUND(F272*計算過程!$B$24/12+G272*計算過程!$B$25/12,0))</f>
        <v/>
      </c>
      <c r="E273" s="56" t="str">
        <f aca="false">IF(A273="","",C273-D273)</f>
        <v/>
      </c>
      <c r="F273" s="56" t="str">
        <f aca="false">IF(A273="","",MAX(0,F272*(1+計算過程!$B$24/12)-計算過程!$B$52))</f>
        <v/>
      </c>
      <c r="G273" s="56" t="str">
        <f aca="false">IF(A273="","",MAX(0,G272*(1+計算過程!$B$25/12)-計算過程!$B$53))</f>
        <v/>
      </c>
      <c r="H273" s="56" t="str">
        <f aca="false">IF(A273="","",F273+G273)</f>
        <v/>
      </c>
      <c r="I273" s="55" t="str">
        <f aca="false">IF(A273="","",IF(AND(OR(MONTH(B273)=6,MONTH(B273)=12),I272&lt;計算過程!$B$50),I272+1,I272))</f>
        <v/>
      </c>
      <c r="J273" s="56" t="str">
        <f aca="false">IF(A273="","",IF(I273&gt;I272,計算過程!$B$57,0))</f>
        <v/>
      </c>
      <c r="K273" s="56" t="str">
        <f aca="false">IF(A273="","",IF(I273&gt;I272,ROUND(M272*計算過程!$B$55,0),0))</f>
        <v/>
      </c>
      <c r="L273" s="56" t="str">
        <f aca="false">IF(A273="","",J273-K273)</f>
        <v/>
      </c>
      <c r="M273" s="56" t="str">
        <f aca="false">IF(A273="","",IF(I273&gt;I272,MAX(0,M272*(1+計算過程!$B$55)-計算過程!$B$56),M272))</f>
        <v/>
      </c>
      <c r="N273" s="56" t="str">
        <f aca="false">IF(A273="","",C273+J273)</f>
        <v/>
      </c>
      <c r="O273" s="56" t="str">
        <f aca="false">IF(A273="","",H273+M273)</f>
        <v/>
      </c>
    </row>
    <row r="274" customFormat="false" ht="15" hidden="false" customHeight="false" outlineLevel="0" collapsed="false">
      <c r="A274" s="55" t="str">
        <f aca="false">IF(ROWS($A$8:A274)&lt;=計算過程!$B$51,ROWS($A$8:A274),"")</f>
        <v/>
      </c>
      <c r="B274" s="57" t="str">
        <f aca="false">IF(A274="","",EDATE(計算過程!$B$71,A274-1))</f>
        <v/>
      </c>
      <c r="C274" s="56" t="str">
        <f aca="false">IF(A274="","",計算過程!$B$54)</f>
        <v/>
      </c>
      <c r="D274" s="56" t="str">
        <f aca="false">IF(A274="","",ROUND(F273*計算過程!$B$24/12+G273*計算過程!$B$25/12,0))</f>
        <v/>
      </c>
      <c r="E274" s="56" t="str">
        <f aca="false">IF(A274="","",C274-D274)</f>
        <v/>
      </c>
      <c r="F274" s="56" t="str">
        <f aca="false">IF(A274="","",MAX(0,F273*(1+計算過程!$B$24/12)-計算過程!$B$52))</f>
        <v/>
      </c>
      <c r="G274" s="56" t="str">
        <f aca="false">IF(A274="","",MAX(0,G273*(1+計算過程!$B$25/12)-計算過程!$B$53))</f>
        <v/>
      </c>
      <c r="H274" s="56" t="str">
        <f aca="false">IF(A274="","",F274+G274)</f>
        <v/>
      </c>
      <c r="I274" s="55" t="str">
        <f aca="false">IF(A274="","",IF(AND(OR(MONTH(B274)=6,MONTH(B274)=12),I273&lt;計算過程!$B$50),I273+1,I273))</f>
        <v/>
      </c>
      <c r="J274" s="56" t="str">
        <f aca="false">IF(A274="","",IF(I274&gt;I273,計算過程!$B$57,0))</f>
        <v/>
      </c>
      <c r="K274" s="56" t="str">
        <f aca="false">IF(A274="","",IF(I274&gt;I273,ROUND(M273*計算過程!$B$55,0),0))</f>
        <v/>
      </c>
      <c r="L274" s="56" t="str">
        <f aca="false">IF(A274="","",J274-K274)</f>
        <v/>
      </c>
      <c r="M274" s="56" t="str">
        <f aca="false">IF(A274="","",IF(I274&gt;I273,MAX(0,M273*(1+計算過程!$B$55)-計算過程!$B$56),M273))</f>
        <v/>
      </c>
      <c r="N274" s="56" t="str">
        <f aca="false">IF(A274="","",C274+J274)</f>
        <v/>
      </c>
      <c r="O274" s="56" t="str">
        <f aca="false">IF(A274="","",H274+M274)</f>
        <v/>
      </c>
    </row>
    <row r="275" customFormat="false" ht="15" hidden="false" customHeight="false" outlineLevel="0" collapsed="false">
      <c r="A275" s="55" t="str">
        <f aca="false">IF(ROWS($A$8:A275)&lt;=計算過程!$B$51,ROWS($A$8:A275),"")</f>
        <v/>
      </c>
      <c r="B275" s="57" t="str">
        <f aca="false">IF(A275="","",EDATE(計算過程!$B$71,A275-1))</f>
        <v/>
      </c>
      <c r="C275" s="56" t="str">
        <f aca="false">IF(A275="","",計算過程!$B$54)</f>
        <v/>
      </c>
      <c r="D275" s="56" t="str">
        <f aca="false">IF(A275="","",ROUND(F274*計算過程!$B$24/12+G274*計算過程!$B$25/12,0))</f>
        <v/>
      </c>
      <c r="E275" s="56" t="str">
        <f aca="false">IF(A275="","",C275-D275)</f>
        <v/>
      </c>
      <c r="F275" s="56" t="str">
        <f aca="false">IF(A275="","",MAX(0,F274*(1+計算過程!$B$24/12)-計算過程!$B$52))</f>
        <v/>
      </c>
      <c r="G275" s="56" t="str">
        <f aca="false">IF(A275="","",MAX(0,G274*(1+計算過程!$B$25/12)-計算過程!$B$53))</f>
        <v/>
      </c>
      <c r="H275" s="56" t="str">
        <f aca="false">IF(A275="","",F275+G275)</f>
        <v/>
      </c>
      <c r="I275" s="55" t="str">
        <f aca="false">IF(A275="","",IF(AND(OR(MONTH(B275)=6,MONTH(B275)=12),I274&lt;計算過程!$B$50),I274+1,I274))</f>
        <v/>
      </c>
      <c r="J275" s="56" t="str">
        <f aca="false">IF(A275="","",IF(I275&gt;I274,計算過程!$B$57,0))</f>
        <v/>
      </c>
      <c r="K275" s="56" t="str">
        <f aca="false">IF(A275="","",IF(I275&gt;I274,ROUND(M274*計算過程!$B$55,0),0))</f>
        <v/>
      </c>
      <c r="L275" s="56" t="str">
        <f aca="false">IF(A275="","",J275-K275)</f>
        <v/>
      </c>
      <c r="M275" s="56" t="str">
        <f aca="false">IF(A275="","",IF(I275&gt;I274,MAX(0,M274*(1+計算過程!$B$55)-計算過程!$B$56),M274))</f>
        <v/>
      </c>
      <c r="N275" s="56" t="str">
        <f aca="false">IF(A275="","",C275+J275)</f>
        <v/>
      </c>
      <c r="O275" s="56" t="str">
        <f aca="false">IF(A275="","",H275+M275)</f>
        <v/>
      </c>
    </row>
    <row r="276" customFormat="false" ht="15" hidden="false" customHeight="false" outlineLevel="0" collapsed="false">
      <c r="A276" s="55" t="str">
        <f aca="false">IF(ROWS($A$8:A276)&lt;=計算過程!$B$51,ROWS($A$8:A276),"")</f>
        <v/>
      </c>
      <c r="B276" s="57" t="str">
        <f aca="false">IF(A276="","",EDATE(計算過程!$B$71,A276-1))</f>
        <v/>
      </c>
      <c r="C276" s="56" t="str">
        <f aca="false">IF(A276="","",計算過程!$B$54)</f>
        <v/>
      </c>
      <c r="D276" s="56" t="str">
        <f aca="false">IF(A276="","",ROUND(F275*計算過程!$B$24/12+G275*計算過程!$B$25/12,0))</f>
        <v/>
      </c>
      <c r="E276" s="56" t="str">
        <f aca="false">IF(A276="","",C276-D276)</f>
        <v/>
      </c>
      <c r="F276" s="56" t="str">
        <f aca="false">IF(A276="","",MAX(0,F275*(1+計算過程!$B$24/12)-計算過程!$B$52))</f>
        <v/>
      </c>
      <c r="G276" s="56" t="str">
        <f aca="false">IF(A276="","",MAX(0,G275*(1+計算過程!$B$25/12)-計算過程!$B$53))</f>
        <v/>
      </c>
      <c r="H276" s="56" t="str">
        <f aca="false">IF(A276="","",F276+G276)</f>
        <v/>
      </c>
      <c r="I276" s="55" t="str">
        <f aca="false">IF(A276="","",IF(AND(OR(MONTH(B276)=6,MONTH(B276)=12),I275&lt;計算過程!$B$50),I275+1,I275))</f>
        <v/>
      </c>
      <c r="J276" s="56" t="str">
        <f aca="false">IF(A276="","",IF(I276&gt;I275,計算過程!$B$57,0))</f>
        <v/>
      </c>
      <c r="K276" s="56" t="str">
        <f aca="false">IF(A276="","",IF(I276&gt;I275,ROUND(M275*計算過程!$B$55,0),0))</f>
        <v/>
      </c>
      <c r="L276" s="56" t="str">
        <f aca="false">IF(A276="","",J276-K276)</f>
        <v/>
      </c>
      <c r="M276" s="56" t="str">
        <f aca="false">IF(A276="","",IF(I276&gt;I275,MAX(0,M275*(1+計算過程!$B$55)-計算過程!$B$56),M275))</f>
        <v/>
      </c>
      <c r="N276" s="56" t="str">
        <f aca="false">IF(A276="","",C276+J276)</f>
        <v/>
      </c>
      <c r="O276" s="56" t="str">
        <f aca="false">IF(A276="","",H276+M276)</f>
        <v/>
      </c>
    </row>
    <row r="277" customFormat="false" ht="15" hidden="false" customHeight="false" outlineLevel="0" collapsed="false">
      <c r="A277" s="55" t="str">
        <f aca="false">IF(ROWS($A$8:A277)&lt;=計算過程!$B$51,ROWS($A$8:A277),"")</f>
        <v/>
      </c>
      <c r="B277" s="57" t="str">
        <f aca="false">IF(A277="","",EDATE(計算過程!$B$71,A277-1))</f>
        <v/>
      </c>
      <c r="C277" s="56" t="str">
        <f aca="false">IF(A277="","",計算過程!$B$54)</f>
        <v/>
      </c>
      <c r="D277" s="56" t="str">
        <f aca="false">IF(A277="","",ROUND(F276*計算過程!$B$24/12+G276*計算過程!$B$25/12,0))</f>
        <v/>
      </c>
      <c r="E277" s="56" t="str">
        <f aca="false">IF(A277="","",C277-D277)</f>
        <v/>
      </c>
      <c r="F277" s="56" t="str">
        <f aca="false">IF(A277="","",MAX(0,F276*(1+計算過程!$B$24/12)-計算過程!$B$52))</f>
        <v/>
      </c>
      <c r="G277" s="56" t="str">
        <f aca="false">IF(A277="","",MAX(0,G276*(1+計算過程!$B$25/12)-計算過程!$B$53))</f>
        <v/>
      </c>
      <c r="H277" s="56" t="str">
        <f aca="false">IF(A277="","",F277+G277)</f>
        <v/>
      </c>
      <c r="I277" s="55" t="str">
        <f aca="false">IF(A277="","",IF(AND(OR(MONTH(B277)=6,MONTH(B277)=12),I276&lt;計算過程!$B$50),I276+1,I276))</f>
        <v/>
      </c>
      <c r="J277" s="56" t="str">
        <f aca="false">IF(A277="","",IF(I277&gt;I276,計算過程!$B$57,0))</f>
        <v/>
      </c>
      <c r="K277" s="56" t="str">
        <f aca="false">IF(A277="","",IF(I277&gt;I276,ROUND(M276*計算過程!$B$55,0),0))</f>
        <v/>
      </c>
      <c r="L277" s="56" t="str">
        <f aca="false">IF(A277="","",J277-K277)</f>
        <v/>
      </c>
      <c r="M277" s="56" t="str">
        <f aca="false">IF(A277="","",IF(I277&gt;I276,MAX(0,M276*(1+計算過程!$B$55)-計算過程!$B$56),M276))</f>
        <v/>
      </c>
      <c r="N277" s="56" t="str">
        <f aca="false">IF(A277="","",C277+J277)</f>
        <v/>
      </c>
      <c r="O277" s="56" t="str">
        <f aca="false">IF(A277="","",H277+M277)</f>
        <v/>
      </c>
    </row>
    <row r="278" customFormat="false" ht="15" hidden="false" customHeight="false" outlineLevel="0" collapsed="false">
      <c r="A278" s="55" t="str">
        <f aca="false">IF(ROWS($A$8:A278)&lt;=計算過程!$B$51,ROWS($A$8:A278),"")</f>
        <v/>
      </c>
      <c r="B278" s="57" t="str">
        <f aca="false">IF(A278="","",EDATE(計算過程!$B$71,A278-1))</f>
        <v/>
      </c>
      <c r="C278" s="56" t="str">
        <f aca="false">IF(A278="","",計算過程!$B$54)</f>
        <v/>
      </c>
      <c r="D278" s="56" t="str">
        <f aca="false">IF(A278="","",ROUND(F277*計算過程!$B$24/12+G277*計算過程!$B$25/12,0))</f>
        <v/>
      </c>
      <c r="E278" s="56" t="str">
        <f aca="false">IF(A278="","",C278-D278)</f>
        <v/>
      </c>
      <c r="F278" s="56" t="str">
        <f aca="false">IF(A278="","",MAX(0,F277*(1+計算過程!$B$24/12)-計算過程!$B$52))</f>
        <v/>
      </c>
      <c r="G278" s="56" t="str">
        <f aca="false">IF(A278="","",MAX(0,G277*(1+計算過程!$B$25/12)-計算過程!$B$53))</f>
        <v/>
      </c>
      <c r="H278" s="56" t="str">
        <f aca="false">IF(A278="","",F278+G278)</f>
        <v/>
      </c>
      <c r="I278" s="55" t="str">
        <f aca="false">IF(A278="","",IF(AND(OR(MONTH(B278)=6,MONTH(B278)=12),I277&lt;計算過程!$B$50),I277+1,I277))</f>
        <v/>
      </c>
      <c r="J278" s="56" t="str">
        <f aca="false">IF(A278="","",IF(I278&gt;I277,計算過程!$B$57,0))</f>
        <v/>
      </c>
      <c r="K278" s="56" t="str">
        <f aca="false">IF(A278="","",IF(I278&gt;I277,ROUND(M277*計算過程!$B$55,0),0))</f>
        <v/>
      </c>
      <c r="L278" s="56" t="str">
        <f aca="false">IF(A278="","",J278-K278)</f>
        <v/>
      </c>
      <c r="M278" s="56" t="str">
        <f aca="false">IF(A278="","",IF(I278&gt;I277,MAX(0,M277*(1+計算過程!$B$55)-計算過程!$B$56),M277))</f>
        <v/>
      </c>
      <c r="N278" s="56" t="str">
        <f aca="false">IF(A278="","",C278+J278)</f>
        <v/>
      </c>
      <c r="O278" s="56" t="str">
        <f aca="false">IF(A278="","",H278+M278)</f>
        <v/>
      </c>
    </row>
    <row r="279" customFormat="false" ht="15" hidden="false" customHeight="false" outlineLevel="0" collapsed="false">
      <c r="A279" s="55" t="str">
        <f aca="false">IF(ROWS($A$8:A279)&lt;=計算過程!$B$51,ROWS($A$8:A279),"")</f>
        <v/>
      </c>
      <c r="B279" s="57" t="str">
        <f aca="false">IF(A279="","",EDATE(計算過程!$B$71,A279-1))</f>
        <v/>
      </c>
      <c r="C279" s="56" t="str">
        <f aca="false">IF(A279="","",計算過程!$B$54)</f>
        <v/>
      </c>
      <c r="D279" s="56" t="str">
        <f aca="false">IF(A279="","",ROUND(F278*計算過程!$B$24/12+G278*計算過程!$B$25/12,0))</f>
        <v/>
      </c>
      <c r="E279" s="56" t="str">
        <f aca="false">IF(A279="","",C279-D279)</f>
        <v/>
      </c>
      <c r="F279" s="56" t="str">
        <f aca="false">IF(A279="","",MAX(0,F278*(1+計算過程!$B$24/12)-計算過程!$B$52))</f>
        <v/>
      </c>
      <c r="G279" s="56" t="str">
        <f aca="false">IF(A279="","",MAX(0,G278*(1+計算過程!$B$25/12)-計算過程!$B$53))</f>
        <v/>
      </c>
      <c r="H279" s="56" t="str">
        <f aca="false">IF(A279="","",F279+G279)</f>
        <v/>
      </c>
      <c r="I279" s="55" t="str">
        <f aca="false">IF(A279="","",IF(AND(OR(MONTH(B279)=6,MONTH(B279)=12),I278&lt;計算過程!$B$50),I278+1,I278))</f>
        <v/>
      </c>
      <c r="J279" s="56" t="str">
        <f aca="false">IF(A279="","",IF(I279&gt;I278,計算過程!$B$57,0))</f>
        <v/>
      </c>
      <c r="K279" s="56" t="str">
        <f aca="false">IF(A279="","",IF(I279&gt;I278,ROUND(M278*計算過程!$B$55,0),0))</f>
        <v/>
      </c>
      <c r="L279" s="56" t="str">
        <f aca="false">IF(A279="","",J279-K279)</f>
        <v/>
      </c>
      <c r="M279" s="56" t="str">
        <f aca="false">IF(A279="","",IF(I279&gt;I278,MAX(0,M278*(1+計算過程!$B$55)-計算過程!$B$56),M278))</f>
        <v/>
      </c>
      <c r="N279" s="56" t="str">
        <f aca="false">IF(A279="","",C279+J279)</f>
        <v/>
      </c>
      <c r="O279" s="56" t="str">
        <f aca="false">IF(A279="","",H279+M279)</f>
        <v/>
      </c>
    </row>
    <row r="280" customFormat="false" ht="15" hidden="false" customHeight="false" outlineLevel="0" collapsed="false">
      <c r="A280" s="55" t="str">
        <f aca="false">IF(ROWS($A$8:A280)&lt;=計算過程!$B$51,ROWS($A$8:A280),"")</f>
        <v/>
      </c>
      <c r="B280" s="57" t="str">
        <f aca="false">IF(A280="","",EDATE(計算過程!$B$71,A280-1))</f>
        <v/>
      </c>
      <c r="C280" s="56" t="str">
        <f aca="false">IF(A280="","",計算過程!$B$54)</f>
        <v/>
      </c>
      <c r="D280" s="56" t="str">
        <f aca="false">IF(A280="","",ROUND(F279*計算過程!$B$24/12+G279*計算過程!$B$25/12,0))</f>
        <v/>
      </c>
      <c r="E280" s="56" t="str">
        <f aca="false">IF(A280="","",C280-D280)</f>
        <v/>
      </c>
      <c r="F280" s="56" t="str">
        <f aca="false">IF(A280="","",MAX(0,F279*(1+計算過程!$B$24/12)-計算過程!$B$52))</f>
        <v/>
      </c>
      <c r="G280" s="56" t="str">
        <f aca="false">IF(A280="","",MAX(0,G279*(1+計算過程!$B$25/12)-計算過程!$B$53))</f>
        <v/>
      </c>
      <c r="H280" s="56" t="str">
        <f aca="false">IF(A280="","",F280+G280)</f>
        <v/>
      </c>
      <c r="I280" s="55" t="str">
        <f aca="false">IF(A280="","",IF(AND(OR(MONTH(B280)=6,MONTH(B280)=12),I279&lt;計算過程!$B$50),I279+1,I279))</f>
        <v/>
      </c>
      <c r="J280" s="56" t="str">
        <f aca="false">IF(A280="","",IF(I280&gt;I279,計算過程!$B$57,0))</f>
        <v/>
      </c>
      <c r="K280" s="56" t="str">
        <f aca="false">IF(A280="","",IF(I280&gt;I279,ROUND(M279*計算過程!$B$55,0),0))</f>
        <v/>
      </c>
      <c r="L280" s="56" t="str">
        <f aca="false">IF(A280="","",J280-K280)</f>
        <v/>
      </c>
      <c r="M280" s="56" t="str">
        <f aca="false">IF(A280="","",IF(I280&gt;I279,MAX(0,M279*(1+計算過程!$B$55)-計算過程!$B$56),M279))</f>
        <v/>
      </c>
      <c r="N280" s="56" t="str">
        <f aca="false">IF(A280="","",C280+J280)</f>
        <v/>
      </c>
      <c r="O280" s="56" t="str">
        <f aca="false">IF(A280="","",H280+M280)</f>
        <v/>
      </c>
    </row>
    <row r="281" customFormat="false" ht="15" hidden="false" customHeight="false" outlineLevel="0" collapsed="false">
      <c r="A281" s="55" t="str">
        <f aca="false">IF(ROWS($A$8:A281)&lt;=計算過程!$B$51,ROWS($A$8:A281),"")</f>
        <v/>
      </c>
      <c r="B281" s="57" t="str">
        <f aca="false">IF(A281="","",EDATE(計算過程!$B$71,A281-1))</f>
        <v/>
      </c>
      <c r="C281" s="56" t="str">
        <f aca="false">IF(A281="","",計算過程!$B$54)</f>
        <v/>
      </c>
      <c r="D281" s="56" t="str">
        <f aca="false">IF(A281="","",ROUND(F280*計算過程!$B$24/12+G280*計算過程!$B$25/12,0))</f>
        <v/>
      </c>
      <c r="E281" s="56" t="str">
        <f aca="false">IF(A281="","",C281-D281)</f>
        <v/>
      </c>
      <c r="F281" s="56" t="str">
        <f aca="false">IF(A281="","",MAX(0,F280*(1+計算過程!$B$24/12)-計算過程!$B$52))</f>
        <v/>
      </c>
      <c r="G281" s="56" t="str">
        <f aca="false">IF(A281="","",MAX(0,G280*(1+計算過程!$B$25/12)-計算過程!$B$53))</f>
        <v/>
      </c>
      <c r="H281" s="56" t="str">
        <f aca="false">IF(A281="","",F281+G281)</f>
        <v/>
      </c>
      <c r="I281" s="55" t="str">
        <f aca="false">IF(A281="","",IF(AND(OR(MONTH(B281)=6,MONTH(B281)=12),I280&lt;計算過程!$B$50),I280+1,I280))</f>
        <v/>
      </c>
      <c r="J281" s="56" t="str">
        <f aca="false">IF(A281="","",IF(I281&gt;I280,計算過程!$B$57,0))</f>
        <v/>
      </c>
      <c r="K281" s="56" t="str">
        <f aca="false">IF(A281="","",IF(I281&gt;I280,ROUND(M280*計算過程!$B$55,0),0))</f>
        <v/>
      </c>
      <c r="L281" s="56" t="str">
        <f aca="false">IF(A281="","",J281-K281)</f>
        <v/>
      </c>
      <c r="M281" s="56" t="str">
        <f aca="false">IF(A281="","",IF(I281&gt;I280,MAX(0,M280*(1+計算過程!$B$55)-計算過程!$B$56),M280))</f>
        <v/>
      </c>
      <c r="N281" s="56" t="str">
        <f aca="false">IF(A281="","",C281+J281)</f>
        <v/>
      </c>
      <c r="O281" s="56" t="str">
        <f aca="false">IF(A281="","",H281+M281)</f>
        <v/>
      </c>
    </row>
    <row r="282" customFormat="false" ht="15" hidden="false" customHeight="false" outlineLevel="0" collapsed="false">
      <c r="A282" s="55" t="str">
        <f aca="false">IF(ROWS($A$8:A282)&lt;=計算過程!$B$51,ROWS($A$8:A282),"")</f>
        <v/>
      </c>
      <c r="B282" s="57" t="str">
        <f aca="false">IF(A282="","",EDATE(計算過程!$B$71,A282-1))</f>
        <v/>
      </c>
      <c r="C282" s="56" t="str">
        <f aca="false">IF(A282="","",計算過程!$B$54)</f>
        <v/>
      </c>
      <c r="D282" s="56" t="str">
        <f aca="false">IF(A282="","",ROUND(F281*計算過程!$B$24/12+G281*計算過程!$B$25/12,0))</f>
        <v/>
      </c>
      <c r="E282" s="56" t="str">
        <f aca="false">IF(A282="","",C282-D282)</f>
        <v/>
      </c>
      <c r="F282" s="56" t="str">
        <f aca="false">IF(A282="","",MAX(0,F281*(1+計算過程!$B$24/12)-計算過程!$B$52))</f>
        <v/>
      </c>
      <c r="G282" s="56" t="str">
        <f aca="false">IF(A282="","",MAX(0,G281*(1+計算過程!$B$25/12)-計算過程!$B$53))</f>
        <v/>
      </c>
      <c r="H282" s="56" t="str">
        <f aca="false">IF(A282="","",F282+G282)</f>
        <v/>
      </c>
      <c r="I282" s="55" t="str">
        <f aca="false">IF(A282="","",IF(AND(OR(MONTH(B282)=6,MONTH(B282)=12),I281&lt;計算過程!$B$50),I281+1,I281))</f>
        <v/>
      </c>
      <c r="J282" s="56" t="str">
        <f aca="false">IF(A282="","",IF(I282&gt;I281,計算過程!$B$57,0))</f>
        <v/>
      </c>
      <c r="K282" s="56" t="str">
        <f aca="false">IF(A282="","",IF(I282&gt;I281,ROUND(M281*計算過程!$B$55,0),0))</f>
        <v/>
      </c>
      <c r="L282" s="56" t="str">
        <f aca="false">IF(A282="","",J282-K282)</f>
        <v/>
      </c>
      <c r="M282" s="56" t="str">
        <f aca="false">IF(A282="","",IF(I282&gt;I281,MAX(0,M281*(1+計算過程!$B$55)-計算過程!$B$56),M281))</f>
        <v/>
      </c>
      <c r="N282" s="56" t="str">
        <f aca="false">IF(A282="","",C282+J282)</f>
        <v/>
      </c>
      <c r="O282" s="56" t="str">
        <f aca="false">IF(A282="","",H282+M282)</f>
        <v/>
      </c>
    </row>
    <row r="283" customFormat="false" ht="15" hidden="false" customHeight="false" outlineLevel="0" collapsed="false">
      <c r="A283" s="55" t="str">
        <f aca="false">IF(ROWS($A$8:A283)&lt;=計算過程!$B$51,ROWS($A$8:A283),"")</f>
        <v/>
      </c>
      <c r="B283" s="57" t="str">
        <f aca="false">IF(A283="","",EDATE(計算過程!$B$71,A283-1))</f>
        <v/>
      </c>
      <c r="C283" s="56" t="str">
        <f aca="false">IF(A283="","",計算過程!$B$54)</f>
        <v/>
      </c>
      <c r="D283" s="56" t="str">
        <f aca="false">IF(A283="","",ROUND(F282*計算過程!$B$24/12+G282*計算過程!$B$25/12,0))</f>
        <v/>
      </c>
      <c r="E283" s="56" t="str">
        <f aca="false">IF(A283="","",C283-D283)</f>
        <v/>
      </c>
      <c r="F283" s="56" t="str">
        <f aca="false">IF(A283="","",MAX(0,F282*(1+計算過程!$B$24/12)-計算過程!$B$52))</f>
        <v/>
      </c>
      <c r="G283" s="56" t="str">
        <f aca="false">IF(A283="","",MAX(0,G282*(1+計算過程!$B$25/12)-計算過程!$B$53))</f>
        <v/>
      </c>
      <c r="H283" s="56" t="str">
        <f aca="false">IF(A283="","",F283+G283)</f>
        <v/>
      </c>
      <c r="I283" s="55" t="str">
        <f aca="false">IF(A283="","",IF(AND(OR(MONTH(B283)=6,MONTH(B283)=12),I282&lt;計算過程!$B$50),I282+1,I282))</f>
        <v/>
      </c>
      <c r="J283" s="56" t="str">
        <f aca="false">IF(A283="","",IF(I283&gt;I282,計算過程!$B$57,0))</f>
        <v/>
      </c>
      <c r="K283" s="56" t="str">
        <f aca="false">IF(A283="","",IF(I283&gt;I282,ROUND(M282*計算過程!$B$55,0),0))</f>
        <v/>
      </c>
      <c r="L283" s="56" t="str">
        <f aca="false">IF(A283="","",J283-K283)</f>
        <v/>
      </c>
      <c r="M283" s="56" t="str">
        <f aca="false">IF(A283="","",IF(I283&gt;I282,MAX(0,M282*(1+計算過程!$B$55)-計算過程!$B$56),M282))</f>
        <v/>
      </c>
      <c r="N283" s="56" t="str">
        <f aca="false">IF(A283="","",C283+J283)</f>
        <v/>
      </c>
      <c r="O283" s="56" t="str">
        <f aca="false">IF(A283="","",H283+M283)</f>
        <v/>
      </c>
    </row>
    <row r="284" customFormat="false" ht="15" hidden="false" customHeight="false" outlineLevel="0" collapsed="false">
      <c r="A284" s="55" t="str">
        <f aca="false">IF(ROWS($A$8:A284)&lt;=計算過程!$B$51,ROWS($A$8:A284),"")</f>
        <v/>
      </c>
      <c r="B284" s="57" t="str">
        <f aca="false">IF(A284="","",EDATE(計算過程!$B$71,A284-1))</f>
        <v/>
      </c>
      <c r="C284" s="56" t="str">
        <f aca="false">IF(A284="","",計算過程!$B$54)</f>
        <v/>
      </c>
      <c r="D284" s="56" t="str">
        <f aca="false">IF(A284="","",ROUND(F283*計算過程!$B$24/12+G283*計算過程!$B$25/12,0))</f>
        <v/>
      </c>
      <c r="E284" s="56" t="str">
        <f aca="false">IF(A284="","",C284-D284)</f>
        <v/>
      </c>
      <c r="F284" s="56" t="str">
        <f aca="false">IF(A284="","",MAX(0,F283*(1+計算過程!$B$24/12)-計算過程!$B$52))</f>
        <v/>
      </c>
      <c r="G284" s="56" t="str">
        <f aca="false">IF(A284="","",MAX(0,G283*(1+計算過程!$B$25/12)-計算過程!$B$53))</f>
        <v/>
      </c>
      <c r="H284" s="56" t="str">
        <f aca="false">IF(A284="","",F284+G284)</f>
        <v/>
      </c>
      <c r="I284" s="55" t="str">
        <f aca="false">IF(A284="","",IF(AND(OR(MONTH(B284)=6,MONTH(B284)=12),I283&lt;計算過程!$B$50),I283+1,I283))</f>
        <v/>
      </c>
      <c r="J284" s="56" t="str">
        <f aca="false">IF(A284="","",IF(I284&gt;I283,計算過程!$B$57,0))</f>
        <v/>
      </c>
      <c r="K284" s="56" t="str">
        <f aca="false">IF(A284="","",IF(I284&gt;I283,ROUND(M283*計算過程!$B$55,0),0))</f>
        <v/>
      </c>
      <c r="L284" s="56" t="str">
        <f aca="false">IF(A284="","",J284-K284)</f>
        <v/>
      </c>
      <c r="M284" s="56" t="str">
        <f aca="false">IF(A284="","",IF(I284&gt;I283,MAX(0,M283*(1+計算過程!$B$55)-計算過程!$B$56),M283))</f>
        <v/>
      </c>
      <c r="N284" s="56" t="str">
        <f aca="false">IF(A284="","",C284+J284)</f>
        <v/>
      </c>
      <c r="O284" s="56" t="str">
        <f aca="false">IF(A284="","",H284+M284)</f>
        <v/>
      </c>
    </row>
    <row r="285" customFormat="false" ht="15" hidden="false" customHeight="false" outlineLevel="0" collapsed="false">
      <c r="A285" s="55" t="str">
        <f aca="false">IF(ROWS($A$8:A285)&lt;=計算過程!$B$51,ROWS($A$8:A285),"")</f>
        <v/>
      </c>
      <c r="B285" s="57" t="str">
        <f aca="false">IF(A285="","",EDATE(計算過程!$B$71,A285-1))</f>
        <v/>
      </c>
      <c r="C285" s="56" t="str">
        <f aca="false">IF(A285="","",計算過程!$B$54)</f>
        <v/>
      </c>
      <c r="D285" s="56" t="str">
        <f aca="false">IF(A285="","",ROUND(F284*計算過程!$B$24/12+G284*計算過程!$B$25/12,0))</f>
        <v/>
      </c>
      <c r="E285" s="56" t="str">
        <f aca="false">IF(A285="","",C285-D285)</f>
        <v/>
      </c>
      <c r="F285" s="56" t="str">
        <f aca="false">IF(A285="","",MAX(0,F284*(1+計算過程!$B$24/12)-計算過程!$B$52))</f>
        <v/>
      </c>
      <c r="G285" s="56" t="str">
        <f aca="false">IF(A285="","",MAX(0,G284*(1+計算過程!$B$25/12)-計算過程!$B$53))</f>
        <v/>
      </c>
      <c r="H285" s="56" t="str">
        <f aca="false">IF(A285="","",F285+G285)</f>
        <v/>
      </c>
      <c r="I285" s="55" t="str">
        <f aca="false">IF(A285="","",IF(AND(OR(MONTH(B285)=6,MONTH(B285)=12),I284&lt;計算過程!$B$50),I284+1,I284))</f>
        <v/>
      </c>
      <c r="J285" s="56" t="str">
        <f aca="false">IF(A285="","",IF(I285&gt;I284,計算過程!$B$57,0))</f>
        <v/>
      </c>
      <c r="K285" s="56" t="str">
        <f aca="false">IF(A285="","",IF(I285&gt;I284,ROUND(M284*計算過程!$B$55,0),0))</f>
        <v/>
      </c>
      <c r="L285" s="56" t="str">
        <f aca="false">IF(A285="","",J285-K285)</f>
        <v/>
      </c>
      <c r="M285" s="56" t="str">
        <f aca="false">IF(A285="","",IF(I285&gt;I284,MAX(0,M284*(1+計算過程!$B$55)-計算過程!$B$56),M284))</f>
        <v/>
      </c>
      <c r="N285" s="56" t="str">
        <f aca="false">IF(A285="","",C285+J285)</f>
        <v/>
      </c>
      <c r="O285" s="56" t="str">
        <f aca="false">IF(A285="","",H285+M285)</f>
        <v/>
      </c>
    </row>
    <row r="286" customFormat="false" ht="15" hidden="false" customHeight="false" outlineLevel="0" collapsed="false">
      <c r="A286" s="55" t="str">
        <f aca="false">IF(ROWS($A$8:A286)&lt;=計算過程!$B$51,ROWS($A$8:A286),"")</f>
        <v/>
      </c>
      <c r="B286" s="57" t="str">
        <f aca="false">IF(A286="","",EDATE(計算過程!$B$71,A286-1))</f>
        <v/>
      </c>
      <c r="C286" s="56" t="str">
        <f aca="false">IF(A286="","",計算過程!$B$54)</f>
        <v/>
      </c>
      <c r="D286" s="56" t="str">
        <f aca="false">IF(A286="","",ROUND(F285*計算過程!$B$24/12+G285*計算過程!$B$25/12,0))</f>
        <v/>
      </c>
      <c r="E286" s="56" t="str">
        <f aca="false">IF(A286="","",C286-D286)</f>
        <v/>
      </c>
      <c r="F286" s="56" t="str">
        <f aca="false">IF(A286="","",MAX(0,F285*(1+計算過程!$B$24/12)-計算過程!$B$52))</f>
        <v/>
      </c>
      <c r="G286" s="56" t="str">
        <f aca="false">IF(A286="","",MAX(0,G285*(1+計算過程!$B$25/12)-計算過程!$B$53))</f>
        <v/>
      </c>
      <c r="H286" s="56" t="str">
        <f aca="false">IF(A286="","",F286+G286)</f>
        <v/>
      </c>
      <c r="I286" s="55" t="str">
        <f aca="false">IF(A286="","",IF(AND(OR(MONTH(B286)=6,MONTH(B286)=12),I285&lt;計算過程!$B$50),I285+1,I285))</f>
        <v/>
      </c>
      <c r="J286" s="56" t="str">
        <f aca="false">IF(A286="","",IF(I286&gt;I285,計算過程!$B$57,0))</f>
        <v/>
      </c>
      <c r="K286" s="56" t="str">
        <f aca="false">IF(A286="","",IF(I286&gt;I285,ROUND(M285*計算過程!$B$55,0),0))</f>
        <v/>
      </c>
      <c r="L286" s="56" t="str">
        <f aca="false">IF(A286="","",J286-K286)</f>
        <v/>
      </c>
      <c r="M286" s="56" t="str">
        <f aca="false">IF(A286="","",IF(I286&gt;I285,MAX(0,M285*(1+計算過程!$B$55)-計算過程!$B$56),M285))</f>
        <v/>
      </c>
      <c r="N286" s="56" t="str">
        <f aca="false">IF(A286="","",C286+J286)</f>
        <v/>
      </c>
      <c r="O286" s="56" t="str">
        <f aca="false">IF(A286="","",H286+M286)</f>
        <v/>
      </c>
    </row>
    <row r="287" customFormat="false" ht="15" hidden="false" customHeight="false" outlineLevel="0" collapsed="false">
      <c r="A287" s="55" t="str">
        <f aca="false">IF(ROWS($A$8:A287)&lt;=計算過程!$B$51,ROWS($A$8:A287),"")</f>
        <v/>
      </c>
      <c r="B287" s="57" t="str">
        <f aca="false">IF(A287="","",EDATE(計算過程!$B$71,A287-1))</f>
        <v/>
      </c>
      <c r="C287" s="56" t="str">
        <f aca="false">IF(A287="","",計算過程!$B$54)</f>
        <v/>
      </c>
      <c r="D287" s="56" t="str">
        <f aca="false">IF(A287="","",ROUND(F286*計算過程!$B$24/12+G286*計算過程!$B$25/12,0))</f>
        <v/>
      </c>
      <c r="E287" s="56" t="str">
        <f aca="false">IF(A287="","",C287-D287)</f>
        <v/>
      </c>
      <c r="F287" s="56" t="str">
        <f aca="false">IF(A287="","",MAX(0,F286*(1+計算過程!$B$24/12)-計算過程!$B$52))</f>
        <v/>
      </c>
      <c r="G287" s="56" t="str">
        <f aca="false">IF(A287="","",MAX(0,G286*(1+計算過程!$B$25/12)-計算過程!$B$53))</f>
        <v/>
      </c>
      <c r="H287" s="56" t="str">
        <f aca="false">IF(A287="","",F287+G287)</f>
        <v/>
      </c>
      <c r="I287" s="55" t="str">
        <f aca="false">IF(A287="","",IF(AND(OR(MONTH(B287)=6,MONTH(B287)=12),I286&lt;計算過程!$B$50),I286+1,I286))</f>
        <v/>
      </c>
      <c r="J287" s="56" t="str">
        <f aca="false">IF(A287="","",IF(I287&gt;I286,計算過程!$B$57,0))</f>
        <v/>
      </c>
      <c r="K287" s="56" t="str">
        <f aca="false">IF(A287="","",IF(I287&gt;I286,ROUND(M286*計算過程!$B$55,0),0))</f>
        <v/>
      </c>
      <c r="L287" s="56" t="str">
        <f aca="false">IF(A287="","",J287-K287)</f>
        <v/>
      </c>
      <c r="M287" s="56" t="str">
        <f aca="false">IF(A287="","",IF(I287&gt;I286,MAX(0,M286*(1+計算過程!$B$55)-計算過程!$B$56),M286))</f>
        <v/>
      </c>
      <c r="N287" s="56" t="str">
        <f aca="false">IF(A287="","",C287+J287)</f>
        <v/>
      </c>
      <c r="O287" s="56" t="str">
        <f aca="false">IF(A287="","",H287+M287)</f>
        <v/>
      </c>
    </row>
    <row r="288" customFormat="false" ht="15" hidden="false" customHeight="false" outlineLevel="0" collapsed="false">
      <c r="A288" s="55" t="str">
        <f aca="false">IF(ROWS($A$8:A288)&lt;=計算過程!$B$51,ROWS($A$8:A288),"")</f>
        <v/>
      </c>
      <c r="B288" s="57" t="str">
        <f aca="false">IF(A288="","",EDATE(計算過程!$B$71,A288-1))</f>
        <v/>
      </c>
      <c r="C288" s="56" t="str">
        <f aca="false">IF(A288="","",計算過程!$B$54)</f>
        <v/>
      </c>
      <c r="D288" s="56" t="str">
        <f aca="false">IF(A288="","",ROUND(F287*計算過程!$B$24/12+G287*計算過程!$B$25/12,0))</f>
        <v/>
      </c>
      <c r="E288" s="56" t="str">
        <f aca="false">IF(A288="","",C288-D288)</f>
        <v/>
      </c>
      <c r="F288" s="56" t="str">
        <f aca="false">IF(A288="","",MAX(0,F287*(1+計算過程!$B$24/12)-計算過程!$B$52))</f>
        <v/>
      </c>
      <c r="G288" s="56" t="str">
        <f aca="false">IF(A288="","",MAX(0,G287*(1+計算過程!$B$25/12)-計算過程!$B$53))</f>
        <v/>
      </c>
      <c r="H288" s="56" t="str">
        <f aca="false">IF(A288="","",F288+G288)</f>
        <v/>
      </c>
      <c r="I288" s="55" t="str">
        <f aca="false">IF(A288="","",IF(AND(OR(MONTH(B288)=6,MONTH(B288)=12),I287&lt;計算過程!$B$50),I287+1,I287))</f>
        <v/>
      </c>
      <c r="J288" s="56" t="str">
        <f aca="false">IF(A288="","",IF(I288&gt;I287,計算過程!$B$57,0))</f>
        <v/>
      </c>
      <c r="K288" s="56" t="str">
        <f aca="false">IF(A288="","",IF(I288&gt;I287,ROUND(M287*計算過程!$B$55,0),0))</f>
        <v/>
      </c>
      <c r="L288" s="56" t="str">
        <f aca="false">IF(A288="","",J288-K288)</f>
        <v/>
      </c>
      <c r="M288" s="56" t="str">
        <f aca="false">IF(A288="","",IF(I288&gt;I287,MAX(0,M287*(1+計算過程!$B$55)-計算過程!$B$56),M287))</f>
        <v/>
      </c>
      <c r="N288" s="56" t="str">
        <f aca="false">IF(A288="","",C288+J288)</f>
        <v/>
      </c>
      <c r="O288" s="56" t="str">
        <f aca="false">IF(A288="","",H288+M288)</f>
        <v/>
      </c>
    </row>
    <row r="289" customFormat="false" ht="15" hidden="false" customHeight="false" outlineLevel="0" collapsed="false">
      <c r="A289" s="55" t="str">
        <f aca="false">IF(ROWS($A$8:A289)&lt;=計算過程!$B$51,ROWS($A$8:A289),"")</f>
        <v/>
      </c>
      <c r="B289" s="57" t="str">
        <f aca="false">IF(A289="","",EDATE(計算過程!$B$71,A289-1))</f>
        <v/>
      </c>
      <c r="C289" s="56" t="str">
        <f aca="false">IF(A289="","",計算過程!$B$54)</f>
        <v/>
      </c>
      <c r="D289" s="56" t="str">
        <f aca="false">IF(A289="","",ROUND(F288*計算過程!$B$24/12+G288*計算過程!$B$25/12,0))</f>
        <v/>
      </c>
      <c r="E289" s="56" t="str">
        <f aca="false">IF(A289="","",C289-D289)</f>
        <v/>
      </c>
      <c r="F289" s="56" t="str">
        <f aca="false">IF(A289="","",MAX(0,F288*(1+計算過程!$B$24/12)-計算過程!$B$52))</f>
        <v/>
      </c>
      <c r="G289" s="56" t="str">
        <f aca="false">IF(A289="","",MAX(0,G288*(1+計算過程!$B$25/12)-計算過程!$B$53))</f>
        <v/>
      </c>
      <c r="H289" s="56" t="str">
        <f aca="false">IF(A289="","",F289+G289)</f>
        <v/>
      </c>
      <c r="I289" s="55" t="str">
        <f aca="false">IF(A289="","",IF(AND(OR(MONTH(B289)=6,MONTH(B289)=12),I288&lt;計算過程!$B$50),I288+1,I288))</f>
        <v/>
      </c>
      <c r="J289" s="56" t="str">
        <f aca="false">IF(A289="","",IF(I289&gt;I288,計算過程!$B$57,0))</f>
        <v/>
      </c>
      <c r="K289" s="56" t="str">
        <f aca="false">IF(A289="","",IF(I289&gt;I288,ROUND(M288*計算過程!$B$55,0),0))</f>
        <v/>
      </c>
      <c r="L289" s="56" t="str">
        <f aca="false">IF(A289="","",J289-K289)</f>
        <v/>
      </c>
      <c r="M289" s="56" t="str">
        <f aca="false">IF(A289="","",IF(I289&gt;I288,MAX(0,M288*(1+計算過程!$B$55)-計算過程!$B$56),M288))</f>
        <v/>
      </c>
      <c r="N289" s="56" t="str">
        <f aca="false">IF(A289="","",C289+J289)</f>
        <v/>
      </c>
      <c r="O289" s="56" t="str">
        <f aca="false">IF(A289="","",H289+M289)</f>
        <v/>
      </c>
    </row>
    <row r="290" customFormat="false" ht="15" hidden="false" customHeight="false" outlineLevel="0" collapsed="false">
      <c r="A290" s="55" t="str">
        <f aca="false">IF(ROWS($A$8:A290)&lt;=計算過程!$B$51,ROWS($A$8:A290),"")</f>
        <v/>
      </c>
      <c r="B290" s="57" t="str">
        <f aca="false">IF(A290="","",EDATE(計算過程!$B$71,A290-1))</f>
        <v/>
      </c>
      <c r="C290" s="56" t="str">
        <f aca="false">IF(A290="","",計算過程!$B$54)</f>
        <v/>
      </c>
      <c r="D290" s="56" t="str">
        <f aca="false">IF(A290="","",ROUND(F289*計算過程!$B$24/12+G289*計算過程!$B$25/12,0))</f>
        <v/>
      </c>
      <c r="E290" s="56" t="str">
        <f aca="false">IF(A290="","",C290-D290)</f>
        <v/>
      </c>
      <c r="F290" s="56" t="str">
        <f aca="false">IF(A290="","",MAX(0,F289*(1+計算過程!$B$24/12)-計算過程!$B$52))</f>
        <v/>
      </c>
      <c r="G290" s="56" t="str">
        <f aca="false">IF(A290="","",MAX(0,G289*(1+計算過程!$B$25/12)-計算過程!$B$53))</f>
        <v/>
      </c>
      <c r="H290" s="56" t="str">
        <f aca="false">IF(A290="","",F290+G290)</f>
        <v/>
      </c>
      <c r="I290" s="55" t="str">
        <f aca="false">IF(A290="","",IF(AND(OR(MONTH(B290)=6,MONTH(B290)=12),I289&lt;計算過程!$B$50),I289+1,I289))</f>
        <v/>
      </c>
      <c r="J290" s="56" t="str">
        <f aca="false">IF(A290="","",IF(I290&gt;I289,計算過程!$B$57,0))</f>
        <v/>
      </c>
      <c r="K290" s="56" t="str">
        <f aca="false">IF(A290="","",IF(I290&gt;I289,ROUND(M289*計算過程!$B$55,0),0))</f>
        <v/>
      </c>
      <c r="L290" s="56" t="str">
        <f aca="false">IF(A290="","",J290-K290)</f>
        <v/>
      </c>
      <c r="M290" s="56" t="str">
        <f aca="false">IF(A290="","",IF(I290&gt;I289,MAX(0,M289*(1+計算過程!$B$55)-計算過程!$B$56),M289))</f>
        <v/>
      </c>
      <c r="N290" s="56" t="str">
        <f aca="false">IF(A290="","",C290+J290)</f>
        <v/>
      </c>
      <c r="O290" s="56" t="str">
        <f aca="false">IF(A290="","",H290+M290)</f>
        <v/>
      </c>
    </row>
    <row r="291" customFormat="false" ht="15" hidden="false" customHeight="false" outlineLevel="0" collapsed="false">
      <c r="A291" s="55" t="str">
        <f aca="false">IF(ROWS($A$8:A291)&lt;=計算過程!$B$51,ROWS($A$8:A291),"")</f>
        <v/>
      </c>
      <c r="B291" s="57" t="str">
        <f aca="false">IF(A291="","",EDATE(計算過程!$B$71,A291-1))</f>
        <v/>
      </c>
      <c r="C291" s="56" t="str">
        <f aca="false">IF(A291="","",計算過程!$B$54)</f>
        <v/>
      </c>
      <c r="D291" s="56" t="str">
        <f aca="false">IF(A291="","",ROUND(F290*計算過程!$B$24/12+G290*計算過程!$B$25/12,0))</f>
        <v/>
      </c>
      <c r="E291" s="56" t="str">
        <f aca="false">IF(A291="","",C291-D291)</f>
        <v/>
      </c>
      <c r="F291" s="56" t="str">
        <f aca="false">IF(A291="","",MAX(0,F290*(1+計算過程!$B$24/12)-計算過程!$B$52))</f>
        <v/>
      </c>
      <c r="G291" s="56" t="str">
        <f aca="false">IF(A291="","",MAX(0,G290*(1+計算過程!$B$25/12)-計算過程!$B$53))</f>
        <v/>
      </c>
      <c r="H291" s="56" t="str">
        <f aca="false">IF(A291="","",F291+G291)</f>
        <v/>
      </c>
      <c r="I291" s="55" t="str">
        <f aca="false">IF(A291="","",IF(AND(OR(MONTH(B291)=6,MONTH(B291)=12),I290&lt;計算過程!$B$50),I290+1,I290))</f>
        <v/>
      </c>
      <c r="J291" s="56" t="str">
        <f aca="false">IF(A291="","",IF(I291&gt;I290,計算過程!$B$57,0))</f>
        <v/>
      </c>
      <c r="K291" s="56" t="str">
        <f aca="false">IF(A291="","",IF(I291&gt;I290,ROUND(M290*計算過程!$B$55,0),0))</f>
        <v/>
      </c>
      <c r="L291" s="56" t="str">
        <f aca="false">IF(A291="","",J291-K291)</f>
        <v/>
      </c>
      <c r="M291" s="56" t="str">
        <f aca="false">IF(A291="","",IF(I291&gt;I290,MAX(0,M290*(1+計算過程!$B$55)-計算過程!$B$56),M290))</f>
        <v/>
      </c>
      <c r="N291" s="56" t="str">
        <f aca="false">IF(A291="","",C291+J291)</f>
        <v/>
      </c>
      <c r="O291" s="56" t="str">
        <f aca="false">IF(A291="","",H291+M291)</f>
        <v/>
      </c>
    </row>
    <row r="292" customFormat="false" ht="15" hidden="false" customHeight="false" outlineLevel="0" collapsed="false">
      <c r="A292" s="55" t="str">
        <f aca="false">IF(ROWS($A$8:A292)&lt;=計算過程!$B$51,ROWS($A$8:A292),"")</f>
        <v/>
      </c>
      <c r="B292" s="57" t="str">
        <f aca="false">IF(A292="","",EDATE(計算過程!$B$71,A292-1))</f>
        <v/>
      </c>
      <c r="C292" s="56" t="str">
        <f aca="false">IF(A292="","",計算過程!$B$54)</f>
        <v/>
      </c>
      <c r="D292" s="56" t="str">
        <f aca="false">IF(A292="","",ROUND(F291*計算過程!$B$24/12+G291*計算過程!$B$25/12,0))</f>
        <v/>
      </c>
      <c r="E292" s="56" t="str">
        <f aca="false">IF(A292="","",C292-D292)</f>
        <v/>
      </c>
      <c r="F292" s="56" t="str">
        <f aca="false">IF(A292="","",MAX(0,F291*(1+計算過程!$B$24/12)-計算過程!$B$52))</f>
        <v/>
      </c>
      <c r="G292" s="56" t="str">
        <f aca="false">IF(A292="","",MAX(0,G291*(1+計算過程!$B$25/12)-計算過程!$B$53))</f>
        <v/>
      </c>
      <c r="H292" s="56" t="str">
        <f aca="false">IF(A292="","",F292+G292)</f>
        <v/>
      </c>
      <c r="I292" s="55" t="str">
        <f aca="false">IF(A292="","",IF(AND(OR(MONTH(B292)=6,MONTH(B292)=12),I291&lt;計算過程!$B$50),I291+1,I291))</f>
        <v/>
      </c>
      <c r="J292" s="56" t="str">
        <f aca="false">IF(A292="","",IF(I292&gt;I291,計算過程!$B$57,0))</f>
        <v/>
      </c>
      <c r="K292" s="56" t="str">
        <f aca="false">IF(A292="","",IF(I292&gt;I291,ROUND(M291*計算過程!$B$55,0),0))</f>
        <v/>
      </c>
      <c r="L292" s="56" t="str">
        <f aca="false">IF(A292="","",J292-K292)</f>
        <v/>
      </c>
      <c r="M292" s="56" t="str">
        <f aca="false">IF(A292="","",IF(I292&gt;I291,MAX(0,M291*(1+計算過程!$B$55)-計算過程!$B$56),M291))</f>
        <v/>
      </c>
      <c r="N292" s="56" t="str">
        <f aca="false">IF(A292="","",C292+J292)</f>
        <v/>
      </c>
      <c r="O292" s="56" t="str">
        <f aca="false">IF(A292="","",H292+M292)</f>
        <v/>
      </c>
    </row>
    <row r="293" customFormat="false" ht="15" hidden="false" customHeight="false" outlineLevel="0" collapsed="false">
      <c r="A293" s="55" t="str">
        <f aca="false">IF(ROWS($A$8:A293)&lt;=計算過程!$B$51,ROWS($A$8:A293),"")</f>
        <v/>
      </c>
      <c r="B293" s="57" t="str">
        <f aca="false">IF(A293="","",EDATE(計算過程!$B$71,A293-1))</f>
        <v/>
      </c>
      <c r="C293" s="56" t="str">
        <f aca="false">IF(A293="","",計算過程!$B$54)</f>
        <v/>
      </c>
      <c r="D293" s="56" t="str">
        <f aca="false">IF(A293="","",ROUND(F292*計算過程!$B$24/12+G292*計算過程!$B$25/12,0))</f>
        <v/>
      </c>
      <c r="E293" s="56" t="str">
        <f aca="false">IF(A293="","",C293-D293)</f>
        <v/>
      </c>
      <c r="F293" s="56" t="str">
        <f aca="false">IF(A293="","",MAX(0,F292*(1+計算過程!$B$24/12)-計算過程!$B$52))</f>
        <v/>
      </c>
      <c r="G293" s="56" t="str">
        <f aca="false">IF(A293="","",MAX(0,G292*(1+計算過程!$B$25/12)-計算過程!$B$53))</f>
        <v/>
      </c>
      <c r="H293" s="56" t="str">
        <f aca="false">IF(A293="","",F293+G293)</f>
        <v/>
      </c>
      <c r="I293" s="55" t="str">
        <f aca="false">IF(A293="","",IF(AND(OR(MONTH(B293)=6,MONTH(B293)=12),I292&lt;計算過程!$B$50),I292+1,I292))</f>
        <v/>
      </c>
      <c r="J293" s="56" t="str">
        <f aca="false">IF(A293="","",IF(I293&gt;I292,計算過程!$B$57,0))</f>
        <v/>
      </c>
      <c r="K293" s="56" t="str">
        <f aca="false">IF(A293="","",IF(I293&gt;I292,ROUND(M292*計算過程!$B$55,0),0))</f>
        <v/>
      </c>
      <c r="L293" s="56" t="str">
        <f aca="false">IF(A293="","",J293-K293)</f>
        <v/>
      </c>
      <c r="M293" s="56" t="str">
        <f aca="false">IF(A293="","",IF(I293&gt;I292,MAX(0,M292*(1+計算過程!$B$55)-計算過程!$B$56),M292))</f>
        <v/>
      </c>
      <c r="N293" s="56" t="str">
        <f aca="false">IF(A293="","",C293+J293)</f>
        <v/>
      </c>
      <c r="O293" s="56" t="str">
        <f aca="false">IF(A293="","",H293+M293)</f>
        <v/>
      </c>
    </row>
    <row r="294" customFormat="false" ht="15" hidden="false" customHeight="false" outlineLevel="0" collapsed="false">
      <c r="A294" s="55" t="str">
        <f aca="false">IF(ROWS($A$8:A294)&lt;=計算過程!$B$51,ROWS($A$8:A294),"")</f>
        <v/>
      </c>
      <c r="B294" s="57" t="str">
        <f aca="false">IF(A294="","",EDATE(計算過程!$B$71,A294-1))</f>
        <v/>
      </c>
      <c r="C294" s="56" t="str">
        <f aca="false">IF(A294="","",計算過程!$B$54)</f>
        <v/>
      </c>
      <c r="D294" s="56" t="str">
        <f aca="false">IF(A294="","",ROUND(F293*計算過程!$B$24/12+G293*計算過程!$B$25/12,0))</f>
        <v/>
      </c>
      <c r="E294" s="56" t="str">
        <f aca="false">IF(A294="","",C294-D294)</f>
        <v/>
      </c>
      <c r="F294" s="56" t="str">
        <f aca="false">IF(A294="","",MAX(0,F293*(1+計算過程!$B$24/12)-計算過程!$B$52))</f>
        <v/>
      </c>
      <c r="G294" s="56" t="str">
        <f aca="false">IF(A294="","",MAX(0,G293*(1+計算過程!$B$25/12)-計算過程!$B$53))</f>
        <v/>
      </c>
      <c r="H294" s="56" t="str">
        <f aca="false">IF(A294="","",F294+G294)</f>
        <v/>
      </c>
      <c r="I294" s="55" t="str">
        <f aca="false">IF(A294="","",IF(AND(OR(MONTH(B294)=6,MONTH(B294)=12),I293&lt;計算過程!$B$50),I293+1,I293))</f>
        <v/>
      </c>
      <c r="J294" s="56" t="str">
        <f aca="false">IF(A294="","",IF(I294&gt;I293,計算過程!$B$57,0))</f>
        <v/>
      </c>
      <c r="K294" s="56" t="str">
        <f aca="false">IF(A294="","",IF(I294&gt;I293,ROUND(M293*計算過程!$B$55,0),0))</f>
        <v/>
      </c>
      <c r="L294" s="56" t="str">
        <f aca="false">IF(A294="","",J294-K294)</f>
        <v/>
      </c>
      <c r="M294" s="56" t="str">
        <f aca="false">IF(A294="","",IF(I294&gt;I293,MAX(0,M293*(1+計算過程!$B$55)-計算過程!$B$56),M293))</f>
        <v/>
      </c>
      <c r="N294" s="56" t="str">
        <f aca="false">IF(A294="","",C294+J294)</f>
        <v/>
      </c>
      <c r="O294" s="56" t="str">
        <f aca="false">IF(A294="","",H294+M294)</f>
        <v/>
      </c>
    </row>
    <row r="295" customFormat="false" ht="15" hidden="false" customHeight="false" outlineLevel="0" collapsed="false">
      <c r="A295" s="55" t="str">
        <f aca="false">IF(ROWS($A$8:A295)&lt;=計算過程!$B$51,ROWS($A$8:A295),"")</f>
        <v/>
      </c>
      <c r="B295" s="57" t="str">
        <f aca="false">IF(A295="","",EDATE(計算過程!$B$71,A295-1))</f>
        <v/>
      </c>
      <c r="C295" s="56" t="str">
        <f aca="false">IF(A295="","",計算過程!$B$54)</f>
        <v/>
      </c>
      <c r="D295" s="56" t="str">
        <f aca="false">IF(A295="","",ROUND(F294*計算過程!$B$24/12+G294*計算過程!$B$25/12,0))</f>
        <v/>
      </c>
      <c r="E295" s="56" t="str">
        <f aca="false">IF(A295="","",C295-D295)</f>
        <v/>
      </c>
      <c r="F295" s="56" t="str">
        <f aca="false">IF(A295="","",MAX(0,F294*(1+計算過程!$B$24/12)-計算過程!$B$52))</f>
        <v/>
      </c>
      <c r="G295" s="56" t="str">
        <f aca="false">IF(A295="","",MAX(0,G294*(1+計算過程!$B$25/12)-計算過程!$B$53))</f>
        <v/>
      </c>
      <c r="H295" s="56" t="str">
        <f aca="false">IF(A295="","",F295+G295)</f>
        <v/>
      </c>
      <c r="I295" s="55" t="str">
        <f aca="false">IF(A295="","",IF(AND(OR(MONTH(B295)=6,MONTH(B295)=12),I294&lt;計算過程!$B$50),I294+1,I294))</f>
        <v/>
      </c>
      <c r="J295" s="56" t="str">
        <f aca="false">IF(A295="","",IF(I295&gt;I294,計算過程!$B$57,0))</f>
        <v/>
      </c>
      <c r="K295" s="56" t="str">
        <f aca="false">IF(A295="","",IF(I295&gt;I294,ROUND(M294*計算過程!$B$55,0),0))</f>
        <v/>
      </c>
      <c r="L295" s="56" t="str">
        <f aca="false">IF(A295="","",J295-K295)</f>
        <v/>
      </c>
      <c r="M295" s="56" t="str">
        <f aca="false">IF(A295="","",IF(I295&gt;I294,MAX(0,M294*(1+計算過程!$B$55)-計算過程!$B$56),M294))</f>
        <v/>
      </c>
      <c r="N295" s="56" t="str">
        <f aca="false">IF(A295="","",C295+J295)</f>
        <v/>
      </c>
      <c r="O295" s="56" t="str">
        <f aca="false">IF(A295="","",H295+M295)</f>
        <v/>
      </c>
    </row>
    <row r="296" customFormat="false" ht="15" hidden="false" customHeight="false" outlineLevel="0" collapsed="false">
      <c r="A296" s="55" t="str">
        <f aca="false">IF(ROWS($A$8:A296)&lt;=計算過程!$B$51,ROWS($A$8:A296),"")</f>
        <v/>
      </c>
      <c r="B296" s="57" t="str">
        <f aca="false">IF(A296="","",EDATE(計算過程!$B$71,A296-1))</f>
        <v/>
      </c>
      <c r="C296" s="56" t="str">
        <f aca="false">IF(A296="","",計算過程!$B$54)</f>
        <v/>
      </c>
      <c r="D296" s="56" t="str">
        <f aca="false">IF(A296="","",ROUND(F295*計算過程!$B$24/12+G295*計算過程!$B$25/12,0))</f>
        <v/>
      </c>
      <c r="E296" s="56" t="str">
        <f aca="false">IF(A296="","",C296-D296)</f>
        <v/>
      </c>
      <c r="F296" s="56" t="str">
        <f aca="false">IF(A296="","",MAX(0,F295*(1+計算過程!$B$24/12)-計算過程!$B$52))</f>
        <v/>
      </c>
      <c r="G296" s="56" t="str">
        <f aca="false">IF(A296="","",MAX(0,G295*(1+計算過程!$B$25/12)-計算過程!$B$53))</f>
        <v/>
      </c>
      <c r="H296" s="56" t="str">
        <f aca="false">IF(A296="","",F296+G296)</f>
        <v/>
      </c>
      <c r="I296" s="55" t="str">
        <f aca="false">IF(A296="","",IF(AND(OR(MONTH(B296)=6,MONTH(B296)=12),I295&lt;計算過程!$B$50),I295+1,I295))</f>
        <v/>
      </c>
      <c r="J296" s="56" t="str">
        <f aca="false">IF(A296="","",IF(I296&gt;I295,計算過程!$B$57,0))</f>
        <v/>
      </c>
      <c r="K296" s="56" t="str">
        <f aca="false">IF(A296="","",IF(I296&gt;I295,ROUND(M295*計算過程!$B$55,0),0))</f>
        <v/>
      </c>
      <c r="L296" s="56" t="str">
        <f aca="false">IF(A296="","",J296-K296)</f>
        <v/>
      </c>
      <c r="M296" s="56" t="str">
        <f aca="false">IF(A296="","",IF(I296&gt;I295,MAX(0,M295*(1+計算過程!$B$55)-計算過程!$B$56),M295))</f>
        <v/>
      </c>
      <c r="N296" s="56" t="str">
        <f aca="false">IF(A296="","",C296+J296)</f>
        <v/>
      </c>
      <c r="O296" s="56" t="str">
        <f aca="false">IF(A296="","",H296+M296)</f>
        <v/>
      </c>
    </row>
    <row r="297" customFormat="false" ht="15" hidden="false" customHeight="false" outlineLevel="0" collapsed="false">
      <c r="A297" s="55" t="str">
        <f aca="false">IF(ROWS($A$8:A297)&lt;=計算過程!$B$51,ROWS($A$8:A297),"")</f>
        <v/>
      </c>
      <c r="B297" s="57" t="str">
        <f aca="false">IF(A297="","",EDATE(計算過程!$B$71,A297-1))</f>
        <v/>
      </c>
      <c r="C297" s="56" t="str">
        <f aca="false">IF(A297="","",計算過程!$B$54)</f>
        <v/>
      </c>
      <c r="D297" s="56" t="str">
        <f aca="false">IF(A297="","",ROUND(F296*計算過程!$B$24/12+G296*計算過程!$B$25/12,0))</f>
        <v/>
      </c>
      <c r="E297" s="56" t="str">
        <f aca="false">IF(A297="","",C297-D297)</f>
        <v/>
      </c>
      <c r="F297" s="56" t="str">
        <f aca="false">IF(A297="","",MAX(0,F296*(1+計算過程!$B$24/12)-計算過程!$B$52))</f>
        <v/>
      </c>
      <c r="G297" s="56" t="str">
        <f aca="false">IF(A297="","",MAX(0,G296*(1+計算過程!$B$25/12)-計算過程!$B$53))</f>
        <v/>
      </c>
      <c r="H297" s="56" t="str">
        <f aca="false">IF(A297="","",F297+G297)</f>
        <v/>
      </c>
      <c r="I297" s="55" t="str">
        <f aca="false">IF(A297="","",IF(AND(OR(MONTH(B297)=6,MONTH(B297)=12),I296&lt;計算過程!$B$50),I296+1,I296))</f>
        <v/>
      </c>
      <c r="J297" s="56" t="str">
        <f aca="false">IF(A297="","",IF(I297&gt;I296,計算過程!$B$57,0))</f>
        <v/>
      </c>
      <c r="K297" s="56" t="str">
        <f aca="false">IF(A297="","",IF(I297&gt;I296,ROUND(M296*計算過程!$B$55,0),0))</f>
        <v/>
      </c>
      <c r="L297" s="56" t="str">
        <f aca="false">IF(A297="","",J297-K297)</f>
        <v/>
      </c>
      <c r="M297" s="56" t="str">
        <f aca="false">IF(A297="","",IF(I297&gt;I296,MAX(0,M296*(1+計算過程!$B$55)-計算過程!$B$56),M296))</f>
        <v/>
      </c>
      <c r="N297" s="56" t="str">
        <f aca="false">IF(A297="","",C297+J297)</f>
        <v/>
      </c>
      <c r="O297" s="56" t="str">
        <f aca="false">IF(A297="","",H297+M297)</f>
        <v/>
      </c>
    </row>
    <row r="298" customFormat="false" ht="15" hidden="false" customHeight="false" outlineLevel="0" collapsed="false">
      <c r="A298" s="55" t="str">
        <f aca="false">IF(ROWS($A$8:A298)&lt;=計算過程!$B$51,ROWS($A$8:A298),"")</f>
        <v/>
      </c>
      <c r="B298" s="57" t="str">
        <f aca="false">IF(A298="","",EDATE(計算過程!$B$71,A298-1))</f>
        <v/>
      </c>
      <c r="C298" s="56" t="str">
        <f aca="false">IF(A298="","",計算過程!$B$54)</f>
        <v/>
      </c>
      <c r="D298" s="56" t="str">
        <f aca="false">IF(A298="","",ROUND(F297*計算過程!$B$24/12+G297*計算過程!$B$25/12,0))</f>
        <v/>
      </c>
      <c r="E298" s="56" t="str">
        <f aca="false">IF(A298="","",C298-D298)</f>
        <v/>
      </c>
      <c r="F298" s="56" t="str">
        <f aca="false">IF(A298="","",MAX(0,F297*(1+計算過程!$B$24/12)-計算過程!$B$52))</f>
        <v/>
      </c>
      <c r="G298" s="56" t="str">
        <f aca="false">IF(A298="","",MAX(0,G297*(1+計算過程!$B$25/12)-計算過程!$B$53))</f>
        <v/>
      </c>
      <c r="H298" s="56" t="str">
        <f aca="false">IF(A298="","",F298+G298)</f>
        <v/>
      </c>
      <c r="I298" s="55" t="str">
        <f aca="false">IF(A298="","",IF(AND(OR(MONTH(B298)=6,MONTH(B298)=12),I297&lt;計算過程!$B$50),I297+1,I297))</f>
        <v/>
      </c>
      <c r="J298" s="56" t="str">
        <f aca="false">IF(A298="","",IF(I298&gt;I297,計算過程!$B$57,0))</f>
        <v/>
      </c>
      <c r="K298" s="56" t="str">
        <f aca="false">IF(A298="","",IF(I298&gt;I297,ROUND(M297*計算過程!$B$55,0),0))</f>
        <v/>
      </c>
      <c r="L298" s="56" t="str">
        <f aca="false">IF(A298="","",J298-K298)</f>
        <v/>
      </c>
      <c r="M298" s="56" t="str">
        <f aca="false">IF(A298="","",IF(I298&gt;I297,MAX(0,M297*(1+計算過程!$B$55)-計算過程!$B$56),M297))</f>
        <v/>
      </c>
      <c r="N298" s="56" t="str">
        <f aca="false">IF(A298="","",C298+J298)</f>
        <v/>
      </c>
      <c r="O298" s="56" t="str">
        <f aca="false">IF(A298="","",H298+M298)</f>
        <v/>
      </c>
    </row>
    <row r="299" customFormat="false" ht="15" hidden="false" customHeight="false" outlineLevel="0" collapsed="false">
      <c r="A299" s="55" t="str">
        <f aca="false">IF(ROWS($A$8:A299)&lt;=計算過程!$B$51,ROWS($A$8:A299),"")</f>
        <v/>
      </c>
      <c r="B299" s="57" t="str">
        <f aca="false">IF(A299="","",EDATE(計算過程!$B$71,A299-1))</f>
        <v/>
      </c>
      <c r="C299" s="56" t="str">
        <f aca="false">IF(A299="","",計算過程!$B$54)</f>
        <v/>
      </c>
      <c r="D299" s="56" t="str">
        <f aca="false">IF(A299="","",ROUND(F298*計算過程!$B$24/12+G298*計算過程!$B$25/12,0))</f>
        <v/>
      </c>
      <c r="E299" s="56" t="str">
        <f aca="false">IF(A299="","",C299-D299)</f>
        <v/>
      </c>
      <c r="F299" s="56" t="str">
        <f aca="false">IF(A299="","",MAX(0,F298*(1+計算過程!$B$24/12)-計算過程!$B$52))</f>
        <v/>
      </c>
      <c r="G299" s="56" t="str">
        <f aca="false">IF(A299="","",MAX(0,G298*(1+計算過程!$B$25/12)-計算過程!$B$53))</f>
        <v/>
      </c>
      <c r="H299" s="56" t="str">
        <f aca="false">IF(A299="","",F299+G299)</f>
        <v/>
      </c>
      <c r="I299" s="55" t="str">
        <f aca="false">IF(A299="","",IF(AND(OR(MONTH(B299)=6,MONTH(B299)=12),I298&lt;計算過程!$B$50),I298+1,I298))</f>
        <v/>
      </c>
      <c r="J299" s="56" t="str">
        <f aca="false">IF(A299="","",IF(I299&gt;I298,計算過程!$B$57,0))</f>
        <v/>
      </c>
      <c r="K299" s="56" t="str">
        <f aca="false">IF(A299="","",IF(I299&gt;I298,ROUND(M298*計算過程!$B$55,0),0))</f>
        <v/>
      </c>
      <c r="L299" s="56" t="str">
        <f aca="false">IF(A299="","",J299-K299)</f>
        <v/>
      </c>
      <c r="M299" s="56" t="str">
        <f aca="false">IF(A299="","",IF(I299&gt;I298,MAX(0,M298*(1+計算過程!$B$55)-計算過程!$B$56),M298))</f>
        <v/>
      </c>
      <c r="N299" s="56" t="str">
        <f aca="false">IF(A299="","",C299+J299)</f>
        <v/>
      </c>
      <c r="O299" s="56" t="str">
        <f aca="false">IF(A299="","",H299+M299)</f>
        <v/>
      </c>
    </row>
    <row r="300" customFormat="false" ht="15" hidden="false" customHeight="false" outlineLevel="0" collapsed="false">
      <c r="A300" s="55" t="str">
        <f aca="false">IF(ROWS($A$8:A300)&lt;=計算過程!$B$51,ROWS($A$8:A300),"")</f>
        <v/>
      </c>
      <c r="B300" s="57" t="str">
        <f aca="false">IF(A300="","",EDATE(計算過程!$B$71,A300-1))</f>
        <v/>
      </c>
      <c r="C300" s="56" t="str">
        <f aca="false">IF(A300="","",計算過程!$B$54)</f>
        <v/>
      </c>
      <c r="D300" s="56" t="str">
        <f aca="false">IF(A300="","",ROUND(F299*計算過程!$B$24/12+G299*計算過程!$B$25/12,0))</f>
        <v/>
      </c>
      <c r="E300" s="56" t="str">
        <f aca="false">IF(A300="","",C300-D300)</f>
        <v/>
      </c>
      <c r="F300" s="56" t="str">
        <f aca="false">IF(A300="","",MAX(0,F299*(1+計算過程!$B$24/12)-計算過程!$B$52))</f>
        <v/>
      </c>
      <c r="G300" s="56" t="str">
        <f aca="false">IF(A300="","",MAX(0,G299*(1+計算過程!$B$25/12)-計算過程!$B$53))</f>
        <v/>
      </c>
      <c r="H300" s="56" t="str">
        <f aca="false">IF(A300="","",F300+G300)</f>
        <v/>
      </c>
      <c r="I300" s="55" t="str">
        <f aca="false">IF(A300="","",IF(AND(OR(MONTH(B300)=6,MONTH(B300)=12),I299&lt;計算過程!$B$50),I299+1,I299))</f>
        <v/>
      </c>
      <c r="J300" s="56" t="str">
        <f aca="false">IF(A300="","",IF(I300&gt;I299,計算過程!$B$57,0))</f>
        <v/>
      </c>
      <c r="K300" s="56" t="str">
        <f aca="false">IF(A300="","",IF(I300&gt;I299,ROUND(M299*計算過程!$B$55,0),0))</f>
        <v/>
      </c>
      <c r="L300" s="56" t="str">
        <f aca="false">IF(A300="","",J300-K300)</f>
        <v/>
      </c>
      <c r="M300" s="56" t="str">
        <f aca="false">IF(A300="","",IF(I300&gt;I299,MAX(0,M299*(1+計算過程!$B$55)-計算過程!$B$56),M299))</f>
        <v/>
      </c>
      <c r="N300" s="56" t="str">
        <f aca="false">IF(A300="","",C300+J300)</f>
        <v/>
      </c>
      <c r="O300" s="56" t="str">
        <f aca="false">IF(A300="","",H300+M300)</f>
        <v/>
      </c>
    </row>
    <row r="301" customFormat="false" ht="15" hidden="false" customHeight="false" outlineLevel="0" collapsed="false">
      <c r="A301" s="55" t="str">
        <f aca="false">IF(ROWS($A$8:A301)&lt;=計算過程!$B$51,ROWS($A$8:A301),"")</f>
        <v/>
      </c>
      <c r="B301" s="57" t="str">
        <f aca="false">IF(A301="","",EDATE(計算過程!$B$71,A301-1))</f>
        <v/>
      </c>
      <c r="C301" s="56" t="str">
        <f aca="false">IF(A301="","",計算過程!$B$54)</f>
        <v/>
      </c>
      <c r="D301" s="56" t="str">
        <f aca="false">IF(A301="","",ROUND(F300*計算過程!$B$24/12+G300*計算過程!$B$25/12,0))</f>
        <v/>
      </c>
      <c r="E301" s="56" t="str">
        <f aca="false">IF(A301="","",C301-D301)</f>
        <v/>
      </c>
      <c r="F301" s="56" t="str">
        <f aca="false">IF(A301="","",MAX(0,F300*(1+計算過程!$B$24/12)-計算過程!$B$52))</f>
        <v/>
      </c>
      <c r="G301" s="56" t="str">
        <f aca="false">IF(A301="","",MAX(0,G300*(1+計算過程!$B$25/12)-計算過程!$B$53))</f>
        <v/>
      </c>
      <c r="H301" s="56" t="str">
        <f aca="false">IF(A301="","",F301+G301)</f>
        <v/>
      </c>
      <c r="I301" s="55" t="str">
        <f aca="false">IF(A301="","",IF(AND(OR(MONTH(B301)=6,MONTH(B301)=12),I300&lt;計算過程!$B$50),I300+1,I300))</f>
        <v/>
      </c>
      <c r="J301" s="56" t="str">
        <f aca="false">IF(A301="","",IF(I301&gt;I300,計算過程!$B$57,0))</f>
        <v/>
      </c>
      <c r="K301" s="56" t="str">
        <f aca="false">IF(A301="","",IF(I301&gt;I300,ROUND(M300*計算過程!$B$55,0),0))</f>
        <v/>
      </c>
      <c r="L301" s="56" t="str">
        <f aca="false">IF(A301="","",J301-K301)</f>
        <v/>
      </c>
      <c r="M301" s="56" t="str">
        <f aca="false">IF(A301="","",IF(I301&gt;I300,MAX(0,M300*(1+計算過程!$B$55)-計算過程!$B$56),M300))</f>
        <v/>
      </c>
      <c r="N301" s="56" t="str">
        <f aca="false">IF(A301="","",C301+J301)</f>
        <v/>
      </c>
      <c r="O301" s="56" t="str">
        <f aca="false">IF(A301="","",H301+M301)</f>
        <v/>
      </c>
    </row>
    <row r="302" customFormat="false" ht="15" hidden="false" customHeight="false" outlineLevel="0" collapsed="false">
      <c r="A302" s="55" t="str">
        <f aca="false">IF(ROWS($A$8:A302)&lt;=計算過程!$B$51,ROWS($A$8:A302),"")</f>
        <v/>
      </c>
      <c r="B302" s="57" t="str">
        <f aca="false">IF(A302="","",EDATE(計算過程!$B$71,A302-1))</f>
        <v/>
      </c>
      <c r="C302" s="56" t="str">
        <f aca="false">IF(A302="","",計算過程!$B$54)</f>
        <v/>
      </c>
      <c r="D302" s="56" t="str">
        <f aca="false">IF(A302="","",ROUND(F301*計算過程!$B$24/12+G301*計算過程!$B$25/12,0))</f>
        <v/>
      </c>
      <c r="E302" s="56" t="str">
        <f aca="false">IF(A302="","",C302-D302)</f>
        <v/>
      </c>
      <c r="F302" s="56" t="str">
        <f aca="false">IF(A302="","",MAX(0,F301*(1+計算過程!$B$24/12)-計算過程!$B$52))</f>
        <v/>
      </c>
      <c r="G302" s="56" t="str">
        <f aca="false">IF(A302="","",MAX(0,G301*(1+計算過程!$B$25/12)-計算過程!$B$53))</f>
        <v/>
      </c>
      <c r="H302" s="56" t="str">
        <f aca="false">IF(A302="","",F302+G302)</f>
        <v/>
      </c>
      <c r="I302" s="55" t="str">
        <f aca="false">IF(A302="","",IF(AND(OR(MONTH(B302)=6,MONTH(B302)=12),I301&lt;計算過程!$B$50),I301+1,I301))</f>
        <v/>
      </c>
      <c r="J302" s="56" t="str">
        <f aca="false">IF(A302="","",IF(I302&gt;I301,計算過程!$B$57,0))</f>
        <v/>
      </c>
      <c r="K302" s="56" t="str">
        <f aca="false">IF(A302="","",IF(I302&gt;I301,ROUND(M301*計算過程!$B$55,0),0))</f>
        <v/>
      </c>
      <c r="L302" s="56" t="str">
        <f aca="false">IF(A302="","",J302-K302)</f>
        <v/>
      </c>
      <c r="M302" s="56" t="str">
        <f aca="false">IF(A302="","",IF(I302&gt;I301,MAX(0,M301*(1+計算過程!$B$55)-計算過程!$B$56),M301))</f>
        <v/>
      </c>
      <c r="N302" s="56" t="str">
        <f aca="false">IF(A302="","",C302+J302)</f>
        <v/>
      </c>
      <c r="O302" s="56" t="str">
        <f aca="false">IF(A302="","",H302+M302)</f>
        <v/>
      </c>
    </row>
    <row r="303" customFormat="false" ht="15" hidden="false" customHeight="false" outlineLevel="0" collapsed="false">
      <c r="A303" s="55" t="str">
        <f aca="false">IF(ROWS($A$8:A303)&lt;=計算過程!$B$51,ROWS($A$8:A303),"")</f>
        <v/>
      </c>
      <c r="B303" s="57" t="str">
        <f aca="false">IF(A303="","",EDATE(計算過程!$B$71,A303-1))</f>
        <v/>
      </c>
      <c r="C303" s="56" t="str">
        <f aca="false">IF(A303="","",計算過程!$B$54)</f>
        <v/>
      </c>
      <c r="D303" s="56" t="str">
        <f aca="false">IF(A303="","",ROUND(F302*計算過程!$B$24/12+G302*計算過程!$B$25/12,0))</f>
        <v/>
      </c>
      <c r="E303" s="56" t="str">
        <f aca="false">IF(A303="","",C303-D303)</f>
        <v/>
      </c>
      <c r="F303" s="56" t="str">
        <f aca="false">IF(A303="","",MAX(0,F302*(1+計算過程!$B$24/12)-計算過程!$B$52))</f>
        <v/>
      </c>
      <c r="G303" s="56" t="str">
        <f aca="false">IF(A303="","",MAX(0,G302*(1+計算過程!$B$25/12)-計算過程!$B$53))</f>
        <v/>
      </c>
      <c r="H303" s="56" t="str">
        <f aca="false">IF(A303="","",F303+G303)</f>
        <v/>
      </c>
      <c r="I303" s="55" t="str">
        <f aca="false">IF(A303="","",IF(AND(OR(MONTH(B303)=6,MONTH(B303)=12),I302&lt;計算過程!$B$50),I302+1,I302))</f>
        <v/>
      </c>
      <c r="J303" s="56" t="str">
        <f aca="false">IF(A303="","",IF(I303&gt;I302,計算過程!$B$57,0))</f>
        <v/>
      </c>
      <c r="K303" s="56" t="str">
        <f aca="false">IF(A303="","",IF(I303&gt;I302,ROUND(M302*計算過程!$B$55,0),0))</f>
        <v/>
      </c>
      <c r="L303" s="56" t="str">
        <f aca="false">IF(A303="","",J303-K303)</f>
        <v/>
      </c>
      <c r="M303" s="56" t="str">
        <f aca="false">IF(A303="","",IF(I303&gt;I302,MAX(0,M302*(1+計算過程!$B$55)-計算過程!$B$56),M302))</f>
        <v/>
      </c>
      <c r="N303" s="56" t="str">
        <f aca="false">IF(A303="","",C303+J303)</f>
        <v/>
      </c>
      <c r="O303" s="56" t="str">
        <f aca="false">IF(A303="","",H303+M303)</f>
        <v/>
      </c>
    </row>
    <row r="304" customFormat="false" ht="15" hidden="false" customHeight="false" outlineLevel="0" collapsed="false">
      <c r="A304" s="55" t="str">
        <f aca="false">IF(ROWS($A$8:A304)&lt;=計算過程!$B$51,ROWS($A$8:A304),"")</f>
        <v/>
      </c>
      <c r="B304" s="57" t="str">
        <f aca="false">IF(A304="","",EDATE(計算過程!$B$71,A304-1))</f>
        <v/>
      </c>
      <c r="C304" s="56" t="str">
        <f aca="false">IF(A304="","",計算過程!$B$54)</f>
        <v/>
      </c>
      <c r="D304" s="56" t="str">
        <f aca="false">IF(A304="","",ROUND(F303*計算過程!$B$24/12+G303*計算過程!$B$25/12,0))</f>
        <v/>
      </c>
      <c r="E304" s="56" t="str">
        <f aca="false">IF(A304="","",C304-D304)</f>
        <v/>
      </c>
      <c r="F304" s="56" t="str">
        <f aca="false">IF(A304="","",MAX(0,F303*(1+計算過程!$B$24/12)-計算過程!$B$52))</f>
        <v/>
      </c>
      <c r="G304" s="56" t="str">
        <f aca="false">IF(A304="","",MAX(0,G303*(1+計算過程!$B$25/12)-計算過程!$B$53))</f>
        <v/>
      </c>
      <c r="H304" s="56" t="str">
        <f aca="false">IF(A304="","",F304+G304)</f>
        <v/>
      </c>
      <c r="I304" s="55" t="str">
        <f aca="false">IF(A304="","",IF(AND(OR(MONTH(B304)=6,MONTH(B304)=12),I303&lt;計算過程!$B$50),I303+1,I303))</f>
        <v/>
      </c>
      <c r="J304" s="56" t="str">
        <f aca="false">IF(A304="","",IF(I304&gt;I303,計算過程!$B$57,0))</f>
        <v/>
      </c>
      <c r="K304" s="56" t="str">
        <f aca="false">IF(A304="","",IF(I304&gt;I303,ROUND(M303*計算過程!$B$55,0),0))</f>
        <v/>
      </c>
      <c r="L304" s="56" t="str">
        <f aca="false">IF(A304="","",J304-K304)</f>
        <v/>
      </c>
      <c r="M304" s="56" t="str">
        <f aca="false">IF(A304="","",IF(I304&gt;I303,MAX(0,M303*(1+計算過程!$B$55)-計算過程!$B$56),M303))</f>
        <v/>
      </c>
      <c r="N304" s="56" t="str">
        <f aca="false">IF(A304="","",C304+J304)</f>
        <v/>
      </c>
      <c r="O304" s="56" t="str">
        <f aca="false">IF(A304="","",H304+M304)</f>
        <v/>
      </c>
    </row>
    <row r="305" customFormat="false" ht="15" hidden="false" customHeight="false" outlineLevel="0" collapsed="false">
      <c r="A305" s="55" t="str">
        <f aca="false">IF(ROWS($A$8:A305)&lt;=計算過程!$B$51,ROWS($A$8:A305),"")</f>
        <v/>
      </c>
      <c r="B305" s="57" t="str">
        <f aca="false">IF(A305="","",EDATE(計算過程!$B$71,A305-1))</f>
        <v/>
      </c>
      <c r="C305" s="56" t="str">
        <f aca="false">IF(A305="","",計算過程!$B$54)</f>
        <v/>
      </c>
      <c r="D305" s="56" t="str">
        <f aca="false">IF(A305="","",ROUND(F304*計算過程!$B$24/12+G304*計算過程!$B$25/12,0))</f>
        <v/>
      </c>
      <c r="E305" s="56" t="str">
        <f aca="false">IF(A305="","",C305-D305)</f>
        <v/>
      </c>
      <c r="F305" s="56" t="str">
        <f aca="false">IF(A305="","",MAX(0,F304*(1+計算過程!$B$24/12)-計算過程!$B$52))</f>
        <v/>
      </c>
      <c r="G305" s="56" t="str">
        <f aca="false">IF(A305="","",MAX(0,G304*(1+計算過程!$B$25/12)-計算過程!$B$53))</f>
        <v/>
      </c>
      <c r="H305" s="56" t="str">
        <f aca="false">IF(A305="","",F305+G305)</f>
        <v/>
      </c>
      <c r="I305" s="55" t="str">
        <f aca="false">IF(A305="","",IF(AND(OR(MONTH(B305)=6,MONTH(B305)=12),I304&lt;計算過程!$B$50),I304+1,I304))</f>
        <v/>
      </c>
      <c r="J305" s="56" t="str">
        <f aca="false">IF(A305="","",IF(I305&gt;I304,計算過程!$B$57,0))</f>
        <v/>
      </c>
      <c r="K305" s="56" t="str">
        <f aca="false">IF(A305="","",IF(I305&gt;I304,ROUND(M304*計算過程!$B$55,0),0))</f>
        <v/>
      </c>
      <c r="L305" s="56" t="str">
        <f aca="false">IF(A305="","",J305-K305)</f>
        <v/>
      </c>
      <c r="M305" s="56" t="str">
        <f aca="false">IF(A305="","",IF(I305&gt;I304,MAX(0,M304*(1+計算過程!$B$55)-計算過程!$B$56),M304))</f>
        <v/>
      </c>
      <c r="N305" s="56" t="str">
        <f aca="false">IF(A305="","",C305+J305)</f>
        <v/>
      </c>
      <c r="O305" s="56" t="str">
        <f aca="false">IF(A305="","",H305+M305)</f>
        <v/>
      </c>
    </row>
    <row r="306" customFormat="false" ht="15" hidden="false" customHeight="false" outlineLevel="0" collapsed="false">
      <c r="A306" s="55" t="str">
        <f aca="false">IF(ROWS($A$8:A306)&lt;=計算過程!$B$51,ROWS($A$8:A306),"")</f>
        <v/>
      </c>
      <c r="B306" s="57" t="str">
        <f aca="false">IF(A306="","",EDATE(計算過程!$B$71,A306-1))</f>
        <v/>
      </c>
      <c r="C306" s="56" t="str">
        <f aca="false">IF(A306="","",計算過程!$B$54)</f>
        <v/>
      </c>
      <c r="D306" s="56" t="str">
        <f aca="false">IF(A306="","",ROUND(F305*計算過程!$B$24/12+G305*計算過程!$B$25/12,0))</f>
        <v/>
      </c>
      <c r="E306" s="56" t="str">
        <f aca="false">IF(A306="","",C306-D306)</f>
        <v/>
      </c>
      <c r="F306" s="56" t="str">
        <f aca="false">IF(A306="","",MAX(0,F305*(1+計算過程!$B$24/12)-計算過程!$B$52))</f>
        <v/>
      </c>
      <c r="G306" s="56" t="str">
        <f aca="false">IF(A306="","",MAX(0,G305*(1+計算過程!$B$25/12)-計算過程!$B$53))</f>
        <v/>
      </c>
      <c r="H306" s="56" t="str">
        <f aca="false">IF(A306="","",F306+G306)</f>
        <v/>
      </c>
      <c r="I306" s="55" t="str">
        <f aca="false">IF(A306="","",IF(AND(OR(MONTH(B306)=6,MONTH(B306)=12),I305&lt;計算過程!$B$50),I305+1,I305))</f>
        <v/>
      </c>
      <c r="J306" s="56" t="str">
        <f aca="false">IF(A306="","",IF(I306&gt;I305,計算過程!$B$57,0))</f>
        <v/>
      </c>
      <c r="K306" s="56" t="str">
        <f aca="false">IF(A306="","",IF(I306&gt;I305,ROUND(M305*計算過程!$B$55,0),0))</f>
        <v/>
      </c>
      <c r="L306" s="56" t="str">
        <f aca="false">IF(A306="","",J306-K306)</f>
        <v/>
      </c>
      <c r="M306" s="56" t="str">
        <f aca="false">IF(A306="","",IF(I306&gt;I305,MAX(0,M305*(1+計算過程!$B$55)-計算過程!$B$56),M305))</f>
        <v/>
      </c>
      <c r="N306" s="56" t="str">
        <f aca="false">IF(A306="","",C306+J306)</f>
        <v/>
      </c>
      <c r="O306" s="56" t="str">
        <f aca="false">IF(A306="","",H306+M306)</f>
        <v/>
      </c>
    </row>
    <row r="307" customFormat="false" ht="15" hidden="false" customHeight="false" outlineLevel="0" collapsed="false">
      <c r="A307" s="55" t="str">
        <f aca="false">IF(ROWS($A$8:A307)&lt;=計算過程!$B$51,ROWS($A$8:A307),"")</f>
        <v/>
      </c>
      <c r="B307" s="57" t="str">
        <f aca="false">IF(A307="","",EDATE(計算過程!$B$71,A307-1))</f>
        <v/>
      </c>
      <c r="C307" s="56" t="str">
        <f aca="false">IF(A307="","",計算過程!$B$54)</f>
        <v/>
      </c>
      <c r="D307" s="56" t="str">
        <f aca="false">IF(A307="","",ROUND(F306*計算過程!$B$24/12+G306*計算過程!$B$25/12,0))</f>
        <v/>
      </c>
      <c r="E307" s="56" t="str">
        <f aca="false">IF(A307="","",C307-D307)</f>
        <v/>
      </c>
      <c r="F307" s="56" t="str">
        <f aca="false">IF(A307="","",MAX(0,F306*(1+計算過程!$B$24/12)-計算過程!$B$52))</f>
        <v/>
      </c>
      <c r="G307" s="56" t="str">
        <f aca="false">IF(A307="","",MAX(0,G306*(1+計算過程!$B$25/12)-計算過程!$B$53))</f>
        <v/>
      </c>
      <c r="H307" s="56" t="str">
        <f aca="false">IF(A307="","",F307+G307)</f>
        <v/>
      </c>
      <c r="I307" s="55" t="str">
        <f aca="false">IF(A307="","",IF(AND(OR(MONTH(B307)=6,MONTH(B307)=12),I306&lt;計算過程!$B$50),I306+1,I306))</f>
        <v/>
      </c>
      <c r="J307" s="56" t="str">
        <f aca="false">IF(A307="","",IF(I307&gt;I306,計算過程!$B$57,0))</f>
        <v/>
      </c>
      <c r="K307" s="56" t="str">
        <f aca="false">IF(A307="","",IF(I307&gt;I306,ROUND(M306*計算過程!$B$55,0),0))</f>
        <v/>
      </c>
      <c r="L307" s="56" t="str">
        <f aca="false">IF(A307="","",J307-K307)</f>
        <v/>
      </c>
      <c r="M307" s="56" t="str">
        <f aca="false">IF(A307="","",IF(I307&gt;I306,MAX(0,M306*(1+計算過程!$B$55)-計算過程!$B$56),M306))</f>
        <v/>
      </c>
      <c r="N307" s="56" t="str">
        <f aca="false">IF(A307="","",C307+J307)</f>
        <v/>
      </c>
      <c r="O307" s="56" t="str">
        <f aca="false">IF(A307="","",H307+M307)</f>
        <v/>
      </c>
    </row>
    <row r="308" customFormat="false" ht="15" hidden="false" customHeight="false" outlineLevel="0" collapsed="false">
      <c r="A308" s="55" t="str">
        <f aca="false">IF(ROWS($A$8:A308)&lt;=計算過程!$B$51,ROWS($A$8:A308),"")</f>
        <v/>
      </c>
      <c r="B308" s="57" t="str">
        <f aca="false">IF(A308="","",EDATE(計算過程!$B$71,A308-1))</f>
        <v/>
      </c>
      <c r="C308" s="56" t="str">
        <f aca="false">IF(A308="","",計算過程!$B$54)</f>
        <v/>
      </c>
      <c r="D308" s="56" t="str">
        <f aca="false">IF(A308="","",ROUND(F307*計算過程!$B$24/12+G307*計算過程!$B$25/12,0))</f>
        <v/>
      </c>
      <c r="E308" s="56" t="str">
        <f aca="false">IF(A308="","",C308-D308)</f>
        <v/>
      </c>
      <c r="F308" s="56" t="str">
        <f aca="false">IF(A308="","",MAX(0,F307*(1+計算過程!$B$24/12)-計算過程!$B$52))</f>
        <v/>
      </c>
      <c r="G308" s="56" t="str">
        <f aca="false">IF(A308="","",MAX(0,G307*(1+計算過程!$B$25/12)-計算過程!$B$53))</f>
        <v/>
      </c>
      <c r="H308" s="56" t="str">
        <f aca="false">IF(A308="","",F308+G308)</f>
        <v/>
      </c>
      <c r="I308" s="55" t="str">
        <f aca="false">IF(A308="","",IF(AND(OR(MONTH(B308)=6,MONTH(B308)=12),I307&lt;計算過程!$B$50),I307+1,I307))</f>
        <v/>
      </c>
      <c r="J308" s="56" t="str">
        <f aca="false">IF(A308="","",IF(I308&gt;I307,計算過程!$B$57,0))</f>
        <v/>
      </c>
      <c r="K308" s="56" t="str">
        <f aca="false">IF(A308="","",IF(I308&gt;I307,ROUND(M307*計算過程!$B$55,0),0))</f>
        <v/>
      </c>
      <c r="L308" s="56" t="str">
        <f aca="false">IF(A308="","",J308-K308)</f>
        <v/>
      </c>
      <c r="M308" s="56" t="str">
        <f aca="false">IF(A308="","",IF(I308&gt;I307,MAX(0,M307*(1+計算過程!$B$55)-計算過程!$B$56),M307))</f>
        <v/>
      </c>
      <c r="N308" s="56" t="str">
        <f aca="false">IF(A308="","",C308+J308)</f>
        <v/>
      </c>
      <c r="O308" s="56" t="str">
        <f aca="false">IF(A308="","",H308+M308)</f>
        <v/>
      </c>
    </row>
    <row r="309" customFormat="false" ht="15" hidden="false" customHeight="false" outlineLevel="0" collapsed="false">
      <c r="A309" s="55" t="str">
        <f aca="false">IF(ROWS($A$8:A309)&lt;=計算過程!$B$51,ROWS($A$8:A309),"")</f>
        <v/>
      </c>
      <c r="B309" s="57" t="str">
        <f aca="false">IF(A309="","",EDATE(計算過程!$B$71,A309-1))</f>
        <v/>
      </c>
      <c r="C309" s="56" t="str">
        <f aca="false">IF(A309="","",計算過程!$B$54)</f>
        <v/>
      </c>
      <c r="D309" s="56" t="str">
        <f aca="false">IF(A309="","",ROUND(F308*計算過程!$B$24/12+G308*計算過程!$B$25/12,0))</f>
        <v/>
      </c>
      <c r="E309" s="56" t="str">
        <f aca="false">IF(A309="","",C309-D309)</f>
        <v/>
      </c>
      <c r="F309" s="56" t="str">
        <f aca="false">IF(A309="","",MAX(0,F308*(1+計算過程!$B$24/12)-計算過程!$B$52))</f>
        <v/>
      </c>
      <c r="G309" s="56" t="str">
        <f aca="false">IF(A309="","",MAX(0,G308*(1+計算過程!$B$25/12)-計算過程!$B$53))</f>
        <v/>
      </c>
      <c r="H309" s="56" t="str">
        <f aca="false">IF(A309="","",F309+G309)</f>
        <v/>
      </c>
      <c r="I309" s="55" t="str">
        <f aca="false">IF(A309="","",IF(AND(OR(MONTH(B309)=6,MONTH(B309)=12),I308&lt;計算過程!$B$50),I308+1,I308))</f>
        <v/>
      </c>
      <c r="J309" s="56" t="str">
        <f aca="false">IF(A309="","",IF(I309&gt;I308,計算過程!$B$57,0))</f>
        <v/>
      </c>
      <c r="K309" s="56" t="str">
        <f aca="false">IF(A309="","",IF(I309&gt;I308,ROUND(M308*計算過程!$B$55,0),0))</f>
        <v/>
      </c>
      <c r="L309" s="56" t="str">
        <f aca="false">IF(A309="","",J309-K309)</f>
        <v/>
      </c>
      <c r="M309" s="56" t="str">
        <f aca="false">IF(A309="","",IF(I309&gt;I308,MAX(0,M308*(1+計算過程!$B$55)-計算過程!$B$56),M308))</f>
        <v/>
      </c>
      <c r="N309" s="56" t="str">
        <f aca="false">IF(A309="","",C309+J309)</f>
        <v/>
      </c>
      <c r="O309" s="56" t="str">
        <f aca="false">IF(A309="","",H309+M309)</f>
        <v/>
      </c>
    </row>
    <row r="310" customFormat="false" ht="15" hidden="false" customHeight="false" outlineLevel="0" collapsed="false">
      <c r="A310" s="55" t="str">
        <f aca="false">IF(ROWS($A$8:A310)&lt;=計算過程!$B$51,ROWS($A$8:A310),"")</f>
        <v/>
      </c>
      <c r="B310" s="57" t="str">
        <f aca="false">IF(A310="","",EDATE(計算過程!$B$71,A310-1))</f>
        <v/>
      </c>
      <c r="C310" s="56" t="str">
        <f aca="false">IF(A310="","",計算過程!$B$54)</f>
        <v/>
      </c>
      <c r="D310" s="56" t="str">
        <f aca="false">IF(A310="","",ROUND(F309*計算過程!$B$24/12+G309*計算過程!$B$25/12,0))</f>
        <v/>
      </c>
      <c r="E310" s="56" t="str">
        <f aca="false">IF(A310="","",C310-D310)</f>
        <v/>
      </c>
      <c r="F310" s="56" t="str">
        <f aca="false">IF(A310="","",MAX(0,F309*(1+計算過程!$B$24/12)-計算過程!$B$52))</f>
        <v/>
      </c>
      <c r="G310" s="56" t="str">
        <f aca="false">IF(A310="","",MAX(0,G309*(1+計算過程!$B$25/12)-計算過程!$B$53))</f>
        <v/>
      </c>
      <c r="H310" s="56" t="str">
        <f aca="false">IF(A310="","",F310+G310)</f>
        <v/>
      </c>
      <c r="I310" s="55" t="str">
        <f aca="false">IF(A310="","",IF(AND(OR(MONTH(B310)=6,MONTH(B310)=12),I309&lt;計算過程!$B$50),I309+1,I309))</f>
        <v/>
      </c>
      <c r="J310" s="56" t="str">
        <f aca="false">IF(A310="","",IF(I310&gt;I309,計算過程!$B$57,0))</f>
        <v/>
      </c>
      <c r="K310" s="56" t="str">
        <f aca="false">IF(A310="","",IF(I310&gt;I309,ROUND(M309*計算過程!$B$55,0),0))</f>
        <v/>
      </c>
      <c r="L310" s="56" t="str">
        <f aca="false">IF(A310="","",J310-K310)</f>
        <v/>
      </c>
      <c r="M310" s="56" t="str">
        <f aca="false">IF(A310="","",IF(I310&gt;I309,MAX(0,M309*(1+計算過程!$B$55)-計算過程!$B$56),M309))</f>
        <v/>
      </c>
      <c r="N310" s="56" t="str">
        <f aca="false">IF(A310="","",C310+J310)</f>
        <v/>
      </c>
      <c r="O310" s="56" t="str">
        <f aca="false">IF(A310="","",H310+M310)</f>
        <v/>
      </c>
    </row>
    <row r="311" customFormat="false" ht="15" hidden="false" customHeight="false" outlineLevel="0" collapsed="false">
      <c r="A311" s="55" t="str">
        <f aca="false">IF(ROWS($A$8:A311)&lt;=計算過程!$B$51,ROWS($A$8:A311),"")</f>
        <v/>
      </c>
      <c r="B311" s="57" t="str">
        <f aca="false">IF(A311="","",EDATE(計算過程!$B$71,A311-1))</f>
        <v/>
      </c>
      <c r="C311" s="56" t="str">
        <f aca="false">IF(A311="","",計算過程!$B$54)</f>
        <v/>
      </c>
      <c r="D311" s="56" t="str">
        <f aca="false">IF(A311="","",ROUND(F310*計算過程!$B$24/12+G310*計算過程!$B$25/12,0))</f>
        <v/>
      </c>
      <c r="E311" s="56" t="str">
        <f aca="false">IF(A311="","",C311-D311)</f>
        <v/>
      </c>
      <c r="F311" s="56" t="str">
        <f aca="false">IF(A311="","",MAX(0,F310*(1+計算過程!$B$24/12)-計算過程!$B$52))</f>
        <v/>
      </c>
      <c r="G311" s="56" t="str">
        <f aca="false">IF(A311="","",MAX(0,G310*(1+計算過程!$B$25/12)-計算過程!$B$53))</f>
        <v/>
      </c>
      <c r="H311" s="56" t="str">
        <f aca="false">IF(A311="","",F311+G311)</f>
        <v/>
      </c>
      <c r="I311" s="55" t="str">
        <f aca="false">IF(A311="","",IF(AND(OR(MONTH(B311)=6,MONTH(B311)=12),I310&lt;計算過程!$B$50),I310+1,I310))</f>
        <v/>
      </c>
      <c r="J311" s="56" t="str">
        <f aca="false">IF(A311="","",IF(I311&gt;I310,計算過程!$B$57,0))</f>
        <v/>
      </c>
      <c r="K311" s="56" t="str">
        <f aca="false">IF(A311="","",IF(I311&gt;I310,ROUND(M310*計算過程!$B$55,0),0))</f>
        <v/>
      </c>
      <c r="L311" s="56" t="str">
        <f aca="false">IF(A311="","",J311-K311)</f>
        <v/>
      </c>
      <c r="M311" s="56" t="str">
        <f aca="false">IF(A311="","",IF(I311&gt;I310,MAX(0,M310*(1+計算過程!$B$55)-計算過程!$B$56),M310))</f>
        <v/>
      </c>
      <c r="N311" s="56" t="str">
        <f aca="false">IF(A311="","",C311+J311)</f>
        <v/>
      </c>
      <c r="O311" s="56" t="str">
        <f aca="false">IF(A311="","",H311+M311)</f>
        <v/>
      </c>
    </row>
    <row r="312" customFormat="false" ht="15" hidden="false" customHeight="false" outlineLevel="0" collapsed="false">
      <c r="A312" s="55" t="str">
        <f aca="false">IF(ROWS($A$8:A312)&lt;=計算過程!$B$51,ROWS($A$8:A312),"")</f>
        <v/>
      </c>
      <c r="B312" s="57" t="str">
        <f aca="false">IF(A312="","",EDATE(計算過程!$B$71,A312-1))</f>
        <v/>
      </c>
      <c r="C312" s="56" t="str">
        <f aca="false">IF(A312="","",計算過程!$B$54)</f>
        <v/>
      </c>
      <c r="D312" s="56" t="str">
        <f aca="false">IF(A312="","",ROUND(F311*計算過程!$B$24/12+G311*計算過程!$B$25/12,0))</f>
        <v/>
      </c>
      <c r="E312" s="56" t="str">
        <f aca="false">IF(A312="","",C312-D312)</f>
        <v/>
      </c>
      <c r="F312" s="56" t="str">
        <f aca="false">IF(A312="","",MAX(0,F311*(1+計算過程!$B$24/12)-計算過程!$B$52))</f>
        <v/>
      </c>
      <c r="G312" s="56" t="str">
        <f aca="false">IF(A312="","",MAX(0,G311*(1+計算過程!$B$25/12)-計算過程!$B$53))</f>
        <v/>
      </c>
      <c r="H312" s="56" t="str">
        <f aca="false">IF(A312="","",F312+G312)</f>
        <v/>
      </c>
      <c r="I312" s="55" t="str">
        <f aca="false">IF(A312="","",IF(AND(OR(MONTH(B312)=6,MONTH(B312)=12),I311&lt;計算過程!$B$50),I311+1,I311))</f>
        <v/>
      </c>
      <c r="J312" s="56" t="str">
        <f aca="false">IF(A312="","",IF(I312&gt;I311,計算過程!$B$57,0))</f>
        <v/>
      </c>
      <c r="K312" s="56" t="str">
        <f aca="false">IF(A312="","",IF(I312&gt;I311,ROUND(M311*計算過程!$B$55,0),0))</f>
        <v/>
      </c>
      <c r="L312" s="56" t="str">
        <f aca="false">IF(A312="","",J312-K312)</f>
        <v/>
      </c>
      <c r="M312" s="56" t="str">
        <f aca="false">IF(A312="","",IF(I312&gt;I311,MAX(0,M311*(1+計算過程!$B$55)-計算過程!$B$56),M311))</f>
        <v/>
      </c>
      <c r="N312" s="56" t="str">
        <f aca="false">IF(A312="","",C312+J312)</f>
        <v/>
      </c>
      <c r="O312" s="56" t="str">
        <f aca="false">IF(A312="","",H312+M312)</f>
        <v/>
      </c>
    </row>
    <row r="313" customFormat="false" ht="15" hidden="false" customHeight="false" outlineLevel="0" collapsed="false">
      <c r="A313" s="55" t="str">
        <f aca="false">IF(ROWS($A$8:A313)&lt;=計算過程!$B$51,ROWS($A$8:A313),"")</f>
        <v/>
      </c>
      <c r="B313" s="57" t="str">
        <f aca="false">IF(A313="","",EDATE(計算過程!$B$71,A313-1))</f>
        <v/>
      </c>
      <c r="C313" s="56" t="str">
        <f aca="false">IF(A313="","",計算過程!$B$54)</f>
        <v/>
      </c>
      <c r="D313" s="56" t="str">
        <f aca="false">IF(A313="","",ROUND(F312*計算過程!$B$24/12+G312*計算過程!$B$25/12,0))</f>
        <v/>
      </c>
      <c r="E313" s="56" t="str">
        <f aca="false">IF(A313="","",C313-D313)</f>
        <v/>
      </c>
      <c r="F313" s="56" t="str">
        <f aca="false">IF(A313="","",MAX(0,F312*(1+計算過程!$B$24/12)-計算過程!$B$52))</f>
        <v/>
      </c>
      <c r="G313" s="56" t="str">
        <f aca="false">IF(A313="","",MAX(0,G312*(1+計算過程!$B$25/12)-計算過程!$B$53))</f>
        <v/>
      </c>
      <c r="H313" s="56" t="str">
        <f aca="false">IF(A313="","",F313+G313)</f>
        <v/>
      </c>
      <c r="I313" s="55" t="str">
        <f aca="false">IF(A313="","",IF(AND(OR(MONTH(B313)=6,MONTH(B313)=12),I312&lt;計算過程!$B$50),I312+1,I312))</f>
        <v/>
      </c>
      <c r="J313" s="56" t="str">
        <f aca="false">IF(A313="","",IF(I313&gt;I312,計算過程!$B$57,0))</f>
        <v/>
      </c>
      <c r="K313" s="56" t="str">
        <f aca="false">IF(A313="","",IF(I313&gt;I312,ROUND(M312*計算過程!$B$55,0),0))</f>
        <v/>
      </c>
      <c r="L313" s="56" t="str">
        <f aca="false">IF(A313="","",J313-K313)</f>
        <v/>
      </c>
      <c r="M313" s="56" t="str">
        <f aca="false">IF(A313="","",IF(I313&gt;I312,MAX(0,M312*(1+計算過程!$B$55)-計算過程!$B$56),M312))</f>
        <v/>
      </c>
      <c r="N313" s="56" t="str">
        <f aca="false">IF(A313="","",C313+J313)</f>
        <v/>
      </c>
      <c r="O313" s="56" t="str">
        <f aca="false">IF(A313="","",H313+M313)</f>
        <v/>
      </c>
    </row>
    <row r="314" customFormat="false" ht="15" hidden="false" customHeight="false" outlineLevel="0" collapsed="false">
      <c r="A314" s="55" t="str">
        <f aca="false">IF(ROWS($A$8:A314)&lt;=計算過程!$B$51,ROWS($A$8:A314),"")</f>
        <v/>
      </c>
      <c r="B314" s="57" t="str">
        <f aca="false">IF(A314="","",EDATE(計算過程!$B$71,A314-1))</f>
        <v/>
      </c>
      <c r="C314" s="56" t="str">
        <f aca="false">IF(A314="","",計算過程!$B$54)</f>
        <v/>
      </c>
      <c r="D314" s="56" t="str">
        <f aca="false">IF(A314="","",ROUND(F313*計算過程!$B$24/12+G313*計算過程!$B$25/12,0))</f>
        <v/>
      </c>
      <c r="E314" s="56" t="str">
        <f aca="false">IF(A314="","",C314-D314)</f>
        <v/>
      </c>
      <c r="F314" s="56" t="str">
        <f aca="false">IF(A314="","",MAX(0,F313*(1+計算過程!$B$24/12)-計算過程!$B$52))</f>
        <v/>
      </c>
      <c r="G314" s="56" t="str">
        <f aca="false">IF(A314="","",MAX(0,G313*(1+計算過程!$B$25/12)-計算過程!$B$53))</f>
        <v/>
      </c>
      <c r="H314" s="56" t="str">
        <f aca="false">IF(A314="","",F314+G314)</f>
        <v/>
      </c>
      <c r="I314" s="55" t="str">
        <f aca="false">IF(A314="","",IF(AND(OR(MONTH(B314)=6,MONTH(B314)=12),I313&lt;計算過程!$B$50),I313+1,I313))</f>
        <v/>
      </c>
      <c r="J314" s="56" t="str">
        <f aca="false">IF(A314="","",IF(I314&gt;I313,計算過程!$B$57,0))</f>
        <v/>
      </c>
      <c r="K314" s="56" t="str">
        <f aca="false">IF(A314="","",IF(I314&gt;I313,ROUND(M313*計算過程!$B$55,0),0))</f>
        <v/>
      </c>
      <c r="L314" s="56" t="str">
        <f aca="false">IF(A314="","",J314-K314)</f>
        <v/>
      </c>
      <c r="M314" s="56" t="str">
        <f aca="false">IF(A314="","",IF(I314&gt;I313,MAX(0,M313*(1+計算過程!$B$55)-計算過程!$B$56),M313))</f>
        <v/>
      </c>
      <c r="N314" s="56" t="str">
        <f aca="false">IF(A314="","",C314+J314)</f>
        <v/>
      </c>
      <c r="O314" s="56" t="str">
        <f aca="false">IF(A314="","",H314+M314)</f>
        <v/>
      </c>
    </row>
    <row r="315" customFormat="false" ht="15" hidden="false" customHeight="false" outlineLevel="0" collapsed="false">
      <c r="A315" s="55" t="str">
        <f aca="false">IF(ROWS($A$8:A315)&lt;=計算過程!$B$51,ROWS($A$8:A315),"")</f>
        <v/>
      </c>
      <c r="B315" s="57" t="str">
        <f aca="false">IF(A315="","",EDATE(計算過程!$B$71,A315-1))</f>
        <v/>
      </c>
      <c r="C315" s="56" t="str">
        <f aca="false">IF(A315="","",計算過程!$B$54)</f>
        <v/>
      </c>
      <c r="D315" s="56" t="str">
        <f aca="false">IF(A315="","",ROUND(F314*計算過程!$B$24/12+G314*計算過程!$B$25/12,0))</f>
        <v/>
      </c>
      <c r="E315" s="56" t="str">
        <f aca="false">IF(A315="","",C315-D315)</f>
        <v/>
      </c>
      <c r="F315" s="56" t="str">
        <f aca="false">IF(A315="","",MAX(0,F314*(1+計算過程!$B$24/12)-計算過程!$B$52))</f>
        <v/>
      </c>
      <c r="G315" s="56" t="str">
        <f aca="false">IF(A315="","",MAX(0,G314*(1+計算過程!$B$25/12)-計算過程!$B$53))</f>
        <v/>
      </c>
      <c r="H315" s="56" t="str">
        <f aca="false">IF(A315="","",F315+G315)</f>
        <v/>
      </c>
      <c r="I315" s="55" t="str">
        <f aca="false">IF(A315="","",IF(AND(OR(MONTH(B315)=6,MONTH(B315)=12),I314&lt;計算過程!$B$50),I314+1,I314))</f>
        <v/>
      </c>
      <c r="J315" s="56" t="str">
        <f aca="false">IF(A315="","",IF(I315&gt;I314,計算過程!$B$57,0))</f>
        <v/>
      </c>
      <c r="K315" s="56" t="str">
        <f aca="false">IF(A315="","",IF(I315&gt;I314,ROUND(M314*計算過程!$B$55,0),0))</f>
        <v/>
      </c>
      <c r="L315" s="56" t="str">
        <f aca="false">IF(A315="","",J315-K315)</f>
        <v/>
      </c>
      <c r="M315" s="56" t="str">
        <f aca="false">IF(A315="","",IF(I315&gt;I314,MAX(0,M314*(1+計算過程!$B$55)-計算過程!$B$56),M314))</f>
        <v/>
      </c>
      <c r="N315" s="56" t="str">
        <f aca="false">IF(A315="","",C315+J315)</f>
        <v/>
      </c>
      <c r="O315" s="56" t="str">
        <f aca="false">IF(A315="","",H315+M315)</f>
        <v/>
      </c>
    </row>
    <row r="316" customFormat="false" ht="15" hidden="false" customHeight="false" outlineLevel="0" collapsed="false">
      <c r="A316" s="55" t="str">
        <f aca="false">IF(ROWS($A$8:A316)&lt;=計算過程!$B$51,ROWS($A$8:A316),"")</f>
        <v/>
      </c>
      <c r="B316" s="57" t="str">
        <f aca="false">IF(A316="","",EDATE(計算過程!$B$71,A316-1))</f>
        <v/>
      </c>
      <c r="C316" s="56" t="str">
        <f aca="false">IF(A316="","",計算過程!$B$54)</f>
        <v/>
      </c>
      <c r="D316" s="56" t="str">
        <f aca="false">IF(A316="","",ROUND(F315*計算過程!$B$24/12+G315*計算過程!$B$25/12,0))</f>
        <v/>
      </c>
      <c r="E316" s="56" t="str">
        <f aca="false">IF(A316="","",C316-D316)</f>
        <v/>
      </c>
      <c r="F316" s="56" t="str">
        <f aca="false">IF(A316="","",MAX(0,F315*(1+計算過程!$B$24/12)-計算過程!$B$52))</f>
        <v/>
      </c>
      <c r="G316" s="56" t="str">
        <f aca="false">IF(A316="","",MAX(0,G315*(1+計算過程!$B$25/12)-計算過程!$B$53))</f>
        <v/>
      </c>
      <c r="H316" s="56" t="str">
        <f aca="false">IF(A316="","",F316+G316)</f>
        <v/>
      </c>
      <c r="I316" s="55" t="str">
        <f aca="false">IF(A316="","",IF(AND(OR(MONTH(B316)=6,MONTH(B316)=12),I315&lt;計算過程!$B$50),I315+1,I315))</f>
        <v/>
      </c>
      <c r="J316" s="56" t="str">
        <f aca="false">IF(A316="","",IF(I316&gt;I315,計算過程!$B$57,0))</f>
        <v/>
      </c>
      <c r="K316" s="56" t="str">
        <f aca="false">IF(A316="","",IF(I316&gt;I315,ROUND(M315*計算過程!$B$55,0),0))</f>
        <v/>
      </c>
      <c r="L316" s="56" t="str">
        <f aca="false">IF(A316="","",J316-K316)</f>
        <v/>
      </c>
      <c r="M316" s="56" t="str">
        <f aca="false">IF(A316="","",IF(I316&gt;I315,MAX(0,M315*(1+計算過程!$B$55)-計算過程!$B$56),M315))</f>
        <v/>
      </c>
      <c r="N316" s="56" t="str">
        <f aca="false">IF(A316="","",C316+J316)</f>
        <v/>
      </c>
      <c r="O316" s="56" t="str">
        <f aca="false">IF(A316="","",H316+M316)</f>
        <v/>
      </c>
    </row>
    <row r="317" customFormat="false" ht="15" hidden="false" customHeight="false" outlineLevel="0" collapsed="false">
      <c r="A317" s="55" t="str">
        <f aca="false">IF(ROWS($A$8:A317)&lt;=計算過程!$B$51,ROWS($A$8:A317),"")</f>
        <v/>
      </c>
      <c r="B317" s="57" t="str">
        <f aca="false">IF(A317="","",EDATE(計算過程!$B$71,A317-1))</f>
        <v/>
      </c>
      <c r="C317" s="56" t="str">
        <f aca="false">IF(A317="","",計算過程!$B$54)</f>
        <v/>
      </c>
      <c r="D317" s="56" t="str">
        <f aca="false">IF(A317="","",ROUND(F316*計算過程!$B$24/12+G316*計算過程!$B$25/12,0))</f>
        <v/>
      </c>
      <c r="E317" s="56" t="str">
        <f aca="false">IF(A317="","",C317-D317)</f>
        <v/>
      </c>
      <c r="F317" s="56" t="str">
        <f aca="false">IF(A317="","",MAX(0,F316*(1+計算過程!$B$24/12)-計算過程!$B$52))</f>
        <v/>
      </c>
      <c r="G317" s="56" t="str">
        <f aca="false">IF(A317="","",MAX(0,G316*(1+計算過程!$B$25/12)-計算過程!$B$53))</f>
        <v/>
      </c>
      <c r="H317" s="56" t="str">
        <f aca="false">IF(A317="","",F317+G317)</f>
        <v/>
      </c>
      <c r="I317" s="55" t="str">
        <f aca="false">IF(A317="","",IF(AND(OR(MONTH(B317)=6,MONTH(B317)=12),I316&lt;計算過程!$B$50),I316+1,I316))</f>
        <v/>
      </c>
      <c r="J317" s="56" t="str">
        <f aca="false">IF(A317="","",IF(I317&gt;I316,計算過程!$B$57,0))</f>
        <v/>
      </c>
      <c r="K317" s="56" t="str">
        <f aca="false">IF(A317="","",IF(I317&gt;I316,ROUND(M316*計算過程!$B$55,0),0))</f>
        <v/>
      </c>
      <c r="L317" s="56" t="str">
        <f aca="false">IF(A317="","",J317-K317)</f>
        <v/>
      </c>
      <c r="M317" s="56" t="str">
        <f aca="false">IF(A317="","",IF(I317&gt;I316,MAX(0,M316*(1+計算過程!$B$55)-計算過程!$B$56),M316))</f>
        <v/>
      </c>
      <c r="N317" s="56" t="str">
        <f aca="false">IF(A317="","",C317+J317)</f>
        <v/>
      </c>
      <c r="O317" s="56" t="str">
        <f aca="false">IF(A317="","",H317+M317)</f>
        <v/>
      </c>
    </row>
    <row r="318" customFormat="false" ht="15" hidden="false" customHeight="false" outlineLevel="0" collapsed="false">
      <c r="A318" s="55" t="str">
        <f aca="false">IF(ROWS($A$8:A318)&lt;=計算過程!$B$51,ROWS($A$8:A318),"")</f>
        <v/>
      </c>
      <c r="B318" s="57" t="str">
        <f aca="false">IF(A318="","",EDATE(計算過程!$B$71,A318-1))</f>
        <v/>
      </c>
      <c r="C318" s="56" t="str">
        <f aca="false">IF(A318="","",計算過程!$B$54)</f>
        <v/>
      </c>
      <c r="D318" s="56" t="str">
        <f aca="false">IF(A318="","",ROUND(F317*計算過程!$B$24/12+G317*計算過程!$B$25/12,0))</f>
        <v/>
      </c>
      <c r="E318" s="56" t="str">
        <f aca="false">IF(A318="","",C318-D318)</f>
        <v/>
      </c>
      <c r="F318" s="56" t="str">
        <f aca="false">IF(A318="","",MAX(0,F317*(1+計算過程!$B$24/12)-計算過程!$B$52))</f>
        <v/>
      </c>
      <c r="G318" s="56" t="str">
        <f aca="false">IF(A318="","",MAX(0,G317*(1+計算過程!$B$25/12)-計算過程!$B$53))</f>
        <v/>
      </c>
      <c r="H318" s="56" t="str">
        <f aca="false">IF(A318="","",F318+G318)</f>
        <v/>
      </c>
      <c r="I318" s="55" t="str">
        <f aca="false">IF(A318="","",IF(AND(OR(MONTH(B318)=6,MONTH(B318)=12),I317&lt;計算過程!$B$50),I317+1,I317))</f>
        <v/>
      </c>
      <c r="J318" s="56" t="str">
        <f aca="false">IF(A318="","",IF(I318&gt;I317,計算過程!$B$57,0))</f>
        <v/>
      </c>
      <c r="K318" s="56" t="str">
        <f aca="false">IF(A318="","",IF(I318&gt;I317,ROUND(M317*計算過程!$B$55,0),0))</f>
        <v/>
      </c>
      <c r="L318" s="56" t="str">
        <f aca="false">IF(A318="","",J318-K318)</f>
        <v/>
      </c>
      <c r="M318" s="56" t="str">
        <f aca="false">IF(A318="","",IF(I318&gt;I317,MAX(0,M317*(1+計算過程!$B$55)-計算過程!$B$56),M317))</f>
        <v/>
      </c>
      <c r="N318" s="56" t="str">
        <f aca="false">IF(A318="","",C318+J318)</f>
        <v/>
      </c>
      <c r="O318" s="56" t="str">
        <f aca="false">IF(A318="","",H318+M318)</f>
        <v/>
      </c>
    </row>
    <row r="319" customFormat="false" ht="15" hidden="false" customHeight="false" outlineLevel="0" collapsed="false">
      <c r="A319" s="55" t="str">
        <f aca="false">IF(ROWS($A$8:A319)&lt;=計算過程!$B$51,ROWS($A$8:A319),"")</f>
        <v/>
      </c>
      <c r="B319" s="57" t="str">
        <f aca="false">IF(A319="","",EDATE(計算過程!$B$71,A319-1))</f>
        <v/>
      </c>
      <c r="C319" s="56" t="str">
        <f aca="false">IF(A319="","",計算過程!$B$54)</f>
        <v/>
      </c>
      <c r="D319" s="56" t="str">
        <f aca="false">IF(A319="","",ROUND(F318*計算過程!$B$24/12+G318*計算過程!$B$25/12,0))</f>
        <v/>
      </c>
      <c r="E319" s="56" t="str">
        <f aca="false">IF(A319="","",C319-D319)</f>
        <v/>
      </c>
      <c r="F319" s="56" t="str">
        <f aca="false">IF(A319="","",MAX(0,F318*(1+計算過程!$B$24/12)-計算過程!$B$52))</f>
        <v/>
      </c>
      <c r="G319" s="56" t="str">
        <f aca="false">IF(A319="","",MAX(0,G318*(1+計算過程!$B$25/12)-計算過程!$B$53))</f>
        <v/>
      </c>
      <c r="H319" s="56" t="str">
        <f aca="false">IF(A319="","",F319+G319)</f>
        <v/>
      </c>
      <c r="I319" s="55" t="str">
        <f aca="false">IF(A319="","",IF(AND(OR(MONTH(B319)=6,MONTH(B319)=12),I318&lt;計算過程!$B$50),I318+1,I318))</f>
        <v/>
      </c>
      <c r="J319" s="56" t="str">
        <f aca="false">IF(A319="","",IF(I319&gt;I318,計算過程!$B$57,0))</f>
        <v/>
      </c>
      <c r="K319" s="56" t="str">
        <f aca="false">IF(A319="","",IF(I319&gt;I318,ROUND(M318*計算過程!$B$55,0),0))</f>
        <v/>
      </c>
      <c r="L319" s="56" t="str">
        <f aca="false">IF(A319="","",J319-K319)</f>
        <v/>
      </c>
      <c r="M319" s="56" t="str">
        <f aca="false">IF(A319="","",IF(I319&gt;I318,MAX(0,M318*(1+計算過程!$B$55)-計算過程!$B$56),M318))</f>
        <v/>
      </c>
      <c r="N319" s="56" t="str">
        <f aca="false">IF(A319="","",C319+J319)</f>
        <v/>
      </c>
      <c r="O319" s="56" t="str">
        <f aca="false">IF(A319="","",H319+M319)</f>
        <v/>
      </c>
    </row>
    <row r="320" customFormat="false" ht="15" hidden="false" customHeight="false" outlineLevel="0" collapsed="false">
      <c r="A320" s="55" t="str">
        <f aca="false">IF(ROWS($A$8:A320)&lt;=計算過程!$B$51,ROWS($A$8:A320),"")</f>
        <v/>
      </c>
      <c r="B320" s="57" t="str">
        <f aca="false">IF(A320="","",EDATE(計算過程!$B$71,A320-1))</f>
        <v/>
      </c>
      <c r="C320" s="56" t="str">
        <f aca="false">IF(A320="","",計算過程!$B$54)</f>
        <v/>
      </c>
      <c r="D320" s="56" t="str">
        <f aca="false">IF(A320="","",ROUND(F319*計算過程!$B$24/12+G319*計算過程!$B$25/12,0))</f>
        <v/>
      </c>
      <c r="E320" s="56" t="str">
        <f aca="false">IF(A320="","",C320-D320)</f>
        <v/>
      </c>
      <c r="F320" s="56" t="str">
        <f aca="false">IF(A320="","",MAX(0,F319*(1+計算過程!$B$24/12)-計算過程!$B$52))</f>
        <v/>
      </c>
      <c r="G320" s="56" t="str">
        <f aca="false">IF(A320="","",MAX(0,G319*(1+計算過程!$B$25/12)-計算過程!$B$53))</f>
        <v/>
      </c>
      <c r="H320" s="56" t="str">
        <f aca="false">IF(A320="","",F320+G320)</f>
        <v/>
      </c>
      <c r="I320" s="55" t="str">
        <f aca="false">IF(A320="","",IF(AND(OR(MONTH(B320)=6,MONTH(B320)=12),I319&lt;計算過程!$B$50),I319+1,I319))</f>
        <v/>
      </c>
      <c r="J320" s="56" t="str">
        <f aca="false">IF(A320="","",IF(I320&gt;I319,計算過程!$B$57,0))</f>
        <v/>
      </c>
      <c r="K320" s="56" t="str">
        <f aca="false">IF(A320="","",IF(I320&gt;I319,ROUND(M319*計算過程!$B$55,0),0))</f>
        <v/>
      </c>
      <c r="L320" s="56" t="str">
        <f aca="false">IF(A320="","",J320-K320)</f>
        <v/>
      </c>
      <c r="M320" s="56" t="str">
        <f aca="false">IF(A320="","",IF(I320&gt;I319,MAX(0,M319*(1+計算過程!$B$55)-計算過程!$B$56),M319))</f>
        <v/>
      </c>
      <c r="N320" s="56" t="str">
        <f aca="false">IF(A320="","",C320+J320)</f>
        <v/>
      </c>
      <c r="O320" s="56" t="str">
        <f aca="false">IF(A320="","",H320+M320)</f>
        <v/>
      </c>
    </row>
    <row r="321" customFormat="false" ht="15" hidden="false" customHeight="false" outlineLevel="0" collapsed="false">
      <c r="A321" s="55" t="str">
        <f aca="false">IF(ROWS($A$8:A321)&lt;=計算過程!$B$51,ROWS($A$8:A321),"")</f>
        <v/>
      </c>
      <c r="B321" s="57" t="str">
        <f aca="false">IF(A321="","",EDATE(計算過程!$B$71,A321-1))</f>
        <v/>
      </c>
      <c r="C321" s="56" t="str">
        <f aca="false">IF(A321="","",計算過程!$B$54)</f>
        <v/>
      </c>
      <c r="D321" s="56" t="str">
        <f aca="false">IF(A321="","",ROUND(F320*計算過程!$B$24/12+G320*計算過程!$B$25/12,0))</f>
        <v/>
      </c>
      <c r="E321" s="56" t="str">
        <f aca="false">IF(A321="","",C321-D321)</f>
        <v/>
      </c>
      <c r="F321" s="56" t="str">
        <f aca="false">IF(A321="","",MAX(0,F320*(1+計算過程!$B$24/12)-計算過程!$B$52))</f>
        <v/>
      </c>
      <c r="G321" s="56" t="str">
        <f aca="false">IF(A321="","",MAX(0,G320*(1+計算過程!$B$25/12)-計算過程!$B$53))</f>
        <v/>
      </c>
      <c r="H321" s="56" t="str">
        <f aca="false">IF(A321="","",F321+G321)</f>
        <v/>
      </c>
      <c r="I321" s="55" t="str">
        <f aca="false">IF(A321="","",IF(AND(OR(MONTH(B321)=6,MONTH(B321)=12),I320&lt;計算過程!$B$50),I320+1,I320))</f>
        <v/>
      </c>
      <c r="J321" s="56" t="str">
        <f aca="false">IF(A321="","",IF(I321&gt;I320,計算過程!$B$57,0))</f>
        <v/>
      </c>
      <c r="K321" s="56" t="str">
        <f aca="false">IF(A321="","",IF(I321&gt;I320,ROUND(M320*計算過程!$B$55,0),0))</f>
        <v/>
      </c>
      <c r="L321" s="56" t="str">
        <f aca="false">IF(A321="","",J321-K321)</f>
        <v/>
      </c>
      <c r="M321" s="56" t="str">
        <f aca="false">IF(A321="","",IF(I321&gt;I320,MAX(0,M320*(1+計算過程!$B$55)-計算過程!$B$56),M320))</f>
        <v/>
      </c>
      <c r="N321" s="56" t="str">
        <f aca="false">IF(A321="","",C321+J321)</f>
        <v/>
      </c>
      <c r="O321" s="56" t="str">
        <f aca="false">IF(A321="","",H321+M321)</f>
        <v/>
      </c>
    </row>
    <row r="322" customFormat="false" ht="15" hidden="false" customHeight="false" outlineLevel="0" collapsed="false">
      <c r="A322" s="55" t="str">
        <f aca="false">IF(ROWS($A$8:A322)&lt;=計算過程!$B$51,ROWS($A$8:A322),"")</f>
        <v/>
      </c>
      <c r="B322" s="57" t="str">
        <f aca="false">IF(A322="","",EDATE(計算過程!$B$71,A322-1))</f>
        <v/>
      </c>
      <c r="C322" s="56" t="str">
        <f aca="false">IF(A322="","",計算過程!$B$54)</f>
        <v/>
      </c>
      <c r="D322" s="56" t="str">
        <f aca="false">IF(A322="","",ROUND(F321*計算過程!$B$24/12+G321*計算過程!$B$25/12,0))</f>
        <v/>
      </c>
      <c r="E322" s="56" t="str">
        <f aca="false">IF(A322="","",C322-D322)</f>
        <v/>
      </c>
      <c r="F322" s="56" t="str">
        <f aca="false">IF(A322="","",MAX(0,F321*(1+計算過程!$B$24/12)-計算過程!$B$52))</f>
        <v/>
      </c>
      <c r="G322" s="56" t="str">
        <f aca="false">IF(A322="","",MAX(0,G321*(1+計算過程!$B$25/12)-計算過程!$B$53))</f>
        <v/>
      </c>
      <c r="H322" s="56" t="str">
        <f aca="false">IF(A322="","",F322+G322)</f>
        <v/>
      </c>
      <c r="I322" s="55" t="str">
        <f aca="false">IF(A322="","",IF(AND(OR(MONTH(B322)=6,MONTH(B322)=12),I321&lt;計算過程!$B$50),I321+1,I321))</f>
        <v/>
      </c>
      <c r="J322" s="56" t="str">
        <f aca="false">IF(A322="","",IF(I322&gt;I321,計算過程!$B$57,0))</f>
        <v/>
      </c>
      <c r="K322" s="56" t="str">
        <f aca="false">IF(A322="","",IF(I322&gt;I321,ROUND(M321*計算過程!$B$55,0),0))</f>
        <v/>
      </c>
      <c r="L322" s="56" t="str">
        <f aca="false">IF(A322="","",J322-K322)</f>
        <v/>
      </c>
      <c r="M322" s="56" t="str">
        <f aca="false">IF(A322="","",IF(I322&gt;I321,MAX(0,M321*(1+計算過程!$B$55)-計算過程!$B$56),M321))</f>
        <v/>
      </c>
      <c r="N322" s="56" t="str">
        <f aca="false">IF(A322="","",C322+J322)</f>
        <v/>
      </c>
      <c r="O322" s="56" t="str">
        <f aca="false">IF(A322="","",H322+M322)</f>
        <v/>
      </c>
    </row>
    <row r="323" customFormat="false" ht="15" hidden="false" customHeight="false" outlineLevel="0" collapsed="false">
      <c r="A323" s="55" t="str">
        <f aca="false">IF(ROWS($A$8:A323)&lt;=計算過程!$B$51,ROWS($A$8:A323),"")</f>
        <v/>
      </c>
      <c r="B323" s="57" t="str">
        <f aca="false">IF(A323="","",EDATE(計算過程!$B$71,A323-1))</f>
        <v/>
      </c>
      <c r="C323" s="56" t="str">
        <f aca="false">IF(A323="","",計算過程!$B$54)</f>
        <v/>
      </c>
      <c r="D323" s="56" t="str">
        <f aca="false">IF(A323="","",ROUND(F322*計算過程!$B$24/12+G322*計算過程!$B$25/12,0))</f>
        <v/>
      </c>
      <c r="E323" s="56" t="str">
        <f aca="false">IF(A323="","",C323-D323)</f>
        <v/>
      </c>
      <c r="F323" s="56" t="str">
        <f aca="false">IF(A323="","",MAX(0,F322*(1+計算過程!$B$24/12)-計算過程!$B$52))</f>
        <v/>
      </c>
      <c r="G323" s="56" t="str">
        <f aca="false">IF(A323="","",MAX(0,G322*(1+計算過程!$B$25/12)-計算過程!$B$53))</f>
        <v/>
      </c>
      <c r="H323" s="56" t="str">
        <f aca="false">IF(A323="","",F323+G323)</f>
        <v/>
      </c>
      <c r="I323" s="55" t="str">
        <f aca="false">IF(A323="","",IF(AND(OR(MONTH(B323)=6,MONTH(B323)=12),I322&lt;計算過程!$B$50),I322+1,I322))</f>
        <v/>
      </c>
      <c r="J323" s="56" t="str">
        <f aca="false">IF(A323="","",IF(I323&gt;I322,計算過程!$B$57,0))</f>
        <v/>
      </c>
      <c r="K323" s="56" t="str">
        <f aca="false">IF(A323="","",IF(I323&gt;I322,ROUND(M322*計算過程!$B$55,0),0))</f>
        <v/>
      </c>
      <c r="L323" s="56" t="str">
        <f aca="false">IF(A323="","",J323-K323)</f>
        <v/>
      </c>
      <c r="M323" s="56" t="str">
        <f aca="false">IF(A323="","",IF(I323&gt;I322,MAX(0,M322*(1+計算過程!$B$55)-計算過程!$B$56),M322))</f>
        <v/>
      </c>
      <c r="N323" s="56" t="str">
        <f aca="false">IF(A323="","",C323+J323)</f>
        <v/>
      </c>
      <c r="O323" s="56" t="str">
        <f aca="false">IF(A323="","",H323+M323)</f>
        <v/>
      </c>
    </row>
    <row r="324" customFormat="false" ht="15" hidden="false" customHeight="false" outlineLevel="0" collapsed="false">
      <c r="A324" s="55" t="str">
        <f aca="false">IF(ROWS($A$8:A324)&lt;=計算過程!$B$51,ROWS($A$8:A324),"")</f>
        <v/>
      </c>
      <c r="B324" s="57" t="str">
        <f aca="false">IF(A324="","",EDATE(計算過程!$B$71,A324-1))</f>
        <v/>
      </c>
      <c r="C324" s="56" t="str">
        <f aca="false">IF(A324="","",計算過程!$B$54)</f>
        <v/>
      </c>
      <c r="D324" s="56" t="str">
        <f aca="false">IF(A324="","",ROUND(F323*計算過程!$B$24/12+G323*計算過程!$B$25/12,0))</f>
        <v/>
      </c>
      <c r="E324" s="56" t="str">
        <f aca="false">IF(A324="","",C324-D324)</f>
        <v/>
      </c>
      <c r="F324" s="56" t="str">
        <f aca="false">IF(A324="","",MAX(0,F323*(1+計算過程!$B$24/12)-計算過程!$B$52))</f>
        <v/>
      </c>
      <c r="G324" s="56" t="str">
        <f aca="false">IF(A324="","",MAX(0,G323*(1+計算過程!$B$25/12)-計算過程!$B$53))</f>
        <v/>
      </c>
      <c r="H324" s="56" t="str">
        <f aca="false">IF(A324="","",F324+G324)</f>
        <v/>
      </c>
      <c r="I324" s="55" t="str">
        <f aca="false">IF(A324="","",IF(AND(OR(MONTH(B324)=6,MONTH(B324)=12),I323&lt;計算過程!$B$50),I323+1,I323))</f>
        <v/>
      </c>
      <c r="J324" s="56" t="str">
        <f aca="false">IF(A324="","",IF(I324&gt;I323,計算過程!$B$57,0))</f>
        <v/>
      </c>
      <c r="K324" s="56" t="str">
        <f aca="false">IF(A324="","",IF(I324&gt;I323,ROUND(M323*計算過程!$B$55,0),0))</f>
        <v/>
      </c>
      <c r="L324" s="56" t="str">
        <f aca="false">IF(A324="","",J324-K324)</f>
        <v/>
      </c>
      <c r="M324" s="56" t="str">
        <f aca="false">IF(A324="","",IF(I324&gt;I323,MAX(0,M323*(1+計算過程!$B$55)-計算過程!$B$56),M323))</f>
        <v/>
      </c>
      <c r="N324" s="56" t="str">
        <f aca="false">IF(A324="","",C324+J324)</f>
        <v/>
      </c>
      <c r="O324" s="56" t="str">
        <f aca="false">IF(A324="","",H324+M324)</f>
        <v/>
      </c>
    </row>
    <row r="325" customFormat="false" ht="15" hidden="false" customHeight="false" outlineLevel="0" collapsed="false">
      <c r="A325" s="55" t="str">
        <f aca="false">IF(ROWS($A$8:A325)&lt;=計算過程!$B$51,ROWS($A$8:A325),"")</f>
        <v/>
      </c>
      <c r="B325" s="57" t="str">
        <f aca="false">IF(A325="","",EDATE(計算過程!$B$71,A325-1))</f>
        <v/>
      </c>
      <c r="C325" s="56" t="str">
        <f aca="false">IF(A325="","",計算過程!$B$54)</f>
        <v/>
      </c>
      <c r="D325" s="56" t="str">
        <f aca="false">IF(A325="","",ROUND(F324*計算過程!$B$24/12+G324*計算過程!$B$25/12,0))</f>
        <v/>
      </c>
      <c r="E325" s="56" t="str">
        <f aca="false">IF(A325="","",C325-D325)</f>
        <v/>
      </c>
      <c r="F325" s="56" t="str">
        <f aca="false">IF(A325="","",MAX(0,F324*(1+計算過程!$B$24/12)-計算過程!$B$52))</f>
        <v/>
      </c>
      <c r="G325" s="56" t="str">
        <f aca="false">IF(A325="","",MAX(0,G324*(1+計算過程!$B$25/12)-計算過程!$B$53))</f>
        <v/>
      </c>
      <c r="H325" s="56" t="str">
        <f aca="false">IF(A325="","",F325+G325)</f>
        <v/>
      </c>
      <c r="I325" s="55" t="str">
        <f aca="false">IF(A325="","",IF(AND(OR(MONTH(B325)=6,MONTH(B325)=12),I324&lt;計算過程!$B$50),I324+1,I324))</f>
        <v/>
      </c>
      <c r="J325" s="56" t="str">
        <f aca="false">IF(A325="","",IF(I325&gt;I324,計算過程!$B$57,0))</f>
        <v/>
      </c>
      <c r="K325" s="56" t="str">
        <f aca="false">IF(A325="","",IF(I325&gt;I324,ROUND(M324*計算過程!$B$55,0),0))</f>
        <v/>
      </c>
      <c r="L325" s="56" t="str">
        <f aca="false">IF(A325="","",J325-K325)</f>
        <v/>
      </c>
      <c r="M325" s="56" t="str">
        <f aca="false">IF(A325="","",IF(I325&gt;I324,MAX(0,M324*(1+計算過程!$B$55)-計算過程!$B$56),M324))</f>
        <v/>
      </c>
      <c r="N325" s="56" t="str">
        <f aca="false">IF(A325="","",C325+J325)</f>
        <v/>
      </c>
      <c r="O325" s="56" t="str">
        <f aca="false">IF(A325="","",H325+M325)</f>
        <v/>
      </c>
    </row>
    <row r="326" customFormat="false" ht="15" hidden="false" customHeight="false" outlineLevel="0" collapsed="false">
      <c r="A326" s="55" t="str">
        <f aca="false">IF(ROWS($A$8:A326)&lt;=計算過程!$B$51,ROWS($A$8:A326),"")</f>
        <v/>
      </c>
      <c r="B326" s="57" t="str">
        <f aca="false">IF(A326="","",EDATE(計算過程!$B$71,A326-1))</f>
        <v/>
      </c>
      <c r="C326" s="56" t="str">
        <f aca="false">IF(A326="","",計算過程!$B$54)</f>
        <v/>
      </c>
      <c r="D326" s="56" t="str">
        <f aca="false">IF(A326="","",ROUND(F325*計算過程!$B$24/12+G325*計算過程!$B$25/12,0))</f>
        <v/>
      </c>
      <c r="E326" s="56" t="str">
        <f aca="false">IF(A326="","",C326-D326)</f>
        <v/>
      </c>
      <c r="F326" s="56" t="str">
        <f aca="false">IF(A326="","",MAX(0,F325*(1+計算過程!$B$24/12)-計算過程!$B$52))</f>
        <v/>
      </c>
      <c r="G326" s="56" t="str">
        <f aca="false">IF(A326="","",MAX(0,G325*(1+計算過程!$B$25/12)-計算過程!$B$53))</f>
        <v/>
      </c>
      <c r="H326" s="56" t="str">
        <f aca="false">IF(A326="","",F326+G326)</f>
        <v/>
      </c>
      <c r="I326" s="55" t="str">
        <f aca="false">IF(A326="","",IF(AND(OR(MONTH(B326)=6,MONTH(B326)=12),I325&lt;計算過程!$B$50),I325+1,I325))</f>
        <v/>
      </c>
      <c r="J326" s="56" t="str">
        <f aca="false">IF(A326="","",IF(I326&gt;I325,計算過程!$B$57,0))</f>
        <v/>
      </c>
      <c r="K326" s="56" t="str">
        <f aca="false">IF(A326="","",IF(I326&gt;I325,ROUND(M325*計算過程!$B$55,0),0))</f>
        <v/>
      </c>
      <c r="L326" s="56" t="str">
        <f aca="false">IF(A326="","",J326-K326)</f>
        <v/>
      </c>
      <c r="M326" s="56" t="str">
        <f aca="false">IF(A326="","",IF(I326&gt;I325,MAX(0,M325*(1+計算過程!$B$55)-計算過程!$B$56),M325))</f>
        <v/>
      </c>
      <c r="N326" s="56" t="str">
        <f aca="false">IF(A326="","",C326+J326)</f>
        <v/>
      </c>
      <c r="O326" s="56" t="str">
        <f aca="false">IF(A326="","",H326+M326)</f>
        <v/>
      </c>
    </row>
    <row r="327" customFormat="false" ht="15" hidden="false" customHeight="false" outlineLevel="0" collapsed="false">
      <c r="A327" s="55" t="str">
        <f aca="false">IF(ROWS($A$8:A327)&lt;=計算過程!$B$51,ROWS($A$8:A327),"")</f>
        <v/>
      </c>
      <c r="B327" s="57" t="str">
        <f aca="false">IF(A327="","",EDATE(計算過程!$B$71,A327-1))</f>
        <v/>
      </c>
      <c r="C327" s="56" t="str">
        <f aca="false">IF(A327="","",計算過程!$B$54)</f>
        <v/>
      </c>
      <c r="D327" s="56" t="str">
        <f aca="false">IF(A327="","",ROUND(F326*計算過程!$B$24/12+G326*計算過程!$B$25/12,0))</f>
        <v/>
      </c>
      <c r="E327" s="56" t="str">
        <f aca="false">IF(A327="","",C327-D327)</f>
        <v/>
      </c>
      <c r="F327" s="56" t="str">
        <f aca="false">IF(A327="","",MAX(0,F326*(1+計算過程!$B$24/12)-計算過程!$B$52))</f>
        <v/>
      </c>
      <c r="G327" s="56" t="str">
        <f aca="false">IF(A327="","",MAX(0,G326*(1+計算過程!$B$25/12)-計算過程!$B$53))</f>
        <v/>
      </c>
      <c r="H327" s="56" t="str">
        <f aca="false">IF(A327="","",F327+G327)</f>
        <v/>
      </c>
      <c r="I327" s="55" t="str">
        <f aca="false">IF(A327="","",IF(AND(OR(MONTH(B327)=6,MONTH(B327)=12),I326&lt;計算過程!$B$50),I326+1,I326))</f>
        <v/>
      </c>
      <c r="J327" s="56" t="str">
        <f aca="false">IF(A327="","",IF(I327&gt;I326,計算過程!$B$57,0))</f>
        <v/>
      </c>
      <c r="K327" s="56" t="str">
        <f aca="false">IF(A327="","",IF(I327&gt;I326,ROUND(M326*計算過程!$B$55,0),0))</f>
        <v/>
      </c>
      <c r="L327" s="56" t="str">
        <f aca="false">IF(A327="","",J327-K327)</f>
        <v/>
      </c>
      <c r="M327" s="56" t="str">
        <f aca="false">IF(A327="","",IF(I327&gt;I326,MAX(0,M326*(1+計算過程!$B$55)-計算過程!$B$56),M326))</f>
        <v/>
      </c>
      <c r="N327" s="56" t="str">
        <f aca="false">IF(A327="","",C327+J327)</f>
        <v/>
      </c>
      <c r="O327" s="56" t="str">
        <f aca="false">IF(A327="","",H327+M327)</f>
        <v/>
      </c>
    </row>
    <row r="328" customFormat="false" ht="15" hidden="false" customHeight="false" outlineLevel="0" collapsed="false">
      <c r="A328" s="55" t="str">
        <f aca="false">IF(ROWS($A$8:A328)&lt;=計算過程!$B$51,ROWS($A$8:A328),"")</f>
        <v/>
      </c>
      <c r="B328" s="57" t="str">
        <f aca="false">IF(A328="","",EDATE(計算過程!$B$71,A328-1))</f>
        <v/>
      </c>
      <c r="C328" s="56" t="str">
        <f aca="false">IF(A328="","",計算過程!$B$54)</f>
        <v/>
      </c>
      <c r="D328" s="56" t="str">
        <f aca="false">IF(A328="","",ROUND(F327*計算過程!$B$24/12+G327*計算過程!$B$25/12,0))</f>
        <v/>
      </c>
      <c r="E328" s="56" t="str">
        <f aca="false">IF(A328="","",C328-D328)</f>
        <v/>
      </c>
      <c r="F328" s="56" t="str">
        <f aca="false">IF(A328="","",MAX(0,F327*(1+計算過程!$B$24/12)-計算過程!$B$52))</f>
        <v/>
      </c>
      <c r="G328" s="56" t="str">
        <f aca="false">IF(A328="","",MAX(0,G327*(1+計算過程!$B$25/12)-計算過程!$B$53))</f>
        <v/>
      </c>
      <c r="H328" s="56" t="str">
        <f aca="false">IF(A328="","",F328+G328)</f>
        <v/>
      </c>
      <c r="I328" s="55" t="str">
        <f aca="false">IF(A328="","",IF(AND(OR(MONTH(B328)=6,MONTH(B328)=12),I327&lt;計算過程!$B$50),I327+1,I327))</f>
        <v/>
      </c>
      <c r="J328" s="56" t="str">
        <f aca="false">IF(A328="","",IF(I328&gt;I327,計算過程!$B$57,0))</f>
        <v/>
      </c>
      <c r="K328" s="56" t="str">
        <f aca="false">IF(A328="","",IF(I328&gt;I327,ROUND(M327*計算過程!$B$55,0),0))</f>
        <v/>
      </c>
      <c r="L328" s="56" t="str">
        <f aca="false">IF(A328="","",J328-K328)</f>
        <v/>
      </c>
      <c r="M328" s="56" t="str">
        <f aca="false">IF(A328="","",IF(I328&gt;I327,MAX(0,M327*(1+計算過程!$B$55)-計算過程!$B$56),M327))</f>
        <v/>
      </c>
      <c r="N328" s="56" t="str">
        <f aca="false">IF(A328="","",C328+J328)</f>
        <v/>
      </c>
      <c r="O328" s="56" t="str">
        <f aca="false">IF(A328="","",H328+M328)</f>
        <v/>
      </c>
    </row>
    <row r="329" customFormat="false" ht="15" hidden="false" customHeight="false" outlineLevel="0" collapsed="false">
      <c r="A329" s="55" t="str">
        <f aca="false">IF(ROWS($A$8:A329)&lt;=計算過程!$B$51,ROWS($A$8:A329),"")</f>
        <v/>
      </c>
      <c r="B329" s="57" t="str">
        <f aca="false">IF(A329="","",EDATE(計算過程!$B$71,A329-1))</f>
        <v/>
      </c>
      <c r="C329" s="56" t="str">
        <f aca="false">IF(A329="","",計算過程!$B$54)</f>
        <v/>
      </c>
      <c r="D329" s="56" t="str">
        <f aca="false">IF(A329="","",ROUND(F328*計算過程!$B$24/12+G328*計算過程!$B$25/12,0))</f>
        <v/>
      </c>
      <c r="E329" s="56" t="str">
        <f aca="false">IF(A329="","",C329-D329)</f>
        <v/>
      </c>
      <c r="F329" s="56" t="str">
        <f aca="false">IF(A329="","",MAX(0,F328*(1+計算過程!$B$24/12)-計算過程!$B$52))</f>
        <v/>
      </c>
      <c r="G329" s="56" t="str">
        <f aca="false">IF(A329="","",MAX(0,G328*(1+計算過程!$B$25/12)-計算過程!$B$53))</f>
        <v/>
      </c>
      <c r="H329" s="56" t="str">
        <f aca="false">IF(A329="","",F329+G329)</f>
        <v/>
      </c>
      <c r="I329" s="55" t="str">
        <f aca="false">IF(A329="","",IF(AND(OR(MONTH(B329)=6,MONTH(B329)=12),I328&lt;計算過程!$B$50),I328+1,I328))</f>
        <v/>
      </c>
      <c r="J329" s="56" t="str">
        <f aca="false">IF(A329="","",IF(I329&gt;I328,計算過程!$B$57,0))</f>
        <v/>
      </c>
      <c r="K329" s="56" t="str">
        <f aca="false">IF(A329="","",IF(I329&gt;I328,ROUND(M328*計算過程!$B$55,0),0))</f>
        <v/>
      </c>
      <c r="L329" s="56" t="str">
        <f aca="false">IF(A329="","",J329-K329)</f>
        <v/>
      </c>
      <c r="M329" s="56" t="str">
        <f aca="false">IF(A329="","",IF(I329&gt;I328,MAX(0,M328*(1+計算過程!$B$55)-計算過程!$B$56),M328))</f>
        <v/>
      </c>
      <c r="N329" s="56" t="str">
        <f aca="false">IF(A329="","",C329+J329)</f>
        <v/>
      </c>
      <c r="O329" s="56" t="str">
        <f aca="false">IF(A329="","",H329+M329)</f>
        <v/>
      </c>
    </row>
    <row r="330" customFormat="false" ht="15" hidden="false" customHeight="false" outlineLevel="0" collapsed="false">
      <c r="A330" s="55" t="str">
        <f aca="false">IF(ROWS($A$8:A330)&lt;=計算過程!$B$51,ROWS($A$8:A330),"")</f>
        <v/>
      </c>
      <c r="B330" s="57" t="str">
        <f aca="false">IF(A330="","",EDATE(計算過程!$B$71,A330-1))</f>
        <v/>
      </c>
      <c r="C330" s="56" t="str">
        <f aca="false">IF(A330="","",計算過程!$B$54)</f>
        <v/>
      </c>
      <c r="D330" s="56" t="str">
        <f aca="false">IF(A330="","",ROUND(F329*計算過程!$B$24/12+G329*計算過程!$B$25/12,0))</f>
        <v/>
      </c>
      <c r="E330" s="56" t="str">
        <f aca="false">IF(A330="","",C330-D330)</f>
        <v/>
      </c>
      <c r="F330" s="56" t="str">
        <f aca="false">IF(A330="","",MAX(0,F329*(1+計算過程!$B$24/12)-計算過程!$B$52))</f>
        <v/>
      </c>
      <c r="G330" s="56" t="str">
        <f aca="false">IF(A330="","",MAX(0,G329*(1+計算過程!$B$25/12)-計算過程!$B$53))</f>
        <v/>
      </c>
      <c r="H330" s="56" t="str">
        <f aca="false">IF(A330="","",F330+G330)</f>
        <v/>
      </c>
      <c r="I330" s="55" t="str">
        <f aca="false">IF(A330="","",IF(AND(OR(MONTH(B330)=6,MONTH(B330)=12),I329&lt;計算過程!$B$50),I329+1,I329))</f>
        <v/>
      </c>
      <c r="J330" s="56" t="str">
        <f aca="false">IF(A330="","",IF(I330&gt;I329,計算過程!$B$57,0))</f>
        <v/>
      </c>
      <c r="K330" s="56" t="str">
        <f aca="false">IF(A330="","",IF(I330&gt;I329,ROUND(M329*計算過程!$B$55,0),0))</f>
        <v/>
      </c>
      <c r="L330" s="56" t="str">
        <f aca="false">IF(A330="","",J330-K330)</f>
        <v/>
      </c>
      <c r="M330" s="56" t="str">
        <f aca="false">IF(A330="","",IF(I330&gt;I329,MAX(0,M329*(1+計算過程!$B$55)-計算過程!$B$56),M329))</f>
        <v/>
      </c>
      <c r="N330" s="56" t="str">
        <f aca="false">IF(A330="","",C330+J330)</f>
        <v/>
      </c>
      <c r="O330" s="56" t="str">
        <f aca="false">IF(A330="","",H330+M330)</f>
        <v/>
      </c>
    </row>
    <row r="331" customFormat="false" ht="15" hidden="false" customHeight="false" outlineLevel="0" collapsed="false">
      <c r="A331" s="55" t="str">
        <f aca="false">IF(ROWS($A$8:A331)&lt;=計算過程!$B$51,ROWS($A$8:A331),"")</f>
        <v/>
      </c>
      <c r="B331" s="57" t="str">
        <f aca="false">IF(A331="","",EDATE(計算過程!$B$71,A331-1))</f>
        <v/>
      </c>
      <c r="C331" s="56" t="str">
        <f aca="false">IF(A331="","",計算過程!$B$54)</f>
        <v/>
      </c>
      <c r="D331" s="56" t="str">
        <f aca="false">IF(A331="","",ROUND(F330*計算過程!$B$24/12+G330*計算過程!$B$25/12,0))</f>
        <v/>
      </c>
      <c r="E331" s="56" t="str">
        <f aca="false">IF(A331="","",C331-D331)</f>
        <v/>
      </c>
      <c r="F331" s="56" t="str">
        <f aca="false">IF(A331="","",MAX(0,F330*(1+計算過程!$B$24/12)-計算過程!$B$52))</f>
        <v/>
      </c>
      <c r="G331" s="56" t="str">
        <f aca="false">IF(A331="","",MAX(0,G330*(1+計算過程!$B$25/12)-計算過程!$B$53))</f>
        <v/>
      </c>
      <c r="H331" s="56" t="str">
        <f aca="false">IF(A331="","",F331+G331)</f>
        <v/>
      </c>
      <c r="I331" s="55" t="str">
        <f aca="false">IF(A331="","",IF(AND(OR(MONTH(B331)=6,MONTH(B331)=12),I330&lt;計算過程!$B$50),I330+1,I330))</f>
        <v/>
      </c>
      <c r="J331" s="56" t="str">
        <f aca="false">IF(A331="","",IF(I331&gt;I330,計算過程!$B$57,0))</f>
        <v/>
      </c>
      <c r="K331" s="56" t="str">
        <f aca="false">IF(A331="","",IF(I331&gt;I330,ROUND(M330*計算過程!$B$55,0),0))</f>
        <v/>
      </c>
      <c r="L331" s="56" t="str">
        <f aca="false">IF(A331="","",J331-K331)</f>
        <v/>
      </c>
      <c r="M331" s="56" t="str">
        <f aca="false">IF(A331="","",IF(I331&gt;I330,MAX(0,M330*(1+計算過程!$B$55)-計算過程!$B$56),M330))</f>
        <v/>
      </c>
      <c r="N331" s="56" t="str">
        <f aca="false">IF(A331="","",C331+J331)</f>
        <v/>
      </c>
      <c r="O331" s="56" t="str">
        <f aca="false">IF(A331="","",H331+M331)</f>
        <v/>
      </c>
    </row>
    <row r="332" customFormat="false" ht="15" hidden="false" customHeight="false" outlineLevel="0" collapsed="false">
      <c r="A332" s="55" t="str">
        <f aca="false">IF(ROWS($A$8:A332)&lt;=計算過程!$B$51,ROWS($A$8:A332),"")</f>
        <v/>
      </c>
      <c r="B332" s="57" t="str">
        <f aca="false">IF(A332="","",EDATE(計算過程!$B$71,A332-1))</f>
        <v/>
      </c>
      <c r="C332" s="56" t="str">
        <f aca="false">IF(A332="","",計算過程!$B$54)</f>
        <v/>
      </c>
      <c r="D332" s="56" t="str">
        <f aca="false">IF(A332="","",ROUND(F331*計算過程!$B$24/12+G331*計算過程!$B$25/12,0))</f>
        <v/>
      </c>
      <c r="E332" s="56" t="str">
        <f aca="false">IF(A332="","",C332-D332)</f>
        <v/>
      </c>
      <c r="F332" s="56" t="str">
        <f aca="false">IF(A332="","",MAX(0,F331*(1+計算過程!$B$24/12)-計算過程!$B$52))</f>
        <v/>
      </c>
      <c r="G332" s="56" t="str">
        <f aca="false">IF(A332="","",MAX(0,G331*(1+計算過程!$B$25/12)-計算過程!$B$53))</f>
        <v/>
      </c>
      <c r="H332" s="56" t="str">
        <f aca="false">IF(A332="","",F332+G332)</f>
        <v/>
      </c>
      <c r="I332" s="55" t="str">
        <f aca="false">IF(A332="","",IF(AND(OR(MONTH(B332)=6,MONTH(B332)=12),I331&lt;計算過程!$B$50),I331+1,I331))</f>
        <v/>
      </c>
      <c r="J332" s="56" t="str">
        <f aca="false">IF(A332="","",IF(I332&gt;I331,計算過程!$B$57,0))</f>
        <v/>
      </c>
      <c r="K332" s="56" t="str">
        <f aca="false">IF(A332="","",IF(I332&gt;I331,ROUND(M331*計算過程!$B$55,0),0))</f>
        <v/>
      </c>
      <c r="L332" s="56" t="str">
        <f aca="false">IF(A332="","",J332-K332)</f>
        <v/>
      </c>
      <c r="M332" s="56" t="str">
        <f aca="false">IF(A332="","",IF(I332&gt;I331,MAX(0,M331*(1+計算過程!$B$55)-計算過程!$B$56),M331))</f>
        <v/>
      </c>
      <c r="N332" s="56" t="str">
        <f aca="false">IF(A332="","",C332+J332)</f>
        <v/>
      </c>
      <c r="O332" s="56" t="str">
        <f aca="false">IF(A332="","",H332+M332)</f>
        <v/>
      </c>
    </row>
    <row r="333" customFormat="false" ht="15" hidden="false" customHeight="false" outlineLevel="0" collapsed="false">
      <c r="A333" s="55" t="str">
        <f aca="false">IF(ROWS($A$8:A333)&lt;=計算過程!$B$51,ROWS($A$8:A333),"")</f>
        <v/>
      </c>
      <c r="B333" s="57" t="str">
        <f aca="false">IF(A333="","",EDATE(計算過程!$B$71,A333-1))</f>
        <v/>
      </c>
      <c r="C333" s="56" t="str">
        <f aca="false">IF(A333="","",計算過程!$B$54)</f>
        <v/>
      </c>
      <c r="D333" s="56" t="str">
        <f aca="false">IF(A333="","",ROUND(F332*計算過程!$B$24/12+G332*計算過程!$B$25/12,0))</f>
        <v/>
      </c>
      <c r="E333" s="56" t="str">
        <f aca="false">IF(A333="","",C333-D333)</f>
        <v/>
      </c>
      <c r="F333" s="56" t="str">
        <f aca="false">IF(A333="","",MAX(0,F332*(1+計算過程!$B$24/12)-計算過程!$B$52))</f>
        <v/>
      </c>
      <c r="G333" s="56" t="str">
        <f aca="false">IF(A333="","",MAX(0,G332*(1+計算過程!$B$25/12)-計算過程!$B$53))</f>
        <v/>
      </c>
      <c r="H333" s="56" t="str">
        <f aca="false">IF(A333="","",F333+G333)</f>
        <v/>
      </c>
      <c r="I333" s="55" t="str">
        <f aca="false">IF(A333="","",IF(AND(OR(MONTH(B333)=6,MONTH(B333)=12),I332&lt;計算過程!$B$50),I332+1,I332))</f>
        <v/>
      </c>
      <c r="J333" s="56" t="str">
        <f aca="false">IF(A333="","",IF(I333&gt;I332,計算過程!$B$57,0))</f>
        <v/>
      </c>
      <c r="K333" s="56" t="str">
        <f aca="false">IF(A333="","",IF(I333&gt;I332,ROUND(M332*計算過程!$B$55,0),0))</f>
        <v/>
      </c>
      <c r="L333" s="56" t="str">
        <f aca="false">IF(A333="","",J333-K333)</f>
        <v/>
      </c>
      <c r="M333" s="56" t="str">
        <f aca="false">IF(A333="","",IF(I333&gt;I332,MAX(0,M332*(1+計算過程!$B$55)-計算過程!$B$56),M332))</f>
        <v/>
      </c>
      <c r="N333" s="56" t="str">
        <f aca="false">IF(A333="","",C333+J333)</f>
        <v/>
      </c>
      <c r="O333" s="56" t="str">
        <f aca="false">IF(A333="","",H333+M333)</f>
        <v/>
      </c>
    </row>
    <row r="334" customFormat="false" ht="15" hidden="false" customHeight="false" outlineLevel="0" collapsed="false">
      <c r="A334" s="55" t="str">
        <f aca="false">IF(ROWS($A$8:A334)&lt;=計算過程!$B$51,ROWS($A$8:A334),"")</f>
        <v/>
      </c>
      <c r="B334" s="57" t="str">
        <f aca="false">IF(A334="","",EDATE(計算過程!$B$71,A334-1))</f>
        <v/>
      </c>
      <c r="C334" s="56" t="str">
        <f aca="false">IF(A334="","",計算過程!$B$54)</f>
        <v/>
      </c>
      <c r="D334" s="56" t="str">
        <f aca="false">IF(A334="","",ROUND(F333*計算過程!$B$24/12+G333*計算過程!$B$25/12,0))</f>
        <v/>
      </c>
      <c r="E334" s="56" t="str">
        <f aca="false">IF(A334="","",C334-D334)</f>
        <v/>
      </c>
      <c r="F334" s="56" t="str">
        <f aca="false">IF(A334="","",MAX(0,F333*(1+計算過程!$B$24/12)-計算過程!$B$52))</f>
        <v/>
      </c>
      <c r="G334" s="56" t="str">
        <f aca="false">IF(A334="","",MAX(0,G333*(1+計算過程!$B$25/12)-計算過程!$B$53))</f>
        <v/>
      </c>
      <c r="H334" s="56" t="str">
        <f aca="false">IF(A334="","",F334+G334)</f>
        <v/>
      </c>
      <c r="I334" s="55" t="str">
        <f aca="false">IF(A334="","",IF(AND(OR(MONTH(B334)=6,MONTH(B334)=12),I333&lt;計算過程!$B$50),I333+1,I333))</f>
        <v/>
      </c>
      <c r="J334" s="56" t="str">
        <f aca="false">IF(A334="","",IF(I334&gt;I333,計算過程!$B$57,0))</f>
        <v/>
      </c>
      <c r="K334" s="56" t="str">
        <f aca="false">IF(A334="","",IF(I334&gt;I333,ROUND(M333*計算過程!$B$55,0),0))</f>
        <v/>
      </c>
      <c r="L334" s="56" t="str">
        <f aca="false">IF(A334="","",J334-K334)</f>
        <v/>
      </c>
      <c r="M334" s="56" t="str">
        <f aca="false">IF(A334="","",IF(I334&gt;I333,MAX(0,M333*(1+計算過程!$B$55)-計算過程!$B$56),M333))</f>
        <v/>
      </c>
      <c r="N334" s="56" t="str">
        <f aca="false">IF(A334="","",C334+J334)</f>
        <v/>
      </c>
      <c r="O334" s="56" t="str">
        <f aca="false">IF(A334="","",H334+M334)</f>
        <v/>
      </c>
    </row>
    <row r="335" customFormat="false" ht="15" hidden="false" customHeight="false" outlineLevel="0" collapsed="false">
      <c r="A335" s="55" t="str">
        <f aca="false">IF(ROWS($A$8:A335)&lt;=計算過程!$B$51,ROWS($A$8:A335),"")</f>
        <v/>
      </c>
      <c r="B335" s="57" t="str">
        <f aca="false">IF(A335="","",EDATE(計算過程!$B$71,A335-1))</f>
        <v/>
      </c>
      <c r="C335" s="56" t="str">
        <f aca="false">IF(A335="","",計算過程!$B$54)</f>
        <v/>
      </c>
      <c r="D335" s="56" t="str">
        <f aca="false">IF(A335="","",ROUND(F334*計算過程!$B$24/12+G334*計算過程!$B$25/12,0))</f>
        <v/>
      </c>
      <c r="E335" s="56" t="str">
        <f aca="false">IF(A335="","",C335-D335)</f>
        <v/>
      </c>
      <c r="F335" s="56" t="str">
        <f aca="false">IF(A335="","",MAX(0,F334*(1+計算過程!$B$24/12)-計算過程!$B$52))</f>
        <v/>
      </c>
      <c r="G335" s="56" t="str">
        <f aca="false">IF(A335="","",MAX(0,G334*(1+計算過程!$B$25/12)-計算過程!$B$53))</f>
        <v/>
      </c>
      <c r="H335" s="56" t="str">
        <f aca="false">IF(A335="","",F335+G335)</f>
        <v/>
      </c>
      <c r="I335" s="55" t="str">
        <f aca="false">IF(A335="","",IF(AND(OR(MONTH(B335)=6,MONTH(B335)=12),I334&lt;計算過程!$B$50),I334+1,I334))</f>
        <v/>
      </c>
      <c r="J335" s="56" t="str">
        <f aca="false">IF(A335="","",IF(I335&gt;I334,計算過程!$B$57,0))</f>
        <v/>
      </c>
      <c r="K335" s="56" t="str">
        <f aca="false">IF(A335="","",IF(I335&gt;I334,ROUND(M334*計算過程!$B$55,0),0))</f>
        <v/>
      </c>
      <c r="L335" s="56" t="str">
        <f aca="false">IF(A335="","",J335-K335)</f>
        <v/>
      </c>
      <c r="M335" s="56" t="str">
        <f aca="false">IF(A335="","",IF(I335&gt;I334,MAX(0,M334*(1+計算過程!$B$55)-計算過程!$B$56),M334))</f>
        <v/>
      </c>
      <c r="N335" s="56" t="str">
        <f aca="false">IF(A335="","",C335+J335)</f>
        <v/>
      </c>
      <c r="O335" s="56" t="str">
        <f aca="false">IF(A335="","",H335+M335)</f>
        <v/>
      </c>
    </row>
    <row r="336" customFormat="false" ht="15" hidden="false" customHeight="false" outlineLevel="0" collapsed="false">
      <c r="A336" s="55" t="str">
        <f aca="false">IF(ROWS($A$8:A336)&lt;=計算過程!$B$51,ROWS($A$8:A336),"")</f>
        <v/>
      </c>
      <c r="B336" s="57" t="str">
        <f aca="false">IF(A336="","",EDATE(計算過程!$B$71,A336-1))</f>
        <v/>
      </c>
      <c r="C336" s="56" t="str">
        <f aca="false">IF(A336="","",計算過程!$B$54)</f>
        <v/>
      </c>
      <c r="D336" s="56" t="str">
        <f aca="false">IF(A336="","",ROUND(F335*計算過程!$B$24/12+G335*計算過程!$B$25/12,0))</f>
        <v/>
      </c>
      <c r="E336" s="56" t="str">
        <f aca="false">IF(A336="","",C336-D336)</f>
        <v/>
      </c>
      <c r="F336" s="56" t="str">
        <f aca="false">IF(A336="","",MAX(0,F335*(1+計算過程!$B$24/12)-計算過程!$B$52))</f>
        <v/>
      </c>
      <c r="G336" s="56" t="str">
        <f aca="false">IF(A336="","",MAX(0,G335*(1+計算過程!$B$25/12)-計算過程!$B$53))</f>
        <v/>
      </c>
      <c r="H336" s="56" t="str">
        <f aca="false">IF(A336="","",F336+G336)</f>
        <v/>
      </c>
      <c r="I336" s="55" t="str">
        <f aca="false">IF(A336="","",IF(AND(OR(MONTH(B336)=6,MONTH(B336)=12),I335&lt;計算過程!$B$50),I335+1,I335))</f>
        <v/>
      </c>
      <c r="J336" s="56" t="str">
        <f aca="false">IF(A336="","",IF(I336&gt;I335,計算過程!$B$57,0))</f>
        <v/>
      </c>
      <c r="K336" s="56" t="str">
        <f aca="false">IF(A336="","",IF(I336&gt;I335,ROUND(M335*計算過程!$B$55,0),0))</f>
        <v/>
      </c>
      <c r="L336" s="56" t="str">
        <f aca="false">IF(A336="","",J336-K336)</f>
        <v/>
      </c>
      <c r="M336" s="56" t="str">
        <f aca="false">IF(A336="","",IF(I336&gt;I335,MAX(0,M335*(1+計算過程!$B$55)-計算過程!$B$56),M335))</f>
        <v/>
      </c>
      <c r="N336" s="56" t="str">
        <f aca="false">IF(A336="","",C336+J336)</f>
        <v/>
      </c>
      <c r="O336" s="56" t="str">
        <f aca="false">IF(A336="","",H336+M336)</f>
        <v/>
      </c>
    </row>
    <row r="337" customFormat="false" ht="15" hidden="false" customHeight="false" outlineLevel="0" collapsed="false">
      <c r="A337" s="55" t="str">
        <f aca="false">IF(ROWS($A$8:A337)&lt;=計算過程!$B$51,ROWS($A$8:A337),"")</f>
        <v/>
      </c>
      <c r="B337" s="57" t="str">
        <f aca="false">IF(A337="","",EDATE(計算過程!$B$71,A337-1))</f>
        <v/>
      </c>
      <c r="C337" s="56" t="str">
        <f aca="false">IF(A337="","",計算過程!$B$54)</f>
        <v/>
      </c>
      <c r="D337" s="56" t="str">
        <f aca="false">IF(A337="","",ROUND(F336*計算過程!$B$24/12+G336*計算過程!$B$25/12,0))</f>
        <v/>
      </c>
      <c r="E337" s="56" t="str">
        <f aca="false">IF(A337="","",C337-D337)</f>
        <v/>
      </c>
      <c r="F337" s="56" t="str">
        <f aca="false">IF(A337="","",MAX(0,F336*(1+計算過程!$B$24/12)-計算過程!$B$52))</f>
        <v/>
      </c>
      <c r="G337" s="56" t="str">
        <f aca="false">IF(A337="","",MAX(0,G336*(1+計算過程!$B$25/12)-計算過程!$B$53))</f>
        <v/>
      </c>
      <c r="H337" s="56" t="str">
        <f aca="false">IF(A337="","",F337+G337)</f>
        <v/>
      </c>
      <c r="I337" s="55" t="str">
        <f aca="false">IF(A337="","",IF(AND(OR(MONTH(B337)=6,MONTH(B337)=12),I336&lt;計算過程!$B$50),I336+1,I336))</f>
        <v/>
      </c>
      <c r="J337" s="56" t="str">
        <f aca="false">IF(A337="","",IF(I337&gt;I336,計算過程!$B$57,0))</f>
        <v/>
      </c>
      <c r="K337" s="56" t="str">
        <f aca="false">IF(A337="","",IF(I337&gt;I336,ROUND(M336*計算過程!$B$55,0),0))</f>
        <v/>
      </c>
      <c r="L337" s="56" t="str">
        <f aca="false">IF(A337="","",J337-K337)</f>
        <v/>
      </c>
      <c r="M337" s="56" t="str">
        <f aca="false">IF(A337="","",IF(I337&gt;I336,MAX(0,M336*(1+計算過程!$B$55)-計算過程!$B$56),M336))</f>
        <v/>
      </c>
      <c r="N337" s="56" t="str">
        <f aca="false">IF(A337="","",C337+J337)</f>
        <v/>
      </c>
      <c r="O337" s="56" t="str">
        <f aca="false">IF(A337="","",H337+M337)</f>
        <v/>
      </c>
    </row>
    <row r="338" customFormat="false" ht="15" hidden="false" customHeight="false" outlineLevel="0" collapsed="false">
      <c r="A338" s="55" t="str">
        <f aca="false">IF(ROWS($A$8:A338)&lt;=計算過程!$B$51,ROWS($A$8:A338),"")</f>
        <v/>
      </c>
      <c r="B338" s="57" t="str">
        <f aca="false">IF(A338="","",EDATE(計算過程!$B$71,A338-1))</f>
        <v/>
      </c>
      <c r="C338" s="56" t="str">
        <f aca="false">IF(A338="","",計算過程!$B$54)</f>
        <v/>
      </c>
      <c r="D338" s="56" t="str">
        <f aca="false">IF(A338="","",ROUND(F337*計算過程!$B$24/12+G337*計算過程!$B$25/12,0))</f>
        <v/>
      </c>
      <c r="E338" s="56" t="str">
        <f aca="false">IF(A338="","",C338-D338)</f>
        <v/>
      </c>
      <c r="F338" s="56" t="str">
        <f aca="false">IF(A338="","",MAX(0,F337*(1+計算過程!$B$24/12)-計算過程!$B$52))</f>
        <v/>
      </c>
      <c r="G338" s="56" t="str">
        <f aca="false">IF(A338="","",MAX(0,G337*(1+計算過程!$B$25/12)-計算過程!$B$53))</f>
        <v/>
      </c>
      <c r="H338" s="56" t="str">
        <f aca="false">IF(A338="","",F338+G338)</f>
        <v/>
      </c>
      <c r="I338" s="55" t="str">
        <f aca="false">IF(A338="","",IF(AND(OR(MONTH(B338)=6,MONTH(B338)=12),I337&lt;計算過程!$B$50),I337+1,I337))</f>
        <v/>
      </c>
      <c r="J338" s="56" t="str">
        <f aca="false">IF(A338="","",IF(I338&gt;I337,計算過程!$B$57,0))</f>
        <v/>
      </c>
      <c r="K338" s="56" t="str">
        <f aca="false">IF(A338="","",IF(I338&gt;I337,ROUND(M337*計算過程!$B$55,0),0))</f>
        <v/>
      </c>
      <c r="L338" s="56" t="str">
        <f aca="false">IF(A338="","",J338-K338)</f>
        <v/>
      </c>
      <c r="M338" s="56" t="str">
        <f aca="false">IF(A338="","",IF(I338&gt;I337,MAX(0,M337*(1+計算過程!$B$55)-計算過程!$B$56),M337))</f>
        <v/>
      </c>
      <c r="N338" s="56" t="str">
        <f aca="false">IF(A338="","",C338+J338)</f>
        <v/>
      </c>
      <c r="O338" s="56" t="str">
        <f aca="false">IF(A338="","",H338+M338)</f>
        <v/>
      </c>
    </row>
    <row r="339" customFormat="false" ht="15" hidden="false" customHeight="false" outlineLevel="0" collapsed="false">
      <c r="A339" s="55" t="str">
        <f aca="false">IF(ROWS($A$8:A339)&lt;=計算過程!$B$51,ROWS($A$8:A339),"")</f>
        <v/>
      </c>
      <c r="B339" s="57" t="str">
        <f aca="false">IF(A339="","",EDATE(計算過程!$B$71,A339-1))</f>
        <v/>
      </c>
      <c r="C339" s="56" t="str">
        <f aca="false">IF(A339="","",計算過程!$B$54)</f>
        <v/>
      </c>
      <c r="D339" s="56" t="str">
        <f aca="false">IF(A339="","",ROUND(F338*計算過程!$B$24/12+G338*計算過程!$B$25/12,0))</f>
        <v/>
      </c>
      <c r="E339" s="56" t="str">
        <f aca="false">IF(A339="","",C339-D339)</f>
        <v/>
      </c>
      <c r="F339" s="56" t="str">
        <f aca="false">IF(A339="","",MAX(0,F338*(1+計算過程!$B$24/12)-計算過程!$B$52))</f>
        <v/>
      </c>
      <c r="G339" s="56" t="str">
        <f aca="false">IF(A339="","",MAX(0,G338*(1+計算過程!$B$25/12)-計算過程!$B$53))</f>
        <v/>
      </c>
      <c r="H339" s="56" t="str">
        <f aca="false">IF(A339="","",F339+G339)</f>
        <v/>
      </c>
      <c r="I339" s="55" t="str">
        <f aca="false">IF(A339="","",IF(AND(OR(MONTH(B339)=6,MONTH(B339)=12),I338&lt;計算過程!$B$50),I338+1,I338))</f>
        <v/>
      </c>
      <c r="J339" s="56" t="str">
        <f aca="false">IF(A339="","",IF(I339&gt;I338,計算過程!$B$57,0))</f>
        <v/>
      </c>
      <c r="K339" s="56" t="str">
        <f aca="false">IF(A339="","",IF(I339&gt;I338,ROUND(M338*計算過程!$B$55,0),0))</f>
        <v/>
      </c>
      <c r="L339" s="56" t="str">
        <f aca="false">IF(A339="","",J339-K339)</f>
        <v/>
      </c>
      <c r="M339" s="56" t="str">
        <f aca="false">IF(A339="","",IF(I339&gt;I338,MAX(0,M338*(1+計算過程!$B$55)-計算過程!$B$56),M338))</f>
        <v/>
      </c>
      <c r="N339" s="56" t="str">
        <f aca="false">IF(A339="","",C339+J339)</f>
        <v/>
      </c>
      <c r="O339" s="56" t="str">
        <f aca="false">IF(A339="","",H339+M339)</f>
        <v/>
      </c>
    </row>
    <row r="340" customFormat="false" ht="15" hidden="false" customHeight="false" outlineLevel="0" collapsed="false">
      <c r="A340" s="55" t="str">
        <f aca="false">IF(ROWS($A$8:A340)&lt;=計算過程!$B$51,ROWS($A$8:A340),"")</f>
        <v/>
      </c>
      <c r="B340" s="57" t="str">
        <f aca="false">IF(A340="","",EDATE(計算過程!$B$71,A340-1))</f>
        <v/>
      </c>
      <c r="C340" s="56" t="str">
        <f aca="false">IF(A340="","",計算過程!$B$54)</f>
        <v/>
      </c>
      <c r="D340" s="56" t="str">
        <f aca="false">IF(A340="","",ROUND(F339*計算過程!$B$24/12+G339*計算過程!$B$25/12,0))</f>
        <v/>
      </c>
      <c r="E340" s="56" t="str">
        <f aca="false">IF(A340="","",C340-D340)</f>
        <v/>
      </c>
      <c r="F340" s="56" t="str">
        <f aca="false">IF(A340="","",MAX(0,F339*(1+計算過程!$B$24/12)-計算過程!$B$52))</f>
        <v/>
      </c>
      <c r="G340" s="56" t="str">
        <f aca="false">IF(A340="","",MAX(0,G339*(1+計算過程!$B$25/12)-計算過程!$B$53))</f>
        <v/>
      </c>
      <c r="H340" s="56" t="str">
        <f aca="false">IF(A340="","",F340+G340)</f>
        <v/>
      </c>
      <c r="I340" s="55" t="str">
        <f aca="false">IF(A340="","",IF(AND(OR(MONTH(B340)=6,MONTH(B340)=12),I339&lt;計算過程!$B$50),I339+1,I339))</f>
        <v/>
      </c>
      <c r="J340" s="56" t="str">
        <f aca="false">IF(A340="","",IF(I340&gt;I339,計算過程!$B$57,0))</f>
        <v/>
      </c>
      <c r="K340" s="56" t="str">
        <f aca="false">IF(A340="","",IF(I340&gt;I339,ROUND(M339*計算過程!$B$55,0),0))</f>
        <v/>
      </c>
      <c r="L340" s="56" t="str">
        <f aca="false">IF(A340="","",J340-K340)</f>
        <v/>
      </c>
      <c r="M340" s="56" t="str">
        <f aca="false">IF(A340="","",IF(I340&gt;I339,MAX(0,M339*(1+計算過程!$B$55)-計算過程!$B$56),M339))</f>
        <v/>
      </c>
      <c r="N340" s="56" t="str">
        <f aca="false">IF(A340="","",C340+J340)</f>
        <v/>
      </c>
      <c r="O340" s="56" t="str">
        <f aca="false">IF(A340="","",H340+M340)</f>
        <v/>
      </c>
    </row>
    <row r="341" customFormat="false" ht="15" hidden="false" customHeight="false" outlineLevel="0" collapsed="false">
      <c r="A341" s="55" t="str">
        <f aca="false">IF(ROWS($A$8:A341)&lt;=計算過程!$B$51,ROWS($A$8:A341),"")</f>
        <v/>
      </c>
      <c r="B341" s="57" t="str">
        <f aca="false">IF(A341="","",EDATE(計算過程!$B$71,A341-1))</f>
        <v/>
      </c>
      <c r="C341" s="56" t="str">
        <f aca="false">IF(A341="","",計算過程!$B$54)</f>
        <v/>
      </c>
      <c r="D341" s="56" t="str">
        <f aca="false">IF(A341="","",ROUND(F340*計算過程!$B$24/12+G340*計算過程!$B$25/12,0))</f>
        <v/>
      </c>
      <c r="E341" s="56" t="str">
        <f aca="false">IF(A341="","",C341-D341)</f>
        <v/>
      </c>
      <c r="F341" s="56" t="str">
        <f aca="false">IF(A341="","",MAX(0,F340*(1+計算過程!$B$24/12)-計算過程!$B$52))</f>
        <v/>
      </c>
      <c r="G341" s="56" t="str">
        <f aca="false">IF(A341="","",MAX(0,G340*(1+計算過程!$B$25/12)-計算過程!$B$53))</f>
        <v/>
      </c>
      <c r="H341" s="56" t="str">
        <f aca="false">IF(A341="","",F341+G341)</f>
        <v/>
      </c>
      <c r="I341" s="55" t="str">
        <f aca="false">IF(A341="","",IF(AND(OR(MONTH(B341)=6,MONTH(B341)=12),I340&lt;計算過程!$B$50),I340+1,I340))</f>
        <v/>
      </c>
      <c r="J341" s="56" t="str">
        <f aca="false">IF(A341="","",IF(I341&gt;I340,計算過程!$B$57,0))</f>
        <v/>
      </c>
      <c r="K341" s="56" t="str">
        <f aca="false">IF(A341="","",IF(I341&gt;I340,ROUND(M340*計算過程!$B$55,0),0))</f>
        <v/>
      </c>
      <c r="L341" s="56" t="str">
        <f aca="false">IF(A341="","",J341-K341)</f>
        <v/>
      </c>
      <c r="M341" s="56" t="str">
        <f aca="false">IF(A341="","",IF(I341&gt;I340,MAX(0,M340*(1+計算過程!$B$55)-計算過程!$B$56),M340))</f>
        <v/>
      </c>
      <c r="N341" s="56" t="str">
        <f aca="false">IF(A341="","",C341+J341)</f>
        <v/>
      </c>
      <c r="O341" s="56" t="str">
        <f aca="false">IF(A341="","",H341+M341)</f>
        <v/>
      </c>
    </row>
    <row r="342" customFormat="false" ht="15" hidden="false" customHeight="false" outlineLevel="0" collapsed="false">
      <c r="A342" s="55" t="str">
        <f aca="false">IF(ROWS($A$8:A342)&lt;=計算過程!$B$51,ROWS($A$8:A342),"")</f>
        <v/>
      </c>
      <c r="B342" s="57" t="str">
        <f aca="false">IF(A342="","",EDATE(計算過程!$B$71,A342-1))</f>
        <v/>
      </c>
      <c r="C342" s="56" t="str">
        <f aca="false">IF(A342="","",計算過程!$B$54)</f>
        <v/>
      </c>
      <c r="D342" s="56" t="str">
        <f aca="false">IF(A342="","",ROUND(F341*計算過程!$B$24/12+G341*計算過程!$B$25/12,0))</f>
        <v/>
      </c>
      <c r="E342" s="56" t="str">
        <f aca="false">IF(A342="","",C342-D342)</f>
        <v/>
      </c>
      <c r="F342" s="56" t="str">
        <f aca="false">IF(A342="","",MAX(0,F341*(1+計算過程!$B$24/12)-計算過程!$B$52))</f>
        <v/>
      </c>
      <c r="G342" s="56" t="str">
        <f aca="false">IF(A342="","",MAX(0,G341*(1+計算過程!$B$25/12)-計算過程!$B$53))</f>
        <v/>
      </c>
      <c r="H342" s="56" t="str">
        <f aca="false">IF(A342="","",F342+G342)</f>
        <v/>
      </c>
      <c r="I342" s="55" t="str">
        <f aca="false">IF(A342="","",IF(AND(OR(MONTH(B342)=6,MONTH(B342)=12),I341&lt;計算過程!$B$50),I341+1,I341))</f>
        <v/>
      </c>
      <c r="J342" s="56" t="str">
        <f aca="false">IF(A342="","",IF(I342&gt;I341,計算過程!$B$57,0))</f>
        <v/>
      </c>
      <c r="K342" s="56" t="str">
        <f aca="false">IF(A342="","",IF(I342&gt;I341,ROUND(M341*計算過程!$B$55,0),0))</f>
        <v/>
      </c>
      <c r="L342" s="56" t="str">
        <f aca="false">IF(A342="","",J342-K342)</f>
        <v/>
      </c>
      <c r="M342" s="56" t="str">
        <f aca="false">IF(A342="","",IF(I342&gt;I341,MAX(0,M341*(1+計算過程!$B$55)-計算過程!$B$56),M341))</f>
        <v/>
      </c>
      <c r="N342" s="56" t="str">
        <f aca="false">IF(A342="","",C342+J342)</f>
        <v/>
      </c>
      <c r="O342" s="56" t="str">
        <f aca="false">IF(A342="","",H342+M342)</f>
        <v/>
      </c>
    </row>
    <row r="343" customFormat="false" ht="15" hidden="false" customHeight="false" outlineLevel="0" collapsed="false">
      <c r="A343" s="55" t="str">
        <f aca="false">IF(ROWS($A$8:A343)&lt;=計算過程!$B$51,ROWS($A$8:A343),"")</f>
        <v/>
      </c>
      <c r="B343" s="57" t="str">
        <f aca="false">IF(A343="","",EDATE(計算過程!$B$71,A343-1))</f>
        <v/>
      </c>
      <c r="C343" s="56" t="str">
        <f aca="false">IF(A343="","",計算過程!$B$54)</f>
        <v/>
      </c>
      <c r="D343" s="56" t="str">
        <f aca="false">IF(A343="","",ROUND(F342*計算過程!$B$24/12+G342*計算過程!$B$25/12,0))</f>
        <v/>
      </c>
      <c r="E343" s="56" t="str">
        <f aca="false">IF(A343="","",C343-D343)</f>
        <v/>
      </c>
      <c r="F343" s="56" t="str">
        <f aca="false">IF(A343="","",MAX(0,F342*(1+計算過程!$B$24/12)-計算過程!$B$52))</f>
        <v/>
      </c>
      <c r="G343" s="56" t="str">
        <f aca="false">IF(A343="","",MAX(0,G342*(1+計算過程!$B$25/12)-計算過程!$B$53))</f>
        <v/>
      </c>
      <c r="H343" s="56" t="str">
        <f aca="false">IF(A343="","",F343+G343)</f>
        <v/>
      </c>
      <c r="I343" s="55" t="str">
        <f aca="false">IF(A343="","",IF(AND(OR(MONTH(B343)=6,MONTH(B343)=12),I342&lt;計算過程!$B$50),I342+1,I342))</f>
        <v/>
      </c>
      <c r="J343" s="56" t="str">
        <f aca="false">IF(A343="","",IF(I343&gt;I342,計算過程!$B$57,0))</f>
        <v/>
      </c>
      <c r="K343" s="56" t="str">
        <f aca="false">IF(A343="","",IF(I343&gt;I342,ROUND(M342*計算過程!$B$55,0),0))</f>
        <v/>
      </c>
      <c r="L343" s="56" t="str">
        <f aca="false">IF(A343="","",J343-K343)</f>
        <v/>
      </c>
      <c r="M343" s="56" t="str">
        <f aca="false">IF(A343="","",IF(I343&gt;I342,MAX(0,M342*(1+計算過程!$B$55)-計算過程!$B$56),M342))</f>
        <v/>
      </c>
      <c r="N343" s="56" t="str">
        <f aca="false">IF(A343="","",C343+J343)</f>
        <v/>
      </c>
      <c r="O343" s="56" t="str">
        <f aca="false">IF(A343="","",H343+M343)</f>
        <v/>
      </c>
    </row>
    <row r="344" customFormat="false" ht="15" hidden="false" customHeight="false" outlineLevel="0" collapsed="false">
      <c r="A344" s="55" t="str">
        <f aca="false">IF(ROWS($A$8:A344)&lt;=計算過程!$B$51,ROWS($A$8:A344),"")</f>
        <v/>
      </c>
      <c r="B344" s="57" t="str">
        <f aca="false">IF(A344="","",EDATE(計算過程!$B$71,A344-1))</f>
        <v/>
      </c>
      <c r="C344" s="56" t="str">
        <f aca="false">IF(A344="","",計算過程!$B$54)</f>
        <v/>
      </c>
      <c r="D344" s="56" t="str">
        <f aca="false">IF(A344="","",ROUND(F343*計算過程!$B$24/12+G343*計算過程!$B$25/12,0))</f>
        <v/>
      </c>
      <c r="E344" s="56" t="str">
        <f aca="false">IF(A344="","",C344-D344)</f>
        <v/>
      </c>
      <c r="F344" s="56" t="str">
        <f aca="false">IF(A344="","",MAX(0,F343*(1+計算過程!$B$24/12)-計算過程!$B$52))</f>
        <v/>
      </c>
      <c r="G344" s="56" t="str">
        <f aca="false">IF(A344="","",MAX(0,G343*(1+計算過程!$B$25/12)-計算過程!$B$53))</f>
        <v/>
      </c>
      <c r="H344" s="56" t="str">
        <f aca="false">IF(A344="","",F344+G344)</f>
        <v/>
      </c>
      <c r="I344" s="55" t="str">
        <f aca="false">IF(A344="","",IF(AND(OR(MONTH(B344)=6,MONTH(B344)=12),I343&lt;計算過程!$B$50),I343+1,I343))</f>
        <v/>
      </c>
      <c r="J344" s="56" t="str">
        <f aca="false">IF(A344="","",IF(I344&gt;I343,計算過程!$B$57,0))</f>
        <v/>
      </c>
      <c r="K344" s="56" t="str">
        <f aca="false">IF(A344="","",IF(I344&gt;I343,ROUND(M343*計算過程!$B$55,0),0))</f>
        <v/>
      </c>
      <c r="L344" s="56" t="str">
        <f aca="false">IF(A344="","",J344-K344)</f>
        <v/>
      </c>
      <c r="M344" s="56" t="str">
        <f aca="false">IF(A344="","",IF(I344&gt;I343,MAX(0,M343*(1+計算過程!$B$55)-計算過程!$B$56),M343))</f>
        <v/>
      </c>
      <c r="N344" s="56" t="str">
        <f aca="false">IF(A344="","",C344+J344)</f>
        <v/>
      </c>
      <c r="O344" s="56" t="str">
        <f aca="false">IF(A344="","",H344+M344)</f>
        <v/>
      </c>
    </row>
    <row r="345" customFormat="false" ht="15" hidden="false" customHeight="false" outlineLevel="0" collapsed="false">
      <c r="A345" s="55" t="str">
        <f aca="false">IF(ROWS($A$8:A345)&lt;=計算過程!$B$51,ROWS($A$8:A345),"")</f>
        <v/>
      </c>
      <c r="B345" s="57" t="str">
        <f aca="false">IF(A345="","",EDATE(計算過程!$B$71,A345-1))</f>
        <v/>
      </c>
      <c r="C345" s="56" t="str">
        <f aca="false">IF(A345="","",計算過程!$B$54)</f>
        <v/>
      </c>
      <c r="D345" s="56" t="str">
        <f aca="false">IF(A345="","",ROUND(F344*計算過程!$B$24/12+G344*計算過程!$B$25/12,0))</f>
        <v/>
      </c>
      <c r="E345" s="56" t="str">
        <f aca="false">IF(A345="","",C345-D345)</f>
        <v/>
      </c>
      <c r="F345" s="56" t="str">
        <f aca="false">IF(A345="","",MAX(0,F344*(1+計算過程!$B$24/12)-計算過程!$B$52))</f>
        <v/>
      </c>
      <c r="G345" s="56" t="str">
        <f aca="false">IF(A345="","",MAX(0,G344*(1+計算過程!$B$25/12)-計算過程!$B$53))</f>
        <v/>
      </c>
      <c r="H345" s="56" t="str">
        <f aca="false">IF(A345="","",F345+G345)</f>
        <v/>
      </c>
      <c r="I345" s="55" t="str">
        <f aca="false">IF(A345="","",IF(AND(OR(MONTH(B345)=6,MONTH(B345)=12),I344&lt;計算過程!$B$50),I344+1,I344))</f>
        <v/>
      </c>
      <c r="J345" s="56" t="str">
        <f aca="false">IF(A345="","",IF(I345&gt;I344,計算過程!$B$57,0))</f>
        <v/>
      </c>
      <c r="K345" s="56" t="str">
        <f aca="false">IF(A345="","",IF(I345&gt;I344,ROUND(M344*計算過程!$B$55,0),0))</f>
        <v/>
      </c>
      <c r="L345" s="56" t="str">
        <f aca="false">IF(A345="","",J345-K345)</f>
        <v/>
      </c>
      <c r="M345" s="56" t="str">
        <f aca="false">IF(A345="","",IF(I345&gt;I344,MAX(0,M344*(1+計算過程!$B$55)-計算過程!$B$56),M344))</f>
        <v/>
      </c>
      <c r="N345" s="56" t="str">
        <f aca="false">IF(A345="","",C345+J345)</f>
        <v/>
      </c>
      <c r="O345" s="56" t="str">
        <f aca="false">IF(A345="","",H345+M345)</f>
        <v/>
      </c>
    </row>
    <row r="346" customFormat="false" ht="15" hidden="false" customHeight="false" outlineLevel="0" collapsed="false">
      <c r="A346" s="55" t="str">
        <f aca="false">IF(ROWS($A$8:A346)&lt;=計算過程!$B$51,ROWS($A$8:A346),"")</f>
        <v/>
      </c>
      <c r="B346" s="57" t="str">
        <f aca="false">IF(A346="","",EDATE(計算過程!$B$71,A346-1))</f>
        <v/>
      </c>
      <c r="C346" s="56" t="str">
        <f aca="false">IF(A346="","",計算過程!$B$54)</f>
        <v/>
      </c>
      <c r="D346" s="56" t="str">
        <f aca="false">IF(A346="","",ROUND(F345*計算過程!$B$24/12+G345*計算過程!$B$25/12,0))</f>
        <v/>
      </c>
      <c r="E346" s="56" t="str">
        <f aca="false">IF(A346="","",C346-D346)</f>
        <v/>
      </c>
      <c r="F346" s="56" t="str">
        <f aca="false">IF(A346="","",MAX(0,F345*(1+計算過程!$B$24/12)-計算過程!$B$52))</f>
        <v/>
      </c>
      <c r="G346" s="56" t="str">
        <f aca="false">IF(A346="","",MAX(0,G345*(1+計算過程!$B$25/12)-計算過程!$B$53))</f>
        <v/>
      </c>
      <c r="H346" s="56" t="str">
        <f aca="false">IF(A346="","",F346+G346)</f>
        <v/>
      </c>
      <c r="I346" s="55" t="str">
        <f aca="false">IF(A346="","",IF(AND(OR(MONTH(B346)=6,MONTH(B346)=12),I345&lt;計算過程!$B$50),I345+1,I345))</f>
        <v/>
      </c>
      <c r="J346" s="56" t="str">
        <f aca="false">IF(A346="","",IF(I346&gt;I345,計算過程!$B$57,0))</f>
        <v/>
      </c>
      <c r="K346" s="56" t="str">
        <f aca="false">IF(A346="","",IF(I346&gt;I345,ROUND(M345*計算過程!$B$55,0),0))</f>
        <v/>
      </c>
      <c r="L346" s="56" t="str">
        <f aca="false">IF(A346="","",J346-K346)</f>
        <v/>
      </c>
      <c r="M346" s="56" t="str">
        <f aca="false">IF(A346="","",IF(I346&gt;I345,MAX(0,M345*(1+計算過程!$B$55)-計算過程!$B$56),M345))</f>
        <v/>
      </c>
      <c r="N346" s="56" t="str">
        <f aca="false">IF(A346="","",C346+J346)</f>
        <v/>
      </c>
      <c r="O346" s="56" t="str">
        <f aca="false">IF(A346="","",H346+M346)</f>
        <v/>
      </c>
    </row>
    <row r="347" customFormat="false" ht="15" hidden="false" customHeight="false" outlineLevel="0" collapsed="false">
      <c r="A347" s="55" t="str">
        <f aca="false">IF(ROWS($A$8:A347)&lt;=計算過程!$B$51,ROWS($A$8:A347),"")</f>
        <v/>
      </c>
      <c r="B347" s="57" t="str">
        <f aca="false">IF(A347="","",EDATE(計算過程!$B$71,A347-1))</f>
        <v/>
      </c>
      <c r="C347" s="56" t="str">
        <f aca="false">IF(A347="","",計算過程!$B$54)</f>
        <v/>
      </c>
      <c r="D347" s="56" t="str">
        <f aca="false">IF(A347="","",ROUND(F346*計算過程!$B$24/12+G346*計算過程!$B$25/12,0))</f>
        <v/>
      </c>
      <c r="E347" s="56" t="str">
        <f aca="false">IF(A347="","",C347-D347)</f>
        <v/>
      </c>
      <c r="F347" s="56" t="str">
        <f aca="false">IF(A347="","",MAX(0,F346*(1+計算過程!$B$24/12)-計算過程!$B$52))</f>
        <v/>
      </c>
      <c r="G347" s="56" t="str">
        <f aca="false">IF(A347="","",MAX(0,G346*(1+計算過程!$B$25/12)-計算過程!$B$53))</f>
        <v/>
      </c>
      <c r="H347" s="56" t="str">
        <f aca="false">IF(A347="","",F347+G347)</f>
        <v/>
      </c>
      <c r="I347" s="55" t="str">
        <f aca="false">IF(A347="","",IF(AND(OR(MONTH(B347)=6,MONTH(B347)=12),I346&lt;計算過程!$B$50),I346+1,I346))</f>
        <v/>
      </c>
      <c r="J347" s="56" t="str">
        <f aca="false">IF(A347="","",IF(I347&gt;I346,計算過程!$B$57,0))</f>
        <v/>
      </c>
      <c r="K347" s="56" t="str">
        <f aca="false">IF(A347="","",IF(I347&gt;I346,ROUND(M346*計算過程!$B$55,0),0))</f>
        <v/>
      </c>
      <c r="L347" s="56" t="str">
        <f aca="false">IF(A347="","",J347-K347)</f>
        <v/>
      </c>
      <c r="M347" s="56" t="str">
        <f aca="false">IF(A347="","",IF(I347&gt;I346,MAX(0,M346*(1+計算過程!$B$55)-計算過程!$B$56),M346))</f>
        <v/>
      </c>
      <c r="N347" s="56" t="str">
        <f aca="false">IF(A347="","",C347+J347)</f>
        <v/>
      </c>
      <c r="O347" s="56" t="str">
        <f aca="false">IF(A347="","",H347+M347)</f>
        <v/>
      </c>
    </row>
    <row r="348" customFormat="false" ht="15" hidden="false" customHeight="false" outlineLevel="0" collapsed="false">
      <c r="A348" s="55" t="str">
        <f aca="false">IF(ROWS($A$8:A348)&lt;=計算過程!$B$51,ROWS($A$8:A348),"")</f>
        <v/>
      </c>
      <c r="B348" s="57" t="str">
        <f aca="false">IF(A348="","",EDATE(計算過程!$B$71,A348-1))</f>
        <v/>
      </c>
      <c r="C348" s="56" t="str">
        <f aca="false">IF(A348="","",計算過程!$B$54)</f>
        <v/>
      </c>
      <c r="D348" s="56" t="str">
        <f aca="false">IF(A348="","",ROUND(F347*計算過程!$B$24/12+G347*計算過程!$B$25/12,0))</f>
        <v/>
      </c>
      <c r="E348" s="56" t="str">
        <f aca="false">IF(A348="","",C348-D348)</f>
        <v/>
      </c>
      <c r="F348" s="56" t="str">
        <f aca="false">IF(A348="","",MAX(0,F347*(1+計算過程!$B$24/12)-計算過程!$B$52))</f>
        <v/>
      </c>
      <c r="G348" s="56" t="str">
        <f aca="false">IF(A348="","",MAX(0,G347*(1+計算過程!$B$25/12)-計算過程!$B$53))</f>
        <v/>
      </c>
      <c r="H348" s="56" t="str">
        <f aca="false">IF(A348="","",F348+G348)</f>
        <v/>
      </c>
      <c r="I348" s="55" t="str">
        <f aca="false">IF(A348="","",IF(AND(OR(MONTH(B348)=6,MONTH(B348)=12),I347&lt;計算過程!$B$50),I347+1,I347))</f>
        <v/>
      </c>
      <c r="J348" s="56" t="str">
        <f aca="false">IF(A348="","",IF(I348&gt;I347,計算過程!$B$57,0))</f>
        <v/>
      </c>
      <c r="K348" s="56" t="str">
        <f aca="false">IF(A348="","",IF(I348&gt;I347,ROUND(M347*計算過程!$B$55,0),0))</f>
        <v/>
      </c>
      <c r="L348" s="56" t="str">
        <f aca="false">IF(A348="","",J348-K348)</f>
        <v/>
      </c>
      <c r="M348" s="56" t="str">
        <f aca="false">IF(A348="","",IF(I348&gt;I347,MAX(0,M347*(1+計算過程!$B$55)-計算過程!$B$56),M347))</f>
        <v/>
      </c>
      <c r="N348" s="56" t="str">
        <f aca="false">IF(A348="","",C348+J348)</f>
        <v/>
      </c>
      <c r="O348" s="56" t="str">
        <f aca="false">IF(A348="","",H348+M348)</f>
        <v/>
      </c>
    </row>
    <row r="349" customFormat="false" ht="15" hidden="false" customHeight="false" outlineLevel="0" collapsed="false">
      <c r="A349" s="55" t="str">
        <f aca="false">IF(ROWS($A$8:A349)&lt;=計算過程!$B$51,ROWS($A$8:A349),"")</f>
        <v/>
      </c>
      <c r="B349" s="57" t="str">
        <f aca="false">IF(A349="","",EDATE(計算過程!$B$71,A349-1))</f>
        <v/>
      </c>
      <c r="C349" s="56" t="str">
        <f aca="false">IF(A349="","",計算過程!$B$54)</f>
        <v/>
      </c>
      <c r="D349" s="56" t="str">
        <f aca="false">IF(A349="","",ROUND(F348*計算過程!$B$24/12+G348*計算過程!$B$25/12,0))</f>
        <v/>
      </c>
      <c r="E349" s="56" t="str">
        <f aca="false">IF(A349="","",C349-D349)</f>
        <v/>
      </c>
      <c r="F349" s="56" t="str">
        <f aca="false">IF(A349="","",MAX(0,F348*(1+計算過程!$B$24/12)-計算過程!$B$52))</f>
        <v/>
      </c>
      <c r="G349" s="56" t="str">
        <f aca="false">IF(A349="","",MAX(0,G348*(1+計算過程!$B$25/12)-計算過程!$B$53))</f>
        <v/>
      </c>
      <c r="H349" s="56" t="str">
        <f aca="false">IF(A349="","",F349+G349)</f>
        <v/>
      </c>
      <c r="I349" s="55" t="str">
        <f aca="false">IF(A349="","",IF(AND(OR(MONTH(B349)=6,MONTH(B349)=12),I348&lt;計算過程!$B$50),I348+1,I348))</f>
        <v/>
      </c>
      <c r="J349" s="56" t="str">
        <f aca="false">IF(A349="","",IF(I349&gt;I348,計算過程!$B$57,0))</f>
        <v/>
      </c>
      <c r="K349" s="56" t="str">
        <f aca="false">IF(A349="","",IF(I349&gt;I348,ROUND(M348*計算過程!$B$55,0),0))</f>
        <v/>
      </c>
      <c r="L349" s="56" t="str">
        <f aca="false">IF(A349="","",J349-K349)</f>
        <v/>
      </c>
      <c r="M349" s="56" t="str">
        <f aca="false">IF(A349="","",IF(I349&gt;I348,MAX(0,M348*(1+計算過程!$B$55)-計算過程!$B$56),M348))</f>
        <v/>
      </c>
      <c r="N349" s="56" t="str">
        <f aca="false">IF(A349="","",C349+J349)</f>
        <v/>
      </c>
      <c r="O349" s="56" t="str">
        <f aca="false">IF(A349="","",H349+M349)</f>
        <v/>
      </c>
    </row>
    <row r="350" customFormat="false" ht="15" hidden="false" customHeight="false" outlineLevel="0" collapsed="false">
      <c r="A350" s="55" t="str">
        <f aca="false">IF(ROWS($A$8:A350)&lt;=計算過程!$B$51,ROWS($A$8:A350),"")</f>
        <v/>
      </c>
      <c r="B350" s="57" t="str">
        <f aca="false">IF(A350="","",EDATE(計算過程!$B$71,A350-1))</f>
        <v/>
      </c>
      <c r="C350" s="56" t="str">
        <f aca="false">IF(A350="","",計算過程!$B$54)</f>
        <v/>
      </c>
      <c r="D350" s="56" t="str">
        <f aca="false">IF(A350="","",ROUND(F349*計算過程!$B$24/12+G349*計算過程!$B$25/12,0))</f>
        <v/>
      </c>
      <c r="E350" s="56" t="str">
        <f aca="false">IF(A350="","",C350-D350)</f>
        <v/>
      </c>
      <c r="F350" s="56" t="str">
        <f aca="false">IF(A350="","",MAX(0,F349*(1+計算過程!$B$24/12)-計算過程!$B$52))</f>
        <v/>
      </c>
      <c r="G350" s="56" t="str">
        <f aca="false">IF(A350="","",MAX(0,G349*(1+計算過程!$B$25/12)-計算過程!$B$53))</f>
        <v/>
      </c>
      <c r="H350" s="56" t="str">
        <f aca="false">IF(A350="","",F350+G350)</f>
        <v/>
      </c>
      <c r="I350" s="55" t="str">
        <f aca="false">IF(A350="","",IF(AND(OR(MONTH(B350)=6,MONTH(B350)=12),I349&lt;計算過程!$B$50),I349+1,I349))</f>
        <v/>
      </c>
      <c r="J350" s="56" t="str">
        <f aca="false">IF(A350="","",IF(I350&gt;I349,計算過程!$B$57,0))</f>
        <v/>
      </c>
      <c r="K350" s="56" t="str">
        <f aca="false">IF(A350="","",IF(I350&gt;I349,ROUND(M349*計算過程!$B$55,0),0))</f>
        <v/>
      </c>
      <c r="L350" s="56" t="str">
        <f aca="false">IF(A350="","",J350-K350)</f>
        <v/>
      </c>
      <c r="M350" s="56" t="str">
        <f aca="false">IF(A350="","",IF(I350&gt;I349,MAX(0,M349*(1+計算過程!$B$55)-計算過程!$B$56),M349))</f>
        <v/>
      </c>
      <c r="N350" s="56" t="str">
        <f aca="false">IF(A350="","",C350+J350)</f>
        <v/>
      </c>
      <c r="O350" s="56" t="str">
        <f aca="false">IF(A350="","",H350+M350)</f>
        <v/>
      </c>
    </row>
    <row r="351" customFormat="false" ht="15" hidden="false" customHeight="false" outlineLevel="0" collapsed="false">
      <c r="A351" s="55" t="str">
        <f aca="false">IF(ROWS($A$8:A351)&lt;=計算過程!$B$51,ROWS($A$8:A351),"")</f>
        <v/>
      </c>
      <c r="B351" s="57" t="str">
        <f aca="false">IF(A351="","",EDATE(計算過程!$B$71,A351-1))</f>
        <v/>
      </c>
      <c r="C351" s="56" t="str">
        <f aca="false">IF(A351="","",計算過程!$B$54)</f>
        <v/>
      </c>
      <c r="D351" s="56" t="str">
        <f aca="false">IF(A351="","",ROUND(F350*計算過程!$B$24/12+G350*計算過程!$B$25/12,0))</f>
        <v/>
      </c>
      <c r="E351" s="56" t="str">
        <f aca="false">IF(A351="","",C351-D351)</f>
        <v/>
      </c>
      <c r="F351" s="56" t="str">
        <f aca="false">IF(A351="","",MAX(0,F350*(1+計算過程!$B$24/12)-計算過程!$B$52))</f>
        <v/>
      </c>
      <c r="G351" s="56" t="str">
        <f aca="false">IF(A351="","",MAX(0,G350*(1+計算過程!$B$25/12)-計算過程!$B$53))</f>
        <v/>
      </c>
      <c r="H351" s="56" t="str">
        <f aca="false">IF(A351="","",F351+G351)</f>
        <v/>
      </c>
      <c r="I351" s="55" t="str">
        <f aca="false">IF(A351="","",IF(AND(OR(MONTH(B351)=6,MONTH(B351)=12),I350&lt;計算過程!$B$50),I350+1,I350))</f>
        <v/>
      </c>
      <c r="J351" s="56" t="str">
        <f aca="false">IF(A351="","",IF(I351&gt;I350,計算過程!$B$57,0))</f>
        <v/>
      </c>
      <c r="K351" s="56" t="str">
        <f aca="false">IF(A351="","",IF(I351&gt;I350,ROUND(M350*計算過程!$B$55,0),0))</f>
        <v/>
      </c>
      <c r="L351" s="56" t="str">
        <f aca="false">IF(A351="","",J351-K351)</f>
        <v/>
      </c>
      <c r="M351" s="56" t="str">
        <f aca="false">IF(A351="","",IF(I351&gt;I350,MAX(0,M350*(1+計算過程!$B$55)-計算過程!$B$56),M350))</f>
        <v/>
      </c>
      <c r="N351" s="56" t="str">
        <f aca="false">IF(A351="","",C351+J351)</f>
        <v/>
      </c>
      <c r="O351" s="56" t="str">
        <f aca="false">IF(A351="","",H351+M351)</f>
        <v/>
      </c>
    </row>
    <row r="352" customFormat="false" ht="15" hidden="false" customHeight="false" outlineLevel="0" collapsed="false">
      <c r="A352" s="55" t="str">
        <f aca="false">IF(ROWS($A$8:A352)&lt;=計算過程!$B$51,ROWS($A$8:A352),"")</f>
        <v/>
      </c>
      <c r="B352" s="57" t="str">
        <f aca="false">IF(A352="","",EDATE(計算過程!$B$71,A352-1))</f>
        <v/>
      </c>
      <c r="C352" s="56" t="str">
        <f aca="false">IF(A352="","",計算過程!$B$54)</f>
        <v/>
      </c>
      <c r="D352" s="56" t="str">
        <f aca="false">IF(A352="","",ROUND(F351*計算過程!$B$24/12+G351*計算過程!$B$25/12,0))</f>
        <v/>
      </c>
      <c r="E352" s="56" t="str">
        <f aca="false">IF(A352="","",C352-D352)</f>
        <v/>
      </c>
      <c r="F352" s="56" t="str">
        <f aca="false">IF(A352="","",MAX(0,F351*(1+計算過程!$B$24/12)-計算過程!$B$52))</f>
        <v/>
      </c>
      <c r="G352" s="56" t="str">
        <f aca="false">IF(A352="","",MAX(0,G351*(1+計算過程!$B$25/12)-計算過程!$B$53))</f>
        <v/>
      </c>
      <c r="H352" s="56" t="str">
        <f aca="false">IF(A352="","",F352+G352)</f>
        <v/>
      </c>
      <c r="I352" s="55" t="str">
        <f aca="false">IF(A352="","",IF(AND(OR(MONTH(B352)=6,MONTH(B352)=12),I351&lt;計算過程!$B$50),I351+1,I351))</f>
        <v/>
      </c>
      <c r="J352" s="56" t="str">
        <f aca="false">IF(A352="","",IF(I352&gt;I351,計算過程!$B$57,0))</f>
        <v/>
      </c>
      <c r="K352" s="56" t="str">
        <f aca="false">IF(A352="","",IF(I352&gt;I351,ROUND(M351*計算過程!$B$55,0),0))</f>
        <v/>
      </c>
      <c r="L352" s="56" t="str">
        <f aca="false">IF(A352="","",J352-K352)</f>
        <v/>
      </c>
      <c r="M352" s="56" t="str">
        <f aca="false">IF(A352="","",IF(I352&gt;I351,MAX(0,M351*(1+計算過程!$B$55)-計算過程!$B$56),M351))</f>
        <v/>
      </c>
      <c r="N352" s="56" t="str">
        <f aca="false">IF(A352="","",C352+J352)</f>
        <v/>
      </c>
      <c r="O352" s="56" t="str">
        <f aca="false">IF(A352="","",H352+M352)</f>
        <v/>
      </c>
    </row>
    <row r="353" customFormat="false" ht="15" hidden="false" customHeight="false" outlineLevel="0" collapsed="false">
      <c r="A353" s="55" t="str">
        <f aca="false">IF(ROWS($A$8:A353)&lt;=計算過程!$B$51,ROWS($A$8:A353),"")</f>
        <v/>
      </c>
      <c r="B353" s="57" t="str">
        <f aca="false">IF(A353="","",EDATE(計算過程!$B$71,A353-1))</f>
        <v/>
      </c>
      <c r="C353" s="56" t="str">
        <f aca="false">IF(A353="","",計算過程!$B$54)</f>
        <v/>
      </c>
      <c r="D353" s="56" t="str">
        <f aca="false">IF(A353="","",ROUND(F352*計算過程!$B$24/12+G352*計算過程!$B$25/12,0))</f>
        <v/>
      </c>
      <c r="E353" s="56" t="str">
        <f aca="false">IF(A353="","",C353-D353)</f>
        <v/>
      </c>
      <c r="F353" s="56" t="str">
        <f aca="false">IF(A353="","",MAX(0,F352*(1+計算過程!$B$24/12)-計算過程!$B$52))</f>
        <v/>
      </c>
      <c r="G353" s="56" t="str">
        <f aca="false">IF(A353="","",MAX(0,G352*(1+計算過程!$B$25/12)-計算過程!$B$53))</f>
        <v/>
      </c>
      <c r="H353" s="56" t="str">
        <f aca="false">IF(A353="","",F353+G353)</f>
        <v/>
      </c>
      <c r="I353" s="55" t="str">
        <f aca="false">IF(A353="","",IF(AND(OR(MONTH(B353)=6,MONTH(B353)=12),I352&lt;計算過程!$B$50),I352+1,I352))</f>
        <v/>
      </c>
      <c r="J353" s="56" t="str">
        <f aca="false">IF(A353="","",IF(I353&gt;I352,計算過程!$B$57,0))</f>
        <v/>
      </c>
      <c r="K353" s="56" t="str">
        <f aca="false">IF(A353="","",IF(I353&gt;I352,ROUND(M352*計算過程!$B$55,0),0))</f>
        <v/>
      </c>
      <c r="L353" s="56" t="str">
        <f aca="false">IF(A353="","",J353-K353)</f>
        <v/>
      </c>
      <c r="M353" s="56" t="str">
        <f aca="false">IF(A353="","",IF(I353&gt;I352,MAX(0,M352*(1+計算過程!$B$55)-計算過程!$B$56),M352))</f>
        <v/>
      </c>
      <c r="N353" s="56" t="str">
        <f aca="false">IF(A353="","",C353+J353)</f>
        <v/>
      </c>
      <c r="O353" s="56" t="str">
        <f aca="false">IF(A353="","",H353+M353)</f>
        <v/>
      </c>
    </row>
    <row r="354" customFormat="false" ht="15" hidden="false" customHeight="false" outlineLevel="0" collapsed="false">
      <c r="A354" s="55" t="str">
        <f aca="false">IF(ROWS($A$8:A354)&lt;=計算過程!$B$51,ROWS($A$8:A354),"")</f>
        <v/>
      </c>
      <c r="B354" s="57" t="str">
        <f aca="false">IF(A354="","",EDATE(計算過程!$B$71,A354-1))</f>
        <v/>
      </c>
      <c r="C354" s="56" t="str">
        <f aca="false">IF(A354="","",計算過程!$B$54)</f>
        <v/>
      </c>
      <c r="D354" s="56" t="str">
        <f aca="false">IF(A354="","",ROUND(F353*計算過程!$B$24/12+G353*計算過程!$B$25/12,0))</f>
        <v/>
      </c>
      <c r="E354" s="56" t="str">
        <f aca="false">IF(A354="","",C354-D354)</f>
        <v/>
      </c>
      <c r="F354" s="56" t="str">
        <f aca="false">IF(A354="","",MAX(0,F353*(1+計算過程!$B$24/12)-計算過程!$B$52))</f>
        <v/>
      </c>
      <c r="G354" s="56" t="str">
        <f aca="false">IF(A354="","",MAX(0,G353*(1+計算過程!$B$25/12)-計算過程!$B$53))</f>
        <v/>
      </c>
      <c r="H354" s="56" t="str">
        <f aca="false">IF(A354="","",F354+G354)</f>
        <v/>
      </c>
      <c r="I354" s="55" t="str">
        <f aca="false">IF(A354="","",IF(AND(OR(MONTH(B354)=6,MONTH(B354)=12),I353&lt;計算過程!$B$50),I353+1,I353))</f>
        <v/>
      </c>
      <c r="J354" s="56" t="str">
        <f aca="false">IF(A354="","",IF(I354&gt;I353,計算過程!$B$57,0))</f>
        <v/>
      </c>
      <c r="K354" s="56" t="str">
        <f aca="false">IF(A354="","",IF(I354&gt;I353,ROUND(M353*計算過程!$B$55,0),0))</f>
        <v/>
      </c>
      <c r="L354" s="56" t="str">
        <f aca="false">IF(A354="","",J354-K354)</f>
        <v/>
      </c>
      <c r="M354" s="56" t="str">
        <f aca="false">IF(A354="","",IF(I354&gt;I353,MAX(0,M353*(1+計算過程!$B$55)-計算過程!$B$56),M353))</f>
        <v/>
      </c>
      <c r="N354" s="56" t="str">
        <f aca="false">IF(A354="","",C354+J354)</f>
        <v/>
      </c>
      <c r="O354" s="56" t="str">
        <f aca="false">IF(A354="","",H354+M354)</f>
        <v/>
      </c>
    </row>
    <row r="355" customFormat="false" ht="15" hidden="false" customHeight="false" outlineLevel="0" collapsed="false">
      <c r="A355" s="55" t="str">
        <f aca="false">IF(ROWS($A$8:A355)&lt;=計算過程!$B$51,ROWS($A$8:A355),"")</f>
        <v/>
      </c>
      <c r="B355" s="57" t="str">
        <f aca="false">IF(A355="","",EDATE(計算過程!$B$71,A355-1))</f>
        <v/>
      </c>
      <c r="C355" s="56" t="str">
        <f aca="false">IF(A355="","",計算過程!$B$54)</f>
        <v/>
      </c>
      <c r="D355" s="56" t="str">
        <f aca="false">IF(A355="","",ROUND(F354*計算過程!$B$24/12+G354*計算過程!$B$25/12,0))</f>
        <v/>
      </c>
      <c r="E355" s="56" t="str">
        <f aca="false">IF(A355="","",C355-D355)</f>
        <v/>
      </c>
      <c r="F355" s="56" t="str">
        <f aca="false">IF(A355="","",MAX(0,F354*(1+計算過程!$B$24/12)-計算過程!$B$52))</f>
        <v/>
      </c>
      <c r="G355" s="56" t="str">
        <f aca="false">IF(A355="","",MAX(0,G354*(1+計算過程!$B$25/12)-計算過程!$B$53))</f>
        <v/>
      </c>
      <c r="H355" s="56" t="str">
        <f aca="false">IF(A355="","",F355+G355)</f>
        <v/>
      </c>
      <c r="I355" s="55" t="str">
        <f aca="false">IF(A355="","",IF(AND(OR(MONTH(B355)=6,MONTH(B355)=12),I354&lt;計算過程!$B$50),I354+1,I354))</f>
        <v/>
      </c>
      <c r="J355" s="56" t="str">
        <f aca="false">IF(A355="","",IF(I355&gt;I354,計算過程!$B$57,0))</f>
        <v/>
      </c>
      <c r="K355" s="56" t="str">
        <f aca="false">IF(A355="","",IF(I355&gt;I354,ROUND(M354*計算過程!$B$55,0),0))</f>
        <v/>
      </c>
      <c r="L355" s="56" t="str">
        <f aca="false">IF(A355="","",J355-K355)</f>
        <v/>
      </c>
      <c r="M355" s="56" t="str">
        <f aca="false">IF(A355="","",IF(I355&gt;I354,MAX(0,M354*(1+計算過程!$B$55)-計算過程!$B$56),M354))</f>
        <v/>
      </c>
      <c r="N355" s="56" t="str">
        <f aca="false">IF(A355="","",C355+J355)</f>
        <v/>
      </c>
      <c r="O355" s="56" t="str">
        <f aca="false">IF(A355="","",H355+M355)</f>
        <v/>
      </c>
    </row>
    <row r="356" customFormat="false" ht="15" hidden="false" customHeight="false" outlineLevel="0" collapsed="false">
      <c r="A356" s="55" t="str">
        <f aca="false">IF(ROWS($A$8:A356)&lt;=計算過程!$B$51,ROWS($A$8:A356),"")</f>
        <v/>
      </c>
      <c r="B356" s="57" t="str">
        <f aca="false">IF(A356="","",EDATE(計算過程!$B$71,A356-1))</f>
        <v/>
      </c>
      <c r="C356" s="56" t="str">
        <f aca="false">IF(A356="","",計算過程!$B$54)</f>
        <v/>
      </c>
      <c r="D356" s="56" t="str">
        <f aca="false">IF(A356="","",ROUND(F355*計算過程!$B$24/12+G355*計算過程!$B$25/12,0))</f>
        <v/>
      </c>
      <c r="E356" s="56" t="str">
        <f aca="false">IF(A356="","",C356-D356)</f>
        <v/>
      </c>
      <c r="F356" s="56" t="str">
        <f aca="false">IF(A356="","",MAX(0,F355*(1+計算過程!$B$24/12)-計算過程!$B$52))</f>
        <v/>
      </c>
      <c r="G356" s="56" t="str">
        <f aca="false">IF(A356="","",MAX(0,G355*(1+計算過程!$B$25/12)-計算過程!$B$53))</f>
        <v/>
      </c>
      <c r="H356" s="56" t="str">
        <f aca="false">IF(A356="","",F356+G356)</f>
        <v/>
      </c>
      <c r="I356" s="55" t="str">
        <f aca="false">IF(A356="","",IF(AND(OR(MONTH(B356)=6,MONTH(B356)=12),I355&lt;計算過程!$B$50),I355+1,I355))</f>
        <v/>
      </c>
      <c r="J356" s="56" t="str">
        <f aca="false">IF(A356="","",IF(I356&gt;I355,計算過程!$B$57,0))</f>
        <v/>
      </c>
      <c r="K356" s="56" t="str">
        <f aca="false">IF(A356="","",IF(I356&gt;I355,ROUND(M355*計算過程!$B$55,0),0))</f>
        <v/>
      </c>
      <c r="L356" s="56" t="str">
        <f aca="false">IF(A356="","",J356-K356)</f>
        <v/>
      </c>
      <c r="M356" s="56" t="str">
        <f aca="false">IF(A356="","",IF(I356&gt;I355,MAX(0,M355*(1+計算過程!$B$55)-計算過程!$B$56),M355))</f>
        <v/>
      </c>
      <c r="N356" s="56" t="str">
        <f aca="false">IF(A356="","",C356+J356)</f>
        <v/>
      </c>
      <c r="O356" s="56" t="str">
        <f aca="false">IF(A356="","",H356+M356)</f>
        <v/>
      </c>
    </row>
    <row r="357" customFormat="false" ht="15" hidden="false" customHeight="false" outlineLevel="0" collapsed="false">
      <c r="A357" s="55" t="str">
        <f aca="false">IF(ROWS($A$8:A357)&lt;=計算過程!$B$51,ROWS($A$8:A357),"")</f>
        <v/>
      </c>
      <c r="B357" s="57" t="str">
        <f aca="false">IF(A357="","",EDATE(計算過程!$B$71,A357-1))</f>
        <v/>
      </c>
      <c r="C357" s="56" t="str">
        <f aca="false">IF(A357="","",計算過程!$B$54)</f>
        <v/>
      </c>
      <c r="D357" s="56" t="str">
        <f aca="false">IF(A357="","",ROUND(F356*計算過程!$B$24/12+G356*計算過程!$B$25/12,0))</f>
        <v/>
      </c>
      <c r="E357" s="56" t="str">
        <f aca="false">IF(A357="","",C357-D357)</f>
        <v/>
      </c>
      <c r="F357" s="56" t="str">
        <f aca="false">IF(A357="","",MAX(0,F356*(1+計算過程!$B$24/12)-計算過程!$B$52))</f>
        <v/>
      </c>
      <c r="G357" s="56" t="str">
        <f aca="false">IF(A357="","",MAX(0,G356*(1+計算過程!$B$25/12)-計算過程!$B$53))</f>
        <v/>
      </c>
      <c r="H357" s="56" t="str">
        <f aca="false">IF(A357="","",F357+G357)</f>
        <v/>
      </c>
      <c r="I357" s="55" t="str">
        <f aca="false">IF(A357="","",IF(AND(OR(MONTH(B357)=6,MONTH(B357)=12),I356&lt;計算過程!$B$50),I356+1,I356))</f>
        <v/>
      </c>
      <c r="J357" s="56" t="str">
        <f aca="false">IF(A357="","",IF(I357&gt;I356,計算過程!$B$57,0))</f>
        <v/>
      </c>
      <c r="K357" s="56" t="str">
        <f aca="false">IF(A357="","",IF(I357&gt;I356,ROUND(M356*計算過程!$B$55,0),0))</f>
        <v/>
      </c>
      <c r="L357" s="56" t="str">
        <f aca="false">IF(A357="","",J357-K357)</f>
        <v/>
      </c>
      <c r="M357" s="56" t="str">
        <f aca="false">IF(A357="","",IF(I357&gt;I356,MAX(0,M356*(1+計算過程!$B$55)-計算過程!$B$56),M356))</f>
        <v/>
      </c>
      <c r="N357" s="56" t="str">
        <f aca="false">IF(A357="","",C357+J357)</f>
        <v/>
      </c>
      <c r="O357" s="56" t="str">
        <f aca="false">IF(A357="","",H357+M357)</f>
        <v/>
      </c>
    </row>
    <row r="358" customFormat="false" ht="15" hidden="false" customHeight="false" outlineLevel="0" collapsed="false">
      <c r="A358" s="55" t="str">
        <f aca="false">IF(ROWS($A$8:A358)&lt;=計算過程!$B$51,ROWS($A$8:A358),"")</f>
        <v/>
      </c>
      <c r="B358" s="57" t="str">
        <f aca="false">IF(A358="","",EDATE(計算過程!$B$71,A358-1))</f>
        <v/>
      </c>
      <c r="C358" s="56" t="str">
        <f aca="false">IF(A358="","",計算過程!$B$54)</f>
        <v/>
      </c>
      <c r="D358" s="56" t="str">
        <f aca="false">IF(A358="","",ROUND(F357*計算過程!$B$24/12+G357*計算過程!$B$25/12,0))</f>
        <v/>
      </c>
      <c r="E358" s="56" t="str">
        <f aca="false">IF(A358="","",C358-D358)</f>
        <v/>
      </c>
      <c r="F358" s="56" t="str">
        <f aca="false">IF(A358="","",MAX(0,F357*(1+計算過程!$B$24/12)-計算過程!$B$52))</f>
        <v/>
      </c>
      <c r="G358" s="56" t="str">
        <f aca="false">IF(A358="","",MAX(0,G357*(1+計算過程!$B$25/12)-計算過程!$B$53))</f>
        <v/>
      </c>
      <c r="H358" s="56" t="str">
        <f aca="false">IF(A358="","",F358+G358)</f>
        <v/>
      </c>
      <c r="I358" s="55" t="str">
        <f aca="false">IF(A358="","",IF(AND(OR(MONTH(B358)=6,MONTH(B358)=12),I357&lt;計算過程!$B$50),I357+1,I357))</f>
        <v/>
      </c>
      <c r="J358" s="56" t="str">
        <f aca="false">IF(A358="","",IF(I358&gt;I357,計算過程!$B$57,0))</f>
        <v/>
      </c>
      <c r="K358" s="56" t="str">
        <f aca="false">IF(A358="","",IF(I358&gt;I357,ROUND(M357*計算過程!$B$55,0),0))</f>
        <v/>
      </c>
      <c r="L358" s="56" t="str">
        <f aca="false">IF(A358="","",J358-K358)</f>
        <v/>
      </c>
      <c r="M358" s="56" t="str">
        <f aca="false">IF(A358="","",IF(I358&gt;I357,MAX(0,M357*(1+計算過程!$B$55)-計算過程!$B$56),M357))</f>
        <v/>
      </c>
      <c r="N358" s="56" t="str">
        <f aca="false">IF(A358="","",C358+J358)</f>
        <v/>
      </c>
      <c r="O358" s="56" t="str">
        <f aca="false">IF(A358="","",H358+M358)</f>
        <v/>
      </c>
    </row>
    <row r="359" customFormat="false" ht="15" hidden="false" customHeight="false" outlineLevel="0" collapsed="false">
      <c r="A359" s="55" t="str">
        <f aca="false">IF(ROWS($A$8:A359)&lt;=計算過程!$B$51,ROWS($A$8:A359),"")</f>
        <v/>
      </c>
      <c r="B359" s="57" t="str">
        <f aca="false">IF(A359="","",EDATE(計算過程!$B$71,A359-1))</f>
        <v/>
      </c>
      <c r="C359" s="56" t="str">
        <f aca="false">IF(A359="","",計算過程!$B$54)</f>
        <v/>
      </c>
      <c r="D359" s="56" t="str">
        <f aca="false">IF(A359="","",ROUND(F358*計算過程!$B$24/12+G358*計算過程!$B$25/12,0))</f>
        <v/>
      </c>
      <c r="E359" s="56" t="str">
        <f aca="false">IF(A359="","",C359-D359)</f>
        <v/>
      </c>
      <c r="F359" s="56" t="str">
        <f aca="false">IF(A359="","",MAX(0,F358*(1+計算過程!$B$24/12)-計算過程!$B$52))</f>
        <v/>
      </c>
      <c r="G359" s="56" t="str">
        <f aca="false">IF(A359="","",MAX(0,G358*(1+計算過程!$B$25/12)-計算過程!$B$53))</f>
        <v/>
      </c>
      <c r="H359" s="56" t="str">
        <f aca="false">IF(A359="","",F359+G359)</f>
        <v/>
      </c>
      <c r="I359" s="55" t="str">
        <f aca="false">IF(A359="","",IF(AND(OR(MONTH(B359)=6,MONTH(B359)=12),I358&lt;計算過程!$B$50),I358+1,I358))</f>
        <v/>
      </c>
      <c r="J359" s="56" t="str">
        <f aca="false">IF(A359="","",IF(I359&gt;I358,計算過程!$B$57,0))</f>
        <v/>
      </c>
      <c r="K359" s="56" t="str">
        <f aca="false">IF(A359="","",IF(I359&gt;I358,ROUND(M358*計算過程!$B$55,0),0))</f>
        <v/>
      </c>
      <c r="L359" s="56" t="str">
        <f aca="false">IF(A359="","",J359-K359)</f>
        <v/>
      </c>
      <c r="M359" s="56" t="str">
        <f aca="false">IF(A359="","",IF(I359&gt;I358,MAX(0,M358*(1+計算過程!$B$55)-計算過程!$B$56),M358))</f>
        <v/>
      </c>
      <c r="N359" s="56" t="str">
        <f aca="false">IF(A359="","",C359+J359)</f>
        <v/>
      </c>
      <c r="O359" s="56" t="str">
        <f aca="false">IF(A359="","",H359+M359)</f>
        <v/>
      </c>
    </row>
    <row r="360" customFormat="false" ht="15" hidden="false" customHeight="false" outlineLevel="0" collapsed="false">
      <c r="A360" s="55" t="str">
        <f aca="false">IF(ROWS($A$8:A360)&lt;=計算過程!$B$51,ROWS($A$8:A360),"")</f>
        <v/>
      </c>
      <c r="B360" s="57" t="str">
        <f aca="false">IF(A360="","",EDATE(計算過程!$B$71,A360-1))</f>
        <v/>
      </c>
      <c r="C360" s="56" t="str">
        <f aca="false">IF(A360="","",計算過程!$B$54)</f>
        <v/>
      </c>
      <c r="D360" s="56" t="str">
        <f aca="false">IF(A360="","",ROUND(F359*計算過程!$B$24/12+G359*計算過程!$B$25/12,0))</f>
        <v/>
      </c>
      <c r="E360" s="56" t="str">
        <f aca="false">IF(A360="","",C360-D360)</f>
        <v/>
      </c>
      <c r="F360" s="56" t="str">
        <f aca="false">IF(A360="","",MAX(0,F359*(1+計算過程!$B$24/12)-計算過程!$B$52))</f>
        <v/>
      </c>
      <c r="G360" s="56" t="str">
        <f aca="false">IF(A360="","",MAX(0,G359*(1+計算過程!$B$25/12)-計算過程!$B$53))</f>
        <v/>
      </c>
      <c r="H360" s="56" t="str">
        <f aca="false">IF(A360="","",F360+G360)</f>
        <v/>
      </c>
      <c r="I360" s="55" t="str">
        <f aca="false">IF(A360="","",IF(AND(OR(MONTH(B360)=6,MONTH(B360)=12),I359&lt;計算過程!$B$50),I359+1,I359))</f>
        <v/>
      </c>
      <c r="J360" s="56" t="str">
        <f aca="false">IF(A360="","",IF(I360&gt;I359,計算過程!$B$57,0))</f>
        <v/>
      </c>
      <c r="K360" s="56" t="str">
        <f aca="false">IF(A360="","",IF(I360&gt;I359,ROUND(M359*計算過程!$B$55,0),0))</f>
        <v/>
      </c>
      <c r="L360" s="56" t="str">
        <f aca="false">IF(A360="","",J360-K360)</f>
        <v/>
      </c>
      <c r="M360" s="56" t="str">
        <f aca="false">IF(A360="","",IF(I360&gt;I359,MAX(0,M359*(1+計算過程!$B$55)-計算過程!$B$56),M359))</f>
        <v/>
      </c>
      <c r="N360" s="56" t="str">
        <f aca="false">IF(A360="","",C360+J360)</f>
        <v/>
      </c>
      <c r="O360" s="56" t="str">
        <f aca="false">IF(A360="","",H360+M360)</f>
        <v/>
      </c>
    </row>
    <row r="361" customFormat="false" ht="15" hidden="false" customHeight="false" outlineLevel="0" collapsed="false">
      <c r="A361" s="55" t="str">
        <f aca="false">IF(ROWS($A$8:A361)&lt;=計算過程!$B$51,ROWS($A$8:A361),"")</f>
        <v/>
      </c>
      <c r="B361" s="57" t="str">
        <f aca="false">IF(A361="","",EDATE(計算過程!$B$71,A361-1))</f>
        <v/>
      </c>
      <c r="C361" s="56" t="str">
        <f aca="false">IF(A361="","",計算過程!$B$54)</f>
        <v/>
      </c>
      <c r="D361" s="56" t="str">
        <f aca="false">IF(A361="","",ROUND(F360*計算過程!$B$24/12+G360*計算過程!$B$25/12,0))</f>
        <v/>
      </c>
      <c r="E361" s="56" t="str">
        <f aca="false">IF(A361="","",C361-D361)</f>
        <v/>
      </c>
      <c r="F361" s="56" t="str">
        <f aca="false">IF(A361="","",MAX(0,F360*(1+計算過程!$B$24/12)-計算過程!$B$52))</f>
        <v/>
      </c>
      <c r="G361" s="56" t="str">
        <f aca="false">IF(A361="","",MAX(0,G360*(1+計算過程!$B$25/12)-計算過程!$B$53))</f>
        <v/>
      </c>
      <c r="H361" s="56" t="str">
        <f aca="false">IF(A361="","",F361+G361)</f>
        <v/>
      </c>
      <c r="I361" s="55" t="str">
        <f aca="false">IF(A361="","",IF(AND(OR(MONTH(B361)=6,MONTH(B361)=12),I360&lt;計算過程!$B$50),I360+1,I360))</f>
        <v/>
      </c>
      <c r="J361" s="56" t="str">
        <f aca="false">IF(A361="","",IF(I361&gt;I360,計算過程!$B$57,0))</f>
        <v/>
      </c>
      <c r="K361" s="56" t="str">
        <f aca="false">IF(A361="","",IF(I361&gt;I360,ROUND(M360*計算過程!$B$55,0),0))</f>
        <v/>
      </c>
      <c r="L361" s="56" t="str">
        <f aca="false">IF(A361="","",J361-K361)</f>
        <v/>
      </c>
      <c r="M361" s="56" t="str">
        <f aca="false">IF(A361="","",IF(I361&gt;I360,MAX(0,M360*(1+計算過程!$B$55)-計算過程!$B$56),M360))</f>
        <v/>
      </c>
      <c r="N361" s="56" t="str">
        <f aca="false">IF(A361="","",C361+J361)</f>
        <v/>
      </c>
      <c r="O361" s="56" t="str">
        <f aca="false">IF(A361="","",H361+M361)</f>
        <v/>
      </c>
    </row>
    <row r="362" customFormat="false" ht="15" hidden="false" customHeight="false" outlineLevel="0" collapsed="false">
      <c r="A362" s="55" t="str">
        <f aca="false">IF(ROWS($A$8:A362)&lt;=計算過程!$B$51,ROWS($A$8:A362),"")</f>
        <v/>
      </c>
      <c r="B362" s="57" t="str">
        <f aca="false">IF(A362="","",EDATE(計算過程!$B$71,A362-1))</f>
        <v/>
      </c>
      <c r="C362" s="56" t="str">
        <f aca="false">IF(A362="","",計算過程!$B$54)</f>
        <v/>
      </c>
      <c r="D362" s="56" t="str">
        <f aca="false">IF(A362="","",ROUND(F361*計算過程!$B$24/12+G361*計算過程!$B$25/12,0))</f>
        <v/>
      </c>
      <c r="E362" s="56" t="str">
        <f aca="false">IF(A362="","",C362-D362)</f>
        <v/>
      </c>
      <c r="F362" s="56" t="str">
        <f aca="false">IF(A362="","",MAX(0,F361*(1+計算過程!$B$24/12)-計算過程!$B$52))</f>
        <v/>
      </c>
      <c r="G362" s="56" t="str">
        <f aca="false">IF(A362="","",MAX(0,G361*(1+計算過程!$B$25/12)-計算過程!$B$53))</f>
        <v/>
      </c>
      <c r="H362" s="56" t="str">
        <f aca="false">IF(A362="","",F362+G362)</f>
        <v/>
      </c>
      <c r="I362" s="55" t="str">
        <f aca="false">IF(A362="","",IF(AND(OR(MONTH(B362)=6,MONTH(B362)=12),I361&lt;計算過程!$B$50),I361+1,I361))</f>
        <v/>
      </c>
      <c r="J362" s="56" t="str">
        <f aca="false">IF(A362="","",IF(I362&gt;I361,計算過程!$B$57,0))</f>
        <v/>
      </c>
      <c r="K362" s="56" t="str">
        <f aca="false">IF(A362="","",IF(I362&gt;I361,ROUND(M361*計算過程!$B$55,0),0))</f>
        <v/>
      </c>
      <c r="L362" s="56" t="str">
        <f aca="false">IF(A362="","",J362-K362)</f>
        <v/>
      </c>
      <c r="M362" s="56" t="str">
        <f aca="false">IF(A362="","",IF(I362&gt;I361,MAX(0,M361*(1+計算過程!$B$55)-計算過程!$B$56),M361))</f>
        <v/>
      </c>
      <c r="N362" s="56" t="str">
        <f aca="false">IF(A362="","",C362+J362)</f>
        <v/>
      </c>
      <c r="O362" s="56" t="str">
        <f aca="false">IF(A362="","",H362+M362)</f>
        <v/>
      </c>
    </row>
    <row r="363" customFormat="false" ht="15" hidden="false" customHeight="false" outlineLevel="0" collapsed="false">
      <c r="A363" s="55" t="str">
        <f aca="false">IF(ROWS($A$8:A363)&lt;=計算過程!$B$51,ROWS($A$8:A363),"")</f>
        <v/>
      </c>
      <c r="B363" s="57" t="str">
        <f aca="false">IF(A363="","",EDATE(計算過程!$B$71,A363-1))</f>
        <v/>
      </c>
      <c r="C363" s="56" t="str">
        <f aca="false">IF(A363="","",計算過程!$B$54)</f>
        <v/>
      </c>
      <c r="D363" s="56" t="str">
        <f aca="false">IF(A363="","",ROUND(F362*計算過程!$B$24/12+G362*計算過程!$B$25/12,0))</f>
        <v/>
      </c>
      <c r="E363" s="56" t="str">
        <f aca="false">IF(A363="","",C363-D363)</f>
        <v/>
      </c>
      <c r="F363" s="56" t="str">
        <f aca="false">IF(A363="","",MAX(0,F362*(1+計算過程!$B$24/12)-計算過程!$B$52))</f>
        <v/>
      </c>
      <c r="G363" s="56" t="str">
        <f aca="false">IF(A363="","",MAX(0,G362*(1+計算過程!$B$25/12)-計算過程!$B$53))</f>
        <v/>
      </c>
      <c r="H363" s="56" t="str">
        <f aca="false">IF(A363="","",F363+G363)</f>
        <v/>
      </c>
      <c r="I363" s="55" t="str">
        <f aca="false">IF(A363="","",IF(AND(OR(MONTH(B363)=6,MONTH(B363)=12),I362&lt;計算過程!$B$50),I362+1,I362))</f>
        <v/>
      </c>
      <c r="J363" s="56" t="str">
        <f aca="false">IF(A363="","",IF(I363&gt;I362,計算過程!$B$57,0))</f>
        <v/>
      </c>
      <c r="K363" s="56" t="str">
        <f aca="false">IF(A363="","",IF(I363&gt;I362,ROUND(M362*計算過程!$B$55,0),0))</f>
        <v/>
      </c>
      <c r="L363" s="56" t="str">
        <f aca="false">IF(A363="","",J363-K363)</f>
        <v/>
      </c>
      <c r="M363" s="56" t="str">
        <f aca="false">IF(A363="","",IF(I363&gt;I362,MAX(0,M362*(1+計算過程!$B$55)-計算過程!$B$56),M362))</f>
        <v/>
      </c>
      <c r="N363" s="56" t="str">
        <f aca="false">IF(A363="","",C363+J363)</f>
        <v/>
      </c>
      <c r="O363" s="56" t="str">
        <f aca="false">IF(A363="","",H363+M363)</f>
        <v/>
      </c>
    </row>
    <row r="364" customFormat="false" ht="15" hidden="false" customHeight="false" outlineLevel="0" collapsed="false">
      <c r="A364" s="55" t="str">
        <f aca="false">IF(ROWS($A$8:A364)&lt;=計算過程!$B$51,ROWS($A$8:A364),"")</f>
        <v/>
      </c>
      <c r="B364" s="57" t="str">
        <f aca="false">IF(A364="","",EDATE(計算過程!$B$71,A364-1))</f>
        <v/>
      </c>
      <c r="C364" s="56" t="str">
        <f aca="false">IF(A364="","",計算過程!$B$54)</f>
        <v/>
      </c>
      <c r="D364" s="56" t="str">
        <f aca="false">IF(A364="","",ROUND(F363*計算過程!$B$24/12+G363*計算過程!$B$25/12,0))</f>
        <v/>
      </c>
      <c r="E364" s="56" t="str">
        <f aca="false">IF(A364="","",C364-D364)</f>
        <v/>
      </c>
      <c r="F364" s="56" t="str">
        <f aca="false">IF(A364="","",MAX(0,F363*(1+計算過程!$B$24/12)-計算過程!$B$52))</f>
        <v/>
      </c>
      <c r="G364" s="56" t="str">
        <f aca="false">IF(A364="","",MAX(0,G363*(1+計算過程!$B$25/12)-計算過程!$B$53))</f>
        <v/>
      </c>
      <c r="H364" s="56" t="str">
        <f aca="false">IF(A364="","",F364+G364)</f>
        <v/>
      </c>
      <c r="I364" s="55" t="str">
        <f aca="false">IF(A364="","",IF(AND(OR(MONTH(B364)=6,MONTH(B364)=12),I363&lt;計算過程!$B$50),I363+1,I363))</f>
        <v/>
      </c>
      <c r="J364" s="56" t="str">
        <f aca="false">IF(A364="","",IF(I364&gt;I363,計算過程!$B$57,0))</f>
        <v/>
      </c>
      <c r="K364" s="56" t="str">
        <f aca="false">IF(A364="","",IF(I364&gt;I363,ROUND(M363*計算過程!$B$55,0),0))</f>
        <v/>
      </c>
      <c r="L364" s="56" t="str">
        <f aca="false">IF(A364="","",J364-K364)</f>
        <v/>
      </c>
      <c r="M364" s="56" t="str">
        <f aca="false">IF(A364="","",IF(I364&gt;I363,MAX(0,M363*(1+計算過程!$B$55)-計算過程!$B$56),M363))</f>
        <v/>
      </c>
      <c r="N364" s="56" t="str">
        <f aca="false">IF(A364="","",C364+J364)</f>
        <v/>
      </c>
      <c r="O364" s="56" t="str">
        <f aca="false">IF(A364="","",H364+M364)</f>
        <v/>
      </c>
    </row>
    <row r="365" customFormat="false" ht="15" hidden="false" customHeight="false" outlineLevel="0" collapsed="false">
      <c r="A365" s="55" t="str">
        <f aca="false">IF(ROWS($A$8:A365)&lt;=計算過程!$B$51,ROWS($A$8:A365),"")</f>
        <v/>
      </c>
      <c r="B365" s="57" t="str">
        <f aca="false">IF(A365="","",EDATE(計算過程!$B$71,A365-1))</f>
        <v/>
      </c>
      <c r="C365" s="56" t="str">
        <f aca="false">IF(A365="","",計算過程!$B$54)</f>
        <v/>
      </c>
      <c r="D365" s="56" t="str">
        <f aca="false">IF(A365="","",ROUND(F364*計算過程!$B$24/12+G364*計算過程!$B$25/12,0))</f>
        <v/>
      </c>
      <c r="E365" s="56" t="str">
        <f aca="false">IF(A365="","",C365-D365)</f>
        <v/>
      </c>
      <c r="F365" s="56" t="str">
        <f aca="false">IF(A365="","",MAX(0,F364*(1+計算過程!$B$24/12)-計算過程!$B$52))</f>
        <v/>
      </c>
      <c r="G365" s="56" t="str">
        <f aca="false">IF(A365="","",MAX(0,G364*(1+計算過程!$B$25/12)-計算過程!$B$53))</f>
        <v/>
      </c>
      <c r="H365" s="56" t="str">
        <f aca="false">IF(A365="","",F365+G365)</f>
        <v/>
      </c>
      <c r="I365" s="55" t="str">
        <f aca="false">IF(A365="","",IF(AND(OR(MONTH(B365)=6,MONTH(B365)=12),I364&lt;計算過程!$B$50),I364+1,I364))</f>
        <v/>
      </c>
      <c r="J365" s="56" t="str">
        <f aca="false">IF(A365="","",IF(I365&gt;I364,計算過程!$B$57,0))</f>
        <v/>
      </c>
      <c r="K365" s="56" t="str">
        <f aca="false">IF(A365="","",IF(I365&gt;I364,ROUND(M364*計算過程!$B$55,0),0))</f>
        <v/>
      </c>
      <c r="L365" s="56" t="str">
        <f aca="false">IF(A365="","",J365-K365)</f>
        <v/>
      </c>
      <c r="M365" s="56" t="str">
        <f aca="false">IF(A365="","",IF(I365&gt;I364,MAX(0,M364*(1+計算過程!$B$55)-計算過程!$B$56),M364))</f>
        <v/>
      </c>
      <c r="N365" s="56" t="str">
        <f aca="false">IF(A365="","",C365+J365)</f>
        <v/>
      </c>
      <c r="O365" s="56" t="str">
        <f aca="false">IF(A365="","",H365+M365)</f>
        <v/>
      </c>
    </row>
    <row r="366" customFormat="false" ht="15" hidden="false" customHeight="false" outlineLevel="0" collapsed="false">
      <c r="A366" s="55" t="str">
        <f aca="false">IF(ROWS($A$8:A366)&lt;=計算過程!$B$51,ROWS($A$8:A366),"")</f>
        <v/>
      </c>
      <c r="B366" s="57" t="str">
        <f aca="false">IF(A366="","",EDATE(計算過程!$B$71,A366-1))</f>
        <v/>
      </c>
      <c r="C366" s="56" t="str">
        <f aca="false">IF(A366="","",計算過程!$B$54)</f>
        <v/>
      </c>
      <c r="D366" s="56" t="str">
        <f aca="false">IF(A366="","",ROUND(F365*計算過程!$B$24/12+G365*計算過程!$B$25/12,0))</f>
        <v/>
      </c>
      <c r="E366" s="56" t="str">
        <f aca="false">IF(A366="","",C366-D366)</f>
        <v/>
      </c>
      <c r="F366" s="56" t="str">
        <f aca="false">IF(A366="","",MAX(0,F365*(1+計算過程!$B$24/12)-計算過程!$B$52))</f>
        <v/>
      </c>
      <c r="G366" s="56" t="str">
        <f aca="false">IF(A366="","",MAX(0,G365*(1+計算過程!$B$25/12)-計算過程!$B$53))</f>
        <v/>
      </c>
      <c r="H366" s="56" t="str">
        <f aca="false">IF(A366="","",F366+G366)</f>
        <v/>
      </c>
      <c r="I366" s="55" t="str">
        <f aca="false">IF(A366="","",IF(AND(OR(MONTH(B366)=6,MONTH(B366)=12),I365&lt;計算過程!$B$50),I365+1,I365))</f>
        <v/>
      </c>
      <c r="J366" s="56" t="str">
        <f aca="false">IF(A366="","",IF(I366&gt;I365,計算過程!$B$57,0))</f>
        <v/>
      </c>
      <c r="K366" s="56" t="str">
        <f aca="false">IF(A366="","",IF(I366&gt;I365,ROUND(M365*計算過程!$B$55,0),0))</f>
        <v/>
      </c>
      <c r="L366" s="56" t="str">
        <f aca="false">IF(A366="","",J366-K366)</f>
        <v/>
      </c>
      <c r="M366" s="56" t="str">
        <f aca="false">IF(A366="","",IF(I366&gt;I365,MAX(0,M365*(1+計算過程!$B$55)-計算過程!$B$56),M365))</f>
        <v/>
      </c>
      <c r="N366" s="56" t="str">
        <f aca="false">IF(A366="","",C366+J366)</f>
        <v/>
      </c>
      <c r="O366" s="56" t="str">
        <f aca="false">IF(A366="","",H366+M366)</f>
        <v/>
      </c>
    </row>
    <row r="367" customFormat="false" ht="15" hidden="false" customHeight="false" outlineLevel="0" collapsed="false">
      <c r="A367" s="55" t="str">
        <f aca="false">IF(ROWS($A$8:A367)&lt;=計算過程!$B$51,ROWS($A$8:A367),"")</f>
        <v/>
      </c>
      <c r="B367" s="57" t="str">
        <f aca="false">IF(A367="","",EDATE(計算過程!$B$71,A367-1))</f>
        <v/>
      </c>
      <c r="C367" s="56" t="str">
        <f aca="false">IF(A367="","",計算過程!$B$54)</f>
        <v/>
      </c>
      <c r="D367" s="56" t="str">
        <f aca="false">IF(A367="","",ROUND(F366*計算過程!$B$24/12+G366*計算過程!$B$25/12,0))</f>
        <v/>
      </c>
      <c r="E367" s="56" t="str">
        <f aca="false">IF(A367="","",C367-D367)</f>
        <v/>
      </c>
      <c r="F367" s="56" t="str">
        <f aca="false">IF(A367="","",MAX(0,F366*(1+計算過程!$B$24/12)-計算過程!$B$52))</f>
        <v/>
      </c>
      <c r="G367" s="56" t="str">
        <f aca="false">IF(A367="","",MAX(0,G366*(1+計算過程!$B$25/12)-計算過程!$B$53))</f>
        <v/>
      </c>
      <c r="H367" s="56" t="str">
        <f aca="false">IF(A367="","",F367+G367)</f>
        <v/>
      </c>
      <c r="I367" s="55" t="str">
        <f aca="false">IF(A367="","",IF(AND(OR(MONTH(B367)=6,MONTH(B367)=12),I366&lt;計算過程!$B$50),I366+1,I366))</f>
        <v/>
      </c>
      <c r="J367" s="56" t="str">
        <f aca="false">IF(A367="","",IF(I367&gt;I366,計算過程!$B$57,0))</f>
        <v/>
      </c>
      <c r="K367" s="56" t="str">
        <f aca="false">IF(A367="","",IF(I367&gt;I366,ROUND(M366*計算過程!$B$55,0),0))</f>
        <v/>
      </c>
      <c r="L367" s="56" t="str">
        <f aca="false">IF(A367="","",J367-K367)</f>
        <v/>
      </c>
      <c r="M367" s="56" t="str">
        <f aca="false">IF(A367="","",IF(I367&gt;I366,MAX(0,M366*(1+計算過程!$B$55)-計算過程!$B$56),M366))</f>
        <v/>
      </c>
      <c r="N367" s="56" t="str">
        <f aca="false">IF(A367="","",C367+J367)</f>
        <v/>
      </c>
      <c r="O367" s="56" t="str">
        <f aca="false">IF(A367="","",H367+M367)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15" min="3" style="0" width="11"/>
  </cols>
  <sheetData>
    <row r="1" customFormat="false" ht="17.15" hidden="false" customHeight="false" outlineLevel="0" collapsed="false">
      <c r="B1" s="47" t="s">
        <v>175</v>
      </c>
    </row>
    <row r="2" customFormat="false" ht="15" hidden="false" customHeight="false" outlineLevel="0" collapsed="false">
      <c r="B2" s="49" t="s">
        <v>176</v>
      </c>
    </row>
    <row r="4" customFormat="false" ht="15" hidden="false" customHeight="false" outlineLevel="0" collapsed="false">
      <c r="B4" s="58" t="str">
        <f aca="false">"普通貸付・特別貸付(年利 "&amp;TEXT(マスタ!$B$4,"0.00%")&amp;")"</f>
        <v>普通貸付・特別貸付(年利 1.26%)</v>
      </c>
    </row>
    <row r="5" customFormat="false" ht="26.85" hidden="false" customHeight="false" outlineLevel="0" collapsed="false">
      <c r="B5" s="53" t="s">
        <v>177</v>
      </c>
      <c r="C5" s="59" t="n">
        <v>12</v>
      </c>
      <c r="D5" s="59" t="n">
        <v>24</v>
      </c>
      <c r="E5" s="59" t="n">
        <v>36</v>
      </c>
      <c r="F5" s="59" t="n">
        <v>48</v>
      </c>
      <c r="G5" s="59" t="n">
        <v>60</v>
      </c>
      <c r="H5" s="59" t="n">
        <v>72</v>
      </c>
      <c r="I5" s="59" t="n">
        <v>84</v>
      </c>
      <c r="J5" s="59" t="n">
        <v>96</v>
      </c>
      <c r="K5" s="59" t="n">
        <v>108</v>
      </c>
      <c r="L5" s="59" t="n">
        <v>120</v>
      </c>
    </row>
    <row r="6" customFormat="false" ht="15" hidden="false" customHeight="false" outlineLevel="0" collapsed="false">
      <c r="B6" s="60" t="n">
        <v>10</v>
      </c>
      <c r="C6" s="56" t="n">
        <f aca="false">ROUND(PMT(マスタ!$B$4/12,C$5,-$B6*10000),0)</f>
        <v>8390</v>
      </c>
      <c r="D6" s="56" t="n">
        <f aca="false">ROUND(PMT(マスタ!$B$4/12,D$5,-$B6*10000),0)</f>
        <v>4222</v>
      </c>
      <c r="E6" s="56" t="n">
        <f aca="false">ROUND(PMT(マスタ!$B$4/12,E$5,-$B6*10000),0)</f>
        <v>2832</v>
      </c>
      <c r="F6" s="56" t="n">
        <f aca="false">ROUND(PMT(マスタ!$B$4/12,F$5,-$B6*10000),0)</f>
        <v>2137</v>
      </c>
      <c r="G6" s="56" t="n">
        <f aca="false">ROUND(PMT(マスタ!$B$4/12,G$5,-$B6*10000),0)</f>
        <v>1721</v>
      </c>
      <c r="H6" s="56" t="n">
        <f aca="false">ROUND(PMT(マスタ!$B$4/12,H$5,-$B6*10000),0)</f>
        <v>1443</v>
      </c>
      <c r="I6" s="56" t="n">
        <f aca="false">ROUND(PMT(マスタ!$B$4/12,I$5,-$B6*10000),0)</f>
        <v>1244</v>
      </c>
      <c r="J6" s="56" t="n">
        <f aca="false">ROUND(PMT(マスタ!$B$4/12,J$5,-$B6*10000),0)</f>
        <v>1096</v>
      </c>
      <c r="K6" s="56" t="n">
        <f aca="false">ROUND(PMT(マスタ!$B$4/12,K$5,-$B6*10000),0)</f>
        <v>980</v>
      </c>
      <c r="L6" s="56" t="n">
        <f aca="false">ROUND(PMT(マスタ!$B$4/12,L$5,-$B6*10000),0)</f>
        <v>887</v>
      </c>
    </row>
    <row r="7" customFormat="false" ht="15" hidden="false" customHeight="false" outlineLevel="0" collapsed="false">
      <c r="B7" s="60" t="n">
        <v>20</v>
      </c>
      <c r="C7" s="56" t="n">
        <f aca="false">ROUND(PMT(マスタ!$B$4/12,C$5,-$B7*10000),0)</f>
        <v>16781</v>
      </c>
      <c r="D7" s="56" t="n">
        <f aca="false">ROUND(PMT(マスタ!$B$4/12,D$5,-$B7*10000),0)</f>
        <v>8443</v>
      </c>
      <c r="E7" s="56" t="n">
        <f aca="false">ROUND(PMT(マスタ!$B$4/12,E$5,-$B7*10000),0)</f>
        <v>5664</v>
      </c>
      <c r="F7" s="56" t="n">
        <f aca="false">ROUND(PMT(マスタ!$B$4/12,F$5,-$B7*10000),0)</f>
        <v>4275</v>
      </c>
      <c r="G7" s="56" t="n">
        <f aca="false">ROUND(PMT(マスタ!$B$4/12,G$5,-$B7*10000),0)</f>
        <v>3441</v>
      </c>
      <c r="H7" s="56" t="n">
        <f aca="false">ROUND(PMT(マスタ!$B$4/12,H$5,-$B7*10000),0)</f>
        <v>2886</v>
      </c>
      <c r="I7" s="56" t="n">
        <f aca="false">ROUND(PMT(マスタ!$B$4/12,I$5,-$B7*10000),0)</f>
        <v>2489</v>
      </c>
      <c r="J7" s="56" t="n">
        <f aca="false">ROUND(PMT(マスタ!$B$4/12,J$5,-$B7*10000),0)</f>
        <v>2191</v>
      </c>
      <c r="K7" s="56" t="n">
        <f aca="false">ROUND(PMT(マスタ!$B$4/12,K$5,-$B7*10000),0)</f>
        <v>1960</v>
      </c>
      <c r="L7" s="56" t="n">
        <f aca="false">ROUND(PMT(マスタ!$B$4/12,L$5,-$B7*10000),0)</f>
        <v>1775</v>
      </c>
    </row>
    <row r="8" customFormat="false" ht="15" hidden="false" customHeight="false" outlineLevel="0" collapsed="false">
      <c r="B8" s="60" t="n">
        <v>30</v>
      </c>
      <c r="C8" s="56" t="n">
        <f aca="false">ROUND(PMT(マスタ!$B$4/12,C$5,-$B8*10000),0)</f>
        <v>25171</v>
      </c>
      <c r="D8" s="56" t="n">
        <f aca="false">ROUND(PMT(マスタ!$B$4/12,D$5,-$B8*10000),0)</f>
        <v>12665</v>
      </c>
      <c r="E8" s="56" t="n">
        <f aca="false">ROUND(PMT(マスタ!$B$4/12,E$5,-$B8*10000),0)</f>
        <v>8496</v>
      </c>
      <c r="F8" s="56" t="n">
        <f aca="false">ROUND(PMT(マスタ!$B$4/12,F$5,-$B8*10000),0)</f>
        <v>6412</v>
      </c>
      <c r="G8" s="56" t="n">
        <f aca="false">ROUND(PMT(マスタ!$B$4/12,G$5,-$B8*10000),0)</f>
        <v>5162</v>
      </c>
      <c r="H8" s="56" t="n">
        <f aca="false">ROUND(PMT(マスタ!$B$4/12,H$5,-$B8*10000),0)</f>
        <v>4328</v>
      </c>
      <c r="I8" s="56" t="n">
        <f aca="false">ROUND(PMT(マスタ!$B$4/12,I$5,-$B8*10000),0)</f>
        <v>3733</v>
      </c>
      <c r="J8" s="56" t="n">
        <f aca="false">ROUND(PMT(マスタ!$B$4/12,J$5,-$B8*10000),0)</f>
        <v>3287</v>
      </c>
      <c r="K8" s="56" t="n">
        <f aca="false">ROUND(PMT(マスタ!$B$4/12,K$5,-$B8*10000),0)</f>
        <v>2940</v>
      </c>
      <c r="L8" s="56" t="n">
        <f aca="false">ROUND(PMT(マスタ!$B$4/12,L$5,-$B8*10000),0)</f>
        <v>2662</v>
      </c>
    </row>
    <row r="9" customFormat="false" ht="15" hidden="false" customHeight="false" outlineLevel="0" collapsed="false">
      <c r="B9" s="60" t="n">
        <v>40</v>
      </c>
      <c r="C9" s="56" t="n">
        <f aca="false">ROUND(PMT(マスタ!$B$4/12,C$5,-$B9*10000),0)</f>
        <v>33561</v>
      </c>
      <c r="D9" s="56" t="n">
        <f aca="false">ROUND(PMT(マスタ!$B$4/12,D$5,-$B9*10000),0)</f>
        <v>16886</v>
      </c>
      <c r="E9" s="56" t="n">
        <f aca="false">ROUND(PMT(マスタ!$B$4/12,E$5,-$B9*10000),0)</f>
        <v>11328</v>
      </c>
      <c r="F9" s="56" t="n">
        <f aca="false">ROUND(PMT(マスタ!$B$4/12,F$5,-$B9*10000),0)</f>
        <v>8549</v>
      </c>
      <c r="G9" s="56" t="n">
        <f aca="false">ROUND(PMT(マスタ!$B$4/12,G$5,-$B9*10000),0)</f>
        <v>6882</v>
      </c>
      <c r="H9" s="56" t="n">
        <f aca="false">ROUND(PMT(マスタ!$B$4/12,H$5,-$B9*10000),0)</f>
        <v>5771</v>
      </c>
      <c r="I9" s="56" t="n">
        <f aca="false">ROUND(PMT(マスタ!$B$4/12,I$5,-$B9*10000),0)</f>
        <v>4977</v>
      </c>
      <c r="J9" s="56" t="n">
        <f aca="false">ROUND(PMT(マスタ!$B$4/12,J$5,-$B9*10000),0)</f>
        <v>4382</v>
      </c>
      <c r="K9" s="56" t="n">
        <f aca="false">ROUND(PMT(マスタ!$B$4/12,K$5,-$B9*10000),0)</f>
        <v>3920</v>
      </c>
      <c r="L9" s="56" t="n">
        <f aca="false">ROUND(PMT(マスタ!$B$4/12,L$5,-$B9*10000),0)</f>
        <v>3549</v>
      </c>
    </row>
    <row r="10" customFormat="false" ht="15" hidden="false" customHeight="false" outlineLevel="0" collapsed="false">
      <c r="B10" s="60" t="n">
        <v>50</v>
      </c>
      <c r="C10" s="56" t="n">
        <f aca="false">ROUND(PMT(マスタ!$B$4/12,C$5,-$B10*10000),0)</f>
        <v>41952</v>
      </c>
      <c r="D10" s="56" t="n">
        <f aca="false">ROUND(PMT(マスタ!$B$4/12,D$5,-$B10*10000),0)</f>
        <v>21108</v>
      </c>
      <c r="E10" s="56" t="n">
        <f aca="false">ROUND(PMT(マスタ!$B$4/12,E$5,-$B10*10000),0)</f>
        <v>14160</v>
      </c>
      <c r="F10" s="56" t="n">
        <f aca="false">ROUND(PMT(マスタ!$B$4/12,F$5,-$B10*10000),0)</f>
        <v>10687</v>
      </c>
      <c r="G10" s="56" t="n">
        <f aca="false">ROUND(PMT(マスタ!$B$4/12,G$5,-$B10*10000),0)</f>
        <v>8603</v>
      </c>
      <c r="H10" s="56" t="n">
        <f aca="false">ROUND(PMT(マスタ!$B$4/12,H$5,-$B10*10000),0)</f>
        <v>7214</v>
      </c>
      <c r="I10" s="56" t="n">
        <f aca="false">ROUND(PMT(マスタ!$B$4/12,I$5,-$B10*10000),0)</f>
        <v>6222</v>
      </c>
      <c r="J10" s="56" t="n">
        <f aca="false">ROUND(PMT(マスタ!$B$4/12,J$5,-$B10*10000),0)</f>
        <v>5478</v>
      </c>
      <c r="K10" s="56" t="n">
        <f aca="false">ROUND(PMT(マスタ!$B$4/12,K$5,-$B10*10000),0)</f>
        <v>4900</v>
      </c>
      <c r="L10" s="56" t="n">
        <f aca="false">ROUND(PMT(マスタ!$B$4/12,L$5,-$B10*10000),0)</f>
        <v>4437</v>
      </c>
    </row>
    <row r="11" customFormat="false" ht="15" hidden="false" customHeight="false" outlineLevel="0" collapsed="false">
      <c r="B11" s="60" t="n">
        <v>60</v>
      </c>
      <c r="C11" s="56" t="n">
        <f aca="false">ROUND(PMT(マスタ!$B$4/12,C$5,-$B11*10000),0)</f>
        <v>50342</v>
      </c>
      <c r="D11" s="56" t="n">
        <f aca="false">ROUND(PMT(マスタ!$B$4/12,D$5,-$B11*10000),0)</f>
        <v>25329</v>
      </c>
      <c r="E11" s="56" t="n">
        <f aca="false">ROUND(PMT(マスタ!$B$4/12,E$5,-$B11*10000),0)</f>
        <v>16992</v>
      </c>
      <c r="F11" s="56" t="n">
        <f aca="false">ROUND(PMT(マスタ!$B$4/12,F$5,-$B11*10000),0)</f>
        <v>12824</v>
      </c>
      <c r="G11" s="56" t="n">
        <f aca="false">ROUND(PMT(マスタ!$B$4/12,G$5,-$B11*10000),0)</f>
        <v>10324</v>
      </c>
      <c r="H11" s="56" t="n">
        <f aca="false">ROUND(PMT(マスタ!$B$4/12,H$5,-$B11*10000),0)</f>
        <v>8657</v>
      </c>
      <c r="I11" s="56" t="n">
        <f aca="false">ROUND(PMT(マスタ!$B$4/12,I$5,-$B11*10000),0)</f>
        <v>7466</v>
      </c>
      <c r="J11" s="56" t="n">
        <f aca="false">ROUND(PMT(マスタ!$B$4/12,J$5,-$B11*10000),0)</f>
        <v>6574</v>
      </c>
      <c r="K11" s="56" t="n">
        <f aca="false">ROUND(PMT(マスタ!$B$4/12,K$5,-$B11*10000),0)</f>
        <v>5879</v>
      </c>
      <c r="L11" s="56" t="n">
        <f aca="false">ROUND(PMT(マスタ!$B$4/12,L$5,-$B11*10000),0)</f>
        <v>5324</v>
      </c>
    </row>
    <row r="12" customFormat="false" ht="15" hidden="false" customHeight="false" outlineLevel="0" collapsed="false">
      <c r="B12" s="60" t="n">
        <v>70</v>
      </c>
      <c r="C12" s="56" t="n">
        <f aca="false">ROUND(PMT(マスタ!$B$4/12,C$5,-$B12*10000),0)</f>
        <v>58732</v>
      </c>
      <c r="D12" s="56" t="n">
        <f aca="false">ROUND(PMT(マスタ!$B$4/12,D$5,-$B12*10000),0)</f>
        <v>29551</v>
      </c>
      <c r="E12" s="56" t="n">
        <f aca="false">ROUND(PMT(マスタ!$B$4/12,E$5,-$B12*10000),0)</f>
        <v>19824</v>
      </c>
      <c r="F12" s="56" t="n">
        <f aca="false">ROUND(PMT(マスタ!$B$4/12,F$5,-$B12*10000),0)</f>
        <v>14962</v>
      </c>
      <c r="G12" s="56" t="n">
        <f aca="false">ROUND(PMT(マスタ!$B$4/12,G$5,-$B12*10000),0)</f>
        <v>12044</v>
      </c>
      <c r="H12" s="56" t="n">
        <f aca="false">ROUND(PMT(マスタ!$B$4/12,H$5,-$B12*10000),0)</f>
        <v>10099</v>
      </c>
      <c r="I12" s="56" t="n">
        <f aca="false">ROUND(PMT(マスタ!$B$4/12,I$5,-$B12*10000),0)</f>
        <v>8711</v>
      </c>
      <c r="J12" s="56" t="n">
        <f aca="false">ROUND(PMT(マスタ!$B$4/12,J$5,-$B12*10000),0)</f>
        <v>7669</v>
      </c>
      <c r="K12" s="56" t="n">
        <f aca="false">ROUND(PMT(マスタ!$B$4/12,K$5,-$B12*10000),0)</f>
        <v>6859</v>
      </c>
      <c r="L12" s="56" t="n">
        <f aca="false">ROUND(PMT(マスタ!$B$4/12,L$5,-$B12*10000),0)</f>
        <v>6212</v>
      </c>
    </row>
    <row r="13" customFormat="false" ht="15" hidden="false" customHeight="false" outlineLevel="0" collapsed="false">
      <c r="B13" s="60" t="n">
        <v>80</v>
      </c>
      <c r="C13" s="56" t="n">
        <f aca="false">ROUND(PMT(マスタ!$B$4/12,C$5,-$B13*10000),0)</f>
        <v>67123</v>
      </c>
      <c r="D13" s="56" t="n">
        <f aca="false">ROUND(PMT(マスタ!$B$4/12,D$5,-$B13*10000),0)</f>
        <v>33773</v>
      </c>
      <c r="E13" s="56" t="n">
        <f aca="false">ROUND(PMT(マスタ!$B$4/12,E$5,-$B13*10000),0)</f>
        <v>22657</v>
      </c>
      <c r="F13" s="56" t="n">
        <f aca="false">ROUND(PMT(マスタ!$B$4/12,F$5,-$B13*10000),0)</f>
        <v>17099</v>
      </c>
      <c r="G13" s="56" t="n">
        <f aca="false">ROUND(PMT(マスタ!$B$4/12,G$5,-$B13*10000),0)</f>
        <v>13765</v>
      </c>
      <c r="H13" s="56" t="n">
        <f aca="false">ROUND(PMT(マスタ!$B$4/12,H$5,-$B13*10000),0)</f>
        <v>11542</v>
      </c>
      <c r="I13" s="56" t="n">
        <f aca="false">ROUND(PMT(マスタ!$B$4/12,I$5,-$B13*10000),0)</f>
        <v>9955</v>
      </c>
      <c r="J13" s="56" t="n">
        <f aca="false">ROUND(PMT(マスタ!$B$4/12,J$5,-$B13*10000),0)</f>
        <v>8765</v>
      </c>
      <c r="K13" s="56" t="n">
        <f aca="false">ROUND(PMT(マスタ!$B$4/12,K$5,-$B13*10000),0)</f>
        <v>7839</v>
      </c>
      <c r="L13" s="56" t="n">
        <f aca="false">ROUND(PMT(マスタ!$B$4/12,L$5,-$B13*10000),0)</f>
        <v>7099</v>
      </c>
    </row>
    <row r="14" customFormat="false" ht="15" hidden="false" customHeight="false" outlineLevel="0" collapsed="false">
      <c r="B14" s="60" t="n">
        <v>90</v>
      </c>
      <c r="C14" s="56" t="n">
        <f aca="false">ROUND(PMT(マスタ!$B$4/12,C$5,-$B14*10000),0)</f>
        <v>75513</v>
      </c>
      <c r="D14" s="56" t="n">
        <f aca="false">ROUND(PMT(マスタ!$B$4/12,D$5,-$B14*10000),0)</f>
        <v>37994</v>
      </c>
      <c r="E14" s="56" t="n">
        <f aca="false">ROUND(PMT(マスタ!$B$4/12,E$5,-$B14*10000),0)</f>
        <v>25489</v>
      </c>
      <c r="F14" s="56" t="n">
        <f aca="false">ROUND(PMT(マスタ!$B$4/12,F$5,-$B14*10000),0)</f>
        <v>19236</v>
      </c>
      <c r="G14" s="56" t="n">
        <f aca="false">ROUND(PMT(マスタ!$B$4/12,G$5,-$B14*10000),0)</f>
        <v>15485</v>
      </c>
      <c r="H14" s="56" t="n">
        <f aca="false">ROUND(PMT(マスタ!$B$4/12,H$5,-$B14*10000),0)</f>
        <v>12985</v>
      </c>
      <c r="I14" s="56" t="n">
        <f aca="false">ROUND(PMT(マスタ!$B$4/12,I$5,-$B14*10000),0)</f>
        <v>11199</v>
      </c>
      <c r="J14" s="56" t="n">
        <f aca="false">ROUND(PMT(マスタ!$B$4/12,J$5,-$B14*10000),0)</f>
        <v>9860</v>
      </c>
      <c r="K14" s="56" t="n">
        <f aca="false">ROUND(PMT(マスタ!$B$4/12,K$5,-$B14*10000),0)</f>
        <v>8819</v>
      </c>
      <c r="L14" s="56" t="n">
        <f aca="false">ROUND(PMT(マスタ!$B$4/12,L$5,-$B14*10000),0)</f>
        <v>7986</v>
      </c>
    </row>
    <row r="15" customFormat="false" ht="15" hidden="false" customHeight="false" outlineLevel="0" collapsed="false">
      <c r="B15" s="60" t="n">
        <v>100</v>
      </c>
      <c r="C15" s="56" t="n">
        <f aca="false">ROUND(PMT(マスタ!$B$4/12,C$5,-$B15*10000),0)</f>
        <v>83903</v>
      </c>
      <c r="D15" s="56" t="n">
        <f aca="false">ROUND(PMT(マスタ!$B$4/12,D$5,-$B15*10000),0)</f>
        <v>42216</v>
      </c>
      <c r="E15" s="56" t="n">
        <f aca="false">ROUND(PMT(マスタ!$B$4/12,E$5,-$B15*10000),0)</f>
        <v>28321</v>
      </c>
      <c r="F15" s="56" t="n">
        <f aca="false">ROUND(PMT(マスタ!$B$4/12,F$5,-$B15*10000),0)</f>
        <v>21374</v>
      </c>
      <c r="G15" s="56" t="n">
        <f aca="false">ROUND(PMT(マスタ!$B$4/12,G$5,-$B15*10000),0)</f>
        <v>17206</v>
      </c>
      <c r="H15" s="56" t="n">
        <f aca="false">ROUND(PMT(マスタ!$B$4/12,H$5,-$B15*10000),0)</f>
        <v>14428</v>
      </c>
      <c r="I15" s="56" t="n">
        <f aca="false">ROUND(PMT(マスタ!$B$4/12,I$5,-$B15*10000),0)</f>
        <v>12444</v>
      </c>
      <c r="J15" s="56" t="n">
        <f aca="false">ROUND(PMT(マスタ!$B$4/12,J$5,-$B15*10000),0)</f>
        <v>10956</v>
      </c>
      <c r="K15" s="56" t="n">
        <f aca="false">ROUND(PMT(マスタ!$B$4/12,K$5,-$B15*10000),0)</f>
        <v>9799</v>
      </c>
      <c r="L15" s="56" t="n">
        <f aca="false">ROUND(PMT(マスタ!$B$4/12,L$5,-$B15*10000),0)</f>
        <v>8874</v>
      </c>
    </row>
    <row r="16" customFormat="false" ht="15" hidden="false" customHeight="false" outlineLevel="0" collapsed="false">
      <c r="B16" s="60" t="n">
        <v>110</v>
      </c>
      <c r="C16" s="56" t="n">
        <f aca="false">ROUND(PMT(マスタ!$B$4/12,C$5,-$B16*10000),0)</f>
        <v>92293</v>
      </c>
      <c r="D16" s="56" t="n">
        <f aca="false">ROUND(PMT(マスタ!$B$4/12,D$5,-$B16*10000),0)</f>
        <v>46437</v>
      </c>
      <c r="E16" s="56" t="n">
        <f aca="false">ROUND(PMT(マスタ!$B$4/12,E$5,-$B16*10000),0)</f>
        <v>31153</v>
      </c>
      <c r="F16" s="56" t="n">
        <f aca="false">ROUND(PMT(マスタ!$B$4/12,F$5,-$B16*10000),0)</f>
        <v>23511</v>
      </c>
      <c r="G16" s="56" t="n">
        <f aca="false">ROUND(PMT(マスタ!$B$4/12,G$5,-$B16*10000),0)</f>
        <v>18927</v>
      </c>
      <c r="H16" s="56" t="n">
        <f aca="false">ROUND(PMT(マスタ!$B$4/12,H$5,-$B16*10000),0)</f>
        <v>15871</v>
      </c>
      <c r="I16" s="56" t="n">
        <f aca="false">ROUND(PMT(マスタ!$B$4/12,I$5,-$B16*10000),0)</f>
        <v>13688</v>
      </c>
      <c r="J16" s="56" t="n">
        <f aca="false">ROUND(PMT(マスタ!$B$4/12,J$5,-$B16*10000),0)</f>
        <v>12052</v>
      </c>
      <c r="K16" s="56" t="n">
        <f aca="false">ROUND(PMT(マスタ!$B$4/12,K$5,-$B16*10000),0)</f>
        <v>10779</v>
      </c>
      <c r="L16" s="56" t="n">
        <f aca="false">ROUND(PMT(マスタ!$B$4/12,L$5,-$B16*10000),0)</f>
        <v>9761</v>
      </c>
    </row>
    <row r="17" customFormat="false" ht="15" hidden="false" customHeight="false" outlineLevel="0" collapsed="false">
      <c r="B17" s="60" t="n">
        <v>120</v>
      </c>
      <c r="C17" s="56" t="n">
        <f aca="false">ROUND(PMT(マスタ!$B$4/12,C$5,-$B17*10000),0)</f>
        <v>100684</v>
      </c>
      <c r="D17" s="56" t="n">
        <f aca="false">ROUND(PMT(マスタ!$B$4/12,D$5,-$B17*10000),0)</f>
        <v>50659</v>
      </c>
      <c r="E17" s="56" t="n">
        <f aca="false">ROUND(PMT(マスタ!$B$4/12,E$5,-$B17*10000),0)</f>
        <v>33985</v>
      </c>
      <c r="F17" s="56" t="n">
        <f aca="false">ROUND(PMT(マスタ!$B$4/12,F$5,-$B17*10000),0)</f>
        <v>25648</v>
      </c>
      <c r="G17" s="56" t="n">
        <f aca="false">ROUND(PMT(マスタ!$B$4/12,G$5,-$B17*10000),0)</f>
        <v>20647</v>
      </c>
      <c r="H17" s="56" t="n">
        <f aca="false">ROUND(PMT(マスタ!$B$4/12,H$5,-$B17*10000),0)</f>
        <v>17313</v>
      </c>
      <c r="I17" s="56" t="n">
        <f aca="false">ROUND(PMT(マスタ!$B$4/12,I$5,-$B17*10000),0)</f>
        <v>14932</v>
      </c>
      <c r="J17" s="56" t="n">
        <f aca="false">ROUND(PMT(マスタ!$B$4/12,J$5,-$B17*10000),0)</f>
        <v>13147</v>
      </c>
      <c r="K17" s="56" t="n">
        <f aca="false">ROUND(PMT(マスタ!$B$4/12,K$5,-$B17*10000),0)</f>
        <v>11759</v>
      </c>
      <c r="L17" s="56" t="n">
        <f aca="false">ROUND(PMT(マスタ!$B$4/12,L$5,-$B17*10000),0)</f>
        <v>10648</v>
      </c>
    </row>
    <row r="18" customFormat="false" ht="15" hidden="false" customHeight="false" outlineLevel="0" collapsed="false">
      <c r="B18" s="60" t="n">
        <v>130</v>
      </c>
      <c r="C18" s="56" t="n">
        <f aca="false">ROUND(PMT(マスタ!$B$4/12,C$5,-$B18*10000),0)</f>
        <v>109074</v>
      </c>
      <c r="D18" s="56" t="n">
        <f aca="false">ROUND(PMT(マスタ!$B$4/12,D$5,-$B18*10000),0)</f>
        <v>54880</v>
      </c>
      <c r="E18" s="56" t="n">
        <f aca="false">ROUND(PMT(マスタ!$B$4/12,E$5,-$B18*10000),0)</f>
        <v>36817</v>
      </c>
      <c r="F18" s="56" t="n">
        <f aca="false">ROUND(PMT(マスタ!$B$4/12,F$5,-$B18*10000),0)</f>
        <v>27786</v>
      </c>
      <c r="G18" s="56" t="n">
        <f aca="false">ROUND(PMT(マスタ!$B$4/12,G$5,-$B18*10000),0)</f>
        <v>22368</v>
      </c>
      <c r="H18" s="56" t="n">
        <f aca="false">ROUND(PMT(マスタ!$B$4/12,H$5,-$B18*10000),0)</f>
        <v>18756</v>
      </c>
      <c r="I18" s="56" t="n">
        <f aca="false">ROUND(PMT(マスタ!$B$4/12,I$5,-$B18*10000),0)</f>
        <v>16177</v>
      </c>
      <c r="J18" s="56" t="n">
        <f aca="false">ROUND(PMT(マスタ!$B$4/12,J$5,-$B18*10000),0)</f>
        <v>14243</v>
      </c>
      <c r="K18" s="56" t="n">
        <f aca="false">ROUND(PMT(マスタ!$B$4/12,K$5,-$B18*10000),0)</f>
        <v>12739</v>
      </c>
      <c r="L18" s="56" t="n">
        <f aca="false">ROUND(PMT(マスタ!$B$4/12,L$5,-$B18*10000),0)</f>
        <v>11536</v>
      </c>
    </row>
    <row r="19" customFormat="false" ht="15" hidden="false" customHeight="false" outlineLevel="0" collapsed="false">
      <c r="B19" s="60" t="n">
        <v>140</v>
      </c>
      <c r="C19" s="56" t="n">
        <f aca="false">ROUND(PMT(マスタ!$B$4/12,C$5,-$B19*10000),0)</f>
        <v>117464</v>
      </c>
      <c r="D19" s="56" t="n">
        <f aca="false">ROUND(PMT(マスタ!$B$4/12,D$5,-$B19*10000),0)</f>
        <v>59102</v>
      </c>
      <c r="E19" s="56" t="n">
        <f aca="false">ROUND(PMT(マスタ!$B$4/12,E$5,-$B19*10000),0)</f>
        <v>39649</v>
      </c>
      <c r="F19" s="56" t="n">
        <f aca="false">ROUND(PMT(マスタ!$B$4/12,F$5,-$B19*10000),0)</f>
        <v>29923</v>
      </c>
      <c r="G19" s="56" t="n">
        <f aca="false">ROUND(PMT(マスタ!$B$4/12,G$5,-$B19*10000),0)</f>
        <v>24088</v>
      </c>
      <c r="H19" s="56" t="n">
        <f aca="false">ROUND(PMT(マスタ!$B$4/12,H$5,-$B19*10000),0)</f>
        <v>20199</v>
      </c>
      <c r="I19" s="56" t="n">
        <f aca="false">ROUND(PMT(マスタ!$B$4/12,I$5,-$B19*10000),0)</f>
        <v>17421</v>
      </c>
      <c r="J19" s="56" t="n">
        <f aca="false">ROUND(PMT(マスタ!$B$4/12,J$5,-$B19*10000),0)</f>
        <v>15338</v>
      </c>
      <c r="K19" s="56" t="n">
        <f aca="false">ROUND(PMT(マスタ!$B$4/12,K$5,-$B19*10000),0)</f>
        <v>13719</v>
      </c>
      <c r="L19" s="56" t="n">
        <f aca="false">ROUND(PMT(マスタ!$B$4/12,L$5,-$B19*10000),0)</f>
        <v>12423</v>
      </c>
    </row>
    <row r="20" customFormat="false" ht="15" hidden="false" customHeight="false" outlineLevel="0" collapsed="false">
      <c r="B20" s="60" t="n">
        <v>150</v>
      </c>
      <c r="C20" s="56" t="n">
        <f aca="false">ROUND(PMT(マスタ!$B$4/12,C$5,-$B20*10000),0)</f>
        <v>125855</v>
      </c>
      <c r="D20" s="56" t="n">
        <f aca="false">ROUND(PMT(マスタ!$B$4/12,D$5,-$B20*10000),0)</f>
        <v>63324</v>
      </c>
      <c r="E20" s="56" t="n">
        <f aca="false">ROUND(PMT(マスタ!$B$4/12,E$5,-$B20*10000),0)</f>
        <v>42481</v>
      </c>
      <c r="F20" s="56" t="n">
        <f aca="false">ROUND(PMT(マスタ!$B$4/12,F$5,-$B20*10000),0)</f>
        <v>32061</v>
      </c>
      <c r="G20" s="56" t="n">
        <f aca="false">ROUND(PMT(マスタ!$B$4/12,G$5,-$B20*10000),0)</f>
        <v>25809</v>
      </c>
      <c r="H20" s="56" t="n">
        <f aca="false">ROUND(PMT(マスタ!$B$4/12,H$5,-$B20*10000),0)</f>
        <v>21642</v>
      </c>
      <c r="I20" s="56" t="n">
        <f aca="false">ROUND(PMT(マスタ!$B$4/12,I$5,-$B20*10000),0)</f>
        <v>18666</v>
      </c>
      <c r="J20" s="56" t="n">
        <f aca="false">ROUND(PMT(マスタ!$B$4/12,J$5,-$B20*10000),0)</f>
        <v>16434</v>
      </c>
      <c r="K20" s="56" t="n">
        <f aca="false">ROUND(PMT(マスタ!$B$4/12,K$5,-$B20*10000),0)</f>
        <v>14699</v>
      </c>
      <c r="L20" s="56" t="n">
        <f aca="false">ROUND(PMT(マスタ!$B$4/12,L$5,-$B20*10000),0)</f>
        <v>13311</v>
      </c>
    </row>
    <row r="21" customFormat="false" ht="15" hidden="false" customHeight="false" outlineLevel="0" collapsed="false">
      <c r="B21" s="60" t="n">
        <v>160</v>
      </c>
      <c r="C21" s="56" t="n">
        <f aca="false">ROUND(PMT(マスタ!$B$4/12,C$5,-$B21*10000),0)</f>
        <v>134245</v>
      </c>
      <c r="D21" s="56" t="n">
        <f aca="false">ROUND(PMT(マスタ!$B$4/12,D$5,-$B21*10000),0)</f>
        <v>67545</v>
      </c>
      <c r="E21" s="56" t="n">
        <f aca="false">ROUND(PMT(マスタ!$B$4/12,E$5,-$B21*10000),0)</f>
        <v>45313</v>
      </c>
      <c r="F21" s="56" t="n">
        <f aca="false">ROUND(PMT(マスタ!$B$4/12,F$5,-$B21*10000),0)</f>
        <v>34198</v>
      </c>
      <c r="G21" s="56" t="n">
        <f aca="false">ROUND(PMT(マスタ!$B$4/12,G$5,-$B21*10000),0)</f>
        <v>27529</v>
      </c>
      <c r="H21" s="56" t="n">
        <f aca="false">ROUND(PMT(マスタ!$B$4/12,H$5,-$B21*10000),0)</f>
        <v>23084</v>
      </c>
      <c r="I21" s="56" t="n">
        <f aca="false">ROUND(PMT(マスタ!$B$4/12,I$5,-$B21*10000),0)</f>
        <v>19910</v>
      </c>
      <c r="J21" s="56" t="n">
        <f aca="false">ROUND(PMT(マスタ!$B$4/12,J$5,-$B21*10000),0)</f>
        <v>17530</v>
      </c>
      <c r="K21" s="56" t="n">
        <f aca="false">ROUND(PMT(マスタ!$B$4/12,K$5,-$B21*10000),0)</f>
        <v>15678</v>
      </c>
      <c r="L21" s="56" t="n">
        <f aca="false">ROUND(PMT(マスタ!$B$4/12,L$5,-$B21*10000),0)</f>
        <v>14198</v>
      </c>
    </row>
    <row r="22" customFormat="false" ht="15" hidden="false" customHeight="false" outlineLevel="0" collapsed="false">
      <c r="B22" s="60" t="n">
        <v>170</v>
      </c>
      <c r="C22" s="56" t="n">
        <f aca="false">ROUND(PMT(マスタ!$B$4/12,C$5,-$B22*10000),0)</f>
        <v>142635</v>
      </c>
      <c r="D22" s="56" t="n">
        <f aca="false">ROUND(PMT(マスタ!$B$4/12,D$5,-$B22*10000),0)</f>
        <v>71767</v>
      </c>
      <c r="E22" s="56" t="n">
        <f aca="false">ROUND(PMT(マスタ!$B$4/12,E$5,-$B22*10000),0)</f>
        <v>48145</v>
      </c>
      <c r="F22" s="56" t="n">
        <f aca="false">ROUND(PMT(マスタ!$B$4/12,F$5,-$B22*10000),0)</f>
        <v>36335</v>
      </c>
      <c r="G22" s="56" t="n">
        <f aca="false">ROUND(PMT(マスタ!$B$4/12,G$5,-$B22*10000),0)</f>
        <v>29250</v>
      </c>
      <c r="H22" s="56" t="n">
        <f aca="false">ROUND(PMT(マスタ!$B$4/12,H$5,-$B22*10000),0)</f>
        <v>24527</v>
      </c>
      <c r="I22" s="56" t="n">
        <f aca="false">ROUND(PMT(マスタ!$B$4/12,I$5,-$B22*10000),0)</f>
        <v>21154</v>
      </c>
      <c r="J22" s="56" t="n">
        <f aca="false">ROUND(PMT(マスタ!$B$4/12,J$5,-$B22*10000),0)</f>
        <v>18625</v>
      </c>
      <c r="K22" s="56" t="n">
        <f aca="false">ROUND(PMT(マスタ!$B$4/12,K$5,-$B22*10000),0)</f>
        <v>16658</v>
      </c>
      <c r="L22" s="56" t="n">
        <f aca="false">ROUND(PMT(マスタ!$B$4/12,L$5,-$B22*10000),0)</f>
        <v>15085</v>
      </c>
    </row>
    <row r="23" customFormat="false" ht="15" hidden="false" customHeight="false" outlineLevel="0" collapsed="false">
      <c r="B23" s="60" t="n">
        <v>180</v>
      </c>
      <c r="C23" s="56" t="n">
        <f aca="false">ROUND(PMT(マスタ!$B$4/12,C$5,-$B23*10000),0)</f>
        <v>151026</v>
      </c>
      <c r="D23" s="56" t="n">
        <f aca="false">ROUND(PMT(マスタ!$B$4/12,D$5,-$B23*10000),0)</f>
        <v>75988</v>
      </c>
      <c r="E23" s="56" t="n">
        <f aca="false">ROUND(PMT(マスタ!$B$4/12,E$5,-$B23*10000),0)</f>
        <v>50977</v>
      </c>
      <c r="F23" s="56" t="n">
        <f aca="false">ROUND(PMT(マスタ!$B$4/12,F$5,-$B23*10000),0)</f>
        <v>38473</v>
      </c>
      <c r="G23" s="56" t="n">
        <f aca="false">ROUND(PMT(マスタ!$B$4/12,G$5,-$B23*10000),0)</f>
        <v>30971</v>
      </c>
      <c r="H23" s="56" t="n">
        <f aca="false">ROUND(PMT(マスタ!$B$4/12,H$5,-$B23*10000),0)</f>
        <v>25970</v>
      </c>
      <c r="I23" s="56" t="n">
        <f aca="false">ROUND(PMT(マスタ!$B$4/12,I$5,-$B23*10000),0)</f>
        <v>22399</v>
      </c>
      <c r="J23" s="56" t="n">
        <f aca="false">ROUND(PMT(マスタ!$B$4/12,J$5,-$B23*10000),0)</f>
        <v>19721</v>
      </c>
      <c r="K23" s="56" t="n">
        <f aca="false">ROUND(PMT(マスタ!$B$4/12,K$5,-$B23*10000),0)</f>
        <v>17638</v>
      </c>
      <c r="L23" s="56" t="n">
        <f aca="false">ROUND(PMT(マスタ!$B$4/12,L$5,-$B23*10000),0)</f>
        <v>15973</v>
      </c>
    </row>
    <row r="24" customFormat="false" ht="15" hidden="false" customHeight="false" outlineLevel="0" collapsed="false">
      <c r="B24" s="60" t="n">
        <v>190</v>
      </c>
      <c r="C24" s="56" t="n">
        <f aca="false">ROUND(PMT(マスタ!$B$4/12,C$5,-$B24*10000),0)</f>
        <v>159416</v>
      </c>
      <c r="D24" s="56" t="n">
        <f aca="false">ROUND(PMT(マスタ!$B$4/12,D$5,-$B24*10000),0)</f>
        <v>80210</v>
      </c>
      <c r="E24" s="56" t="n">
        <f aca="false">ROUND(PMT(マスタ!$B$4/12,E$5,-$B24*10000),0)</f>
        <v>53809</v>
      </c>
      <c r="F24" s="56" t="n">
        <f aca="false">ROUND(PMT(マスタ!$B$4/12,F$5,-$B24*10000),0)</f>
        <v>40610</v>
      </c>
      <c r="G24" s="56" t="n">
        <f aca="false">ROUND(PMT(マスタ!$B$4/12,G$5,-$B24*10000),0)</f>
        <v>32691</v>
      </c>
      <c r="H24" s="56" t="n">
        <f aca="false">ROUND(PMT(マスタ!$B$4/12,H$5,-$B24*10000),0)</f>
        <v>27413</v>
      </c>
      <c r="I24" s="56" t="n">
        <f aca="false">ROUND(PMT(マスタ!$B$4/12,I$5,-$B24*10000),0)</f>
        <v>23643</v>
      </c>
      <c r="J24" s="56" t="n">
        <f aca="false">ROUND(PMT(マスタ!$B$4/12,J$5,-$B24*10000),0)</f>
        <v>20816</v>
      </c>
      <c r="K24" s="56" t="n">
        <f aca="false">ROUND(PMT(マスタ!$B$4/12,K$5,-$B24*10000),0)</f>
        <v>18618</v>
      </c>
      <c r="L24" s="56" t="n">
        <f aca="false">ROUND(PMT(マスタ!$B$4/12,L$5,-$B24*10000),0)</f>
        <v>16860</v>
      </c>
    </row>
    <row r="25" customFormat="false" ht="15" hidden="false" customHeight="false" outlineLevel="0" collapsed="false">
      <c r="B25" s="60" t="n">
        <v>200</v>
      </c>
      <c r="C25" s="56" t="n">
        <f aca="false">ROUND(PMT(マスタ!$B$4/12,C$5,-$B25*10000),0)</f>
        <v>167806</v>
      </c>
      <c r="D25" s="56" t="n">
        <f aca="false">ROUND(PMT(マスタ!$B$4/12,D$5,-$B25*10000),0)</f>
        <v>84431</v>
      </c>
      <c r="E25" s="56" t="n">
        <f aca="false">ROUND(PMT(マスタ!$B$4/12,E$5,-$B25*10000),0)</f>
        <v>56641</v>
      </c>
      <c r="F25" s="56" t="n">
        <f aca="false">ROUND(PMT(マスタ!$B$4/12,F$5,-$B25*10000),0)</f>
        <v>42747</v>
      </c>
      <c r="G25" s="56" t="n">
        <f aca="false">ROUND(PMT(マスタ!$B$4/12,G$5,-$B25*10000),0)</f>
        <v>34412</v>
      </c>
      <c r="H25" s="56" t="n">
        <f aca="false">ROUND(PMT(マスタ!$B$4/12,H$5,-$B25*10000),0)</f>
        <v>28856</v>
      </c>
      <c r="I25" s="56" t="n">
        <f aca="false">ROUND(PMT(マスタ!$B$4/12,I$5,-$B25*10000),0)</f>
        <v>24887</v>
      </c>
      <c r="J25" s="56" t="n">
        <f aca="false">ROUND(PMT(マスタ!$B$4/12,J$5,-$B25*10000),0)</f>
        <v>21912</v>
      </c>
      <c r="K25" s="56" t="n">
        <f aca="false">ROUND(PMT(マスタ!$B$4/12,K$5,-$B25*10000),0)</f>
        <v>19598</v>
      </c>
      <c r="L25" s="56" t="n">
        <f aca="false">ROUND(PMT(マスタ!$B$4/12,L$5,-$B25*10000),0)</f>
        <v>17747</v>
      </c>
    </row>
    <row r="28" customFormat="false" ht="15" hidden="false" customHeight="false" outlineLevel="0" collapsed="false">
      <c r="B28" s="58" t="str">
        <f aca="false">"住宅貸付(年利 "&amp;TEXT(マスタ!$B$5,"0.00%")&amp;")"</f>
        <v>住宅貸付(年利 1.26%)</v>
      </c>
    </row>
    <row r="29" customFormat="false" ht="26.85" hidden="false" customHeight="false" outlineLevel="0" collapsed="false">
      <c r="B29" s="53" t="s">
        <v>177</v>
      </c>
      <c r="C29" s="59" t="n">
        <v>60</v>
      </c>
      <c r="D29" s="59" t="n">
        <v>120</v>
      </c>
      <c r="E29" s="59" t="n">
        <v>180</v>
      </c>
      <c r="F29" s="59" t="n">
        <v>240</v>
      </c>
      <c r="G29" s="59" t="n">
        <v>300</v>
      </c>
      <c r="H29" s="59" t="n">
        <v>360</v>
      </c>
    </row>
    <row r="30" customFormat="false" ht="15" hidden="false" customHeight="false" outlineLevel="0" collapsed="false">
      <c r="B30" s="60" t="n">
        <v>100</v>
      </c>
      <c r="C30" s="56" t="n">
        <f aca="false">ROUND(PMT(マスタ!$B$5/12,C$29,-$B30*10000),0)</f>
        <v>17206</v>
      </c>
      <c r="D30" s="56" t="n">
        <f aca="false">ROUND(PMT(マスタ!$B$5/12,D$29,-$B30*10000),0)</f>
        <v>8874</v>
      </c>
      <c r="E30" s="56" t="n">
        <f aca="false">ROUND(PMT(マスタ!$B$5/12,E$29,-$B30*10000),0)</f>
        <v>6100</v>
      </c>
      <c r="F30" s="56" t="n">
        <f aca="false">ROUND(PMT(マスタ!$B$5/12,F$29,-$B30*10000),0)</f>
        <v>4716</v>
      </c>
      <c r="G30" s="56" t="n">
        <f aca="false">ROUND(PMT(マスタ!$B$5/12,G$29,-$B30*10000),0)</f>
        <v>3888</v>
      </c>
      <c r="H30" s="56" t="n">
        <f aca="false">ROUND(PMT(マスタ!$B$5/12,H$29,-$B30*10000),0)</f>
        <v>3337</v>
      </c>
    </row>
    <row r="31" customFormat="false" ht="15" hidden="false" customHeight="false" outlineLevel="0" collapsed="false">
      <c r="B31" s="60" t="n">
        <v>200</v>
      </c>
      <c r="C31" s="56" t="n">
        <f aca="false">ROUND(PMT(マスタ!$B$5/12,C$29,-$B31*10000),0)</f>
        <v>34412</v>
      </c>
      <c r="D31" s="56" t="n">
        <f aca="false">ROUND(PMT(マスタ!$B$5/12,D$29,-$B31*10000),0)</f>
        <v>17747</v>
      </c>
      <c r="E31" s="56" t="n">
        <f aca="false">ROUND(PMT(マスタ!$B$5/12,E$29,-$B31*10000),0)</f>
        <v>12200</v>
      </c>
      <c r="F31" s="56" t="n">
        <f aca="false">ROUND(PMT(マスタ!$B$5/12,F$29,-$B31*10000),0)</f>
        <v>9432</v>
      </c>
      <c r="G31" s="56" t="n">
        <f aca="false">ROUND(PMT(マスタ!$B$5/12,G$29,-$B31*10000),0)</f>
        <v>7775</v>
      </c>
      <c r="H31" s="56" t="n">
        <f aca="false">ROUND(PMT(マスタ!$B$5/12,H$29,-$B31*10000),0)</f>
        <v>6674</v>
      </c>
    </row>
    <row r="32" customFormat="false" ht="15" hidden="false" customHeight="false" outlineLevel="0" collapsed="false">
      <c r="B32" s="60" t="n">
        <v>300</v>
      </c>
      <c r="C32" s="56" t="n">
        <f aca="false">ROUND(PMT(マスタ!$B$5/12,C$29,-$B32*10000),0)</f>
        <v>51618</v>
      </c>
      <c r="D32" s="56" t="n">
        <f aca="false">ROUND(PMT(マスタ!$B$5/12,D$29,-$B32*10000),0)</f>
        <v>26621</v>
      </c>
      <c r="E32" s="56" t="n">
        <f aca="false">ROUND(PMT(マスタ!$B$5/12,E$29,-$B32*10000),0)</f>
        <v>18300</v>
      </c>
      <c r="F32" s="56" t="n">
        <f aca="false">ROUND(PMT(マスタ!$B$5/12,F$29,-$B32*10000),0)</f>
        <v>14148</v>
      </c>
      <c r="G32" s="56" t="n">
        <f aca="false">ROUND(PMT(マスタ!$B$5/12,G$29,-$B32*10000),0)</f>
        <v>11663</v>
      </c>
      <c r="H32" s="56" t="n">
        <f aca="false">ROUND(PMT(マスタ!$B$5/12,H$29,-$B32*10000),0)</f>
        <v>10012</v>
      </c>
    </row>
    <row r="33" customFormat="false" ht="15" hidden="false" customHeight="false" outlineLevel="0" collapsed="false">
      <c r="B33" s="60" t="n">
        <v>400</v>
      </c>
      <c r="C33" s="56" t="n">
        <f aca="false">ROUND(PMT(マスタ!$B$5/12,C$29,-$B33*10000),0)</f>
        <v>68824</v>
      </c>
      <c r="D33" s="56" t="n">
        <f aca="false">ROUND(PMT(マスタ!$B$5/12,D$29,-$B33*10000),0)</f>
        <v>35495</v>
      </c>
      <c r="E33" s="56" t="n">
        <f aca="false">ROUND(PMT(マスタ!$B$5/12,E$29,-$B33*10000),0)</f>
        <v>24400</v>
      </c>
      <c r="F33" s="56" t="n">
        <f aca="false">ROUND(PMT(マスタ!$B$5/12,F$29,-$B33*10000),0)</f>
        <v>18863</v>
      </c>
      <c r="G33" s="56" t="n">
        <f aca="false">ROUND(PMT(マスタ!$B$5/12,G$29,-$B33*10000),0)</f>
        <v>15550</v>
      </c>
      <c r="H33" s="56" t="n">
        <f aca="false">ROUND(PMT(マスタ!$B$5/12,H$29,-$B33*10000),0)</f>
        <v>13349</v>
      </c>
    </row>
    <row r="34" customFormat="false" ht="15" hidden="false" customHeight="false" outlineLevel="0" collapsed="false">
      <c r="B34" s="60" t="n">
        <v>500</v>
      </c>
      <c r="C34" s="56" t="n">
        <f aca="false">ROUND(PMT(マスタ!$B$5/12,C$29,-$B34*10000),0)</f>
        <v>86030</v>
      </c>
      <c r="D34" s="56" t="n">
        <f aca="false">ROUND(PMT(マスタ!$B$5/12,D$29,-$B34*10000),0)</f>
        <v>44369</v>
      </c>
      <c r="E34" s="56" t="n">
        <f aca="false">ROUND(PMT(マスタ!$B$5/12,E$29,-$B34*10000),0)</f>
        <v>30500</v>
      </c>
      <c r="F34" s="56" t="n">
        <f aca="false">ROUND(PMT(マスタ!$B$5/12,F$29,-$B34*10000),0)</f>
        <v>23579</v>
      </c>
      <c r="G34" s="56" t="n">
        <f aca="false">ROUND(PMT(マスタ!$B$5/12,G$29,-$B34*10000),0)</f>
        <v>19438</v>
      </c>
      <c r="H34" s="56" t="n">
        <f aca="false">ROUND(PMT(マスタ!$B$5/12,H$29,-$B34*10000),0)</f>
        <v>16686</v>
      </c>
    </row>
    <row r="35" customFormat="false" ht="15" hidden="false" customHeight="false" outlineLevel="0" collapsed="false">
      <c r="B35" s="60" t="n">
        <v>600</v>
      </c>
      <c r="C35" s="56" t="n">
        <f aca="false">ROUND(PMT(マスタ!$B$5/12,C$29,-$B35*10000),0)</f>
        <v>103236</v>
      </c>
      <c r="D35" s="56" t="n">
        <f aca="false">ROUND(PMT(マスタ!$B$5/12,D$29,-$B35*10000),0)</f>
        <v>53242</v>
      </c>
      <c r="E35" s="56" t="n">
        <f aca="false">ROUND(PMT(マスタ!$B$5/12,E$29,-$B35*10000),0)</f>
        <v>36600</v>
      </c>
      <c r="F35" s="56" t="n">
        <f aca="false">ROUND(PMT(マスタ!$B$5/12,F$29,-$B35*10000),0)</f>
        <v>28295</v>
      </c>
      <c r="G35" s="56" t="n">
        <f aca="false">ROUND(PMT(マスタ!$B$5/12,G$29,-$B35*10000),0)</f>
        <v>23326</v>
      </c>
      <c r="H35" s="56" t="n">
        <f aca="false">ROUND(PMT(マスタ!$B$5/12,H$29,-$B35*10000),0)</f>
        <v>20023</v>
      </c>
    </row>
    <row r="36" customFormat="false" ht="15" hidden="false" customHeight="false" outlineLevel="0" collapsed="false">
      <c r="B36" s="60" t="n">
        <v>700</v>
      </c>
      <c r="C36" s="56" t="n">
        <f aca="false">ROUND(PMT(マスタ!$B$5/12,C$29,-$B36*10000),0)</f>
        <v>120441</v>
      </c>
      <c r="D36" s="56" t="n">
        <f aca="false">ROUND(PMT(マスタ!$B$5/12,D$29,-$B36*10000),0)</f>
        <v>62116</v>
      </c>
      <c r="E36" s="56" t="n">
        <f aca="false">ROUND(PMT(マスタ!$B$5/12,E$29,-$B36*10000),0)</f>
        <v>42700</v>
      </c>
      <c r="F36" s="56" t="n">
        <f aca="false">ROUND(PMT(マスタ!$B$5/12,F$29,-$B36*10000),0)</f>
        <v>33011</v>
      </c>
      <c r="G36" s="56" t="n">
        <f aca="false">ROUND(PMT(マスタ!$B$5/12,G$29,-$B36*10000),0)</f>
        <v>27213</v>
      </c>
      <c r="H36" s="56" t="n">
        <f aca="false">ROUND(PMT(マスタ!$B$5/12,H$29,-$B36*10000),0)</f>
        <v>23361</v>
      </c>
    </row>
    <row r="37" customFormat="false" ht="15" hidden="false" customHeight="false" outlineLevel="0" collapsed="false">
      <c r="B37" s="60" t="n">
        <v>800</v>
      </c>
      <c r="C37" s="56" t="n">
        <f aca="false">ROUND(PMT(マスタ!$B$5/12,C$29,-$B37*10000),0)</f>
        <v>137647</v>
      </c>
      <c r="D37" s="56" t="n">
        <f aca="false">ROUND(PMT(マスタ!$B$5/12,D$29,-$B37*10000),0)</f>
        <v>70990</v>
      </c>
      <c r="E37" s="56" t="n">
        <f aca="false">ROUND(PMT(マスタ!$B$5/12,E$29,-$B37*10000),0)</f>
        <v>48800</v>
      </c>
      <c r="F37" s="56" t="n">
        <f aca="false">ROUND(PMT(マスタ!$B$5/12,F$29,-$B37*10000),0)</f>
        <v>37727</v>
      </c>
      <c r="G37" s="56" t="n">
        <f aca="false">ROUND(PMT(マスタ!$B$5/12,G$29,-$B37*10000),0)</f>
        <v>31101</v>
      </c>
      <c r="H37" s="56" t="n">
        <f aca="false">ROUND(PMT(マスタ!$B$5/12,H$29,-$B37*10000),0)</f>
        <v>26698</v>
      </c>
    </row>
    <row r="38" customFormat="false" ht="15" hidden="false" customHeight="false" outlineLevel="0" collapsed="false">
      <c r="B38" s="60" t="n">
        <v>900</v>
      </c>
      <c r="C38" s="56" t="n">
        <f aca="false">ROUND(PMT(マスタ!$B$5/12,C$29,-$B38*10000),0)</f>
        <v>154853</v>
      </c>
      <c r="D38" s="56" t="n">
        <f aca="false">ROUND(PMT(マスタ!$B$5/12,D$29,-$B38*10000),0)</f>
        <v>79864</v>
      </c>
      <c r="E38" s="56" t="n">
        <f aca="false">ROUND(PMT(マスタ!$B$5/12,E$29,-$B38*10000),0)</f>
        <v>54900</v>
      </c>
      <c r="F38" s="56" t="n">
        <f aca="false">ROUND(PMT(マスタ!$B$5/12,F$29,-$B38*10000),0)</f>
        <v>42443</v>
      </c>
      <c r="G38" s="56" t="n">
        <f aca="false">ROUND(PMT(マスタ!$B$5/12,G$29,-$B38*10000),0)</f>
        <v>34988</v>
      </c>
      <c r="H38" s="56" t="n">
        <f aca="false">ROUND(PMT(マスタ!$B$5/12,H$29,-$B38*10000),0)</f>
        <v>30035</v>
      </c>
    </row>
    <row r="39" customFormat="false" ht="15" hidden="false" customHeight="false" outlineLevel="0" collapsed="false">
      <c r="B39" s="60" t="n">
        <v>1000</v>
      </c>
      <c r="C39" s="56" t="n">
        <f aca="false">ROUND(PMT(マスタ!$B$5/12,C$29,-$B39*10000),0)</f>
        <v>172059</v>
      </c>
      <c r="D39" s="56" t="n">
        <f aca="false">ROUND(PMT(マスタ!$B$5/12,D$29,-$B39*10000),0)</f>
        <v>88737</v>
      </c>
      <c r="E39" s="56" t="n">
        <f aca="false">ROUND(PMT(マスタ!$B$5/12,E$29,-$B39*10000),0)</f>
        <v>61000</v>
      </c>
      <c r="F39" s="56" t="n">
        <f aca="false">ROUND(PMT(マスタ!$B$5/12,F$29,-$B39*10000),0)</f>
        <v>47159</v>
      </c>
      <c r="G39" s="56" t="n">
        <f aca="false">ROUND(PMT(マスタ!$B$5/12,G$29,-$B39*10000),0)</f>
        <v>38876</v>
      </c>
      <c r="H39" s="56" t="n">
        <f aca="false">ROUND(PMT(マスタ!$B$5/12,H$29,-$B39*10000),0)</f>
        <v>33372</v>
      </c>
    </row>
    <row r="40" customFormat="false" ht="15" hidden="false" customHeight="false" outlineLevel="0" collapsed="false">
      <c r="B40" s="60" t="n">
        <v>1100</v>
      </c>
      <c r="C40" s="56" t="n">
        <f aca="false">ROUND(PMT(マスタ!$B$5/12,C$29,-$B40*10000),0)</f>
        <v>189265</v>
      </c>
      <c r="D40" s="56" t="n">
        <f aca="false">ROUND(PMT(マスタ!$B$5/12,D$29,-$B40*10000),0)</f>
        <v>97611</v>
      </c>
      <c r="E40" s="56" t="n">
        <f aca="false">ROUND(PMT(マスタ!$B$5/12,E$29,-$B40*10000),0)</f>
        <v>67100</v>
      </c>
      <c r="F40" s="56" t="n">
        <f aca="false">ROUND(PMT(マスタ!$B$5/12,F$29,-$B40*10000),0)</f>
        <v>51875</v>
      </c>
      <c r="G40" s="56" t="n">
        <f aca="false">ROUND(PMT(マスタ!$B$5/12,G$29,-$B40*10000),0)</f>
        <v>42763</v>
      </c>
      <c r="H40" s="56" t="n">
        <f aca="false">ROUND(PMT(マスタ!$B$5/12,H$29,-$B40*10000),0)</f>
        <v>36709</v>
      </c>
    </row>
    <row r="41" customFormat="false" ht="15" hidden="false" customHeight="false" outlineLevel="0" collapsed="false">
      <c r="B41" s="60" t="n">
        <v>1200</v>
      </c>
      <c r="C41" s="56" t="n">
        <f aca="false">ROUND(PMT(マスタ!$B$5/12,C$29,-$B41*10000),0)</f>
        <v>206471</v>
      </c>
      <c r="D41" s="56" t="n">
        <f aca="false">ROUND(PMT(マスタ!$B$5/12,D$29,-$B41*10000),0)</f>
        <v>106485</v>
      </c>
      <c r="E41" s="56" t="n">
        <f aca="false">ROUND(PMT(マスタ!$B$5/12,E$29,-$B41*10000),0)</f>
        <v>73200</v>
      </c>
      <c r="F41" s="56" t="n">
        <f aca="false">ROUND(PMT(マスタ!$B$5/12,F$29,-$B41*10000),0)</f>
        <v>56590</v>
      </c>
      <c r="G41" s="56" t="n">
        <f aca="false">ROUND(PMT(マスタ!$B$5/12,G$29,-$B41*10000),0)</f>
        <v>46651</v>
      </c>
      <c r="H41" s="56" t="n">
        <f aca="false">ROUND(PMT(マスタ!$B$5/12,H$29,-$B41*10000),0)</f>
        <v>40047</v>
      </c>
    </row>
    <row r="42" customFormat="false" ht="15" hidden="false" customHeight="false" outlineLevel="0" collapsed="false">
      <c r="B42" s="60" t="n">
        <v>1300</v>
      </c>
      <c r="C42" s="56" t="n">
        <f aca="false">ROUND(PMT(マスタ!$B$5/12,C$29,-$B42*10000),0)</f>
        <v>223677</v>
      </c>
      <c r="D42" s="56" t="n">
        <f aca="false">ROUND(PMT(マスタ!$B$5/12,D$29,-$B42*10000),0)</f>
        <v>115358</v>
      </c>
      <c r="E42" s="56" t="n">
        <f aca="false">ROUND(PMT(マスタ!$B$5/12,E$29,-$B42*10000),0)</f>
        <v>79300</v>
      </c>
      <c r="F42" s="56" t="n">
        <f aca="false">ROUND(PMT(マスタ!$B$5/12,F$29,-$B42*10000),0)</f>
        <v>61306</v>
      </c>
      <c r="G42" s="56" t="n">
        <f aca="false">ROUND(PMT(マスタ!$B$5/12,G$29,-$B42*10000),0)</f>
        <v>50539</v>
      </c>
      <c r="H42" s="56" t="n">
        <f aca="false">ROUND(PMT(マスタ!$B$5/12,H$29,-$B42*10000),0)</f>
        <v>43384</v>
      </c>
    </row>
    <row r="43" customFormat="false" ht="15" hidden="false" customHeight="false" outlineLevel="0" collapsed="false">
      <c r="B43" s="60" t="n">
        <v>1400</v>
      </c>
      <c r="C43" s="56" t="n">
        <f aca="false">ROUND(PMT(マスタ!$B$5/12,C$29,-$B43*10000),0)</f>
        <v>240883</v>
      </c>
      <c r="D43" s="56" t="n">
        <f aca="false">ROUND(PMT(マスタ!$B$5/12,D$29,-$B43*10000),0)</f>
        <v>124232</v>
      </c>
      <c r="E43" s="56" t="n">
        <f aca="false">ROUND(PMT(マスタ!$B$5/12,E$29,-$B43*10000),0)</f>
        <v>85400</v>
      </c>
      <c r="F43" s="56" t="n">
        <f aca="false">ROUND(PMT(マスタ!$B$5/12,F$29,-$B43*10000),0)</f>
        <v>66022</v>
      </c>
      <c r="G43" s="56" t="n">
        <f aca="false">ROUND(PMT(マスタ!$B$5/12,G$29,-$B43*10000),0)</f>
        <v>54426</v>
      </c>
      <c r="H43" s="56" t="n">
        <f aca="false">ROUND(PMT(マスタ!$B$5/12,H$29,-$B43*10000),0)</f>
        <v>46721</v>
      </c>
    </row>
    <row r="44" customFormat="false" ht="15" hidden="false" customHeight="false" outlineLevel="0" collapsed="false">
      <c r="B44" s="60" t="n">
        <v>1500</v>
      </c>
      <c r="C44" s="56" t="n">
        <f aca="false">ROUND(PMT(マスタ!$B$5/12,C$29,-$B44*10000),0)</f>
        <v>258089</v>
      </c>
      <c r="D44" s="56" t="n">
        <f aca="false">ROUND(PMT(マスタ!$B$5/12,D$29,-$B44*10000),0)</f>
        <v>133106</v>
      </c>
      <c r="E44" s="56" t="n">
        <f aca="false">ROUND(PMT(マスタ!$B$5/12,E$29,-$B44*10000),0)</f>
        <v>91500</v>
      </c>
      <c r="F44" s="56" t="n">
        <f aca="false">ROUND(PMT(マスタ!$B$5/12,F$29,-$B44*10000),0)</f>
        <v>70738</v>
      </c>
      <c r="G44" s="56" t="n">
        <f aca="false">ROUND(PMT(マスタ!$B$5/12,G$29,-$B44*10000),0)</f>
        <v>58314</v>
      </c>
      <c r="H44" s="56" t="n">
        <f aca="false">ROUND(PMT(マスタ!$B$5/12,H$29,-$B44*10000),0)</f>
        <v>50058</v>
      </c>
    </row>
    <row r="45" customFormat="false" ht="15" hidden="false" customHeight="false" outlineLevel="0" collapsed="false">
      <c r="B45" s="60" t="n">
        <v>1600</v>
      </c>
      <c r="C45" s="56" t="n">
        <f aca="false">ROUND(PMT(マスタ!$B$5/12,C$29,-$B45*10000),0)</f>
        <v>275295</v>
      </c>
      <c r="D45" s="56" t="n">
        <f aca="false">ROUND(PMT(マスタ!$B$5/12,D$29,-$B45*10000),0)</f>
        <v>141980</v>
      </c>
      <c r="E45" s="56" t="n">
        <f aca="false">ROUND(PMT(マスタ!$B$5/12,E$29,-$B45*10000),0)</f>
        <v>97600</v>
      </c>
      <c r="F45" s="56" t="n">
        <f aca="false">ROUND(PMT(マスタ!$B$5/12,F$29,-$B45*10000),0)</f>
        <v>75454</v>
      </c>
      <c r="G45" s="56" t="n">
        <f aca="false">ROUND(PMT(マスタ!$B$5/12,G$29,-$B45*10000),0)</f>
        <v>62201</v>
      </c>
      <c r="H45" s="56" t="n">
        <f aca="false">ROUND(PMT(マスタ!$B$5/12,H$29,-$B45*10000),0)</f>
        <v>53395</v>
      </c>
    </row>
    <row r="46" customFormat="false" ht="15" hidden="false" customHeight="false" outlineLevel="0" collapsed="false">
      <c r="B46" s="60" t="n">
        <v>1700</v>
      </c>
      <c r="C46" s="56" t="n">
        <f aca="false">ROUND(PMT(マスタ!$B$5/12,C$29,-$B46*10000),0)</f>
        <v>292501</v>
      </c>
      <c r="D46" s="56" t="n">
        <f aca="false">ROUND(PMT(マスタ!$B$5/12,D$29,-$B46*10000),0)</f>
        <v>150853</v>
      </c>
      <c r="E46" s="56" t="n">
        <f aca="false">ROUND(PMT(マスタ!$B$5/12,E$29,-$B46*10000),0)</f>
        <v>103700</v>
      </c>
      <c r="F46" s="56" t="n">
        <f aca="false">ROUND(PMT(マスタ!$B$5/12,F$29,-$B46*10000),0)</f>
        <v>80170</v>
      </c>
      <c r="G46" s="56" t="n">
        <f aca="false">ROUND(PMT(マスタ!$B$5/12,G$29,-$B46*10000),0)</f>
        <v>66089</v>
      </c>
      <c r="H46" s="56" t="n">
        <f aca="false">ROUND(PMT(マスタ!$B$5/12,H$29,-$B46*10000),0)</f>
        <v>56733</v>
      </c>
    </row>
    <row r="47" customFormat="false" ht="15" hidden="false" customHeight="false" outlineLevel="0" collapsed="false">
      <c r="B47" s="60" t="n">
        <v>1800</v>
      </c>
      <c r="C47" s="56" t="n">
        <f aca="false">ROUND(PMT(マスタ!$B$5/12,C$29,-$B47*10000),0)</f>
        <v>309707</v>
      </c>
      <c r="D47" s="56" t="n">
        <f aca="false">ROUND(PMT(マスタ!$B$5/12,D$29,-$B47*10000),0)</f>
        <v>159727</v>
      </c>
      <c r="E47" s="56" t="n">
        <f aca="false">ROUND(PMT(マスタ!$B$5/12,E$29,-$B47*10000),0)</f>
        <v>109800</v>
      </c>
      <c r="F47" s="56" t="n">
        <f aca="false">ROUND(PMT(マスタ!$B$5/12,F$29,-$B47*10000),0)</f>
        <v>84886</v>
      </c>
      <c r="G47" s="56" t="n">
        <f aca="false">ROUND(PMT(マスタ!$B$5/12,G$29,-$B47*10000),0)</f>
        <v>69977</v>
      </c>
      <c r="H47" s="56" t="n">
        <f aca="false">ROUND(PMT(マスタ!$B$5/12,H$29,-$B47*10000),0)</f>
        <v>60070</v>
      </c>
    </row>
    <row r="50" customFormat="false" ht="15" hidden="false" customHeight="false" outlineLevel="0" collapsed="false">
      <c r="B50" s="58" t="str">
        <f aca="false">"災害貸付(年利 "&amp;TEXT(マスタ!$B$6,"0.00%")&amp;")"</f>
        <v>災害貸付(年利 0.93%)</v>
      </c>
    </row>
    <row r="51" customFormat="false" ht="26.85" hidden="false" customHeight="false" outlineLevel="0" collapsed="false">
      <c r="B51" s="53" t="s">
        <v>177</v>
      </c>
      <c r="C51" s="59" t="n">
        <v>60</v>
      </c>
      <c r="D51" s="59" t="n">
        <v>120</v>
      </c>
      <c r="E51" s="59" t="n">
        <v>180</v>
      </c>
      <c r="F51" s="59" t="n">
        <v>240</v>
      </c>
      <c r="G51" s="59" t="n">
        <v>300</v>
      </c>
      <c r="H51" s="59" t="n">
        <v>360</v>
      </c>
    </row>
    <row r="52" customFormat="false" ht="15" hidden="false" customHeight="false" outlineLevel="0" collapsed="false">
      <c r="B52" s="60" t="n">
        <v>100</v>
      </c>
      <c r="C52" s="56" t="n">
        <f aca="false">ROUND(PMT(マスタ!$B$6/12,C$51,-$B52*10000),0)</f>
        <v>17064</v>
      </c>
      <c r="D52" s="56" t="n">
        <f aca="false">ROUND(PMT(マスタ!$B$6/12,D$51,-$B52*10000),0)</f>
        <v>8730</v>
      </c>
      <c r="E52" s="56" t="n">
        <f aca="false">ROUND(PMT(マスタ!$B$6/12,E$51,-$B52*10000),0)</f>
        <v>5954</v>
      </c>
      <c r="F52" s="56" t="n">
        <f aca="false">ROUND(PMT(マスタ!$B$6/12,F$51,-$B52*10000),0)</f>
        <v>4568</v>
      </c>
      <c r="G52" s="56" t="n">
        <f aca="false">ROUND(PMT(マスタ!$B$6/12,G$51,-$B52*10000),0)</f>
        <v>3737</v>
      </c>
      <c r="H52" s="56" t="n">
        <f aca="false">ROUND(PMT(マスタ!$B$6/12,H$51,-$B52*10000),0)</f>
        <v>3184</v>
      </c>
    </row>
    <row r="53" customFormat="false" ht="15" hidden="false" customHeight="false" outlineLevel="0" collapsed="false">
      <c r="B53" s="60" t="n">
        <v>200</v>
      </c>
      <c r="C53" s="56" t="n">
        <f aca="false">ROUND(PMT(マスタ!$B$6/12,C$51,-$B53*10000),0)</f>
        <v>34127</v>
      </c>
      <c r="D53" s="56" t="n">
        <f aca="false">ROUND(PMT(マスタ!$B$6/12,D$51,-$B53*10000),0)</f>
        <v>17460</v>
      </c>
      <c r="E53" s="56" t="n">
        <f aca="false">ROUND(PMT(マスタ!$B$6/12,E$51,-$B53*10000),0)</f>
        <v>11908</v>
      </c>
      <c r="F53" s="56" t="n">
        <f aca="false">ROUND(PMT(マスタ!$B$6/12,F$51,-$B53*10000),0)</f>
        <v>9136</v>
      </c>
      <c r="G53" s="56" t="n">
        <f aca="false">ROUND(PMT(マスタ!$B$6/12,G$51,-$B53*10000),0)</f>
        <v>7474</v>
      </c>
      <c r="H53" s="56" t="n">
        <f aca="false">ROUND(PMT(マスタ!$B$6/12,H$51,-$B53*10000),0)</f>
        <v>6369</v>
      </c>
    </row>
    <row r="54" customFormat="false" ht="15" hidden="false" customHeight="false" outlineLevel="0" collapsed="false">
      <c r="B54" s="60" t="n">
        <v>300</v>
      </c>
      <c r="C54" s="56" t="n">
        <f aca="false">ROUND(PMT(マスタ!$B$6/12,C$51,-$B54*10000),0)</f>
        <v>51191</v>
      </c>
      <c r="D54" s="56" t="n">
        <f aca="false">ROUND(PMT(マスタ!$B$6/12,D$51,-$B54*10000),0)</f>
        <v>26190</v>
      </c>
      <c r="E54" s="56" t="n">
        <f aca="false">ROUND(PMT(マスタ!$B$6/12,E$51,-$B54*10000),0)</f>
        <v>17863</v>
      </c>
      <c r="F54" s="56" t="n">
        <f aca="false">ROUND(PMT(マスタ!$B$6/12,F$51,-$B54*10000),0)</f>
        <v>13703</v>
      </c>
      <c r="G54" s="56" t="n">
        <f aca="false">ROUND(PMT(マスタ!$B$6/12,G$51,-$B54*10000),0)</f>
        <v>11211</v>
      </c>
      <c r="H54" s="56" t="n">
        <f aca="false">ROUND(PMT(マスタ!$B$6/12,H$51,-$B54*10000),0)</f>
        <v>9553</v>
      </c>
    </row>
    <row r="55" customFormat="false" ht="15" hidden="false" customHeight="false" outlineLevel="0" collapsed="false">
      <c r="B55" s="60" t="n">
        <v>400</v>
      </c>
      <c r="C55" s="56" t="n">
        <f aca="false">ROUND(PMT(マスタ!$B$6/12,C$51,-$B55*10000),0)</f>
        <v>68255</v>
      </c>
      <c r="D55" s="56" t="n">
        <f aca="false">ROUND(PMT(マスタ!$B$6/12,D$51,-$B55*10000),0)</f>
        <v>34920</v>
      </c>
      <c r="E55" s="56" t="n">
        <f aca="false">ROUND(PMT(マスタ!$B$6/12,E$51,-$B55*10000),0)</f>
        <v>23817</v>
      </c>
      <c r="F55" s="56" t="n">
        <f aca="false">ROUND(PMT(マスタ!$B$6/12,F$51,-$B55*10000),0)</f>
        <v>18271</v>
      </c>
      <c r="G55" s="56" t="n">
        <f aca="false">ROUND(PMT(マスタ!$B$6/12,G$51,-$B55*10000),0)</f>
        <v>14948</v>
      </c>
      <c r="H55" s="56" t="n">
        <f aca="false">ROUND(PMT(マスタ!$B$6/12,H$51,-$B55*10000),0)</f>
        <v>12737</v>
      </c>
    </row>
    <row r="56" customFormat="false" ht="15" hidden="false" customHeight="false" outlineLevel="0" collapsed="false">
      <c r="B56" s="60" t="n">
        <v>500</v>
      </c>
      <c r="C56" s="56" t="n">
        <f aca="false">ROUND(PMT(マスタ!$B$6/12,C$51,-$B56*10000),0)</f>
        <v>85318</v>
      </c>
      <c r="D56" s="56" t="n">
        <f aca="false">ROUND(PMT(マスタ!$B$6/12,D$51,-$B56*10000),0)</f>
        <v>43650</v>
      </c>
      <c r="E56" s="56" t="n">
        <f aca="false">ROUND(PMT(マスタ!$B$6/12,E$51,-$B56*10000),0)</f>
        <v>29771</v>
      </c>
      <c r="F56" s="56" t="n">
        <f aca="false">ROUND(PMT(マスタ!$B$6/12,F$51,-$B56*10000),0)</f>
        <v>22839</v>
      </c>
      <c r="G56" s="56" t="n">
        <f aca="false">ROUND(PMT(マスタ!$B$6/12,G$51,-$B56*10000),0)</f>
        <v>18686</v>
      </c>
      <c r="H56" s="56" t="n">
        <f aca="false">ROUND(PMT(マスタ!$B$6/12,H$51,-$B56*10000),0)</f>
        <v>15922</v>
      </c>
    </row>
    <row r="57" customFormat="false" ht="15" hidden="false" customHeight="false" outlineLevel="0" collapsed="false">
      <c r="B57" s="60" t="n">
        <v>600</v>
      </c>
      <c r="C57" s="56" t="n">
        <f aca="false">ROUND(PMT(マスタ!$B$6/12,C$51,-$B57*10000),0)</f>
        <v>102382</v>
      </c>
      <c r="D57" s="56" t="n">
        <f aca="false">ROUND(PMT(マスタ!$B$6/12,D$51,-$B57*10000),0)</f>
        <v>52380</v>
      </c>
      <c r="E57" s="56" t="n">
        <f aca="false">ROUND(PMT(マスタ!$B$6/12,E$51,-$B57*10000),0)</f>
        <v>35725</v>
      </c>
      <c r="F57" s="56" t="n">
        <f aca="false">ROUND(PMT(マスタ!$B$6/12,F$51,-$B57*10000),0)</f>
        <v>27407</v>
      </c>
      <c r="G57" s="56" t="n">
        <f aca="false">ROUND(PMT(マスタ!$B$6/12,G$51,-$B57*10000),0)</f>
        <v>22423</v>
      </c>
      <c r="H57" s="56" t="n">
        <f aca="false">ROUND(PMT(マスタ!$B$6/12,H$51,-$B57*10000),0)</f>
        <v>19106</v>
      </c>
    </row>
    <row r="58" customFormat="false" ht="15" hidden="false" customHeight="false" outlineLevel="0" collapsed="false">
      <c r="B58" s="60" t="n">
        <v>700</v>
      </c>
      <c r="C58" s="56" t="n">
        <f aca="false">ROUND(PMT(マスタ!$B$6/12,C$51,-$B58*10000),0)</f>
        <v>119445</v>
      </c>
      <c r="D58" s="56" t="n">
        <f aca="false">ROUND(PMT(マスタ!$B$6/12,D$51,-$B58*10000),0)</f>
        <v>61110</v>
      </c>
      <c r="E58" s="56" t="n">
        <f aca="false">ROUND(PMT(マスタ!$B$6/12,E$51,-$B58*10000),0)</f>
        <v>41679</v>
      </c>
      <c r="F58" s="56" t="n">
        <f aca="false">ROUND(PMT(マスタ!$B$6/12,F$51,-$B58*10000),0)</f>
        <v>31974</v>
      </c>
      <c r="G58" s="56" t="n">
        <f aca="false">ROUND(PMT(マスタ!$B$6/12,G$51,-$B58*10000),0)</f>
        <v>26160</v>
      </c>
      <c r="H58" s="56" t="n">
        <f aca="false">ROUND(PMT(マスタ!$B$6/12,H$51,-$B58*10000),0)</f>
        <v>22290</v>
      </c>
    </row>
    <row r="59" customFormat="false" ht="15" hidden="false" customHeight="false" outlineLevel="0" collapsed="false">
      <c r="B59" s="60" t="n">
        <v>800</v>
      </c>
      <c r="C59" s="56" t="n">
        <f aca="false">ROUND(PMT(マスタ!$B$6/12,C$51,-$B59*10000),0)</f>
        <v>136509</v>
      </c>
      <c r="D59" s="56" t="n">
        <f aca="false">ROUND(PMT(マスタ!$B$6/12,D$51,-$B59*10000),0)</f>
        <v>69841</v>
      </c>
      <c r="E59" s="56" t="n">
        <f aca="false">ROUND(PMT(マスタ!$B$6/12,E$51,-$B59*10000),0)</f>
        <v>47634</v>
      </c>
      <c r="F59" s="56" t="n">
        <f aca="false">ROUND(PMT(マスタ!$B$6/12,F$51,-$B59*10000),0)</f>
        <v>36542</v>
      </c>
      <c r="G59" s="56" t="n">
        <f aca="false">ROUND(PMT(マスタ!$B$6/12,G$51,-$B59*10000),0)</f>
        <v>29897</v>
      </c>
      <c r="H59" s="56" t="n">
        <f aca="false">ROUND(PMT(マスタ!$B$6/12,H$51,-$B59*10000),0)</f>
        <v>25475</v>
      </c>
    </row>
    <row r="60" customFormat="false" ht="15" hidden="false" customHeight="false" outlineLevel="0" collapsed="false">
      <c r="B60" s="60" t="n">
        <v>900</v>
      </c>
      <c r="C60" s="56" t="n">
        <f aca="false">ROUND(PMT(マスタ!$B$6/12,C$51,-$B60*10000),0)</f>
        <v>153573</v>
      </c>
      <c r="D60" s="56" t="n">
        <f aca="false">ROUND(PMT(マスタ!$B$6/12,D$51,-$B60*10000),0)</f>
        <v>78571</v>
      </c>
      <c r="E60" s="56" t="n">
        <f aca="false">ROUND(PMT(マスタ!$B$6/12,E$51,-$B60*10000),0)</f>
        <v>53588</v>
      </c>
      <c r="F60" s="56" t="n">
        <f aca="false">ROUND(PMT(マスタ!$B$6/12,F$51,-$B60*10000),0)</f>
        <v>41110</v>
      </c>
      <c r="G60" s="56" t="n">
        <f aca="false">ROUND(PMT(マスタ!$B$6/12,G$51,-$B60*10000),0)</f>
        <v>33634</v>
      </c>
      <c r="H60" s="56" t="n">
        <f aca="false">ROUND(PMT(マスタ!$B$6/12,H$51,-$B60*10000),0)</f>
        <v>28659</v>
      </c>
    </row>
    <row r="61" customFormat="false" ht="15" hidden="false" customHeight="false" outlineLevel="0" collapsed="false">
      <c r="B61" s="60" t="n">
        <v>1000</v>
      </c>
      <c r="C61" s="56" t="n">
        <f aca="false">ROUND(PMT(マスタ!$B$6/12,C$51,-$B61*10000),0)</f>
        <v>170636</v>
      </c>
      <c r="D61" s="56" t="n">
        <f aca="false">ROUND(PMT(マスタ!$B$6/12,D$51,-$B61*10000),0)</f>
        <v>87301</v>
      </c>
      <c r="E61" s="56" t="n">
        <f aca="false">ROUND(PMT(マスタ!$B$6/12,E$51,-$B61*10000),0)</f>
        <v>59542</v>
      </c>
      <c r="F61" s="56" t="n">
        <f aca="false">ROUND(PMT(マスタ!$B$6/12,F$51,-$B61*10000),0)</f>
        <v>45678</v>
      </c>
      <c r="G61" s="56" t="n">
        <f aca="false">ROUND(PMT(マスタ!$B$6/12,G$51,-$B61*10000),0)</f>
        <v>37371</v>
      </c>
      <c r="H61" s="56" t="n">
        <f aca="false">ROUND(PMT(マスタ!$B$6/12,H$51,-$B61*10000),0)</f>
        <v>31843</v>
      </c>
    </row>
    <row r="62" customFormat="false" ht="15" hidden="false" customHeight="false" outlineLevel="0" collapsed="false">
      <c r="B62" s="60" t="n">
        <v>1100</v>
      </c>
      <c r="C62" s="56" t="n">
        <f aca="false">ROUND(PMT(マスタ!$B$6/12,C$51,-$B62*10000),0)</f>
        <v>187700</v>
      </c>
      <c r="D62" s="56" t="n">
        <f aca="false">ROUND(PMT(マスタ!$B$6/12,D$51,-$B62*10000),0)</f>
        <v>96031</v>
      </c>
      <c r="E62" s="56" t="n">
        <f aca="false">ROUND(PMT(マスタ!$B$6/12,E$51,-$B62*10000),0)</f>
        <v>65496</v>
      </c>
      <c r="F62" s="56" t="n">
        <f aca="false">ROUND(PMT(マスタ!$B$6/12,F$51,-$B62*10000),0)</f>
        <v>50246</v>
      </c>
      <c r="G62" s="56" t="n">
        <f aca="false">ROUND(PMT(マスタ!$B$6/12,G$51,-$B62*10000),0)</f>
        <v>41108</v>
      </c>
      <c r="H62" s="56" t="n">
        <f aca="false">ROUND(PMT(マスタ!$B$6/12,H$51,-$B62*10000),0)</f>
        <v>35028</v>
      </c>
    </row>
    <row r="63" customFormat="false" ht="15" hidden="false" customHeight="false" outlineLevel="0" collapsed="false">
      <c r="B63" s="60" t="n">
        <v>1200</v>
      </c>
      <c r="C63" s="56" t="n">
        <f aca="false">ROUND(PMT(マスタ!$B$6/12,C$51,-$B63*10000),0)</f>
        <v>204764</v>
      </c>
      <c r="D63" s="56" t="n">
        <f aca="false">ROUND(PMT(マスタ!$B$6/12,D$51,-$B63*10000),0)</f>
        <v>104761</v>
      </c>
      <c r="E63" s="56" t="n">
        <f aca="false">ROUND(PMT(マスタ!$B$6/12,E$51,-$B63*10000),0)</f>
        <v>71451</v>
      </c>
      <c r="F63" s="56" t="n">
        <f aca="false">ROUND(PMT(マスタ!$B$6/12,F$51,-$B63*10000),0)</f>
        <v>54813</v>
      </c>
      <c r="G63" s="56" t="n">
        <f aca="false">ROUND(PMT(マスタ!$B$6/12,G$51,-$B63*10000),0)</f>
        <v>44845</v>
      </c>
      <c r="H63" s="56" t="n">
        <f aca="false">ROUND(PMT(マスタ!$B$6/12,H$51,-$B63*10000),0)</f>
        <v>38212</v>
      </c>
    </row>
    <row r="64" customFormat="false" ht="15" hidden="false" customHeight="false" outlineLevel="0" collapsed="false">
      <c r="B64" s="60" t="n">
        <v>1300</v>
      </c>
      <c r="C64" s="56" t="n">
        <f aca="false">ROUND(PMT(マスタ!$B$6/12,C$51,-$B64*10000),0)</f>
        <v>221827</v>
      </c>
      <c r="D64" s="56" t="n">
        <f aca="false">ROUND(PMT(マスタ!$B$6/12,D$51,-$B64*10000),0)</f>
        <v>113491</v>
      </c>
      <c r="E64" s="56" t="n">
        <f aca="false">ROUND(PMT(マスタ!$B$6/12,E$51,-$B64*10000),0)</f>
        <v>77405</v>
      </c>
      <c r="F64" s="56" t="n">
        <f aca="false">ROUND(PMT(マスタ!$B$6/12,F$51,-$B64*10000),0)</f>
        <v>59381</v>
      </c>
      <c r="G64" s="56" t="n">
        <f aca="false">ROUND(PMT(マスタ!$B$6/12,G$51,-$B64*10000),0)</f>
        <v>48583</v>
      </c>
      <c r="H64" s="56" t="n">
        <f aca="false">ROUND(PMT(マスタ!$B$6/12,H$51,-$B64*10000),0)</f>
        <v>41396</v>
      </c>
    </row>
    <row r="65" customFormat="false" ht="15" hidden="false" customHeight="false" outlineLevel="0" collapsed="false">
      <c r="B65" s="60" t="n">
        <v>1400</v>
      </c>
      <c r="C65" s="56" t="n">
        <f aca="false">ROUND(PMT(マスタ!$B$6/12,C$51,-$B65*10000),0)</f>
        <v>238891</v>
      </c>
      <c r="D65" s="56" t="n">
        <f aca="false">ROUND(PMT(マスタ!$B$6/12,D$51,-$B65*10000),0)</f>
        <v>122221</v>
      </c>
      <c r="E65" s="56" t="n">
        <f aca="false">ROUND(PMT(マスタ!$B$6/12,E$51,-$B65*10000),0)</f>
        <v>83359</v>
      </c>
      <c r="F65" s="56" t="n">
        <f aca="false">ROUND(PMT(マスタ!$B$6/12,F$51,-$B65*10000),0)</f>
        <v>63949</v>
      </c>
      <c r="G65" s="56" t="n">
        <f aca="false">ROUND(PMT(マスタ!$B$6/12,G$51,-$B65*10000),0)</f>
        <v>52320</v>
      </c>
      <c r="H65" s="56" t="n">
        <f aca="false">ROUND(PMT(マスタ!$B$6/12,H$51,-$B65*10000),0)</f>
        <v>44581</v>
      </c>
    </row>
    <row r="66" customFormat="false" ht="15" hidden="false" customHeight="false" outlineLevel="0" collapsed="false">
      <c r="B66" s="60" t="n">
        <v>1500</v>
      </c>
      <c r="C66" s="56" t="n">
        <f aca="false">ROUND(PMT(マスタ!$B$6/12,C$51,-$B66*10000),0)</f>
        <v>255954</v>
      </c>
      <c r="D66" s="56" t="n">
        <f aca="false">ROUND(PMT(マスタ!$B$6/12,D$51,-$B66*10000),0)</f>
        <v>130951</v>
      </c>
      <c r="E66" s="56" t="n">
        <f aca="false">ROUND(PMT(マスタ!$B$6/12,E$51,-$B66*10000),0)</f>
        <v>89313</v>
      </c>
      <c r="F66" s="56" t="n">
        <f aca="false">ROUND(PMT(マスタ!$B$6/12,F$51,-$B66*10000),0)</f>
        <v>68517</v>
      </c>
      <c r="G66" s="56" t="n">
        <f aca="false">ROUND(PMT(マスタ!$B$6/12,G$51,-$B66*10000),0)</f>
        <v>56057</v>
      </c>
      <c r="H66" s="56" t="n">
        <f aca="false">ROUND(PMT(マスタ!$B$6/12,H$51,-$B66*10000),0)</f>
        <v>47765</v>
      </c>
    </row>
    <row r="67" customFormat="false" ht="15" hidden="false" customHeight="false" outlineLevel="0" collapsed="false">
      <c r="B67" s="60" t="n">
        <v>1600</v>
      </c>
      <c r="C67" s="56" t="n">
        <f aca="false">ROUND(PMT(マスタ!$B$6/12,C$51,-$B67*10000),0)</f>
        <v>273018</v>
      </c>
      <c r="D67" s="56" t="n">
        <f aca="false">ROUND(PMT(マスタ!$B$6/12,D$51,-$B67*10000),0)</f>
        <v>139681</v>
      </c>
      <c r="E67" s="56" t="n">
        <f aca="false">ROUND(PMT(マスタ!$B$6/12,E$51,-$B67*10000),0)</f>
        <v>95267</v>
      </c>
      <c r="F67" s="56" t="n">
        <f aca="false">ROUND(PMT(マスタ!$B$6/12,F$51,-$B67*10000),0)</f>
        <v>73085</v>
      </c>
      <c r="G67" s="56" t="n">
        <f aca="false">ROUND(PMT(マスタ!$B$6/12,G$51,-$B67*10000),0)</f>
        <v>59794</v>
      </c>
      <c r="H67" s="56" t="n">
        <f aca="false">ROUND(PMT(マスタ!$B$6/12,H$51,-$B67*10000),0)</f>
        <v>50949</v>
      </c>
    </row>
    <row r="68" customFormat="false" ht="15" hidden="false" customHeight="false" outlineLevel="0" collapsed="false">
      <c r="B68" s="60" t="n">
        <v>1700</v>
      </c>
      <c r="C68" s="56" t="n">
        <f aca="false">ROUND(PMT(マスタ!$B$6/12,C$51,-$B68*10000),0)</f>
        <v>290082</v>
      </c>
      <c r="D68" s="56" t="n">
        <f aca="false">ROUND(PMT(マスタ!$B$6/12,D$51,-$B68*10000),0)</f>
        <v>148411</v>
      </c>
      <c r="E68" s="56" t="n">
        <f aca="false">ROUND(PMT(マスタ!$B$6/12,E$51,-$B68*10000),0)</f>
        <v>101222</v>
      </c>
      <c r="F68" s="56" t="n">
        <f aca="false">ROUND(PMT(マスタ!$B$6/12,F$51,-$B68*10000),0)</f>
        <v>77652</v>
      </c>
      <c r="G68" s="56" t="n">
        <f aca="false">ROUND(PMT(マスタ!$B$6/12,G$51,-$B68*10000),0)</f>
        <v>63531</v>
      </c>
      <c r="H68" s="56" t="n">
        <f aca="false">ROUND(PMT(マスタ!$B$6/12,H$51,-$B68*10000),0)</f>
        <v>54134</v>
      </c>
    </row>
    <row r="69" customFormat="false" ht="15" hidden="false" customHeight="false" outlineLevel="0" collapsed="false">
      <c r="B69" s="60" t="n">
        <v>1800</v>
      </c>
      <c r="C69" s="56" t="n">
        <f aca="false">ROUND(PMT(マスタ!$B$6/12,C$51,-$B69*10000),0)</f>
        <v>307145</v>
      </c>
      <c r="D69" s="56" t="n">
        <f aca="false">ROUND(PMT(マスタ!$B$6/12,D$51,-$B69*10000),0)</f>
        <v>157141</v>
      </c>
      <c r="E69" s="56" t="n">
        <f aca="false">ROUND(PMT(マスタ!$B$6/12,E$51,-$B69*10000),0)</f>
        <v>107176</v>
      </c>
      <c r="F69" s="56" t="n">
        <f aca="false">ROUND(PMT(マスタ!$B$6/12,F$51,-$B69*10000),0)</f>
        <v>82220</v>
      </c>
      <c r="G69" s="56" t="n">
        <f aca="false">ROUND(PMT(マスタ!$B$6/12,G$51,-$B69*10000),0)</f>
        <v>67268</v>
      </c>
      <c r="H69" s="56" t="n">
        <f aca="false">ROUND(PMT(マスタ!$B$6/12,H$51,-$B69*10000),0)</f>
        <v>57318</v>
      </c>
    </row>
    <row r="70" customFormat="false" ht="15" hidden="false" customHeight="false" outlineLevel="0" collapsed="false">
      <c r="B70" s="60" t="n">
        <v>1900</v>
      </c>
      <c r="C70" s="56" t="n">
        <f aca="false">ROUND(PMT(マスタ!$B$6/12,C$51,-$B70*10000),0)</f>
        <v>324209</v>
      </c>
      <c r="D70" s="56" t="n">
        <f aca="false">ROUND(PMT(マスタ!$B$6/12,D$51,-$B70*10000),0)</f>
        <v>165871</v>
      </c>
      <c r="E70" s="56" t="n">
        <f aca="false">ROUND(PMT(マスタ!$B$6/12,E$51,-$B70*10000),0)</f>
        <v>113130</v>
      </c>
      <c r="F70" s="56" t="n">
        <f aca="false">ROUND(PMT(マスタ!$B$6/12,F$51,-$B70*10000),0)</f>
        <v>86788</v>
      </c>
      <c r="G70" s="56" t="n">
        <f aca="false">ROUND(PMT(マスタ!$B$6/12,G$51,-$B70*10000),0)</f>
        <v>71005</v>
      </c>
      <c r="H70" s="56" t="n">
        <f aca="false">ROUND(PMT(マスタ!$B$6/12,H$51,-$B70*10000),0)</f>
        <v>60503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10" min="3" style="0" width="12"/>
    <col collapsed="false" customWidth="true" hidden="false" outlineLevel="0" max="11" min="11" style="0" width="44"/>
    <col collapsed="false" customWidth="true" hidden="false" outlineLevel="0" max="12" min="12" style="0" width="34"/>
    <col collapsed="false" customWidth="true" hidden="false" outlineLevel="0" max="13" min="13" style="0" width="20"/>
    <col collapsed="false" customWidth="true" hidden="false" outlineLevel="0" max="15" min="14" style="0" width="10"/>
    <col collapsed="false" customWidth="true" hidden="false" outlineLevel="0" max="16" min="16" style="0" width="40"/>
    <col collapsed="false" customWidth="true" hidden="false" outlineLevel="0" max="18" min="17" style="0" width="10"/>
    <col collapsed="false" customWidth="true" hidden="false" outlineLevel="0" max="19" min="19" style="0" width="24"/>
  </cols>
  <sheetData>
    <row r="1" customFormat="false" ht="17.15" hidden="false" customHeight="false" outlineLevel="0" collapsed="false">
      <c r="A1" s="47" t="s">
        <v>178</v>
      </c>
    </row>
    <row r="2" customFormat="false" ht="15" hidden="false" customHeight="false" outlineLevel="0" collapsed="false">
      <c r="A2" s="61" t="s">
        <v>179</v>
      </c>
    </row>
    <row r="3" customFormat="false" ht="15" hidden="false" customHeight="false" outlineLevel="0" collapsed="false">
      <c r="A3" s="62" t="s">
        <v>180</v>
      </c>
      <c r="B3" s="62"/>
      <c r="C3" s="62"/>
      <c r="D3" s="62"/>
    </row>
    <row r="4" customFormat="false" ht="15" hidden="false" customHeight="false" outlineLevel="0" collapsed="false">
      <c r="A4" s="63" t="s">
        <v>181</v>
      </c>
      <c r="B4" s="64" t="n">
        <v>0.0126</v>
      </c>
      <c r="C4" s="61" t="s">
        <v>182</v>
      </c>
    </row>
    <row r="5" customFormat="false" ht="15" hidden="false" customHeight="false" outlineLevel="0" collapsed="false">
      <c r="A5" s="63" t="s">
        <v>183</v>
      </c>
      <c r="B5" s="64" t="n">
        <v>0.0126</v>
      </c>
      <c r="C5" s="61" t="s">
        <v>184</v>
      </c>
    </row>
    <row r="6" customFormat="false" ht="15" hidden="false" customHeight="false" outlineLevel="0" collapsed="false">
      <c r="A6" s="63" t="s">
        <v>185</v>
      </c>
      <c r="B6" s="64" t="n">
        <v>0.0093</v>
      </c>
      <c r="C6" s="61" t="s">
        <v>186</v>
      </c>
    </row>
    <row r="7" customFormat="false" ht="15" hidden="false" customHeight="false" outlineLevel="0" collapsed="false">
      <c r="A7" s="63" t="s">
        <v>187</v>
      </c>
      <c r="B7" s="64" t="n">
        <v>0.0026</v>
      </c>
      <c r="C7" s="61" t="s">
        <v>188</v>
      </c>
    </row>
    <row r="8" customFormat="false" ht="15" hidden="false" customHeight="false" outlineLevel="0" collapsed="false">
      <c r="A8" s="63" t="s">
        <v>189</v>
      </c>
      <c r="B8" s="65" t="n">
        <v>0.3</v>
      </c>
      <c r="C8" s="61" t="s">
        <v>190</v>
      </c>
    </row>
    <row r="9" customFormat="false" ht="15" hidden="false" customHeight="false" outlineLevel="0" collapsed="false">
      <c r="A9" s="63" t="s">
        <v>191</v>
      </c>
      <c r="B9" s="66" t="n">
        <v>4</v>
      </c>
      <c r="C9" s="61" t="s">
        <v>192</v>
      </c>
    </row>
    <row r="10" customFormat="false" ht="15" hidden="false" customHeight="false" outlineLevel="0" collapsed="false">
      <c r="A10" s="63" t="s">
        <v>193</v>
      </c>
      <c r="B10" s="67" t="n">
        <v>10</v>
      </c>
      <c r="C10" s="61" t="s">
        <v>194</v>
      </c>
    </row>
    <row r="11" customFormat="false" ht="15" hidden="false" customHeight="false" outlineLevel="0" collapsed="false">
      <c r="A11" s="63" t="s">
        <v>195</v>
      </c>
      <c r="B11" s="67" t="n">
        <v>300</v>
      </c>
      <c r="C11" s="61" t="s">
        <v>196</v>
      </c>
    </row>
    <row r="12" customFormat="false" ht="15" hidden="false" customHeight="false" outlineLevel="0" collapsed="false">
      <c r="A12" s="63" t="s">
        <v>197</v>
      </c>
      <c r="B12" s="67" t="n">
        <v>300</v>
      </c>
      <c r="C12" s="61" t="s">
        <v>198</v>
      </c>
    </row>
    <row r="13" customFormat="false" ht="15" hidden="false" customHeight="false" outlineLevel="0" collapsed="false">
      <c r="A13" s="63" t="s">
        <v>199</v>
      </c>
      <c r="B13" s="67" t="n">
        <v>100</v>
      </c>
      <c r="C13" s="68" t="s">
        <v>200</v>
      </c>
    </row>
    <row r="14" customFormat="false" ht="15" hidden="false" customHeight="false" outlineLevel="0" collapsed="false">
      <c r="A14" s="63" t="s">
        <v>201</v>
      </c>
      <c r="B14" s="65" t="n">
        <v>0.5</v>
      </c>
      <c r="C14" s="61" t="s">
        <v>202</v>
      </c>
    </row>
    <row r="15" customFormat="false" ht="15" hidden="false" customHeight="false" outlineLevel="0" collapsed="false">
      <c r="A15" s="63" t="s">
        <v>203</v>
      </c>
      <c r="B15" s="67" t="n">
        <v>5</v>
      </c>
      <c r="C15" s="68" t="s">
        <v>204</v>
      </c>
    </row>
    <row r="16" customFormat="false" ht="15" hidden="false" customHeight="false" outlineLevel="0" collapsed="false">
      <c r="A16" s="63" t="s">
        <v>205</v>
      </c>
      <c r="B16" s="69" t="n">
        <v>60</v>
      </c>
      <c r="C16" s="68" t="s">
        <v>206</v>
      </c>
    </row>
    <row r="17" customFormat="false" ht="15" hidden="false" customHeight="false" outlineLevel="0" collapsed="false">
      <c r="A17" s="63" t="s">
        <v>207</v>
      </c>
      <c r="B17" s="66" t="n">
        <v>12</v>
      </c>
      <c r="C17" s="61" t="s">
        <v>208</v>
      </c>
    </row>
    <row r="18" customFormat="false" ht="15" hidden="false" customHeight="false" outlineLevel="0" collapsed="false">
      <c r="A18" s="63" t="s">
        <v>209</v>
      </c>
      <c r="B18" s="67" t="n">
        <v>15</v>
      </c>
      <c r="C18" s="68" t="s">
        <v>210</v>
      </c>
    </row>
    <row r="20" customFormat="false" ht="14.15" hidden="false" customHeight="false" outlineLevel="0" collapsed="false">
      <c r="A20" s="62" t="s">
        <v>211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</row>
    <row r="21" customFormat="false" ht="48" hidden="false" customHeight="true" outlineLevel="0" collapsed="false">
      <c r="A21" s="70" t="s">
        <v>118</v>
      </c>
      <c r="B21" s="70" t="s">
        <v>45</v>
      </c>
      <c r="C21" s="70" t="s">
        <v>212</v>
      </c>
      <c r="D21" s="70" t="s">
        <v>213</v>
      </c>
      <c r="E21" s="70" t="s">
        <v>214</v>
      </c>
      <c r="F21" s="70" t="s">
        <v>215</v>
      </c>
      <c r="G21" s="70" t="s">
        <v>216</v>
      </c>
      <c r="H21" s="70" t="s">
        <v>217</v>
      </c>
      <c r="I21" s="70" t="s">
        <v>218</v>
      </c>
      <c r="J21" s="70" t="s">
        <v>219</v>
      </c>
      <c r="K21" s="70" t="s">
        <v>220</v>
      </c>
      <c r="L21" s="70" t="s">
        <v>123</v>
      </c>
      <c r="M21" s="70" t="s">
        <v>221</v>
      </c>
      <c r="N21" s="70" t="s">
        <v>222</v>
      </c>
      <c r="O21" s="70" t="s">
        <v>223</v>
      </c>
      <c r="P21" s="70" t="s">
        <v>224</v>
      </c>
      <c r="Q21" s="70" t="s">
        <v>225</v>
      </c>
      <c r="R21" s="70" t="s">
        <v>226</v>
      </c>
      <c r="S21" s="70" t="s">
        <v>227</v>
      </c>
    </row>
    <row r="22" customFormat="false" ht="30" hidden="false" customHeight="true" outlineLevel="0" collapsed="false">
      <c r="A22" s="71" t="s">
        <v>228</v>
      </c>
      <c r="B22" s="72" t="s">
        <v>229</v>
      </c>
      <c r="C22" s="72" t="s">
        <v>230</v>
      </c>
      <c r="D22" s="72" t="n">
        <v>6</v>
      </c>
      <c r="E22" s="72" t="n">
        <v>200</v>
      </c>
      <c r="F22" s="72" t="n">
        <v>1</v>
      </c>
      <c r="G22" s="72" t="n">
        <v>120</v>
      </c>
      <c r="H22" s="72" t="s">
        <v>231</v>
      </c>
      <c r="I22" s="72" t="n">
        <v>5</v>
      </c>
      <c r="J22" s="72" t="n">
        <v>0</v>
      </c>
      <c r="K22" s="73" t="s">
        <v>232</v>
      </c>
      <c r="L22" s="73" t="s">
        <v>233</v>
      </c>
      <c r="M22" s="72" t="s">
        <v>234</v>
      </c>
      <c r="N22" s="72"/>
      <c r="O22" s="72"/>
      <c r="P22" s="73" t="s">
        <v>235</v>
      </c>
      <c r="Q22" s="72" t="n">
        <v>2</v>
      </c>
      <c r="R22" s="72" t="s">
        <v>236</v>
      </c>
      <c r="S22" s="73" t="s">
        <v>237</v>
      </c>
    </row>
    <row r="23" customFormat="false" ht="30" hidden="false" customHeight="true" outlineLevel="0" collapsed="false">
      <c r="A23" s="71" t="s">
        <v>238</v>
      </c>
      <c r="B23" s="72" t="s">
        <v>229</v>
      </c>
      <c r="C23" s="72" t="s">
        <v>230</v>
      </c>
      <c r="D23" s="72" t="n">
        <v>6</v>
      </c>
      <c r="E23" s="72" t="n">
        <v>20</v>
      </c>
      <c r="F23" s="72" t="n">
        <v>1</v>
      </c>
      <c r="G23" s="72" t="n">
        <v>120</v>
      </c>
      <c r="H23" s="72" t="s">
        <v>231</v>
      </c>
      <c r="I23" s="72" t="n">
        <v>5</v>
      </c>
      <c r="J23" s="72" t="n">
        <v>0</v>
      </c>
      <c r="K23" s="73" t="s">
        <v>239</v>
      </c>
      <c r="L23" s="73" t="s">
        <v>240</v>
      </c>
      <c r="M23" s="72" t="s">
        <v>241</v>
      </c>
      <c r="N23" s="72" t="n">
        <v>3</v>
      </c>
      <c r="O23" s="72" t="n">
        <v>3</v>
      </c>
      <c r="P23" s="73"/>
      <c r="Q23" s="72"/>
      <c r="R23" s="72"/>
      <c r="S23" s="73" t="s">
        <v>237</v>
      </c>
    </row>
    <row r="24" customFormat="false" ht="30" hidden="false" customHeight="true" outlineLevel="0" collapsed="false">
      <c r="A24" s="71" t="s">
        <v>242</v>
      </c>
      <c r="B24" s="72" t="s">
        <v>243</v>
      </c>
      <c r="C24" s="72" t="s">
        <v>230</v>
      </c>
      <c r="D24" s="72" t="n">
        <v>6</v>
      </c>
      <c r="E24" s="72" t="n">
        <v>200</v>
      </c>
      <c r="F24" s="72" t="n">
        <v>1</v>
      </c>
      <c r="G24" s="72" t="n">
        <v>120</v>
      </c>
      <c r="H24" s="72" t="s">
        <v>231</v>
      </c>
      <c r="I24" s="72" t="n">
        <v>5</v>
      </c>
      <c r="J24" s="72" t="n">
        <v>0</v>
      </c>
      <c r="K24" s="73" t="s">
        <v>244</v>
      </c>
      <c r="L24" s="73" t="s">
        <v>245</v>
      </c>
      <c r="M24" s="72" t="s">
        <v>246</v>
      </c>
      <c r="N24" s="72"/>
      <c r="O24" s="72" t="n">
        <v>2</v>
      </c>
      <c r="P24" s="73" t="s">
        <v>247</v>
      </c>
      <c r="Q24" s="72" t="n">
        <v>1</v>
      </c>
      <c r="R24" s="72" t="s">
        <v>248</v>
      </c>
      <c r="S24" s="73" t="s">
        <v>237</v>
      </c>
    </row>
    <row r="25" customFormat="false" ht="30" hidden="false" customHeight="true" outlineLevel="0" collapsed="false">
      <c r="A25" s="71" t="s">
        <v>249</v>
      </c>
      <c r="B25" s="72" t="s">
        <v>243</v>
      </c>
      <c r="C25" s="72" t="s">
        <v>230</v>
      </c>
      <c r="D25" s="72" t="n">
        <v>6</v>
      </c>
      <c r="E25" s="72" t="n">
        <v>30</v>
      </c>
      <c r="F25" s="72" t="n">
        <v>1</v>
      </c>
      <c r="G25" s="72" t="n">
        <v>120</v>
      </c>
      <c r="H25" s="72" t="s">
        <v>231</v>
      </c>
      <c r="I25" s="72" t="n">
        <v>5</v>
      </c>
      <c r="J25" s="72" t="n">
        <v>0</v>
      </c>
      <c r="K25" s="73" t="s">
        <v>244</v>
      </c>
      <c r="L25" s="73" t="s">
        <v>245</v>
      </c>
      <c r="M25" s="72" t="s">
        <v>246</v>
      </c>
      <c r="N25" s="72"/>
      <c r="O25" s="72" t="n">
        <v>2</v>
      </c>
      <c r="P25" s="73" t="s">
        <v>247</v>
      </c>
      <c r="Q25" s="72" t="n">
        <v>1</v>
      </c>
      <c r="R25" s="72" t="s">
        <v>248</v>
      </c>
      <c r="S25" s="73" t="s">
        <v>237</v>
      </c>
    </row>
    <row r="26" customFormat="false" ht="30" hidden="false" customHeight="true" outlineLevel="0" collapsed="false">
      <c r="A26" s="71" t="s">
        <v>250</v>
      </c>
      <c r="B26" s="72" t="s">
        <v>243</v>
      </c>
      <c r="C26" s="72" t="s">
        <v>251</v>
      </c>
      <c r="D26" s="72"/>
      <c r="E26" s="72"/>
      <c r="F26" s="72" t="n">
        <v>1</v>
      </c>
      <c r="G26" s="72" t="n">
        <v>150</v>
      </c>
      <c r="H26" s="72" t="s">
        <v>231</v>
      </c>
      <c r="I26" s="72" t="n">
        <v>5</v>
      </c>
      <c r="J26" s="72" t="n">
        <v>0</v>
      </c>
      <c r="K26" s="73" t="s">
        <v>252</v>
      </c>
      <c r="L26" s="73" t="s">
        <v>253</v>
      </c>
      <c r="M26" s="72" t="s">
        <v>254</v>
      </c>
      <c r="N26" s="72"/>
      <c r="O26" s="72"/>
      <c r="P26" s="73" t="s">
        <v>255</v>
      </c>
      <c r="Q26" s="72" t="n">
        <v>2</v>
      </c>
      <c r="R26" s="72" t="s">
        <v>236</v>
      </c>
      <c r="S26" s="73" t="s">
        <v>237</v>
      </c>
    </row>
    <row r="27" customFormat="false" ht="30" hidden="false" customHeight="true" outlineLevel="0" collapsed="false">
      <c r="A27" s="71" t="s">
        <v>256</v>
      </c>
      <c r="B27" s="72" t="s">
        <v>243</v>
      </c>
      <c r="C27" s="72" t="s">
        <v>230</v>
      </c>
      <c r="D27" s="72" t="n">
        <v>6</v>
      </c>
      <c r="E27" s="72" t="n">
        <v>200</v>
      </c>
      <c r="F27" s="72" t="n">
        <v>1</v>
      </c>
      <c r="G27" s="72" t="n">
        <v>120</v>
      </c>
      <c r="H27" s="72" t="s">
        <v>231</v>
      </c>
      <c r="I27" s="72" t="n">
        <v>5</v>
      </c>
      <c r="J27" s="72" t="n">
        <v>0</v>
      </c>
      <c r="K27" s="74" t="s">
        <v>257</v>
      </c>
      <c r="L27" s="73" t="s">
        <v>258</v>
      </c>
      <c r="M27" s="72" t="s">
        <v>259</v>
      </c>
      <c r="N27" s="72" t="n">
        <v>6</v>
      </c>
      <c r="O27" s="72" t="n">
        <v>3</v>
      </c>
      <c r="P27" s="73" t="s">
        <v>260</v>
      </c>
      <c r="Q27" s="72" t="n">
        <v>1</v>
      </c>
      <c r="R27" s="72" t="s">
        <v>261</v>
      </c>
      <c r="S27" s="73" t="s">
        <v>237</v>
      </c>
    </row>
    <row r="28" customFormat="false" ht="30" hidden="false" customHeight="true" outlineLevel="0" collapsed="false">
      <c r="A28" s="71" t="s">
        <v>262</v>
      </c>
      <c r="B28" s="72" t="s">
        <v>243</v>
      </c>
      <c r="C28" s="72" t="s">
        <v>230</v>
      </c>
      <c r="D28" s="72" t="n">
        <v>6</v>
      </c>
      <c r="E28" s="72" t="n">
        <v>200</v>
      </c>
      <c r="F28" s="72" t="n">
        <v>1</v>
      </c>
      <c r="G28" s="72" t="n">
        <v>120</v>
      </c>
      <c r="H28" s="72" t="s">
        <v>231</v>
      </c>
      <c r="I28" s="72" t="n">
        <v>5</v>
      </c>
      <c r="J28" s="72" t="n">
        <v>0</v>
      </c>
      <c r="K28" s="73" t="s">
        <v>263</v>
      </c>
      <c r="L28" s="73" t="s">
        <v>264</v>
      </c>
      <c r="M28" s="72" t="s">
        <v>265</v>
      </c>
      <c r="N28" s="72" t="n">
        <v>0</v>
      </c>
      <c r="O28" s="72" t="n">
        <v>3</v>
      </c>
      <c r="P28" s="73"/>
      <c r="Q28" s="72"/>
      <c r="R28" s="72"/>
      <c r="S28" s="73" t="s">
        <v>237</v>
      </c>
    </row>
    <row r="29" customFormat="false" ht="30" hidden="false" customHeight="true" outlineLevel="0" collapsed="false">
      <c r="A29" s="71" t="s">
        <v>266</v>
      </c>
      <c r="B29" s="72" t="s">
        <v>243</v>
      </c>
      <c r="C29" s="72" t="s">
        <v>230</v>
      </c>
      <c r="D29" s="72" t="n">
        <v>6</v>
      </c>
      <c r="E29" s="72" t="n">
        <v>100</v>
      </c>
      <c r="F29" s="72" t="n">
        <v>1</v>
      </c>
      <c r="G29" s="72" t="n">
        <v>120</v>
      </c>
      <c r="H29" s="72" t="s">
        <v>231</v>
      </c>
      <c r="I29" s="72" t="n">
        <v>5</v>
      </c>
      <c r="J29" s="72" t="n">
        <v>0</v>
      </c>
      <c r="K29" s="73" t="s">
        <v>267</v>
      </c>
      <c r="L29" s="73" t="s">
        <v>268</v>
      </c>
      <c r="M29" s="72" t="s">
        <v>269</v>
      </c>
      <c r="N29" s="72"/>
      <c r="O29" s="72"/>
      <c r="P29" s="73"/>
      <c r="Q29" s="72"/>
      <c r="R29" s="72"/>
      <c r="S29" s="73" t="s">
        <v>237</v>
      </c>
    </row>
    <row r="30" customFormat="false" ht="30" hidden="false" customHeight="true" outlineLevel="0" collapsed="false">
      <c r="A30" s="71" t="s">
        <v>270</v>
      </c>
      <c r="B30" s="72" t="s">
        <v>271</v>
      </c>
      <c r="C30" s="72" t="s">
        <v>272</v>
      </c>
      <c r="D30" s="72"/>
      <c r="E30" s="72" t="n">
        <v>1800</v>
      </c>
      <c r="F30" s="72" t="n">
        <v>5</v>
      </c>
      <c r="G30" s="72" t="n">
        <v>360</v>
      </c>
      <c r="H30" s="72" t="s">
        <v>272</v>
      </c>
      <c r="I30" s="72" t="n">
        <v>20</v>
      </c>
      <c r="J30" s="72" t="n">
        <v>1</v>
      </c>
      <c r="K30" s="74" t="s">
        <v>273</v>
      </c>
      <c r="L30" s="73" t="s">
        <v>274</v>
      </c>
      <c r="M30" s="72" t="s">
        <v>275</v>
      </c>
      <c r="N30" s="72"/>
      <c r="O30" s="72"/>
      <c r="P30" s="73"/>
      <c r="Q30" s="72" t="n">
        <v>6</v>
      </c>
      <c r="R30" s="72" t="s">
        <v>236</v>
      </c>
      <c r="S30" s="73" t="s">
        <v>276</v>
      </c>
    </row>
    <row r="31" customFormat="false" ht="30" hidden="false" customHeight="true" outlineLevel="0" collapsed="false">
      <c r="A31" s="71" t="s">
        <v>277</v>
      </c>
      <c r="B31" s="72" t="s">
        <v>271</v>
      </c>
      <c r="C31" s="72" t="s">
        <v>272</v>
      </c>
      <c r="D31" s="72"/>
      <c r="E31" s="72" t="n">
        <v>1800</v>
      </c>
      <c r="F31" s="72" t="n">
        <v>5</v>
      </c>
      <c r="G31" s="72" t="n">
        <v>360</v>
      </c>
      <c r="H31" s="72" t="s">
        <v>272</v>
      </c>
      <c r="I31" s="72" t="n">
        <v>20</v>
      </c>
      <c r="J31" s="72" t="n">
        <v>2</v>
      </c>
      <c r="K31" s="74" t="s">
        <v>273</v>
      </c>
      <c r="L31" s="73" t="s">
        <v>274</v>
      </c>
      <c r="M31" s="72" t="s">
        <v>275</v>
      </c>
      <c r="N31" s="72"/>
      <c r="O31" s="72"/>
      <c r="P31" s="73"/>
      <c r="Q31" s="72" t="n">
        <v>6</v>
      </c>
      <c r="R31" s="72" t="s">
        <v>236</v>
      </c>
      <c r="S31" s="73" t="s">
        <v>276</v>
      </c>
    </row>
    <row r="32" customFormat="false" ht="30" hidden="false" customHeight="true" outlineLevel="0" collapsed="false">
      <c r="A32" s="71" t="s">
        <v>278</v>
      </c>
      <c r="B32" s="72" t="s">
        <v>271</v>
      </c>
      <c r="C32" s="72" t="s">
        <v>272</v>
      </c>
      <c r="D32" s="72"/>
      <c r="E32" s="72" t="n">
        <v>1800</v>
      </c>
      <c r="F32" s="72" t="n">
        <v>5</v>
      </c>
      <c r="G32" s="72" t="n">
        <v>360</v>
      </c>
      <c r="H32" s="72" t="s">
        <v>272</v>
      </c>
      <c r="I32" s="72" t="n">
        <v>20</v>
      </c>
      <c r="J32" s="72" t="n">
        <v>3</v>
      </c>
      <c r="K32" s="74" t="s">
        <v>273</v>
      </c>
      <c r="L32" s="73" t="s">
        <v>274</v>
      </c>
      <c r="M32" s="72" t="s">
        <v>275</v>
      </c>
      <c r="N32" s="72"/>
      <c r="O32" s="72"/>
      <c r="P32" s="73"/>
      <c r="Q32" s="72" t="n">
        <v>6</v>
      </c>
      <c r="R32" s="72" t="s">
        <v>236</v>
      </c>
      <c r="S32" s="73" t="s">
        <v>276</v>
      </c>
    </row>
    <row r="33" customFormat="false" ht="30" hidden="false" customHeight="true" outlineLevel="0" collapsed="false">
      <c r="A33" s="71" t="s">
        <v>279</v>
      </c>
      <c r="B33" s="72" t="s">
        <v>271</v>
      </c>
      <c r="C33" s="72" t="s">
        <v>272</v>
      </c>
      <c r="D33" s="72"/>
      <c r="E33" s="72" t="n">
        <v>1800</v>
      </c>
      <c r="F33" s="72" t="n">
        <v>5</v>
      </c>
      <c r="G33" s="72" t="n">
        <v>360</v>
      </c>
      <c r="H33" s="72" t="s">
        <v>272</v>
      </c>
      <c r="I33" s="72" t="n">
        <v>20</v>
      </c>
      <c r="J33" s="72" t="n">
        <v>4</v>
      </c>
      <c r="K33" s="74" t="s">
        <v>273</v>
      </c>
      <c r="L33" s="73" t="s">
        <v>274</v>
      </c>
      <c r="M33" s="72" t="s">
        <v>275</v>
      </c>
      <c r="N33" s="72"/>
      <c r="O33" s="72"/>
      <c r="P33" s="73"/>
      <c r="Q33" s="72" t="n">
        <v>6</v>
      </c>
      <c r="R33" s="72" t="s">
        <v>236</v>
      </c>
      <c r="S33" s="73" t="s">
        <v>276</v>
      </c>
    </row>
    <row r="34" customFormat="false" ht="30" hidden="false" customHeight="true" outlineLevel="0" collapsed="false">
      <c r="A34" s="71" t="s">
        <v>280</v>
      </c>
      <c r="B34" s="72" t="s">
        <v>271</v>
      </c>
      <c r="C34" s="72" t="s">
        <v>272</v>
      </c>
      <c r="D34" s="72"/>
      <c r="E34" s="72" t="n">
        <v>1800</v>
      </c>
      <c r="F34" s="72" t="n">
        <v>5</v>
      </c>
      <c r="G34" s="72" t="n">
        <v>360</v>
      </c>
      <c r="H34" s="72" t="s">
        <v>272</v>
      </c>
      <c r="I34" s="72" t="n">
        <v>20</v>
      </c>
      <c r="J34" s="72" t="n">
        <v>5</v>
      </c>
      <c r="K34" s="74" t="s">
        <v>273</v>
      </c>
      <c r="L34" s="73" t="s">
        <v>281</v>
      </c>
      <c r="M34" s="72" t="s">
        <v>282</v>
      </c>
      <c r="N34" s="72"/>
      <c r="O34" s="72"/>
      <c r="P34" s="73"/>
      <c r="Q34" s="72" t="n">
        <v>6</v>
      </c>
      <c r="R34" s="72" t="s">
        <v>236</v>
      </c>
      <c r="S34" s="73" t="s">
        <v>276</v>
      </c>
    </row>
    <row r="35" customFormat="false" ht="30" hidden="false" customHeight="true" outlineLevel="0" collapsed="false">
      <c r="A35" s="71" t="s">
        <v>283</v>
      </c>
      <c r="B35" s="72" t="s">
        <v>271</v>
      </c>
      <c r="C35" s="72" t="s">
        <v>272</v>
      </c>
      <c r="D35" s="72"/>
      <c r="E35" s="72" t="n">
        <v>1800</v>
      </c>
      <c r="F35" s="72" t="n">
        <v>5</v>
      </c>
      <c r="G35" s="72" t="n">
        <v>360</v>
      </c>
      <c r="H35" s="72" t="s">
        <v>272</v>
      </c>
      <c r="I35" s="72" t="n">
        <v>20</v>
      </c>
      <c r="J35" s="72" t="n">
        <v>6</v>
      </c>
      <c r="K35" s="74" t="s">
        <v>273</v>
      </c>
      <c r="L35" s="73" t="s">
        <v>281</v>
      </c>
      <c r="M35" s="72" t="s">
        <v>282</v>
      </c>
      <c r="N35" s="72"/>
      <c r="O35" s="72"/>
      <c r="P35" s="73"/>
      <c r="Q35" s="72" t="n">
        <v>6</v>
      </c>
      <c r="R35" s="72" t="s">
        <v>236</v>
      </c>
      <c r="S35" s="73" t="s">
        <v>276</v>
      </c>
    </row>
    <row r="36" customFormat="false" ht="30" hidden="false" customHeight="true" outlineLevel="0" collapsed="false">
      <c r="A36" s="71" t="s">
        <v>284</v>
      </c>
      <c r="B36" s="72" t="s">
        <v>271</v>
      </c>
      <c r="C36" s="72" t="s">
        <v>272</v>
      </c>
      <c r="D36" s="72"/>
      <c r="E36" s="72" t="n">
        <v>1800</v>
      </c>
      <c r="F36" s="72" t="n">
        <v>5</v>
      </c>
      <c r="G36" s="72" t="n">
        <v>360</v>
      </c>
      <c r="H36" s="72" t="s">
        <v>272</v>
      </c>
      <c r="I36" s="72" t="n">
        <v>20</v>
      </c>
      <c r="J36" s="72" t="n">
        <v>7</v>
      </c>
      <c r="K36" s="74" t="s">
        <v>273</v>
      </c>
      <c r="L36" s="73" t="s">
        <v>281</v>
      </c>
      <c r="M36" s="72" t="s">
        <v>282</v>
      </c>
      <c r="N36" s="72"/>
      <c r="O36" s="72"/>
      <c r="P36" s="73"/>
      <c r="Q36" s="72" t="n">
        <v>6</v>
      </c>
      <c r="R36" s="72" t="s">
        <v>236</v>
      </c>
      <c r="S36" s="73" t="s">
        <v>276</v>
      </c>
    </row>
    <row r="37" customFormat="false" ht="30" hidden="false" customHeight="true" outlineLevel="0" collapsed="false">
      <c r="A37" s="71" t="s">
        <v>285</v>
      </c>
      <c r="B37" s="72" t="s">
        <v>286</v>
      </c>
      <c r="C37" s="72" t="s">
        <v>230</v>
      </c>
      <c r="D37" s="72" t="n">
        <v>6</v>
      </c>
      <c r="E37" s="72" t="n">
        <v>200</v>
      </c>
      <c r="F37" s="72" t="n">
        <v>5</v>
      </c>
      <c r="G37" s="72" t="n">
        <v>360</v>
      </c>
      <c r="H37" s="72" t="s">
        <v>287</v>
      </c>
      <c r="I37" s="72" t="n">
        <v>5</v>
      </c>
      <c r="J37" s="72" t="n">
        <v>0</v>
      </c>
      <c r="K37" s="73" t="s">
        <v>288</v>
      </c>
      <c r="L37" s="73" t="s">
        <v>289</v>
      </c>
      <c r="M37" s="72" t="s">
        <v>290</v>
      </c>
      <c r="N37" s="72" t="n">
        <v>0</v>
      </c>
      <c r="O37" s="72" t="n">
        <v>6</v>
      </c>
      <c r="P37" s="73"/>
      <c r="Q37" s="72"/>
      <c r="R37" s="72"/>
      <c r="S37" s="73" t="s">
        <v>237</v>
      </c>
    </row>
    <row r="38" customFormat="false" ht="30" hidden="false" customHeight="true" outlineLevel="0" collapsed="false">
      <c r="A38" s="71" t="s">
        <v>291</v>
      </c>
      <c r="B38" s="72" t="s">
        <v>286</v>
      </c>
      <c r="C38" s="72" t="s">
        <v>272</v>
      </c>
      <c r="D38" s="72"/>
      <c r="E38" s="72" t="n">
        <v>1800</v>
      </c>
      <c r="F38" s="72" t="n">
        <v>5</v>
      </c>
      <c r="G38" s="72" t="n">
        <v>360</v>
      </c>
      <c r="H38" s="72" t="s">
        <v>287</v>
      </c>
      <c r="I38" s="72" t="n">
        <v>5</v>
      </c>
      <c r="J38" s="72" t="n">
        <v>0</v>
      </c>
      <c r="K38" s="73" t="s">
        <v>288</v>
      </c>
      <c r="L38" s="73" t="s">
        <v>289</v>
      </c>
      <c r="M38" s="72" t="s">
        <v>290</v>
      </c>
      <c r="N38" s="72" t="n">
        <v>0</v>
      </c>
      <c r="O38" s="72" t="n">
        <v>6</v>
      </c>
      <c r="P38" s="73"/>
      <c r="Q38" s="72" t="n">
        <v>6</v>
      </c>
      <c r="R38" s="72" t="s">
        <v>236</v>
      </c>
      <c r="S38" s="73" t="s">
        <v>237</v>
      </c>
    </row>
    <row r="39" customFormat="false" ht="30" hidden="false" customHeight="true" outlineLevel="0" collapsed="false">
      <c r="A39" s="71" t="s">
        <v>292</v>
      </c>
      <c r="B39" s="72" t="s">
        <v>286</v>
      </c>
      <c r="C39" s="72" t="s">
        <v>293</v>
      </c>
      <c r="D39" s="72"/>
      <c r="E39" s="72" t="n">
        <v>1900</v>
      </c>
      <c r="F39" s="72" t="n">
        <v>5</v>
      </c>
      <c r="G39" s="72" t="n">
        <v>360</v>
      </c>
      <c r="H39" s="72" t="s">
        <v>287</v>
      </c>
      <c r="I39" s="72" t="n">
        <v>5</v>
      </c>
      <c r="J39" s="72" t="n">
        <v>0</v>
      </c>
      <c r="K39" s="73" t="s">
        <v>288</v>
      </c>
      <c r="L39" s="73" t="s">
        <v>289</v>
      </c>
      <c r="M39" s="72" t="s">
        <v>290</v>
      </c>
      <c r="N39" s="72" t="n">
        <v>0</v>
      </c>
      <c r="O39" s="72" t="n">
        <v>6</v>
      </c>
      <c r="P39" s="73"/>
      <c r="Q39" s="72" t="n">
        <v>6</v>
      </c>
      <c r="R39" s="72" t="s">
        <v>236</v>
      </c>
      <c r="S39" s="73" t="s">
        <v>237</v>
      </c>
    </row>
    <row r="41" customFormat="false" ht="15" hidden="false" customHeight="false" outlineLevel="0" collapsed="false">
      <c r="A41" s="62" t="s">
        <v>294</v>
      </c>
      <c r="B41" s="62"/>
      <c r="C41" s="62"/>
      <c r="D41" s="62"/>
      <c r="E41" s="62"/>
    </row>
    <row r="42" customFormat="false" ht="48" hidden="false" customHeight="true" outlineLevel="0" collapsed="false">
      <c r="A42" s="70" t="s">
        <v>295</v>
      </c>
      <c r="B42" s="70" t="s">
        <v>296</v>
      </c>
      <c r="C42" s="70" t="s">
        <v>297</v>
      </c>
      <c r="E42" s="70" t="s">
        <v>295</v>
      </c>
      <c r="F42" s="70" t="s">
        <v>296</v>
      </c>
      <c r="G42" s="70" t="s">
        <v>298</v>
      </c>
      <c r="H42" s="70" t="s">
        <v>299</v>
      </c>
    </row>
    <row r="43" customFormat="false" ht="39.55" hidden="false" customHeight="false" outlineLevel="0" collapsed="false">
      <c r="A43" s="75" t="n">
        <v>12</v>
      </c>
      <c r="B43" s="76" t="s">
        <v>300</v>
      </c>
      <c r="C43" s="77" t="n">
        <v>7</v>
      </c>
      <c r="E43" s="75" t="n">
        <v>12</v>
      </c>
      <c r="F43" s="78" t="s">
        <v>301</v>
      </c>
      <c r="G43" s="79" t="n">
        <v>100</v>
      </c>
      <c r="H43" s="79" t="n">
        <v>150</v>
      </c>
    </row>
    <row r="44" customFormat="false" ht="26.85" hidden="false" customHeight="false" outlineLevel="0" collapsed="false">
      <c r="A44" s="75" t="n">
        <v>72</v>
      </c>
      <c r="B44" s="76" t="s">
        <v>302</v>
      </c>
      <c r="C44" s="77" t="n">
        <v>15</v>
      </c>
      <c r="E44" s="75" t="n">
        <v>36</v>
      </c>
      <c r="F44" s="78" t="s">
        <v>303</v>
      </c>
      <c r="G44" s="79" t="n">
        <v>400</v>
      </c>
      <c r="H44" s="79" t="n">
        <v>450</v>
      </c>
    </row>
    <row r="45" customFormat="false" ht="26.85" hidden="false" customHeight="false" outlineLevel="0" collapsed="false">
      <c r="A45" s="75" t="n">
        <v>132</v>
      </c>
      <c r="B45" s="76" t="s">
        <v>304</v>
      </c>
      <c r="C45" s="77" t="n">
        <v>22</v>
      </c>
      <c r="E45" s="75" t="n">
        <v>84</v>
      </c>
      <c r="F45" s="78" t="s">
        <v>305</v>
      </c>
      <c r="G45" s="79" t="n">
        <v>700</v>
      </c>
      <c r="H45" s="79" t="n">
        <v>750</v>
      </c>
    </row>
    <row r="46" customFormat="false" ht="26.85" hidden="false" customHeight="false" outlineLevel="0" collapsed="false">
      <c r="A46" s="75" t="n">
        <v>192</v>
      </c>
      <c r="B46" s="76" t="s">
        <v>306</v>
      </c>
      <c r="C46" s="77" t="n">
        <v>28</v>
      </c>
      <c r="E46" s="75" t="n">
        <v>144</v>
      </c>
      <c r="F46" s="78" t="s">
        <v>307</v>
      </c>
      <c r="G46" s="79" t="n">
        <v>900</v>
      </c>
      <c r="H46" s="79" t="n">
        <v>950</v>
      </c>
    </row>
    <row r="47" customFormat="false" ht="15" hidden="false" customHeight="false" outlineLevel="0" collapsed="false">
      <c r="A47" s="75" t="n">
        <v>240</v>
      </c>
      <c r="B47" s="76" t="s">
        <v>308</v>
      </c>
      <c r="C47" s="77" t="n">
        <v>43</v>
      </c>
      <c r="E47" s="75" t="n">
        <v>204</v>
      </c>
      <c r="F47" s="78" t="s">
        <v>309</v>
      </c>
      <c r="G47" s="79" t="n">
        <v>1100</v>
      </c>
      <c r="H47" s="79" t="n">
        <v>1150</v>
      </c>
    </row>
    <row r="48" customFormat="false" ht="15" hidden="false" customHeight="false" outlineLevel="0" collapsed="false">
      <c r="A48" s="75" t="n">
        <v>300</v>
      </c>
      <c r="B48" s="76" t="s">
        <v>310</v>
      </c>
      <c r="C48" s="77" t="n">
        <v>60</v>
      </c>
    </row>
    <row r="49" customFormat="false" ht="15" hidden="false" customHeight="false" outlineLevel="0" collapsed="false">
      <c r="A49" s="75" t="n">
        <v>360</v>
      </c>
      <c r="B49" s="76" t="s">
        <v>311</v>
      </c>
      <c r="C49" s="77" t="n">
        <v>69</v>
      </c>
    </row>
    <row r="50" customFormat="false" ht="15" hidden="false" customHeight="false" outlineLevel="0" collapsed="false">
      <c r="A50" s="61" t="s">
        <v>312</v>
      </c>
    </row>
    <row r="52" customFormat="false" ht="15" hidden="false" customHeight="false" outlineLevel="0" collapsed="false">
      <c r="A52" s="62" t="s">
        <v>313</v>
      </c>
      <c r="B52" s="62"/>
      <c r="C52" s="62"/>
      <c r="D52" s="62"/>
      <c r="E52" s="62"/>
      <c r="F52" s="62"/>
      <c r="G52" s="62"/>
      <c r="H52" s="62"/>
    </row>
    <row r="53" customFormat="false" ht="48" hidden="false" customHeight="true" outlineLevel="0" collapsed="false">
      <c r="A53" s="50" t="s">
        <v>314</v>
      </c>
      <c r="B53" s="70" t="s">
        <v>315</v>
      </c>
      <c r="C53" s="70" t="s">
        <v>316</v>
      </c>
      <c r="D53" s="70" t="s">
        <v>317</v>
      </c>
      <c r="E53" s="70" t="s">
        <v>318</v>
      </c>
      <c r="F53" s="70" t="s">
        <v>319</v>
      </c>
      <c r="G53" s="70" t="s">
        <v>320</v>
      </c>
      <c r="H53" s="70" t="s">
        <v>321</v>
      </c>
    </row>
    <row r="54" customFormat="false" ht="30" hidden="false" customHeight="true" outlineLevel="0" collapsed="false">
      <c r="A54" s="36" t="s">
        <v>322</v>
      </c>
      <c r="B54" s="80" t="s">
        <v>323</v>
      </c>
      <c r="C54" s="80" t="s">
        <v>323</v>
      </c>
      <c r="D54" s="80" t="s">
        <v>323</v>
      </c>
      <c r="E54" s="80" t="s">
        <v>323</v>
      </c>
      <c r="F54" s="81" t="s">
        <v>324</v>
      </c>
      <c r="G54" s="81" t="s">
        <v>324</v>
      </c>
      <c r="H54" s="80"/>
    </row>
    <row r="55" customFormat="false" ht="30" hidden="false" customHeight="true" outlineLevel="0" collapsed="false">
      <c r="A55" s="36" t="s">
        <v>325</v>
      </c>
      <c r="B55" s="81" t="s">
        <v>324</v>
      </c>
      <c r="C55" s="80"/>
      <c r="D55" s="81" t="s">
        <v>324</v>
      </c>
      <c r="E55" s="81" t="s">
        <v>324</v>
      </c>
      <c r="F55" s="81" t="s">
        <v>324</v>
      </c>
      <c r="G55" s="81" t="s">
        <v>324</v>
      </c>
      <c r="H55" s="80"/>
    </row>
    <row r="56" customFormat="false" ht="30" hidden="false" customHeight="true" outlineLevel="0" collapsed="false">
      <c r="A56" s="36" t="s">
        <v>326</v>
      </c>
      <c r="B56" s="80"/>
      <c r="C56" s="80"/>
      <c r="D56" s="80"/>
      <c r="E56" s="81" t="s">
        <v>324</v>
      </c>
      <c r="F56" s="81" t="s">
        <v>324</v>
      </c>
      <c r="G56" s="81" t="s">
        <v>324</v>
      </c>
      <c r="H56" s="81" t="s">
        <v>324</v>
      </c>
    </row>
    <row r="57" customFormat="false" ht="30" hidden="false" customHeight="true" outlineLevel="0" collapsed="false">
      <c r="A57" s="36" t="s">
        <v>327</v>
      </c>
      <c r="B57" s="80"/>
      <c r="C57" s="80"/>
      <c r="D57" s="80"/>
      <c r="E57" s="81" t="s">
        <v>324</v>
      </c>
      <c r="F57" s="81" t="s">
        <v>324</v>
      </c>
      <c r="G57" s="81" t="s">
        <v>324</v>
      </c>
      <c r="H57" s="81" t="s">
        <v>324</v>
      </c>
    </row>
    <row r="58" customFormat="false" ht="30" hidden="false" customHeight="true" outlineLevel="0" collapsed="false">
      <c r="A58" s="36" t="s">
        <v>328</v>
      </c>
      <c r="B58" s="81" t="s">
        <v>324</v>
      </c>
      <c r="C58" s="81" t="s">
        <v>324</v>
      </c>
      <c r="D58" s="80"/>
      <c r="E58" s="81" t="s">
        <v>324</v>
      </c>
      <c r="F58" s="81" t="s">
        <v>324</v>
      </c>
      <c r="G58" s="81" t="s">
        <v>324</v>
      </c>
      <c r="H58" s="81" t="s">
        <v>324</v>
      </c>
    </row>
    <row r="59" customFormat="false" ht="30" hidden="false" customHeight="true" outlineLevel="0" collapsed="false">
      <c r="A59" s="36" t="s">
        <v>329</v>
      </c>
      <c r="B59" s="80"/>
      <c r="C59" s="80" t="s">
        <v>323</v>
      </c>
      <c r="D59" s="80"/>
      <c r="E59" s="80"/>
      <c r="F59" s="80"/>
      <c r="G59" s="81" t="s">
        <v>324</v>
      </c>
      <c r="H59" s="81" t="s">
        <v>324</v>
      </c>
    </row>
    <row r="60" customFormat="false" ht="30" hidden="false" customHeight="true" outlineLevel="0" collapsed="false">
      <c r="A60" s="36" t="s">
        <v>330</v>
      </c>
      <c r="B60" s="81" t="s">
        <v>324</v>
      </c>
      <c r="C60" s="80"/>
      <c r="D60" s="80"/>
      <c r="E60" s="81" t="s">
        <v>324</v>
      </c>
      <c r="F60" s="81" t="s">
        <v>324</v>
      </c>
      <c r="G60" s="80" t="s">
        <v>331</v>
      </c>
      <c r="H60" s="80"/>
    </row>
    <row r="61" customFormat="false" ht="30" hidden="false" customHeight="true" outlineLevel="0" collapsed="false">
      <c r="A61" s="36" t="s">
        <v>332</v>
      </c>
      <c r="B61" s="81" t="s">
        <v>324</v>
      </c>
      <c r="C61" s="81" t="s">
        <v>324</v>
      </c>
      <c r="D61" s="81" t="s">
        <v>324</v>
      </c>
      <c r="E61" s="81" t="s">
        <v>324</v>
      </c>
      <c r="F61" s="80"/>
      <c r="G61" s="80"/>
      <c r="H61" s="80"/>
    </row>
    <row r="62" customFormat="false" ht="30" hidden="false" customHeight="true" outlineLevel="0" collapsed="false">
      <c r="A62" s="36" t="s">
        <v>333</v>
      </c>
      <c r="B62" s="81" t="s">
        <v>324</v>
      </c>
      <c r="C62" s="81" t="s">
        <v>324</v>
      </c>
      <c r="D62" s="81" t="s">
        <v>324</v>
      </c>
      <c r="E62" s="81" t="s">
        <v>324</v>
      </c>
      <c r="F62" s="81" t="s">
        <v>324</v>
      </c>
      <c r="G62" s="81" t="s">
        <v>324</v>
      </c>
      <c r="H62" s="81" t="s">
        <v>324</v>
      </c>
    </row>
    <row r="65" customFormat="false" ht="15" hidden="false" customHeight="false" outlineLevel="0" collapsed="false">
      <c r="A65" s="62" t="s">
        <v>334</v>
      </c>
      <c r="B65" s="62"/>
      <c r="C65" s="62"/>
      <c r="D65" s="62"/>
      <c r="E65" s="62"/>
      <c r="F65" s="62"/>
      <c r="G65" s="62"/>
      <c r="H65" s="62"/>
    </row>
    <row r="66" customFormat="false" ht="48" hidden="false" customHeight="true" outlineLevel="0" collapsed="false">
      <c r="A66" s="50" t="s">
        <v>314</v>
      </c>
      <c r="B66" s="70" t="s">
        <v>315</v>
      </c>
      <c r="C66" s="70" t="s">
        <v>316</v>
      </c>
      <c r="D66" s="70" t="s">
        <v>317</v>
      </c>
      <c r="E66" s="70" t="s">
        <v>318</v>
      </c>
      <c r="F66" s="70" t="s">
        <v>319</v>
      </c>
      <c r="G66" s="70" t="s">
        <v>320</v>
      </c>
      <c r="H66" s="70" t="s">
        <v>321</v>
      </c>
    </row>
    <row r="67" customFormat="false" ht="30" hidden="false" customHeight="true" outlineLevel="0" collapsed="false">
      <c r="A67" s="36" t="s">
        <v>335</v>
      </c>
      <c r="B67" s="80"/>
      <c r="C67" s="80"/>
      <c r="D67" s="80"/>
      <c r="E67" s="81" t="s">
        <v>324</v>
      </c>
      <c r="F67" s="81" t="s">
        <v>324</v>
      </c>
      <c r="G67" s="81" t="s">
        <v>324</v>
      </c>
      <c r="H67" s="81" t="s">
        <v>324</v>
      </c>
    </row>
    <row r="68" customFormat="false" ht="30" hidden="false" customHeight="true" outlineLevel="0" collapsed="false">
      <c r="A68" s="36" t="s">
        <v>336</v>
      </c>
      <c r="B68" s="81" t="s">
        <v>324</v>
      </c>
      <c r="C68" s="81" t="s">
        <v>324</v>
      </c>
      <c r="D68" s="81" t="s">
        <v>324</v>
      </c>
      <c r="E68" s="81" t="s">
        <v>324</v>
      </c>
      <c r="F68" s="80"/>
      <c r="G68" s="80"/>
      <c r="H68" s="80"/>
    </row>
    <row r="69" customFormat="false" ht="30" hidden="false" customHeight="true" outlineLevel="0" collapsed="false">
      <c r="A69" s="36" t="s">
        <v>337</v>
      </c>
      <c r="B69" s="81" t="s">
        <v>324</v>
      </c>
      <c r="C69" s="81" t="s">
        <v>324</v>
      </c>
      <c r="D69" s="80"/>
      <c r="E69" s="81" t="s">
        <v>324</v>
      </c>
      <c r="F69" s="81" t="s">
        <v>324</v>
      </c>
      <c r="G69" s="80"/>
      <c r="H69" s="80"/>
    </row>
    <row r="70" customFormat="false" ht="30" hidden="false" customHeight="true" outlineLevel="0" collapsed="false">
      <c r="A70" s="36" t="s">
        <v>338</v>
      </c>
      <c r="B70" s="81" t="s">
        <v>324</v>
      </c>
      <c r="C70" s="81" t="s">
        <v>324</v>
      </c>
      <c r="D70" s="80"/>
      <c r="E70" s="81" t="s">
        <v>324</v>
      </c>
      <c r="F70" s="81" t="s">
        <v>324</v>
      </c>
      <c r="G70" s="80"/>
      <c r="H70" s="80"/>
    </row>
    <row r="71" customFormat="false" ht="30" hidden="false" customHeight="true" outlineLevel="0" collapsed="false">
      <c r="A71" s="36" t="s">
        <v>339</v>
      </c>
      <c r="B71" s="80"/>
      <c r="C71" s="80"/>
      <c r="D71" s="80"/>
      <c r="E71" s="80"/>
      <c r="F71" s="80"/>
      <c r="G71" s="80" t="s">
        <v>340</v>
      </c>
      <c r="H71" s="80"/>
    </row>
    <row r="74" customFormat="false" ht="15" hidden="false" customHeight="false" outlineLevel="0" collapsed="false">
      <c r="A74" s="62" t="s">
        <v>341</v>
      </c>
      <c r="B74" s="62"/>
      <c r="C74" s="62"/>
    </row>
    <row r="75" customFormat="false" ht="39.75" hidden="false" customHeight="true" outlineLevel="0" collapsed="false">
      <c r="A75" s="50" t="s">
        <v>342</v>
      </c>
      <c r="B75" s="82" t="s">
        <v>343</v>
      </c>
    </row>
    <row r="76" customFormat="false" ht="30" hidden="false" customHeight="true" outlineLevel="0" collapsed="false">
      <c r="A76" s="73" t="s">
        <v>344</v>
      </c>
      <c r="B76" s="73" t="s">
        <v>345</v>
      </c>
    </row>
    <row r="77" customFormat="false" ht="30" hidden="false" customHeight="true" outlineLevel="0" collapsed="false">
      <c r="A77" s="73" t="s">
        <v>346</v>
      </c>
      <c r="B77" s="73" t="s">
        <v>346</v>
      </c>
    </row>
    <row r="78" customFormat="false" ht="30" hidden="false" customHeight="true" outlineLevel="0" collapsed="false">
      <c r="A78" s="73" t="s">
        <v>347</v>
      </c>
      <c r="B78" s="73" t="s">
        <v>348</v>
      </c>
    </row>
    <row r="79" customFormat="false" ht="30" hidden="false" customHeight="true" outlineLevel="0" collapsed="false">
      <c r="A79" s="73" t="s">
        <v>349</v>
      </c>
      <c r="B79" s="73" t="s">
        <v>349</v>
      </c>
    </row>
    <row r="80" customFormat="false" ht="30" hidden="false" customHeight="true" outlineLevel="0" collapsed="false">
      <c r="A80" s="73" t="s">
        <v>350</v>
      </c>
      <c r="B80" s="73" t="s">
        <v>351</v>
      </c>
    </row>
    <row r="83" customFormat="false" ht="15" hidden="false" customHeight="false" outlineLevel="0" collapsed="false">
      <c r="A83" s="62" t="s">
        <v>352</v>
      </c>
      <c r="B83" s="62"/>
    </row>
    <row r="84" customFormat="false" ht="15" hidden="false" customHeight="false" outlineLevel="0" collapsed="false">
      <c r="A84" s="50" t="s">
        <v>38</v>
      </c>
      <c r="B84" s="50" t="s">
        <v>135</v>
      </c>
    </row>
    <row r="85" customFormat="false" ht="30" hidden="false" customHeight="true" outlineLevel="0" collapsed="false">
      <c r="A85" s="73" t="s">
        <v>39</v>
      </c>
      <c r="B85" s="72" t="s">
        <v>353</v>
      </c>
    </row>
    <row r="86" customFormat="false" ht="30" hidden="false" customHeight="true" outlineLevel="0" collapsed="false">
      <c r="A86" s="73" t="s">
        <v>354</v>
      </c>
      <c r="B86" s="72" t="s">
        <v>355</v>
      </c>
    </row>
    <row r="87" customFormat="false" ht="30" hidden="false" customHeight="true" outlineLevel="0" collapsed="false">
      <c r="A87" s="73" t="s">
        <v>356</v>
      </c>
      <c r="B87" s="72" t="s">
        <v>357</v>
      </c>
    </row>
    <row r="90" customFormat="false" ht="15" hidden="false" customHeight="false" outlineLevel="0" collapsed="false">
      <c r="A90" s="62" t="s">
        <v>358</v>
      </c>
      <c r="B90" s="62"/>
    </row>
    <row r="91" customFormat="false" ht="15" hidden="false" customHeight="false" outlineLevel="0" collapsed="false">
      <c r="A91" s="50" t="s">
        <v>359</v>
      </c>
      <c r="B91" s="50" t="s">
        <v>360</v>
      </c>
    </row>
    <row r="92" customFormat="false" ht="15" hidden="false" customHeight="false" outlineLevel="0" collapsed="false">
      <c r="A92" s="83" t="n">
        <v>46307</v>
      </c>
      <c r="B92" s="72" t="s">
        <v>361</v>
      </c>
      <c r="D92" s="84" t="s">
        <v>362</v>
      </c>
    </row>
    <row r="93" customFormat="false" ht="15" hidden="false" customHeight="false" outlineLevel="0" collapsed="false">
      <c r="A93" s="83" t="n">
        <v>46329</v>
      </c>
      <c r="B93" s="72" t="s">
        <v>363</v>
      </c>
    </row>
    <row r="94" customFormat="false" ht="15" hidden="false" customHeight="false" outlineLevel="0" collapsed="false">
      <c r="A94" s="83" t="n">
        <v>46349</v>
      </c>
      <c r="B94" s="72" t="s">
        <v>364</v>
      </c>
    </row>
    <row r="95" customFormat="false" ht="15" hidden="false" customHeight="false" outlineLevel="0" collapsed="false">
      <c r="A95" s="83" t="n">
        <v>46385</v>
      </c>
      <c r="B95" s="72" t="s">
        <v>365</v>
      </c>
    </row>
    <row r="96" customFormat="false" ht="15" hidden="false" customHeight="false" outlineLevel="0" collapsed="false">
      <c r="A96" s="83" t="n">
        <v>46386</v>
      </c>
      <c r="B96" s="72" t="s">
        <v>365</v>
      </c>
    </row>
    <row r="97" customFormat="false" ht="15" hidden="false" customHeight="false" outlineLevel="0" collapsed="false">
      <c r="A97" s="83" t="n">
        <v>46387</v>
      </c>
      <c r="B97" s="72" t="s">
        <v>365</v>
      </c>
    </row>
    <row r="98" customFormat="false" ht="15" hidden="false" customHeight="false" outlineLevel="0" collapsed="false">
      <c r="A98" s="83" t="n">
        <v>46388</v>
      </c>
      <c r="B98" s="72" t="s">
        <v>366</v>
      </c>
    </row>
    <row r="99" customFormat="false" ht="15" hidden="false" customHeight="false" outlineLevel="0" collapsed="false">
      <c r="A99" s="83" t="n">
        <v>46389</v>
      </c>
      <c r="B99" s="72" t="s">
        <v>365</v>
      </c>
    </row>
    <row r="100" customFormat="false" ht="15" hidden="false" customHeight="false" outlineLevel="0" collapsed="false">
      <c r="A100" s="83" t="n">
        <v>46390</v>
      </c>
      <c r="B100" s="72" t="s">
        <v>365</v>
      </c>
    </row>
    <row r="101" customFormat="false" ht="15" hidden="false" customHeight="false" outlineLevel="0" collapsed="false">
      <c r="A101" s="83" t="n">
        <v>46398</v>
      </c>
      <c r="B101" s="72" t="s">
        <v>367</v>
      </c>
    </row>
    <row r="102" customFormat="false" ht="15" hidden="false" customHeight="false" outlineLevel="0" collapsed="false">
      <c r="A102" s="83" t="n">
        <v>46429</v>
      </c>
      <c r="B102" s="72" t="s">
        <v>368</v>
      </c>
    </row>
    <row r="103" customFormat="false" ht="15" hidden="false" customHeight="false" outlineLevel="0" collapsed="false">
      <c r="A103" s="83" t="n">
        <v>46441</v>
      </c>
      <c r="B103" s="72" t="s">
        <v>369</v>
      </c>
    </row>
    <row r="104" customFormat="false" ht="15" hidden="false" customHeight="false" outlineLevel="0" collapsed="false">
      <c r="A104" s="83" t="n">
        <v>46467</v>
      </c>
      <c r="B104" s="72" t="s">
        <v>370</v>
      </c>
    </row>
    <row r="105" customFormat="false" ht="15" hidden="false" customHeight="false" outlineLevel="0" collapsed="false">
      <c r="A105" s="83" t="n">
        <v>46468</v>
      </c>
      <c r="B105" s="72" t="s">
        <v>371</v>
      </c>
    </row>
    <row r="106" customFormat="false" ht="15" hidden="false" customHeight="false" outlineLevel="0" collapsed="false">
      <c r="A106" s="83" t="n">
        <v>46506</v>
      </c>
      <c r="B106" s="72" t="s">
        <v>372</v>
      </c>
    </row>
    <row r="107" customFormat="false" ht="15" hidden="false" customHeight="false" outlineLevel="0" collapsed="false">
      <c r="A107" s="83" t="n">
        <v>46510</v>
      </c>
      <c r="B107" s="72" t="s">
        <v>373</v>
      </c>
    </row>
    <row r="108" customFormat="false" ht="15" hidden="false" customHeight="false" outlineLevel="0" collapsed="false">
      <c r="A108" s="83" t="n">
        <v>46511</v>
      </c>
      <c r="B108" s="72" t="s">
        <v>374</v>
      </c>
    </row>
    <row r="109" customFormat="false" ht="15" hidden="false" customHeight="false" outlineLevel="0" collapsed="false">
      <c r="A109" s="83" t="n">
        <v>46512</v>
      </c>
      <c r="B109" s="72" t="s">
        <v>375</v>
      </c>
    </row>
    <row r="110" customFormat="false" ht="15" hidden="false" customHeight="false" outlineLevel="0" collapsed="false">
      <c r="A110" s="83" t="n">
        <v>46587</v>
      </c>
      <c r="B110" s="72" t="s">
        <v>376</v>
      </c>
    </row>
    <row r="111" customFormat="false" ht="15" hidden="false" customHeight="false" outlineLevel="0" collapsed="false">
      <c r="A111" s="83" t="n">
        <v>46610</v>
      </c>
      <c r="B111" s="72" t="s">
        <v>377</v>
      </c>
    </row>
    <row r="112" customFormat="false" ht="15" hidden="false" customHeight="false" outlineLevel="0" collapsed="false">
      <c r="A112" s="83" t="n">
        <v>46650</v>
      </c>
      <c r="B112" s="72" t="s">
        <v>378</v>
      </c>
    </row>
    <row r="113" customFormat="false" ht="15" hidden="false" customHeight="false" outlineLevel="0" collapsed="false">
      <c r="A113" s="83" t="n">
        <v>46653</v>
      </c>
      <c r="B113" s="72" t="s">
        <v>379</v>
      </c>
    </row>
    <row r="114" customFormat="false" ht="15" hidden="false" customHeight="false" outlineLevel="0" collapsed="false">
      <c r="A114" s="83" t="n">
        <v>46671</v>
      </c>
      <c r="B114" s="72" t="s">
        <v>361</v>
      </c>
    </row>
    <row r="115" customFormat="false" ht="15" hidden="false" customHeight="false" outlineLevel="0" collapsed="false">
      <c r="A115" s="83" t="n">
        <v>46694</v>
      </c>
      <c r="B115" s="72" t="s">
        <v>363</v>
      </c>
    </row>
    <row r="116" customFormat="false" ht="15" hidden="false" customHeight="false" outlineLevel="0" collapsed="false">
      <c r="A116" s="83" t="n">
        <v>46714</v>
      </c>
      <c r="B116" s="72" t="s">
        <v>364</v>
      </c>
    </row>
    <row r="117" customFormat="false" ht="15" hidden="false" customHeight="false" outlineLevel="0" collapsed="false">
      <c r="A117" s="83" t="n">
        <v>46750</v>
      </c>
      <c r="B117" s="72" t="s">
        <v>365</v>
      </c>
    </row>
    <row r="118" customFormat="false" ht="15" hidden="false" customHeight="false" outlineLevel="0" collapsed="false">
      <c r="A118" s="83" t="n">
        <v>46751</v>
      </c>
      <c r="B118" s="72" t="s">
        <v>365</v>
      </c>
    </row>
    <row r="119" customFormat="false" ht="15" hidden="false" customHeight="false" outlineLevel="0" collapsed="false">
      <c r="A119" s="83" t="n">
        <v>46752</v>
      </c>
      <c r="B119" s="72" t="s">
        <v>365</v>
      </c>
    </row>
    <row r="120" customFormat="false" ht="15" hidden="false" customHeight="false" outlineLevel="0" collapsed="false">
      <c r="A120" s="85"/>
      <c r="B120" s="86"/>
    </row>
    <row r="121" customFormat="false" ht="15" hidden="false" customHeight="false" outlineLevel="0" collapsed="false">
      <c r="A121" s="85"/>
      <c r="B121" s="86"/>
    </row>
    <row r="122" customFormat="false" ht="15" hidden="false" customHeight="false" outlineLevel="0" collapsed="false">
      <c r="A122" s="85"/>
      <c r="B122" s="86"/>
    </row>
    <row r="123" customFormat="false" ht="15" hidden="false" customHeight="false" outlineLevel="0" collapsed="false">
      <c r="A123" s="85"/>
      <c r="B123" s="86"/>
    </row>
    <row r="124" customFormat="false" ht="15" hidden="false" customHeight="false" outlineLevel="0" collapsed="false">
      <c r="A124" s="85"/>
      <c r="B124" s="86"/>
    </row>
    <row r="125" customFormat="false" ht="15" hidden="false" customHeight="false" outlineLevel="0" collapsed="false">
      <c r="A125" s="85"/>
      <c r="B125" s="86"/>
    </row>
    <row r="126" customFormat="false" ht="15" hidden="false" customHeight="false" outlineLevel="0" collapsed="false">
      <c r="A126" s="85"/>
      <c r="B126" s="86"/>
    </row>
    <row r="127" customFormat="false" ht="15" hidden="false" customHeight="false" outlineLevel="0" collapsed="false">
      <c r="A127" s="85"/>
      <c r="B127" s="86"/>
    </row>
    <row r="128" customFormat="false" ht="15" hidden="false" customHeight="false" outlineLevel="0" collapsed="false">
      <c r="A128" s="85"/>
      <c r="B128" s="86"/>
    </row>
    <row r="129" customFormat="false" ht="15" hidden="false" customHeight="false" outlineLevel="0" collapsed="false">
      <c r="A129" s="85"/>
      <c r="B129" s="86"/>
    </row>
    <row r="130" customFormat="false" ht="15" hidden="false" customHeight="false" outlineLevel="0" collapsed="false">
      <c r="A130" s="85"/>
      <c r="B130" s="86"/>
    </row>
    <row r="131" customFormat="false" ht="15" hidden="false" customHeight="false" outlineLevel="0" collapsed="false">
      <c r="A131" s="85"/>
      <c r="B131" s="86"/>
    </row>
    <row r="132" customFormat="false" ht="15" hidden="false" customHeight="false" outlineLevel="0" collapsed="false">
      <c r="A132" s="85"/>
      <c r="B132" s="86"/>
    </row>
    <row r="133" customFormat="false" ht="15" hidden="false" customHeight="false" outlineLevel="0" collapsed="false">
      <c r="A133" s="85"/>
      <c r="B133" s="86"/>
    </row>
    <row r="134" customFormat="false" ht="15" hidden="false" customHeight="false" outlineLevel="0" collapsed="false">
      <c r="A134" s="85"/>
      <c r="B134" s="86"/>
    </row>
    <row r="135" customFormat="false" ht="15" hidden="false" customHeight="false" outlineLevel="0" collapsed="false">
      <c r="A135" s="85"/>
      <c r="B135" s="86"/>
    </row>
    <row r="136" customFormat="false" ht="15" hidden="false" customHeight="false" outlineLevel="0" collapsed="false">
      <c r="A136" s="85"/>
      <c r="B136" s="86"/>
    </row>
    <row r="137" customFormat="false" ht="15" hidden="false" customHeight="false" outlineLevel="0" collapsed="false">
      <c r="A137" s="85"/>
      <c r="B137" s="86"/>
    </row>
    <row r="138" customFormat="false" ht="15" hidden="false" customHeight="false" outlineLevel="0" collapsed="false">
      <c r="A138" s="85"/>
      <c r="B138" s="86"/>
    </row>
    <row r="139" customFormat="false" ht="15" hidden="false" customHeight="false" outlineLevel="0" collapsed="false">
      <c r="A139" s="85"/>
      <c r="B139" s="86"/>
    </row>
    <row r="140" customFormat="false" ht="15" hidden="false" customHeight="false" outlineLevel="0" collapsed="false">
      <c r="A140" s="85"/>
      <c r="B140" s="86"/>
    </row>
    <row r="141" customFormat="false" ht="15" hidden="false" customHeight="false" outlineLevel="0" collapsed="false">
      <c r="A141" s="85"/>
      <c r="B141" s="86"/>
    </row>
    <row r="142" customFormat="false" ht="15" hidden="false" customHeight="false" outlineLevel="0" collapsed="false">
      <c r="A142" s="85"/>
      <c r="B142" s="86"/>
    </row>
    <row r="143" customFormat="false" ht="15" hidden="false" customHeight="false" outlineLevel="0" collapsed="false">
      <c r="A143" s="85"/>
      <c r="B143" s="86"/>
    </row>
    <row r="144" customFormat="false" ht="15" hidden="false" customHeight="false" outlineLevel="0" collapsed="false">
      <c r="A144" s="85"/>
      <c r="B144" s="86"/>
    </row>
    <row r="145" customFormat="false" ht="15" hidden="false" customHeight="false" outlineLevel="0" collapsed="false">
      <c r="A145" s="85"/>
      <c r="B145" s="86"/>
    </row>
    <row r="146" customFormat="false" ht="15" hidden="false" customHeight="false" outlineLevel="0" collapsed="false">
      <c r="A146" s="85"/>
      <c r="B146" s="86"/>
    </row>
    <row r="147" customFormat="false" ht="15" hidden="false" customHeight="false" outlineLevel="0" collapsed="false">
      <c r="A147" s="85"/>
      <c r="B147" s="86"/>
    </row>
    <row r="148" customFormat="false" ht="15" hidden="false" customHeight="false" outlineLevel="0" collapsed="false">
      <c r="A148" s="85"/>
      <c r="B148" s="86"/>
    </row>
    <row r="149" customFormat="false" ht="15" hidden="false" customHeight="false" outlineLevel="0" collapsed="false">
      <c r="A149" s="85"/>
      <c r="B149" s="86"/>
    </row>
    <row r="150" customFormat="false" ht="15" hidden="false" customHeight="false" outlineLevel="0" collapsed="false">
      <c r="A150" s="85"/>
      <c r="B150" s="86"/>
    </row>
    <row r="151" customFormat="false" ht="15" hidden="false" customHeight="false" outlineLevel="0" collapsed="false">
      <c r="A151" s="85"/>
      <c r="B151" s="86"/>
    </row>
    <row r="152" customFormat="false" ht="15" hidden="false" customHeight="false" outlineLevel="0" collapsed="false">
      <c r="A152" s="85"/>
      <c r="B152" s="86"/>
    </row>
  </sheetData>
  <mergeCells count="8">
    <mergeCell ref="A3:D3"/>
    <mergeCell ref="A20:S20"/>
    <mergeCell ref="A41:E41"/>
    <mergeCell ref="A52:H52"/>
    <mergeCell ref="A65:H65"/>
    <mergeCell ref="A74:C74"/>
    <mergeCell ref="A83:B83"/>
    <mergeCell ref="A90:B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47" t="s">
        <v>380</v>
      </c>
    </row>
    <row r="2" customFormat="false" ht="15" hidden="false" customHeight="false" outlineLevel="0" collapsed="false">
      <c r="A2" s="61" t="s">
        <v>381</v>
      </c>
    </row>
    <row r="3" customFormat="false" ht="15" hidden="false" customHeight="false" outlineLevel="0" collapsed="false">
      <c r="A3" s="50" t="s">
        <v>382</v>
      </c>
      <c r="B3" s="50" t="s">
        <v>383</v>
      </c>
      <c r="C3" s="50" t="s">
        <v>384</v>
      </c>
    </row>
    <row r="4" customFormat="false" ht="15" hidden="false" customHeight="false" outlineLevel="0" collapsed="false">
      <c r="A4" s="63" t="s">
        <v>385</v>
      </c>
      <c r="B4" s="87" t="n">
        <f aca="false">IFERROR(MATCH(申込シミュレーション!$C$9,マスタ!$A$22:$A$39,0),1)</f>
        <v>1</v>
      </c>
      <c r="C4" s="61" t="s">
        <v>386</v>
      </c>
    </row>
    <row r="5" customFormat="false" ht="15" hidden="false" customHeight="false" outlineLevel="0" collapsed="false">
      <c r="A5" s="63" t="s">
        <v>45</v>
      </c>
      <c r="B5" s="88" t="str">
        <f aca="false">INDEX(マスタ!$B$22:$B$39,計算過程!$B$4)&amp;""</f>
        <v>普通貸付</v>
      </c>
      <c r="C5" s="61"/>
    </row>
    <row r="6" customFormat="false" ht="15" hidden="false" customHeight="false" outlineLevel="0" collapsed="false">
      <c r="A6" s="63" t="s">
        <v>212</v>
      </c>
      <c r="B6" s="88" t="str">
        <f aca="false">INDEX(マスタ!$C$22:$C$39,計算過程!$B$4)&amp;""</f>
        <v>月数</v>
      </c>
      <c r="C6" s="61"/>
    </row>
    <row r="7" customFormat="false" ht="15" hidden="false" customHeight="false" outlineLevel="0" collapsed="false">
      <c r="A7" s="63" t="s">
        <v>387</v>
      </c>
      <c r="B7" s="87" t="n">
        <f aca="false">N(INDEX(マスタ!$D$22:$D$39,計算過程!$B$4))</f>
        <v>6</v>
      </c>
      <c r="C7" s="61"/>
    </row>
    <row r="8" customFormat="false" ht="15" hidden="false" customHeight="false" outlineLevel="0" collapsed="false">
      <c r="A8" s="63" t="s">
        <v>388</v>
      </c>
      <c r="B8" s="89" t="n">
        <f aca="false">N(INDEX(マスタ!$E$22:$E$39,計算過程!$B$4))</f>
        <v>200</v>
      </c>
      <c r="C8" s="61"/>
    </row>
    <row r="9" customFormat="false" ht="15" hidden="false" customHeight="false" outlineLevel="0" collapsed="false">
      <c r="A9" s="63" t="s">
        <v>389</v>
      </c>
      <c r="B9" s="89" t="n">
        <f aca="false">N(INDEX(マスタ!$F$22:$F$39,計算過程!$B$4))</f>
        <v>1</v>
      </c>
      <c r="C9" s="61"/>
    </row>
    <row r="10" customFormat="false" ht="15" hidden="false" customHeight="false" outlineLevel="0" collapsed="false">
      <c r="A10" s="63" t="s">
        <v>216</v>
      </c>
      <c r="B10" s="89" t="n">
        <f aca="false">N(INDEX(マスタ!$G$22:$G$39,計算過程!$B$4))</f>
        <v>120</v>
      </c>
      <c r="C10" s="61"/>
    </row>
    <row r="11" customFormat="false" ht="15" hidden="false" customHeight="false" outlineLevel="0" collapsed="false">
      <c r="A11" s="63" t="s">
        <v>217</v>
      </c>
      <c r="B11" s="88" t="str">
        <f aca="false">INDEX(マスタ!$H$22:$H$39,計算過程!$B$4)&amp;""</f>
        <v>通常</v>
      </c>
      <c r="C11" s="61"/>
    </row>
    <row r="12" customFormat="false" ht="15" hidden="false" customHeight="false" outlineLevel="0" collapsed="false">
      <c r="A12" s="63" t="s">
        <v>390</v>
      </c>
      <c r="B12" s="87" t="n">
        <f aca="false">N(INDEX(マスタ!$I$22:$I$39,計算過程!$B$4))</f>
        <v>5</v>
      </c>
      <c r="C12" s="61"/>
    </row>
    <row r="13" customFormat="false" ht="15" hidden="false" customHeight="false" outlineLevel="0" collapsed="false">
      <c r="A13" s="63" t="s">
        <v>391</v>
      </c>
      <c r="B13" s="87" t="n">
        <f aca="false">N(INDEX(マスタ!$J$22:$J$39,計算過程!$B$4))</f>
        <v>0</v>
      </c>
      <c r="C13" s="61"/>
    </row>
    <row r="14" customFormat="false" ht="15" hidden="false" customHeight="false" outlineLevel="0" collapsed="false">
      <c r="A14" s="63" t="s">
        <v>220</v>
      </c>
      <c r="B14" s="88" t="str">
        <f aca="false">INDEX(マスタ!$K$22:$K$39,計算過程!$B$4)&amp;""</f>
        <v>注文書(写)又は発注書(写)(見積書は不可)</v>
      </c>
      <c r="C14" s="61"/>
    </row>
    <row r="15" customFormat="false" ht="15" hidden="false" customHeight="false" outlineLevel="0" collapsed="false">
      <c r="A15" s="63" t="s">
        <v>123</v>
      </c>
      <c r="B15" s="88" t="str">
        <f aca="false">INDEX(マスタ!$L$22:$L$39,計算過程!$B$4)&amp;""</f>
        <v>自動車登録(名義変更)前で代金支払前</v>
      </c>
      <c r="C15" s="61"/>
    </row>
    <row r="16" customFormat="false" ht="15" hidden="false" customHeight="false" outlineLevel="0" collapsed="false">
      <c r="A16" s="63" t="s">
        <v>221</v>
      </c>
      <c r="B16" s="88" t="str">
        <f aca="false">INDEX(マスタ!$M$22:$M$39,計算過程!$B$4)&amp;""</f>
        <v>自動車の登録(予定)日</v>
      </c>
      <c r="C16" s="61"/>
    </row>
    <row r="17" customFormat="false" ht="15" hidden="false" customHeight="false" outlineLevel="0" collapsed="false">
      <c r="A17" s="63" t="s">
        <v>392</v>
      </c>
      <c r="B17" s="88" t="str">
        <f aca="false">INDEX(マスタ!$N$22:$N$39,計算過程!$B$4)&amp;""</f>
        <v/>
      </c>
      <c r="C17" s="61"/>
    </row>
    <row r="18" customFormat="false" ht="15" hidden="false" customHeight="false" outlineLevel="0" collapsed="false">
      <c r="A18" s="63" t="s">
        <v>393</v>
      </c>
      <c r="B18" s="88" t="str">
        <f aca="false">INDEX(マスタ!$O$22:$O$39,計算過程!$B$4)&amp;""</f>
        <v/>
      </c>
      <c r="C18" s="61"/>
    </row>
    <row r="19" customFormat="false" ht="15" hidden="false" customHeight="false" outlineLevel="0" collapsed="false">
      <c r="A19" s="63" t="s">
        <v>394</v>
      </c>
      <c r="B19" s="88" t="str">
        <f aca="false">INDEX(マスタ!$P$22:$P$39,計算過程!$B$4)&amp;""</f>
        <v>完了届(自動車検査証(写)及び自動車検査証記録事項(写)を添付)</v>
      </c>
      <c r="C19" s="61"/>
    </row>
    <row r="20" customFormat="false" ht="15" hidden="false" customHeight="false" outlineLevel="0" collapsed="false">
      <c r="A20" s="63" t="s">
        <v>395</v>
      </c>
      <c r="B20" s="88" t="str">
        <f aca="false">INDEX(マスタ!$Q$22:$Q$39,計算過程!$B$4)&amp;""</f>
        <v>2</v>
      </c>
      <c r="C20" s="61"/>
    </row>
    <row r="21" customFormat="false" ht="15" hidden="false" customHeight="false" outlineLevel="0" collapsed="false">
      <c r="A21" s="63" t="s">
        <v>226</v>
      </c>
      <c r="B21" s="88" t="str">
        <f aca="false">INDEX(マスタ!$R$22:$R$39,計算過程!$B$4)&amp;""</f>
        <v>交付日</v>
      </c>
      <c r="C21" s="61"/>
    </row>
    <row r="22" customFormat="false" ht="15" hidden="false" customHeight="false" outlineLevel="0" collapsed="false">
      <c r="A22" s="63" t="s">
        <v>137</v>
      </c>
      <c r="B22" s="88" t="str">
        <f aca="false">INDEX(マスタ!$S$22:$S$39,計算過程!$B$4)&amp;""</f>
        <v>締切日の同月10日頃</v>
      </c>
      <c r="C22" s="61"/>
    </row>
    <row r="23" customFormat="false" ht="15" hidden="false" customHeight="false" outlineLevel="0" collapsed="false">
      <c r="A23" s="63" t="s">
        <v>396</v>
      </c>
      <c r="B23" s="87" t="n">
        <f aca="false">IF(OR(計算過程!$B$6="住宅",計算過程!$B$6="再貸付"),1,0)</f>
        <v>0</v>
      </c>
      <c r="C23" s="61"/>
    </row>
    <row r="24" customFormat="false" ht="15" hidden="false" customHeight="false" outlineLevel="0" collapsed="false">
      <c r="A24" s="63" t="s">
        <v>53</v>
      </c>
      <c r="B24" s="16" t="n">
        <f aca="false">IF(計算過程!$B$11="災害",マスタ!$B$6,IF(計算過程!$B$11="住宅",マスタ!$B$5,マスタ!$B$4))</f>
        <v>0.0126</v>
      </c>
      <c r="C24" s="61"/>
    </row>
    <row r="25" customFormat="false" ht="15" hidden="false" customHeight="false" outlineLevel="0" collapsed="false">
      <c r="A25" s="63" t="s">
        <v>397</v>
      </c>
      <c r="B25" s="16" t="n">
        <f aca="false">MAX(0,計算過程!$B$24-マスタ!$B$7)</f>
        <v>0.01</v>
      </c>
      <c r="C25" s="61" t="s">
        <v>398</v>
      </c>
    </row>
    <row r="26" customFormat="false" ht="15" hidden="false" customHeight="false" outlineLevel="0" collapsed="false">
      <c r="A26" s="63" t="s">
        <v>399</v>
      </c>
      <c r="B26" s="87" t="n">
        <f aca="false">IF(OR(申込シミュレーション!$C$11="",申込シミュレーション!$C$10=""),0,IFERROR(DATEDIF(申込シミュレーション!$C$11,申込シミュレーション!$C$10,"m"),0))</f>
        <v>175</v>
      </c>
      <c r="C26" s="61" t="s">
        <v>49</v>
      </c>
    </row>
    <row r="27" customFormat="false" ht="15" hidden="false" customHeight="false" outlineLevel="0" collapsed="false">
      <c r="A27" s="63" t="s">
        <v>400</v>
      </c>
      <c r="B27" s="88" t="str">
        <f aca="false">INT(計算過程!$B$26/12)&amp;"年"&amp;MOD(計算過程!$B$26,12)&amp;"か月"</f>
        <v>14年7か月</v>
      </c>
      <c r="C27" s="61"/>
    </row>
    <row r="28" customFormat="false" ht="15" hidden="false" customHeight="false" outlineLevel="0" collapsed="false">
      <c r="A28" s="63" t="s">
        <v>401</v>
      </c>
      <c r="B28" s="87" t="n">
        <f aca="false">IFERROR(MATCH(計算過程!$B$26,マスタ!$A$43:$A$49,1),1)</f>
        <v>3</v>
      </c>
      <c r="C28" s="68" t="s">
        <v>402</v>
      </c>
    </row>
    <row r="29" customFormat="false" ht="15" hidden="false" customHeight="false" outlineLevel="0" collapsed="false">
      <c r="A29" s="63" t="s">
        <v>403</v>
      </c>
      <c r="B29" s="87" t="n">
        <f aca="false">IFERROR(MATCH(計算過程!$B$26,マスタ!$E$43:$E$47,1),1)</f>
        <v>4</v>
      </c>
      <c r="C29" s="61"/>
    </row>
    <row r="30" customFormat="false" ht="15" hidden="false" customHeight="false" outlineLevel="0" collapsed="false">
      <c r="A30" s="63" t="s">
        <v>404</v>
      </c>
      <c r="B30" s="87" t="n">
        <f aca="false">INDEX(マスタ!$C$43:$C$49,計算過程!$B$28)</f>
        <v>22</v>
      </c>
      <c r="C30" s="61"/>
    </row>
    <row r="31" customFormat="false" ht="15" hidden="false" customHeight="false" outlineLevel="0" collapsed="false">
      <c r="A31" s="63" t="s">
        <v>405</v>
      </c>
      <c r="B31" s="89" t="n">
        <f aca="false">INDEX(マスタ!$G$43:$G$47,計算過程!$B$29)</f>
        <v>900</v>
      </c>
      <c r="C31" s="61"/>
    </row>
    <row r="32" customFormat="false" ht="15" hidden="false" customHeight="false" outlineLevel="0" collapsed="false">
      <c r="A32" s="63" t="s">
        <v>406</v>
      </c>
      <c r="B32" s="89" t="n">
        <f aca="false">INDEX(マスタ!$H$43:$H$47,計算過程!$B$29)</f>
        <v>950</v>
      </c>
      <c r="C32" s="61"/>
    </row>
    <row r="33" customFormat="false" ht="14.15" hidden="false" customHeight="false" outlineLevel="0" collapsed="false">
      <c r="A33" s="63" t="s">
        <v>407</v>
      </c>
      <c r="B33" s="18" t="n">
        <f aca="false">IF(計算過程!$B$6="月数",MIN(申込シミュレーション!$C$12*計算過程!$B$7,計算過程!$B$8*10000),IF(計算過程!$B$6="修学",マスタ!$B$18*10000*N(申込シミュレーション!$C$16),IF(計算過程!$B$6="住宅",MIN(MAX(申込シミュレーション!$C$12*計算過程!$B$30,計算過程!$B$31*10000),計算過程!$B$8*10000),IF(計算過程!$B$6="再貸付",MIN(MAX(申込シミュレーション!$C$12*計算過程!$B$30*2,計算過程!$B$32*10000),計算過程!$B$8*10000),0))))</f>
        <v>1740000</v>
      </c>
      <c r="C33" s="61" t="s">
        <v>408</v>
      </c>
    </row>
    <row r="34" customFormat="false" ht="14.15" hidden="false" customHeight="false" outlineLevel="0" collapsed="false">
      <c r="A34" s="63" t="s">
        <v>409</v>
      </c>
      <c r="B34" s="18" t="n">
        <f aca="false">IF(計算過程!$B$23=1,MIN(MAX(N(申込シミュレーション!$C$23),0)*10000,マスタ!$B$11*10000),0)</f>
        <v>0</v>
      </c>
      <c r="C34" s="61" t="s">
        <v>410</v>
      </c>
    </row>
    <row r="35" customFormat="false" ht="15" hidden="false" customHeight="false" outlineLevel="0" collapsed="false">
      <c r="A35" s="63" t="s">
        <v>411</v>
      </c>
      <c r="B35" s="18" t="n">
        <f aca="false">計算過程!$B$33+計算過程!$B$34</f>
        <v>1740000</v>
      </c>
      <c r="C35" s="61"/>
    </row>
    <row r="36" customFormat="false" ht="15" hidden="false" customHeight="false" outlineLevel="0" collapsed="false">
      <c r="A36" s="63" t="s">
        <v>412</v>
      </c>
      <c r="B36" s="18" t="n">
        <f aca="false">計算過程!$B$9*10000</f>
        <v>10000</v>
      </c>
      <c r="C36" s="61"/>
    </row>
    <row r="37" customFormat="false" ht="15" hidden="false" customHeight="false" outlineLevel="0" collapsed="false">
      <c r="A37" s="63" t="s">
        <v>413</v>
      </c>
      <c r="B37" s="18" t="n">
        <f aca="false">マスタ!$B$10*10000</f>
        <v>100000</v>
      </c>
      <c r="C37" s="61"/>
    </row>
    <row r="38" customFormat="false" ht="15" hidden="false" customHeight="false" outlineLevel="0" collapsed="false">
      <c r="A38" s="63" t="s">
        <v>414</v>
      </c>
      <c r="B38" s="18" t="n">
        <f aca="false">N(申込シミュレーション!$C$27)+N(申込シミュレーション!$C$29)+N(申込シミュレーション!$C$31)</f>
        <v>30000</v>
      </c>
      <c r="C38" s="61"/>
    </row>
    <row r="39" customFormat="false" ht="15" hidden="false" customHeight="false" outlineLevel="0" collapsed="false">
      <c r="A39" s="63" t="s">
        <v>415</v>
      </c>
      <c r="B39" s="18" t="n">
        <f aca="false">N(申込シミュレーション!$C$28)+N(申込シミュレーション!$C$30)+N(申込シミュレーション!$C$32)</f>
        <v>0</v>
      </c>
      <c r="C39" s="61"/>
    </row>
    <row r="40" customFormat="false" ht="14.15" hidden="false" customHeight="false" outlineLevel="0" collapsed="false">
      <c r="A40" s="63" t="s">
        <v>416</v>
      </c>
      <c r="B40" s="18" t="n">
        <f aca="false">MAX(0,MIN(マスタ!$B$8*申込シミュレーション!$C$12,(マスタ!$B$8*申込シミュレーション!$C$12*(12+マスタ!$B$9)-2*計算過程!$B$39)/12))</f>
        <v>87000</v>
      </c>
      <c r="C40" s="61" t="s">
        <v>417</v>
      </c>
    </row>
    <row r="41" customFormat="false" ht="15" hidden="false" customHeight="false" outlineLevel="0" collapsed="false">
      <c r="A41" s="63" t="s">
        <v>418</v>
      </c>
      <c r="B41" s="18" t="n">
        <f aca="false">MAX(0,計算過程!$B$40-計算過程!$B$38)</f>
        <v>57000</v>
      </c>
      <c r="C41" s="61"/>
    </row>
    <row r="42" customFormat="false" ht="15" hidden="false" customHeight="false" outlineLevel="0" collapsed="false">
      <c r="A42" s="63" t="s">
        <v>419</v>
      </c>
      <c r="B42" s="89" t="n">
        <f aca="false">IF(N(申込シミュレーション!$C$18)&gt;0,申込シミュレーション!$C$18,計算過程!$B$10)</f>
        <v>60</v>
      </c>
      <c r="C42" s="61" t="s">
        <v>420</v>
      </c>
    </row>
    <row r="43" customFormat="false" ht="14.15" hidden="false" customHeight="false" outlineLevel="0" collapsed="false">
      <c r="A43" s="63" t="s">
        <v>421</v>
      </c>
      <c r="B43" s="18" t="n">
        <f aca="false">IF(計算過程!$B$41&lt;=0,0,PV(計算過程!$B$24/12,計算過程!$B$42,-計算過程!$B$41))</f>
        <v>3312812.42092399</v>
      </c>
      <c r="C43" s="61" t="s">
        <v>422</v>
      </c>
    </row>
    <row r="44" customFormat="false" ht="15" hidden="false" customHeight="false" outlineLevel="0" collapsed="false">
      <c r="A44" s="63" t="s">
        <v>423</v>
      </c>
      <c r="B44" s="18" t="n">
        <f aca="false">IF(計算過程!$B$35&lt;=0,0,IF(ROUNDDOWN(MIN(計算過程!$B$35,計算過程!$B$43)/計算過程!$B$36,0)*計算過程!$B$36&lt;計算過程!$B$37,0,ROUNDDOWN(MIN(計算過程!$B$35,計算過程!$B$43)/計算過程!$B$36,0)*計算過程!$B$36))</f>
        <v>1740000</v>
      </c>
      <c r="C44" s="61" t="s">
        <v>424</v>
      </c>
    </row>
    <row r="45" customFormat="false" ht="15" hidden="false" customHeight="false" outlineLevel="0" collapsed="false">
      <c r="A45" s="63" t="s">
        <v>425</v>
      </c>
      <c r="B45" s="88" t="str">
        <f aca="false">IF(計算過程!$B$44=0,"申込不可(下限未満または条件不適合)",IF(計算過程!$B$35&lt;=計算過程!$B$43,"貸付限度額","返済能力(償還額が給料月額の30%以内)"))</f>
        <v>貸付限度額</v>
      </c>
      <c r="C45" s="61"/>
    </row>
    <row r="46" customFormat="false" ht="15" hidden="false" customHeight="false" outlineLevel="0" collapsed="false">
      <c r="A46" s="63" t="s">
        <v>426</v>
      </c>
      <c r="B46" s="18" t="n">
        <f aca="false">IF(N(申込シミュレーション!$C$17)&gt;0,申込シミュレーション!$C$17*10000,計算過程!$B$44)</f>
        <v>1500000</v>
      </c>
      <c r="C46" s="61" t="s">
        <v>427</v>
      </c>
    </row>
    <row r="47" customFormat="false" ht="15" hidden="false" customHeight="false" outlineLevel="0" collapsed="false">
      <c r="A47" s="63" t="s">
        <v>428</v>
      </c>
      <c r="B47" s="18" t="n">
        <f aca="false">IF(計算過程!$B$23=1,MIN(MAX(N(申込シミュレーション!$C$23),0)*10000,マスタ!$B$11*10000,計算過程!$B$46),0)</f>
        <v>0</v>
      </c>
      <c r="C47" s="61"/>
    </row>
    <row r="48" customFormat="false" ht="15" hidden="false" customHeight="false" outlineLevel="0" collapsed="false">
      <c r="A48" s="63" t="s">
        <v>429</v>
      </c>
      <c r="B48" s="18" t="n">
        <f aca="false">計算過程!$B$46-計算過程!$B$47</f>
        <v>1500000</v>
      </c>
      <c r="C48" s="61"/>
    </row>
    <row r="49" customFormat="false" ht="15" hidden="false" customHeight="false" outlineLevel="0" collapsed="false">
      <c r="A49" s="63" t="s">
        <v>430</v>
      </c>
      <c r="B49" s="18" t="n">
        <f aca="false">IF(申込シミュレーション!$C$20="有",MAX(N(申込シミュレーション!$C$21),0)*10000,0)</f>
        <v>0</v>
      </c>
      <c r="C49" s="61" t="s">
        <v>431</v>
      </c>
    </row>
    <row r="50" customFormat="false" ht="15" hidden="false" customHeight="false" outlineLevel="0" collapsed="false">
      <c r="A50" s="63" t="s">
        <v>94</v>
      </c>
      <c r="B50" s="89" t="n">
        <f aca="false">IF(申込シミュレーション!$C$20="有",N(申込シミュレーション!$C$22),0)</f>
        <v>0</v>
      </c>
      <c r="C50" s="61"/>
    </row>
    <row r="51" customFormat="false" ht="15" hidden="false" customHeight="false" outlineLevel="0" collapsed="false">
      <c r="A51" s="63" t="s">
        <v>432</v>
      </c>
      <c r="B51" s="89" t="n">
        <f aca="false">IF(N(申込シミュレーション!$C$18)&gt;0,申込シミュレーション!$C$18,IF(AND(N(申込シミュレーション!$C$19)&gt;0,計算過程!$B$46&gt;0),IFERROR(ROUNDUP(NPER(計算過程!$B$24/12,-申込シミュレーション!$C$19,計算過程!$B$46),0),0),計算過程!$B$10))</f>
        <v>60</v>
      </c>
      <c r="C51" s="61" t="s">
        <v>433</v>
      </c>
    </row>
    <row r="52" customFormat="false" ht="15" hidden="false" customHeight="false" outlineLevel="0" collapsed="false">
      <c r="A52" s="63" t="s">
        <v>434</v>
      </c>
      <c r="B52" s="90" t="n">
        <f aca="false">IF(AND(計算過程!$B$51&gt;0,計算過程!$B$48-計算過程!$B$49&gt;0),PMT(計算過程!$B$24/12,計算過程!$B$51,-(計算過程!$B$48-計算過程!$B$49)),0)</f>
        <v>25808.8865702069</v>
      </c>
      <c r="C52" s="61" t="s">
        <v>435</v>
      </c>
    </row>
    <row r="53" customFormat="false" ht="15" hidden="false" customHeight="false" outlineLevel="0" collapsed="false">
      <c r="A53" s="63" t="s">
        <v>436</v>
      </c>
      <c r="B53" s="90" t="n">
        <f aca="false">IF(AND(計算過程!$B$51&gt;0,計算過程!$B$47&gt;0),PMT(計算過程!$B$25/12,計算過程!$B$51,-計算過程!$B$47),0)</f>
        <v>0</v>
      </c>
      <c r="C53" s="61"/>
    </row>
    <row r="54" customFormat="false" ht="15" hidden="false" customHeight="false" outlineLevel="0" collapsed="false">
      <c r="A54" s="63" t="s">
        <v>437</v>
      </c>
      <c r="B54" s="18" t="n">
        <f aca="false">ROUND(計算過程!$B$52+計算過程!$B$53,0)</f>
        <v>25809</v>
      </c>
      <c r="C54" s="61" t="s">
        <v>438</v>
      </c>
    </row>
    <row r="55" customFormat="false" ht="15" hidden="false" customHeight="false" outlineLevel="0" collapsed="false">
      <c r="A55" s="63" t="s">
        <v>439</v>
      </c>
      <c r="B55" s="91" t="n">
        <f aca="false">(1+計算過程!$B$24/12)^6-1</f>
        <v>0.00631656067074027</v>
      </c>
      <c r="C55" s="61" t="s">
        <v>440</v>
      </c>
    </row>
    <row r="56" customFormat="false" ht="15" hidden="false" customHeight="false" outlineLevel="0" collapsed="false">
      <c r="A56" s="63" t="s">
        <v>441</v>
      </c>
      <c r="B56" s="90" t="n">
        <f aca="false">IF(AND(計算過程!$B$49&gt;0,計算過程!$B$50&gt;0),PMT(計算過程!$B$55,計算過程!$B$50,-計算過程!$B$49),0)</f>
        <v>0</v>
      </c>
      <c r="C56" s="61"/>
    </row>
    <row r="57" customFormat="false" ht="14.15" hidden="false" customHeight="false" outlineLevel="0" collapsed="false">
      <c r="A57" s="63" t="s">
        <v>442</v>
      </c>
      <c r="B57" s="18" t="n">
        <f aca="false">ROUND(計算過程!$B$56,0)</f>
        <v>0</v>
      </c>
      <c r="C57" s="68" t="s">
        <v>443</v>
      </c>
    </row>
    <row r="58" customFormat="false" ht="15" hidden="false" customHeight="false" outlineLevel="0" collapsed="false">
      <c r="A58" s="63" t="s">
        <v>444</v>
      </c>
      <c r="B58" s="18" t="n">
        <f aca="false">計算過程!$B$54*計算過程!$B$51+計算過程!$B$57*計算過程!$B$50</f>
        <v>1548540</v>
      </c>
      <c r="C58" s="61"/>
    </row>
    <row r="59" customFormat="false" ht="15" hidden="false" customHeight="false" outlineLevel="0" collapsed="false">
      <c r="A59" s="63" t="s">
        <v>445</v>
      </c>
      <c r="B59" s="18" t="n">
        <f aca="false">IF(計算過程!$B$46&gt;0,計算過程!$B$58-計算過程!$B$46,0)</f>
        <v>48540</v>
      </c>
      <c r="C59" s="61"/>
    </row>
    <row r="60" customFormat="false" ht="15" hidden="false" customHeight="false" outlineLevel="0" collapsed="false">
      <c r="A60" s="63" t="s">
        <v>101</v>
      </c>
      <c r="B60" s="18" t="n">
        <f aca="false">計算過程!$B$38+計算過程!$B$54</f>
        <v>55809</v>
      </c>
      <c r="C60" s="61"/>
    </row>
    <row r="61" customFormat="false" ht="15" hidden="false" customHeight="false" outlineLevel="0" collapsed="false">
      <c r="A61" s="63" t="s">
        <v>103</v>
      </c>
      <c r="B61" s="18" t="n">
        <f aca="false">計算過程!$B$39+計算過程!$B$57</f>
        <v>0</v>
      </c>
      <c r="C61" s="61"/>
    </row>
    <row r="62" customFormat="false" ht="15" hidden="false" customHeight="false" outlineLevel="0" collapsed="false">
      <c r="A62" s="63" t="s">
        <v>105</v>
      </c>
      <c r="B62" s="18" t="n">
        <f aca="false">N(申込シミュレーション!$C$12)</f>
        <v>290000</v>
      </c>
      <c r="C62" s="61"/>
    </row>
    <row r="63" customFormat="false" ht="15" hidden="false" customHeight="false" outlineLevel="0" collapsed="false">
      <c r="A63" s="63" t="s">
        <v>446</v>
      </c>
      <c r="B63" s="16" t="n">
        <f aca="false">IF(計算過程!$B$62&gt;0,計算過程!$B$60/計算過程!$B$62,0)</f>
        <v>0.192444827586207</v>
      </c>
      <c r="C63" s="61"/>
    </row>
    <row r="64" customFormat="false" ht="15" hidden="false" customHeight="false" outlineLevel="0" collapsed="false">
      <c r="A64" s="63" t="s">
        <v>110</v>
      </c>
      <c r="B64" s="18" t="n">
        <f aca="false">計算過程!$B$60*12+計算過程!$B$61*2</f>
        <v>669708</v>
      </c>
      <c r="C64" s="61"/>
    </row>
    <row r="65" customFormat="false" ht="15" hidden="false" customHeight="false" outlineLevel="0" collapsed="false">
      <c r="A65" s="63" t="s">
        <v>112</v>
      </c>
      <c r="B65" s="18" t="n">
        <f aca="false">計算過程!$B$62*(12+マスタ!$B$9)</f>
        <v>4640000</v>
      </c>
      <c r="C65" s="61"/>
    </row>
    <row r="66" customFormat="false" ht="15" hidden="false" customHeight="false" outlineLevel="0" collapsed="false">
      <c r="A66" s="63" t="s">
        <v>447</v>
      </c>
      <c r="B66" s="16" t="n">
        <f aca="false">IF(計算過程!$B$65&gt;0,計算過程!$B$64/計算過程!$B$65,0)</f>
        <v>0.144333620689655</v>
      </c>
      <c r="C66" s="61"/>
    </row>
    <row r="67" customFormat="false" ht="15" hidden="false" customHeight="false" outlineLevel="0" collapsed="false">
      <c r="A67" s="63" t="s">
        <v>448</v>
      </c>
      <c r="B67" s="92" t="n">
        <f aca="false">IF(申込シミュレーション!$C$10="","",WORKDAY(DATE(YEAR(申込シミュレーション!$C$10),MONTH(申込シミュレーション!$C$10),計算過程!$B$12)-1,1,マスタ!$A$92:$A$152))</f>
        <v>46331</v>
      </c>
      <c r="C67" s="61" t="s">
        <v>449</v>
      </c>
    </row>
    <row r="68" customFormat="false" ht="15" hidden="false" customHeight="false" outlineLevel="0" collapsed="false">
      <c r="A68" s="63" t="s">
        <v>450</v>
      </c>
      <c r="B68" s="92" t="n">
        <f aca="false">IF(申込シミュレーション!$C$10="","",WORKDAY(DATE(YEAR(申込シミュレーション!$C$10),MONTH(申込シミュレーション!$C$10)+1,計算過程!$B$12)-1,1,マスタ!$A$92:$A$152))</f>
        <v>46363</v>
      </c>
      <c r="C68" s="61"/>
    </row>
    <row r="69" customFormat="false" ht="15" hidden="false" customHeight="false" outlineLevel="0" collapsed="false">
      <c r="A69" s="63" t="s">
        <v>451</v>
      </c>
      <c r="B69" s="92" t="n">
        <f aca="false">IF(申込シミュレーション!$C$10="","",IF(申込シミュレーション!$C$10&lt;=計算過程!$B$67,計算過程!$B$67,計算過程!$B$68))</f>
        <v>46331</v>
      </c>
      <c r="C69" s="61" t="s">
        <v>452</v>
      </c>
    </row>
    <row r="70" customFormat="false" ht="15" hidden="false" customHeight="false" outlineLevel="0" collapsed="false">
      <c r="A70" s="63" t="s">
        <v>138</v>
      </c>
      <c r="B70" s="92" t="n">
        <f aca="false">IF(計算過程!$B$69="","",WORKDAY(EOMONTH(計算過程!$B$69,0)+1,-1,マスタ!$A$92:$A$152))</f>
        <v>46356</v>
      </c>
      <c r="C70" s="61" t="s">
        <v>453</v>
      </c>
    </row>
    <row r="71" customFormat="false" ht="15" hidden="false" customHeight="false" outlineLevel="0" collapsed="false">
      <c r="A71" s="63" t="s">
        <v>454</v>
      </c>
      <c r="B71" s="28" t="n">
        <f aca="false">IF(計算過程!$B$70="","",EDATE(DATE(YEAR(計算過程!$B$70),MONTH(計算過程!$B$70),1),1))</f>
        <v>46357</v>
      </c>
      <c r="C71" s="61" t="s">
        <v>85</v>
      </c>
    </row>
    <row r="72" customFormat="false" ht="15" hidden="false" customHeight="false" outlineLevel="0" collapsed="false">
      <c r="A72" s="63" t="s">
        <v>455</v>
      </c>
      <c r="B72" s="28" t="n">
        <f aca="false">IF(OR(計算過程!$B$71="",計算過程!$B$51&lt;1),"",EDATE(計算過程!$B$71,計算過程!$B$51-1))</f>
        <v>48153</v>
      </c>
      <c r="C72" s="61"/>
    </row>
    <row r="73" customFormat="false" ht="15" hidden="false" customHeight="false" outlineLevel="0" collapsed="false">
      <c r="A73" s="63" t="s">
        <v>456</v>
      </c>
      <c r="B73" s="88" t="str">
        <f aca="false">IF(計算過程!$B$51&lt;1,"",INT(計算過程!$B$51/12)&amp;"年"&amp;MOD(計算過程!$B$51,12)&amp;"か月")</f>
        <v>5年0か月</v>
      </c>
      <c r="C73" s="61"/>
    </row>
    <row r="74" customFormat="false" ht="15" hidden="false" customHeight="false" outlineLevel="0" collapsed="false">
      <c r="A74" s="63" t="s">
        <v>457</v>
      </c>
      <c r="B74" s="92" t="n">
        <f aca="false">IF(OR(計算過程!$B$20="",計算過程!$B$70=""),"",IF(計算過程!$B$21="交付日",EDATE(計算過程!$B$70,VALUE(計算過程!$B$20)),IF(計算過程!$B$21="事由日",IF(申込シミュレーション!$C$13="","",EDATE(申込シミュレーション!$C$13,VALUE(計算過程!$B$20))),IF(計算過程!$B$21="入学",IF(申込シミュレーション!$C$13="","",IF(申込シミュレーション!$C$10&gt;申込シミュレーション!$C$13,EDATE(計算過程!$B$70,VALUE(計算過程!$B$20)),EDATE(申込シミュレーション!$C$13,VALUE(計算過程!$B$20)))),""))))</f>
        <v>46417</v>
      </c>
      <c r="C74" s="61" t="s">
        <v>458</v>
      </c>
    </row>
    <row r="75" customFormat="false" ht="15" hidden="false" customHeight="false" outlineLevel="0" collapsed="false">
      <c r="A75" s="63" t="s">
        <v>459</v>
      </c>
      <c r="B75" s="87" t="n">
        <f aca="false">IF(計算過程!$B$5="住宅貸付",計算過程!$B$13,IF(計算過程!$B$23=1,IFERROR(MATCH(申込シミュレーション!$C$24,マスタ!$B$53:$H$53,0),0),0))</f>
        <v>0</v>
      </c>
      <c r="C75" s="61" t="s">
        <v>460</v>
      </c>
    </row>
    <row r="76" customFormat="false" ht="15" hidden="false" customHeight="false" outlineLevel="0" collapsed="false">
      <c r="A76" s="76" t="s">
        <v>461</v>
      </c>
      <c r="B76" s="88" t="n">
        <f aca="false">IF(申込シミュレーション!$C$9="",0,1)</f>
        <v>1</v>
      </c>
      <c r="C76" s="61"/>
    </row>
    <row r="77" customFormat="false" ht="15" hidden="false" customHeight="false" outlineLevel="0" collapsed="false">
      <c r="A77" s="63"/>
      <c r="B77" s="88" t="str">
        <f aca="false">IF(計算過程!$B$76=1,"貸付区分:"&amp;申込シミュレーション!$C$9,"貸付区分を選択してください")</f>
        <v>貸付区分:普通貸付:自動車購入</v>
      </c>
      <c r="C77" s="61"/>
    </row>
    <row r="78" customFormat="false" ht="15" hidden="false" customHeight="false" outlineLevel="0" collapsed="false">
      <c r="A78" s="76" t="s">
        <v>462</v>
      </c>
      <c r="B78" s="88" t="n">
        <f aca="false">IF(N(申込シミュレーション!$C$12)&gt;0,1,0)</f>
        <v>1</v>
      </c>
      <c r="C78" s="61"/>
    </row>
    <row r="79" customFormat="false" ht="15" hidden="false" customHeight="false" outlineLevel="0" collapsed="false">
      <c r="A79" s="63"/>
      <c r="B79" s="88" t="str">
        <f aca="false">IF(計算過程!$B$78=1,"給料月額(手当等を含まない・部分休業等による減額後)","給料月額を入力してください")</f>
        <v>給料月額(手当等を含まない・部分休業等による減額後)</v>
      </c>
      <c r="C79" s="61"/>
    </row>
    <row r="80" customFormat="false" ht="15" hidden="false" customHeight="false" outlineLevel="0" collapsed="false">
      <c r="A80" s="76" t="s">
        <v>463</v>
      </c>
      <c r="B80" s="88" t="n">
        <f aca="false">IF(OR(申込シミュレーション!$C$11="",申込シミュレーション!$C$10=""),2,IF(計算過程!$B$5="住宅貸付",IF(計算過程!$B$26&gt;=マスタ!$B$17,1,0),1))</f>
        <v>1</v>
      </c>
      <c r="C80" s="61"/>
    </row>
    <row r="81" customFormat="false" ht="15" hidden="false" customHeight="false" outlineLevel="0" collapsed="false">
      <c r="A81" s="63"/>
      <c r="B81" s="88" t="str">
        <f aca="false">IF(計算過程!$B$80=2,"資格取得日・申込予定日を入力してください",IF(計算過程!$B$5="住宅貸付","住宅貸付は組合員期間1年以上が必要(現在"&amp;計算過程!$B$27&amp;")","組合員資格取得日から借受可(現在"&amp;計算過程!$B$27&amp;")"))</f>
        <v>組合員資格取得日から借受可(現在14年7か月)</v>
      </c>
      <c r="C81" s="61"/>
    </row>
    <row r="82" customFormat="false" ht="15" hidden="false" customHeight="false" outlineLevel="0" collapsed="false">
      <c r="A82" s="76" t="s">
        <v>464</v>
      </c>
      <c r="B82" s="88" t="n">
        <f aca="false">IF(申込シミュレーション!$C$14="無",1,IF(申込シミュレーション!$C$14="有",0,2))</f>
        <v>1</v>
      </c>
      <c r="C82" s="61"/>
    </row>
    <row r="83" customFormat="false" ht="15" hidden="false" customHeight="false" outlineLevel="0" collapsed="false">
      <c r="A83" s="63"/>
      <c r="B83" s="88" t="str">
        <f aca="false">IF(計算過程!$B$82=1,"貸付制限に該当しない",IF(計算過程!$B$82=0,"給与の差押さえ等がある場合は貸付不可","有・無を選択してください"))</f>
        <v>貸付制限に該当しない</v>
      </c>
      <c r="C83" s="61"/>
    </row>
    <row r="84" customFormat="false" ht="15" hidden="false" customHeight="false" outlineLevel="0" collapsed="false">
      <c r="A84" s="76" t="s">
        <v>465</v>
      </c>
      <c r="B84" s="88" t="n">
        <f aca="false">IF(申込シミュレーション!$C$15="無",1,IF(申込シミュレーション!$C$15="有",0,2))</f>
        <v>1</v>
      </c>
      <c r="C84" s="61"/>
    </row>
    <row r="85" customFormat="false" ht="15" hidden="false" customHeight="false" outlineLevel="0" collapsed="false">
      <c r="A85" s="63"/>
      <c r="B85" s="88" t="str">
        <f aca="false">IF(計算過程!$B$84=1,"無給休職でない(育児休業は除く)",IF(計算過程!$B$84=0,"無給休職の場合は貸付不可(育児休業を除く)","有・無を選択してください"))</f>
        <v>無給休職でない(育児休業は除く)</v>
      </c>
      <c r="C85" s="61"/>
    </row>
    <row r="86" customFormat="false" ht="15" hidden="false" customHeight="false" outlineLevel="0" collapsed="false">
      <c r="A86" s="76" t="s">
        <v>466</v>
      </c>
      <c r="B86" s="88" t="n">
        <f aca="false">IF(AND(計算過程!$B$17="",計算過程!$B$18=""),3,IF(OR(申込シミュレーション!$C$13="",申込シミュレーション!$C$10=""),2,IF(AND(申込シミュレーション!$C$10&gt;=IF(計算過程!$B$17="",0,EDATE(申込シミュレーション!$C$13,-VALUE(計算過程!$B$17))),申込シミュレーション!$C$10&lt;=IF(計算過程!$B$18="",99999,EDATE(申込シミュレーション!$C$13,VALUE(計算過程!$B$18)))),1,0)))</f>
        <v>3</v>
      </c>
      <c r="C86" s="61"/>
    </row>
    <row r="87" customFormat="false" ht="15" hidden="false" customHeight="false" outlineLevel="0" collapsed="false">
      <c r="A87" s="63"/>
      <c r="B87" s="88" t="str">
        <f aca="false">IF(計算過程!$B$86=3,"申込時期:"&amp;計算過程!$B$15,IF(計算過程!$B$86=2,"「"&amp;計算過程!$B$16&amp;"」を入力すると判定します("&amp;計算過程!$B$15&amp;")","申込時期:"&amp;計算過程!$B$15))</f>
        <v>申込時期:自動車登録(名義変更)前で代金支払前</v>
      </c>
      <c r="C87" s="61"/>
    </row>
    <row r="88" customFormat="false" ht="15" hidden="false" customHeight="false" outlineLevel="0" collapsed="false">
      <c r="A88" s="76" t="s">
        <v>467</v>
      </c>
      <c r="B88" s="88" t="n">
        <f aca="false">IF(計算過程!$B$6="修学",IF(N(申込シミュレーション!$C$16)&gt;0,1,0),3)</f>
        <v>3</v>
      </c>
      <c r="C88" s="61"/>
    </row>
    <row r="89" customFormat="false" ht="15" hidden="false" customHeight="false" outlineLevel="0" collapsed="false">
      <c r="A89" s="63"/>
      <c r="B89" s="88" t="str">
        <f aca="false">IF(計算過程!$B$88=0,"修学貸付は修学月数(学年単位・修業年限以内)を入力してください",IF(計算過程!$B$88=3,"修学貸付のみ対象","1か月につき"&amp;マスタ!$B$18&amp;"万円×修学月数"))</f>
        <v>修学貸付のみ対象</v>
      </c>
      <c r="C89" s="61"/>
    </row>
    <row r="90" customFormat="false" ht="15" hidden="false" customHeight="false" outlineLevel="0" collapsed="false">
      <c r="A90" s="76" t="s">
        <v>468</v>
      </c>
      <c r="B90" s="88" t="n">
        <f aca="false">IF(計算過程!$B$46&lt;=0,0,IF(AND(計算過程!$B$46&gt;=計算過程!$B$37,MOD(ROUND(計算過程!$B$46,0),計算過程!$B$36)=0),1,0))</f>
        <v>1</v>
      </c>
      <c r="C90" s="61"/>
    </row>
    <row r="91" customFormat="false" ht="15" hidden="false" customHeight="false" outlineLevel="0" collapsed="false">
      <c r="A91" s="63"/>
      <c r="B91" s="88" t="str">
        <f aca="false">"申込金額は"&amp;マスタ!$B$10&amp;"万円以上・"&amp;計算過程!$B$9&amp;"万円単位(試算額:"&amp;TEXT(計算過程!$B$46,"#,##0")&amp;"円)"</f>
        <v>申込金額は10万円以上・1万円単位(試算額:1,500,000円)</v>
      </c>
      <c r="C91" s="61"/>
    </row>
    <row r="92" customFormat="false" ht="15" hidden="false" customHeight="false" outlineLevel="0" collapsed="false">
      <c r="A92" s="76" t="s">
        <v>469</v>
      </c>
      <c r="B92" s="88" t="n">
        <f aca="false">IF(計算過程!$B$46&lt;=0,0,IF(計算過程!$B$48&lt;=計算過程!$B$33,1,0))</f>
        <v>1</v>
      </c>
      <c r="C92" s="61"/>
    </row>
    <row r="93" customFormat="false" ht="15" hidden="false" customHeight="false" outlineLevel="0" collapsed="false">
      <c r="A93" s="63"/>
      <c r="B93" s="88" t="str">
        <f aca="false">"貸付限度額 "&amp;TEXT(計算過程!$B$35,"#,##0")&amp;"円(うち在宅介護加算 "&amp;TEXT(計算過程!$B$34,"#,##0")&amp;"円)"</f>
        <v>貸付限度額 1,740,000円(うち在宅介護加算 0円)</v>
      </c>
      <c r="C93" s="61"/>
    </row>
    <row r="94" customFormat="false" ht="15" hidden="false" customHeight="false" outlineLevel="0" collapsed="false">
      <c r="A94" s="76" t="s">
        <v>470</v>
      </c>
      <c r="B94" s="88" t="n">
        <f aca="false">IF(計算過程!$B$51&lt;1,0,IF(計算過程!$B$51&lt;=計算過程!$B$10,1,0))</f>
        <v>1</v>
      </c>
      <c r="C94" s="61"/>
    </row>
    <row r="95" customFormat="false" ht="15" hidden="false" customHeight="false" outlineLevel="0" collapsed="false">
      <c r="A95" s="63"/>
      <c r="B95" s="88" t="str">
        <f aca="false">"償還回数 "&amp;計算過程!$B$51&amp;"回(上限"&amp;計算過程!$B$10&amp;"回)"</f>
        <v>償還回数 60回(上限120回)</v>
      </c>
      <c r="C95" s="61"/>
    </row>
    <row r="96" customFormat="false" ht="15" hidden="false" customHeight="false" outlineLevel="0" collapsed="false">
      <c r="A96" s="76" t="s">
        <v>471</v>
      </c>
      <c r="B96" s="88" t="n">
        <f aca="false">IF(計算過程!$B$63&lt;=マスタ!$B$8+0.0000001,1,0)</f>
        <v>1</v>
      </c>
      <c r="C96" s="61"/>
    </row>
    <row r="97" customFormat="false" ht="15" hidden="false" customHeight="false" outlineLevel="0" collapsed="false">
      <c r="A97" s="63"/>
      <c r="B97" s="88" t="str">
        <f aca="false">"毎月償還額÷給料月額="&amp;TEXT(計算過程!$B$63,"0.0%")&amp;"(上限"&amp;TEXT(マスタ!$B$8,"0%")&amp;"・他の金融機関等を含む)"</f>
        <v>毎月償還額÷給料月額=19.2%(上限30%・他の金融機関等を含む)</v>
      </c>
      <c r="C97" s="61"/>
    </row>
    <row r="98" customFormat="false" ht="15" hidden="false" customHeight="false" outlineLevel="0" collapsed="false">
      <c r="A98" s="76" t="s">
        <v>472</v>
      </c>
      <c r="B98" s="88" t="n">
        <f aca="false">IF(計算過程!$B$66&lt;=マスタ!$B$8+0.0000001,1,0)</f>
        <v>1</v>
      </c>
      <c r="C98" s="61"/>
    </row>
    <row r="99" customFormat="false" ht="15" hidden="false" customHeight="false" outlineLevel="0" collapsed="false">
      <c r="A99" s="63"/>
      <c r="B99" s="88" t="str">
        <f aca="false">"年間償還額÷年収額="&amp;TEXT(計算過程!$B$66,"0.0%")&amp;"(上限"&amp;TEXT(マスタ!$B$8,"0%")&amp;"・他の金融機関等を含む)"</f>
        <v>年間償還額÷年収額=14.4%(上限30%・他の金融機関等を含む)</v>
      </c>
      <c r="C99" s="61"/>
    </row>
    <row r="100" customFormat="false" ht="15" hidden="false" customHeight="false" outlineLevel="0" collapsed="false">
      <c r="A100" s="76" t="s">
        <v>473</v>
      </c>
      <c r="B100" s="88" t="n">
        <f aca="false">IF(申込シミュレーション!$C$20&lt;&gt;"有",3,IF(AND(計算過程!$B$23=1,計算過程!$B$46&gt;=マスタ!$B$12*10000,計算過程!$B$49&gt;=マスタ!$B$13*10000,計算過程!$B$49&lt;=計算過程!$B$46*マスタ!$B$14,MOD(ROUND(計算過程!$B$49,0),マスタ!$B$15*10000)=0,計算過程!$B$50&gt;=1,計算過程!$B$50&lt;=マスタ!$B$16,計算過程!$B$50*6&lt;=計算過程!$B$51,計算過程!$B$57&lt;=申込シミュレーション!$C$12),1,0))</f>
        <v>3</v>
      </c>
      <c r="C100" s="61"/>
    </row>
    <row r="101" customFormat="false" ht="15" hidden="false" customHeight="false" outlineLevel="0" collapsed="false">
      <c r="A101" s="63"/>
      <c r="B101" s="88" t="str">
        <f aca="false">IF(計算過程!$B$100=3,"ボーナス併用なし","住宅系で申込300万円以上、ボーナス分100万円以上かつ1/2以内・5万円単位、60回以内、期間は毎月償還以内、1回の額は給料月額以内")</f>
        <v>ボーナス併用なし</v>
      </c>
      <c r="C101" s="61"/>
    </row>
    <row r="102" customFormat="false" ht="15" hidden="false" customHeight="false" outlineLevel="0" collapsed="false">
      <c r="A102" s="76" t="s">
        <v>474</v>
      </c>
      <c r="B102" s="88" t="n">
        <f aca="false">IF(AND(計算過程!$B$5="災害貸付",計算過程!$B$23=1),IF(計算過程!$B$75&gt;0,1,2),3)</f>
        <v>3</v>
      </c>
      <c r="C102" s="61"/>
    </row>
    <row r="103" customFormat="false" ht="15" hidden="false" customHeight="false" outlineLevel="0" collapsed="false">
      <c r="A103" s="63"/>
      <c r="B103" s="88" t="str">
        <f aca="false">IF(計算過程!$B$102=2,"『住宅書類の区分』を選択すると必要書類を判定できます","住宅書類の区分を選択済み/対象外")</f>
        <v>住宅書類の区分を選択済み/対象外</v>
      </c>
      <c r="C103" s="61"/>
    </row>
    <row r="104" customFormat="false" ht="15" hidden="false" customHeight="false" outlineLevel="0" collapsed="false">
      <c r="A104" s="76" t="s">
        <v>475</v>
      </c>
      <c r="B104" s="88" t="n">
        <f aca="false">IF(N(申込シミュレーション!$C$23)&gt;0,IF(計算過程!$B$23=1,2,0),3)</f>
        <v>3</v>
      </c>
      <c r="C104" s="61"/>
    </row>
    <row r="105" customFormat="false" ht="15" hidden="false" customHeight="false" outlineLevel="0" collapsed="false">
      <c r="A105" s="63"/>
      <c r="B105" s="88" t="str">
        <f aca="false">IF(計算過程!$B$104=0,"在宅介護対応の加算は住宅系の貸付のみ",IF(計算過程!$B$104=2,"加算は300万円まで。要件は共済組合へ確認してください","在宅介護対応の加算なし"))</f>
        <v>在宅介護対応の加算なし</v>
      </c>
      <c r="C105" s="61"/>
    </row>
    <row r="106" customFormat="false" ht="15" hidden="false" customHeight="false" outlineLevel="0" collapsed="false">
      <c r="A106" s="76" t="s">
        <v>476</v>
      </c>
      <c r="B106" s="87" t="n">
        <f aca="false">IF(計算過程!$B$76=0,1,0)+IF(計算過程!$B$78=0,1,0)+IF(計算過程!$B$80=0,1,0)+IF(計算過程!$B$82=0,1,0)+IF(計算過程!$B$84=0,1,0)+IF(計算過程!$B$86=0,1,0)+IF(計算過程!$B$88=0,1,0)+IF(計算過程!$B$90=0,1,0)+IF(計算過程!$B$92=0,1,0)+IF(計算過程!$B$94=0,1,0)+IF(計算過程!$B$96=0,1,0)+IF(計算過程!$B$98=0,1,0)+IF(計算過程!$B$100=0,1,0)+IF(計算過程!$B$102=0,1,0)+IF(計算過程!$B$104=0,1,0)</f>
        <v>0</v>
      </c>
      <c r="C106" s="61"/>
    </row>
    <row r="107" customFormat="false" ht="15" hidden="false" customHeight="false" outlineLevel="0" collapsed="false">
      <c r="A107" s="63" t="s">
        <v>477</v>
      </c>
      <c r="B107" s="87" t="n">
        <f aca="false">IF(計算過程!$B$76=2,1,0)+IF(計算過程!$B$78=2,1,0)+IF(計算過程!$B$80=2,1,0)+IF(計算過程!$B$82=2,1,0)+IF(計算過程!$B$84=2,1,0)+IF(計算過程!$B$86=2,1,0)+IF(計算過程!$B$88=2,1,0)+IF(計算過程!$B$90=2,1,0)+IF(計算過程!$B$92=2,1,0)+IF(計算過程!$B$94=2,1,0)+IF(計算過程!$B$96=2,1,0)+IF(計算過程!$B$98=2,1,0)+IF(計算過程!$B$100=2,1,0)+IF(計算過程!$B$102=2,1,0)+IF(計算過程!$B$104=2,1,0)</f>
        <v>0</v>
      </c>
      <c r="C107" s="61"/>
    </row>
    <row r="108" customFormat="false" ht="15" hidden="false" customHeight="false" outlineLevel="0" collapsed="false">
      <c r="A108" s="63" t="s">
        <v>41</v>
      </c>
      <c r="B108" s="88" t="str">
        <f aca="false">IF(計算過程!$B$106&gt;0,"申込不可(×の項目を見直してください)",IF(計算過程!$B$107&gt;0,"申込可能(△の確認事項あり)","申込可能"))</f>
        <v>申込可能</v>
      </c>
      <c r="C108" s="61"/>
    </row>
    <row r="110" customFormat="false" ht="15" hidden="false" customHeight="false" outlineLevel="0" collapsed="false">
      <c r="A110" s="50" t="s">
        <v>478</v>
      </c>
      <c r="B110" s="50" t="s">
        <v>479</v>
      </c>
      <c r="C110" s="50" t="s">
        <v>480</v>
      </c>
    </row>
    <row r="111" customFormat="false" ht="15" hidden="false" customHeight="false" outlineLevel="0" collapsed="false">
      <c r="A111" s="36" t="str">
        <f aca="false">IF(計算過程!$B$23=1,マスタ!$B$76,マスタ!$A$76)</f>
        <v>貸付申込書</v>
      </c>
      <c r="B111" s="63" t="n">
        <f aca="false">1</f>
        <v>1</v>
      </c>
      <c r="C111" s="63" t="n">
        <f aca="false">IF(B111=1,SUM($B$111:B111),"")</f>
        <v>1</v>
      </c>
    </row>
    <row r="112" customFormat="false" ht="15" hidden="false" customHeight="false" outlineLevel="0" collapsed="false">
      <c r="A112" s="36" t="str">
        <f aca="false">IF(計算過程!$B$23=1,マスタ!$B$77,マスタ!$A$77)</f>
        <v>貸付金借用証書(様式第4号・共済組合で配布)</v>
      </c>
      <c r="B112" s="63" t="n">
        <f aca="false">1</f>
        <v>1</v>
      </c>
      <c r="C112" s="63" t="n">
        <f aca="false">IF(B112=1,SUM($B$111:B112),"")</f>
        <v>2</v>
      </c>
    </row>
    <row r="113" customFormat="false" ht="26.85" hidden="false" customHeight="false" outlineLevel="0" collapsed="false">
      <c r="A113" s="36" t="str">
        <f aca="false">IF(計算過程!$B$23=1,マスタ!$B$78,マスタ!$A$78)</f>
        <v>印鑑登録証明書(貸付金交付日前3か月以内に発行されたもの)</v>
      </c>
      <c r="B113" s="63" t="n">
        <f aca="false">1</f>
        <v>1</v>
      </c>
      <c r="C113" s="63" t="n">
        <f aca="false">IF(B113=1,SUM($B$111:B113),"")</f>
        <v>3</v>
      </c>
    </row>
    <row r="114" customFormat="false" ht="15" hidden="false" customHeight="false" outlineLevel="0" collapsed="false">
      <c r="A114" s="36" t="str">
        <f aca="false">IF(計算過程!$B$23=1,マスタ!$B$79,マスタ!$A$79)</f>
        <v>給与支払明細書(直近のもの)</v>
      </c>
      <c r="B114" s="63" t="n">
        <f aca="false">1</f>
        <v>1</v>
      </c>
      <c r="C114" s="63" t="n">
        <f aca="false">IF(B114=1,SUM($B$111:B114),"")</f>
        <v>4</v>
      </c>
    </row>
    <row r="115" customFormat="false" ht="15" hidden="false" customHeight="false" outlineLevel="0" collapsed="false">
      <c r="A115" s="36" t="str">
        <f aca="false">IF(計算過程!$B$23=1,マスタ!$B$80,マスタ!$A$80)</f>
        <v>借入状況等申告書</v>
      </c>
      <c r="B115" s="63" t="n">
        <f aca="false">1</f>
        <v>1</v>
      </c>
      <c r="C115" s="63" t="n">
        <f aca="false">IF(B115=1,SUM($B$111:B115),"")</f>
        <v>5</v>
      </c>
    </row>
    <row r="116" customFormat="false" ht="15" hidden="false" customHeight="false" outlineLevel="0" collapsed="false">
      <c r="A116" s="36" t="str">
        <f aca="false">"【事由別】"&amp;計算過程!$B$14</f>
        <v>【事由別】注文書(写)又は発注書(写)(見積書は不可)</v>
      </c>
      <c r="B116" s="63" t="n">
        <f aca="false">IF(計算過程!$B$5="住宅貸付",0,IF(計算過程!$B$14="",0,1))</f>
        <v>1</v>
      </c>
      <c r="C116" s="63" t="n">
        <f aca="false">IF(B116=1,SUM($B$111:B116),"")</f>
        <v>6</v>
      </c>
    </row>
    <row r="117" customFormat="false" ht="26.85" hidden="false" customHeight="false" outlineLevel="0" collapsed="false">
      <c r="A117" s="36" t="str">
        <f aca="false">マスタ!$A$54&amp;IF(LEN(IF(計算過程!$B$75=0,"",INDEX(マスタ!$B$54:$H$54,計算過程!$B$75)&amp;""))&gt;1," "&amp;MID(IF(計算過程!$B$75=0,"",INDEX(マスタ!$B$54:$H$54,計算過程!$B$75)&amp;""),2,99),"")</f>
        <v>土地の登記事項証明書(登記簿謄本)※交付日前3か月以内に発行されたもの・コピー不可</v>
      </c>
      <c r="B117" s="63" t="n">
        <f aca="false">IF(計算過程!$B$75=0,0,IF(IF(計算過程!$B$75=0,"",INDEX(マスタ!$B$54:$H$54,計算過程!$B$75)&amp;"")="",0,1))</f>
        <v>0</v>
      </c>
      <c r="C117" s="63" t="str">
        <f aca="false">IF(B117=1,SUM($B$111:B117),"")</f>
        <v/>
      </c>
    </row>
    <row r="118" customFormat="false" ht="26.85" hidden="false" customHeight="false" outlineLevel="0" collapsed="false">
      <c r="A118" s="36" t="str">
        <f aca="false">マスタ!$A$55&amp;IF(LEN(IF(計算過程!$B$75=0,"",INDEX(マスタ!$B$55:$H$55,計算過程!$B$75)&amp;""))&gt;1," "&amp;MID(IF(計算過程!$B$75=0,"",INDEX(マスタ!$B$55:$H$55,計算過程!$B$75)&amp;""),2,99),"")</f>
        <v>【土地が農地の場合】転用許可書(写)又は転用受理書(写)</v>
      </c>
      <c r="B118" s="63" t="n">
        <f aca="false">IF(計算過程!$B$75=0,0,IF(IF(計算過程!$B$75=0,"",INDEX(マスタ!$B$55:$H$55,計算過程!$B$75)&amp;"")="",0,1))</f>
        <v>0</v>
      </c>
      <c r="C118" s="63" t="str">
        <f aca="false">IF(B118=1,SUM($B$111:B118),"")</f>
        <v/>
      </c>
    </row>
    <row r="119" customFormat="false" ht="26.85" hidden="false" customHeight="false" outlineLevel="0" collapsed="false">
      <c r="A119" s="36" t="str">
        <f aca="false">マスタ!$A$56&amp;IF(LEN(IF(計算過程!$B$75=0,"",INDEX(マスタ!$B$56:$H$56,計算過程!$B$75)&amp;""))&gt;1," "&amp;MID(IF(計算過程!$B$75=0,"",INDEX(マスタ!$B$56:$H$56,計算過程!$B$75)&amp;""),2,99),"")</f>
        <v>【土地建物が共有又は他の者の名義になっている場合】同意書</v>
      </c>
      <c r="B119" s="63" t="n">
        <f aca="false">IF(計算過程!$B$75=0,0,IF(IF(計算過程!$B$75=0,"",INDEX(マスタ!$B$56:$H$56,計算過程!$B$75)&amp;"")="",0,1))</f>
        <v>0</v>
      </c>
      <c r="C119" s="63" t="str">
        <f aca="false">IF(B119=1,SUM($B$111:B119),"")</f>
        <v/>
      </c>
    </row>
    <row r="120" customFormat="false" ht="15" hidden="false" customHeight="false" outlineLevel="0" collapsed="false">
      <c r="A120" s="36" t="str">
        <f aca="false">マスタ!$A$57&amp;IF(LEN(IF(計算過程!$B$75=0,"",INDEX(マスタ!$B$57:$H$57,計算過程!$B$75)&amp;""))&gt;1," "&amp;MID(IF(計算過程!$B$75=0,"",INDEX(マスタ!$B$57:$H$57,計算過程!$B$75)&amp;""),2,99),"")</f>
        <v>工事見積書</v>
      </c>
      <c r="B120" s="63" t="n">
        <f aca="false">IF(計算過程!$B$75=0,0,IF(IF(計算過程!$B$75=0,"",INDEX(マスタ!$B$57:$H$57,計算過程!$B$75)&amp;"")="",0,1))</f>
        <v>0</v>
      </c>
      <c r="C120" s="63" t="str">
        <f aca="false">IF(B120=1,SUM($B$111:B120),"")</f>
        <v/>
      </c>
    </row>
    <row r="121" customFormat="false" ht="15" hidden="false" customHeight="false" outlineLevel="0" collapsed="false">
      <c r="A121" s="36" t="str">
        <f aca="false">マスタ!$A$58&amp;IF(LEN(IF(計算過程!$B$75=0,"",INDEX(マスタ!$B$58:$H$58,計算過程!$B$75)&amp;""))&gt;1," "&amp;MID(IF(計算過程!$B$75=0,"",INDEX(マスタ!$B$58:$H$58,計算過程!$B$75)&amp;""),2,99),"")</f>
        <v>平面図</v>
      </c>
      <c r="B121" s="63" t="n">
        <f aca="false">IF(計算過程!$B$75=0,0,IF(IF(計算過程!$B$75=0,"",INDEX(マスタ!$B$58:$H$58,計算過程!$B$75)&amp;"")="",0,1))</f>
        <v>0</v>
      </c>
      <c r="C121" s="63" t="str">
        <f aca="false">IF(B121=1,SUM($B$111:B121),"")</f>
        <v/>
      </c>
    </row>
    <row r="122" customFormat="false" ht="26.85" hidden="false" customHeight="false" outlineLevel="0" collapsed="false">
      <c r="A122" s="36" t="str">
        <f aca="false">マスタ!$A$59&amp;IF(LEN(IF(計算過程!$B$75=0,"",INDEX(マスタ!$B$59:$H$59,計算過程!$B$75)&amp;""))&gt;1," "&amp;MID(IF(計算過程!$B$75=0,"",INDEX(マスタ!$B$59:$H$59,計算過程!$B$75)&amp;""),2,99),"")</f>
        <v>建物の登記事項証明書(登記簿謄本)※交付日前3か月以内に発行されたもの・コピー不可</v>
      </c>
      <c r="B122" s="63" t="n">
        <f aca="false">IF(計算過程!$B$75=0,0,IF(IF(計算過程!$B$75=0,"",INDEX(マスタ!$B$59:$H$59,計算過程!$B$75)&amp;"")="",0,1))</f>
        <v>0</v>
      </c>
      <c r="C122" s="63" t="str">
        <f aca="false">IF(B122=1,SUM($B$111:B122),"")</f>
        <v/>
      </c>
    </row>
    <row r="123" customFormat="false" ht="15" hidden="false" customHeight="false" outlineLevel="0" collapsed="false">
      <c r="A123" s="36" t="str">
        <f aca="false">マスタ!$A$60&amp;IF(LEN(IF(計算過程!$B$75=0,"",INDEX(マスタ!$B$60:$H$60,計算過程!$B$75)&amp;""))&gt;1," "&amp;MID(IF(計算過程!$B$75=0,"",INDEX(マスタ!$B$60:$H$60,計算過程!$B$75)&amp;""),2,99),"")</f>
        <v>建築確認済証(写)</v>
      </c>
      <c r="B123" s="63" t="n">
        <f aca="false">IF(計算過程!$B$75=0,0,IF(IF(計算過程!$B$75=0,"",INDEX(マスタ!$B$60:$H$60,計算過程!$B$75)&amp;"")="",0,1))</f>
        <v>0</v>
      </c>
      <c r="C123" s="63" t="str">
        <f aca="false">IF(B123=1,SUM($B$111:B123),"")</f>
        <v/>
      </c>
    </row>
    <row r="124" customFormat="false" ht="15" hidden="false" customHeight="false" outlineLevel="0" collapsed="false">
      <c r="A124" s="36" t="str">
        <f aca="false">マスタ!$A$61&amp;IF(LEN(IF(計算過程!$B$75=0,"",INDEX(マスタ!$B$61:$H$61,計算過程!$B$75)&amp;""))&gt;1," "&amp;MID(IF(計算過程!$B$75=0,"",INDEX(マスタ!$B$61:$H$61,計算過程!$B$75)&amp;""),2,99),"")</f>
        <v>売買契約書(写)</v>
      </c>
      <c r="B124" s="63" t="n">
        <f aca="false">IF(計算過程!$B$75=0,0,IF(IF(計算過程!$B$75=0,"",INDEX(マスタ!$B$61:$H$61,計算過程!$B$75)&amp;"")="",0,1))</f>
        <v>0</v>
      </c>
      <c r="C124" s="63" t="str">
        <f aca="false">IF(B124=1,SUM($B$111:B124),"")</f>
        <v/>
      </c>
    </row>
    <row r="125" customFormat="false" ht="15" hidden="false" customHeight="false" outlineLevel="0" collapsed="false">
      <c r="A125" s="36" t="str">
        <f aca="false">マスタ!$A$62&amp;IF(LEN(IF(計算過程!$B$75=0,"",INDEX(マスタ!$B$62:$H$62,計算過程!$B$75)&amp;""))&gt;1," "&amp;MID(IF(計算過程!$B$75=0,"",INDEX(マスタ!$B$62:$H$62,計算過程!$B$75)&amp;""),2,99),"")</f>
        <v>対象物件の周辺地図</v>
      </c>
      <c r="B125" s="63" t="n">
        <f aca="false">IF(計算過程!$B$75=0,0,IF(IF(計算過程!$B$75=0,"",INDEX(マスタ!$B$62:$H$62,計算過程!$B$75)&amp;"")="",0,1))</f>
        <v>0</v>
      </c>
      <c r="C125" s="63" t="str">
        <f aca="false">IF(B125=1,SUM($B$111:B125),"")</f>
        <v/>
      </c>
    </row>
    <row r="127" customFormat="false" ht="15" hidden="false" customHeight="false" outlineLevel="0" collapsed="false">
      <c r="A127" s="50" t="s">
        <v>481</v>
      </c>
    </row>
    <row r="128" customFormat="false" ht="15" hidden="false" customHeight="false" outlineLevel="0" collapsed="false">
      <c r="A128" s="36" t="str">
        <f aca="false">IFERROR(INDEX($A$111:$A$125,MATCH(1,$C$111:$C$125,0)),"")</f>
        <v>貸付申込書</v>
      </c>
    </row>
    <row r="129" customFormat="false" ht="15" hidden="false" customHeight="false" outlineLevel="0" collapsed="false">
      <c r="A129" s="36" t="str">
        <f aca="false">IFERROR(INDEX($A$111:$A$125,MATCH(2,$C$111:$C$125,0)),"")</f>
        <v>貸付金借用証書(様式第4号・共済組合で配布)</v>
      </c>
    </row>
    <row r="130" customFormat="false" ht="26.85" hidden="false" customHeight="false" outlineLevel="0" collapsed="false">
      <c r="A130" s="36" t="str">
        <f aca="false">IFERROR(INDEX($A$111:$A$125,MATCH(3,$C$111:$C$125,0)),"")</f>
        <v>印鑑登録証明書(貸付金交付日前3か月以内に発行されたもの)</v>
      </c>
    </row>
    <row r="131" customFormat="false" ht="15" hidden="false" customHeight="false" outlineLevel="0" collapsed="false">
      <c r="A131" s="36" t="str">
        <f aca="false">IFERROR(INDEX($A$111:$A$125,MATCH(4,$C$111:$C$125,0)),"")</f>
        <v>給与支払明細書(直近のもの)</v>
      </c>
    </row>
    <row r="132" customFormat="false" ht="15" hidden="false" customHeight="false" outlineLevel="0" collapsed="false">
      <c r="A132" s="36" t="str">
        <f aca="false">IFERROR(INDEX($A$111:$A$125,MATCH(5,$C$111:$C$125,0)),"")</f>
        <v>借入状況等申告書</v>
      </c>
    </row>
    <row r="133" customFormat="false" ht="15" hidden="false" customHeight="false" outlineLevel="0" collapsed="false">
      <c r="A133" s="36" t="str">
        <f aca="false">IFERROR(INDEX($A$111:$A$125,MATCH(6,$C$111:$C$125,0)),"")</f>
        <v>【事由別】注文書(写)又は発注書(写)(見積書は不可)</v>
      </c>
    </row>
    <row r="134" customFormat="false" ht="15" hidden="false" customHeight="false" outlineLevel="0" collapsed="false">
      <c r="A134" s="36" t="str">
        <f aca="false">IFERROR(INDEX($A$111:$A$125,MATCH(7,$C$111:$C$125,0)),"")</f>
        <v/>
      </c>
    </row>
    <row r="135" customFormat="false" ht="15" hidden="false" customHeight="false" outlineLevel="0" collapsed="false">
      <c r="A135" s="36" t="str">
        <f aca="false">IFERROR(INDEX($A$111:$A$125,MATCH(8,$C$111:$C$125,0)),"")</f>
        <v/>
      </c>
    </row>
    <row r="136" customFormat="false" ht="15" hidden="false" customHeight="false" outlineLevel="0" collapsed="false">
      <c r="A136" s="36" t="str">
        <f aca="false">IFERROR(INDEX($A$111:$A$125,MATCH(9,$C$111:$C$125,0)),"")</f>
        <v/>
      </c>
    </row>
    <row r="137" customFormat="false" ht="15" hidden="false" customHeight="false" outlineLevel="0" collapsed="false">
      <c r="A137" s="36" t="str">
        <f aca="false">IFERROR(INDEX($A$111:$A$125,MATCH(10,$C$111:$C$125,0)),"")</f>
        <v/>
      </c>
    </row>
    <row r="138" customFormat="false" ht="15" hidden="false" customHeight="false" outlineLevel="0" collapsed="false">
      <c r="A138" s="36" t="str">
        <f aca="false">IFERROR(INDEX($A$111:$A$125,MATCH(11,$C$111:$C$125,0)),"")</f>
        <v/>
      </c>
    </row>
    <row r="139" customFormat="false" ht="15" hidden="false" customHeight="false" outlineLevel="0" collapsed="false">
      <c r="A139" s="36" t="str">
        <f aca="false">IFERROR(INDEX($A$111:$A$125,MATCH(12,$C$111:$C$125,0)),"")</f>
        <v/>
      </c>
    </row>
    <row r="140" customFormat="false" ht="15" hidden="false" customHeight="false" outlineLevel="0" collapsed="false">
      <c r="A140" s="36" t="str">
        <f aca="false">IFERROR(INDEX($A$111:$A$125,MATCH(13,$C$111:$C$125,0)),"")</f>
        <v/>
      </c>
    </row>
    <row r="141" customFormat="false" ht="15" hidden="false" customHeight="false" outlineLevel="0" collapsed="false">
      <c r="A141" s="36" t="str">
        <f aca="false">IFERROR(INDEX($A$111:$A$125,MATCH(14,$C$111:$C$125,0)),"")</f>
        <v/>
      </c>
    </row>
    <row r="142" customFormat="false" ht="15" hidden="false" customHeight="false" outlineLevel="0" collapsed="false">
      <c r="A142" s="36" t="str">
        <f aca="false">IFERROR(INDEX($A$111:$A$125,MATCH(15,$C$111:$C$125,0)),"")</f>
        <v/>
      </c>
    </row>
    <row r="143" customFormat="false" ht="15" hidden="false" customHeight="false" outlineLevel="0" collapsed="false">
      <c r="A143" s="36" t="str">
        <f aca="false">IFERROR(INDEX($A$111:$A$125,MATCH(16,$C$111:$C$125,0)),"")</f>
        <v/>
      </c>
    </row>
    <row r="146" customFormat="false" ht="15" hidden="false" customHeight="false" outlineLevel="0" collapsed="false">
      <c r="A146" s="50" t="s">
        <v>482</v>
      </c>
      <c r="B146" s="50" t="s">
        <v>479</v>
      </c>
      <c r="C146" s="50" t="s">
        <v>480</v>
      </c>
    </row>
    <row r="147" customFormat="false" ht="15" hidden="false" customHeight="false" outlineLevel="0" collapsed="false">
      <c r="A147" s="36" t="str">
        <f aca="false">"完了届(工事又は購入の完了後に提出)"</f>
        <v>完了届(工事又は購入の完了後に提出)</v>
      </c>
      <c r="B147" s="63" t="n">
        <f aca="false">IF(計算過程!$B$75&gt;0,1,0)</f>
        <v>0</v>
      </c>
      <c r="C147" s="63" t="str">
        <f aca="false">IF(B147=1,SUM($B$147:B147),"")</f>
        <v/>
      </c>
    </row>
    <row r="148" customFormat="false" ht="15" hidden="false" customHeight="false" outlineLevel="0" collapsed="false">
      <c r="A148" s="36" t="str">
        <f aca="false">マスタ!$A$67&amp;IF(LEN(IF(計算過程!$B$75=0,"",INDEX(マスタ!$B$67:$H$67,計算過程!$B$75)&amp;""))&gt;1," "&amp;MID(IF(計算過程!$B$75=0,"",INDEX(マスタ!$B$67:$H$67,計算過程!$B$75)&amp;""),2,99),"")</f>
        <v>支払領収書(写)</v>
      </c>
      <c r="B148" s="63" t="n">
        <f aca="false">IF(計算過程!$B$75=0,0,IF(IF(計算過程!$B$75=0,"",INDEX(マスタ!$B$67:$H$67,計算過程!$B$75)&amp;"")="",0,1))</f>
        <v>0</v>
      </c>
      <c r="C148" s="63" t="str">
        <f aca="false">IF(B148=1,SUM($B$147:B148),"")</f>
        <v/>
      </c>
    </row>
    <row r="149" customFormat="false" ht="39.55" hidden="false" customHeight="false" outlineLevel="0" collapsed="false">
      <c r="A149" s="36" t="str">
        <f aca="false">マスタ!$A$68&amp;IF(LEN(IF(計算過程!$B$75=0,"",INDEX(マスタ!$B$68:$H$68,計算過程!$B$75)&amp;""))&gt;1," "&amp;MID(IF(計算過程!$B$75=0,"",INDEX(マスタ!$B$68:$H$68,計算過程!$B$75)&amp;""),2,99),"")</f>
        <v>土地の登記事項証明書(登記簿謄本)※提出日前3か月以内・コピー不可(所有権保存登記後又は所有権移転登記後のもの)</v>
      </c>
      <c r="B149" s="63" t="n">
        <f aca="false">IF(計算過程!$B$75=0,0,IF(IF(計算過程!$B$75=0,"",INDEX(マスタ!$B$68:$H$68,計算過程!$B$75)&amp;"")="",0,1))</f>
        <v>0</v>
      </c>
      <c r="C149" s="63" t="str">
        <f aca="false">IF(B149=1,SUM($B$147:B149),"")</f>
        <v/>
      </c>
    </row>
    <row r="150" customFormat="false" ht="39.55" hidden="false" customHeight="false" outlineLevel="0" collapsed="false">
      <c r="A150" s="36" t="str">
        <f aca="false">マスタ!$A$69&amp;IF(LEN(IF(計算過程!$B$75=0,"",INDEX(マスタ!$B$69:$H$69,計算過程!$B$75)&amp;""))&gt;1," "&amp;MID(IF(計算過程!$B$75=0,"",INDEX(マスタ!$B$69:$H$69,計算過程!$B$75)&amp;""),2,99),"")</f>
        <v>建物の登記事項証明書(登記簿謄本)※提出日前3か月以内・コピー不可(所有権保存登記後又は所有権移転登記後のもの)</v>
      </c>
      <c r="B150" s="63" t="n">
        <f aca="false">IF(計算過程!$B$75=0,0,IF(IF(計算過程!$B$75=0,"",INDEX(マスタ!$B$69:$H$69,計算過程!$B$75)&amp;"")="",0,1))</f>
        <v>0</v>
      </c>
      <c r="C150" s="63" t="str">
        <f aca="false">IF(B150=1,SUM($B$147:B150),"")</f>
        <v/>
      </c>
    </row>
    <row r="151" customFormat="false" ht="26.85" hidden="false" customHeight="false" outlineLevel="0" collapsed="false">
      <c r="A151" s="36" t="str">
        <f aca="false">マスタ!$A$70&amp;IF(LEN(IF(計算過程!$B$75=0,"",INDEX(マスタ!$B$70:$H$70,計算過程!$B$75)&amp;""))&gt;1," "&amp;MID(IF(計算過程!$B$75=0,"",INDEX(マスタ!$B$70:$H$70,計算過程!$B$75)&amp;""),2,99),"")</f>
        <v>住民票※個人番号(マイナンバー)の記載のないもの・提出日前3か月以内・コピー不可</v>
      </c>
      <c r="B151" s="63" t="n">
        <f aca="false">IF(計算過程!$B$75=0,0,IF(IF(計算過程!$B$75=0,"",INDEX(マスタ!$B$70:$H$70,計算過程!$B$75)&amp;"")="",0,1))</f>
        <v>0</v>
      </c>
      <c r="C151" s="63" t="str">
        <f aca="false">IF(B151=1,SUM($B$147:B151),"")</f>
        <v/>
      </c>
    </row>
    <row r="152" customFormat="false" ht="15" hidden="false" customHeight="false" outlineLevel="0" collapsed="false">
      <c r="A152" s="36" t="str">
        <f aca="false">マスタ!$A$71&amp;IF(LEN(IF(計算過程!$B$75=0,"",INDEX(マスタ!$B$71:$H$71,計算過程!$B$75)&amp;""))&gt;1," "&amp;MID(IF(計算過程!$B$75=0,"",INDEX(マスタ!$B$71:$H$71,計算過程!$B$75)&amp;""),2,99),"")</f>
        <v>竣工検査済証(写)</v>
      </c>
      <c r="B152" s="63" t="n">
        <f aca="false">IF(計算過程!$B$75=0,0,IF(IF(計算過程!$B$75=0,"",INDEX(マスタ!$B$71:$H$71,計算過程!$B$75)&amp;"")="",0,1))</f>
        <v>0</v>
      </c>
      <c r="C152" s="63" t="str">
        <f aca="false">IF(B152=1,SUM($B$147:B152),"")</f>
        <v/>
      </c>
    </row>
    <row r="153" customFormat="false" ht="26.85" hidden="false" customHeight="false" outlineLevel="0" collapsed="false">
      <c r="A153" s="36" t="str">
        <f aca="false">計算過程!$B$19</f>
        <v>完了届(自動車検査証(写)及び自動車検査証記録事項(写)を添付)</v>
      </c>
      <c r="B153" s="63" t="n">
        <f aca="false">IF(計算過程!$B$23=1,0,IF(計算過程!$B$19="",0,1))</f>
        <v>1</v>
      </c>
      <c r="C153" s="63" t="n">
        <f aca="false">IF(B153=1,SUM($B$147:B153),"")</f>
        <v>1</v>
      </c>
    </row>
    <row r="155" customFormat="false" ht="15" hidden="false" customHeight="false" outlineLevel="0" collapsed="false">
      <c r="A155" s="50" t="s">
        <v>483</v>
      </c>
    </row>
    <row r="156" customFormat="false" ht="26.85" hidden="false" customHeight="false" outlineLevel="0" collapsed="false">
      <c r="A156" s="36" t="str">
        <f aca="false">IFERROR(INDEX($A$147:$A$153,MATCH(1,$C$147:$C$153,0)),"")</f>
        <v>完了届(自動車検査証(写)及び自動車検査証記録事項(写)を添付)</v>
      </c>
    </row>
    <row r="157" customFormat="false" ht="15" hidden="false" customHeight="false" outlineLevel="0" collapsed="false">
      <c r="A157" s="36" t="str">
        <f aca="false">IFERROR(INDEX($A$147:$A$153,MATCH(2,$C$147:$C$153,0)),"")</f>
        <v/>
      </c>
    </row>
    <row r="158" customFormat="false" ht="15" hidden="false" customHeight="false" outlineLevel="0" collapsed="false">
      <c r="A158" s="36" t="str">
        <f aca="false">IFERROR(INDEX($A$147:$A$153,MATCH(3,$C$147:$C$153,0)),"")</f>
        <v/>
      </c>
    </row>
    <row r="159" customFormat="false" ht="15" hidden="false" customHeight="false" outlineLevel="0" collapsed="false">
      <c r="A159" s="36" t="str">
        <f aca="false">IFERROR(INDEX($A$147:$A$153,MATCH(4,$C$147:$C$153,0)),"")</f>
        <v/>
      </c>
    </row>
    <row r="160" customFormat="false" ht="15" hidden="false" customHeight="false" outlineLevel="0" collapsed="false">
      <c r="A160" s="36" t="str">
        <f aca="false">IFERROR(INDEX($A$147:$A$153,MATCH(5,$C$147:$C$153,0)),"")</f>
        <v/>
      </c>
    </row>
    <row r="161" customFormat="false" ht="15" hidden="false" customHeight="false" outlineLevel="0" collapsed="false">
      <c r="A161" s="36" t="str">
        <f aca="false">IFERROR(INDEX($A$147:$A$153,MATCH(6,$C$147:$C$153,0)),"")</f>
        <v/>
      </c>
    </row>
    <row r="162" customFormat="false" ht="15" hidden="false" customHeight="false" outlineLevel="0" collapsed="false">
      <c r="A162" s="36" t="str">
        <f aca="false">IFERROR(INDEX($A$147:$A$153,MATCH(7,$C$147:$C$153,0)),"")</f>
        <v/>
      </c>
    </row>
    <row r="163" customFormat="false" ht="15" hidden="false" customHeight="false" outlineLevel="0" collapsed="false">
      <c r="A163" s="36" t="str">
        <f aca="false">IFERROR(INDEX($A$147:$A$153,MATCH(8,$C$147:$C$153,0)),"")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2026-10-19T02:49:48Z</dcterms:created>
  <dc:creator>openpyxl</dc:creator>
  <dc:description/>
  <dc:language>en-US</dc:language>
  <cp:lastModifiedBy/>
  <dcterms:modified xsi:type="dcterms:W3CDTF">2026-10-19T02:49:49Z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