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経理係フォルダ\☆決算事務\０５年度決算\06 R5決算 消費税計算\02 繰入金計算\令和５年度決算用\"/>
    </mc:Choice>
  </mc:AlternateContent>
  <bookViews>
    <workbookView xWindow="19470" yWindow="435" windowWidth="17700" windowHeight="8160" tabRatio="573"/>
  </bookViews>
  <sheets>
    <sheet name="4条収入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'4条収入'!$D$1:$AI$93</definedName>
    <definedName name="_xlnm.Print_Titles" localSheetId="0">'4条収入'!$1:$9</definedName>
  </definedNames>
  <calcPr calcId="162913" fullCalcOnLoad="1"/>
</workbook>
</file>

<file path=xl/calcChain.xml><?xml version="1.0" encoding="utf-8"?>
<calcChain xmlns="http://schemas.openxmlformats.org/spreadsheetml/2006/main">
  <c r="AC92" i="1" l="1"/>
  <c r="E19" i="1" l="1"/>
  <c r="E25" i="1" l="1"/>
  <c r="E27" i="1"/>
  <c r="O54" i="1" l="1"/>
  <c r="O53" i="1"/>
  <c r="O52" i="1"/>
  <c r="O49" i="1"/>
  <c r="O48" i="1"/>
  <c r="O47" i="1"/>
  <c r="T44" i="1"/>
  <c r="R44" i="1"/>
  <c r="AG44" i="1" s="1"/>
  <c r="Q44" i="1"/>
  <c r="P44" i="1"/>
  <c r="O44" i="1"/>
  <c r="T34" i="1"/>
  <c r="R34" i="1"/>
  <c r="Q34" i="1"/>
  <c r="P34" i="1"/>
  <c r="O34" i="1"/>
  <c r="T33" i="1"/>
  <c r="R33" i="1"/>
  <c r="Q33" i="1"/>
  <c r="P33" i="1"/>
  <c r="O33" i="1"/>
  <c r="T32" i="1"/>
  <c r="R32" i="1"/>
  <c r="Q32" i="1"/>
  <c r="P32" i="1"/>
  <c r="O32" i="1"/>
  <c r="T30" i="1"/>
  <c r="R30" i="1"/>
  <c r="Q30" i="1"/>
  <c r="P30" i="1"/>
  <c r="O30" i="1"/>
  <c r="T29" i="1"/>
  <c r="R29" i="1"/>
  <c r="Q29" i="1"/>
  <c r="P29" i="1"/>
  <c r="O29" i="1"/>
  <c r="T28" i="1"/>
  <c r="R28" i="1"/>
  <c r="Q28" i="1"/>
  <c r="P28" i="1"/>
  <c r="O28" i="1"/>
  <c r="T27" i="1"/>
  <c r="R27" i="1"/>
  <c r="Q27" i="1"/>
  <c r="P27" i="1"/>
  <c r="O27" i="1"/>
  <c r="T25" i="1"/>
  <c r="R25" i="1"/>
  <c r="Q25" i="1"/>
  <c r="P25" i="1"/>
  <c r="AE25" i="1" s="1"/>
  <c r="O25" i="1"/>
  <c r="E52" i="1" l="1"/>
  <c r="V54" i="1" l="1"/>
  <c r="V53" i="1"/>
  <c r="V52" i="1"/>
  <c r="V51" i="1"/>
  <c r="N50" i="1"/>
  <c r="M50" i="1"/>
  <c r="J54" i="1"/>
  <c r="AA54" i="1" s="1"/>
  <c r="AN54" i="1" s="1"/>
  <c r="I54" i="1"/>
  <c r="Z54" i="1" s="1"/>
  <c r="AM54" i="1" s="1"/>
  <c r="H54" i="1"/>
  <c r="Y54" i="1" s="1"/>
  <c r="AL54" i="1" s="1"/>
  <c r="G54" i="1"/>
  <c r="X54" i="1" s="1"/>
  <c r="AK54" i="1" s="1"/>
  <c r="F54" i="1"/>
  <c r="W54" i="1" s="1"/>
  <c r="J53" i="1"/>
  <c r="AA53" i="1" s="1"/>
  <c r="AN53" i="1" s="1"/>
  <c r="I53" i="1"/>
  <c r="Z53" i="1" s="1"/>
  <c r="AM53" i="1" s="1"/>
  <c r="H53" i="1"/>
  <c r="Y53" i="1" s="1"/>
  <c r="AL53" i="1" s="1"/>
  <c r="G53" i="1"/>
  <c r="X53" i="1" s="1"/>
  <c r="AK53" i="1" s="1"/>
  <c r="F53" i="1"/>
  <c r="W53" i="1" s="1"/>
  <c r="J52" i="1"/>
  <c r="AA52" i="1" s="1"/>
  <c r="AN52" i="1" s="1"/>
  <c r="I52" i="1"/>
  <c r="Z52" i="1" s="1"/>
  <c r="AM52" i="1" s="1"/>
  <c r="H52" i="1"/>
  <c r="Y52" i="1" s="1"/>
  <c r="AL52" i="1" s="1"/>
  <c r="G52" i="1"/>
  <c r="F52" i="1"/>
  <c r="W52" i="1" s="1"/>
  <c r="J51" i="1"/>
  <c r="I51" i="1"/>
  <c r="H51" i="1"/>
  <c r="G51" i="1"/>
  <c r="F51" i="1"/>
  <c r="E54" i="1"/>
  <c r="E53" i="1"/>
  <c r="E51" i="1"/>
  <c r="AC54" i="1"/>
  <c r="AY54" i="1" s="1"/>
  <c r="L54" i="1"/>
  <c r="AC53" i="1"/>
  <c r="AY53" i="1" s="1"/>
  <c r="L53" i="1"/>
  <c r="AC52" i="1"/>
  <c r="AY52" i="1" s="1"/>
  <c r="L52" i="1"/>
  <c r="I50" i="1" l="1"/>
  <c r="V50" i="1"/>
  <c r="F50" i="1"/>
  <c r="J50" i="1"/>
  <c r="H50" i="1"/>
  <c r="G50" i="1"/>
  <c r="E50" i="1"/>
  <c r="X52" i="1"/>
  <c r="AK52" i="1" s="1"/>
  <c r="AJ54" i="1"/>
  <c r="AB54" i="1"/>
  <c r="AI54" i="1" s="1"/>
  <c r="K54" i="1"/>
  <c r="AJ53" i="1"/>
  <c r="AB53" i="1"/>
  <c r="AI53" i="1" s="1"/>
  <c r="K53" i="1"/>
  <c r="AJ52" i="1"/>
  <c r="K52" i="1"/>
  <c r="AB52" i="1" l="1"/>
  <c r="AI52" i="1" s="1"/>
  <c r="AD52" i="1"/>
  <c r="AD53" i="1"/>
  <c r="AD54" i="1"/>
  <c r="AZ53" i="1" l="1"/>
  <c r="AZ54" i="1"/>
  <c r="AZ52" i="1"/>
  <c r="AF10" i="1" l="1"/>
  <c r="AF11" i="1"/>
  <c r="AF12" i="1"/>
  <c r="AF13" i="1"/>
  <c r="AF14" i="1"/>
  <c r="AF15" i="1"/>
  <c r="AF17" i="1"/>
  <c r="AF18" i="1"/>
  <c r="AF19" i="1"/>
  <c r="AF20" i="1"/>
  <c r="AF22" i="1"/>
  <c r="AF21" i="1" s="1"/>
  <c r="AF36" i="1"/>
  <c r="AF35" i="1" s="1"/>
  <c r="AF39" i="1"/>
  <c r="BB39" i="1" s="1"/>
  <c r="AF40" i="1"/>
  <c r="AF41" i="1"/>
  <c r="AF57" i="1"/>
  <c r="AF56" i="1" s="1"/>
  <c r="AF60" i="1"/>
  <c r="AF61" i="1"/>
  <c r="AF62" i="1"/>
  <c r="AF64" i="1"/>
  <c r="AF65" i="1"/>
  <c r="AF66" i="1"/>
  <c r="AF68" i="1"/>
  <c r="AF69" i="1"/>
  <c r="AF70" i="1"/>
  <c r="AF73" i="1"/>
  <c r="AF74" i="1"/>
  <c r="AF75" i="1"/>
  <c r="AF76" i="1"/>
  <c r="AF78" i="1"/>
  <c r="AF79" i="1"/>
  <c r="AF80" i="1"/>
  <c r="AF81" i="1"/>
  <c r="AF83" i="1"/>
  <c r="AF84" i="1"/>
  <c r="AF85" i="1"/>
  <c r="AF86" i="1"/>
  <c r="AF88" i="1"/>
  <c r="AF87" i="1" s="1"/>
  <c r="AF89" i="1"/>
  <c r="AF90" i="1"/>
  <c r="Z10" i="1"/>
  <c r="Z11" i="1"/>
  <c r="Z12" i="1"/>
  <c r="Z13" i="1"/>
  <c r="Z14" i="1"/>
  <c r="Z15" i="1"/>
  <c r="Z17" i="1"/>
  <c r="Z18" i="1"/>
  <c r="Z19" i="1"/>
  <c r="Z20" i="1"/>
  <c r="Z22" i="1"/>
  <c r="Z21" i="1" s="1"/>
  <c r="Z25" i="1"/>
  <c r="Z27" i="1"/>
  <c r="Z28" i="1"/>
  <c r="Z29" i="1"/>
  <c r="Z30" i="1"/>
  <c r="Z32" i="1"/>
  <c r="Z33" i="1"/>
  <c r="Z34" i="1"/>
  <c r="Z36" i="1"/>
  <c r="Z35" i="1" s="1"/>
  <c r="Z44" i="1"/>
  <c r="Z43" i="1" s="1"/>
  <c r="Z47" i="1"/>
  <c r="Z46" i="1" s="1"/>
  <c r="Z45" i="1" s="1"/>
  <c r="Z48" i="1"/>
  <c r="Z49" i="1"/>
  <c r="Z60" i="1"/>
  <c r="Z61" i="1"/>
  <c r="Z62" i="1"/>
  <c r="Z64" i="1"/>
  <c r="Z65" i="1"/>
  <c r="Z66" i="1"/>
  <c r="Z68" i="1"/>
  <c r="Z69" i="1"/>
  <c r="Z70" i="1"/>
  <c r="Z73" i="1"/>
  <c r="Z74" i="1"/>
  <c r="Z75" i="1"/>
  <c r="Z76" i="1"/>
  <c r="Z78" i="1"/>
  <c r="Z79" i="1"/>
  <c r="Z80" i="1"/>
  <c r="Z81" i="1"/>
  <c r="Z83" i="1"/>
  <c r="Z84" i="1"/>
  <c r="Z85" i="1"/>
  <c r="Z86" i="1"/>
  <c r="Z88" i="1"/>
  <c r="Z87" i="1" s="1"/>
  <c r="AR90" i="1" s="1"/>
  <c r="Q8" i="1"/>
  <c r="Q7" i="1" s="1"/>
  <c r="Q9" i="1"/>
  <c r="Q16" i="1"/>
  <c r="Q21" i="1"/>
  <c r="AF25" i="1"/>
  <c r="BB25" i="1" s="1"/>
  <c r="AF28" i="1"/>
  <c r="BB28" i="1" s="1"/>
  <c r="AF29" i="1"/>
  <c r="BB29" i="1" s="1"/>
  <c r="AF30" i="1"/>
  <c r="BB30" i="1" s="1"/>
  <c r="AF33" i="1"/>
  <c r="AF34" i="1"/>
  <c r="Q35" i="1"/>
  <c r="Q38" i="1"/>
  <c r="Q37" i="1" s="1"/>
  <c r="Q43" i="1"/>
  <c r="Q56" i="1"/>
  <c r="Q59" i="1"/>
  <c r="Q63" i="1"/>
  <c r="Q67" i="1"/>
  <c r="Q72" i="1"/>
  <c r="Q71" i="1" s="1"/>
  <c r="Q77" i="1"/>
  <c r="Q82" i="1"/>
  <c r="Q87" i="1"/>
  <c r="Q89" i="1"/>
  <c r="I9" i="1"/>
  <c r="I8" i="1" s="1"/>
  <c r="I7" i="1" s="1"/>
  <c r="I16" i="1"/>
  <c r="I21" i="1"/>
  <c r="I31" i="1"/>
  <c r="I24" i="1" s="1"/>
  <c r="I23" i="1" s="1"/>
  <c r="I35" i="1"/>
  <c r="I39" i="1"/>
  <c r="I40" i="1"/>
  <c r="Z40" i="1" s="1"/>
  <c r="I41" i="1"/>
  <c r="Z41" i="1" s="1"/>
  <c r="I43" i="1"/>
  <c r="I46" i="1"/>
  <c r="I45" i="1" s="1"/>
  <c r="I57" i="1"/>
  <c r="Z57" i="1" s="1"/>
  <c r="Z56" i="1" s="1"/>
  <c r="I59" i="1"/>
  <c r="I63" i="1"/>
  <c r="I67" i="1"/>
  <c r="I72" i="1"/>
  <c r="I71" i="1" s="1"/>
  <c r="I77" i="1"/>
  <c r="I82" i="1"/>
  <c r="I87" i="1"/>
  <c r="I90" i="1"/>
  <c r="Z90" i="1" s="1"/>
  <c r="Z31" i="1" l="1"/>
  <c r="AR88" i="1"/>
  <c r="AF38" i="1"/>
  <c r="AF37" i="1" s="1"/>
  <c r="BB36" i="1"/>
  <c r="AM88" i="1"/>
  <c r="I58" i="1"/>
  <c r="Q58" i="1"/>
  <c r="Z67" i="1"/>
  <c r="AF9" i="1"/>
  <c r="Z9" i="1"/>
  <c r="Z8" i="1" s="1"/>
  <c r="AF59" i="1"/>
  <c r="AF63" i="1"/>
  <c r="Z63" i="1"/>
  <c r="AF82" i="1"/>
  <c r="AF72" i="1"/>
  <c r="AF71" i="1" s="1"/>
  <c r="AF16" i="1"/>
  <c r="AF77" i="1"/>
  <c r="Z82" i="1"/>
  <c r="Z72" i="1"/>
  <c r="Z26" i="1"/>
  <c r="Z24" i="1" s="1"/>
  <c r="Z23" i="1" s="1"/>
  <c r="AF8" i="1"/>
  <c r="AF7" i="1" s="1"/>
  <c r="Z77" i="1"/>
  <c r="Z59" i="1"/>
  <c r="Z58" i="1" s="1"/>
  <c r="Z16" i="1"/>
  <c r="AF67" i="1"/>
  <c r="I38" i="1"/>
  <c r="I37" i="1" s="1"/>
  <c r="Z51" i="1"/>
  <c r="AF44" i="1"/>
  <c r="AF43" i="1" s="1"/>
  <c r="I89" i="1"/>
  <c r="AM90" i="1"/>
  <c r="Z89" i="1"/>
  <c r="I56" i="1"/>
  <c r="Z39" i="1"/>
  <c r="Q31" i="1"/>
  <c r="AF32" i="1"/>
  <c r="AF31" i="1" s="1"/>
  <c r="Q26" i="1"/>
  <c r="AF27" i="1"/>
  <c r="BB27" i="1" s="1"/>
  <c r="Q55" i="1"/>
  <c r="I42" i="1"/>
  <c r="I55" i="1" l="1"/>
  <c r="AF58" i="1"/>
  <c r="AF55" i="1" s="1"/>
  <c r="Z7" i="1"/>
  <c r="Z71" i="1"/>
  <c r="Z55" i="1" s="1"/>
  <c r="AM51" i="1"/>
  <c r="Z50" i="1"/>
  <c r="Z42" i="1" s="1"/>
  <c r="Q24" i="1"/>
  <c r="Q23" i="1" s="1"/>
  <c r="BB44" i="1"/>
  <c r="I91" i="1"/>
  <c r="Z38" i="1"/>
  <c r="Z37" i="1" s="1"/>
  <c r="AM39" i="1"/>
  <c r="AF26" i="1"/>
  <c r="AF24" i="1" s="1"/>
  <c r="AF23" i="1" s="1"/>
  <c r="Z91" i="1" l="1"/>
  <c r="I92" i="1"/>
  <c r="I93" i="1" s="1"/>
  <c r="AM93" i="1" s="1"/>
  <c r="Z92" i="1" l="1"/>
  <c r="Z93" i="1" s="1"/>
  <c r="AR53" i="1" l="1"/>
  <c r="AR54" i="1"/>
  <c r="AR51" i="1"/>
  <c r="AR52" i="1"/>
  <c r="AR39" i="1"/>
  <c r="AD28" i="1" l="1"/>
  <c r="S30" i="1"/>
  <c r="N26" i="1"/>
  <c r="M26" i="1"/>
  <c r="AC27" i="1"/>
  <c r="AY27" i="1" s="1"/>
  <c r="AG27" i="1"/>
  <c r="BC27" i="1" s="1"/>
  <c r="AC28" i="1"/>
  <c r="AY28" i="1" s="1"/>
  <c r="AC29" i="1"/>
  <c r="AY29" i="1" s="1"/>
  <c r="AG29" i="1"/>
  <c r="BC29" i="1" s="1"/>
  <c r="AC30" i="1"/>
  <c r="AY30" i="1" s="1"/>
  <c r="AD30" i="1"/>
  <c r="AE30" i="1"/>
  <c r="BA30" i="1" s="1"/>
  <c r="AG30" i="1"/>
  <c r="BC30" i="1" s="1"/>
  <c r="W27" i="1"/>
  <c r="X27" i="1"/>
  <c r="Y27" i="1"/>
  <c r="AA27" i="1"/>
  <c r="W28" i="1"/>
  <c r="X28" i="1"/>
  <c r="Y28" i="1"/>
  <c r="AA28" i="1"/>
  <c r="W29" i="1"/>
  <c r="X29" i="1"/>
  <c r="Y29" i="1"/>
  <c r="AA29" i="1"/>
  <c r="W30" i="1"/>
  <c r="X30" i="1"/>
  <c r="Y30" i="1"/>
  <c r="AA30" i="1"/>
  <c r="Y26" i="1" l="1"/>
  <c r="AB27" i="1"/>
  <c r="AB30" i="1"/>
  <c r="AA26" i="1"/>
  <c r="AB28" i="1"/>
  <c r="W26" i="1"/>
  <c r="AB29" i="1"/>
  <c r="X26" i="1"/>
  <c r="AC26" i="1"/>
  <c r="AH30" i="1"/>
  <c r="AZ30" i="1"/>
  <c r="AZ28" i="1"/>
  <c r="AE29" i="1"/>
  <c r="BA29" i="1" s="1"/>
  <c r="W15" i="1"/>
  <c r="X15" i="1"/>
  <c r="Y15" i="1"/>
  <c r="AA15" i="1"/>
  <c r="L26" i="1"/>
  <c r="AB15" i="1" l="1"/>
  <c r="T26" i="1"/>
  <c r="AD29" i="1"/>
  <c r="S29" i="1"/>
  <c r="AE27" i="1"/>
  <c r="V28" i="1"/>
  <c r="V29" i="1"/>
  <c r="V30" i="1"/>
  <c r="U30" i="1" s="1"/>
  <c r="V27" i="1"/>
  <c r="K27" i="1"/>
  <c r="K28" i="1"/>
  <c r="K29" i="1"/>
  <c r="K30" i="1"/>
  <c r="E28" i="1"/>
  <c r="AI28" i="1" s="1"/>
  <c r="E29" i="1"/>
  <c r="AI29" i="1" s="1"/>
  <c r="E30" i="1"/>
  <c r="AI30" i="1" s="1"/>
  <c r="U29" i="1" l="1"/>
  <c r="K26" i="1"/>
  <c r="V26" i="1"/>
  <c r="AI27" i="1"/>
  <c r="AI26" i="1" s="1"/>
  <c r="E26" i="1"/>
  <c r="BA27" i="1"/>
  <c r="O26" i="1"/>
  <c r="AD27" i="1"/>
  <c r="S27" i="1"/>
  <c r="U27" i="1" s="1"/>
  <c r="AH29" i="1"/>
  <c r="AZ29" i="1"/>
  <c r="AD26" i="1" l="1"/>
  <c r="AH27" i="1"/>
  <c r="AZ27" i="1"/>
  <c r="AC15" i="1" l="1"/>
  <c r="AD15" i="1"/>
  <c r="AE15" i="1"/>
  <c r="AG15" i="1"/>
  <c r="V15" i="1"/>
  <c r="S15" i="1"/>
  <c r="K15" i="1"/>
  <c r="E15" i="1"/>
  <c r="AH15" i="1" l="1"/>
  <c r="AI15" i="1"/>
  <c r="U15" i="1"/>
  <c r="S62" i="1"/>
  <c r="S61" i="1"/>
  <c r="S60" i="1"/>
  <c r="S66" i="1"/>
  <c r="S65" i="1"/>
  <c r="S64" i="1"/>
  <c r="S68" i="1"/>
  <c r="S69" i="1"/>
  <c r="S70" i="1"/>
  <c r="V70" i="1"/>
  <c r="V69" i="1"/>
  <c r="V68" i="1"/>
  <c r="V66" i="1"/>
  <c r="V65" i="1"/>
  <c r="V64" i="1"/>
  <c r="V62" i="1"/>
  <c r="V61" i="1"/>
  <c r="V60" i="1"/>
  <c r="U63" i="1" l="1"/>
  <c r="T67" i="1"/>
  <c r="R67" i="1"/>
  <c r="P67" i="1"/>
  <c r="O67" i="1"/>
  <c r="N67" i="1"/>
  <c r="M67" i="1"/>
  <c r="L67" i="1"/>
  <c r="J67" i="1"/>
  <c r="H67" i="1"/>
  <c r="G67" i="1"/>
  <c r="T63" i="1"/>
  <c r="S63" i="1"/>
  <c r="R63" i="1"/>
  <c r="P63" i="1"/>
  <c r="O63" i="1"/>
  <c r="N63" i="1"/>
  <c r="M63" i="1"/>
  <c r="L63" i="1"/>
  <c r="K63" i="1"/>
  <c r="J63" i="1"/>
  <c r="H63" i="1"/>
  <c r="G63" i="1"/>
  <c r="U59" i="1"/>
  <c r="T59" i="1"/>
  <c r="S59" i="1"/>
  <c r="R59" i="1"/>
  <c r="P59" i="1"/>
  <c r="O59" i="1"/>
  <c r="N59" i="1"/>
  <c r="M59" i="1"/>
  <c r="L59" i="1"/>
  <c r="K59" i="1"/>
  <c r="J59" i="1"/>
  <c r="H59" i="1"/>
  <c r="G59" i="1"/>
  <c r="F67" i="1"/>
  <c r="F63" i="1"/>
  <c r="F59" i="1"/>
  <c r="AG70" i="1"/>
  <c r="AE70" i="1"/>
  <c r="AD70" i="1"/>
  <c r="AC70" i="1"/>
  <c r="AA70" i="1"/>
  <c r="Y70" i="1"/>
  <c r="X70" i="1"/>
  <c r="W70" i="1"/>
  <c r="U70" i="1"/>
  <c r="K70" i="1"/>
  <c r="AG69" i="1"/>
  <c r="AE69" i="1"/>
  <c r="AD69" i="1"/>
  <c r="AC69" i="1"/>
  <c r="AA69" i="1"/>
  <c r="Y69" i="1"/>
  <c r="X69" i="1"/>
  <c r="W69" i="1"/>
  <c r="U69" i="1"/>
  <c r="K69" i="1"/>
  <c r="AG68" i="1"/>
  <c r="AE68" i="1"/>
  <c r="AD68" i="1"/>
  <c r="AC68" i="1"/>
  <c r="AA68" i="1"/>
  <c r="Y68" i="1"/>
  <c r="X68" i="1"/>
  <c r="W68" i="1"/>
  <c r="K68" i="1"/>
  <c r="AG66" i="1"/>
  <c r="AE66" i="1"/>
  <c r="AD66" i="1"/>
  <c r="AC66" i="1"/>
  <c r="AA66" i="1"/>
  <c r="Y66" i="1"/>
  <c r="X66" i="1"/>
  <c r="W66" i="1"/>
  <c r="AG65" i="1"/>
  <c r="AE65" i="1"/>
  <c r="AD65" i="1"/>
  <c r="AC65" i="1"/>
  <c r="AA65" i="1"/>
  <c r="Y65" i="1"/>
  <c r="X65" i="1"/>
  <c r="W65" i="1"/>
  <c r="AG64" i="1"/>
  <c r="AE64" i="1"/>
  <c r="AD64" i="1"/>
  <c r="AC64" i="1"/>
  <c r="AA64" i="1"/>
  <c r="Y64" i="1"/>
  <c r="X64" i="1"/>
  <c r="W64" i="1"/>
  <c r="AG62" i="1"/>
  <c r="AE62" i="1"/>
  <c r="AD62" i="1"/>
  <c r="AC62" i="1"/>
  <c r="AA62" i="1"/>
  <c r="Y62" i="1"/>
  <c r="X62" i="1"/>
  <c r="W62" i="1"/>
  <c r="AG61" i="1"/>
  <c r="AE61" i="1"/>
  <c r="AD61" i="1"/>
  <c r="AC61" i="1"/>
  <c r="AA61" i="1"/>
  <c r="Y61" i="1"/>
  <c r="X61" i="1"/>
  <c r="W61" i="1"/>
  <c r="AG60" i="1"/>
  <c r="AG59" i="1" s="1"/>
  <c r="AE60" i="1"/>
  <c r="AE59" i="1" s="1"/>
  <c r="AD60" i="1"/>
  <c r="AD59" i="1" s="1"/>
  <c r="AC60" i="1"/>
  <c r="AC59" i="1" s="1"/>
  <c r="AA60" i="1"/>
  <c r="AA59" i="1" s="1"/>
  <c r="Y60" i="1"/>
  <c r="X60" i="1"/>
  <c r="X59" i="1" s="1"/>
  <c r="W60" i="1"/>
  <c r="W59" i="1" s="1"/>
  <c r="Y59" i="1" l="1"/>
  <c r="AA67" i="1"/>
  <c r="X67" i="1"/>
  <c r="N58" i="1"/>
  <c r="AD67" i="1"/>
  <c r="AG67" i="1"/>
  <c r="T58" i="1"/>
  <c r="X63" i="1"/>
  <c r="AA63" i="1"/>
  <c r="AD63" i="1"/>
  <c r="AG63" i="1"/>
  <c r="AB68" i="1"/>
  <c r="Y67" i="1"/>
  <c r="AH68" i="1"/>
  <c r="AE67" i="1"/>
  <c r="W63" i="1"/>
  <c r="Y63" i="1"/>
  <c r="AC63" i="1"/>
  <c r="AE63" i="1"/>
  <c r="AI68" i="1"/>
  <c r="S67" i="1"/>
  <c r="G58" i="1"/>
  <c r="J58" i="1"/>
  <c r="L58" i="1"/>
  <c r="P58" i="1"/>
  <c r="H58" i="1"/>
  <c r="M58" i="1"/>
  <c r="O58" i="1"/>
  <c r="R58" i="1"/>
  <c r="U68" i="1"/>
  <c r="U67" i="1" s="1"/>
  <c r="W67" i="1"/>
  <c r="AB69" i="1"/>
  <c r="AH69" i="1"/>
  <c r="AB70" i="1"/>
  <c r="AI70" i="1" s="1"/>
  <c r="AH70" i="1"/>
  <c r="AC67" i="1"/>
  <c r="V59" i="1"/>
  <c r="E63" i="1"/>
  <c r="K67" i="1"/>
  <c r="V63" i="1"/>
  <c r="E67" i="1"/>
  <c r="V67" i="1"/>
  <c r="AH64" i="1"/>
  <c r="AH65" i="1"/>
  <c r="AH66" i="1"/>
  <c r="F58" i="1"/>
  <c r="AB64" i="1"/>
  <c r="AB65" i="1"/>
  <c r="AI65" i="1" s="1"/>
  <c r="AB66" i="1"/>
  <c r="AI66" i="1" s="1"/>
  <c r="AB60" i="1"/>
  <c r="AI60" i="1" s="1"/>
  <c r="AH60" i="1"/>
  <c r="AB61" i="1"/>
  <c r="AI61" i="1" s="1"/>
  <c r="AH61" i="1"/>
  <c r="AB62" i="1"/>
  <c r="AI62" i="1" s="1"/>
  <c r="AH62" i="1"/>
  <c r="E59" i="1"/>
  <c r="V58" i="1" l="1"/>
  <c r="AI59" i="1"/>
  <c r="AB67" i="1"/>
  <c r="AH67" i="1"/>
  <c r="AI69" i="1"/>
  <c r="AI67" i="1" s="1"/>
  <c r="AH59" i="1"/>
  <c r="AI64" i="1"/>
  <c r="AI63" i="1" s="1"/>
  <c r="AB63" i="1"/>
  <c r="AH63" i="1"/>
  <c r="AB59" i="1"/>
  <c r="E58" i="1"/>
  <c r="E34" i="1" l="1"/>
  <c r="AA34" i="1"/>
  <c r="Y34" i="1"/>
  <c r="X34" i="1"/>
  <c r="W34" i="1"/>
  <c r="AA33" i="1"/>
  <c r="Y33" i="1"/>
  <c r="X33" i="1"/>
  <c r="W33" i="1"/>
  <c r="AA32" i="1"/>
  <c r="Y32" i="1"/>
  <c r="X32" i="1"/>
  <c r="W32" i="1"/>
  <c r="L41" i="1"/>
  <c r="L40" i="1"/>
  <c r="L39" i="1"/>
  <c r="J41" i="1"/>
  <c r="AA41" i="1" s="1"/>
  <c r="H41" i="1"/>
  <c r="Y41" i="1" s="1"/>
  <c r="G41" i="1"/>
  <c r="X41" i="1" s="1"/>
  <c r="F41" i="1"/>
  <c r="W41" i="1" s="1"/>
  <c r="E41" i="1"/>
  <c r="J40" i="1"/>
  <c r="AA40" i="1" s="1"/>
  <c r="H40" i="1"/>
  <c r="Y40" i="1" s="1"/>
  <c r="G40" i="1"/>
  <c r="X40" i="1" s="1"/>
  <c r="F40" i="1"/>
  <c r="W40" i="1" s="1"/>
  <c r="E40" i="1"/>
  <c r="J39" i="1"/>
  <c r="H39" i="1"/>
  <c r="Y39" i="1" s="1"/>
  <c r="G39" i="1"/>
  <c r="F39" i="1"/>
  <c r="E39" i="1"/>
  <c r="V41" i="1"/>
  <c r="AG41" i="1"/>
  <c r="AE41" i="1"/>
  <c r="AD41" i="1"/>
  <c r="S41" i="1"/>
  <c r="V40" i="1"/>
  <c r="AG40" i="1"/>
  <c r="AE40" i="1"/>
  <c r="AD40" i="1"/>
  <c r="AC40" i="1"/>
  <c r="AE39" i="1"/>
  <c r="AC39" i="1"/>
  <c r="V39" i="1"/>
  <c r="T38" i="1"/>
  <c r="AG39" i="1"/>
  <c r="AD39" i="1"/>
  <c r="S39" i="1"/>
  <c r="P38" i="1"/>
  <c r="AE38" i="1" s="1"/>
  <c r="N38" i="1"/>
  <c r="AC38" i="1" s="1"/>
  <c r="M38" i="1"/>
  <c r="J38" i="1" l="1"/>
  <c r="K41" i="1"/>
  <c r="AA39" i="1"/>
  <c r="AN39" i="1" s="1"/>
  <c r="AB32" i="1"/>
  <c r="AB33" i="1"/>
  <c r="AB34" i="1"/>
  <c r="K40" i="1"/>
  <c r="H38" i="1"/>
  <c r="E38" i="1"/>
  <c r="Y38" i="1"/>
  <c r="AL39" i="1"/>
  <c r="U41" i="1"/>
  <c r="K39" i="1"/>
  <c r="F38" i="1"/>
  <c r="W39" i="1"/>
  <c r="L38" i="1"/>
  <c r="G38" i="1"/>
  <c r="X39" i="1"/>
  <c r="AB40" i="1"/>
  <c r="AI40" i="1" s="1"/>
  <c r="AB41" i="1"/>
  <c r="AI41" i="1" s="1"/>
  <c r="U39" i="1"/>
  <c r="AH39" i="1"/>
  <c r="AH40" i="1"/>
  <c r="S40" i="1"/>
  <c r="U40" i="1" s="1"/>
  <c r="AC41" i="1"/>
  <c r="O38" i="1"/>
  <c r="AD38" i="1" s="1"/>
  <c r="R38" i="1"/>
  <c r="AG38" i="1" s="1"/>
  <c r="V38" i="1"/>
  <c r="AZ39" i="1"/>
  <c r="BC39" i="1"/>
  <c r="BA39" i="1"/>
  <c r="K38" i="1" l="1"/>
  <c r="AA38" i="1"/>
  <c r="AH41" i="1"/>
  <c r="AJ39" i="1"/>
  <c r="W38" i="1"/>
  <c r="AK39" i="1"/>
  <c r="X38" i="1"/>
  <c r="S38" i="1"/>
  <c r="AB39" i="1"/>
  <c r="AI39" i="1" s="1"/>
  <c r="U38" i="1"/>
  <c r="AH38" i="1"/>
  <c r="AY39" i="1"/>
  <c r="AB38" i="1" l="1"/>
  <c r="AI38" i="1" s="1"/>
  <c r="F9" i="1"/>
  <c r="F8" i="1" s="1"/>
  <c r="G9" i="1"/>
  <c r="G8" i="1" s="1"/>
  <c r="H9" i="1"/>
  <c r="H8" i="1" s="1"/>
  <c r="J9" i="1"/>
  <c r="J8" i="1" s="1"/>
  <c r="L9" i="1"/>
  <c r="L8" i="1" s="1"/>
  <c r="M9" i="1"/>
  <c r="M8" i="1" s="1"/>
  <c r="N9" i="1"/>
  <c r="N8" i="1" s="1"/>
  <c r="O9" i="1"/>
  <c r="O8" i="1" s="1"/>
  <c r="P9" i="1"/>
  <c r="P8" i="1" s="1"/>
  <c r="R9" i="1"/>
  <c r="R8" i="1" s="1"/>
  <c r="T9" i="1"/>
  <c r="T8" i="1" s="1"/>
  <c r="E10" i="1"/>
  <c r="K10" i="1"/>
  <c r="S10" i="1"/>
  <c r="V10" i="1"/>
  <c r="W10" i="1"/>
  <c r="X10" i="1"/>
  <c r="Y10" i="1"/>
  <c r="AA10" i="1"/>
  <c r="AC10" i="1"/>
  <c r="AD10" i="1"/>
  <c r="AE10" i="1"/>
  <c r="AG10" i="1"/>
  <c r="E11" i="1"/>
  <c r="K11" i="1"/>
  <c r="S11" i="1"/>
  <c r="V11" i="1"/>
  <c r="W11" i="1"/>
  <c r="X11" i="1"/>
  <c r="Y11" i="1"/>
  <c r="AA11" i="1"/>
  <c r="AC11" i="1"/>
  <c r="AD11" i="1"/>
  <c r="AE11" i="1"/>
  <c r="AG11" i="1"/>
  <c r="E12" i="1"/>
  <c r="K12" i="1"/>
  <c r="S12" i="1"/>
  <c r="V12" i="1"/>
  <c r="W12" i="1"/>
  <c r="X12" i="1"/>
  <c r="Y12" i="1"/>
  <c r="AA12" i="1"/>
  <c r="AC12" i="1"/>
  <c r="AD12" i="1"/>
  <c r="AE12" i="1"/>
  <c r="AG12" i="1"/>
  <c r="E13" i="1"/>
  <c r="K13" i="1"/>
  <c r="S13" i="1"/>
  <c r="V13" i="1"/>
  <c r="W13" i="1"/>
  <c r="X13" i="1"/>
  <c r="Y13" i="1"/>
  <c r="AA13" i="1"/>
  <c r="AC13" i="1"/>
  <c r="AD13" i="1"/>
  <c r="AE13" i="1"/>
  <c r="AG13" i="1"/>
  <c r="E14" i="1"/>
  <c r="K14" i="1"/>
  <c r="S14" i="1"/>
  <c r="V14" i="1"/>
  <c r="W14" i="1"/>
  <c r="X14" i="1"/>
  <c r="Y14" i="1"/>
  <c r="AA14" i="1"/>
  <c r="AC14" i="1"/>
  <c r="AD14" i="1"/>
  <c r="AE14" i="1"/>
  <c r="AG14" i="1"/>
  <c r="F16" i="1"/>
  <c r="G16" i="1"/>
  <c r="H16" i="1"/>
  <c r="J16" i="1"/>
  <c r="L16" i="1"/>
  <c r="M16" i="1"/>
  <c r="N16" i="1"/>
  <c r="O16" i="1"/>
  <c r="P16" i="1"/>
  <c r="R16" i="1"/>
  <c r="T16" i="1"/>
  <c r="E17" i="1"/>
  <c r="K17" i="1"/>
  <c r="S17" i="1"/>
  <c r="V17" i="1"/>
  <c r="W17" i="1"/>
  <c r="X17" i="1"/>
  <c r="Y17" i="1"/>
  <c r="AA17" i="1"/>
  <c r="AC17" i="1"/>
  <c r="AD17" i="1"/>
  <c r="AE17" i="1"/>
  <c r="AG17" i="1"/>
  <c r="E18" i="1"/>
  <c r="K18" i="1"/>
  <c r="S18" i="1"/>
  <c r="V18" i="1"/>
  <c r="W18" i="1"/>
  <c r="X18" i="1"/>
  <c r="Y18" i="1"/>
  <c r="AA18" i="1"/>
  <c r="AC18" i="1"/>
  <c r="AD18" i="1"/>
  <c r="AE18" i="1"/>
  <c r="AG18" i="1"/>
  <c r="K19" i="1"/>
  <c r="S19" i="1"/>
  <c r="V19" i="1"/>
  <c r="W19" i="1"/>
  <c r="X19" i="1"/>
  <c r="Y19" i="1"/>
  <c r="AA19" i="1"/>
  <c r="AC19" i="1"/>
  <c r="AD19" i="1"/>
  <c r="AE19" i="1"/>
  <c r="AG19" i="1"/>
  <c r="E20" i="1"/>
  <c r="K20" i="1"/>
  <c r="S20" i="1"/>
  <c r="V20" i="1"/>
  <c r="W20" i="1"/>
  <c r="X20" i="1"/>
  <c r="Y20" i="1"/>
  <c r="AA20" i="1"/>
  <c r="AC20" i="1"/>
  <c r="AD20" i="1"/>
  <c r="AE20" i="1"/>
  <c r="AG20" i="1"/>
  <c r="F21" i="1"/>
  <c r="G21" i="1"/>
  <c r="H21" i="1"/>
  <c r="J21" i="1"/>
  <c r="L21" i="1"/>
  <c r="M21" i="1"/>
  <c r="N21" i="1"/>
  <c r="O21" i="1"/>
  <c r="P21" i="1"/>
  <c r="R21" i="1"/>
  <c r="T21" i="1"/>
  <c r="K22" i="1"/>
  <c r="K21" i="1" s="1"/>
  <c r="S22" i="1"/>
  <c r="S21" i="1" s="1"/>
  <c r="W22" i="1"/>
  <c r="W21" i="1" s="1"/>
  <c r="X22" i="1"/>
  <c r="Y22" i="1"/>
  <c r="Y21" i="1" s="1"/>
  <c r="AA22" i="1"/>
  <c r="AA21" i="1" s="1"/>
  <c r="AC22" i="1"/>
  <c r="AC21" i="1" s="1"/>
  <c r="AD22" i="1"/>
  <c r="AD21" i="1" s="1"/>
  <c r="AE22" i="1"/>
  <c r="AE21" i="1" s="1"/>
  <c r="AG22" i="1"/>
  <c r="AG21" i="1" s="1"/>
  <c r="K25" i="1"/>
  <c r="L25" i="1"/>
  <c r="V25" i="1"/>
  <c r="W25" i="1"/>
  <c r="X25" i="1"/>
  <c r="Y25" i="1"/>
  <c r="AA25" i="1"/>
  <c r="AC25" i="1"/>
  <c r="F31" i="1"/>
  <c r="F24" i="1" s="1"/>
  <c r="G31" i="1"/>
  <c r="G24" i="1" s="1"/>
  <c r="H31" i="1"/>
  <c r="H24" i="1" s="1"/>
  <c r="J31" i="1"/>
  <c r="J24" i="1" s="1"/>
  <c r="L31" i="1"/>
  <c r="M31" i="1"/>
  <c r="E32" i="1"/>
  <c r="K32" i="1"/>
  <c r="AC32" i="1"/>
  <c r="AD32" i="1"/>
  <c r="V32" i="1"/>
  <c r="E33" i="1"/>
  <c r="K33" i="1"/>
  <c r="AC33" i="1"/>
  <c r="AD33" i="1"/>
  <c r="AE33" i="1"/>
  <c r="AG33" i="1"/>
  <c r="V33" i="1"/>
  <c r="K34" i="1"/>
  <c r="AE34" i="1"/>
  <c r="AG34" i="1"/>
  <c r="V34" i="1"/>
  <c r="AC34" i="1"/>
  <c r="F35" i="1"/>
  <c r="G35" i="1"/>
  <c r="H35" i="1"/>
  <c r="J35" i="1"/>
  <c r="L35" i="1"/>
  <c r="M35" i="1"/>
  <c r="N35" i="1"/>
  <c r="O35" i="1"/>
  <c r="P35" i="1"/>
  <c r="R35" i="1"/>
  <c r="T35" i="1"/>
  <c r="E36" i="1"/>
  <c r="K36" i="1"/>
  <c r="K35" i="1" s="1"/>
  <c r="S36" i="1"/>
  <c r="S35" i="1" s="1"/>
  <c r="V36" i="1"/>
  <c r="V35" i="1" s="1"/>
  <c r="W36" i="1"/>
  <c r="W35" i="1" s="1"/>
  <c r="X36" i="1"/>
  <c r="X35" i="1" s="1"/>
  <c r="Y36" i="1"/>
  <c r="Y35" i="1" s="1"/>
  <c r="AA36" i="1"/>
  <c r="AA35" i="1" s="1"/>
  <c r="AC36" i="1"/>
  <c r="AC35" i="1" s="1"/>
  <c r="AD36" i="1"/>
  <c r="AD35" i="1" s="1"/>
  <c r="AE36" i="1"/>
  <c r="AE35" i="1" s="1"/>
  <c r="AG36" i="1"/>
  <c r="AG35" i="1" s="1"/>
  <c r="M37" i="1"/>
  <c r="N37" i="1"/>
  <c r="O37" i="1"/>
  <c r="P37" i="1"/>
  <c r="R37" i="1"/>
  <c r="T37" i="1"/>
  <c r="E37" i="1"/>
  <c r="F37" i="1"/>
  <c r="G37" i="1"/>
  <c r="H37" i="1"/>
  <c r="J37" i="1"/>
  <c r="L37" i="1"/>
  <c r="S37" i="1"/>
  <c r="F43" i="1"/>
  <c r="G43" i="1"/>
  <c r="H43" i="1"/>
  <c r="J43" i="1"/>
  <c r="L43" i="1"/>
  <c r="M43" i="1"/>
  <c r="E44" i="1"/>
  <c r="E43" i="1" s="1"/>
  <c r="K44" i="1"/>
  <c r="K43" i="1" s="1"/>
  <c r="N43" i="1"/>
  <c r="O43" i="1"/>
  <c r="T43" i="1"/>
  <c r="V44" i="1"/>
  <c r="W44" i="1"/>
  <c r="W43" i="1" s="1"/>
  <c r="X44" i="1"/>
  <c r="Y44" i="1"/>
  <c r="Y43" i="1" s="1"/>
  <c r="AA44" i="1"/>
  <c r="AA43" i="1" s="1"/>
  <c r="F46" i="1"/>
  <c r="F45" i="1" s="1"/>
  <c r="G46" i="1"/>
  <c r="G45" i="1" s="1"/>
  <c r="H46" i="1"/>
  <c r="H45" i="1" s="1"/>
  <c r="J46" i="1"/>
  <c r="J45" i="1" s="1"/>
  <c r="L46" i="1"/>
  <c r="L45" i="1" s="1"/>
  <c r="M46" i="1"/>
  <c r="M45" i="1" s="1"/>
  <c r="E47" i="1"/>
  <c r="K47" i="1"/>
  <c r="AC47" i="1"/>
  <c r="AD47" i="1"/>
  <c r="V47" i="1"/>
  <c r="W47" i="1"/>
  <c r="X47" i="1"/>
  <c r="Y47" i="1"/>
  <c r="AA47" i="1"/>
  <c r="E48" i="1"/>
  <c r="K48" i="1"/>
  <c r="AC48" i="1"/>
  <c r="AD48" i="1"/>
  <c r="V48" i="1"/>
  <c r="W48" i="1"/>
  <c r="X48" i="1"/>
  <c r="Y48" i="1"/>
  <c r="AA48" i="1"/>
  <c r="E49" i="1"/>
  <c r="K49" i="1"/>
  <c r="AC49" i="1"/>
  <c r="AD49" i="1"/>
  <c r="V49" i="1"/>
  <c r="W49" i="1"/>
  <c r="X49" i="1"/>
  <c r="Y49" i="1"/>
  <c r="AA49" i="1"/>
  <c r="F42" i="1"/>
  <c r="H42" i="1"/>
  <c r="J42" i="1"/>
  <c r="L51" i="1"/>
  <c r="AC51" i="1"/>
  <c r="AC50" i="1" s="1"/>
  <c r="M56" i="1"/>
  <c r="N56" i="1"/>
  <c r="O56" i="1"/>
  <c r="P56" i="1"/>
  <c r="R56" i="1"/>
  <c r="T56" i="1"/>
  <c r="E57" i="1"/>
  <c r="E56" i="1" s="1"/>
  <c r="F57" i="1"/>
  <c r="F56" i="1" s="1"/>
  <c r="G57" i="1"/>
  <c r="G56" i="1" s="1"/>
  <c r="H57" i="1"/>
  <c r="Y57" i="1" s="1"/>
  <c r="J57" i="1"/>
  <c r="J56" i="1" s="1"/>
  <c r="L57" i="1"/>
  <c r="L56" i="1" s="1"/>
  <c r="S57" i="1"/>
  <c r="S56" i="1" s="1"/>
  <c r="V57" i="1"/>
  <c r="AC57" i="1"/>
  <c r="AC56" i="1" s="1"/>
  <c r="AD57" i="1"/>
  <c r="AD56" i="1" s="1"/>
  <c r="AE57" i="1"/>
  <c r="AE56" i="1" s="1"/>
  <c r="AG57" i="1"/>
  <c r="AG56" i="1" s="1"/>
  <c r="F72" i="1"/>
  <c r="G72" i="1"/>
  <c r="H72" i="1"/>
  <c r="J72" i="1"/>
  <c r="L72" i="1"/>
  <c r="M72" i="1"/>
  <c r="N72" i="1"/>
  <c r="O72" i="1"/>
  <c r="P72" i="1"/>
  <c r="R72" i="1"/>
  <c r="T72" i="1"/>
  <c r="E73" i="1"/>
  <c r="K73" i="1"/>
  <c r="S73" i="1"/>
  <c r="V73" i="1"/>
  <c r="W73" i="1"/>
  <c r="X73" i="1"/>
  <c r="Y73" i="1"/>
  <c r="AA73" i="1"/>
  <c r="AC73" i="1"/>
  <c r="AD73" i="1"/>
  <c r="AE73" i="1"/>
  <c r="AG73" i="1"/>
  <c r="E74" i="1"/>
  <c r="K74" i="1"/>
  <c r="S74" i="1"/>
  <c r="V74" i="1"/>
  <c r="W74" i="1"/>
  <c r="X74" i="1"/>
  <c r="Y74" i="1"/>
  <c r="AA74" i="1"/>
  <c r="AC74" i="1"/>
  <c r="AD74" i="1"/>
  <c r="AE74" i="1"/>
  <c r="AG74" i="1"/>
  <c r="E75" i="1"/>
  <c r="K75" i="1"/>
  <c r="S75" i="1"/>
  <c r="V75" i="1"/>
  <c r="W75" i="1"/>
  <c r="X75" i="1"/>
  <c r="Y75" i="1"/>
  <c r="AA75" i="1"/>
  <c r="AC75" i="1"/>
  <c r="AD75" i="1"/>
  <c r="AE75" i="1"/>
  <c r="AG75" i="1"/>
  <c r="E76" i="1"/>
  <c r="K76" i="1"/>
  <c r="S76" i="1"/>
  <c r="V76" i="1"/>
  <c r="W76" i="1"/>
  <c r="X76" i="1"/>
  <c r="Y76" i="1"/>
  <c r="AA76" i="1"/>
  <c r="AC76" i="1"/>
  <c r="AD76" i="1"/>
  <c r="AE76" i="1"/>
  <c r="AG76" i="1"/>
  <c r="F77" i="1"/>
  <c r="G77" i="1"/>
  <c r="H77" i="1"/>
  <c r="J77" i="1"/>
  <c r="L77" i="1"/>
  <c r="M77" i="1"/>
  <c r="N77" i="1"/>
  <c r="O77" i="1"/>
  <c r="P77" i="1"/>
  <c r="R77" i="1"/>
  <c r="T77" i="1"/>
  <c r="E78" i="1"/>
  <c r="K78" i="1"/>
  <c r="S78" i="1"/>
  <c r="V78" i="1"/>
  <c r="W78" i="1"/>
  <c r="X78" i="1"/>
  <c r="Y78" i="1"/>
  <c r="AA78" i="1"/>
  <c r="AC78" i="1"/>
  <c r="AD78" i="1"/>
  <c r="AE78" i="1"/>
  <c r="AG78" i="1"/>
  <c r="E79" i="1"/>
  <c r="K79" i="1"/>
  <c r="S79" i="1"/>
  <c r="V79" i="1"/>
  <c r="W79" i="1"/>
  <c r="X79" i="1"/>
  <c r="Y79" i="1"/>
  <c r="AA79" i="1"/>
  <c r="AC79" i="1"/>
  <c r="AD79" i="1"/>
  <c r="AE79" i="1"/>
  <c r="AG79" i="1"/>
  <c r="E80" i="1"/>
  <c r="K80" i="1"/>
  <c r="S80" i="1"/>
  <c r="V80" i="1"/>
  <c r="W80" i="1"/>
  <c r="X80" i="1"/>
  <c r="Y80" i="1"/>
  <c r="AA80" i="1"/>
  <c r="AC80" i="1"/>
  <c r="AD80" i="1"/>
  <c r="AE80" i="1"/>
  <c r="AG80" i="1"/>
  <c r="E81" i="1"/>
  <c r="K81" i="1"/>
  <c r="S81" i="1"/>
  <c r="V81" i="1"/>
  <c r="W81" i="1"/>
  <c r="X81" i="1"/>
  <c r="Y81" i="1"/>
  <c r="AA81" i="1"/>
  <c r="AC81" i="1"/>
  <c r="AD81" i="1"/>
  <c r="AE81" i="1"/>
  <c r="AG81" i="1"/>
  <c r="F82" i="1"/>
  <c r="G82" i="1"/>
  <c r="H82" i="1"/>
  <c r="J82" i="1"/>
  <c r="L82" i="1"/>
  <c r="M82" i="1"/>
  <c r="N82" i="1"/>
  <c r="O82" i="1"/>
  <c r="P82" i="1"/>
  <c r="R82" i="1"/>
  <c r="T82" i="1"/>
  <c r="E83" i="1"/>
  <c r="K83" i="1"/>
  <c r="S83" i="1"/>
  <c r="V83" i="1"/>
  <c r="W83" i="1"/>
  <c r="X83" i="1"/>
  <c r="Y83" i="1"/>
  <c r="AA83" i="1"/>
  <c r="AC83" i="1"/>
  <c r="AD83" i="1"/>
  <c r="AE83" i="1"/>
  <c r="AG83" i="1"/>
  <c r="E84" i="1"/>
  <c r="K84" i="1"/>
  <c r="S84" i="1"/>
  <c r="V84" i="1"/>
  <c r="W84" i="1"/>
  <c r="X84" i="1"/>
  <c r="Y84" i="1"/>
  <c r="AA84" i="1"/>
  <c r="AC84" i="1"/>
  <c r="AD84" i="1"/>
  <c r="AE84" i="1"/>
  <c r="AG84" i="1"/>
  <c r="E85" i="1"/>
  <c r="K85" i="1"/>
  <c r="S85" i="1"/>
  <c r="V85" i="1"/>
  <c r="W85" i="1"/>
  <c r="X85" i="1"/>
  <c r="Y85" i="1"/>
  <c r="AA85" i="1"/>
  <c r="AC85" i="1"/>
  <c r="AD85" i="1"/>
  <c r="AE85" i="1"/>
  <c r="AG85" i="1"/>
  <c r="E86" i="1"/>
  <c r="K86" i="1"/>
  <c r="S86" i="1"/>
  <c r="V86" i="1"/>
  <c r="W86" i="1"/>
  <c r="X86" i="1"/>
  <c r="Y86" i="1"/>
  <c r="AA86" i="1"/>
  <c r="AC86" i="1"/>
  <c r="AD86" i="1"/>
  <c r="AE86" i="1"/>
  <c r="AG86" i="1"/>
  <c r="F87" i="1"/>
  <c r="G87" i="1"/>
  <c r="H87" i="1"/>
  <c r="J87" i="1"/>
  <c r="M87" i="1"/>
  <c r="N87" i="1"/>
  <c r="O87" i="1"/>
  <c r="P87" i="1"/>
  <c r="R87" i="1"/>
  <c r="T87" i="1"/>
  <c r="E88" i="1"/>
  <c r="E87" i="1" s="1"/>
  <c r="K88" i="1"/>
  <c r="K87" i="1" s="1"/>
  <c r="L88" i="1"/>
  <c r="L87" i="1" s="1"/>
  <c r="S88" i="1"/>
  <c r="S87" i="1" s="1"/>
  <c r="V88" i="1"/>
  <c r="V87" i="1" s="1"/>
  <c r="W88" i="1"/>
  <c r="X88" i="1"/>
  <c r="X87" i="1" s="1"/>
  <c r="Y88" i="1"/>
  <c r="Y87" i="1" s="1"/>
  <c r="AA88" i="1"/>
  <c r="AA87" i="1" s="1"/>
  <c r="AC88" i="1"/>
  <c r="AC87" i="1" s="1"/>
  <c r="AD88" i="1"/>
  <c r="AE88" i="1"/>
  <c r="AE87" i="1" s="1"/>
  <c r="AG88" i="1"/>
  <c r="AG87" i="1" s="1"/>
  <c r="AJ88" i="1"/>
  <c r="M89" i="1"/>
  <c r="N89" i="1"/>
  <c r="O89" i="1"/>
  <c r="P89" i="1"/>
  <c r="R89" i="1"/>
  <c r="T89" i="1"/>
  <c r="E90" i="1"/>
  <c r="E89" i="1" s="1"/>
  <c r="F90" i="1"/>
  <c r="F89" i="1" s="1"/>
  <c r="G90" i="1"/>
  <c r="H90" i="1"/>
  <c r="H89" i="1" s="1"/>
  <c r="J90" i="1"/>
  <c r="AA90" i="1" s="1"/>
  <c r="L90" i="1"/>
  <c r="L89" i="1" s="1"/>
  <c r="S90" i="1"/>
  <c r="S89" i="1" s="1"/>
  <c r="V90" i="1"/>
  <c r="V89" i="1" s="1"/>
  <c r="AC90" i="1"/>
  <c r="AC89" i="1" s="1"/>
  <c r="AD90" i="1"/>
  <c r="AE90" i="1"/>
  <c r="AE89" i="1" s="1"/>
  <c r="AG90" i="1"/>
  <c r="AG89" i="1" s="1"/>
  <c r="AJ94" i="1"/>
  <c r="AK94" i="1"/>
  <c r="AL94" i="1"/>
  <c r="AN94" i="1"/>
  <c r="AJ95" i="1"/>
  <c r="AK95" i="1"/>
  <c r="AL95" i="1"/>
  <c r="AN95" i="1"/>
  <c r="L24" i="1" l="1"/>
  <c r="L50" i="1"/>
  <c r="L42" i="1" s="1"/>
  <c r="X57" i="1"/>
  <c r="X56" i="1" s="1"/>
  <c r="M24" i="1"/>
  <c r="M23" i="1" s="1"/>
  <c r="G42" i="1"/>
  <c r="AL88" i="1"/>
  <c r="AG58" i="1"/>
  <c r="AD58" i="1"/>
  <c r="S58" i="1"/>
  <c r="AE58" i="1"/>
  <c r="AC58" i="1"/>
  <c r="AA58" i="1"/>
  <c r="X58" i="1"/>
  <c r="Y58" i="1"/>
  <c r="W58" i="1"/>
  <c r="K58" i="1"/>
  <c r="AQ88" i="1"/>
  <c r="AQ90" i="1"/>
  <c r="AS88" i="1"/>
  <c r="AS90" i="1"/>
  <c r="AP88" i="1"/>
  <c r="AP90" i="1"/>
  <c r="U57" i="1"/>
  <c r="U56" i="1" s="1"/>
  <c r="AC31" i="1"/>
  <c r="AC24" i="1" s="1"/>
  <c r="AC46" i="1"/>
  <c r="AD46" i="1"/>
  <c r="AB11" i="1"/>
  <c r="AI11" i="1" s="1"/>
  <c r="U11" i="1"/>
  <c r="AH10" i="1"/>
  <c r="M42" i="1"/>
  <c r="J23" i="1"/>
  <c r="AA31" i="1"/>
  <c r="AA24" i="1" s="1"/>
  <c r="AA23" i="1" s="1"/>
  <c r="G23" i="1"/>
  <c r="X31" i="1"/>
  <c r="H23" i="1"/>
  <c r="Y31" i="1"/>
  <c r="Y24" i="1" s="1"/>
  <c r="Y23" i="1" s="1"/>
  <c r="F23" i="1"/>
  <c r="W31" i="1"/>
  <c r="W24" i="1" s="1"/>
  <c r="U13" i="1"/>
  <c r="AH37" i="1"/>
  <c r="AE37" i="1"/>
  <c r="AC37" i="1"/>
  <c r="U18" i="1"/>
  <c r="U86" i="1"/>
  <c r="U74" i="1"/>
  <c r="AG37" i="1"/>
  <c r="AD37" i="1"/>
  <c r="AZ36" i="1"/>
  <c r="AH20" i="1"/>
  <c r="AB19" i="1"/>
  <c r="AI19" i="1" s="1"/>
  <c r="AH57" i="1"/>
  <c r="AH56" i="1" s="1"/>
  <c r="AB81" i="1"/>
  <c r="AI81" i="1" s="1"/>
  <c r="Y46" i="1"/>
  <c r="W46" i="1"/>
  <c r="AB17" i="1"/>
  <c r="AI17" i="1" s="1"/>
  <c r="AO95" i="1"/>
  <c r="AH85" i="1"/>
  <c r="AH14" i="1"/>
  <c r="AB79" i="1"/>
  <c r="AI79" i="1" s="1"/>
  <c r="AH75" i="1"/>
  <c r="AB13" i="1"/>
  <c r="AI13" i="1" s="1"/>
  <c r="AH12" i="1"/>
  <c r="AB26" i="1"/>
  <c r="AB22" i="1"/>
  <c r="S82" i="1"/>
  <c r="AB74" i="1"/>
  <c r="AI74" i="1" s="1"/>
  <c r="AH73" i="1"/>
  <c r="U84" i="1"/>
  <c r="AH83" i="1"/>
  <c r="U80" i="1"/>
  <c r="U76" i="1"/>
  <c r="W37" i="1"/>
  <c r="S33" i="1"/>
  <c r="U33" i="1" s="1"/>
  <c r="AH18" i="1"/>
  <c r="Y90" i="1"/>
  <c r="Y51" i="1"/>
  <c r="Y50" i="1" s="1"/>
  <c r="AH90" i="1"/>
  <c r="AH89" i="1" s="1"/>
  <c r="W90" i="1"/>
  <c r="AJ90" i="1" s="1"/>
  <c r="AN88" i="1"/>
  <c r="AK88" i="1"/>
  <c r="AH88" i="1"/>
  <c r="AH87" i="1" s="1"/>
  <c r="AB88" i="1"/>
  <c r="AI88" i="1" s="1"/>
  <c r="AI87" i="1" s="1"/>
  <c r="AB86" i="1"/>
  <c r="AI86" i="1" s="1"/>
  <c r="AH80" i="1"/>
  <c r="AB80" i="1"/>
  <c r="AI80" i="1" s="1"/>
  <c r="AG77" i="1"/>
  <c r="AH79" i="1"/>
  <c r="Y77" i="1"/>
  <c r="AB76" i="1"/>
  <c r="AI76" i="1" s="1"/>
  <c r="AB84" i="1"/>
  <c r="AI84" i="1" s="1"/>
  <c r="AE82" i="1"/>
  <c r="AC82" i="1"/>
  <c r="AC71" i="1" s="1"/>
  <c r="AH81" i="1"/>
  <c r="AH78" i="1"/>
  <c r="AA77" i="1"/>
  <c r="X77" i="1"/>
  <c r="AE72" i="1"/>
  <c r="AC72" i="1"/>
  <c r="S72" i="1"/>
  <c r="R71" i="1"/>
  <c r="O71" i="1"/>
  <c r="M71" i="1"/>
  <c r="M55" i="1" s="1"/>
  <c r="AB48" i="1"/>
  <c r="AI48" i="1" s="1"/>
  <c r="X21" i="1"/>
  <c r="AA16" i="1"/>
  <c r="AB18" i="1"/>
  <c r="AI18" i="1" s="1"/>
  <c r="AG16" i="1"/>
  <c r="AD16" i="1"/>
  <c r="Y16" i="1"/>
  <c r="W16" i="1"/>
  <c r="S16" i="1"/>
  <c r="AH11" i="1"/>
  <c r="AG9" i="1"/>
  <c r="AD9" i="1"/>
  <c r="AD8" i="1" s="1"/>
  <c r="AA9" i="1"/>
  <c r="X9" i="1"/>
  <c r="X8" i="1" s="1"/>
  <c r="K9" i="1"/>
  <c r="T7" i="1"/>
  <c r="P7" i="1"/>
  <c r="N7" i="1"/>
  <c r="L7" i="1"/>
  <c r="H7" i="1"/>
  <c r="F7" i="1"/>
  <c r="AH86" i="1"/>
  <c r="AB85" i="1"/>
  <c r="AI85" i="1" s="1"/>
  <c r="U85" i="1"/>
  <c r="AG82" i="1"/>
  <c r="AH84" i="1"/>
  <c r="Y82" i="1"/>
  <c r="AA82" i="1"/>
  <c r="X82" i="1"/>
  <c r="U81" i="1"/>
  <c r="U79" i="1"/>
  <c r="AE77" i="1"/>
  <c r="AC77" i="1"/>
  <c r="S77" i="1"/>
  <c r="AH76" i="1"/>
  <c r="AB75" i="1"/>
  <c r="AI75" i="1" s="1"/>
  <c r="U75" i="1"/>
  <c r="AG72" i="1"/>
  <c r="AH74" i="1"/>
  <c r="Y72" i="1"/>
  <c r="AA72" i="1"/>
  <c r="X72" i="1"/>
  <c r="T71" i="1"/>
  <c r="P71" i="1"/>
  <c r="P55" i="1" s="1"/>
  <c r="N71" i="1"/>
  <c r="W51" i="1"/>
  <c r="W50" i="1" s="1"/>
  <c r="AB47" i="1"/>
  <c r="AI47" i="1" s="1"/>
  <c r="AB44" i="1"/>
  <c r="U37" i="1"/>
  <c r="BC36" i="1"/>
  <c r="AH36" i="1"/>
  <c r="AH35" i="1" s="1"/>
  <c r="U19" i="1"/>
  <c r="AE16" i="1"/>
  <c r="AC16" i="1"/>
  <c r="U17" i="1"/>
  <c r="K16" i="1"/>
  <c r="AB14" i="1"/>
  <c r="U14" i="1"/>
  <c r="AH13" i="1"/>
  <c r="AB12" i="1"/>
  <c r="AI12" i="1" s="1"/>
  <c r="U12" i="1"/>
  <c r="AE9" i="1"/>
  <c r="AC9" i="1"/>
  <c r="AC8" i="1" s="1"/>
  <c r="Y9" i="1"/>
  <c r="W9" i="1"/>
  <c r="S9" i="1"/>
  <c r="R7" i="1"/>
  <c r="O7" i="1"/>
  <c r="M7" i="1"/>
  <c r="J7" i="1"/>
  <c r="G7" i="1"/>
  <c r="AD44" i="1"/>
  <c r="S34" i="1"/>
  <c r="U34" i="1" s="1"/>
  <c r="AA37" i="1"/>
  <c r="V9" i="1"/>
  <c r="V8" i="1" s="1"/>
  <c r="AH33" i="1"/>
  <c r="AC44" i="1"/>
  <c r="AD34" i="1"/>
  <c r="U88" i="1"/>
  <c r="U87" i="1" s="1"/>
  <c r="W57" i="1"/>
  <c r="W56" i="1" s="1"/>
  <c r="K37" i="1"/>
  <c r="U90" i="1"/>
  <c r="U89" i="1" s="1"/>
  <c r="V77" i="1"/>
  <c r="K77" i="1"/>
  <c r="J71" i="1"/>
  <c r="J55" i="1" s="1"/>
  <c r="G71" i="1"/>
  <c r="G55" i="1" s="1"/>
  <c r="AA57" i="1"/>
  <c r="AA56" i="1" s="1"/>
  <c r="K57" i="1"/>
  <c r="K56" i="1" s="1"/>
  <c r="AA51" i="1"/>
  <c r="AA50" i="1" s="1"/>
  <c r="X51" i="1"/>
  <c r="X50" i="1" s="1"/>
  <c r="K46" i="1"/>
  <c r="K45" i="1" s="1"/>
  <c r="E31" i="1"/>
  <c r="AI14" i="1"/>
  <c r="K90" i="1"/>
  <c r="K89" i="1" s="1"/>
  <c r="V82" i="1"/>
  <c r="K82" i="1"/>
  <c r="V72" i="1"/>
  <c r="K72" i="1"/>
  <c r="L71" i="1"/>
  <c r="L55" i="1" s="1"/>
  <c r="H71" i="1"/>
  <c r="F71" i="1"/>
  <c r="F55" i="1" s="1"/>
  <c r="E46" i="1"/>
  <c r="E16" i="1"/>
  <c r="O46" i="1"/>
  <c r="N46" i="1"/>
  <c r="N31" i="1"/>
  <c r="N24" i="1" s="1"/>
  <c r="AA89" i="1"/>
  <c r="AN90" i="1"/>
  <c r="R55" i="1"/>
  <c r="O55" i="1"/>
  <c r="AO94" i="1"/>
  <c r="Y56" i="1"/>
  <c r="T55" i="1"/>
  <c r="N55" i="1"/>
  <c r="AD89" i="1"/>
  <c r="J89" i="1"/>
  <c r="G89" i="1"/>
  <c r="AD87" i="1"/>
  <c r="W87" i="1"/>
  <c r="AD82" i="1"/>
  <c r="W82" i="1"/>
  <c r="E82" i="1"/>
  <c r="AD77" i="1"/>
  <c r="W77" i="1"/>
  <c r="E77" i="1"/>
  <c r="AD72" i="1"/>
  <c r="W72" i="1"/>
  <c r="E72" i="1"/>
  <c r="V56" i="1"/>
  <c r="H56" i="1"/>
  <c r="AB43" i="1"/>
  <c r="AI44" i="1"/>
  <c r="AI43" i="1" s="1"/>
  <c r="AI33" i="1"/>
  <c r="X90" i="1"/>
  <c r="AB83" i="1"/>
  <c r="U83" i="1"/>
  <c r="AB78" i="1"/>
  <c r="U78" i="1"/>
  <c r="AB73" i="1"/>
  <c r="U73" i="1"/>
  <c r="AH58" i="1"/>
  <c r="AY51" i="1"/>
  <c r="K51" i="1"/>
  <c r="K50" i="1" s="1"/>
  <c r="AB49" i="1"/>
  <c r="AA46" i="1"/>
  <c r="AI34" i="1"/>
  <c r="AI32" i="1"/>
  <c r="X46" i="1"/>
  <c r="V46" i="1"/>
  <c r="V45" i="1" s="1"/>
  <c r="X43" i="1"/>
  <c r="V43" i="1"/>
  <c r="V37" i="1"/>
  <c r="E35" i="1"/>
  <c r="AB25" i="1"/>
  <c r="AI25" i="1" s="1"/>
  <c r="L23" i="1"/>
  <c r="BA36" i="1"/>
  <c r="AY36" i="1"/>
  <c r="AB36" i="1"/>
  <c r="AI36" i="1" s="1"/>
  <c r="AI35" i="1" s="1"/>
  <c r="U36" i="1"/>
  <c r="U35" i="1" s="1"/>
  <c r="V31" i="1"/>
  <c r="V24" i="1" s="1"/>
  <c r="V23" i="1" s="1"/>
  <c r="T31" i="1"/>
  <c r="O31" i="1"/>
  <c r="O24" i="1" s="1"/>
  <c r="K31" i="1"/>
  <c r="AY25" i="1"/>
  <c r="AD25" i="1"/>
  <c r="AH22" i="1"/>
  <c r="AH21" i="1" s="1"/>
  <c r="AB20" i="1"/>
  <c r="AI20" i="1" s="1"/>
  <c r="U20" i="1"/>
  <c r="AH19" i="1"/>
  <c r="X16" i="1"/>
  <c r="V16" i="1"/>
  <c r="E9" i="1"/>
  <c r="AH17" i="1"/>
  <c r="AB10" i="1"/>
  <c r="U10" i="1"/>
  <c r="Y71" i="1" l="1"/>
  <c r="AD7" i="1"/>
  <c r="AB87" i="1"/>
  <c r="AB46" i="1"/>
  <c r="AI46" i="1" s="1"/>
  <c r="S71" i="1"/>
  <c r="S55" i="1" s="1"/>
  <c r="AH9" i="1"/>
  <c r="AH8" i="1" s="1"/>
  <c r="H55" i="1"/>
  <c r="H91" i="1" s="1"/>
  <c r="AA71" i="1"/>
  <c r="AA55" i="1" s="1"/>
  <c r="AC7" i="1"/>
  <c r="X71" i="1"/>
  <c r="X55" i="1" s="1"/>
  <c r="AH77" i="1"/>
  <c r="E24" i="1"/>
  <c r="E23" i="1" s="1"/>
  <c r="W23" i="1"/>
  <c r="X7" i="1"/>
  <c r="X24" i="1"/>
  <c r="X23" i="1" s="1"/>
  <c r="T24" i="1"/>
  <c r="T23" i="1" s="1"/>
  <c r="K24" i="1"/>
  <c r="K23" i="1" s="1"/>
  <c r="S8" i="1"/>
  <c r="S7" i="1" s="1"/>
  <c r="K8" i="1"/>
  <c r="K7" i="1" s="1"/>
  <c r="Y8" i="1"/>
  <c r="Y7" i="1" s="1"/>
  <c r="AE8" i="1"/>
  <c r="AE7" i="1" s="1"/>
  <c r="W8" i="1"/>
  <c r="W7" i="1" s="1"/>
  <c r="AA8" i="1"/>
  <c r="AA7" i="1" s="1"/>
  <c r="AG8" i="1"/>
  <c r="AG7" i="1" s="1"/>
  <c r="AE71" i="1"/>
  <c r="AE55" i="1" s="1"/>
  <c r="AG71" i="1"/>
  <c r="AG55" i="1" s="1"/>
  <c r="E8" i="1"/>
  <c r="E7" i="1" s="1"/>
  <c r="AB16" i="1"/>
  <c r="U9" i="1"/>
  <c r="U8" i="1" s="1"/>
  <c r="AC55" i="1"/>
  <c r="AB58" i="1"/>
  <c r="AH72" i="1"/>
  <c r="AO88" i="1"/>
  <c r="AO90" i="1"/>
  <c r="AD31" i="1"/>
  <c r="M91" i="1"/>
  <c r="M92" i="1" s="1"/>
  <c r="M93" i="1" s="1"/>
  <c r="AC43" i="1"/>
  <c r="AY44" i="1"/>
  <c r="AD43" i="1"/>
  <c r="AZ44" i="1"/>
  <c r="K42" i="1"/>
  <c r="AA45" i="1"/>
  <c r="AB21" i="1"/>
  <c r="W45" i="1"/>
  <c r="W42" i="1" s="1"/>
  <c r="X45" i="1"/>
  <c r="Y45" i="1"/>
  <c r="AB31" i="1"/>
  <c r="V42" i="1"/>
  <c r="N45" i="1"/>
  <c r="N42" i="1" s="1"/>
  <c r="O45" i="1"/>
  <c r="AD45" i="1"/>
  <c r="E45" i="1"/>
  <c r="O23" i="1"/>
  <c r="N23" i="1"/>
  <c r="Y55" i="1"/>
  <c r="U16" i="1"/>
  <c r="U72" i="1"/>
  <c r="U82" i="1"/>
  <c r="W71" i="1"/>
  <c r="W55" i="1" s="1"/>
  <c r="K71" i="1"/>
  <c r="K55" i="1" s="1"/>
  <c r="AI16" i="1"/>
  <c r="Y37" i="1"/>
  <c r="AB51" i="1"/>
  <c r="AB50" i="1" s="1"/>
  <c r="W89" i="1"/>
  <c r="AB57" i="1"/>
  <c r="AB56" i="1" s="1"/>
  <c r="V7" i="1"/>
  <c r="X37" i="1"/>
  <c r="G91" i="1"/>
  <c r="U77" i="1"/>
  <c r="V71" i="1"/>
  <c r="AJ51" i="1"/>
  <c r="AH82" i="1"/>
  <c r="AL51" i="1"/>
  <c r="Y89" i="1"/>
  <c r="AL90" i="1"/>
  <c r="AH16" i="1"/>
  <c r="L91" i="1"/>
  <c r="J91" i="1"/>
  <c r="AH34" i="1"/>
  <c r="F91" i="1"/>
  <c r="AN51" i="1"/>
  <c r="AK51" i="1"/>
  <c r="AB9" i="1"/>
  <c r="AZ25" i="1"/>
  <c r="AI49" i="1"/>
  <c r="AB72" i="1"/>
  <c r="AB77" i="1"/>
  <c r="AB82" i="1"/>
  <c r="E71" i="1"/>
  <c r="AD71" i="1"/>
  <c r="AD55" i="1" s="1"/>
  <c r="AI83" i="1"/>
  <c r="AI82" i="1" s="1"/>
  <c r="AI10" i="1"/>
  <c r="AI9" i="1" s="1"/>
  <c r="AI8" i="1" s="1"/>
  <c r="AB35" i="1"/>
  <c r="X89" i="1"/>
  <c r="AK90" i="1"/>
  <c r="AB90" i="1"/>
  <c r="AI73" i="1"/>
  <c r="AI72" i="1" s="1"/>
  <c r="AI78" i="1"/>
  <c r="AI77" i="1" s="1"/>
  <c r="AB45" i="1" l="1"/>
  <c r="AB24" i="1"/>
  <c r="AB23" i="1" s="1"/>
  <c r="AD24" i="1"/>
  <c r="AD23" i="1" s="1"/>
  <c r="AB8" i="1"/>
  <c r="AI31" i="1"/>
  <c r="AI24" i="1" s="1"/>
  <c r="AI23" i="1" s="1"/>
  <c r="U7" i="1"/>
  <c r="K91" i="1"/>
  <c r="AH71" i="1"/>
  <c r="AH55" i="1" s="1"/>
  <c r="AI7" i="1"/>
  <c r="AH7" i="1"/>
  <c r="AA42" i="1"/>
  <c r="AA91" i="1" s="1"/>
  <c r="X42" i="1"/>
  <c r="X91" i="1" s="1"/>
  <c r="N91" i="1"/>
  <c r="N92" i="1" s="1"/>
  <c r="N93" i="1" s="1"/>
  <c r="AC45" i="1"/>
  <c r="AC42" i="1" s="1"/>
  <c r="Y42" i="1"/>
  <c r="Y91" i="1" s="1"/>
  <c r="AB42" i="1"/>
  <c r="E42" i="1"/>
  <c r="AI45" i="1"/>
  <c r="AC23" i="1"/>
  <c r="U71" i="1"/>
  <c r="AI51" i="1"/>
  <c r="AI50" i="1" s="1"/>
  <c r="H92" i="1"/>
  <c r="H93" i="1" s="1"/>
  <c r="AL93" i="1" s="1"/>
  <c r="AI57" i="1"/>
  <c r="AI56" i="1" s="1"/>
  <c r="W91" i="1"/>
  <c r="AB37" i="1"/>
  <c r="J92" i="1"/>
  <c r="J93" i="1" s="1"/>
  <c r="AN93" i="1" s="1"/>
  <c r="G92" i="1"/>
  <c r="G93" i="1" s="1"/>
  <c r="AK93" i="1" s="1"/>
  <c r="F92" i="1"/>
  <c r="F93" i="1" s="1"/>
  <c r="AJ93" i="1" s="1"/>
  <c r="L92" i="1"/>
  <c r="L93" i="1" s="1"/>
  <c r="AI71" i="1"/>
  <c r="AB89" i="1"/>
  <c r="AI90" i="1"/>
  <c r="AI89" i="1" s="1"/>
  <c r="AB71" i="1"/>
  <c r="AB7" i="1" l="1"/>
  <c r="AC91" i="1"/>
  <c r="AI42" i="1"/>
  <c r="AI37" i="1"/>
  <c r="Y92" i="1"/>
  <c r="Y93" i="1" s="1"/>
  <c r="AQ54" i="1" s="1"/>
  <c r="AA92" i="1"/>
  <c r="AA93" i="1" s="1"/>
  <c r="AS54" i="1" s="1"/>
  <c r="K92" i="1"/>
  <c r="K93" i="1" s="1"/>
  <c r="X92" i="1"/>
  <c r="X93" i="1" s="1"/>
  <c r="AP54" i="1" s="1"/>
  <c r="W92" i="1"/>
  <c r="AB55" i="1"/>
  <c r="AO93" i="1"/>
  <c r="AP52" i="1" l="1"/>
  <c r="AP53" i="1"/>
  <c r="AS52" i="1"/>
  <c r="AS53" i="1"/>
  <c r="AB91" i="1"/>
  <c r="AQ52" i="1"/>
  <c r="AQ53" i="1"/>
  <c r="AP39" i="1"/>
  <c r="AP51" i="1"/>
  <c r="AS39" i="1"/>
  <c r="AS51" i="1"/>
  <c r="AQ39" i="1"/>
  <c r="AQ51" i="1"/>
  <c r="AB92" i="1"/>
  <c r="W93" i="1"/>
  <c r="AO54" i="1" s="1"/>
  <c r="AB93" i="1" l="1"/>
  <c r="AO52" i="1"/>
  <c r="AO53" i="1"/>
  <c r="AO51" i="1"/>
  <c r="AO39" i="1"/>
  <c r="AI58" i="1" l="1"/>
  <c r="E55" i="1" l="1"/>
  <c r="AI55" i="1"/>
  <c r="V55" i="1"/>
  <c r="U58" i="1" l="1"/>
  <c r="U55" i="1" s="1"/>
  <c r="R43" i="1" l="1"/>
  <c r="BC44" i="1" l="1"/>
  <c r="AG43" i="1"/>
  <c r="P43" i="1"/>
  <c r="S44" i="1"/>
  <c r="AE44" i="1"/>
  <c r="BA44" i="1" l="1"/>
  <c r="AE43" i="1"/>
  <c r="AH44" i="1"/>
  <c r="U44" i="1"/>
  <c r="U43" i="1" s="1"/>
  <c r="S43" i="1"/>
  <c r="AH43" i="1" l="1"/>
  <c r="S25" i="1" l="1"/>
  <c r="AG25" i="1"/>
  <c r="BC25" i="1" l="1"/>
  <c r="BA25" i="1"/>
  <c r="AH25" i="1"/>
  <c r="U25" i="1"/>
  <c r="R31" i="1" l="1"/>
  <c r="AG32" i="1"/>
  <c r="AG31" i="1" s="1"/>
  <c r="S32" i="1" l="1"/>
  <c r="U32" i="1" s="1"/>
  <c r="AE32" i="1"/>
  <c r="P31" i="1"/>
  <c r="U31" i="1" l="1"/>
  <c r="S31" i="1"/>
  <c r="AH32" i="1"/>
  <c r="AE31" i="1"/>
  <c r="AH31" i="1" l="1"/>
  <c r="R26" i="1" l="1"/>
  <c r="R24" i="1" s="1"/>
  <c r="R23" i="1" s="1"/>
  <c r="AG28" i="1"/>
  <c r="P26" i="1" l="1"/>
  <c r="P24" i="1" s="1"/>
  <c r="P23" i="1" s="1"/>
  <c r="AE28" i="1"/>
  <c r="S28" i="1"/>
  <c r="AG26" i="1"/>
  <c r="AG24" i="1" s="1"/>
  <c r="AG23" i="1" s="1"/>
  <c r="BC28" i="1"/>
  <c r="S26" i="1" l="1"/>
  <c r="S24" i="1" s="1"/>
  <c r="S23" i="1" s="1"/>
  <c r="U28" i="1"/>
  <c r="U26" i="1" s="1"/>
  <c r="U24" i="1" s="1"/>
  <c r="U23" i="1" s="1"/>
  <c r="BA28" i="1"/>
  <c r="AH28" i="1"/>
  <c r="AE26" i="1"/>
  <c r="AE24" i="1" l="1"/>
  <c r="AE23" i="1" s="1"/>
  <c r="AH26" i="1"/>
  <c r="AH24" i="1" l="1"/>
  <c r="AH23" i="1" s="1"/>
  <c r="AC93" i="1" l="1"/>
  <c r="BD54" i="1" l="1"/>
  <c r="BD30" i="1"/>
  <c r="BD53" i="1"/>
  <c r="BD29" i="1"/>
  <c r="BD36" i="1"/>
  <c r="BD52" i="1"/>
  <c r="BD27" i="1"/>
  <c r="BD39" i="1"/>
  <c r="BD25" i="1"/>
  <c r="BD44" i="1"/>
  <c r="BD51" i="1"/>
  <c r="BD28" i="1"/>
  <c r="D1" i="1" l="1"/>
  <c r="O51" i="1" l="1"/>
  <c r="O50" i="1" l="1"/>
  <c r="O42" i="1" s="1"/>
  <c r="O91" i="1" s="1"/>
  <c r="O92" i="1" s="1"/>
  <c r="AD51" i="1"/>
  <c r="AD50" i="1" l="1"/>
  <c r="AD42" i="1" s="1"/>
  <c r="AD91" i="1" s="1"/>
  <c r="AZ51" i="1"/>
  <c r="O93" i="1"/>
  <c r="Q48" i="1" l="1"/>
  <c r="AF48" i="1" s="1"/>
  <c r="Q49" i="1"/>
  <c r="AF49" i="1" s="1"/>
  <c r="T47" i="1"/>
  <c r="T49" i="1" l="1"/>
  <c r="R49" i="1"/>
  <c r="AG49" i="1" s="1"/>
  <c r="R47" i="1"/>
  <c r="T48" i="1"/>
  <c r="R48" i="1"/>
  <c r="AG48" i="1" s="1"/>
  <c r="T46" i="1" l="1"/>
  <c r="T45" i="1" s="1"/>
  <c r="Q47" i="1"/>
  <c r="AG47" i="1"/>
  <c r="AG46" i="1" s="1"/>
  <c r="AG45" i="1" s="1"/>
  <c r="R46" i="1"/>
  <c r="R45" i="1" s="1"/>
  <c r="P49" i="1"/>
  <c r="P48" i="1"/>
  <c r="P47" i="1"/>
  <c r="AE49" i="1" l="1"/>
  <c r="AH49" i="1" s="1"/>
  <c r="S49" i="1"/>
  <c r="U49" i="1" s="1"/>
  <c r="AE48" i="1"/>
  <c r="AH48" i="1" s="1"/>
  <c r="S48" i="1"/>
  <c r="U48" i="1" s="1"/>
  <c r="AF47" i="1"/>
  <c r="AF46" i="1" s="1"/>
  <c r="AF45" i="1" s="1"/>
  <c r="Q46" i="1"/>
  <c r="Q45" i="1" s="1"/>
  <c r="AE47" i="1"/>
  <c r="S47" i="1"/>
  <c r="P46" i="1"/>
  <c r="P45" i="1" s="1"/>
  <c r="AH47" i="1" l="1"/>
  <c r="AE46" i="1"/>
  <c r="U47" i="1"/>
  <c r="U46" i="1" s="1"/>
  <c r="U45" i="1" s="1"/>
  <c r="S46" i="1"/>
  <c r="S45" i="1" s="1"/>
  <c r="AE45" i="1" l="1"/>
  <c r="AH46" i="1"/>
  <c r="AH45" i="1" l="1"/>
  <c r="R54" i="1" l="1"/>
  <c r="AG54" i="1" s="1"/>
  <c r="BC54" i="1" s="1"/>
  <c r="R52" i="1"/>
  <c r="AG52" i="1" s="1"/>
  <c r="BC52" i="1" s="1"/>
  <c r="Q52" i="1"/>
  <c r="AF52" i="1" s="1"/>
  <c r="BB52" i="1" s="1"/>
  <c r="Q53" i="1"/>
  <c r="AF53" i="1" s="1"/>
  <c r="BB53" i="1" s="1"/>
  <c r="Q54" i="1"/>
  <c r="AF54" i="1" s="1"/>
  <c r="BB54" i="1" s="1"/>
  <c r="T52" i="1"/>
  <c r="P54" i="1" l="1"/>
  <c r="T54" i="1"/>
  <c r="T53" i="1"/>
  <c r="R53" i="1"/>
  <c r="AG53" i="1" s="1"/>
  <c r="BC53" i="1" s="1"/>
  <c r="P53" i="1"/>
  <c r="P52" i="1"/>
  <c r="R51" i="1" l="1"/>
  <c r="AE52" i="1"/>
  <c r="S52" i="1"/>
  <c r="U52" i="1" s="1"/>
  <c r="S54" i="1"/>
  <c r="U54" i="1" s="1"/>
  <c r="AE54" i="1"/>
  <c r="AE53" i="1"/>
  <c r="S53" i="1"/>
  <c r="U53" i="1" s="1"/>
  <c r="BA53" i="1" l="1"/>
  <c r="AH53" i="1"/>
  <c r="AH52" i="1"/>
  <c r="BA52" i="1"/>
  <c r="AG51" i="1"/>
  <c r="R50" i="1"/>
  <c r="R42" i="1" s="1"/>
  <c r="R91" i="1" s="1"/>
  <c r="R92" i="1" s="1"/>
  <c r="R93" i="1" s="1"/>
  <c r="T51" i="1"/>
  <c r="T50" i="1" s="1"/>
  <c r="T42" i="1" s="1"/>
  <c r="T91" i="1" s="1"/>
  <c r="T92" i="1" s="1"/>
  <c r="T93" i="1" s="1"/>
  <c r="Q51" i="1"/>
  <c r="AH54" i="1"/>
  <c r="BA54" i="1"/>
  <c r="P51" i="1" l="1"/>
  <c r="Q50" i="1"/>
  <c r="Q42" i="1" s="1"/>
  <c r="Q91" i="1" s="1"/>
  <c r="Q92" i="1" s="1"/>
  <c r="Q93" i="1" s="1"/>
  <c r="AF51" i="1"/>
  <c r="AG50" i="1"/>
  <c r="AG42" i="1" s="1"/>
  <c r="AG91" i="1" s="1"/>
  <c r="BC51" i="1"/>
  <c r="AF50" i="1" l="1"/>
  <c r="AF42" i="1" s="1"/>
  <c r="AF91" i="1" s="1"/>
  <c r="BB51" i="1"/>
  <c r="S51" i="1"/>
  <c r="P50" i="1"/>
  <c r="P42" i="1" s="1"/>
  <c r="P91" i="1" s="1"/>
  <c r="P92" i="1" s="1"/>
  <c r="AE51" i="1"/>
  <c r="AE50" i="1" l="1"/>
  <c r="AE42" i="1" s="1"/>
  <c r="AE91" i="1" s="1"/>
  <c r="BA51" i="1"/>
  <c r="AH51" i="1"/>
  <c r="P93" i="1"/>
  <c r="S92" i="1"/>
  <c r="U51" i="1"/>
  <c r="U50" i="1" s="1"/>
  <c r="U42" i="1" s="1"/>
  <c r="S50" i="1"/>
  <c r="S42" i="1" s="1"/>
  <c r="S91" i="1" s="1"/>
  <c r="AH50" i="1" l="1"/>
  <c r="S93" i="1"/>
  <c r="AH42" i="1" l="1"/>
  <c r="AH91" i="1" s="1"/>
  <c r="AD92" i="1" l="1"/>
  <c r="AD93" i="1" l="1"/>
  <c r="BE54" i="1" l="1"/>
  <c r="BE28" i="1"/>
  <c r="BE27" i="1"/>
  <c r="BE39" i="1"/>
  <c r="BE44" i="1"/>
  <c r="BE29" i="1"/>
  <c r="BE36" i="1"/>
  <c r="BE51" i="1"/>
  <c r="BE30" i="1"/>
  <c r="BE53" i="1"/>
  <c r="BE25" i="1"/>
  <c r="BE52" i="1"/>
  <c r="AG92" i="1" l="1"/>
  <c r="AG93" i="1" s="1"/>
  <c r="BH25" i="1" l="1"/>
  <c r="BH27" i="1"/>
  <c r="BH52" i="1"/>
  <c r="BH30" i="1"/>
  <c r="BH36" i="1"/>
  <c r="BH51" i="1"/>
  <c r="BH39" i="1"/>
  <c r="BH29" i="1"/>
  <c r="BH53" i="1"/>
  <c r="BH54" i="1"/>
  <c r="BH44" i="1"/>
  <c r="BH28" i="1"/>
  <c r="AF92" i="1"/>
  <c r="AF93" i="1" s="1"/>
  <c r="BG44" i="1" l="1"/>
  <c r="BG51" i="1"/>
  <c r="BG39" i="1"/>
  <c r="BG28" i="1"/>
  <c r="BG29" i="1"/>
  <c r="BG36" i="1"/>
  <c r="BG53" i="1"/>
  <c r="BG54" i="1"/>
  <c r="BG27" i="1"/>
  <c r="BG25" i="1"/>
  <c r="BG52" i="1"/>
  <c r="BG30" i="1"/>
  <c r="AE92" i="1"/>
  <c r="AE93" i="1" l="1"/>
  <c r="AH92" i="1"/>
  <c r="AH93" i="1" s="1"/>
  <c r="BF36" i="1" l="1"/>
  <c r="BF54" i="1"/>
  <c r="BF27" i="1"/>
  <c r="BF28" i="1"/>
  <c r="BF30" i="1"/>
  <c r="BF44" i="1"/>
  <c r="BF51" i="1"/>
  <c r="BF25" i="1"/>
  <c r="BF52" i="1"/>
  <c r="BF39" i="1"/>
  <c r="BF29" i="1"/>
  <c r="BF53" i="1"/>
  <c r="E22" i="1" l="1"/>
  <c r="V22" i="1" l="1"/>
  <c r="AI22" i="1"/>
  <c r="AI21" i="1" s="1"/>
  <c r="AI91" i="1" s="1"/>
  <c r="E21" i="1"/>
  <c r="U22" i="1" l="1"/>
  <c r="U21" i="1" s="1"/>
  <c r="U91" i="1" s="1"/>
  <c r="U92" i="1" s="1"/>
  <c r="U93" i="1" s="1"/>
  <c r="V21" i="1"/>
  <c r="V91" i="1" s="1"/>
  <c r="V92" i="1" s="1"/>
  <c r="V93" i="1" s="1"/>
  <c r="E91" i="1"/>
  <c r="E92" i="1" l="1"/>
  <c r="AI92" i="1" l="1"/>
  <c r="AI93" i="1" s="1"/>
  <c r="E93" i="1"/>
</calcChain>
</file>

<file path=xl/comments1.xml><?xml version="1.0" encoding="utf-8"?>
<comments xmlns="http://schemas.openxmlformats.org/spreadsheetml/2006/main">
  <authors>
    <author>広島市</author>
    <author>安達 謙介</author>
    <author>河野 昌治</author>
  </authors>
  <commentList>
    <comment ref="AC3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消費税率の改正があった場合には、改正法附則の経過措置により、適用すべき税率を修正すること。</t>
        </r>
      </text>
    </comment>
    <comment ref="N4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不課税収入区分表から数字を拾っている。</t>
        </r>
      </text>
    </comment>
    <comment ref="E22" authorId="0" shapeId="0">
      <text>
        <r>
          <rPr>
            <b/>
            <sz val="9"/>
            <color indexed="10"/>
            <rFont val="ＭＳ Ｐゴシック"/>
            <family val="3"/>
            <charset val="128"/>
          </rPr>
          <t>【全事業】(繰)案'シートのE38セルの値を必ず直打ちすること。
【事業別】それぞれ分を入力する。</t>
        </r>
      </text>
    </comment>
    <comment ref="D31" authorId="1" shapeId="0">
      <text>
        <r>
          <rPr>
            <b/>
            <sz val="9"/>
            <color indexed="81"/>
            <rFont val="MS P ゴシック"/>
            <family val="3"/>
            <charset val="128"/>
          </rPr>
          <t>区域外は、地方創生汚水処理施設整備推進交付金（旧：汚水処理施設整備交付金）、循環型社会形成推進交付金を集計させる（細節を必要に応じて修正）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V40" authorId="2" shapeId="0">
      <text>
        <r>
          <rPr>
            <b/>
            <sz val="11"/>
            <color indexed="81"/>
            <rFont val="MS P ゴシック"/>
            <family val="3"/>
            <charset val="128"/>
          </rPr>
          <t>4事業分け前は公共で調整していたが、特環で調整する必要があり、調整場所が工事負担金しかなかったので、全事業でも特環で調整した。</t>
        </r>
      </text>
    </comment>
  </commentList>
</comments>
</file>

<file path=xl/sharedStrings.xml><?xml version="1.0" encoding="utf-8"?>
<sst xmlns="http://schemas.openxmlformats.org/spreadsheetml/2006/main" count="116" uniqueCount="75">
  <si>
    <t>総額検算</t>
    <rPh sb="0" eb="2">
      <t>ソウガク</t>
    </rPh>
    <rPh sb="2" eb="4">
      <t>ケンザン</t>
    </rPh>
    <phoneticPr fontId="2"/>
  </si>
  <si>
    <t>計</t>
    <rPh sb="0" eb="1">
      <t>ケイ</t>
    </rPh>
    <phoneticPr fontId="2"/>
  </si>
  <si>
    <t xml:space="preserve"> その他資本的収入</t>
    <rPh sb="3" eb="4">
      <t>タ</t>
    </rPh>
    <rPh sb="4" eb="7">
      <t>シホンテキ</t>
    </rPh>
    <rPh sb="7" eb="9">
      <t>シュウニュウ</t>
    </rPh>
    <phoneticPr fontId="2"/>
  </si>
  <si>
    <t>その他資本的収入</t>
    <rPh sb="3" eb="6">
      <t>シホンテキ</t>
    </rPh>
    <rPh sb="6" eb="8">
      <t>シュウニュウ</t>
    </rPh>
    <phoneticPr fontId="2"/>
  </si>
  <si>
    <t xml:space="preserve"> 土地売却代金</t>
    <rPh sb="1" eb="3">
      <t>トチ</t>
    </rPh>
    <rPh sb="3" eb="5">
      <t>バイキャク</t>
    </rPh>
    <rPh sb="5" eb="7">
      <t>ダイキン</t>
    </rPh>
    <phoneticPr fontId="2"/>
  </si>
  <si>
    <t>固定資産売却代金</t>
    <rPh sb="6" eb="8">
      <t>ダイキン</t>
    </rPh>
    <phoneticPr fontId="2"/>
  </si>
  <si>
    <t>　 浄化槽</t>
    <rPh sb="2" eb="5">
      <t>ジョウカソウ</t>
    </rPh>
    <phoneticPr fontId="2"/>
  </si>
  <si>
    <t>　 農集</t>
    <rPh sb="2" eb="4">
      <t>ノウシュウ</t>
    </rPh>
    <phoneticPr fontId="2"/>
  </si>
  <si>
    <t>　 特環</t>
    <rPh sb="2" eb="4">
      <t>トッカン</t>
    </rPh>
    <phoneticPr fontId="2"/>
  </si>
  <si>
    <t>　 公共</t>
    <rPh sb="2" eb="4">
      <t>コウキョウ</t>
    </rPh>
    <phoneticPr fontId="2"/>
  </si>
  <si>
    <t>　排水設備改修資金貸付回収金</t>
    <phoneticPr fontId="2"/>
  </si>
  <si>
    <t>　し尿浄化槽廃止資金貸付回収金</t>
    <phoneticPr fontId="2"/>
  </si>
  <si>
    <t>　水洗便所改造資金貸付回収金</t>
    <phoneticPr fontId="2"/>
  </si>
  <si>
    <t xml:space="preserve"> 貸付金回収金</t>
    <rPh sb="1" eb="3">
      <t>カシツケ</t>
    </rPh>
    <rPh sb="3" eb="4">
      <t>キン</t>
    </rPh>
    <rPh sb="4" eb="6">
      <t>カイシュウ</t>
    </rPh>
    <rPh sb="6" eb="7">
      <t>キン</t>
    </rPh>
    <phoneticPr fontId="2"/>
  </si>
  <si>
    <t>　排水設備改造貸付借入金</t>
    <phoneticPr fontId="2"/>
  </si>
  <si>
    <t>　し尿浄化槽廃止貸付借入金</t>
    <phoneticPr fontId="2"/>
  </si>
  <si>
    <t xml:space="preserve">  水洗便所貸付借入金</t>
    <phoneticPr fontId="2"/>
  </si>
  <si>
    <t xml:space="preserve"> 一般会計借入金</t>
    <rPh sb="1" eb="3">
      <t>イッパン</t>
    </rPh>
    <rPh sb="3" eb="5">
      <t>カイケイ</t>
    </rPh>
    <rPh sb="5" eb="7">
      <t>カリイレ</t>
    </rPh>
    <rPh sb="7" eb="8">
      <t>キン</t>
    </rPh>
    <phoneticPr fontId="2"/>
  </si>
  <si>
    <t>　水洗便所貸付事業債</t>
    <rPh sb="1" eb="3">
      <t>スイセン</t>
    </rPh>
    <rPh sb="3" eb="4">
      <t>ベン</t>
    </rPh>
    <rPh sb="4" eb="5">
      <t>ショ</t>
    </rPh>
    <rPh sb="5" eb="7">
      <t>カシツケ</t>
    </rPh>
    <rPh sb="7" eb="9">
      <t>ジギョウ</t>
    </rPh>
    <rPh sb="9" eb="10">
      <t>サイ</t>
    </rPh>
    <phoneticPr fontId="2"/>
  </si>
  <si>
    <t xml:space="preserve"> 貸付企業債</t>
    <rPh sb="3" eb="5">
      <t>キギョウ</t>
    </rPh>
    <rPh sb="5" eb="6">
      <t>サイ</t>
    </rPh>
    <phoneticPr fontId="2"/>
  </si>
  <si>
    <t>水洗化貸付事業収入</t>
    <rPh sb="0" eb="3">
      <t>スイセンカ</t>
    </rPh>
    <rPh sb="3" eb="5">
      <t>カシツケ</t>
    </rPh>
    <rPh sb="5" eb="7">
      <t>ジギョウ</t>
    </rPh>
    <rPh sb="7" eb="9">
      <t>シュウニュウ</t>
    </rPh>
    <phoneticPr fontId="2"/>
  </si>
  <si>
    <t xml:space="preserve"> 工事負担金</t>
    <rPh sb="1" eb="3">
      <t>コウジ</t>
    </rPh>
    <rPh sb="3" eb="6">
      <t>フタンキン</t>
    </rPh>
    <phoneticPr fontId="2"/>
  </si>
  <si>
    <t>　受益者分担金</t>
    <rPh sb="1" eb="7">
      <t>ジュエキシャ</t>
    </rPh>
    <phoneticPr fontId="2"/>
  </si>
  <si>
    <t xml:space="preserve"> 受益者分担金</t>
    <rPh sb="1" eb="7">
      <t>ジュエキシャ</t>
    </rPh>
    <phoneticPr fontId="2"/>
  </si>
  <si>
    <t>　受益者負担金</t>
    <rPh sb="1" eb="7">
      <t>ジュエキシャ</t>
    </rPh>
    <phoneticPr fontId="2"/>
  </si>
  <si>
    <t xml:space="preserve"> 受益者負担金</t>
    <rPh sb="1" eb="7">
      <t>ジュエキシャ</t>
    </rPh>
    <phoneticPr fontId="2"/>
  </si>
  <si>
    <t>負担金</t>
    <rPh sb="0" eb="3">
      <t>フタンキン</t>
    </rPh>
    <phoneticPr fontId="2"/>
  </si>
  <si>
    <t xml:space="preserve"> 工事受託金</t>
    <rPh sb="1" eb="3">
      <t>コウジ</t>
    </rPh>
    <rPh sb="3" eb="5">
      <t>ジュタク</t>
    </rPh>
    <rPh sb="5" eb="6">
      <t>キン</t>
    </rPh>
    <phoneticPr fontId="2"/>
  </si>
  <si>
    <t>工事受託金</t>
    <rPh sb="0" eb="2">
      <t>コウジ</t>
    </rPh>
    <rPh sb="2" eb="4">
      <t>ジュタク</t>
    </rPh>
    <rPh sb="4" eb="5">
      <t>キン</t>
    </rPh>
    <phoneticPr fontId="2"/>
  </si>
  <si>
    <t xml:space="preserve"> 県補助金</t>
    <rPh sb="1" eb="2">
      <t>ケン</t>
    </rPh>
    <rPh sb="2" eb="5">
      <t>ホジョキン</t>
    </rPh>
    <phoneticPr fontId="2"/>
  </si>
  <si>
    <t>県補助金</t>
    <rPh sb="0" eb="1">
      <t>ケン</t>
    </rPh>
    <rPh sb="1" eb="4">
      <t>ホジョキン</t>
    </rPh>
    <phoneticPr fontId="2"/>
  </si>
  <si>
    <t>　その他国庫補助金</t>
    <rPh sb="4" eb="6">
      <t>コッコ</t>
    </rPh>
    <rPh sb="6" eb="9">
      <t>ホジョキン</t>
    </rPh>
    <phoneticPr fontId="2"/>
  </si>
  <si>
    <t>　公共下水道事整備国庫補助金</t>
    <rPh sb="1" eb="3">
      <t>コウキョウ</t>
    </rPh>
    <rPh sb="3" eb="6">
      <t>ゲスイドウ</t>
    </rPh>
    <rPh sb="6" eb="7">
      <t>コト</t>
    </rPh>
    <rPh sb="7" eb="9">
      <t>セイビ</t>
    </rPh>
    <rPh sb="9" eb="11">
      <t>コッコ</t>
    </rPh>
    <rPh sb="11" eb="14">
      <t>ホジョキン</t>
    </rPh>
    <phoneticPr fontId="2"/>
  </si>
  <si>
    <t xml:space="preserve"> 国庫補助金</t>
    <rPh sb="1" eb="3">
      <t>コッコ</t>
    </rPh>
    <rPh sb="3" eb="6">
      <t>ホジョキン</t>
    </rPh>
    <phoneticPr fontId="2"/>
  </si>
  <si>
    <t>国庫補助金</t>
    <rPh sb="0" eb="2">
      <t>コッコ</t>
    </rPh>
    <rPh sb="2" eb="5">
      <t>ホジョキン</t>
    </rPh>
    <phoneticPr fontId="2"/>
  </si>
  <si>
    <t xml:space="preserve"> 下水道建設費出資金</t>
    <rPh sb="1" eb="4">
      <t>ゲスイドウ</t>
    </rPh>
    <rPh sb="4" eb="6">
      <t>ケンセツ</t>
    </rPh>
    <rPh sb="6" eb="7">
      <t>ヒ</t>
    </rPh>
    <rPh sb="7" eb="10">
      <t>シュッシキン</t>
    </rPh>
    <phoneticPr fontId="2"/>
  </si>
  <si>
    <t>一般会計出資金</t>
    <rPh sb="0" eb="2">
      <t>イッパン</t>
    </rPh>
    <rPh sb="2" eb="4">
      <t>カイケイ</t>
    </rPh>
    <rPh sb="4" eb="7">
      <t>シュッシキン</t>
    </rPh>
    <phoneticPr fontId="2"/>
  </si>
  <si>
    <t xml:space="preserve"> 出資債</t>
    <rPh sb="1" eb="3">
      <t>シュッシ</t>
    </rPh>
    <rPh sb="3" eb="4">
      <t>サイ</t>
    </rPh>
    <phoneticPr fontId="2"/>
  </si>
  <si>
    <t>　公共下水道事業借換債</t>
    <rPh sb="1" eb="3">
      <t>コウキョウ</t>
    </rPh>
    <rPh sb="3" eb="6">
      <t>ゲスイドウ</t>
    </rPh>
    <rPh sb="6" eb="8">
      <t>ジギョウ</t>
    </rPh>
    <rPh sb="8" eb="10">
      <t>カリカエ</t>
    </rPh>
    <rPh sb="10" eb="11">
      <t>サイ</t>
    </rPh>
    <phoneticPr fontId="2"/>
  </si>
  <si>
    <t xml:space="preserve"> 公共下水道事業借換債</t>
    <rPh sb="1" eb="3">
      <t>コウキョウ</t>
    </rPh>
    <rPh sb="3" eb="6">
      <t>ゲスイドウ</t>
    </rPh>
    <rPh sb="6" eb="8">
      <t>ジギョウ</t>
    </rPh>
    <rPh sb="8" eb="10">
      <t>カリカエ</t>
    </rPh>
    <rPh sb="10" eb="11">
      <t>サイ</t>
    </rPh>
    <phoneticPr fontId="2"/>
  </si>
  <si>
    <t>　資本費平準化債</t>
    <rPh sb="1" eb="3">
      <t>シホン</t>
    </rPh>
    <rPh sb="3" eb="4">
      <t>ヒ</t>
    </rPh>
    <rPh sb="4" eb="7">
      <t>ヘイジュンカ</t>
    </rPh>
    <rPh sb="7" eb="8">
      <t>サイ</t>
    </rPh>
    <phoneticPr fontId="2"/>
  </si>
  <si>
    <t>　流域下水道事業債</t>
    <rPh sb="1" eb="3">
      <t>リュウイキ</t>
    </rPh>
    <rPh sb="3" eb="6">
      <t>ゲスイドウ</t>
    </rPh>
    <rPh sb="6" eb="8">
      <t>ジギョウ</t>
    </rPh>
    <rPh sb="8" eb="9">
      <t>サイ</t>
    </rPh>
    <phoneticPr fontId="2"/>
  </si>
  <si>
    <t>　市街化区域外事業債</t>
    <rPh sb="1" eb="4">
      <t>シガイカ</t>
    </rPh>
    <rPh sb="4" eb="7">
      <t>クイキガイ</t>
    </rPh>
    <rPh sb="7" eb="9">
      <t>ジギョウ</t>
    </rPh>
    <rPh sb="9" eb="10">
      <t>サイ</t>
    </rPh>
    <phoneticPr fontId="2"/>
  </si>
  <si>
    <t>　 特別債</t>
    <rPh sb="2" eb="4">
      <t>トクベツ</t>
    </rPh>
    <rPh sb="4" eb="5">
      <t>サイ</t>
    </rPh>
    <phoneticPr fontId="2"/>
  </si>
  <si>
    <t>　 一般債</t>
    <rPh sb="2" eb="4">
      <t>イッパン</t>
    </rPh>
    <rPh sb="4" eb="5">
      <t>サイ</t>
    </rPh>
    <phoneticPr fontId="2"/>
  </si>
  <si>
    <t>　公共下水道事業債</t>
    <rPh sb="1" eb="3">
      <t>コウキョウ</t>
    </rPh>
    <rPh sb="3" eb="6">
      <t>ゲスイドウ</t>
    </rPh>
    <rPh sb="6" eb="8">
      <t>ジギョウ</t>
    </rPh>
    <rPh sb="8" eb="9">
      <t>サイ</t>
    </rPh>
    <phoneticPr fontId="2"/>
  </si>
  <si>
    <t xml:space="preserve"> 建設企業債</t>
    <rPh sb="1" eb="3">
      <t>ケンセツ</t>
    </rPh>
    <rPh sb="3" eb="5">
      <t>キギョウ</t>
    </rPh>
    <rPh sb="5" eb="6">
      <t>サイ</t>
    </rPh>
    <phoneticPr fontId="2"/>
  </si>
  <si>
    <t>企業債</t>
    <rPh sb="0" eb="2">
      <t>キギョウ</t>
    </rPh>
    <rPh sb="2" eb="3">
      <t>サイ</t>
    </rPh>
    <phoneticPr fontId="2"/>
  </si>
  <si>
    <t>計</t>
  </si>
  <si>
    <t>消費税　調整額</t>
    <rPh sb="0" eb="3">
      <t>ショウヒゼイ</t>
    </rPh>
    <rPh sb="4" eb="6">
      <t>チョウセイ</t>
    </rPh>
    <rPh sb="6" eb="7">
      <t>ガク</t>
    </rPh>
    <phoneticPr fontId="2"/>
  </si>
  <si>
    <t>消費税端数調整ランク</t>
    <rPh sb="0" eb="3">
      <t>ショウヒゼイ</t>
    </rPh>
    <rPh sb="3" eb="5">
      <t>ハスウ</t>
    </rPh>
    <rPh sb="5" eb="7">
      <t>チョウセイ</t>
    </rPh>
    <phoneticPr fontId="2"/>
  </si>
  <si>
    <t>消費税　端数確認</t>
    <rPh sb="0" eb="3">
      <t>ショウヒゼイ</t>
    </rPh>
    <rPh sb="4" eb="6">
      <t>ハスウ</t>
    </rPh>
    <rPh sb="6" eb="8">
      <t>カクニン</t>
    </rPh>
    <phoneticPr fontId="2"/>
  </si>
  <si>
    <t>課税仕入れ等に係る特定収入以外</t>
    <rPh sb="0" eb="2">
      <t>カゼイ</t>
    </rPh>
    <rPh sb="2" eb="4">
      <t>シイ</t>
    </rPh>
    <rPh sb="5" eb="6">
      <t>トウ</t>
    </rPh>
    <rPh sb="7" eb="8">
      <t>カカ</t>
    </rPh>
    <rPh sb="9" eb="11">
      <t>トクテイ</t>
    </rPh>
    <rPh sb="11" eb="13">
      <t>シュウニュウ</t>
    </rPh>
    <rPh sb="13" eb="15">
      <t>イガイ</t>
    </rPh>
    <phoneticPr fontId="2"/>
  </si>
  <si>
    <t>課税仕入れ等に係る特定収入</t>
    <rPh sb="0" eb="2">
      <t>カゼイ</t>
    </rPh>
    <rPh sb="2" eb="4">
      <t>シイ</t>
    </rPh>
    <rPh sb="5" eb="6">
      <t>トウ</t>
    </rPh>
    <rPh sb="7" eb="8">
      <t>カカ</t>
    </rPh>
    <rPh sb="9" eb="11">
      <t>トクテイ</t>
    </rPh>
    <rPh sb="11" eb="13">
      <t>シュウニュウ</t>
    </rPh>
    <phoneticPr fontId="2"/>
  </si>
  <si>
    <t>特定収入以外
の不課税収入</t>
    <rPh sb="0" eb="2">
      <t>トクテイ</t>
    </rPh>
    <rPh sb="2" eb="4">
      <t>シュウニュウ</t>
    </rPh>
    <rPh sb="4" eb="6">
      <t>イガイ</t>
    </rPh>
    <rPh sb="8" eb="9">
      <t>フ</t>
    </rPh>
    <rPh sb="9" eb="11">
      <t>カゼイ</t>
    </rPh>
    <rPh sb="11" eb="13">
      <t>シュウニュウ</t>
    </rPh>
    <phoneticPr fontId="2"/>
  </si>
  <si>
    <t>特定収入</t>
    <rPh sb="0" eb="2">
      <t>トクテイ</t>
    </rPh>
    <rPh sb="2" eb="4">
      <t>シュウニュウ</t>
    </rPh>
    <phoneticPr fontId="2"/>
  </si>
  <si>
    <t>課税支出に係る特定収入に係る消費税の調整</t>
    <rPh sb="0" eb="2">
      <t>カゼイ</t>
    </rPh>
    <rPh sb="2" eb="4">
      <t>シシュツ</t>
    </rPh>
    <rPh sb="5" eb="6">
      <t>カカ</t>
    </rPh>
    <rPh sb="7" eb="9">
      <t>トクテイ</t>
    </rPh>
    <rPh sb="9" eb="11">
      <t>シュウニュウ</t>
    </rPh>
    <rPh sb="12" eb="13">
      <t>カカ</t>
    </rPh>
    <rPh sb="14" eb="17">
      <t>ショウヒゼイ</t>
    </rPh>
    <rPh sb="18" eb="20">
      <t>チョウセイ</t>
    </rPh>
    <phoneticPr fontId="2"/>
  </si>
  <si>
    <t>仮受け消費税の調整</t>
    <rPh sb="0" eb="2">
      <t>カリウ</t>
    </rPh>
    <rPh sb="3" eb="6">
      <t>ショウヒゼイ</t>
    </rPh>
    <rPh sb="7" eb="9">
      <t>チョウセイ</t>
    </rPh>
    <phoneticPr fontId="2"/>
  </si>
  <si>
    <t>税抜決算額</t>
    <rPh sb="0" eb="2">
      <t>ゼイヌキ</t>
    </rPh>
    <rPh sb="2" eb="4">
      <t>ケッサン</t>
    </rPh>
    <rPh sb="4" eb="5">
      <t>ガク</t>
    </rPh>
    <phoneticPr fontId="2"/>
  </si>
  <si>
    <t>特定収入に係る課税仕入れ等に係る消費税額</t>
    <rPh sb="12" eb="13">
      <t>トウ</t>
    </rPh>
    <phoneticPr fontId="2"/>
  </si>
  <si>
    <t>仮受消費税</t>
    <rPh sb="0" eb="2">
      <t>カリウ</t>
    </rPh>
    <rPh sb="2" eb="5">
      <t>ショウヒゼイ</t>
    </rPh>
    <phoneticPr fontId="2"/>
  </si>
  <si>
    <t>不課税収入（資産の譲渡等の対価以外の収入（対価性のない収入））</t>
    <rPh sb="0" eb="1">
      <t>フ</t>
    </rPh>
    <rPh sb="1" eb="3">
      <t>カゼイ</t>
    </rPh>
    <rPh sb="3" eb="5">
      <t>シュウニュウ</t>
    </rPh>
    <rPh sb="6" eb="8">
      <t>シサン</t>
    </rPh>
    <rPh sb="9" eb="11">
      <t>ジョウト</t>
    </rPh>
    <rPh sb="11" eb="12">
      <t>トウ</t>
    </rPh>
    <rPh sb="13" eb="15">
      <t>タイカ</t>
    </rPh>
    <rPh sb="15" eb="17">
      <t>イガイ</t>
    </rPh>
    <rPh sb="18" eb="20">
      <t>シュウニュウ</t>
    </rPh>
    <rPh sb="21" eb="23">
      <t>タイカ</t>
    </rPh>
    <rPh sb="23" eb="24">
      <t>セイ</t>
    </rPh>
    <rPh sb="27" eb="29">
      <t>シュウニュウ</t>
    </rPh>
    <phoneticPr fontId="2"/>
  </si>
  <si>
    <t>課税売上げ</t>
    <rPh sb="0" eb="2">
      <t>カゼイ</t>
    </rPh>
    <rPh sb="2" eb="4">
      <t>ウリアゲ</t>
    </rPh>
    <phoneticPr fontId="2"/>
  </si>
  <si>
    <t>税込決算額</t>
    <rPh sb="0" eb="2">
      <t>ゼイコミ</t>
    </rPh>
    <rPh sb="2" eb="4">
      <t>ケッサン</t>
    </rPh>
    <rPh sb="4" eb="5">
      <t>ガク</t>
    </rPh>
    <phoneticPr fontId="2"/>
  </si>
  <si>
    <t>費目</t>
    <rPh sb="0" eb="2">
      <t>ヒモク</t>
    </rPh>
    <phoneticPr fontId="2"/>
  </si>
  <si>
    <t>細節</t>
    <rPh sb="0" eb="2">
      <t>サイセツ</t>
    </rPh>
    <phoneticPr fontId="2"/>
  </si>
  <si>
    <t>節</t>
    <rPh sb="0" eb="1">
      <t>セツ</t>
    </rPh>
    <phoneticPr fontId="2"/>
  </si>
  <si>
    <t>事業</t>
    <rPh sb="0" eb="2">
      <t>ジギョウ</t>
    </rPh>
    <phoneticPr fontId="2"/>
  </si>
  <si>
    <t>【４条収入内訳】</t>
    <rPh sb="2" eb="3">
      <t>ジョウ</t>
    </rPh>
    <rPh sb="3" eb="5">
      <t>シュウニュウ</t>
    </rPh>
    <rPh sb="5" eb="7">
      <t>ウチワケ</t>
    </rPh>
    <phoneticPr fontId="2"/>
  </si>
  <si>
    <t>非課税
売上げ</t>
    <rPh sb="0" eb="3">
      <t>ヒカゼイ</t>
    </rPh>
    <rPh sb="4" eb="6">
      <t>ウリアゲ</t>
    </rPh>
    <phoneticPr fontId="2"/>
  </si>
  <si>
    <t>免税
売上げ</t>
    <rPh sb="0" eb="2">
      <t>メンゼイ</t>
    </rPh>
    <rPh sb="3" eb="5">
      <t>ウリア</t>
    </rPh>
    <phoneticPr fontId="2"/>
  </si>
  <si>
    <r>
      <t>　</t>
    </r>
    <r>
      <rPr>
        <sz val="9.5"/>
        <rFont val="ＭＳ ゴシック"/>
        <family val="3"/>
        <charset val="128"/>
      </rPr>
      <t>資本費平準化債(拡大分)借換債</t>
    </r>
    <rPh sb="1" eb="3">
      <t>シホン</t>
    </rPh>
    <rPh sb="3" eb="4">
      <t>ヒ</t>
    </rPh>
    <rPh sb="4" eb="7">
      <t>ヘイジュンカ</t>
    </rPh>
    <rPh sb="7" eb="8">
      <t>サイ</t>
    </rPh>
    <rPh sb="9" eb="11">
      <t>カクダイ</t>
    </rPh>
    <rPh sb="11" eb="12">
      <t>ブン</t>
    </rPh>
    <rPh sb="13" eb="16">
      <t>カリカエサイ</t>
    </rPh>
    <phoneticPr fontId="2"/>
  </si>
  <si>
    <r>
      <t>　</t>
    </r>
    <r>
      <rPr>
        <sz val="10"/>
        <rFont val="ＭＳ ゴシック"/>
        <family val="3"/>
        <charset val="128"/>
      </rPr>
      <t>補償金免除繰上償還借換債</t>
    </r>
    <rPh sb="1" eb="4">
      <t>ホショウキン</t>
    </rPh>
    <rPh sb="4" eb="6">
      <t>メンジョ</t>
    </rPh>
    <rPh sb="6" eb="7">
      <t>ク</t>
    </rPh>
    <rPh sb="7" eb="8">
      <t>ア</t>
    </rPh>
    <rPh sb="8" eb="10">
      <t>ショウカン</t>
    </rPh>
    <rPh sb="10" eb="13">
      <t>カリカエサイ</t>
    </rPh>
    <phoneticPr fontId="2"/>
  </si>
  <si>
    <t>　災害復旧事業債</t>
    <phoneticPr fontId="2"/>
  </si>
  <si>
    <t>　公共下水道事整備国庫補助金ほか</t>
    <rPh sb="1" eb="3">
      <t>コウキョウ</t>
    </rPh>
    <rPh sb="3" eb="6">
      <t>ゲスイドウ</t>
    </rPh>
    <rPh sb="6" eb="7">
      <t>コト</t>
    </rPh>
    <rPh sb="7" eb="9">
      <t>セイビ</t>
    </rPh>
    <rPh sb="9" eb="11">
      <t>コッコ</t>
    </rPh>
    <rPh sb="11" eb="14">
      <t>ホジョキン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</si>
</sst>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.0000000;[Red]\-#,##0.0000000"/>
    <numFmt numFmtId="177" formatCode="0_);[Red]\(0\)"/>
    <numFmt numFmtId="178" formatCode="General&quot; （軽）&quot;"/>
  </numFmts>
  <fonts count="1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10"/>
      <name val="ＭＳ ゴシック"/>
      <family val="3"/>
      <charset val="128"/>
    </font>
    <font>
      <sz val="9.5"/>
      <name val="ＭＳ ゴシック"/>
      <family val="3"/>
      <charset val="128"/>
    </font>
    <font>
      <b/>
      <sz val="11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</fills>
  <borders count="67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3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38" fontId="10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0" fontId="9" fillId="0" borderId="0"/>
    <xf numFmtId="0" fontId="1" fillId="0" borderId="0"/>
    <xf numFmtId="0" fontId="10" fillId="0" borderId="0"/>
    <xf numFmtId="0" fontId="9" fillId="0" borderId="0">
      <alignment vertical="center"/>
    </xf>
    <xf numFmtId="0" fontId="11" fillId="0" borderId="0"/>
    <xf numFmtId="0" fontId="12" fillId="0" borderId="0"/>
  </cellStyleXfs>
  <cellXfs count="213">
    <xf numFmtId="0" fontId="0" fillId="0" borderId="0" xfId="0"/>
    <xf numFmtId="0" fontId="0" fillId="0" borderId="0" xfId="0" applyFont="1" applyFill="1" applyAlignment="1">
      <alignment vertical="center"/>
    </xf>
    <xf numFmtId="38" fontId="0" fillId="0" borderId="0" xfId="1" applyFont="1" applyFill="1" applyAlignment="1">
      <alignment vertical="center"/>
    </xf>
    <xf numFmtId="0" fontId="0" fillId="0" borderId="0" xfId="0" applyFont="1" applyFill="1" applyAlignment="1">
      <alignment horizontal="right" vertical="center"/>
    </xf>
    <xf numFmtId="176" fontId="0" fillId="0" borderId="0" xfId="0" applyNumberFormat="1" applyFont="1" applyFill="1" applyAlignment="1">
      <alignment vertical="center"/>
    </xf>
    <xf numFmtId="176" fontId="0" fillId="0" borderId="0" xfId="1" applyNumberFormat="1" applyFont="1" applyFill="1" applyAlignment="1">
      <alignment vertical="center"/>
    </xf>
    <xf numFmtId="38" fontId="0" fillId="0" borderId="0" xfId="0" applyNumberFormat="1" applyFont="1" applyFill="1" applyAlignment="1">
      <alignment vertical="center"/>
    </xf>
    <xf numFmtId="38" fontId="0" fillId="0" borderId="1" xfId="1" applyFont="1" applyFill="1" applyBorder="1" applyAlignment="1">
      <alignment vertical="center"/>
    </xf>
    <xf numFmtId="38" fontId="0" fillId="0" borderId="2" xfId="1" applyFont="1" applyFill="1" applyBorder="1" applyAlignment="1">
      <alignment vertical="center"/>
    </xf>
    <xf numFmtId="38" fontId="0" fillId="0" borderId="4" xfId="0" applyNumberFormat="1" applyFont="1" applyFill="1" applyBorder="1" applyAlignment="1">
      <alignment vertical="center"/>
    </xf>
    <xf numFmtId="38" fontId="0" fillId="0" borderId="1" xfId="0" applyNumberFormat="1" applyFont="1" applyFill="1" applyBorder="1" applyAlignment="1">
      <alignment vertical="center"/>
    </xf>
    <xf numFmtId="38" fontId="0" fillId="0" borderId="2" xfId="0" applyNumberFormat="1" applyFont="1" applyFill="1" applyBorder="1" applyAlignment="1">
      <alignment vertical="center"/>
    </xf>
    <xf numFmtId="38" fontId="0" fillId="0" borderId="3" xfId="0" applyNumberFormat="1" applyFont="1" applyFill="1" applyBorder="1" applyAlignment="1">
      <alignment vertical="center"/>
    </xf>
    <xf numFmtId="38" fontId="0" fillId="0" borderId="5" xfId="1" applyFont="1" applyFill="1" applyBorder="1" applyAlignment="1">
      <alignment vertical="center"/>
    </xf>
    <xf numFmtId="38" fontId="0" fillId="0" borderId="6" xfId="0" applyNumberFormat="1" applyFont="1" applyFill="1" applyBorder="1" applyAlignment="1">
      <alignment vertical="center"/>
    </xf>
    <xf numFmtId="38" fontId="0" fillId="0" borderId="5" xfId="0" applyNumberFormat="1" applyFont="1" applyFill="1" applyBorder="1" applyAlignment="1">
      <alignment vertical="center"/>
    </xf>
    <xf numFmtId="0" fontId="0" fillId="0" borderId="4" xfId="0" applyFont="1" applyFill="1" applyBorder="1" applyAlignment="1">
      <alignment horizontal="center" vertical="center" shrinkToFit="1"/>
    </xf>
    <xf numFmtId="0" fontId="0" fillId="0" borderId="5" xfId="0" applyFont="1" applyFill="1" applyBorder="1" applyAlignment="1">
      <alignment horizontal="right"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Fill="1" applyBorder="1" applyAlignment="1">
      <alignment vertical="center"/>
    </xf>
    <xf numFmtId="38" fontId="0" fillId="0" borderId="7" xfId="1" applyFont="1" applyFill="1" applyBorder="1" applyAlignment="1">
      <alignment vertical="center"/>
    </xf>
    <xf numFmtId="38" fontId="0" fillId="0" borderId="8" xfId="1" applyFont="1" applyFill="1" applyBorder="1" applyAlignment="1">
      <alignment vertical="center"/>
    </xf>
    <xf numFmtId="38" fontId="0" fillId="0" borderId="9" xfId="1" applyFont="1" applyFill="1" applyBorder="1" applyAlignment="1">
      <alignment vertical="center"/>
    </xf>
    <xf numFmtId="38" fontId="0" fillId="0" borderId="10" xfId="1" applyFont="1" applyFill="1" applyBorder="1" applyAlignment="1">
      <alignment vertical="center"/>
    </xf>
    <xf numFmtId="38" fontId="0" fillId="0" borderId="11" xfId="1" applyFont="1" applyFill="1" applyBorder="1" applyAlignment="1">
      <alignment vertical="center"/>
    </xf>
    <xf numFmtId="38" fontId="0" fillId="0" borderId="7" xfId="0" applyNumberFormat="1" applyFont="1" applyFill="1" applyBorder="1" applyAlignment="1">
      <alignment vertical="center"/>
    </xf>
    <xf numFmtId="38" fontId="0" fillId="0" borderId="8" xfId="0" applyNumberFormat="1" applyFont="1" applyFill="1" applyBorder="1" applyAlignment="1">
      <alignment vertical="center"/>
    </xf>
    <xf numFmtId="38" fontId="0" fillId="0" borderId="12" xfId="0" applyNumberFormat="1" applyFont="1" applyFill="1" applyBorder="1" applyAlignment="1">
      <alignment vertical="center"/>
    </xf>
    <xf numFmtId="38" fontId="0" fillId="0" borderId="9" xfId="0" applyNumberFormat="1" applyFont="1" applyFill="1" applyBorder="1" applyAlignment="1">
      <alignment vertical="center"/>
    </xf>
    <xf numFmtId="38" fontId="0" fillId="0" borderId="10" xfId="0" applyNumberFormat="1" applyFont="1" applyFill="1" applyBorder="1" applyAlignment="1">
      <alignment vertical="center"/>
    </xf>
    <xf numFmtId="38" fontId="0" fillId="0" borderId="11" xfId="0" applyNumberFormat="1" applyFont="1" applyFill="1" applyBorder="1" applyAlignment="1">
      <alignment vertical="center"/>
    </xf>
    <xf numFmtId="0" fontId="0" fillId="0" borderId="10" xfId="0" applyFont="1" applyFill="1" applyBorder="1" applyAlignment="1">
      <alignment horizontal="center" vertical="center" shrinkToFit="1"/>
    </xf>
    <xf numFmtId="0" fontId="0" fillId="0" borderId="11" xfId="0" applyFont="1" applyFill="1" applyBorder="1" applyAlignment="1">
      <alignment horizontal="right" vertical="center"/>
    </xf>
    <xf numFmtId="0" fontId="0" fillId="0" borderId="8" xfId="0" applyFont="1" applyFill="1" applyBorder="1" applyAlignment="1">
      <alignment vertical="center"/>
    </xf>
    <xf numFmtId="0" fontId="0" fillId="0" borderId="9" xfId="0" applyFont="1" applyFill="1" applyBorder="1" applyAlignment="1">
      <alignment vertical="center"/>
    </xf>
    <xf numFmtId="0" fontId="0" fillId="0" borderId="0" xfId="0" applyAlignment="1">
      <alignment vertical="center"/>
    </xf>
    <xf numFmtId="38" fontId="0" fillId="0" borderId="0" xfId="1" applyNumberFormat="1" applyFont="1" applyAlignment="1">
      <alignment vertical="center"/>
    </xf>
    <xf numFmtId="40" fontId="0" fillId="0" borderId="0" xfId="1" applyNumberFormat="1" applyFont="1" applyAlignment="1">
      <alignment vertical="center"/>
    </xf>
    <xf numFmtId="38" fontId="0" fillId="0" borderId="13" xfId="0" applyNumberFormat="1" applyFont="1" applyFill="1" applyBorder="1" applyAlignment="1">
      <alignment vertical="center"/>
    </xf>
    <xf numFmtId="38" fontId="0" fillId="0" borderId="14" xfId="1" applyFont="1" applyFill="1" applyBorder="1" applyAlignment="1">
      <alignment vertical="center"/>
    </xf>
    <xf numFmtId="38" fontId="0" fillId="0" borderId="15" xfId="1" applyFont="1" applyFill="1" applyBorder="1" applyAlignment="1">
      <alignment vertical="center"/>
    </xf>
    <xf numFmtId="38" fontId="0" fillId="0" borderId="16" xfId="0" applyNumberFormat="1" applyFont="1" applyFill="1" applyBorder="1" applyAlignment="1">
      <alignment vertical="center"/>
    </xf>
    <xf numFmtId="38" fontId="0" fillId="0" borderId="14" xfId="0" applyNumberFormat="1" applyFont="1" applyFill="1" applyBorder="1" applyAlignment="1">
      <alignment vertical="center"/>
    </xf>
    <xf numFmtId="38" fontId="0" fillId="0" borderId="15" xfId="0" applyNumberFormat="1" applyFont="1" applyFill="1" applyBorder="1" applyAlignment="1">
      <alignment vertical="center"/>
    </xf>
    <xf numFmtId="38" fontId="0" fillId="0" borderId="13" xfId="1" applyFont="1" applyFill="1" applyBorder="1" applyAlignment="1">
      <alignment vertical="center"/>
    </xf>
    <xf numFmtId="38" fontId="0" fillId="0" borderId="17" xfId="1" applyFont="1" applyFill="1" applyBorder="1" applyAlignment="1">
      <alignment vertical="center"/>
    </xf>
    <xf numFmtId="38" fontId="0" fillId="2" borderId="13" xfId="1" applyFont="1" applyFill="1" applyBorder="1" applyAlignment="1">
      <alignment vertical="center"/>
    </xf>
    <xf numFmtId="38" fontId="0" fillId="0" borderId="18" xfId="1" applyFont="1" applyFill="1" applyBorder="1" applyAlignment="1">
      <alignment vertical="center"/>
    </xf>
    <xf numFmtId="38" fontId="0" fillId="0" borderId="19" xfId="1" applyFont="1" applyFill="1" applyBorder="1" applyAlignment="1">
      <alignment vertical="center"/>
    </xf>
    <xf numFmtId="38" fontId="0" fillId="0" borderId="16" xfId="1" applyFont="1" applyFill="1" applyBorder="1" applyAlignment="1">
      <alignment vertical="center"/>
    </xf>
    <xf numFmtId="38" fontId="0" fillId="2" borderId="16" xfId="1" applyFont="1" applyFill="1" applyBorder="1" applyAlignment="1">
      <alignment vertical="center"/>
    </xf>
    <xf numFmtId="38" fontId="0" fillId="2" borderId="17" xfId="1" applyFont="1" applyFill="1" applyBorder="1" applyAlignment="1">
      <alignment vertical="center"/>
    </xf>
    <xf numFmtId="38" fontId="0" fillId="2" borderId="14" xfId="1" applyFont="1" applyFill="1" applyBorder="1" applyAlignment="1">
      <alignment vertical="center"/>
    </xf>
    <xf numFmtId="38" fontId="0" fillId="2" borderId="15" xfId="1" applyFont="1" applyFill="1" applyBorder="1" applyAlignment="1">
      <alignment vertical="center"/>
    </xf>
    <xf numFmtId="38" fontId="3" fillId="0" borderId="16" xfId="1" applyFont="1" applyFill="1" applyBorder="1"/>
    <xf numFmtId="0" fontId="0" fillId="0" borderId="17" xfId="0" applyFont="1" applyFill="1" applyBorder="1" applyAlignment="1">
      <alignment horizontal="right" vertical="center" shrinkToFit="1"/>
    </xf>
    <xf numFmtId="0" fontId="0" fillId="0" borderId="14" xfId="0" applyFont="1" applyFill="1" applyBorder="1" applyAlignment="1">
      <alignment horizontal="center" vertical="center" shrinkToFit="1"/>
    </xf>
    <xf numFmtId="0" fontId="0" fillId="0" borderId="15" xfId="0" applyFont="1" applyFill="1" applyBorder="1" applyAlignment="1">
      <alignment vertical="center" shrinkToFit="1"/>
    </xf>
    <xf numFmtId="38" fontId="0" fillId="0" borderId="20" xfId="0" applyNumberFormat="1" applyFont="1" applyFill="1" applyBorder="1" applyAlignment="1">
      <alignment vertical="center"/>
    </xf>
    <xf numFmtId="38" fontId="0" fillId="0" borderId="21" xfId="1" applyFont="1" applyFill="1" applyBorder="1" applyAlignment="1">
      <alignment vertical="center"/>
    </xf>
    <xf numFmtId="38" fontId="0" fillId="0" borderId="22" xfId="1" applyFont="1" applyFill="1" applyBorder="1" applyAlignment="1">
      <alignment vertical="center"/>
    </xf>
    <xf numFmtId="38" fontId="0" fillId="0" borderId="23" xfId="0" applyNumberFormat="1" applyFont="1" applyFill="1" applyBorder="1" applyAlignment="1">
      <alignment vertical="center"/>
    </xf>
    <xf numFmtId="38" fontId="0" fillId="0" borderId="21" xfId="0" applyNumberFormat="1" applyFont="1" applyFill="1" applyBorder="1" applyAlignment="1">
      <alignment vertical="center"/>
    </xf>
    <xf numFmtId="38" fontId="0" fillId="0" borderId="22" xfId="0" applyNumberFormat="1" applyFont="1" applyFill="1" applyBorder="1" applyAlignment="1">
      <alignment vertical="center"/>
    </xf>
    <xf numFmtId="38" fontId="0" fillId="0" borderId="20" xfId="1" applyFont="1" applyFill="1" applyBorder="1" applyAlignment="1">
      <alignment vertical="center"/>
    </xf>
    <xf numFmtId="38" fontId="0" fillId="0" borderId="24" xfId="1" applyFont="1" applyFill="1" applyBorder="1" applyAlignment="1">
      <alignment vertical="center"/>
    </xf>
    <xf numFmtId="38" fontId="0" fillId="0" borderId="25" xfId="1" applyFont="1" applyFill="1" applyBorder="1" applyAlignment="1">
      <alignment vertical="center"/>
    </xf>
    <xf numFmtId="38" fontId="0" fillId="0" borderId="26" xfId="1" applyFont="1" applyFill="1" applyBorder="1" applyAlignment="1">
      <alignment vertical="center"/>
    </xf>
    <xf numFmtId="38" fontId="0" fillId="0" borderId="23" xfId="1" applyFont="1" applyFill="1" applyBorder="1" applyAlignment="1">
      <alignment vertical="center"/>
    </xf>
    <xf numFmtId="38" fontId="4" fillId="0" borderId="23" xfId="1" applyFont="1" applyFill="1" applyBorder="1"/>
    <xf numFmtId="0" fontId="0" fillId="0" borderId="24" xfId="0" applyFont="1" applyFill="1" applyBorder="1" applyAlignment="1">
      <alignment horizontal="right" vertical="center" shrinkToFit="1"/>
    </xf>
    <xf numFmtId="0" fontId="0" fillId="0" borderId="21" xfId="0" applyFont="1" applyFill="1" applyBorder="1" applyAlignment="1">
      <alignment horizontal="center" vertical="center" shrinkToFit="1"/>
    </xf>
    <xf numFmtId="0" fontId="0" fillId="0" borderId="22" xfId="0" applyFont="1" applyFill="1" applyBorder="1" applyAlignment="1">
      <alignment vertical="center" shrinkToFit="1"/>
    </xf>
    <xf numFmtId="38" fontId="0" fillId="0" borderId="27" xfId="0" applyNumberFormat="1" applyFont="1" applyFill="1" applyBorder="1" applyAlignment="1">
      <alignment vertical="center"/>
    </xf>
    <xf numFmtId="38" fontId="0" fillId="0" borderId="28" xfId="1" applyFont="1" applyFill="1" applyBorder="1" applyAlignment="1">
      <alignment vertical="center"/>
    </xf>
    <xf numFmtId="38" fontId="0" fillId="0" borderId="29" xfId="1" applyFont="1" applyFill="1" applyBorder="1" applyAlignment="1">
      <alignment vertical="center"/>
    </xf>
    <xf numFmtId="38" fontId="0" fillId="0" borderId="30" xfId="0" applyNumberFormat="1" applyFont="1" applyFill="1" applyBorder="1" applyAlignment="1">
      <alignment vertical="center"/>
    </xf>
    <xf numFmtId="38" fontId="0" fillId="0" borderId="28" xfId="0" applyNumberFormat="1" applyFont="1" applyFill="1" applyBorder="1" applyAlignment="1">
      <alignment vertical="center"/>
    </xf>
    <xf numFmtId="38" fontId="0" fillId="0" borderId="29" xfId="0" applyNumberFormat="1" applyFont="1" applyFill="1" applyBorder="1" applyAlignment="1">
      <alignment vertical="center"/>
    </xf>
    <xf numFmtId="38" fontId="0" fillId="0" borderId="27" xfId="1" applyFont="1" applyFill="1" applyBorder="1" applyAlignment="1">
      <alignment vertical="center"/>
    </xf>
    <xf numFmtId="38" fontId="0" fillId="0" borderId="31" xfId="1" applyFont="1" applyFill="1" applyBorder="1" applyAlignment="1">
      <alignment vertical="center"/>
    </xf>
    <xf numFmtId="38" fontId="0" fillId="2" borderId="27" xfId="1" applyFont="1" applyFill="1" applyBorder="1" applyAlignment="1">
      <alignment vertical="center"/>
    </xf>
    <xf numFmtId="38" fontId="0" fillId="0" borderId="32" xfId="1" applyFont="1" applyFill="1" applyBorder="1" applyAlignment="1">
      <alignment vertical="center"/>
    </xf>
    <xf numFmtId="38" fontId="0" fillId="0" borderId="33" xfId="1" applyFont="1" applyFill="1" applyBorder="1" applyAlignment="1">
      <alignment vertical="center"/>
    </xf>
    <xf numFmtId="38" fontId="0" fillId="0" borderId="30" xfId="1" applyFont="1" applyFill="1" applyBorder="1" applyAlignment="1">
      <alignment vertical="center"/>
    </xf>
    <xf numFmtId="38" fontId="0" fillId="2" borderId="30" xfId="1" applyFont="1" applyFill="1" applyBorder="1" applyAlignment="1">
      <alignment vertical="center"/>
    </xf>
    <xf numFmtId="38" fontId="3" fillId="0" borderId="30" xfId="1" applyFont="1" applyFill="1" applyBorder="1"/>
    <xf numFmtId="0" fontId="0" fillId="0" borderId="32" xfId="0" applyFont="1" applyFill="1" applyBorder="1" applyAlignment="1">
      <alignment horizontal="right" vertical="center" shrinkToFit="1"/>
    </xf>
    <xf numFmtId="0" fontId="0" fillId="0" borderId="28" xfId="0" applyFont="1" applyFill="1" applyBorder="1" applyAlignment="1">
      <alignment horizontal="center" vertical="center" shrinkToFit="1"/>
    </xf>
    <xf numFmtId="0" fontId="0" fillId="0" borderId="29" xfId="0" applyFont="1" applyFill="1" applyBorder="1" applyAlignment="1">
      <alignment vertical="center" shrinkToFit="1"/>
    </xf>
    <xf numFmtId="38" fontId="0" fillId="0" borderId="34" xfId="0" applyNumberFormat="1" applyFont="1" applyFill="1" applyBorder="1" applyAlignment="1">
      <alignment vertical="center"/>
    </xf>
    <xf numFmtId="38" fontId="0" fillId="0" borderId="35" xfId="1" applyFont="1" applyFill="1" applyBorder="1" applyAlignment="1">
      <alignment vertical="center"/>
    </xf>
    <xf numFmtId="38" fontId="0" fillId="0" borderId="36" xfId="1" applyFont="1" applyFill="1" applyBorder="1" applyAlignment="1">
      <alignment vertical="center"/>
    </xf>
    <xf numFmtId="38" fontId="0" fillId="0" borderId="37" xfId="0" applyNumberFormat="1" applyFont="1" applyFill="1" applyBorder="1" applyAlignment="1">
      <alignment vertical="center"/>
    </xf>
    <xf numFmtId="38" fontId="0" fillId="0" borderId="35" xfId="0" applyNumberFormat="1" applyFont="1" applyFill="1" applyBorder="1" applyAlignment="1">
      <alignment vertical="center"/>
    </xf>
    <xf numFmtId="38" fontId="0" fillId="0" borderId="36" xfId="0" applyNumberFormat="1" applyFont="1" applyFill="1" applyBorder="1" applyAlignment="1">
      <alignment vertical="center"/>
    </xf>
    <xf numFmtId="38" fontId="0" fillId="0" borderId="34" xfId="1" applyFont="1" applyFill="1" applyBorder="1" applyAlignment="1">
      <alignment vertical="center"/>
    </xf>
    <xf numFmtId="38" fontId="0" fillId="0" borderId="38" xfId="1" applyFont="1" applyFill="1" applyBorder="1" applyAlignment="1">
      <alignment vertical="center"/>
    </xf>
    <xf numFmtId="38" fontId="0" fillId="0" borderId="39" xfId="1" applyFont="1" applyFill="1" applyBorder="1" applyAlignment="1">
      <alignment vertical="center"/>
    </xf>
    <xf numFmtId="38" fontId="0" fillId="0" borderId="40" xfId="1" applyFont="1" applyFill="1" applyBorder="1" applyAlignment="1">
      <alignment vertical="center"/>
    </xf>
    <xf numFmtId="38" fontId="0" fillId="0" borderId="37" xfId="1" applyFont="1" applyFill="1" applyBorder="1" applyAlignment="1">
      <alignment vertical="center"/>
    </xf>
    <xf numFmtId="38" fontId="3" fillId="0" borderId="37" xfId="1" applyFont="1" applyFill="1" applyBorder="1"/>
    <xf numFmtId="0" fontId="0" fillId="0" borderId="39" xfId="0" applyFont="1" applyFill="1" applyBorder="1" applyAlignment="1">
      <alignment horizontal="right" vertical="center" shrinkToFit="1"/>
    </xf>
    <xf numFmtId="0" fontId="0" fillId="0" borderId="35" xfId="0" applyFont="1" applyFill="1" applyBorder="1" applyAlignment="1">
      <alignment horizontal="center" vertical="center" shrinkToFit="1"/>
    </xf>
    <xf numFmtId="0" fontId="0" fillId="0" borderId="36" xfId="0" applyFont="1" applyFill="1" applyBorder="1" applyAlignment="1">
      <alignment vertical="center" shrinkToFit="1"/>
    </xf>
    <xf numFmtId="38" fontId="0" fillId="0" borderId="41" xfId="0" applyNumberFormat="1" applyFont="1" applyFill="1" applyBorder="1" applyAlignment="1">
      <alignment vertical="center"/>
    </xf>
    <xf numFmtId="38" fontId="0" fillId="0" borderId="42" xfId="1" applyFont="1" applyFill="1" applyBorder="1" applyAlignment="1">
      <alignment vertical="center"/>
    </xf>
    <xf numFmtId="38" fontId="0" fillId="0" borderId="43" xfId="1" applyFont="1" applyFill="1" applyBorder="1" applyAlignment="1">
      <alignment vertical="center"/>
    </xf>
    <xf numFmtId="38" fontId="0" fillId="0" borderId="44" xfId="0" applyNumberFormat="1" applyFont="1" applyFill="1" applyBorder="1" applyAlignment="1">
      <alignment vertical="center"/>
    </xf>
    <xf numFmtId="38" fontId="0" fillId="0" borderId="42" xfId="0" applyNumberFormat="1" applyFont="1" applyFill="1" applyBorder="1" applyAlignment="1">
      <alignment vertical="center"/>
    </xf>
    <xf numFmtId="38" fontId="0" fillId="0" borderId="43" xfId="0" applyNumberFormat="1" applyFont="1" applyFill="1" applyBorder="1" applyAlignment="1">
      <alignment vertical="center"/>
    </xf>
    <xf numFmtId="38" fontId="0" fillId="0" borderId="41" xfId="1" applyFont="1" applyFill="1" applyBorder="1" applyAlignment="1">
      <alignment vertical="center"/>
    </xf>
    <xf numFmtId="38" fontId="0" fillId="0" borderId="45" xfId="1" applyFont="1" applyFill="1" applyBorder="1" applyAlignment="1">
      <alignment vertical="center"/>
    </xf>
    <xf numFmtId="38" fontId="0" fillId="0" borderId="46" xfId="1" applyFont="1" applyFill="1" applyBorder="1" applyAlignment="1">
      <alignment vertical="center"/>
    </xf>
    <xf numFmtId="38" fontId="0" fillId="0" borderId="47" xfId="1" applyFont="1" applyFill="1" applyBorder="1" applyAlignment="1">
      <alignment vertical="center"/>
    </xf>
    <xf numFmtId="38" fontId="0" fillId="0" borderId="44" xfId="1" applyFont="1" applyFill="1" applyBorder="1" applyAlignment="1">
      <alignment vertical="center"/>
    </xf>
    <xf numFmtId="38" fontId="3" fillId="0" borderId="44" xfId="1" applyFont="1" applyFill="1" applyBorder="1"/>
    <xf numFmtId="0" fontId="0" fillId="0" borderId="46" xfId="0" applyFont="1" applyFill="1" applyBorder="1" applyAlignment="1">
      <alignment horizontal="right" vertical="center" shrinkToFit="1"/>
    </xf>
    <xf numFmtId="0" fontId="0" fillId="0" borderId="42" xfId="0" applyFont="1" applyFill="1" applyBorder="1" applyAlignment="1">
      <alignment horizontal="center" vertical="center" shrinkToFit="1"/>
    </xf>
    <xf numFmtId="0" fontId="0" fillId="0" borderId="43" xfId="0" applyFont="1" applyFill="1" applyBorder="1" applyAlignment="1">
      <alignment vertical="center" shrinkToFit="1"/>
    </xf>
    <xf numFmtId="38" fontId="0" fillId="2" borderId="34" xfId="1" applyFont="1" applyFill="1" applyBorder="1" applyAlignment="1">
      <alignment vertical="center"/>
    </xf>
    <xf numFmtId="38" fontId="0" fillId="3" borderId="33" xfId="1" applyFont="1" applyFill="1" applyBorder="1" applyAlignment="1">
      <alignment vertical="center"/>
    </xf>
    <xf numFmtId="38" fontId="0" fillId="3" borderId="28" xfId="1" applyFont="1" applyFill="1" applyBorder="1" applyAlignment="1">
      <alignment vertical="center"/>
    </xf>
    <xf numFmtId="38" fontId="0" fillId="2" borderId="31" xfId="1" applyFont="1" applyFill="1" applyBorder="1" applyAlignment="1">
      <alignment vertical="center"/>
    </xf>
    <xf numFmtId="38" fontId="0" fillId="2" borderId="28" xfId="1" applyFont="1" applyFill="1" applyBorder="1" applyAlignment="1">
      <alignment vertical="center"/>
    </xf>
    <xf numFmtId="38" fontId="0" fillId="2" borderId="29" xfId="1" applyFont="1" applyFill="1" applyBorder="1" applyAlignment="1">
      <alignment vertical="center"/>
    </xf>
    <xf numFmtId="38" fontId="0" fillId="4" borderId="33" xfId="1" applyFont="1" applyFill="1" applyBorder="1" applyAlignment="1">
      <alignment vertical="center"/>
    </xf>
    <xf numFmtId="38" fontId="0" fillId="4" borderId="28" xfId="1" applyFont="1" applyFill="1" applyBorder="1" applyAlignment="1">
      <alignment vertical="center"/>
    </xf>
    <xf numFmtId="38" fontId="0" fillId="4" borderId="40" xfId="1" applyFont="1" applyFill="1" applyBorder="1" applyAlignment="1">
      <alignment vertical="center"/>
    </xf>
    <xf numFmtId="38" fontId="0" fillId="4" borderId="35" xfId="1" applyFont="1" applyFill="1" applyBorder="1" applyAlignment="1">
      <alignment vertical="center"/>
    </xf>
    <xf numFmtId="38" fontId="0" fillId="2" borderId="37" xfId="1" applyFont="1" applyFill="1" applyBorder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0" fillId="0" borderId="13" xfId="1" applyFont="1" applyFill="1" applyBorder="1" applyAlignment="1">
      <alignment horizontal="center" vertical="center"/>
    </xf>
    <xf numFmtId="38" fontId="0" fillId="0" borderId="27" xfId="1" applyFont="1" applyFill="1" applyBorder="1" applyAlignment="1">
      <alignment horizontal="center" vertical="center"/>
    </xf>
    <xf numFmtId="38" fontId="0" fillId="0" borderId="31" xfId="1" applyFont="1" applyFill="1" applyBorder="1" applyAlignment="1">
      <alignment horizontal="center" vertical="center"/>
    </xf>
    <xf numFmtId="38" fontId="0" fillId="0" borderId="28" xfId="1" applyFont="1" applyFill="1" applyBorder="1" applyAlignment="1">
      <alignment horizontal="center" vertical="center"/>
    </xf>
    <xf numFmtId="38" fontId="0" fillId="0" borderId="29" xfId="1" applyFont="1" applyFill="1" applyBorder="1" applyAlignment="1">
      <alignment horizontal="center" vertical="center"/>
    </xf>
    <xf numFmtId="38" fontId="0" fillId="0" borderId="14" xfId="1" applyFont="1" applyFill="1" applyBorder="1" applyAlignment="1">
      <alignment horizontal="center" vertical="center"/>
    </xf>
    <xf numFmtId="177" fontId="0" fillId="0" borderId="14" xfId="2" applyNumberFormat="1" applyFont="1" applyFill="1" applyBorder="1" applyAlignment="1">
      <alignment horizontal="center" vertical="center"/>
    </xf>
    <xf numFmtId="177" fontId="0" fillId="0" borderId="15" xfId="2" applyNumberFormat="1" applyFont="1" applyFill="1" applyBorder="1" applyAlignment="1">
      <alignment horizontal="center" vertical="center"/>
    </xf>
    <xf numFmtId="177" fontId="0" fillId="0" borderId="31" xfId="2" applyNumberFormat="1" applyFont="1" applyFill="1" applyBorder="1" applyAlignment="1">
      <alignment horizontal="center" vertical="center"/>
    </xf>
    <xf numFmtId="177" fontId="0" fillId="0" borderId="28" xfId="2" applyNumberFormat="1" applyFont="1" applyFill="1" applyBorder="1" applyAlignment="1">
      <alignment horizontal="center" vertical="center"/>
    </xf>
    <xf numFmtId="177" fontId="0" fillId="0" borderId="29" xfId="2" applyNumberFormat="1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66" xfId="0" applyFont="1" applyFill="1" applyBorder="1" applyAlignment="1">
      <alignment vertical="center"/>
    </xf>
    <xf numFmtId="0" fontId="6" fillId="0" borderId="66" xfId="0" applyFont="1" applyFill="1" applyBorder="1" applyAlignment="1">
      <alignment vertical="center"/>
    </xf>
    <xf numFmtId="40" fontId="0" fillId="0" borderId="0" xfId="1" applyNumberFormat="1" applyFont="1" applyFill="1" applyAlignment="1">
      <alignment vertical="center"/>
    </xf>
    <xf numFmtId="38" fontId="0" fillId="0" borderId="0" xfId="1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38" fontId="0" fillId="5" borderId="3" xfId="0" applyNumberFormat="1" applyFont="1" applyFill="1" applyBorder="1" applyAlignment="1">
      <alignment vertical="center"/>
    </xf>
    <xf numFmtId="38" fontId="0" fillId="5" borderId="2" xfId="0" applyNumberFormat="1" applyFont="1" applyFill="1" applyBorder="1" applyAlignment="1">
      <alignment vertical="center"/>
    </xf>
    <xf numFmtId="0" fontId="0" fillId="0" borderId="0" xfId="0" applyFont="1" applyFill="1" applyAlignment="1">
      <alignment horizontal="left" vertical="center"/>
    </xf>
    <xf numFmtId="38" fontId="0" fillId="6" borderId="16" xfId="1" applyFont="1" applyFill="1" applyBorder="1" applyAlignment="1">
      <alignment vertical="center"/>
    </xf>
    <xf numFmtId="38" fontId="0" fillId="7" borderId="30" xfId="1" applyFont="1" applyFill="1" applyBorder="1" applyAlignment="1">
      <alignment vertical="center"/>
    </xf>
    <xf numFmtId="178" fontId="0" fillId="8" borderId="17" xfId="2" applyNumberFormat="1" applyFont="1" applyFill="1" applyBorder="1" applyAlignment="1">
      <alignment horizontal="center" vertical="center"/>
    </xf>
    <xf numFmtId="178" fontId="0" fillId="8" borderId="0" xfId="2" applyNumberFormat="1" applyFont="1" applyFill="1" applyBorder="1" applyAlignment="1">
      <alignment horizontal="center" vertical="center" shrinkToFit="1"/>
    </xf>
    <xf numFmtId="38" fontId="0" fillId="9" borderId="28" xfId="1" applyFont="1" applyFill="1" applyBorder="1" applyAlignment="1">
      <alignment vertical="center"/>
    </xf>
    <xf numFmtId="0" fontId="0" fillId="0" borderId="63" xfId="0" applyFont="1" applyFill="1" applyBorder="1" applyAlignment="1">
      <alignment horizontal="center" vertical="center"/>
    </xf>
    <xf numFmtId="0" fontId="0" fillId="0" borderId="62" xfId="0" applyFont="1" applyFill="1" applyBorder="1" applyAlignment="1">
      <alignment horizontal="center" vertical="center"/>
    </xf>
    <xf numFmtId="0" fontId="0" fillId="0" borderId="61" xfId="0" applyFont="1" applyFill="1" applyBorder="1" applyAlignment="1">
      <alignment horizontal="center" vertical="center"/>
    </xf>
    <xf numFmtId="0" fontId="0" fillId="0" borderId="49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53" xfId="0" applyFont="1" applyFill="1" applyBorder="1" applyAlignment="1">
      <alignment horizontal="center" vertical="center"/>
    </xf>
    <xf numFmtId="0" fontId="0" fillId="0" borderId="55" xfId="0" applyFont="1" applyFill="1" applyBorder="1" applyAlignment="1">
      <alignment horizontal="center" vertical="center"/>
    </xf>
    <xf numFmtId="0" fontId="0" fillId="0" borderId="46" xfId="0" applyFont="1" applyFill="1" applyBorder="1" applyAlignment="1">
      <alignment horizontal="center" vertical="center"/>
    </xf>
    <xf numFmtId="0" fontId="0" fillId="0" borderId="54" xfId="0" applyFont="1" applyFill="1" applyBorder="1" applyAlignment="1">
      <alignment horizontal="center" vertical="center"/>
    </xf>
    <xf numFmtId="38" fontId="0" fillId="0" borderId="63" xfId="1" applyFont="1" applyFill="1" applyBorder="1" applyAlignment="1">
      <alignment horizontal="center" vertical="center"/>
    </xf>
    <xf numFmtId="38" fontId="0" fillId="0" borderId="62" xfId="1" applyFont="1" applyFill="1" applyBorder="1" applyAlignment="1">
      <alignment horizontal="center" vertical="center"/>
    </xf>
    <xf numFmtId="38" fontId="0" fillId="0" borderId="61" xfId="1" applyFont="1" applyFill="1" applyBorder="1" applyAlignment="1">
      <alignment horizontal="center" vertical="center"/>
    </xf>
    <xf numFmtId="38" fontId="0" fillId="0" borderId="49" xfId="1" applyFont="1" applyFill="1" applyBorder="1" applyAlignment="1">
      <alignment horizontal="center" vertical="center"/>
    </xf>
    <xf numFmtId="38" fontId="0" fillId="0" borderId="0" xfId="1" applyFont="1" applyFill="1" applyBorder="1" applyAlignment="1">
      <alignment horizontal="center" vertical="center"/>
    </xf>
    <xf numFmtId="38" fontId="0" fillId="0" borderId="53" xfId="1" applyFont="1" applyFill="1" applyBorder="1" applyAlignment="1">
      <alignment horizontal="center" vertical="center"/>
    </xf>
    <xf numFmtId="38" fontId="0" fillId="0" borderId="55" xfId="1" applyFont="1" applyFill="1" applyBorder="1" applyAlignment="1">
      <alignment horizontal="center" vertical="center"/>
    </xf>
    <xf numFmtId="38" fontId="0" fillId="0" borderId="46" xfId="1" applyFont="1" applyFill="1" applyBorder="1" applyAlignment="1">
      <alignment horizontal="center" vertical="center"/>
    </xf>
    <xf numFmtId="38" fontId="0" fillId="0" borderId="54" xfId="1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0" fillId="0" borderId="3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60" xfId="0" applyFont="1" applyFill="1" applyBorder="1" applyAlignment="1">
      <alignment horizontal="center" vertical="center" wrapText="1"/>
    </xf>
    <xf numFmtId="0" fontId="0" fillId="0" borderId="52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59" xfId="0" applyFont="1" applyFill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/>
    </xf>
    <xf numFmtId="0" fontId="0" fillId="0" borderId="57" xfId="0" applyFont="1" applyFill="1" applyBorder="1" applyAlignment="1">
      <alignment horizontal="center" vertical="center"/>
    </xf>
    <xf numFmtId="0" fontId="0" fillId="0" borderId="6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0" fillId="0" borderId="56" xfId="0" applyFont="1" applyFill="1" applyBorder="1" applyAlignment="1">
      <alignment horizontal="center" vertical="center"/>
    </xf>
    <xf numFmtId="0" fontId="0" fillId="0" borderId="39" xfId="0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50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0" fillId="0" borderId="65" xfId="0" applyFont="1" applyFill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0" fontId="0" fillId="0" borderId="60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8" xfId="0" applyFont="1" applyFill="1" applyBorder="1" applyAlignment="1">
      <alignment horizontal="center" vertical="center" wrapText="1"/>
    </xf>
    <xf numFmtId="0" fontId="0" fillId="0" borderId="50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63" xfId="0" applyFont="1" applyFill="1" applyBorder="1" applyAlignment="1">
      <alignment horizontal="center" vertical="center" wrapText="1"/>
    </xf>
    <xf numFmtId="0" fontId="0" fillId="0" borderId="62" xfId="0" applyFont="1" applyFill="1" applyBorder="1" applyAlignment="1">
      <alignment horizontal="center" vertical="center" wrapText="1"/>
    </xf>
    <xf numFmtId="0" fontId="0" fillId="0" borderId="61" xfId="0" applyFont="1" applyFill="1" applyBorder="1" applyAlignment="1">
      <alignment horizontal="center" vertical="center" wrapText="1"/>
    </xf>
    <xf numFmtId="0" fontId="0" fillId="0" borderId="4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53" xfId="0" applyFont="1" applyFill="1" applyBorder="1" applyAlignment="1">
      <alignment horizontal="center" vertical="center" wrapText="1"/>
    </xf>
  </cellXfs>
  <cellStyles count="14">
    <cellStyle name="パーセント" xfId="2" builtinId="5"/>
    <cellStyle name="パーセント 2" xfId="3"/>
    <cellStyle name="桁区切り" xfId="1" builtinId="6"/>
    <cellStyle name="桁区切り 2" xfId="4"/>
    <cellStyle name="桁区切り 2 2" xfId="5"/>
    <cellStyle name="桁区切り 3" xfId="6"/>
    <cellStyle name="桁区切り 4" xfId="7"/>
    <cellStyle name="標準" xfId="0" builtinId="0"/>
    <cellStyle name="標準 2" xfId="8"/>
    <cellStyle name="標準 2 2" xfId="9"/>
    <cellStyle name="標準 3" xfId="10"/>
    <cellStyle name="標準 4" xfId="11"/>
    <cellStyle name="標準 5" xfId="12"/>
    <cellStyle name="標準 6" xfId="13"/>
  </cellStyles>
  <dxfs count="139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9312;R5%20&#65299;&#26465;&#25903;&#2098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9319;R5%20&#19968;&#33324;&#20250;&#35336;&#32368;&#20837;&#37329;&#27770;&#3163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9317;R5%20&#19981;&#35506;&#31246;&#21454;&#20837;&#12398;&#21306;&#20998;&#65288;&#29305;&#23450;&#21454;&#20837;&#38989;&#65289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9318;R5%20&#28040;&#36027;&#3124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年度"/>
      <sheetName val="全伝票"/>
      <sheetName val="災害伝票"/>
      <sheetName val="3条支出"/>
      <sheetName val="管"/>
      <sheetName val="水質"/>
      <sheetName val="ポ"/>
      <sheetName val="処"/>
      <sheetName val="受工"/>
      <sheetName val="普及"/>
      <sheetName val="貸付"/>
      <sheetName val="業務"/>
      <sheetName val="総係"/>
      <sheetName val="特環"/>
      <sheetName val="農集"/>
      <sheetName val="浄化"/>
      <sheetName val="災"/>
      <sheetName val="減価"/>
      <sheetName val="減耗"/>
      <sheetName val="営外"/>
      <sheetName val="特損"/>
      <sheetName val="3条支出(共通按分後)"/>
      <sheetName val="総係(共通按分後)"/>
      <sheetName val="特環(共通按分後)"/>
      <sheetName val="農集(共通按分後)"/>
      <sheetName val="浄化(共通按分後)"/>
    </sheetNames>
    <sheetDataSet>
      <sheetData sheetId="0"/>
      <sheetData sheetId="1">
        <row r="1">
          <cell r="I1">
            <v>179962946555</v>
          </cell>
          <cell r="J1">
            <v>0</v>
          </cell>
          <cell r="K1">
            <v>0</v>
          </cell>
          <cell r="L1">
            <v>1408906</v>
          </cell>
          <cell r="M1">
            <v>537718</v>
          </cell>
          <cell r="N1">
            <v>44539401683</v>
          </cell>
          <cell r="O1">
            <v>4535078073</v>
          </cell>
          <cell r="P1">
            <v>130886520175</v>
          </cell>
        </row>
        <row r="2">
          <cell r="A2" t="str">
            <v>事業</v>
          </cell>
          <cell r="C2" t="str">
            <v>予算コード</v>
          </cell>
          <cell r="I2" t="str">
            <v>執行額</v>
          </cell>
          <cell r="J2" t="str">
            <v>課税</v>
          </cell>
          <cell r="O2" t="str">
            <v>非課税</v>
          </cell>
          <cell r="P2" t="str">
            <v>不課税</v>
          </cell>
        </row>
        <row r="3">
          <cell r="J3">
            <v>3</v>
          </cell>
          <cell r="K3">
            <v>5</v>
          </cell>
          <cell r="L3">
            <v>8</v>
          </cell>
          <cell r="M3">
            <v>8</v>
          </cell>
          <cell r="N3">
            <v>10</v>
          </cell>
          <cell r="O3">
            <v>21</v>
          </cell>
          <cell r="P3">
            <v>31</v>
          </cell>
        </row>
        <row r="4">
          <cell r="A4">
            <v>1</v>
          </cell>
          <cell r="C4">
            <v>112011010</v>
          </cell>
          <cell r="I4">
            <v>8822500000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8822500000</v>
          </cell>
        </row>
        <row r="5">
          <cell r="A5">
            <v>1</v>
          </cell>
          <cell r="C5">
            <v>112011011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</row>
        <row r="6">
          <cell r="A6">
            <v>1</v>
          </cell>
          <cell r="C6">
            <v>112011012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>
            <v>1</v>
          </cell>
          <cell r="C7">
            <v>112011100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>
            <v>1</v>
          </cell>
          <cell r="C8">
            <v>112011200</v>
          </cell>
          <cell r="I8">
            <v>120200000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120200000</v>
          </cell>
        </row>
        <row r="9">
          <cell r="A9">
            <v>1</v>
          </cell>
          <cell r="C9">
            <v>112011300</v>
          </cell>
          <cell r="I9">
            <v>5632100000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5632100000</v>
          </cell>
        </row>
        <row r="10">
          <cell r="A10">
            <v>1</v>
          </cell>
          <cell r="C10">
            <v>112011400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>
            <v>1</v>
          </cell>
          <cell r="C11">
            <v>112011600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>
            <v>1</v>
          </cell>
          <cell r="C12">
            <v>112021000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>
            <v>1</v>
          </cell>
          <cell r="C13">
            <v>112022000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>
            <v>1</v>
          </cell>
          <cell r="C14">
            <v>112023000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>
            <v>1</v>
          </cell>
          <cell r="C15">
            <v>112024000</v>
          </cell>
          <cell r="I15">
            <v>17007700000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17007700000</v>
          </cell>
        </row>
        <row r="16">
          <cell r="A16">
            <v>1</v>
          </cell>
          <cell r="C16">
            <v>112031000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>
            <v>1</v>
          </cell>
          <cell r="C17">
            <v>114030300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>
            <v>1</v>
          </cell>
          <cell r="C18">
            <v>116010100</v>
          </cell>
          <cell r="I18">
            <v>3566242000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3566242000</v>
          </cell>
        </row>
        <row r="19">
          <cell r="A19">
            <v>1</v>
          </cell>
          <cell r="C19">
            <v>116020200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>
            <v>1</v>
          </cell>
          <cell r="C20">
            <v>118040101</v>
          </cell>
          <cell r="I20">
            <v>5683800000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5683800000</v>
          </cell>
        </row>
        <row r="21">
          <cell r="A21">
            <v>1</v>
          </cell>
          <cell r="C21">
            <v>118040102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>
            <v>1</v>
          </cell>
          <cell r="C22">
            <v>118040200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>
            <v>1</v>
          </cell>
          <cell r="C23">
            <v>120063000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A24">
            <v>1</v>
          </cell>
          <cell r="C24">
            <v>130083100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>
            <v>1</v>
          </cell>
          <cell r="C25">
            <v>140101000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>
            <v>1</v>
          </cell>
          <cell r="C26">
            <v>160010100</v>
          </cell>
          <cell r="I26">
            <v>24373083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24373083</v>
          </cell>
          <cell r="O26">
            <v>0</v>
          </cell>
          <cell r="P26">
            <v>0</v>
          </cell>
        </row>
        <row r="27">
          <cell r="A27">
            <v>1</v>
          </cell>
          <cell r="C27">
            <v>180060600</v>
          </cell>
          <cell r="I27">
            <v>8799605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8799605</v>
          </cell>
        </row>
        <row r="28">
          <cell r="A28">
            <v>1</v>
          </cell>
          <cell r="C28">
            <v>180080800</v>
          </cell>
          <cell r="I28">
            <v>530286509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15318327</v>
          </cell>
          <cell r="O28">
            <v>0</v>
          </cell>
          <cell r="P28">
            <v>514968182</v>
          </cell>
        </row>
        <row r="29">
          <cell r="A29">
            <v>1</v>
          </cell>
          <cell r="C29">
            <v>182010100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A30">
            <v>1</v>
          </cell>
          <cell r="C30">
            <v>184010200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A31">
            <v>1</v>
          </cell>
          <cell r="C31">
            <v>184030400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A32">
            <v>1</v>
          </cell>
          <cell r="C32">
            <v>184030500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A33">
            <v>1</v>
          </cell>
          <cell r="C33">
            <v>184030600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A34">
            <v>1</v>
          </cell>
          <cell r="C34">
            <v>184050600</v>
          </cell>
          <cell r="I34">
            <v>640000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640000</v>
          </cell>
        </row>
        <row r="35">
          <cell r="A35">
            <v>1</v>
          </cell>
          <cell r="C35">
            <v>184050700</v>
          </cell>
          <cell r="I35">
            <v>1079000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1079000</v>
          </cell>
        </row>
        <row r="36">
          <cell r="A36">
            <v>1</v>
          </cell>
          <cell r="C36">
            <v>184050800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A37">
            <v>1</v>
          </cell>
          <cell r="C37">
            <v>186030300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>
            <v>1</v>
          </cell>
          <cell r="C38">
            <v>188010100</v>
          </cell>
          <cell r="I38">
            <v>45948113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45948113</v>
          </cell>
          <cell r="P38">
            <v>0</v>
          </cell>
        </row>
        <row r="39">
          <cell r="A39">
            <v>1</v>
          </cell>
          <cell r="C39">
            <v>188020200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A40">
            <v>1</v>
          </cell>
          <cell r="C40">
            <v>190010100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A41">
            <v>1</v>
          </cell>
          <cell r="C41">
            <v>190020200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A42">
            <v>1</v>
          </cell>
          <cell r="C42">
            <v>190030300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>
            <v>1</v>
          </cell>
          <cell r="C43">
            <v>481020200</v>
          </cell>
          <cell r="I43">
            <v>20339840861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20339840861</v>
          </cell>
          <cell r="O43">
            <v>0</v>
          </cell>
          <cell r="P43">
            <v>0</v>
          </cell>
        </row>
        <row r="44">
          <cell r="A44">
            <v>1</v>
          </cell>
          <cell r="C44">
            <v>481040411</v>
          </cell>
          <cell r="I44">
            <v>2754671000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2754671000</v>
          </cell>
        </row>
        <row r="45">
          <cell r="A45">
            <v>1</v>
          </cell>
          <cell r="C45">
            <v>481040412</v>
          </cell>
          <cell r="I45">
            <v>7912710000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7912710000</v>
          </cell>
        </row>
        <row r="46">
          <cell r="A46">
            <v>1</v>
          </cell>
          <cell r="C46">
            <v>481040413</v>
          </cell>
          <cell r="I46">
            <v>2138644000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2138644000</v>
          </cell>
        </row>
        <row r="47">
          <cell r="A47">
            <v>1</v>
          </cell>
          <cell r="C47">
            <v>481040415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>
            <v>1</v>
          </cell>
          <cell r="C48">
            <v>481040600</v>
          </cell>
          <cell r="I48">
            <v>61778000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61778000</v>
          </cell>
        </row>
        <row r="49">
          <cell r="A49">
            <v>1</v>
          </cell>
          <cell r="C49">
            <v>481040800</v>
          </cell>
          <cell r="I49">
            <v>40039000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40039000</v>
          </cell>
        </row>
        <row r="50">
          <cell r="A50">
            <v>1</v>
          </cell>
          <cell r="C50">
            <v>481040900</v>
          </cell>
          <cell r="I50">
            <v>14763000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14763000</v>
          </cell>
        </row>
        <row r="51">
          <cell r="A51">
            <v>1</v>
          </cell>
          <cell r="C51">
            <v>481041500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>
            <v>1</v>
          </cell>
          <cell r="C52">
            <v>481121400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>
            <v>1</v>
          </cell>
          <cell r="C53">
            <v>481141500</v>
          </cell>
          <cell r="I53">
            <v>187826166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187826166</v>
          </cell>
          <cell r="O53">
            <v>0</v>
          </cell>
          <cell r="P53">
            <v>0</v>
          </cell>
        </row>
        <row r="54">
          <cell r="A54">
            <v>1</v>
          </cell>
          <cell r="C54">
            <v>481141600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A55">
            <v>1</v>
          </cell>
          <cell r="C55">
            <v>481141700</v>
          </cell>
          <cell r="I55">
            <v>1409733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1409733</v>
          </cell>
          <cell r="O55">
            <v>0</v>
          </cell>
          <cell r="P55">
            <v>0</v>
          </cell>
        </row>
        <row r="56">
          <cell r="A56">
            <v>1</v>
          </cell>
          <cell r="C56">
            <v>481141800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A57">
            <v>1</v>
          </cell>
          <cell r="C57">
            <v>481141915</v>
          </cell>
          <cell r="I57">
            <v>71970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71970</v>
          </cell>
          <cell r="P57">
            <v>0</v>
          </cell>
        </row>
        <row r="58">
          <cell r="A58">
            <v>1</v>
          </cell>
          <cell r="C58">
            <v>481141916</v>
          </cell>
          <cell r="I58">
            <v>539000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539000</v>
          </cell>
          <cell r="P58">
            <v>0</v>
          </cell>
        </row>
        <row r="59">
          <cell r="A59">
            <v>1</v>
          </cell>
          <cell r="C59">
            <v>481141917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</row>
        <row r="60">
          <cell r="A60">
            <v>1</v>
          </cell>
          <cell r="C60">
            <v>481142000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</row>
        <row r="61">
          <cell r="A61">
            <v>1</v>
          </cell>
          <cell r="C61">
            <v>482022100</v>
          </cell>
          <cell r="I61">
            <v>88770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88770</v>
          </cell>
          <cell r="P61">
            <v>0</v>
          </cell>
        </row>
        <row r="62">
          <cell r="A62">
            <v>1</v>
          </cell>
          <cell r="C62">
            <v>482022200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A63">
            <v>1</v>
          </cell>
          <cell r="C63">
            <v>482022400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>
            <v>1</v>
          </cell>
          <cell r="C64">
            <v>482042700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>
            <v>1</v>
          </cell>
          <cell r="C65">
            <v>482042800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A66">
            <v>1</v>
          </cell>
          <cell r="C66">
            <v>482042900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>
            <v>1</v>
          </cell>
          <cell r="C67">
            <v>482050100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>
            <v>1</v>
          </cell>
          <cell r="C68">
            <v>482063000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>
            <v>1</v>
          </cell>
          <cell r="C69">
            <v>482083100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</row>
        <row r="70">
          <cell r="A70">
            <v>1</v>
          </cell>
          <cell r="C70">
            <v>482093200</v>
          </cell>
          <cell r="I70">
            <v>37016600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37016600</v>
          </cell>
          <cell r="O70">
            <v>0</v>
          </cell>
          <cell r="P70">
            <v>0</v>
          </cell>
        </row>
        <row r="71">
          <cell r="A71">
            <v>1</v>
          </cell>
          <cell r="C71">
            <v>482093300</v>
          </cell>
          <cell r="I71">
            <v>16476593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16476593</v>
          </cell>
        </row>
        <row r="72">
          <cell r="A72">
            <v>1</v>
          </cell>
          <cell r="C72">
            <v>482103411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A73">
            <v>1</v>
          </cell>
          <cell r="C73">
            <v>482103412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4">
          <cell r="A74">
            <v>1</v>
          </cell>
          <cell r="C74">
            <v>482103413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>
            <v>1</v>
          </cell>
          <cell r="C75">
            <v>482103414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A76">
            <v>1</v>
          </cell>
          <cell r="C76">
            <v>482103500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</row>
        <row r="77">
          <cell r="A77">
            <v>1</v>
          </cell>
          <cell r="C77">
            <v>482104000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>
            <v>1</v>
          </cell>
          <cell r="C78">
            <v>482113700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79">
          <cell r="A79">
            <v>1</v>
          </cell>
          <cell r="C79">
            <v>482123600</v>
          </cell>
          <cell r="I79">
            <v>408100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408100</v>
          </cell>
          <cell r="O79">
            <v>0</v>
          </cell>
          <cell r="P79">
            <v>0</v>
          </cell>
        </row>
        <row r="80">
          <cell r="A80">
            <v>1</v>
          </cell>
          <cell r="C80">
            <v>482124000</v>
          </cell>
          <cell r="I80">
            <v>35949984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12905830</v>
          </cell>
          <cell r="O80">
            <v>21841940</v>
          </cell>
          <cell r="P80">
            <v>1202214</v>
          </cell>
        </row>
        <row r="81">
          <cell r="A81">
            <v>1</v>
          </cell>
          <cell r="C81">
            <v>482130103</v>
          </cell>
          <cell r="I81">
            <v>1393301969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1393301969</v>
          </cell>
        </row>
        <row r="82">
          <cell r="A82">
            <v>1</v>
          </cell>
          <cell r="C82">
            <v>482130104</v>
          </cell>
          <cell r="I82">
            <v>6705381537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6705381537</v>
          </cell>
        </row>
        <row r="83">
          <cell r="A83">
            <v>1</v>
          </cell>
          <cell r="C83">
            <v>482130106</v>
          </cell>
          <cell r="I83">
            <v>193254317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193254317</v>
          </cell>
        </row>
        <row r="84">
          <cell r="A84">
            <v>1</v>
          </cell>
          <cell r="C84">
            <v>482130108</v>
          </cell>
          <cell r="I84">
            <v>841304822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841304822</v>
          </cell>
        </row>
        <row r="85">
          <cell r="A85">
            <v>1</v>
          </cell>
          <cell r="C85">
            <v>482130110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</row>
        <row r="86">
          <cell r="A86">
            <v>1</v>
          </cell>
          <cell r="C86">
            <v>482130120</v>
          </cell>
          <cell r="I86">
            <v>4429743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4429743</v>
          </cell>
        </row>
        <row r="87">
          <cell r="A87">
            <v>1</v>
          </cell>
          <cell r="C87">
            <v>483020200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A88">
            <v>1</v>
          </cell>
          <cell r="C88">
            <v>483040400</v>
          </cell>
          <cell r="I88">
            <v>2710875</v>
          </cell>
          <cell r="J88">
            <v>0</v>
          </cell>
          <cell r="K88">
            <v>0</v>
          </cell>
          <cell r="L88">
            <v>36536</v>
          </cell>
          <cell r="M88">
            <v>0</v>
          </cell>
          <cell r="N88">
            <v>1518254</v>
          </cell>
          <cell r="O88">
            <v>910</v>
          </cell>
          <cell r="P88">
            <v>1155175</v>
          </cell>
        </row>
        <row r="89">
          <cell r="A89">
            <v>1</v>
          </cell>
          <cell r="C89">
            <v>483060600</v>
          </cell>
          <cell r="I89">
            <v>864807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864807</v>
          </cell>
        </row>
        <row r="90">
          <cell r="A90">
            <v>1</v>
          </cell>
          <cell r="C90">
            <v>483060700</v>
          </cell>
          <cell r="I90">
            <v>428075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428075</v>
          </cell>
        </row>
        <row r="91">
          <cell r="A91">
            <v>1</v>
          </cell>
          <cell r="C91">
            <v>483060800</v>
          </cell>
          <cell r="I91">
            <v>109000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109000</v>
          </cell>
        </row>
        <row r="92">
          <cell r="A92">
            <v>1</v>
          </cell>
          <cell r="C92">
            <v>483080800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A93">
            <v>1</v>
          </cell>
          <cell r="C93">
            <v>615320102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A94">
            <v>1</v>
          </cell>
          <cell r="C94">
            <v>615320103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A95">
            <v>1</v>
          </cell>
          <cell r="C95">
            <v>615320104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A96">
            <v>1</v>
          </cell>
          <cell r="C96">
            <v>615320105</v>
          </cell>
          <cell r="I96">
            <v>13722776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13722776</v>
          </cell>
        </row>
        <row r="97">
          <cell r="A97">
            <v>1</v>
          </cell>
          <cell r="C97">
            <v>615320202</v>
          </cell>
          <cell r="I97">
            <v>285882615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285882615</v>
          </cell>
        </row>
        <row r="98">
          <cell r="A98">
            <v>1</v>
          </cell>
          <cell r="C98">
            <v>615320301</v>
          </cell>
          <cell r="I98">
            <v>30683384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30683384</v>
          </cell>
        </row>
        <row r="99">
          <cell r="A99">
            <v>1</v>
          </cell>
          <cell r="C99">
            <v>615320302</v>
          </cell>
          <cell r="I99">
            <v>10330091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10330091</v>
          </cell>
        </row>
        <row r="100">
          <cell r="A100">
            <v>1</v>
          </cell>
          <cell r="C100">
            <v>615320303</v>
          </cell>
          <cell r="I100">
            <v>135518157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135518157</v>
          </cell>
        </row>
        <row r="101">
          <cell r="A101">
            <v>1</v>
          </cell>
          <cell r="C101">
            <v>615320304</v>
          </cell>
          <cell r="I101">
            <v>8735510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8735510</v>
          </cell>
          <cell r="O101">
            <v>0</v>
          </cell>
          <cell r="P101">
            <v>0</v>
          </cell>
        </row>
        <row r="102">
          <cell r="A102">
            <v>1</v>
          </cell>
          <cell r="C102">
            <v>615320305</v>
          </cell>
          <cell r="I102">
            <v>10621200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10621200</v>
          </cell>
        </row>
        <row r="103">
          <cell r="A103">
            <v>1</v>
          </cell>
          <cell r="C103">
            <v>615320306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A104">
            <v>1</v>
          </cell>
          <cell r="C104">
            <v>615320307</v>
          </cell>
          <cell r="I104">
            <v>46428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46428</v>
          </cell>
        </row>
        <row r="105">
          <cell r="A105">
            <v>1</v>
          </cell>
          <cell r="C105">
            <v>615320310</v>
          </cell>
          <cell r="I105">
            <v>45682943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45682943</v>
          </cell>
        </row>
        <row r="106">
          <cell r="A106">
            <v>1</v>
          </cell>
          <cell r="C106">
            <v>615320311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A107">
            <v>1</v>
          </cell>
          <cell r="C107">
            <v>615320314</v>
          </cell>
          <cell r="I107">
            <v>7701600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7701600</v>
          </cell>
        </row>
        <row r="108">
          <cell r="A108">
            <v>1</v>
          </cell>
          <cell r="C108">
            <v>615320315</v>
          </cell>
          <cell r="I108">
            <v>4935000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4935000</v>
          </cell>
        </row>
        <row r="109">
          <cell r="A109">
            <v>1</v>
          </cell>
          <cell r="C109">
            <v>615320316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A110">
            <v>1</v>
          </cell>
          <cell r="C110">
            <v>615320319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1">
          <cell r="A111">
            <v>1</v>
          </cell>
          <cell r="C111">
            <v>615320401</v>
          </cell>
          <cell r="I111">
            <v>77205747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77205747</v>
          </cell>
          <cell r="P111">
            <v>0</v>
          </cell>
        </row>
        <row r="112">
          <cell r="A112">
            <v>1</v>
          </cell>
          <cell r="C112">
            <v>615320402</v>
          </cell>
          <cell r="I112">
            <v>444888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444888</v>
          </cell>
        </row>
        <row r="113">
          <cell r="A113">
            <v>1</v>
          </cell>
          <cell r="C113">
            <v>615320403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A114">
            <v>1</v>
          </cell>
          <cell r="C114">
            <v>615320405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A115">
            <v>1</v>
          </cell>
          <cell r="C115">
            <v>615320406</v>
          </cell>
          <cell r="I115">
            <v>162145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162145</v>
          </cell>
          <cell r="P115">
            <v>0</v>
          </cell>
        </row>
        <row r="116">
          <cell r="A116">
            <v>1</v>
          </cell>
          <cell r="C116">
            <v>615320407</v>
          </cell>
          <cell r="I116">
            <v>1528328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1528328</v>
          </cell>
          <cell r="P116">
            <v>0</v>
          </cell>
        </row>
        <row r="117">
          <cell r="A117">
            <v>1</v>
          </cell>
          <cell r="C117">
            <v>615320408</v>
          </cell>
          <cell r="I117">
            <v>60124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60124</v>
          </cell>
          <cell r="P117">
            <v>0</v>
          </cell>
        </row>
        <row r="118">
          <cell r="A118">
            <v>1</v>
          </cell>
          <cell r="C118">
            <v>615320410</v>
          </cell>
          <cell r="I118">
            <v>28219882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28219882</v>
          </cell>
          <cell r="P118">
            <v>0</v>
          </cell>
        </row>
        <row r="119">
          <cell r="A119">
            <v>1</v>
          </cell>
          <cell r="C119">
            <v>615320411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>
            <v>1</v>
          </cell>
          <cell r="C120">
            <v>615320500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>
            <v>1</v>
          </cell>
          <cell r="C121">
            <v>615320700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>
            <v>1</v>
          </cell>
          <cell r="C122">
            <v>615320800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>
            <v>1</v>
          </cell>
          <cell r="C123">
            <v>615321001</v>
          </cell>
          <cell r="I123">
            <v>2021074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2021074</v>
          </cell>
          <cell r="O123">
            <v>0</v>
          </cell>
          <cell r="P123">
            <v>0</v>
          </cell>
        </row>
        <row r="124">
          <cell r="A124">
            <v>1</v>
          </cell>
          <cell r="C124">
            <v>615321002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>
            <v>1</v>
          </cell>
          <cell r="C125">
            <v>615321003</v>
          </cell>
          <cell r="I125">
            <v>739160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739160</v>
          </cell>
          <cell r="O125">
            <v>0</v>
          </cell>
          <cell r="P125">
            <v>0</v>
          </cell>
        </row>
        <row r="126">
          <cell r="A126">
            <v>1</v>
          </cell>
          <cell r="C126">
            <v>615321300</v>
          </cell>
          <cell r="I126">
            <v>10417060</v>
          </cell>
          <cell r="J126">
            <v>0</v>
          </cell>
          <cell r="K126">
            <v>0</v>
          </cell>
          <cell r="L126">
            <v>0</v>
          </cell>
          <cell r="M126">
            <v>36840</v>
          </cell>
          <cell r="N126">
            <v>10380220</v>
          </cell>
          <cell r="O126">
            <v>0</v>
          </cell>
          <cell r="P126">
            <v>0</v>
          </cell>
        </row>
        <row r="127">
          <cell r="A127">
            <v>1</v>
          </cell>
          <cell r="C127">
            <v>615321400</v>
          </cell>
          <cell r="I127">
            <v>1053838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1053838</v>
          </cell>
          <cell r="O127">
            <v>0</v>
          </cell>
          <cell r="P127">
            <v>0</v>
          </cell>
        </row>
        <row r="128">
          <cell r="A128">
            <v>1</v>
          </cell>
          <cell r="C128">
            <v>615321500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</row>
        <row r="129">
          <cell r="A129">
            <v>1</v>
          </cell>
          <cell r="C129">
            <v>615321700</v>
          </cell>
          <cell r="I129">
            <v>2423102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2423102</v>
          </cell>
          <cell r="O129">
            <v>0</v>
          </cell>
          <cell r="P129">
            <v>0</v>
          </cell>
        </row>
        <row r="130">
          <cell r="A130">
            <v>1</v>
          </cell>
          <cell r="C130">
            <v>615321900</v>
          </cell>
          <cell r="I130">
            <v>357250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290850</v>
          </cell>
          <cell r="O130">
            <v>66400</v>
          </cell>
          <cell r="P130">
            <v>0</v>
          </cell>
        </row>
        <row r="131">
          <cell r="A131">
            <v>1</v>
          </cell>
          <cell r="C131">
            <v>615322000</v>
          </cell>
          <cell r="I131">
            <v>13483332</v>
          </cell>
          <cell r="J131">
            <v>0</v>
          </cell>
          <cell r="K131">
            <v>0</v>
          </cell>
          <cell r="L131">
            <v>125712</v>
          </cell>
          <cell r="M131">
            <v>0</v>
          </cell>
          <cell r="N131">
            <v>7866081</v>
          </cell>
          <cell r="O131">
            <v>5491539</v>
          </cell>
          <cell r="P131">
            <v>0</v>
          </cell>
        </row>
        <row r="132">
          <cell r="A132">
            <v>1</v>
          </cell>
          <cell r="C132">
            <v>615322100</v>
          </cell>
          <cell r="I132">
            <v>85827500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85827500</v>
          </cell>
          <cell r="O132">
            <v>0</v>
          </cell>
          <cell r="P132">
            <v>0</v>
          </cell>
        </row>
        <row r="133">
          <cell r="A133">
            <v>1</v>
          </cell>
          <cell r="C133">
            <v>615322300</v>
          </cell>
          <cell r="I133">
            <v>1482466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1482466</v>
          </cell>
          <cell r="O133">
            <v>0</v>
          </cell>
          <cell r="P133">
            <v>0</v>
          </cell>
        </row>
        <row r="134">
          <cell r="A134">
            <v>1</v>
          </cell>
          <cell r="C134">
            <v>615322400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A135">
            <v>1</v>
          </cell>
          <cell r="C135">
            <v>615323100</v>
          </cell>
          <cell r="I135">
            <v>51295633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51295633</v>
          </cell>
          <cell r="O135">
            <v>0</v>
          </cell>
          <cell r="P135">
            <v>0</v>
          </cell>
        </row>
        <row r="136">
          <cell r="A136">
            <v>1</v>
          </cell>
          <cell r="C136">
            <v>615323700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7">
          <cell r="A137">
            <v>1</v>
          </cell>
          <cell r="C137">
            <v>615323900</v>
          </cell>
          <cell r="I137">
            <v>557452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557452</v>
          </cell>
          <cell r="P137">
            <v>0</v>
          </cell>
        </row>
        <row r="138">
          <cell r="A138">
            <v>1</v>
          </cell>
          <cell r="C138">
            <v>615324000</v>
          </cell>
          <cell r="I138">
            <v>240506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240506</v>
          </cell>
        </row>
        <row r="139">
          <cell r="A139">
            <v>1</v>
          </cell>
          <cell r="C139">
            <v>615324100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A140">
            <v>1</v>
          </cell>
          <cell r="C140">
            <v>615326500</v>
          </cell>
          <cell r="I140">
            <v>14830375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4022760</v>
          </cell>
          <cell r="P140">
            <v>10807615</v>
          </cell>
        </row>
        <row r="141">
          <cell r="A141">
            <v>1</v>
          </cell>
          <cell r="C141">
            <v>615326900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A142">
            <v>1</v>
          </cell>
          <cell r="C142">
            <v>615327000</v>
          </cell>
          <cell r="I142">
            <v>275990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275990</v>
          </cell>
          <cell r="O142">
            <v>0</v>
          </cell>
          <cell r="P142">
            <v>0</v>
          </cell>
        </row>
        <row r="143">
          <cell r="A143">
            <v>1</v>
          </cell>
          <cell r="C143">
            <v>615327100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A144">
            <v>1</v>
          </cell>
          <cell r="C144">
            <v>615327200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A145">
            <v>1</v>
          </cell>
          <cell r="C145">
            <v>615327300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>
            <v>1</v>
          </cell>
          <cell r="C146">
            <v>615327400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A147">
            <v>1</v>
          </cell>
          <cell r="C147">
            <v>615327583</v>
          </cell>
          <cell r="I147">
            <v>13601868302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13601868302</v>
          </cell>
          <cell r="O147">
            <v>0</v>
          </cell>
          <cell r="P147">
            <v>0</v>
          </cell>
        </row>
        <row r="148">
          <cell r="A148">
            <v>1</v>
          </cell>
          <cell r="C148">
            <v>615327584</v>
          </cell>
          <cell r="I148">
            <v>59375146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59375146</v>
          </cell>
        </row>
        <row r="149">
          <cell r="A149">
            <v>1</v>
          </cell>
          <cell r="C149">
            <v>615327585</v>
          </cell>
          <cell r="I149">
            <v>867470663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867470663</v>
          </cell>
          <cell r="O149">
            <v>0</v>
          </cell>
          <cell r="P149">
            <v>0</v>
          </cell>
        </row>
        <row r="150">
          <cell r="A150">
            <v>1</v>
          </cell>
          <cell r="C150">
            <v>615327586</v>
          </cell>
          <cell r="I150">
            <v>273840500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273840500</v>
          </cell>
          <cell r="O150">
            <v>0</v>
          </cell>
          <cell r="P150">
            <v>0</v>
          </cell>
        </row>
        <row r="151">
          <cell r="A151">
            <v>1</v>
          </cell>
          <cell r="C151">
            <v>615327587</v>
          </cell>
          <cell r="I151">
            <v>25650977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1500075</v>
          </cell>
          <cell r="O151">
            <v>0</v>
          </cell>
          <cell r="P151">
            <v>24150902</v>
          </cell>
        </row>
        <row r="152">
          <cell r="A152">
            <v>1</v>
          </cell>
          <cell r="C152">
            <v>615327588</v>
          </cell>
          <cell r="I152">
            <v>2958420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2958420</v>
          </cell>
          <cell r="P152">
            <v>0</v>
          </cell>
        </row>
        <row r="153">
          <cell r="A153">
            <v>1</v>
          </cell>
          <cell r="C153">
            <v>615380102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A154">
            <v>1</v>
          </cell>
          <cell r="C154">
            <v>615380103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A155">
            <v>1</v>
          </cell>
          <cell r="C155">
            <v>615380104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A156">
            <v>1</v>
          </cell>
          <cell r="C156">
            <v>615380105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A157">
            <v>1</v>
          </cell>
          <cell r="C157">
            <v>615380202</v>
          </cell>
          <cell r="I157">
            <v>4694400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4694400</v>
          </cell>
        </row>
        <row r="158">
          <cell r="A158">
            <v>1</v>
          </cell>
          <cell r="C158">
            <v>615380301</v>
          </cell>
          <cell r="I158">
            <v>495480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495480</v>
          </cell>
        </row>
        <row r="159">
          <cell r="A159">
            <v>1</v>
          </cell>
          <cell r="C159">
            <v>615380302</v>
          </cell>
          <cell r="I159">
            <v>260400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260400</v>
          </cell>
        </row>
        <row r="160">
          <cell r="A160">
            <v>1</v>
          </cell>
          <cell r="C160">
            <v>615380303</v>
          </cell>
          <cell r="I160">
            <v>2237499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2237499</v>
          </cell>
        </row>
        <row r="161">
          <cell r="A161">
            <v>1</v>
          </cell>
          <cell r="C161">
            <v>615380304</v>
          </cell>
          <cell r="I161">
            <v>168200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168200</v>
          </cell>
          <cell r="O161">
            <v>0</v>
          </cell>
          <cell r="P161">
            <v>0</v>
          </cell>
        </row>
        <row r="162">
          <cell r="A162">
            <v>1</v>
          </cell>
          <cell r="C162">
            <v>615380305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</row>
        <row r="163">
          <cell r="A163">
            <v>1</v>
          </cell>
          <cell r="C163">
            <v>615380306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</row>
        <row r="164">
          <cell r="A164">
            <v>1</v>
          </cell>
          <cell r="C164">
            <v>615380307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A165">
            <v>1</v>
          </cell>
          <cell r="C165">
            <v>615380310</v>
          </cell>
          <cell r="I165">
            <v>10281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10281</v>
          </cell>
        </row>
        <row r="166">
          <cell r="A166">
            <v>1</v>
          </cell>
          <cell r="C166">
            <v>615380311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</row>
        <row r="167">
          <cell r="A167">
            <v>1</v>
          </cell>
          <cell r="C167">
            <v>615380314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</row>
        <row r="168">
          <cell r="A168">
            <v>1</v>
          </cell>
          <cell r="C168">
            <v>615380315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</row>
        <row r="169">
          <cell r="A169">
            <v>1</v>
          </cell>
          <cell r="C169">
            <v>615380401</v>
          </cell>
          <cell r="I169">
            <v>1191868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1191868</v>
          </cell>
          <cell r="P169">
            <v>0</v>
          </cell>
        </row>
        <row r="170">
          <cell r="A170">
            <v>1</v>
          </cell>
          <cell r="C170">
            <v>615380402</v>
          </cell>
          <cell r="I170">
            <v>7032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7032</v>
          </cell>
        </row>
        <row r="171">
          <cell r="A171">
            <v>1</v>
          </cell>
          <cell r="C171">
            <v>615380403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</row>
        <row r="172">
          <cell r="A172">
            <v>1</v>
          </cell>
          <cell r="C172">
            <v>615380405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</row>
        <row r="173">
          <cell r="A173">
            <v>1</v>
          </cell>
          <cell r="C173">
            <v>615380406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</row>
        <row r="174">
          <cell r="A174">
            <v>1</v>
          </cell>
          <cell r="C174">
            <v>615380407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</row>
        <row r="175">
          <cell r="A175">
            <v>1</v>
          </cell>
          <cell r="C175">
            <v>615380408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</row>
        <row r="176">
          <cell r="A176">
            <v>1</v>
          </cell>
          <cell r="C176">
            <v>615380410</v>
          </cell>
          <cell r="I176">
            <v>455365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455365</v>
          </cell>
          <cell r="P176">
            <v>0</v>
          </cell>
        </row>
        <row r="177">
          <cell r="A177">
            <v>1</v>
          </cell>
          <cell r="C177">
            <v>615380500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</row>
        <row r="178">
          <cell r="A178">
            <v>1</v>
          </cell>
          <cell r="C178">
            <v>615380700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</row>
        <row r="179">
          <cell r="A179">
            <v>1</v>
          </cell>
          <cell r="C179">
            <v>615380800</v>
          </cell>
          <cell r="I179">
            <v>534257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534257</v>
          </cell>
        </row>
        <row r="180">
          <cell r="A180">
            <v>1</v>
          </cell>
          <cell r="C180">
            <v>615381001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</row>
        <row r="181">
          <cell r="A181">
            <v>1</v>
          </cell>
          <cell r="C181">
            <v>615381002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</row>
        <row r="182">
          <cell r="A182">
            <v>1</v>
          </cell>
          <cell r="C182">
            <v>615381003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</row>
        <row r="183">
          <cell r="A183">
            <v>1</v>
          </cell>
          <cell r="C183">
            <v>615381300</v>
          </cell>
          <cell r="I183">
            <v>274112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274112</v>
          </cell>
          <cell r="O183">
            <v>0</v>
          </cell>
          <cell r="P183">
            <v>0</v>
          </cell>
        </row>
        <row r="184">
          <cell r="A184">
            <v>1</v>
          </cell>
          <cell r="C184">
            <v>615381400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</row>
        <row r="185">
          <cell r="A185">
            <v>1</v>
          </cell>
          <cell r="C185">
            <v>615381500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</row>
        <row r="186">
          <cell r="A186">
            <v>1</v>
          </cell>
          <cell r="C186">
            <v>615381700</v>
          </cell>
          <cell r="I186">
            <v>75214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75214</v>
          </cell>
          <cell r="O186">
            <v>0</v>
          </cell>
          <cell r="P186">
            <v>0</v>
          </cell>
        </row>
        <row r="187">
          <cell r="A187">
            <v>1</v>
          </cell>
          <cell r="C187">
            <v>615381900</v>
          </cell>
          <cell r="I187">
            <v>1016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1016</v>
          </cell>
          <cell r="O187">
            <v>0</v>
          </cell>
          <cell r="P187">
            <v>0</v>
          </cell>
        </row>
        <row r="188">
          <cell r="A188">
            <v>1</v>
          </cell>
          <cell r="C188">
            <v>615382000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</row>
        <row r="189">
          <cell r="A189">
            <v>1</v>
          </cell>
          <cell r="C189">
            <v>615382100</v>
          </cell>
          <cell r="I189">
            <v>5356549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5356549</v>
          </cell>
          <cell r="O189">
            <v>0</v>
          </cell>
          <cell r="P189">
            <v>0</v>
          </cell>
        </row>
        <row r="190">
          <cell r="A190">
            <v>1</v>
          </cell>
          <cell r="C190">
            <v>615382300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</row>
        <row r="191">
          <cell r="A191">
            <v>1</v>
          </cell>
          <cell r="C191">
            <v>615382400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</row>
        <row r="192">
          <cell r="A192">
            <v>1</v>
          </cell>
          <cell r="C192">
            <v>615383100</v>
          </cell>
          <cell r="I192">
            <v>98684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98684</v>
          </cell>
          <cell r="O192">
            <v>0</v>
          </cell>
          <cell r="P192">
            <v>0</v>
          </cell>
        </row>
        <row r="193">
          <cell r="A193">
            <v>1</v>
          </cell>
          <cell r="C193">
            <v>615383700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A194">
            <v>1</v>
          </cell>
          <cell r="C194">
            <v>615383900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</row>
        <row r="195">
          <cell r="A195">
            <v>1</v>
          </cell>
          <cell r="C195">
            <v>615384000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</row>
        <row r="196">
          <cell r="A196">
            <v>1</v>
          </cell>
          <cell r="C196">
            <v>615384100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A197">
            <v>1</v>
          </cell>
          <cell r="C197">
            <v>615386500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</row>
        <row r="198">
          <cell r="A198">
            <v>1</v>
          </cell>
          <cell r="C198">
            <v>615386900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A199">
            <v>1</v>
          </cell>
          <cell r="C199">
            <v>615387000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</row>
        <row r="200">
          <cell r="A200">
            <v>1</v>
          </cell>
          <cell r="C200">
            <v>615387100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</row>
        <row r="201">
          <cell r="A201">
            <v>1</v>
          </cell>
          <cell r="C201">
            <v>615387200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</row>
        <row r="202">
          <cell r="A202">
            <v>1</v>
          </cell>
          <cell r="C202">
            <v>615387300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</row>
        <row r="203">
          <cell r="A203">
            <v>1</v>
          </cell>
          <cell r="C203">
            <v>615387400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A204">
            <v>1</v>
          </cell>
          <cell r="C204">
            <v>615387583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</row>
        <row r="205">
          <cell r="A205">
            <v>1</v>
          </cell>
          <cell r="C205">
            <v>615387584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</row>
        <row r="206">
          <cell r="A206">
            <v>1</v>
          </cell>
          <cell r="C206">
            <v>615387585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</row>
        <row r="207">
          <cell r="A207">
            <v>1</v>
          </cell>
          <cell r="C207">
            <v>615387586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</row>
        <row r="208">
          <cell r="A208">
            <v>1</v>
          </cell>
          <cell r="C208">
            <v>615387587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A209">
            <v>1</v>
          </cell>
          <cell r="C209">
            <v>615407583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</row>
        <row r="210">
          <cell r="A210">
            <v>1</v>
          </cell>
          <cell r="C210">
            <v>615407584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</row>
        <row r="211">
          <cell r="A211">
            <v>1</v>
          </cell>
          <cell r="C211">
            <v>615407585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</row>
        <row r="212">
          <cell r="A212">
            <v>1</v>
          </cell>
          <cell r="C212">
            <v>615407586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</row>
        <row r="213">
          <cell r="A213">
            <v>1</v>
          </cell>
          <cell r="C213">
            <v>615407587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</row>
        <row r="214">
          <cell r="A214">
            <v>1</v>
          </cell>
          <cell r="C214">
            <v>615420102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A215">
            <v>1</v>
          </cell>
          <cell r="C215">
            <v>615420103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</row>
        <row r="216">
          <cell r="A216">
            <v>1</v>
          </cell>
          <cell r="C216">
            <v>615420104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</row>
        <row r="217">
          <cell r="A217">
            <v>1</v>
          </cell>
          <cell r="C217">
            <v>615420105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</row>
        <row r="218">
          <cell r="A218">
            <v>1</v>
          </cell>
          <cell r="C218">
            <v>615420202</v>
          </cell>
          <cell r="I218">
            <v>67726400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67726400</v>
          </cell>
        </row>
        <row r="219">
          <cell r="A219">
            <v>1</v>
          </cell>
          <cell r="C219">
            <v>615420301</v>
          </cell>
          <cell r="I219">
            <v>7045640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7045640</v>
          </cell>
        </row>
        <row r="220">
          <cell r="A220">
            <v>1</v>
          </cell>
          <cell r="C220">
            <v>615420302</v>
          </cell>
          <cell r="I220">
            <v>1964400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1964400</v>
          </cell>
        </row>
        <row r="221">
          <cell r="A221">
            <v>1</v>
          </cell>
          <cell r="C221">
            <v>615420303</v>
          </cell>
          <cell r="I221">
            <v>29010974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29010974</v>
          </cell>
        </row>
        <row r="222">
          <cell r="A222">
            <v>1</v>
          </cell>
          <cell r="C222">
            <v>615420304</v>
          </cell>
          <cell r="I222">
            <v>2482140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2482140</v>
          </cell>
          <cell r="O222">
            <v>0</v>
          </cell>
          <cell r="P222">
            <v>0</v>
          </cell>
        </row>
        <row r="223">
          <cell r="A223">
            <v>1</v>
          </cell>
          <cell r="C223">
            <v>615420305</v>
          </cell>
          <cell r="I223">
            <v>765600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765600</v>
          </cell>
        </row>
        <row r="224">
          <cell r="A224">
            <v>1</v>
          </cell>
          <cell r="C224">
            <v>615420306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</row>
        <row r="225">
          <cell r="A225">
            <v>1</v>
          </cell>
          <cell r="C225">
            <v>615420307</v>
          </cell>
          <cell r="I225">
            <v>62880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62880</v>
          </cell>
        </row>
        <row r="226">
          <cell r="A226">
            <v>1</v>
          </cell>
          <cell r="C226">
            <v>615420310</v>
          </cell>
          <cell r="I226">
            <v>11610729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11610729</v>
          </cell>
        </row>
        <row r="227">
          <cell r="A227">
            <v>1</v>
          </cell>
          <cell r="C227">
            <v>615420311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</row>
        <row r="228">
          <cell r="A228">
            <v>1</v>
          </cell>
          <cell r="C228">
            <v>615420314</v>
          </cell>
          <cell r="I228">
            <v>2861400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2861400</v>
          </cell>
        </row>
        <row r="229">
          <cell r="A229">
            <v>1</v>
          </cell>
          <cell r="C229">
            <v>615420315</v>
          </cell>
          <cell r="I229">
            <v>480000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480000</v>
          </cell>
        </row>
        <row r="230">
          <cell r="A230">
            <v>1</v>
          </cell>
          <cell r="C230">
            <v>615420401</v>
          </cell>
          <cell r="I230">
            <v>17996187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17996187</v>
          </cell>
          <cell r="P230">
            <v>0</v>
          </cell>
        </row>
        <row r="231">
          <cell r="A231">
            <v>1</v>
          </cell>
          <cell r="C231">
            <v>615420402</v>
          </cell>
          <cell r="I231">
            <v>101588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101588</v>
          </cell>
        </row>
        <row r="232">
          <cell r="A232">
            <v>1</v>
          </cell>
          <cell r="C232">
            <v>615420403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</row>
        <row r="233">
          <cell r="A233">
            <v>1</v>
          </cell>
          <cell r="C233">
            <v>615420405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</row>
        <row r="234">
          <cell r="A234">
            <v>1</v>
          </cell>
          <cell r="C234">
            <v>615420406</v>
          </cell>
          <cell r="I234">
            <v>77742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77742</v>
          </cell>
          <cell r="P234">
            <v>0</v>
          </cell>
        </row>
        <row r="235">
          <cell r="A235">
            <v>1</v>
          </cell>
          <cell r="C235">
            <v>615420407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</row>
        <row r="236">
          <cell r="A236">
            <v>1</v>
          </cell>
          <cell r="C236">
            <v>615420408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</row>
        <row r="237">
          <cell r="A237">
            <v>1</v>
          </cell>
          <cell r="C237">
            <v>615420410</v>
          </cell>
          <cell r="I237">
            <v>6437933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6437933</v>
          </cell>
          <cell r="P237">
            <v>0</v>
          </cell>
        </row>
        <row r="238">
          <cell r="A238">
            <v>1</v>
          </cell>
          <cell r="C238">
            <v>615420411</v>
          </cell>
          <cell r="I238">
            <v>59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59</v>
          </cell>
          <cell r="P238">
            <v>0</v>
          </cell>
        </row>
        <row r="239">
          <cell r="A239">
            <v>1</v>
          </cell>
          <cell r="C239">
            <v>615420500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</row>
        <row r="240">
          <cell r="A240">
            <v>1</v>
          </cell>
          <cell r="C240">
            <v>615420700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</row>
        <row r="241">
          <cell r="A241">
            <v>1</v>
          </cell>
          <cell r="C241">
            <v>615420800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</row>
        <row r="242">
          <cell r="A242">
            <v>1</v>
          </cell>
          <cell r="C242">
            <v>615421001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</row>
        <row r="243">
          <cell r="A243">
            <v>1</v>
          </cell>
          <cell r="C243">
            <v>615421002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</row>
        <row r="244">
          <cell r="A244">
            <v>1</v>
          </cell>
          <cell r="C244">
            <v>615421003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</row>
        <row r="245">
          <cell r="A245">
            <v>1</v>
          </cell>
          <cell r="C245">
            <v>615421300</v>
          </cell>
          <cell r="I245">
            <v>144037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144037</v>
          </cell>
          <cell r="O245">
            <v>0</v>
          </cell>
          <cell r="P245">
            <v>0</v>
          </cell>
        </row>
        <row r="246">
          <cell r="A246">
            <v>1</v>
          </cell>
          <cell r="C246">
            <v>615421400</v>
          </cell>
          <cell r="I246">
            <v>181386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181386</v>
          </cell>
          <cell r="O246">
            <v>0</v>
          </cell>
          <cell r="P246">
            <v>0</v>
          </cell>
        </row>
        <row r="247">
          <cell r="A247">
            <v>1</v>
          </cell>
          <cell r="C247">
            <v>615421500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</row>
        <row r="248">
          <cell r="A248">
            <v>1</v>
          </cell>
          <cell r="C248">
            <v>615421700</v>
          </cell>
          <cell r="I248">
            <v>120705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120705</v>
          </cell>
          <cell r="O248">
            <v>0</v>
          </cell>
          <cell r="P248">
            <v>0</v>
          </cell>
        </row>
        <row r="249">
          <cell r="A249">
            <v>1</v>
          </cell>
          <cell r="C249">
            <v>615421900</v>
          </cell>
          <cell r="I249">
            <v>3850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3850</v>
          </cell>
          <cell r="O249">
            <v>0</v>
          </cell>
          <cell r="P249">
            <v>0</v>
          </cell>
        </row>
        <row r="250">
          <cell r="A250">
            <v>1</v>
          </cell>
          <cell r="C250">
            <v>615422000</v>
          </cell>
          <cell r="I250">
            <v>10980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10980</v>
          </cell>
          <cell r="O250">
            <v>0</v>
          </cell>
          <cell r="P250">
            <v>0</v>
          </cell>
        </row>
        <row r="251">
          <cell r="A251">
            <v>1</v>
          </cell>
          <cell r="C251">
            <v>615422100</v>
          </cell>
          <cell r="I251">
            <v>1071341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1071341</v>
          </cell>
          <cell r="O251">
            <v>0</v>
          </cell>
          <cell r="P251">
            <v>0</v>
          </cell>
        </row>
        <row r="252">
          <cell r="A252">
            <v>1</v>
          </cell>
          <cell r="C252">
            <v>615422300</v>
          </cell>
          <cell r="I252">
            <v>206580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206580</v>
          </cell>
          <cell r="O252">
            <v>0</v>
          </cell>
          <cell r="P252">
            <v>0</v>
          </cell>
        </row>
        <row r="253">
          <cell r="A253">
            <v>1</v>
          </cell>
          <cell r="C253">
            <v>615422400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</row>
        <row r="254">
          <cell r="A254">
            <v>1</v>
          </cell>
          <cell r="C254">
            <v>615423100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</row>
        <row r="255">
          <cell r="A255">
            <v>1</v>
          </cell>
          <cell r="C255">
            <v>615423700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</row>
        <row r="256">
          <cell r="A256">
            <v>1</v>
          </cell>
          <cell r="C256">
            <v>615423900</v>
          </cell>
          <cell r="I256">
            <v>10540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10540</v>
          </cell>
          <cell r="P256">
            <v>0</v>
          </cell>
        </row>
        <row r="257">
          <cell r="A257">
            <v>1</v>
          </cell>
          <cell r="C257">
            <v>615424000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</row>
        <row r="258">
          <cell r="A258">
            <v>1</v>
          </cell>
          <cell r="C258">
            <v>615424100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</row>
        <row r="259">
          <cell r="A259">
            <v>1</v>
          </cell>
          <cell r="C259">
            <v>615426500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</row>
        <row r="260">
          <cell r="A260">
            <v>1</v>
          </cell>
          <cell r="C260">
            <v>615426900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</row>
        <row r="261">
          <cell r="A261">
            <v>1</v>
          </cell>
          <cell r="C261">
            <v>615427000</v>
          </cell>
          <cell r="I261">
            <v>1448370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1448370</v>
          </cell>
          <cell r="O261">
            <v>0</v>
          </cell>
          <cell r="P261">
            <v>0</v>
          </cell>
        </row>
        <row r="262">
          <cell r="A262">
            <v>1</v>
          </cell>
          <cell r="C262">
            <v>615427100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</row>
        <row r="263">
          <cell r="A263">
            <v>1</v>
          </cell>
          <cell r="C263">
            <v>615427200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</row>
        <row r="264">
          <cell r="A264">
            <v>1</v>
          </cell>
          <cell r="C264">
            <v>615427300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</row>
        <row r="265">
          <cell r="A265">
            <v>1</v>
          </cell>
          <cell r="C265">
            <v>615427400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</row>
        <row r="266">
          <cell r="A266">
            <v>1</v>
          </cell>
          <cell r="C266">
            <v>615427583</v>
          </cell>
          <cell r="I266">
            <v>473572660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473572660</v>
          </cell>
          <cell r="O266">
            <v>0</v>
          </cell>
          <cell r="P266">
            <v>0</v>
          </cell>
        </row>
        <row r="267">
          <cell r="A267">
            <v>1</v>
          </cell>
          <cell r="C267">
            <v>615427584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</row>
        <row r="268">
          <cell r="A268">
            <v>1</v>
          </cell>
          <cell r="C268">
            <v>615427585</v>
          </cell>
          <cell r="I268">
            <v>28758400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28758400</v>
          </cell>
          <cell r="O268">
            <v>0</v>
          </cell>
          <cell r="P268">
            <v>0</v>
          </cell>
        </row>
        <row r="269">
          <cell r="A269">
            <v>1</v>
          </cell>
          <cell r="C269">
            <v>615427586</v>
          </cell>
          <cell r="I269">
            <v>10619400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10619400</v>
          </cell>
          <cell r="O269">
            <v>0</v>
          </cell>
          <cell r="P269">
            <v>0</v>
          </cell>
        </row>
        <row r="270">
          <cell r="A270">
            <v>1</v>
          </cell>
          <cell r="C270">
            <v>615427587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</row>
        <row r="271">
          <cell r="A271">
            <v>1</v>
          </cell>
          <cell r="C271">
            <v>615427588</v>
          </cell>
          <cell r="I271">
            <v>328230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328230</v>
          </cell>
          <cell r="P271">
            <v>0</v>
          </cell>
        </row>
        <row r="272">
          <cell r="A272">
            <v>1</v>
          </cell>
          <cell r="C272">
            <v>615460102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</row>
        <row r="273">
          <cell r="A273">
            <v>1</v>
          </cell>
          <cell r="C273">
            <v>615460103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</row>
        <row r="274">
          <cell r="A274">
            <v>1</v>
          </cell>
          <cell r="C274">
            <v>615460104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</row>
        <row r="275">
          <cell r="A275">
            <v>1</v>
          </cell>
          <cell r="C275">
            <v>615460105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</row>
        <row r="276">
          <cell r="A276">
            <v>1</v>
          </cell>
          <cell r="C276">
            <v>615460202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</row>
        <row r="277">
          <cell r="A277">
            <v>1</v>
          </cell>
          <cell r="C277">
            <v>615460301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</row>
        <row r="278">
          <cell r="A278">
            <v>1</v>
          </cell>
          <cell r="C278">
            <v>615460302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</row>
        <row r="279">
          <cell r="A279">
            <v>1</v>
          </cell>
          <cell r="C279">
            <v>615460303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</row>
        <row r="280">
          <cell r="A280">
            <v>1</v>
          </cell>
          <cell r="C280">
            <v>615460304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</row>
        <row r="281">
          <cell r="A281">
            <v>1</v>
          </cell>
          <cell r="C281">
            <v>615460305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</row>
        <row r="282">
          <cell r="A282">
            <v>1</v>
          </cell>
          <cell r="C282">
            <v>615460306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</row>
        <row r="283">
          <cell r="A283">
            <v>1</v>
          </cell>
          <cell r="C283">
            <v>615460307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</row>
        <row r="284">
          <cell r="A284">
            <v>1</v>
          </cell>
          <cell r="C284">
            <v>615460310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5">
          <cell r="A285">
            <v>1</v>
          </cell>
          <cell r="C285">
            <v>615460311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</row>
        <row r="286">
          <cell r="A286">
            <v>1</v>
          </cell>
          <cell r="C286">
            <v>615460314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</row>
        <row r="287">
          <cell r="A287">
            <v>1</v>
          </cell>
          <cell r="C287">
            <v>615460315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</row>
        <row r="288">
          <cell r="A288">
            <v>1</v>
          </cell>
          <cell r="C288">
            <v>615460401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</row>
        <row r="289">
          <cell r="A289">
            <v>1</v>
          </cell>
          <cell r="C289">
            <v>615460402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</row>
        <row r="290">
          <cell r="A290">
            <v>1</v>
          </cell>
          <cell r="C290">
            <v>615460403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</row>
        <row r="291">
          <cell r="A291">
            <v>1</v>
          </cell>
          <cell r="C291">
            <v>615460405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</row>
        <row r="292">
          <cell r="A292">
            <v>1</v>
          </cell>
          <cell r="C292">
            <v>615460406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</row>
        <row r="293">
          <cell r="A293">
            <v>1</v>
          </cell>
          <cell r="C293">
            <v>615460407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</row>
        <row r="294">
          <cell r="A294">
            <v>1</v>
          </cell>
          <cell r="C294">
            <v>615460408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</row>
        <row r="295">
          <cell r="A295">
            <v>1</v>
          </cell>
          <cell r="C295">
            <v>615460410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</row>
        <row r="296">
          <cell r="A296">
            <v>1</v>
          </cell>
          <cell r="C296">
            <v>615460500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</row>
        <row r="297">
          <cell r="A297">
            <v>1</v>
          </cell>
          <cell r="C297">
            <v>615460700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</row>
        <row r="298">
          <cell r="A298">
            <v>1</v>
          </cell>
          <cell r="C298">
            <v>615460800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</row>
        <row r="299">
          <cell r="A299">
            <v>1</v>
          </cell>
          <cell r="C299">
            <v>615461001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</row>
        <row r="300">
          <cell r="A300">
            <v>1</v>
          </cell>
          <cell r="C300">
            <v>615461002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</row>
        <row r="301">
          <cell r="A301">
            <v>1</v>
          </cell>
          <cell r="C301">
            <v>615461003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</row>
        <row r="302">
          <cell r="A302">
            <v>1</v>
          </cell>
          <cell r="C302">
            <v>615461300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</row>
        <row r="303">
          <cell r="A303">
            <v>1</v>
          </cell>
          <cell r="C303">
            <v>615461400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</row>
        <row r="304">
          <cell r="A304">
            <v>1</v>
          </cell>
          <cell r="C304">
            <v>615461500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</row>
        <row r="305">
          <cell r="A305">
            <v>1</v>
          </cell>
          <cell r="C305">
            <v>615461700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</row>
        <row r="306">
          <cell r="A306">
            <v>1</v>
          </cell>
          <cell r="C306">
            <v>615461900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</row>
        <row r="307">
          <cell r="A307">
            <v>1</v>
          </cell>
          <cell r="C307">
            <v>615462000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</row>
        <row r="308">
          <cell r="A308">
            <v>1</v>
          </cell>
          <cell r="C308">
            <v>615462100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</row>
        <row r="309">
          <cell r="A309">
            <v>1</v>
          </cell>
          <cell r="C309">
            <v>615462300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</row>
        <row r="310">
          <cell r="A310">
            <v>1</v>
          </cell>
          <cell r="C310">
            <v>615462400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</row>
        <row r="311">
          <cell r="A311">
            <v>1</v>
          </cell>
          <cell r="C311">
            <v>615463100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</row>
        <row r="312">
          <cell r="A312">
            <v>1</v>
          </cell>
          <cell r="C312">
            <v>615463700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</row>
        <row r="313">
          <cell r="A313">
            <v>1</v>
          </cell>
          <cell r="C313">
            <v>615463900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</row>
        <row r="314">
          <cell r="A314">
            <v>1</v>
          </cell>
          <cell r="C314">
            <v>615464000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</row>
        <row r="315">
          <cell r="A315">
            <v>1</v>
          </cell>
          <cell r="C315">
            <v>615464100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</row>
        <row r="316">
          <cell r="A316">
            <v>1</v>
          </cell>
          <cell r="C316">
            <v>615466500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</row>
        <row r="317">
          <cell r="A317">
            <v>1</v>
          </cell>
          <cell r="C317">
            <v>615466900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</row>
        <row r="318">
          <cell r="A318">
            <v>1</v>
          </cell>
          <cell r="C318">
            <v>615467000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</row>
        <row r="319">
          <cell r="A319">
            <v>1</v>
          </cell>
          <cell r="C319">
            <v>615467100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</row>
        <row r="320">
          <cell r="A320">
            <v>1</v>
          </cell>
          <cell r="C320">
            <v>615467200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</row>
        <row r="321">
          <cell r="A321">
            <v>1</v>
          </cell>
          <cell r="C321">
            <v>615467300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</row>
        <row r="322">
          <cell r="A322">
            <v>1</v>
          </cell>
          <cell r="C322">
            <v>615467400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</row>
        <row r="323">
          <cell r="A323">
            <v>1</v>
          </cell>
          <cell r="C323">
            <v>615467583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</row>
        <row r="324">
          <cell r="A324">
            <v>1</v>
          </cell>
          <cell r="C324">
            <v>615467584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</row>
        <row r="325">
          <cell r="A325">
            <v>1</v>
          </cell>
          <cell r="C325">
            <v>615467585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</row>
        <row r="326">
          <cell r="A326">
            <v>1</v>
          </cell>
          <cell r="C326">
            <v>615467586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</row>
        <row r="327">
          <cell r="A327">
            <v>1</v>
          </cell>
          <cell r="C327">
            <v>615467587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</row>
        <row r="328">
          <cell r="A328">
            <v>1</v>
          </cell>
          <cell r="C328">
            <v>615467588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</row>
        <row r="329">
          <cell r="A329">
            <v>1</v>
          </cell>
          <cell r="C329">
            <v>615477583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</row>
        <row r="330">
          <cell r="A330">
            <v>1</v>
          </cell>
          <cell r="C330">
            <v>615477584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</row>
        <row r="331">
          <cell r="A331">
            <v>1</v>
          </cell>
          <cell r="C331">
            <v>615477585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</row>
        <row r="332">
          <cell r="A332">
            <v>1</v>
          </cell>
          <cell r="C332">
            <v>615477586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</row>
        <row r="333">
          <cell r="A333">
            <v>1</v>
          </cell>
          <cell r="C333">
            <v>615477587</v>
          </cell>
          <cell r="I333">
            <v>131921564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121228564</v>
          </cell>
          <cell r="O333">
            <v>0</v>
          </cell>
          <cell r="P333">
            <v>10693000</v>
          </cell>
        </row>
        <row r="334">
          <cell r="A334">
            <v>1</v>
          </cell>
          <cell r="C334">
            <v>615487583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</row>
        <row r="335">
          <cell r="A335">
            <v>1</v>
          </cell>
          <cell r="C335">
            <v>615487584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</row>
        <row r="336">
          <cell r="A336">
            <v>1</v>
          </cell>
          <cell r="C336">
            <v>615487585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</row>
        <row r="337">
          <cell r="A337">
            <v>1</v>
          </cell>
          <cell r="C337">
            <v>615487586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</row>
        <row r="338">
          <cell r="A338">
            <v>1</v>
          </cell>
          <cell r="C338">
            <v>615487587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</row>
        <row r="339">
          <cell r="A339">
            <v>1</v>
          </cell>
          <cell r="C339">
            <v>615501700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</row>
        <row r="340">
          <cell r="A340">
            <v>1</v>
          </cell>
          <cell r="C340">
            <v>615502000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</row>
        <row r="341">
          <cell r="A341">
            <v>1</v>
          </cell>
          <cell r="C341">
            <v>615506500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</row>
        <row r="342">
          <cell r="A342">
            <v>1</v>
          </cell>
          <cell r="C342">
            <v>615506900</v>
          </cell>
          <cell r="I342">
            <v>3003980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3003980</v>
          </cell>
          <cell r="O342">
            <v>0</v>
          </cell>
          <cell r="P342">
            <v>0</v>
          </cell>
        </row>
        <row r="343">
          <cell r="A343">
            <v>1</v>
          </cell>
          <cell r="C343">
            <v>615507000</v>
          </cell>
          <cell r="I343">
            <v>6518930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6518930</v>
          </cell>
          <cell r="O343">
            <v>0</v>
          </cell>
          <cell r="P343">
            <v>0</v>
          </cell>
        </row>
        <row r="344">
          <cell r="A344">
            <v>1</v>
          </cell>
          <cell r="C344">
            <v>615507100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5">
          <cell r="A345">
            <v>1</v>
          </cell>
          <cell r="C345">
            <v>615507200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</row>
        <row r="346">
          <cell r="A346">
            <v>1</v>
          </cell>
          <cell r="C346">
            <v>615507300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</row>
        <row r="347">
          <cell r="A347">
            <v>1</v>
          </cell>
          <cell r="C347">
            <v>615507400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</row>
        <row r="348">
          <cell r="A348">
            <v>1</v>
          </cell>
          <cell r="C348">
            <v>615507583</v>
          </cell>
          <cell r="I348">
            <v>48126100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48126100</v>
          </cell>
          <cell r="O348">
            <v>0</v>
          </cell>
          <cell r="P348">
            <v>0</v>
          </cell>
        </row>
        <row r="349">
          <cell r="A349">
            <v>1</v>
          </cell>
          <cell r="C349">
            <v>615507584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</row>
        <row r="350">
          <cell r="A350">
            <v>1</v>
          </cell>
          <cell r="C350">
            <v>615507585</v>
          </cell>
          <cell r="I350">
            <v>1529000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1529000</v>
          </cell>
          <cell r="O350">
            <v>0</v>
          </cell>
          <cell r="P350">
            <v>0</v>
          </cell>
        </row>
        <row r="351">
          <cell r="A351">
            <v>1</v>
          </cell>
          <cell r="C351">
            <v>615507586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</row>
        <row r="352">
          <cell r="A352">
            <v>1</v>
          </cell>
          <cell r="C352">
            <v>615507587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</row>
        <row r="353">
          <cell r="A353">
            <v>1</v>
          </cell>
          <cell r="C353">
            <v>615507588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</row>
        <row r="354">
          <cell r="A354">
            <v>1</v>
          </cell>
          <cell r="C354">
            <v>615511300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</row>
        <row r="355">
          <cell r="A355">
            <v>1</v>
          </cell>
          <cell r="C355">
            <v>615517583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</row>
        <row r="356">
          <cell r="A356">
            <v>1</v>
          </cell>
          <cell r="C356">
            <v>615527700</v>
          </cell>
          <cell r="I356">
            <v>12600000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12600000</v>
          </cell>
          <cell r="P356">
            <v>0</v>
          </cell>
        </row>
        <row r="357">
          <cell r="A357">
            <v>1</v>
          </cell>
          <cell r="C357">
            <v>615527800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</row>
        <row r="358">
          <cell r="A358">
            <v>1</v>
          </cell>
          <cell r="C358">
            <v>616010100</v>
          </cell>
          <cell r="I358">
            <v>43813632761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43813632761</v>
          </cell>
        </row>
        <row r="359">
          <cell r="A359">
            <v>1</v>
          </cell>
          <cell r="C359">
            <v>616010200</v>
          </cell>
          <cell r="I359">
            <v>25158531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25158531</v>
          </cell>
        </row>
        <row r="360">
          <cell r="A360">
            <v>1</v>
          </cell>
          <cell r="C360">
            <v>616020200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</row>
        <row r="361">
          <cell r="A361">
            <v>1</v>
          </cell>
          <cell r="C361">
            <v>616030300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</row>
        <row r="362">
          <cell r="A362">
            <v>1</v>
          </cell>
          <cell r="C362">
            <v>617020200</v>
          </cell>
          <cell r="I362">
            <v>1040000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1040000</v>
          </cell>
        </row>
        <row r="363">
          <cell r="A363">
            <v>1</v>
          </cell>
          <cell r="C363">
            <v>617020400</v>
          </cell>
          <cell r="I363">
            <v>874000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874000</v>
          </cell>
        </row>
        <row r="364">
          <cell r="A364">
            <v>1</v>
          </cell>
          <cell r="C364">
            <v>617020600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</row>
        <row r="365">
          <cell r="A365">
            <v>1</v>
          </cell>
          <cell r="C365">
            <v>617030300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</row>
        <row r="366">
          <cell r="A366">
            <v>1</v>
          </cell>
          <cell r="C366">
            <v>617040100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</row>
        <row r="367">
          <cell r="A367">
            <v>1</v>
          </cell>
          <cell r="C367">
            <v>617040200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</row>
        <row r="368">
          <cell r="A368">
            <v>1</v>
          </cell>
          <cell r="C368">
            <v>617040300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</row>
        <row r="369">
          <cell r="A369">
            <v>1</v>
          </cell>
          <cell r="C369">
            <v>618121200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</row>
        <row r="370">
          <cell r="A370">
            <v>1</v>
          </cell>
          <cell r="C370">
            <v>618141400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</row>
        <row r="371">
          <cell r="A371">
            <v>1</v>
          </cell>
          <cell r="C371">
            <v>618202000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</row>
        <row r="372">
          <cell r="A372">
            <v>1</v>
          </cell>
          <cell r="C372">
            <v>619010100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</row>
        <row r="373">
          <cell r="A373">
            <v>1</v>
          </cell>
          <cell r="C373">
            <v>620010100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</row>
        <row r="374">
          <cell r="A374">
            <v>1</v>
          </cell>
          <cell r="C374">
            <v>621010100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</row>
        <row r="375">
          <cell r="A375">
            <v>1</v>
          </cell>
          <cell r="C375">
            <v>622010100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</row>
        <row r="376">
          <cell r="A376">
            <v>1</v>
          </cell>
          <cell r="C376">
            <v>690010100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</row>
        <row r="377">
          <cell r="A377">
            <v>1</v>
          </cell>
          <cell r="C377">
            <v>883020102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</row>
        <row r="378">
          <cell r="A378">
            <v>1</v>
          </cell>
          <cell r="C378">
            <v>883020103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</row>
        <row r="379">
          <cell r="A379">
            <v>1</v>
          </cell>
          <cell r="C379">
            <v>883020104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</row>
        <row r="380">
          <cell r="A380">
            <v>1</v>
          </cell>
          <cell r="C380">
            <v>883020105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</row>
        <row r="381">
          <cell r="A381">
            <v>1</v>
          </cell>
          <cell r="C381">
            <v>883020202</v>
          </cell>
          <cell r="I381">
            <v>39580800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39580800</v>
          </cell>
        </row>
        <row r="382">
          <cell r="A382">
            <v>1</v>
          </cell>
          <cell r="C382">
            <v>883020301</v>
          </cell>
          <cell r="I382">
            <v>4072950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4072950</v>
          </cell>
        </row>
        <row r="383">
          <cell r="A383">
            <v>1</v>
          </cell>
          <cell r="C383">
            <v>883020302</v>
          </cell>
          <cell r="I383">
            <v>1148700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1148700</v>
          </cell>
        </row>
        <row r="384">
          <cell r="A384">
            <v>1</v>
          </cell>
          <cell r="C384">
            <v>883020303</v>
          </cell>
          <cell r="I384">
            <v>13135154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13135154</v>
          </cell>
        </row>
        <row r="385">
          <cell r="A385">
            <v>1</v>
          </cell>
          <cell r="C385">
            <v>883020304</v>
          </cell>
          <cell r="I385">
            <v>1117260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1117260</v>
          </cell>
          <cell r="O385">
            <v>0</v>
          </cell>
          <cell r="P385">
            <v>0</v>
          </cell>
        </row>
        <row r="386">
          <cell r="A386">
            <v>1</v>
          </cell>
          <cell r="C386">
            <v>883020305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</row>
        <row r="387">
          <cell r="A387">
            <v>1</v>
          </cell>
          <cell r="C387">
            <v>883020306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</row>
        <row r="388">
          <cell r="A388">
            <v>1</v>
          </cell>
          <cell r="C388">
            <v>883020307</v>
          </cell>
          <cell r="I388">
            <v>88476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88476</v>
          </cell>
        </row>
        <row r="389">
          <cell r="A389">
            <v>1</v>
          </cell>
          <cell r="C389">
            <v>883020310</v>
          </cell>
          <cell r="I389">
            <v>7380655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7380655</v>
          </cell>
        </row>
        <row r="390">
          <cell r="A390">
            <v>1</v>
          </cell>
          <cell r="C390">
            <v>883020311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</row>
        <row r="391">
          <cell r="A391">
            <v>1</v>
          </cell>
          <cell r="C391">
            <v>883020314</v>
          </cell>
          <cell r="I391">
            <v>1239800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1239800</v>
          </cell>
        </row>
        <row r="392">
          <cell r="A392">
            <v>1</v>
          </cell>
          <cell r="C392">
            <v>883020315</v>
          </cell>
          <cell r="I392">
            <v>400000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400000</v>
          </cell>
        </row>
        <row r="393">
          <cell r="A393">
            <v>1</v>
          </cell>
          <cell r="C393">
            <v>883020401</v>
          </cell>
          <cell r="I393">
            <v>10164027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10164027</v>
          </cell>
          <cell r="P393">
            <v>0</v>
          </cell>
        </row>
        <row r="394">
          <cell r="A394">
            <v>1</v>
          </cell>
          <cell r="C394">
            <v>883020402</v>
          </cell>
          <cell r="I394">
            <v>64656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64656</v>
          </cell>
        </row>
        <row r="395">
          <cell r="A395">
            <v>1</v>
          </cell>
          <cell r="C395">
            <v>883020403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</row>
        <row r="396">
          <cell r="A396">
            <v>1</v>
          </cell>
          <cell r="C396">
            <v>883020405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</row>
        <row r="397">
          <cell r="A397">
            <v>1</v>
          </cell>
          <cell r="C397">
            <v>883020406</v>
          </cell>
          <cell r="I397">
            <v>38358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38358</v>
          </cell>
          <cell r="P397">
            <v>0</v>
          </cell>
        </row>
        <row r="398">
          <cell r="A398">
            <v>1</v>
          </cell>
          <cell r="C398">
            <v>883020407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</row>
        <row r="399">
          <cell r="A399">
            <v>1</v>
          </cell>
          <cell r="C399">
            <v>883020408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</row>
        <row r="400">
          <cell r="A400">
            <v>1</v>
          </cell>
          <cell r="C400">
            <v>883020410</v>
          </cell>
          <cell r="I400">
            <v>3570122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3570122</v>
          </cell>
          <cell r="P400">
            <v>0</v>
          </cell>
        </row>
        <row r="401">
          <cell r="A401">
            <v>1</v>
          </cell>
          <cell r="C401">
            <v>883020411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</row>
        <row r="402">
          <cell r="A402">
            <v>1</v>
          </cell>
          <cell r="C402">
            <v>883020500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</row>
        <row r="403">
          <cell r="A403">
            <v>1</v>
          </cell>
          <cell r="C403">
            <v>883020700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</row>
        <row r="404">
          <cell r="A404">
            <v>1</v>
          </cell>
          <cell r="C404">
            <v>883020800</v>
          </cell>
          <cell r="I404">
            <v>45200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45200</v>
          </cell>
          <cell r="O404">
            <v>0</v>
          </cell>
          <cell r="P404">
            <v>0</v>
          </cell>
        </row>
        <row r="405">
          <cell r="A405">
            <v>1</v>
          </cell>
          <cell r="C405">
            <v>883021001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</row>
        <row r="406">
          <cell r="A406">
            <v>1</v>
          </cell>
          <cell r="C406">
            <v>883021002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</row>
        <row r="407">
          <cell r="A407">
            <v>1</v>
          </cell>
          <cell r="C407">
            <v>883021003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</row>
        <row r="408">
          <cell r="A408">
            <v>1</v>
          </cell>
          <cell r="C408">
            <v>883021300</v>
          </cell>
          <cell r="I408">
            <v>2612281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2612281</v>
          </cell>
          <cell r="O408">
            <v>0</v>
          </cell>
          <cell r="P408">
            <v>0</v>
          </cell>
        </row>
        <row r="409">
          <cell r="A409">
            <v>1</v>
          </cell>
          <cell r="C409">
            <v>883021400</v>
          </cell>
          <cell r="I409">
            <v>474482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474482</v>
          </cell>
          <cell r="O409">
            <v>0</v>
          </cell>
          <cell r="P409">
            <v>0</v>
          </cell>
        </row>
        <row r="410">
          <cell r="A410">
            <v>1</v>
          </cell>
          <cell r="C410">
            <v>883021500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</row>
        <row r="411">
          <cell r="A411">
            <v>1</v>
          </cell>
          <cell r="C411">
            <v>883021700</v>
          </cell>
          <cell r="I411">
            <v>650162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650162</v>
          </cell>
          <cell r="O411">
            <v>0</v>
          </cell>
          <cell r="P411">
            <v>0</v>
          </cell>
        </row>
        <row r="412">
          <cell r="A412">
            <v>1</v>
          </cell>
          <cell r="C412">
            <v>883021900</v>
          </cell>
          <cell r="I412">
            <v>19480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11880</v>
          </cell>
          <cell r="O412">
            <v>7600</v>
          </cell>
          <cell r="P412">
            <v>0</v>
          </cell>
        </row>
        <row r="413">
          <cell r="A413">
            <v>1</v>
          </cell>
          <cell r="C413">
            <v>883022000</v>
          </cell>
          <cell r="I413">
            <v>6446706</v>
          </cell>
          <cell r="J413">
            <v>0</v>
          </cell>
          <cell r="K413">
            <v>0</v>
          </cell>
          <cell r="L413">
            <v>678402</v>
          </cell>
          <cell r="M413">
            <v>0</v>
          </cell>
          <cell r="N413">
            <v>114697</v>
          </cell>
          <cell r="O413">
            <v>5653607</v>
          </cell>
          <cell r="P413">
            <v>0</v>
          </cell>
        </row>
        <row r="414">
          <cell r="A414">
            <v>1</v>
          </cell>
          <cell r="C414">
            <v>883022100</v>
          </cell>
          <cell r="I414">
            <v>163512706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163512706</v>
          </cell>
          <cell r="O414">
            <v>0</v>
          </cell>
          <cell r="P414">
            <v>0</v>
          </cell>
        </row>
        <row r="415">
          <cell r="A415">
            <v>1</v>
          </cell>
          <cell r="C415">
            <v>883022300</v>
          </cell>
          <cell r="I415">
            <v>12499689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12499689</v>
          </cell>
          <cell r="O415">
            <v>0</v>
          </cell>
          <cell r="P415">
            <v>0</v>
          </cell>
        </row>
        <row r="416">
          <cell r="A416">
            <v>1</v>
          </cell>
          <cell r="C416">
            <v>883022400</v>
          </cell>
          <cell r="I416">
            <v>2121075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2121075</v>
          </cell>
          <cell r="O416">
            <v>0</v>
          </cell>
          <cell r="P416">
            <v>0</v>
          </cell>
        </row>
        <row r="417">
          <cell r="A417">
            <v>1</v>
          </cell>
          <cell r="C417">
            <v>883022500</v>
          </cell>
          <cell r="I417">
            <v>299926084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299926084</v>
          </cell>
          <cell r="O417">
            <v>0</v>
          </cell>
          <cell r="P417">
            <v>0</v>
          </cell>
        </row>
        <row r="418">
          <cell r="A418">
            <v>1</v>
          </cell>
          <cell r="C418">
            <v>883022600</v>
          </cell>
          <cell r="I418">
            <v>3840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3840</v>
          </cell>
          <cell r="P418">
            <v>0</v>
          </cell>
        </row>
        <row r="419">
          <cell r="A419">
            <v>1</v>
          </cell>
          <cell r="C419">
            <v>883022866</v>
          </cell>
          <cell r="I419">
            <v>1471468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1471468</v>
          </cell>
          <cell r="O419">
            <v>0</v>
          </cell>
          <cell r="P419">
            <v>0</v>
          </cell>
        </row>
        <row r="420">
          <cell r="A420">
            <v>1</v>
          </cell>
          <cell r="C420">
            <v>883022867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</row>
        <row r="421">
          <cell r="A421">
            <v>1</v>
          </cell>
          <cell r="C421">
            <v>883022900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</row>
        <row r="422">
          <cell r="A422">
            <v>1</v>
          </cell>
          <cell r="C422">
            <v>883023000</v>
          </cell>
          <cell r="I422">
            <v>693759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693759</v>
          </cell>
        </row>
        <row r="423">
          <cell r="A423">
            <v>1</v>
          </cell>
          <cell r="C423">
            <v>883023100</v>
          </cell>
          <cell r="I423">
            <v>34481445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33599086</v>
          </cell>
          <cell r="O423">
            <v>882359</v>
          </cell>
          <cell r="P423">
            <v>0</v>
          </cell>
        </row>
        <row r="424">
          <cell r="A424">
            <v>1</v>
          </cell>
          <cell r="C424">
            <v>883023700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</row>
        <row r="425">
          <cell r="A425">
            <v>1</v>
          </cell>
          <cell r="C425">
            <v>883023900</v>
          </cell>
          <cell r="I425">
            <v>134822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134822</v>
          </cell>
          <cell r="P425">
            <v>0</v>
          </cell>
        </row>
        <row r="426">
          <cell r="A426">
            <v>1</v>
          </cell>
          <cell r="C426">
            <v>883024000</v>
          </cell>
          <cell r="I426">
            <v>24800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24800</v>
          </cell>
        </row>
        <row r="427">
          <cell r="A427">
            <v>1</v>
          </cell>
          <cell r="C427">
            <v>883024100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</row>
        <row r="428">
          <cell r="A428">
            <v>1</v>
          </cell>
          <cell r="C428">
            <v>883024201</v>
          </cell>
          <cell r="I428">
            <v>3913000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3913000</v>
          </cell>
        </row>
        <row r="429">
          <cell r="A429">
            <v>1</v>
          </cell>
          <cell r="C429">
            <v>883024202</v>
          </cell>
          <cell r="I429">
            <v>788000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788000</v>
          </cell>
        </row>
        <row r="430">
          <cell r="A430">
            <v>1</v>
          </cell>
          <cell r="C430">
            <v>883040102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</row>
        <row r="431">
          <cell r="A431">
            <v>1</v>
          </cell>
          <cell r="C431">
            <v>883040103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</row>
        <row r="432">
          <cell r="A432">
            <v>1</v>
          </cell>
          <cell r="C432">
            <v>883040104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</row>
        <row r="433">
          <cell r="A433">
            <v>1</v>
          </cell>
          <cell r="C433">
            <v>883040105</v>
          </cell>
          <cell r="I433">
            <v>115000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115000</v>
          </cell>
        </row>
        <row r="434">
          <cell r="A434">
            <v>1</v>
          </cell>
          <cell r="C434">
            <v>883040202</v>
          </cell>
          <cell r="I434">
            <v>19311700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19311700</v>
          </cell>
        </row>
        <row r="435">
          <cell r="A435">
            <v>1</v>
          </cell>
          <cell r="C435">
            <v>883040301</v>
          </cell>
          <cell r="I435">
            <v>2059170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2059170</v>
          </cell>
        </row>
        <row r="436">
          <cell r="A436">
            <v>1</v>
          </cell>
          <cell r="C436">
            <v>883040302</v>
          </cell>
          <cell r="I436">
            <v>444800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444800</v>
          </cell>
        </row>
        <row r="437">
          <cell r="A437">
            <v>1</v>
          </cell>
          <cell r="C437">
            <v>883040303</v>
          </cell>
          <cell r="I437">
            <v>7338328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7338328</v>
          </cell>
        </row>
        <row r="438">
          <cell r="A438">
            <v>1</v>
          </cell>
          <cell r="C438">
            <v>883040304</v>
          </cell>
          <cell r="I438">
            <v>371190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371190</v>
          </cell>
          <cell r="O438">
            <v>0</v>
          </cell>
          <cell r="P438">
            <v>0</v>
          </cell>
        </row>
        <row r="439">
          <cell r="A439">
            <v>1</v>
          </cell>
          <cell r="C439">
            <v>883040305</v>
          </cell>
          <cell r="I439">
            <v>835200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835200</v>
          </cell>
        </row>
        <row r="440">
          <cell r="A440">
            <v>1</v>
          </cell>
          <cell r="C440">
            <v>883040306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</row>
        <row r="441">
          <cell r="A441">
            <v>1</v>
          </cell>
          <cell r="C441">
            <v>883040307</v>
          </cell>
          <cell r="I441">
            <v>216624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216624</v>
          </cell>
        </row>
        <row r="442">
          <cell r="A442">
            <v>1</v>
          </cell>
          <cell r="C442">
            <v>883040310</v>
          </cell>
          <cell r="I442">
            <v>525743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525743</v>
          </cell>
        </row>
        <row r="443">
          <cell r="A443">
            <v>1</v>
          </cell>
          <cell r="C443">
            <v>883040311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</row>
        <row r="444">
          <cell r="A444">
            <v>1</v>
          </cell>
          <cell r="C444">
            <v>883040314</v>
          </cell>
          <cell r="I444">
            <v>324000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324000</v>
          </cell>
        </row>
        <row r="445">
          <cell r="A445">
            <v>1</v>
          </cell>
          <cell r="C445">
            <v>883040315</v>
          </cell>
          <cell r="I445">
            <v>105000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105000</v>
          </cell>
        </row>
        <row r="446">
          <cell r="A446">
            <v>1</v>
          </cell>
          <cell r="C446">
            <v>883040401</v>
          </cell>
          <cell r="I446">
            <v>4551856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4551856</v>
          </cell>
          <cell r="P446">
            <v>0</v>
          </cell>
        </row>
        <row r="447">
          <cell r="A447">
            <v>1</v>
          </cell>
          <cell r="C447">
            <v>883040402</v>
          </cell>
          <cell r="I447">
            <v>29424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29424</v>
          </cell>
        </row>
        <row r="448">
          <cell r="A448">
            <v>1</v>
          </cell>
          <cell r="C448">
            <v>883040403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</row>
        <row r="449">
          <cell r="A449">
            <v>1</v>
          </cell>
          <cell r="C449">
            <v>883040405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</row>
        <row r="450">
          <cell r="A450">
            <v>1</v>
          </cell>
          <cell r="C450">
            <v>883040406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</row>
        <row r="451">
          <cell r="A451">
            <v>1</v>
          </cell>
          <cell r="C451">
            <v>883040407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</row>
        <row r="452">
          <cell r="A452">
            <v>1</v>
          </cell>
          <cell r="C452">
            <v>883040408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</row>
        <row r="453">
          <cell r="A453">
            <v>1</v>
          </cell>
          <cell r="C453">
            <v>883040410</v>
          </cell>
          <cell r="I453">
            <v>1624261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1624261</v>
          </cell>
          <cell r="P453">
            <v>0</v>
          </cell>
        </row>
        <row r="454">
          <cell r="A454">
            <v>1</v>
          </cell>
          <cell r="C454">
            <v>883040411</v>
          </cell>
          <cell r="I454">
            <v>366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366</v>
          </cell>
          <cell r="P454">
            <v>0</v>
          </cell>
        </row>
        <row r="455">
          <cell r="A455">
            <v>1</v>
          </cell>
          <cell r="C455">
            <v>883040500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</row>
        <row r="456">
          <cell r="A456">
            <v>1</v>
          </cell>
          <cell r="C456">
            <v>883040700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</row>
        <row r="457">
          <cell r="A457">
            <v>1</v>
          </cell>
          <cell r="C457">
            <v>883040800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</row>
        <row r="458">
          <cell r="A458">
            <v>1</v>
          </cell>
          <cell r="C458">
            <v>883041001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</row>
        <row r="459">
          <cell r="A459">
            <v>1</v>
          </cell>
          <cell r="C459">
            <v>883041002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</row>
        <row r="460">
          <cell r="A460">
            <v>1</v>
          </cell>
          <cell r="C460">
            <v>883041003</v>
          </cell>
          <cell r="I460">
            <v>7400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7400</v>
          </cell>
          <cell r="O460">
            <v>0</v>
          </cell>
          <cell r="P460">
            <v>0</v>
          </cell>
        </row>
        <row r="461">
          <cell r="A461">
            <v>1</v>
          </cell>
          <cell r="C461">
            <v>883041300</v>
          </cell>
          <cell r="I461">
            <v>123964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123964</v>
          </cell>
          <cell r="O461">
            <v>0</v>
          </cell>
          <cell r="P461">
            <v>0</v>
          </cell>
        </row>
        <row r="462">
          <cell r="A462">
            <v>1</v>
          </cell>
          <cell r="C462">
            <v>883041400</v>
          </cell>
          <cell r="I462">
            <v>67172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67172</v>
          </cell>
          <cell r="O462">
            <v>0</v>
          </cell>
          <cell r="P462">
            <v>0</v>
          </cell>
        </row>
        <row r="463">
          <cell r="A463">
            <v>1</v>
          </cell>
          <cell r="C463">
            <v>883041500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</row>
        <row r="464">
          <cell r="A464">
            <v>1</v>
          </cell>
          <cell r="C464">
            <v>883041700</v>
          </cell>
          <cell r="I464">
            <v>87858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87858</v>
          </cell>
          <cell r="O464">
            <v>0</v>
          </cell>
          <cell r="P464">
            <v>0</v>
          </cell>
        </row>
        <row r="465">
          <cell r="A465">
            <v>1</v>
          </cell>
          <cell r="C465">
            <v>883041900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</row>
        <row r="466">
          <cell r="A466">
            <v>1</v>
          </cell>
          <cell r="C466">
            <v>883042000</v>
          </cell>
          <cell r="I466">
            <v>1820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1820</v>
          </cell>
          <cell r="O466">
            <v>0</v>
          </cell>
          <cell r="P466">
            <v>0</v>
          </cell>
        </row>
        <row r="467">
          <cell r="A467">
            <v>1</v>
          </cell>
          <cell r="C467">
            <v>883042100</v>
          </cell>
          <cell r="I467">
            <v>11727105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11727105</v>
          </cell>
          <cell r="O467">
            <v>0</v>
          </cell>
          <cell r="P467">
            <v>0</v>
          </cell>
        </row>
        <row r="468">
          <cell r="A468">
            <v>1</v>
          </cell>
          <cell r="C468">
            <v>883042300</v>
          </cell>
          <cell r="I468">
            <v>49808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49808</v>
          </cell>
          <cell r="O468">
            <v>0</v>
          </cell>
          <cell r="P468">
            <v>0</v>
          </cell>
        </row>
        <row r="469">
          <cell r="A469">
            <v>1</v>
          </cell>
          <cell r="C469">
            <v>883042400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</row>
        <row r="470">
          <cell r="A470">
            <v>1</v>
          </cell>
          <cell r="C470">
            <v>883042500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</row>
        <row r="471">
          <cell r="A471">
            <v>1</v>
          </cell>
          <cell r="C471">
            <v>883042866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</row>
        <row r="472">
          <cell r="A472">
            <v>1</v>
          </cell>
          <cell r="C472">
            <v>883042867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</row>
        <row r="473">
          <cell r="A473">
            <v>1</v>
          </cell>
          <cell r="C473">
            <v>883042900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</row>
        <row r="474">
          <cell r="A474">
            <v>1</v>
          </cell>
          <cell r="C474">
            <v>883043000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</row>
        <row r="475">
          <cell r="A475">
            <v>1</v>
          </cell>
          <cell r="C475">
            <v>883043100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</row>
        <row r="476">
          <cell r="A476">
            <v>1</v>
          </cell>
          <cell r="C476">
            <v>883043700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</row>
        <row r="477">
          <cell r="A477">
            <v>1</v>
          </cell>
          <cell r="C477">
            <v>883043900</v>
          </cell>
          <cell r="I477">
            <v>21080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21080</v>
          </cell>
          <cell r="P477">
            <v>0</v>
          </cell>
        </row>
        <row r="478">
          <cell r="A478">
            <v>1</v>
          </cell>
          <cell r="C478">
            <v>883044000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</row>
        <row r="479">
          <cell r="A479">
            <v>1</v>
          </cell>
          <cell r="C479">
            <v>883044100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</row>
        <row r="480">
          <cell r="A480">
            <v>1</v>
          </cell>
          <cell r="C480">
            <v>883044201</v>
          </cell>
          <cell r="I480">
            <v>2082000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2082000</v>
          </cell>
        </row>
        <row r="481">
          <cell r="A481">
            <v>1</v>
          </cell>
          <cell r="C481">
            <v>883044202</v>
          </cell>
          <cell r="I481">
            <v>423000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423000</v>
          </cell>
        </row>
        <row r="482">
          <cell r="A482">
            <v>1</v>
          </cell>
          <cell r="C482">
            <v>883060102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</row>
        <row r="483">
          <cell r="A483">
            <v>1</v>
          </cell>
          <cell r="C483">
            <v>883060103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</row>
        <row r="484">
          <cell r="A484">
            <v>1</v>
          </cell>
          <cell r="C484">
            <v>883060104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</row>
        <row r="485">
          <cell r="A485">
            <v>1</v>
          </cell>
          <cell r="C485">
            <v>883060105</v>
          </cell>
          <cell r="I485">
            <v>2110500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2110500</v>
          </cell>
        </row>
        <row r="486">
          <cell r="A486">
            <v>1</v>
          </cell>
          <cell r="C486">
            <v>883060202</v>
          </cell>
          <cell r="I486">
            <v>517574247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517574247</v>
          </cell>
        </row>
        <row r="487">
          <cell r="A487">
            <v>1</v>
          </cell>
          <cell r="C487">
            <v>883060301</v>
          </cell>
          <cell r="I487">
            <v>54000739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54000739</v>
          </cell>
        </row>
        <row r="488">
          <cell r="A488">
            <v>1</v>
          </cell>
          <cell r="C488">
            <v>883060302</v>
          </cell>
          <cell r="I488">
            <v>22464300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22464300</v>
          </cell>
        </row>
        <row r="489">
          <cell r="A489">
            <v>1</v>
          </cell>
          <cell r="C489">
            <v>883060303</v>
          </cell>
          <cell r="I489">
            <v>180977648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180977648</v>
          </cell>
        </row>
        <row r="490">
          <cell r="A490">
            <v>1</v>
          </cell>
          <cell r="C490">
            <v>883060304</v>
          </cell>
          <cell r="I490">
            <v>11930100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11930100</v>
          </cell>
          <cell r="O490">
            <v>0</v>
          </cell>
          <cell r="P490">
            <v>0</v>
          </cell>
        </row>
        <row r="491">
          <cell r="A491">
            <v>1</v>
          </cell>
          <cell r="C491">
            <v>883060305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</row>
        <row r="492">
          <cell r="A492">
            <v>1</v>
          </cell>
          <cell r="C492">
            <v>883060306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</row>
        <row r="493">
          <cell r="A493">
            <v>1</v>
          </cell>
          <cell r="C493">
            <v>883060307</v>
          </cell>
          <cell r="I493">
            <v>39833893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39833893</v>
          </cell>
        </row>
        <row r="494">
          <cell r="A494">
            <v>1</v>
          </cell>
          <cell r="C494">
            <v>883060310</v>
          </cell>
          <cell r="I494">
            <v>108226437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108226437</v>
          </cell>
        </row>
        <row r="495">
          <cell r="A495">
            <v>1</v>
          </cell>
          <cell r="C495">
            <v>883060311</v>
          </cell>
          <cell r="I495">
            <v>9099292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9099292</v>
          </cell>
        </row>
        <row r="496">
          <cell r="A496">
            <v>1</v>
          </cell>
          <cell r="C496">
            <v>883060312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</row>
        <row r="497">
          <cell r="A497">
            <v>1</v>
          </cell>
          <cell r="C497">
            <v>883060314</v>
          </cell>
          <cell r="I497">
            <v>6768371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6768371</v>
          </cell>
        </row>
        <row r="498">
          <cell r="A498">
            <v>1</v>
          </cell>
          <cell r="C498">
            <v>883060315</v>
          </cell>
          <cell r="I498">
            <v>11890000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11890000</v>
          </cell>
        </row>
        <row r="499">
          <cell r="A499">
            <v>1</v>
          </cell>
          <cell r="C499">
            <v>883060401</v>
          </cell>
          <cell r="I499">
            <v>134361225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134361225</v>
          </cell>
          <cell r="P499">
            <v>0</v>
          </cell>
        </row>
        <row r="500">
          <cell r="A500">
            <v>1</v>
          </cell>
          <cell r="C500">
            <v>883060402</v>
          </cell>
          <cell r="I500">
            <v>780657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780657</v>
          </cell>
        </row>
        <row r="501">
          <cell r="A501">
            <v>1</v>
          </cell>
          <cell r="C501">
            <v>883060403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</row>
        <row r="502">
          <cell r="A502">
            <v>1</v>
          </cell>
          <cell r="C502">
            <v>883060405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</row>
        <row r="503">
          <cell r="A503">
            <v>1</v>
          </cell>
          <cell r="C503">
            <v>883060406</v>
          </cell>
          <cell r="I503">
            <v>466434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466434</v>
          </cell>
          <cell r="P503">
            <v>0</v>
          </cell>
        </row>
        <row r="504">
          <cell r="A504">
            <v>1</v>
          </cell>
          <cell r="C504">
            <v>883060407</v>
          </cell>
          <cell r="I504">
            <v>1626549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1626549</v>
          </cell>
          <cell r="P504">
            <v>0</v>
          </cell>
        </row>
        <row r="505">
          <cell r="A505">
            <v>1</v>
          </cell>
          <cell r="C505">
            <v>883060408</v>
          </cell>
          <cell r="I505">
            <v>63882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63882</v>
          </cell>
          <cell r="P505">
            <v>0</v>
          </cell>
        </row>
        <row r="506">
          <cell r="A506">
            <v>1</v>
          </cell>
          <cell r="C506">
            <v>883060410</v>
          </cell>
          <cell r="I506">
            <v>50675356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50675356</v>
          </cell>
          <cell r="P506">
            <v>0</v>
          </cell>
        </row>
        <row r="507">
          <cell r="A507">
            <v>1</v>
          </cell>
          <cell r="C507">
            <v>883060411</v>
          </cell>
          <cell r="I507">
            <v>14667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14667</v>
          </cell>
          <cell r="P507">
            <v>0</v>
          </cell>
        </row>
        <row r="508">
          <cell r="A508">
            <v>1</v>
          </cell>
          <cell r="C508">
            <v>883060500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</row>
        <row r="509">
          <cell r="A509">
            <v>1</v>
          </cell>
          <cell r="C509">
            <v>883060700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</row>
        <row r="510">
          <cell r="A510">
            <v>1</v>
          </cell>
          <cell r="C510">
            <v>883060800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</row>
        <row r="511">
          <cell r="A511">
            <v>1</v>
          </cell>
          <cell r="C511">
            <v>883061001</v>
          </cell>
          <cell r="I511">
            <v>225020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225020</v>
          </cell>
          <cell r="O511">
            <v>0</v>
          </cell>
          <cell r="P511">
            <v>0</v>
          </cell>
        </row>
        <row r="512">
          <cell r="A512">
            <v>1</v>
          </cell>
          <cell r="C512">
            <v>883061002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</row>
        <row r="513">
          <cell r="A513">
            <v>1</v>
          </cell>
          <cell r="C513">
            <v>883061003</v>
          </cell>
          <cell r="I513">
            <v>153600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153600</v>
          </cell>
          <cell r="O513">
            <v>0</v>
          </cell>
          <cell r="P513">
            <v>0</v>
          </cell>
        </row>
        <row r="514">
          <cell r="A514">
            <v>1</v>
          </cell>
          <cell r="C514">
            <v>883061300</v>
          </cell>
          <cell r="I514">
            <v>11013390</v>
          </cell>
          <cell r="J514">
            <v>0</v>
          </cell>
          <cell r="K514">
            <v>0</v>
          </cell>
          <cell r="L514">
            <v>0</v>
          </cell>
          <cell r="M514">
            <v>30357</v>
          </cell>
          <cell r="N514">
            <v>10983033</v>
          </cell>
          <cell r="O514">
            <v>0</v>
          </cell>
          <cell r="P514">
            <v>0</v>
          </cell>
        </row>
        <row r="515">
          <cell r="A515">
            <v>1</v>
          </cell>
          <cell r="C515">
            <v>883061400</v>
          </cell>
          <cell r="I515">
            <v>2213663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2213663</v>
          </cell>
          <cell r="O515">
            <v>0</v>
          </cell>
          <cell r="P515">
            <v>0</v>
          </cell>
        </row>
        <row r="516">
          <cell r="A516">
            <v>1</v>
          </cell>
          <cell r="C516">
            <v>883061500</v>
          </cell>
          <cell r="I516">
            <v>16902233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16902233</v>
          </cell>
          <cell r="O516">
            <v>0</v>
          </cell>
          <cell r="P516">
            <v>0</v>
          </cell>
        </row>
        <row r="517">
          <cell r="A517">
            <v>1</v>
          </cell>
          <cell r="C517">
            <v>883061700</v>
          </cell>
          <cell r="I517">
            <v>12573953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12573953</v>
          </cell>
          <cell r="O517">
            <v>0</v>
          </cell>
          <cell r="P517">
            <v>0</v>
          </cell>
        </row>
        <row r="518">
          <cell r="A518">
            <v>1</v>
          </cell>
          <cell r="C518">
            <v>883061900</v>
          </cell>
          <cell r="I518">
            <v>155875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97165</v>
          </cell>
          <cell r="O518">
            <v>49050</v>
          </cell>
          <cell r="P518">
            <v>9660</v>
          </cell>
        </row>
        <row r="519">
          <cell r="A519">
            <v>1</v>
          </cell>
          <cell r="C519">
            <v>883062000</v>
          </cell>
          <cell r="I519">
            <v>1295496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786510</v>
          </cell>
          <cell r="O519">
            <v>508986</v>
          </cell>
          <cell r="P519">
            <v>0</v>
          </cell>
        </row>
        <row r="520">
          <cell r="A520">
            <v>1</v>
          </cell>
          <cell r="C520">
            <v>883062100</v>
          </cell>
          <cell r="I520">
            <v>428095489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428095489</v>
          </cell>
          <cell r="O520">
            <v>0</v>
          </cell>
          <cell r="P520">
            <v>0</v>
          </cell>
        </row>
        <row r="521">
          <cell r="A521">
            <v>1</v>
          </cell>
          <cell r="C521">
            <v>883062300</v>
          </cell>
          <cell r="I521">
            <v>166478038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166478038</v>
          </cell>
          <cell r="O521">
            <v>0</v>
          </cell>
          <cell r="P521">
            <v>0</v>
          </cell>
        </row>
        <row r="522">
          <cell r="A522">
            <v>1</v>
          </cell>
          <cell r="C522">
            <v>883062400</v>
          </cell>
          <cell r="I522">
            <v>50100458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50100458</v>
          </cell>
          <cell r="O522">
            <v>0</v>
          </cell>
          <cell r="P522">
            <v>0</v>
          </cell>
        </row>
        <row r="523">
          <cell r="A523">
            <v>1</v>
          </cell>
          <cell r="C523">
            <v>883062500</v>
          </cell>
          <cell r="I523">
            <v>25190000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25190000</v>
          </cell>
          <cell r="O523">
            <v>0</v>
          </cell>
          <cell r="P523">
            <v>0</v>
          </cell>
        </row>
        <row r="524">
          <cell r="A524">
            <v>1</v>
          </cell>
          <cell r="C524">
            <v>883062600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</row>
        <row r="525">
          <cell r="A525">
            <v>1</v>
          </cell>
          <cell r="C525">
            <v>883062866</v>
          </cell>
          <cell r="I525">
            <v>383761300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383761300</v>
          </cell>
          <cell r="O525">
            <v>0</v>
          </cell>
          <cell r="P525">
            <v>0</v>
          </cell>
        </row>
        <row r="526">
          <cell r="A526">
            <v>1</v>
          </cell>
          <cell r="C526">
            <v>883062867</v>
          </cell>
          <cell r="I526">
            <v>28445230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28445230</v>
          </cell>
          <cell r="O526">
            <v>0</v>
          </cell>
          <cell r="P526">
            <v>0</v>
          </cell>
        </row>
        <row r="527">
          <cell r="A527">
            <v>1</v>
          </cell>
          <cell r="C527">
            <v>883062900</v>
          </cell>
          <cell r="I527">
            <v>42735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42735</v>
          </cell>
          <cell r="O527">
            <v>0</v>
          </cell>
          <cell r="P527">
            <v>0</v>
          </cell>
        </row>
        <row r="528">
          <cell r="A528">
            <v>1</v>
          </cell>
          <cell r="C528">
            <v>883063000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</row>
        <row r="529">
          <cell r="A529">
            <v>1</v>
          </cell>
          <cell r="C529">
            <v>883063100</v>
          </cell>
          <cell r="I529">
            <v>12205239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10201576</v>
          </cell>
          <cell r="O529">
            <v>0</v>
          </cell>
          <cell r="P529">
            <v>2003663</v>
          </cell>
        </row>
        <row r="530">
          <cell r="A530">
            <v>1</v>
          </cell>
          <cell r="C530">
            <v>883063700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</row>
        <row r="531">
          <cell r="A531">
            <v>1</v>
          </cell>
          <cell r="C531">
            <v>883063900</v>
          </cell>
          <cell r="I531">
            <v>819427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819427</v>
          </cell>
          <cell r="P531">
            <v>0</v>
          </cell>
        </row>
        <row r="532">
          <cell r="A532">
            <v>1</v>
          </cell>
          <cell r="C532">
            <v>883064000</v>
          </cell>
          <cell r="I532">
            <v>311782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311782</v>
          </cell>
        </row>
        <row r="533">
          <cell r="A533">
            <v>1</v>
          </cell>
          <cell r="C533">
            <v>883064100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</row>
        <row r="534">
          <cell r="A534">
            <v>1</v>
          </cell>
          <cell r="C534">
            <v>883064201</v>
          </cell>
          <cell r="I534">
            <v>52591000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52591000</v>
          </cell>
        </row>
        <row r="535">
          <cell r="A535">
            <v>1</v>
          </cell>
          <cell r="C535">
            <v>883064202</v>
          </cell>
          <cell r="I535">
            <v>10602000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10602000</v>
          </cell>
        </row>
        <row r="536">
          <cell r="A536">
            <v>1</v>
          </cell>
          <cell r="C536">
            <v>883080102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</row>
        <row r="537">
          <cell r="A537">
            <v>1</v>
          </cell>
          <cell r="C537">
            <v>883080103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</row>
        <row r="538">
          <cell r="A538">
            <v>1</v>
          </cell>
          <cell r="C538">
            <v>883080104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</row>
        <row r="539">
          <cell r="A539">
            <v>1</v>
          </cell>
          <cell r="C539">
            <v>883080105</v>
          </cell>
          <cell r="I539">
            <v>1115544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1115544</v>
          </cell>
        </row>
        <row r="540">
          <cell r="A540">
            <v>1</v>
          </cell>
          <cell r="C540">
            <v>883080202</v>
          </cell>
          <cell r="I540">
            <v>370587446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370587446</v>
          </cell>
        </row>
        <row r="541">
          <cell r="A541">
            <v>1</v>
          </cell>
          <cell r="C541">
            <v>883080301</v>
          </cell>
          <cell r="I541">
            <v>38801422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38801422</v>
          </cell>
        </row>
        <row r="542">
          <cell r="A542">
            <v>1</v>
          </cell>
          <cell r="C542">
            <v>883080302</v>
          </cell>
          <cell r="I542">
            <v>14085987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14085987</v>
          </cell>
        </row>
        <row r="543">
          <cell r="A543">
            <v>1</v>
          </cell>
          <cell r="C543">
            <v>883080303</v>
          </cell>
          <cell r="I543">
            <v>130536625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130536625</v>
          </cell>
        </row>
        <row r="544">
          <cell r="A544">
            <v>1</v>
          </cell>
          <cell r="C544">
            <v>883080304</v>
          </cell>
          <cell r="I544">
            <v>7777220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7777220</v>
          </cell>
          <cell r="O544">
            <v>0</v>
          </cell>
          <cell r="P544">
            <v>0</v>
          </cell>
        </row>
        <row r="545">
          <cell r="A545">
            <v>1</v>
          </cell>
          <cell r="C545">
            <v>883080305</v>
          </cell>
          <cell r="I545">
            <v>3340800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3340800</v>
          </cell>
        </row>
        <row r="546">
          <cell r="A546">
            <v>1</v>
          </cell>
          <cell r="C546">
            <v>883080306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</row>
        <row r="547">
          <cell r="A547">
            <v>1</v>
          </cell>
          <cell r="C547">
            <v>883080307</v>
          </cell>
          <cell r="I547">
            <v>23053067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23053067</v>
          </cell>
        </row>
        <row r="548">
          <cell r="A548">
            <v>1</v>
          </cell>
          <cell r="C548">
            <v>883080310</v>
          </cell>
          <cell r="I548">
            <v>56494805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56494805</v>
          </cell>
        </row>
        <row r="549">
          <cell r="A549">
            <v>1</v>
          </cell>
          <cell r="C549">
            <v>883080311</v>
          </cell>
          <cell r="I549">
            <v>9377739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9377739</v>
          </cell>
        </row>
        <row r="550">
          <cell r="A550">
            <v>1</v>
          </cell>
          <cell r="C550">
            <v>883080312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</row>
        <row r="551">
          <cell r="A551">
            <v>1</v>
          </cell>
          <cell r="C551">
            <v>883080314</v>
          </cell>
          <cell r="I551">
            <v>5765537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5765537</v>
          </cell>
        </row>
        <row r="552">
          <cell r="A552">
            <v>1</v>
          </cell>
          <cell r="C552">
            <v>883080315</v>
          </cell>
          <cell r="I552">
            <v>5450000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5450000</v>
          </cell>
        </row>
        <row r="553">
          <cell r="A553">
            <v>1</v>
          </cell>
          <cell r="C553">
            <v>883080316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</row>
        <row r="554">
          <cell r="A554">
            <v>1</v>
          </cell>
          <cell r="C554">
            <v>883080401</v>
          </cell>
          <cell r="I554">
            <v>94575574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94575574</v>
          </cell>
          <cell r="P554">
            <v>0</v>
          </cell>
        </row>
        <row r="555">
          <cell r="A555">
            <v>1</v>
          </cell>
          <cell r="C555">
            <v>883080402</v>
          </cell>
          <cell r="I555">
            <v>561704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561704</v>
          </cell>
        </row>
        <row r="556">
          <cell r="A556">
            <v>1</v>
          </cell>
          <cell r="C556">
            <v>883080403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</row>
        <row r="557">
          <cell r="A557">
            <v>1</v>
          </cell>
          <cell r="C557">
            <v>883080405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</row>
        <row r="558">
          <cell r="A558">
            <v>1</v>
          </cell>
          <cell r="C558">
            <v>883080406</v>
          </cell>
          <cell r="I558">
            <v>231109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231109</v>
          </cell>
          <cell r="P558">
            <v>0</v>
          </cell>
        </row>
        <row r="559">
          <cell r="A559">
            <v>1</v>
          </cell>
          <cell r="C559">
            <v>883080407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</row>
        <row r="560">
          <cell r="A560">
            <v>1</v>
          </cell>
          <cell r="C560">
            <v>883080408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</row>
        <row r="561">
          <cell r="A561">
            <v>1</v>
          </cell>
          <cell r="C561">
            <v>883080410</v>
          </cell>
          <cell r="I561">
            <v>35707068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35707068</v>
          </cell>
          <cell r="P561">
            <v>0</v>
          </cell>
        </row>
        <row r="562">
          <cell r="A562">
            <v>1</v>
          </cell>
          <cell r="C562">
            <v>883080411</v>
          </cell>
          <cell r="I562">
            <v>4026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4026</v>
          </cell>
          <cell r="P562">
            <v>0</v>
          </cell>
        </row>
        <row r="563">
          <cell r="A563">
            <v>1</v>
          </cell>
          <cell r="C563">
            <v>883080500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</row>
        <row r="564">
          <cell r="A564">
            <v>1</v>
          </cell>
          <cell r="C564">
            <v>883080700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</row>
        <row r="565">
          <cell r="A565">
            <v>1</v>
          </cell>
          <cell r="C565">
            <v>883080800</v>
          </cell>
          <cell r="I565">
            <v>45200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45200</v>
          </cell>
          <cell r="O565">
            <v>0</v>
          </cell>
          <cell r="P565">
            <v>0</v>
          </cell>
        </row>
        <row r="566">
          <cell r="A566">
            <v>1</v>
          </cell>
          <cell r="C566">
            <v>883081001</v>
          </cell>
          <cell r="I566">
            <v>6600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6600</v>
          </cell>
          <cell r="O566">
            <v>0</v>
          </cell>
          <cell r="P566">
            <v>0</v>
          </cell>
        </row>
        <row r="567">
          <cell r="A567">
            <v>1</v>
          </cell>
          <cell r="C567">
            <v>883081002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</row>
        <row r="568">
          <cell r="A568">
            <v>1</v>
          </cell>
          <cell r="C568">
            <v>883081003</v>
          </cell>
          <cell r="I568">
            <v>24960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24960</v>
          </cell>
          <cell r="O568">
            <v>0</v>
          </cell>
          <cell r="P568">
            <v>0</v>
          </cell>
        </row>
        <row r="569">
          <cell r="A569">
            <v>1</v>
          </cell>
          <cell r="C569">
            <v>883081300</v>
          </cell>
          <cell r="I569">
            <v>14320191</v>
          </cell>
          <cell r="J569">
            <v>0</v>
          </cell>
          <cell r="K569">
            <v>0</v>
          </cell>
          <cell r="L569">
            <v>0</v>
          </cell>
          <cell r="M569">
            <v>144600</v>
          </cell>
          <cell r="N569">
            <v>14175591</v>
          </cell>
          <cell r="O569">
            <v>0</v>
          </cell>
          <cell r="P569">
            <v>0</v>
          </cell>
        </row>
        <row r="570">
          <cell r="A570">
            <v>1</v>
          </cell>
          <cell r="C570">
            <v>883081400</v>
          </cell>
          <cell r="I570">
            <v>333066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333066</v>
          </cell>
          <cell r="O570">
            <v>0</v>
          </cell>
          <cell r="P570">
            <v>0</v>
          </cell>
        </row>
        <row r="571">
          <cell r="A571">
            <v>1</v>
          </cell>
          <cell r="C571">
            <v>883081500</v>
          </cell>
          <cell r="I571">
            <v>12953428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12953428</v>
          </cell>
          <cell r="O571">
            <v>0</v>
          </cell>
          <cell r="P571">
            <v>0</v>
          </cell>
        </row>
        <row r="572">
          <cell r="A572">
            <v>1</v>
          </cell>
          <cell r="C572">
            <v>883081700</v>
          </cell>
          <cell r="I572">
            <v>2514300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2514300</v>
          </cell>
          <cell r="O572">
            <v>0</v>
          </cell>
          <cell r="P572">
            <v>0</v>
          </cell>
        </row>
        <row r="573">
          <cell r="A573">
            <v>1</v>
          </cell>
          <cell r="C573">
            <v>883081900</v>
          </cell>
          <cell r="I573">
            <v>268755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256855</v>
          </cell>
          <cell r="O573">
            <v>11900</v>
          </cell>
          <cell r="P573">
            <v>0</v>
          </cell>
        </row>
        <row r="574">
          <cell r="A574">
            <v>1</v>
          </cell>
          <cell r="C574">
            <v>883082000</v>
          </cell>
          <cell r="I574">
            <v>1481824</v>
          </cell>
          <cell r="J574">
            <v>0</v>
          </cell>
          <cell r="K574">
            <v>0</v>
          </cell>
          <cell r="L574">
            <v>518400</v>
          </cell>
          <cell r="M574">
            <v>0</v>
          </cell>
          <cell r="N574">
            <v>963424</v>
          </cell>
          <cell r="O574">
            <v>0</v>
          </cell>
          <cell r="P574">
            <v>0</v>
          </cell>
        </row>
        <row r="575">
          <cell r="A575">
            <v>1</v>
          </cell>
          <cell r="C575">
            <v>883082100</v>
          </cell>
          <cell r="I575">
            <v>3225357455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3225357455</v>
          </cell>
          <cell r="O575">
            <v>0</v>
          </cell>
          <cell r="P575">
            <v>0</v>
          </cell>
        </row>
        <row r="576">
          <cell r="A576">
            <v>1</v>
          </cell>
          <cell r="C576">
            <v>883082300</v>
          </cell>
          <cell r="I576">
            <v>216228011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216228011</v>
          </cell>
          <cell r="O576">
            <v>0</v>
          </cell>
          <cell r="P576">
            <v>0</v>
          </cell>
        </row>
        <row r="577">
          <cell r="A577">
            <v>1</v>
          </cell>
          <cell r="C577">
            <v>883082400</v>
          </cell>
          <cell r="I577">
            <v>44165778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44165778</v>
          </cell>
          <cell r="O577">
            <v>0</v>
          </cell>
          <cell r="P577">
            <v>0</v>
          </cell>
        </row>
        <row r="578">
          <cell r="A578">
            <v>1</v>
          </cell>
          <cell r="C578">
            <v>883082500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</row>
        <row r="579">
          <cell r="A579">
            <v>1</v>
          </cell>
          <cell r="C579">
            <v>883082600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</row>
        <row r="580">
          <cell r="A580">
            <v>1</v>
          </cell>
          <cell r="C580">
            <v>883082866</v>
          </cell>
          <cell r="I580">
            <v>514598231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514598231</v>
          </cell>
          <cell r="O580">
            <v>0</v>
          </cell>
          <cell r="P580">
            <v>0</v>
          </cell>
        </row>
        <row r="581">
          <cell r="A581">
            <v>1</v>
          </cell>
          <cell r="C581">
            <v>883082867</v>
          </cell>
          <cell r="I581">
            <v>270270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270270</v>
          </cell>
          <cell r="O581">
            <v>0</v>
          </cell>
          <cell r="P581">
            <v>0</v>
          </cell>
        </row>
        <row r="582">
          <cell r="A582">
            <v>1</v>
          </cell>
          <cell r="C582">
            <v>883082900</v>
          </cell>
          <cell r="I582">
            <v>82462216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82462216</v>
          </cell>
          <cell r="O582">
            <v>0</v>
          </cell>
          <cell r="P582">
            <v>0</v>
          </cell>
        </row>
        <row r="583">
          <cell r="A583">
            <v>1</v>
          </cell>
          <cell r="C583">
            <v>883083000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</row>
        <row r="584">
          <cell r="A584">
            <v>1</v>
          </cell>
          <cell r="C584">
            <v>883083100</v>
          </cell>
          <cell r="I584">
            <v>1598889696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1596158815</v>
          </cell>
          <cell r="O584">
            <v>15600</v>
          </cell>
          <cell r="P584">
            <v>2715281</v>
          </cell>
        </row>
        <row r="585">
          <cell r="A585">
            <v>1</v>
          </cell>
          <cell r="C585">
            <v>883083700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</row>
        <row r="586">
          <cell r="A586">
            <v>1</v>
          </cell>
          <cell r="C586">
            <v>883083900</v>
          </cell>
          <cell r="I586">
            <v>123910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123910</v>
          </cell>
          <cell r="P586">
            <v>0</v>
          </cell>
        </row>
        <row r="587">
          <cell r="A587">
            <v>1</v>
          </cell>
          <cell r="C587">
            <v>883084000</v>
          </cell>
          <cell r="I587">
            <v>31300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31300</v>
          </cell>
        </row>
        <row r="588">
          <cell r="A588">
            <v>1</v>
          </cell>
          <cell r="C588">
            <v>883084100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</row>
        <row r="589">
          <cell r="A589">
            <v>1</v>
          </cell>
          <cell r="C589">
            <v>883084201</v>
          </cell>
          <cell r="I589">
            <v>38404000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38404000</v>
          </cell>
        </row>
        <row r="590">
          <cell r="A590">
            <v>1</v>
          </cell>
          <cell r="C590">
            <v>883084202</v>
          </cell>
          <cell r="I590">
            <v>7759000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7759000</v>
          </cell>
        </row>
        <row r="591">
          <cell r="A591">
            <v>1</v>
          </cell>
          <cell r="C591">
            <v>883100102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</row>
        <row r="592">
          <cell r="A592">
            <v>1</v>
          </cell>
          <cell r="C592">
            <v>883100103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</row>
        <row r="593">
          <cell r="A593">
            <v>1</v>
          </cell>
          <cell r="C593">
            <v>883100104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</row>
        <row r="594">
          <cell r="A594">
            <v>1</v>
          </cell>
          <cell r="C594">
            <v>883100105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</row>
        <row r="595">
          <cell r="A595">
            <v>1</v>
          </cell>
          <cell r="C595">
            <v>883100202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</row>
        <row r="596">
          <cell r="A596">
            <v>1</v>
          </cell>
          <cell r="C596">
            <v>883100301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</row>
        <row r="597">
          <cell r="A597">
            <v>1</v>
          </cell>
          <cell r="C597">
            <v>883100302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</row>
        <row r="598">
          <cell r="A598">
            <v>1</v>
          </cell>
          <cell r="C598">
            <v>883100303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</row>
        <row r="599">
          <cell r="A599">
            <v>1</v>
          </cell>
          <cell r="C599">
            <v>883100304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</row>
        <row r="600">
          <cell r="A600">
            <v>1</v>
          </cell>
          <cell r="C600">
            <v>883100305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</row>
        <row r="601">
          <cell r="A601">
            <v>1</v>
          </cell>
          <cell r="C601">
            <v>883100306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</row>
        <row r="602">
          <cell r="A602">
            <v>1</v>
          </cell>
          <cell r="C602">
            <v>883100307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</row>
        <row r="603">
          <cell r="A603">
            <v>1</v>
          </cell>
          <cell r="C603">
            <v>883100310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</row>
        <row r="604">
          <cell r="A604">
            <v>1</v>
          </cell>
          <cell r="C604">
            <v>883100311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</row>
        <row r="605">
          <cell r="A605">
            <v>1</v>
          </cell>
          <cell r="C605">
            <v>883100314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</row>
        <row r="606">
          <cell r="A606">
            <v>1</v>
          </cell>
          <cell r="C606">
            <v>883100315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</row>
        <row r="607">
          <cell r="A607">
            <v>1</v>
          </cell>
          <cell r="C607">
            <v>883100401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</row>
        <row r="608">
          <cell r="A608">
            <v>1</v>
          </cell>
          <cell r="C608">
            <v>883100402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</row>
        <row r="609">
          <cell r="A609">
            <v>1</v>
          </cell>
          <cell r="C609">
            <v>883100403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</row>
        <row r="610">
          <cell r="A610">
            <v>1</v>
          </cell>
          <cell r="C610">
            <v>883100405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</row>
        <row r="611">
          <cell r="A611">
            <v>1</v>
          </cell>
          <cell r="C611">
            <v>883100406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</row>
        <row r="612">
          <cell r="A612">
            <v>1</v>
          </cell>
          <cell r="C612">
            <v>883100407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</row>
        <row r="613">
          <cell r="A613">
            <v>1</v>
          </cell>
          <cell r="C613">
            <v>883100408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</row>
        <row r="614">
          <cell r="A614">
            <v>1</v>
          </cell>
          <cell r="C614">
            <v>883100410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</row>
        <row r="615">
          <cell r="A615">
            <v>1</v>
          </cell>
          <cell r="C615">
            <v>883100500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</row>
        <row r="616">
          <cell r="A616">
            <v>1</v>
          </cell>
          <cell r="C616">
            <v>883100700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</row>
        <row r="617">
          <cell r="A617">
            <v>1</v>
          </cell>
          <cell r="C617">
            <v>883100800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</row>
        <row r="618">
          <cell r="A618">
            <v>1</v>
          </cell>
          <cell r="C618">
            <v>883101001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</row>
        <row r="619">
          <cell r="A619">
            <v>1</v>
          </cell>
          <cell r="C619">
            <v>883101002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</row>
        <row r="620">
          <cell r="A620">
            <v>1</v>
          </cell>
          <cell r="C620">
            <v>883101003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</row>
        <row r="621">
          <cell r="A621">
            <v>1</v>
          </cell>
          <cell r="C621">
            <v>883101300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</row>
        <row r="622">
          <cell r="A622">
            <v>1</v>
          </cell>
          <cell r="C622">
            <v>883101400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</row>
        <row r="623">
          <cell r="A623">
            <v>1</v>
          </cell>
          <cell r="C623">
            <v>883101500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</row>
        <row r="624">
          <cell r="A624">
            <v>1</v>
          </cell>
          <cell r="C624">
            <v>883101700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</row>
        <row r="625">
          <cell r="A625">
            <v>1</v>
          </cell>
          <cell r="C625">
            <v>883101900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</row>
        <row r="626">
          <cell r="A626">
            <v>1</v>
          </cell>
          <cell r="C626">
            <v>883102000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</row>
        <row r="627">
          <cell r="A627">
            <v>1</v>
          </cell>
          <cell r="C627">
            <v>883102100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</row>
        <row r="628">
          <cell r="A628">
            <v>1</v>
          </cell>
          <cell r="C628">
            <v>883102300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</row>
        <row r="629">
          <cell r="A629">
            <v>1</v>
          </cell>
          <cell r="C629">
            <v>883102400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</row>
        <row r="630">
          <cell r="A630">
            <v>1</v>
          </cell>
          <cell r="C630">
            <v>883102500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</row>
        <row r="631">
          <cell r="A631">
            <v>1</v>
          </cell>
          <cell r="C631">
            <v>883102600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</row>
        <row r="632">
          <cell r="A632">
            <v>1</v>
          </cell>
          <cell r="C632">
            <v>883102866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</row>
        <row r="633">
          <cell r="A633">
            <v>1</v>
          </cell>
          <cell r="C633">
            <v>883102867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</row>
        <row r="634">
          <cell r="A634">
            <v>1</v>
          </cell>
          <cell r="C634">
            <v>883102900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</row>
        <row r="635">
          <cell r="A635">
            <v>1</v>
          </cell>
          <cell r="C635">
            <v>883103000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</row>
        <row r="636">
          <cell r="A636">
            <v>1</v>
          </cell>
          <cell r="C636">
            <v>883103100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</row>
        <row r="637">
          <cell r="A637">
            <v>1</v>
          </cell>
          <cell r="C637">
            <v>883103700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</row>
        <row r="638">
          <cell r="A638">
            <v>1</v>
          </cell>
          <cell r="C638">
            <v>883103900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</row>
        <row r="639">
          <cell r="A639">
            <v>1</v>
          </cell>
          <cell r="C639">
            <v>883104000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</row>
        <row r="640">
          <cell r="A640">
            <v>1</v>
          </cell>
          <cell r="C640">
            <v>883104100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</row>
        <row r="641">
          <cell r="A641">
            <v>1</v>
          </cell>
          <cell r="C641">
            <v>883120102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</row>
        <row r="642">
          <cell r="A642">
            <v>1</v>
          </cell>
          <cell r="C642">
            <v>883120103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</row>
        <row r="643">
          <cell r="A643">
            <v>1</v>
          </cell>
          <cell r="C643">
            <v>883120104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</row>
        <row r="644">
          <cell r="A644">
            <v>1</v>
          </cell>
          <cell r="C644">
            <v>883120105</v>
          </cell>
          <cell r="I644">
            <v>19274556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19274556</v>
          </cell>
        </row>
        <row r="645">
          <cell r="A645">
            <v>1</v>
          </cell>
          <cell r="C645">
            <v>883120202</v>
          </cell>
          <cell r="I645">
            <v>22985320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22985320</v>
          </cell>
        </row>
        <row r="646">
          <cell r="A646">
            <v>1</v>
          </cell>
          <cell r="C646">
            <v>883120301</v>
          </cell>
          <cell r="I646">
            <v>2305456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2305456</v>
          </cell>
        </row>
        <row r="647">
          <cell r="A647">
            <v>1</v>
          </cell>
          <cell r="C647">
            <v>883120302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</row>
        <row r="648">
          <cell r="A648">
            <v>1</v>
          </cell>
          <cell r="C648">
            <v>883120303</v>
          </cell>
          <cell r="I648">
            <v>9621019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9621019</v>
          </cell>
        </row>
        <row r="649">
          <cell r="A649">
            <v>1</v>
          </cell>
          <cell r="C649">
            <v>883120304</v>
          </cell>
          <cell r="I649">
            <v>517080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517080</v>
          </cell>
          <cell r="O649">
            <v>0</v>
          </cell>
          <cell r="P649">
            <v>0</v>
          </cell>
        </row>
        <row r="650">
          <cell r="A650">
            <v>1</v>
          </cell>
          <cell r="C650">
            <v>883120305</v>
          </cell>
          <cell r="I650">
            <v>69600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69600</v>
          </cell>
        </row>
        <row r="651">
          <cell r="A651">
            <v>1</v>
          </cell>
          <cell r="C651">
            <v>883120306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</row>
        <row r="652">
          <cell r="A652">
            <v>1</v>
          </cell>
          <cell r="C652">
            <v>883120307</v>
          </cell>
          <cell r="I652">
            <v>383622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383622</v>
          </cell>
        </row>
        <row r="653">
          <cell r="A653">
            <v>1</v>
          </cell>
          <cell r="C653">
            <v>883120310</v>
          </cell>
          <cell r="I653">
            <v>1478667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1478667</v>
          </cell>
        </row>
        <row r="654">
          <cell r="A654">
            <v>1</v>
          </cell>
          <cell r="C654">
            <v>883120311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</row>
        <row r="655">
          <cell r="A655">
            <v>1</v>
          </cell>
          <cell r="C655">
            <v>883120314</v>
          </cell>
          <cell r="I655">
            <v>324000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324000</v>
          </cell>
        </row>
        <row r="656">
          <cell r="A656">
            <v>1</v>
          </cell>
          <cell r="C656">
            <v>883120315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</row>
        <row r="657">
          <cell r="A657">
            <v>1</v>
          </cell>
          <cell r="C657">
            <v>883120401</v>
          </cell>
          <cell r="I657">
            <v>2319119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2319119</v>
          </cell>
          <cell r="P657">
            <v>0</v>
          </cell>
        </row>
        <row r="658">
          <cell r="A658">
            <v>1</v>
          </cell>
          <cell r="C658">
            <v>883120402</v>
          </cell>
          <cell r="I658">
            <v>60748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60748</v>
          </cell>
        </row>
        <row r="659">
          <cell r="A659">
            <v>1</v>
          </cell>
          <cell r="C659">
            <v>883120403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</row>
        <row r="660">
          <cell r="A660">
            <v>1</v>
          </cell>
          <cell r="C660">
            <v>883120405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</row>
        <row r="661">
          <cell r="A661">
            <v>1</v>
          </cell>
          <cell r="C661">
            <v>883120406</v>
          </cell>
          <cell r="I661">
            <v>405632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405632</v>
          </cell>
          <cell r="P661">
            <v>0</v>
          </cell>
        </row>
        <row r="662">
          <cell r="A662">
            <v>1</v>
          </cell>
          <cell r="C662">
            <v>883120407</v>
          </cell>
          <cell r="I662">
            <v>3606933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3606933</v>
          </cell>
          <cell r="P662">
            <v>0</v>
          </cell>
        </row>
        <row r="663">
          <cell r="A663">
            <v>1</v>
          </cell>
          <cell r="C663">
            <v>883120408</v>
          </cell>
          <cell r="I663">
            <v>142269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142269</v>
          </cell>
          <cell r="P663">
            <v>0</v>
          </cell>
        </row>
        <row r="664">
          <cell r="A664">
            <v>1</v>
          </cell>
          <cell r="C664">
            <v>883120410</v>
          </cell>
          <cell r="I664">
            <v>2984624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2984624</v>
          </cell>
          <cell r="P664">
            <v>0</v>
          </cell>
        </row>
        <row r="665">
          <cell r="A665">
            <v>1</v>
          </cell>
          <cell r="C665">
            <v>883120411</v>
          </cell>
          <cell r="I665">
            <v>73529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73529</v>
          </cell>
          <cell r="P665">
            <v>0</v>
          </cell>
        </row>
        <row r="666">
          <cell r="A666">
            <v>1</v>
          </cell>
          <cell r="C666">
            <v>883120500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</row>
        <row r="667">
          <cell r="A667">
            <v>1</v>
          </cell>
          <cell r="C667">
            <v>883120700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</row>
        <row r="668">
          <cell r="A668">
            <v>1</v>
          </cell>
          <cell r="C668">
            <v>883120800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</row>
        <row r="669">
          <cell r="A669">
            <v>1</v>
          </cell>
          <cell r="C669">
            <v>883121001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</row>
        <row r="670">
          <cell r="A670">
            <v>1</v>
          </cell>
          <cell r="C670">
            <v>883121002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</row>
        <row r="671">
          <cell r="A671">
            <v>1</v>
          </cell>
          <cell r="C671">
            <v>883121003</v>
          </cell>
          <cell r="I671">
            <v>957480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957480</v>
          </cell>
          <cell r="O671">
            <v>0</v>
          </cell>
          <cell r="P671">
            <v>0</v>
          </cell>
        </row>
        <row r="672">
          <cell r="A672">
            <v>1</v>
          </cell>
          <cell r="C672">
            <v>883121300</v>
          </cell>
          <cell r="I672">
            <v>524214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524214</v>
          </cell>
          <cell r="O672">
            <v>0</v>
          </cell>
          <cell r="P672">
            <v>0</v>
          </cell>
        </row>
        <row r="673">
          <cell r="A673">
            <v>1</v>
          </cell>
          <cell r="C673">
            <v>883121400</v>
          </cell>
          <cell r="I673">
            <v>14678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14678</v>
          </cell>
          <cell r="O673">
            <v>0</v>
          </cell>
          <cell r="P673">
            <v>0</v>
          </cell>
        </row>
        <row r="674">
          <cell r="A674">
            <v>1</v>
          </cell>
          <cell r="C674">
            <v>883121500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</row>
        <row r="675">
          <cell r="A675">
            <v>1</v>
          </cell>
          <cell r="C675">
            <v>883121700</v>
          </cell>
          <cell r="I675">
            <v>265731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265731</v>
          </cell>
          <cell r="O675">
            <v>0</v>
          </cell>
          <cell r="P675">
            <v>0</v>
          </cell>
        </row>
        <row r="676">
          <cell r="A676">
            <v>1</v>
          </cell>
          <cell r="C676">
            <v>883121900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</row>
        <row r="677">
          <cell r="A677">
            <v>1</v>
          </cell>
          <cell r="C677">
            <v>883122000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</row>
        <row r="678">
          <cell r="A678">
            <v>1</v>
          </cell>
          <cell r="C678">
            <v>883122100</v>
          </cell>
          <cell r="I678">
            <v>16474337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16474337</v>
          </cell>
          <cell r="O678">
            <v>0</v>
          </cell>
          <cell r="P678">
            <v>0</v>
          </cell>
        </row>
        <row r="679">
          <cell r="A679">
            <v>1</v>
          </cell>
          <cell r="C679">
            <v>883122300</v>
          </cell>
          <cell r="I679">
            <v>116949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116949</v>
          </cell>
          <cell r="O679">
            <v>0</v>
          </cell>
          <cell r="P679">
            <v>0</v>
          </cell>
        </row>
        <row r="680">
          <cell r="A680">
            <v>1</v>
          </cell>
          <cell r="C680">
            <v>883122400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</row>
        <row r="681">
          <cell r="A681">
            <v>1</v>
          </cell>
          <cell r="C681">
            <v>883122500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</row>
        <row r="682">
          <cell r="A682">
            <v>1</v>
          </cell>
          <cell r="C682">
            <v>883122866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</row>
        <row r="683">
          <cell r="A683">
            <v>1</v>
          </cell>
          <cell r="C683">
            <v>883122867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</row>
        <row r="684">
          <cell r="A684">
            <v>1</v>
          </cell>
          <cell r="C684">
            <v>883122900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</row>
        <row r="685">
          <cell r="A685">
            <v>1</v>
          </cell>
          <cell r="C685">
            <v>883123000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</row>
        <row r="686">
          <cell r="A686">
            <v>1</v>
          </cell>
          <cell r="C686">
            <v>883123100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</row>
        <row r="687">
          <cell r="A687">
            <v>1</v>
          </cell>
          <cell r="C687">
            <v>883123700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</row>
        <row r="688">
          <cell r="A688">
            <v>1</v>
          </cell>
          <cell r="C688">
            <v>883123900</v>
          </cell>
          <cell r="I688">
            <v>81986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81986</v>
          </cell>
          <cell r="P688">
            <v>0</v>
          </cell>
        </row>
        <row r="689">
          <cell r="A689">
            <v>1</v>
          </cell>
          <cell r="C689">
            <v>883124000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</row>
        <row r="690">
          <cell r="A690">
            <v>1</v>
          </cell>
          <cell r="C690">
            <v>883124100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</row>
        <row r="691">
          <cell r="A691">
            <v>1</v>
          </cell>
          <cell r="C691">
            <v>883124201</v>
          </cell>
          <cell r="I691">
            <v>3295000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3295000</v>
          </cell>
        </row>
        <row r="692">
          <cell r="A692">
            <v>1</v>
          </cell>
          <cell r="C692">
            <v>883124202</v>
          </cell>
          <cell r="I692">
            <v>567000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567000</v>
          </cell>
        </row>
        <row r="693">
          <cell r="A693">
            <v>1</v>
          </cell>
          <cell r="C693">
            <v>883130102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</row>
        <row r="694">
          <cell r="A694">
            <v>1</v>
          </cell>
          <cell r="C694">
            <v>883130103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</row>
        <row r="695">
          <cell r="A695">
            <v>1</v>
          </cell>
          <cell r="C695">
            <v>883130104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</row>
        <row r="696">
          <cell r="A696">
            <v>1</v>
          </cell>
          <cell r="C696">
            <v>883130105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</row>
        <row r="697">
          <cell r="A697">
            <v>1</v>
          </cell>
          <cell r="C697">
            <v>883130202</v>
          </cell>
          <cell r="I697">
            <v>4418400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4418400</v>
          </cell>
        </row>
        <row r="698">
          <cell r="A698">
            <v>1</v>
          </cell>
          <cell r="C698">
            <v>883130301</v>
          </cell>
          <cell r="I698">
            <v>460080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460080</v>
          </cell>
        </row>
        <row r="699">
          <cell r="A699">
            <v>1</v>
          </cell>
          <cell r="C699">
            <v>883130302</v>
          </cell>
          <cell r="I699">
            <v>182400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182400</v>
          </cell>
        </row>
        <row r="700">
          <cell r="A700">
            <v>1</v>
          </cell>
          <cell r="C700">
            <v>883130303</v>
          </cell>
          <cell r="I700">
            <v>1581823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1581823</v>
          </cell>
        </row>
        <row r="701">
          <cell r="A701">
            <v>1</v>
          </cell>
          <cell r="C701">
            <v>883130304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</row>
        <row r="702">
          <cell r="A702">
            <v>1</v>
          </cell>
          <cell r="C702">
            <v>883130305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</row>
        <row r="703">
          <cell r="A703">
            <v>1</v>
          </cell>
          <cell r="C703">
            <v>883130306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</row>
        <row r="704">
          <cell r="A704">
            <v>1</v>
          </cell>
          <cell r="C704">
            <v>883130307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</row>
        <row r="705">
          <cell r="A705">
            <v>1</v>
          </cell>
          <cell r="C705">
            <v>883130310</v>
          </cell>
          <cell r="I705">
            <v>611004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611004</v>
          </cell>
        </row>
        <row r="706">
          <cell r="A706">
            <v>1</v>
          </cell>
          <cell r="C706">
            <v>883130311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</row>
        <row r="707">
          <cell r="A707">
            <v>1</v>
          </cell>
          <cell r="C707">
            <v>883130314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</row>
        <row r="708">
          <cell r="A708">
            <v>1</v>
          </cell>
          <cell r="C708">
            <v>883130315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</row>
        <row r="709">
          <cell r="A709">
            <v>1</v>
          </cell>
          <cell r="C709">
            <v>883130401</v>
          </cell>
          <cell r="I709">
            <v>1126810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1126810</v>
          </cell>
          <cell r="P709">
            <v>0</v>
          </cell>
        </row>
        <row r="710">
          <cell r="A710">
            <v>1</v>
          </cell>
          <cell r="C710">
            <v>883130402</v>
          </cell>
          <cell r="I710">
            <v>6624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6624</v>
          </cell>
        </row>
        <row r="711">
          <cell r="A711">
            <v>1</v>
          </cell>
          <cell r="C711">
            <v>883130403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</row>
        <row r="712">
          <cell r="A712">
            <v>1</v>
          </cell>
          <cell r="C712">
            <v>883130405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</row>
        <row r="713">
          <cell r="A713">
            <v>1</v>
          </cell>
          <cell r="C713">
            <v>883130406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</row>
        <row r="714">
          <cell r="A714">
            <v>1</v>
          </cell>
          <cell r="C714">
            <v>883130407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</row>
        <row r="715">
          <cell r="A715">
            <v>1</v>
          </cell>
          <cell r="C715">
            <v>883130408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</row>
        <row r="716">
          <cell r="A716">
            <v>1</v>
          </cell>
          <cell r="C716">
            <v>883130410</v>
          </cell>
          <cell r="I716">
            <v>435839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435839</v>
          </cell>
          <cell r="P716">
            <v>0</v>
          </cell>
        </row>
        <row r="717">
          <cell r="A717">
            <v>1</v>
          </cell>
          <cell r="C717">
            <v>883130411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</row>
        <row r="718">
          <cell r="A718">
            <v>1</v>
          </cell>
          <cell r="C718">
            <v>883130500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</row>
        <row r="719">
          <cell r="A719">
            <v>1</v>
          </cell>
          <cell r="C719">
            <v>883130700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</row>
        <row r="720">
          <cell r="A720">
            <v>1</v>
          </cell>
          <cell r="C720">
            <v>883130800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</row>
        <row r="721">
          <cell r="A721">
            <v>1</v>
          </cell>
          <cell r="C721">
            <v>883131001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</row>
        <row r="722">
          <cell r="A722">
            <v>1</v>
          </cell>
          <cell r="C722">
            <v>883131002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</row>
        <row r="723">
          <cell r="A723">
            <v>1</v>
          </cell>
          <cell r="C723">
            <v>883131003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</row>
        <row r="724">
          <cell r="A724">
            <v>1</v>
          </cell>
          <cell r="C724">
            <v>883131300</v>
          </cell>
          <cell r="I724">
            <v>314753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314753</v>
          </cell>
          <cell r="O724">
            <v>0</v>
          </cell>
          <cell r="P724">
            <v>0</v>
          </cell>
        </row>
        <row r="725">
          <cell r="A725">
            <v>1</v>
          </cell>
          <cell r="C725">
            <v>883131400</v>
          </cell>
          <cell r="I725">
            <v>205816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205816</v>
          </cell>
          <cell r="O725">
            <v>0</v>
          </cell>
          <cell r="P725">
            <v>0</v>
          </cell>
        </row>
        <row r="726">
          <cell r="A726">
            <v>1</v>
          </cell>
          <cell r="C726">
            <v>883131500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</row>
        <row r="727">
          <cell r="A727">
            <v>1</v>
          </cell>
          <cell r="C727">
            <v>883131700</v>
          </cell>
          <cell r="I727">
            <v>25200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25200</v>
          </cell>
          <cell r="O727">
            <v>0</v>
          </cell>
          <cell r="P727">
            <v>0</v>
          </cell>
        </row>
        <row r="728">
          <cell r="A728">
            <v>1</v>
          </cell>
          <cell r="C728">
            <v>883131900</v>
          </cell>
          <cell r="I728">
            <v>31159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3839</v>
          </cell>
          <cell r="O728">
            <v>12900</v>
          </cell>
          <cell r="P728">
            <v>14420</v>
          </cell>
        </row>
        <row r="729">
          <cell r="A729">
            <v>1</v>
          </cell>
          <cell r="C729">
            <v>883132000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</row>
        <row r="730">
          <cell r="A730">
            <v>1</v>
          </cell>
          <cell r="C730">
            <v>883132100</v>
          </cell>
          <cell r="I730">
            <v>223630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223630</v>
          </cell>
          <cell r="O730">
            <v>0</v>
          </cell>
          <cell r="P730">
            <v>0</v>
          </cell>
        </row>
        <row r="731">
          <cell r="A731">
            <v>1</v>
          </cell>
          <cell r="C731">
            <v>883132300</v>
          </cell>
          <cell r="I731">
            <v>190247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190247</v>
          </cell>
          <cell r="O731">
            <v>0</v>
          </cell>
          <cell r="P731">
            <v>0</v>
          </cell>
        </row>
        <row r="732">
          <cell r="A732">
            <v>1</v>
          </cell>
          <cell r="C732">
            <v>883132400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</row>
        <row r="733">
          <cell r="A733">
            <v>1</v>
          </cell>
          <cell r="C733">
            <v>883132500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</row>
        <row r="734">
          <cell r="A734">
            <v>1</v>
          </cell>
          <cell r="C734">
            <v>883132866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</row>
        <row r="735">
          <cell r="A735">
            <v>1</v>
          </cell>
          <cell r="C735">
            <v>883132867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</row>
        <row r="736">
          <cell r="A736">
            <v>1</v>
          </cell>
          <cell r="C736">
            <v>883132900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</row>
        <row r="737">
          <cell r="A737">
            <v>1</v>
          </cell>
          <cell r="C737">
            <v>883133000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</row>
        <row r="738">
          <cell r="A738">
            <v>1</v>
          </cell>
          <cell r="C738">
            <v>883133100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</row>
        <row r="739">
          <cell r="A739">
            <v>1</v>
          </cell>
          <cell r="C739">
            <v>883133700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</row>
        <row r="740">
          <cell r="A740">
            <v>1</v>
          </cell>
          <cell r="C740">
            <v>883133900</v>
          </cell>
          <cell r="I740">
            <v>97074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97074</v>
          </cell>
          <cell r="P740">
            <v>0</v>
          </cell>
        </row>
        <row r="741">
          <cell r="A741">
            <v>1</v>
          </cell>
          <cell r="C741">
            <v>883134000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</row>
        <row r="742">
          <cell r="A742">
            <v>1</v>
          </cell>
          <cell r="C742">
            <v>883134100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</row>
        <row r="743">
          <cell r="A743">
            <v>1</v>
          </cell>
          <cell r="C743">
            <v>883134201</v>
          </cell>
          <cell r="I743">
            <v>476000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476000</v>
          </cell>
        </row>
        <row r="744">
          <cell r="A744">
            <v>1</v>
          </cell>
          <cell r="C744">
            <v>883134202</v>
          </cell>
          <cell r="I744">
            <v>97000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97000</v>
          </cell>
        </row>
        <row r="745">
          <cell r="A745">
            <v>1</v>
          </cell>
          <cell r="C745">
            <v>883140102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</row>
        <row r="746">
          <cell r="A746">
            <v>1</v>
          </cell>
          <cell r="C746">
            <v>883140103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</row>
        <row r="747">
          <cell r="A747">
            <v>1</v>
          </cell>
          <cell r="C747">
            <v>883140104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</row>
        <row r="748">
          <cell r="A748">
            <v>1</v>
          </cell>
          <cell r="C748">
            <v>883140105</v>
          </cell>
          <cell r="I748">
            <v>2132308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2132308</v>
          </cell>
        </row>
        <row r="749">
          <cell r="A749">
            <v>1</v>
          </cell>
          <cell r="C749">
            <v>883140202</v>
          </cell>
          <cell r="I749">
            <v>12502020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12502020</v>
          </cell>
        </row>
        <row r="750">
          <cell r="A750">
            <v>1</v>
          </cell>
          <cell r="C750">
            <v>883140301</v>
          </cell>
          <cell r="I750">
            <v>1257996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1257996</v>
          </cell>
        </row>
        <row r="751">
          <cell r="A751">
            <v>1</v>
          </cell>
          <cell r="C751">
            <v>883140302</v>
          </cell>
          <cell r="I751">
            <v>78000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78000</v>
          </cell>
        </row>
        <row r="752">
          <cell r="A752">
            <v>1</v>
          </cell>
          <cell r="C752">
            <v>883140303</v>
          </cell>
          <cell r="I752">
            <v>3550567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3550567</v>
          </cell>
        </row>
        <row r="753">
          <cell r="A753">
            <v>1</v>
          </cell>
          <cell r="C753">
            <v>883140304</v>
          </cell>
          <cell r="I753">
            <v>587260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587260</v>
          </cell>
          <cell r="O753">
            <v>0</v>
          </cell>
          <cell r="P753">
            <v>0</v>
          </cell>
        </row>
        <row r="754">
          <cell r="A754">
            <v>1</v>
          </cell>
          <cell r="C754">
            <v>883140305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</row>
        <row r="755">
          <cell r="A755">
            <v>1</v>
          </cell>
          <cell r="C755">
            <v>883140306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</row>
        <row r="756">
          <cell r="A756">
            <v>1</v>
          </cell>
          <cell r="C756">
            <v>883140307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</row>
        <row r="757">
          <cell r="A757">
            <v>1</v>
          </cell>
          <cell r="C757">
            <v>883140310</v>
          </cell>
          <cell r="I757">
            <v>1597508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1597508</v>
          </cell>
        </row>
        <row r="758">
          <cell r="A758">
            <v>1</v>
          </cell>
          <cell r="C758">
            <v>883140311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</row>
        <row r="759">
          <cell r="A759">
            <v>1</v>
          </cell>
          <cell r="C759">
            <v>883140314</v>
          </cell>
          <cell r="I759">
            <v>324000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324000</v>
          </cell>
        </row>
        <row r="760">
          <cell r="A760">
            <v>1</v>
          </cell>
          <cell r="C760">
            <v>883140315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</row>
        <row r="761">
          <cell r="A761">
            <v>1</v>
          </cell>
          <cell r="C761">
            <v>883140401</v>
          </cell>
          <cell r="I761">
            <v>2441526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2441526</v>
          </cell>
          <cell r="P761">
            <v>0</v>
          </cell>
        </row>
        <row r="762">
          <cell r="A762">
            <v>1</v>
          </cell>
          <cell r="C762">
            <v>883140402</v>
          </cell>
          <cell r="I762">
            <v>20796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20796</v>
          </cell>
        </row>
        <row r="763">
          <cell r="A763">
            <v>1</v>
          </cell>
          <cell r="C763">
            <v>883140403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</row>
        <row r="764">
          <cell r="A764">
            <v>1</v>
          </cell>
          <cell r="C764">
            <v>883140405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</row>
        <row r="765">
          <cell r="A765">
            <v>1</v>
          </cell>
          <cell r="C765">
            <v>883140406</v>
          </cell>
          <cell r="I765">
            <v>56524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56524</v>
          </cell>
          <cell r="P765">
            <v>0</v>
          </cell>
        </row>
        <row r="766">
          <cell r="A766">
            <v>1</v>
          </cell>
          <cell r="C766">
            <v>883140407</v>
          </cell>
          <cell r="I766">
            <v>506636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506636</v>
          </cell>
          <cell r="P766">
            <v>0</v>
          </cell>
        </row>
        <row r="767">
          <cell r="A767">
            <v>1</v>
          </cell>
          <cell r="C767">
            <v>883140408</v>
          </cell>
          <cell r="I767">
            <v>20477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20477</v>
          </cell>
          <cell r="P767">
            <v>0</v>
          </cell>
        </row>
        <row r="768">
          <cell r="A768">
            <v>1</v>
          </cell>
          <cell r="C768">
            <v>883140410</v>
          </cell>
          <cell r="I768">
            <v>1151322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1151322</v>
          </cell>
          <cell r="P768">
            <v>0</v>
          </cell>
        </row>
        <row r="769">
          <cell r="A769">
            <v>1</v>
          </cell>
          <cell r="C769">
            <v>883140411</v>
          </cell>
          <cell r="I769">
            <v>8208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8208</v>
          </cell>
          <cell r="P769">
            <v>0</v>
          </cell>
        </row>
        <row r="770">
          <cell r="A770">
            <v>1</v>
          </cell>
          <cell r="C770">
            <v>883140500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</row>
        <row r="771">
          <cell r="A771">
            <v>1</v>
          </cell>
          <cell r="C771">
            <v>883140700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</row>
        <row r="772">
          <cell r="A772">
            <v>1</v>
          </cell>
          <cell r="C772">
            <v>883140800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</row>
        <row r="773">
          <cell r="A773">
            <v>1</v>
          </cell>
          <cell r="C773">
            <v>883141001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</row>
        <row r="774">
          <cell r="A774">
            <v>1</v>
          </cell>
          <cell r="C774">
            <v>883141002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</row>
        <row r="775">
          <cell r="A775">
            <v>1</v>
          </cell>
          <cell r="C775">
            <v>883141003</v>
          </cell>
          <cell r="I775">
            <v>258110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258110</v>
          </cell>
          <cell r="O775">
            <v>0</v>
          </cell>
          <cell r="P775">
            <v>0</v>
          </cell>
        </row>
        <row r="776">
          <cell r="A776">
            <v>1</v>
          </cell>
          <cell r="C776">
            <v>883141300</v>
          </cell>
          <cell r="I776">
            <v>127781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127781</v>
          </cell>
          <cell r="O776">
            <v>0</v>
          </cell>
          <cell r="P776">
            <v>0</v>
          </cell>
        </row>
        <row r="777">
          <cell r="A777">
            <v>1</v>
          </cell>
          <cell r="C777">
            <v>883141400</v>
          </cell>
          <cell r="I777">
            <v>31107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31107</v>
          </cell>
          <cell r="O777">
            <v>0</v>
          </cell>
          <cell r="P777">
            <v>0</v>
          </cell>
        </row>
        <row r="778">
          <cell r="A778">
            <v>1</v>
          </cell>
          <cell r="C778">
            <v>883141500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</row>
        <row r="779">
          <cell r="A779">
            <v>1</v>
          </cell>
          <cell r="C779">
            <v>883141700</v>
          </cell>
          <cell r="I779">
            <v>615774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615774</v>
          </cell>
          <cell r="O779">
            <v>0</v>
          </cell>
          <cell r="P779">
            <v>0</v>
          </cell>
        </row>
        <row r="780">
          <cell r="A780">
            <v>1</v>
          </cell>
          <cell r="C780">
            <v>883141900</v>
          </cell>
          <cell r="I780">
            <v>1406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1406</v>
          </cell>
          <cell r="O780">
            <v>0</v>
          </cell>
          <cell r="P780">
            <v>0</v>
          </cell>
        </row>
        <row r="781">
          <cell r="A781">
            <v>1</v>
          </cell>
          <cell r="C781">
            <v>883142000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</row>
        <row r="782">
          <cell r="A782">
            <v>1</v>
          </cell>
          <cell r="C782">
            <v>883142100</v>
          </cell>
          <cell r="I782">
            <v>991166277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991166277</v>
          </cell>
          <cell r="O782">
            <v>0</v>
          </cell>
          <cell r="P782">
            <v>0</v>
          </cell>
        </row>
        <row r="783">
          <cell r="A783">
            <v>1</v>
          </cell>
          <cell r="C783">
            <v>883142300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</row>
        <row r="784">
          <cell r="A784">
            <v>1</v>
          </cell>
          <cell r="C784">
            <v>883142400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</row>
        <row r="785">
          <cell r="A785">
            <v>1</v>
          </cell>
          <cell r="C785">
            <v>883142500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</row>
        <row r="786">
          <cell r="A786">
            <v>1</v>
          </cell>
          <cell r="C786">
            <v>883142866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</row>
        <row r="787">
          <cell r="A787">
            <v>1</v>
          </cell>
          <cell r="C787">
            <v>883142867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</row>
        <row r="788">
          <cell r="A788">
            <v>1</v>
          </cell>
          <cell r="C788">
            <v>883142900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</row>
        <row r="789">
          <cell r="A789">
            <v>1</v>
          </cell>
          <cell r="C789">
            <v>883143000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</row>
        <row r="790">
          <cell r="A790">
            <v>1</v>
          </cell>
          <cell r="C790">
            <v>883143100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</row>
        <row r="791">
          <cell r="A791">
            <v>1</v>
          </cell>
          <cell r="C791">
            <v>883143700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</row>
        <row r="792">
          <cell r="A792">
            <v>1</v>
          </cell>
          <cell r="C792">
            <v>883143900</v>
          </cell>
          <cell r="I792">
            <v>10540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10540</v>
          </cell>
          <cell r="P792">
            <v>0</v>
          </cell>
        </row>
        <row r="793">
          <cell r="A793">
            <v>1</v>
          </cell>
          <cell r="C793">
            <v>883144000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</row>
        <row r="794">
          <cell r="A794">
            <v>1</v>
          </cell>
          <cell r="C794">
            <v>883144100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</row>
        <row r="795">
          <cell r="A795">
            <v>1</v>
          </cell>
          <cell r="C795">
            <v>883144201</v>
          </cell>
          <cell r="I795">
            <v>1256000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1256000</v>
          </cell>
        </row>
        <row r="796">
          <cell r="A796">
            <v>1</v>
          </cell>
          <cell r="C796">
            <v>883144202</v>
          </cell>
          <cell r="I796">
            <v>243000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243000</v>
          </cell>
        </row>
        <row r="797">
          <cell r="A797">
            <v>1</v>
          </cell>
          <cell r="C797">
            <v>883160102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</row>
        <row r="798">
          <cell r="A798">
            <v>1</v>
          </cell>
          <cell r="C798">
            <v>883160103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</row>
        <row r="799">
          <cell r="A799">
            <v>1</v>
          </cell>
          <cell r="C799">
            <v>883160104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</row>
        <row r="800">
          <cell r="A800">
            <v>1</v>
          </cell>
          <cell r="C800">
            <v>883160105</v>
          </cell>
          <cell r="I800">
            <v>8388763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8388763</v>
          </cell>
        </row>
        <row r="801">
          <cell r="A801">
            <v>1</v>
          </cell>
          <cell r="C801">
            <v>883160202</v>
          </cell>
          <cell r="I801">
            <v>118729200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118729200</v>
          </cell>
        </row>
        <row r="802">
          <cell r="A802">
            <v>1</v>
          </cell>
          <cell r="C802">
            <v>883160301</v>
          </cell>
          <cell r="I802">
            <v>12811200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12811200</v>
          </cell>
        </row>
        <row r="803">
          <cell r="A803">
            <v>1</v>
          </cell>
          <cell r="C803">
            <v>883160302</v>
          </cell>
          <cell r="I803">
            <v>3372000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3372000</v>
          </cell>
        </row>
        <row r="804">
          <cell r="A804">
            <v>1</v>
          </cell>
          <cell r="C804">
            <v>883160303</v>
          </cell>
          <cell r="I804">
            <v>45165067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45165067</v>
          </cell>
        </row>
        <row r="805">
          <cell r="A805">
            <v>1</v>
          </cell>
          <cell r="C805">
            <v>883160304</v>
          </cell>
          <cell r="I805">
            <v>2558640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2558640</v>
          </cell>
          <cell r="O805">
            <v>0</v>
          </cell>
          <cell r="P805">
            <v>0</v>
          </cell>
        </row>
        <row r="806">
          <cell r="A806">
            <v>1</v>
          </cell>
          <cell r="C806">
            <v>883160305</v>
          </cell>
          <cell r="I806">
            <v>6010800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6010800</v>
          </cell>
        </row>
        <row r="807">
          <cell r="A807">
            <v>1</v>
          </cell>
          <cell r="C807">
            <v>883160306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</row>
        <row r="808">
          <cell r="A808">
            <v>1</v>
          </cell>
          <cell r="C808">
            <v>883160307</v>
          </cell>
          <cell r="I808">
            <v>123888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123888</v>
          </cell>
        </row>
        <row r="809">
          <cell r="A809">
            <v>1</v>
          </cell>
          <cell r="C809">
            <v>883160310</v>
          </cell>
          <cell r="I809">
            <v>15845828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15845828</v>
          </cell>
        </row>
        <row r="810">
          <cell r="A810">
            <v>1</v>
          </cell>
          <cell r="C810">
            <v>883160311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</row>
        <row r="811">
          <cell r="A811">
            <v>1</v>
          </cell>
          <cell r="C811">
            <v>883160314</v>
          </cell>
          <cell r="I811">
            <v>2847600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2847600</v>
          </cell>
        </row>
        <row r="812">
          <cell r="A812">
            <v>1</v>
          </cell>
          <cell r="C812">
            <v>883160315</v>
          </cell>
          <cell r="I812">
            <v>1660000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1660000</v>
          </cell>
        </row>
        <row r="813">
          <cell r="A813">
            <v>1</v>
          </cell>
          <cell r="C813">
            <v>883160316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</row>
        <row r="814">
          <cell r="A814">
            <v>1</v>
          </cell>
          <cell r="C814">
            <v>883160401</v>
          </cell>
          <cell r="I814">
            <v>29133707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29133707</v>
          </cell>
          <cell r="P814">
            <v>0</v>
          </cell>
        </row>
        <row r="815">
          <cell r="A815">
            <v>1</v>
          </cell>
          <cell r="C815">
            <v>883160402</v>
          </cell>
          <cell r="I815">
            <v>189534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189534</v>
          </cell>
        </row>
        <row r="816">
          <cell r="A816">
            <v>1</v>
          </cell>
          <cell r="C816">
            <v>883160403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</row>
        <row r="817">
          <cell r="A817">
            <v>1</v>
          </cell>
          <cell r="C817">
            <v>883160405</v>
          </cell>
          <cell r="I817">
            <v>5731086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5731086</v>
          </cell>
          <cell r="P817">
            <v>0</v>
          </cell>
        </row>
        <row r="818">
          <cell r="A818">
            <v>1</v>
          </cell>
          <cell r="C818">
            <v>883160406</v>
          </cell>
          <cell r="I818">
            <v>99826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99826</v>
          </cell>
          <cell r="P818">
            <v>0</v>
          </cell>
        </row>
        <row r="819">
          <cell r="A819">
            <v>1</v>
          </cell>
          <cell r="C819">
            <v>883160407</v>
          </cell>
          <cell r="I819">
            <v>884598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884598</v>
          </cell>
          <cell r="P819">
            <v>0</v>
          </cell>
        </row>
        <row r="820">
          <cell r="A820">
            <v>1</v>
          </cell>
          <cell r="C820">
            <v>883160408</v>
          </cell>
          <cell r="I820">
            <v>35189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35189</v>
          </cell>
          <cell r="P820">
            <v>0</v>
          </cell>
        </row>
        <row r="821">
          <cell r="A821">
            <v>1</v>
          </cell>
          <cell r="C821">
            <v>883160410</v>
          </cell>
          <cell r="I821">
            <v>11048228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11048228</v>
          </cell>
          <cell r="P821">
            <v>0</v>
          </cell>
        </row>
        <row r="822">
          <cell r="A822">
            <v>1</v>
          </cell>
          <cell r="C822">
            <v>883160411</v>
          </cell>
          <cell r="I822">
            <v>5907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5907</v>
          </cell>
          <cell r="P822">
            <v>0</v>
          </cell>
        </row>
        <row r="823">
          <cell r="A823">
            <v>1</v>
          </cell>
          <cell r="C823">
            <v>883160500</v>
          </cell>
          <cell r="I823">
            <v>183360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183360</v>
          </cell>
        </row>
        <row r="824">
          <cell r="A824">
            <v>1</v>
          </cell>
          <cell r="C824">
            <v>883160700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</row>
        <row r="825">
          <cell r="A825">
            <v>1</v>
          </cell>
          <cell r="C825">
            <v>883160800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</row>
        <row r="826">
          <cell r="A826">
            <v>1</v>
          </cell>
          <cell r="C826">
            <v>883161001</v>
          </cell>
          <cell r="I826">
            <v>3310372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3284472</v>
          </cell>
          <cell r="O826">
            <v>0</v>
          </cell>
          <cell r="P826">
            <v>25900</v>
          </cell>
        </row>
        <row r="827">
          <cell r="A827">
            <v>1</v>
          </cell>
          <cell r="C827">
            <v>883161002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</row>
        <row r="828">
          <cell r="A828">
            <v>1</v>
          </cell>
          <cell r="C828">
            <v>883161003</v>
          </cell>
          <cell r="I828">
            <v>422700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422700</v>
          </cell>
          <cell r="O828">
            <v>0</v>
          </cell>
          <cell r="P828">
            <v>0</v>
          </cell>
        </row>
        <row r="829">
          <cell r="A829">
            <v>1</v>
          </cell>
          <cell r="C829">
            <v>883161300</v>
          </cell>
          <cell r="I829">
            <v>6713734</v>
          </cell>
          <cell r="J829">
            <v>0</v>
          </cell>
          <cell r="K829">
            <v>0</v>
          </cell>
          <cell r="L829">
            <v>0</v>
          </cell>
          <cell r="M829">
            <v>317198</v>
          </cell>
          <cell r="N829">
            <v>6396536</v>
          </cell>
          <cell r="O829">
            <v>0</v>
          </cell>
          <cell r="P829">
            <v>0</v>
          </cell>
        </row>
        <row r="830">
          <cell r="A830">
            <v>1</v>
          </cell>
          <cell r="C830">
            <v>883161400</v>
          </cell>
          <cell r="I830">
            <v>256877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256877</v>
          </cell>
          <cell r="O830">
            <v>0</v>
          </cell>
          <cell r="P830">
            <v>0</v>
          </cell>
        </row>
        <row r="831">
          <cell r="A831">
            <v>1</v>
          </cell>
          <cell r="C831">
            <v>883161500</v>
          </cell>
          <cell r="I831">
            <v>42836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42836</v>
          </cell>
          <cell r="O831">
            <v>0</v>
          </cell>
          <cell r="P831">
            <v>0</v>
          </cell>
        </row>
        <row r="832">
          <cell r="A832">
            <v>1</v>
          </cell>
          <cell r="C832">
            <v>883161700</v>
          </cell>
          <cell r="I832">
            <v>1404435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1404435</v>
          </cell>
          <cell r="O832">
            <v>0</v>
          </cell>
          <cell r="P832">
            <v>0</v>
          </cell>
        </row>
        <row r="833">
          <cell r="A833">
            <v>1</v>
          </cell>
          <cell r="C833">
            <v>883161900</v>
          </cell>
          <cell r="I833">
            <v>190945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136081</v>
          </cell>
          <cell r="O833">
            <v>54864</v>
          </cell>
          <cell r="P833">
            <v>0</v>
          </cell>
        </row>
        <row r="834">
          <cell r="A834">
            <v>1</v>
          </cell>
          <cell r="C834">
            <v>883162000</v>
          </cell>
          <cell r="I834">
            <v>32908077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32908077</v>
          </cell>
          <cell r="O834">
            <v>0</v>
          </cell>
          <cell r="P834">
            <v>0</v>
          </cell>
        </row>
        <row r="835">
          <cell r="A835">
            <v>1</v>
          </cell>
          <cell r="C835">
            <v>883162100</v>
          </cell>
          <cell r="I835">
            <v>38947557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38947557</v>
          </cell>
          <cell r="O835">
            <v>0</v>
          </cell>
          <cell r="P835">
            <v>0</v>
          </cell>
        </row>
        <row r="836">
          <cell r="A836">
            <v>1</v>
          </cell>
          <cell r="C836">
            <v>883162300</v>
          </cell>
          <cell r="I836">
            <v>1396111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1396111</v>
          </cell>
          <cell r="O836">
            <v>0</v>
          </cell>
          <cell r="P836">
            <v>0</v>
          </cell>
        </row>
        <row r="837">
          <cell r="A837">
            <v>1</v>
          </cell>
          <cell r="C837">
            <v>883162400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</row>
        <row r="838">
          <cell r="A838">
            <v>1</v>
          </cell>
          <cell r="C838">
            <v>883162500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</row>
        <row r="839">
          <cell r="A839">
            <v>1</v>
          </cell>
          <cell r="C839">
            <v>883162866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</row>
        <row r="840">
          <cell r="A840">
            <v>1</v>
          </cell>
          <cell r="C840">
            <v>883162867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</row>
        <row r="841">
          <cell r="A841">
            <v>1</v>
          </cell>
          <cell r="C841">
            <v>883162900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</row>
        <row r="842">
          <cell r="A842">
            <v>1</v>
          </cell>
          <cell r="C842">
            <v>883163000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</row>
        <row r="843">
          <cell r="A843">
            <v>1</v>
          </cell>
          <cell r="C843">
            <v>883163100</v>
          </cell>
          <cell r="I843">
            <v>111850504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106451181</v>
          </cell>
          <cell r="O843">
            <v>0</v>
          </cell>
          <cell r="P843">
            <v>5399323</v>
          </cell>
        </row>
        <row r="844">
          <cell r="A844">
            <v>1</v>
          </cell>
          <cell r="C844">
            <v>883163300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</row>
        <row r="845">
          <cell r="A845">
            <v>1</v>
          </cell>
          <cell r="C845">
            <v>883163600</v>
          </cell>
          <cell r="I845">
            <v>2892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2892</v>
          </cell>
          <cell r="O845">
            <v>0</v>
          </cell>
          <cell r="P845">
            <v>0</v>
          </cell>
        </row>
        <row r="846">
          <cell r="A846">
            <v>1</v>
          </cell>
          <cell r="C846">
            <v>883163700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</row>
        <row r="847">
          <cell r="A847">
            <v>1</v>
          </cell>
          <cell r="C847">
            <v>883163900</v>
          </cell>
          <cell r="I847">
            <v>3828947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3828947</v>
          </cell>
          <cell r="P847">
            <v>0</v>
          </cell>
        </row>
        <row r="848">
          <cell r="A848">
            <v>1</v>
          </cell>
          <cell r="C848">
            <v>883164000</v>
          </cell>
          <cell r="I848">
            <v>16361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5000</v>
          </cell>
          <cell r="P848">
            <v>11361</v>
          </cell>
        </row>
        <row r="849">
          <cell r="A849">
            <v>1</v>
          </cell>
          <cell r="C849">
            <v>883164100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</row>
        <row r="850">
          <cell r="A850">
            <v>1</v>
          </cell>
          <cell r="C850">
            <v>883164201</v>
          </cell>
          <cell r="I850">
            <v>13469000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13469000</v>
          </cell>
        </row>
        <row r="851">
          <cell r="A851">
            <v>1</v>
          </cell>
          <cell r="C851">
            <v>883164202</v>
          </cell>
          <cell r="I851">
            <v>2703000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2703000</v>
          </cell>
        </row>
        <row r="852">
          <cell r="A852">
            <v>1</v>
          </cell>
          <cell r="C852">
            <v>883164301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</row>
        <row r="853">
          <cell r="A853">
            <v>1</v>
          </cell>
          <cell r="C853">
            <v>883164302</v>
          </cell>
          <cell r="I853">
            <v>257863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257863</v>
          </cell>
        </row>
        <row r="854">
          <cell r="A854">
            <v>1</v>
          </cell>
          <cell r="C854">
            <v>883164304</v>
          </cell>
          <cell r="I854">
            <v>145321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145321</v>
          </cell>
        </row>
        <row r="855">
          <cell r="A855">
            <v>1</v>
          </cell>
          <cell r="C855">
            <v>883164305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</row>
        <row r="856">
          <cell r="A856">
            <v>1</v>
          </cell>
          <cell r="C856" t="str">
            <v>883164306</v>
          </cell>
          <cell r="I856">
            <v>94500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94500</v>
          </cell>
        </row>
        <row r="857">
          <cell r="A857">
            <v>1</v>
          </cell>
          <cell r="C857">
            <v>883204370</v>
          </cell>
          <cell r="I857">
            <v>736845633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736845633</v>
          </cell>
        </row>
        <row r="858">
          <cell r="A858">
            <v>1</v>
          </cell>
          <cell r="C858">
            <v>883204371</v>
          </cell>
          <cell r="I858">
            <v>20069115278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20069115278</v>
          </cell>
        </row>
        <row r="859">
          <cell r="A859">
            <v>1</v>
          </cell>
          <cell r="C859">
            <v>883204372</v>
          </cell>
          <cell r="I859">
            <v>4457068757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4457068757</v>
          </cell>
        </row>
        <row r="860">
          <cell r="A860">
            <v>1</v>
          </cell>
          <cell r="C860">
            <v>883204373</v>
          </cell>
          <cell r="I860">
            <v>4222403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4222403</v>
          </cell>
        </row>
        <row r="861">
          <cell r="A861">
            <v>1</v>
          </cell>
          <cell r="C861">
            <v>883204374</v>
          </cell>
          <cell r="I861">
            <v>5635044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5635044</v>
          </cell>
        </row>
        <row r="862">
          <cell r="A862">
            <v>1</v>
          </cell>
          <cell r="C862">
            <v>883204475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</row>
        <row r="863">
          <cell r="A863">
            <v>1</v>
          </cell>
          <cell r="C863">
            <v>883204476</v>
          </cell>
          <cell r="I863">
            <v>238105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238105</v>
          </cell>
        </row>
        <row r="864">
          <cell r="A864">
            <v>1</v>
          </cell>
          <cell r="C864">
            <v>883204477</v>
          </cell>
          <cell r="I864">
            <v>446882476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446882476</v>
          </cell>
        </row>
        <row r="865">
          <cell r="A865">
            <v>1</v>
          </cell>
          <cell r="C865">
            <v>883204478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</row>
        <row r="866">
          <cell r="A866">
            <v>1</v>
          </cell>
          <cell r="C866">
            <v>883204479</v>
          </cell>
          <cell r="I866">
            <v>210372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210372</v>
          </cell>
        </row>
        <row r="867">
          <cell r="A867">
            <v>1</v>
          </cell>
          <cell r="C867">
            <v>883224600</v>
          </cell>
          <cell r="I867">
            <v>495467840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495467840</v>
          </cell>
        </row>
        <row r="868">
          <cell r="A868">
            <v>1</v>
          </cell>
          <cell r="C868">
            <v>883224700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</row>
        <row r="869">
          <cell r="A869">
            <v>1</v>
          </cell>
          <cell r="C869">
            <v>884025180</v>
          </cell>
          <cell r="I869">
            <v>3723784121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3723784121</v>
          </cell>
          <cell r="P869">
            <v>0</v>
          </cell>
        </row>
        <row r="870">
          <cell r="A870">
            <v>1</v>
          </cell>
          <cell r="C870">
            <v>884025181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</row>
        <row r="871">
          <cell r="A871">
            <v>1</v>
          </cell>
          <cell r="C871">
            <v>884025182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</row>
        <row r="872">
          <cell r="A872">
            <v>1</v>
          </cell>
          <cell r="C872">
            <v>884025200</v>
          </cell>
          <cell r="I872">
            <v>60965516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60965516</v>
          </cell>
          <cell r="O872">
            <v>0</v>
          </cell>
          <cell r="P872">
            <v>0</v>
          </cell>
        </row>
        <row r="873">
          <cell r="A873">
            <v>1</v>
          </cell>
          <cell r="C873">
            <v>884025300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</row>
        <row r="874">
          <cell r="A874">
            <v>1</v>
          </cell>
          <cell r="C874">
            <v>884025400</v>
          </cell>
          <cell r="I874">
            <v>2477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2477</v>
          </cell>
          <cell r="P874">
            <v>0</v>
          </cell>
        </row>
        <row r="875">
          <cell r="A875">
            <v>1</v>
          </cell>
          <cell r="C875">
            <v>884025500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</row>
        <row r="876">
          <cell r="A876">
            <v>1</v>
          </cell>
          <cell r="C876">
            <v>884045600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</row>
        <row r="877">
          <cell r="A877">
            <v>1</v>
          </cell>
          <cell r="C877">
            <v>884045700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</row>
        <row r="878">
          <cell r="A878">
            <v>1</v>
          </cell>
          <cell r="C878">
            <v>884045800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</row>
        <row r="879">
          <cell r="A879">
            <v>1</v>
          </cell>
          <cell r="C879">
            <v>884055900</v>
          </cell>
          <cell r="I879">
            <v>42630200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42630200</v>
          </cell>
        </row>
        <row r="880">
          <cell r="A880">
            <v>1</v>
          </cell>
          <cell r="C880">
            <v>884066200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</row>
        <row r="881">
          <cell r="A881">
            <v>1</v>
          </cell>
          <cell r="C881">
            <v>884066300</v>
          </cell>
          <cell r="I881">
            <v>9224169</v>
          </cell>
          <cell r="J881">
            <v>0</v>
          </cell>
          <cell r="K881">
            <v>0</v>
          </cell>
          <cell r="L881">
            <v>23932</v>
          </cell>
          <cell r="M881">
            <v>0</v>
          </cell>
          <cell r="N881">
            <v>5368538</v>
          </cell>
          <cell r="O881">
            <v>0</v>
          </cell>
          <cell r="P881">
            <v>3831699</v>
          </cell>
        </row>
        <row r="882">
          <cell r="A882">
            <v>1</v>
          </cell>
          <cell r="C882">
            <v>885020200</v>
          </cell>
          <cell r="I882">
            <v>10315355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10315355</v>
          </cell>
        </row>
        <row r="883">
          <cell r="A883">
            <v>1</v>
          </cell>
          <cell r="C883">
            <v>885040400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</row>
        <row r="884">
          <cell r="A884">
            <v>1</v>
          </cell>
          <cell r="C884">
            <v>885060600</v>
          </cell>
          <cell r="I884">
            <v>10484320</v>
          </cell>
          <cell r="J884">
            <v>0</v>
          </cell>
          <cell r="K884">
            <v>0</v>
          </cell>
          <cell r="L884">
            <v>15407</v>
          </cell>
          <cell r="M884">
            <v>0</v>
          </cell>
          <cell r="N884">
            <v>10444710</v>
          </cell>
          <cell r="O884">
            <v>6023</v>
          </cell>
          <cell r="P884">
            <v>18180</v>
          </cell>
        </row>
        <row r="885">
          <cell r="A885">
            <v>1</v>
          </cell>
          <cell r="C885">
            <v>885080800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</row>
        <row r="886">
          <cell r="A886">
            <v>1</v>
          </cell>
          <cell r="C886">
            <v>885101000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</row>
        <row r="887">
          <cell r="A887">
            <v>1</v>
          </cell>
          <cell r="C887">
            <v>890010100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</row>
        <row r="888">
          <cell r="A888">
            <v>2</v>
          </cell>
          <cell r="C888">
            <v>112011010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</row>
        <row r="889">
          <cell r="A889">
            <v>2</v>
          </cell>
          <cell r="C889">
            <v>112011011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</row>
        <row r="890">
          <cell r="A890">
            <v>2</v>
          </cell>
          <cell r="C890">
            <v>112011100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</row>
        <row r="891">
          <cell r="A891">
            <v>2</v>
          </cell>
          <cell r="C891">
            <v>112011200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</row>
        <row r="892">
          <cell r="A892">
            <v>2</v>
          </cell>
          <cell r="C892">
            <v>112011300</v>
          </cell>
          <cell r="I892">
            <v>84000000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84000000</v>
          </cell>
        </row>
        <row r="893">
          <cell r="A893">
            <v>2</v>
          </cell>
          <cell r="C893">
            <v>112011400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</row>
        <row r="894">
          <cell r="A894">
            <v>2</v>
          </cell>
          <cell r="C894">
            <v>112011500</v>
          </cell>
          <cell r="I894">
            <v>318900000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318900000</v>
          </cell>
        </row>
        <row r="895">
          <cell r="A895">
            <v>2</v>
          </cell>
          <cell r="C895">
            <v>112011600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</row>
        <row r="896">
          <cell r="A896">
            <v>2</v>
          </cell>
          <cell r="C896">
            <v>112021000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</row>
        <row r="897">
          <cell r="A897">
            <v>2</v>
          </cell>
          <cell r="C897">
            <v>112022000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</row>
        <row r="898">
          <cell r="A898">
            <v>2</v>
          </cell>
          <cell r="C898">
            <v>114030300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</row>
        <row r="899">
          <cell r="A899">
            <v>2</v>
          </cell>
          <cell r="C899">
            <v>116010100</v>
          </cell>
          <cell r="I899">
            <v>50066000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50066000</v>
          </cell>
        </row>
        <row r="900">
          <cell r="A900">
            <v>2</v>
          </cell>
          <cell r="C900">
            <v>116020200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</row>
        <row r="901">
          <cell r="A901">
            <v>2</v>
          </cell>
          <cell r="C901">
            <v>118040103</v>
          </cell>
          <cell r="I901">
            <v>30500000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30500000</v>
          </cell>
        </row>
        <row r="902">
          <cell r="A902">
            <v>2</v>
          </cell>
          <cell r="C902">
            <v>118040200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</row>
        <row r="903">
          <cell r="A903">
            <v>2</v>
          </cell>
          <cell r="C903">
            <v>118040300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</row>
        <row r="904">
          <cell r="A904">
            <v>2</v>
          </cell>
          <cell r="C904">
            <v>118040400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</row>
        <row r="905">
          <cell r="A905">
            <v>2</v>
          </cell>
          <cell r="C905">
            <v>120063000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</row>
        <row r="906">
          <cell r="A906">
            <v>2</v>
          </cell>
          <cell r="C906">
            <v>130083100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</row>
        <row r="907">
          <cell r="A907">
            <v>2</v>
          </cell>
          <cell r="C907">
            <v>140101000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</row>
        <row r="908">
          <cell r="A908">
            <v>2</v>
          </cell>
          <cell r="C908">
            <v>160010100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</row>
        <row r="909">
          <cell r="A909">
            <v>2</v>
          </cell>
          <cell r="C909">
            <v>180070700</v>
          </cell>
          <cell r="I909">
            <v>17022400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17022400</v>
          </cell>
        </row>
        <row r="910">
          <cell r="A910">
            <v>2</v>
          </cell>
          <cell r="C910">
            <v>180080800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</row>
        <row r="911">
          <cell r="A911">
            <v>2</v>
          </cell>
          <cell r="C911">
            <v>182010100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</row>
        <row r="912">
          <cell r="A912">
            <v>2</v>
          </cell>
          <cell r="C912">
            <v>184010200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</row>
        <row r="913">
          <cell r="A913">
            <v>2</v>
          </cell>
          <cell r="C913">
            <v>184030400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</row>
        <row r="914">
          <cell r="A914">
            <v>2</v>
          </cell>
          <cell r="C914">
            <v>184030500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</row>
        <row r="915">
          <cell r="A915">
            <v>2</v>
          </cell>
          <cell r="C915">
            <v>184030600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</row>
        <row r="916">
          <cell r="A916">
            <v>2</v>
          </cell>
          <cell r="C916">
            <v>184050900</v>
          </cell>
          <cell r="I916">
            <v>580000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580000</v>
          </cell>
        </row>
        <row r="917">
          <cell r="A917">
            <v>2</v>
          </cell>
          <cell r="C917">
            <v>184051000</v>
          </cell>
          <cell r="I917">
            <v>440000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440000</v>
          </cell>
        </row>
        <row r="918">
          <cell r="A918">
            <v>2</v>
          </cell>
          <cell r="C918">
            <v>184051100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</row>
        <row r="919">
          <cell r="A919">
            <v>2</v>
          </cell>
          <cell r="C919">
            <v>186030300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</row>
        <row r="920">
          <cell r="A920">
            <v>2</v>
          </cell>
          <cell r="C920">
            <v>188010100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</row>
        <row r="921">
          <cell r="A921">
            <v>2</v>
          </cell>
          <cell r="C921">
            <v>188020200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</row>
        <row r="922">
          <cell r="A922">
            <v>2</v>
          </cell>
          <cell r="C922">
            <v>190010100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</row>
        <row r="923">
          <cell r="A923">
            <v>2</v>
          </cell>
          <cell r="C923">
            <v>190020200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</row>
        <row r="924">
          <cell r="A924">
            <v>2</v>
          </cell>
          <cell r="C924">
            <v>190030300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</row>
        <row r="925">
          <cell r="A925">
            <v>2</v>
          </cell>
          <cell r="C925">
            <v>481020200</v>
          </cell>
          <cell r="I925">
            <v>24480257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24480257</v>
          </cell>
          <cell r="O925">
            <v>0</v>
          </cell>
          <cell r="P925">
            <v>0</v>
          </cell>
        </row>
        <row r="926">
          <cell r="A926">
            <v>2</v>
          </cell>
          <cell r="C926">
            <v>481040411</v>
          </cell>
          <cell r="I926">
            <v>357675000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357675000</v>
          </cell>
        </row>
        <row r="927">
          <cell r="A927">
            <v>2</v>
          </cell>
          <cell r="C927">
            <v>481040412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</row>
        <row r="928">
          <cell r="A928">
            <v>2</v>
          </cell>
          <cell r="C928">
            <v>481040413</v>
          </cell>
          <cell r="I928">
            <v>16000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16000</v>
          </cell>
        </row>
        <row r="929">
          <cell r="A929">
            <v>2</v>
          </cell>
          <cell r="C929">
            <v>481040415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</row>
        <row r="930">
          <cell r="A930">
            <v>2</v>
          </cell>
          <cell r="C930">
            <v>481040600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</row>
        <row r="931">
          <cell r="A931">
            <v>2</v>
          </cell>
          <cell r="C931">
            <v>481040800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</row>
        <row r="932">
          <cell r="A932">
            <v>2</v>
          </cell>
          <cell r="C932">
            <v>481040900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</row>
        <row r="933">
          <cell r="A933">
            <v>2</v>
          </cell>
          <cell r="C933">
            <v>481121400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</row>
        <row r="934">
          <cell r="A934">
            <v>2</v>
          </cell>
          <cell r="C934">
            <v>481141700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</row>
        <row r="935">
          <cell r="A935">
            <v>2</v>
          </cell>
          <cell r="C935">
            <v>481141800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</row>
        <row r="936">
          <cell r="A936">
            <v>2</v>
          </cell>
          <cell r="C936">
            <v>481141915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</row>
        <row r="937">
          <cell r="A937">
            <v>2</v>
          </cell>
          <cell r="C937">
            <v>481141916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</row>
        <row r="938">
          <cell r="A938">
            <v>2</v>
          </cell>
          <cell r="C938">
            <v>481141917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</row>
        <row r="939">
          <cell r="A939">
            <v>2</v>
          </cell>
          <cell r="C939">
            <v>481142000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</row>
        <row r="940">
          <cell r="A940">
            <v>2</v>
          </cell>
          <cell r="C940">
            <v>482022100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</row>
        <row r="941">
          <cell r="A941">
            <v>2</v>
          </cell>
          <cell r="C941">
            <v>482022200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</row>
        <row r="942">
          <cell r="A942">
            <v>2</v>
          </cell>
          <cell r="C942">
            <v>482022400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</row>
        <row r="943">
          <cell r="A943">
            <v>2</v>
          </cell>
          <cell r="C943">
            <v>482042700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</row>
        <row r="944">
          <cell r="A944">
            <v>2</v>
          </cell>
          <cell r="C944">
            <v>482042800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</row>
        <row r="945">
          <cell r="A945">
            <v>2</v>
          </cell>
          <cell r="C945">
            <v>482042900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</row>
        <row r="946">
          <cell r="A946">
            <v>2</v>
          </cell>
          <cell r="C946">
            <v>482050100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</row>
        <row r="947">
          <cell r="A947">
            <v>2</v>
          </cell>
          <cell r="C947">
            <v>482063000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</row>
        <row r="948">
          <cell r="A948">
            <v>2</v>
          </cell>
          <cell r="C948">
            <v>482083100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</row>
        <row r="949">
          <cell r="A949">
            <v>2</v>
          </cell>
          <cell r="C949">
            <v>482093200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</row>
        <row r="950">
          <cell r="A950">
            <v>2</v>
          </cell>
          <cell r="C950">
            <v>482093300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</row>
        <row r="951">
          <cell r="A951">
            <v>2</v>
          </cell>
          <cell r="C951">
            <v>482103411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</row>
        <row r="952">
          <cell r="A952">
            <v>2</v>
          </cell>
          <cell r="C952">
            <v>482103412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</row>
        <row r="953">
          <cell r="A953">
            <v>2</v>
          </cell>
          <cell r="C953">
            <v>482103413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</row>
        <row r="954">
          <cell r="A954">
            <v>2</v>
          </cell>
          <cell r="C954">
            <v>482103414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</row>
        <row r="955">
          <cell r="A955">
            <v>2</v>
          </cell>
          <cell r="C955">
            <v>482103500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</row>
        <row r="956">
          <cell r="A956">
            <v>2</v>
          </cell>
          <cell r="C956">
            <v>482113700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</row>
        <row r="957">
          <cell r="A957">
            <v>2</v>
          </cell>
          <cell r="C957">
            <v>482123600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</row>
        <row r="958">
          <cell r="A958">
            <v>2</v>
          </cell>
          <cell r="C958">
            <v>482124000</v>
          </cell>
          <cell r="I958">
            <v>42600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42600</v>
          </cell>
          <cell r="P958">
            <v>0</v>
          </cell>
        </row>
        <row r="959">
          <cell r="A959">
            <v>2</v>
          </cell>
          <cell r="C959">
            <v>482130103</v>
          </cell>
          <cell r="I959">
            <v>852423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852423</v>
          </cell>
        </row>
        <row r="960">
          <cell r="A960">
            <v>2</v>
          </cell>
          <cell r="C960">
            <v>482130104</v>
          </cell>
          <cell r="I960">
            <v>49993041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49993041</v>
          </cell>
        </row>
        <row r="961">
          <cell r="A961">
            <v>2</v>
          </cell>
          <cell r="C961">
            <v>482130105</v>
          </cell>
          <cell r="I961">
            <v>46908935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46908935</v>
          </cell>
        </row>
        <row r="962">
          <cell r="A962">
            <v>2</v>
          </cell>
          <cell r="C962">
            <v>482130107</v>
          </cell>
          <cell r="I962">
            <v>11072772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11072772</v>
          </cell>
        </row>
        <row r="963">
          <cell r="A963">
            <v>2</v>
          </cell>
          <cell r="C963">
            <v>482130108</v>
          </cell>
          <cell r="I963">
            <v>633019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633019</v>
          </cell>
        </row>
        <row r="964">
          <cell r="A964">
            <v>2</v>
          </cell>
          <cell r="C964">
            <v>482130110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</row>
        <row r="965">
          <cell r="A965">
            <v>2</v>
          </cell>
          <cell r="C965">
            <v>482130120</v>
          </cell>
          <cell r="I965">
            <v>2787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2787</v>
          </cell>
        </row>
        <row r="966">
          <cell r="A966">
            <v>2</v>
          </cell>
          <cell r="C966">
            <v>483020200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</row>
        <row r="967">
          <cell r="A967">
            <v>2</v>
          </cell>
          <cell r="C967">
            <v>483040400</v>
          </cell>
          <cell r="I967">
            <v>17509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17509</v>
          </cell>
          <cell r="O967">
            <v>0</v>
          </cell>
          <cell r="P967">
            <v>0</v>
          </cell>
        </row>
        <row r="968">
          <cell r="A968">
            <v>2</v>
          </cell>
          <cell r="C968">
            <v>483060600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</row>
        <row r="969">
          <cell r="A969">
            <v>2</v>
          </cell>
          <cell r="C969">
            <v>483060700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</row>
        <row r="970">
          <cell r="A970">
            <v>2</v>
          </cell>
          <cell r="C970">
            <v>483060800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</row>
        <row r="971">
          <cell r="A971">
            <v>2</v>
          </cell>
          <cell r="C971">
            <v>483080800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</row>
        <row r="972">
          <cell r="A972">
            <v>2</v>
          </cell>
          <cell r="C972">
            <v>615507583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</row>
        <row r="973">
          <cell r="A973">
            <v>2</v>
          </cell>
          <cell r="C973">
            <v>615507585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</row>
        <row r="974">
          <cell r="A974">
            <v>2</v>
          </cell>
          <cell r="C974">
            <v>615507586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</row>
        <row r="975">
          <cell r="A975">
            <v>2</v>
          </cell>
          <cell r="C975">
            <v>615511300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</row>
        <row r="976">
          <cell r="A976">
            <v>2</v>
          </cell>
          <cell r="C976">
            <v>615517583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</row>
        <row r="977">
          <cell r="A977">
            <v>2</v>
          </cell>
          <cell r="C977">
            <v>615527700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</row>
        <row r="978">
          <cell r="A978">
            <v>2</v>
          </cell>
          <cell r="C978">
            <v>615527800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</row>
        <row r="979">
          <cell r="A979">
            <v>2</v>
          </cell>
          <cell r="C979">
            <v>615530102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</row>
        <row r="980">
          <cell r="A980">
            <v>2</v>
          </cell>
          <cell r="C980">
            <v>615530103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</row>
        <row r="981">
          <cell r="A981">
            <v>2</v>
          </cell>
          <cell r="C981">
            <v>615530104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</row>
        <row r="982">
          <cell r="A982">
            <v>2</v>
          </cell>
          <cell r="C982">
            <v>615530105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</row>
        <row r="983">
          <cell r="A983">
            <v>2</v>
          </cell>
          <cell r="C983">
            <v>615530202</v>
          </cell>
          <cell r="I983">
            <v>3280800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3280800</v>
          </cell>
        </row>
        <row r="984">
          <cell r="A984">
            <v>2</v>
          </cell>
          <cell r="C984">
            <v>615530301</v>
          </cell>
          <cell r="I984">
            <v>352080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352080</v>
          </cell>
        </row>
        <row r="985">
          <cell r="A985">
            <v>2</v>
          </cell>
          <cell r="C985">
            <v>615530302</v>
          </cell>
          <cell r="I985">
            <v>240000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240000</v>
          </cell>
        </row>
        <row r="986">
          <cell r="A986">
            <v>2</v>
          </cell>
          <cell r="C986">
            <v>615530303</v>
          </cell>
          <cell r="I986">
            <v>1452330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1452330</v>
          </cell>
        </row>
        <row r="987">
          <cell r="A987">
            <v>2</v>
          </cell>
          <cell r="C987">
            <v>615530304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</row>
        <row r="988">
          <cell r="A988">
            <v>2</v>
          </cell>
          <cell r="C988">
            <v>615530305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</row>
        <row r="989">
          <cell r="A989">
            <v>2</v>
          </cell>
          <cell r="C989">
            <v>615530306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</row>
        <row r="990">
          <cell r="A990">
            <v>2</v>
          </cell>
          <cell r="C990">
            <v>615530307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</row>
        <row r="991">
          <cell r="A991">
            <v>2</v>
          </cell>
          <cell r="C991">
            <v>615530310</v>
          </cell>
          <cell r="I991">
            <v>759099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759099</v>
          </cell>
        </row>
        <row r="992">
          <cell r="A992">
            <v>2</v>
          </cell>
          <cell r="C992">
            <v>615530311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</row>
        <row r="993">
          <cell r="A993">
            <v>2</v>
          </cell>
          <cell r="C993">
            <v>615530314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</row>
        <row r="994">
          <cell r="A994">
            <v>2</v>
          </cell>
          <cell r="C994">
            <v>615530315</v>
          </cell>
          <cell r="I994">
            <v>300000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300000</v>
          </cell>
        </row>
        <row r="995">
          <cell r="A995">
            <v>2</v>
          </cell>
          <cell r="C995">
            <v>615530316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</row>
        <row r="996">
          <cell r="A996">
            <v>2</v>
          </cell>
          <cell r="C996">
            <v>615530319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</row>
        <row r="997">
          <cell r="A997">
            <v>2</v>
          </cell>
          <cell r="C997">
            <v>615530401</v>
          </cell>
          <cell r="I997">
            <v>878362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878362</v>
          </cell>
          <cell r="P997">
            <v>0</v>
          </cell>
        </row>
        <row r="998">
          <cell r="A998">
            <v>2</v>
          </cell>
          <cell r="C998">
            <v>615530402</v>
          </cell>
          <cell r="I998">
            <v>4920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4920</v>
          </cell>
        </row>
        <row r="999">
          <cell r="A999">
            <v>2</v>
          </cell>
          <cell r="C999">
            <v>615530403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</row>
        <row r="1000">
          <cell r="A1000">
            <v>2</v>
          </cell>
          <cell r="C1000">
            <v>615530405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</row>
        <row r="1001">
          <cell r="A1001">
            <v>2</v>
          </cell>
          <cell r="C1001">
            <v>615530406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</row>
        <row r="1002">
          <cell r="A1002">
            <v>2</v>
          </cell>
          <cell r="C1002">
            <v>615530407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</row>
        <row r="1003">
          <cell r="A1003">
            <v>2</v>
          </cell>
          <cell r="C1003">
            <v>615530408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</row>
        <row r="1004">
          <cell r="A1004">
            <v>2</v>
          </cell>
          <cell r="C1004">
            <v>615530410</v>
          </cell>
          <cell r="I1004">
            <v>279305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279305</v>
          </cell>
          <cell r="P1004">
            <v>0</v>
          </cell>
        </row>
        <row r="1005">
          <cell r="A1005">
            <v>2</v>
          </cell>
          <cell r="C1005">
            <v>615530411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</row>
        <row r="1006">
          <cell r="A1006">
            <v>2</v>
          </cell>
          <cell r="C1006">
            <v>615530500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</row>
        <row r="1007">
          <cell r="A1007">
            <v>2</v>
          </cell>
          <cell r="C1007">
            <v>615530700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</row>
        <row r="1008">
          <cell r="A1008">
            <v>2</v>
          </cell>
          <cell r="C1008">
            <v>615530800</v>
          </cell>
          <cell r="I1008">
            <v>918000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918000</v>
          </cell>
        </row>
        <row r="1009">
          <cell r="A1009">
            <v>2</v>
          </cell>
          <cell r="C1009">
            <v>615531001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</row>
        <row r="1010">
          <cell r="A1010">
            <v>2</v>
          </cell>
          <cell r="C1010">
            <v>615531002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</row>
        <row r="1011">
          <cell r="A1011">
            <v>2</v>
          </cell>
          <cell r="C1011">
            <v>615531003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</row>
        <row r="1012">
          <cell r="A1012">
            <v>2</v>
          </cell>
          <cell r="C1012">
            <v>615531300</v>
          </cell>
          <cell r="I1012">
            <v>766743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766743</v>
          </cell>
          <cell r="O1012">
            <v>0</v>
          </cell>
          <cell r="P1012">
            <v>0</v>
          </cell>
        </row>
        <row r="1013">
          <cell r="A1013">
            <v>2</v>
          </cell>
          <cell r="C1013">
            <v>615531400</v>
          </cell>
          <cell r="I1013">
            <v>71900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71900</v>
          </cell>
          <cell r="O1013">
            <v>0</v>
          </cell>
          <cell r="P1013">
            <v>0</v>
          </cell>
        </row>
        <row r="1014">
          <cell r="A1014">
            <v>2</v>
          </cell>
          <cell r="C1014">
            <v>615531500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</row>
        <row r="1015">
          <cell r="A1015">
            <v>2</v>
          </cell>
          <cell r="C1015">
            <v>615531700</v>
          </cell>
          <cell r="I1015">
            <v>35232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35232</v>
          </cell>
          <cell r="O1015">
            <v>0</v>
          </cell>
          <cell r="P1015">
            <v>0</v>
          </cell>
        </row>
        <row r="1016">
          <cell r="A1016">
            <v>2</v>
          </cell>
          <cell r="C1016">
            <v>615531900</v>
          </cell>
          <cell r="I1016">
            <v>2241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441</v>
          </cell>
          <cell r="O1016">
            <v>1800</v>
          </cell>
          <cell r="P1016">
            <v>0</v>
          </cell>
        </row>
        <row r="1017">
          <cell r="A1017">
            <v>2</v>
          </cell>
          <cell r="C1017">
            <v>615532000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</row>
        <row r="1018">
          <cell r="A1018">
            <v>2</v>
          </cell>
          <cell r="C1018">
            <v>615532100</v>
          </cell>
          <cell r="I1018">
            <v>9051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9051</v>
          </cell>
          <cell r="O1018">
            <v>0</v>
          </cell>
          <cell r="P1018">
            <v>0</v>
          </cell>
        </row>
        <row r="1019">
          <cell r="A1019">
            <v>2</v>
          </cell>
          <cell r="C1019">
            <v>615532300</v>
          </cell>
          <cell r="I1019">
            <v>166925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166925</v>
          </cell>
          <cell r="O1019">
            <v>0</v>
          </cell>
          <cell r="P1019">
            <v>0</v>
          </cell>
        </row>
        <row r="1020">
          <cell r="A1020">
            <v>2</v>
          </cell>
          <cell r="C1020">
            <v>615532400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</row>
        <row r="1021">
          <cell r="A1021">
            <v>2</v>
          </cell>
          <cell r="C1021">
            <v>615533100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</row>
        <row r="1022">
          <cell r="A1022">
            <v>2</v>
          </cell>
          <cell r="C1022">
            <v>615533700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</row>
        <row r="1023">
          <cell r="A1023">
            <v>2</v>
          </cell>
          <cell r="C1023">
            <v>615533900</v>
          </cell>
          <cell r="I1023">
            <v>28080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28080</v>
          </cell>
          <cell r="P1023">
            <v>0</v>
          </cell>
        </row>
        <row r="1024">
          <cell r="A1024">
            <v>2</v>
          </cell>
          <cell r="C1024">
            <v>615534000</v>
          </cell>
          <cell r="I1024">
            <v>8200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8200</v>
          </cell>
        </row>
        <row r="1025">
          <cell r="A1025">
            <v>2</v>
          </cell>
          <cell r="C1025">
            <v>615534100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</row>
        <row r="1026">
          <cell r="A1026">
            <v>2</v>
          </cell>
          <cell r="C1026">
            <v>615536500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</row>
        <row r="1027">
          <cell r="A1027">
            <v>2</v>
          </cell>
          <cell r="C1027">
            <v>615536900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</row>
        <row r="1028">
          <cell r="A1028">
            <v>2</v>
          </cell>
          <cell r="C1028">
            <v>615537000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</row>
        <row r="1029">
          <cell r="A1029">
            <v>2</v>
          </cell>
          <cell r="C1029">
            <v>615537100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</row>
        <row r="1030">
          <cell r="A1030">
            <v>2</v>
          </cell>
          <cell r="C1030">
            <v>615537200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</row>
        <row r="1031">
          <cell r="A1031">
            <v>2</v>
          </cell>
          <cell r="C1031">
            <v>615537300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</row>
        <row r="1032">
          <cell r="A1032">
            <v>2</v>
          </cell>
          <cell r="C1032">
            <v>615537400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</row>
        <row r="1033">
          <cell r="A1033">
            <v>2</v>
          </cell>
          <cell r="C1033">
            <v>615537583</v>
          </cell>
          <cell r="I1033">
            <v>419535338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419535338</v>
          </cell>
          <cell r="O1033">
            <v>0</v>
          </cell>
          <cell r="P1033">
            <v>0</v>
          </cell>
        </row>
        <row r="1034">
          <cell r="A1034">
            <v>2</v>
          </cell>
          <cell r="C1034">
            <v>615537584</v>
          </cell>
          <cell r="I1034">
            <v>4022728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4022728</v>
          </cell>
        </row>
        <row r="1035">
          <cell r="A1035">
            <v>2</v>
          </cell>
          <cell r="C1035">
            <v>615537585</v>
          </cell>
          <cell r="I1035">
            <v>12423600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12423600</v>
          </cell>
          <cell r="O1035">
            <v>0</v>
          </cell>
          <cell r="P1035">
            <v>0</v>
          </cell>
        </row>
        <row r="1036">
          <cell r="A1036">
            <v>2</v>
          </cell>
          <cell r="C1036">
            <v>615537586</v>
          </cell>
          <cell r="I1036">
            <v>7632900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7632900</v>
          </cell>
          <cell r="O1036">
            <v>0</v>
          </cell>
          <cell r="P1036">
            <v>0</v>
          </cell>
        </row>
        <row r="1037">
          <cell r="A1037">
            <v>2</v>
          </cell>
          <cell r="C1037">
            <v>615537587</v>
          </cell>
          <cell r="I1037">
            <v>45870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45870</v>
          </cell>
          <cell r="O1037">
            <v>0</v>
          </cell>
          <cell r="P1037">
            <v>0</v>
          </cell>
        </row>
        <row r="1038">
          <cell r="A1038">
            <v>2</v>
          </cell>
          <cell r="C1038">
            <v>615537588</v>
          </cell>
          <cell r="I1038">
            <v>525070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525070</v>
          </cell>
          <cell r="P1038">
            <v>0</v>
          </cell>
        </row>
        <row r="1039">
          <cell r="A1039">
            <v>2</v>
          </cell>
          <cell r="C1039">
            <v>616010100</v>
          </cell>
          <cell r="I1039">
            <v>274954288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274954288</v>
          </cell>
        </row>
        <row r="1040">
          <cell r="A1040">
            <v>2</v>
          </cell>
          <cell r="C1040">
            <v>616010200</v>
          </cell>
          <cell r="I1040">
            <v>100000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100000</v>
          </cell>
        </row>
        <row r="1041">
          <cell r="A1041">
            <v>2</v>
          </cell>
          <cell r="C1041">
            <v>616030300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</row>
        <row r="1042">
          <cell r="A1042">
            <v>2</v>
          </cell>
          <cell r="C1042">
            <v>617020800</v>
          </cell>
          <cell r="I1042">
            <v>1040000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1040000</v>
          </cell>
        </row>
        <row r="1043">
          <cell r="A1043">
            <v>2</v>
          </cell>
          <cell r="C1043">
            <v>617021000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</row>
        <row r="1044">
          <cell r="A1044">
            <v>2</v>
          </cell>
          <cell r="C1044">
            <v>617021200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</row>
        <row r="1045">
          <cell r="A1045">
            <v>2</v>
          </cell>
          <cell r="C1045">
            <v>617030300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</row>
        <row r="1046">
          <cell r="A1046">
            <v>2</v>
          </cell>
          <cell r="C1046">
            <v>617040100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</row>
        <row r="1047">
          <cell r="A1047">
            <v>2</v>
          </cell>
          <cell r="C1047">
            <v>617040200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</row>
        <row r="1048">
          <cell r="A1048">
            <v>2</v>
          </cell>
          <cell r="C1048">
            <v>617040300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</row>
        <row r="1049">
          <cell r="A1049">
            <v>2</v>
          </cell>
          <cell r="C1049">
            <v>618121200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</row>
        <row r="1050">
          <cell r="A1050">
            <v>2</v>
          </cell>
          <cell r="C1050">
            <v>618141400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</row>
        <row r="1051">
          <cell r="A1051">
            <v>2</v>
          </cell>
          <cell r="C1051">
            <v>618202000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</row>
        <row r="1052">
          <cell r="A1052">
            <v>2</v>
          </cell>
          <cell r="C1052">
            <v>619010100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</row>
        <row r="1053">
          <cell r="A1053">
            <v>2</v>
          </cell>
          <cell r="C1053">
            <v>620010100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</row>
        <row r="1054">
          <cell r="A1054">
            <v>2</v>
          </cell>
          <cell r="C1054">
            <v>621010100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</row>
        <row r="1055">
          <cell r="A1055">
            <v>2</v>
          </cell>
          <cell r="C1055">
            <v>690010100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</row>
        <row r="1056">
          <cell r="A1056">
            <v>2</v>
          </cell>
          <cell r="C1056">
            <v>883082300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</row>
        <row r="1057">
          <cell r="A1057">
            <v>2</v>
          </cell>
          <cell r="C1057">
            <v>883164301</v>
          </cell>
          <cell r="I1057">
            <v>6341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6341</v>
          </cell>
        </row>
        <row r="1058">
          <cell r="A1058">
            <v>2</v>
          </cell>
          <cell r="C1058">
            <v>883164303</v>
          </cell>
          <cell r="I1058">
            <v>533590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533590</v>
          </cell>
        </row>
        <row r="1059">
          <cell r="A1059">
            <v>2</v>
          </cell>
          <cell r="C1059">
            <v>883164304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</row>
        <row r="1060">
          <cell r="A1060">
            <v>2</v>
          </cell>
          <cell r="C1060">
            <v>883164305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</row>
        <row r="1061">
          <cell r="A1061">
            <v>2</v>
          </cell>
          <cell r="C1061">
            <v>883170102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</row>
        <row r="1062">
          <cell r="A1062">
            <v>2</v>
          </cell>
          <cell r="C1062">
            <v>883170103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</row>
        <row r="1063">
          <cell r="A1063">
            <v>2</v>
          </cell>
          <cell r="C1063">
            <v>883170104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</row>
        <row r="1064">
          <cell r="A1064">
            <v>2</v>
          </cell>
          <cell r="C1064">
            <v>883170105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</row>
        <row r="1065">
          <cell r="A1065">
            <v>2</v>
          </cell>
          <cell r="C1065">
            <v>883170202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</row>
        <row r="1066">
          <cell r="A1066">
            <v>2</v>
          </cell>
          <cell r="C1066">
            <v>883170301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</row>
        <row r="1067">
          <cell r="A1067">
            <v>2</v>
          </cell>
          <cell r="C1067">
            <v>883170302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</row>
        <row r="1068">
          <cell r="A1068">
            <v>2</v>
          </cell>
          <cell r="C1068">
            <v>883170303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</row>
        <row r="1069">
          <cell r="A1069">
            <v>2</v>
          </cell>
          <cell r="C1069">
            <v>883170304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</row>
        <row r="1070">
          <cell r="A1070">
            <v>2</v>
          </cell>
          <cell r="C1070">
            <v>883170305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</row>
        <row r="1071">
          <cell r="A1071">
            <v>2</v>
          </cell>
          <cell r="C1071">
            <v>883170306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</row>
        <row r="1072">
          <cell r="A1072">
            <v>2</v>
          </cell>
          <cell r="C1072">
            <v>883170307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</row>
        <row r="1073">
          <cell r="A1073">
            <v>2</v>
          </cell>
          <cell r="C1073">
            <v>883170310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</row>
        <row r="1074">
          <cell r="A1074">
            <v>2</v>
          </cell>
          <cell r="C1074">
            <v>883170311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</row>
        <row r="1075">
          <cell r="A1075">
            <v>2</v>
          </cell>
          <cell r="C1075">
            <v>883170314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</row>
        <row r="1076">
          <cell r="A1076">
            <v>2</v>
          </cell>
          <cell r="C1076">
            <v>883170315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</row>
        <row r="1077">
          <cell r="A1077">
            <v>2</v>
          </cell>
          <cell r="C1077">
            <v>883170316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</row>
        <row r="1078">
          <cell r="A1078">
            <v>2</v>
          </cell>
          <cell r="C1078">
            <v>883170401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</row>
        <row r="1079">
          <cell r="A1079">
            <v>2</v>
          </cell>
          <cell r="C1079">
            <v>883170402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</row>
        <row r="1080">
          <cell r="A1080">
            <v>2</v>
          </cell>
          <cell r="C1080">
            <v>883170403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</row>
        <row r="1081">
          <cell r="A1081">
            <v>2</v>
          </cell>
          <cell r="C1081">
            <v>883170405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</row>
        <row r="1082">
          <cell r="A1082">
            <v>2</v>
          </cell>
          <cell r="C1082">
            <v>883170406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</row>
        <row r="1083">
          <cell r="A1083">
            <v>2</v>
          </cell>
          <cell r="C1083">
            <v>883170407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</row>
        <row r="1084">
          <cell r="A1084">
            <v>2</v>
          </cell>
          <cell r="C1084">
            <v>883170408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</row>
        <row r="1085">
          <cell r="A1085">
            <v>2</v>
          </cell>
          <cell r="C1085">
            <v>883170410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</row>
        <row r="1086">
          <cell r="A1086">
            <v>2</v>
          </cell>
          <cell r="C1086">
            <v>883170411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</row>
        <row r="1087">
          <cell r="A1087">
            <v>2</v>
          </cell>
          <cell r="C1087">
            <v>883170500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</row>
        <row r="1088">
          <cell r="A1088">
            <v>2</v>
          </cell>
          <cell r="C1088">
            <v>883170700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</row>
        <row r="1089">
          <cell r="A1089">
            <v>2</v>
          </cell>
          <cell r="C1089">
            <v>883170800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</row>
        <row r="1090">
          <cell r="A1090">
            <v>2</v>
          </cell>
          <cell r="C1090">
            <v>883171001</v>
          </cell>
          <cell r="I1090">
            <v>3331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3331</v>
          </cell>
          <cell r="O1090">
            <v>0</v>
          </cell>
          <cell r="P1090">
            <v>0</v>
          </cell>
        </row>
        <row r="1091">
          <cell r="A1091">
            <v>2</v>
          </cell>
          <cell r="C1091">
            <v>883171002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</row>
        <row r="1092">
          <cell r="A1092">
            <v>2</v>
          </cell>
          <cell r="C1092">
            <v>883171003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</row>
        <row r="1093">
          <cell r="A1093">
            <v>2</v>
          </cell>
          <cell r="C1093">
            <v>883171300</v>
          </cell>
          <cell r="I1093">
            <v>48450</v>
          </cell>
          <cell r="J1093">
            <v>0</v>
          </cell>
          <cell r="K1093">
            <v>0</v>
          </cell>
          <cell r="L1093">
            <v>0</v>
          </cell>
          <cell r="M1093">
            <v>2121</v>
          </cell>
          <cell r="N1093">
            <v>46329</v>
          </cell>
          <cell r="O1093">
            <v>0</v>
          </cell>
          <cell r="P1093">
            <v>0</v>
          </cell>
        </row>
        <row r="1094">
          <cell r="A1094">
            <v>2</v>
          </cell>
          <cell r="C1094">
            <v>883171400</v>
          </cell>
          <cell r="I1094">
            <v>704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704</v>
          </cell>
          <cell r="O1094">
            <v>0</v>
          </cell>
          <cell r="P1094">
            <v>0</v>
          </cell>
        </row>
        <row r="1095">
          <cell r="A1095">
            <v>2</v>
          </cell>
          <cell r="C1095">
            <v>883171500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</row>
        <row r="1096">
          <cell r="A1096">
            <v>2</v>
          </cell>
          <cell r="C1096">
            <v>883171700</v>
          </cell>
          <cell r="I1096">
            <v>26746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26746</v>
          </cell>
          <cell r="O1096">
            <v>0</v>
          </cell>
          <cell r="P1096">
            <v>0</v>
          </cell>
        </row>
        <row r="1097">
          <cell r="A1097">
            <v>2</v>
          </cell>
          <cell r="C1097">
            <v>883171900</v>
          </cell>
          <cell r="I1097">
            <v>1304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1246</v>
          </cell>
          <cell r="O1097">
            <v>58</v>
          </cell>
          <cell r="P1097">
            <v>0</v>
          </cell>
        </row>
        <row r="1098">
          <cell r="A1098">
            <v>2</v>
          </cell>
          <cell r="C1098">
            <v>883172000</v>
          </cell>
          <cell r="I1098">
            <v>29450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2449</v>
          </cell>
          <cell r="O1098">
            <v>27001</v>
          </cell>
          <cell r="P1098">
            <v>0</v>
          </cell>
        </row>
        <row r="1099">
          <cell r="A1099">
            <v>2</v>
          </cell>
          <cell r="C1099">
            <v>883172100</v>
          </cell>
          <cell r="I1099">
            <v>84624500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84624500</v>
          </cell>
          <cell r="O1099">
            <v>0</v>
          </cell>
          <cell r="P1099">
            <v>0</v>
          </cell>
        </row>
        <row r="1100">
          <cell r="A1100">
            <v>2</v>
          </cell>
          <cell r="C1100">
            <v>883172300</v>
          </cell>
          <cell r="I1100">
            <v>6873329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6873329</v>
          </cell>
          <cell r="O1100">
            <v>0</v>
          </cell>
          <cell r="P1100">
            <v>0</v>
          </cell>
        </row>
        <row r="1101">
          <cell r="A1101">
            <v>2</v>
          </cell>
          <cell r="C1101">
            <v>883172400</v>
          </cell>
          <cell r="I1101">
            <v>4513894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4513894</v>
          </cell>
          <cell r="O1101">
            <v>0</v>
          </cell>
          <cell r="P1101">
            <v>0</v>
          </cell>
        </row>
        <row r="1102">
          <cell r="A1102">
            <v>2</v>
          </cell>
          <cell r="C1102">
            <v>883172500</v>
          </cell>
          <cell r="I1102">
            <v>9753471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9753471</v>
          </cell>
          <cell r="O1102">
            <v>0</v>
          </cell>
          <cell r="P1102">
            <v>0</v>
          </cell>
        </row>
        <row r="1103">
          <cell r="A1103">
            <v>2</v>
          </cell>
          <cell r="C1103">
            <v>883172866</v>
          </cell>
          <cell r="I1103">
            <v>39778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39778</v>
          </cell>
          <cell r="O1103">
            <v>0</v>
          </cell>
          <cell r="P1103">
            <v>0</v>
          </cell>
        </row>
        <row r="1104">
          <cell r="A1104">
            <v>2</v>
          </cell>
          <cell r="C1104">
            <v>883172867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</row>
        <row r="1105">
          <cell r="A1105">
            <v>2</v>
          </cell>
          <cell r="C1105">
            <v>883172900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</row>
        <row r="1106">
          <cell r="A1106">
            <v>2</v>
          </cell>
          <cell r="C1106">
            <v>883173000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</row>
        <row r="1107">
          <cell r="A1107">
            <v>2</v>
          </cell>
          <cell r="C1107">
            <v>883173100</v>
          </cell>
          <cell r="I1107">
            <v>998517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966295</v>
          </cell>
          <cell r="O1107">
            <v>0</v>
          </cell>
          <cell r="P1107">
            <v>32222</v>
          </cell>
        </row>
        <row r="1108">
          <cell r="A1108">
            <v>2</v>
          </cell>
          <cell r="C1108">
            <v>883173300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</row>
        <row r="1109">
          <cell r="A1109">
            <v>2</v>
          </cell>
          <cell r="C1109">
            <v>883173600</v>
          </cell>
          <cell r="I1109">
            <v>26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26</v>
          </cell>
          <cell r="O1109">
            <v>0</v>
          </cell>
          <cell r="P1109">
            <v>0</v>
          </cell>
        </row>
        <row r="1110">
          <cell r="A1110">
            <v>2</v>
          </cell>
          <cell r="C1110">
            <v>883173700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</row>
        <row r="1111">
          <cell r="A1111">
            <v>2</v>
          </cell>
          <cell r="C1111">
            <v>883173900</v>
          </cell>
          <cell r="I1111">
            <v>77348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77348</v>
          </cell>
          <cell r="P1111">
            <v>0</v>
          </cell>
        </row>
        <row r="1112">
          <cell r="A1112">
            <v>2</v>
          </cell>
          <cell r="C1112">
            <v>883174000</v>
          </cell>
          <cell r="I1112">
            <v>58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58</v>
          </cell>
        </row>
        <row r="1113">
          <cell r="A1113">
            <v>2</v>
          </cell>
          <cell r="C1113">
            <v>883174100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</row>
        <row r="1114">
          <cell r="A1114">
            <v>2</v>
          </cell>
          <cell r="C1114">
            <v>883174201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</row>
        <row r="1115">
          <cell r="A1115">
            <v>2</v>
          </cell>
          <cell r="C1115">
            <v>883174202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</row>
        <row r="1116">
          <cell r="A1116">
            <v>2</v>
          </cell>
          <cell r="C1116">
            <v>883204370</v>
          </cell>
          <cell r="I1116">
            <v>10270824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10270824</v>
          </cell>
        </row>
        <row r="1117">
          <cell r="A1117">
            <v>2</v>
          </cell>
          <cell r="C1117">
            <v>883204371</v>
          </cell>
          <cell r="I1117">
            <v>212330673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212330673</v>
          </cell>
        </row>
        <row r="1118">
          <cell r="A1118">
            <v>2</v>
          </cell>
          <cell r="C1118">
            <v>883204372</v>
          </cell>
          <cell r="I1118">
            <v>74683472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74683472</v>
          </cell>
        </row>
        <row r="1119">
          <cell r="A1119">
            <v>2</v>
          </cell>
          <cell r="C1119">
            <v>883204373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</row>
        <row r="1120">
          <cell r="A1120">
            <v>2</v>
          </cell>
          <cell r="C1120">
            <v>883204374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</row>
        <row r="1121">
          <cell r="A1121">
            <v>2</v>
          </cell>
          <cell r="C1121">
            <v>883204475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</row>
        <row r="1122">
          <cell r="A1122">
            <v>2</v>
          </cell>
          <cell r="C1122">
            <v>883204476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</row>
        <row r="1123">
          <cell r="A1123">
            <v>2</v>
          </cell>
          <cell r="C1123">
            <v>883204477</v>
          </cell>
          <cell r="I1123">
            <v>7049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7049</v>
          </cell>
        </row>
        <row r="1124">
          <cell r="A1124">
            <v>2</v>
          </cell>
          <cell r="C1124">
            <v>883224600</v>
          </cell>
          <cell r="I1124">
            <v>1767155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1767155</v>
          </cell>
        </row>
        <row r="1125">
          <cell r="A1125">
            <v>2</v>
          </cell>
          <cell r="C1125">
            <v>883224700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</row>
        <row r="1126">
          <cell r="A1126">
            <v>2</v>
          </cell>
          <cell r="C1126">
            <v>884025180</v>
          </cell>
          <cell r="I1126">
            <v>84315300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84315300</v>
          </cell>
          <cell r="P1126">
            <v>0</v>
          </cell>
        </row>
        <row r="1127">
          <cell r="A1127">
            <v>2</v>
          </cell>
          <cell r="C1127">
            <v>884025181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</row>
        <row r="1128">
          <cell r="A1128">
            <v>2</v>
          </cell>
          <cell r="C1128">
            <v>884025200</v>
          </cell>
          <cell r="I1128">
            <v>244627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244627</v>
          </cell>
          <cell r="O1128">
            <v>0</v>
          </cell>
          <cell r="P1128">
            <v>0</v>
          </cell>
        </row>
        <row r="1129">
          <cell r="A1129">
            <v>2</v>
          </cell>
          <cell r="C1129">
            <v>884025300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</row>
        <row r="1130">
          <cell r="A1130">
            <v>2</v>
          </cell>
          <cell r="C1130">
            <v>884025400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</row>
        <row r="1131">
          <cell r="A1131">
            <v>2</v>
          </cell>
          <cell r="C1131">
            <v>884025500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</row>
        <row r="1132">
          <cell r="A1132">
            <v>2</v>
          </cell>
          <cell r="C1132">
            <v>884045600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</row>
        <row r="1133">
          <cell r="A1133">
            <v>2</v>
          </cell>
          <cell r="C1133">
            <v>884045700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</row>
        <row r="1134">
          <cell r="A1134">
            <v>2</v>
          </cell>
          <cell r="C1134">
            <v>884045800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</row>
        <row r="1135">
          <cell r="A1135">
            <v>2</v>
          </cell>
          <cell r="C1135">
            <v>884055900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</row>
        <row r="1136">
          <cell r="A1136">
            <v>2</v>
          </cell>
          <cell r="C1136">
            <v>884066200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</row>
        <row r="1137">
          <cell r="A1137">
            <v>2</v>
          </cell>
          <cell r="C1137">
            <v>884066300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</row>
        <row r="1138">
          <cell r="A1138">
            <v>2</v>
          </cell>
          <cell r="C1138">
            <v>885020200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</row>
        <row r="1139">
          <cell r="A1139">
            <v>2</v>
          </cell>
          <cell r="C1139">
            <v>885040400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</row>
        <row r="1140">
          <cell r="A1140">
            <v>2</v>
          </cell>
          <cell r="C1140">
            <v>885060600</v>
          </cell>
          <cell r="I1140">
            <v>160124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160124</v>
          </cell>
          <cell r="O1140">
            <v>0</v>
          </cell>
          <cell r="P1140">
            <v>0</v>
          </cell>
        </row>
        <row r="1141">
          <cell r="A1141">
            <v>2</v>
          </cell>
          <cell r="C1141">
            <v>885080800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</row>
        <row r="1142">
          <cell r="A1142">
            <v>2</v>
          </cell>
          <cell r="C1142">
            <v>885101000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</row>
        <row r="1143">
          <cell r="A1143">
            <v>2</v>
          </cell>
          <cell r="C1143">
            <v>890010100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</row>
        <row r="1144">
          <cell r="A1144">
            <v>3</v>
          </cell>
          <cell r="C1144">
            <v>112011010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</row>
        <row r="1145">
          <cell r="A1145">
            <v>3</v>
          </cell>
          <cell r="C1145">
            <v>112011011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</row>
        <row r="1146">
          <cell r="A1146">
            <v>3</v>
          </cell>
          <cell r="C1146">
            <v>112011100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</row>
        <row r="1147">
          <cell r="A1147">
            <v>3</v>
          </cell>
          <cell r="C1147">
            <v>112011200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</row>
        <row r="1148">
          <cell r="A1148">
            <v>3</v>
          </cell>
          <cell r="C1148">
            <v>112011300</v>
          </cell>
          <cell r="I1148">
            <v>213400000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213400000</v>
          </cell>
        </row>
        <row r="1149">
          <cell r="A1149">
            <v>3</v>
          </cell>
          <cell r="C1149">
            <v>112011400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</row>
        <row r="1150">
          <cell r="A1150">
            <v>3</v>
          </cell>
          <cell r="C1150">
            <v>112011500</v>
          </cell>
          <cell r="I1150">
            <v>109400000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109400000</v>
          </cell>
        </row>
        <row r="1151">
          <cell r="A1151">
            <v>3</v>
          </cell>
          <cell r="C1151">
            <v>112011600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</row>
        <row r="1152">
          <cell r="A1152">
            <v>3</v>
          </cell>
          <cell r="C1152">
            <v>112021000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</row>
        <row r="1153">
          <cell r="A1153">
            <v>3</v>
          </cell>
          <cell r="C1153">
            <v>112022000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</row>
        <row r="1154">
          <cell r="A1154">
            <v>3</v>
          </cell>
          <cell r="C1154">
            <v>112023000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</row>
        <row r="1155">
          <cell r="A1155">
            <v>3</v>
          </cell>
          <cell r="C1155">
            <v>114030300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</row>
        <row r="1156">
          <cell r="A1156">
            <v>3</v>
          </cell>
          <cell r="C1156">
            <v>116010100</v>
          </cell>
          <cell r="I1156">
            <v>17796000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17796000</v>
          </cell>
        </row>
        <row r="1157">
          <cell r="A1157">
            <v>3</v>
          </cell>
          <cell r="C1157">
            <v>116020200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</row>
        <row r="1158">
          <cell r="A1158">
            <v>3</v>
          </cell>
          <cell r="C1158">
            <v>118040100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</row>
        <row r="1159">
          <cell r="A1159">
            <v>3</v>
          </cell>
          <cell r="C1159">
            <v>118040200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</row>
        <row r="1160">
          <cell r="A1160">
            <v>3</v>
          </cell>
          <cell r="C1160">
            <v>118040300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</row>
        <row r="1161">
          <cell r="A1161">
            <v>3</v>
          </cell>
          <cell r="C1161">
            <v>118040400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</row>
        <row r="1162">
          <cell r="A1162">
            <v>3</v>
          </cell>
          <cell r="C1162">
            <v>119040100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</row>
        <row r="1163">
          <cell r="A1163">
            <v>3</v>
          </cell>
          <cell r="C1163">
            <v>120063000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</row>
        <row r="1164">
          <cell r="A1164">
            <v>3</v>
          </cell>
          <cell r="C1164">
            <v>130083100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</row>
        <row r="1165">
          <cell r="A1165">
            <v>3</v>
          </cell>
          <cell r="C1165">
            <v>140101000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</row>
        <row r="1166">
          <cell r="A1166">
            <v>3</v>
          </cell>
          <cell r="C1166">
            <v>160010100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</row>
        <row r="1167">
          <cell r="A1167">
            <v>3</v>
          </cell>
          <cell r="C1167">
            <v>180070700</v>
          </cell>
          <cell r="I1167">
            <v>14115880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14115880</v>
          </cell>
        </row>
        <row r="1168">
          <cell r="A1168">
            <v>3</v>
          </cell>
          <cell r="C1168">
            <v>180080800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</row>
        <row r="1169">
          <cell r="A1169">
            <v>3</v>
          </cell>
          <cell r="C1169">
            <v>182010100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</row>
        <row r="1170">
          <cell r="A1170">
            <v>3</v>
          </cell>
          <cell r="C1170">
            <v>184010200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</row>
        <row r="1171">
          <cell r="A1171">
            <v>3</v>
          </cell>
          <cell r="C1171">
            <v>184030400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</row>
        <row r="1172">
          <cell r="A1172">
            <v>3</v>
          </cell>
          <cell r="C1172">
            <v>184030500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</row>
        <row r="1173">
          <cell r="A1173">
            <v>3</v>
          </cell>
          <cell r="C1173">
            <v>184030600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</row>
        <row r="1174">
          <cell r="A1174">
            <v>3</v>
          </cell>
          <cell r="C1174">
            <v>184051200</v>
          </cell>
          <cell r="I1174">
            <v>738000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738000</v>
          </cell>
        </row>
        <row r="1175">
          <cell r="A1175">
            <v>3</v>
          </cell>
          <cell r="C1175">
            <v>184051300</v>
          </cell>
          <cell r="I1175">
            <v>350000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350000</v>
          </cell>
        </row>
        <row r="1176">
          <cell r="A1176">
            <v>3</v>
          </cell>
          <cell r="C1176">
            <v>184051400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</row>
        <row r="1177">
          <cell r="A1177">
            <v>3</v>
          </cell>
          <cell r="C1177">
            <v>186030300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</row>
        <row r="1178">
          <cell r="A1178">
            <v>3</v>
          </cell>
          <cell r="C1178">
            <v>188010100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</row>
        <row r="1179">
          <cell r="A1179">
            <v>3</v>
          </cell>
          <cell r="C1179">
            <v>188020200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</row>
        <row r="1180">
          <cell r="A1180">
            <v>3</v>
          </cell>
          <cell r="C1180">
            <v>190010100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</row>
        <row r="1181">
          <cell r="A1181">
            <v>3</v>
          </cell>
          <cell r="C1181">
            <v>190020200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</row>
        <row r="1182">
          <cell r="A1182">
            <v>3</v>
          </cell>
          <cell r="C1182">
            <v>190030300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</row>
        <row r="1183">
          <cell r="A1183">
            <v>3</v>
          </cell>
          <cell r="C1183">
            <v>481020200</v>
          </cell>
          <cell r="I1183">
            <v>110725924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110725924</v>
          </cell>
          <cell r="O1183">
            <v>0</v>
          </cell>
          <cell r="P1183">
            <v>0</v>
          </cell>
        </row>
        <row r="1184">
          <cell r="A1184">
            <v>3</v>
          </cell>
          <cell r="C1184">
            <v>481040411</v>
          </cell>
          <cell r="I1184">
            <v>499344000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499344000</v>
          </cell>
        </row>
        <row r="1185">
          <cell r="A1185">
            <v>3</v>
          </cell>
          <cell r="C1185">
            <v>481040412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</row>
        <row r="1186">
          <cell r="A1186">
            <v>3</v>
          </cell>
          <cell r="C1186">
            <v>481040413</v>
          </cell>
          <cell r="I1186">
            <v>114000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114000</v>
          </cell>
        </row>
        <row r="1187">
          <cell r="A1187">
            <v>3</v>
          </cell>
          <cell r="C1187">
            <v>481040415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</row>
        <row r="1188">
          <cell r="A1188">
            <v>3</v>
          </cell>
          <cell r="C1188">
            <v>481040600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</row>
        <row r="1189">
          <cell r="A1189">
            <v>3</v>
          </cell>
          <cell r="C1189">
            <v>481040800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</row>
        <row r="1190">
          <cell r="A1190">
            <v>3</v>
          </cell>
          <cell r="C1190">
            <v>481040900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</row>
        <row r="1191">
          <cell r="A1191">
            <v>3</v>
          </cell>
          <cell r="C1191">
            <v>481121400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</row>
        <row r="1192">
          <cell r="A1192">
            <v>3</v>
          </cell>
          <cell r="C1192">
            <v>481141700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</row>
        <row r="1193">
          <cell r="A1193">
            <v>3</v>
          </cell>
          <cell r="C1193">
            <v>481141800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</row>
        <row r="1194">
          <cell r="A1194">
            <v>3</v>
          </cell>
          <cell r="C1194">
            <v>481141915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</row>
        <row r="1195">
          <cell r="A1195">
            <v>3</v>
          </cell>
          <cell r="C1195">
            <v>481141916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</row>
        <row r="1196">
          <cell r="A1196">
            <v>3</v>
          </cell>
          <cell r="C1196">
            <v>481141917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</row>
        <row r="1197">
          <cell r="A1197">
            <v>3</v>
          </cell>
          <cell r="C1197">
            <v>481142000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</row>
        <row r="1198">
          <cell r="A1198">
            <v>3</v>
          </cell>
          <cell r="C1198">
            <v>482022100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</row>
        <row r="1199">
          <cell r="A1199">
            <v>3</v>
          </cell>
          <cell r="C1199">
            <v>482022200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</row>
        <row r="1200">
          <cell r="A1200">
            <v>3</v>
          </cell>
          <cell r="C1200">
            <v>482022400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</row>
        <row r="1201">
          <cell r="A1201">
            <v>3</v>
          </cell>
          <cell r="C1201">
            <v>482042700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</row>
        <row r="1202">
          <cell r="A1202">
            <v>3</v>
          </cell>
          <cell r="C1202">
            <v>482042800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</row>
        <row r="1203">
          <cell r="A1203">
            <v>3</v>
          </cell>
          <cell r="C1203">
            <v>482042900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</row>
        <row r="1204">
          <cell r="A1204">
            <v>3</v>
          </cell>
          <cell r="C1204">
            <v>482050100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</row>
        <row r="1205">
          <cell r="A1205">
            <v>3</v>
          </cell>
          <cell r="C1205">
            <v>482063000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</row>
        <row r="1206">
          <cell r="A1206">
            <v>3</v>
          </cell>
          <cell r="C1206">
            <v>482083100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</row>
        <row r="1207">
          <cell r="A1207">
            <v>3</v>
          </cell>
          <cell r="C1207">
            <v>482093200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</row>
        <row r="1208">
          <cell r="A1208">
            <v>3</v>
          </cell>
          <cell r="C1208">
            <v>482093300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</row>
        <row r="1209">
          <cell r="A1209">
            <v>3</v>
          </cell>
          <cell r="C1209">
            <v>482103411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</row>
        <row r="1210">
          <cell r="A1210">
            <v>3</v>
          </cell>
          <cell r="C1210">
            <v>482103412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</row>
        <row r="1211">
          <cell r="A1211">
            <v>3</v>
          </cell>
          <cell r="C1211">
            <v>482103413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</row>
        <row r="1212">
          <cell r="A1212">
            <v>3</v>
          </cell>
          <cell r="C1212">
            <v>482103414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</row>
        <row r="1213">
          <cell r="A1213">
            <v>3</v>
          </cell>
          <cell r="C1213">
            <v>482103500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</row>
        <row r="1214">
          <cell r="A1214">
            <v>3</v>
          </cell>
          <cell r="C1214">
            <v>482113700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</row>
        <row r="1215">
          <cell r="A1215">
            <v>3</v>
          </cell>
          <cell r="C1215">
            <v>482123600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</row>
        <row r="1216">
          <cell r="A1216">
            <v>3</v>
          </cell>
          <cell r="C1216">
            <v>482124000</v>
          </cell>
          <cell r="I1216">
            <v>59650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59650</v>
          </cell>
          <cell r="P1216">
            <v>0</v>
          </cell>
        </row>
        <row r="1217">
          <cell r="A1217">
            <v>3</v>
          </cell>
          <cell r="C1217">
            <v>482130103</v>
          </cell>
          <cell r="I1217">
            <v>555546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555546</v>
          </cell>
        </row>
        <row r="1218">
          <cell r="A1218">
            <v>3</v>
          </cell>
          <cell r="C1218">
            <v>482130104</v>
          </cell>
          <cell r="I1218">
            <v>60541484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60541484</v>
          </cell>
        </row>
        <row r="1219">
          <cell r="A1219">
            <v>3</v>
          </cell>
          <cell r="C1219">
            <v>482130105</v>
          </cell>
          <cell r="I1219">
            <v>135768482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135768482</v>
          </cell>
        </row>
        <row r="1220">
          <cell r="A1220">
            <v>3</v>
          </cell>
          <cell r="C1220">
            <v>482130107</v>
          </cell>
          <cell r="I1220">
            <v>17689764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17689764</v>
          </cell>
        </row>
        <row r="1221">
          <cell r="A1221">
            <v>3</v>
          </cell>
          <cell r="C1221">
            <v>482130108</v>
          </cell>
          <cell r="I1221">
            <v>9543665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9543665</v>
          </cell>
        </row>
        <row r="1222">
          <cell r="A1222">
            <v>3</v>
          </cell>
          <cell r="C1222">
            <v>482130110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</row>
        <row r="1223">
          <cell r="A1223">
            <v>3</v>
          </cell>
          <cell r="C1223">
            <v>482130120</v>
          </cell>
          <cell r="I1223">
            <v>51782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51782</v>
          </cell>
        </row>
        <row r="1224">
          <cell r="A1224">
            <v>3</v>
          </cell>
          <cell r="C1224">
            <v>483020200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</row>
        <row r="1225">
          <cell r="A1225">
            <v>3</v>
          </cell>
          <cell r="C1225">
            <v>483040400</v>
          </cell>
          <cell r="I1225">
            <v>41186</v>
          </cell>
          <cell r="J1225">
            <v>0</v>
          </cell>
          <cell r="K1225">
            <v>0</v>
          </cell>
          <cell r="L1225">
            <v>10517</v>
          </cell>
          <cell r="M1225">
            <v>0</v>
          </cell>
          <cell r="N1225">
            <v>30669</v>
          </cell>
          <cell r="O1225">
            <v>0</v>
          </cell>
          <cell r="P1225">
            <v>0</v>
          </cell>
        </row>
        <row r="1226">
          <cell r="A1226">
            <v>3</v>
          </cell>
          <cell r="C1226">
            <v>483060600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</row>
        <row r="1227">
          <cell r="A1227">
            <v>3</v>
          </cell>
          <cell r="C1227">
            <v>483060700</v>
          </cell>
          <cell r="I1227">
            <v>27547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27547</v>
          </cell>
        </row>
        <row r="1228">
          <cell r="A1228">
            <v>3</v>
          </cell>
          <cell r="C1228">
            <v>483060800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</row>
        <row r="1229">
          <cell r="A1229">
            <v>3</v>
          </cell>
          <cell r="C1229">
            <v>483080800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</row>
        <row r="1230">
          <cell r="A1230">
            <v>3</v>
          </cell>
          <cell r="C1230">
            <v>615506900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</row>
        <row r="1231">
          <cell r="A1231">
            <v>3</v>
          </cell>
          <cell r="C1231">
            <v>615507583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</row>
        <row r="1232">
          <cell r="A1232">
            <v>3</v>
          </cell>
          <cell r="C1232">
            <v>615507585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</row>
        <row r="1233">
          <cell r="A1233">
            <v>3</v>
          </cell>
          <cell r="C1233">
            <v>615507586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</row>
        <row r="1234">
          <cell r="A1234">
            <v>3</v>
          </cell>
          <cell r="C1234">
            <v>615530102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</row>
        <row r="1235">
          <cell r="A1235">
            <v>3</v>
          </cell>
          <cell r="C1235">
            <v>615530103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</row>
        <row r="1236">
          <cell r="A1236">
            <v>3</v>
          </cell>
          <cell r="C1236">
            <v>615530104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</row>
        <row r="1237">
          <cell r="A1237">
            <v>3</v>
          </cell>
          <cell r="C1237">
            <v>615530105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</row>
        <row r="1238">
          <cell r="A1238">
            <v>3</v>
          </cell>
          <cell r="C1238">
            <v>615530202</v>
          </cell>
          <cell r="I1238">
            <v>3978000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3978000</v>
          </cell>
        </row>
        <row r="1239">
          <cell r="A1239">
            <v>3</v>
          </cell>
          <cell r="C1239">
            <v>615530301</v>
          </cell>
          <cell r="I1239">
            <v>397800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397800</v>
          </cell>
        </row>
        <row r="1240">
          <cell r="A1240">
            <v>3</v>
          </cell>
          <cell r="C1240">
            <v>615530302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</row>
        <row r="1241">
          <cell r="A1241">
            <v>3</v>
          </cell>
          <cell r="C1241">
            <v>615530303</v>
          </cell>
          <cell r="I1241">
            <v>1722969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1722969</v>
          </cell>
        </row>
        <row r="1242">
          <cell r="A1242">
            <v>3</v>
          </cell>
          <cell r="C1242">
            <v>615530304</v>
          </cell>
          <cell r="I1242">
            <v>242040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242040</v>
          </cell>
          <cell r="O1242">
            <v>0</v>
          </cell>
          <cell r="P1242">
            <v>0</v>
          </cell>
        </row>
        <row r="1243">
          <cell r="A1243">
            <v>3</v>
          </cell>
          <cell r="C1243">
            <v>615530305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</row>
        <row r="1244">
          <cell r="A1244">
            <v>3</v>
          </cell>
          <cell r="C1244">
            <v>615530306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</row>
        <row r="1245">
          <cell r="A1245">
            <v>3</v>
          </cell>
          <cell r="C1245">
            <v>615530307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</row>
        <row r="1246">
          <cell r="A1246">
            <v>3</v>
          </cell>
          <cell r="C1246">
            <v>615530310</v>
          </cell>
          <cell r="I1246">
            <v>631575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631575</v>
          </cell>
        </row>
        <row r="1247">
          <cell r="A1247">
            <v>3</v>
          </cell>
          <cell r="C1247">
            <v>615530311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</row>
        <row r="1248">
          <cell r="A1248">
            <v>3</v>
          </cell>
          <cell r="C1248">
            <v>615530314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</row>
        <row r="1249">
          <cell r="A1249">
            <v>3</v>
          </cell>
          <cell r="C1249">
            <v>615530315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</row>
        <row r="1250">
          <cell r="A1250">
            <v>3</v>
          </cell>
          <cell r="C1250">
            <v>615530316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</row>
        <row r="1251">
          <cell r="A1251">
            <v>3</v>
          </cell>
          <cell r="C1251">
            <v>615530319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</row>
        <row r="1252">
          <cell r="A1252">
            <v>3</v>
          </cell>
          <cell r="C1252">
            <v>615530401</v>
          </cell>
          <cell r="I1252">
            <v>1040529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1040529</v>
          </cell>
          <cell r="P1252">
            <v>0</v>
          </cell>
        </row>
        <row r="1253">
          <cell r="A1253">
            <v>3</v>
          </cell>
          <cell r="C1253">
            <v>615530402</v>
          </cell>
          <cell r="I1253">
            <v>5964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5964</v>
          </cell>
        </row>
        <row r="1254">
          <cell r="A1254">
            <v>3</v>
          </cell>
          <cell r="C1254">
            <v>615530403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</row>
        <row r="1255">
          <cell r="A1255">
            <v>3</v>
          </cell>
          <cell r="C1255">
            <v>615530405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</row>
        <row r="1256">
          <cell r="A1256">
            <v>3</v>
          </cell>
          <cell r="C1256">
            <v>615530406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</row>
        <row r="1257">
          <cell r="A1257">
            <v>3</v>
          </cell>
          <cell r="C1257">
            <v>615530407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</row>
        <row r="1258">
          <cell r="A1258">
            <v>3</v>
          </cell>
          <cell r="C1258">
            <v>615530408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</row>
        <row r="1259">
          <cell r="A1259">
            <v>3</v>
          </cell>
          <cell r="C1259">
            <v>615530410</v>
          </cell>
          <cell r="I1259">
            <v>395370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395370</v>
          </cell>
          <cell r="P1259">
            <v>0</v>
          </cell>
        </row>
        <row r="1260">
          <cell r="A1260">
            <v>3</v>
          </cell>
          <cell r="C1260">
            <v>615530411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</row>
        <row r="1261">
          <cell r="A1261">
            <v>3</v>
          </cell>
          <cell r="C1261">
            <v>615530500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</row>
        <row r="1262">
          <cell r="A1262">
            <v>3</v>
          </cell>
          <cell r="C1262">
            <v>615530700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</row>
        <row r="1263">
          <cell r="A1263">
            <v>3</v>
          </cell>
          <cell r="C1263">
            <v>615530800</v>
          </cell>
          <cell r="I1263">
            <v>798400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798400</v>
          </cell>
        </row>
        <row r="1264">
          <cell r="A1264">
            <v>3</v>
          </cell>
          <cell r="C1264">
            <v>615531001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</row>
        <row r="1265">
          <cell r="A1265">
            <v>3</v>
          </cell>
          <cell r="C1265">
            <v>615531002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</row>
        <row r="1266">
          <cell r="A1266">
            <v>3</v>
          </cell>
          <cell r="C1266">
            <v>615531003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</row>
        <row r="1267">
          <cell r="A1267">
            <v>3</v>
          </cell>
          <cell r="C1267">
            <v>615531300</v>
          </cell>
          <cell r="I1267">
            <v>276770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276770</v>
          </cell>
          <cell r="O1267">
            <v>0</v>
          </cell>
          <cell r="P1267">
            <v>0</v>
          </cell>
        </row>
        <row r="1268">
          <cell r="A1268">
            <v>3</v>
          </cell>
          <cell r="C1268">
            <v>615531400</v>
          </cell>
          <cell r="I1268">
            <v>134790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134790</v>
          </cell>
          <cell r="O1268">
            <v>0</v>
          </cell>
          <cell r="P1268">
            <v>0</v>
          </cell>
        </row>
        <row r="1269">
          <cell r="A1269">
            <v>3</v>
          </cell>
          <cell r="C1269">
            <v>615531500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</row>
        <row r="1270">
          <cell r="A1270">
            <v>3</v>
          </cell>
          <cell r="C1270">
            <v>615531700</v>
          </cell>
          <cell r="I1270">
            <v>33182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33182</v>
          </cell>
          <cell r="O1270">
            <v>0</v>
          </cell>
          <cell r="P1270">
            <v>0</v>
          </cell>
        </row>
        <row r="1271">
          <cell r="A1271">
            <v>3</v>
          </cell>
          <cell r="C1271">
            <v>615531900</v>
          </cell>
          <cell r="I1271">
            <v>4061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461</v>
          </cell>
          <cell r="O1271">
            <v>3600</v>
          </cell>
          <cell r="P1271">
            <v>0</v>
          </cell>
        </row>
        <row r="1272">
          <cell r="A1272">
            <v>3</v>
          </cell>
          <cell r="C1272">
            <v>615532000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</row>
        <row r="1273">
          <cell r="A1273">
            <v>3</v>
          </cell>
          <cell r="C1273">
            <v>615532100</v>
          </cell>
          <cell r="I1273">
            <v>7072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7072</v>
          </cell>
          <cell r="O1273">
            <v>0</v>
          </cell>
          <cell r="P1273">
            <v>0</v>
          </cell>
        </row>
        <row r="1274">
          <cell r="A1274">
            <v>3</v>
          </cell>
          <cell r="C1274">
            <v>615532300</v>
          </cell>
          <cell r="I1274">
            <v>131873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131873</v>
          </cell>
          <cell r="O1274">
            <v>0</v>
          </cell>
          <cell r="P1274">
            <v>0</v>
          </cell>
        </row>
        <row r="1275">
          <cell r="A1275">
            <v>3</v>
          </cell>
          <cell r="C1275">
            <v>615532400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</row>
        <row r="1276">
          <cell r="A1276">
            <v>3</v>
          </cell>
          <cell r="C1276">
            <v>615533100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</row>
        <row r="1277">
          <cell r="A1277">
            <v>3</v>
          </cell>
          <cell r="C1277">
            <v>615533700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</row>
        <row r="1278">
          <cell r="A1278">
            <v>3</v>
          </cell>
          <cell r="C1278">
            <v>615533900</v>
          </cell>
          <cell r="I1278">
            <v>76260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76260</v>
          </cell>
          <cell r="P1278">
            <v>0</v>
          </cell>
        </row>
        <row r="1279">
          <cell r="A1279">
            <v>3</v>
          </cell>
          <cell r="C1279">
            <v>615534000</v>
          </cell>
          <cell r="I1279">
            <v>49407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49407</v>
          </cell>
        </row>
        <row r="1280">
          <cell r="A1280">
            <v>3</v>
          </cell>
          <cell r="C1280">
            <v>615534100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</row>
        <row r="1281">
          <cell r="A1281">
            <v>3</v>
          </cell>
          <cell r="C1281">
            <v>615536500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</row>
        <row r="1282">
          <cell r="A1282">
            <v>3</v>
          </cell>
          <cell r="C1282">
            <v>615536900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</row>
        <row r="1283">
          <cell r="A1283">
            <v>3</v>
          </cell>
          <cell r="C1283">
            <v>615537000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</row>
        <row r="1284">
          <cell r="A1284">
            <v>3</v>
          </cell>
          <cell r="C1284">
            <v>615537100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</row>
        <row r="1285">
          <cell r="A1285">
            <v>3</v>
          </cell>
          <cell r="C1285">
            <v>615537200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</row>
        <row r="1286">
          <cell r="A1286">
            <v>3</v>
          </cell>
          <cell r="C1286">
            <v>615537300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</row>
        <row r="1287">
          <cell r="A1287">
            <v>3</v>
          </cell>
          <cell r="C1287">
            <v>615537400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</row>
        <row r="1288">
          <cell r="A1288">
            <v>3</v>
          </cell>
          <cell r="C1288">
            <v>615537583</v>
          </cell>
          <cell r="I1288">
            <v>122037821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122037821</v>
          </cell>
          <cell r="O1288">
            <v>0</v>
          </cell>
          <cell r="P1288">
            <v>0</v>
          </cell>
        </row>
        <row r="1289">
          <cell r="A1289">
            <v>3</v>
          </cell>
          <cell r="C1289">
            <v>615537584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</row>
        <row r="1290">
          <cell r="A1290">
            <v>3</v>
          </cell>
          <cell r="C1290">
            <v>615537585</v>
          </cell>
          <cell r="I1290">
            <v>10447900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10447900</v>
          </cell>
          <cell r="O1290">
            <v>0</v>
          </cell>
          <cell r="P1290">
            <v>0</v>
          </cell>
        </row>
        <row r="1291">
          <cell r="A1291">
            <v>3</v>
          </cell>
          <cell r="C1291">
            <v>615537586</v>
          </cell>
          <cell r="I1291">
            <v>3268100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3268100</v>
          </cell>
          <cell r="O1291">
            <v>0</v>
          </cell>
          <cell r="P1291">
            <v>0</v>
          </cell>
        </row>
        <row r="1292">
          <cell r="A1292">
            <v>3</v>
          </cell>
          <cell r="C1292">
            <v>615537587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</row>
        <row r="1293">
          <cell r="A1293">
            <v>3</v>
          </cell>
          <cell r="C1293">
            <v>615537588</v>
          </cell>
          <cell r="I1293">
            <v>426920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426920</v>
          </cell>
          <cell r="P1293">
            <v>0</v>
          </cell>
        </row>
        <row r="1294">
          <cell r="A1294">
            <v>3</v>
          </cell>
          <cell r="C1294">
            <v>616010100</v>
          </cell>
          <cell r="I1294">
            <v>494560197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494560197</v>
          </cell>
        </row>
        <row r="1295">
          <cell r="A1295">
            <v>3</v>
          </cell>
          <cell r="C1295">
            <v>616010200</v>
          </cell>
          <cell r="I1295">
            <v>5479894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5479894</v>
          </cell>
        </row>
        <row r="1296">
          <cell r="A1296">
            <v>3</v>
          </cell>
          <cell r="C1296">
            <v>616020200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</row>
        <row r="1297">
          <cell r="A1297">
            <v>3</v>
          </cell>
          <cell r="C1297">
            <v>616030300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</row>
        <row r="1298">
          <cell r="A1298">
            <v>3</v>
          </cell>
          <cell r="C1298">
            <v>617021400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</row>
        <row r="1299">
          <cell r="A1299">
            <v>3</v>
          </cell>
          <cell r="C1299">
            <v>617021600</v>
          </cell>
          <cell r="I1299">
            <v>285000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285000</v>
          </cell>
        </row>
        <row r="1300">
          <cell r="A1300">
            <v>3</v>
          </cell>
          <cell r="C1300">
            <v>617021800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</row>
        <row r="1301">
          <cell r="A1301">
            <v>3</v>
          </cell>
          <cell r="C1301">
            <v>617030300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</row>
        <row r="1302">
          <cell r="A1302">
            <v>3</v>
          </cell>
          <cell r="C1302">
            <v>617040100</v>
          </cell>
          <cell r="I1302">
            <v>358000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358000</v>
          </cell>
        </row>
        <row r="1303">
          <cell r="A1303">
            <v>3</v>
          </cell>
          <cell r="C1303">
            <v>617040200</v>
          </cell>
          <cell r="I1303">
            <v>65000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65000</v>
          </cell>
        </row>
        <row r="1304">
          <cell r="A1304">
            <v>3</v>
          </cell>
          <cell r="C1304">
            <v>617040300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</row>
        <row r="1305">
          <cell r="A1305">
            <v>3</v>
          </cell>
          <cell r="C1305">
            <v>618121200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</row>
        <row r="1306">
          <cell r="A1306">
            <v>3</v>
          </cell>
          <cell r="C1306">
            <v>618141400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</row>
        <row r="1307">
          <cell r="A1307">
            <v>3</v>
          </cell>
          <cell r="C1307">
            <v>618202000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</row>
        <row r="1308">
          <cell r="A1308">
            <v>3</v>
          </cell>
          <cell r="C1308">
            <v>619010100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</row>
        <row r="1309">
          <cell r="A1309">
            <v>3</v>
          </cell>
          <cell r="C1309">
            <v>620010100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</row>
        <row r="1310">
          <cell r="A1310">
            <v>3</v>
          </cell>
          <cell r="C1310">
            <v>621010100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</row>
        <row r="1311">
          <cell r="A1311">
            <v>3</v>
          </cell>
          <cell r="C1311">
            <v>690010100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</row>
        <row r="1312">
          <cell r="A1312">
            <v>3</v>
          </cell>
          <cell r="C1312">
            <v>883082300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</row>
        <row r="1313">
          <cell r="A1313">
            <v>3</v>
          </cell>
          <cell r="C1313">
            <v>883164301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</row>
        <row r="1314">
          <cell r="A1314">
            <v>3</v>
          </cell>
          <cell r="C1314">
            <v>883164303</v>
          </cell>
          <cell r="I1314">
            <v>464424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464424</v>
          </cell>
        </row>
        <row r="1315">
          <cell r="A1315">
            <v>3</v>
          </cell>
          <cell r="C1315">
            <v>883164304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</row>
        <row r="1316">
          <cell r="A1316">
            <v>3</v>
          </cell>
          <cell r="C1316">
            <v>883164305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</row>
        <row r="1317">
          <cell r="A1317">
            <v>3</v>
          </cell>
          <cell r="C1317">
            <v>883180102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</row>
        <row r="1318">
          <cell r="A1318">
            <v>3</v>
          </cell>
          <cell r="C1318">
            <v>883180103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</row>
        <row r="1319">
          <cell r="A1319">
            <v>3</v>
          </cell>
          <cell r="C1319">
            <v>883180104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</row>
        <row r="1320">
          <cell r="A1320">
            <v>3</v>
          </cell>
          <cell r="C1320">
            <v>883180105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</row>
        <row r="1321">
          <cell r="A1321">
            <v>3</v>
          </cell>
          <cell r="C1321">
            <v>883180202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</row>
        <row r="1322">
          <cell r="A1322">
            <v>3</v>
          </cell>
          <cell r="C1322">
            <v>883180301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</row>
        <row r="1323">
          <cell r="A1323">
            <v>3</v>
          </cell>
          <cell r="C1323">
            <v>883180302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</row>
        <row r="1324">
          <cell r="A1324">
            <v>3</v>
          </cell>
          <cell r="C1324">
            <v>883180303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</row>
        <row r="1325">
          <cell r="A1325">
            <v>3</v>
          </cell>
          <cell r="C1325">
            <v>883180304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</row>
        <row r="1326">
          <cell r="A1326">
            <v>3</v>
          </cell>
          <cell r="C1326">
            <v>883180305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</row>
        <row r="1327">
          <cell r="A1327">
            <v>3</v>
          </cell>
          <cell r="C1327">
            <v>883180306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</row>
        <row r="1328">
          <cell r="A1328">
            <v>3</v>
          </cell>
          <cell r="C1328">
            <v>883180307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</row>
        <row r="1329">
          <cell r="A1329">
            <v>3</v>
          </cell>
          <cell r="C1329">
            <v>883180310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</row>
        <row r="1330">
          <cell r="A1330">
            <v>3</v>
          </cell>
          <cell r="C1330">
            <v>883180311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</row>
        <row r="1331">
          <cell r="A1331">
            <v>3</v>
          </cell>
          <cell r="C1331">
            <v>883180314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</row>
        <row r="1332">
          <cell r="A1332">
            <v>3</v>
          </cell>
          <cell r="C1332">
            <v>883180315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</row>
        <row r="1333">
          <cell r="A1333">
            <v>3</v>
          </cell>
          <cell r="C1333">
            <v>883180316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</row>
        <row r="1334">
          <cell r="A1334">
            <v>3</v>
          </cell>
          <cell r="C1334">
            <v>883180401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</row>
        <row r="1335">
          <cell r="A1335">
            <v>3</v>
          </cell>
          <cell r="C1335">
            <v>883180402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</row>
        <row r="1336">
          <cell r="A1336">
            <v>3</v>
          </cell>
          <cell r="C1336">
            <v>883180403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</row>
        <row r="1337">
          <cell r="A1337">
            <v>3</v>
          </cell>
          <cell r="C1337">
            <v>883180405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</row>
        <row r="1338">
          <cell r="A1338">
            <v>3</v>
          </cell>
          <cell r="C1338">
            <v>883180406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</row>
        <row r="1339">
          <cell r="A1339">
            <v>3</v>
          </cell>
          <cell r="C1339">
            <v>883180407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</row>
        <row r="1340">
          <cell r="A1340">
            <v>3</v>
          </cell>
          <cell r="C1340">
            <v>883180408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</row>
        <row r="1341">
          <cell r="A1341">
            <v>3</v>
          </cell>
          <cell r="C1341">
            <v>883180410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</row>
        <row r="1342">
          <cell r="A1342">
            <v>3</v>
          </cell>
          <cell r="C1342">
            <v>883180411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</row>
        <row r="1343">
          <cell r="A1343">
            <v>3</v>
          </cell>
          <cell r="C1343">
            <v>883180500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</row>
        <row r="1344">
          <cell r="A1344">
            <v>3</v>
          </cell>
          <cell r="C1344">
            <v>883180700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</row>
        <row r="1345">
          <cell r="A1345">
            <v>3</v>
          </cell>
          <cell r="C1345">
            <v>883180800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</row>
        <row r="1346">
          <cell r="A1346">
            <v>3</v>
          </cell>
          <cell r="C1346">
            <v>883181001</v>
          </cell>
          <cell r="I1346">
            <v>7966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7966</v>
          </cell>
          <cell r="O1346">
            <v>0</v>
          </cell>
          <cell r="P1346">
            <v>0</v>
          </cell>
        </row>
        <row r="1347">
          <cell r="A1347">
            <v>3</v>
          </cell>
          <cell r="C1347">
            <v>883181002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</row>
        <row r="1348">
          <cell r="A1348">
            <v>3</v>
          </cell>
          <cell r="C1348">
            <v>883181003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</row>
        <row r="1349">
          <cell r="A1349">
            <v>3</v>
          </cell>
          <cell r="C1349">
            <v>883181300</v>
          </cell>
          <cell r="I1349">
            <v>109131</v>
          </cell>
          <cell r="J1349">
            <v>0</v>
          </cell>
          <cell r="K1349">
            <v>0</v>
          </cell>
          <cell r="L1349">
            <v>0</v>
          </cell>
          <cell r="M1349">
            <v>5073</v>
          </cell>
          <cell r="N1349">
            <v>104058</v>
          </cell>
          <cell r="O1349">
            <v>0</v>
          </cell>
          <cell r="P1349">
            <v>0</v>
          </cell>
        </row>
        <row r="1350">
          <cell r="A1350">
            <v>3</v>
          </cell>
          <cell r="C1350">
            <v>883181400</v>
          </cell>
          <cell r="I1350">
            <v>1683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1683</v>
          </cell>
          <cell r="O1350">
            <v>0</v>
          </cell>
          <cell r="P1350">
            <v>0</v>
          </cell>
        </row>
        <row r="1351">
          <cell r="A1351">
            <v>3</v>
          </cell>
          <cell r="C1351">
            <v>883181500</v>
          </cell>
          <cell r="I1351">
            <v>25581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25581</v>
          </cell>
          <cell r="O1351">
            <v>0</v>
          </cell>
          <cell r="P1351">
            <v>0</v>
          </cell>
        </row>
        <row r="1352">
          <cell r="A1352">
            <v>3</v>
          </cell>
          <cell r="C1352">
            <v>883181700</v>
          </cell>
          <cell r="I1352">
            <v>827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827</v>
          </cell>
          <cell r="O1352">
            <v>0</v>
          </cell>
          <cell r="P1352">
            <v>0</v>
          </cell>
        </row>
        <row r="1353">
          <cell r="A1353">
            <v>3</v>
          </cell>
          <cell r="C1353">
            <v>883181900</v>
          </cell>
          <cell r="I1353">
            <v>14717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2980</v>
          </cell>
          <cell r="O1353">
            <v>11737</v>
          </cell>
          <cell r="P1353">
            <v>0</v>
          </cell>
        </row>
        <row r="1354">
          <cell r="A1354">
            <v>3</v>
          </cell>
          <cell r="C1354">
            <v>883182000</v>
          </cell>
          <cell r="I1354">
            <v>1186506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1184616</v>
          </cell>
          <cell r="O1354">
            <v>1890</v>
          </cell>
          <cell r="P1354">
            <v>0</v>
          </cell>
        </row>
        <row r="1355">
          <cell r="A1355">
            <v>3</v>
          </cell>
          <cell r="C1355">
            <v>883182100</v>
          </cell>
          <cell r="I1355">
            <v>212395907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212395907</v>
          </cell>
          <cell r="O1355">
            <v>0</v>
          </cell>
          <cell r="P1355">
            <v>0</v>
          </cell>
        </row>
        <row r="1356">
          <cell r="A1356">
            <v>3</v>
          </cell>
          <cell r="C1356">
            <v>883182300</v>
          </cell>
          <cell r="I1356">
            <v>16506765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16506765</v>
          </cell>
          <cell r="O1356">
            <v>0</v>
          </cell>
          <cell r="P1356">
            <v>0</v>
          </cell>
        </row>
        <row r="1357">
          <cell r="A1357">
            <v>3</v>
          </cell>
          <cell r="C1357">
            <v>883182400</v>
          </cell>
          <cell r="I1357">
            <v>995500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995500</v>
          </cell>
          <cell r="O1357">
            <v>0</v>
          </cell>
          <cell r="P1357">
            <v>0</v>
          </cell>
        </row>
        <row r="1358">
          <cell r="A1358">
            <v>3</v>
          </cell>
          <cell r="C1358">
            <v>883182500</v>
          </cell>
          <cell r="I1358">
            <v>13807574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13807574</v>
          </cell>
          <cell r="O1358">
            <v>0</v>
          </cell>
          <cell r="P1358">
            <v>0</v>
          </cell>
        </row>
        <row r="1359">
          <cell r="A1359">
            <v>3</v>
          </cell>
          <cell r="C1359">
            <v>883182600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</row>
        <row r="1360">
          <cell r="A1360">
            <v>3</v>
          </cell>
          <cell r="C1360">
            <v>883182866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</row>
        <row r="1361">
          <cell r="A1361">
            <v>3</v>
          </cell>
          <cell r="C1361">
            <v>883182867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</row>
        <row r="1362">
          <cell r="A1362">
            <v>3</v>
          </cell>
          <cell r="C1362">
            <v>883182900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</row>
        <row r="1363">
          <cell r="A1363">
            <v>3</v>
          </cell>
          <cell r="C1363">
            <v>883183000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</row>
        <row r="1364">
          <cell r="A1364">
            <v>3</v>
          </cell>
          <cell r="C1364">
            <v>883183100</v>
          </cell>
          <cell r="I1364">
            <v>2416327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2310867</v>
          </cell>
          <cell r="O1364">
            <v>0</v>
          </cell>
          <cell r="P1364">
            <v>105460</v>
          </cell>
        </row>
        <row r="1365">
          <cell r="A1365">
            <v>3</v>
          </cell>
          <cell r="C1365">
            <v>883183300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</row>
        <row r="1366">
          <cell r="A1366">
            <v>3</v>
          </cell>
          <cell r="C1366">
            <v>883183600</v>
          </cell>
          <cell r="I1366">
            <v>63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63</v>
          </cell>
          <cell r="O1366">
            <v>0</v>
          </cell>
          <cell r="P1366">
            <v>0</v>
          </cell>
        </row>
        <row r="1367">
          <cell r="A1367">
            <v>3</v>
          </cell>
          <cell r="C1367">
            <v>883183700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</row>
        <row r="1368">
          <cell r="A1368">
            <v>3</v>
          </cell>
          <cell r="C1368">
            <v>883183900</v>
          </cell>
          <cell r="I1368">
            <v>169338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169338</v>
          </cell>
          <cell r="P1368">
            <v>0</v>
          </cell>
        </row>
        <row r="1369">
          <cell r="A1369">
            <v>3</v>
          </cell>
          <cell r="C1369">
            <v>883184000</v>
          </cell>
          <cell r="I1369">
            <v>139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139</v>
          </cell>
        </row>
        <row r="1370">
          <cell r="A1370">
            <v>3</v>
          </cell>
          <cell r="C1370">
            <v>883184100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</row>
        <row r="1371">
          <cell r="A1371">
            <v>3</v>
          </cell>
          <cell r="C1371">
            <v>883184304</v>
          </cell>
          <cell r="I1371">
            <v>16000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16000</v>
          </cell>
        </row>
        <row r="1372">
          <cell r="A1372">
            <v>3</v>
          </cell>
          <cell r="C1372">
            <v>883204370</v>
          </cell>
          <cell r="I1372">
            <v>18007053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18007053</v>
          </cell>
        </row>
        <row r="1373">
          <cell r="A1373">
            <v>3</v>
          </cell>
          <cell r="C1373">
            <v>883204371</v>
          </cell>
          <cell r="I1373">
            <v>388438705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388438705</v>
          </cell>
        </row>
        <row r="1374">
          <cell r="A1374">
            <v>3</v>
          </cell>
          <cell r="C1374">
            <v>883204372</v>
          </cell>
          <cell r="I1374">
            <v>99952168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99952168</v>
          </cell>
        </row>
        <row r="1375">
          <cell r="A1375">
            <v>3</v>
          </cell>
          <cell r="C1375">
            <v>883204373</v>
          </cell>
          <cell r="I1375">
            <v>374650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374650</v>
          </cell>
        </row>
        <row r="1376">
          <cell r="A1376">
            <v>3</v>
          </cell>
          <cell r="C1376">
            <v>883204374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</row>
        <row r="1377">
          <cell r="A1377">
            <v>3</v>
          </cell>
          <cell r="C1377">
            <v>883204475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</row>
        <row r="1378">
          <cell r="A1378">
            <v>3</v>
          </cell>
          <cell r="C1378">
            <v>883204476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</row>
        <row r="1379">
          <cell r="A1379">
            <v>3</v>
          </cell>
          <cell r="C1379">
            <v>883204477</v>
          </cell>
          <cell r="I1379">
            <v>3300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3300</v>
          </cell>
        </row>
        <row r="1380">
          <cell r="A1380">
            <v>3</v>
          </cell>
          <cell r="C1380">
            <v>883224600</v>
          </cell>
          <cell r="I1380">
            <v>6526876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6526876</v>
          </cell>
        </row>
        <row r="1381">
          <cell r="A1381">
            <v>3</v>
          </cell>
          <cell r="C1381">
            <v>883224700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</row>
        <row r="1382">
          <cell r="A1382">
            <v>3</v>
          </cell>
          <cell r="C1382">
            <v>884025180</v>
          </cell>
          <cell r="I1382">
            <v>73142201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73142201</v>
          </cell>
          <cell r="P1382">
            <v>0</v>
          </cell>
        </row>
        <row r="1383">
          <cell r="A1383">
            <v>3</v>
          </cell>
          <cell r="C1383">
            <v>884025181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</row>
        <row r="1384">
          <cell r="A1384">
            <v>3</v>
          </cell>
          <cell r="C1384">
            <v>884025200</v>
          </cell>
          <cell r="I1384">
            <v>603610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603610</v>
          </cell>
          <cell r="O1384">
            <v>0</v>
          </cell>
          <cell r="P1384">
            <v>0</v>
          </cell>
        </row>
        <row r="1385">
          <cell r="A1385">
            <v>3</v>
          </cell>
          <cell r="C1385">
            <v>884025300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</row>
        <row r="1386">
          <cell r="A1386">
            <v>3</v>
          </cell>
          <cell r="C1386">
            <v>884025400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</row>
        <row r="1387">
          <cell r="A1387">
            <v>3</v>
          </cell>
          <cell r="C1387">
            <v>884025500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</row>
        <row r="1388">
          <cell r="A1388">
            <v>3</v>
          </cell>
          <cell r="C1388">
            <v>884045600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</row>
        <row r="1389">
          <cell r="A1389">
            <v>3</v>
          </cell>
          <cell r="C1389">
            <v>884045700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</row>
        <row r="1390">
          <cell r="A1390">
            <v>3</v>
          </cell>
          <cell r="C1390">
            <v>884045800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</row>
        <row r="1391">
          <cell r="A1391">
            <v>3</v>
          </cell>
          <cell r="C1391">
            <v>884055900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</row>
        <row r="1392">
          <cell r="A1392">
            <v>3</v>
          </cell>
          <cell r="C1392">
            <v>884066200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</row>
        <row r="1393">
          <cell r="A1393">
            <v>3</v>
          </cell>
          <cell r="C1393">
            <v>884066300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</row>
        <row r="1394">
          <cell r="A1394">
            <v>3</v>
          </cell>
          <cell r="C1394">
            <v>885020200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</row>
        <row r="1395">
          <cell r="A1395">
            <v>3</v>
          </cell>
          <cell r="C1395">
            <v>885040400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</row>
        <row r="1396">
          <cell r="A1396">
            <v>3</v>
          </cell>
          <cell r="C1396">
            <v>885060600</v>
          </cell>
          <cell r="I1396">
            <v>35499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35499</v>
          </cell>
          <cell r="O1396">
            <v>0</v>
          </cell>
          <cell r="P1396">
            <v>0</v>
          </cell>
        </row>
        <row r="1397">
          <cell r="A1397">
            <v>3</v>
          </cell>
          <cell r="C1397">
            <v>885080800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</row>
        <row r="1398">
          <cell r="A1398">
            <v>3</v>
          </cell>
          <cell r="C1398">
            <v>885101000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</row>
        <row r="1399">
          <cell r="A1399">
            <v>3</v>
          </cell>
          <cell r="C1399">
            <v>890010100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</row>
        <row r="1400">
          <cell r="A1400">
            <v>4</v>
          </cell>
          <cell r="C1400">
            <v>112011010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</row>
        <row r="1401">
          <cell r="A1401">
            <v>4</v>
          </cell>
          <cell r="C1401">
            <v>112011011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</row>
        <row r="1402">
          <cell r="A1402">
            <v>4</v>
          </cell>
          <cell r="C1402">
            <v>112011100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</row>
        <row r="1403">
          <cell r="A1403">
            <v>4</v>
          </cell>
          <cell r="C1403">
            <v>112011200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</row>
        <row r="1404">
          <cell r="A1404">
            <v>4</v>
          </cell>
          <cell r="C1404">
            <v>112011300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</row>
        <row r="1405">
          <cell r="A1405">
            <v>4</v>
          </cell>
          <cell r="C1405">
            <v>112011400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</row>
        <row r="1406">
          <cell r="A1406">
            <v>4</v>
          </cell>
          <cell r="C1406">
            <v>112011500</v>
          </cell>
          <cell r="I1406">
            <v>65100000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65100000</v>
          </cell>
        </row>
        <row r="1407">
          <cell r="A1407">
            <v>4</v>
          </cell>
          <cell r="C1407">
            <v>112021000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</row>
        <row r="1408">
          <cell r="A1408">
            <v>4</v>
          </cell>
          <cell r="C1408">
            <v>112022000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</row>
        <row r="1409">
          <cell r="A1409">
            <v>4</v>
          </cell>
          <cell r="C1409">
            <v>114030300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</row>
        <row r="1410">
          <cell r="A1410">
            <v>4</v>
          </cell>
          <cell r="C1410">
            <v>116010100</v>
          </cell>
          <cell r="I1410">
            <v>6370000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6370000</v>
          </cell>
        </row>
        <row r="1411">
          <cell r="A1411">
            <v>4</v>
          </cell>
          <cell r="C1411">
            <v>116020200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</row>
        <row r="1412">
          <cell r="A1412">
            <v>4</v>
          </cell>
          <cell r="C1412">
            <v>118040100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</row>
        <row r="1413">
          <cell r="A1413">
            <v>4</v>
          </cell>
          <cell r="C1413">
            <v>118040200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</row>
        <row r="1414">
          <cell r="A1414">
            <v>4</v>
          </cell>
          <cell r="C1414">
            <v>118040300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</row>
        <row r="1415">
          <cell r="A1415">
            <v>4</v>
          </cell>
          <cell r="C1415">
            <v>118040400</v>
          </cell>
          <cell r="I1415">
            <v>3488000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3488000</v>
          </cell>
        </row>
        <row r="1416">
          <cell r="A1416">
            <v>4</v>
          </cell>
          <cell r="C1416">
            <v>120063000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</row>
        <row r="1417">
          <cell r="A1417">
            <v>4</v>
          </cell>
          <cell r="C1417">
            <v>130083100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</row>
        <row r="1418">
          <cell r="A1418">
            <v>4</v>
          </cell>
          <cell r="C1418">
            <v>140101000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</row>
        <row r="1419">
          <cell r="A1419">
            <v>4</v>
          </cell>
          <cell r="C1419">
            <v>160010100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</row>
        <row r="1420">
          <cell r="A1420">
            <v>4</v>
          </cell>
          <cell r="C1420">
            <v>180070700</v>
          </cell>
          <cell r="I1420">
            <v>4080000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4080000</v>
          </cell>
        </row>
        <row r="1421">
          <cell r="A1421">
            <v>4</v>
          </cell>
          <cell r="C1421">
            <v>180080800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</row>
        <row r="1422">
          <cell r="A1422">
            <v>4</v>
          </cell>
          <cell r="C1422">
            <v>182010100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</row>
        <row r="1423">
          <cell r="A1423">
            <v>4</v>
          </cell>
          <cell r="C1423">
            <v>184010200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</row>
        <row r="1424">
          <cell r="A1424">
            <v>4</v>
          </cell>
          <cell r="C1424">
            <v>184030400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</row>
        <row r="1425">
          <cell r="A1425">
            <v>4</v>
          </cell>
          <cell r="C1425">
            <v>184030500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</row>
        <row r="1426">
          <cell r="A1426">
            <v>4</v>
          </cell>
          <cell r="C1426">
            <v>184030600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</row>
        <row r="1427">
          <cell r="A1427">
            <v>4</v>
          </cell>
          <cell r="C1427">
            <v>184051500</v>
          </cell>
          <cell r="I1427">
            <v>160000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160000</v>
          </cell>
        </row>
        <row r="1428">
          <cell r="A1428">
            <v>4</v>
          </cell>
          <cell r="C1428">
            <v>184051600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</row>
        <row r="1429">
          <cell r="A1429">
            <v>4</v>
          </cell>
          <cell r="C1429">
            <v>184051700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</row>
        <row r="1430">
          <cell r="A1430">
            <v>4</v>
          </cell>
          <cell r="C1430">
            <v>186030300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</row>
        <row r="1431">
          <cell r="A1431">
            <v>4</v>
          </cell>
          <cell r="C1431">
            <v>188010100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</row>
        <row r="1432">
          <cell r="A1432">
            <v>4</v>
          </cell>
          <cell r="C1432">
            <v>188020200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</row>
        <row r="1433">
          <cell r="A1433">
            <v>4</v>
          </cell>
          <cell r="C1433">
            <v>190010100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</row>
        <row r="1434">
          <cell r="A1434">
            <v>4</v>
          </cell>
          <cell r="C1434">
            <v>190020200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</row>
        <row r="1435">
          <cell r="A1435">
            <v>4</v>
          </cell>
          <cell r="C1435">
            <v>190030300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</row>
        <row r="1436">
          <cell r="A1436">
            <v>4</v>
          </cell>
          <cell r="C1436">
            <v>481020200</v>
          </cell>
          <cell r="I1436">
            <v>13915486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13915486</v>
          </cell>
          <cell r="O1436">
            <v>0</v>
          </cell>
          <cell r="P1436">
            <v>0</v>
          </cell>
        </row>
        <row r="1437">
          <cell r="A1437">
            <v>4</v>
          </cell>
          <cell r="C1437">
            <v>481040411</v>
          </cell>
          <cell r="I1437">
            <v>75108000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75108000</v>
          </cell>
        </row>
        <row r="1438">
          <cell r="A1438">
            <v>4</v>
          </cell>
          <cell r="C1438">
            <v>481040412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</row>
        <row r="1439">
          <cell r="A1439">
            <v>4</v>
          </cell>
          <cell r="C1439">
            <v>481040413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</row>
        <row r="1440">
          <cell r="A1440">
            <v>4</v>
          </cell>
          <cell r="C1440">
            <v>481040415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</row>
        <row r="1441">
          <cell r="A1441">
            <v>4</v>
          </cell>
          <cell r="C1441">
            <v>481040600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</row>
        <row r="1442">
          <cell r="A1442">
            <v>4</v>
          </cell>
          <cell r="C1442">
            <v>481040800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</row>
        <row r="1443">
          <cell r="A1443">
            <v>4</v>
          </cell>
          <cell r="C1443">
            <v>481040900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</row>
        <row r="1444">
          <cell r="A1444">
            <v>4</v>
          </cell>
          <cell r="C1444">
            <v>481121400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</row>
        <row r="1445">
          <cell r="A1445">
            <v>4</v>
          </cell>
          <cell r="C1445">
            <v>481141700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</row>
        <row r="1446">
          <cell r="A1446">
            <v>4</v>
          </cell>
          <cell r="C1446">
            <v>481141800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</row>
        <row r="1447">
          <cell r="A1447">
            <v>4</v>
          </cell>
          <cell r="C1447">
            <v>481141915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</row>
        <row r="1448">
          <cell r="A1448">
            <v>4</v>
          </cell>
          <cell r="C1448">
            <v>481141916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</row>
        <row r="1449">
          <cell r="A1449">
            <v>4</v>
          </cell>
          <cell r="C1449">
            <v>481141917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</row>
        <row r="1450">
          <cell r="A1450">
            <v>4</v>
          </cell>
          <cell r="C1450">
            <v>481142000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</row>
        <row r="1451">
          <cell r="A1451">
            <v>4</v>
          </cell>
          <cell r="C1451">
            <v>482022100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A1452">
            <v>4</v>
          </cell>
          <cell r="C1452">
            <v>482022200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</row>
        <row r="1453">
          <cell r="A1453">
            <v>4</v>
          </cell>
          <cell r="C1453">
            <v>482022400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</row>
        <row r="1454">
          <cell r="A1454">
            <v>4</v>
          </cell>
          <cell r="C1454">
            <v>482042700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</row>
        <row r="1455">
          <cell r="A1455">
            <v>4</v>
          </cell>
          <cell r="C1455">
            <v>482042800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</row>
        <row r="1456">
          <cell r="A1456">
            <v>4</v>
          </cell>
          <cell r="C1456">
            <v>482042900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</row>
        <row r="1457">
          <cell r="A1457">
            <v>4</v>
          </cell>
          <cell r="C1457">
            <v>482050100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</row>
        <row r="1458">
          <cell r="A1458">
            <v>4</v>
          </cell>
          <cell r="C1458">
            <v>482063000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59">
          <cell r="A1459">
            <v>4</v>
          </cell>
          <cell r="C1459">
            <v>482083100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</row>
        <row r="1460">
          <cell r="A1460">
            <v>4</v>
          </cell>
          <cell r="C1460">
            <v>482093200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A1461">
            <v>4</v>
          </cell>
          <cell r="C1461">
            <v>482093300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</row>
        <row r="1462">
          <cell r="A1462">
            <v>4</v>
          </cell>
          <cell r="C1462">
            <v>482103411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</row>
        <row r="1463">
          <cell r="A1463">
            <v>4</v>
          </cell>
          <cell r="C1463">
            <v>482103412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</row>
        <row r="1464">
          <cell r="A1464">
            <v>4</v>
          </cell>
          <cell r="C1464">
            <v>482103413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</row>
        <row r="1465">
          <cell r="A1465">
            <v>4</v>
          </cell>
          <cell r="C1465">
            <v>482103414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</row>
        <row r="1466">
          <cell r="A1466">
            <v>4</v>
          </cell>
          <cell r="C1466">
            <v>482103500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</row>
        <row r="1467">
          <cell r="A1467">
            <v>4</v>
          </cell>
          <cell r="C1467">
            <v>482113700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</row>
        <row r="1468">
          <cell r="A1468">
            <v>4</v>
          </cell>
          <cell r="C1468">
            <v>482123600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</row>
        <row r="1469">
          <cell r="A1469">
            <v>4</v>
          </cell>
          <cell r="C1469">
            <v>482124000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</row>
        <row r="1470">
          <cell r="A1470">
            <v>4</v>
          </cell>
          <cell r="C1470">
            <v>482130103</v>
          </cell>
          <cell r="I1470">
            <v>9781154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9781154</v>
          </cell>
        </row>
        <row r="1471">
          <cell r="A1471">
            <v>4</v>
          </cell>
          <cell r="C1471">
            <v>482130104</v>
          </cell>
          <cell r="I1471">
            <v>2448564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2448564</v>
          </cell>
        </row>
        <row r="1472">
          <cell r="A1472">
            <v>4</v>
          </cell>
          <cell r="C1472">
            <v>482130107</v>
          </cell>
          <cell r="I1472">
            <v>1839196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1839196</v>
          </cell>
        </row>
        <row r="1473">
          <cell r="A1473">
            <v>4</v>
          </cell>
          <cell r="C1473">
            <v>482130108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</row>
        <row r="1474">
          <cell r="A1474">
            <v>4</v>
          </cell>
          <cell r="C1474">
            <v>482130110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</row>
        <row r="1475">
          <cell r="A1475">
            <v>4</v>
          </cell>
          <cell r="C1475">
            <v>482130120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</row>
        <row r="1476">
          <cell r="A1476">
            <v>4</v>
          </cell>
          <cell r="C1476">
            <v>483020200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</row>
        <row r="1477">
          <cell r="A1477">
            <v>4</v>
          </cell>
          <cell r="C1477">
            <v>483040400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</row>
        <row r="1478">
          <cell r="A1478">
            <v>4</v>
          </cell>
          <cell r="C1478">
            <v>483060600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</row>
        <row r="1479">
          <cell r="A1479">
            <v>4</v>
          </cell>
          <cell r="C1479">
            <v>483060700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</row>
        <row r="1480">
          <cell r="A1480">
            <v>4</v>
          </cell>
          <cell r="C1480">
            <v>483060800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</row>
        <row r="1481">
          <cell r="A1481">
            <v>4</v>
          </cell>
          <cell r="C1481">
            <v>483080800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</row>
        <row r="1482">
          <cell r="A1482">
            <v>4</v>
          </cell>
          <cell r="C1482">
            <v>615527700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</row>
        <row r="1483">
          <cell r="A1483">
            <v>4</v>
          </cell>
          <cell r="C1483">
            <v>615527800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</row>
        <row r="1484">
          <cell r="A1484">
            <v>4</v>
          </cell>
          <cell r="C1484">
            <v>615530102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</row>
        <row r="1485">
          <cell r="A1485">
            <v>4</v>
          </cell>
          <cell r="C1485">
            <v>615530103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</row>
        <row r="1486">
          <cell r="A1486">
            <v>4</v>
          </cell>
          <cell r="C1486">
            <v>615530104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</row>
        <row r="1487">
          <cell r="A1487">
            <v>4</v>
          </cell>
          <cell r="C1487">
            <v>615530105</v>
          </cell>
          <cell r="I1487">
            <v>2110500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2110500</v>
          </cell>
        </row>
        <row r="1488">
          <cell r="A1488">
            <v>4</v>
          </cell>
          <cell r="C1488">
            <v>615530202</v>
          </cell>
          <cell r="I1488">
            <v>2474400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2474400</v>
          </cell>
        </row>
        <row r="1489">
          <cell r="A1489">
            <v>4</v>
          </cell>
          <cell r="C1489">
            <v>615530301</v>
          </cell>
          <cell r="I1489">
            <v>247440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247440</v>
          </cell>
        </row>
        <row r="1490">
          <cell r="A1490">
            <v>4</v>
          </cell>
          <cell r="C1490">
            <v>615530302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</row>
        <row r="1491">
          <cell r="A1491">
            <v>4</v>
          </cell>
          <cell r="C1491">
            <v>615530303</v>
          </cell>
          <cell r="I1491">
            <v>1491572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1491572</v>
          </cell>
        </row>
        <row r="1492">
          <cell r="A1492">
            <v>4</v>
          </cell>
          <cell r="C1492">
            <v>615530304</v>
          </cell>
          <cell r="I1492">
            <v>194020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194020</v>
          </cell>
          <cell r="O1492">
            <v>0</v>
          </cell>
          <cell r="P1492">
            <v>0</v>
          </cell>
        </row>
        <row r="1493">
          <cell r="A1493">
            <v>4</v>
          </cell>
          <cell r="C1493">
            <v>615530305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</row>
        <row r="1494">
          <cell r="A1494">
            <v>4</v>
          </cell>
          <cell r="C1494">
            <v>615530306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</row>
        <row r="1495">
          <cell r="A1495">
            <v>4</v>
          </cell>
          <cell r="C1495">
            <v>615530307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</row>
        <row r="1496">
          <cell r="A1496">
            <v>4</v>
          </cell>
          <cell r="C1496">
            <v>615530310</v>
          </cell>
          <cell r="I1496">
            <v>753722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753722</v>
          </cell>
        </row>
        <row r="1497">
          <cell r="A1497">
            <v>4</v>
          </cell>
          <cell r="C1497">
            <v>615530311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</row>
        <row r="1498">
          <cell r="A1498">
            <v>4</v>
          </cell>
          <cell r="C1498">
            <v>615530314</v>
          </cell>
          <cell r="I1498">
            <v>324000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324000</v>
          </cell>
        </row>
        <row r="1499">
          <cell r="A1499">
            <v>4</v>
          </cell>
          <cell r="C1499">
            <v>615530315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</row>
        <row r="1500">
          <cell r="A1500">
            <v>4</v>
          </cell>
          <cell r="C1500">
            <v>615530316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</row>
        <row r="1501">
          <cell r="A1501">
            <v>4</v>
          </cell>
          <cell r="C1501">
            <v>615530319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</row>
        <row r="1502">
          <cell r="A1502">
            <v>4</v>
          </cell>
          <cell r="C1502">
            <v>615530401</v>
          </cell>
          <cell r="I1502">
            <v>709013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709013</v>
          </cell>
          <cell r="P1502">
            <v>0</v>
          </cell>
        </row>
        <row r="1503">
          <cell r="A1503">
            <v>4</v>
          </cell>
          <cell r="C1503">
            <v>615530402</v>
          </cell>
          <cell r="I1503">
            <v>6576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6576</v>
          </cell>
        </row>
        <row r="1504">
          <cell r="A1504">
            <v>4</v>
          </cell>
          <cell r="C1504">
            <v>615530403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</row>
        <row r="1505">
          <cell r="A1505">
            <v>4</v>
          </cell>
          <cell r="C1505">
            <v>615530405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</row>
        <row r="1506">
          <cell r="A1506">
            <v>4</v>
          </cell>
          <cell r="C1506">
            <v>615530406</v>
          </cell>
          <cell r="I1506">
            <v>26372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26372</v>
          </cell>
          <cell r="P1506">
            <v>0</v>
          </cell>
        </row>
        <row r="1507">
          <cell r="A1507">
            <v>4</v>
          </cell>
          <cell r="C1507">
            <v>615530407</v>
          </cell>
          <cell r="I1507">
            <v>250253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250253</v>
          </cell>
          <cell r="P1507">
            <v>0</v>
          </cell>
        </row>
        <row r="1508">
          <cell r="A1508">
            <v>4</v>
          </cell>
          <cell r="C1508">
            <v>615530408</v>
          </cell>
          <cell r="I1508">
            <v>9845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9845</v>
          </cell>
          <cell r="P1508">
            <v>0</v>
          </cell>
        </row>
        <row r="1509">
          <cell r="A1509">
            <v>4</v>
          </cell>
          <cell r="C1509">
            <v>615530410</v>
          </cell>
          <cell r="I1509">
            <v>352921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352921</v>
          </cell>
          <cell r="P1509">
            <v>0</v>
          </cell>
        </row>
        <row r="1510">
          <cell r="A1510">
            <v>4</v>
          </cell>
          <cell r="C1510">
            <v>615530411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</row>
        <row r="1511">
          <cell r="A1511">
            <v>4</v>
          </cell>
          <cell r="C1511">
            <v>615530500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</row>
        <row r="1512">
          <cell r="A1512">
            <v>4</v>
          </cell>
          <cell r="C1512">
            <v>615530700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</row>
        <row r="1513">
          <cell r="A1513">
            <v>4</v>
          </cell>
          <cell r="C1513">
            <v>615530800</v>
          </cell>
          <cell r="I1513">
            <v>240000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240000</v>
          </cell>
        </row>
        <row r="1514">
          <cell r="A1514">
            <v>4</v>
          </cell>
          <cell r="C1514">
            <v>615531001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</row>
        <row r="1515">
          <cell r="A1515">
            <v>4</v>
          </cell>
          <cell r="C1515">
            <v>615531002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</row>
        <row r="1516">
          <cell r="A1516">
            <v>4</v>
          </cell>
          <cell r="C1516">
            <v>615531003</v>
          </cell>
          <cell r="I1516">
            <v>208660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208660</v>
          </cell>
          <cell r="O1516">
            <v>0</v>
          </cell>
          <cell r="P1516">
            <v>0</v>
          </cell>
        </row>
        <row r="1517">
          <cell r="A1517">
            <v>4</v>
          </cell>
          <cell r="C1517">
            <v>615531300</v>
          </cell>
          <cell r="I1517">
            <v>232236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232236</v>
          </cell>
          <cell r="O1517">
            <v>0</v>
          </cell>
          <cell r="P1517">
            <v>0</v>
          </cell>
        </row>
        <row r="1518">
          <cell r="A1518">
            <v>4</v>
          </cell>
          <cell r="C1518">
            <v>615531400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</row>
        <row r="1519">
          <cell r="A1519">
            <v>4</v>
          </cell>
          <cell r="C1519">
            <v>615531500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</row>
        <row r="1520">
          <cell r="A1520">
            <v>4</v>
          </cell>
          <cell r="C1520">
            <v>615531700</v>
          </cell>
          <cell r="I1520">
            <v>7600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7600</v>
          </cell>
          <cell r="O1520">
            <v>0</v>
          </cell>
          <cell r="P1520">
            <v>0</v>
          </cell>
        </row>
        <row r="1521">
          <cell r="A1521">
            <v>4</v>
          </cell>
          <cell r="C1521">
            <v>615531900</v>
          </cell>
          <cell r="I1521">
            <v>283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283</v>
          </cell>
          <cell r="O1521">
            <v>0</v>
          </cell>
          <cell r="P1521">
            <v>0</v>
          </cell>
        </row>
        <row r="1522">
          <cell r="A1522">
            <v>4</v>
          </cell>
          <cell r="C1522">
            <v>615532000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</row>
        <row r="1523">
          <cell r="A1523">
            <v>4</v>
          </cell>
          <cell r="C1523">
            <v>615532100</v>
          </cell>
          <cell r="I1523">
            <v>2041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2041</v>
          </cell>
          <cell r="O1523">
            <v>0</v>
          </cell>
          <cell r="P1523">
            <v>0</v>
          </cell>
        </row>
        <row r="1524">
          <cell r="A1524">
            <v>4</v>
          </cell>
          <cell r="C1524">
            <v>615532300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</row>
        <row r="1525">
          <cell r="A1525">
            <v>4</v>
          </cell>
          <cell r="C1525">
            <v>615532400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</row>
        <row r="1526">
          <cell r="A1526">
            <v>4</v>
          </cell>
          <cell r="C1526">
            <v>615533100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</row>
        <row r="1527">
          <cell r="A1527">
            <v>4</v>
          </cell>
          <cell r="C1527">
            <v>615533700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</row>
        <row r="1528">
          <cell r="A1528">
            <v>4</v>
          </cell>
          <cell r="C1528">
            <v>615533900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</row>
        <row r="1529">
          <cell r="A1529">
            <v>4</v>
          </cell>
          <cell r="C1529">
            <v>615534000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</row>
        <row r="1530">
          <cell r="A1530">
            <v>4</v>
          </cell>
          <cell r="C1530">
            <v>615534100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</row>
        <row r="1531">
          <cell r="A1531">
            <v>4</v>
          </cell>
          <cell r="C1531">
            <v>615536500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</row>
        <row r="1532">
          <cell r="A1532">
            <v>4</v>
          </cell>
          <cell r="C1532">
            <v>615536900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</row>
        <row r="1533">
          <cell r="A1533">
            <v>4</v>
          </cell>
          <cell r="C1533">
            <v>615537000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</row>
        <row r="1534">
          <cell r="A1534">
            <v>4</v>
          </cell>
          <cell r="C1534">
            <v>615537100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</row>
        <row r="1535">
          <cell r="A1535">
            <v>4</v>
          </cell>
          <cell r="C1535">
            <v>615537200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</row>
        <row r="1536">
          <cell r="A1536">
            <v>4</v>
          </cell>
          <cell r="C1536">
            <v>615537300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</row>
        <row r="1537">
          <cell r="A1537">
            <v>4</v>
          </cell>
          <cell r="C1537">
            <v>615537400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</row>
        <row r="1538">
          <cell r="A1538">
            <v>4</v>
          </cell>
          <cell r="C1538">
            <v>615537583</v>
          </cell>
          <cell r="I1538">
            <v>59382913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59382913</v>
          </cell>
          <cell r="O1538">
            <v>0</v>
          </cell>
          <cell r="P1538">
            <v>0</v>
          </cell>
        </row>
        <row r="1539">
          <cell r="A1539">
            <v>4</v>
          </cell>
          <cell r="C1539">
            <v>615537584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</row>
        <row r="1540">
          <cell r="A1540">
            <v>4</v>
          </cell>
          <cell r="C1540">
            <v>615537585</v>
          </cell>
          <cell r="I1540">
            <v>16918900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16918900</v>
          </cell>
          <cell r="O1540">
            <v>0</v>
          </cell>
          <cell r="P1540">
            <v>0</v>
          </cell>
        </row>
        <row r="1541">
          <cell r="A1541">
            <v>4</v>
          </cell>
          <cell r="C1541">
            <v>615537586</v>
          </cell>
          <cell r="I1541">
            <v>2450800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2450800</v>
          </cell>
          <cell r="O1541">
            <v>0</v>
          </cell>
          <cell r="P1541">
            <v>0</v>
          </cell>
        </row>
        <row r="1542">
          <cell r="A1542">
            <v>4</v>
          </cell>
          <cell r="C1542">
            <v>615537587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</row>
        <row r="1543">
          <cell r="A1543">
            <v>4</v>
          </cell>
          <cell r="C1543">
            <v>615537588</v>
          </cell>
          <cell r="I1543">
            <v>5780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5780</v>
          </cell>
          <cell r="P1543">
            <v>0</v>
          </cell>
        </row>
        <row r="1544">
          <cell r="A1544">
            <v>4</v>
          </cell>
          <cell r="C1544">
            <v>616010100</v>
          </cell>
          <cell r="I1544">
            <v>7354796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7354796</v>
          </cell>
        </row>
        <row r="1545">
          <cell r="A1545">
            <v>4</v>
          </cell>
          <cell r="C1545">
            <v>616030300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</row>
        <row r="1546">
          <cell r="A1546">
            <v>4</v>
          </cell>
          <cell r="C1546">
            <v>617022000</v>
          </cell>
          <cell r="I1546">
            <v>520000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520000</v>
          </cell>
        </row>
        <row r="1547">
          <cell r="A1547">
            <v>4</v>
          </cell>
          <cell r="C1547">
            <v>617022200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</row>
        <row r="1548">
          <cell r="A1548">
            <v>4</v>
          </cell>
          <cell r="C1548">
            <v>617022400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</row>
        <row r="1549">
          <cell r="A1549">
            <v>4</v>
          </cell>
          <cell r="C1549">
            <v>617030300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</row>
        <row r="1550">
          <cell r="A1550">
            <v>4</v>
          </cell>
          <cell r="C1550">
            <v>617040100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</row>
        <row r="1551">
          <cell r="A1551">
            <v>4</v>
          </cell>
          <cell r="C1551">
            <v>617040200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</row>
        <row r="1552">
          <cell r="A1552">
            <v>4</v>
          </cell>
          <cell r="C1552">
            <v>617040300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</row>
        <row r="1553">
          <cell r="A1553">
            <v>4</v>
          </cell>
          <cell r="C1553">
            <v>618121200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</row>
        <row r="1554">
          <cell r="A1554">
            <v>4</v>
          </cell>
          <cell r="C1554">
            <v>618141400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</row>
        <row r="1555">
          <cell r="A1555">
            <v>4</v>
          </cell>
          <cell r="C1555">
            <v>618202000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</row>
        <row r="1556">
          <cell r="A1556">
            <v>4</v>
          </cell>
          <cell r="C1556">
            <v>619010100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</row>
        <row r="1557">
          <cell r="A1557">
            <v>4</v>
          </cell>
          <cell r="C1557">
            <v>620010100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</row>
        <row r="1558">
          <cell r="A1558">
            <v>4</v>
          </cell>
          <cell r="C1558">
            <v>621010100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</row>
        <row r="1559">
          <cell r="A1559">
            <v>4</v>
          </cell>
          <cell r="C1559">
            <v>690010100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</row>
        <row r="1560">
          <cell r="A1560">
            <v>4</v>
          </cell>
          <cell r="C1560">
            <v>883164301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</row>
        <row r="1561">
          <cell r="A1561">
            <v>4</v>
          </cell>
          <cell r="C1561">
            <v>883164303</v>
          </cell>
          <cell r="I1561">
            <v>174406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174406</v>
          </cell>
        </row>
        <row r="1562">
          <cell r="A1562">
            <v>4</v>
          </cell>
          <cell r="C1562">
            <v>883190102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</row>
        <row r="1563">
          <cell r="A1563">
            <v>4</v>
          </cell>
          <cell r="C1563">
            <v>883190103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</row>
        <row r="1564">
          <cell r="A1564">
            <v>4</v>
          </cell>
          <cell r="C1564">
            <v>883190104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</row>
        <row r="1565">
          <cell r="A1565">
            <v>4</v>
          </cell>
          <cell r="C1565">
            <v>883190105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</row>
        <row r="1566">
          <cell r="A1566">
            <v>4</v>
          </cell>
          <cell r="C1566">
            <v>883190202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</row>
        <row r="1567">
          <cell r="A1567">
            <v>4</v>
          </cell>
          <cell r="C1567">
            <v>883190301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</row>
        <row r="1568">
          <cell r="A1568">
            <v>4</v>
          </cell>
          <cell r="C1568">
            <v>883190302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</row>
        <row r="1569">
          <cell r="A1569">
            <v>4</v>
          </cell>
          <cell r="C1569">
            <v>883190303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</row>
        <row r="1570">
          <cell r="A1570">
            <v>4</v>
          </cell>
          <cell r="C1570">
            <v>883190304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</row>
        <row r="1571">
          <cell r="A1571">
            <v>4</v>
          </cell>
          <cell r="C1571">
            <v>883190305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</row>
        <row r="1572">
          <cell r="A1572">
            <v>4</v>
          </cell>
          <cell r="C1572">
            <v>883190306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</row>
        <row r="1573">
          <cell r="A1573">
            <v>4</v>
          </cell>
          <cell r="C1573">
            <v>883190307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</row>
        <row r="1574">
          <cell r="A1574">
            <v>4</v>
          </cell>
          <cell r="C1574">
            <v>883190310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</row>
        <row r="1575">
          <cell r="A1575">
            <v>4</v>
          </cell>
          <cell r="C1575">
            <v>883190311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</row>
        <row r="1576">
          <cell r="A1576">
            <v>4</v>
          </cell>
          <cell r="C1576">
            <v>883190314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</row>
        <row r="1577">
          <cell r="A1577">
            <v>4</v>
          </cell>
          <cell r="C1577">
            <v>883190315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</row>
        <row r="1578">
          <cell r="A1578">
            <v>4</v>
          </cell>
          <cell r="C1578">
            <v>883190316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</row>
        <row r="1579">
          <cell r="A1579">
            <v>4</v>
          </cell>
          <cell r="C1579">
            <v>883190401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</row>
        <row r="1580">
          <cell r="A1580">
            <v>4</v>
          </cell>
          <cell r="C1580">
            <v>883190402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</row>
        <row r="1581">
          <cell r="A1581">
            <v>4</v>
          </cell>
          <cell r="C1581">
            <v>883190403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</row>
        <row r="1582">
          <cell r="A1582">
            <v>4</v>
          </cell>
          <cell r="C1582">
            <v>883190405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</row>
        <row r="1583">
          <cell r="A1583">
            <v>4</v>
          </cell>
          <cell r="C1583">
            <v>883190406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</row>
        <row r="1584">
          <cell r="A1584">
            <v>4</v>
          </cell>
          <cell r="C1584">
            <v>883190407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</row>
        <row r="1585">
          <cell r="A1585">
            <v>4</v>
          </cell>
          <cell r="C1585">
            <v>883190408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</row>
        <row r="1586">
          <cell r="A1586">
            <v>4</v>
          </cell>
          <cell r="C1586">
            <v>883190410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</row>
        <row r="1587">
          <cell r="A1587">
            <v>4</v>
          </cell>
          <cell r="C1587">
            <v>883190411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</row>
        <row r="1588">
          <cell r="A1588">
            <v>4</v>
          </cell>
          <cell r="C1588">
            <v>883190500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</row>
        <row r="1589">
          <cell r="A1589">
            <v>4</v>
          </cell>
          <cell r="C1589">
            <v>883190700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</row>
        <row r="1590">
          <cell r="A1590">
            <v>4</v>
          </cell>
          <cell r="C1590">
            <v>883190800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</row>
        <row r="1591">
          <cell r="A1591">
            <v>4</v>
          </cell>
          <cell r="C1591">
            <v>883191001</v>
          </cell>
          <cell r="I1591">
            <v>2401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2401</v>
          </cell>
          <cell r="O1591">
            <v>0</v>
          </cell>
          <cell r="P1591">
            <v>0</v>
          </cell>
        </row>
        <row r="1592">
          <cell r="A1592">
            <v>4</v>
          </cell>
          <cell r="C1592">
            <v>883191002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</row>
        <row r="1593">
          <cell r="A1593">
            <v>4</v>
          </cell>
          <cell r="C1593">
            <v>883191003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</row>
        <row r="1594">
          <cell r="A1594">
            <v>4</v>
          </cell>
          <cell r="C1594">
            <v>883191300</v>
          </cell>
          <cell r="I1594">
            <v>36401</v>
          </cell>
          <cell r="J1594">
            <v>0</v>
          </cell>
          <cell r="K1594">
            <v>0</v>
          </cell>
          <cell r="L1594">
            <v>0</v>
          </cell>
          <cell r="M1594">
            <v>1529</v>
          </cell>
          <cell r="N1594">
            <v>34872</v>
          </cell>
          <cell r="O1594">
            <v>0</v>
          </cell>
          <cell r="P1594">
            <v>0</v>
          </cell>
        </row>
        <row r="1595">
          <cell r="A1595">
            <v>4</v>
          </cell>
          <cell r="C1595">
            <v>883191400</v>
          </cell>
          <cell r="I1595">
            <v>507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507</v>
          </cell>
          <cell r="O1595">
            <v>0</v>
          </cell>
          <cell r="P1595">
            <v>0</v>
          </cell>
        </row>
        <row r="1596">
          <cell r="A1596">
            <v>4</v>
          </cell>
          <cell r="C1596">
            <v>883191500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</row>
        <row r="1597">
          <cell r="A1597">
            <v>4</v>
          </cell>
          <cell r="C1597">
            <v>883191700</v>
          </cell>
          <cell r="I1597">
            <v>249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249</v>
          </cell>
          <cell r="O1597">
            <v>0</v>
          </cell>
          <cell r="P1597">
            <v>0</v>
          </cell>
        </row>
        <row r="1598">
          <cell r="A1598">
            <v>4</v>
          </cell>
          <cell r="C1598">
            <v>883191900</v>
          </cell>
          <cell r="I1598">
            <v>5444939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898</v>
          </cell>
          <cell r="O1598">
            <v>5444041</v>
          </cell>
          <cell r="P1598">
            <v>0</v>
          </cell>
        </row>
        <row r="1599">
          <cell r="A1599">
            <v>4</v>
          </cell>
          <cell r="C1599">
            <v>883192000</v>
          </cell>
          <cell r="I1599">
            <v>1905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1765</v>
          </cell>
          <cell r="O1599">
            <v>140</v>
          </cell>
          <cell r="P1599">
            <v>0</v>
          </cell>
        </row>
        <row r="1600">
          <cell r="A1600">
            <v>4</v>
          </cell>
          <cell r="C1600">
            <v>883192100</v>
          </cell>
          <cell r="I1600">
            <v>65215024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65215024</v>
          </cell>
          <cell r="O1600">
            <v>0</v>
          </cell>
          <cell r="P1600">
            <v>0</v>
          </cell>
        </row>
        <row r="1601">
          <cell r="A1601">
            <v>4</v>
          </cell>
          <cell r="C1601">
            <v>883192300</v>
          </cell>
          <cell r="I1601">
            <v>4963548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4963548</v>
          </cell>
          <cell r="O1601">
            <v>0</v>
          </cell>
          <cell r="P1601">
            <v>0</v>
          </cell>
        </row>
        <row r="1602">
          <cell r="A1602">
            <v>4</v>
          </cell>
          <cell r="C1602">
            <v>883192400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</row>
        <row r="1603">
          <cell r="A1603">
            <v>4</v>
          </cell>
          <cell r="C1603">
            <v>883192500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</row>
        <row r="1604">
          <cell r="A1604">
            <v>4</v>
          </cell>
          <cell r="C1604">
            <v>883192866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</row>
        <row r="1605">
          <cell r="A1605">
            <v>4</v>
          </cell>
          <cell r="C1605">
            <v>883192867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</row>
        <row r="1606">
          <cell r="A1606">
            <v>4</v>
          </cell>
          <cell r="C1606">
            <v>883192900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</row>
        <row r="1607">
          <cell r="A1607">
            <v>4</v>
          </cell>
          <cell r="C1607">
            <v>883193000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</row>
        <row r="1608">
          <cell r="A1608">
            <v>4</v>
          </cell>
          <cell r="C1608">
            <v>883193100</v>
          </cell>
          <cell r="I1608">
            <v>719709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696484</v>
          </cell>
          <cell r="O1608">
            <v>0</v>
          </cell>
          <cell r="P1608">
            <v>23225</v>
          </cell>
        </row>
        <row r="1609">
          <cell r="A1609">
            <v>4</v>
          </cell>
          <cell r="C1609">
            <v>883193300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</row>
        <row r="1610">
          <cell r="A1610">
            <v>4</v>
          </cell>
          <cell r="C1610">
            <v>883193600</v>
          </cell>
          <cell r="I1610">
            <v>19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19</v>
          </cell>
          <cell r="O1610">
            <v>0</v>
          </cell>
          <cell r="P1610">
            <v>0</v>
          </cell>
        </row>
        <row r="1611">
          <cell r="A1611">
            <v>4</v>
          </cell>
          <cell r="C1611">
            <v>883193700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</row>
        <row r="1612">
          <cell r="A1612">
            <v>4</v>
          </cell>
          <cell r="C1612">
            <v>883193900</v>
          </cell>
          <cell r="I1612">
            <v>3586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3586</v>
          </cell>
          <cell r="P1612">
            <v>0</v>
          </cell>
        </row>
        <row r="1613">
          <cell r="A1613">
            <v>4</v>
          </cell>
          <cell r="C1613">
            <v>883194000</v>
          </cell>
          <cell r="I1613">
            <v>42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42</v>
          </cell>
        </row>
        <row r="1614">
          <cell r="A1614">
            <v>4</v>
          </cell>
          <cell r="C1614">
            <v>883194100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</row>
        <row r="1615">
          <cell r="A1615">
            <v>4</v>
          </cell>
          <cell r="C1615">
            <v>883204370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</row>
        <row r="1616">
          <cell r="A1616">
            <v>4</v>
          </cell>
          <cell r="C1616">
            <v>883204371</v>
          </cell>
          <cell r="I1616">
            <v>27156268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27156268</v>
          </cell>
        </row>
        <row r="1617">
          <cell r="A1617">
            <v>4</v>
          </cell>
          <cell r="C1617">
            <v>883204372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</row>
        <row r="1618">
          <cell r="A1618">
            <v>4</v>
          </cell>
          <cell r="C1618">
            <v>883204373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</row>
        <row r="1619">
          <cell r="A1619">
            <v>4</v>
          </cell>
          <cell r="C1619">
            <v>883204374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</row>
        <row r="1620">
          <cell r="A1620">
            <v>4</v>
          </cell>
          <cell r="C1620">
            <v>883204475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</row>
        <row r="1621">
          <cell r="A1621">
            <v>4</v>
          </cell>
          <cell r="C1621">
            <v>883204476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</row>
        <row r="1622">
          <cell r="A1622">
            <v>4</v>
          </cell>
          <cell r="C1622">
            <v>883204477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</row>
        <row r="1623">
          <cell r="A1623">
            <v>4</v>
          </cell>
          <cell r="C1623">
            <v>883224600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</row>
        <row r="1624">
          <cell r="A1624">
            <v>4</v>
          </cell>
          <cell r="C1624">
            <v>883224700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</row>
        <row r="1625">
          <cell r="A1625">
            <v>4</v>
          </cell>
          <cell r="C1625">
            <v>884025180</v>
          </cell>
          <cell r="I1625">
            <v>2903291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2903291</v>
          </cell>
          <cell r="P1625">
            <v>0</v>
          </cell>
        </row>
        <row r="1626">
          <cell r="A1626">
            <v>4</v>
          </cell>
          <cell r="C1626">
            <v>884025181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</row>
        <row r="1627">
          <cell r="A1627">
            <v>4</v>
          </cell>
          <cell r="C1627">
            <v>884025200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</row>
        <row r="1628">
          <cell r="A1628">
            <v>4</v>
          </cell>
          <cell r="C1628">
            <v>884025300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</row>
        <row r="1629">
          <cell r="A1629">
            <v>4</v>
          </cell>
          <cell r="C1629">
            <v>884025400</v>
          </cell>
          <cell r="I1629">
            <v>6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6</v>
          </cell>
          <cell r="P1629">
            <v>0</v>
          </cell>
        </row>
        <row r="1630">
          <cell r="A1630">
            <v>4</v>
          </cell>
          <cell r="C1630">
            <v>884025500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</row>
        <row r="1631">
          <cell r="A1631">
            <v>4</v>
          </cell>
          <cell r="C1631">
            <v>884045600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</row>
        <row r="1632">
          <cell r="A1632">
            <v>4</v>
          </cell>
          <cell r="C1632">
            <v>884045700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</row>
        <row r="1633">
          <cell r="A1633">
            <v>4</v>
          </cell>
          <cell r="C1633">
            <v>884045800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</row>
        <row r="1634">
          <cell r="A1634">
            <v>4</v>
          </cell>
          <cell r="C1634">
            <v>884055900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</row>
        <row r="1635">
          <cell r="A1635">
            <v>4</v>
          </cell>
          <cell r="C1635">
            <v>884066200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</row>
        <row r="1636">
          <cell r="A1636">
            <v>4</v>
          </cell>
          <cell r="C1636">
            <v>884066300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</row>
        <row r="1637">
          <cell r="A1637">
            <v>4</v>
          </cell>
          <cell r="C1637">
            <v>885020200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</row>
        <row r="1638">
          <cell r="A1638">
            <v>4</v>
          </cell>
          <cell r="C1638">
            <v>885040400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</row>
        <row r="1639">
          <cell r="A1639">
            <v>4</v>
          </cell>
          <cell r="C1639">
            <v>885060600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</row>
        <row r="1640">
          <cell r="A1640">
            <v>4</v>
          </cell>
          <cell r="C1640">
            <v>885080800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</row>
        <row r="1641">
          <cell r="A1641">
            <v>4</v>
          </cell>
          <cell r="C1641">
            <v>885101000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</row>
        <row r="1642">
          <cell r="A1642">
            <v>4</v>
          </cell>
          <cell r="C1642">
            <v>890010100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</row>
      </sheetData>
      <sheetData sheetId="2"/>
      <sheetData sheetId="3">
        <row r="1">
          <cell r="D1" t="str">
            <v>令和５年度決算　消費税算出資料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最終チェック（資本的支出の財源内訳と照合）"/>
      <sheetName val="(繰)案"/>
      <sheetName val="(繰)精算書"/>
      <sheetName val="(繰)繰入金"/>
      <sheetName val="(繰)対前年"/>
      <sheetName val="(繰)3条収入"/>
      <sheetName val="(繰)3条支出 "/>
      <sheetName val="(繰)4条収入"/>
      <sheetName val="(繰)4条支出 "/>
      <sheetName val="出資金しくみ"/>
      <sheetName val="総括表 (メモなし)"/>
      <sheetName val="総括表"/>
      <sheetName val="３条 税抜"/>
      <sheetName val="3条税込"/>
      <sheetName val="４条（みなし）"/>
      <sheetName val="４条（決算）"/>
    </sheetNames>
    <sheetDataSet>
      <sheetData sheetId="0"/>
      <sheetData sheetId="1">
        <row r="39">
          <cell r="E39">
            <v>3285504551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税務署提出用"/>
      <sheetName val="総括表"/>
      <sheetName val="3条一般会計"/>
      <sheetName val="3条補助金"/>
      <sheetName val="3条他会計"/>
      <sheetName val="3条その他"/>
      <sheetName val="3条災害補助"/>
      <sheetName val="4条補助（公）"/>
      <sheetName val="4条補助（特）"/>
      <sheetName val="4条補助（農）"/>
      <sheetName val="4条補助（浄）"/>
      <sheetName val="受益（公）"/>
      <sheetName val="受益（区域外）"/>
      <sheetName val="4条その他"/>
      <sheetName val="4条工事負担金"/>
      <sheetName val="工事負担金（所属別内訳）"/>
      <sheetName val="工事負担金（元金償還分)"/>
      <sheetName val="西風"/>
      <sheetName val="海田"/>
      <sheetName val="府中青崎"/>
      <sheetName val="府中大須"/>
      <sheetName val="大須（共通）"/>
      <sheetName val="廿日市"/>
      <sheetName val="年度別調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I6">
            <v>5502994</v>
          </cell>
          <cell r="K6">
            <v>0</v>
          </cell>
          <cell r="L6">
            <v>0</v>
          </cell>
          <cell r="M6">
            <v>0</v>
          </cell>
          <cell r="N6">
            <v>5678297006</v>
          </cell>
        </row>
      </sheetData>
      <sheetData sheetId="8">
        <row r="6">
          <cell r="I6">
            <v>0</v>
          </cell>
          <cell r="K6">
            <v>0</v>
          </cell>
          <cell r="L6">
            <v>0</v>
          </cell>
          <cell r="M6">
            <v>0</v>
          </cell>
          <cell r="N6">
            <v>30500000</v>
          </cell>
        </row>
      </sheetData>
      <sheetData sheetId="9">
        <row r="6">
          <cell r="I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</sheetData>
      <sheetData sheetId="10">
        <row r="6">
          <cell r="I6">
            <v>0</v>
          </cell>
          <cell r="K6">
            <v>0</v>
          </cell>
          <cell r="L6">
            <v>0</v>
          </cell>
          <cell r="M6">
            <v>0</v>
          </cell>
          <cell r="N6">
            <v>3488000</v>
          </cell>
        </row>
      </sheetData>
      <sheetData sheetId="11">
        <row r="6">
          <cell r="I6">
            <v>274516</v>
          </cell>
          <cell r="K6">
            <v>0</v>
          </cell>
          <cell r="L6">
            <v>338</v>
          </cell>
          <cell r="M6">
            <v>99</v>
          </cell>
          <cell r="N6">
            <v>8524652</v>
          </cell>
        </row>
      </sheetData>
      <sheetData sheetId="12">
        <row r="26">
          <cell r="I26">
            <v>1281250</v>
          </cell>
          <cell r="L26">
            <v>0</v>
          </cell>
          <cell r="M26">
            <v>0</v>
          </cell>
          <cell r="N26">
            <v>15741150</v>
          </cell>
        </row>
        <row r="46">
          <cell r="I46">
            <v>327843</v>
          </cell>
          <cell r="L46">
            <v>0</v>
          </cell>
          <cell r="M46">
            <v>0</v>
          </cell>
          <cell r="N46">
            <v>13788037</v>
          </cell>
        </row>
        <row r="66">
          <cell r="I66">
            <v>149756</v>
          </cell>
          <cell r="L66">
            <v>0</v>
          </cell>
          <cell r="M66">
            <v>0</v>
          </cell>
          <cell r="N66">
            <v>3930244</v>
          </cell>
        </row>
      </sheetData>
      <sheetData sheetId="13">
        <row r="8">
          <cell r="I8">
            <v>0</v>
          </cell>
        </row>
        <row r="9">
          <cell r="L9">
            <v>0</v>
          </cell>
          <cell r="M9">
            <v>0</v>
          </cell>
          <cell r="N9">
            <v>0</v>
          </cell>
        </row>
        <row r="22">
          <cell r="I22">
            <v>0</v>
          </cell>
        </row>
        <row r="23">
          <cell r="L23">
            <v>0</v>
          </cell>
          <cell r="M23">
            <v>0</v>
          </cell>
          <cell r="N23">
            <v>0</v>
          </cell>
        </row>
        <row r="36">
          <cell r="I36">
            <v>0</v>
          </cell>
        </row>
        <row r="37">
          <cell r="L37">
            <v>0</v>
          </cell>
          <cell r="M37">
            <v>0</v>
          </cell>
          <cell r="N37">
            <v>0</v>
          </cell>
        </row>
        <row r="50">
          <cell r="I50">
            <v>0</v>
          </cell>
        </row>
        <row r="51">
          <cell r="L51">
            <v>0</v>
          </cell>
          <cell r="M51">
            <v>0</v>
          </cell>
          <cell r="N51">
            <v>0</v>
          </cell>
        </row>
      </sheetData>
      <sheetData sheetId="14">
        <row r="6">
          <cell r="I6">
            <v>163603825</v>
          </cell>
          <cell r="K6">
            <v>131982078</v>
          </cell>
          <cell r="L6">
            <v>1246566</v>
          </cell>
          <cell r="M6">
            <v>0</v>
          </cell>
          <cell r="N6">
            <v>218135713</v>
          </cell>
        </row>
        <row r="16">
          <cell r="I16">
            <v>0</v>
          </cell>
        </row>
        <row r="17">
          <cell r="L17">
            <v>0</v>
          </cell>
          <cell r="M17">
            <v>0</v>
          </cell>
          <cell r="N17">
            <v>0</v>
          </cell>
        </row>
        <row r="18">
          <cell r="I18">
            <v>0</v>
          </cell>
        </row>
        <row r="19">
          <cell r="L19">
            <v>0</v>
          </cell>
          <cell r="M19">
            <v>0</v>
          </cell>
          <cell r="N19">
            <v>0</v>
          </cell>
        </row>
        <row r="20">
          <cell r="I20">
            <v>0</v>
          </cell>
        </row>
        <row r="21">
          <cell r="L21">
            <v>0</v>
          </cell>
          <cell r="M21">
            <v>0</v>
          </cell>
          <cell r="N21">
            <v>0</v>
          </cell>
        </row>
        <row r="22">
          <cell r="I22">
            <v>0</v>
          </cell>
        </row>
        <row r="23">
          <cell r="L23">
            <v>0</v>
          </cell>
          <cell r="M23">
            <v>0</v>
          </cell>
          <cell r="N23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申)3%"/>
      <sheetName val="(申)5%"/>
      <sheetName val="(申)8%"/>
      <sheetName val="(申)軽8%"/>
      <sheetName val="(申)10%"/>
      <sheetName val="(申)計"/>
      <sheetName val="消費税旧"/>
      <sheetName val="対価返還"/>
      <sheetName val="基礎数値"/>
      <sheetName val="消費税"/>
      <sheetName val="4条圧縮"/>
      <sheetName val="仮受仮払"/>
      <sheetName val="精算表"/>
      <sheetName val="振替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1">
          <cell r="AB91">
            <v>6284860</v>
          </cell>
          <cell r="AC91">
            <v>92363</v>
          </cell>
          <cell r="AD91">
            <v>7</v>
          </cell>
          <cell r="AE91">
            <v>542945891</v>
          </cell>
        </row>
      </sheetData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BM110"/>
  <sheetViews>
    <sheetView tabSelected="1" topLeftCell="D1" zoomScale="40" zoomScaleNormal="40" workbookViewId="0">
      <pane xSplit="3" ySplit="6" topLeftCell="G7" activePane="bottomRight" state="frozen"/>
      <selection activeCell="D1" sqref="D1"/>
      <selection pane="topRight" activeCell="G1" sqref="G1"/>
      <selection pane="bottomLeft" activeCell="D7" sqref="D7"/>
      <selection pane="bottomRight" activeCell="G7" sqref="G7"/>
    </sheetView>
  </sheetViews>
  <sheetFormatPr defaultColWidth="13.625" defaultRowHeight="15" customHeight="1" outlineLevelRow="1" outlineLevelCol="1"/>
  <cols>
    <col min="1" max="1" width="5.625" style="1" hidden="1" customWidth="1" outlineLevel="1"/>
    <col min="2" max="2" width="3.875" style="1" hidden="1" customWidth="1" outlineLevel="1"/>
    <col min="3" max="3" width="10.5" style="3" hidden="1" customWidth="1" outlineLevel="1"/>
    <col min="4" max="4" width="33.875" style="1" bestFit="1" customWidth="1" collapsed="1"/>
    <col min="5" max="5" width="14" style="1" bestFit="1" customWidth="1"/>
    <col min="6" max="6" width="13.625" style="1" hidden="1" customWidth="1" outlineLevel="1"/>
    <col min="7" max="7" width="13.625" style="1" collapsed="1"/>
    <col min="8" max="10" width="13.625" style="1"/>
    <col min="11" max="11" width="13.625" style="2"/>
    <col min="12" max="13" width="13.625" style="1"/>
    <col min="14" max="14" width="0" style="1" hidden="1" customWidth="1" outlineLevel="1"/>
    <col min="15" max="15" width="13.625" style="1" collapsed="1"/>
    <col min="16" max="20" width="13.625" style="1"/>
    <col min="21" max="21" width="14.25" style="1" bestFit="1" customWidth="1"/>
    <col min="22" max="22" width="14" style="1" bestFit="1" customWidth="1"/>
    <col min="23" max="23" width="0" style="2" hidden="1" customWidth="1" outlineLevel="1"/>
    <col min="24" max="24" width="13.625" style="2" collapsed="1"/>
    <col min="25" max="28" width="13.625" style="2"/>
    <col min="29" max="29" width="0" style="1" hidden="1" customWidth="1" outlineLevel="1"/>
    <col min="30" max="30" width="13.625" style="1" collapsed="1"/>
    <col min="31" max="35" width="13.625" style="1"/>
    <col min="36" max="65" width="8.875" style="1" customWidth="1"/>
    <col min="66" max="16384" width="13.625" style="1"/>
  </cols>
  <sheetData>
    <row r="1" spans="1:65" ht="15" customHeight="1">
      <c r="D1" s="1" t="str">
        <f>+'[1]3条支出'!$D$1</f>
        <v>令和５年度決算　消費税算出資料</v>
      </c>
    </row>
    <row r="2" spans="1:65" ht="15" customHeight="1">
      <c r="D2" s="1" t="s">
        <v>68</v>
      </c>
      <c r="N2" s="146"/>
      <c r="O2" s="146"/>
      <c r="P2" s="146"/>
      <c r="Q2" s="146"/>
      <c r="R2" s="146"/>
      <c r="S2" s="145"/>
      <c r="T2" s="145"/>
      <c r="U2" s="145"/>
      <c r="V2" s="145"/>
      <c r="AK2" s="131"/>
      <c r="AL2" s="131"/>
      <c r="AM2" s="131"/>
      <c r="AN2" s="131"/>
      <c r="AO2" s="131"/>
      <c r="AP2" s="131"/>
      <c r="AQ2" s="131"/>
      <c r="AR2" s="131"/>
      <c r="AS2" s="131"/>
      <c r="AT2" s="131"/>
    </row>
    <row r="3" spans="1:65" ht="15" customHeight="1">
      <c r="A3" s="185" t="s">
        <v>67</v>
      </c>
      <c r="B3" s="186" t="s">
        <v>66</v>
      </c>
      <c r="C3" s="197" t="s">
        <v>65</v>
      </c>
      <c r="D3" s="199" t="s">
        <v>64</v>
      </c>
      <c r="E3" s="199" t="s">
        <v>63</v>
      </c>
      <c r="F3" s="158" t="s">
        <v>62</v>
      </c>
      <c r="G3" s="159"/>
      <c r="H3" s="159"/>
      <c r="I3" s="159"/>
      <c r="J3" s="159"/>
      <c r="K3" s="160"/>
      <c r="L3" s="182" t="s">
        <v>69</v>
      </c>
      <c r="M3" s="188" t="s">
        <v>70</v>
      </c>
      <c r="N3" s="185" t="s">
        <v>61</v>
      </c>
      <c r="O3" s="186"/>
      <c r="P3" s="186"/>
      <c r="Q3" s="186"/>
      <c r="R3" s="186"/>
      <c r="S3" s="186"/>
      <c r="T3" s="186"/>
      <c r="U3" s="186"/>
      <c r="V3" s="187"/>
      <c r="W3" s="167" t="s">
        <v>60</v>
      </c>
      <c r="X3" s="168"/>
      <c r="Y3" s="168"/>
      <c r="Z3" s="168"/>
      <c r="AA3" s="168"/>
      <c r="AB3" s="169"/>
      <c r="AC3" s="207" t="s">
        <v>59</v>
      </c>
      <c r="AD3" s="208"/>
      <c r="AE3" s="208"/>
      <c r="AF3" s="208"/>
      <c r="AG3" s="208"/>
      <c r="AH3" s="209"/>
      <c r="AI3" s="199" t="s">
        <v>58</v>
      </c>
      <c r="AJ3" s="161" t="s">
        <v>57</v>
      </c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 t="s">
        <v>56</v>
      </c>
      <c r="AZ3" s="162"/>
      <c r="BA3" s="162"/>
      <c r="BB3" s="162"/>
      <c r="BC3" s="162"/>
      <c r="BD3" s="162"/>
      <c r="BE3" s="162"/>
      <c r="BF3" s="162"/>
      <c r="BG3" s="162"/>
      <c r="BH3" s="162"/>
      <c r="BI3" s="162"/>
      <c r="BJ3" s="162"/>
      <c r="BK3" s="162"/>
      <c r="BL3" s="162"/>
      <c r="BM3" s="162"/>
    </row>
    <row r="4" spans="1:65" ht="15" customHeight="1">
      <c r="A4" s="193"/>
      <c r="B4" s="195"/>
      <c r="C4" s="198"/>
      <c r="D4" s="183"/>
      <c r="E4" s="183"/>
      <c r="F4" s="161"/>
      <c r="G4" s="162"/>
      <c r="H4" s="162"/>
      <c r="I4" s="162"/>
      <c r="J4" s="162"/>
      <c r="K4" s="163"/>
      <c r="L4" s="183"/>
      <c r="M4" s="183"/>
      <c r="N4" s="190" t="s">
        <v>55</v>
      </c>
      <c r="O4" s="191"/>
      <c r="P4" s="191"/>
      <c r="Q4" s="191"/>
      <c r="R4" s="191"/>
      <c r="S4" s="191"/>
      <c r="T4" s="192"/>
      <c r="U4" s="203" t="s">
        <v>54</v>
      </c>
      <c r="V4" s="144"/>
      <c r="W4" s="170"/>
      <c r="X4" s="171"/>
      <c r="Y4" s="171"/>
      <c r="Z4" s="171"/>
      <c r="AA4" s="171"/>
      <c r="AB4" s="172"/>
      <c r="AC4" s="210"/>
      <c r="AD4" s="211"/>
      <c r="AE4" s="211"/>
      <c r="AF4" s="211"/>
      <c r="AG4" s="211"/>
      <c r="AH4" s="212"/>
      <c r="AI4" s="183"/>
      <c r="AJ4" s="161"/>
      <c r="AK4" s="162"/>
      <c r="AL4" s="162"/>
      <c r="AM4" s="162"/>
      <c r="AN4" s="162"/>
      <c r="AO4" s="162"/>
      <c r="AP4" s="162"/>
      <c r="AQ4" s="162"/>
      <c r="AR4" s="162"/>
      <c r="AS4" s="162"/>
      <c r="AT4" s="162"/>
      <c r="AU4" s="162"/>
      <c r="AV4" s="162"/>
      <c r="AW4" s="162"/>
      <c r="AX4" s="162"/>
      <c r="AY4" s="162"/>
      <c r="AZ4" s="162"/>
      <c r="BA4" s="162"/>
      <c r="BB4" s="162"/>
      <c r="BC4" s="162"/>
      <c r="BD4" s="162"/>
      <c r="BE4" s="162"/>
      <c r="BF4" s="162"/>
      <c r="BG4" s="162"/>
      <c r="BH4" s="162"/>
      <c r="BI4" s="162"/>
      <c r="BJ4" s="162"/>
      <c r="BK4" s="162"/>
      <c r="BL4" s="162"/>
      <c r="BM4" s="162"/>
    </row>
    <row r="5" spans="1:65" ht="15" customHeight="1">
      <c r="A5" s="193"/>
      <c r="B5" s="195"/>
      <c r="C5" s="198"/>
      <c r="D5" s="183"/>
      <c r="E5" s="183"/>
      <c r="F5" s="164"/>
      <c r="G5" s="165"/>
      <c r="H5" s="165"/>
      <c r="I5" s="165"/>
      <c r="J5" s="165"/>
      <c r="K5" s="166"/>
      <c r="L5" s="183"/>
      <c r="M5" s="183"/>
      <c r="N5" s="176" t="s">
        <v>53</v>
      </c>
      <c r="O5" s="177"/>
      <c r="P5" s="177"/>
      <c r="Q5" s="177"/>
      <c r="R5" s="177"/>
      <c r="S5" s="177"/>
      <c r="T5" s="178" t="s">
        <v>52</v>
      </c>
      <c r="U5" s="204"/>
      <c r="V5" s="180" t="s">
        <v>1</v>
      </c>
      <c r="W5" s="173"/>
      <c r="X5" s="174"/>
      <c r="Y5" s="174"/>
      <c r="Z5" s="174"/>
      <c r="AA5" s="174"/>
      <c r="AB5" s="175"/>
      <c r="AC5" s="210"/>
      <c r="AD5" s="211"/>
      <c r="AE5" s="211"/>
      <c r="AF5" s="211"/>
      <c r="AG5" s="211"/>
      <c r="AH5" s="212"/>
      <c r="AI5" s="183"/>
      <c r="AJ5" s="206" t="s">
        <v>51</v>
      </c>
      <c r="AK5" s="201"/>
      <c r="AL5" s="201"/>
      <c r="AM5" s="201"/>
      <c r="AN5" s="201"/>
      <c r="AO5" s="201" t="s">
        <v>50</v>
      </c>
      <c r="AP5" s="201"/>
      <c r="AQ5" s="201"/>
      <c r="AR5" s="201"/>
      <c r="AS5" s="201"/>
      <c r="AT5" s="201" t="s">
        <v>49</v>
      </c>
      <c r="AU5" s="201"/>
      <c r="AV5" s="201"/>
      <c r="AW5" s="201"/>
      <c r="AX5" s="201"/>
      <c r="AY5" s="201" t="s">
        <v>51</v>
      </c>
      <c r="AZ5" s="201"/>
      <c r="BA5" s="201"/>
      <c r="BB5" s="201"/>
      <c r="BC5" s="201"/>
      <c r="BD5" s="201" t="s">
        <v>50</v>
      </c>
      <c r="BE5" s="201"/>
      <c r="BF5" s="201"/>
      <c r="BG5" s="201"/>
      <c r="BH5" s="201"/>
      <c r="BI5" s="202" t="s">
        <v>49</v>
      </c>
      <c r="BJ5" s="202"/>
      <c r="BK5" s="202"/>
      <c r="BL5" s="202"/>
      <c r="BM5" s="202"/>
    </row>
    <row r="6" spans="1:65" s="131" customFormat="1" ht="15" customHeight="1">
      <c r="A6" s="194"/>
      <c r="B6" s="196"/>
      <c r="C6" s="198"/>
      <c r="D6" s="200"/>
      <c r="E6" s="200"/>
      <c r="F6" s="143">
        <v>3</v>
      </c>
      <c r="G6" s="142">
        <v>5</v>
      </c>
      <c r="H6" s="142">
        <v>8</v>
      </c>
      <c r="I6" s="155">
        <v>8</v>
      </c>
      <c r="J6" s="141">
        <v>10</v>
      </c>
      <c r="K6" s="134" t="s">
        <v>1</v>
      </c>
      <c r="L6" s="184"/>
      <c r="M6" s="189"/>
      <c r="N6" s="140">
        <v>3</v>
      </c>
      <c r="O6" s="139">
        <v>5</v>
      </c>
      <c r="P6" s="139">
        <v>8</v>
      </c>
      <c r="Q6" s="155">
        <v>8</v>
      </c>
      <c r="R6" s="139">
        <v>10</v>
      </c>
      <c r="S6" s="138" t="s">
        <v>48</v>
      </c>
      <c r="T6" s="179"/>
      <c r="U6" s="205"/>
      <c r="V6" s="181"/>
      <c r="W6" s="137">
        <v>3</v>
      </c>
      <c r="X6" s="136">
        <v>5</v>
      </c>
      <c r="Y6" s="136">
        <v>8</v>
      </c>
      <c r="Z6" s="155">
        <v>8</v>
      </c>
      <c r="AA6" s="135">
        <v>10</v>
      </c>
      <c r="AB6" s="134" t="s">
        <v>1</v>
      </c>
      <c r="AC6" s="137">
        <v>3</v>
      </c>
      <c r="AD6" s="136">
        <v>5</v>
      </c>
      <c r="AE6" s="136">
        <v>8</v>
      </c>
      <c r="AF6" s="155">
        <v>8</v>
      </c>
      <c r="AG6" s="136">
        <v>10</v>
      </c>
      <c r="AH6" s="133" t="s">
        <v>48</v>
      </c>
      <c r="AI6" s="200"/>
      <c r="AJ6" s="132">
        <v>3</v>
      </c>
      <c r="AK6" s="132">
        <v>5</v>
      </c>
      <c r="AL6" s="132">
        <v>8</v>
      </c>
      <c r="AM6" s="156">
        <v>8</v>
      </c>
      <c r="AN6" s="132">
        <v>10</v>
      </c>
      <c r="AO6" s="132">
        <v>3</v>
      </c>
      <c r="AP6" s="132">
        <v>5</v>
      </c>
      <c r="AQ6" s="132">
        <v>8</v>
      </c>
      <c r="AR6" s="156">
        <v>8</v>
      </c>
      <c r="AS6" s="132">
        <v>10</v>
      </c>
      <c r="AT6" s="132">
        <v>3</v>
      </c>
      <c r="AU6" s="132">
        <v>5</v>
      </c>
      <c r="AV6" s="132">
        <v>8</v>
      </c>
      <c r="AW6" s="156">
        <v>8</v>
      </c>
      <c r="AX6" s="132">
        <v>10</v>
      </c>
      <c r="AY6" s="132">
        <v>3</v>
      </c>
      <c r="AZ6" s="132">
        <v>5</v>
      </c>
      <c r="BA6" s="132">
        <v>8</v>
      </c>
      <c r="BB6" s="156">
        <v>8</v>
      </c>
      <c r="BC6" s="132">
        <v>10</v>
      </c>
      <c r="BD6" s="132">
        <v>3</v>
      </c>
      <c r="BE6" s="132">
        <v>5</v>
      </c>
      <c r="BF6" s="132">
        <v>8</v>
      </c>
      <c r="BG6" s="156">
        <v>8</v>
      </c>
      <c r="BH6" s="132">
        <v>10</v>
      </c>
      <c r="BI6" s="132">
        <v>3</v>
      </c>
      <c r="BJ6" s="132">
        <v>5</v>
      </c>
      <c r="BK6" s="132">
        <v>8</v>
      </c>
      <c r="BL6" s="156">
        <v>8</v>
      </c>
      <c r="BM6" s="132">
        <v>10</v>
      </c>
    </row>
    <row r="7" spans="1:65" ht="15" customHeight="1">
      <c r="A7" s="72"/>
      <c r="B7" s="71"/>
      <c r="C7" s="70"/>
      <c r="D7" s="69" t="s">
        <v>47</v>
      </c>
      <c r="E7" s="68">
        <f t="shared" ref="E7:AI7" si="0">+SUM(E8,E16,E20)</f>
        <v>32373300000</v>
      </c>
      <c r="F7" s="60">
        <f t="shared" si="0"/>
        <v>0</v>
      </c>
      <c r="G7" s="59">
        <f t="shared" si="0"/>
        <v>0</v>
      </c>
      <c r="H7" s="59">
        <f t="shared" si="0"/>
        <v>0</v>
      </c>
      <c r="I7" s="59">
        <f t="shared" ref="I7" si="1">+SUM(I8,I16,I20)</f>
        <v>0</v>
      </c>
      <c r="J7" s="65">
        <f t="shared" si="0"/>
        <v>0</v>
      </c>
      <c r="K7" s="64">
        <f t="shared" si="0"/>
        <v>0</v>
      </c>
      <c r="L7" s="68">
        <f t="shared" si="0"/>
        <v>0</v>
      </c>
      <c r="M7" s="68">
        <f t="shared" si="0"/>
        <v>0</v>
      </c>
      <c r="N7" s="60">
        <f t="shared" si="0"/>
        <v>0</v>
      </c>
      <c r="O7" s="59">
        <f t="shared" si="0"/>
        <v>0</v>
      </c>
      <c r="P7" s="59">
        <f t="shared" si="0"/>
        <v>0</v>
      </c>
      <c r="Q7" s="59">
        <f t="shared" ref="Q7" si="2">+SUM(Q8,Q16,Q20)</f>
        <v>0</v>
      </c>
      <c r="R7" s="59">
        <f t="shared" si="0"/>
        <v>0</v>
      </c>
      <c r="S7" s="59">
        <f t="shared" si="0"/>
        <v>0</v>
      </c>
      <c r="T7" s="67">
        <f t="shared" si="0"/>
        <v>0</v>
      </c>
      <c r="U7" s="66">
        <f t="shared" si="0"/>
        <v>32373300000</v>
      </c>
      <c r="V7" s="64">
        <f t="shared" si="0"/>
        <v>32373300000</v>
      </c>
      <c r="W7" s="60">
        <f t="shared" si="0"/>
        <v>0</v>
      </c>
      <c r="X7" s="59">
        <f t="shared" si="0"/>
        <v>0</v>
      </c>
      <c r="Y7" s="59">
        <f t="shared" si="0"/>
        <v>0</v>
      </c>
      <c r="Z7" s="59">
        <f t="shared" ref="Z7" si="3">+SUM(Z8,Z16,Z20)</f>
        <v>0</v>
      </c>
      <c r="AA7" s="65">
        <f t="shared" si="0"/>
        <v>0</v>
      </c>
      <c r="AB7" s="64">
        <f t="shared" si="0"/>
        <v>0</v>
      </c>
      <c r="AC7" s="63">
        <f t="shared" si="0"/>
        <v>0</v>
      </c>
      <c r="AD7" s="62">
        <f t="shared" si="0"/>
        <v>0</v>
      </c>
      <c r="AE7" s="62">
        <f t="shared" si="0"/>
        <v>0</v>
      </c>
      <c r="AF7" s="62">
        <f t="shared" ref="AF7" si="4">+SUM(AF8,AF16,AF20)</f>
        <v>0</v>
      </c>
      <c r="AG7" s="62">
        <f t="shared" si="0"/>
        <v>0</v>
      </c>
      <c r="AH7" s="58">
        <f t="shared" si="0"/>
        <v>0</v>
      </c>
      <c r="AI7" s="61">
        <f t="shared" si="0"/>
        <v>32373300000</v>
      </c>
      <c r="AJ7" s="37"/>
      <c r="AK7" s="37"/>
      <c r="AL7" s="37"/>
      <c r="AM7" s="37"/>
      <c r="AN7" s="37"/>
      <c r="AO7" s="36"/>
      <c r="AP7" s="36"/>
      <c r="AQ7" s="36"/>
      <c r="AR7" s="36"/>
      <c r="AS7" s="36"/>
      <c r="AT7" s="35"/>
      <c r="AU7" s="35"/>
      <c r="AV7" s="35"/>
      <c r="AW7" s="35"/>
      <c r="AX7" s="35"/>
      <c r="BI7" s="35"/>
      <c r="BJ7" s="35"/>
      <c r="BK7" s="35"/>
      <c r="BL7" s="35"/>
      <c r="BM7" s="35"/>
    </row>
    <row r="8" spans="1:65" ht="15" customHeight="1">
      <c r="A8" s="119"/>
      <c r="B8" s="118"/>
      <c r="C8" s="117"/>
      <c r="D8" s="116" t="s">
        <v>46</v>
      </c>
      <c r="E8" s="115">
        <f>+SUM(E9,E12:E15)</f>
        <v>15365600000</v>
      </c>
      <c r="F8" s="107">
        <f t="shared" ref="F8:AI8" si="5">+SUM(F9,F12:F15)</f>
        <v>0</v>
      </c>
      <c r="G8" s="106">
        <f t="shared" si="5"/>
        <v>0</v>
      </c>
      <c r="H8" s="106">
        <f t="shared" si="5"/>
        <v>0</v>
      </c>
      <c r="I8" s="106">
        <f t="shared" ref="I8" si="6">+SUM(I9,I12:I15)</f>
        <v>0</v>
      </c>
      <c r="J8" s="112">
        <f t="shared" si="5"/>
        <v>0</v>
      </c>
      <c r="K8" s="111">
        <f t="shared" si="5"/>
        <v>0</v>
      </c>
      <c r="L8" s="115">
        <f t="shared" si="5"/>
        <v>0</v>
      </c>
      <c r="M8" s="115">
        <f t="shared" si="5"/>
        <v>0</v>
      </c>
      <c r="N8" s="107">
        <f t="shared" si="5"/>
        <v>0</v>
      </c>
      <c r="O8" s="106">
        <f t="shared" si="5"/>
        <v>0</v>
      </c>
      <c r="P8" s="106">
        <f t="shared" si="5"/>
        <v>0</v>
      </c>
      <c r="Q8" s="106">
        <f t="shared" ref="Q8" si="7">+SUM(Q9,Q12:Q15)</f>
        <v>0</v>
      </c>
      <c r="R8" s="106">
        <f t="shared" si="5"/>
        <v>0</v>
      </c>
      <c r="S8" s="106">
        <f t="shared" si="5"/>
        <v>0</v>
      </c>
      <c r="T8" s="114">
        <f t="shared" si="5"/>
        <v>0</v>
      </c>
      <c r="U8" s="113">
        <f t="shared" si="5"/>
        <v>15365600000</v>
      </c>
      <c r="V8" s="111">
        <f t="shared" si="5"/>
        <v>15365600000</v>
      </c>
      <c r="W8" s="107">
        <f t="shared" si="5"/>
        <v>0</v>
      </c>
      <c r="X8" s="106">
        <f t="shared" si="5"/>
        <v>0</v>
      </c>
      <c r="Y8" s="106">
        <f t="shared" si="5"/>
        <v>0</v>
      </c>
      <c r="Z8" s="106">
        <f t="shared" ref="Z8" si="8">+SUM(Z9,Z12:Z15)</f>
        <v>0</v>
      </c>
      <c r="AA8" s="112">
        <f t="shared" si="5"/>
        <v>0</v>
      </c>
      <c r="AB8" s="111">
        <f t="shared" si="5"/>
        <v>0</v>
      </c>
      <c r="AC8" s="110">
        <f t="shared" si="5"/>
        <v>0</v>
      </c>
      <c r="AD8" s="109">
        <f t="shared" si="5"/>
        <v>0</v>
      </c>
      <c r="AE8" s="109">
        <f t="shared" si="5"/>
        <v>0</v>
      </c>
      <c r="AF8" s="109">
        <f t="shared" ref="AF8" si="9">+SUM(AF9,AF12:AF15)</f>
        <v>0</v>
      </c>
      <c r="AG8" s="109">
        <f t="shared" si="5"/>
        <v>0</v>
      </c>
      <c r="AH8" s="105">
        <f t="shared" si="5"/>
        <v>0</v>
      </c>
      <c r="AI8" s="108">
        <f t="shared" si="5"/>
        <v>15365600000</v>
      </c>
      <c r="AJ8" s="37"/>
      <c r="AK8" s="37"/>
      <c r="AL8" s="37"/>
      <c r="AM8" s="37"/>
      <c r="AN8" s="37"/>
      <c r="AO8" s="36"/>
      <c r="AP8" s="36"/>
      <c r="AQ8" s="36"/>
      <c r="AR8" s="36"/>
      <c r="AS8" s="36"/>
      <c r="AT8" s="35"/>
      <c r="AU8" s="35"/>
      <c r="AV8" s="35"/>
      <c r="AW8" s="35"/>
      <c r="AX8" s="35"/>
      <c r="BI8" s="35"/>
      <c r="BJ8" s="35"/>
      <c r="BK8" s="35"/>
      <c r="BL8" s="35"/>
      <c r="BM8" s="35"/>
    </row>
    <row r="9" spans="1:65" ht="15" customHeight="1">
      <c r="A9" s="104"/>
      <c r="B9" s="103"/>
      <c r="C9" s="102"/>
      <c r="D9" s="101" t="s">
        <v>45</v>
      </c>
      <c r="E9" s="100">
        <f t="shared" ref="E9:AI9" si="10">+SUM(E10:E11)</f>
        <v>8822500000</v>
      </c>
      <c r="F9" s="92">
        <f t="shared" si="10"/>
        <v>0</v>
      </c>
      <c r="G9" s="91">
        <f t="shared" si="10"/>
        <v>0</v>
      </c>
      <c r="H9" s="91">
        <f t="shared" si="10"/>
        <v>0</v>
      </c>
      <c r="I9" s="91">
        <f t="shared" ref="I9" si="11">+SUM(I10:I11)</f>
        <v>0</v>
      </c>
      <c r="J9" s="97">
        <f t="shared" si="10"/>
        <v>0</v>
      </c>
      <c r="K9" s="96">
        <f t="shared" si="10"/>
        <v>0</v>
      </c>
      <c r="L9" s="100">
        <f t="shared" si="10"/>
        <v>0</v>
      </c>
      <c r="M9" s="100">
        <f t="shared" si="10"/>
        <v>0</v>
      </c>
      <c r="N9" s="92">
        <f t="shared" si="10"/>
        <v>0</v>
      </c>
      <c r="O9" s="91">
        <f t="shared" si="10"/>
        <v>0</v>
      </c>
      <c r="P9" s="91">
        <f t="shared" si="10"/>
        <v>0</v>
      </c>
      <c r="Q9" s="91">
        <f t="shared" ref="Q9" si="12">+SUM(Q10:Q11)</f>
        <v>0</v>
      </c>
      <c r="R9" s="91">
        <f t="shared" si="10"/>
        <v>0</v>
      </c>
      <c r="S9" s="91">
        <f t="shared" si="10"/>
        <v>0</v>
      </c>
      <c r="T9" s="99">
        <f t="shared" si="10"/>
        <v>0</v>
      </c>
      <c r="U9" s="98">
        <f t="shared" si="10"/>
        <v>8822500000</v>
      </c>
      <c r="V9" s="96">
        <f t="shared" si="10"/>
        <v>8822500000</v>
      </c>
      <c r="W9" s="92">
        <f t="shared" si="10"/>
        <v>0</v>
      </c>
      <c r="X9" s="91">
        <f t="shared" si="10"/>
        <v>0</v>
      </c>
      <c r="Y9" s="91">
        <f t="shared" si="10"/>
        <v>0</v>
      </c>
      <c r="Z9" s="91">
        <f t="shared" ref="Z9" si="13">+SUM(Z10:Z11)</f>
        <v>0</v>
      </c>
      <c r="AA9" s="97">
        <f t="shared" si="10"/>
        <v>0</v>
      </c>
      <c r="AB9" s="96">
        <f t="shared" si="10"/>
        <v>0</v>
      </c>
      <c r="AC9" s="95">
        <f t="shared" si="10"/>
        <v>0</v>
      </c>
      <c r="AD9" s="94">
        <f t="shared" si="10"/>
        <v>0</v>
      </c>
      <c r="AE9" s="94">
        <f t="shared" si="10"/>
        <v>0</v>
      </c>
      <c r="AF9" s="94">
        <f t="shared" ref="AF9" si="14">+SUM(AF10:AF11)</f>
        <v>0</v>
      </c>
      <c r="AG9" s="94">
        <f t="shared" si="10"/>
        <v>0</v>
      </c>
      <c r="AH9" s="90">
        <f t="shared" si="10"/>
        <v>0</v>
      </c>
      <c r="AI9" s="93">
        <f t="shared" si="10"/>
        <v>8822500000</v>
      </c>
      <c r="AJ9" s="37"/>
      <c r="AK9" s="37"/>
      <c r="AL9" s="37"/>
      <c r="AM9" s="37"/>
      <c r="AN9" s="37"/>
      <c r="AO9" s="36"/>
      <c r="AP9" s="36"/>
      <c r="AQ9" s="36"/>
      <c r="AR9" s="36"/>
      <c r="AS9" s="36"/>
      <c r="AT9" s="35"/>
      <c r="AU9" s="35"/>
      <c r="AV9" s="35"/>
      <c r="AW9" s="35"/>
      <c r="AX9" s="35"/>
      <c r="BI9" s="35"/>
      <c r="BJ9" s="35"/>
      <c r="BK9" s="35"/>
      <c r="BL9" s="35"/>
      <c r="BM9" s="35"/>
    </row>
    <row r="10" spans="1:65" ht="15" customHeight="1" outlineLevel="1">
      <c r="A10" s="104"/>
      <c r="B10" s="103"/>
      <c r="C10" s="102">
        <v>112011010</v>
      </c>
      <c r="D10" s="101" t="s">
        <v>44</v>
      </c>
      <c r="E10" s="130">
        <f>+SUMIFS([1]全伝票!I:I,[1]全伝票!$C:$C,$C10)</f>
        <v>8822500000</v>
      </c>
      <c r="F10" s="92"/>
      <c r="G10" s="91"/>
      <c r="H10" s="91"/>
      <c r="I10" s="91"/>
      <c r="J10" s="97"/>
      <c r="K10" s="96">
        <f t="shared" ref="K10:K15" si="15">SUM(F10:J10)</f>
        <v>0</v>
      </c>
      <c r="L10" s="100"/>
      <c r="M10" s="100"/>
      <c r="N10" s="92"/>
      <c r="O10" s="91"/>
      <c r="P10" s="91"/>
      <c r="Q10" s="91"/>
      <c r="R10" s="91"/>
      <c r="S10" s="91">
        <f t="shared" ref="S10:S15" si="16">SUM(N10:R10)</f>
        <v>0</v>
      </c>
      <c r="T10" s="99"/>
      <c r="U10" s="98">
        <f t="shared" ref="U10:U15" si="17">+V10-SUM(S10:T10)</f>
        <v>8822500000</v>
      </c>
      <c r="V10" s="120">
        <f>+SUMIFS([1]全伝票!P:P,[1]全伝票!$C:$C,$C10)</f>
        <v>8822500000</v>
      </c>
      <c r="W10" s="92">
        <f t="shared" ref="W10:Z14" si="18">+ROUND(F10*F$6/(100+F$6),0)+AT10</f>
        <v>0</v>
      </c>
      <c r="X10" s="91">
        <f t="shared" si="18"/>
        <v>0</v>
      </c>
      <c r="Y10" s="91">
        <f t="shared" si="18"/>
        <v>0</v>
      </c>
      <c r="Z10" s="91">
        <f t="shared" si="18"/>
        <v>0</v>
      </c>
      <c r="AA10" s="97">
        <f>+ROUND(J10*J$6/(100+J$6),0)+AX10</f>
        <v>0</v>
      </c>
      <c r="AB10" s="96">
        <f t="shared" ref="AB10:AB15" si="19">SUM(W10:AA10)</f>
        <v>0</v>
      </c>
      <c r="AC10" s="95">
        <f t="shared" ref="AC10:AF14" si="20">+ROUND(N10*AC$6/(100+AC$6),0)+BI10</f>
        <v>0</v>
      </c>
      <c r="AD10" s="94">
        <f t="shared" si="20"/>
        <v>0</v>
      </c>
      <c r="AE10" s="94">
        <f t="shared" si="20"/>
        <v>0</v>
      </c>
      <c r="AF10" s="94">
        <f t="shared" si="20"/>
        <v>0</v>
      </c>
      <c r="AG10" s="94">
        <f>+ROUND(R10*AG$6/(100+AG$6),0)+BM10</f>
        <v>0</v>
      </c>
      <c r="AH10" s="90">
        <f t="shared" ref="AH10:AH15" si="21">SUM(AC10:AG10)</f>
        <v>0</v>
      </c>
      <c r="AI10" s="93">
        <f t="shared" ref="AI10:AI15" si="22">+E10-AB10</f>
        <v>8822500000</v>
      </c>
      <c r="AJ10" s="37"/>
      <c r="AK10" s="37"/>
      <c r="AL10" s="37"/>
      <c r="AM10" s="37"/>
      <c r="AN10" s="37"/>
      <c r="AO10" s="36"/>
      <c r="AP10" s="36"/>
      <c r="AQ10" s="36"/>
      <c r="AR10" s="36"/>
      <c r="AS10" s="36"/>
      <c r="AT10" s="35"/>
      <c r="AU10" s="35"/>
      <c r="AV10" s="35"/>
      <c r="AW10" s="35"/>
      <c r="AX10" s="35"/>
      <c r="BI10" s="35"/>
      <c r="BJ10" s="35"/>
      <c r="BK10" s="35"/>
      <c r="BL10" s="35"/>
      <c r="BM10" s="35"/>
    </row>
    <row r="11" spans="1:65" ht="15" customHeight="1" outlineLevel="1">
      <c r="A11" s="104"/>
      <c r="B11" s="103"/>
      <c r="C11" s="102">
        <v>112011011</v>
      </c>
      <c r="D11" s="101" t="s">
        <v>43</v>
      </c>
      <c r="E11" s="130">
        <f>+SUMIFS([1]全伝票!I:I,[1]全伝票!$C:$C,$C11)</f>
        <v>0</v>
      </c>
      <c r="F11" s="92"/>
      <c r="G11" s="91"/>
      <c r="H11" s="91"/>
      <c r="I11" s="91"/>
      <c r="J11" s="97"/>
      <c r="K11" s="96">
        <f t="shared" si="15"/>
        <v>0</v>
      </c>
      <c r="L11" s="100"/>
      <c r="M11" s="100"/>
      <c r="N11" s="92"/>
      <c r="O11" s="91"/>
      <c r="P11" s="91"/>
      <c r="Q11" s="91"/>
      <c r="R11" s="91"/>
      <c r="S11" s="91">
        <f t="shared" si="16"/>
        <v>0</v>
      </c>
      <c r="T11" s="99"/>
      <c r="U11" s="98">
        <f t="shared" si="17"/>
        <v>0</v>
      </c>
      <c r="V11" s="120">
        <f>+SUMIFS([1]全伝票!P:P,[1]全伝票!$C:$C,$C11)</f>
        <v>0</v>
      </c>
      <c r="W11" s="92">
        <f t="shared" si="18"/>
        <v>0</v>
      </c>
      <c r="X11" s="91">
        <f t="shared" si="18"/>
        <v>0</v>
      </c>
      <c r="Y11" s="91">
        <f t="shared" si="18"/>
        <v>0</v>
      </c>
      <c r="Z11" s="91">
        <f t="shared" si="18"/>
        <v>0</v>
      </c>
      <c r="AA11" s="97">
        <f>+ROUND(J11*J$6/(100+J$6),0)+AX11</f>
        <v>0</v>
      </c>
      <c r="AB11" s="96">
        <f t="shared" si="19"/>
        <v>0</v>
      </c>
      <c r="AC11" s="95">
        <f t="shared" si="20"/>
        <v>0</v>
      </c>
      <c r="AD11" s="94">
        <f t="shared" si="20"/>
        <v>0</v>
      </c>
      <c r="AE11" s="94">
        <f t="shared" si="20"/>
        <v>0</v>
      </c>
      <c r="AF11" s="94">
        <f t="shared" si="20"/>
        <v>0</v>
      </c>
      <c r="AG11" s="94">
        <f>+ROUND(R11*AG$6/(100+AG$6),0)+BM11</f>
        <v>0</v>
      </c>
      <c r="AH11" s="90">
        <f t="shared" si="21"/>
        <v>0</v>
      </c>
      <c r="AI11" s="93">
        <f t="shared" si="22"/>
        <v>0</v>
      </c>
      <c r="AJ11" s="37"/>
      <c r="AK11" s="37"/>
      <c r="AL11" s="37"/>
      <c r="AM11" s="37"/>
      <c r="AN11" s="37"/>
      <c r="AO11" s="36"/>
      <c r="AP11" s="36"/>
      <c r="AQ11" s="36"/>
      <c r="AR11" s="36"/>
      <c r="AS11" s="36"/>
      <c r="AT11" s="35"/>
      <c r="AU11" s="35"/>
      <c r="AV11" s="35"/>
      <c r="AW11" s="35"/>
      <c r="AX11" s="35"/>
      <c r="BI11" s="35"/>
      <c r="BJ11" s="35"/>
      <c r="BK11" s="35"/>
      <c r="BL11" s="35"/>
      <c r="BM11" s="35"/>
    </row>
    <row r="12" spans="1:65" ht="15" customHeight="1">
      <c r="A12" s="104"/>
      <c r="B12" s="103"/>
      <c r="C12" s="102">
        <v>112011500</v>
      </c>
      <c r="D12" s="101" t="s">
        <v>42</v>
      </c>
      <c r="E12" s="130">
        <f>+SUMIFS([1]全伝票!I:I,[1]全伝票!$C:$C,$C12)</f>
        <v>493400000</v>
      </c>
      <c r="F12" s="92"/>
      <c r="G12" s="91"/>
      <c r="H12" s="91"/>
      <c r="I12" s="91"/>
      <c r="J12" s="97"/>
      <c r="K12" s="96">
        <f t="shared" si="15"/>
        <v>0</v>
      </c>
      <c r="L12" s="100"/>
      <c r="M12" s="100"/>
      <c r="N12" s="92"/>
      <c r="O12" s="91"/>
      <c r="P12" s="91"/>
      <c r="Q12" s="91"/>
      <c r="R12" s="91"/>
      <c r="S12" s="91">
        <f t="shared" si="16"/>
        <v>0</v>
      </c>
      <c r="T12" s="99"/>
      <c r="U12" s="98">
        <f t="shared" si="17"/>
        <v>493400000</v>
      </c>
      <c r="V12" s="120">
        <f>+SUMIFS([1]全伝票!P:P,[1]全伝票!$C:$C,$C12)</f>
        <v>493400000</v>
      </c>
      <c r="W12" s="92">
        <f t="shared" si="18"/>
        <v>0</v>
      </c>
      <c r="X12" s="91">
        <f t="shared" si="18"/>
        <v>0</v>
      </c>
      <c r="Y12" s="91">
        <f t="shared" si="18"/>
        <v>0</v>
      </c>
      <c r="Z12" s="91">
        <f t="shared" si="18"/>
        <v>0</v>
      </c>
      <c r="AA12" s="97">
        <f>+ROUND(J12*J$6/(100+J$6),0)+AX12</f>
        <v>0</v>
      </c>
      <c r="AB12" s="96">
        <f t="shared" si="19"/>
        <v>0</v>
      </c>
      <c r="AC12" s="95">
        <f t="shared" si="20"/>
        <v>0</v>
      </c>
      <c r="AD12" s="94">
        <f t="shared" si="20"/>
        <v>0</v>
      </c>
      <c r="AE12" s="94">
        <f t="shared" si="20"/>
        <v>0</v>
      </c>
      <c r="AF12" s="94">
        <f t="shared" si="20"/>
        <v>0</v>
      </c>
      <c r="AG12" s="94">
        <f>+ROUND(R12*AG$6/(100+AG$6),0)+BM12</f>
        <v>0</v>
      </c>
      <c r="AH12" s="90">
        <f t="shared" si="21"/>
        <v>0</v>
      </c>
      <c r="AI12" s="93">
        <f t="shared" si="22"/>
        <v>493400000</v>
      </c>
      <c r="AJ12" s="37"/>
      <c r="AK12" s="37"/>
      <c r="AL12" s="37"/>
      <c r="AM12" s="37"/>
      <c r="AN12" s="37"/>
      <c r="AO12" s="36"/>
      <c r="AP12" s="36"/>
      <c r="AQ12" s="36"/>
      <c r="AR12" s="36"/>
      <c r="AS12" s="36"/>
      <c r="AT12" s="35"/>
      <c r="AU12" s="35"/>
      <c r="AV12" s="35"/>
      <c r="AW12" s="35"/>
      <c r="AX12" s="35"/>
      <c r="BI12" s="35"/>
      <c r="BJ12" s="35"/>
      <c r="BK12" s="35"/>
      <c r="BL12" s="35"/>
      <c r="BM12" s="35"/>
    </row>
    <row r="13" spans="1:65" ht="15" customHeight="1">
      <c r="A13" s="104"/>
      <c r="B13" s="103"/>
      <c r="C13" s="102">
        <v>112011200</v>
      </c>
      <c r="D13" s="101" t="s">
        <v>41</v>
      </c>
      <c r="E13" s="130">
        <f>+SUMIFS([1]全伝票!I:I,[1]全伝票!$C:$C,$C13)</f>
        <v>120200000</v>
      </c>
      <c r="F13" s="92"/>
      <c r="G13" s="91"/>
      <c r="H13" s="91"/>
      <c r="I13" s="91"/>
      <c r="J13" s="97"/>
      <c r="K13" s="96">
        <f t="shared" si="15"/>
        <v>0</v>
      </c>
      <c r="L13" s="100"/>
      <c r="M13" s="100"/>
      <c r="N13" s="92"/>
      <c r="O13" s="91"/>
      <c r="P13" s="91"/>
      <c r="Q13" s="91"/>
      <c r="R13" s="91"/>
      <c r="S13" s="91">
        <f t="shared" si="16"/>
        <v>0</v>
      </c>
      <c r="T13" s="99"/>
      <c r="U13" s="98">
        <f t="shared" si="17"/>
        <v>120200000</v>
      </c>
      <c r="V13" s="120">
        <f>+SUMIFS([1]全伝票!P:P,[1]全伝票!$C:$C,$C13)</f>
        <v>120200000</v>
      </c>
      <c r="W13" s="92">
        <f t="shared" si="18"/>
        <v>0</v>
      </c>
      <c r="X13" s="91">
        <f t="shared" si="18"/>
        <v>0</v>
      </c>
      <c r="Y13" s="91">
        <f t="shared" si="18"/>
        <v>0</v>
      </c>
      <c r="Z13" s="91">
        <f t="shared" si="18"/>
        <v>0</v>
      </c>
      <c r="AA13" s="97">
        <f>+ROUND(J13*J$6/(100+J$6),0)+AX13</f>
        <v>0</v>
      </c>
      <c r="AB13" s="96">
        <f t="shared" si="19"/>
        <v>0</v>
      </c>
      <c r="AC13" s="95">
        <f t="shared" si="20"/>
        <v>0</v>
      </c>
      <c r="AD13" s="94">
        <f t="shared" si="20"/>
        <v>0</v>
      </c>
      <c r="AE13" s="94">
        <f t="shared" si="20"/>
        <v>0</v>
      </c>
      <c r="AF13" s="94">
        <f t="shared" si="20"/>
        <v>0</v>
      </c>
      <c r="AG13" s="94">
        <f>+ROUND(R13*AG$6/(100+AG$6),0)+BM13</f>
        <v>0</v>
      </c>
      <c r="AH13" s="90">
        <f t="shared" si="21"/>
        <v>0</v>
      </c>
      <c r="AI13" s="93">
        <f t="shared" si="22"/>
        <v>120200000</v>
      </c>
      <c r="AJ13" s="37"/>
      <c r="AK13" s="37"/>
      <c r="AL13" s="37"/>
      <c r="AM13" s="37"/>
      <c r="AN13" s="37"/>
      <c r="AO13" s="36"/>
      <c r="AP13" s="36"/>
      <c r="AQ13" s="36"/>
      <c r="AR13" s="36"/>
      <c r="AS13" s="36"/>
      <c r="AT13" s="35"/>
      <c r="AU13" s="35"/>
      <c r="AV13" s="35"/>
      <c r="AW13" s="35"/>
      <c r="AX13" s="35"/>
      <c r="BI13" s="35"/>
      <c r="BJ13" s="35"/>
      <c r="BK13" s="35"/>
      <c r="BL13" s="35"/>
      <c r="BM13" s="35"/>
    </row>
    <row r="14" spans="1:65" ht="15" customHeight="1">
      <c r="A14" s="104"/>
      <c r="B14" s="103"/>
      <c r="C14" s="102">
        <v>112011300</v>
      </c>
      <c r="D14" s="101" t="s">
        <v>40</v>
      </c>
      <c r="E14" s="130">
        <f>+SUMIFS([1]全伝票!I:I,[1]全伝票!$C:$C,$C14)</f>
        <v>5929500000</v>
      </c>
      <c r="F14" s="92"/>
      <c r="G14" s="91"/>
      <c r="H14" s="91"/>
      <c r="I14" s="91"/>
      <c r="J14" s="97"/>
      <c r="K14" s="96">
        <f t="shared" si="15"/>
        <v>0</v>
      </c>
      <c r="L14" s="100"/>
      <c r="M14" s="100"/>
      <c r="N14" s="92"/>
      <c r="O14" s="91"/>
      <c r="P14" s="91"/>
      <c r="Q14" s="91"/>
      <c r="R14" s="91"/>
      <c r="S14" s="91">
        <f t="shared" si="16"/>
        <v>0</v>
      </c>
      <c r="T14" s="99"/>
      <c r="U14" s="98">
        <f t="shared" si="17"/>
        <v>5929500000</v>
      </c>
      <c r="V14" s="120">
        <f>+SUMIFS([1]全伝票!P:P,[1]全伝票!$C:$C,$C14)</f>
        <v>5929500000</v>
      </c>
      <c r="W14" s="92">
        <f t="shared" si="18"/>
        <v>0</v>
      </c>
      <c r="X14" s="91">
        <f t="shared" si="18"/>
        <v>0</v>
      </c>
      <c r="Y14" s="91">
        <f t="shared" si="18"/>
        <v>0</v>
      </c>
      <c r="Z14" s="91">
        <f t="shared" si="18"/>
        <v>0</v>
      </c>
      <c r="AA14" s="97">
        <f>+ROUND(J14*J$6/(100+J$6),0)+AX14</f>
        <v>0</v>
      </c>
      <c r="AB14" s="96">
        <f t="shared" si="19"/>
        <v>0</v>
      </c>
      <c r="AC14" s="95">
        <f t="shared" si="20"/>
        <v>0</v>
      </c>
      <c r="AD14" s="94">
        <f t="shared" si="20"/>
        <v>0</v>
      </c>
      <c r="AE14" s="94">
        <f t="shared" si="20"/>
        <v>0</v>
      </c>
      <c r="AF14" s="94">
        <f t="shared" si="20"/>
        <v>0</v>
      </c>
      <c r="AG14" s="94">
        <f>+ROUND(R14*AG$6/(100+AG$6),0)+BM14</f>
        <v>0</v>
      </c>
      <c r="AH14" s="90">
        <f t="shared" si="21"/>
        <v>0</v>
      </c>
      <c r="AI14" s="93">
        <f t="shared" si="22"/>
        <v>5929500000</v>
      </c>
      <c r="AJ14" s="37"/>
      <c r="AK14" s="37"/>
      <c r="AL14" s="37"/>
      <c r="AM14" s="37"/>
      <c r="AN14" s="37"/>
      <c r="AO14" s="36"/>
      <c r="AP14" s="36"/>
      <c r="AQ14" s="36"/>
      <c r="AR14" s="36"/>
      <c r="AS14" s="36"/>
      <c r="AT14" s="35"/>
      <c r="AU14" s="35"/>
      <c r="AV14" s="35"/>
      <c r="AW14" s="35"/>
      <c r="AX14" s="35"/>
      <c r="BI14" s="35"/>
      <c r="BJ14" s="35"/>
      <c r="BK14" s="35"/>
      <c r="BL14" s="35"/>
      <c r="BM14" s="35"/>
    </row>
    <row r="15" spans="1:65" ht="15" customHeight="1">
      <c r="A15" s="119"/>
      <c r="B15" s="118"/>
      <c r="C15" s="117">
        <v>112011600</v>
      </c>
      <c r="D15" s="101" t="s">
        <v>73</v>
      </c>
      <c r="E15" s="130">
        <f>+SUMIFS([1]全伝票!I:I,[1]全伝票!$C:$C,$C15)</f>
        <v>0</v>
      </c>
      <c r="F15" s="107"/>
      <c r="G15" s="106"/>
      <c r="H15" s="106"/>
      <c r="I15" s="106"/>
      <c r="J15" s="112"/>
      <c r="K15" s="96">
        <f t="shared" si="15"/>
        <v>0</v>
      </c>
      <c r="L15" s="115"/>
      <c r="M15" s="115"/>
      <c r="N15" s="107"/>
      <c r="O15" s="106"/>
      <c r="P15" s="106"/>
      <c r="Q15" s="106"/>
      <c r="R15" s="106"/>
      <c r="S15" s="91">
        <f t="shared" si="16"/>
        <v>0</v>
      </c>
      <c r="T15" s="114"/>
      <c r="U15" s="98">
        <f t="shared" si="17"/>
        <v>0</v>
      </c>
      <c r="V15" s="120">
        <f>+SUMIFS([1]全伝票!P:P,[1]全伝票!$C:$C,$C15)</f>
        <v>0</v>
      </c>
      <c r="W15" s="92">
        <f t="shared" ref="W15" si="23">+ROUND(F15*F$6/(100+F$6),0)+AT15</f>
        <v>0</v>
      </c>
      <c r="X15" s="91">
        <f t="shared" ref="X15" si="24">+ROUND(G15*G$6/(100+G$6),0)+AU15</f>
        <v>0</v>
      </c>
      <c r="Y15" s="91">
        <f t="shared" ref="Y15:Z15" si="25">+ROUND(H15*H$6/(100+H$6),0)+AV15</f>
        <v>0</v>
      </c>
      <c r="Z15" s="91">
        <f t="shared" si="25"/>
        <v>0</v>
      </c>
      <c r="AA15" s="97">
        <f t="shared" ref="AA15" si="26">+ROUND(J15*J$6/(100+J$6),0)+AX15</f>
        <v>0</v>
      </c>
      <c r="AB15" s="96">
        <f t="shared" si="19"/>
        <v>0</v>
      </c>
      <c r="AC15" s="95">
        <f t="shared" ref="AC15" si="27">+ROUND(N15*AC$6/(100+AC$6),0)+BI15</f>
        <v>0</v>
      </c>
      <c r="AD15" s="94">
        <f t="shared" ref="AD15" si="28">+ROUND(O15*AD$6/(100+AD$6),0)+BJ15</f>
        <v>0</v>
      </c>
      <c r="AE15" s="94">
        <f t="shared" ref="AE15:AF15" si="29">+ROUND(P15*AE$6/(100+AE$6),0)+BK15</f>
        <v>0</v>
      </c>
      <c r="AF15" s="94">
        <f t="shared" si="29"/>
        <v>0</v>
      </c>
      <c r="AG15" s="94">
        <f t="shared" ref="AG15" si="30">+ROUND(R15*AG$6/(100+AG$6),0)+BM15</f>
        <v>0</v>
      </c>
      <c r="AH15" s="90">
        <f t="shared" si="21"/>
        <v>0</v>
      </c>
      <c r="AI15" s="93">
        <f t="shared" si="22"/>
        <v>0</v>
      </c>
      <c r="AJ15" s="37"/>
      <c r="AK15" s="37"/>
      <c r="AL15" s="37"/>
      <c r="AM15" s="37"/>
      <c r="AN15" s="37"/>
      <c r="AO15" s="36"/>
      <c r="AP15" s="36"/>
      <c r="AQ15" s="36"/>
      <c r="AR15" s="36"/>
      <c r="AS15" s="36"/>
      <c r="AT15" s="35"/>
      <c r="AU15" s="35"/>
      <c r="AV15" s="35"/>
      <c r="AW15" s="35"/>
      <c r="AX15" s="35"/>
      <c r="BI15" s="35"/>
      <c r="BJ15" s="35"/>
      <c r="BK15" s="35"/>
      <c r="BL15" s="35"/>
      <c r="BM15" s="35"/>
    </row>
    <row r="16" spans="1:65" ht="15" customHeight="1">
      <c r="A16" s="119"/>
      <c r="B16" s="118"/>
      <c r="C16" s="117"/>
      <c r="D16" s="116" t="s">
        <v>39</v>
      </c>
      <c r="E16" s="115">
        <f t="shared" ref="E16:AI16" si="31">+SUM(E17:E19)</f>
        <v>17007700000</v>
      </c>
      <c r="F16" s="107">
        <f t="shared" si="31"/>
        <v>0</v>
      </c>
      <c r="G16" s="106">
        <f t="shared" si="31"/>
        <v>0</v>
      </c>
      <c r="H16" s="106">
        <f t="shared" si="31"/>
        <v>0</v>
      </c>
      <c r="I16" s="106">
        <f t="shared" ref="I16" si="32">+SUM(I17:I19)</f>
        <v>0</v>
      </c>
      <c r="J16" s="112">
        <f t="shared" si="31"/>
        <v>0</v>
      </c>
      <c r="K16" s="111">
        <f t="shared" si="31"/>
        <v>0</v>
      </c>
      <c r="L16" s="115">
        <f t="shared" si="31"/>
        <v>0</v>
      </c>
      <c r="M16" s="115">
        <f t="shared" si="31"/>
        <v>0</v>
      </c>
      <c r="N16" s="107">
        <f t="shared" si="31"/>
        <v>0</v>
      </c>
      <c r="O16" s="106">
        <f t="shared" si="31"/>
        <v>0</v>
      </c>
      <c r="P16" s="106">
        <f t="shared" si="31"/>
        <v>0</v>
      </c>
      <c r="Q16" s="106">
        <f t="shared" ref="Q16" si="33">+SUM(Q17:Q19)</f>
        <v>0</v>
      </c>
      <c r="R16" s="106">
        <f t="shared" si="31"/>
        <v>0</v>
      </c>
      <c r="S16" s="106">
        <f t="shared" si="31"/>
        <v>0</v>
      </c>
      <c r="T16" s="114">
        <f t="shared" si="31"/>
        <v>0</v>
      </c>
      <c r="U16" s="113">
        <f t="shared" si="31"/>
        <v>17007700000</v>
      </c>
      <c r="V16" s="111">
        <f t="shared" si="31"/>
        <v>17007700000</v>
      </c>
      <c r="W16" s="107">
        <f t="shared" si="31"/>
        <v>0</v>
      </c>
      <c r="X16" s="106">
        <f t="shared" si="31"/>
        <v>0</v>
      </c>
      <c r="Y16" s="106">
        <f t="shared" si="31"/>
        <v>0</v>
      </c>
      <c r="Z16" s="106">
        <f t="shared" ref="Z16" si="34">+SUM(Z17:Z19)</f>
        <v>0</v>
      </c>
      <c r="AA16" s="112">
        <f t="shared" si="31"/>
        <v>0</v>
      </c>
      <c r="AB16" s="111">
        <f t="shared" si="31"/>
        <v>0</v>
      </c>
      <c r="AC16" s="110">
        <f t="shared" si="31"/>
        <v>0</v>
      </c>
      <c r="AD16" s="109">
        <f t="shared" si="31"/>
        <v>0</v>
      </c>
      <c r="AE16" s="109">
        <f t="shared" si="31"/>
        <v>0</v>
      </c>
      <c r="AF16" s="109">
        <f t="shared" ref="AF16" si="35">+SUM(AF17:AF19)</f>
        <v>0</v>
      </c>
      <c r="AG16" s="109">
        <f t="shared" si="31"/>
        <v>0</v>
      </c>
      <c r="AH16" s="105">
        <f t="shared" si="31"/>
        <v>0</v>
      </c>
      <c r="AI16" s="108">
        <f t="shared" si="31"/>
        <v>17007700000</v>
      </c>
      <c r="AJ16" s="37"/>
      <c r="AK16" s="37"/>
      <c r="AL16" s="37"/>
      <c r="AM16" s="37"/>
      <c r="AN16" s="37"/>
      <c r="AO16" s="36"/>
      <c r="AP16" s="36"/>
      <c r="AQ16" s="36"/>
      <c r="AR16" s="36"/>
      <c r="AS16" s="36"/>
      <c r="AT16" s="35"/>
      <c r="AU16" s="35"/>
      <c r="AV16" s="35"/>
      <c r="AW16" s="35"/>
      <c r="AX16" s="35"/>
      <c r="BI16" s="35"/>
      <c r="BJ16" s="35"/>
      <c r="BK16" s="35"/>
      <c r="BL16" s="35"/>
      <c r="BM16" s="35"/>
    </row>
    <row r="17" spans="1:65" ht="15" customHeight="1">
      <c r="A17" s="89"/>
      <c r="B17" s="88"/>
      <c r="C17" s="87">
        <v>112021000</v>
      </c>
      <c r="D17" s="86" t="s">
        <v>38</v>
      </c>
      <c r="E17" s="85">
        <f>+SUMIFS([1]全伝票!I:I,[1]全伝票!$C:$C,$C17)</f>
        <v>0</v>
      </c>
      <c r="F17" s="75"/>
      <c r="G17" s="74"/>
      <c r="H17" s="74"/>
      <c r="I17" s="74"/>
      <c r="J17" s="80"/>
      <c r="K17" s="79">
        <f>SUM(F17:J17)</f>
        <v>0</v>
      </c>
      <c r="L17" s="84"/>
      <c r="M17" s="84"/>
      <c r="N17" s="75"/>
      <c r="O17" s="74"/>
      <c r="P17" s="74"/>
      <c r="Q17" s="74"/>
      <c r="R17" s="74"/>
      <c r="S17" s="74">
        <f>SUM(N17:R17)</f>
        <v>0</v>
      </c>
      <c r="T17" s="83"/>
      <c r="U17" s="82">
        <f>+V17-SUM(S17:T17)</f>
        <v>0</v>
      </c>
      <c r="V17" s="81">
        <f>+SUMIFS([1]全伝票!P:P,[1]全伝票!$C:$C,$C17)</f>
        <v>0</v>
      </c>
      <c r="W17" s="75">
        <f t="shared" ref="W17:Z20" si="36">+ROUND(F17*F$6/(100+F$6),0)+AT17</f>
        <v>0</v>
      </c>
      <c r="X17" s="74">
        <f t="shared" si="36"/>
        <v>0</v>
      </c>
      <c r="Y17" s="74">
        <f t="shared" si="36"/>
        <v>0</v>
      </c>
      <c r="Z17" s="74">
        <f t="shared" si="36"/>
        <v>0</v>
      </c>
      <c r="AA17" s="80">
        <f>+ROUND(J17*J$6/(100+J$6),0)+AX17</f>
        <v>0</v>
      </c>
      <c r="AB17" s="79">
        <f>SUM(W17:AA17)</f>
        <v>0</v>
      </c>
      <c r="AC17" s="78">
        <f t="shared" ref="AC17:AF20" si="37">+ROUND(N17*AC$6/(100+AC$6),0)+BI17</f>
        <v>0</v>
      </c>
      <c r="AD17" s="77">
        <f t="shared" si="37"/>
        <v>0</v>
      </c>
      <c r="AE17" s="77">
        <f t="shared" si="37"/>
        <v>0</v>
      </c>
      <c r="AF17" s="77">
        <f t="shared" si="37"/>
        <v>0</v>
      </c>
      <c r="AG17" s="77">
        <f>+ROUND(R17*AG$6/(100+AG$6),0)+BM17</f>
        <v>0</v>
      </c>
      <c r="AH17" s="73">
        <f>SUM(AC17:AG17)</f>
        <v>0</v>
      </c>
      <c r="AI17" s="76">
        <f>+E17-AB17</f>
        <v>0</v>
      </c>
      <c r="AJ17" s="37"/>
      <c r="AK17" s="37"/>
      <c r="AL17" s="37"/>
      <c r="AM17" s="37"/>
      <c r="AN17" s="37"/>
      <c r="AO17" s="36"/>
      <c r="AP17" s="36"/>
      <c r="AQ17" s="36"/>
      <c r="AR17" s="36"/>
      <c r="AS17" s="36"/>
      <c r="AT17" s="35"/>
      <c r="AU17" s="35"/>
      <c r="AV17" s="35"/>
      <c r="AW17" s="35"/>
      <c r="AX17" s="35"/>
      <c r="BI17" s="35"/>
      <c r="BJ17" s="35"/>
      <c r="BK17" s="35"/>
      <c r="BL17" s="35"/>
      <c r="BM17" s="35"/>
    </row>
    <row r="18" spans="1:65" ht="15" customHeight="1">
      <c r="A18" s="89"/>
      <c r="B18" s="88"/>
      <c r="C18" s="87">
        <v>112023000</v>
      </c>
      <c r="D18" s="86" t="s">
        <v>72</v>
      </c>
      <c r="E18" s="85">
        <f>+SUMIFS([1]全伝票!I:I,[1]全伝票!$C:$C,$C18)</f>
        <v>0</v>
      </c>
      <c r="F18" s="75"/>
      <c r="G18" s="74"/>
      <c r="H18" s="74"/>
      <c r="I18" s="74"/>
      <c r="J18" s="80"/>
      <c r="K18" s="79">
        <f>SUM(F18:J18)</f>
        <v>0</v>
      </c>
      <c r="L18" s="84"/>
      <c r="M18" s="84"/>
      <c r="N18" s="75"/>
      <c r="O18" s="74"/>
      <c r="P18" s="74"/>
      <c r="Q18" s="74"/>
      <c r="R18" s="74"/>
      <c r="S18" s="74">
        <f>SUM(N18:R18)</f>
        <v>0</v>
      </c>
      <c r="T18" s="83"/>
      <c r="U18" s="82">
        <f>+V18-SUM(S18:T18)</f>
        <v>0</v>
      </c>
      <c r="V18" s="81">
        <f>+SUMIFS([1]全伝票!P:P,[1]全伝票!$C:$C,$C18)</f>
        <v>0</v>
      </c>
      <c r="W18" s="75">
        <f t="shared" si="36"/>
        <v>0</v>
      </c>
      <c r="X18" s="74">
        <f t="shared" si="36"/>
        <v>0</v>
      </c>
      <c r="Y18" s="74">
        <f t="shared" si="36"/>
        <v>0</v>
      </c>
      <c r="Z18" s="74">
        <f t="shared" si="36"/>
        <v>0</v>
      </c>
      <c r="AA18" s="80">
        <f>+ROUND(J18*J$6/(100+J$6),0)+AX18</f>
        <v>0</v>
      </c>
      <c r="AB18" s="79">
        <f>SUM(W18:AA18)</f>
        <v>0</v>
      </c>
      <c r="AC18" s="78">
        <f t="shared" si="37"/>
        <v>0</v>
      </c>
      <c r="AD18" s="77">
        <f t="shared" si="37"/>
        <v>0</v>
      </c>
      <c r="AE18" s="77">
        <f t="shared" si="37"/>
        <v>0</v>
      </c>
      <c r="AF18" s="77">
        <f t="shared" si="37"/>
        <v>0</v>
      </c>
      <c r="AG18" s="77">
        <f>+ROUND(R18*AG$6/(100+AG$6),0)+BM18</f>
        <v>0</v>
      </c>
      <c r="AH18" s="73">
        <f>SUM(AC18:AG18)</f>
        <v>0</v>
      </c>
      <c r="AI18" s="76">
        <f>+E18-AB18</f>
        <v>0</v>
      </c>
      <c r="AJ18" s="37"/>
      <c r="AK18" s="37"/>
      <c r="AL18" s="37"/>
      <c r="AM18" s="37"/>
      <c r="AN18" s="37"/>
      <c r="AO18" s="36"/>
      <c r="AP18" s="36"/>
      <c r="AQ18" s="36"/>
      <c r="AR18" s="36"/>
      <c r="AS18" s="36"/>
      <c r="AT18" s="35"/>
      <c r="AU18" s="35"/>
      <c r="AV18" s="35"/>
      <c r="AW18" s="35"/>
      <c r="AX18" s="35"/>
      <c r="BI18" s="35"/>
      <c r="BJ18" s="35"/>
      <c r="BK18" s="35"/>
      <c r="BL18" s="35"/>
      <c r="BM18" s="35"/>
    </row>
    <row r="19" spans="1:65" ht="15" customHeight="1">
      <c r="A19" s="89"/>
      <c r="B19" s="88"/>
      <c r="C19" s="87">
        <v>112024000</v>
      </c>
      <c r="D19" s="86" t="s">
        <v>71</v>
      </c>
      <c r="E19" s="85">
        <f>+SUMIFS([1]全伝票!I:I,[1]全伝票!$C:$C,$C19)</f>
        <v>17007700000</v>
      </c>
      <c r="F19" s="75"/>
      <c r="G19" s="74"/>
      <c r="H19" s="74"/>
      <c r="I19" s="74"/>
      <c r="J19" s="80"/>
      <c r="K19" s="79">
        <f>SUM(F19:J19)</f>
        <v>0</v>
      </c>
      <c r="L19" s="84"/>
      <c r="M19" s="84"/>
      <c r="N19" s="75"/>
      <c r="O19" s="74"/>
      <c r="P19" s="74"/>
      <c r="Q19" s="74"/>
      <c r="R19" s="74"/>
      <c r="S19" s="74">
        <f>SUM(N19:R19)</f>
        <v>0</v>
      </c>
      <c r="T19" s="83"/>
      <c r="U19" s="82">
        <f>+V19-SUM(S19:T19)</f>
        <v>17007700000</v>
      </c>
      <c r="V19" s="81">
        <f>+SUMIFS([1]全伝票!P:P,[1]全伝票!$C:$C,$C19)</f>
        <v>17007700000</v>
      </c>
      <c r="W19" s="75">
        <f t="shared" si="36"/>
        <v>0</v>
      </c>
      <c r="X19" s="74">
        <f t="shared" si="36"/>
        <v>0</v>
      </c>
      <c r="Y19" s="74">
        <f t="shared" si="36"/>
        <v>0</v>
      </c>
      <c r="Z19" s="74">
        <f t="shared" si="36"/>
        <v>0</v>
      </c>
      <c r="AA19" s="80">
        <f>+ROUND(J19*J$6/(100+J$6),0)+AX19</f>
        <v>0</v>
      </c>
      <c r="AB19" s="79">
        <f>SUM(W19:AA19)</f>
        <v>0</v>
      </c>
      <c r="AC19" s="78">
        <f t="shared" si="37"/>
        <v>0</v>
      </c>
      <c r="AD19" s="77">
        <f t="shared" si="37"/>
        <v>0</v>
      </c>
      <c r="AE19" s="77">
        <f t="shared" si="37"/>
        <v>0</v>
      </c>
      <c r="AF19" s="77">
        <f t="shared" si="37"/>
        <v>0</v>
      </c>
      <c r="AG19" s="77">
        <f>+ROUND(R19*AG$6/(100+AG$6),0)+BM19</f>
        <v>0</v>
      </c>
      <c r="AH19" s="73">
        <f>SUM(AC19:AG19)</f>
        <v>0</v>
      </c>
      <c r="AI19" s="76">
        <f>+E19-AB19</f>
        <v>17007700000</v>
      </c>
      <c r="AJ19" s="37"/>
      <c r="AK19" s="37"/>
      <c r="AL19" s="37"/>
      <c r="AM19" s="37"/>
      <c r="AN19" s="37"/>
      <c r="AO19" s="36"/>
      <c r="AP19" s="36"/>
      <c r="AQ19" s="36"/>
      <c r="AR19" s="36"/>
      <c r="AS19" s="36"/>
      <c r="AT19" s="35"/>
      <c r="AU19" s="35"/>
      <c r="AV19" s="35"/>
      <c r="AW19" s="35"/>
      <c r="AX19" s="35"/>
      <c r="BI19" s="35"/>
      <c r="BJ19" s="35"/>
      <c r="BK19" s="35"/>
      <c r="BL19" s="35"/>
      <c r="BM19" s="35"/>
    </row>
    <row r="20" spans="1:65" ht="15" customHeight="1">
      <c r="A20" s="89"/>
      <c r="B20" s="88"/>
      <c r="C20" s="87">
        <v>112031000</v>
      </c>
      <c r="D20" s="86" t="s">
        <v>37</v>
      </c>
      <c r="E20" s="85">
        <f>+SUMIFS([1]全伝票!I:I,[1]全伝票!$C:$C,$C20)</f>
        <v>0</v>
      </c>
      <c r="F20" s="75"/>
      <c r="G20" s="74"/>
      <c r="H20" s="74"/>
      <c r="I20" s="74"/>
      <c r="J20" s="80"/>
      <c r="K20" s="79">
        <f>SUM(F20:J20)</f>
        <v>0</v>
      </c>
      <c r="L20" s="84"/>
      <c r="M20" s="84"/>
      <c r="N20" s="75"/>
      <c r="O20" s="74"/>
      <c r="P20" s="74"/>
      <c r="Q20" s="74"/>
      <c r="R20" s="74"/>
      <c r="S20" s="74">
        <f>SUM(N20:R20)</f>
        <v>0</v>
      </c>
      <c r="T20" s="83"/>
      <c r="U20" s="82">
        <f>+V20-SUM(S20:T20)</f>
        <v>0</v>
      </c>
      <c r="V20" s="81">
        <f>+SUMIFS([1]全伝票!P:P,[1]全伝票!$C:$C,$C20)</f>
        <v>0</v>
      </c>
      <c r="W20" s="75">
        <f t="shared" si="36"/>
        <v>0</v>
      </c>
      <c r="X20" s="74">
        <f t="shared" si="36"/>
        <v>0</v>
      </c>
      <c r="Y20" s="74">
        <f t="shared" si="36"/>
        <v>0</v>
      </c>
      <c r="Z20" s="74">
        <f t="shared" si="36"/>
        <v>0</v>
      </c>
      <c r="AA20" s="80">
        <f>+ROUND(J20*J$6/(100+J$6),0)+AX20</f>
        <v>0</v>
      </c>
      <c r="AB20" s="79">
        <f>SUM(W20:AA20)</f>
        <v>0</v>
      </c>
      <c r="AC20" s="78">
        <f t="shared" si="37"/>
        <v>0</v>
      </c>
      <c r="AD20" s="77">
        <f t="shared" si="37"/>
        <v>0</v>
      </c>
      <c r="AE20" s="77">
        <f t="shared" si="37"/>
        <v>0</v>
      </c>
      <c r="AF20" s="77">
        <f t="shared" si="37"/>
        <v>0</v>
      </c>
      <c r="AG20" s="77">
        <f>+ROUND(R20*AG$6/(100+AG$6),0)+BM20</f>
        <v>0</v>
      </c>
      <c r="AH20" s="73">
        <f>SUM(AC20:AG20)</f>
        <v>0</v>
      </c>
      <c r="AI20" s="76">
        <f>+E20-AB20</f>
        <v>0</v>
      </c>
      <c r="AJ20" s="37"/>
      <c r="AK20" s="37"/>
      <c r="AL20" s="37"/>
      <c r="AM20" s="37"/>
      <c r="AN20" s="37"/>
      <c r="AO20" s="36"/>
      <c r="AP20" s="36"/>
      <c r="AQ20" s="36"/>
      <c r="AR20" s="36"/>
      <c r="AS20" s="36"/>
      <c r="AT20" s="35"/>
      <c r="AU20" s="35"/>
      <c r="AV20" s="35"/>
      <c r="AW20" s="35"/>
      <c r="AX20" s="35"/>
      <c r="BI20" s="35"/>
      <c r="BJ20" s="35"/>
      <c r="BK20" s="35"/>
      <c r="BL20" s="35"/>
      <c r="BM20" s="35"/>
    </row>
    <row r="21" spans="1:65" ht="15" customHeight="1">
      <c r="A21" s="72"/>
      <c r="B21" s="71"/>
      <c r="C21" s="70"/>
      <c r="D21" s="69" t="s">
        <v>36</v>
      </c>
      <c r="E21" s="68">
        <f t="shared" ref="E21:AI21" si="38">+E22</f>
        <v>3285504551</v>
      </c>
      <c r="F21" s="60">
        <f t="shared" si="38"/>
        <v>0</v>
      </c>
      <c r="G21" s="59">
        <f t="shared" si="38"/>
        <v>0</v>
      </c>
      <c r="H21" s="59">
        <f t="shared" si="38"/>
        <v>0</v>
      </c>
      <c r="I21" s="59">
        <f t="shared" si="38"/>
        <v>0</v>
      </c>
      <c r="J21" s="65">
        <f t="shared" si="38"/>
        <v>0</v>
      </c>
      <c r="K21" s="64">
        <f t="shared" si="38"/>
        <v>0</v>
      </c>
      <c r="L21" s="68">
        <f t="shared" si="38"/>
        <v>0</v>
      </c>
      <c r="M21" s="68">
        <f t="shared" si="38"/>
        <v>0</v>
      </c>
      <c r="N21" s="60">
        <f t="shared" si="38"/>
        <v>0</v>
      </c>
      <c r="O21" s="59">
        <f t="shared" si="38"/>
        <v>0</v>
      </c>
      <c r="P21" s="59">
        <f t="shared" si="38"/>
        <v>0</v>
      </c>
      <c r="Q21" s="59">
        <f t="shared" si="38"/>
        <v>0</v>
      </c>
      <c r="R21" s="59">
        <f t="shared" si="38"/>
        <v>0</v>
      </c>
      <c r="S21" s="59">
        <f t="shared" si="38"/>
        <v>0</v>
      </c>
      <c r="T21" s="67">
        <f t="shared" si="38"/>
        <v>0</v>
      </c>
      <c r="U21" s="66">
        <f t="shared" si="38"/>
        <v>3285504551</v>
      </c>
      <c r="V21" s="64">
        <f t="shared" si="38"/>
        <v>3285504551</v>
      </c>
      <c r="W21" s="60">
        <f t="shared" si="38"/>
        <v>0</v>
      </c>
      <c r="X21" s="59">
        <f t="shared" si="38"/>
        <v>0</v>
      </c>
      <c r="Y21" s="59">
        <f t="shared" si="38"/>
        <v>0</v>
      </c>
      <c r="Z21" s="59">
        <f t="shared" si="38"/>
        <v>0</v>
      </c>
      <c r="AA21" s="65">
        <f t="shared" si="38"/>
        <v>0</v>
      </c>
      <c r="AB21" s="64">
        <f t="shared" si="38"/>
        <v>0</v>
      </c>
      <c r="AC21" s="63">
        <f t="shared" si="38"/>
        <v>0</v>
      </c>
      <c r="AD21" s="62">
        <f t="shared" si="38"/>
        <v>0</v>
      </c>
      <c r="AE21" s="62">
        <f t="shared" si="38"/>
        <v>0</v>
      </c>
      <c r="AF21" s="62">
        <f t="shared" si="38"/>
        <v>0</v>
      </c>
      <c r="AG21" s="62">
        <f t="shared" si="38"/>
        <v>0</v>
      </c>
      <c r="AH21" s="58">
        <f t="shared" si="38"/>
        <v>0</v>
      </c>
      <c r="AI21" s="61">
        <f t="shared" si="38"/>
        <v>3285504551</v>
      </c>
      <c r="AJ21" s="37"/>
      <c r="AK21" s="37"/>
      <c r="AL21" s="37"/>
      <c r="AM21" s="37"/>
      <c r="AN21" s="37"/>
      <c r="AO21" s="36"/>
      <c r="AP21" s="36"/>
      <c r="AQ21" s="36"/>
      <c r="AR21" s="36"/>
      <c r="AS21" s="36"/>
      <c r="AT21" s="35"/>
      <c r="AU21" s="35"/>
      <c r="AV21" s="35"/>
      <c r="AW21" s="35"/>
      <c r="AX21" s="35"/>
      <c r="BI21" s="35"/>
      <c r="BJ21" s="35"/>
      <c r="BK21" s="35"/>
      <c r="BL21" s="35"/>
      <c r="BM21" s="35"/>
    </row>
    <row r="22" spans="1:65" ht="15" customHeight="1">
      <c r="A22" s="57"/>
      <c r="B22" s="56"/>
      <c r="C22" s="55">
        <v>116010100</v>
      </c>
      <c r="D22" s="54" t="s">
        <v>35</v>
      </c>
      <c r="E22" s="153">
        <f>+'[2](繰)案'!E39</f>
        <v>3285504551</v>
      </c>
      <c r="F22" s="40"/>
      <c r="G22" s="39"/>
      <c r="H22" s="39"/>
      <c r="I22" s="39"/>
      <c r="J22" s="45"/>
      <c r="K22" s="44">
        <f>SUM(F22:J22)</f>
        <v>0</v>
      </c>
      <c r="L22" s="49"/>
      <c r="M22" s="49"/>
      <c r="N22" s="40"/>
      <c r="O22" s="39"/>
      <c r="P22" s="39"/>
      <c r="Q22" s="39"/>
      <c r="R22" s="39"/>
      <c r="S22" s="39">
        <f>SUM(N22:R22)</f>
        <v>0</v>
      </c>
      <c r="T22" s="48"/>
      <c r="U22" s="47">
        <f>+V22-SUM(S22:T22)</f>
        <v>3285504551</v>
      </c>
      <c r="V22" s="44">
        <f>+E22</f>
        <v>3285504551</v>
      </c>
      <c r="W22" s="40">
        <f>+ROUND(F22*F$6/(100+F$6),0)+AT22</f>
        <v>0</v>
      </c>
      <c r="X22" s="39">
        <f>+ROUND(G22*G$6/(100+G$6),0)+AU22</f>
        <v>0</v>
      </c>
      <c r="Y22" s="39">
        <f>+ROUND(H22*H$6/(100+H$6),0)+AV22</f>
        <v>0</v>
      </c>
      <c r="Z22" s="39">
        <f>+ROUND(I22*I$6/(100+I$6),0)+AW22</f>
        <v>0</v>
      </c>
      <c r="AA22" s="45">
        <f>+ROUND(J22*J$6/(100+J$6),0)+AX22</f>
        <v>0</v>
      </c>
      <c r="AB22" s="44">
        <f>SUM(W22:AA22)</f>
        <v>0</v>
      </c>
      <c r="AC22" s="43">
        <f>+ROUND(N22*AC$6/(100+AC$6),0)+BI22</f>
        <v>0</v>
      </c>
      <c r="AD22" s="42">
        <f>+ROUND(O22*AD$6/(100+AD$6),0)+BJ22</f>
        <v>0</v>
      </c>
      <c r="AE22" s="42">
        <f>+ROUND(P22*AE$6/(100+AE$6),0)+BK22</f>
        <v>0</v>
      </c>
      <c r="AF22" s="42">
        <f>+ROUND(Q22*AF$6/(100+AF$6),0)+BL22</f>
        <v>0</v>
      </c>
      <c r="AG22" s="42">
        <f>+ROUND(R22*AG$6/(100+AG$6),0)+BM22</f>
        <v>0</v>
      </c>
      <c r="AH22" s="38">
        <f>SUM(AC22:AG22)</f>
        <v>0</v>
      </c>
      <c r="AI22" s="41">
        <f>+E22-AB22</f>
        <v>3285504551</v>
      </c>
      <c r="AJ22" s="37"/>
      <c r="AK22" s="37"/>
      <c r="AL22" s="37"/>
      <c r="AM22" s="37"/>
      <c r="AN22" s="37"/>
      <c r="AO22" s="36"/>
      <c r="AP22" s="36"/>
      <c r="AQ22" s="36"/>
      <c r="AR22" s="36"/>
      <c r="AS22" s="36"/>
      <c r="AT22" s="35"/>
      <c r="AU22" s="35"/>
      <c r="AV22" s="35"/>
      <c r="AW22" s="35"/>
      <c r="AX22" s="35"/>
      <c r="BI22" s="35"/>
      <c r="BJ22" s="35"/>
      <c r="BK22" s="35"/>
      <c r="BL22" s="35"/>
      <c r="BM22" s="35"/>
    </row>
    <row r="23" spans="1:65" ht="15" customHeight="1">
      <c r="A23" s="72"/>
      <c r="B23" s="71"/>
      <c r="C23" s="70"/>
      <c r="D23" s="69" t="s">
        <v>34</v>
      </c>
      <c r="E23" s="68">
        <f t="shared" ref="E23:AI23" si="39">+E24</f>
        <v>5717788000</v>
      </c>
      <c r="F23" s="60">
        <f t="shared" si="39"/>
        <v>0</v>
      </c>
      <c r="G23" s="59">
        <f t="shared" si="39"/>
        <v>0</v>
      </c>
      <c r="H23" s="59">
        <f t="shared" si="39"/>
        <v>0</v>
      </c>
      <c r="I23" s="59">
        <f t="shared" si="39"/>
        <v>0</v>
      </c>
      <c r="J23" s="65">
        <f t="shared" si="39"/>
        <v>0</v>
      </c>
      <c r="K23" s="64">
        <f t="shared" si="39"/>
        <v>0</v>
      </c>
      <c r="L23" s="68">
        <f t="shared" si="39"/>
        <v>0</v>
      </c>
      <c r="M23" s="68">
        <f t="shared" si="39"/>
        <v>0</v>
      </c>
      <c r="N23" s="60">
        <f t="shared" si="39"/>
        <v>0</v>
      </c>
      <c r="O23" s="59">
        <f t="shared" si="39"/>
        <v>0</v>
      </c>
      <c r="P23" s="59">
        <f t="shared" si="39"/>
        <v>0</v>
      </c>
      <c r="Q23" s="59">
        <f t="shared" si="39"/>
        <v>0</v>
      </c>
      <c r="R23" s="59">
        <f t="shared" si="39"/>
        <v>5712285006</v>
      </c>
      <c r="S23" s="59">
        <f t="shared" si="39"/>
        <v>5712285006</v>
      </c>
      <c r="T23" s="67">
        <f t="shared" si="39"/>
        <v>5502994</v>
      </c>
      <c r="U23" s="66">
        <f t="shared" si="39"/>
        <v>0</v>
      </c>
      <c r="V23" s="64">
        <f>+V24</f>
        <v>5717788000</v>
      </c>
      <c r="W23" s="60">
        <f t="shared" si="39"/>
        <v>0</v>
      </c>
      <c r="X23" s="59">
        <f t="shared" si="39"/>
        <v>0</v>
      </c>
      <c r="Y23" s="59">
        <f t="shared" si="39"/>
        <v>0</v>
      </c>
      <c r="Z23" s="59">
        <f t="shared" si="39"/>
        <v>0</v>
      </c>
      <c r="AA23" s="65">
        <f t="shared" si="39"/>
        <v>0</v>
      </c>
      <c r="AB23" s="64">
        <f t="shared" si="39"/>
        <v>0</v>
      </c>
      <c r="AC23" s="63">
        <f t="shared" si="39"/>
        <v>0</v>
      </c>
      <c r="AD23" s="62">
        <f t="shared" si="39"/>
        <v>0</v>
      </c>
      <c r="AE23" s="62">
        <f t="shared" si="39"/>
        <v>0</v>
      </c>
      <c r="AF23" s="62">
        <f t="shared" si="39"/>
        <v>0</v>
      </c>
      <c r="AG23" s="62">
        <f t="shared" si="39"/>
        <v>519298637</v>
      </c>
      <c r="AH23" s="58">
        <f t="shared" si="39"/>
        <v>519298637</v>
      </c>
      <c r="AI23" s="61">
        <f t="shared" si="39"/>
        <v>5717788000</v>
      </c>
      <c r="AJ23" s="37"/>
      <c r="AK23" s="37"/>
      <c r="AL23" s="37"/>
      <c r="AM23" s="37"/>
      <c r="AN23" s="37"/>
      <c r="AO23" s="36"/>
      <c r="AP23" s="36"/>
      <c r="AQ23" s="36"/>
      <c r="AR23" s="36"/>
      <c r="AS23" s="36"/>
      <c r="AT23" s="35"/>
      <c r="AU23" s="35"/>
      <c r="AV23" s="35"/>
      <c r="AW23" s="35"/>
      <c r="AX23" s="35"/>
      <c r="BI23" s="35"/>
      <c r="BJ23" s="35"/>
      <c r="BK23" s="35"/>
      <c r="BL23" s="35"/>
      <c r="BM23" s="35"/>
    </row>
    <row r="24" spans="1:65" ht="15" customHeight="1">
      <c r="A24" s="119"/>
      <c r="B24" s="118"/>
      <c r="C24" s="117"/>
      <c r="D24" s="116" t="s">
        <v>33</v>
      </c>
      <c r="E24" s="115">
        <f>SUM(E25:E26,E31)</f>
        <v>5717788000</v>
      </c>
      <c r="F24" s="107">
        <f t="shared" ref="F24:AI24" si="40">SUM(F25:F26,F31)</f>
        <v>0</v>
      </c>
      <c r="G24" s="106">
        <f t="shared" si="40"/>
        <v>0</v>
      </c>
      <c r="H24" s="106">
        <f t="shared" si="40"/>
        <v>0</v>
      </c>
      <c r="I24" s="106">
        <f t="shared" ref="I24" si="41">SUM(I25:I26,I31)</f>
        <v>0</v>
      </c>
      <c r="J24" s="112">
        <f t="shared" si="40"/>
        <v>0</v>
      </c>
      <c r="K24" s="111">
        <f t="shared" si="40"/>
        <v>0</v>
      </c>
      <c r="L24" s="115">
        <f t="shared" si="40"/>
        <v>0</v>
      </c>
      <c r="M24" s="115">
        <f t="shared" si="40"/>
        <v>0</v>
      </c>
      <c r="N24" s="107">
        <f t="shared" si="40"/>
        <v>0</v>
      </c>
      <c r="O24" s="106">
        <f t="shared" si="40"/>
        <v>0</v>
      </c>
      <c r="P24" s="106">
        <f t="shared" si="40"/>
        <v>0</v>
      </c>
      <c r="Q24" s="106">
        <f t="shared" ref="Q24" si="42">SUM(Q25:Q26,Q31)</f>
        <v>0</v>
      </c>
      <c r="R24" s="106">
        <f t="shared" si="40"/>
        <v>5712285006</v>
      </c>
      <c r="S24" s="106">
        <f t="shared" si="40"/>
        <v>5712285006</v>
      </c>
      <c r="T24" s="114">
        <f t="shared" si="40"/>
        <v>5502994</v>
      </c>
      <c r="U24" s="113">
        <f t="shared" si="40"/>
        <v>0</v>
      </c>
      <c r="V24" s="111">
        <f>SUM(V25:V26,V31)</f>
        <v>5717788000</v>
      </c>
      <c r="W24" s="107">
        <f t="shared" si="40"/>
        <v>0</v>
      </c>
      <c r="X24" s="106">
        <f t="shared" si="40"/>
        <v>0</v>
      </c>
      <c r="Y24" s="106">
        <f t="shared" si="40"/>
        <v>0</v>
      </c>
      <c r="Z24" s="106">
        <f t="shared" ref="Z24" si="43">SUM(Z25:Z26,Z31)</f>
        <v>0</v>
      </c>
      <c r="AA24" s="112">
        <f t="shared" si="40"/>
        <v>0</v>
      </c>
      <c r="AB24" s="111">
        <f t="shared" si="40"/>
        <v>0</v>
      </c>
      <c r="AC24" s="110">
        <f t="shared" si="40"/>
        <v>0</v>
      </c>
      <c r="AD24" s="109">
        <f t="shared" si="40"/>
        <v>0</v>
      </c>
      <c r="AE24" s="109">
        <f t="shared" si="40"/>
        <v>0</v>
      </c>
      <c r="AF24" s="109">
        <f t="shared" ref="AF24" si="44">SUM(AF25:AF26,AF31)</f>
        <v>0</v>
      </c>
      <c r="AG24" s="109">
        <f t="shared" si="40"/>
        <v>519298637</v>
      </c>
      <c r="AH24" s="105">
        <f t="shared" si="40"/>
        <v>519298637</v>
      </c>
      <c r="AI24" s="108">
        <f t="shared" si="40"/>
        <v>5717788000</v>
      </c>
      <c r="AJ24" s="37"/>
      <c r="AK24" s="37"/>
      <c r="AL24" s="37"/>
      <c r="AM24" s="37"/>
      <c r="AN24" s="37"/>
      <c r="AO24" s="36"/>
      <c r="AP24" s="36"/>
      <c r="AQ24" s="36"/>
      <c r="AR24" s="36"/>
      <c r="AS24" s="36"/>
      <c r="AT24" s="35"/>
      <c r="AU24" s="35"/>
      <c r="AV24" s="35"/>
      <c r="AW24" s="35"/>
      <c r="AX24" s="35"/>
      <c r="BI24" s="35"/>
      <c r="BJ24" s="35"/>
      <c r="BK24" s="35"/>
      <c r="BL24" s="35"/>
      <c r="BM24" s="35"/>
    </row>
    <row r="25" spans="1:65" ht="15" customHeight="1">
      <c r="A25" s="104"/>
      <c r="B25" s="103"/>
      <c r="C25" s="102">
        <v>118040101</v>
      </c>
      <c r="D25" s="101" t="s">
        <v>32</v>
      </c>
      <c r="E25" s="130">
        <f>+SUMIFS([1]全伝票!I:I,[1]全伝票!$C:$C,$C25)</f>
        <v>5683800000</v>
      </c>
      <c r="F25" s="92"/>
      <c r="G25" s="91"/>
      <c r="H25" s="91"/>
      <c r="I25" s="91"/>
      <c r="J25" s="97"/>
      <c r="K25" s="96">
        <f>SUM(F25:J25)</f>
        <v>0</v>
      </c>
      <c r="L25" s="100">
        <f>+SUMIFS([1]全伝票!O:O,[1]全伝票!$C:$C,$C25)</f>
        <v>0</v>
      </c>
      <c r="M25" s="100"/>
      <c r="N25" s="92"/>
      <c r="O25" s="129">
        <f>+'[3]4条補助（公）'!K$6</f>
        <v>0</v>
      </c>
      <c r="P25" s="129">
        <f>+'[3]4条補助（公）'!L$6</f>
        <v>0</v>
      </c>
      <c r="Q25" s="129">
        <f>+'[3]4条補助（公）'!M$6</f>
        <v>0</v>
      </c>
      <c r="R25" s="129">
        <f>+'[3]4条補助（公）'!N$6</f>
        <v>5678297006</v>
      </c>
      <c r="S25" s="91">
        <f>SUM(N25:R25)</f>
        <v>5678297006</v>
      </c>
      <c r="T25" s="128">
        <f>SUM('[3]4条補助（公）'!$I$6)</f>
        <v>5502994</v>
      </c>
      <c r="U25" s="98">
        <f>+V25-SUM(S25:T25)</f>
        <v>0</v>
      </c>
      <c r="V25" s="120">
        <f>+SUMIFS([1]全伝票!P:P,[1]全伝票!$C:$C,$C25)</f>
        <v>5683800000</v>
      </c>
      <c r="W25" s="92">
        <f>+ROUND(F25*F$6/(100+F$6),0)+AT25</f>
        <v>0</v>
      </c>
      <c r="X25" s="91">
        <f>+ROUND(G25*G$6/(100+G$6),0)+AU25</f>
        <v>0</v>
      </c>
      <c r="Y25" s="91">
        <f>+ROUND(H25*H$6/(100+H$6),0)+AV25</f>
        <v>0</v>
      </c>
      <c r="Z25" s="91">
        <f>+ROUND(I25*I$6/(100+I$6),0)+AW25</f>
        <v>0</v>
      </c>
      <c r="AA25" s="97">
        <f>+ROUND(J25*J$6/(100+J$6),0)+AX25</f>
        <v>0</v>
      </c>
      <c r="AB25" s="96">
        <f t="shared" ref="AB25:AB34" si="45">SUM(W25:AA25)</f>
        <v>0</v>
      </c>
      <c r="AC25" s="95">
        <f>+ROUND(N25*AC$6/(100+AC$6),0)+BI25</f>
        <v>0</v>
      </c>
      <c r="AD25" s="94">
        <f>+ROUND(O25*AD$6/(100+AD$6),0)+BJ25</f>
        <v>0</v>
      </c>
      <c r="AE25" s="94">
        <f>+ROUND(P25*AE$6/(100+AE$6),0)+BK25</f>
        <v>0</v>
      </c>
      <c r="AF25" s="94">
        <f>+ROUND(Q25*AF$6/(100+AF$6),0)+BL25</f>
        <v>0</v>
      </c>
      <c r="AG25" s="94">
        <f>+ROUND(R25*AG$6/(100+AG$6),0)+BM25</f>
        <v>516208819</v>
      </c>
      <c r="AH25" s="90">
        <f t="shared" ref="AH25:AH34" si="46">SUM(AC25:AG25)</f>
        <v>516208819</v>
      </c>
      <c r="AI25" s="93">
        <f t="shared" ref="AI25:AI34" si="47">+E25-AB25</f>
        <v>5683800000</v>
      </c>
      <c r="AJ25" s="37"/>
      <c r="AK25" s="37"/>
      <c r="AL25" s="37"/>
      <c r="AM25" s="37"/>
      <c r="AN25" s="37"/>
      <c r="AO25" s="36"/>
      <c r="AP25" s="36"/>
      <c r="AQ25" s="36"/>
      <c r="AR25" s="36"/>
      <c r="AS25" s="36"/>
      <c r="AT25" s="35"/>
      <c r="AU25" s="35"/>
      <c r="AV25" s="35"/>
      <c r="AW25" s="35"/>
      <c r="AX25" s="35"/>
      <c r="AY25" s="37">
        <f>AC25-N25*AC$6/(100+AC$6)</f>
        <v>0</v>
      </c>
      <c r="AZ25" s="37">
        <f>AD25-O25*AD$6/(100+AD$6)</f>
        <v>0</v>
      </c>
      <c r="BA25" s="37">
        <f>AE25-P25*AE$6/(100+AE$6)</f>
        <v>0</v>
      </c>
      <c r="BB25" s="37">
        <f>AF25-Q25*AF$6/(100+AF$6)</f>
        <v>0</v>
      </c>
      <c r="BC25" s="37">
        <f>AG25-R25*AG$6/(100+AG$6)</f>
        <v>0.27272725105285645</v>
      </c>
      <c r="BD25" s="36">
        <f>+IF(AC$93=0,0,IF(AC$93&lt;0,-RANK(AY25,AY$7:AY$90,0),RANK(AY25,AY$7:AY$90,1)))</f>
        <v>0</v>
      </c>
      <c r="BE25" s="36">
        <f>+IF(AD$93=0,0,IF(AD$93&lt;0,-RANK(AZ25,AZ$7:AZ$90,0),RANK(AZ25,AZ$7:AZ$90,1)))</f>
        <v>0</v>
      </c>
      <c r="BF25" s="36">
        <f>+IF(AE$93=0,0,IF(AE$93&lt;0,-RANK(BA25,BA$7:BA$90,0),RANK(BA25,BA$7:BA$90,1)))</f>
        <v>0</v>
      </c>
      <c r="BG25" s="36">
        <f>+IF(AF$93=0,0,IF(AF$93&lt;0,-RANK(BB25,BB$7:BB$90,0),RANK(BB25,BB$7:BB$90,1)))</f>
        <v>0</v>
      </c>
      <c r="BH25" s="36">
        <f>+IF(AG$93=0,0,IF(AG$93&lt;0,-RANK(BC25,BC$7:BC$90,0),RANK(BC25,BC$7:BC$90,1)))</f>
        <v>0</v>
      </c>
      <c r="BI25" s="35"/>
      <c r="BJ25" s="35"/>
      <c r="BK25" s="35"/>
      <c r="BL25" s="35"/>
      <c r="BM25" s="35"/>
    </row>
    <row r="26" spans="1:65" ht="15" customHeight="1">
      <c r="A26" s="104"/>
      <c r="B26" s="103"/>
      <c r="C26" s="102"/>
      <c r="D26" s="101" t="s">
        <v>31</v>
      </c>
      <c r="E26" s="100">
        <f>SUM(E27:E30)</f>
        <v>0</v>
      </c>
      <c r="F26" s="92"/>
      <c r="G26" s="91"/>
      <c r="H26" s="91"/>
      <c r="I26" s="91"/>
      <c r="J26" s="97"/>
      <c r="K26" s="96">
        <f>SUM(K27:K30)</f>
        <v>0</v>
      </c>
      <c r="L26" s="100">
        <f>SUM(L27:L30)</f>
        <v>0</v>
      </c>
      <c r="M26" s="100">
        <f t="shared" ref="M26:S26" si="48">SUM(M27:M30)</f>
        <v>0</v>
      </c>
      <c r="N26" s="92">
        <f t="shared" si="48"/>
        <v>0</v>
      </c>
      <c r="O26" s="91">
        <f t="shared" si="48"/>
        <v>0</v>
      </c>
      <c r="P26" s="91">
        <f t="shared" si="48"/>
        <v>0</v>
      </c>
      <c r="Q26" s="91">
        <f t="shared" ref="Q26" si="49">SUM(Q27:Q30)</f>
        <v>0</v>
      </c>
      <c r="R26" s="91">
        <f t="shared" si="48"/>
        <v>0</v>
      </c>
      <c r="S26" s="91">
        <f t="shared" si="48"/>
        <v>0</v>
      </c>
      <c r="T26" s="99">
        <f>SUM(T27:T30)</f>
        <v>0</v>
      </c>
      <c r="U26" s="99">
        <f>SUM(U27:U30)</f>
        <v>0</v>
      </c>
      <c r="V26" s="96">
        <f>SUM(V27:V30)</f>
        <v>0</v>
      </c>
      <c r="W26" s="92">
        <f>SUM(W27:W30)</f>
        <v>0</v>
      </c>
      <c r="X26" s="91">
        <f t="shared" ref="X26:AA26" si="50">SUM(X27:X30)</f>
        <v>0</v>
      </c>
      <c r="Y26" s="91">
        <f t="shared" si="50"/>
        <v>0</v>
      </c>
      <c r="Z26" s="91">
        <f t="shared" ref="Z26" si="51">SUM(Z27:Z30)</f>
        <v>0</v>
      </c>
      <c r="AA26" s="97">
        <f t="shared" si="50"/>
        <v>0</v>
      </c>
      <c r="AB26" s="96">
        <f t="shared" si="45"/>
        <v>0</v>
      </c>
      <c r="AC26" s="95">
        <f t="shared" ref="AC26" si="52">SUM(AC27:AC30)</f>
        <v>0</v>
      </c>
      <c r="AD26" s="94">
        <f t="shared" ref="AD26" si="53">SUM(AD27:AD30)</f>
        <v>0</v>
      </c>
      <c r="AE26" s="94">
        <f t="shared" ref="AE26:AF26" si="54">SUM(AE27:AE30)</f>
        <v>0</v>
      </c>
      <c r="AF26" s="94">
        <f t="shared" si="54"/>
        <v>0</v>
      </c>
      <c r="AG26" s="94">
        <f t="shared" ref="AG26" si="55">SUM(AG27:AG30)</f>
        <v>0</v>
      </c>
      <c r="AH26" s="90">
        <f>SUM(AC26:AG26)</f>
        <v>0</v>
      </c>
      <c r="AI26" s="93">
        <f t="shared" ref="AI26" si="56">SUM(AI27:AI30)</f>
        <v>0</v>
      </c>
      <c r="AJ26" s="37"/>
      <c r="AK26" s="37"/>
      <c r="AL26" s="37"/>
      <c r="AM26" s="37"/>
      <c r="AN26" s="37"/>
      <c r="AO26" s="36"/>
      <c r="AP26" s="36"/>
      <c r="AQ26" s="36"/>
      <c r="AR26" s="36"/>
      <c r="AS26" s="36"/>
      <c r="AT26" s="35"/>
      <c r="AU26" s="35"/>
      <c r="AV26" s="35"/>
      <c r="AW26" s="35"/>
      <c r="AX26" s="35"/>
      <c r="AY26" s="37"/>
      <c r="AZ26" s="37"/>
      <c r="BA26" s="37"/>
      <c r="BB26" s="37"/>
      <c r="BC26" s="37"/>
      <c r="BD26" s="36"/>
      <c r="BE26" s="36"/>
      <c r="BF26" s="36"/>
      <c r="BG26" s="36"/>
      <c r="BH26" s="36"/>
      <c r="BI26" s="35"/>
      <c r="BJ26" s="35"/>
      <c r="BK26" s="35"/>
      <c r="BL26" s="35"/>
      <c r="BM26" s="35"/>
    </row>
    <row r="27" spans="1:65" ht="15" hidden="1" customHeight="1" outlineLevel="1">
      <c r="A27" s="104">
        <v>1</v>
      </c>
      <c r="B27" s="103"/>
      <c r="C27" s="102">
        <v>118040200</v>
      </c>
      <c r="D27" s="101" t="s">
        <v>9</v>
      </c>
      <c r="E27" s="130">
        <f>SUMIFS([1]全伝票!I:I,[1]全伝票!$C:$C,$C27,[1]全伝票!$A:$A,$A27)</f>
        <v>0</v>
      </c>
      <c r="F27" s="92"/>
      <c r="G27" s="91"/>
      <c r="H27" s="91"/>
      <c r="I27" s="91"/>
      <c r="J27" s="97"/>
      <c r="K27" s="96">
        <f t="shared" ref="K27:K30" si="57">SUM(F27:J27)</f>
        <v>0</v>
      </c>
      <c r="L27" s="100"/>
      <c r="M27" s="100"/>
      <c r="N27" s="92"/>
      <c r="O27" s="129">
        <f>'[3]4条その他'!K$9</f>
        <v>0</v>
      </c>
      <c r="P27" s="129">
        <f>'[3]4条その他'!L$9</f>
        <v>0</v>
      </c>
      <c r="Q27" s="129">
        <f>'[3]4条その他'!M$9</f>
        <v>0</v>
      </c>
      <c r="R27" s="129">
        <f>'[3]4条その他'!N$9</f>
        <v>0</v>
      </c>
      <c r="S27" s="91">
        <f t="shared" ref="S27:S30" si="58">SUM(N27:R27)</f>
        <v>0</v>
      </c>
      <c r="T27" s="128">
        <f>'[3]4条その他'!I$8</f>
        <v>0</v>
      </c>
      <c r="U27" s="98">
        <f t="shared" ref="U27:U30" si="59">+V27-SUM(S27:T27)</f>
        <v>0</v>
      </c>
      <c r="V27" s="120">
        <f>SUMIFS([1]全伝票!P:P,[1]全伝票!$C:$C,$C27,[1]全伝票!$A:$A,$A27)</f>
        <v>0</v>
      </c>
      <c r="W27" s="92">
        <f t="shared" ref="W27:W30" si="60">+ROUND(F27*F$6/(100+F$6),0)+AT27</f>
        <v>0</v>
      </c>
      <c r="X27" s="91">
        <f t="shared" ref="X27:X30" si="61">+ROUND(G27*G$6/(100+G$6),0)+AU27</f>
        <v>0</v>
      </c>
      <c r="Y27" s="91">
        <f t="shared" ref="Y27:Z30" si="62">+ROUND(H27*H$6/(100+H$6),0)+AV27</f>
        <v>0</v>
      </c>
      <c r="Z27" s="91">
        <f t="shared" si="62"/>
        <v>0</v>
      </c>
      <c r="AA27" s="97">
        <f t="shared" ref="AA27:AA30" si="63">+ROUND(J27*J$6/(100+J$6),0)+AX27</f>
        <v>0</v>
      </c>
      <c r="AB27" s="96">
        <f t="shared" ref="AB27:AB30" si="64">SUM(W27:AA27)</f>
        <v>0</v>
      </c>
      <c r="AC27" s="95">
        <f t="shared" ref="AC27:AC30" si="65">+ROUND(N27*AC$6/(100+AC$6),0)+BI27</f>
        <v>0</v>
      </c>
      <c r="AD27" s="94">
        <f t="shared" ref="AD27:AD30" si="66">+ROUND(O27*AD$6/(100+AD$6),0)+BJ27</f>
        <v>0</v>
      </c>
      <c r="AE27" s="94">
        <f t="shared" ref="AE27:AF30" si="67">+ROUND(P27*AE$6/(100+AE$6),0)+BK27</f>
        <v>0</v>
      </c>
      <c r="AF27" s="94">
        <f t="shared" si="67"/>
        <v>0</v>
      </c>
      <c r="AG27" s="94">
        <f t="shared" ref="AG27:AG30" si="68">+ROUND(R27*AG$6/(100+AG$6),0)+BM27</f>
        <v>0</v>
      </c>
      <c r="AH27" s="90">
        <f t="shared" ref="AH27:AH30" si="69">SUM(AC27:AG27)</f>
        <v>0</v>
      </c>
      <c r="AI27" s="93">
        <f t="shared" ref="AI27:AI30" si="70">+E27-AB27</f>
        <v>0</v>
      </c>
      <c r="AJ27" s="37"/>
      <c r="AK27" s="37"/>
      <c r="AL27" s="37"/>
      <c r="AM27" s="37"/>
      <c r="AN27" s="37"/>
      <c r="AO27" s="36"/>
      <c r="AP27" s="36"/>
      <c r="AQ27" s="36"/>
      <c r="AR27" s="36"/>
      <c r="AS27" s="36"/>
      <c r="AT27" s="35"/>
      <c r="AU27" s="35"/>
      <c r="AV27" s="35"/>
      <c r="AW27" s="35"/>
      <c r="AX27" s="35"/>
      <c r="AY27" s="37">
        <f t="shared" ref="AY27:AY30" si="71">AC27-N27*AC$6/(100+AC$6)</f>
        <v>0</v>
      </c>
      <c r="AZ27" s="37">
        <f t="shared" ref="AZ27:AZ30" si="72">AD27-O27*AD$6/(100+AD$6)</f>
        <v>0</v>
      </c>
      <c r="BA27" s="37">
        <f t="shared" ref="BA27:BB30" si="73">AE27-P27*AE$6/(100+AE$6)</f>
        <v>0</v>
      </c>
      <c r="BB27" s="37">
        <f t="shared" si="73"/>
        <v>0</v>
      </c>
      <c r="BC27" s="37">
        <f t="shared" ref="BC27:BC30" si="74">AG27-R27*AG$6/(100+AG$6)</f>
        <v>0</v>
      </c>
      <c r="BD27" s="36">
        <f t="shared" ref="BD27:BH30" si="75">+IF(AC$93=0,0,IF(AC$93&lt;0,-RANK(AY27,AY$7:AY$90,0),RANK(AY27,AY$7:AY$90,1)))</f>
        <v>0</v>
      </c>
      <c r="BE27" s="36">
        <f t="shared" si="75"/>
        <v>0</v>
      </c>
      <c r="BF27" s="36">
        <f t="shared" si="75"/>
        <v>0</v>
      </c>
      <c r="BG27" s="36">
        <f t="shared" si="75"/>
        <v>0</v>
      </c>
      <c r="BH27" s="36">
        <f t="shared" si="75"/>
        <v>0</v>
      </c>
      <c r="BI27" s="35"/>
      <c r="BJ27" s="35"/>
      <c r="BK27" s="35"/>
      <c r="BL27" s="35"/>
      <c r="BM27" s="35"/>
    </row>
    <row r="28" spans="1:65" ht="15" hidden="1" customHeight="1" outlineLevel="1">
      <c r="A28" s="104">
        <v>2</v>
      </c>
      <c r="B28" s="103"/>
      <c r="C28" s="102">
        <v>118040200</v>
      </c>
      <c r="D28" s="101" t="s">
        <v>8</v>
      </c>
      <c r="E28" s="130">
        <f>SUMIFS([1]全伝票!I:I,[1]全伝票!$C:$C,$C28,[1]全伝票!$A:$A,$A28)</f>
        <v>0</v>
      </c>
      <c r="F28" s="92"/>
      <c r="G28" s="91"/>
      <c r="H28" s="91"/>
      <c r="I28" s="91"/>
      <c r="J28" s="97"/>
      <c r="K28" s="96">
        <f t="shared" si="57"/>
        <v>0</v>
      </c>
      <c r="L28" s="100"/>
      <c r="M28" s="100"/>
      <c r="N28" s="92"/>
      <c r="O28" s="129">
        <f>'[3]4条その他'!K$23</f>
        <v>0</v>
      </c>
      <c r="P28" s="129">
        <f>'[3]4条その他'!L$23</f>
        <v>0</v>
      </c>
      <c r="Q28" s="129">
        <f>'[3]4条その他'!M$23</f>
        <v>0</v>
      </c>
      <c r="R28" s="129">
        <f>'[3]4条その他'!N$23</f>
        <v>0</v>
      </c>
      <c r="S28" s="91">
        <f t="shared" si="58"/>
        <v>0</v>
      </c>
      <c r="T28" s="128">
        <f>'[3]4条その他'!I$22</f>
        <v>0</v>
      </c>
      <c r="U28" s="98">
        <f t="shared" si="59"/>
        <v>0</v>
      </c>
      <c r="V28" s="120">
        <f>SUMIFS([1]全伝票!P:P,[1]全伝票!$C:$C,$C28,[1]全伝票!$A:$A,$A28)</f>
        <v>0</v>
      </c>
      <c r="W28" s="92">
        <f t="shared" si="60"/>
        <v>0</v>
      </c>
      <c r="X28" s="91">
        <f t="shared" si="61"/>
        <v>0</v>
      </c>
      <c r="Y28" s="91">
        <f t="shared" si="62"/>
        <v>0</v>
      </c>
      <c r="Z28" s="91">
        <f t="shared" si="62"/>
        <v>0</v>
      </c>
      <c r="AA28" s="97">
        <f t="shared" si="63"/>
        <v>0</v>
      </c>
      <c r="AB28" s="96">
        <f t="shared" si="64"/>
        <v>0</v>
      </c>
      <c r="AC28" s="95">
        <f t="shared" si="65"/>
        <v>0</v>
      </c>
      <c r="AD28" s="94">
        <f t="shared" si="66"/>
        <v>0</v>
      </c>
      <c r="AE28" s="94">
        <f t="shared" si="67"/>
        <v>0</v>
      </c>
      <c r="AF28" s="94">
        <f t="shared" si="67"/>
        <v>0</v>
      </c>
      <c r="AG28" s="94">
        <f t="shared" si="68"/>
        <v>0</v>
      </c>
      <c r="AH28" s="90">
        <f t="shared" si="69"/>
        <v>0</v>
      </c>
      <c r="AI28" s="93">
        <f t="shared" si="70"/>
        <v>0</v>
      </c>
      <c r="AJ28" s="37"/>
      <c r="AK28" s="37"/>
      <c r="AL28" s="37"/>
      <c r="AM28" s="37"/>
      <c r="AN28" s="37"/>
      <c r="AO28" s="36"/>
      <c r="AP28" s="36"/>
      <c r="AQ28" s="36"/>
      <c r="AR28" s="36"/>
      <c r="AS28" s="36"/>
      <c r="AT28" s="35"/>
      <c r="AU28" s="35"/>
      <c r="AV28" s="35"/>
      <c r="AW28" s="35"/>
      <c r="AX28" s="35"/>
      <c r="AY28" s="37">
        <f t="shared" si="71"/>
        <v>0</v>
      </c>
      <c r="AZ28" s="37">
        <f t="shared" si="72"/>
        <v>0</v>
      </c>
      <c r="BA28" s="37">
        <f t="shared" si="73"/>
        <v>0</v>
      </c>
      <c r="BB28" s="37">
        <f t="shared" si="73"/>
        <v>0</v>
      </c>
      <c r="BC28" s="37">
        <f t="shared" si="74"/>
        <v>0</v>
      </c>
      <c r="BD28" s="36">
        <f t="shared" si="75"/>
        <v>0</v>
      </c>
      <c r="BE28" s="36">
        <f t="shared" si="75"/>
        <v>0</v>
      </c>
      <c r="BF28" s="36">
        <f t="shared" si="75"/>
        <v>0</v>
      </c>
      <c r="BG28" s="36">
        <f t="shared" si="75"/>
        <v>0</v>
      </c>
      <c r="BH28" s="36">
        <f t="shared" si="75"/>
        <v>0</v>
      </c>
      <c r="BI28" s="35"/>
      <c r="BJ28" s="35"/>
      <c r="BK28" s="35"/>
      <c r="BL28" s="35"/>
      <c r="BM28" s="35"/>
    </row>
    <row r="29" spans="1:65" ht="15" hidden="1" customHeight="1" outlineLevel="1">
      <c r="A29" s="104">
        <v>3</v>
      </c>
      <c r="B29" s="103"/>
      <c r="C29" s="102">
        <v>118040200</v>
      </c>
      <c r="D29" s="101" t="s">
        <v>7</v>
      </c>
      <c r="E29" s="130">
        <f>SUMIFS([1]全伝票!I:I,[1]全伝票!$C:$C,$C29,[1]全伝票!$A:$A,$A29)</f>
        <v>0</v>
      </c>
      <c r="F29" s="92"/>
      <c r="G29" s="91"/>
      <c r="H29" s="91"/>
      <c r="I29" s="91"/>
      <c r="J29" s="97"/>
      <c r="K29" s="96">
        <f t="shared" si="57"/>
        <v>0</v>
      </c>
      <c r="L29" s="100"/>
      <c r="M29" s="100"/>
      <c r="N29" s="92"/>
      <c r="O29" s="129">
        <f>'[3]4条その他'!K$37</f>
        <v>0</v>
      </c>
      <c r="P29" s="129">
        <f>'[3]4条その他'!L$37</f>
        <v>0</v>
      </c>
      <c r="Q29" s="129">
        <f>'[3]4条その他'!M$37</f>
        <v>0</v>
      </c>
      <c r="R29" s="129">
        <f>'[3]4条その他'!N$37</f>
        <v>0</v>
      </c>
      <c r="S29" s="91">
        <f t="shared" si="58"/>
        <v>0</v>
      </c>
      <c r="T29" s="128">
        <f>'[3]4条その他'!I$36</f>
        <v>0</v>
      </c>
      <c r="U29" s="98">
        <f t="shared" si="59"/>
        <v>0</v>
      </c>
      <c r="V29" s="120">
        <f>SUMIFS([1]全伝票!P:P,[1]全伝票!$C:$C,$C29,[1]全伝票!$A:$A,$A29)</f>
        <v>0</v>
      </c>
      <c r="W29" s="92">
        <f t="shared" si="60"/>
        <v>0</v>
      </c>
      <c r="X29" s="91">
        <f t="shared" si="61"/>
        <v>0</v>
      </c>
      <c r="Y29" s="91">
        <f t="shared" si="62"/>
        <v>0</v>
      </c>
      <c r="Z29" s="91">
        <f t="shared" si="62"/>
        <v>0</v>
      </c>
      <c r="AA29" s="97">
        <f t="shared" si="63"/>
        <v>0</v>
      </c>
      <c r="AB29" s="96">
        <f t="shared" si="64"/>
        <v>0</v>
      </c>
      <c r="AC29" s="95">
        <f t="shared" si="65"/>
        <v>0</v>
      </c>
      <c r="AD29" s="94">
        <f t="shared" si="66"/>
        <v>0</v>
      </c>
      <c r="AE29" s="94">
        <f t="shared" si="67"/>
        <v>0</v>
      </c>
      <c r="AF29" s="94">
        <f t="shared" si="67"/>
        <v>0</v>
      </c>
      <c r="AG29" s="94">
        <f t="shared" si="68"/>
        <v>0</v>
      </c>
      <c r="AH29" s="90">
        <f t="shared" si="69"/>
        <v>0</v>
      </c>
      <c r="AI29" s="93">
        <f t="shared" si="70"/>
        <v>0</v>
      </c>
      <c r="AJ29" s="37"/>
      <c r="AK29" s="37"/>
      <c r="AL29" s="37"/>
      <c r="AM29" s="37"/>
      <c r="AN29" s="37"/>
      <c r="AO29" s="36"/>
      <c r="AP29" s="36"/>
      <c r="AQ29" s="36"/>
      <c r="AR29" s="36"/>
      <c r="AS29" s="36"/>
      <c r="AT29" s="35"/>
      <c r="AU29" s="35"/>
      <c r="AV29" s="35"/>
      <c r="AW29" s="35"/>
      <c r="AX29" s="35"/>
      <c r="AY29" s="37">
        <f t="shared" si="71"/>
        <v>0</v>
      </c>
      <c r="AZ29" s="37">
        <f t="shared" si="72"/>
        <v>0</v>
      </c>
      <c r="BA29" s="37">
        <f t="shared" si="73"/>
        <v>0</v>
      </c>
      <c r="BB29" s="37">
        <f t="shared" si="73"/>
        <v>0</v>
      </c>
      <c r="BC29" s="37">
        <f t="shared" si="74"/>
        <v>0</v>
      </c>
      <c r="BD29" s="36">
        <f t="shared" si="75"/>
        <v>0</v>
      </c>
      <c r="BE29" s="36">
        <f t="shared" si="75"/>
        <v>0</v>
      </c>
      <c r="BF29" s="36">
        <f t="shared" si="75"/>
        <v>0</v>
      </c>
      <c r="BG29" s="36">
        <f t="shared" si="75"/>
        <v>0</v>
      </c>
      <c r="BH29" s="36">
        <f t="shared" si="75"/>
        <v>0</v>
      </c>
      <c r="BI29" s="35"/>
      <c r="BJ29" s="35"/>
      <c r="BK29" s="35"/>
      <c r="BL29" s="35"/>
      <c r="BM29" s="35"/>
    </row>
    <row r="30" spans="1:65" ht="15" hidden="1" customHeight="1" outlineLevel="1">
      <c r="A30" s="104">
        <v>4</v>
      </c>
      <c r="B30" s="103"/>
      <c r="C30" s="102">
        <v>118040200</v>
      </c>
      <c r="D30" s="101" t="s">
        <v>6</v>
      </c>
      <c r="E30" s="130">
        <f>SUMIFS([1]全伝票!I:I,[1]全伝票!$C:$C,$C30,[1]全伝票!$A:$A,$A30)</f>
        <v>0</v>
      </c>
      <c r="F30" s="92"/>
      <c r="G30" s="91"/>
      <c r="H30" s="91"/>
      <c r="I30" s="91"/>
      <c r="J30" s="97"/>
      <c r="K30" s="96">
        <f t="shared" si="57"/>
        <v>0</v>
      </c>
      <c r="L30" s="100"/>
      <c r="M30" s="100"/>
      <c r="N30" s="92"/>
      <c r="O30" s="129">
        <f>'[3]4条その他'!K$51</f>
        <v>0</v>
      </c>
      <c r="P30" s="129">
        <f>'[3]4条その他'!L$51</f>
        <v>0</v>
      </c>
      <c r="Q30" s="129">
        <f>'[3]4条その他'!M$51</f>
        <v>0</v>
      </c>
      <c r="R30" s="129">
        <f>'[3]4条その他'!N$51</f>
        <v>0</v>
      </c>
      <c r="S30" s="91">
        <f t="shared" si="58"/>
        <v>0</v>
      </c>
      <c r="T30" s="128">
        <f>'[3]4条その他'!I$50</f>
        <v>0</v>
      </c>
      <c r="U30" s="98">
        <f t="shared" si="59"/>
        <v>0</v>
      </c>
      <c r="V30" s="120">
        <f>SUMIFS([1]全伝票!P:P,[1]全伝票!$C:$C,$C30,[1]全伝票!$A:$A,$A30)</f>
        <v>0</v>
      </c>
      <c r="W30" s="92">
        <f t="shared" si="60"/>
        <v>0</v>
      </c>
      <c r="X30" s="91">
        <f t="shared" si="61"/>
        <v>0</v>
      </c>
      <c r="Y30" s="91">
        <f t="shared" si="62"/>
        <v>0</v>
      </c>
      <c r="Z30" s="91">
        <f t="shared" si="62"/>
        <v>0</v>
      </c>
      <c r="AA30" s="97">
        <f t="shared" si="63"/>
        <v>0</v>
      </c>
      <c r="AB30" s="96">
        <f t="shared" si="64"/>
        <v>0</v>
      </c>
      <c r="AC30" s="95">
        <f t="shared" si="65"/>
        <v>0</v>
      </c>
      <c r="AD30" s="94">
        <f t="shared" si="66"/>
        <v>0</v>
      </c>
      <c r="AE30" s="94">
        <f t="shared" si="67"/>
        <v>0</v>
      </c>
      <c r="AF30" s="94">
        <f t="shared" si="67"/>
        <v>0</v>
      </c>
      <c r="AG30" s="94">
        <f t="shared" si="68"/>
        <v>0</v>
      </c>
      <c r="AH30" s="90">
        <f t="shared" si="69"/>
        <v>0</v>
      </c>
      <c r="AI30" s="93">
        <f t="shared" si="70"/>
        <v>0</v>
      </c>
      <c r="AJ30" s="37"/>
      <c r="AK30" s="37"/>
      <c r="AL30" s="37"/>
      <c r="AM30" s="37"/>
      <c r="AN30" s="37"/>
      <c r="AO30" s="36"/>
      <c r="AP30" s="36"/>
      <c r="AQ30" s="36"/>
      <c r="AR30" s="36"/>
      <c r="AS30" s="36"/>
      <c r="AT30" s="35"/>
      <c r="AU30" s="35"/>
      <c r="AV30" s="35"/>
      <c r="AW30" s="35"/>
      <c r="AX30" s="35"/>
      <c r="AY30" s="37">
        <f t="shared" si="71"/>
        <v>0</v>
      </c>
      <c r="AZ30" s="37">
        <f t="shared" si="72"/>
        <v>0</v>
      </c>
      <c r="BA30" s="37">
        <f t="shared" si="73"/>
        <v>0</v>
      </c>
      <c r="BB30" s="37">
        <f t="shared" si="73"/>
        <v>0</v>
      </c>
      <c r="BC30" s="37">
        <f t="shared" si="74"/>
        <v>0</v>
      </c>
      <c r="BD30" s="36">
        <f t="shared" si="75"/>
        <v>0</v>
      </c>
      <c r="BE30" s="36">
        <f t="shared" si="75"/>
        <v>0</v>
      </c>
      <c r="BF30" s="36">
        <f t="shared" si="75"/>
        <v>0</v>
      </c>
      <c r="BG30" s="36">
        <f t="shared" si="75"/>
        <v>0</v>
      </c>
      <c r="BH30" s="36">
        <f t="shared" si="75"/>
        <v>0</v>
      </c>
      <c r="BI30" s="35"/>
      <c r="BJ30" s="35"/>
      <c r="BK30" s="35"/>
      <c r="BL30" s="35"/>
      <c r="BM30" s="35"/>
    </row>
    <row r="31" spans="1:65" ht="15" customHeight="1" collapsed="1">
      <c r="A31" s="104"/>
      <c r="B31" s="103"/>
      <c r="C31" s="102"/>
      <c r="D31" s="101" t="s">
        <v>74</v>
      </c>
      <c r="E31" s="100">
        <f t="shared" ref="E31:V31" si="76">+SUM(E32:E34)</f>
        <v>33988000</v>
      </c>
      <c r="F31" s="92">
        <f t="shared" si="76"/>
        <v>0</v>
      </c>
      <c r="G31" s="91">
        <f t="shared" si="76"/>
        <v>0</v>
      </c>
      <c r="H31" s="91">
        <f t="shared" si="76"/>
        <v>0</v>
      </c>
      <c r="I31" s="91">
        <f t="shared" ref="I31" si="77">+SUM(I32:I34)</f>
        <v>0</v>
      </c>
      <c r="J31" s="97">
        <f t="shared" si="76"/>
        <v>0</v>
      </c>
      <c r="K31" s="96">
        <f t="shared" si="76"/>
        <v>0</v>
      </c>
      <c r="L31" s="100">
        <f t="shared" si="76"/>
        <v>0</v>
      </c>
      <c r="M31" s="100">
        <f t="shared" si="76"/>
        <v>0</v>
      </c>
      <c r="N31" s="92">
        <f t="shared" si="76"/>
        <v>0</v>
      </c>
      <c r="O31" s="91">
        <f t="shared" si="76"/>
        <v>0</v>
      </c>
      <c r="P31" s="91">
        <f t="shared" si="76"/>
        <v>0</v>
      </c>
      <c r="Q31" s="91">
        <f t="shared" ref="Q31" si="78">+SUM(Q32:Q34)</f>
        <v>0</v>
      </c>
      <c r="R31" s="91">
        <f t="shared" si="76"/>
        <v>33988000</v>
      </c>
      <c r="S31" s="91">
        <f t="shared" si="76"/>
        <v>33988000</v>
      </c>
      <c r="T31" s="99">
        <f t="shared" si="76"/>
        <v>0</v>
      </c>
      <c r="U31" s="98">
        <f>+SUM(U32:U34)</f>
        <v>0</v>
      </c>
      <c r="V31" s="96">
        <f t="shared" si="76"/>
        <v>33988000</v>
      </c>
      <c r="W31" s="92">
        <f t="shared" ref="W31:Z34" si="79">+ROUND(F31*F$6/(100+F$6),0)+AT31</f>
        <v>0</v>
      </c>
      <c r="X31" s="91">
        <f t="shared" si="79"/>
        <v>0</v>
      </c>
      <c r="Y31" s="91">
        <f t="shared" si="79"/>
        <v>0</v>
      </c>
      <c r="Z31" s="91">
        <f t="shared" si="79"/>
        <v>0</v>
      </c>
      <c r="AA31" s="97">
        <f>+ROUND(J31*J$6/(100+J$6),0)+AX31</f>
        <v>0</v>
      </c>
      <c r="AB31" s="96">
        <f t="shared" si="45"/>
        <v>0</v>
      </c>
      <c r="AC31" s="78">
        <f>+SUM(AC32:AC34)</f>
        <v>0</v>
      </c>
      <c r="AD31" s="77">
        <f t="shared" ref="AD31" si="80">+SUM(AD32:AD34)</f>
        <v>0</v>
      </c>
      <c r="AE31" s="77">
        <f t="shared" ref="AE31:AF31" si="81">+SUM(AE32:AE34)</f>
        <v>0</v>
      </c>
      <c r="AF31" s="77">
        <f t="shared" si="81"/>
        <v>0</v>
      </c>
      <c r="AG31" s="77">
        <f t="shared" ref="AG31" si="82">+SUM(AG32:AG34)</f>
        <v>3089818</v>
      </c>
      <c r="AH31" s="73">
        <f t="shared" si="46"/>
        <v>3089818</v>
      </c>
      <c r="AI31" s="76">
        <f t="shared" si="47"/>
        <v>33988000</v>
      </c>
      <c r="AJ31" s="37"/>
      <c r="AK31" s="37"/>
      <c r="AL31" s="37"/>
      <c r="AM31" s="37"/>
      <c r="AN31" s="37"/>
      <c r="AO31" s="36"/>
      <c r="AP31" s="36"/>
      <c r="AQ31" s="36"/>
      <c r="AR31" s="36"/>
      <c r="AS31" s="36"/>
      <c r="AT31" s="35"/>
      <c r="AU31" s="35"/>
      <c r="AV31" s="35"/>
      <c r="AW31" s="35"/>
      <c r="AX31" s="35"/>
      <c r="AY31" s="37"/>
      <c r="AZ31" s="37"/>
      <c r="BA31" s="37"/>
      <c r="BB31" s="37"/>
      <c r="BC31" s="37"/>
      <c r="BD31" s="36"/>
      <c r="BE31" s="36"/>
      <c r="BF31" s="36"/>
      <c r="BG31" s="36"/>
      <c r="BH31" s="36"/>
      <c r="BI31" s="35"/>
      <c r="BJ31" s="35"/>
      <c r="BK31" s="35"/>
      <c r="BL31" s="35"/>
      <c r="BM31" s="35"/>
    </row>
    <row r="32" spans="1:65" ht="15" customHeight="1" outlineLevel="1">
      <c r="A32" s="89">
        <v>2</v>
      </c>
      <c r="B32" s="88"/>
      <c r="C32" s="87">
        <v>118040103</v>
      </c>
      <c r="D32" s="86" t="s">
        <v>8</v>
      </c>
      <c r="E32" s="85">
        <f>+SUMIFS([1]全伝票!I:I,[1]全伝票!$C:$C,$C32,[1]全伝票!$A:$A,'4条収入'!$A32)</f>
        <v>30500000</v>
      </c>
      <c r="F32" s="75"/>
      <c r="G32" s="74"/>
      <c r="H32" s="74"/>
      <c r="I32" s="74"/>
      <c r="J32" s="80"/>
      <c r="K32" s="79">
        <f>SUM(F32:J32)</f>
        <v>0</v>
      </c>
      <c r="L32" s="84"/>
      <c r="M32" s="84"/>
      <c r="N32" s="75"/>
      <c r="O32" s="127">
        <f>+'[3]4条補助（特）'!K$6</f>
        <v>0</v>
      </c>
      <c r="P32" s="127">
        <f>+'[3]4条補助（特）'!L$6</f>
        <v>0</v>
      </c>
      <c r="Q32" s="127">
        <f>+'[3]4条補助（特）'!M$6</f>
        <v>0</v>
      </c>
      <c r="R32" s="127">
        <f>+'[3]4条補助（特）'!N$6</f>
        <v>30500000</v>
      </c>
      <c r="S32" s="74">
        <f>SUM(N32:R32)</f>
        <v>30500000</v>
      </c>
      <c r="T32" s="126">
        <f>+'[3]4条補助（特）'!$I$6</f>
        <v>0</v>
      </c>
      <c r="U32" s="82">
        <f>+V32-SUM(S32:T32)</f>
        <v>0</v>
      </c>
      <c r="V32" s="81">
        <f>+SUMIFS([1]全伝票!P:P,[1]全伝票!$C:$C,$C32,[1]全伝票!$A:$A,'4条収入'!$A32)</f>
        <v>30500000</v>
      </c>
      <c r="W32" s="75">
        <f t="shared" si="79"/>
        <v>0</v>
      </c>
      <c r="X32" s="74">
        <f t="shared" si="79"/>
        <v>0</v>
      </c>
      <c r="Y32" s="74">
        <f t="shared" si="79"/>
        <v>0</v>
      </c>
      <c r="Z32" s="74">
        <f t="shared" si="79"/>
        <v>0</v>
      </c>
      <c r="AA32" s="80">
        <f>+ROUND(J32*J$6/(100+J$6),0)+AX32</f>
        <v>0</v>
      </c>
      <c r="AB32" s="79">
        <f t="shared" si="45"/>
        <v>0</v>
      </c>
      <c r="AC32" s="78">
        <f t="shared" ref="AC32:AF34" si="83">+ROUND(N32*AC$6/(100+AC$6),0)+BI32</f>
        <v>0</v>
      </c>
      <c r="AD32" s="77">
        <f t="shared" si="83"/>
        <v>0</v>
      </c>
      <c r="AE32" s="77">
        <f t="shared" si="83"/>
        <v>0</v>
      </c>
      <c r="AF32" s="77">
        <f t="shared" si="83"/>
        <v>0</v>
      </c>
      <c r="AG32" s="77">
        <f>+ROUND(R32*AG$6/(100+AG$6),0)+BM32</f>
        <v>2772727</v>
      </c>
      <c r="AH32" s="73">
        <f t="shared" si="46"/>
        <v>2772727</v>
      </c>
      <c r="AI32" s="76">
        <f t="shared" si="47"/>
        <v>30500000</v>
      </c>
      <c r="AJ32" s="37"/>
      <c r="AK32" s="37"/>
      <c r="AL32" s="37"/>
      <c r="AM32" s="37"/>
      <c r="AN32" s="37"/>
      <c r="AO32" s="36"/>
      <c r="AP32" s="36"/>
      <c r="AQ32" s="36"/>
      <c r="AR32" s="36"/>
      <c r="AS32" s="36"/>
      <c r="AT32" s="35"/>
      <c r="AU32" s="35"/>
      <c r="AV32" s="35"/>
      <c r="AW32" s="35"/>
      <c r="AX32" s="35"/>
      <c r="AY32" s="37"/>
      <c r="AZ32" s="37"/>
      <c r="BA32" s="37"/>
      <c r="BB32" s="37"/>
      <c r="BC32" s="37"/>
      <c r="BD32" s="36"/>
      <c r="BE32" s="36"/>
      <c r="BF32" s="36"/>
      <c r="BG32" s="36"/>
      <c r="BH32" s="36"/>
      <c r="BI32" s="35"/>
      <c r="BJ32" s="35"/>
      <c r="BK32" s="35"/>
      <c r="BL32" s="35"/>
      <c r="BM32" s="35"/>
    </row>
    <row r="33" spans="1:65" ht="15" customHeight="1" outlineLevel="1">
      <c r="A33" s="89">
        <v>3</v>
      </c>
      <c r="B33" s="88"/>
      <c r="C33" s="87">
        <v>118040400</v>
      </c>
      <c r="D33" s="86" t="s">
        <v>7</v>
      </c>
      <c r="E33" s="85">
        <f>+SUMIFS([1]全伝票!I:I,[1]全伝票!$C:$C,$C33,[1]全伝票!$A:$A,'4条収入'!$A33)</f>
        <v>0</v>
      </c>
      <c r="F33" s="75"/>
      <c r="G33" s="74"/>
      <c r="H33" s="74"/>
      <c r="I33" s="74"/>
      <c r="J33" s="80"/>
      <c r="K33" s="79">
        <f>SUM(F33:J33)</f>
        <v>0</v>
      </c>
      <c r="L33" s="84"/>
      <c r="M33" s="84"/>
      <c r="N33" s="75"/>
      <c r="O33" s="127">
        <f>+'[3]4条補助（農）'!K$6</f>
        <v>0</v>
      </c>
      <c r="P33" s="127">
        <f>+'[3]4条補助（農）'!L$6</f>
        <v>0</v>
      </c>
      <c r="Q33" s="127">
        <f>+'[3]4条補助（農）'!M$6</f>
        <v>0</v>
      </c>
      <c r="R33" s="127">
        <f>+'[3]4条補助（農）'!N$6</f>
        <v>0</v>
      </c>
      <c r="S33" s="74">
        <f>SUM(N33:R33)</f>
        <v>0</v>
      </c>
      <c r="T33" s="126">
        <f>+'[3]4条補助（農）'!$I$6</f>
        <v>0</v>
      </c>
      <c r="U33" s="82">
        <f>+V33-SUM(S33:T33)</f>
        <v>0</v>
      </c>
      <c r="V33" s="81">
        <f>+SUMIFS([1]全伝票!P:P,[1]全伝票!$C:$C,$C33,[1]全伝票!$A:$A,'4条収入'!$A33)</f>
        <v>0</v>
      </c>
      <c r="W33" s="75">
        <f t="shared" si="79"/>
        <v>0</v>
      </c>
      <c r="X33" s="74">
        <f t="shared" si="79"/>
        <v>0</v>
      </c>
      <c r="Y33" s="74">
        <f t="shared" si="79"/>
        <v>0</v>
      </c>
      <c r="Z33" s="74">
        <f t="shared" si="79"/>
        <v>0</v>
      </c>
      <c r="AA33" s="80">
        <f>+ROUND(J33*J$6/(100+J$6),0)+AX33</f>
        <v>0</v>
      </c>
      <c r="AB33" s="79">
        <f t="shared" si="45"/>
        <v>0</v>
      </c>
      <c r="AC33" s="78">
        <f t="shared" si="83"/>
        <v>0</v>
      </c>
      <c r="AD33" s="77">
        <f t="shared" si="83"/>
        <v>0</v>
      </c>
      <c r="AE33" s="77">
        <f t="shared" si="83"/>
        <v>0</v>
      </c>
      <c r="AF33" s="77">
        <f t="shared" si="83"/>
        <v>0</v>
      </c>
      <c r="AG33" s="77">
        <f>+ROUND(R33*AG$6/(100+AG$6),0)+BM33</f>
        <v>0</v>
      </c>
      <c r="AH33" s="73">
        <f t="shared" si="46"/>
        <v>0</v>
      </c>
      <c r="AI33" s="76">
        <f t="shared" si="47"/>
        <v>0</v>
      </c>
      <c r="AJ33" s="37"/>
      <c r="AK33" s="37"/>
      <c r="AL33" s="37"/>
      <c r="AM33" s="37"/>
      <c r="AN33" s="37"/>
      <c r="AO33" s="36"/>
      <c r="AP33" s="36"/>
      <c r="AQ33" s="36"/>
      <c r="AR33" s="36"/>
      <c r="AS33" s="36"/>
      <c r="AT33" s="35"/>
      <c r="AU33" s="35"/>
      <c r="AV33" s="35"/>
      <c r="AW33" s="35"/>
      <c r="AX33" s="35"/>
      <c r="AY33" s="37"/>
      <c r="AZ33" s="37"/>
      <c r="BA33" s="37"/>
      <c r="BB33" s="37"/>
      <c r="BC33" s="37"/>
      <c r="BD33" s="36"/>
      <c r="BE33" s="36"/>
      <c r="BF33" s="36"/>
      <c r="BG33" s="36"/>
      <c r="BH33" s="36"/>
      <c r="BI33" s="35"/>
      <c r="BJ33" s="35"/>
      <c r="BK33" s="35"/>
      <c r="BL33" s="35"/>
      <c r="BM33" s="35"/>
    </row>
    <row r="34" spans="1:65" ht="15" customHeight="1" outlineLevel="1">
      <c r="A34" s="89">
        <v>4</v>
      </c>
      <c r="B34" s="88"/>
      <c r="C34" s="87">
        <v>118040400</v>
      </c>
      <c r="D34" s="86" t="s">
        <v>6</v>
      </c>
      <c r="E34" s="85">
        <f>+SUMIFS([1]全伝票!I:I,[1]全伝票!$C:$C,$C34,[1]全伝票!$A:$A,'4条収入'!$A34)</f>
        <v>3488000</v>
      </c>
      <c r="F34" s="75"/>
      <c r="G34" s="74"/>
      <c r="H34" s="74"/>
      <c r="I34" s="74"/>
      <c r="J34" s="80"/>
      <c r="K34" s="79">
        <f>SUM(F34:J34)</f>
        <v>0</v>
      </c>
      <c r="L34" s="84"/>
      <c r="M34" s="84"/>
      <c r="N34" s="75"/>
      <c r="O34" s="127">
        <f>+'[3]4条補助（浄）'!K$6</f>
        <v>0</v>
      </c>
      <c r="P34" s="127">
        <f>+'[3]4条補助（浄）'!L$6</f>
        <v>0</v>
      </c>
      <c r="Q34" s="127">
        <f>+'[3]4条補助（浄）'!M$6</f>
        <v>0</v>
      </c>
      <c r="R34" s="127">
        <f>+'[3]4条補助（浄）'!N$6</f>
        <v>3488000</v>
      </c>
      <c r="S34" s="74">
        <f>SUM(N34:R34)</f>
        <v>3488000</v>
      </c>
      <c r="T34" s="126">
        <f>+'[3]4条補助（浄）'!$I$6</f>
        <v>0</v>
      </c>
      <c r="U34" s="82">
        <f>+V34-SUM(S34:T34)</f>
        <v>0</v>
      </c>
      <c r="V34" s="81">
        <f>+SUMIFS([1]全伝票!P:P,[1]全伝票!$C:$C,$C34,[1]全伝票!$A:$A,'4条収入'!$A34)</f>
        <v>3488000</v>
      </c>
      <c r="W34" s="75">
        <f t="shared" si="79"/>
        <v>0</v>
      </c>
      <c r="X34" s="74">
        <f t="shared" si="79"/>
        <v>0</v>
      </c>
      <c r="Y34" s="74">
        <f t="shared" si="79"/>
        <v>0</v>
      </c>
      <c r="Z34" s="74">
        <f t="shared" si="79"/>
        <v>0</v>
      </c>
      <c r="AA34" s="80">
        <f>+ROUND(J34*J$6/(100+J$6),0)+AX34</f>
        <v>0</v>
      </c>
      <c r="AB34" s="79">
        <f t="shared" si="45"/>
        <v>0</v>
      </c>
      <c r="AC34" s="78">
        <f t="shared" si="83"/>
        <v>0</v>
      </c>
      <c r="AD34" s="77">
        <f t="shared" si="83"/>
        <v>0</v>
      </c>
      <c r="AE34" s="77">
        <f t="shared" si="83"/>
        <v>0</v>
      </c>
      <c r="AF34" s="77">
        <f t="shared" si="83"/>
        <v>0</v>
      </c>
      <c r="AG34" s="77">
        <f>+ROUND(R34*AG$6/(100+AG$6),0)+BM34</f>
        <v>317091</v>
      </c>
      <c r="AH34" s="73">
        <f t="shared" si="46"/>
        <v>317091</v>
      </c>
      <c r="AI34" s="76">
        <f t="shared" si="47"/>
        <v>3488000</v>
      </c>
      <c r="AJ34" s="37"/>
      <c r="AK34" s="37"/>
      <c r="AL34" s="37"/>
      <c r="AM34" s="37"/>
      <c r="AN34" s="37"/>
      <c r="AO34" s="36"/>
      <c r="AP34" s="36"/>
      <c r="AQ34" s="36"/>
      <c r="AR34" s="36"/>
      <c r="AS34" s="36"/>
      <c r="AT34" s="35"/>
      <c r="AU34" s="35"/>
      <c r="AV34" s="35"/>
      <c r="AW34" s="35"/>
      <c r="AX34" s="35"/>
      <c r="AY34" s="37"/>
      <c r="AZ34" s="37"/>
      <c r="BA34" s="37"/>
      <c r="BB34" s="37"/>
      <c r="BC34" s="37"/>
      <c r="BD34" s="36"/>
      <c r="BE34" s="36"/>
      <c r="BF34" s="36"/>
      <c r="BG34" s="36"/>
      <c r="BH34" s="36"/>
      <c r="BI34" s="35"/>
      <c r="BJ34" s="35"/>
      <c r="BK34" s="35"/>
      <c r="BL34" s="35"/>
      <c r="BM34" s="35"/>
    </row>
    <row r="35" spans="1:65" ht="15" customHeight="1">
      <c r="A35" s="72"/>
      <c r="B35" s="71"/>
      <c r="C35" s="70"/>
      <c r="D35" s="69" t="s">
        <v>30</v>
      </c>
      <c r="E35" s="68">
        <f t="shared" ref="E35:AI35" si="84">+E36</f>
        <v>0</v>
      </c>
      <c r="F35" s="60">
        <f t="shared" si="84"/>
        <v>0</v>
      </c>
      <c r="G35" s="59">
        <f t="shared" si="84"/>
        <v>0</v>
      </c>
      <c r="H35" s="59">
        <f t="shared" si="84"/>
        <v>0</v>
      </c>
      <c r="I35" s="59">
        <f t="shared" si="84"/>
        <v>0</v>
      </c>
      <c r="J35" s="65">
        <f t="shared" si="84"/>
        <v>0</v>
      </c>
      <c r="K35" s="64">
        <f t="shared" si="84"/>
        <v>0</v>
      </c>
      <c r="L35" s="68">
        <f t="shared" si="84"/>
        <v>0</v>
      </c>
      <c r="M35" s="68">
        <f t="shared" si="84"/>
        <v>0</v>
      </c>
      <c r="N35" s="60">
        <f t="shared" si="84"/>
        <v>0</v>
      </c>
      <c r="O35" s="59">
        <f t="shared" si="84"/>
        <v>0</v>
      </c>
      <c r="P35" s="59">
        <f t="shared" si="84"/>
        <v>0</v>
      </c>
      <c r="Q35" s="59">
        <f t="shared" si="84"/>
        <v>0</v>
      </c>
      <c r="R35" s="59">
        <f t="shared" si="84"/>
        <v>0</v>
      </c>
      <c r="S35" s="59">
        <f t="shared" si="84"/>
        <v>0</v>
      </c>
      <c r="T35" s="67">
        <f t="shared" si="84"/>
        <v>0</v>
      </c>
      <c r="U35" s="66">
        <f t="shared" si="84"/>
        <v>0</v>
      </c>
      <c r="V35" s="64">
        <f t="shared" si="84"/>
        <v>0</v>
      </c>
      <c r="W35" s="60">
        <f t="shared" si="84"/>
        <v>0</v>
      </c>
      <c r="X35" s="59">
        <f t="shared" si="84"/>
        <v>0</v>
      </c>
      <c r="Y35" s="59">
        <f t="shared" si="84"/>
        <v>0</v>
      </c>
      <c r="Z35" s="59">
        <f t="shared" si="84"/>
        <v>0</v>
      </c>
      <c r="AA35" s="65">
        <f t="shared" si="84"/>
        <v>0</v>
      </c>
      <c r="AB35" s="64">
        <f t="shared" si="84"/>
        <v>0</v>
      </c>
      <c r="AC35" s="63">
        <f t="shared" si="84"/>
        <v>0</v>
      </c>
      <c r="AD35" s="62">
        <f t="shared" si="84"/>
        <v>0</v>
      </c>
      <c r="AE35" s="62">
        <f t="shared" si="84"/>
        <v>0</v>
      </c>
      <c r="AF35" s="62">
        <f t="shared" si="84"/>
        <v>0</v>
      </c>
      <c r="AG35" s="62">
        <f t="shared" si="84"/>
        <v>0</v>
      </c>
      <c r="AH35" s="58">
        <f t="shared" si="84"/>
        <v>0</v>
      </c>
      <c r="AI35" s="61">
        <f t="shared" si="84"/>
        <v>0</v>
      </c>
      <c r="AJ35" s="37"/>
      <c r="AK35" s="37"/>
      <c r="AL35" s="37"/>
      <c r="AM35" s="37"/>
      <c r="AN35" s="37"/>
      <c r="AO35" s="36"/>
      <c r="AP35" s="36"/>
      <c r="AQ35" s="36"/>
      <c r="AR35" s="36"/>
      <c r="AS35" s="36"/>
      <c r="AT35" s="35"/>
      <c r="AU35" s="35"/>
      <c r="AV35" s="35"/>
      <c r="AW35" s="35"/>
      <c r="AX35" s="35"/>
      <c r="BI35" s="35"/>
      <c r="BJ35" s="35"/>
      <c r="BK35" s="35"/>
      <c r="BL35" s="35"/>
      <c r="BM35" s="35"/>
    </row>
    <row r="36" spans="1:65" ht="15" customHeight="1">
      <c r="A36" s="57"/>
      <c r="B36" s="56"/>
      <c r="C36" s="55">
        <v>119040100</v>
      </c>
      <c r="D36" s="54" t="s">
        <v>29</v>
      </c>
      <c r="E36" s="50">
        <f>+SUMIFS([1]全伝票!I:I,[1]全伝票!$C:$C,$C36)</f>
        <v>0</v>
      </c>
      <c r="F36" s="40"/>
      <c r="G36" s="39"/>
      <c r="H36" s="39"/>
      <c r="I36" s="39"/>
      <c r="J36" s="45"/>
      <c r="K36" s="44">
        <f>SUM(F36:J36)</f>
        <v>0</v>
      </c>
      <c r="L36" s="49"/>
      <c r="M36" s="49"/>
      <c r="N36" s="40"/>
      <c r="O36" s="39"/>
      <c r="P36" s="39"/>
      <c r="Q36" s="39"/>
      <c r="R36" s="39"/>
      <c r="S36" s="39">
        <f>SUM(N36:R36)</f>
        <v>0</v>
      </c>
      <c r="T36" s="48"/>
      <c r="U36" s="47">
        <f>+V36-SUM(S36:T36)</f>
        <v>0</v>
      </c>
      <c r="V36" s="44">
        <f>+SUMIFS([1]全伝票!P:P,[1]全伝票!$C:$C,$C36)</f>
        <v>0</v>
      </c>
      <c r="W36" s="40">
        <f>+ROUND(F36*F$6/(100+F$6),0)+AT36</f>
        <v>0</v>
      </c>
      <c r="X36" s="39">
        <f>+ROUND(G36*G$6/(100+G$6),0)+AU36</f>
        <v>0</v>
      </c>
      <c r="Y36" s="39">
        <f>+ROUND(H36*H$6/(100+H$6),0)+AV36</f>
        <v>0</v>
      </c>
      <c r="Z36" s="39">
        <f>+ROUND(I36*I$6/(100+I$6),0)+AW36</f>
        <v>0</v>
      </c>
      <c r="AA36" s="45">
        <f>+ROUND(J36*J$6/(100+J$6),0)+AX36</f>
        <v>0</v>
      </c>
      <c r="AB36" s="44">
        <f>SUM(W36:AA36)</f>
        <v>0</v>
      </c>
      <c r="AC36" s="43">
        <f>+ROUND(N36*AC$6/(100+AC$6),0)+BI36</f>
        <v>0</v>
      </c>
      <c r="AD36" s="42">
        <f>+ROUND(O36*AD$6/(100+AD$6),0)+BJ36</f>
        <v>0</v>
      </c>
      <c r="AE36" s="42">
        <f>+ROUND(P36*AE$6/(100+AE$6),0)+BK36</f>
        <v>0</v>
      </c>
      <c r="AF36" s="42">
        <f>+ROUND(Q36*AF$6/(100+AF$6),0)+BL36</f>
        <v>0</v>
      </c>
      <c r="AG36" s="42">
        <f>+ROUND(R36*AG$6/(100+AG$6),0)+BM36</f>
        <v>0</v>
      </c>
      <c r="AH36" s="38">
        <f>SUM(AC36:AG36)</f>
        <v>0</v>
      </c>
      <c r="AI36" s="41">
        <f>+E36-AB36</f>
        <v>0</v>
      </c>
      <c r="AJ36" s="37"/>
      <c r="AK36" s="37"/>
      <c r="AL36" s="37"/>
      <c r="AM36" s="37"/>
      <c r="AN36" s="37"/>
      <c r="AO36" s="36"/>
      <c r="AP36" s="36"/>
      <c r="AQ36" s="36"/>
      <c r="AR36" s="36"/>
      <c r="AS36" s="36"/>
      <c r="AT36" s="35"/>
      <c r="AU36" s="35"/>
      <c r="AV36" s="35"/>
      <c r="AW36" s="35"/>
      <c r="AX36" s="35"/>
      <c r="AY36" s="37">
        <f>AC36-N36*AC$6/(100+AC$6)</f>
        <v>0</v>
      </c>
      <c r="AZ36" s="37">
        <f>AD36-O36*AD$6/(100+AD$6)</f>
        <v>0</v>
      </c>
      <c r="BA36" s="37">
        <f>AE36-P36*AE$6/(100+AE$6)</f>
        <v>0</v>
      </c>
      <c r="BB36" s="37">
        <f>AF36-Q36*AF$6/(100+AF$6)</f>
        <v>0</v>
      </c>
      <c r="BC36" s="37">
        <f>AG36-R36*AG$6/(100+AG$6)</f>
        <v>0</v>
      </c>
      <c r="BD36" s="36">
        <f>+IF(AC$93=0,0,IF(AC$93&lt;0,-RANK(AY36,AY$7:AY$90,0),RANK(AY36,AY$7:AY$90,1)))</f>
        <v>0</v>
      </c>
      <c r="BE36" s="36">
        <f>+IF(AD$93=0,0,IF(AD$93&lt;0,-RANK(AZ36,AZ$7:AZ$90,0),RANK(AZ36,AZ$7:AZ$90,1)))</f>
        <v>0</v>
      </c>
      <c r="BF36" s="36">
        <f>+IF(AE$93=0,0,IF(AE$93&lt;0,-RANK(BA36,BA$7:BA$90,0),RANK(BA36,BA$7:BA$90,1)))</f>
        <v>0</v>
      </c>
      <c r="BG36" s="36">
        <f>+IF(AF$93=0,0,IF(AF$93&lt;0,-RANK(BB36,BB$7:BB$90,0),RANK(BB36,BB$7:BB$90,1)))</f>
        <v>0</v>
      </c>
      <c r="BH36" s="36">
        <f>+IF(AG$93=0,0,IF(AG$93&lt;0,-RANK(BC36,BC$7:BC$90,0),RANK(BC36,BC$7:BC$90,1)))</f>
        <v>0</v>
      </c>
      <c r="BI36" s="35"/>
      <c r="BJ36" s="35"/>
      <c r="BK36" s="35"/>
      <c r="BL36" s="35"/>
      <c r="BM36" s="35"/>
    </row>
    <row r="37" spans="1:65" ht="15" customHeight="1">
      <c r="A37" s="72"/>
      <c r="B37" s="71"/>
      <c r="C37" s="70"/>
      <c r="D37" s="69" t="s">
        <v>28</v>
      </c>
      <c r="E37" s="68">
        <f t="shared" ref="E37:AI37" si="85">+E38</f>
        <v>24373083</v>
      </c>
      <c r="F37" s="60">
        <f t="shared" si="85"/>
        <v>0</v>
      </c>
      <c r="G37" s="59">
        <f t="shared" si="85"/>
        <v>0</v>
      </c>
      <c r="H37" s="59">
        <f t="shared" si="85"/>
        <v>0</v>
      </c>
      <c r="I37" s="59">
        <f t="shared" si="85"/>
        <v>0</v>
      </c>
      <c r="J37" s="65">
        <f t="shared" si="85"/>
        <v>24373083</v>
      </c>
      <c r="K37" s="64">
        <f t="shared" si="85"/>
        <v>24373083</v>
      </c>
      <c r="L37" s="68">
        <f t="shared" si="85"/>
        <v>0</v>
      </c>
      <c r="M37" s="68">
        <f t="shared" si="85"/>
        <v>0</v>
      </c>
      <c r="N37" s="60">
        <f t="shared" si="85"/>
        <v>0</v>
      </c>
      <c r="O37" s="59">
        <f t="shared" si="85"/>
        <v>0</v>
      </c>
      <c r="P37" s="59">
        <f t="shared" si="85"/>
        <v>0</v>
      </c>
      <c r="Q37" s="59">
        <f t="shared" si="85"/>
        <v>0</v>
      </c>
      <c r="R37" s="59">
        <f t="shared" si="85"/>
        <v>0</v>
      </c>
      <c r="S37" s="59">
        <f t="shared" si="85"/>
        <v>0</v>
      </c>
      <c r="T37" s="67">
        <f t="shared" si="85"/>
        <v>0</v>
      </c>
      <c r="U37" s="66">
        <f t="shared" si="85"/>
        <v>0</v>
      </c>
      <c r="V37" s="64">
        <f t="shared" si="85"/>
        <v>0</v>
      </c>
      <c r="W37" s="60">
        <f t="shared" si="85"/>
        <v>0</v>
      </c>
      <c r="X37" s="59">
        <f t="shared" si="85"/>
        <v>0</v>
      </c>
      <c r="Y37" s="59">
        <f t="shared" si="85"/>
        <v>0</v>
      </c>
      <c r="Z37" s="59">
        <f t="shared" si="85"/>
        <v>0</v>
      </c>
      <c r="AA37" s="65">
        <f t="shared" si="85"/>
        <v>2215735</v>
      </c>
      <c r="AB37" s="64">
        <f t="shared" si="85"/>
        <v>2215735</v>
      </c>
      <c r="AC37" s="63">
        <f t="shared" si="85"/>
        <v>0</v>
      </c>
      <c r="AD37" s="62">
        <f t="shared" si="85"/>
        <v>0</v>
      </c>
      <c r="AE37" s="62">
        <f t="shared" si="85"/>
        <v>0</v>
      </c>
      <c r="AF37" s="62">
        <f t="shared" si="85"/>
        <v>0</v>
      </c>
      <c r="AG37" s="62">
        <f t="shared" si="85"/>
        <v>0</v>
      </c>
      <c r="AH37" s="58">
        <f t="shared" si="85"/>
        <v>0</v>
      </c>
      <c r="AI37" s="61">
        <f t="shared" si="85"/>
        <v>22157348</v>
      </c>
      <c r="AJ37" s="37"/>
      <c r="AK37" s="37"/>
      <c r="AL37" s="37"/>
      <c r="AM37" s="37"/>
      <c r="AN37" s="37"/>
      <c r="AO37" s="36"/>
      <c r="AP37" s="36"/>
      <c r="AQ37" s="36"/>
      <c r="AR37" s="36"/>
      <c r="AS37" s="36"/>
      <c r="AT37" s="35"/>
      <c r="AU37" s="35"/>
      <c r="AV37" s="35"/>
      <c r="AW37" s="35"/>
      <c r="AX37" s="35"/>
      <c r="BI37" s="35"/>
      <c r="BJ37" s="35"/>
      <c r="BK37" s="35"/>
      <c r="BL37" s="35"/>
      <c r="BM37" s="35"/>
    </row>
    <row r="38" spans="1:65" ht="15" customHeight="1">
      <c r="A38" s="57"/>
      <c r="B38" s="56"/>
      <c r="C38" s="55"/>
      <c r="D38" s="54" t="s">
        <v>27</v>
      </c>
      <c r="E38" s="49">
        <f t="shared" ref="E38:AA38" si="86">+SUM(E39:E41)</f>
        <v>24373083</v>
      </c>
      <c r="F38" s="40">
        <f t="shared" si="86"/>
        <v>0</v>
      </c>
      <c r="G38" s="39">
        <f t="shared" si="86"/>
        <v>0</v>
      </c>
      <c r="H38" s="39">
        <f t="shared" si="86"/>
        <v>0</v>
      </c>
      <c r="I38" s="39">
        <f t="shared" ref="I38" si="87">+SUM(I39:I41)</f>
        <v>0</v>
      </c>
      <c r="J38" s="45">
        <f t="shared" si="86"/>
        <v>24373083</v>
      </c>
      <c r="K38" s="44">
        <f t="shared" si="86"/>
        <v>24373083</v>
      </c>
      <c r="L38" s="49">
        <f t="shared" si="86"/>
        <v>0</v>
      </c>
      <c r="M38" s="49">
        <f t="shared" si="86"/>
        <v>0</v>
      </c>
      <c r="N38" s="40">
        <f t="shared" si="86"/>
        <v>0</v>
      </c>
      <c r="O38" s="39">
        <f t="shared" si="86"/>
        <v>0</v>
      </c>
      <c r="P38" s="39">
        <f t="shared" si="86"/>
        <v>0</v>
      </c>
      <c r="Q38" s="39">
        <f t="shared" ref="Q38" si="88">+SUM(Q39:Q41)</f>
        <v>0</v>
      </c>
      <c r="R38" s="39">
        <f t="shared" si="86"/>
        <v>0</v>
      </c>
      <c r="S38" s="39">
        <f t="shared" si="86"/>
        <v>0</v>
      </c>
      <c r="T38" s="48">
        <f t="shared" si="86"/>
        <v>0</v>
      </c>
      <c r="U38" s="47">
        <f t="shared" si="86"/>
        <v>0</v>
      </c>
      <c r="V38" s="44">
        <f t="shared" si="86"/>
        <v>0</v>
      </c>
      <c r="W38" s="40">
        <f t="shared" si="86"/>
        <v>0</v>
      </c>
      <c r="X38" s="39">
        <f t="shared" si="86"/>
        <v>0</v>
      </c>
      <c r="Y38" s="39">
        <f t="shared" si="86"/>
        <v>0</v>
      </c>
      <c r="Z38" s="39">
        <f t="shared" ref="Z38" si="89">+SUM(Z39:Z41)</f>
        <v>0</v>
      </c>
      <c r="AA38" s="45">
        <f t="shared" si="86"/>
        <v>2215735</v>
      </c>
      <c r="AB38" s="44">
        <f>SUM(W38:AA38)</f>
        <v>2215735</v>
      </c>
      <c r="AC38" s="43">
        <f t="shared" ref="AC38:AC41" si="90">+ROUND(N38*AC$6/(100+AC$6),0)+BI38</f>
        <v>0</v>
      </c>
      <c r="AD38" s="42">
        <f t="shared" ref="AD38:AD41" si="91">+ROUND(O38*AD$6/(100+AD$6),0)+BJ38</f>
        <v>0</v>
      </c>
      <c r="AE38" s="42">
        <f t="shared" ref="AE38:AF41" si="92">+ROUND(P38*AE$6/(100+AE$6),0)+BK38</f>
        <v>0</v>
      </c>
      <c r="AF38" s="42">
        <f t="shared" si="92"/>
        <v>0</v>
      </c>
      <c r="AG38" s="42">
        <f t="shared" ref="AG38:AG41" si="93">+ROUND(R38*AG$6/(100+AG$6),0)+BM38</f>
        <v>0</v>
      </c>
      <c r="AH38" s="38">
        <f>SUM(AC38:AG38)</f>
        <v>0</v>
      </c>
      <c r="AI38" s="41">
        <f>+E38-AB38</f>
        <v>22157348</v>
      </c>
      <c r="AJ38" s="147"/>
      <c r="AK38" s="147"/>
      <c r="AL38" s="147"/>
      <c r="AM38" s="147"/>
      <c r="AN38" s="147"/>
      <c r="AO38" s="148"/>
      <c r="AP38" s="148"/>
      <c r="AQ38" s="148"/>
      <c r="AR38" s="148"/>
      <c r="AS38" s="148"/>
      <c r="AT38" s="149"/>
      <c r="AU38" s="149"/>
      <c r="AV38" s="149"/>
      <c r="AW38" s="149"/>
      <c r="AX38" s="149"/>
      <c r="AY38" s="147"/>
      <c r="AZ38" s="147"/>
      <c r="BA38" s="147"/>
      <c r="BB38" s="147"/>
      <c r="BC38" s="147"/>
      <c r="BD38" s="148"/>
      <c r="BE38" s="148"/>
      <c r="BF38" s="148"/>
      <c r="BG38" s="148"/>
      <c r="BH38" s="148"/>
      <c r="BI38" s="149"/>
      <c r="BJ38" s="149"/>
      <c r="BK38" s="149"/>
      <c r="BL38" s="149"/>
      <c r="BM38" s="149"/>
    </row>
    <row r="39" spans="1:65" ht="15" customHeight="1" outlineLevel="1">
      <c r="A39" s="89">
        <v>1</v>
      </c>
      <c r="B39" s="88"/>
      <c r="C39" s="87">
        <v>160010100</v>
      </c>
      <c r="D39" s="86" t="s">
        <v>9</v>
      </c>
      <c r="E39" s="85">
        <f>+SUMIFS([1]全伝票!I:I,[1]全伝票!$C:$C,$C39,[1]全伝票!$A:$A,$A39)</f>
        <v>24373083</v>
      </c>
      <c r="F39" s="75">
        <f>+SUMIFS([1]全伝票!J:J,[1]全伝票!$C:$C,$C39,[1]全伝票!$A:$A,$A39)</f>
        <v>0</v>
      </c>
      <c r="G39" s="74">
        <f>+SUMIFS([1]全伝票!K:K,[1]全伝票!$C:$C,$C39,[1]全伝票!$A:$A,$A39)</f>
        <v>0</v>
      </c>
      <c r="H39" s="74">
        <f>+SUMIFS([1]全伝票!L:L,[1]全伝票!$C:$C,$C39,[1]全伝票!$A:$A,$A39)</f>
        <v>0</v>
      </c>
      <c r="I39" s="74">
        <f>+SUMIFS([1]全伝票!M:M,[1]全伝票!$C:$C,$C39,[1]全伝票!$A:$A,$A39)</f>
        <v>0</v>
      </c>
      <c r="J39" s="80">
        <f>+SUMIFS([1]全伝票!N:N,[1]全伝票!$C:$C,$C39,[1]全伝票!$A:$A,$A39)</f>
        <v>24373083</v>
      </c>
      <c r="K39" s="79">
        <f t="shared" ref="K39:K41" si="94">SUM(F39:J39)</f>
        <v>24373083</v>
      </c>
      <c r="L39" s="84">
        <f>+SUMIFS([1]全伝票!O:O,[1]全伝票!$C:$C,$C39,[1]全伝票!$A:$A,$A39)</f>
        <v>0</v>
      </c>
      <c r="M39" s="84"/>
      <c r="N39" s="75"/>
      <c r="O39" s="74"/>
      <c r="P39" s="74"/>
      <c r="Q39" s="74"/>
      <c r="R39" s="74"/>
      <c r="S39" s="74">
        <f>SUM(N39:R39)</f>
        <v>0</v>
      </c>
      <c r="T39" s="83"/>
      <c r="U39" s="82">
        <f>+V39-SUM(S39:T39)</f>
        <v>0</v>
      </c>
      <c r="V39" s="81">
        <f>+SUMIFS([1]全伝票!P:P,[1]全伝票!$C:$C,$C39,[1]全伝票!$A:$A,'4条収入'!$A39)</f>
        <v>0</v>
      </c>
      <c r="W39" s="75">
        <f t="shared" ref="W39:W41" si="95">+ROUND(F39*F$6/(100+F$6),0)+AT39</f>
        <v>0</v>
      </c>
      <c r="X39" s="74">
        <f t="shared" ref="X39:X41" si="96">+ROUND(G39*G$6/(100+G$6),0)+AU39</f>
        <v>0</v>
      </c>
      <c r="Y39" s="74">
        <f t="shared" ref="Y39:Z41" si="97">+ROUND(H39*H$6/(100+H$6),0)+AV39</f>
        <v>0</v>
      </c>
      <c r="Z39" s="74">
        <f t="shared" si="97"/>
        <v>0</v>
      </c>
      <c r="AA39" s="80">
        <f t="shared" ref="AA39:AA41" si="98">+ROUND(J39*J$6/(100+J$6),0)+AX39</f>
        <v>2215735</v>
      </c>
      <c r="AB39" s="79">
        <f>SUM(W39:AA39)</f>
        <v>2215735</v>
      </c>
      <c r="AC39" s="78">
        <f t="shared" si="90"/>
        <v>0</v>
      </c>
      <c r="AD39" s="77">
        <f t="shared" si="91"/>
        <v>0</v>
      </c>
      <c r="AE39" s="77">
        <f t="shared" si="92"/>
        <v>0</v>
      </c>
      <c r="AF39" s="77">
        <f t="shared" si="92"/>
        <v>0</v>
      </c>
      <c r="AG39" s="77">
        <f t="shared" si="93"/>
        <v>0</v>
      </c>
      <c r="AH39" s="73">
        <f>SUM(AC39:AG39)</f>
        <v>0</v>
      </c>
      <c r="AI39" s="76">
        <f>+E39-AB39</f>
        <v>22157348</v>
      </c>
      <c r="AJ39" s="147">
        <f>W39-F39*W$6/(100+W$6)</f>
        <v>0</v>
      </c>
      <c r="AK39" s="147">
        <f>X39-G39*X$6/(100+X$6)</f>
        <v>0</v>
      </c>
      <c r="AL39" s="147">
        <f>Y39-H39*Y$6/(100+Y$6)</f>
        <v>0</v>
      </c>
      <c r="AM39" s="147">
        <f>Z39-I39*Z$6/(100+Z$6)</f>
        <v>0</v>
      </c>
      <c r="AN39" s="147">
        <f>AA39-J39*AA$6/(100+AA$6)</f>
        <v>0.18181818164885044</v>
      </c>
      <c r="AO39" s="148">
        <f>+IF(W$93=0,0,IF(W$93&lt;0,-RANK(AJ39,AJ$7:AJ$90,0),RANK(AJ39,AJ$7:AJ$90,1)))</f>
        <v>0</v>
      </c>
      <c r="AP39" s="148">
        <f>+IF(X$93=0,0,IF(X$93&lt;0,-RANK(AK39,AK$7:AK$90,0),RANK(AK39,AK$7:AK$90,1)))</f>
        <v>0</v>
      </c>
      <c r="AQ39" s="148">
        <f>+IF(Y$93=0,0,IF(Y$93&lt;0,-RANK(AL39,AL$7:AL$90,0),RANK(AL39,AL$7:AL$90,1)))</f>
        <v>0</v>
      </c>
      <c r="AR39" s="148">
        <f>+IF(Z$93=0,0,IF(Z$93&lt;0,-RANK(AM39,AM$7:AM$90,0),RANK(AM39,AM$7:AM$90,1)))</f>
        <v>0</v>
      </c>
      <c r="AS39" s="148">
        <f>+IF(AA$93=0,0,IF(AA$93&lt;0,-RANK(AN39,AN$7:AN$90,0),RANK(AN39,AN$7:AN$90,1)))</f>
        <v>0</v>
      </c>
      <c r="AT39" s="35"/>
      <c r="AU39" s="35"/>
      <c r="AV39" s="35"/>
      <c r="AW39" s="35"/>
      <c r="AX39" s="35"/>
      <c r="AY39" s="37">
        <f t="shared" ref="AY39" si="99">AC39-N39*AC$6/(100+AC$6)</f>
        <v>0</v>
      </c>
      <c r="AZ39" s="37">
        <f t="shared" ref="AZ39" si="100">AD39-O39*AD$6/(100+AD$6)</f>
        <v>0</v>
      </c>
      <c r="BA39" s="37">
        <f t="shared" ref="BA39:BB39" si="101">AE39-P39*AE$6/(100+AE$6)</f>
        <v>0</v>
      </c>
      <c r="BB39" s="37">
        <f t="shared" si="101"/>
        <v>0</v>
      </c>
      <c r="BC39" s="37">
        <f t="shared" ref="BC39" si="102">AG39-R39*AG$6/(100+AG$6)</f>
        <v>0</v>
      </c>
      <c r="BD39" s="36">
        <f>+IF(AC$93=0,0,IF(AC$93&lt;0,-RANK(AY39,AY$7:AY$90,0),RANK(AY39,AY$7:AY$90,1)))</f>
        <v>0</v>
      </c>
      <c r="BE39" s="36">
        <f>+IF(AD$93=0,0,IF(AD$93&lt;0,-RANK(AZ39,AZ$7:AZ$90,0),RANK(AZ39,AZ$7:AZ$90,1)))</f>
        <v>0</v>
      </c>
      <c r="BF39" s="36">
        <f>+IF(AE$93=0,0,IF(AE$93&lt;0,-RANK(BA39,BA$7:BA$90,0),RANK(BA39,BA$7:BA$90,1)))</f>
        <v>0</v>
      </c>
      <c r="BG39" s="36">
        <f>+IF(AF$93=0,0,IF(AF$93&lt;0,-RANK(BB39,BB$7:BB$90,0),RANK(BB39,BB$7:BB$90,1)))</f>
        <v>0</v>
      </c>
      <c r="BH39" s="36">
        <f>+IF(AG$93=0,0,IF(AG$93&lt;0,-RANK(BC39,BC$7:BC$90,0),RANK(BC39,BC$7:BC$90,1)))</f>
        <v>0</v>
      </c>
      <c r="BI39" s="35"/>
      <c r="BJ39" s="35"/>
      <c r="BK39" s="35"/>
      <c r="BL39" s="35"/>
      <c r="BM39" s="35"/>
    </row>
    <row r="40" spans="1:65" ht="15" customHeight="1" outlineLevel="1">
      <c r="A40" s="89">
        <v>2</v>
      </c>
      <c r="B40" s="88"/>
      <c r="C40" s="87">
        <v>160010100</v>
      </c>
      <c r="D40" s="86" t="s">
        <v>8</v>
      </c>
      <c r="E40" s="85">
        <f>+SUMIFS([1]全伝票!I:I,[1]全伝票!$C:$C,$C40,[1]全伝票!$A:$A,$A40)</f>
        <v>0</v>
      </c>
      <c r="F40" s="75">
        <f>+SUMIFS([1]全伝票!J:J,[1]全伝票!$C:$C,$C40,[1]全伝票!$A:$A,$A40)</f>
        <v>0</v>
      </c>
      <c r="G40" s="74">
        <f>+SUMIFS([1]全伝票!K:K,[1]全伝票!$C:$C,$C40,[1]全伝票!$A:$A,$A40)</f>
        <v>0</v>
      </c>
      <c r="H40" s="74">
        <f>+SUMIFS([1]全伝票!L:L,[1]全伝票!$C:$C,$C40,[1]全伝票!$A:$A,$A40)</f>
        <v>0</v>
      </c>
      <c r="I40" s="74">
        <f>+SUMIFS([1]全伝票!M:M,[1]全伝票!$C:$C,$C40,[1]全伝票!$A:$A,$A40)</f>
        <v>0</v>
      </c>
      <c r="J40" s="80">
        <f>+SUMIFS([1]全伝票!N:N,[1]全伝票!$C:$C,$C40,[1]全伝票!$A:$A,$A40)</f>
        <v>0</v>
      </c>
      <c r="K40" s="79">
        <f t="shared" si="94"/>
        <v>0</v>
      </c>
      <c r="L40" s="84">
        <f>+SUMIFS([1]全伝票!O:O,[1]全伝票!$C:$C,$C40,[1]全伝票!$A:$A,$A40)</f>
        <v>0</v>
      </c>
      <c r="M40" s="84"/>
      <c r="N40" s="75"/>
      <c r="O40" s="74"/>
      <c r="P40" s="74"/>
      <c r="Q40" s="74"/>
      <c r="R40" s="74"/>
      <c r="S40" s="74">
        <f>SUM(N40:R40)</f>
        <v>0</v>
      </c>
      <c r="T40" s="83"/>
      <c r="U40" s="82">
        <f>+V40-SUM(S40:T40)</f>
        <v>0</v>
      </c>
      <c r="V40" s="81">
        <f>+SUMIFS([1]全伝票!P:P,[1]全伝票!$C:$C,$C40,[1]全伝票!$A:$A,'4条収入'!$A40)</f>
        <v>0</v>
      </c>
      <c r="W40" s="75">
        <f t="shared" si="95"/>
        <v>0</v>
      </c>
      <c r="X40" s="74">
        <f t="shared" si="96"/>
        <v>0</v>
      </c>
      <c r="Y40" s="74">
        <f t="shared" si="97"/>
        <v>0</v>
      </c>
      <c r="Z40" s="74">
        <f t="shared" si="97"/>
        <v>0</v>
      </c>
      <c r="AA40" s="80">
        <f t="shared" si="98"/>
        <v>0</v>
      </c>
      <c r="AB40" s="79">
        <f>SUM(W40:AA40)</f>
        <v>0</v>
      </c>
      <c r="AC40" s="78">
        <f t="shared" si="90"/>
        <v>0</v>
      </c>
      <c r="AD40" s="77">
        <f t="shared" si="91"/>
        <v>0</v>
      </c>
      <c r="AE40" s="77">
        <f t="shared" si="92"/>
        <v>0</v>
      </c>
      <c r="AF40" s="77">
        <f t="shared" si="92"/>
        <v>0</v>
      </c>
      <c r="AG40" s="77">
        <f t="shared" si="93"/>
        <v>0</v>
      </c>
      <c r="AH40" s="73">
        <f>SUM(AC40:AG40)</f>
        <v>0</v>
      </c>
      <c r="AI40" s="76">
        <f>+E40-AB40</f>
        <v>0</v>
      </c>
      <c r="AJ40" s="147"/>
      <c r="AK40" s="147"/>
      <c r="AL40" s="147"/>
      <c r="AM40" s="147"/>
      <c r="AN40" s="147"/>
      <c r="AO40" s="148"/>
      <c r="AP40" s="148"/>
      <c r="AQ40" s="148"/>
      <c r="AR40" s="148"/>
      <c r="AS40" s="148"/>
      <c r="AT40" s="35"/>
      <c r="AU40" s="35"/>
      <c r="AV40" s="35"/>
      <c r="AW40" s="35"/>
      <c r="AX40" s="35"/>
      <c r="AY40" s="37"/>
      <c r="AZ40" s="37"/>
      <c r="BA40" s="37"/>
      <c r="BB40" s="37"/>
      <c r="BC40" s="37"/>
      <c r="BD40" s="36"/>
      <c r="BE40" s="36"/>
      <c r="BF40" s="36"/>
      <c r="BG40" s="36"/>
      <c r="BH40" s="36"/>
      <c r="BI40" s="35"/>
      <c r="BJ40" s="35"/>
      <c r="BK40" s="35"/>
      <c r="BL40" s="35"/>
      <c r="BM40" s="35"/>
    </row>
    <row r="41" spans="1:65" ht="15" customHeight="1" outlineLevel="1">
      <c r="A41" s="89">
        <v>3</v>
      </c>
      <c r="B41" s="88"/>
      <c r="C41" s="87">
        <v>160010100</v>
      </c>
      <c r="D41" s="86" t="s">
        <v>7</v>
      </c>
      <c r="E41" s="85">
        <f>+SUMIFS([1]全伝票!I:I,[1]全伝票!$C:$C,$C41,[1]全伝票!$A:$A,$A41)</f>
        <v>0</v>
      </c>
      <c r="F41" s="75">
        <f>+SUMIFS([1]全伝票!J:J,[1]全伝票!$C:$C,$C41,[1]全伝票!$A:$A,$A41)</f>
        <v>0</v>
      </c>
      <c r="G41" s="74">
        <f>+SUMIFS([1]全伝票!K:K,[1]全伝票!$C:$C,$C41,[1]全伝票!$A:$A,$A41)</f>
        <v>0</v>
      </c>
      <c r="H41" s="74">
        <f>+SUMIFS([1]全伝票!L:L,[1]全伝票!$C:$C,$C41,[1]全伝票!$A:$A,$A41)</f>
        <v>0</v>
      </c>
      <c r="I41" s="74">
        <f>+SUMIFS([1]全伝票!M:M,[1]全伝票!$C:$C,$C41,[1]全伝票!$A:$A,$A41)</f>
        <v>0</v>
      </c>
      <c r="J41" s="80">
        <f>+SUMIFS([1]全伝票!N:N,[1]全伝票!$C:$C,$C41,[1]全伝票!$A:$A,$A41)</f>
        <v>0</v>
      </c>
      <c r="K41" s="79">
        <f t="shared" si="94"/>
        <v>0</v>
      </c>
      <c r="L41" s="84">
        <f>+SUMIFS([1]全伝票!O:O,[1]全伝票!$C:$C,$C41,[1]全伝票!$A:$A,$A41)</f>
        <v>0</v>
      </c>
      <c r="M41" s="84"/>
      <c r="N41" s="75"/>
      <c r="O41" s="74"/>
      <c r="P41" s="74"/>
      <c r="Q41" s="74"/>
      <c r="R41" s="74"/>
      <c r="S41" s="74">
        <f>SUM(N41:R41)</f>
        <v>0</v>
      </c>
      <c r="T41" s="83"/>
      <c r="U41" s="82">
        <f>+V41-SUM(S41:T41)</f>
        <v>0</v>
      </c>
      <c r="V41" s="81">
        <f>+SUMIFS([1]全伝票!P:P,[1]全伝票!$C:$C,$C41,[1]全伝票!$A:$A,'4条収入'!$A41)</f>
        <v>0</v>
      </c>
      <c r="W41" s="75">
        <f t="shared" si="95"/>
        <v>0</v>
      </c>
      <c r="X41" s="74">
        <f t="shared" si="96"/>
        <v>0</v>
      </c>
      <c r="Y41" s="74">
        <f t="shared" si="97"/>
        <v>0</v>
      </c>
      <c r="Z41" s="74">
        <f t="shared" si="97"/>
        <v>0</v>
      </c>
      <c r="AA41" s="80">
        <f t="shared" si="98"/>
        <v>0</v>
      </c>
      <c r="AB41" s="79">
        <f>SUM(W41:AA41)</f>
        <v>0</v>
      </c>
      <c r="AC41" s="78">
        <f t="shared" si="90"/>
        <v>0</v>
      </c>
      <c r="AD41" s="77">
        <f t="shared" si="91"/>
        <v>0</v>
      </c>
      <c r="AE41" s="77">
        <f t="shared" si="92"/>
        <v>0</v>
      </c>
      <c r="AF41" s="77">
        <f t="shared" si="92"/>
        <v>0</v>
      </c>
      <c r="AG41" s="77">
        <f t="shared" si="93"/>
        <v>0</v>
      </c>
      <c r="AH41" s="73">
        <f>SUM(AC41:AG41)</f>
        <v>0</v>
      </c>
      <c r="AI41" s="76">
        <f>+E41-AB41</f>
        <v>0</v>
      </c>
      <c r="AJ41" s="147"/>
      <c r="AK41" s="147"/>
      <c r="AL41" s="147"/>
      <c r="AM41" s="147"/>
      <c r="AN41" s="147"/>
      <c r="AO41" s="148"/>
      <c r="AP41" s="148"/>
      <c r="AQ41" s="148"/>
      <c r="AR41" s="148"/>
      <c r="AS41" s="148"/>
      <c r="AT41" s="35"/>
      <c r="AU41" s="35"/>
      <c r="AV41" s="35"/>
      <c r="AW41" s="35"/>
      <c r="AX41" s="35"/>
      <c r="AY41" s="37"/>
      <c r="AZ41" s="37"/>
      <c r="BA41" s="37"/>
      <c r="BB41" s="37"/>
      <c r="BC41" s="37"/>
      <c r="BD41" s="36"/>
      <c r="BE41" s="36"/>
      <c r="BF41" s="36"/>
      <c r="BG41" s="36"/>
      <c r="BH41" s="36"/>
      <c r="BI41" s="35"/>
      <c r="BJ41" s="35"/>
      <c r="BK41" s="35"/>
      <c r="BL41" s="35"/>
      <c r="BM41" s="35"/>
    </row>
    <row r="42" spans="1:65" ht="15" customHeight="1">
      <c r="A42" s="72"/>
      <c r="B42" s="71"/>
      <c r="C42" s="70"/>
      <c r="D42" s="69" t="s">
        <v>26</v>
      </c>
      <c r="E42" s="68">
        <f t="shared" ref="E42:AI42" si="103">+SUM(E43,E45,E50)</f>
        <v>574304394</v>
      </c>
      <c r="F42" s="60">
        <f t="shared" si="103"/>
        <v>0</v>
      </c>
      <c r="G42" s="59">
        <f t="shared" si="103"/>
        <v>0</v>
      </c>
      <c r="H42" s="59">
        <f t="shared" si="103"/>
        <v>0</v>
      </c>
      <c r="I42" s="59">
        <f t="shared" ref="I42" si="104">+SUM(I43,I45,I50)</f>
        <v>0</v>
      </c>
      <c r="J42" s="65">
        <f t="shared" si="103"/>
        <v>15318327</v>
      </c>
      <c r="K42" s="64">
        <f t="shared" si="103"/>
        <v>15318327</v>
      </c>
      <c r="L42" s="68">
        <f t="shared" si="103"/>
        <v>0</v>
      </c>
      <c r="M42" s="68">
        <f t="shared" si="103"/>
        <v>0</v>
      </c>
      <c r="N42" s="60">
        <f t="shared" si="103"/>
        <v>0</v>
      </c>
      <c r="O42" s="59">
        <f t="shared" si="103"/>
        <v>131982078</v>
      </c>
      <c r="P42" s="59">
        <f t="shared" si="103"/>
        <v>1246904</v>
      </c>
      <c r="Q42" s="59">
        <f t="shared" ref="Q42" si="105">+SUM(Q43,Q45,Q50)</f>
        <v>99</v>
      </c>
      <c r="R42" s="59">
        <f t="shared" si="103"/>
        <v>260119796</v>
      </c>
      <c r="S42" s="59">
        <f t="shared" si="103"/>
        <v>393348877</v>
      </c>
      <c r="T42" s="67">
        <f t="shared" si="103"/>
        <v>165637190</v>
      </c>
      <c r="U42" s="66">
        <f>+SUM(U43,U45,U50)</f>
        <v>0</v>
      </c>
      <c r="V42" s="64">
        <f t="shared" si="103"/>
        <v>558986067</v>
      </c>
      <c r="W42" s="60">
        <f t="shared" si="103"/>
        <v>0</v>
      </c>
      <c r="X42" s="59">
        <f t="shared" si="103"/>
        <v>0</v>
      </c>
      <c r="Y42" s="59">
        <f t="shared" si="103"/>
        <v>0</v>
      </c>
      <c r="Z42" s="59">
        <f t="shared" ref="Z42" si="106">+SUM(Z43,Z45,Z50)</f>
        <v>0</v>
      </c>
      <c r="AA42" s="65">
        <f t="shared" si="103"/>
        <v>1392575</v>
      </c>
      <c r="AB42" s="64">
        <f t="shared" si="103"/>
        <v>1392575</v>
      </c>
      <c r="AC42" s="63">
        <f t="shared" si="103"/>
        <v>0</v>
      </c>
      <c r="AD42" s="62">
        <f t="shared" si="103"/>
        <v>6284860</v>
      </c>
      <c r="AE42" s="62">
        <f t="shared" si="103"/>
        <v>92363</v>
      </c>
      <c r="AF42" s="62">
        <f t="shared" ref="AF42" si="107">+SUM(AF43,AF45,AF50)</f>
        <v>7</v>
      </c>
      <c r="AG42" s="62">
        <f t="shared" si="103"/>
        <v>23647254</v>
      </c>
      <c r="AH42" s="58">
        <f t="shared" si="103"/>
        <v>30024484</v>
      </c>
      <c r="AI42" s="61">
        <f t="shared" si="103"/>
        <v>572911819</v>
      </c>
      <c r="AJ42" s="37"/>
      <c r="AK42" s="37"/>
      <c r="AL42" s="37"/>
      <c r="AM42" s="37"/>
      <c r="AN42" s="37"/>
      <c r="AO42" s="36"/>
      <c r="AP42" s="36"/>
      <c r="AQ42" s="36"/>
      <c r="AR42" s="36"/>
      <c r="AS42" s="36"/>
      <c r="AT42" s="35"/>
      <c r="AU42" s="35"/>
      <c r="AV42" s="35"/>
      <c r="AW42" s="35"/>
      <c r="AX42" s="35"/>
      <c r="BI42" s="35"/>
      <c r="BJ42" s="35"/>
      <c r="BK42" s="35"/>
      <c r="BL42" s="35"/>
      <c r="BM42" s="35"/>
    </row>
    <row r="43" spans="1:65" ht="15" customHeight="1">
      <c r="A43" s="119"/>
      <c r="B43" s="118"/>
      <c r="C43" s="117"/>
      <c r="D43" s="116" t="s">
        <v>25</v>
      </c>
      <c r="E43" s="115">
        <f t="shared" ref="E43:AI43" si="108">+E44</f>
        <v>8799605</v>
      </c>
      <c r="F43" s="107">
        <f t="shared" si="108"/>
        <v>0</v>
      </c>
      <c r="G43" s="106">
        <f t="shared" si="108"/>
        <v>0</v>
      </c>
      <c r="H43" s="106">
        <f t="shared" si="108"/>
        <v>0</v>
      </c>
      <c r="I43" s="106">
        <f t="shared" si="108"/>
        <v>0</v>
      </c>
      <c r="J43" s="112">
        <f t="shared" si="108"/>
        <v>0</v>
      </c>
      <c r="K43" s="111">
        <f t="shared" si="108"/>
        <v>0</v>
      </c>
      <c r="L43" s="115">
        <f t="shared" si="108"/>
        <v>0</v>
      </c>
      <c r="M43" s="115">
        <f t="shared" si="108"/>
        <v>0</v>
      </c>
      <c r="N43" s="107">
        <f t="shared" si="108"/>
        <v>0</v>
      </c>
      <c r="O43" s="106">
        <f t="shared" si="108"/>
        <v>0</v>
      </c>
      <c r="P43" s="106">
        <f t="shared" si="108"/>
        <v>338</v>
      </c>
      <c r="Q43" s="106">
        <f t="shared" si="108"/>
        <v>99</v>
      </c>
      <c r="R43" s="106">
        <f t="shared" si="108"/>
        <v>8524652</v>
      </c>
      <c r="S43" s="106">
        <f t="shared" si="108"/>
        <v>8525089</v>
      </c>
      <c r="T43" s="114">
        <f t="shared" si="108"/>
        <v>274516</v>
      </c>
      <c r="U43" s="113">
        <f t="shared" si="108"/>
        <v>0</v>
      </c>
      <c r="V43" s="111">
        <f t="shared" si="108"/>
        <v>8799605</v>
      </c>
      <c r="W43" s="107">
        <f t="shared" si="108"/>
        <v>0</v>
      </c>
      <c r="X43" s="106">
        <f t="shared" si="108"/>
        <v>0</v>
      </c>
      <c r="Y43" s="106">
        <f t="shared" si="108"/>
        <v>0</v>
      </c>
      <c r="Z43" s="106">
        <f t="shared" si="108"/>
        <v>0</v>
      </c>
      <c r="AA43" s="112">
        <f t="shared" si="108"/>
        <v>0</v>
      </c>
      <c r="AB43" s="111">
        <f t="shared" si="108"/>
        <v>0</v>
      </c>
      <c r="AC43" s="110">
        <f t="shared" si="108"/>
        <v>0</v>
      </c>
      <c r="AD43" s="109">
        <f t="shared" si="108"/>
        <v>0</v>
      </c>
      <c r="AE43" s="109">
        <f t="shared" si="108"/>
        <v>25</v>
      </c>
      <c r="AF43" s="109">
        <f t="shared" si="108"/>
        <v>7</v>
      </c>
      <c r="AG43" s="109">
        <f t="shared" si="108"/>
        <v>774968</v>
      </c>
      <c r="AH43" s="105">
        <f t="shared" si="108"/>
        <v>775000</v>
      </c>
      <c r="AI43" s="108">
        <f t="shared" si="108"/>
        <v>8799605</v>
      </c>
      <c r="AJ43" s="37"/>
      <c r="AK43" s="37"/>
      <c r="AL43" s="37"/>
      <c r="AM43" s="37"/>
      <c r="AN43" s="37"/>
      <c r="AO43" s="36"/>
      <c r="AP43" s="36"/>
      <c r="AQ43" s="36"/>
      <c r="AR43" s="36"/>
      <c r="AS43" s="36"/>
      <c r="AT43" s="35"/>
      <c r="AU43" s="35"/>
      <c r="AV43" s="35"/>
      <c r="AW43" s="35"/>
      <c r="AX43" s="35"/>
      <c r="AY43" s="37"/>
      <c r="AZ43" s="37"/>
      <c r="BA43" s="37"/>
      <c r="BB43" s="37"/>
      <c r="BC43" s="37"/>
      <c r="BD43" s="36"/>
      <c r="BE43" s="36"/>
      <c r="BF43" s="36"/>
      <c r="BG43" s="36"/>
      <c r="BH43" s="36"/>
      <c r="BI43" s="35"/>
      <c r="BJ43" s="35"/>
      <c r="BK43" s="35"/>
      <c r="BL43" s="35"/>
      <c r="BM43" s="35"/>
    </row>
    <row r="44" spans="1:65" ht="15" customHeight="1">
      <c r="A44" s="104"/>
      <c r="B44" s="103"/>
      <c r="C44" s="102">
        <v>180060600</v>
      </c>
      <c r="D44" s="101" t="s">
        <v>24</v>
      </c>
      <c r="E44" s="130">
        <f>+SUMIFS([1]全伝票!I:I,[1]全伝票!$C:$C,$C44)</f>
        <v>8799605</v>
      </c>
      <c r="F44" s="92"/>
      <c r="G44" s="91"/>
      <c r="H44" s="91"/>
      <c r="I44" s="91"/>
      <c r="J44" s="97"/>
      <c r="K44" s="96">
        <f>SUM(F44:J44)</f>
        <v>0</v>
      </c>
      <c r="L44" s="100"/>
      <c r="M44" s="100"/>
      <c r="N44" s="91"/>
      <c r="O44" s="129">
        <f>+'[3]受益（公）'!K$6</f>
        <v>0</v>
      </c>
      <c r="P44" s="129">
        <f>+'[3]受益（公）'!L$6</f>
        <v>338</v>
      </c>
      <c r="Q44" s="129">
        <f>+'[3]受益（公）'!M$6</f>
        <v>99</v>
      </c>
      <c r="R44" s="129">
        <f>+'[3]受益（公）'!N$6</f>
        <v>8524652</v>
      </c>
      <c r="S44" s="91">
        <f>SUM(N44:R44)</f>
        <v>8525089</v>
      </c>
      <c r="T44" s="128">
        <f>'[3]受益（公）'!$I$6</f>
        <v>274516</v>
      </c>
      <c r="U44" s="98">
        <f>+V44-SUM(S44:T44)</f>
        <v>0</v>
      </c>
      <c r="V44" s="120">
        <f>+SUMIFS([1]全伝票!P:P,[1]全伝票!$C:$C,$C44)</f>
        <v>8799605</v>
      </c>
      <c r="W44" s="92">
        <f>+ROUND(F44*F$6/(100+F$6),0)+AT44</f>
        <v>0</v>
      </c>
      <c r="X44" s="91">
        <f>+ROUND(G44*G$6/(100+G$6),0)+AU44</f>
        <v>0</v>
      </c>
      <c r="Y44" s="91">
        <f>+ROUND(H44*H$6/(100+H$6),0)+AV44</f>
        <v>0</v>
      </c>
      <c r="Z44" s="91">
        <f>+ROUND(I44*I$6/(100+I$6),0)+AW44</f>
        <v>0</v>
      </c>
      <c r="AA44" s="97">
        <f>+ROUND(J44*J$6/(100+J$6),0)+AX44</f>
        <v>0</v>
      </c>
      <c r="AB44" s="96">
        <f>SUM(W44:AA44)</f>
        <v>0</v>
      </c>
      <c r="AC44" s="95">
        <f>+ROUND(N44*AC$6/(100+AC$6),0)+BI44</f>
        <v>0</v>
      </c>
      <c r="AD44" s="94">
        <f>+ROUND(O44*AD$6/(100+AD$6),0)+BJ44</f>
        <v>0</v>
      </c>
      <c r="AE44" s="94">
        <f>+ROUND(P44*AE$6/(100+AE$6),0)+BK44</f>
        <v>25</v>
      </c>
      <c r="AF44" s="94">
        <f>+ROUND(Q44*AF$6/(100+AF$6),0)+BL44</f>
        <v>7</v>
      </c>
      <c r="AG44" s="94">
        <f>+ROUND(R44*AG$6/(100+AG$6),0)+BM44</f>
        <v>774968</v>
      </c>
      <c r="AH44" s="90">
        <f>SUM(AC44:AG44)</f>
        <v>775000</v>
      </c>
      <c r="AI44" s="93">
        <f>+E44-AB44</f>
        <v>8799605</v>
      </c>
      <c r="AJ44" s="37"/>
      <c r="AK44" s="37"/>
      <c r="AL44" s="37"/>
      <c r="AM44" s="37"/>
      <c r="AN44" s="37"/>
      <c r="AO44" s="36"/>
      <c r="AP44" s="36"/>
      <c r="AQ44" s="36"/>
      <c r="AR44" s="36"/>
      <c r="AS44" s="36"/>
      <c r="AT44" s="35"/>
      <c r="AU44" s="35"/>
      <c r="AV44" s="35"/>
      <c r="AW44" s="35"/>
      <c r="AX44" s="35"/>
      <c r="AY44" s="37">
        <f>AC44-N44*AC$6/(100+AC$6)</f>
        <v>0</v>
      </c>
      <c r="AZ44" s="37">
        <f>AD44-O44*AD$6/(100+AD$6)</f>
        <v>0</v>
      </c>
      <c r="BA44" s="37">
        <f>AE44-P44*AE$6/(100+AE$6)</f>
        <v>-3.703703703703809E-2</v>
      </c>
      <c r="BB44" s="37">
        <f>AF44-Q44*AF$6/(100+AF$6)</f>
        <v>-0.33333333333333304</v>
      </c>
      <c r="BC44" s="37">
        <f>AG44-R44*AG$6/(100+AG$6)</f>
        <v>-0.36363636364694685</v>
      </c>
      <c r="BD44" s="36">
        <f>+IF(AC$93=0,0,IF(AC$93&lt;0,-RANK(AY44,AY$7:AY$90,0),RANK(AY44,AY$7:AY$90,1)))</f>
        <v>0</v>
      </c>
      <c r="BE44" s="36">
        <f>+IF(AD$93=0,0,IF(AD$93&lt;0,-RANK(AZ44,AZ$7:AZ$90,0),RANK(AZ44,AZ$7:AZ$90,1)))</f>
        <v>0</v>
      </c>
      <c r="BF44" s="36">
        <f>+IF(AE$93=0,0,IF(AE$93&lt;0,-RANK(BA44,BA$7:BA$90,0),RANK(BA44,BA$7:BA$90,1)))</f>
        <v>0</v>
      </c>
      <c r="BG44" s="36">
        <f>+IF(AF$93=0,0,IF(AF$93&lt;0,-RANK(BB44,BB$7:BB$90,0),RANK(BB44,BB$7:BB$90,1)))</f>
        <v>0</v>
      </c>
      <c r="BH44" s="36">
        <f>+IF(AG$93=0,0,IF(AG$93&lt;0,-RANK(BC44,BC$7:BC$90,0),RANK(BC44,BC$7:BC$90,1)))</f>
        <v>0</v>
      </c>
      <c r="BI44" s="35"/>
      <c r="BJ44" s="35"/>
      <c r="BK44" s="35"/>
      <c r="BL44" s="35"/>
      <c r="BM44" s="35"/>
    </row>
    <row r="45" spans="1:65" ht="15" customHeight="1">
      <c r="A45" s="119"/>
      <c r="B45" s="118"/>
      <c r="C45" s="117"/>
      <c r="D45" s="116" t="s">
        <v>23</v>
      </c>
      <c r="E45" s="115">
        <f t="shared" ref="E45:AI45" si="109">+E46</f>
        <v>35218280</v>
      </c>
      <c r="F45" s="107">
        <f t="shared" si="109"/>
        <v>0</v>
      </c>
      <c r="G45" s="106">
        <f t="shared" si="109"/>
        <v>0</v>
      </c>
      <c r="H45" s="106">
        <f t="shared" si="109"/>
        <v>0</v>
      </c>
      <c r="I45" s="106">
        <f t="shared" si="109"/>
        <v>0</v>
      </c>
      <c r="J45" s="112">
        <f t="shared" si="109"/>
        <v>0</v>
      </c>
      <c r="K45" s="111">
        <f t="shared" si="109"/>
        <v>0</v>
      </c>
      <c r="L45" s="115">
        <f t="shared" si="109"/>
        <v>0</v>
      </c>
      <c r="M45" s="115">
        <f t="shared" si="109"/>
        <v>0</v>
      </c>
      <c r="N45" s="107">
        <f t="shared" si="109"/>
        <v>0</v>
      </c>
      <c r="O45" s="106">
        <f t="shared" si="109"/>
        <v>0</v>
      </c>
      <c r="P45" s="106">
        <f t="shared" si="109"/>
        <v>0</v>
      </c>
      <c r="Q45" s="106">
        <f t="shared" si="109"/>
        <v>0</v>
      </c>
      <c r="R45" s="106">
        <f t="shared" si="109"/>
        <v>33459431</v>
      </c>
      <c r="S45" s="106">
        <f t="shared" si="109"/>
        <v>33459431</v>
      </c>
      <c r="T45" s="114">
        <f t="shared" si="109"/>
        <v>1758849</v>
      </c>
      <c r="U45" s="113">
        <f t="shared" si="109"/>
        <v>0</v>
      </c>
      <c r="V45" s="111">
        <f t="shared" si="109"/>
        <v>35218280</v>
      </c>
      <c r="W45" s="107">
        <f t="shared" si="109"/>
        <v>0</v>
      </c>
      <c r="X45" s="106">
        <f t="shared" si="109"/>
        <v>0</v>
      </c>
      <c r="Y45" s="106">
        <f t="shared" si="109"/>
        <v>0</v>
      </c>
      <c r="Z45" s="106">
        <f t="shared" si="109"/>
        <v>0</v>
      </c>
      <c r="AA45" s="112">
        <f t="shared" si="109"/>
        <v>0</v>
      </c>
      <c r="AB45" s="111">
        <f t="shared" si="109"/>
        <v>0</v>
      </c>
      <c r="AC45" s="110">
        <f t="shared" si="109"/>
        <v>0</v>
      </c>
      <c r="AD45" s="109">
        <f t="shared" si="109"/>
        <v>0</v>
      </c>
      <c r="AE45" s="109">
        <f t="shared" si="109"/>
        <v>0</v>
      </c>
      <c r="AF45" s="109">
        <f t="shared" si="109"/>
        <v>0</v>
      </c>
      <c r="AG45" s="109">
        <f t="shared" si="109"/>
        <v>3041767</v>
      </c>
      <c r="AH45" s="105">
        <f t="shared" si="109"/>
        <v>3041767</v>
      </c>
      <c r="AI45" s="108">
        <f t="shared" si="109"/>
        <v>35218280</v>
      </c>
      <c r="AJ45" s="37"/>
      <c r="AK45" s="37"/>
      <c r="AL45" s="37"/>
      <c r="AM45" s="37"/>
      <c r="AN45" s="37"/>
      <c r="AO45" s="36"/>
      <c r="AP45" s="36"/>
      <c r="AQ45" s="36"/>
      <c r="AR45" s="36"/>
      <c r="AS45" s="36"/>
      <c r="AT45" s="35"/>
      <c r="AU45" s="35"/>
      <c r="AV45" s="35"/>
      <c r="AW45" s="35"/>
      <c r="AX45" s="35"/>
      <c r="BI45" s="35"/>
      <c r="BJ45" s="35"/>
      <c r="BK45" s="35"/>
      <c r="BL45" s="35"/>
      <c r="BM45" s="35"/>
    </row>
    <row r="46" spans="1:65" ht="15" customHeight="1">
      <c r="A46" s="104"/>
      <c r="B46" s="103"/>
      <c r="C46" s="102"/>
      <c r="D46" s="101" t="s">
        <v>22</v>
      </c>
      <c r="E46" s="100">
        <f t="shared" ref="E46:AB46" si="110">+SUM(E47:E49)</f>
        <v>35218280</v>
      </c>
      <c r="F46" s="92">
        <f t="shared" si="110"/>
        <v>0</v>
      </c>
      <c r="G46" s="91">
        <f t="shared" si="110"/>
        <v>0</v>
      </c>
      <c r="H46" s="91">
        <f t="shared" si="110"/>
        <v>0</v>
      </c>
      <c r="I46" s="91">
        <f t="shared" ref="I46" si="111">+SUM(I47:I49)</f>
        <v>0</v>
      </c>
      <c r="J46" s="97">
        <f t="shared" si="110"/>
        <v>0</v>
      </c>
      <c r="K46" s="96">
        <f t="shared" si="110"/>
        <v>0</v>
      </c>
      <c r="L46" s="100">
        <f t="shared" si="110"/>
        <v>0</v>
      </c>
      <c r="M46" s="100">
        <f t="shared" si="110"/>
        <v>0</v>
      </c>
      <c r="N46" s="92">
        <f t="shared" si="110"/>
        <v>0</v>
      </c>
      <c r="O46" s="91">
        <f t="shared" si="110"/>
        <v>0</v>
      </c>
      <c r="P46" s="91">
        <f t="shared" si="110"/>
        <v>0</v>
      </c>
      <c r="Q46" s="91">
        <f t="shared" ref="Q46" si="112">+SUM(Q47:Q49)</f>
        <v>0</v>
      </c>
      <c r="R46" s="91">
        <f t="shared" si="110"/>
        <v>33459431</v>
      </c>
      <c r="S46" s="91">
        <f t="shared" si="110"/>
        <v>33459431</v>
      </c>
      <c r="T46" s="99">
        <f t="shared" si="110"/>
        <v>1758849</v>
      </c>
      <c r="U46" s="98">
        <f t="shared" si="110"/>
        <v>0</v>
      </c>
      <c r="V46" s="96">
        <f t="shared" si="110"/>
        <v>35218280</v>
      </c>
      <c r="W46" s="92">
        <f t="shared" si="110"/>
        <v>0</v>
      </c>
      <c r="X46" s="91">
        <f t="shared" si="110"/>
        <v>0</v>
      </c>
      <c r="Y46" s="91">
        <f t="shared" si="110"/>
        <v>0</v>
      </c>
      <c r="Z46" s="91">
        <f t="shared" ref="Z46" si="113">+SUM(Z47:Z49)</f>
        <v>0</v>
      </c>
      <c r="AA46" s="97">
        <f t="shared" si="110"/>
        <v>0</v>
      </c>
      <c r="AB46" s="96">
        <f t="shared" si="110"/>
        <v>0</v>
      </c>
      <c r="AC46" s="78">
        <f>+SUM(AC47:AC49)</f>
        <v>0</v>
      </c>
      <c r="AD46" s="77">
        <f t="shared" ref="AD46:AG46" si="114">+SUM(AD47:AD49)</f>
        <v>0</v>
      </c>
      <c r="AE46" s="77">
        <f t="shared" si="114"/>
        <v>0</v>
      </c>
      <c r="AF46" s="77">
        <f t="shared" ref="AF46" si="115">+SUM(AF47:AF49)</f>
        <v>0</v>
      </c>
      <c r="AG46" s="77">
        <f t="shared" si="114"/>
        <v>3041767</v>
      </c>
      <c r="AH46" s="73">
        <f>SUM(AC46:AG46)</f>
        <v>3041767</v>
      </c>
      <c r="AI46" s="76">
        <f>+E46-AB46</f>
        <v>35218280</v>
      </c>
      <c r="AJ46" s="37"/>
      <c r="AK46" s="37"/>
      <c r="AL46" s="37"/>
      <c r="AM46" s="37"/>
      <c r="AN46" s="37"/>
      <c r="AO46" s="36"/>
      <c r="AP46" s="36"/>
      <c r="AQ46" s="36"/>
      <c r="AR46" s="36"/>
      <c r="AS46" s="36"/>
      <c r="AT46" s="35"/>
      <c r="AU46" s="35"/>
      <c r="AV46" s="35"/>
      <c r="AW46" s="35"/>
      <c r="AX46" s="35"/>
      <c r="AY46" s="37"/>
      <c r="AZ46" s="37"/>
      <c r="BA46" s="37"/>
      <c r="BB46" s="37"/>
      <c r="BC46" s="37"/>
      <c r="BD46" s="36"/>
      <c r="BE46" s="36"/>
      <c r="BF46" s="36"/>
      <c r="BG46" s="36"/>
      <c r="BH46" s="36"/>
      <c r="BI46" s="35"/>
      <c r="BJ46" s="35"/>
      <c r="BK46" s="35"/>
      <c r="BL46" s="35"/>
      <c r="BM46" s="35"/>
    </row>
    <row r="47" spans="1:65" ht="15" customHeight="1" outlineLevel="1">
      <c r="A47" s="89">
        <v>2</v>
      </c>
      <c r="B47" s="88"/>
      <c r="C47" s="87">
        <v>180070700</v>
      </c>
      <c r="D47" s="86" t="s">
        <v>8</v>
      </c>
      <c r="E47" s="85">
        <f>+SUMIFS([1]全伝票!I:I,[1]全伝票!$C:$C,$C47,[1]全伝票!$A:$A,'4条収入'!$A47)</f>
        <v>17022400</v>
      </c>
      <c r="F47" s="75"/>
      <c r="G47" s="74"/>
      <c r="H47" s="74"/>
      <c r="I47" s="74"/>
      <c r="J47" s="80"/>
      <c r="K47" s="79">
        <f>SUM(F47:J47)</f>
        <v>0</v>
      </c>
      <c r="L47" s="84"/>
      <c r="M47" s="84"/>
      <c r="N47" s="75"/>
      <c r="O47" s="127">
        <f>+'[3]受益（区域外）'!K$26</f>
        <v>0</v>
      </c>
      <c r="P47" s="127">
        <f>+'[3]受益（区域外）'!L$26</f>
        <v>0</v>
      </c>
      <c r="Q47" s="127">
        <f>+'[3]受益（区域外）'!M$26</f>
        <v>0</v>
      </c>
      <c r="R47" s="157">
        <f>+'[3]受益（区域外）'!N$26</f>
        <v>15741150</v>
      </c>
      <c r="S47" s="74">
        <f>SUM(N47:R47)</f>
        <v>15741150</v>
      </c>
      <c r="T47" s="126">
        <f>+'[3]受益（区域外）'!$I$26</f>
        <v>1281250</v>
      </c>
      <c r="U47" s="82">
        <f>+V47-SUM(S47:T47)</f>
        <v>0</v>
      </c>
      <c r="V47" s="81">
        <f>+SUMIFS([1]全伝票!P:P,[1]全伝票!$C:$C,$C47,[1]全伝票!$A:$A,'4条収入'!$A47)</f>
        <v>17022400</v>
      </c>
      <c r="W47" s="75">
        <f t="shared" ref="W47:Z49" si="116">+ROUND(F47*F$6/(100+F$6),0)+AT47</f>
        <v>0</v>
      </c>
      <c r="X47" s="74">
        <f t="shared" si="116"/>
        <v>0</v>
      </c>
      <c r="Y47" s="74">
        <f t="shared" si="116"/>
        <v>0</v>
      </c>
      <c r="Z47" s="74">
        <f t="shared" si="116"/>
        <v>0</v>
      </c>
      <c r="AA47" s="80">
        <f>+ROUND(J47*J$6/(100+J$6),0)+AX47</f>
        <v>0</v>
      </c>
      <c r="AB47" s="79">
        <f>SUM(W47:AA47)</f>
        <v>0</v>
      </c>
      <c r="AC47" s="78">
        <f t="shared" ref="AC47:AF49" si="117">+ROUND(N47*AC$6/(100+AC$6),0)+BI47</f>
        <v>0</v>
      </c>
      <c r="AD47" s="77">
        <f t="shared" si="117"/>
        <v>0</v>
      </c>
      <c r="AE47" s="77">
        <f t="shared" si="117"/>
        <v>0</v>
      </c>
      <c r="AF47" s="77">
        <f t="shared" si="117"/>
        <v>0</v>
      </c>
      <c r="AG47" s="77">
        <f>+ROUND(R47*AG$6/(100+AG$6),0)+BM47</f>
        <v>1431014</v>
      </c>
      <c r="AH47" s="73">
        <f>SUM(AC47:AG47)</f>
        <v>1431014</v>
      </c>
      <c r="AI47" s="76">
        <f>+E47-AB47</f>
        <v>17022400</v>
      </c>
      <c r="AJ47" s="37"/>
      <c r="AK47" s="37"/>
      <c r="AL47" s="37"/>
      <c r="AM47" s="37"/>
      <c r="AN47" s="37"/>
      <c r="AO47" s="36"/>
      <c r="AP47" s="36"/>
      <c r="AQ47" s="36"/>
      <c r="AR47" s="36"/>
      <c r="AS47" s="36"/>
      <c r="AT47" s="35"/>
      <c r="AU47" s="35"/>
      <c r="AV47" s="35"/>
      <c r="AW47" s="35"/>
      <c r="AX47" s="35"/>
      <c r="AY47" s="37"/>
      <c r="AZ47" s="37"/>
      <c r="BA47" s="37"/>
      <c r="BB47" s="37"/>
      <c r="BC47" s="37"/>
      <c r="BD47" s="36"/>
      <c r="BE47" s="36"/>
      <c r="BF47" s="36"/>
      <c r="BG47" s="36"/>
      <c r="BH47" s="36"/>
      <c r="BI47" s="35"/>
      <c r="BJ47" s="35"/>
      <c r="BK47" s="35"/>
      <c r="BL47" s="35"/>
      <c r="BM47" s="35"/>
    </row>
    <row r="48" spans="1:65" ht="15" customHeight="1" outlineLevel="1">
      <c r="A48" s="89">
        <v>3</v>
      </c>
      <c r="B48" s="88"/>
      <c r="C48" s="87">
        <v>180070700</v>
      </c>
      <c r="D48" s="86" t="s">
        <v>7</v>
      </c>
      <c r="E48" s="85">
        <f>+SUMIFS([1]全伝票!I:I,[1]全伝票!$C:$C,$C48,[1]全伝票!$A:$A,'4条収入'!$A48)</f>
        <v>14115880</v>
      </c>
      <c r="F48" s="75"/>
      <c r="G48" s="74"/>
      <c r="H48" s="74"/>
      <c r="I48" s="74"/>
      <c r="J48" s="80"/>
      <c r="K48" s="79">
        <f>SUM(F48:J48)</f>
        <v>0</v>
      </c>
      <c r="L48" s="84"/>
      <c r="M48" s="84"/>
      <c r="N48" s="75"/>
      <c r="O48" s="127">
        <f>+'[3]受益（区域外）'!K$46</f>
        <v>0</v>
      </c>
      <c r="P48" s="127">
        <f>+'[3]受益（区域外）'!L$46</f>
        <v>0</v>
      </c>
      <c r="Q48" s="127">
        <f>+'[3]受益（区域外）'!M$46</f>
        <v>0</v>
      </c>
      <c r="R48" s="127">
        <f>+'[3]受益（区域外）'!N$46</f>
        <v>13788037</v>
      </c>
      <c r="S48" s="74">
        <f>SUM(N48:R48)</f>
        <v>13788037</v>
      </c>
      <c r="T48" s="126">
        <f>+'[3]受益（区域外）'!$I$46</f>
        <v>327843</v>
      </c>
      <c r="U48" s="82">
        <f>+V48-SUM(S48:T48)</f>
        <v>0</v>
      </c>
      <c r="V48" s="81">
        <f>+SUMIFS([1]全伝票!P:P,[1]全伝票!$C:$C,$C48,[1]全伝票!$A:$A,'4条収入'!$A48)</f>
        <v>14115880</v>
      </c>
      <c r="W48" s="75">
        <f t="shared" si="116"/>
        <v>0</v>
      </c>
      <c r="X48" s="74">
        <f t="shared" si="116"/>
        <v>0</v>
      </c>
      <c r="Y48" s="74">
        <f t="shared" si="116"/>
        <v>0</v>
      </c>
      <c r="Z48" s="74">
        <f t="shared" si="116"/>
        <v>0</v>
      </c>
      <c r="AA48" s="80">
        <f>+ROUND(J48*J$6/(100+J$6),0)+AX48</f>
        <v>0</v>
      </c>
      <c r="AB48" s="79">
        <f>SUM(W48:AA48)</f>
        <v>0</v>
      </c>
      <c r="AC48" s="78">
        <f t="shared" si="117"/>
        <v>0</v>
      </c>
      <c r="AD48" s="77">
        <f t="shared" si="117"/>
        <v>0</v>
      </c>
      <c r="AE48" s="77">
        <f t="shared" si="117"/>
        <v>0</v>
      </c>
      <c r="AF48" s="77">
        <f t="shared" si="117"/>
        <v>0</v>
      </c>
      <c r="AG48" s="77">
        <f>+ROUND(R48*AG$6/(100+AG$6),0)+BM48</f>
        <v>1253458</v>
      </c>
      <c r="AH48" s="73">
        <f>SUM(AC48:AG48)</f>
        <v>1253458</v>
      </c>
      <c r="AI48" s="76">
        <f>+E48-AB48</f>
        <v>14115880</v>
      </c>
      <c r="AJ48" s="37"/>
      <c r="AK48" s="37"/>
      <c r="AL48" s="37"/>
      <c r="AM48" s="37"/>
      <c r="AN48" s="37"/>
      <c r="AO48" s="36"/>
      <c r="AP48" s="36"/>
      <c r="AQ48" s="36"/>
      <c r="AR48" s="36"/>
      <c r="AS48" s="36"/>
      <c r="AT48" s="35"/>
      <c r="AU48" s="35"/>
      <c r="AV48" s="35"/>
      <c r="AW48" s="35"/>
      <c r="AX48" s="35"/>
      <c r="AY48" s="37"/>
      <c r="AZ48" s="37"/>
      <c r="BA48" s="37"/>
      <c r="BB48" s="37"/>
      <c r="BC48" s="37"/>
      <c r="BD48" s="36"/>
      <c r="BE48" s="36"/>
      <c r="BF48" s="36"/>
      <c r="BG48" s="36"/>
      <c r="BH48" s="36"/>
      <c r="BI48" s="35"/>
      <c r="BJ48" s="35"/>
      <c r="BK48" s="35"/>
      <c r="BL48" s="35"/>
      <c r="BM48" s="35"/>
    </row>
    <row r="49" spans="1:65" ht="15" customHeight="1" outlineLevel="1">
      <c r="A49" s="89">
        <v>4</v>
      </c>
      <c r="B49" s="88"/>
      <c r="C49" s="87">
        <v>180070700</v>
      </c>
      <c r="D49" s="86" t="s">
        <v>6</v>
      </c>
      <c r="E49" s="85">
        <f>+SUMIFS([1]全伝票!I:I,[1]全伝票!$C:$C,$C49,[1]全伝票!$A:$A,'4条収入'!$A49)</f>
        <v>4080000</v>
      </c>
      <c r="F49" s="75"/>
      <c r="G49" s="74"/>
      <c r="H49" s="74"/>
      <c r="I49" s="74"/>
      <c r="J49" s="80"/>
      <c r="K49" s="79">
        <f>SUM(F49:J49)</f>
        <v>0</v>
      </c>
      <c r="L49" s="84"/>
      <c r="M49" s="84"/>
      <c r="N49" s="75"/>
      <c r="O49" s="127">
        <f>+'[3]受益（区域外）'!K$66</f>
        <v>0</v>
      </c>
      <c r="P49" s="127">
        <f>+'[3]受益（区域外）'!L$66</f>
        <v>0</v>
      </c>
      <c r="Q49" s="127">
        <f>+'[3]受益（区域外）'!M$66</f>
        <v>0</v>
      </c>
      <c r="R49" s="127">
        <f>+'[3]受益（区域外）'!N$66</f>
        <v>3930244</v>
      </c>
      <c r="S49" s="74">
        <f>SUM(N49:R49)</f>
        <v>3930244</v>
      </c>
      <c r="T49" s="126">
        <f>+'[3]受益（区域外）'!$I$66</f>
        <v>149756</v>
      </c>
      <c r="U49" s="82">
        <f>+V49-SUM(S49:T49)</f>
        <v>0</v>
      </c>
      <c r="V49" s="81">
        <f>+SUMIFS([1]全伝票!P:P,[1]全伝票!$C:$C,$C49,[1]全伝票!$A:$A,'4条収入'!$A49)</f>
        <v>4080000</v>
      </c>
      <c r="W49" s="75">
        <f t="shared" si="116"/>
        <v>0</v>
      </c>
      <c r="X49" s="74">
        <f t="shared" si="116"/>
        <v>0</v>
      </c>
      <c r="Y49" s="74">
        <f t="shared" si="116"/>
        <v>0</v>
      </c>
      <c r="Z49" s="74">
        <f t="shared" si="116"/>
        <v>0</v>
      </c>
      <c r="AA49" s="80">
        <f>+ROUND(J49*J$6/(100+J$6),0)+AX49</f>
        <v>0</v>
      </c>
      <c r="AB49" s="79">
        <f>SUM(W49:AA49)</f>
        <v>0</v>
      </c>
      <c r="AC49" s="78">
        <f t="shared" si="117"/>
        <v>0</v>
      </c>
      <c r="AD49" s="77">
        <f t="shared" si="117"/>
        <v>0</v>
      </c>
      <c r="AE49" s="77">
        <f t="shared" si="117"/>
        <v>0</v>
      </c>
      <c r="AF49" s="77">
        <f t="shared" si="117"/>
        <v>0</v>
      </c>
      <c r="AG49" s="77">
        <f>+ROUND(R49*AG$6/(100+AG$6),0)+BM49</f>
        <v>357295</v>
      </c>
      <c r="AH49" s="73">
        <f>SUM(AC49:AG49)</f>
        <v>357295</v>
      </c>
      <c r="AI49" s="76">
        <f>+E49-AB49</f>
        <v>4080000</v>
      </c>
      <c r="AJ49" s="37"/>
      <c r="AK49" s="37"/>
      <c r="AL49" s="37"/>
      <c r="AM49" s="37"/>
      <c r="AN49" s="37"/>
      <c r="AO49" s="36"/>
      <c r="AP49" s="36"/>
      <c r="AQ49" s="36"/>
      <c r="AR49" s="36"/>
      <c r="AS49" s="36"/>
      <c r="AT49" s="35"/>
      <c r="AU49" s="35"/>
      <c r="AV49" s="35"/>
      <c r="AW49" s="35"/>
      <c r="AX49" s="35"/>
      <c r="AY49" s="37"/>
      <c r="AZ49" s="37"/>
      <c r="BA49" s="37"/>
      <c r="BB49" s="37"/>
      <c r="BC49" s="37"/>
      <c r="BD49" s="36"/>
      <c r="BE49" s="36"/>
      <c r="BF49" s="36"/>
      <c r="BG49" s="36"/>
      <c r="BH49" s="36"/>
      <c r="BI49" s="35"/>
      <c r="BJ49" s="35"/>
      <c r="BK49" s="35"/>
      <c r="BL49" s="35"/>
      <c r="BM49" s="35"/>
    </row>
    <row r="50" spans="1:65" ht="15" customHeight="1">
      <c r="A50" s="104"/>
      <c r="B50" s="103"/>
      <c r="C50" s="102"/>
      <c r="D50" s="101" t="s">
        <v>21</v>
      </c>
      <c r="E50" s="100">
        <f>SUM(E51:E54)</f>
        <v>530286509</v>
      </c>
      <c r="F50" s="92">
        <f t="shared" ref="F50:AI50" si="118">SUM(F51:F54)</f>
        <v>0</v>
      </c>
      <c r="G50" s="91">
        <f t="shared" si="118"/>
        <v>0</v>
      </c>
      <c r="H50" s="91">
        <f t="shared" si="118"/>
        <v>0</v>
      </c>
      <c r="I50" s="91">
        <f t="shared" si="118"/>
        <v>0</v>
      </c>
      <c r="J50" s="97">
        <f t="shared" si="118"/>
        <v>15318327</v>
      </c>
      <c r="K50" s="96">
        <f t="shared" si="118"/>
        <v>15318327</v>
      </c>
      <c r="L50" s="100">
        <f t="shared" si="118"/>
        <v>0</v>
      </c>
      <c r="M50" s="100">
        <f t="shared" si="118"/>
        <v>0</v>
      </c>
      <c r="N50" s="92">
        <f t="shared" si="118"/>
        <v>0</v>
      </c>
      <c r="O50" s="91">
        <f t="shared" si="118"/>
        <v>131982078</v>
      </c>
      <c r="P50" s="91">
        <f t="shared" si="118"/>
        <v>1246566</v>
      </c>
      <c r="Q50" s="91">
        <f t="shared" si="118"/>
        <v>0</v>
      </c>
      <c r="R50" s="91">
        <f t="shared" si="118"/>
        <v>218135713</v>
      </c>
      <c r="S50" s="91">
        <f t="shared" si="118"/>
        <v>351364357</v>
      </c>
      <c r="T50" s="99">
        <f t="shared" si="118"/>
        <v>163603825</v>
      </c>
      <c r="U50" s="98">
        <f t="shared" si="118"/>
        <v>0</v>
      </c>
      <c r="V50" s="96">
        <f t="shared" si="118"/>
        <v>514968182</v>
      </c>
      <c r="W50" s="92">
        <f t="shared" si="118"/>
        <v>0</v>
      </c>
      <c r="X50" s="91">
        <f t="shared" si="118"/>
        <v>0</v>
      </c>
      <c r="Y50" s="91">
        <f t="shared" si="118"/>
        <v>0</v>
      </c>
      <c r="Z50" s="91">
        <f t="shared" si="118"/>
        <v>0</v>
      </c>
      <c r="AA50" s="97">
        <f t="shared" si="118"/>
        <v>1392575</v>
      </c>
      <c r="AB50" s="96">
        <f t="shared" si="118"/>
        <v>1392575</v>
      </c>
      <c r="AC50" s="95">
        <f t="shared" si="118"/>
        <v>0</v>
      </c>
      <c r="AD50" s="94">
        <f t="shared" si="118"/>
        <v>6284860</v>
      </c>
      <c r="AE50" s="94">
        <f t="shared" si="118"/>
        <v>92338</v>
      </c>
      <c r="AF50" s="94">
        <f t="shared" si="118"/>
        <v>0</v>
      </c>
      <c r="AG50" s="94">
        <f t="shared" si="118"/>
        <v>19830519</v>
      </c>
      <c r="AH50" s="90">
        <f t="shared" si="118"/>
        <v>26207717</v>
      </c>
      <c r="AI50" s="93">
        <f t="shared" si="118"/>
        <v>528893934</v>
      </c>
      <c r="AJ50" s="37"/>
      <c r="AK50" s="37"/>
      <c r="AL50" s="37"/>
      <c r="AM50" s="37"/>
      <c r="AN50" s="37"/>
      <c r="AO50" s="36"/>
      <c r="AP50" s="36"/>
      <c r="AQ50" s="36"/>
      <c r="AR50" s="36"/>
      <c r="AS50" s="36"/>
      <c r="AT50" s="35"/>
      <c r="AU50" s="35"/>
      <c r="AV50" s="35"/>
      <c r="AW50" s="35"/>
      <c r="AX50" s="35"/>
      <c r="BI50" s="35"/>
      <c r="BJ50" s="35"/>
      <c r="BK50" s="35"/>
      <c r="BL50" s="35"/>
      <c r="BM50" s="35"/>
    </row>
    <row r="51" spans="1:65" ht="15" customHeight="1">
      <c r="A51" s="89">
        <v>1</v>
      </c>
      <c r="B51" s="88"/>
      <c r="C51" s="87">
        <v>180080800</v>
      </c>
      <c r="D51" s="86" t="s">
        <v>9</v>
      </c>
      <c r="E51" s="85">
        <f>+SUMIFS([1]全伝票!I:I,[1]全伝票!$C:$C,$C51,[1]全伝票!$A:$A,'4条収入'!$A51)</f>
        <v>530286509</v>
      </c>
      <c r="F51" s="125">
        <f>+SUMIFS([1]全伝票!J:J,[1]全伝票!$C:$C,$C51,[1]全伝票!$A:$A,$A51)</f>
        <v>0</v>
      </c>
      <c r="G51" s="124">
        <f>+SUMIFS([1]全伝票!K:K,[1]全伝票!$C:$C,$C51,[1]全伝票!$A:$A,$A51)</f>
        <v>0</v>
      </c>
      <c r="H51" s="124">
        <f>+SUMIFS([1]全伝票!L:L,[1]全伝票!$C:$C,$C51,[1]全伝票!$A:$A,$A51)</f>
        <v>0</v>
      </c>
      <c r="I51" s="124">
        <f>+SUMIFS([1]全伝票!M:M,[1]全伝票!$C:$C,$C51,[1]全伝票!$A:$A,$A51)</f>
        <v>0</v>
      </c>
      <c r="J51" s="123">
        <f>+SUMIFS([1]全伝票!N:N,[1]全伝票!$C:$C,$C51,[1]全伝票!$A:$A,$A51)</f>
        <v>15318327</v>
      </c>
      <c r="K51" s="79">
        <f>SUM(F51:J51)</f>
        <v>15318327</v>
      </c>
      <c r="L51" s="85">
        <f>+SUMIFS([1]全伝票!O:O,[1]全伝票!$C:$C,$C51)</f>
        <v>0</v>
      </c>
      <c r="M51" s="84"/>
      <c r="N51" s="75"/>
      <c r="O51" s="122">
        <f>+'[3]4条工事負担金'!K$6-'[3]4条工事負担金'!K$17</f>
        <v>131982078</v>
      </c>
      <c r="P51" s="122">
        <f>+'[3]4条工事負担金'!L$6-'[3]4条工事負担金'!L$17</f>
        <v>1246566</v>
      </c>
      <c r="Q51" s="122">
        <f>+'[3]4条工事負担金'!M$6-'[3]4条工事負担金'!M$17</f>
        <v>0</v>
      </c>
      <c r="R51" s="122">
        <f>+'[3]4条工事負担金'!N$6-'[3]4条工事負担金'!N$17</f>
        <v>218135713</v>
      </c>
      <c r="S51" s="74">
        <f>SUM(N51:R51)</f>
        <v>351364357</v>
      </c>
      <c r="T51" s="121">
        <f>+'[3]4条工事負担金'!$I$6-'[3]4条工事負担金'!$I$16</f>
        <v>163603825</v>
      </c>
      <c r="U51" s="82">
        <f>+V51-SUM(S51:T51)</f>
        <v>0</v>
      </c>
      <c r="V51" s="81">
        <f>+SUMIFS([1]全伝票!P:P,[1]全伝票!$C:$C,$C51,[1]全伝票!$A:$A,'4条収入'!$A51)</f>
        <v>514968182</v>
      </c>
      <c r="W51" s="75">
        <f t="shared" ref="W51:AA54" si="119">+ROUND(F51*F$6/(100+F$6),0)+AT51</f>
        <v>0</v>
      </c>
      <c r="X51" s="74">
        <f t="shared" si="119"/>
        <v>0</v>
      </c>
      <c r="Y51" s="74">
        <f t="shared" si="119"/>
        <v>0</v>
      </c>
      <c r="Z51" s="74">
        <f t="shared" si="119"/>
        <v>0</v>
      </c>
      <c r="AA51" s="80">
        <f t="shared" si="119"/>
        <v>1392575</v>
      </c>
      <c r="AB51" s="79">
        <f>SUM(W51:AA51)</f>
        <v>1392575</v>
      </c>
      <c r="AC51" s="78">
        <f t="shared" ref="AC51:AG54" si="120">+ROUND(N51*AC$6/(100+AC$6),0)+BI51</f>
        <v>0</v>
      </c>
      <c r="AD51" s="77">
        <f t="shared" si="120"/>
        <v>6284860</v>
      </c>
      <c r="AE51" s="77">
        <f t="shared" si="120"/>
        <v>92338</v>
      </c>
      <c r="AF51" s="77">
        <f t="shared" si="120"/>
        <v>0</v>
      </c>
      <c r="AG51" s="77">
        <f>+ROUND(R51*AG$6/(100+AG$6),0)+BM51</f>
        <v>19830519</v>
      </c>
      <c r="AH51" s="73">
        <f>SUM(AC51:AG51)</f>
        <v>26207717</v>
      </c>
      <c r="AI51" s="76">
        <f>+E51-AB51</f>
        <v>528893934</v>
      </c>
      <c r="AJ51" s="37">
        <f t="shared" ref="AJ51:AN54" si="121">W51-F51*W$6/(100+W$6)</f>
        <v>0</v>
      </c>
      <c r="AK51" s="37">
        <f t="shared" si="121"/>
        <v>0</v>
      </c>
      <c r="AL51" s="37">
        <f t="shared" si="121"/>
        <v>0</v>
      </c>
      <c r="AM51" s="37">
        <f t="shared" si="121"/>
        <v>0</v>
      </c>
      <c r="AN51" s="37">
        <f t="shared" si="121"/>
        <v>-0.18181818188168108</v>
      </c>
      <c r="AO51" s="36">
        <f t="shared" ref="AO51:AS54" si="122">+IF(W$93=0,0,IF(W$93&lt;0,-RANK(AJ51,AJ$7:AJ$90,0),RANK(AJ51,AJ$7:AJ$90,1)))</f>
        <v>0</v>
      </c>
      <c r="AP51" s="36">
        <f t="shared" si="122"/>
        <v>0</v>
      </c>
      <c r="AQ51" s="36">
        <f t="shared" si="122"/>
        <v>0</v>
      </c>
      <c r="AR51" s="36">
        <f t="shared" si="122"/>
        <v>0</v>
      </c>
      <c r="AS51" s="36">
        <f t="shared" si="122"/>
        <v>0</v>
      </c>
      <c r="AT51" s="35"/>
      <c r="AU51" s="35"/>
      <c r="AV51" s="35"/>
      <c r="AW51" s="35"/>
      <c r="AX51" s="35"/>
      <c r="AY51" s="37">
        <f t="shared" ref="AY51:BC54" si="123">AC51-N51*AC$6/(100+AC$6)</f>
        <v>0</v>
      </c>
      <c r="AZ51" s="37">
        <f t="shared" si="123"/>
        <v>-0.85714285727590322</v>
      </c>
      <c r="BA51" s="37">
        <f t="shared" si="123"/>
        <v>-0.22222222221898846</v>
      </c>
      <c r="BB51" s="37">
        <f t="shared" si="123"/>
        <v>0</v>
      </c>
      <c r="BC51" s="37">
        <f t="shared" si="123"/>
        <v>-0.36363636329770088</v>
      </c>
      <c r="BD51" s="36">
        <f t="shared" ref="BD51:BH54" si="124">+IF(AC$93=0,0,IF(AC$93&lt;0,-RANK(AY51,AY$7:AY$90,0),RANK(AY51,AY$7:AY$90,1)))</f>
        <v>0</v>
      </c>
      <c r="BE51" s="36">
        <f t="shared" si="124"/>
        <v>0</v>
      </c>
      <c r="BF51" s="36">
        <f t="shared" si="124"/>
        <v>0</v>
      </c>
      <c r="BG51" s="36">
        <f t="shared" si="124"/>
        <v>0</v>
      </c>
      <c r="BH51" s="36">
        <f t="shared" si="124"/>
        <v>0</v>
      </c>
      <c r="BI51" s="35"/>
      <c r="BJ51" s="35">
        <v>-1</v>
      </c>
      <c r="BK51" s="35"/>
      <c r="BL51" s="35"/>
      <c r="BM51" s="35"/>
    </row>
    <row r="52" spans="1:65" ht="15" customHeight="1">
      <c r="A52" s="89">
        <v>2</v>
      </c>
      <c r="B52" s="88"/>
      <c r="C52" s="87">
        <v>180080800</v>
      </c>
      <c r="D52" s="86" t="s">
        <v>8</v>
      </c>
      <c r="E52" s="85">
        <f>+SUMIFS([1]全伝票!I:I,[1]全伝票!$C:$C,$C52,[1]全伝票!$A:$A,'4条収入'!$A52)</f>
        <v>0</v>
      </c>
      <c r="F52" s="125">
        <f>+SUMIFS([1]全伝票!J:J,[1]全伝票!$C:$C,$C52,[1]全伝票!$A:$A,$A52)</f>
        <v>0</v>
      </c>
      <c r="G52" s="124">
        <f>+SUMIFS([1]全伝票!K:K,[1]全伝票!$C:$C,$C52,[1]全伝票!$A:$A,$A52)</f>
        <v>0</v>
      </c>
      <c r="H52" s="124">
        <f>+SUMIFS([1]全伝票!L:L,[1]全伝票!$C:$C,$C52,[1]全伝票!$A:$A,$A52)</f>
        <v>0</v>
      </c>
      <c r="I52" s="124">
        <f>+SUMIFS([1]全伝票!M:M,[1]全伝票!$C:$C,$C52,[1]全伝票!$A:$A,$A52)</f>
        <v>0</v>
      </c>
      <c r="J52" s="123">
        <f>+SUMIFS([1]全伝票!N:N,[1]全伝票!$C:$C,$C52,[1]全伝票!$A:$A,$A52)</f>
        <v>0</v>
      </c>
      <c r="K52" s="79">
        <f>SUM(F52:J52)</f>
        <v>0</v>
      </c>
      <c r="L52" s="85">
        <f>+SUMIFS([1]全伝票!O:O,[1]全伝票!$C:$C,$C52)</f>
        <v>0</v>
      </c>
      <c r="M52" s="84"/>
      <c r="N52" s="75"/>
      <c r="O52" s="122">
        <f>+'[3]4条工事負担金'!K$19</f>
        <v>0</v>
      </c>
      <c r="P52" s="122">
        <f>+'[3]4条工事負担金'!L$19</f>
        <v>0</v>
      </c>
      <c r="Q52" s="122">
        <f>+'[3]4条工事負担金'!M$19</f>
        <v>0</v>
      </c>
      <c r="R52" s="122">
        <f>+'[3]4条工事負担金'!N$19</f>
        <v>0</v>
      </c>
      <c r="S52" s="74">
        <f>SUM(N52:R52)</f>
        <v>0</v>
      </c>
      <c r="T52" s="121">
        <f>+'[3]4条工事負担金'!$I$18</f>
        <v>0</v>
      </c>
      <c r="U52" s="82">
        <f>+V52-SUM(S52:T52)</f>
        <v>0</v>
      </c>
      <c r="V52" s="81">
        <f>+SUMIFS([1]全伝票!P:P,[1]全伝票!$C:$C,$C52,[1]全伝票!$A:$A,'4条収入'!$A52)</f>
        <v>0</v>
      </c>
      <c r="W52" s="75">
        <f t="shared" si="119"/>
        <v>0</v>
      </c>
      <c r="X52" s="74">
        <f t="shared" si="119"/>
        <v>0</v>
      </c>
      <c r="Y52" s="74">
        <f t="shared" si="119"/>
        <v>0</v>
      </c>
      <c r="Z52" s="74">
        <f t="shared" si="119"/>
        <v>0</v>
      </c>
      <c r="AA52" s="80">
        <f t="shared" si="119"/>
        <v>0</v>
      </c>
      <c r="AB52" s="79">
        <f>SUM(W52:AA52)</f>
        <v>0</v>
      </c>
      <c r="AC52" s="78">
        <f t="shared" si="120"/>
        <v>0</v>
      </c>
      <c r="AD52" s="77">
        <f t="shared" si="120"/>
        <v>0</v>
      </c>
      <c r="AE52" s="77">
        <f t="shared" si="120"/>
        <v>0</v>
      </c>
      <c r="AF52" s="77">
        <f t="shared" si="120"/>
        <v>0</v>
      </c>
      <c r="AG52" s="77">
        <f t="shared" si="120"/>
        <v>0</v>
      </c>
      <c r="AH52" s="73">
        <f>SUM(AC52:AG52)</f>
        <v>0</v>
      </c>
      <c r="AI52" s="76">
        <f>+E52-AB52</f>
        <v>0</v>
      </c>
      <c r="AJ52" s="37">
        <f t="shared" si="121"/>
        <v>0</v>
      </c>
      <c r="AK52" s="37">
        <f t="shared" si="121"/>
        <v>0</v>
      </c>
      <c r="AL52" s="37">
        <f t="shared" si="121"/>
        <v>0</v>
      </c>
      <c r="AM52" s="37">
        <f t="shared" si="121"/>
        <v>0</v>
      </c>
      <c r="AN52" s="37">
        <f t="shared" si="121"/>
        <v>0</v>
      </c>
      <c r="AO52" s="36">
        <f t="shared" si="122"/>
        <v>0</v>
      </c>
      <c r="AP52" s="36">
        <f t="shared" si="122"/>
        <v>0</v>
      </c>
      <c r="AQ52" s="36">
        <f t="shared" si="122"/>
        <v>0</v>
      </c>
      <c r="AR52" s="36">
        <f t="shared" si="122"/>
        <v>0</v>
      </c>
      <c r="AS52" s="36">
        <f t="shared" si="122"/>
        <v>0</v>
      </c>
      <c r="AT52" s="35"/>
      <c r="AU52" s="35"/>
      <c r="AV52" s="35"/>
      <c r="AW52" s="35"/>
      <c r="AX52" s="35"/>
      <c r="AY52" s="37">
        <f t="shared" si="123"/>
        <v>0</v>
      </c>
      <c r="AZ52" s="37">
        <f t="shared" si="123"/>
        <v>0</v>
      </c>
      <c r="BA52" s="37">
        <f t="shared" si="123"/>
        <v>0</v>
      </c>
      <c r="BB52" s="37">
        <f t="shared" si="123"/>
        <v>0</v>
      </c>
      <c r="BC52" s="37">
        <f t="shared" si="123"/>
        <v>0</v>
      </c>
      <c r="BD52" s="36">
        <f t="shared" si="124"/>
        <v>0</v>
      </c>
      <c r="BE52" s="36">
        <f t="shared" si="124"/>
        <v>0</v>
      </c>
      <c r="BF52" s="36">
        <f t="shared" si="124"/>
        <v>0</v>
      </c>
      <c r="BG52" s="36">
        <f t="shared" si="124"/>
        <v>0</v>
      </c>
      <c r="BH52" s="36">
        <f t="shared" si="124"/>
        <v>0</v>
      </c>
      <c r="BI52" s="35"/>
      <c r="BJ52" s="35"/>
      <c r="BK52" s="35"/>
      <c r="BL52" s="35"/>
      <c r="BM52" s="35"/>
    </row>
    <row r="53" spans="1:65" ht="15" customHeight="1">
      <c r="A53" s="89">
        <v>3</v>
      </c>
      <c r="B53" s="88"/>
      <c r="C53" s="87">
        <v>180080800</v>
      </c>
      <c r="D53" s="86" t="s">
        <v>7</v>
      </c>
      <c r="E53" s="85">
        <f>+SUMIFS([1]全伝票!I:I,[1]全伝票!$C:$C,$C53,[1]全伝票!$A:$A,'4条収入'!$A53)</f>
        <v>0</v>
      </c>
      <c r="F53" s="125">
        <f>+SUMIFS([1]全伝票!J:J,[1]全伝票!$C:$C,$C53,[1]全伝票!$A:$A,$A53)</f>
        <v>0</v>
      </c>
      <c r="G53" s="124">
        <f>+SUMIFS([1]全伝票!K:K,[1]全伝票!$C:$C,$C53,[1]全伝票!$A:$A,$A53)</f>
        <v>0</v>
      </c>
      <c r="H53" s="124">
        <f>+SUMIFS([1]全伝票!L:L,[1]全伝票!$C:$C,$C53,[1]全伝票!$A:$A,$A53)</f>
        <v>0</v>
      </c>
      <c r="I53" s="124">
        <f>+SUMIFS([1]全伝票!M:M,[1]全伝票!$C:$C,$C53,[1]全伝票!$A:$A,$A53)</f>
        <v>0</v>
      </c>
      <c r="J53" s="123">
        <f>+SUMIFS([1]全伝票!N:N,[1]全伝票!$C:$C,$C53,[1]全伝票!$A:$A,$A53)</f>
        <v>0</v>
      </c>
      <c r="K53" s="79">
        <f>SUM(F53:J53)</f>
        <v>0</v>
      </c>
      <c r="L53" s="85">
        <f>+SUMIFS([1]全伝票!O:O,[1]全伝票!$C:$C,$C53)</f>
        <v>0</v>
      </c>
      <c r="M53" s="84"/>
      <c r="N53" s="75"/>
      <c r="O53" s="122">
        <f>+'[3]4条工事負担金'!K$21</f>
        <v>0</v>
      </c>
      <c r="P53" s="122">
        <f>+'[3]4条工事負担金'!L$21</f>
        <v>0</v>
      </c>
      <c r="Q53" s="122">
        <f>+'[3]4条工事負担金'!M$21</f>
        <v>0</v>
      </c>
      <c r="R53" s="122">
        <f>+'[3]4条工事負担金'!N$21</f>
        <v>0</v>
      </c>
      <c r="S53" s="74">
        <f>SUM(N53:R53)</f>
        <v>0</v>
      </c>
      <c r="T53" s="121">
        <f>+'[3]4条工事負担金'!I20</f>
        <v>0</v>
      </c>
      <c r="U53" s="82">
        <f>+V53-SUM(S53:T53)</f>
        <v>0</v>
      </c>
      <c r="V53" s="81">
        <f>+SUMIFS([1]全伝票!P:P,[1]全伝票!$C:$C,$C53,[1]全伝票!$A:$A,'4条収入'!$A53)</f>
        <v>0</v>
      </c>
      <c r="W53" s="75">
        <f t="shared" si="119"/>
        <v>0</v>
      </c>
      <c r="X53" s="74">
        <f t="shared" si="119"/>
        <v>0</v>
      </c>
      <c r="Y53" s="74">
        <f t="shared" si="119"/>
        <v>0</v>
      </c>
      <c r="Z53" s="74">
        <f t="shared" si="119"/>
        <v>0</v>
      </c>
      <c r="AA53" s="80">
        <f t="shared" si="119"/>
        <v>0</v>
      </c>
      <c r="AB53" s="79">
        <f>SUM(W53:AA53)</f>
        <v>0</v>
      </c>
      <c r="AC53" s="78">
        <f t="shared" si="120"/>
        <v>0</v>
      </c>
      <c r="AD53" s="77">
        <f t="shared" si="120"/>
        <v>0</v>
      </c>
      <c r="AE53" s="77">
        <f t="shared" si="120"/>
        <v>0</v>
      </c>
      <c r="AF53" s="77">
        <f t="shared" si="120"/>
        <v>0</v>
      </c>
      <c r="AG53" s="77">
        <f t="shared" si="120"/>
        <v>0</v>
      </c>
      <c r="AH53" s="73">
        <f>SUM(AC53:AG53)</f>
        <v>0</v>
      </c>
      <c r="AI53" s="76">
        <f>+E53-AB53</f>
        <v>0</v>
      </c>
      <c r="AJ53" s="37">
        <f t="shared" si="121"/>
        <v>0</v>
      </c>
      <c r="AK53" s="37">
        <f t="shared" si="121"/>
        <v>0</v>
      </c>
      <c r="AL53" s="37">
        <f t="shared" si="121"/>
        <v>0</v>
      </c>
      <c r="AM53" s="37">
        <f t="shared" si="121"/>
        <v>0</v>
      </c>
      <c r="AN53" s="37">
        <f t="shared" si="121"/>
        <v>0</v>
      </c>
      <c r="AO53" s="36">
        <f t="shared" si="122"/>
        <v>0</v>
      </c>
      <c r="AP53" s="36">
        <f t="shared" si="122"/>
        <v>0</v>
      </c>
      <c r="AQ53" s="36">
        <f t="shared" si="122"/>
        <v>0</v>
      </c>
      <c r="AR53" s="36">
        <f t="shared" si="122"/>
        <v>0</v>
      </c>
      <c r="AS53" s="36">
        <f t="shared" si="122"/>
        <v>0</v>
      </c>
      <c r="AT53" s="35"/>
      <c r="AU53" s="35"/>
      <c r="AV53" s="35"/>
      <c r="AW53" s="35"/>
      <c r="AX53" s="35"/>
      <c r="AY53" s="37">
        <f t="shared" si="123"/>
        <v>0</v>
      </c>
      <c r="AZ53" s="37">
        <f t="shared" si="123"/>
        <v>0</v>
      </c>
      <c r="BA53" s="37">
        <f t="shared" si="123"/>
        <v>0</v>
      </c>
      <c r="BB53" s="37">
        <f t="shared" si="123"/>
        <v>0</v>
      </c>
      <c r="BC53" s="37">
        <f t="shared" si="123"/>
        <v>0</v>
      </c>
      <c r="BD53" s="36">
        <f t="shared" si="124"/>
        <v>0</v>
      </c>
      <c r="BE53" s="36">
        <f t="shared" si="124"/>
        <v>0</v>
      </c>
      <c r="BF53" s="36">
        <f t="shared" si="124"/>
        <v>0</v>
      </c>
      <c r="BG53" s="36">
        <f t="shared" si="124"/>
        <v>0</v>
      </c>
      <c r="BH53" s="36">
        <f t="shared" si="124"/>
        <v>0</v>
      </c>
      <c r="BI53" s="35"/>
      <c r="BJ53" s="35"/>
      <c r="BK53" s="35"/>
      <c r="BL53" s="35"/>
      <c r="BM53" s="35"/>
    </row>
    <row r="54" spans="1:65" ht="15" customHeight="1">
      <c r="A54" s="89">
        <v>4</v>
      </c>
      <c r="B54" s="88"/>
      <c r="C54" s="87">
        <v>180080800</v>
      </c>
      <c r="D54" s="86" t="s">
        <v>6</v>
      </c>
      <c r="E54" s="85">
        <f>+SUMIFS([1]全伝票!I:I,[1]全伝票!$C:$C,$C54,[1]全伝票!$A:$A,'4条収入'!$A54)</f>
        <v>0</v>
      </c>
      <c r="F54" s="125">
        <f>+SUMIFS([1]全伝票!J:J,[1]全伝票!$C:$C,$C54,[1]全伝票!$A:$A,$A54)</f>
        <v>0</v>
      </c>
      <c r="G54" s="124">
        <f>+SUMIFS([1]全伝票!K:K,[1]全伝票!$C:$C,$C54,[1]全伝票!$A:$A,$A54)</f>
        <v>0</v>
      </c>
      <c r="H54" s="124">
        <f>+SUMIFS([1]全伝票!L:L,[1]全伝票!$C:$C,$C54,[1]全伝票!$A:$A,$A54)</f>
        <v>0</v>
      </c>
      <c r="I54" s="124">
        <f>+SUMIFS([1]全伝票!M:M,[1]全伝票!$C:$C,$C54,[1]全伝票!$A:$A,$A54)</f>
        <v>0</v>
      </c>
      <c r="J54" s="123">
        <f>+SUMIFS([1]全伝票!N:N,[1]全伝票!$C:$C,$C54,[1]全伝票!$A:$A,$A54)</f>
        <v>0</v>
      </c>
      <c r="K54" s="79">
        <f>SUM(F54:J54)</f>
        <v>0</v>
      </c>
      <c r="L54" s="85">
        <f>+SUMIFS([1]全伝票!O:O,[1]全伝票!$C:$C,$C54)</f>
        <v>0</v>
      </c>
      <c r="M54" s="84"/>
      <c r="N54" s="75"/>
      <c r="O54" s="122">
        <f>+'[3]4条工事負担金'!K$23</f>
        <v>0</v>
      </c>
      <c r="P54" s="122">
        <f>+'[3]4条工事負担金'!L$23</f>
        <v>0</v>
      </c>
      <c r="Q54" s="122">
        <f>+'[3]4条工事負担金'!M$23</f>
        <v>0</v>
      </c>
      <c r="R54" s="122">
        <f>+'[3]4条工事負担金'!N$23</f>
        <v>0</v>
      </c>
      <c r="S54" s="74">
        <f>SUM(N54:R54)</f>
        <v>0</v>
      </c>
      <c r="T54" s="121">
        <f>+'[3]4条工事負担金'!$I$22</f>
        <v>0</v>
      </c>
      <c r="U54" s="82">
        <f>+V54-SUM(S54:T54)</f>
        <v>0</v>
      </c>
      <c r="V54" s="81">
        <f>+SUMIFS([1]全伝票!P:P,[1]全伝票!$C:$C,$C54,[1]全伝票!$A:$A,'4条収入'!$A54)</f>
        <v>0</v>
      </c>
      <c r="W54" s="75">
        <f t="shared" si="119"/>
        <v>0</v>
      </c>
      <c r="X54" s="74">
        <f t="shared" si="119"/>
        <v>0</v>
      </c>
      <c r="Y54" s="74">
        <f t="shared" si="119"/>
        <v>0</v>
      </c>
      <c r="Z54" s="74">
        <f t="shared" si="119"/>
        <v>0</v>
      </c>
      <c r="AA54" s="80">
        <f t="shared" si="119"/>
        <v>0</v>
      </c>
      <c r="AB54" s="79">
        <f>SUM(W54:AA54)</f>
        <v>0</v>
      </c>
      <c r="AC54" s="78">
        <f t="shared" si="120"/>
        <v>0</v>
      </c>
      <c r="AD54" s="77">
        <f t="shared" si="120"/>
        <v>0</v>
      </c>
      <c r="AE54" s="77">
        <f t="shared" si="120"/>
        <v>0</v>
      </c>
      <c r="AF54" s="77">
        <f t="shared" si="120"/>
        <v>0</v>
      </c>
      <c r="AG54" s="77">
        <f t="shared" si="120"/>
        <v>0</v>
      </c>
      <c r="AH54" s="73">
        <f>SUM(AC54:AG54)</f>
        <v>0</v>
      </c>
      <c r="AI54" s="76">
        <f>+E54-AB54</f>
        <v>0</v>
      </c>
      <c r="AJ54" s="37">
        <f t="shared" si="121"/>
        <v>0</v>
      </c>
      <c r="AK54" s="37">
        <f t="shared" si="121"/>
        <v>0</v>
      </c>
      <c r="AL54" s="37">
        <f t="shared" si="121"/>
        <v>0</v>
      </c>
      <c r="AM54" s="37">
        <f t="shared" si="121"/>
        <v>0</v>
      </c>
      <c r="AN54" s="37">
        <f t="shared" si="121"/>
        <v>0</v>
      </c>
      <c r="AO54" s="36">
        <f t="shared" si="122"/>
        <v>0</v>
      </c>
      <c r="AP54" s="36">
        <f t="shared" si="122"/>
        <v>0</v>
      </c>
      <c r="AQ54" s="36">
        <f t="shared" si="122"/>
        <v>0</v>
      </c>
      <c r="AR54" s="36">
        <f t="shared" si="122"/>
        <v>0</v>
      </c>
      <c r="AS54" s="36">
        <f t="shared" si="122"/>
        <v>0</v>
      </c>
      <c r="AT54" s="35"/>
      <c r="AU54" s="35"/>
      <c r="AV54" s="35"/>
      <c r="AW54" s="35"/>
      <c r="AX54" s="35"/>
      <c r="AY54" s="37">
        <f t="shared" si="123"/>
        <v>0</v>
      </c>
      <c r="AZ54" s="37">
        <f t="shared" si="123"/>
        <v>0</v>
      </c>
      <c r="BA54" s="37">
        <f t="shared" si="123"/>
        <v>0</v>
      </c>
      <c r="BB54" s="37">
        <f t="shared" si="123"/>
        <v>0</v>
      </c>
      <c r="BC54" s="37">
        <f t="shared" si="123"/>
        <v>0</v>
      </c>
      <c r="BD54" s="36">
        <f t="shared" si="124"/>
        <v>0</v>
      </c>
      <c r="BE54" s="36">
        <f t="shared" si="124"/>
        <v>0</v>
      </c>
      <c r="BF54" s="36">
        <f t="shared" si="124"/>
        <v>0</v>
      </c>
      <c r="BG54" s="36">
        <f t="shared" si="124"/>
        <v>0</v>
      </c>
      <c r="BH54" s="36">
        <f t="shared" si="124"/>
        <v>0</v>
      </c>
      <c r="BI54" s="35"/>
      <c r="BJ54" s="35"/>
      <c r="BK54" s="35"/>
      <c r="BL54" s="35"/>
      <c r="BM54" s="35"/>
    </row>
    <row r="55" spans="1:65" ht="15" customHeight="1">
      <c r="A55" s="72"/>
      <c r="B55" s="71"/>
      <c r="C55" s="70"/>
      <c r="D55" s="69" t="s">
        <v>20</v>
      </c>
      <c r="E55" s="68">
        <f t="shared" ref="E55:AI55" si="125">+SUM(E56,E58,E71)</f>
        <v>3987000</v>
      </c>
      <c r="F55" s="60">
        <f t="shared" si="125"/>
        <v>0</v>
      </c>
      <c r="G55" s="59">
        <f t="shared" si="125"/>
        <v>0</v>
      </c>
      <c r="H55" s="59">
        <f t="shared" si="125"/>
        <v>0</v>
      </c>
      <c r="I55" s="59">
        <f t="shared" ref="I55" si="126">+SUM(I56,I58,I71)</f>
        <v>0</v>
      </c>
      <c r="J55" s="65">
        <f t="shared" si="125"/>
        <v>0</v>
      </c>
      <c r="K55" s="64">
        <f t="shared" si="125"/>
        <v>0</v>
      </c>
      <c r="L55" s="68">
        <f t="shared" si="125"/>
        <v>0</v>
      </c>
      <c r="M55" s="68">
        <f t="shared" si="125"/>
        <v>0</v>
      </c>
      <c r="N55" s="60">
        <f t="shared" si="125"/>
        <v>0</v>
      </c>
      <c r="O55" s="59">
        <f t="shared" si="125"/>
        <v>0</v>
      </c>
      <c r="P55" s="59">
        <f t="shared" si="125"/>
        <v>0</v>
      </c>
      <c r="Q55" s="59">
        <f t="shared" ref="Q55" si="127">+SUM(Q56,Q58,Q71)</f>
        <v>0</v>
      </c>
      <c r="R55" s="59">
        <f t="shared" si="125"/>
        <v>0</v>
      </c>
      <c r="S55" s="59">
        <f t="shared" si="125"/>
        <v>0</v>
      </c>
      <c r="T55" s="67">
        <f t="shared" si="125"/>
        <v>0</v>
      </c>
      <c r="U55" s="66">
        <f t="shared" si="125"/>
        <v>3987000</v>
      </c>
      <c r="V55" s="64">
        <f t="shared" si="125"/>
        <v>3987000</v>
      </c>
      <c r="W55" s="60">
        <f t="shared" si="125"/>
        <v>0</v>
      </c>
      <c r="X55" s="59">
        <f t="shared" si="125"/>
        <v>0</v>
      </c>
      <c r="Y55" s="59">
        <f t="shared" si="125"/>
        <v>0</v>
      </c>
      <c r="Z55" s="59">
        <f t="shared" ref="Z55" si="128">+SUM(Z56,Z58,Z71)</f>
        <v>0</v>
      </c>
      <c r="AA55" s="65">
        <f t="shared" si="125"/>
        <v>0</v>
      </c>
      <c r="AB55" s="64">
        <f t="shared" si="125"/>
        <v>0</v>
      </c>
      <c r="AC55" s="63">
        <f t="shared" si="125"/>
        <v>0</v>
      </c>
      <c r="AD55" s="62">
        <f t="shared" si="125"/>
        <v>0</v>
      </c>
      <c r="AE55" s="62">
        <f t="shared" si="125"/>
        <v>0</v>
      </c>
      <c r="AF55" s="62">
        <f t="shared" ref="AF55" si="129">+SUM(AF56,AF58,AF71)</f>
        <v>0</v>
      </c>
      <c r="AG55" s="62">
        <f t="shared" si="125"/>
        <v>0</v>
      </c>
      <c r="AH55" s="58">
        <f t="shared" si="125"/>
        <v>0</v>
      </c>
      <c r="AI55" s="61">
        <f t="shared" si="125"/>
        <v>3987000</v>
      </c>
      <c r="AJ55" s="37"/>
      <c r="AK55" s="37"/>
      <c r="AL55" s="37"/>
      <c r="AM55" s="37"/>
      <c r="AN55" s="37"/>
      <c r="AO55" s="36"/>
      <c r="AP55" s="36"/>
      <c r="AQ55" s="36"/>
      <c r="AR55" s="36"/>
      <c r="AS55" s="36"/>
      <c r="AT55" s="35"/>
      <c r="AU55" s="35"/>
      <c r="AV55" s="35"/>
      <c r="AW55" s="35"/>
      <c r="AX55" s="35"/>
      <c r="BI55" s="35"/>
      <c r="BJ55" s="35"/>
      <c r="BK55" s="35"/>
      <c r="BL55" s="35"/>
      <c r="BM55" s="35"/>
    </row>
    <row r="56" spans="1:65" ht="15" customHeight="1">
      <c r="A56" s="119"/>
      <c r="B56" s="118"/>
      <c r="C56" s="117"/>
      <c r="D56" s="116" t="s">
        <v>19</v>
      </c>
      <c r="E56" s="115">
        <f t="shared" ref="E56:AI56" si="130">+E57</f>
        <v>0</v>
      </c>
      <c r="F56" s="107">
        <f t="shared" si="130"/>
        <v>0</v>
      </c>
      <c r="G56" s="106">
        <f t="shared" si="130"/>
        <v>0</v>
      </c>
      <c r="H56" s="106">
        <f t="shared" si="130"/>
        <v>0</v>
      </c>
      <c r="I56" s="106">
        <f t="shared" si="130"/>
        <v>0</v>
      </c>
      <c r="J56" s="112">
        <f t="shared" si="130"/>
        <v>0</v>
      </c>
      <c r="K56" s="111">
        <f t="shared" si="130"/>
        <v>0</v>
      </c>
      <c r="L56" s="115">
        <f t="shared" si="130"/>
        <v>0</v>
      </c>
      <c r="M56" s="115">
        <f t="shared" si="130"/>
        <v>0</v>
      </c>
      <c r="N56" s="107">
        <f t="shared" si="130"/>
        <v>0</v>
      </c>
      <c r="O56" s="106">
        <f t="shared" si="130"/>
        <v>0</v>
      </c>
      <c r="P56" s="106">
        <f t="shared" si="130"/>
        <v>0</v>
      </c>
      <c r="Q56" s="106">
        <f t="shared" si="130"/>
        <v>0</v>
      </c>
      <c r="R56" s="106">
        <f t="shared" si="130"/>
        <v>0</v>
      </c>
      <c r="S56" s="106">
        <f t="shared" si="130"/>
        <v>0</v>
      </c>
      <c r="T56" s="114">
        <f t="shared" si="130"/>
        <v>0</v>
      </c>
      <c r="U56" s="113">
        <f t="shared" si="130"/>
        <v>0</v>
      </c>
      <c r="V56" s="111">
        <f t="shared" si="130"/>
        <v>0</v>
      </c>
      <c r="W56" s="107">
        <f t="shared" si="130"/>
        <v>0</v>
      </c>
      <c r="X56" s="106">
        <f t="shared" si="130"/>
        <v>0</v>
      </c>
      <c r="Y56" s="106">
        <f t="shared" si="130"/>
        <v>0</v>
      </c>
      <c r="Z56" s="106">
        <f t="shared" si="130"/>
        <v>0</v>
      </c>
      <c r="AA56" s="112">
        <f t="shared" si="130"/>
        <v>0</v>
      </c>
      <c r="AB56" s="111">
        <f t="shared" si="130"/>
        <v>0</v>
      </c>
      <c r="AC56" s="110">
        <f t="shared" si="130"/>
        <v>0</v>
      </c>
      <c r="AD56" s="109">
        <f t="shared" si="130"/>
        <v>0</v>
      </c>
      <c r="AE56" s="109">
        <f t="shared" si="130"/>
        <v>0</v>
      </c>
      <c r="AF56" s="109">
        <f t="shared" si="130"/>
        <v>0</v>
      </c>
      <c r="AG56" s="109">
        <f t="shared" si="130"/>
        <v>0</v>
      </c>
      <c r="AH56" s="105">
        <f t="shared" si="130"/>
        <v>0</v>
      </c>
      <c r="AI56" s="108">
        <f t="shared" si="130"/>
        <v>0</v>
      </c>
      <c r="AJ56" s="37"/>
      <c r="AK56" s="37"/>
      <c r="AL56" s="37"/>
      <c r="AM56" s="37"/>
      <c r="AN56" s="37"/>
      <c r="AO56" s="36"/>
      <c r="AP56" s="36"/>
      <c r="AQ56" s="36"/>
      <c r="AR56" s="36"/>
      <c r="AS56" s="36"/>
      <c r="AT56" s="35"/>
      <c r="AU56" s="35"/>
      <c r="AV56" s="35"/>
      <c r="AW56" s="35"/>
      <c r="AX56" s="35"/>
      <c r="BI56" s="35"/>
      <c r="BJ56" s="35"/>
      <c r="BK56" s="35"/>
      <c r="BL56" s="35"/>
      <c r="BM56" s="35"/>
    </row>
    <row r="57" spans="1:65" ht="15" customHeight="1">
      <c r="A57" s="104"/>
      <c r="B57" s="103"/>
      <c r="C57" s="102">
        <v>184010200</v>
      </c>
      <c r="D57" s="101" t="s">
        <v>18</v>
      </c>
      <c r="E57" s="100">
        <f>+SUMIFS([1]全伝票!I:I,[1]全伝票!$C:$C,$C57)</f>
        <v>0</v>
      </c>
      <c r="F57" s="92">
        <f>+SUMIFS([1]全伝票!J:J,[1]全伝票!$C:$C,$C57)</f>
        <v>0</v>
      </c>
      <c r="G57" s="91">
        <f>+SUMIFS([1]全伝票!K:K,[1]全伝票!$C:$C,$C57)</f>
        <v>0</v>
      </c>
      <c r="H57" s="91">
        <f>+SUMIFS([1]全伝票!L:L,[1]全伝票!$C:$C,$C57)</f>
        <v>0</v>
      </c>
      <c r="I57" s="91">
        <f>+SUMIFS([1]全伝票!M:M,[1]全伝票!$C:$C,$C57)</f>
        <v>0</v>
      </c>
      <c r="J57" s="97">
        <f>+SUMIFS([1]全伝票!N:N,[1]全伝票!$C:$C,$C57)</f>
        <v>0</v>
      </c>
      <c r="K57" s="96">
        <f>SUM(F57:J57)</f>
        <v>0</v>
      </c>
      <c r="L57" s="100">
        <f>+SUMIFS([1]全伝票!O:O,[1]全伝票!$C:$C,$C57)</f>
        <v>0</v>
      </c>
      <c r="M57" s="100"/>
      <c r="N57" s="92"/>
      <c r="O57" s="91"/>
      <c r="P57" s="91"/>
      <c r="Q57" s="91"/>
      <c r="R57" s="91"/>
      <c r="S57" s="91">
        <f>SUM(N57:R57)</f>
        <v>0</v>
      </c>
      <c r="T57" s="99"/>
      <c r="U57" s="98">
        <f>+V57-SUM(S57:T57)</f>
        <v>0</v>
      </c>
      <c r="V57" s="120">
        <f>+SUMIFS([1]全伝票!P:P,[1]全伝票!$C:$C,$C57)</f>
        <v>0</v>
      </c>
      <c r="W57" s="92">
        <f>+ROUND(F57*F$6/(100+F$6),0)+AT57</f>
        <v>0</v>
      </c>
      <c r="X57" s="91">
        <f>+ROUND(G57*G$6/(100+G$6),0)+AU57</f>
        <v>0</v>
      </c>
      <c r="Y57" s="91">
        <f>+ROUND(H57*H$6/(100+H$6),0)+AV57</f>
        <v>0</v>
      </c>
      <c r="Z57" s="91">
        <f>+ROUND(I57*I$6/(100+I$6),0)+AW57</f>
        <v>0</v>
      </c>
      <c r="AA57" s="97">
        <f>+ROUND(J57*J$6/(100+J$6),0)+AX57</f>
        <v>0</v>
      </c>
      <c r="AB57" s="96">
        <f>SUM(W57:AA57)</f>
        <v>0</v>
      </c>
      <c r="AC57" s="95">
        <f>+ROUND(N57*AC$6/(100+AC$6),0)+BI57</f>
        <v>0</v>
      </c>
      <c r="AD57" s="94">
        <f>+ROUND(O57*AD$6/(100+AD$6),0)+BJ57</f>
        <v>0</v>
      </c>
      <c r="AE57" s="94">
        <f>+ROUND(P57*AE$6/(100+AE$6),0)+BK57</f>
        <v>0</v>
      </c>
      <c r="AF57" s="94">
        <f>+ROUND(Q57*AF$6/(100+AF$6),0)+BL57</f>
        <v>0</v>
      </c>
      <c r="AG57" s="94">
        <f>+ROUND(R57*AG$6/(100+AG$6),0)+BM57</f>
        <v>0</v>
      </c>
      <c r="AH57" s="90">
        <f>SUM(AC57:AG57)</f>
        <v>0</v>
      </c>
      <c r="AI57" s="93">
        <f>+E57-AB57</f>
        <v>0</v>
      </c>
      <c r="AJ57" s="37"/>
      <c r="AK57" s="37"/>
      <c r="AL57" s="37"/>
      <c r="AM57" s="37"/>
      <c r="AN57" s="37"/>
      <c r="AO57" s="36"/>
      <c r="AP57" s="36"/>
      <c r="AQ57" s="36"/>
      <c r="AR57" s="36"/>
      <c r="AS57" s="36"/>
      <c r="AT57" s="35"/>
      <c r="AU57" s="35"/>
      <c r="AV57" s="35"/>
      <c r="AW57" s="35"/>
      <c r="AX57" s="35"/>
      <c r="BI57" s="35"/>
      <c r="BJ57" s="35"/>
      <c r="BK57" s="35"/>
      <c r="BL57" s="35"/>
      <c r="BM57" s="35"/>
    </row>
    <row r="58" spans="1:65" ht="15" customHeight="1">
      <c r="A58" s="119"/>
      <c r="B58" s="118"/>
      <c r="C58" s="117"/>
      <c r="D58" s="116" t="s">
        <v>17</v>
      </c>
      <c r="E58" s="115">
        <f>+SUM(E59,E63,E67)</f>
        <v>0</v>
      </c>
      <c r="F58" s="107">
        <f t="shared" ref="F58:K58" si="131">+SUM(F59,F63,F67)</f>
        <v>0</v>
      </c>
      <c r="G58" s="106">
        <f t="shared" si="131"/>
        <v>0</v>
      </c>
      <c r="H58" s="106">
        <f t="shared" si="131"/>
        <v>0</v>
      </c>
      <c r="I58" s="106">
        <f t="shared" ref="I58" si="132">+SUM(I59,I63,I67)</f>
        <v>0</v>
      </c>
      <c r="J58" s="112">
        <f t="shared" si="131"/>
        <v>0</v>
      </c>
      <c r="K58" s="111">
        <f t="shared" si="131"/>
        <v>0</v>
      </c>
      <c r="L58" s="115">
        <f t="shared" ref="L58" si="133">+SUM(L59,L63,L67)</f>
        <v>0</v>
      </c>
      <c r="M58" s="115">
        <f t="shared" ref="M58" si="134">+SUM(M59,M63,M67)</f>
        <v>0</v>
      </c>
      <c r="N58" s="107">
        <f t="shared" ref="N58" si="135">+SUM(N59,N63,N67)</f>
        <v>0</v>
      </c>
      <c r="O58" s="106">
        <f t="shared" ref="O58" si="136">+SUM(O59,O63,O67)</f>
        <v>0</v>
      </c>
      <c r="P58" s="106">
        <f t="shared" ref="P58:Q58" si="137">+SUM(P59,P63,P67)</f>
        <v>0</v>
      </c>
      <c r="Q58" s="106">
        <f t="shared" si="137"/>
        <v>0</v>
      </c>
      <c r="R58" s="106">
        <f t="shared" ref="R58:S58" si="138">+SUM(R59,R63,R67)</f>
        <v>0</v>
      </c>
      <c r="S58" s="106">
        <f t="shared" si="138"/>
        <v>0</v>
      </c>
      <c r="T58" s="114">
        <f t="shared" ref="T58" si="139">+SUM(T59,T63,T67)</f>
        <v>0</v>
      </c>
      <c r="U58" s="113">
        <f t="shared" ref="U58" si="140">+SUM(U59,U63,U67)</f>
        <v>0</v>
      </c>
      <c r="V58" s="111">
        <f t="shared" ref="V58" si="141">+SUM(V59,V63,V67)</f>
        <v>0</v>
      </c>
      <c r="W58" s="107">
        <f t="shared" ref="W58" si="142">+SUM(W59,W63,W67)</f>
        <v>0</v>
      </c>
      <c r="X58" s="106">
        <f t="shared" ref="X58" si="143">+SUM(X59,X63,X67)</f>
        <v>0</v>
      </c>
      <c r="Y58" s="106">
        <f t="shared" ref="Y58:Z58" si="144">+SUM(Y59,Y63,Y67)</f>
        <v>0</v>
      </c>
      <c r="Z58" s="106">
        <f t="shared" si="144"/>
        <v>0</v>
      </c>
      <c r="AA58" s="112">
        <f t="shared" ref="AA58" si="145">+SUM(AA59,AA63,AA67)</f>
        <v>0</v>
      </c>
      <c r="AB58" s="111">
        <f t="shared" ref="AB58" si="146">+SUM(AB59,AB63,AB67)</f>
        <v>0</v>
      </c>
      <c r="AC58" s="110">
        <f t="shared" ref="AC58" si="147">+SUM(AC59,AC63,AC67)</f>
        <v>0</v>
      </c>
      <c r="AD58" s="109">
        <f t="shared" ref="AD58" si="148">+SUM(AD59,AD63,AD67)</f>
        <v>0</v>
      </c>
      <c r="AE58" s="109">
        <f t="shared" ref="AE58:AF58" si="149">+SUM(AE59,AE63,AE67)</f>
        <v>0</v>
      </c>
      <c r="AF58" s="109">
        <f t="shared" si="149"/>
        <v>0</v>
      </c>
      <c r="AG58" s="109">
        <f t="shared" ref="AG58" si="150">+SUM(AG59,AG63,AG67)</f>
        <v>0</v>
      </c>
      <c r="AH58" s="105">
        <f t="shared" ref="AH58" si="151">+SUM(AH59,AH63,AH67)</f>
        <v>0</v>
      </c>
      <c r="AI58" s="108">
        <f t="shared" ref="AI58" si="152">+SUM(AI59,AI63,AI67)</f>
        <v>0</v>
      </c>
      <c r="AJ58" s="37"/>
      <c r="AK58" s="37"/>
      <c r="AL58" s="37"/>
      <c r="AM58" s="37"/>
      <c r="AN58" s="37"/>
      <c r="AO58" s="36"/>
      <c r="AP58" s="36"/>
      <c r="AQ58" s="36"/>
      <c r="AR58" s="36"/>
      <c r="AS58" s="36"/>
      <c r="AT58" s="35"/>
      <c r="AU58" s="35"/>
      <c r="AV58" s="35"/>
      <c r="AW58" s="35"/>
      <c r="AX58" s="35"/>
      <c r="BI58" s="35"/>
      <c r="BJ58" s="35"/>
      <c r="BK58" s="35"/>
      <c r="BL58" s="35"/>
      <c r="BM58" s="35"/>
    </row>
    <row r="59" spans="1:65" ht="15" customHeight="1">
      <c r="A59" s="89"/>
      <c r="B59" s="88"/>
      <c r="C59" s="87"/>
      <c r="D59" s="86" t="s">
        <v>16</v>
      </c>
      <c r="E59" s="100">
        <f>+SUM(E60:E62)</f>
        <v>0</v>
      </c>
      <c r="F59" s="75">
        <f t="shared" ref="F59" si="153">+SUM(F60:F62)</f>
        <v>0</v>
      </c>
      <c r="G59" s="74">
        <f t="shared" ref="G59" si="154">+SUM(G60:G62)</f>
        <v>0</v>
      </c>
      <c r="H59" s="74">
        <f t="shared" ref="H59:I59" si="155">+SUM(H60:H62)</f>
        <v>0</v>
      </c>
      <c r="I59" s="74">
        <f t="shared" si="155"/>
        <v>0</v>
      </c>
      <c r="J59" s="80">
        <f t="shared" ref="J59" si="156">+SUM(J60:J62)</f>
        <v>0</v>
      </c>
      <c r="K59" s="79">
        <f t="shared" ref="K59" si="157">+SUM(K60:K62)</f>
        <v>0</v>
      </c>
      <c r="L59" s="84">
        <f t="shared" ref="L59" si="158">+SUM(L60:L62)</f>
        <v>0</v>
      </c>
      <c r="M59" s="84">
        <f t="shared" ref="M59" si="159">+SUM(M60:M62)</f>
        <v>0</v>
      </c>
      <c r="N59" s="75">
        <f t="shared" ref="N59" si="160">+SUM(N60:N62)</f>
        <v>0</v>
      </c>
      <c r="O59" s="74">
        <f t="shared" ref="O59" si="161">+SUM(O60:O62)</f>
        <v>0</v>
      </c>
      <c r="P59" s="74">
        <f t="shared" ref="P59:Q59" si="162">+SUM(P60:P62)</f>
        <v>0</v>
      </c>
      <c r="Q59" s="74">
        <f t="shared" si="162"/>
        <v>0</v>
      </c>
      <c r="R59" s="74">
        <f t="shared" ref="R59" si="163">+SUM(R60:R62)</f>
        <v>0</v>
      </c>
      <c r="S59" s="74">
        <f t="shared" ref="S59" si="164">+SUM(S60:S62)</f>
        <v>0</v>
      </c>
      <c r="T59" s="83">
        <f t="shared" ref="T59" si="165">+SUM(T60:T62)</f>
        <v>0</v>
      </c>
      <c r="U59" s="82">
        <f t="shared" ref="U59" si="166">+SUM(U60:U62)</f>
        <v>0</v>
      </c>
      <c r="V59" s="79">
        <f t="shared" ref="V59" si="167">+SUM(V60:V62)</f>
        <v>0</v>
      </c>
      <c r="W59" s="75">
        <f t="shared" ref="W59" si="168">+SUM(W60:W62)</f>
        <v>0</v>
      </c>
      <c r="X59" s="74">
        <f t="shared" ref="X59" si="169">+SUM(X60:X62)</f>
        <v>0</v>
      </c>
      <c r="Y59" s="74">
        <f t="shared" ref="Y59:Z59" si="170">+SUM(Y60:Y62)</f>
        <v>0</v>
      </c>
      <c r="Z59" s="74">
        <f t="shared" si="170"/>
        <v>0</v>
      </c>
      <c r="AA59" s="80">
        <f t="shared" ref="AA59" si="171">+SUM(AA60:AA62)</f>
        <v>0</v>
      </c>
      <c r="AB59" s="79">
        <f t="shared" ref="AB59" si="172">+SUM(AB60:AB62)</f>
        <v>0</v>
      </c>
      <c r="AC59" s="78">
        <f t="shared" ref="AC59" si="173">+SUM(AC60:AC62)</f>
        <v>0</v>
      </c>
      <c r="AD59" s="77">
        <f t="shared" ref="AD59" si="174">+SUM(AD60:AD62)</f>
        <v>0</v>
      </c>
      <c r="AE59" s="77">
        <f t="shared" ref="AE59:AF59" si="175">+SUM(AE60:AE62)</f>
        <v>0</v>
      </c>
      <c r="AF59" s="77">
        <f t="shared" si="175"/>
        <v>0</v>
      </c>
      <c r="AG59" s="77">
        <f t="shared" ref="AG59" si="176">+SUM(AG60:AG62)</f>
        <v>0</v>
      </c>
      <c r="AH59" s="73">
        <f t="shared" ref="AH59" si="177">+SUM(AH60:AH62)</f>
        <v>0</v>
      </c>
      <c r="AI59" s="76">
        <f t="shared" ref="AI59" si="178">+SUM(AI60:AI62)</f>
        <v>0</v>
      </c>
      <c r="AJ59" s="37"/>
      <c r="AK59" s="37"/>
      <c r="AL59" s="37"/>
      <c r="AM59" s="37"/>
      <c r="AN59" s="37"/>
      <c r="AO59" s="36"/>
      <c r="AP59" s="36"/>
      <c r="AQ59" s="36"/>
      <c r="AR59" s="36"/>
      <c r="AS59" s="36"/>
      <c r="AT59" s="35"/>
      <c r="AU59" s="35"/>
      <c r="AV59" s="35"/>
      <c r="AW59" s="35"/>
      <c r="AX59" s="35"/>
      <c r="BI59" s="35"/>
      <c r="BJ59" s="35"/>
      <c r="BK59" s="35"/>
      <c r="BL59" s="35"/>
      <c r="BM59" s="35"/>
    </row>
    <row r="60" spans="1:65" ht="15" hidden="1" customHeight="1" outlineLevel="1">
      <c r="A60" s="89">
        <v>2</v>
      </c>
      <c r="B60" s="88"/>
      <c r="C60" s="87">
        <v>184030400</v>
      </c>
      <c r="D60" s="86" t="s">
        <v>8</v>
      </c>
      <c r="E60" s="154">
        <v>0</v>
      </c>
      <c r="F60" s="75"/>
      <c r="G60" s="74"/>
      <c r="H60" s="74"/>
      <c r="I60" s="74"/>
      <c r="J60" s="80"/>
      <c r="K60" s="79"/>
      <c r="L60" s="84"/>
      <c r="M60" s="84"/>
      <c r="N60" s="75"/>
      <c r="O60" s="74"/>
      <c r="P60" s="74"/>
      <c r="Q60" s="74"/>
      <c r="R60" s="74"/>
      <c r="S60" s="74">
        <f>SUM(N60:R60)</f>
        <v>0</v>
      </c>
      <c r="T60" s="83"/>
      <c r="U60" s="82"/>
      <c r="V60" s="79">
        <f>+E60</f>
        <v>0</v>
      </c>
      <c r="W60" s="75">
        <f t="shared" ref="W60:Z62" si="179">+ROUND(F60*F$6/(100+F$6),0)+AT60</f>
        <v>0</v>
      </c>
      <c r="X60" s="74">
        <f t="shared" si="179"/>
        <v>0</v>
      </c>
      <c r="Y60" s="74">
        <f t="shared" si="179"/>
        <v>0</v>
      </c>
      <c r="Z60" s="74">
        <f t="shared" si="179"/>
        <v>0</v>
      </c>
      <c r="AA60" s="80">
        <f>+ROUND(J60*J$6/(100+J$6),0)+AX60</f>
        <v>0</v>
      </c>
      <c r="AB60" s="79">
        <f>SUM(W60:AA60)</f>
        <v>0</v>
      </c>
      <c r="AC60" s="78">
        <f t="shared" ref="AC60:AF62" si="180">+ROUND(N60*AC$6/(100+AC$6),0)+BI60</f>
        <v>0</v>
      </c>
      <c r="AD60" s="77">
        <f t="shared" si="180"/>
        <v>0</v>
      </c>
      <c r="AE60" s="77">
        <f t="shared" si="180"/>
        <v>0</v>
      </c>
      <c r="AF60" s="77">
        <f t="shared" si="180"/>
        <v>0</v>
      </c>
      <c r="AG60" s="77">
        <f>+ROUND(R60*AG$6/(100+AG$6),0)+BM60</f>
        <v>0</v>
      </c>
      <c r="AH60" s="73">
        <f>SUM(AC60:AG60)</f>
        <v>0</v>
      </c>
      <c r="AI60" s="76">
        <f>+E60-AB60</f>
        <v>0</v>
      </c>
      <c r="AJ60" s="37"/>
      <c r="AK60" s="37"/>
      <c r="AL60" s="37"/>
      <c r="AM60" s="37"/>
      <c r="AN60" s="37"/>
      <c r="AO60" s="36"/>
      <c r="AP60" s="36"/>
      <c r="AQ60" s="36"/>
      <c r="AR60" s="36"/>
      <c r="AS60" s="36"/>
      <c r="AT60" s="35"/>
      <c r="AU60" s="35"/>
      <c r="AV60" s="35"/>
      <c r="AW60" s="35"/>
      <c r="AX60" s="35"/>
      <c r="BI60" s="35"/>
      <c r="BJ60" s="35"/>
      <c r="BK60" s="35"/>
      <c r="BL60" s="35"/>
      <c r="BM60" s="35"/>
    </row>
    <row r="61" spans="1:65" ht="15" hidden="1" customHeight="1" outlineLevel="1">
      <c r="A61" s="89">
        <v>3</v>
      </c>
      <c r="B61" s="88"/>
      <c r="C61" s="87">
        <v>184030400</v>
      </c>
      <c r="D61" s="86" t="s">
        <v>7</v>
      </c>
      <c r="E61" s="154">
        <v>0</v>
      </c>
      <c r="F61" s="75"/>
      <c r="G61" s="74"/>
      <c r="H61" s="74"/>
      <c r="I61" s="74"/>
      <c r="J61" s="80"/>
      <c r="K61" s="79"/>
      <c r="L61" s="84"/>
      <c r="M61" s="84"/>
      <c r="N61" s="75"/>
      <c r="O61" s="74"/>
      <c r="P61" s="74"/>
      <c r="Q61" s="74"/>
      <c r="R61" s="74"/>
      <c r="S61" s="74">
        <f>SUM(N61:R61)</f>
        <v>0</v>
      </c>
      <c r="T61" s="83"/>
      <c r="U61" s="82"/>
      <c r="V61" s="79">
        <f t="shared" ref="V61:V62" si="181">+E61</f>
        <v>0</v>
      </c>
      <c r="W61" s="75">
        <f t="shared" si="179"/>
        <v>0</v>
      </c>
      <c r="X61" s="74">
        <f t="shared" si="179"/>
        <v>0</v>
      </c>
      <c r="Y61" s="74">
        <f t="shared" si="179"/>
        <v>0</v>
      </c>
      <c r="Z61" s="74">
        <f t="shared" si="179"/>
        <v>0</v>
      </c>
      <c r="AA61" s="80">
        <f>+ROUND(J61*J$6/(100+J$6),0)+AX61</f>
        <v>0</v>
      </c>
      <c r="AB61" s="79">
        <f>SUM(W61:AA61)</f>
        <v>0</v>
      </c>
      <c r="AC61" s="78">
        <f t="shared" si="180"/>
        <v>0</v>
      </c>
      <c r="AD61" s="77">
        <f t="shared" si="180"/>
        <v>0</v>
      </c>
      <c r="AE61" s="77">
        <f t="shared" si="180"/>
        <v>0</v>
      </c>
      <c r="AF61" s="77">
        <f t="shared" si="180"/>
        <v>0</v>
      </c>
      <c r="AG61" s="77">
        <f>+ROUND(R61*AG$6/(100+AG$6),0)+BM61</f>
        <v>0</v>
      </c>
      <c r="AH61" s="73">
        <f>SUM(AC61:AG61)</f>
        <v>0</v>
      </c>
      <c r="AI61" s="76">
        <f>+E61-AB61</f>
        <v>0</v>
      </c>
      <c r="AJ61" s="37"/>
      <c r="AK61" s="37"/>
      <c r="AL61" s="37"/>
      <c r="AM61" s="37"/>
      <c r="AN61" s="37"/>
      <c r="AO61" s="36"/>
      <c r="AP61" s="36"/>
      <c r="AQ61" s="36"/>
      <c r="AR61" s="36"/>
      <c r="AS61" s="36"/>
      <c r="AT61" s="35"/>
      <c r="AU61" s="35"/>
      <c r="AV61" s="35"/>
      <c r="AW61" s="35"/>
      <c r="AX61" s="35"/>
      <c r="BI61" s="35"/>
      <c r="BJ61" s="35"/>
      <c r="BK61" s="35"/>
      <c r="BL61" s="35"/>
      <c r="BM61" s="35"/>
    </row>
    <row r="62" spans="1:65" ht="15" hidden="1" customHeight="1" outlineLevel="1">
      <c r="A62" s="89">
        <v>4</v>
      </c>
      <c r="B62" s="88"/>
      <c r="C62" s="87">
        <v>184030400</v>
      </c>
      <c r="D62" s="86" t="s">
        <v>6</v>
      </c>
      <c r="E62" s="154">
        <v>0</v>
      </c>
      <c r="F62" s="75"/>
      <c r="G62" s="74"/>
      <c r="H62" s="74"/>
      <c r="I62" s="74"/>
      <c r="J62" s="80"/>
      <c r="K62" s="79"/>
      <c r="L62" s="84"/>
      <c r="M62" s="84"/>
      <c r="N62" s="75"/>
      <c r="O62" s="74"/>
      <c r="P62" s="74"/>
      <c r="Q62" s="74"/>
      <c r="R62" s="74"/>
      <c r="S62" s="74">
        <f>SUM(N62:R62)</f>
        <v>0</v>
      </c>
      <c r="T62" s="83"/>
      <c r="U62" s="82"/>
      <c r="V62" s="79">
        <f t="shared" si="181"/>
        <v>0</v>
      </c>
      <c r="W62" s="75">
        <f t="shared" si="179"/>
        <v>0</v>
      </c>
      <c r="X62" s="74">
        <f t="shared" si="179"/>
        <v>0</v>
      </c>
      <c r="Y62" s="74">
        <f t="shared" si="179"/>
        <v>0</v>
      </c>
      <c r="Z62" s="74">
        <f t="shared" si="179"/>
        <v>0</v>
      </c>
      <c r="AA62" s="80">
        <f>+ROUND(J62*J$6/(100+J$6),0)+AX62</f>
        <v>0</v>
      </c>
      <c r="AB62" s="79">
        <f>SUM(W62:AA62)</f>
        <v>0</v>
      </c>
      <c r="AC62" s="78">
        <f t="shared" si="180"/>
        <v>0</v>
      </c>
      <c r="AD62" s="77">
        <f t="shared" si="180"/>
        <v>0</v>
      </c>
      <c r="AE62" s="77">
        <f t="shared" si="180"/>
        <v>0</v>
      </c>
      <c r="AF62" s="77">
        <f t="shared" si="180"/>
        <v>0</v>
      </c>
      <c r="AG62" s="77">
        <f>+ROUND(R62*AG$6/(100+AG$6),0)+BM62</f>
        <v>0</v>
      </c>
      <c r="AH62" s="73">
        <f>SUM(AC62:AG62)</f>
        <v>0</v>
      </c>
      <c r="AI62" s="76">
        <f>+E62-AB62</f>
        <v>0</v>
      </c>
      <c r="AJ62" s="37"/>
      <c r="AK62" s="37"/>
      <c r="AL62" s="37"/>
      <c r="AM62" s="37"/>
      <c r="AN62" s="37"/>
      <c r="AO62" s="36"/>
      <c r="AP62" s="36"/>
      <c r="AQ62" s="36"/>
      <c r="AR62" s="36"/>
      <c r="AS62" s="36"/>
      <c r="AT62" s="35"/>
      <c r="AU62" s="35"/>
      <c r="AV62" s="35"/>
      <c r="AW62" s="35"/>
      <c r="AX62" s="35"/>
      <c r="BI62" s="35"/>
      <c r="BJ62" s="35"/>
      <c r="BK62" s="35"/>
      <c r="BL62" s="35"/>
      <c r="BM62" s="35"/>
    </row>
    <row r="63" spans="1:65" ht="15" customHeight="1" collapsed="1">
      <c r="A63" s="89"/>
      <c r="B63" s="88"/>
      <c r="C63" s="87"/>
      <c r="D63" s="86" t="s">
        <v>15</v>
      </c>
      <c r="E63" s="100">
        <f>+SUM(E64:E66)</f>
        <v>0</v>
      </c>
      <c r="F63" s="75">
        <f t="shared" ref="F63" si="182">+SUM(F64:F66)</f>
        <v>0</v>
      </c>
      <c r="G63" s="74">
        <f t="shared" ref="G63" si="183">+SUM(G64:G66)</f>
        <v>0</v>
      </c>
      <c r="H63" s="74">
        <f t="shared" ref="H63:I63" si="184">+SUM(H64:H66)</f>
        <v>0</v>
      </c>
      <c r="I63" s="74">
        <f t="shared" si="184"/>
        <v>0</v>
      </c>
      <c r="J63" s="80">
        <f t="shared" ref="J63" si="185">+SUM(J64:J66)</f>
        <v>0</v>
      </c>
      <c r="K63" s="79">
        <f t="shared" ref="K63" si="186">+SUM(K64:K66)</f>
        <v>0</v>
      </c>
      <c r="L63" s="84">
        <f t="shared" ref="L63" si="187">+SUM(L64:L66)</f>
        <v>0</v>
      </c>
      <c r="M63" s="84">
        <f t="shared" ref="M63" si="188">+SUM(M64:M66)</f>
        <v>0</v>
      </c>
      <c r="N63" s="75">
        <f t="shared" ref="N63" si="189">+SUM(N64:N66)</f>
        <v>0</v>
      </c>
      <c r="O63" s="74">
        <f t="shared" ref="O63" si="190">+SUM(O64:O66)</f>
        <v>0</v>
      </c>
      <c r="P63" s="74">
        <f t="shared" ref="P63:Q63" si="191">+SUM(P64:P66)</f>
        <v>0</v>
      </c>
      <c r="Q63" s="74">
        <f t="shared" si="191"/>
        <v>0</v>
      </c>
      <c r="R63" s="74">
        <f t="shared" ref="R63" si="192">+SUM(R64:R66)</f>
        <v>0</v>
      </c>
      <c r="S63" s="74">
        <f t="shared" ref="S63" si="193">+SUM(S64:S66)</f>
        <v>0</v>
      </c>
      <c r="T63" s="83">
        <f t="shared" ref="T63" si="194">+SUM(T64:T66)</f>
        <v>0</v>
      </c>
      <c r="U63" s="82">
        <f t="shared" ref="U63" si="195">+SUM(U64:U66)</f>
        <v>0</v>
      </c>
      <c r="V63" s="79">
        <f t="shared" ref="V63" si="196">+SUM(V64:V66)</f>
        <v>0</v>
      </c>
      <c r="W63" s="75">
        <f t="shared" ref="W63" si="197">+SUM(W64:W66)</f>
        <v>0</v>
      </c>
      <c r="X63" s="74">
        <f t="shared" ref="X63" si="198">+SUM(X64:X66)</f>
        <v>0</v>
      </c>
      <c r="Y63" s="74">
        <f t="shared" ref="Y63:Z63" si="199">+SUM(Y64:Y66)</f>
        <v>0</v>
      </c>
      <c r="Z63" s="74">
        <f t="shared" si="199"/>
        <v>0</v>
      </c>
      <c r="AA63" s="80">
        <f t="shared" ref="AA63" si="200">+SUM(AA64:AA66)</f>
        <v>0</v>
      </c>
      <c r="AB63" s="79">
        <f t="shared" ref="AB63" si="201">+SUM(AB64:AB66)</f>
        <v>0</v>
      </c>
      <c r="AC63" s="78">
        <f t="shared" ref="AC63" si="202">+SUM(AC64:AC66)</f>
        <v>0</v>
      </c>
      <c r="AD63" s="77">
        <f t="shared" ref="AD63" si="203">+SUM(AD64:AD66)</f>
        <v>0</v>
      </c>
      <c r="AE63" s="77">
        <f t="shared" ref="AE63:AF63" si="204">+SUM(AE64:AE66)</f>
        <v>0</v>
      </c>
      <c r="AF63" s="77">
        <f t="shared" si="204"/>
        <v>0</v>
      </c>
      <c r="AG63" s="77">
        <f t="shared" ref="AG63" si="205">+SUM(AG64:AG66)</f>
        <v>0</v>
      </c>
      <c r="AH63" s="73">
        <f t="shared" ref="AH63" si="206">+SUM(AH64:AH66)</f>
        <v>0</v>
      </c>
      <c r="AI63" s="76">
        <f t="shared" ref="AI63" si="207">+SUM(AI64:AI66)</f>
        <v>0</v>
      </c>
      <c r="AJ63" s="37"/>
      <c r="AK63" s="37"/>
      <c r="AL63" s="37"/>
      <c r="AM63" s="37"/>
      <c r="AN63" s="37"/>
      <c r="AO63" s="36"/>
      <c r="AP63" s="36"/>
      <c r="AQ63" s="36"/>
      <c r="AR63" s="36"/>
      <c r="AS63" s="36"/>
      <c r="AT63" s="35"/>
      <c r="AU63" s="35"/>
      <c r="AV63" s="35"/>
      <c r="AW63" s="35"/>
      <c r="AX63" s="35"/>
      <c r="BI63" s="35"/>
      <c r="BJ63" s="35"/>
      <c r="BK63" s="35"/>
      <c r="BL63" s="35"/>
      <c r="BM63" s="35"/>
    </row>
    <row r="64" spans="1:65" ht="15" hidden="1" customHeight="1" outlineLevel="1">
      <c r="A64" s="89">
        <v>2</v>
      </c>
      <c r="B64" s="88"/>
      <c r="C64" s="87">
        <v>184030500</v>
      </c>
      <c r="D64" s="86" t="s">
        <v>8</v>
      </c>
      <c r="E64" s="154">
        <v>0</v>
      </c>
      <c r="F64" s="75"/>
      <c r="G64" s="74"/>
      <c r="H64" s="74"/>
      <c r="I64" s="74"/>
      <c r="J64" s="80"/>
      <c r="K64" s="79"/>
      <c r="L64" s="84"/>
      <c r="M64" s="84"/>
      <c r="N64" s="75"/>
      <c r="O64" s="74"/>
      <c r="P64" s="74"/>
      <c r="Q64" s="74"/>
      <c r="R64" s="74"/>
      <c r="S64" s="74">
        <f>SUM(N64:R64)</f>
        <v>0</v>
      </c>
      <c r="T64" s="83"/>
      <c r="U64" s="82"/>
      <c r="V64" s="79">
        <f>+E64</f>
        <v>0</v>
      </c>
      <c r="W64" s="75">
        <f t="shared" ref="W64:W66" si="208">+ROUND(F64*F$6/(100+F$6),0)+AT64</f>
        <v>0</v>
      </c>
      <c r="X64" s="74">
        <f t="shared" ref="X64:X66" si="209">+ROUND(G64*G$6/(100+G$6),0)+AU64</f>
        <v>0</v>
      </c>
      <c r="Y64" s="74">
        <f t="shared" ref="Y64:Z66" si="210">+ROUND(H64*H$6/(100+H$6),0)+AV64</f>
        <v>0</v>
      </c>
      <c r="Z64" s="74">
        <f t="shared" si="210"/>
        <v>0</v>
      </c>
      <c r="AA64" s="80">
        <f t="shared" ref="AA64:AA66" si="211">+ROUND(J64*J$6/(100+J$6),0)+AX64</f>
        <v>0</v>
      </c>
      <c r="AB64" s="79">
        <f>SUM(W64:AA64)</f>
        <v>0</v>
      </c>
      <c r="AC64" s="78">
        <f t="shared" ref="AC64:AC66" si="212">+ROUND(N64*AC$6/(100+AC$6),0)+BI64</f>
        <v>0</v>
      </c>
      <c r="AD64" s="77">
        <f t="shared" ref="AD64:AD66" si="213">+ROUND(O64*AD$6/(100+AD$6),0)+BJ64</f>
        <v>0</v>
      </c>
      <c r="AE64" s="77">
        <f t="shared" ref="AE64:AF66" si="214">+ROUND(P64*AE$6/(100+AE$6),0)+BK64</f>
        <v>0</v>
      </c>
      <c r="AF64" s="77">
        <f t="shared" si="214"/>
        <v>0</v>
      </c>
      <c r="AG64" s="77">
        <f t="shared" ref="AG64:AG66" si="215">+ROUND(R64*AG$6/(100+AG$6),0)+BM64</f>
        <v>0</v>
      </c>
      <c r="AH64" s="73">
        <f>SUM(AC64:AG64)</f>
        <v>0</v>
      </c>
      <c r="AI64" s="76">
        <f>+E64-AB64</f>
        <v>0</v>
      </c>
      <c r="AJ64" s="37"/>
      <c r="AK64" s="37"/>
      <c r="AL64" s="37"/>
      <c r="AM64" s="37"/>
      <c r="AN64" s="37"/>
      <c r="AO64" s="36"/>
      <c r="AP64" s="36"/>
      <c r="AQ64" s="36"/>
      <c r="AR64" s="36"/>
      <c r="AS64" s="36"/>
      <c r="AT64" s="35"/>
      <c r="AU64" s="35"/>
      <c r="AV64" s="35"/>
      <c r="AW64" s="35"/>
      <c r="AX64" s="35"/>
      <c r="BI64" s="35"/>
      <c r="BJ64" s="35"/>
      <c r="BK64" s="35"/>
      <c r="BL64" s="35"/>
      <c r="BM64" s="35"/>
    </row>
    <row r="65" spans="1:65" ht="15" hidden="1" customHeight="1" outlineLevel="1">
      <c r="A65" s="89">
        <v>3</v>
      </c>
      <c r="B65" s="88"/>
      <c r="C65" s="87">
        <v>184030500</v>
      </c>
      <c r="D65" s="86" t="s">
        <v>7</v>
      </c>
      <c r="E65" s="154">
        <v>0</v>
      </c>
      <c r="F65" s="75"/>
      <c r="G65" s="74"/>
      <c r="H65" s="74"/>
      <c r="I65" s="74"/>
      <c r="J65" s="80"/>
      <c r="K65" s="79"/>
      <c r="L65" s="84"/>
      <c r="M65" s="84"/>
      <c r="N65" s="75"/>
      <c r="O65" s="74"/>
      <c r="P65" s="74"/>
      <c r="Q65" s="74"/>
      <c r="R65" s="74"/>
      <c r="S65" s="74">
        <f>SUM(N65:R65)</f>
        <v>0</v>
      </c>
      <c r="T65" s="83"/>
      <c r="U65" s="82"/>
      <c r="V65" s="79">
        <f t="shared" ref="V65:V66" si="216">+E65</f>
        <v>0</v>
      </c>
      <c r="W65" s="75">
        <f t="shared" si="208"/>
        <v>0</v>
      </c>
      <c r="X65" s="74">
        <f t="shared" si="209"/>
        <v>0</v>
      </c>
      <c r="Y65" s="74">
        <f t="shared" si="210"/>
        <v>0</v>
      </c>
      <c r="Z65" s="74">
        <f t="shared" si="210"/>
        <v>0</v>
      </c>
      <c r="AA65" s="80">
        <f t="shared" si="211"/>
        <v>0</v>
      </c>
      <c r="AB65" s="79">
        <f>SUM(W65:AA65)</f>
        <v>0</v>
      </c>
      <c r="AC65" s="78">
        <f t="shared" si="212"/>
        <v>0</v>
      </c>
      <c r="AD65" s="77">
        <f t="shared" si="213"/>
        <v>0</v>
      </c>
      <c r="AE65" s="77">
        <f t="shared" si="214"/>
        <v>0</v>
      </c>
      <c r="AF65" s="77">
        <f t="shared" si="214"/>
        <v>0</v>
      </c>
      <c r="AG65" s="77">
        <f t="shared" si="215"/>
        <v>0</v>
      </c>
      <c r="AH65" s="73">
        <f>SUM(AC65:AG65)</f>
        <v>0</v>
      </c>
      <c r="AI65" s="76">
        <f>+E65-AB65</f>
        <v>0</v>
      </c>
      <c r="AJ65" s="37"/>
      <c r="AK65" s="37"/>
      <c r="AL65" s="37"/>
      <c r="AM65" s="37"/>
      <c r="AN65" s="37"/>
      <c r="AO65" s="36"/>
      <c r="AP65" s="36"/>
      <c r="AQ65" s="36"/>
      <c r="AR65" s="36"/>
      <c r="AS65" s="36"/>
      <c r="AT65" s="35"/>
      <c r="AU65" s="35"/>
      <c r="AV65" s="35"/>
      <c r="AW65" s="35"/>
      <c r="AX65" s="35"/>
      <c r="BI65" s="35"/>
      <c r="BJ65" s="35"/>
      <c r="BK65" s="35"/>
      <c r="BL65" s="35"/>
      <c r="BM65" s="35"/>
    </row>
    <row r="66" spans="1:65" ht="15" hidden="1" customHeight="1" outlineLevel="1">
      <c r="A66" s="89">
        <v>4</v>
      </c>
      <c r="B66" s="88"/>
      <c r="C66" s="87">
        <v>184030500</v>
      </c>
      <c r="D66" s="86" t="s">
        <v>6</v>
      </c>
      <c r="E66" s="154">
        <v>0</v>
      </c>
      <c r="F66" s="75"/>
      <c r="G66" s="74"/>
      <c r="H66" s="74"/>
      <c r="I66" s="74"/>
      <c r="J66" s="80"/>
      <c r="K66" s="79"/>
      <c r="L66" s="84"/>
      <c r="M66" s="84"/>
      <c r="N66" s="75"/>
      <c r="O66" s="74"/>
      <c r="P66" s="74"/>
      <c r="Q66" s="74"/>
      <c r="R66" s="74"/>
      <c r="S66" s="74">
        <f>SUM(N66:R66)</f>
        <v>0</v>
      </c>
      <c r="T66" s="83"/>
      <c r="U66" s="82"/>
      <c r="V66" s="79">
        <f t="shared" si="216"/>
        <v>0</v>
      </c>
      <c r="W66" s="75">
        <f t="shared" si="208"/>
        <v>0</v>
      </c>
      <c r="X66" s="74">
        <f t="shared" si="209"/>
        <v>0</v>
      </c>
      <c r="Y66" s="74">
        <f t="shared" si="210"/>
        <v>0</v>
      </c>
      <c r="Z66" s="74">
        <f t="shared" si="210"/>
        <v>0</v>
      </c>
      <c r="AA66" s="80">
        <f t="shared" si="211"/>
        <v>0</v>
      </c>
      <c r="AB66" s="79">
        <f>SUM(W66:AA66)</f>
        <v>0</v>
      </c>
      <c r="AC66" s="78">
        <f t="shared" si="212"/>
        <v>0</v>
      </c>
      <c r="AD66" s="77">
        <f t="shared" si="213"/>
        <v>0</v>
      </c>
      <c r="AE66" s="77">
        <f t="shared" si="214"/>
        <v>0</v>
      </c>
      <c r="AF66" s="77">
        <f t="shared" si="214"/>
        <v>0</v>
      </c>
      <c r="AG66" s="77">
        <f t="shared" si="215"/>
        <v>0</v>
      </c>
      <c r="AH66" s="73">
        <f>SUM(AC66:AG66)</f>
        <v>0</v>
      </c>
      <c r="AI66" s="76">
        <f>+E66-AB66</f>
        <v>0</v>
      </c>
      <c r="AJ66" s="37"/>
      <c r="AK66" s="37"/>
      <c r="AL66" s="37"/>
      <c r="AM66" s="37"/>
      <c r="AN66" s="37"/>
      <c r="AO66" s="36"/>
      <c r="AP66" s="36"/>
      <c r="AQ66" s="36"/>
      <c r="AR66" s="36"/>
      <c r="AS66" s="36"/>
      <c r="AT66" s="35"/>
      <c r="AU66" s="35"/>
      <c r="AV66" s="35"/>
      <c r="AW66" s="35"/>
      <c r="AX66" s="35"/>
      <c r="BI66" s="35"/>
      <c r="BJ66" s="35"/>
      <c r="BK66" s="35"/>
      <c r="BL66" s="35"/>
      <c r="BM66" s="35"/>
    </row>
    <row r="67" spans="1:65" ht="15" customHeight="1" collapsed="1">
      <c r="A67" s="89"/>
      <c r="B67" s="88"/>
      <c r="C67" s="87"/>
      <c r="D67" s="86" t="s">
        <v>14</v>
      </c>
      <c r="E67" s="100">
        <f>+SUM(E68:E70)</f>
        <v>0</v>
      </c>
      <c r="F67" s="75">
        <f t="shared" ref="F67" si="217">+SUM(F68:F70)</f>
        <v>0</v>
      </c>
      <c r="G67" s="74">
        <f t="shared" ref="G67" si="218">+SUM(G68:G70)</f>
        <v>0</v>
      </c>
      <c r="H67" s="74">
        <f t="shared" ref="H67:I67" si="219">+SUM(H68:H70)</f>
        <v>0</v>
      </c>
      <c r="I67" s="74">
        <f t="shared" si="219"/>
        <v>0</v>
      </c>
      <c r="J67" s="80">
        <f t="shared" ref="J67" si="220">+SUM(J68:J70)</f>
        <v>0</v>
      </c>
      <c r="K67" s="79">
        <f t="shared" ref="K67" si="221">+SUM(K68:K70)</f>
        <v>0</v>
      </c>
      <c r="L67" s="84">
        <f t="shared" ref="L67" si="222">+SUM(L68:L70)</f>
        <v>0</v>
      </c>
      <c r="M67" s="84">
        <f t="shared" ref="M67" si="223">+SUM(M68:M70)</f>
        <v>0</v>
      </c>
      <c r="N67" s="75">
        <f t="shared" ref="N67" si="224">+SUM(N68:N70)</f>
        <v>0</v>
      </c>
      <c r="O67" s="74">
        <f t="shared" ref="O67" si="225">+SUM(O68:O70)</f>
        <v>0</v>
      </c>
      <c r="P67" s="74">
        <f t="shared" ref="P67:Q67" si="226">+SUM(P68:P70)</f>
        <v>0</v>
      </c>
      <c r="Q67" s="74">
        <f t="shared" si="226"/>
        <v>0</v>
      </c>
      <c r="R67" s="74">
        <f t="shared" ref="R67" si="227">+SUM(R68:R70)</f>
        <v>0</v>
      </c>
      <c r="S67" s="74">
        <f t="shared" ref="S67" si="228">+SUM(S68:S70)</f>
        <v>0</v>
      </c>
      <c r="T67" s="83">
        <f t="shared" ref="T67" si="229">+SUM(T68:T70)</f>
        <v>0</v>
      </c>
      <c r="U67" s="82">
        <f t="shared" ref="U67" si="230">+SUM(U68:U70)</f>
        <v>0</v>
      </c>
      <c r="V67" s="79">
        <f t="shared" ref="V67" si="231">+SUM(V68:V70)</f>
        <v>0</v>
      </c>
      <c r="W67" s="75">
        <f t="shared" ref="W67" si="232">+SUM(W68:W70)</f>
        <v>0</v>
      </c>
      <c r="X67" s="74">
        <f t="shared" ref="X67" si="233">+SUM(X68:X70)</f>
        <v>0</v>
      </c>
      <c r="Y67" s="74">
        <f t="shared" ref="Y67:Z67" si="234">+SUM(Y68:Y70)</f>
        <v>0</v>
      </c>
      <c r="Z67" s="74">
        <f t="shared" si="234"/>
        <v>0</v>
      </c>
      <c r="AA67" s="80">
        <f t="shared" ref="AA67" si="235">+SUM(AA68:AA70)</f>
        <v>0</v>
      </c>
      <c r="AB67" s="79">
        <f t="shared" ref="AB67" si="236">+SUM(AB68:AB70)</f>
        <v>0</v>
      </c>
      <c r="AC67" s="78">
        <f t="shared" ref="AC67" si="237">+SUM(AC68:AC70)</f>
        <v>0</v>
      </c>
      <c r="AD67" s="77">
        <f t="shared" ref="AD67" si="238">+SUM(AD68:AD70)</f>
        <v>0</v>
      </c>
      <c r="AE67" s="77">
        <f t="shared" ref="AE67:AF67" si="239">+SUM(AE68:AE70)</f>
        <v>0</v>
      </c>
      <c r="AF67" s="77">
        <f t="shared" si="239"/>
        <v>0</v>
      </c>
      <c r="AG67" s="77">
        <f t="shared" ref="AG67" si="240">+SUM(AG68:AG70)</f>
        <v>0</v>
      </c>
      <c r="AH67" s="73">
        <f t="shared" ref="AH67" si="241">+SUM(AH68:AH70)</f>
        <v>0</v>
      </c>
      <c r="AI67" s="76">
        <f t="shared" ref="AI67" si="242">+SUM(AI68:AI70)</f>
        <v>0</v>
      </c>
      <c r="AJ67" s="37"/>
      <c r="AK67" s="37"/>
      <c r="AL67" s="37"/>
      <c r="AM67" s="37"/>
      <c r="AN67" s="37"/>
      <c r="AO67" s="36"/>
      <c r="AP67" s="36"/>
      <c r="AQ67" s="36"/>
      <c r="AR67" s="36"/>
      <c r="AS67" s="36"/>
      <c r="AT67" s="35"/>
      <c r="AU67" s="35"/>
      <c r="AV67" s="35"/>
      <c r="AW67" s="35"/>
      <c r="AX67" s="35"/>
      <c r="BI67" s="35"/>
      <c r="BJ67" s="35"/>
      <c r="BK67" s="35"/>
      <c r="BL67" s="35"/>
      <c r="BM67" s="35"/>
    </row>
    <row r="68" spans="1:65" ht="15" hidden="1" customHeight="1" outlineLevel="1">
      <c r="A68" s="89">
        <v>2</v>
      </c>
      <c r="B68" s="88"/>
      <c r="C68" s="87">
        <v>184030500</v>
      </c>
      <c r="D68" s="86" t="s">
        <v>8</v>
      </c>
      <c r="E68" s="154">
        <v>0</v>
      </c>
      <c r="F68" s="75"/>
      <c r="G68" s="74"/>
      <c r="H68" s="74"/>
      <c r="I68" s="74"/>
      <c r="J68" s="80"/>
      <c r="K68" s="79">
        <f>SUM(F68:J68)</f>
        <v>0</v>
      </c>
      <c r="L68" s="84"/>
      <c r="M68" s="84"/>
      <c r="N68" s="75"/>
      <c r="O68" s="74"/>
      <c r="P68" s="74"/>
      <c r="Q68" s="74"/>
      <c r="R68" s="74"/>
      <c r="S68" s="74">
        <f>SUM(N68:R68)</f>
        <v>0</v>
      </c>
      <c r="T68" s="83"/>
      <c r="U68" s="82">
        <f>+V68-SUM(S68:T68)</f>
        <v>0</v>
      </c>
      <c r="V68" s="79">
        <f>+E68</f>
        <v>0</v>
      </c>
      <c r="W68" s="75">
        <f t="shared" ref="W68:Z70" si="243">+ROUND(F68*F$6/(100+F$6),0)+AT68</f>
        <v>0</v>
      </c>
      <c r="X68" s="74">
        <f t="shared" si="243"/>
        <v>0</v>
      </c>
      <c r="Y68" s="74">
        <f t="shared" si="243"/>
        <v>0</v>
      </c>
      <c r="Z68" s="74">
        <f t="shared" si="243"/>
        <v>0</v>
      </c>
      <c r="AA68" s="80">
        <f>+ROUND(J68*J$6/(100+J$6),0)+AX68</f>
        <v>0</v>
      </c>
      <c r="AB68" s="79">
        <f>SUM(W68:AA68)</f>
        <v>0</v>
      </c>
      <c r="AC68" s="78">
        <f t="shared" ref="AC68:AF70" si="244">+ROUND(N68*AC$6/(100+AC$6),0)+BI68</f>
        <v>0</v>
      </c>
      <c r="AD68" s="77">
        <f t="shared" si="244"/>
        <v>0</v>
      </c>
      <c r="AE68" s="77">
        <f t="shared" si="244"/>
        <v>0</v>
      </c>
      <c r="AF68" s="77">
        <f t="shared" si="244"/>
        <v>0</v>
      </c>
      <c r="AG68" s="77">
        <f>+ROUND(R68*AG$6/(100+AG$6),0)+BM68</f>
        <v>0</v>
      </c>
      <c r="AH68" s="73">
        <f>SUM(AC68:AG68)</f>
        <v>0</v>
      </c>
      <c r="AI68" s="76">
        <f>+E68-AB68</f>
        <v>0</v>
      </c>
      <c r="AJ68" s="37"/>
      <c r="AK68" s="37"/>
      <c r="AL68" s="37"/>
      <c r="AM68" s="37"/>
      <c r="AN68" s="37"/>
      <c r="AO68" s="36"/>
      <c r="AP68" s="36"/>
      <c r="AQ68" s="36"/>
      <c r="AR68" s="36"/>
      <c r="AS68" s="36"/>
      <c r="AT68" s="35"/>
      <c r="AU68" s="35"/>
      <c r="AV68" s="35"/>
      <c r="AW68" s="35"/>
      <c r="AX68" s="35"/>
      <c r="BI68" s="35"/>
      <c r="BJ68" s="35"/>
      <c r="BK68" s="35"/>
      <c r="BL68" s="35"/>
      <c r="BM68" s="35"/>
    </row>
    <row r="69" spans="1:65" ht="15" hidden="1" customHeight="1" outlineLevel="1">
      <c r="A69" s="89">
        <v>3</v>
      </c>
      <c r="B69" s="88"/>
      <c r="C69" s="87">
        <v>184030500</v>
      </c>
      <c r="D69" s="86" t="s">
        <v>7</v>
      </c>
      <c r="E69" s="154">
        <v>0</v>
      </c>
      <c r="F69" s="75"/>
      <c r="G69" s="74"/>
      <c r="H69" s="74"/>
      <c r="I69" s="74"/>
      <c r="J69" s="80"/>
      <c r="K69" s="79">
        <f>SUM(F69:J69)</f>
        <v>0</v>
      </c>
      <c r="L69" s="84"/>
      <c r="M69" s="84"/>
      <c r="N69" s="75"/>
      <c r="O69" s="74"/>
      <c r="P69" s="74"/>
      <c r="Q69" s="74"/>
      <c r="R69" s="74"/>
      <c r="S69" s="74">
        <f>SUM(N69:R69)</f>
        <v>0</v>
      </c>
      <c r="T69" s="83"/>
      <c r="U69" s="82">
        <f>+V69-SUM(S69:T69)</f>
        <v>0</v>
      </c>
      <c r="V69" s="79">
        <f t="shared" ref="V69:V70" si="245">+E69</f>
        <v>0</v>
      </c>
      <c r="W69" s="75">
        <f t="shared" si="243"/>
        <v>0</v>
      </c>
      <c r="X69" s="74">
        <f t="shared" si="243"/>
        <v>0</v>
      </c>
      <c r="Y69" s="74">
        <f t="shared" si="243"/>
        <v>0</v>
      </c>
      <c r="Z69" s="74">
        <f t="shared" si="243"/>
        <v>0</v>
      </c>
      <c r="AA69" s="80">
        <f>+ROUND(J69*J$6/(100+J$6),0)+AX69</f>
        <v>0</v>
      </c>
      <c r="AB69" s="79">
        <f>SUM(W69:AA69)</f>
        <v>0</v>
      </c>
      <c r="AC69" s="78">
        <f t="shared" si="244"/>
        <v>0</v>
      </c>
      <c r="AD69" s="77">
        <f t="shared" si="244"/>
        <v>0</v>
      </c>
      <c r="AE69" s="77">
        <f t="shared" si="244"/>
        <v>0</v>
      </c>
      <c r="AF69" s="77">
        <f t="shared" si="244"/>
        <v>0</v>
      </c>
      <c r="AG69" s="77">
        <f>+ROUND(R69*AG$6/(100+AG$6),0)+BM69</f>
        <v>0</v>
      </c>
      <c r="AH69" s="73">
        <f>SUM(AC69:AG69)</f>
        <v>0</v>
      </c>
      <c r="AI69" s="76">
        <f>+E69-AB69</f>
        <v>0</v>
      </c>
      <c r="AJ69" s="37"/>
      <c r="AK69" s="37"/>
      <c r="AL69" s="37"/>
      <c r="AM69" s="37"/>
      <c r="AN69" s="37"/>
      <c r="AO69" s="36"/>
      <c r="AP69" s="36"/>
      <c r="AQ69" s="36"/>
      <c r="AR69" s="36"/>
      <c r="AS69" s="36"/>
      <c r="AT69" s="35"/>
      <c r="AU69" s="35"/>
      <c r="AV69" s="35"/>
      <c r="AW69" s="35"/>
      <c r="AX69" s="35"/>
      <c r="BI69" s="35"/>
      <c r="BJ69" s="35"/>
      <c r="BK69" s="35"/>
      <c r="BL69" s="35"/>
      <c r="BM69" s="35"/>
    </row>
    <row r="70" spans="1:65" ht="15" hidden="1" customHeight="1" outlineLevel="1">
      <c r="A70" s="89">
        <v>4</v>
      </c>
      <c r="B70" s="88"/>
      <c r="C70" s="87">
        <v>184030500</v>
      </c>
      <c r="D70" s="86" t="s">
        <v>6</v>
      </c>
      <c r="E70" s="154">
        <v>0</v>
      </c>
      <c r="F70" s="75"/>
      <c r="G70" s="74"/>
      <c r="H70" s="74"/>
      <c r="I70" s="74"/>
      <c r="J70" s="80"/>
      <c r="K70" s="79">
        <f>SUM(F70:J70)</f>
        <v>0</v>
      </c>
      <c r="L70" s="84"/>
      <c r="M70" s="84"/>
      <c r="N70" s="75"/>
      <c r="O70" s="74"/>
      <c r="P70" s="74"/>
      <c r="Q70" s="74"/>
      <c r="R70" s="74"/>
      <c r="S70" s="74">
        <f>SUM(N70:R70)</f>
        <v>0</v>
      </c>
      <c r="T70" s="83"/>
      <c r="U70" s="82">
        <f>+V70-SUM(S70:T70)</f>
        <v>0</v>
      </c>
      <c r="V70" s="79">
        <f t="shared" si="245"/>
        <v>0</v>
      </c>
      <c r="W70" s="75">
        <f t="shared" si="243"/>
        <v>0</v>
      </c>
      <c r="X70" s="74">
        <f t="shared" si="243"/>
        <v>0</v>
      </c>
      <c r="Y70" s="74">
        <f t="shared" si="243"/>
        <v>0</v>
      </c>
      <c r="Z70" s="74">
        <f t="shared" si="243"/>
        <v>0</v>
      </c>
      <c r="AA70" s="80">
        <f>+ROUND(J70*J$6/(100+J$6),0)+AX70</f>
        <v>0</v>
      </c>
      <c r="AB70" s="79">
        <f>SUM(W70:AA70)</f>
        <v>0</v>
      </c>
      <c r="AC70" s="78">
        <f t="shared" si="244"/>
        <v>0</v>
      </c>
      <c r="AD70" s="77">
        <f t="shared" si="244"/>
        <v>0</v>
      </c>
      <c r="AE70" s="77">
        <f t="shared" si="244"/>
        <v>0</v>
      </c>
      <c r="AF70" s="77">
        <f t="shared" si="244"/>
        <v>0</v>
      </c>
      <c r="AG70" s="77">
        <f>+ROUND(R70*AG$6/(100+AG$6),0)+BM70</f>
        <v>0</v>
      </c>
      <c r="AH70" s="73">
        <f>SUM(AC70:AG70)</f>
        <v>0</v>
      </c>
      <c r="AI70" s="76">
        <f>+E70-AB70</f>
        <v>0</v>
      </c>
      <c r="AJ70" s="37"/>
      <c r="AK70" s="37"/>
      <c r="AL70" s="37"/>
      <c r="AM70" s="37"/>
      <c r="AN70" s="37"/>
      <c r="AO70" s="36"/>
      <c r="AP70" s="36"/>
      <c r="AQ70" s="36"/>
      <c r="AR70" s="36"/>
      <c r="AS70" s="36"/>
      <c r="AT70" s="35"/>
      <c r="AU70" s="35"/>
      <c r="AV70" s="35"/>
      <c r="AW70" s="35"/>
      <c r="AX70" s="35"/>
      <c r="BI70" s="35"/>
      <c r="BJ70" s="35"/>
      <c r="BK70" s="35"/>
      <c r="BL70" s="35"/>
      <c r="BM70" s="35"/>
    </row>
    <row r="71" spans="1:65" ht="15" customHeight="1" collapsed="1">
      <c r="A71" s="104"/>
      <c r="B71" s="103"/>
      <c r="C71" s="102"/>
      <c r="D71" s="101" t="s">
        <v>13</v>
      </c>
      <c r="E71" s="100">
        <f t="shared" ref="E71:AI71" si="246">+SUM(E72,E77,E82)</f>
        <v>3987000</v>
      </c>
      <c r="F71" s="92">
        <f t="shared" si="246"/>
        <v>0</v>
      </c>
      <c r="G71" s="91">
        <f t="shared" si="246"/>
        <v>0</v>
      </c>
      <c r="H71" s="91">
        <f t="shared" si="246"/>
        <v>0</v>
      </c>
      <c r="I71" s="91">
        <f t="shared" ref="I71" si="247">+SUM(I72,I77,I82)</f>
        <v>0</v>
      </c>
      <c r="J71" s="97">
        <f t="shared" si="246"/>
        <v>0</v>
      </c>
      <c r="K71" s="96">
        <f t="shared" si="246"/>
        <v>0</v>
      </c>
      <c r="L71" s="100">
        <f t="shared" si="246"/>
        <v>0</v>
      </c>
      <c r="M71" s="100">
        <f t="shared" si="246"/>
        <v>0</v>
      </c>
      <c r="N71" s="92">
        <f t="shared" si="246"/>
        <v>0</v>
      </c>
      <c r="O71" s="91">
        <f t="shared" si="246"/>
        <v>0</v>
      </c>
      <c r="P71" s="91">
        <f t="shared" si="246"/>
        <v>0</v>
      </c>
      <c r="Q71" s="91">
        <f t="shared" ref="Q71" si="248">+SUM(Q72,Q77,Q82)</f>
        <v>0</v>
      </c>
      <c r="R71" s="91">
        <f t="shared" si="246"/>
        <v>0</v>
      </c>
      <c r="S71" s="91">
        <f t="shared" si="246"/>
        <v>0</v>
      </c>
      <c r="T71" s="99">
        <f t="shared" si="246"/>
        <v>0</v>
      </c>
      <c r="U71" s="98">
        <f t="shared" si="246"/>
        <v>3987000</v>
      </c>
      <c r="V71" s="96">
        <f t="shared" si="246"/>
        <v>3987000</v>
      </c>
      <c r="W71" s="92">
        <f t="shared" si="246"/>
        <v>0</v>
      </c>
      <c r="X71" s="91">
        <f t="shared" si="246"/>
        <v>0</v>
      </c>
      <c r="Y71" s="91">
        <f t="shared" si="246"/>
        <v>0</v>
      </c>
      <c r="Z71" s="91">
        <f t="shared" ref="Z71" si="249">+SUM(Z72,Z77,Z82)</f>
        <v>0</v>
      </c>
      <c r="AA71" s="97">
        <f t="shared" si="246"/>
        <v>0</v>
      </c>
      <c r="AB71" s="96">
        <f t="shared" si="246"/>
        <v>0</v>
      </c>
      <c r="AC71" s="95">
        <f t="shared" si="246"/>
        <v>0</v>
      </c>
      <c r="AD71" s="94">
        <f t="shared" si="246"/>
        <v>0</v>
      </c>
      <c r="AE71" s="94">
        <f t="shared" si="246"/>
        <v>0</v>
      </c>
      <c r="AF71" s="94">
        <f t="shared" ref="AF71" si="250">+SUM(AF72,AF77,AF82)</f>
        <v>0</v>
      </c>
      <c r="AG71" s="94">
        <f t="shared" si="246"/>
        <v>0</v>
      </c>
      <c r="AH71" s="90">
        <f t="shared" si="246"/>
        <v>0</v>
      </c>
      <c r="AI71" s="93">
        <f t="shared" si="246"/>
        <v>3987000</v>
      </c>
      <c r="AJ71" s="37"/>
      <c r="AK71" s="37"/>
      <c r="AL71" s="37"/>
      <c r="AM71" s="37"/>
      <c r="AN71" s="37"/>
      <c r="AO71" s="36"/>
      <c r="AP71" s="36"/>
      <c r="AQ71" s="36"/>
      <c r="AR71" s="36"/>
      <c r="AS71" s="36"/>
      <c r="AT71" s="35"/>
      <c r="AU71" s="35"/>
      <c r="AV71" s="35"/>
      <c r="AW71" s="35"/>
      <c r="AX71" s="35"/>
      <c r="BI71" s="35"/>
      <c r="BJ71" s="35"/>
      <c r="BK71" s="35"/>
      <c r="BL71" s="35"/>
      <c r="BM71" s="35"/>
    </row>
    <row r="72" spans="1:65" ht="15" customHeight="1">
      <c r="A72" s="104"/>
      <c r="B72" s="103"/>
      <c r="C72" s="102"/>
      <c r="D72" s="101" t="s">
        <v>12</v>
      </c>
      <c r="E72" s="100">
        <f t="shared" ref="E72:AI72" si="251">+SUM(E73:E76)</f>
        <v>2118000</v>
      </c>
      <c r="F72" s="92">
        <f t="shared" si="251"/>
        <v>0</v>
      </c>
      <c r="G72" s="91">
        <f t="shared" si="251"/>
        <v>0</v>
      </c>
      <c r="H72" s="91">
        <f t="shared" si="251"/>
        <v>0</v>
      </c>
      <c r="I72" s="91">
        <f t="shared" ref="I72" si="252">+SUM(I73:I76)</f>
        <v>0</v>
      </c>
      <c r="J72" s="97">
        <f t="shared" si="251"/>
        <v>0</v>
      </c>
      <c r="K72" s="96">
        <f t="shared" si="251"/>
        <v>0</v>
      </c>
      <c r="L72" s="100">
        <f t="shared" si="251"/>
        <v>0</v>
      </c>
      <c r="M72" s="100">
        <f t="shared" si="251"/>
        <v>0</v>
      </c>
      <c r="N72" s="92">
        <f t="shared" si="251"/>
        <v>0</v>
      </c>
      <c r="O72" s="91">
        <f t="shared" si="251"/>
        <v>0</v>
      </c>
      <c r="P72" s="91">
        <f t="shared" si="251"/>
        <v>0</v>
      </c>
      <c r="Q72" s="91">
        <f t="shared" ref="Q72" si="253">+SUM(Q73:Q76)</f>
        <v>0</v>
      </c>
      <c r="R72" s="91">
        <f t="shared" si="251"/>
        <v>0</v>
      </c>
      <c r="S72" s="91">
        <f t="shared" si="251"/>
        <v>0</v>
      </c>
      <c r="T72" s="99">
        <f t="shared" si="251"/>
        <v>0</v>
      </c>
      <c r="U72" s="98">
        <f t="shared" si="251"/>
        <v>2118000</v>
      </c>
      <c r="V72" s="96">
        <f t="shared" si="251"/>
        <v>2118000</v>
      </c>
      <c r="W72" s="92">
        <f t="shared" si="251"/>
        <v>0</v>
      </c>
      <c r="X72" s="91">
        <f t="shared" si="251"/>
        <v>0</v>
      </c>
      <c r="Y72" s="91">
        <f t="shared" si="251"/>
        <v>0</v>
      </c>
      <c r="Z72" s="91">
        <f t="shared" ref="Z72" si="254">+SUM(Z73:Z76)</f>
        <v>0</v>
      </c>
      <c r="AA72" s="97">
        <f t="shared" si="251"/>
        <v>0</v>
      </c>
      <c r="AB72" s="96">
        <f t="shared" si="251"/>
        <v>0</v>
      </c>
      <c r="AC72" s="95">
        <f t="shared" si="251"/>
        <v>0</v>
      </c>
      <c r="AD72" s="94">
        <f t="shared" si="251"/>
        <v>0</v>
      </c>
      <c r="AE72" s="94">
        <f t="shared" si="251"/>
        <v>0</v>
      </c>
      <c r="AF72" s="94">
        <f t="shared" ref="AF72" si="255">+SUM(AF73:AF76)</f>
        <v>0</v>
      </c>
      <c r="AG72" s="94">
        <f t="shared" si="251"/>
        <v>0</v>
      </c>
      <c r="AH72" s="90">
        <f t="shared" si="251"/>
        <v>0</v>
      </c>
      <c r="AI72" s="93">
        <f t="shared" si="251"/>
        <v>2118000</v>
      </c>
      <c r="AJ72" s="37"/>
      <c r="AK72" s="37"/>
      <c r="AL72" s="37"/>
      <c r="AM72" s="37"/>
      <c r="AN72" s="37"/>
      <c r="AO72" s="36"/>
      <c r="AP72" s="36"/>
      <c r="AQ72" s="36"/>
      <c r="AR72" s="36"/>
      <c r="AS72" s="36"/>
      <c r="AT72" s="35"/>
      <c r="AU72" s="35"/>
      <c r="AV72" s="35"/>
      <c r="AW72" s="35"/>
      <c r="AX72" s="35"/>
      <c r="BI72" s="35"/>
      <c r="BJ72" s="35"/>
      <c r="BK72" s="35"/>
      <c r="BL72" s="35"/>
      <c r="BM72" s="35"/>
    </row>
    <row r="73" spans="1:65" ht="15" customHeight="1" outlineLevel="1">
      <c r="A73" s="89">
        <v>1</v>
      </c>
      <c r="B73" s="88"/>
      <c r="C73" s="87">
        <v>184050600</v>
      </c>
      <c r="D73" s="86" t="s">
        <v>9</v>
      </c>
      <c r="E73" s="85">
        <f>+SUMIFS([1]全伝票!I:I,[1]全伝票!$C:$C,$C73)</f>
        <v>640000</v>
      </c>
      <c r="F73" s="75"/>
      <c r="G73" s="74"/>
      <c r="H73" s="74"/>
      <c r="I73" s="74"/>
      <c r="J73" s="80"/>
      <c r="K73" s="79">
        <f>SUM(F73:J73)</f>
        <v>0</v>
      </c>
      <c r="L73" s="84"/>
      <c r="M73" s="84"/>
      <c r="N73" s="75"/>
      <c r="O73" s="74"/>
      <c r="P73" s="74"/>
      <c r="Q73" s="74"/>
      <c r="R73" s="74"/>
      <c r="S73" s="74">
        <f>SUM(N73:R73)</f>
        <v>0</v>
      </c>
      <c r="T73" s="83"/>
      <c r="U73" s="82">
        <f>+V73-SUM(S73:T73)</f>
        <v>640000</v>
      </c>
      <c r="V73" s="81">
        <f>+SUMIFS([1]全伝票!P:P,[1]全伝票!$C:$C,$C73)</f>
        <v>640000</v>
      </c>
      <c r="W73" s="75">
        <f t="shared" ref="W73:Z76" si="256">+ROUND(F73*F$6/(100+F$6),0)+AT73</f>
        <v>0</v>
      </c>
      <c r="X73" s="74">
        <f t="shared" si="256"/>
        <v>0</v>
      </c>
      <c r="Y73" s="74">
        <f t="shared" si="256"/>
        <v>0</v>
      </c>
      <c r="Z73" s="74">
        <f t="shared" si="256"/>
        <v>0</v>
      </c>
      <c r="AA73" s="80">
        <f>+ROUND(J73*J$6/(100+J$6),0)+AX73</f>
        <v>0</v>
      </c>
      <c r="AB73" s="79">
        <f>SUM(W73:AA73)</f>
        <v>0</v>
      </c>
      <c r="AC73" s="78">
        <f t="shared" ref="AC73:AF76" si="257">+ROUND(N73*AC$6/(100+AC$6),0)+BI73</f>
        <v>0</v>
      </c>
      <c r="AD73" s="77">
        <f t="shared" si="257"/>
        <v>0</v>
      </c>
      <c r="AE73" s="77">
        <f t="shared" si="257"/>
        <v>0</v>
      </c>
      <c r="AF73" s="77">
        <f t="shared" si="257"/>
        <v>0</v>
      </c>
      <c r="AG73" s="77">
        <f>+ROUND(R73*AG$6/(100+AG$6),0)+BM73</f>
        <v>0</v>
      </c>
      <c r="AH73" s="73">
        <f>SUM(AC73:AG73)</f>
        <v>0</v>
      </c>
      <c r="AI73" s="76">
        <f>+E73-AB73</f>
        <v>640000</v>
      </c>
      <c r="AJ73" s="37"/>
      <c r="AK73" s="37"/>
      <c r="AL73" s="37"/>
      <c r="AM73" s="37"/>
      <c r="AN73" s="37"/>
      <c r="AO73" s="36"/>
      <c r="AP73" s="36"/>
      <c r="AQ73" s="36"/>
      <c r="AR73" s="36"/>
      <c r="AS73" s="36"/>
      <c r="AT73" s="35"/>
      <c r="AU73" s="35"/>
      <c r="AV73" s="35"/>
      <c r="AW73" s="35"/>
      <c r="AX73" s="35"/>
      <c r="BI73" s="35"/>
      <c r="BJ73" s="35"/>
      <c r="BK73" s="35"/>
      <c r="BL73" s="35"/>
      <c r="BM73" s="35"/>
    </row>
    <row r="74" spans="1:65" ht="15" customHeight="1" outlineLevel="1">
      <c r="A74" s="89">
        <v>2</v>
      </c>
      <c r="B74" s="88"/>
      <c r="C74" s="87">
        <v>184050900</v>
      </c>
      <c r="D74" s="86" t="s">
        <v>8</v>
      </c>
      <c r="E74" s="85">
        <f>+SUMIFS([1]全伝票!I:I,[1]全伝票!$C:$C,$C74)</f>
        <v>580000</v>
      </c>
      <c r="F74" s="75"/>
      <c r="G74" s="74"/>
      <c r="H74" s="74"/>
      <c r="I74" s="74"/>
      <c r="J74" s="80"/>
      <c r="K74" s="79">
        <f>SUM(F74:J74)</f>
        <v>0</v>
      </c>
      <c r="L74" s="84"/>
      <c r="M74" s="84"/>
      <c r="N74" s="75"/>
      <c r="O74" s="74"/>
      <c r="P74" s="74"/>
      <c r="Q74" s="74"/>
      <c r="R74" s="74"/>
      <c r="S74" s="74">
        <f>SUM(N74:R74)</f>
        <v>0</v>
      </c>
      <c r="T74" s="83"/>
      <c r="U74" s="82">
        <f>+V74-SUM(S74:T74)</f>
        <v>580000</v>
      </c>
      <c r="V74" s="81">
        <f>+SUMIFS([1]全伝票!P:P,[1]全伝票!$C:$C,$C74)</f>
        <v>580000</v>
      </c>
      <c r="W74" s="75">
        <f t="shared" si="256"/>
        <v>0</v>
      </c>
      <c r="X74" s="74">
        <f t="shared" si="256"/>
        <v>0</v>
      </c>
      <c r="Y74" s="74">
        <f t="shared" si="256"/>
        <v>0</v>
      </c>
      <c r="Z74" s="74">
        <f t="shared" si="256"/>
        <v>0</v>
      </c>
      <c r="AA74" s="80">
        <f>+ROUND(J74*J$6/(100+J$6),0)+AX74</f>
        <v>0</v>
      </c>
      <c r="AB74" s="79">
        <f>SUM(W74:AA74)</f>
        <v>0</v>
      </c>
      <c r="AC74" s="78">
        <f t="shared" si="257"/>
        <v>0</v>
      </c>
      <c r="AD74" s="77">
        <f t="shared" si="257"/>
        <v>0</v>
      </c>
      <c r="AE74" s="77">
        <f t="shared" si="257"/>
        <v>0</v>
      </c>
      <c r="AF74" s="77">
        <f t="shared" si="257"/>
        <v>0</v>
      </c>
      <c r="AG74" s="77">
        <f>+ROUND(R74*AG$6/(100+AG$6),0)+BM74</f>
        <v>0</v>
      </c>
      <c r="AH74" s="73">
        <f>SUM(AC74:AG74)</f>
        <v>0</v>
      </c>
      <c r="AI74" s="76">
        <f>+E74-AB74</f>
        <v>580000</v>
      </c>
      <c r="AJ74" s="37"/>
      <c r="AK74" s="37"/>
      <c r="AL74" s="37"/>
      <c r="AM74" s="37"/>
      <c r="AN74" s="37"/>
      <c r="AO74" s="36"/>
      <c r="AP74" s="36"/>
      <c r="AQ74" s="36"/>
      <c r="AR74" s="36"/>
      <c r="AS74" s="36"/>
      <c r="AT74" s="35"/>
      <c r="AU74" s="35"/>
      <c r="AV74" s="35"/>
      <c r="AW74" s="35"/>
      <c r="AX74" s="35"/>
      <c r="BI74" s="35"/>
      <c r="BJ74" s="35"/>
      <c r="BK74" s="35"/>
      <c r="BL74" s="35"/>
      <c r="BM74" s="35"/>
    </row>
    <row r="75" spans="1:65" ht="15" customHeight="1" outlineLevel="1">
      <c r="A75" s="89">
        <v>3</v>
      </c>
      <c r="B75" s="88"/>
      <c r="C75" s="87">
        <v>184051200</v>
      </c>
      <c r="D75" s="86" t="s">
        <v>7</v>
      </c>
      <c r="E75" s="85">
        <f>+SUMIFS([1]全伝票!I:I,[1]全伝票!$C:$C,$C75)</f>
        <v>738000</v>
      </c>
      <c r="F75" s="75"/>
      <c r="G75" s="74"/>
      <c r="H75" s="74"/>
      <c r="I75" s="74"/>
      <c r="J75" s="80"/>
      <c r="K75" s="79">
        <f>SUM(F75:J75)</f>
        <v>0</v>
      </c>
      <c r="L75" s="84"/>
      <c r="M75" s="84"/>
      <c r="N75" s="75"/>
      <c r="O75" s="74"/>
      <c r="P75" s="74"/>
      <c r="Q75" s="74"/>
      <c r="R75" s="74"/>
      <c r="S75" s="74">
        <f>SUM(N75:R75)</f>
        <v>0</v>
      </c>
      <c r="T75" s="83"/>
      <c r="U75" s="82">
        <f>+V75-SUM(S75:T75)</f>
        <v>738000</v>
      </c>
      <c r="V75" s="81">
        <f>+SUMIFS([1]全伝票!P:P,[1]全伝票!$C:$C,$C75)</f>
        <v>738000</v>
      </c>
      <c r="W75" s="75">
        <f t="shared" si="256"/>
        <v>0</v>
      </c>
      <c r="X75" s="74">
        <f t="shared" si="256"/>
        <v>0</v>
      </c>
      <c r="Y75" s="74">
        <f t="shared" si="256"/>
        <v>0</v>
      </c>
      <c r="Z75" s="74">
        <f t="shared" si="256"/>
        <v>0</v>
      </c>
      <c r="AA75" s="80">
        <f>+ROUND(J75*J$6/(100+J$6),0)+AX75</f>
        <v>0</v>
      </c>
      <c r="AB75" s="79">
        <f>SUM(W75:AA75)</f>
        <v>0</v>
      </c>
      <c r="AC75" s="78">
        <f t="shared" si="257"/>
        <v>0</v>
      </c>
      <c r="AD75" s="77">
        <f t="shared" si="257"/>
        <v>0</v>
      </c>
      <c r="AE75" s="77">
        <f t="shared" si="257"/>
        <v>0</v>
      </c>
      <c r="AF75" s="77">
        <f t="shared" si="257"/>
        <v>0</v>
      </c>
      <c r="AG75" s="77">
        <f>+ROUND(R75*AG$6/(100+AG$6),0)+BM75</f>
        <v>0</v>
      </c>
      <c r="AH75" s="73">
        <f>SUM(AC75:AG75)</f>
        <v>0</v>
      </c>
      <c r="AI75" s="76">
        <f>+E75-AB75</f>
        <v>738000</v>
      </c>
      <c r="AJ75" s="37"/>
      <c r="AK75" s="37"/>
      <c r="AL75" s="37"/>
      <c r="AM75" s="37"/>
      <c r="AN75" s="37"/>
      <c r="AO75" s="36"/>
      <c r="AP75" s="36"/>
      <c r="AQ75" s="36"/>
      <c r="AR75" s="36"/>
      <c r="AS75" s="36"/>
      <c r="AT75" s="35"/>
      <c r="AU75" s="35"/>
      <c r="AV75" s="35"/>
      <c r="AW75" s="35"/>
      <c r="AX75" s="35"/>
      <c r="BI75" s="35"/>
      <c r="BJ75" s="35"/>
      <c r="BK75" s="35"/>
      <c r="BL75" s="35"/>
      <c r="BM75" s="35"/>
    </row>
    <row r="76" spans="1:65" ht="15" customHeight="1" outlineLevel="1">
      <c r="A76" s="89">
        <v>4</v>
      </c>
      <c r="B76" s="88"/>
      <c r="C76" s="87">
        <v>184051500</v>
      </c>
      <c r="D76" s="86" t="s">
        <v>6</v>
      </c>
      <c r="E76" s="85">
        <f>+SUMIFS([1]全伝票!I:I,[1]全伝票!$C:$C,$C76)</f>
        <v>160000</v>
      </c>
      <c r="F76" s="75"/>
      <c r="G76" s="74"/>
      <c r="H76" s="74"/>
      <c r="I76" s="74"/>
      <c r="J76" s="80"/>
      <c r="K76" s="79">
        <f>SUM(F76:J76)</f>
        <v>0</v>
      </c>
      <c r="L76" s="84"/>
      <c r="M76" s="84"/>
      <c r="N76" s="75"/>
      <c r="O76" s="74"/>
      <c r="P76" s="74"/>
      <c r="Q76" s="74"/>
      <c r="R76" s="74"/>
      <c r="S76" s="74">
        <f>SUM(N76:R76)</f>
        <v>0</v>
      </c>
      <c r="T76" s="83"/>
      <c r="U76" s="82">
        <f>+V76-SUM(S76:T76)</f>
        <v>160000</v>
      </c>
      <c r="V76" s="81">
        <f>+SUMIFS([1]全伝票!P:P,[1]全伝票!$C:$C,$C76)</f>
        <v>160000</v>
      </c>
      <c r="W76" s="75">
        <f t="shared" si="256"/>
        <v>0</v>
      </c>
      <c r="X76" s="74">
        <f t="shared" si="256"/>
        <v>0</v>
      </c>
      <c r="Y76" s="74">
        <f t="shared" si="256"/>
        <v>0</v>
      </c>
      <c r="Z76" s="74">
        <f t="shared" si="256"/>
        <v>0</v>
      </c>
      <c r="AA76" s="80">
        <f>+ROUND(J76*J$6/(100+J$6),0)+AX76</f>
        <v>0</v>
      </c>
      <c r="AB76" s="79">
        <f>SUM(W76:AA76)</f>
        <v>0</v>
      </c>
      <c r="AC76" s="78">
        <f t="shared" si="257"/>
        <v>0</v>
      </c>
      <c r="AD76" s="77">
        <f t="shared" si="257"/>
        <v>0</v>
      </c>
      <c r="AE76" s="77">
        <f t="shared" si="257"/>
        <v>0</v>
      </c>
      <c r="AF76" s="77">
        <f t="shared" si="257"/>
        <v>0</v>
      </c>
      <c r="AG76" s="77">
        <f>+ROUND(R76*AG$6/(100+AG$6),0)+BM76</f>
        <v>0</v>
      </c>
      <c r="AH76" s="73">
        <f>SUM(AC76:AG76)</f>
        <v>0</v>
      </c>
      <c r="AI76" s="76">
        <f>+E76-AB76</f>
        <v>160000</v>
      </c>
      <c r="AJ76" s="37"/>
      <c r="AK76" s="37"/>
      <c r="AL76" s="37"/>
      <c r="AM76" s="37"/>
      <c r="AN76" s="37"/>
      <c r="AO76" s="36"/>
      <c r="AP76" s="36"/>
      <c r="AQ76" s="36"/>
      <c r="AR76" s="36"/>
      <c r="AS76" s="36"/>
      <c r="AT76" s="35"/>
      <c r="AU76" s="35"/>
      <c r="AV76" s="35"/>
      <c r="AW76" s="35"/>
      <c r="AX76" s="35"/>
      <c r="BI76" s="35"/>
      <c r="BJ76" s="35"/>
      <c r="BK76" s="35"/>
      <c r="BL76" s="35"/>
      <c r="BM76" s="35"/>
    </row>
    <row r="77" spans="1:65" ht="15" customHeight="1">
      <c r="A77" s="104"/>
      <c r="B77" s="103"/>
      <c r="C77" s="102"/>
      <c r="D77" s="101" t="s">
        <v>11</v>
      </c>
      <c r="E77" s="100">
        <f t="shared" ref="E77:AI77" si="258">+SUM(E78:E81)</f>
        <v>1869000</v>
      </c>
      <c r="F77" s="92">
        <f t="shared" si="258"/>
        <v>0</v>
      </c>
      <c r="G77" s="91">
        <f t="shared" si="258"/>
        <v>0</v>
      </c>
      <c r="H77" s="91">
        <f t="shared" si="258"/>
        <v>0</v>
      </c>
      <c r="I77" s="91">
        <f t="shared" ref="I77" si="259">+SUM(I78:I81)</f>
        <v>0</v>
      </c>
      <c r="J77" s="97">
        <f t="shared" si="258"/>
        <v>0</v>
      </c>
      <c r="K77" s="96">
        <f t="shared" si="258"/>
        <v>0</v>
      </c>
      <c r="L77" s="100">
        <f t="shared" si="258"/>
        <v>0</v>
      </c>
      <c r="M77" s="100">
        <f t="shared" si="258"/>
        <v>0</v>
      </c>
      <c r="N77" s="92">
        <f t="shared" si="258"/>
        <v>0</v>
      </c>
      <c r="O77" s="91">
        <f t="shared" si="258"/>
        <v>0</v>
      </c>
      <c r="P77" s="91">
        <f t="shared" si="258"/>
        <v>0</v>
      </c>
      <c r="Q77" s="91">
        <f t="shared" ref="Q77" si="260">+SUM(Q78:Q81)</f>
        <v>0</v>
      </c>
      <c r="R77" s="91">
        <f t="shared" si="258"/>
        <v>0</v>
      </c>
      <c r="S77" s="91">
        <f t="shared" si="258"/>
        <v>0</v>
      </c>
      <c r="T77" s="99">
        <f t="shared" si="258"/>
        <v>0</v>
      </c>
      <c r="U77" s="98">
        <f t="shared" si="258"/>
        <v>1869000</v>
      </c>
      <c r="V77" s="96">
        <f t="shared" si="258"/>
        <v>1869000</v>
      </c>
      <c r="W77" s="92">
        <f t="shared" si="258"/>
        <v>0</v>
      </c>
      <c r="X77" s="91">
        <f t="shared" si="258"/>
        <v>0</v>
      </c>
      <c r="Y77" s="91">
        <f t="shared" si="258"/>
        <v>0</v>
      </c>
      <c r="Z77" s="91">
        <f t="shared" ref="Z77" si="261">+SUM(Z78:Z81)</f>
        <v>0</v>
      </c>
      <c r="AA77" s="97">
        <f t="shared" si="258"/>
        <v>0</v>
      </c>
      <c r="AB77" s="96">
        <f t="shared" si="258"/>
        <v>0</v>
      </c>
      <c r="AC77" s="95">
        <f t="shared" si="258"/>
        <v>0</v>
      </c>
      <c r="AD77" s="94">
        <f t="shared" si="258"/>
        <v>0</v>
      </c>
      <c r="AE77" s="94">
        <f t="shared" si="258"/>
        <v>0</v>
      </c>
      <c r="AF77" s="94">
        <f t="shared" ref="AF77" si="262">+SUM(AF78:AF81)</f>
        <v>0</v>
      </c>
      <c r="AG77" s="94">
        <f t="shared" si="258"/>
        <v>0</v>
      </c>
      <c r="AH77" s="90">
        <f t="shared" si="258"/>
        <v>0</v>
      </c>
      <c r="AI77" s="93">
        <f t="shared" si="258"/>
        <v>1869000</v>
      </c>
      <c r="AJ77" s="37"/>
      <c r="AK77" s="37"/>
      <c r="AL77" s="37"/>
      <c r="AM77" s="37"/>
      <c r="AN77" s="37"/>
      <c r="AO77" s="36"/>
      <c r="AP77" s="36"/>
      <c r="AQ77" s="36"/>
      <c r="AR77" s="36"/>
      <c r="AS77" s="36"/>
      <c r="AT77" s="35"/>
      <c r="AU77" s="35"/>
      <c r="AV77" s="35"/>
      <c r="AW77" s="35"/>
      <c r="AX77" s="35"/>
      <c r="BI77" s="35"/>
      <c r="BJ77" s="35"/>
      <c r="BK77" s="35"/>
      <c r="BL77" s="35"/>
      <c r="BM77" s="35"/>
    </row>
    <row r="78" spans="1:65" ht="15" customHeight="1" outlineLevel="1">
      <c r="A78" s="89">
        <v>1</v>
      </c>
      <c r="B78" s="88"/>
      <c r="C78" s="87">
        <v>184050700</v>
      </c>
      <c r="D78" s="86" t="s">
        <v>9</v>
      </c>
      <c r="E78" s="85">
        <f>+SUMIFS([1]全伝票!I:I,[1]全伝票!$C:$C,$C78)</f>
        <v>1079000</v>
      </c>
      <c r="F78" s="75"/>
      <c r="G78" s="74"/>
      <c r="H78" s="74"/>
      <c r="I78" s="74"/>
      <c r="J78" s="80"/>
      <c r="K78" s="79">
        <f>SUM(F78:J78)</f>
        <v>0</v>
      </c>
      <c r="L78" s="84"/>
      <c r="M78" s="84"/>
      <c r="N78" s="75"/>
      <c r="O78" s="74"/>
      <c r="P78" s="74"/>
      <c r="Q78" s="74"/>
      <c r="R78" s="74"/>
      <c r="S78" s="74">
        <f>SUM(N78:R78)</f>
        <v>0</v>
      </c>
      <c r="T78" s="83"/>
      <c r="U78" s="82">
        <f>+V78-SUM(S78:T78)</f>
        <v>1079000</v>
      </c>
      <c r="V78" s="81">
        <f>+SUMIFS([1]全伝票!P:P,[1]全伝票!$C:$C,$C78)</f>
        <v>1079000</v>
      </c>
      <c r="W78" s="75">
        <f t="shared" ref="W78:Z81" si="263">+ROUND(F78*F$6/(100+F$6),0)+AT78</f>
        <v>0</v>
      </c>
      <c r="X78" s="74">
        <f t="shared" si="263"/>
        <v>0</v>
      </c>
      <c r="Y78" s="74">
        <f t="shared" si="263"/>
        <v>0</v>
      </c>
      <c r="Z78" s="74">
        <f t="shared" si="263"/>
        <v>0</v>
      </c>
      <c r="AA78" s="80">
        <f>+ROUND(J78*J$6/(100+J$6),0)+AX78</f>
        <v>0</v>
      </c>
      <c r="AB78" s="79">
        <f>SUM(W78:AA78)</f>
        <v>0</v>
      </c>
      <c r="AC78" s="78">
        <f t="shared" ref="AC78:AF81" si="264">+ROUND(N78*AC$6/(100+AC$6),0)+BI78</f>
        <v>0</v>
      </c>
      <c r="AD78" s="77">
        <f t="shared" si="264"/>
        <v>0</v>
      </c>
      <c r="AE78" s="77">
        <f t="shared" si="264"/>
        <v>0</v>
      </c>
      <c r="AF78" s="77">
        <f t="shared" si="264"/>
        <v>0</v>
      </c>
      <c r="AG78" s="77">
        <f>+ROUND(R78*AG$6/(100+AG$6),0)+BM78</f>
        <v>0</v>
      </c>
      <c r="AH78" s="73">
        <f>SUM(AC78:AG78)</f>
        <v>0</v>
      </c>
      <c r="AI78" s="76">
        <f>+E78-AB78</f>
        <v>1079000</v>
      </c>
      <c r="AJ78" s="37"/>
      <c r="AK78" s="37"/>
      <c r="AL78" s="37"/>
      <c r="AM78" s="37"/>
      <c r="AN78" s="37"/>
      <c r="AO78" s="36"/>
      <c r="AP78" s="36"/>
      <c r="AQ78" s="36"/>
      <c r="AR78" s="36"/>
      <c r="AS78" s="36"/>
      <c r="AT78" s="35"/>
      <c r="AU78" s="35"/>
      <c r="AV78" s="35"/>
      <c r="AW78" s="35"/>
      <c r="AX78" s="35"/>
      <c r="BI78" s="35"/>
      <c r="BJ78" s="35"/>
      <c r="BK78" s="35"/>
      <c r="BL78" s="35"/>
      <c r="BM78" s="35"/>
    </row>
    <row r="79" spans="1:65" ht="15" customHeight="1" outlineLevel="1">
      <c r="A79" s="89">
        <v>2</v>
      </c>
      <c r="B79" s="88"/>
      <c r="C79" s="87">
        <v>184051000</v>
      </c>
      <c r="D79" s="86" t="s">
        <v>8</v>
      </c>
      <c r="E79" s="85">
        <f>+SUMIFS([1]全伝票!I:I,[1]全伝票!$C:$C,$C79)</f>
        <v>440000</v>
      </c>
      <c r="F79" s="75"/>
      <c r="G79" s="74"/>
      <c r="H79" s="74"/>
      <c r="I79" s="74"/>
      <c r="J79" s="80"/>
      <c r="K79" s="79">
        <f>SUM(F79:J79)</f>
        <v>0</v>
      </c>
      <c r="L79" s="84"/>
      <c r="M79" s="84"/>
      <c r="N79" s="75"/>
      <c r="O79" s="74"/>
      <c r="P79" s="74"/>
      <c r="Q79" s="74"/>
      <c r="R79" s="74"/>
      <c r="S79" s="74">
        <f>SUM(N79:R79)</f>
        <v>0</v>
      </c>
      <c r="T79" s="83"/>
      <c r="U79" s="82">
        <f>+V79-SUM(S79:T79)</f>
        <v>440000</v>
      </c>
      <c r="V79" s="81">
        <f>+SUMIFS([1]全伝票!P:P,[1]全伝票!$C:$C,$C79)</f>
        <v>440000</v>
      </c>
      <c r="W79" s="75">
        <f t="shared" si="263"/>
        <v>0</v>
      </c>
      <c r="X79" s="74">
        <f t="shared" si="263"/>
        <v>0</v>
      </c>
      <c r="Y79" s="74">
        <f t="shared" si="263"/>
        <v>0</v>
      </c>
      <c r="Z79" s="74">
        <f t="shared" si="263"/>
        <v>0</v>
      </c>
      <c r="AA79" s="80">
        <f>+ROUND(J79*J$6/(100+J$6),0)+AX79</f>
        <v>0</v>
      </c>
      <c r="AB79" s="79">
        <f>SUM(W79:AA79)</f>
        <v>0</v>
      </c>
      <c r="AC79" s="78">
        <f t="shared" si="264"/>
        <v>0</v>
      </c>
      <c r="AD79" s="77">
        <f t="shared" si="264"/>
        <v>0</v>
      </c>
      <c r="AE79" s="77">
        <f t="shared" si="264"/>
        <v>0</v>
      </c>
      <c r="AF79" s="77">
        <f t="shared" si="264"/>
        <v>0</v>
      </c>
      <c r="AG79" s="77">
        <f>+ROUND(R79*AG$6/(100+AG$6),0)+BM79</f>
        <v>0</v>
      </c>
      <c r="AH79" s="73">
        <f>SUM(AC79:AG79)</f>
        <v>0</v>
      </c>
      <c r="AI79" s="76">
        <f>+E79-AB79</f>
        <v>440000</v>
      </c>
      <c r="AJ79" s="37"/>
      <c r="AK79" s="37"/>
      <c r="AL79" s="37"/>
      <c r="AM79" s="37"/>
      <c r="AN79" s="37"/>
      <c r="AO79" s="36"/>
      <c r="AP79" s="36"/>
      <c r="AQ79" s="36"/>
      <c r="AR79" s="36"/>
      <c r="AS79" s="36"/>
      <c r="AT79" s="35"/>
      <c r="AU79" s="35"/>
      <c r="AV79" s="35"/>
      <c r="AW79" s="35"/>
      <c r="AX79" s="35"/>
      <c r="BI79" s="35"/>
      <c r="BJ79" s="35"/>
      <c r="BK79" s="35"/>
      <c r="BL79" s="35"/>
      <c r="BM79" s="35"/>
    </row>
    <row r="80" spans="1:65" ht="15" customHeight="1" outlineLevel="1">
      <c r="A80" s="89">
        <v>3</v>
      </c>
      <c r="B80" s="88"/>
      <c r="C80" s="87">
        <v>184051300</v>
      </c>
      <c r="D80" s="86" t="s">
        <v>7</v>
      </c>
      <c r="E80" s="85">
        <f>+SUMIFS([1]全伝票!I:I,[1]全伝票!$C:$C,$C80)</f>
        <v>350000</v>
      </c>
      <c r="F80" s="75"/>
      <c r="G80" s="74"/>
      <c r="H80" s="74"/>
      <c r="I80" s="74"/>
      <c r="J80" s="80"/>
      <c r="K80" s="79">
        <f>SUM(F80:J80)</f>
        <v>0</v>
      </c>
      <c r="L80" s="84"/>
      <c r="M80" s="84"/>
      <c r="N80" s="75"/>
      <c r="O80" s="74"/>
      <c r="P80" s="74"/>
      <c r="Q80" s="74"/>
      <c r="R80" s="74"/>
      <c r="S80" s="74">
        <f>SUM(N80:R80)</f>
        <v>0</v>
      </c>
      <c r="T80" s="83"/>
      <c r="U80" s="82">
        <f>+V80-SUM(S80:T80)</f>
        <v>350000</v>
      </c>
      <c r="V80" s="81">
        <f>+SUMIFS([1]全伝票!P:P,[1]全伝票!$C:$C,$C80)</f>
        <v>350000</v>
      </c>
      <c r="W80" s="75">
        <f t="shared" si="263"/>
        <v>0</v>
      </c>
      <c r="X80" s="74">
        <f t="shared" si="263"/>
        <v>0</v>
      </c>
      <c r="Y80" s="74">
        <f t="shared" si="263"/>
        <v>0</v>
      </c>
      <c r="Z80" s="74">
        <f t="shared" si="263"/>
        <v>0</v>
      </c>
      <c r="AA80" s="80">
        <f>+ROUND(J80*J$6/(100+J$6),0)+AX80</f>
        <v>0</v>
      </c>
      <c r="AB80" s="79">
        <f>SUM(W80:AA80)</f>
        <v>0</v>
      </c>
      <c r="AC80" s="78">
        <f t="shared" si="264"/>
        <v>0</v>
      </c>
      <c r="AD80" s="77">
        <f t="shared" si="264"/>
        <v>0</v>
      </c>
      <c r="AE80" s="77">
        <f t="shared" si="264"/>
        <v>0</v>
      </c>
      <c r="AF80" s="77">
        <f t="shared" si="264"/>
        <v>0</v>
      </c>
      <c r="AG80" s="77">
        <f>+ROUND(R80*AG$6/(100+AG$6),0)+BM80</f>
        <v>0</v>
      </c>
      <c r="AH80" s="73">
        <f>SUM(AC80:AG80)</f>
        <v>0</v>
      </c>
      <c r="AI80" s="76">
        <f>+E80-AB80</f>
        <v>350000</v>
      </c>
      <c r="AJ80" s="37"/>
      <c r="AK80" s="37"/>
      <c r="AL80" s="37"/>
      <c r="AM80" s="37"/>
      <c r="AN80" s="37"/>
      <c r="AO80" s="36"/>
      <c r="AP80" s="36"/>
      <c r="AQ80" s="36"/>
      <c r="AR80" s="36"/>
      <c r="AS80" s="36"/>
      <c r="AT80" s="35"/>
      <c r="AU80" s="35"/>
      <c r="AV80" s="35"/>
      <c r="AW80" s="35"/>
      <c r="AX80" s="35"/>
      <c r="BI80" s="35"/>
      <c r="BJ80" s="35"/>
      <c r="BK80" s="35"/>
      <c r="BL80" s="35"/>
      <c r="BM80" s="35"/>
    </row>
    <row r="81" spans="1:65" ht="15" customHeight="1" outlineLevel="1">
      <c r="A81" s="89">
        <v>4</v>
      </c>
      <c r="B81" s="88"/>
      <c r="C81" s="87">
        <v>184051600</v>
      </c>
      <c r="D81" s="86" t="s">
        <v>6</v>
      </c>
      <c r="E81" s="85">
        <f>+SUMIFS([1]全伝票!I:I,[1]全伝票!$C:$C,$C81)</f>
        <v>0</v>
      </c>
      <c r="F81" s="75"/>
      <c r="G81" s="74"/>
      <c r="H81" s="74"/>
      <c r="I81" s="74"/>
      <c r="J81" s="80"/>
      <c r="K81" s="79">
        <f>SUM(F81:J81)</f>
        <v>0</v>
      </c>
      <c r="L81" s="84"/>
      <c r="M81" s="84"/>
      <c r="N81" s="75"/>
      <c r="O81" s="74"/>
      <c r="P81" s="74"/>
      <c r="Q81" s="74"/>
      <c r="R81" s="74"/>
      <c r="S81" s="74">
        <f>SUM(N81:R81)</f>
        <v>0</v>
      </c>
      <c r="T81" s="83"/>
      <c r="U81" s="82">
        <f>+V81-SUM(S81:T81)</f>
        <v>0</v>
      </c>
      <c r="V81" s="81">
        <f>+SUMIFS([1]全伝票!P:P,[1]全伝票!$C:$C,$C81)</f>
        <v>0</v>
      </c>
      <c r="W81" s="75">
        <f t="shared" si="263"/>
        <v>0</v>
      </c>
      <c r="X81" s="74">
        <f t="shared" si="263"/>
        <v>0</v>
      </c>
      <c r="Y81" s="74">
        <f t="shared" si="263"/>
        <v>0</v>
      </c>
      <c r="Z81" s="74">
        <f t="shared" si="263"/>
        <v>0</v>
      </c>
      <c r="AA81" s="80">
        <f>+ROUND(J81*J$6/(100+J$6),0)+AX81</f>
        <v>0</v>
      </c>
      <c r="AB81" s="79">
        <f>SUM(W81:AA81)</f>
        <v>0</v>
      </c>
      <c r="AC81" s="78">
        <f t="shared" si="264"/>
        <v>0</v>
      </c>
      <c r="AD81" s="77">
        <f t="shared" si="264"/>
        <v>0</v>
      </c>
      <c r="AE81" s="77">
        <f t="shared" si="264"/>
        <v>0</v>
      </c>
      <c r="AF81" s="77">
        <f t="shared" si="264"/>
        <v>0</v>
      </c>
      <c r="AG81" s="77">
        <f>+ROUND(R81*AG$6/(100+AG$6),0)+BM81</f>
        <v>0</v>
      </c>
      <c r="AH81" s="73">
        <f>SUM(AC81:AG81)</f>
        <v>0</v>
      </c>
      <c r="AI81" s="76">
        <f>+E81-AB81</f>
        <v>0</v>
      </c>
      <c r="AJ81" s="37"/>
      <c r="AK81" s="37"/>
      <c r="AL81" s="37"/>
      <c r="AM81" s="37"/>
      <c r="AN81" s="37"/>
      <c r="AO81" s="36"/>
      <c r="AP81" s="36"/>
      <c r="AQ81" s="36"/>
      <c r="AR81" s="36"/>
      <c r="AS81" s="36"/>
      <c r="AT81" s="35"/>
      <c r="AU81" s="35"/>
      <c r="AV81" s="35"/>
      <c r="AW81" s="35"/>
      <c r="AX81" s="35"/>
      <c r="BI81" s="35"/>
      <c r="BJ81" s="35"/>
      <c r="BK81" s="35"/>
      <c r="BL81" s="35"/>
      <c r="BM81" s="35"/>
    </row>
    <row r="82" spans="1:65" ht="15" customHeight="1">
      <c r="A82" s="104"/>
      <c r="B82" s="103"/>
      <c r="C82" s="102"/>
      <c r="D82" s="101" t="s">
        <v>10</v>
      </c>
      <c r="E82" s="100">
        <f t="shared" ref="E82:AI82" si="265">+SUM(E83:E86)</f>
        <v>0</v>
      </c>
      <c r="F82" s="92">
        <f t="shared" si="265"/>
        <v>0</v>
      </c>
      <c r="G82" s="91">
        <f t="shared" si="265"/>
        <v>0</v>
      </c>
      <c r="H82" s="91">
        <f t="shared" si="265"/>
        <v>0</v>
      </c>
      <c r="I82" s="91">
        <f t="shared" ref="I82" si="266">+SUM(I83:I86)</f>
        <v>0</v>
      </c>
      <c r="J82" s="97">
        <f t="shared" si="265"/>
        <v>0</v>
      </c>
      <c r="K82" s="96">
        <f t="shared" si="265"/>
        <v>0</v>
      </c>
      <c r="L82" s="100">
        <f t="shared" si="265"/>
        <v>0</v>
      </c>
      <c r="M82" s="100">
        <f t="shared" si="265"/>
        <v>0</v>
      </c>
      <c r="N82" s="92">
        <f t="shared" si="265"/>
        <v>0</v>
      </c>
      <c r="O82" s="91">
        <f t="shared" si="265"/>
        <v>0</v>
      </c>
      <c r="P82" s="91">
        <f t="shared" si="265"/>
        <v>0</v>
      </c>
      <c r="Q82" s="91">
        <f t="shared" ref="Q82" si="267">+SUM(Q83:Q86)</f>
        <v>0</v>
      </c>
      <c r="R82" s="91">
        <f t="shared" si="265"/>
        <v>0</v>
      </c>
      <c r="S82" s="91">
        <f t="shared" si="265"/>
        <v>0</v>
      </c>
      <c r="T82" s="99">
        <f t="shared" si="265"/>
        <v>0</v>
      </c>
      <c r="U82" s="98">
        <f t="shared" si="265"/>
        <v>0</v>
      </c>
      <c r="V82" s="96">
        <f t="shared" si="265"/>
        <v>0</v>
      </c>
      <c r="W82" s="92">
        <f t="shared" si="265"/>
        <v>0</v>
      </c>
      <c r="X82" s="91">
        <f t="shared" si="265"/>
        <v>0</v>
      </c>
      <c r="Y82" s="91">
        <f t="shared" si="265"/>
        <v>0</v>
      </c>
      <c r="Z82" s="91">
        <f t="shared" ref="Z82" si="268">+SUM(Z83:Z86)</f>
        <v>0</v>
      </c>
      <c r="AA82" s="97">
        <f t="shared" si="265"/>
        <v>0</v>
      </c>
      <c r="AB82" s="96">
        <f t="shared" si="265"/>
        <v>0</v>
      </c>
      <c r="AC82" s="95">
        <f t="shared" si="265"/>
        <v>0</v>
      </c>
      <c r="AD82" s="94">
        <f t="shared" si="265"/>
        <v>0</v>
      </c>
      <c r="AE82" s="94">
        <f t="shared" si="265"/>
        <v>0</v>
      </c>
      <c r="AF82" s="94">
        <f t="shared" ref="AF82" si="269">+SUM(AF83:AF86)</f>
        <v>0</v>
      </c>
      <c r="AG82" s="94">
        <f t="shared" si="265"/>
        <v>0</v>
      </c>
      <c r="AH82" s="90">
        <f t="shared" si="265"/>
        <v>0</v>
      </c>
      <c r="AI82" s="93">
        <f t="shared" si="265"/>
        <v>0</v>
      </c>
      <c r="AJ82" s="37"/>
      <c r="AK82" s="37"/>
      <c r="AL82" s="37"/>
      <c r="AM82" s="37"/>
      <c r="AN82" s="37"/>
      <c r="AO82" s="36"/>
      <c r="AP82" s="36"/>
      <c r="AQ82" s="36"/>
      <c r="AR82" s="36"/>
      <c r="AS82" s="36"/>
      <c r="AT82" s="35"/>
      <c r="AU82" s="35"/>
      <c r="AV82" s="35"/>
      <c r="AW82" s="35"/>
      <c r="AX82" s="35"/>
      <c r="BI82" s="35"/>
      <c r="BJ82" s="35"/>
      <c r="BK82" s="35"/>
      <c r="BL82" s="35"/>
      <c r="BM82" s="35"/>
    </row>
    <row r="83" spans="1:65" ht="15" hidden="1" customHeight="1" outlineLevel="1">
      <c r="A83" s="89">
        <v>1</v>
      </c>
      <c r="B83" s="88"/>
      <c r="C83" s="87">
        <v>184050800</v>
      </c>
      <c r="D83" s="86" t="s">
        <v>9</v>
      </c>
      <c r="E83" s="85">
        <f>+SUMIFS([1]全伝票!I:I,[1]全伝票!$C:$C,$C83)</f>
        <v>0</v>
      </c>
      <c r="F83" s="75"/>
      <c r="G83" s="74"/>
      <c r="H83" s="74"/>
      <c r="I83" s="74"/>
      <c r="J83" s="80"/>
      <c r="K83" s="79">
        <f>SUM(F83:J83)</f>
        <v>0</v>
      </c>
      <c r="L83" s="84"/>
      <c r="M83" s="84"/>
      <c r="N83" s="75"/>
      <c r="O83" s="74"/>
      <c r="P83" s="74"/>
      <c r="Q83" s="74"/>
      <c r="R83" s="74"/>
      <c r="S83" s="74">
        <f>SUM(N83:R83)</f>
        <v>0</v>
      </c>
      <c r="T83" s="83"/>
      <c r="U83" s="82">
        <f>+V83-SUM(S83:T83)</f>
        <v>0</v>
      </c>
      <c r="V83" s="81">
        <f>+SUMIFS([1]全伝票!P:P,[1]全伝票!$C:$C,$C83)</f>
        <v>0</v>
      </c>
      <c r="W83" s="75">
        <f t="shared" ref="W83:Z86" si="270">+ROUND(F83*F$6/(100+F$6),0)+AT83</f>
        <v>0</v>
      </c>
      <c r="X83" s="74">
        <f t="shared" si="270"/>
        <v>0</v>
      </c>
      <c r="Y83" s="74">
        <f t="shared" si="270"/>
        <v>0</v>
      </c>
      <c r="Z83" s="74">
        <f t="shared" si="270"/>
        <v>0</v>
      </c>
      <c r="AA83" s="80">
        <f>+ROUND(J83*J$6/(100+J$6),0)+AX83</f>
        <v>0</v>
      </c>
      <c r="AB83" s="79">
        <f>SUM(W83:AA83)</f>
        <v>0</v>
      </c>
      <c r="AC83" s="78">
        <f t="shared" ref="AC83:AF86" si="271">+ROUND(N83*AC$6/(100+AC$6),0)+BI83</f>
        <v>0</v>
      </c>
      <c r="AD83" s="77">
        <f t="shared" si="271"/>
        <v>0</v>
      </c>
      <c r="AE83" s="77">
        <f t="shared" si="271"/>
        <v>0</v>
      </c>
      <c r="AF83" s="77">
        <f t="shared" si="271"/>
        <v>0</v>
      </c>
      <c r="AG83" s="77">
        <f>+ROUND(R83*AG$6/(100+AG$6),0)+BM83</f>
        <v>0</v>
      </c>
      <c r="AH83" s="73">
        <f>SUM(AC83:AG83)</f>
        <v>0</v>
      </c>
      <c r="AI83" s="76">
        <f>+E83-AB83</f>
        <v>0</v>
      </c>
      <c r="AJ83" s="37"/>
      <c r="AK83" s="37"/>
      <c r="AL83" s="37"/>
      <c r="AM83" s="37"/>
      <c r="AN83" s="37"/>
      <c r="AO83" s="36"/>
      <c r="AP83" s="36"/>
      <c r="AQ83" s="36"/>
      <c r="AR83" s="36"/>
      <c r="AS83" s="36"/>
      <c r="AT83" s="35"/>
      <c r="AU83" s="35"/>
      <c r="AV83" s="35"/>
      <c r="AW83" s="35"/>
      <c r="AX83" s="35"/>
      <c r="BI83" s="35"/>
      <c r="BJ83" s="35"/>
      <c r="BK83" s="35"/>
      <c r="BL83" s="35"/>
      <c r="BM83" s="35"/>
    </row>
    <row r="84" spans="1:65" ht="15" hidden="1" customHeight="1" outlineLevel="1">
      <c r="A84" s="89">
        <v>2</v>
      </c>
      <c r="B84" s="88"/>
      <c r="C84" s="87">
        <v>184051100</v>
      </c>
      <c r="D84" s="86" t="s">
        <v>8</v>
      </c>
      <c r="E84" s="85">
        <f>+SUMIFS([1]全伝票!I:I,[1]全伝票!$C:$C,$C84)</f>
        <v>0</v>
      </c>
      <c r="F84" s="75"/>
      <c r="G84" s="74"/>
      <c r="H84" s="74"/>
      <c r="I84" s="74"/>
      <c r="J84" s="80"/>
      <c r="K84" s="79">
        <f>SUM(F84:J84)</f>
        <v>0</v>
      </c>
      <c r="L84" s="84"/>
      <c r="M84" s="84"/>
      <c r="N84" s="75"/>
      <c r="O84" s="74"/>
      <c r="P84" s="74"/>
      <c r="Q84" s="74"/>
      <c r="R84" s="74"/>
      <c r="S84" s="74">
        <f>SUM(N84:R84)</f>
        <v>0</v>
      </c>
      <c r="T84" s="83"/>
      <c r="U84" s="82">
        <f>+V84-SUM(S84:T84)</f>
        <v>0</v>
      </c>
      <c r="V84" s="81">
        <f>+SUMIFS([1]全伝票!P:P,[1]全伝票!$C:$C,$C84)</f>
        <v>0</v>
      </c>
      <c r="W84" s="75">
        <f t="shared" si="270"/>
        <v>0</v>
      </c>
      <c r="X84" s="74">
        <f t="shared" si="270"/>
        <v>0</v>
      </c>
      <c r="Y84" s="74">
        <f t="shared" si="270"/>
        <v>0</v>
      </c>
      <c r="Z84" s="74">
        <f t="shared" si="270"/>
        <v>0</v>
      </c>
      <c r="AA84" s="80">
        <f>+ROUND(J84*J$6/(100+J$6),0)+AX84</f>
        <v>0</v>
      </c>
      <c r="AB84" s="79">
        <f>SUM(W84:AA84)</f>
        <v>0</v>
      </c>
      <c r="AC84" s="78">
        <f t="shared" si="271"/>
        <v>0</v>
      </c>
      <c r="AD84" s="77">
        <f t="shared" si="271"/>
        <v>0</v>
      </c>
      <c r="AE84" s="77">
        <f t="shared" si="271"/>
        <v>0</v>
      </c>
      <c r="AF84" s="77">
        <f t="shared" si="271"/>
        <v>0</v>
      </c>
      <c r="AG84" s="77">
        <f>+ROUND(R84*AG$6/(100+AG$6),0)+BM84</f>
        <v>0</v>
      </c>
      <c r="AH84" s="73">
        <f>SUM(AC84:AG84)</f>
        <v>0</v>
      </c>
      <c r="AI84" s="76">
        <f>+E84-AB84</f>
        <v>0</v>
      </c>
      <c r="AJ84" s="37"/>
      <c r="AK84" s="37"/>
      <c r="AL84" s="37"/>
      <c r="AM84" s="37"/>
      <c r="AN84" s="37"/>
      <c r="AO84" s="36"/>
      <c r="AP84" s="36"/>
      <c r="AQ84" s="36"/>
      <c r="AR84" s="36"/>
      <c r="AS84" s="36"/>
      <c r="AT84" s="35"/>
      <c r="AU84" s="35"/>
      <c r="AV84" s="35"/>
      <c r="AW84" s="35"/>
      <c r="AX84" s="35"/>
      <c r="BI84" s="35"/>
      <c r="BJ84" s="35"/>
      <c r="BK84" s="35"/>
      <c r="BL84" s="35"/>
      <c r="BM84" s="35"/>
    </row>
    <row r="85" spans="1:65" ht="15" hidden="1" customHeight="1" outlineLevel="1">
      <c r="A85" s="89">
        <v>3</v>
      </c>
      <c r="B85" s="88"/>
      <c r="C85" s="87">
        <v>184051400</v>
      </c>
      <c r="D85" s="86" t="s">
        <v>7</v>
      </c>
      <c r="E85" s="85">
        <f>+SUMIFS([1]全伝票!I:I,[1]全伝票!$C:$C,$C85)</f>
        <v>0</v>
      </c>
      <c r="F85" s="75"/>
      <c r="G85" s="74"/>
      <c r="H85" s="74"/>
      <c r="I85" s="74"/>
      <c r="J85" s="80"/>
      <c r="K85" s="79">
        <f>SUM(F85:J85)</f>
        <v>0</v>
      </c>
      <c r="L85" s="84"/>
      <c r="M85" s="84"/>
      <c r="N85" s="75"/>
      <c r="O85" s="74"/>
      <c r="P85" s="74"/>
      <c r="Q85" s="74"/>
      <c r="R85" s="74"/>
      <c r="S85" s="74">
        <f>SUM(N85:R85)</f>
        <v>0</v>
      </c>
      <c r="T85" s="83"/>
      <c r="U85" s="82">
        <f>+V85-SUM(S85:T85)</f>
        <v>0</v>
      </c>
      <c r="V85" s="81">
        <f>+SUMIFS([1]全伝票!P:P,[1]全伝票!$C:$C,$C85)</f>
        <v>0</v>
      </c>
      <c r="W85" s="75">
        <f t="shared" si="270"/>
        <v>0</v>
      </c>
      <c r="X85" s="74">
        <f t="shared" si="270"/>
        <v>0</v>
      </c>
      <c r="Y85" s="74">
        <f t="shared" si="270"/>
        <v>0</v>
      </c>
      <c r="Z85" s="74">
        <f t="shared" si="270"/>
        <v>0</v>
      </c>
      <c r="AA85" s="80">
        <f>+ROUND(J85*J$6/(100+J$6),0)+AX85</f>
        <v>0</v>
      </c>
      <c r="AB85" s="79">
        <f>SUM(W85:AA85)</f>
        <v>0</v>
      </c>
      <c r="AC85" s="78">
        <f t="shared" si="271"/>
        <v>0</v>
      </c>
      <c r="AD85" s="77">
        <f t="shared" si="271"/>
        <v>0</v>
      </c>
      <c r="AE85" s="77">
        <f t="shared" si="271"/>
        <v>0</v>
      </c>
      <c r="AF85" s="77">
        <f t="shared" si="271"/>
        <v>0</v>
      </c>
      <c r="AG85" s="77">
        <f>+ROUND(R85*AG$6/(100+AG$6),0)+BM85</f>
        <v>0</v>
      </c>
      <c r="AH85" s="73">
        <f>SUM(AC85:AG85)</f>
        <v>0</v>
      </c>
      <c r="AI85" s="76">
        <f>+E85-AB85</f>
        <v>0</v>
      </c>
      <c r="AJ85" s="37"/>
      <c r="AK85" s="37"/>
      <c r="AL85" s="37"/>
      <c r="AM85" s="37"/>
      <c r="AN85" s="37"/>
      <c r="AO85" s="36"/>
      <c r="AP85" s="36"/>
      <c r="AQ85" s="36"/>
      <c r="AR85" s="36"/>
      <c r="AS85" s="36"/>
      <c r="AT85" s="35"/>
      <c r="AU85" s="35"/>
      <c r="AV85" s="35"/>
      <c r="AW85" s="35"/>
      <c r="AX85" s="35"/>
      <c r="BI85" s="35"/>
      <c r="BJ85" s="35"/>
      <c r="BK85" s="35"/>
      <c r="BL85" s="35"/>
      <c r="BM85" s="35"/>
    </row>
    <row r="86" spans="1:65" ht="15" hidden="1" customHeight="1" outlineLevel="1">
      <c r="A86" s="89">
        <v>4</v>
      </c>
      <c r="B86" s="88"/>
      <c r="C86" s="87">
        <v>184051700</v>
      </c>
      <c r="D86" s="86" t="s">
        <v>6</v>
      </c>
      <c r="E86" s="85">
        <f>+SUMIFS([1]全伝票!I:I,[1]全伝票!$C:$C,$C86)</f>
        <v>0</v>
      </c>
      <c r="F86" s="75"/>
      <c r="G86" s="74"/>
      <c r="H86" s="74"/>
      <c r="I86" s="74"/>
      <c r="J86" s="80"/>
      <c r="K86" s="79">
        <f>SUM(F86:J86)</f>
        <v>0</v>
      </c>
      <c r="L86" s="84"/>
      <c r="M86" s="84"/>
      <c r="N86" s="75"/>
      <c r="O86" s="74"/>
      <c r="P86" s="74"/>
      <c r="Q86" s="74"/>
      <c r="R86" s="74"/>
      <c r="S86" s="74">
        <f>SUM(N86:R86)</f>
        <v>0</v>
      </c>
      <c r="T86" s="83"/>
      <c r="U86" s="82">
        <f>+V86-SUM(S86:T86)</f>
        <v>0</v>
      </c>
      <c r="V86" s="81">
        <f>+SUMIFS([1]全伝票!P:P,[1]全伝票!$C:$C,$C86)</f>
        <v>0</v>
      </c>
      <c r="W86" s="75">
        <f t="shared" si="270"/>
        <v>0</v>
      </c>
      <c r="X86" s="74">
        <f t="shared" si="270"/>
        <v>0</v>
      </c>
      <c r="Y86" s="74">
        <f t="shared" si="270"/>
        <v>0</v>
      </c>
      <c r="Z86" s="74">
        <f t="shared" si="270"/>
        <v>0</v>
      </c>
      <c r="AA86" s="80">
        <f>+ROUND(J86*J$6/(100+J$6),0)+AX86</f>
        <v>0</v>
      </c>
      <c r="AB86" s="79">
        <f>SUM(W86:AA86)</f>
        <v>0</v>
      </c>
      <c r="AC86" s="78">
        <f t="shared" si="271"/>
        <v>0</v>
      </c>
      <c r="AD86" s="77">
        <f t="shared" si="271"/>
        <v>0</v>
      </c>
      <c r="AE86" s="77">
        <f t="shared" si="271"/>
        <v>0</v>
      </c>
      <c r="AF86" s="77">
        <f t="shared" si="271"/>
        <v>0</v>
      </c>
      <c r="AG86" s="77">
        <f>+ROUND(R86*AG$6/(100+AG$6),0)+BM86</f>
        <v>0</v>
      </c>
      <c r="AH86" s="73">
        <f>SUM(AC86:AG86)</f>
        <v>0</v>
      </c>
      <c r="AI86" s="76">
        <f>+E86-AB86</f>
        <v>0</v>
      </c>
      <c r="AJ86" s="37"/>
      <c r="AK86" s="37"/>
      <c r="AL86" s="37"/>
      <c r="AM86" s="37"/>
      <c r="AN86" s="37"/>
      <c r="AO86" s="36"/>
      <c r="AP86" s="36"/>
      <c r="AQ86" s="36"/>
      <c r="AR86" s="36"/>
      <c r="AS86" s="36"/>
      <c r="AT86" s="35"/>
      <c r="AU86" s="35"/>
      <c r="AV86" s="35"/>
      <c r="AW86" s="35"/>
      <c r="AX86" s="35"/>
      <c r="BI86" s="35"/>
      <c r="BJ86" s="35"/>
      <c r="BK86" s="35"/>
      <c r="BL86" s="35"/>
      <c r="BM86" s="35"/>
    </row>
    <row r="87" spans="1:65" ht="15" customHeight="1" collapsed="1">
      <c r="A87" s="72"/>
      <c r="B87" s="71"/>
      <c r="C87" s="70"/>
      <c r="D87" s="69" t="s">
        <v>5</v>
      </c>
      <c r="E87" s="68">
        <f t="shared" ref="E87:AI87" si="272">+E88</f>
        <v>45948113</v>
      </c>
      <c r="F87" s="60">
        <f t="shared" si="272"/>
        <v>0</v>
      </c>
      <c r="G87" s="59">
        <f t="shared" si="272"/>
        <v>0</v>
      </c>
      <c r="H87" s="59">
        <f t="shared" si="272"/>
        <v>0</v>
      </c>
      <c r="I87" s="59">
        <f t="shared" si="272"/>
        <v>0</v>
      </c>
      <c r="J87" s="65">
        <f t="shared" si="272"/>
        <v>0</v>
      </c>
      <c r="K87" s="64">
        <f t="shared" si="272"/>
        <v>0</v>
      </c>
      <c r="L87" s="68">
        <f t="shared" si="272"/>
        <v>45948113</v>
      </c>
      <c r="M87" s="68">
        <f t="shared" si="272"/>
        <v>0</v>
      </c>
      <c r="N87" s="60">
        <f t="shared" si="272"/>
        <v>0</v>
      </c>
      <c r="O87" s="59">
        <f t="shared" si="272"/>
        <v>0</v>
      </c>
      <c r="P87" s="59">
        <f t="shared" si="272"/>
        <v>0</v>
      </c>
      <c r="Q87" s="59">
        <f t="shared" si="272"/>
        <v>0</v>
      </c>
      <c r="R87" s="59">
        <f t="shared" si="272"/>
        <v>0</v>
      </c>
      <c r="S87" s="59">
        <f t="shared" si="272"/>
        <v>0</v>
      </c>
      <c r="T87" s="67">
        <f t="shared" si="272"/>
        <v>0</v>
      </c>
      <c r="U87" s="66">
        <f t="shared" si="272"/>
        <v>0</v>
      </c>
      <c r="V87" s="64">
        <f t="shared" si="272"/>
        <v>0</v>
      </c>
      <c r="W87" s="60">
        <f t="shared" si="272"/>
        <v>0</v>
      </c>
      <c r="X87" s="59">
        <f t="shared" si="272"/>
        <v>0</v>
      </c>
      <c r="Y87" s="59">
        <f t="shared" si="272"/>
        <v>0</v>
      </c>
      <c r="Z87" s="59">
        <f t="shared" si="272"/>
        <v>0</v>
      </c>
      <c r="AA87" s="65">
        <f t="shared" si="272"/>
        <v>0</v>
      </c>
      <c r="AB87" s="64">
        <f t="shared" si="272"/>
        <v>0</v>
      </c>
      <c r="AC87" s="63">
        <f t="shared" si="272"/>
        <v>0</v>
      </c>
      <c r="AD87" s="62">
        <f t="shared" si="272"/>
        <v>0</v>
      </c>
      <c r="AE87" s="62">
        <f t="shared" si="272"/>
        <v>0</v>
      </c>
      <c r="AF87" s="62">
        <f t="shared" si="272"/>
        <v>0</v>
      </c>
      <c r="AG87" s="62">
        <f t="shared" si="272"/>
        <v>0</v>
      </c>
      <c r="AH87" s="58">
        <f t="shared" si="272"/>
        <v>0</v>
      </c>
      <c r="AI87" s="61">
        <f t="shared" si="272"/>
        <v>45948113</v>
      </c>
      <c r="AJ87" s="37"/>
      <c r="AK87" s="37"/>
      <c r="AL87" s="37"/>
      <c r="AM87" s="37"/>
      <c r="AN87" s="37"/>
      <c r="AO87" s="36"/>
      <c r="AP87" s="36"/>
      <c r="AQ87" s="36"/>
      <c r="AR87" s="36"/>
      <c r="AS87" s="36"/>
      <c r="AT87" s="35"/>
      <c r="AU87" s="35"/>
      <c r="AV87" s="35"/>
      <c r="AW87" s="35"/>
      <c r="AX87" s="35"/>
      <c r="BI87" s="35"/>
      <c r="BJ87" s="35"/>
      <c r="BK87" s="35"/>
      <c r="BL87" s="35"/>
      <c r="BM87" s="35"/>
    </row>
    <row r="88" spans="1:65" ht="15" customHeight="1">
      <c r="A88" s="57"/>
      <c r="B88" s="56"/>
      <c r="C88" s="55">
        <v>188010100</v>
      </c>
      <c r="D88" s="54" t="s">
        <v>4</v>
      </c>
      <c r="E88" s="50">
        <f>+SUMIFS([1]全伝票!I:I,[1]全伝票!$C:$C,$C88)</f>
        <v>45948113</v>
      </c>
      <c r="F88" s="40"/>
      <c r="G88" s="39"/>
      <c r="H88" s="39"/>
      <c r="I88" s="39"/>
      <c r="J88" s="45"/>
      <c r="K88" s="44">
        <f>SUM(F88:J88)</f>
        <v>0</v>
      </c>
      <c r="L88" s="50">
        <f>+SUMIFS([1]全伝票!O:O,[1]全伝票!$C:$C,$C88)</f>
        <v>45948113</v>
      </c>
      <c r="M88" s="49"/>
      <c r="N88" s="40"/>
      <c r="O88" s="39"/>
      <c r="P88" s="39"/>
      <c r="Q88" s="39"/>
      <c r="R88" s="39"/>
      <c r="S88" s="39">
        <f>SUM(N88:R88)</f>
        <v>0</v>
      </c>
      <c r="T88" s="48"/>
      <c r="U88" s="47">
        <f>+V88-SUM(S88:T88)</f>
        <v>0</v>
      </c>
      <c r="V88" s="46">
        <f>+SUMIFS([1]全伝票!P:P,[1]全伝票!$C:$C,$C88)</f>
        <v>0</v>
      </c>
      <c r="W88" s="40">
        <f>+ROUND(F88*F$6/(100+F$6),0)+AT88</f>
        <v>0</v>
      </c>
      <c r="X88" s="39">
        <f>+ROUND(G88*G$6/(100+G$6),0)+AU88</f>
        <v>0</v>
      </c>
      <c r="Y88" s="39">
        <f>+ROUND(H88*H$6/(100+H$6),0)+AV88</f>
        <v>0</v>
      </c>
      <c r="Z88" s="39">
        <f>+ROUND(I88*I$6/(100+I$6),0)+AW88</f>
        <v>0</v>
      </c>
      <c r="AA88" s="45">
        <f>+ROUND(J88*J$6/(100+J$6),0)+AX88</f>
        <v>0</v>
      </c>
      <c r="AB88" s="44">
        <f>SUM(W88:AA88)</f>
        <v>0</v>
      </c>
      <c r="AC88" s="43">
        <f>+ROUND(N88*AC$6/(100+AC$6),0)+BI88</f>
        <v>0</v>
      </c>
      <c r="AD88" s="42">
        <f>+ROUND(O88*AD$6/(100+AD$6),0)+BJ88</f>
        <v>0</v>
      </c>
      <c r="AE88" s="42">
        <f>+ROUND(P88*AE$6/(100+AE$6),0)+BK88</f>
        <v>0</v>
      </c>
      <c r="AF88" s="42">
        <f>+ROUND(Q88*AF$6/(100+AF$6),0)+BL88</f>
        <v>0</v>
      </c>
      <c r="AG88" s="42">
        <f>+ROUND(R88*AG$6/(100+AG$6),0)+BM88</f>
        <v>0</v>
      </c>
      <c r="AH88" s="38">
        <f>SUM(AC88:AG88)</f>
        <v>0</v>
      </c>
      <c r="AI88" s="41">
        <f>+E88-AB88</f>
        <v>45948113</v>
      </c>
      <c r="AJ88" s="37">
        <f>W88-F88*W$6/(100+W$6)</f>
        <v>0</v>
      </c>
      <c r="AK88" s="37">
        <f>X88-G88*X$6/(100+X$6)</f>
        <v>0</v>
      </c>
      <c r="AL88" s="37">
        <f>Y88-H88*Y$6/(100+Y$6)</f>
        <v>0</v>
      </c>
      <c r="AM88" s="37">
        <f>Z88-I88*Z$6/(100+Z$6)</f>
        <v>0</v>
      </c>
      <c r="AN88" s="37">
        <f>AA88-J88*AA$6/(100+AA$6)</f>
        <v>0</v>
      </c>
      <c r="AO88" s="36">
        <f>+IF(W$87=0,0,IF(W$87&lt;0,-RANK(AJ88,AJ$7:AJ$84,0),RANK(AJ88,AJ$7:AJ$84,1)))</f>
        <v>0</v>
      </c>
      <c r="AP88" s="36">
        <f>+IF(X$87=0,0,IF(X$87&lt;0,-RANK(AK88,AK$7:AK$84,0),RANK(AK88,AK$7:AK$84,1)))</f>
        <v>0</v>
      </c>
      <c r="AQ88" s="36">
        <f>+IF(Y$87=0,0,IF(Y$87&lt;0,-RANK(AL88,AL$7:AL$84,0),RANK(AL88,AL$7:AL$84,1)))</f>
        <v>0</v>
      </c>
      <c r="AR88" s="36">
        <f>+IF(Z$87=0,0,IF(Z$87&lt;0,-RANK(AM88,AM$7:AM$84,0),RANK(AM88,AM$7:AM$84,1)))</f>
        <v>0</v>
      </c>
      <c r="AS88" s="36">
        <f>+IF(AA$87=0,0,IF(AA$87&lt;0,-RANK(AN88,AN$7:AN$84,0),RANK(AN88,AN$7:AN$84,1)))</f>
        <v>0</v>
      </c>
      <c r="AT88" s="35"/>
      <c r="AU88" s="35"/>
      <c r="AV88" s="35"/>
      <c r="AW88" s="35"/>
      <c r="AX88" s="35"/>
      <c r="BI88" s="35"/>
      <c r="BJ88" s="35"/>
      <c r="BK88" s="35"/>
      <c r="BL88" s="35"/>
      <c r="BM88" s="35"/>
    </row>
    <row r="89" spans="1:65" ht="15" customHeight="1">
      <c r="A89" s="72"/>
      <c r="B89" s="71"/>
      <c r="C89" s="70"/>
      <c r="D89" s="69" t="s">
        <v>3</v>
      </c>
      <c r="E89" s="68">
        <f t="shared" ref="E89:AI89" si="273">+E90</f>
        <v>0</v>
      </c>
      <c r="F89" s="60">
        <f t="shared" si="273"/>
        <v>0</v>
      </c>
      <c r="G89" s="59">
        <f t="shared" si="273"/>
        <v>0</v>
      </c>
      <c r="H89" s="59">
        <f t="shared" si="273"/>
        <v>0</v>
      </c>
      <c r="I89" s="59">
        <f t="shared" si="273"/>
        <v>0</v>
      </c>
      <c r="J89" s="65">
        <f t="shared" si="273"/>
        <v>0</v>
      </c>
      <c r="K89" s="64">
        <f t="shared" si="273"/>
        <v>0</v>
      </c>
      <c r="L89" s="68">
        <f t="shared" si="273"/>
        <v>0</v>
      </c>
      <c r="M89" s="68">
        <f t="shared" si="273"/>
        <v>0</v>
      </c>
      <c r="N89" s="60">
        <f t="shared" si="273"/>
        <v>0</v>
      </c>
      <c r="O89" s="59">
        <f t="shared" si="273"/>
        <v>0</v>
      </c>
      <c r="P89" s="59">
        <f t="shared" si="273"/>
        <v>0</v>
      </c>
      <c r="Q89" s="59">
        <f t="shared" si="273"/>
        <v>0</v>
      </c>
      <c r="R89" s="59">
        <f t="shared" si="273"/>
        <v>0</v>
      </c>
      <c r="S89" s="59">
        <f t="shared" si="273"/>
        <v>0</v>
      </c>
      <c r="T89" s="67">
        <f t="shared" si="273"/>
        <v>0</v>
      </c>
      <c r="U89" s="66">
        <f t="shared" si="273"/>
        <v>0</v>
      </c>
      <c r="V89" s="64">
        <f t="shared" si="273"/>
        <v>0</v>
      </c>
      <c r="W89" s="60">
        <f t="shared" si="273"/>
        <v>0</v>
      </c>
      <c r="X89" s="59">
        <f t="shared" si="273"/>
        <v>0</v>
      </c>
      <c r="Y89" s="59">
        <f t="shared" si="273"/>
        <v>0</v>
      </c>
      <c r="Z89" s="59">
        <f t="shared" si="273"/>
        <v>0</v>
      </c>
      <c r="AA89" s="65">
        <f t="shared" si="273"/>
        <v>0</v>
      </c>
      <c r="AB89" s="64">
        <f t="shared" si="273"/>
        <v>0</v>
      </c>
      <c r="AC89" s="63">
        <f t="shared" si="273"/>
        <v>0</v>
      </c>
      <c r="AD89" s="62">
        <f t="shared" si="273"/>
        <v>0</v>
      </c>
      <c r="AE89" s="62">
        <f t="shared" si="273"/>
        <v>0</v>
      </c>
      <c r="AF89" s="62">
        <f t="shared" si="273"/>
        <v>0</v>
      </c>
      <c r="AG89" s="62">
        <f t="shared" si="273"/>
        <v>0</v>
      </c>
      <c r="AH89" s="58">
        <f t="shared" si="273"/>
        <v>0</v>
      </c>
      <c r="AI89" s="61">
        <f t="shared" si="273"/>
        <v>0</v>
      </c>
      <c r="AJ89" s="37"/>
      <c r="AK89" s="37"/>
      <c r="AL89" s="37"/>
      <c r="AM89" s="37"/>
      <c r="AN89" s="37"/>
      <c r="AO89" s="36"/>
      <c r="AP89" s="36"/>
      <c r="AQ89" s="36"/>
      <c r="AR89" s="36"/>
      <c r="AS89" s="36"/>
      <c r="AT89" s="35"/>
      <c r="AU89" s="35"/>
      <c r="AV89" s="35"/>
      <c r="AW89" s="35"/>
      <c r="AX89" s="35"/>
      <c r="BI89" s="35"/>
      <c r="BJ89" s="35"/>
      <c r="BK89" s="35"/>
      <c r="BL89" s="35"/>
      <c r="BM89" s="35"/>
    </row>
    <row r="90" spans="1:65" ht="15" customHeight="1" thickBot="1">
      <c r="A90" s="57"/>
      <c r="B90" s="56"/>
      <c r="C90" s="55">
        <v>190030300</v>
      </c>
      <c r="D90" s="54" t="s">
        <v>2</v>
      </c>
      <c r="E90" s="50">
        <f>+SUMIFS([1]全伝票!I:I,[1]全伝票!$C:$C,$C90)</f>
        <v>0</v>
      </c>
      <c r="F90" s="53">
        <f>+SUMIFS([1]全伝票!J:J,[1]全伝票!$C:$C,$C90)</f>
        <v>0</v>
      </c>
      <c r="G90" s="52">
        <f>+SUMIFS([1]全伝票!K:K,[1]全伝票!$C:$C,$C90)</f>
        <v>0</v>
      </c>
      <c r="H90" s="52">
        <f>+SUMIFS([1]全伝票!L:L,[1]全伝票!$C:$C,$C90)</f>
        <v>0</v>
      </c>
      <c r="I90" s="52">
        <f>+SUMIFS([1]全伝票!M:M,[1]全伝票!$C:$C,$C90)</f>
        <v>0</v>
      </c>
      <c r="J90" s="51">
        <f>+SUMIFS([1]全伝票!N:N,[1]全伝票!$C:$C,$C90)</f>
        <v>0</v>
      </c>
      <c r="K90" s="44">
        <f>SUM(F90:J90)</f>
        <v>0</v>
      </c>
      <c r="L90" s="50">
        <f>+SUMIFS([1]全伝票!O:O,[1]全伝票!$C:$C,$C90)</f>
        <v>0</v>
      </c>
      <c r="M90" s="49"/>
      <c r="N90" s="40"/>
      <c r="O90" s="39"/>
      <c r="P90" s="39"/>
      <c r="Q90" s="39"/>
      <c r="R90" s="39"/>
      <c r="S90" s="39">
        <f>SUM(N90:R90)</f>
        <v>0</v>
      </c>
      <c r="T90" s="48"/>
      <c r="U90" s="47">
        <f>+V90-SUM(S90:T90)</f>
        <v>0</v>
      </c>
      <c r="V90" s="46">
        <f>+SUMIFS([1]全伝票!P:P,[1]全伝票!$C:$C,$C90)</f>
        <v>0</v>
      </c>
      <c r="W90" s="40">
        <f>+ROUND(F90*F$6/(100+F$6),0)+AT90</f>
        <v>0</v>
      </c>
      <c r="X90" s="39">
        <f>+ROUND(G90*G$6/(100+G$6),0)+AU90</f>
        <v>0</v>
      </c>
      <c r="Y90" s="39">
        <f>+ROUND(H90*H$6/(100+H$6),0)+AV90</f>
        <v>0</v>
      </c>
      <c r="Z90" s="39">
        <f>+ROUND(I90*I$6/(100+I$6),0)+AW90</f>
        <v>0</v>
      </c>
      <c r="AA90" s="45">
        <f>+ROUND(J90*J$6/(100+J$6),0)+AX90</f>
        <v>0</v>
      </c>
      <c r="AB90" s="44">
        <f>SUM(W90:AA90)</f>
        <v>0</v>
      </c>
      <c r="AC90" s="43">
        <f>+ROUND(N90*AC$6/(100+AC$6),0)+BI90</f>
        <v>0</v>
      </c>
      <c r="AD90" s="42">
        <f>+ROUND(O90*AD$6/(100+AD$6),0)+BJ90</f>
        <v>0</v>
      </c>
      <c r="AE90" s="42">
        <f>+ROUND(P90*AE$6/(100+AE$6),0)+BK90</f>
        <v>0</v>
      </c>
      <c r="AF90" s="42">
        <f>+ROUND(Q90*AF$6/(100+AF$6),0)+BL90</f>
        <v>0</v>
      </c>
      <c r="AG90" s="42">
        <f>+ROUND(R90*AG$6/(100+AG$6),0)+BM90</f>
        <v>0</v>
      </c>
      <c r="AH90" s="38">
        <f>SUM(AC90:AG90)</f>
        <v>0</v>
      </c>
      <c r="AI90" s="41">
        <f>+E90-AB90</f>
        <v>0</v>
      </c>
      <c r="AJ90" s="37">
        <f>W90-F90*W$6/(100+W$6)</f>
        <v>0</v>
      </c>
      <c r="AK90" s="37">
        <f>X90-G90*X$6/(100+X$6)</f>
        <v>0</v>
      </c>
      <c r="AL90" s="37">
        <f>Y90-H90*Y$6/(100+Y$6)</f>
        <v>0</v>
      </c>
      <c r="AM90" s="37">
        <f>Z90-I90*Z$6/(100+Z$6)</f>
        <v>0</v>
      </c>
      <c r="AN90" s="37">
        <f>AA90-J90*AA$6/(100+AA$6)</f>
        <v>0</v>
      </c>
      <c r="AO90" s="36">
        <f>+IF(W$87=0,0,IF(W$87&lt;0,-RANK(AJ90,AJ$7:AJ$84,0),RANK(AJ90,AJ$7:AJ$84,1)))</f>
        <v>0</v>
      </c>
      <c r="AP90" s="36">
        <f>+IF(X$87=0,0,IF(X$87&lt;0,-RANK(AK90,AK$7:AK$84,0),RANK(AK90,AK$7:AK$84,1)))</f>
        <v>0</v>
      </c>
      <c r="AQ90" s="36">
        <f>+IF(Y$87=0,0,IF(Y$87&lt;0,-RANK(AL90,AL$7:AL$84,0),RANK(AL90,AL$7:AL$84,1)))</f>
        <v>0</v>
      </c>
      <c r="AR90" s="36">
        <f>+IF(Z$87=0,0,IF(Z$87&lt;0,-RANK(AM90,AM$7:AM$84,0),RANK(AM90,AM$7:AM$84,1)))</f>
        <v>0</v>
      </c>
      <c r="AS90" s="36">
        <f>+IF(AA$87=0,0,IF(AA$87&lt;0,-RANK(AN90,AN$7:AN$84,0),RANK(AN90,AN$7:AN$84,1)))</f>
        <v>0</v>
      </c>
      <c r="AT90" s="35"/>
      <c r="AU90" s="35"/>
      <c r="AV90" s="35"/>
      <c r="AW90" s="35"/>
      <c r="AX90" s="35"/>
      <c r="BI90" s="35"/>
      <c r="BJ90" s="35"/>
      <c r="BK90" s="35"/>
      <c r="BL90" s="35"/>
      <c r="BM90" s="35"/>
    </row>
    <row r="91" spans="1:65" ht="15" customHeight="1" thickTop="1">
      <c r="A91" s="34"/>
      <c r="B91" s="33"/>
      <c r="C91" s="32"/>
      <c r="D91" s="31" t="s">
        <v>1</v>
      </c>
      <c r="E91" s="29">
        <f>+SUM(E7,E21,E23,E35,E37,E42,E55,E87,E89)</f>
        <v>42025205141</v>
      </c>
      <c r="F91" s="28">
        <f t="shared" ref="F91:AI91" si="274">+SUM(F7,F21,F23,F35,F37,F42,F55,F87,F89)</f>
        <v>0</v>
      </c>
      <c r="G91" s="26">
        <f t="shared" si="274"/>
        <v>0</v>
      </c>
      <c r="H91" s="26">
        <f t="shared" si="274"/>
        <v>0</v>
      </c>
      <c r="I91" s="26">
        <f t="shared" ref="I91" si="275">+SUM(I7,I21,I23,I35,I37,I42,I55,I87,I89)</f>
        <v>0</v>
      </c>
      <c r="J91" s="30">
        <f t="shared" si="274"/>
        <v>39691410</v>
      </c>
      <c r="K91" s="20">
        <f t="shared" si="274"/>
        <v>39691410</v>
      </c>
      <c r="L91" s="29">
        <f t="shared" si="274"/>
        <v>45948113</v>
      </c>
      <c r="M91" s="29">
        <f t="shared" si="274"/>
        <v>0</v>
      </c>
      <c r="N91" s="28">
        <f t="shared" si="274"/>
        <v>0</v>
      </c>
      <c r="O91" s="26">
        <f t="shared" si="274"/>
        <v>131982078</v>
      </c>
      <c r="P91" s="26">
        <f t="shared" si="274"/>
        <v>1246904</v>
      </c>
      <c r="Q91" s="26">
        <f t="shared" ref="Q91" si="276">+SUM(Q7,Q21,Q23,Q35,Q37,Q42,Q55,Q87,Q89)</f>
        <v>99</v>
      </c>
      <c r="R91" s="26">
        <f t="shared" si="274"/>
        <v>5972404802</v>
      </c>
      <c r="S91" s="26">
        <f t="shared" si="274"/>
        <v>6105633883</v>
      </c>
      <c r="T91" s="27">
        <f t="shared" si="274"/>
        <v>171140184</v>
      </c>
      <c r="U91" s="26">
        <f t="shared" si="274"/>
        <v>35662791551</v>
      </c>
      <c r="V91" s="25">
        <f>+SUM(V7,V21,V23,V35,V37,V42,V55,V87,V89)</f>
        <v>41939565618</v>
      </c>
      <c r="W91" s="22">
        <f t="shared" si="274"/>
        <v>0</v>
      </c>
      <c r="X91" s="21">
        <f t="shared" si="274"/>
        <v>0</v>
      </c>
      <c r="Y91" s="21">
        <f t="shared" si="274"/>
        <v>0</v>
      </c>
      <c r="Z91" s="21">
        <f t="shared" ref="Z91" si="277">+SUM(Z7,Z21,Z23,Z35,Z37,Z42,Z55,Z87,Z89)</f>
        <v>0</v>
      </c>
      <c r="AA91" s="24">
        <f t="shared" si="274"/>
        <v>3608310</v>
      </c>
      <c r="AB91" s="20">
        <f t="shared" si="274"/>
        <v>3608310</v>
      </c>
      <c r="AC91" s="22">
        <f t="shared" si="274"/>
        <v>0</v>
      </c>
      <c r="AD91" s="21">
        <f t="shared" si="274"/>
        <v>6284860</v>
      </c>
      <c r="AE91" s="21">
        <f t="shared" si="274"/>
        <v>92363</v>
      </c>
      <c r="AF91" s="21">
        <f t="shared" ref="AF91" si="278">+SUM(AF7,AF21,AF23,AF35,AF37,AF42,AF55,AF87,AF89)</f>
        <v>7</v>
      </c>
      <c r="AG91" s="21">
        <f t="shared" si="274"/>
        <v>542945891</v>
      </c>
      <c r="AH91" s="20">
        <f t="shared" si="274"/>
        <v>549323121</v>
      </c>
      <c r="AI91" s="23">
        <f t="shared" si="274"/>
        <v>42021596831</v>
      </c>
      <c r="AJ91" s="5"/>
      <c r="AK91" s="5"/>
      <c r="AL91" s="5"/>
      <c r="AM91" s="5"/>
      <c r="AN91" s="5"/>
      <c r="AO91" s="4"/>
    </row>
    <row r="92" spans="1:65" ht="15" customHeight="1">
      <c r="A92" s="19"/>
      <c r="B92" s="18"/>
      <c r="C92" s="17"/>
      <c r="D92" s="16" t="s">
        <v>0</v>
      </c>
      <c r="E92" s="9">
        <f t="shared" ref="E92:J92" si="279">+E91</f>
        <v>42025205141</v>
      </c>
      <c r="F92" s="12">
        <f t="shared" si="279"/>
        <v>0</v>
      </c>
      <c r="G92" s="11">
        <f t="shared" si="279"/>
        <v>0</v>
      </c>
      <c r="H92" s="11">
        <f t="shared" si="279"/>
        <v>0</v>
      </c>
      <c r="I92" s="11">
        <f t="shared" si="279"/>
        <v>0</v>
      </c>
      <c r="J92" s="15">
        <f t="shared" si="279"/>
        <v>39691410</v>
      </c>
      <c r="K92" s="7">
        <f>SUM(F92:J92)</f>
        <v>39691410</v>
      </c>
      <c r="L92" s="9">
        <f t="shared" ref="L92:R92" si="280">+L91</f>
        <v>45948113</v>
      </c>
      <c r="M92" s="9">
        <f t="shared" si="280"/>
        <v>0</v>
      </c>
      <c r="N92" s="12">
        <f t="shared" si="280"/>
        <v>0</v>
      </c>
      <c r="O92" s="11">
        <f t="shared" si="280"/>
        <v>131982078</v>
      </c>
      <c r="P92" s="11">
        <f t="shared" si="280"/>
        <v>1246904</v>
      </c>
      <c r="Q92" s="11">
        <f t="shared" ref="Q92" si="281">+Q91</f>
        <v>99</v>
      </c>
      <c r="R92" s="11">
        <f t="shared" si="280"/>
        <v>5972404802</v>
      </c>
      <c r="S92" s="11">
        <f>SUM(N92:R92)</f>
        <v>6105633883</v>
      </c>
      <c r="T92" s="14">
        <f>+T91</f>
        <v>171140184</v>
      </c>
      <c r="U92" s="11">
        <f>+U91</f>
        <v>35662791551</v>
      </c>
      <c r="V92" s="10">
        <f>+V91</f>
        <v>41939565618</v>
      </c>
      <c r="W92" s="12">
        <f>+ROUNDDOWN(F92*F$6/(100+F$6),0)</f>
        <v>0</v>
      </c>
      <c r="X92" s="8">
        <f>+ROUNDDOWN(G92*G$6/(100+G$6),0)</f>
        <v>0</v>
      </c>
      <c r="Y92" s="8">
        <f>+ROUNDDOWN(H92*H$6/(100+H$6),0)</f>
        <v>0</v>
      </c>
      <c r="Z92" s="8">
        <f>+ROUNDDOWN(I92*I$6/(100+I$6),0)</f>
        <v>0</v>
      </c>
      <c r="AA92" s="13">
        <f>+ROUNDDOWN(J92*J$6/(100+J$6),0)</f>
        <v>3608310</v>
      </c>
      <c r="AB92" s="7">
        <f>SUM(W92:AA92)</f>
        <v>3608310</v>
      </c>
      <c r="AC92" s="150">
        <f>+[4]消費税!AA$86</f>
        <v>0</v>
      </c>
      <c r="AD92" s="151">
        <f>+[4]消費税!AB$91</f>
        <v>6284860</v>
      </c>
      <c r="AE92" s="151">
        <f>+[4]消費税!AC$91</f>
        <v>92363</v>
      </c>
      <c r="AF92" s="151">
        <f>+[4]消費税!AD$91</f>
        <v>7</v>
      </c>
      <c r="AG92" s="151">
        <f>+[4]消費税!AE$91</f>
        <v>542945891</v>
      </c>
      <c r="AH92" s="10">
        <f>SUM(AC92:AG92)</f>
        <v>549323121</v>
      </c>
      <c r="AI92" s="9">
        <f>+E92-AB92</f>
        <v>42021596831</v>
      </c>
      <c r="AJ92" s="5"/>
      <c r="AK92" s="5"/>
      <c r="AL92" s="5"/>
      <c r="AM92" s="5"/>
      <c r="AN92" s="5"/>
      <c r="AO92" s="4"/>
    </row>
    <row r="93" spans="1:65" ht="15" customHeight="1">
      <c r="E93" s="6">
        <f t="shared" ref="E93:AI93" si="282">+E92-E91</f>
        <v>0</v>
      </c>
      <c r="F93" s="6">
        <f t="shared" si="282"/>
        <v>0</v>
      </c>
      <c r="G93" s="6">
        <f t="shared" si="282"/>
        <v>0</v>
      </c>
      <c r="H93" s="6">
        <f t="shared" si="282"/>
        <v>0</v>
      </c>
      <c r="I93" s="6">
        <f t="shared" ref="I93" si="283">+I92-I91</f>
        <v>0</v>
      </c>
      <c r="J93" s="6">
        <f t="shared" si="282"/>
        <v>0</v>
      </c>
      <c r="K93" s="6">
        <f t="shared" si="282"/>
        <v>0</v>
      </c>
      <c r="L93" s="6">
        <f t="shared" si="282"/>
        <v>0</v>
      </c>
      <c r="M93" s="6">
        <f t="shared" si="282"/>
        <v>0</v>
      </c>
      <c r="N93" s="6">
        <f t="shared" si="282"/>
        <v>0</v>
      </c>
      <c r="O93" s="6">
        <f t="shared" si="282"/>
        <v>0</v>
      </c>
      <c r="P93" s="6">
        <f t="shared" si="282"/>
        <v>0</v>
      </c>
      <c r="Q93" s="6">
        <f t="shared" ref="Q93" si="284">+Q92-Q91</f>
        <v>0</v>
      </c>
      <c r="R93" s="6">
        <f t="shared" si="282"/>
        <v>0</v>
      </c>
      <c r="S93" s="6">
        <f t="shared" si="282"/>
        <v>0</v>
      </c>
      <c r="T93" s="6">
        <f t="shared" si="282"/>
        <v>0</v>
      </c>
      <c r="U93" s="6">
        <f t="shared" si="282"/>
        <v>0</v>
      </c>
      <c r="V93" s="6">
        <f t="shared" si="282"/>
        <v>0</v>
      </c>
      <c r="W93" s="6">
        <f t="shared" si="282"/>
        <v>0</v>
      </c>
      <c r="X93" s="6">
        <f t="shared" si="282"/>
        <v>0</v>
      </c>
      <c r="Y93" s="6">
        <f t="shared" si="282"/>
        <v>0</v>
      </c>
      <c r="Z93" s="6">
        <f t="shared" ref="Z93" si="285">+Z92-Z91</f>
        <v>0</v>
      </c>
      <c r="AA93" s="6">
        <f t="shared" si="282"/>
        <v>0</v>
      </c>
      <c r="AB93" s="6">
        <f t="shared" si="282"/>
        <v>0</v>
      </c>
      <c r="AC93" s="6">
        <f t="shared" si="282"/>
        <v>0</v>
      </c>
      <c r="AD93" s="6">
        <f t="shared" si="282"/>
        <v>0</v>
      </c>
      <c r="AE93" s="6">
        <f t="shared" si="282"/>
        <v>0</v>
      </c>
      <c r="AF93" s="6">
        <f t="shared" ref="AF93" si="286">+AF92-AF91</f>
        <v>0</v>
      </c>
      <c r="AG93" s="6">
        <f t="shared" si="282"/>
        <v>0</v>
      </c>
      <c r="AH93" s="6">
        <f t="shared" si="282"/>
        <v>0</v>
      </c>
      <c r="AI93" s="6">
        <f t="shared" si="282"/>
        <v>0</v>
      </c>
      <c r="AJ93" s="5" t="str">
        <f t="shared" ref="AJ93:AM95" si="287">+IF(F93=0,"",ROUND(F93*F$6/(100+F$6),7)-W93)</f>
        <v/>
      </c>
      <c r="AK93" s="5" t="str">
        <f t="shared" si="287"/>
        <v/>
      </c>
      <c r="AL93" s="5" t="str">
        <f t="shared" si="287"/>
        <v/>
      </c>
      <c r="AM93" s="5" t="str">
        <f t="shared" si="287"/>
        <v/>
      </c>
      <c r="AN93" s="5" t="str">
        <f>+IF(J93=0,"",ROUND(J93*J$6/(100+J$6),7)-AA93)</f>
        <v/>
      </c>
      <c r="AO93" s="4" t="str">
        <f>+IF(SUM(AJ93:AN93)=0,"",SUM(AJ93:AN93))</f>
        <v/>
      </c>
    </row>
    <row r="94" spans="1:65" ht="15" customHeight="1">
      <c r="AJ94" s="5" t="str">
        <f t="shared" si="287"/>
        <v/>
      </c>
      <c r="AK94" s="5" t="str">
        <f t="shared" si="287"/>
        <v/>
      </c>
      <c r="AL94" s="5" t="str">
        <f t="shared" si="287"/>
        <v/>
      </c>
      <c r="AM94" s="5"/>
      <c r="AN94" s="5" t="str">
        <f>+IF(J94=0,"",ROUND(J94*J$6/(100+J$6),7)-AA94)</f>
        <v/>
      </c>
      <c r="AO94" s="4" t="str">
        <f>+IF(SUM(AJ94:AN94)=0,"",SUM(AJ94:AN94))</f>
        <v/>
      </c>
    </row>
    <row r="95" spans="1:65" ht="15" customHeight="1">
      <c r="AJ95" s="5" t="str">
        <f t="shared" si="287"/>
        <v/>
      </c>
      <c r="AK95" s="5" t="str">
        <f t="shared" si="287"/>
        <v/>
      </c>
      <c r="AL95" s="5" t="str">
        <f t="shared" si="287"/>
        <v/>
      </c>
      <c r="AM95" s="5"/>
      <c r="AN95" s="5" t="str">
        <f>+IF(J95=0,"",ROUND(J95*J$6/(100+J$6),7)-AA95)</f>
        <v/>
      </c>
      <c r="AO95" s="4" t="str">
        <f>+IF(SUM(AJ95:AN95)=0,"",SUM(AJ95:AN95))</f>
        <v/>
      </c>
    </row>
    <row r="96" spans="1:65" ht="15" customHeight="1">
      <c r="D96" s="3"/>
    </row>
    <row r="97" spans="4:9" ht="15" customHeight="1">
      <c r="D97" s="3"/>
    </row>
    <row r="98" spans="4:9" ht="15" customHeight="1">
      <c r="D98" s="152"/>
      <c r="E98" s="6"/>
      <c r="F98" s="6"/>
      <c r="G98" s="6"/>
      <c r="H98" s="6"/>
      <c r="I98" s="6"/>
    </row>
    <row r="99" spans="4:9" ht="15" customHeight="1">
      <c r="E99" s="6"/>
      <c r="F99" s="6"/>
      <c r="G99" s="6"/>
    </row>
    <row r="100" spans="4:9" ht="15" customHeight="1">
      <c r="E100" s="6"/>
      <c r="F100" s="6"/>
      <c r="G100" s="6"/>
      <c r="H100" s="2"/>
      <c r="I100" s="2"/>
    </row>
    <row r="101" spans="4:9" ht="15" customHeight="1">
      <c r="E101" s="6"/>
      <c r="F101" s="6"/>
      <c r="G101" s="6"/>
    </row>
    <row r="102" spans="4:9" ht="15" customHeight="1">
      <c r="E102" s="6"/>
      <c r="F102" s="6"/>
      <c r="G102" s="6"/>
      <c r="H102" s="6"/>
      <c r="I102" s="6"/>
    </row>
    <row r="103" spans="4:9" ht="15" customHeight="1">
      <c r="E103" s="6"/>
      <c r="F103" s="6"/>
      <c r="G103" s="6"/>
    </row>
    <row r="104" spans="4:9" ht="15" customHeight="1">
      <c r="E104" s="6"/>
      <c r="F104" s="6"/>
      <c r="G104" s="6"/>
    </row>
    <row r="105" spans="4:9" ht="15" customHeight="1">
      <c r="E105" s="6"/>
      <c r="F105" s="6"/>
      <c r="G105" s="6"/>
    </row>
    <row r="106" spans="4:9" ht="15" customHeight="1">
      <c r="E106" s="6"/>
      <c r="F106" s="6"/>
      <c r="G106" s="6"/>
      <c r="H106" s="6"/>
      <c r="I106" s="6"/>
    </row>
    <row r="107" spans="4:9" ht="15" customHeight="1">
      <c r="E107" s="6"/>
      <c r="F107" s="6"/>
      <c r="G107" s="6"/>
    </row>
    <row r="108" spans="4:9" ht="15" customHeight="1">
      <c r="E108" s="6"/>
      <c r="F108" s="6"/>
      <c r="G108" s="6"/>
    </row>
    <row r="109" spans="4:9" ht="15" customHeight="1">
      <c r="E109" s="6"/>
      <c r="F109" s="6"/>
      <c r="G109" s="6"/>
    </row>
    <row r="110" spans="4:9" ht="15" customHeight="1">
      <c r="E110" s="6"/>
      <c r="F110" s="6"/>
      <c r="G110" s="6"/>
    </row>
  </sheetData>
  <mergeCells count="25">
    <mergeCell ref="AY3:BM4"/>
    <mergeCell ref="AY5:BC5"/>
    <mergeCell ref="BD5:BH5"/>
    <mergeCell ref="BI5:BM5"/>
    <mergeCell ref="U4:U6"/>
    <mergeCell ref="AJ5:AN5"/>
    <mergeCell ref="AO5:AS5"/>
    <mergeCell ref="AT5:AX5"/>
    <mergeCell ref="AJ3:AX4"/>
    <mergeCell ref="AC3:AH5"/>
    <mergeCell ref="AI3:AI6"/>
    <mergeCell ref="A3:A6"/>
    <mergeCell ref="B3:B6"/>
    <mergeCell ref="C3:C6"/>
    <mergeCell ref="D3:D6"/>
    <mergeCell ref="E3:E6"/>
    <mergeCell ref="F3:K5"/>
    <mergeCell ref="W3:AB5"/>
    <mergeCell ref="N5:S5"/>
    <mergeCell ref="T5:T6"/>
    <mergeCell ref="V5:V6"/>
    <mergeCell ref="L3:L6"/>
    <mergeCell ref="N3:V3"/>
    <mergeCell ref="M3:M6"/>
    <mergeCell ref="N4:T4"/>
  </mergeCells>
  <phoneticPr fontId="2"/>
  <conditionalFormatting sqref="AT7:AX38 BI7:BM38 AP91:AT95">
    <cfRule type="notContainsBlanks" dxfId="138" priority="171" stopIfTrue="1">
      <formula>LEN(TRIM(AP7))&gt;0</formula>
    </cfRule>
  </conditionalFormatting>
  <conditionalFormatting sqref="AO8:AS38">
    <cfRule type="expression" dxfId="137" priority="143">
      <formula>ABS(AO8)=1</formula>
    </cfRule>
  </conditionalFormatting>
  <conditionalFormatting sqref="AO42:AO46 AO50:AO51 AO63 AO67 AO71:AO90 AP10:AS15 AP17:AS20 AP22:AS22 AP25:AS30 AP32:AS34 AP36:AS36 AP38:AS38 AP44:AS44 AP51:AS51 AP57:AS57 AO55:AO59">
    <cfRule type="expression" dxfId="136" priority="170">
      <formula>ABS(AO10)=1</formula>
    </cfRule>
  </conditionalFormatting>
  <conditionalFormatting sqref="AT42:AX46 AT50:AX51 AU47:AX49 AT63:AX63 AT67:AX67 AT71:AX90 AT55:AX59">
    <cfRule type="notContainsBlanks" dxfId="135" priority="169" stopIfTrue="1">
      <formula>LEN(TRIM(AT42))&gt;0</formula>
    </cfRule>
  </conditionalFormatting>
  <conditionalFormatting sqref="AP42:AS46 AP50:AS51 AP63:AS63 AP67:AS67 AP71:AS90 AP55:AS59">
    <cfRule type="expression" dxfId="134" priority="168">
      <formula>ABS(AP42)=1</formula>
    </cfRule>
  </conditionalFormatting>
  <conditionalFormatting sqref="AT42:AT46 AT50:AT51 AT63 AT67 AT71:AT90 AT55:AT59">
    <cfRule type="notContainsBlanks" dxfId="133" priority="167" stopIfTrue="1">
      <formula>LEN(TRIM(AT42))&gt;0</formula>
    </cfRule>
  </conditionalFormatting>
  <conditionalFormatting sqref="AT42:AX46 AT50:AX51 AU47:AX49 AT63:AX63 AT67:AX67 AT71:AX90 AT55:AX59">
    <cfRule type="notContainsBlanks" dxfId="132" priority="166" stopIfTrue="1">
      <formula>LEN(TRIM(AT42))&gt;0</formula>
    </cfRule>
  </conditionalFormatting>
  <conditionalFormatting sqref="AO7:AS7">
    <cfRule type="expression" dxfId="131" priority="165">
      <formula>ABS(AO7)=1</formula>
    </cfRule>
  </conditionalFormatting>
  <conditionalFormatting sqref="AO42:AS46 AO50:AS51 AO63:AS63 AO67:AS67 AO71:AS90 AO55:AS59">
    <cfRule type="expression" dxfId="130" priority="164">
      <formula>ABS(AO42)=1</formula>
    </cfRule>
  </conditionalFormatting>
  <conditionalFormatting sqref="BD38:BH38">
    <cfRule type="expression" dxfId="129" priority="163">
      <formula>ABS(BD38)=1</formula>
    </cfRule>
  </conditionalFormatting>
  <conditionalFormatting sqref="BE38:BH38">
    <cfRule type="expression" dxfId="128" priority="162">
      <formula>ABS(BE38)=1</formula>
    </cfRule>
  </conditionalFormatting>
  <conditionalFormatting sqref="BD38:BH38">
    <cfRule type="expression" dxfId="127" priority="161">
      <formula>ABS(BD38)=1</formula>
    </cfRule>
  </conditionalFormatting>
  <conditionalFormatting sqref="BD25:BH30">
    <cfRule type="expression" dxfId="126" priority="160">
      <formula>ABS(BD25)=1</formula>
    </cfRule>
  </conditionalFormatting>
  <conditionalFormatting sqref="BD25:BH30">
    <cfRule type="expression" dxfId="125" priority="159">
      <formula>ABS(BD25)=1</formula>
    </cfRule>
  </conditionalFormatting>
  <conditionalFormatting sqref="BD25:BH30">
    <cfRule type="expression" dxfId="124" priority="158">
      <formula>ABS(BD25)=1</formula>
    </cfRule>
  </conditionalFormatting>
  <conditionalFormatting sqref="BD26:BH30">
    <cfRule type="expression" dxfId="123" priority="157">
      <formula>ABS(BD26)=1</formula>
    </cfRule>
  </conditionalFormatting>
  <conditionalFormatting sqref="BE26:BH30">
    <cfRule type="expression" dxfId="122" priority="156">
      <formula>ABS(BE26)=1</formula>
    </cfRule>
  </conditionalFormatting>
  <conditionalFormatting sqref="BD26:BH30">
    <cfRule type="expression" dxfId="121" priority="155">
      <formula>ABS(BD26)=1</formula>
    </cfRule>
  </conditionalFormatting>
  <conditionalFormatting sqref="BD36:BH36">
    <cfRule type="expression" dxfId="120" priority="151">
      <formula>ABS(BD36)=1</formula>
    </cfRule>
  </conditionalFormatting>
  <conditionalFormatting sqref="BD36:BH36">
    <cfRule type="expression" dxfId="119" priority="150">
      <formula>ABS(BD36)=1</formula>
    </cfRule>
  </conditionalFormatting>
  <conditionalFormatting sqref="BD36:BH36">
    <cfRule type="expression" dxfId="118" priority="149">
      <formula>ABS(BD36)=1</formula>
    </cfRule>
  </conditionalFormatting>
  <conditionalFormatting sqref="BD43:BH43">
    <cfRule type="expression" dxfId="117" priority="148">
      <formula>ABS(BD43)=1</formula>
    </cfRule>
  </conditionalFormatting>
  <conditionalFormatting sqref="BD43:BH43">
    <cfRule type="expression" dxfId="116" priority="147">
      <formula>ABS(BD43)=1</formula>
    </cfRule>
  </conditionalFormatting>
  <conditionalFormatting sqref="BD43:BH43">
    <cfRule type="expression" dxfId="115" priority="146">
      <formula>ABS(BD43)=1</formula>
    </cfRule>
  </conditionalFormatting>
  <conditionalFormatting sqref="BD51:BH51">
    <cfRule type="expression" dxfId="114" priority="142">
      <formula>ABS(BD51)=1</formula>
    </cfRule>
  </conditionalFormatting>
  <conditionalFormatting sqref="BD51:BH51">
    <cfRule type="expression" dxfId="113" priority="141">
      <formula>ABS(BD51)=1</formula>
    </cfRule>
  </conditionalFormatting>
  <conditionalFormatting sqref="BD51:BH51">
    <cfRule type="expression" dxfId="112" priority="140">
      <formula>ABS(BD51)=1</formula>
    </cfRule>
  </conditionalFormatting>
  <conditionalFormatting sqref="BI42:BM51 BI63:BM63 BI67:BM67 BI71:BM90 BI55:BM59">
    <cfRule type="notContainsBlanks" dxfId="111" priority="139" stopIfTrue="1">
      <formula>LEN(TRIM(BI42))&gt;0</formula>
    </cfRule>
  </conditionalFormatting>
  <conditionalFormatting sqref="BI42:BM51 BI63:BM63 BI67:BM67 BI71:BM90 BI55:BM59">
    <cfRule type="notContainsBlanks" dxfId="110" priority="138" stopIfTrue="1">
      <formula>LEN(TRIM(BI42))&gt;0</formula>
    </cfRule>
  </conditionalFormatting>
  <conditionalFormatting sqref="BI42:BM51 BI63:BM63 BI67:BM67 BI71:BM90 BI55:BM59">
    <cfRule type="notContainsBlanks" dxfId="109" priority="137" stopIfTrue="1">
      <formula>LEN(TRIM(BI42))&gt;0</formula>
    </cfRule>
  </conditionalFormatting>
  <conditionalFormatting sqref="BD39:BH39">
    <cfRule type="expression" dxfId="108" priority="116">
      <formula>ABS(BD39)=1</formula>
    </cfRule>
  </conditionalFormatting>
  <conditionalFormatting sqref="AT39:AX39 AU40:AX41">
    <cfRule type="notContainsBlanks" dxfId="107" priority="123" stopIfTrue="1">
      <formula>LEN(TRIM(AT39))&gt;0</formula>
    </cfRule>
  </conditionalFormatting>
  <conditionalFormatting sqref="AT39">
    <cfRule type="notContainsBlanks" dxfId="106" priority="121" stopIfTrue="1">
      <formula>LEN(TRIM(AT39))&gt;0</formula>
    </cfRule>
  </conditionalFormatting>
  <conditionalFormatting sqref="AT39:AX39 AU40:AX41">
    <cfRule type="notContainsBlanks" dxfId="105" priority="120" stopIfTrue="1">
      <formula>LEN(TRIM(AT39))&gt;0</formula>
    </cfRule>
  </conditionalFormatting>
  <conditionalFormatting sqref="BD39:BH39">
    <cfRule type="expression" dxfId="104" priority="118">
      <formula>ABS(BD39)=1</formula>
    </cfRule>
  </conditionalFormatting>
  <conditionalFormatting sqref="BD39:BH39">
    <cfRule type="expression" dxfId="103" priority="117">
      <formula>ABS(BD39)=1</formula>
    </cfRule>
  </conditionalFormatting>
  <conditionalFormatting sqref="BI39:BM41">
    <cfRule type="notContainsBlanks" dxfId="102" priority="115" stopIfTrue="1">
      <formula>LEN(TRIM(BI39))&gt;0</formula>
    </cfRule>
  </conditionalFormatting>
  <conditionalFormatting sqref="BI39:BM41">
    <cfRule type="notContainsBlanks" dxfId="101" priority="114" stopIfTrue="1">
      <formula>LEN(TRIM(BI39))&gt;0</formula>
    </cfRule>
  </conditionalFormatting>
  <conditionalFormatting sqref="BI39:BM41">
    <cfRule type="notContainsBlanks" dxfId="100" priority="113" stopIfTrue="1">
      <formula>LEN(TRIM(BI39))&gt;0</formula>
    </cfRule>
  </conditionalFormatting>
  <conditionalFormatting sqref="BD46:BH46">
    <cfRule type="expression" dxfId="99" priority="98">
      <formula>ABS(BD46)=1</formula>
    </cfRule>
  </conditionalFormatting>
  <conditionalFormatting sqref="BD46:BH46">
    <cfRule type="expression" dxfId="98" priority="100">
      <formula>ABS(BD46)=1</formula>
    </cfRule>
  </conditionalFormatting>
  <conditionalFormatting sqref="BD46:BH46">
    <cfRule type="expression" dxfId="97" priority="99">
      <formula>ABS(BD46)=1</formula>
    </cfRule>
  </conditionalFormatting>
  <conditionalFormatting sqref="BD31:BH31">
    <cfRule type="expression" dxfId="96" priority="97">
      <formula>ABS(BD31)=1</formula>
    </cfRule>
  </conditionalFormatting>
  <conditionalFormatting sqref="BD31:BH31">
    <cfRule type="expression" dxfId="95" priority="96">
      <formula>ABS(BD31)=1</formula>
    </cfRule>
  </conditionalFormatting>
  <conditionalFormatting sqref="BD31:BH31">
    <cfRule type="expression" dxfId="94" priority="95">
      <formula>ABS(BD31)=1</formula>
    </cfRule>
  </conditionalFormatting>
  <conditionalFormatting sqref="E93:AI93">
    <cfRule type="cellIs" dxfId="93" priority="94" operator="notEqual">
      <formula>0</formula>
    </cfRule>
  </conditionalFormatting>
  <conditionalFormatting sqref="AO39:AS39">
    <cfRule type="expression" dxfId="92" priority="93">
      <formula>ABS(AO39)=1</formula>
    </cfRule>
  </conditionalFormatting>
  <conditionalFormatting sqref="AP39:AS39">
    <cfRule type="expression" dxfId="91" priority="92">
      <formula>ABS(AP39)=1</formula>
    </cfRule>
  </conditionalFormatting>
  <conditionalFormatting sqref="AO39:AS39">
    <cfRule type="expression" dxfId="90" priority="91">
      <formula>ABS(AO39)=1</formula>
    </cfRule>
  </conditionalFormatting>
  <conditionalFormatting sqref="BD44:BH44">
    <cfRule type="expression" dxfId="89" priority="90">
      <formula>ABS(BD44)=1</formula>
    </cfRule>
  </conditionalFormatting>
  <conditionalFormatting sqref="BD44:BH44">
    <cfRule type="expression" dxfId="88" priority="89">
      <formula>ABS(BD44)=1</formula>
    </cfRule>
  </conditionalFormatting>
  <conditionalFormatting sqref="BD44:BH44">
    <cfRule type="expression" dxfId="87" priority="88">
      <formula>ABS(BD44)=1</formula>
    </cfRule>
  </conditionalFormatting>
  <conditionalFormatting sqref="BD32:BH34">
    <cfRule type="expression" dxfId="86" priority="87">
      <formula>ABS(BD32)=1</formula>
    </cfRule>
  </conditionalFormatting>
  <conditionalFormatting sqref="BD32:BH34">
    <cfRule type="expression" dxfId="85" priority="86">
      <formula>ABS(BD32)=1</formula>
    </cfRule>
  </conditionalFormatting>
  <conditionalFormatting sqref="BD32:BH34">
    <cfRule type="expression" dxfId="84" priority="85">
      <formula>ABS(BD32)=1</formula>
    </cfRule>
  </conditionalFormatting>
  <conditionalFormatting sqref="BD32:BH34">
    <cfRule type="expression" dxfId="83" priority="84">
      <formula>ABS(BD32)=1</formula>
    </cfRule>
  </conditionalFormatting>
  <conditionalFormatting sqref="BE32:BH34">
    <cfRule type="expression" dxfId="82" priority="83">
      <formula>ABS(BE32)=1</formula>
    </cfRule>
  </conditionalFormatting>
  <conditionalFormatting sqref="BD32:BH34">
    <cfRule type="expression" dxfId="81" priority="82">
      <formula>ABS(BD32)=1</formula>
    </cfRule>
  </conditionalFormatting>
  <conditionalFormatting sqref="BD40:BH41">
    <cfRule type="expression" dxfId="80" priority="79">
      <formula>ABS(BD40)=1</formula>
    </cfRule>
  </conditionalFormatting>
  <conditionalFormatting sqref="BD40:BH41">
    <cfRule type="expression" dxfId="79" priority="81">
      <formula>ABS(BD40)=1</formula>
    </cfRule>
  </conditionalFormatting>
  <conditionalFormatting sqref="BD40:BH41">
    <cfRule type="expression" dxfId="78" priority="80">
      <formula>ABS(BD40)=1</formula>
    </cfRule>
  </conditionalFormatting>
  <conditionalFormatting sqref="BD47:BH49">
    <cfRule type="expression" dxfId="77" priority="76">
      <formula>ABS(BD47)=1</formula>
    </cfRule>
  </conditionalFormatting>
  <conditionalFormatting sqref="BD47:BH49">
    <cfRule type="expression" dxfId="76" priority="78">
      <formula>ABS(BD47)=1</formula>
    </cfRule>
  </conditionalFormatting>
  <conditionalFormatting sqref="BD47:BH49">
    <cfRule type="expression" dxfId="75" priority="77">
      <formula>ABS(BD47)=1</formula>
    </cfRule>
  </conditionalFormatting>
  <conditionalFormatting sqref="AT40:AT41">
    <cfRule type="notContainsBlanks" dxfId="74" priority="75" stopIfTrue="1">
      <formula>LEN(TRIM(AT40))&gt;0</formula>
    </cfRule>
  </conditionalFormatting>
  <conditionalFormatting sqref="AT40:AT41">
    <cfRule type="notContainsBlanks" dxfId="73" priority="74" stopIfTrue="1">
      <formula>LEN(TRIM(AT40))&gt;0</formula>
    </cfRule>
  </conditionalFormatting>
  <conditionalFormatting sqref="AT40:AT41">
    <cfRule type="notContainsBlanks" dxfId="72" priority="73" stopIfTrue="1">
      <formula>LEN(TRIM(AT40))&gt;0</formula>
    </cfRule>
  </conditionalFormatting>
  <conditionalFormatting sqref="AO40:AS41">
    <cfRule type="expression" dxfId="71" priority="72">
      <formula>ABS(AO40)=1</formula>
    </cfRule>
  </conditionalFormatting>
  <conditionalFormatting sqref="AP40:AS41">
    <cfRule type="expression" dxfId="70" priority="71">
      <formula>ABS(AP40)=1</formula>
    </cfRule>
  </conditionalFormatting>
  <conditionalFormatting sqref="AO40:AS41">
    <cfRule type="expression" dxfId="69" priority="70">
      <formula>ABS(AO40)=1</formula>
    </cfRule>
  </conditionalFormatting>
  <conditionalFormatting sqref="AO47:AS49">
    <cfRule type="expression" dxfId="68" priority="69">
      <formula>ABS(AO47)=1</formula>
    </cfRule>
  </conditionalFormatting>
  <conditionalFormatting sqref="AT47:AT49">
    <cfRule type="notContainsBlanks" dxfId="67" priority="68" stopIfTrue="1">
      <formula>LEN(TRIM(AT47))&gt;0</formula>
    </cfRule>
  </conditionalFormatting>
  <conditionalFormatting sqref="AP47:AS49">
    <cfRule type="expression" dxfId="66" priority="67">
      <formula>ABS(AP47)=1</formula>
    </cfRule>
  </conditionalFormatting>
  <conditionalFormatting sqref="AT47:AT49">
    <cfRule type="notContainsBlanks" dxfId="65" priority="66" stopIfTrue="1">
      <formula>LEN(TRIM(AT47))&gt;0</formula>
    </cfRule>
  </conditionalFormatting>
  <conditionalFormatting sqref="AT47:AT49">
    <cfRule type="notContainsBlanks" dxfId="64" priority="65" stopIfTrue="1">
      <formula>LEN(TRIM(AT47))&gt;0</formula>
    </cfRule>
  </conditionalFormatting>
  <conditionalFormatting sqref="AO47:AS49">
    <cfRule type="expression" dxfId="63" priority="64">
      <formula>ABS(AO47)=1</formula>
    </cfRule>
  </conditionalFormatting>
  <conditionalFormatting sqref="AO60:AO62">
    <cfRule type="expression" dxfId="62" priority="63">
      <formula>ABS(AO60)=1</formula>
    </cfRule>
  </conditionalFormatting>
  <conditionalFormatting sqref="AT60:AX62">
    <cfRule type="notContainsBlanks" dxfId="61" priority="62" stopIfTrue="1">
      <formula>LEN(TRIM(AT60))&gt;0</formula>
    </cfRule>
  </conditionalFormatting>
  <conditionalFormatting sqref="AP60:AS62">
    <cfRule type="expression" dxfId="60" priority="61">
      <formula>ABS(AP60)=1</formula>
    </cfRule>
  </conditionalFormatting>
  <conditionalFormatting sqref="AT60:AT62">
    <cfRule type="notContainsBlanks" dxfId="59" priority="60" stopIfTrue="1">
      <formula>LEN(TRIM(AT60))&gt;0</formula>
    </cfRule>
  </conditionalFormatting>
  <conditionalFormatting sqref="AT60:AX62">
    <cfRule type="notContainsBlanks" dxfId="58" priority="59" stopIfTrue="1">
      <formula>LEN(TRIM(AT60))&gt;0</formula>
    </cfRule>
  </conditionalFormatting>
  <conditionalFormatting sqref="AO60:AS62">
    <cfRule type="expression" dxfId="57" priority="58">
      <formula>ABS(AO60)=1</formula>
    </cfRule>
  </conditionalFormatting>
  <conditionalFormatting sqref="BI60:BM62">
    <cfRule type="notContainsBlanks" dxfId="56" priority="57" stopIfTrue="1">
      <formula>LEN(TRIM(BI60))&gt;0</formula>
    </cfRule>
  </conditionalFormatting>
  <conditionalFormatting sqref="BI60:BM62">
    <cfRule type="notContainsBlanks" dxfId="55" priority="56" stopIfTrue="1">
      <formula>LEN(TRIM(BI60))&gt;0</formula>
    </cfRule>
  </conditionalFormatting>
  <conditionalFormatting sqref="BI60:BM62">
    <cfRule type="notContainsBlanks" dxfId="54" priority="55" stopIfTrue="1">
      <formula>LEN(TRIM(BI60))&gt;0</formula>
    </cfRule>
  </conditionalFormatting>
  <conditionalFormatting sqref="AO64:AO66">
    <cfRule type="expression" dxfId="53" priority="54">
      <formula>ABS(AO64)=1</formula>
    </cfRule>
  </conditionalFormatting>
  <conditionalFormatting sqref="AT64:AX66">
    <cfRule type="notContainsBlanks" dxfId="52" priority="53" stopIfTrue="1">
      <formula>LEN(TRIM(AT64))&gt;0</formula>
    </cfRule>
  </conditionalFormatting>
  <conditionalFormatting sqref="AP64:AS66">
    <cfRule type="expression" dxfId="51" priority="52">
      <formula>ABS(AP64)=1</formula>
    </cfRule>
  </conditionalFormatting>
  <conditionalFormatting sqref="AT64:AT66">
    <cfRule type="notContainsBlanks" dxfId="50" priority="51" stopIfTrue="1">
      <formula>LEN(TRIM(AT64))&gt;0</formula>
    </cfRule>
  </conditionalFormatting>
  <conditionalFormatting sqref="AT64:AX66">
    <cfRule type="notContainsBlanks" dxfId="49" priority="50" stopIfTrue="1">
      <formula>LEN(TRIM(AT64))&gt;0</formula>
    </cfRule>
  </conditionalFormatting>
  <conditionalFormatting sqref="AO64:AS66">
    <cfRule type="expression" dxfId="48" priority="49">
      <formula>ABS(AO64)=1</formula>
    </cfRule>
  </conditionalFormatting>
  <conditionalFormatting sqref="BI64:BM66">
    <cfRule type="notContainsBlanks" dxfId="47" priority="48" stopIfTrue="1">
      <formula>LEN(TRIM(BI64))&gt;0</formula>
    </cfRule>
  </conditionalFormatting>
  <conditionalFormatting sqref="BI64:BM66">
    <cfRule type="notContainsBlanks" dxfId="46" priority="47" stopIfTrue="1">
      <formula>LEN(TRIM(BI64))&gt;0</formula>
    </cfRule>
  </conditionalFormatting>
  <conditionalFormatting sqref="BI64:BM66">
    <cfRule type="notContainsBlanks" dxfId="45" priority="46" stopIfTrue="1">
      <formula>LEN(TRIM(BI64))&gt;0</formula>
    </cfRule>
  </conditionalFormatting>
  <conditionalFormatting sqref="AO68:AO70">
    <cfRule type="expression" dxfId="44" priority="45">
      <formula>ABS(AO68)=1</formula>
    </cfRule>
  </conditionalFormatting>
  <conditionalFormatting sqref="AT68:AX70">
    <cfRule type="notContainsBlanks" dxfId="43" priority="44" stopIfTrue="1">
      <formula>LEN(TRIM(AT68))&gt;0</formula>
    </cfRule>
  </conditionalFormatting>
  <conditionalFormatting sqref="AP68:AS70">
    <cfRule type="expression" dxfId="42" priority="43">
      <formula>ABS(AP68)=1</formula>
    </cfRule>
  </conditionalFormatting>
  <conditionalFormatting sqref="AT68:AT70">
    <cfRule type="notContainsBlanks" dxfId="41" priority="42" stopIfTrue="1">
      <formula>LEN(TRIM(AT68))&gt;0</formula>
    </cfRule>
  </conditionalFormatting>
  <conditionalFormatting sqref="AT68:AX70">
    <cfRule type="notContainsBlanks" dxfId="40" priority="41" stopIfTrue="1">
      <formula>LEN(TRIM(AT68))&gt;0</formula>
    </cfRule>
  </conditionalFormatting>
  <conditionalFormatting sqref="AO68:AS70">
    <cfRule type="expression" dxfId="39" priority="40">
      <formula>ABS(AO68)=1</formula>
    </cfRule>
  </conditionalFormatting>
  <conditionalFormatting sqref="BI68:BM70">
    <cfRule type="notContainsBlanks" dxfId="38" priority="39" stopIfTrue="1">
      <formula>LEN(TRIM(BI68))&gt;0</formula>
    </cfRule>
  </conditionalFormatting>
  <conditionalFormatting sqref="BI68:BM70">
    <cfRule type="notContainsBlanks" dxfId="37" priority="38" stopIfTrue="1">
      <formula>LEN(TRIM(BI68))&gt;0</formula>
    </cfRule>
  </conditionalFormatting>
  <conditionalFormatting sqref="BI68:BM70">
    <cfRule type="notContainsBlanks" dxfId="36" priority="37" stopIfTrue="1">
      <formula>LEN(TRIM(BI68))&gt;0</formula>
    </cfRule>
  </conditionalFormatting>
  <conditionalFormatting sqref="AO52:AS52">
    <cfRule type="expression" dxfId="35" priority="36">
      <formula>ABS(AO52)=1</formula>
    </cfRule>
  </conditionalFormatting>
  <conditionalFormatting sqref="AT52:AX52">
    <cfRule type="notContainsBlanks" dxfId="34" priority="35" stopIfTrue="1">
      <formula>LEN(TRIM(AT52))&gt;0</formula>
    </cfRule>
  </conditionalFormatting>
  <conditionalFormatting sqref="AP52:AS52">
    <cfRule type="expression" dxfId="33" priority="34">
      <formula>ABS(AP52)=1</formula>
    </cfRule>
  </conditionalFormatting>
  <conditionalFormatting sqref="AT52">
    <cfRule type="notContainsBlanks" dxfId="32" priority="33" stopIfTrue="1">
      <formula>LEN(TRIM(AT52))&gt;0</formula>
    </cfRule>
  </conditionalFormatting>
  <conditionalFormatting sqref="AT52:AX52">
    <cfRule type="notContainsBlanks" dxfId="31" priority="32" stopIfTrue="1">
      <formula>LEN(TRIM(AT52))&gt;0</formula>
    </cfRule>
  </conditionalFormatting>
  <conditionalFormatting sqref="AO52:AS52">
    <cfRule type="expression" dxfId="30" priority="31">
      <formula>ABS(AO52)=1</formula>
    </cfRule>
  </conditionalFormatting>
  <conditionalFormatting sqref="BD52:BH52">
    <cfRule type="expression" dxfId="29" priority="30">
      <formula>ABS(BD52)=1</formula>
    </cfRule>
  </conditionalFormatting>
  <conditionalFormatting sqref="BD52:BH52">
    <cfRule type="expression" dxfId="28" priority="29">
      <formula>ABS(BD52)=1</formula>
    </cfRule>
  </conditionalFormatting>
  <conditionalFormatting sqref="BD52:BH52">
    <cfRule type="expression" dxfId="27" priority="28">
      <formula>ABS(BD52)=1</formula>
    </cfRule>
  </conditionalFormatting>
  <conditionalFormatting sqref="BI52:BM52">
    <cfRule type="notContainsBlanks" dxfId="26" priority="27" stopIfTrue="1">
      <formula>LEN(TRIM(BI52))&gt;0</formula>
    </cfRule>
  </conditionalFormatting>
  <conditionalFormatting sqref="BI52:BM52">
    <cfRule type="notContainsBlanks" dxfId="25" priority="26" stopIfTrue="1">
      <formula>LEN(TRIM(BI52))&gt;0</formula>
    </cfRule>
  </conditionalFormatting>
  <conditionalFormatting sqref="BI52:BM52">
    <cfRule type="notContainsBlanks" dxfId="24" priority="25" stopIfTrue="1">
      <formula>LEN(TRIM(BI52))&gt;0</formula>
    </cfRule>
  </conditionalFormatting>
  <conditionalFormatting sqref="AO53:AS53">
    <cfRule type="expression" dxfId="23" priority="24">
      <formula>ABS(AO53)=1</formula>
    </cfRule>
  </conditionalFormatting>
  <conditionalFormatting sqref="AT53:AX53">
    <cfRule type="notContainsBlanks" dxfId="22" priority="23" stopIfTrue="1">
      <formula>LEN(TRIM(AT53))&gt;0</formula>
    </cfRule>
  </conditionalFormatting>
  <conditionalFormatting sqref="AP53:AS53">
    <cfRule type="expression" dxfId="21" priority="22">
      <formula>ABS(AP53)=1</formula>
    </cfRule>
  </conditionalFormatting>
  <conditionalFormatting sqref="AT53">
    <cfRule type="notContainsBlanks" dxfId="20" priority="21" stopIfTrue="1">
      <formula>LEN(TRIM(AT53))&gt;0</formula>
    </cfRule>
  </conditionalFormatting>
  <conditionalFormatting sqref="AT53:AX53">
    <cfRule type="notContainsBlanks" dxfId="19" priority="20" stopIfTrue="1">
      <formula>LEN(TRIM(AT53))&gt;0</formula>
    </cfRule>
  </conditionalFormatting>
  <conditionalFormatting sqref="AO53:AS53">
    <cfRule type="expression" dxfId="18" priority="19">
      <formula>ABS(AO53)=1</formula>
    </cfRule>
  </conditionalFormatting>
  <conditionalFormatting sqref="BD53:BH53">
    <cfRule type="expression" dxfId="17" priority="18">
      <formula>ABS(BD53)=1</formula>
    </cfRule>
  </conditionalFormatting>
  <conditionalFormatting sqref="BD53:BH53">
    <cfRule type="expression" dxfId="16" priority="17">
      <formula>ABS(BD53)=1</formula>
    </cfRule>
  </conditionalFormatting>
  <conditionalFormatting sqref="BD53:BH53">
    <cfRule type="expression" dxfId="15" priority="16">
      <formula>ABS(BD53)=1</formula>
    </cfRule>
  </conditionalFormatting>
  <conditionalFormatting sqref="BI53:BM53">
    <cfRule type="notContainsBlanks" dxfId="14" priority="15" stopIfTrue="1">
      <formula>LEN(TRIM(BI53))&gt;0</formula>
    </cfRule>
  </conditionalFormatting>
  <conditionalFormatting sqref="BI53:BM53">
    <cfRule type="notContainsBlanks" dxfId="13" priority="14" stopIfTrue="1">
      <formula>LEN(TRIM(BI53))&gt;0</formula>
    </cfRule>
  </conditionalFormatting>
  <conditionalFormatting sqref="BI53:BM53">
    <cfRule type="notContainsBlanks" dxfId="12" priority="13" stopIfTrue="1">
      <formula>LEN(TRIM(BI53))&gt;0</formula>
    </cfRule>
  </conditionalFormatting>
  <conditionalFormatting sqref="AO54:AS54">
    <cfRule type="expression" dxfId="11" priority="12">
      <formula>ABS(AO54)=1</formula>
    </cfRule>
  </conditionalFormatting>
  <conditionalFormatting sqref="AT54:AX54">
    <cfRule type="notContainsBlanks" dxfId="10" priority="11" stopIfTrue="1">
      <formula>LEN(TRIM(AT54))&gt;0</formula>
    </cfRule>
  </conditionalFormatting>
  <conditionalFormatting sqref="AP54:AS54">
    <cfRule type="expression" dxfId="9" priority="10">
      <formula>ABS(AP54)=1</formula>
    </cfRule>
  </conditionalFormatting>
  <conditionalFormatting sqref="AT54">
    <cfRule type="notContainsBlanks" dxfId="8" priority="9" stopIfTrue="1">
      <formula>LEN(TRIM(AT54))&gt;0</formula>
    </cfRule>
  </conditionalFormatting>
  <conditionalFormatting sqref="AT54:AX54">
    <cfRule type="notContainsBlanks" dxfId="7" priority="8" stopIfTrue="1">
      <formula>LEN(TRIM(AT54))&gt;0</formula>
    </cfRule>
  </conditionalFormatting>
  <conditionalFormatting sqref="AO54:AS54">
    <cfRule type="expression" dxfId="6" priority="7">
      <formula>ABS(AO54)=1</formula>
    </cfRule>
  </conditionalFormatting>
  <conditionalFormatting sqref="BD54:BH54">
    <cfRule type="expression" dxfId="5" priority="6">
      <formula>ABS(BD54)=1</formula>
    </cfRule>
  </conditionalFormatting>
  <conditionalFormatting sqref="BD54:BH54">
    <cfRule type="expression" dxfId="4" priority="5">
      <formula>ABS(BD54)=1</formula>
    </cfRule>
  </conditionalFormatting>
  <conditionalFormatting sqref="BD54:BH54">
    <cfRule type="expression" dxfId="3" priority="4">
      <formula>ABS(BD54)=1</formula>
    </cfRule>
  </conditionalFormatting>
  <conditionalFormatting sqref="BI54:BM54">
    <cfRule type="notContainsBlanks" dxfId="2" priority="3" stopIfTrue="1">
      <formula>LEN(TRIM(BI54))&gt;0</formula>
    </cfRule>
  </conditionalFormatting>
  <conditionalFormatting sqref="BI54:BM54">
    <cfRule type="notContainsBlanks" dxfId="1" priority="2" stopIfTrue="1">
      <formula>LEN(TRIM(BI54))&gt;0</formula>
    </cfRule>
  </conditionalFormatting>
  <conditionalFormatting sqref="BI54:BM54">
    <cfRule type="notContainsBlanks" dxfId="0" priority="1" stopIfTrue="1">
      <formula>LEN(TRIM(BI54))&gt;0</formula>
    </cfRule>
  </conditionalFormatting>
  <pageMargins left="0.98425196850393704" right="0.39370078740157483" top="0.59055118110236227" bottom="0.39370078740157483" header="0.19685039370078741" footer="0.19685039370078741"/>
  <pageSetup paperSize="8" scale="49"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4条収入</vt:lpstr>
      <vt:lpstr>'4条収入'!Print_Area</vt:lpstr>
      <vt:lpstr>'4条収入'!Print_Titles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広島市</dc:creator>
  <cp:lastModifiedBy>安達 謙介</cp:lastModifiedBy>
  <cp:lastPrinted>2024-05-18T08:47:15Z</cp:lastPrinted>
  <dcterms:created xsi:type="dcterms:W3CDTF">2018-01-17T23:59:28Z</dcterms:created>
  <dcterms:modified xsi:type="dcterms:W3CDTF">2024-06-13T02:44:10Z</dcterms:modified>
</cp:coreProperties>
</file>