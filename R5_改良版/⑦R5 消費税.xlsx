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経理係フォルダ\☆決算事務\０５年度決算\06 R5決算 消費税計算\02 繰入金計算\令和５年度決算用\"/>
    </mc:Choice>
  </mc:AlternateContent>
  <bookViews>
    <workbookView xWindow="18990" yWindow="45" windowWidth="18180" windowHeight="8550" tabRatio="658" activeTab="9"/>
  </bookViews>
  <sheets>
    <sheet name="(申)3%" sheetId="1" r:id="rId1"/>
    <sheet name="(申)5%" sheetId="2" r:id="rId2"/>
    <sheet name="(申)8%" sheetId="3" r:id="rId3"/>
    <sheet name="(申)軽8%" sheetId="13" r:id="rId4"/>
    <sheet name="(申)10%" sheetId="14" r:id="rId5"/>
    <sheet name="(申)計" sheetId="4" r:id="rId6"/>
    <sheet name="消費税旧" sheetId="5" r:id="rId7"/>
    <sheet name="対価返還" sheetId="6" r:id="rId8"/>
    <sheet name="基礎数値" sheetId="7" r:id="rId9"/>
    <sheet name="消費税" sheetId="8" r:id="rId10"/>
    <sheet name="4条圧縮" sheetId="9" r:id="rId11"/>
    <sheet name="仮受仮払" sheetId="10" r:id="rId12"/>
    <sheet name="精算表" sheetId="11" r:id="rId13"/>
    <sheet name="振替表" sheetId="12" r:id="rId14"/>
  </sheets>
  <externalReferences>
    <externalReference r:id="rId15"/>
    <externalReference r:id="rId16"/>
    <externalReference r:id="rId17"/>
    <externalReference r:id="rId18"/>
    <externalReference r:id="rId19"/>
    <externalReference r:id="rId20"/>
    <externalReference r:id="rId21"/>
  </externalReferences>
  <definedNames>
    <definedName name="_xlnm._FilterDatabase" localSheetId="13" hidden="1">振替表!$A$2:$J$2</definedName>
    <definedName name="_xlnm._FilterDatabase" localSheetId="7" hidden="1">対価返還!$A$18:$BT$363</definedName>
    <definedName name="_xlnm.Print_Area" localSheetId="5">'(申)計'!$A$1:$BA$160</definedName>
    <definedName name="_xlnm.Print_Area" localSheetId="11">仮受仮払!$A$1:$I$98</definedName>
    <definedName name="_xlnm.Print_Area" localSheetId="9">消費税!$A$3:$AF$125</definedName>
    <definedName name="_xlnm.Print_Area" localSheetId="13">振替表!$A:$J</definedName>
    <definedName name="_xlnm.Print_Area" localSheetId="12">精算表!$A$2:$D$15</definedName>
    <definedName name="_xlnm.Print_Area" localSheetId="7">対価返還!$S$1:$BO$16</definedName>
    <definedName name="_xlnm.Print_Titles" localSheetId="4">'(申)10%'!$1:$2</definedName>
    <definedName name="_xlnm.Print_Titles" localSheetId="0">'(申)3%'!$1:$2</definedName>
    <definedName name="_xlnm.Print_Titles" localSheetId="1">'(申)5%'!$1:$2</definedName>
    <definedName name="_xlnm.Print_Titles" localSheetId="2">'(申)8%'!$1:$2</definedName>
    <definedName name="_xlnm.Print_Titles" localSheetId="5">'(申)計'!$1:$2</definedName>
    <definedName name="_xlnm.Print_Titles" localSheetId="3">'(申)軽8%'!$1:$2</definedName>
    <definedName name="_xlnm.Print_Titles" localSheetId="9">消費税!$3:$7</definedName>
  </definedNames>
  <calcPr calcId="162913" fullCalcOnLoad="1"/>
</workbook>
</file>

<file path=xl/calcChain.xml><?xml version="1.0" encoding="utf-8"?>
<calcChain xmlns="http://schemas.openxmlformats.org/spreadsheetml/2006/main">
  <c r="Z111" i="8" l="1"/>
  <c r="F90" i="10" l="1"/>
  <c r="J9" i="5" l="1"/>
  <c r="AF123" i="8" l="1"/>
  <c r="Z123" i="8"/>
  <c r="T123" i="8"/>
  <c r="G77" i="5" l="1"/>
  <c r="AF61" i="8" l="1"/>
  <c r="AF60" i="8"/>
  <c r="AF59" i="8"/>
  <c r="BB136" i="4" l="1"/>
  <c r="BE14" i="6" l="1"/>
  <c r="BD13" i="6"/>
  <c r="BC13" i="6"/>
  <c r="BB13" i="6"/>
  <c r="BA13" i="6"/>
  <c r="BK13" i="6" s="1"/>
  <c r="AZ13" i="6"/>
  <c r="BJ13" i="6" s="1"/>
  <c r="AY13" i="6"/>
  <c r="AX13" i="6"/>
  <c r="BH13" i="6" s="1"/>
  <c r="AW13" i="6"/>
  <c r="BG13" i="6" s="1"/>
  <c r="AV13" i="6"/>
  <c r="BF13" i="6" s="1"/>
  <c r="BD12" i="6"/>
  <c r="BC12" i="6"/>
  <c r="BB12" i="6"/>
  <c r="BA12" i="6"/>
  <c r="BK12" i="6" s="1"/>
  <c r="AZ12" i="6"/>
  <c r="BJ12" i="6" s="1"/>
  <c r="AY12" i="6"/>
  <c r="AX12" i="6"/>
  <c r="BH12" i="6" s="1"/>
  <c r="AW12" i="6"/>
  <c r="BG12" i="6" s="1"/>
  <c r="AV12" i="6"/>
  <c r="BF12" i="6" s="1"/>
  <c r="BD11" i="6"/>
  <c r="BC11" i="6"/>
  <c r="BB11" i="6"/>
  <c r="BA11" i="6"/>
  <c r="BK11" i="6" s="1"/>
  <c r="AZ11" i="6"/>
  <c r="BJ11" i="6" s="1"/>
  <c r="AY11" i="6"/>
  <c r="AX11" i="6"/>
  <c r="BH11" i="6" s="1"/>
  <c r="AW11" i="6"/>
  <c r="BG11" i="6" s="1"/>
  <c r="AV11" i="6"/>
  <c r="BF11" i="6" s="1"/>
  <c r="BD10" i="6"/>
  <c r="BC10" i="6"/>
  <c r="BB10" i="6"/>
  <c r="BA10" i="6"/>
  <c r="BK10" i="6" s="1"/>
  <c r="AZ10" i="6"/>
  <c r="BJ10" i="6" s="1"/>
  <c r="AY10" i="6"/>
  <c r="AX10" i="6"/>
  <c r="BH10" i="6" s="1"/>
  <c r="AW10" i="6"/>
  <c r="BG10" i="6" s="1"/>
  <c r="AV10" i="6"/>
  <c r="BF10" i="6" s="1"/>
  <c r="BD9" i="6"/>
  <c r="BC9" i="6"/>
  <c r="BB9" i="6"/>
  <c r="BA9" i="6"/>
  <c r="AZ9" i="6"/>
  <c r="AY9" i="6"/>
  <c r="AX9" i="6"/>
  <c r="AW9" i="6"/>
  <c r="AV9" i="6"/>
  <c r="BF9" i="6" s="1"/>
  <c r="BE8" i="6"/>
  <c r="BD7" i="6"/>
  <c r="BC7" i="6"/>
  <c r="BB7" i="6"/>
  <c r="BA7" i="6"/>
  <c r="BK7" i="6" s="1"/>
  <c r="AZ7" i="6"/>
  <c r="BJ7" i="6" s="1"/>
  <c r="AY7" i="6"/>
  <c r="AX7" i="6"/>
  <c r="BH7" i="6" s="1"/>
  <c r="AW7" i="6"/>
  <c r="BG7" i="6" s="1"/>
  <c r="AV7" i="6"/>
  <c r="BF7" i="6" s="1"/>
  <c r="BD6" i="6"/>
  <c r="BC6" i="6"/>
  <c r="BB6" i="6"/>
  <c r="BA6" i="6"/>
  <c r="BK6" i="6" s="1"/>
  <c r="AZ6" i="6"/>
  <c r="BJ6" i="6" s="1"/>
  <c r="AY6" i="6"/>
  <c r="AX6" i="6"/>
  <c r="BH6" i="6" s="1"/>
  <c r="AW6" i="6"/>
  <c r="BG6" i="6" s="1"/>
  <c r="AV6" i="6"/>
  <c r="BF6" i="6" s="1"/>
  <c r="BD5" i="6"/>
  <c r="BC5" i="6"/>
  <c r="BB5" i="6"/>
  <c r="BA5" i="6"/>
  <c r="BK5" i="6" s="1"/>
  <c r="AZ5" i="6"/>
  <c r="BJ5" i="6" s="1"/>
  <c r="AY5" i="6"/>
  <c r="AX5" i="6"/>
  <c r="BH5" i="6" s="1"/>
  <c r="AW5" i="6"/>
  <c r="BG5" i="6" s="1"/>
  <c r="AV5" i="6"/>
  <c r="BF5" i="6" s="1"/>
  <c r="BD4" i="6"/>
  <c r="BC4" i="6"/>
  <c r="BB4" i="6"/>
  <c r="BA4" i="6"/>
  <c r="BK4" i="6" s="1"/>
  <c r="AZ4" i="6"/>
  <c r="AY4" i="6"/>
  <c r="AX4" i="6"/>
  <c r="BH4" i="6" s="1"/>
  <c r="AW4" i="6"/>
  <c r="BG4" i="6" s="1"/>
  <c r="AV4" i="6"/>
  <c r="BD3" i="6"/>
  <c r="BC3" i="6"/>
  <c r="BB3" i="6"/>
  <c r="BA3" i="6"/>
  <c r="AZ3" i="6"/>
  <c r="BJ3" i="6" s="1"/>
  <c r="AY3" i="6"/>
  <c r="AX3" i="6"/>
  <c r="AW3" i="6"/>
  <c r="AV3" i="6"/>
  <c r="BF3" i="6" s="1"/>
  <c r="AW14" i="6" l="1"/>
  <c r="BA14" i="6"/>
  <c r="BI7" i="6"/>
  <c r="AV14" i="6"/>
  <c r="AZ14" i="6"/>
  <c r="BD14" i="6"/>
  <c r="BA8" i="6"/>
  <c r="BL10" i="6"/>
  <c r="AW8" i="6"/>
  <c r="AX8" i="6"/>
  <c r="BB8" i="6"/>
  <c r="BL5" i="6"/>
  <c r="BL11" i="6"/>
  <c r="AY8" i="6"/>
  <c r="BC8" i="6"/>
  <c r="BG3" i="6"/>
  <c r="BG8" i="6" s="1"/>
  <c r="BL7" i="6"/>
  <c r="BF14" i="6"/>
  <c r="BK3" i="6"/>
  <c r="BK8" i="6" s="1"/>
  <c r="AX14" i="6"/>
  <c r="BB14" i="6"/>
  <c r="BJ9" i="6"/>
  <c r="BJ14" i="6" s="1"/>
  <c r="AY14" i="6"/>
  <c r="BI12" i="6"/>
  <c r="BL12" i="6"/>
  <c r="AV8" i="6"/>
  <c r="AZ8" i="6"/>
  <c r="BD8" i="6"/>
  <c r="BI10" i="6"/>
  <c r="BI13" i="6"/>
  <c r="BL13" i="6"/>
  <c r="BI5" i="6"/>
  <c r="BI6" i="6"/>
  <c r="BL6" i="6"/>
  <c r="BI11" i="6"/>
  <c r="BC14" i="6"/>
  <c r="BH3" i="6"/>
  <c r="BH8" i="6" s="1"/>
  <c r="BF4" i="6"/>
  <c r="BI4" i="6" s="1"/>
  <c r="BJ4" i="6"/>
  <c r="BL4" i="6" s="1"/>
  <c r="BG9" i="6"/>
  <c r="BG14" i="6" s="1"/>
  <c r="BK9" i="6"/>
  <c r="BK14" i="6" s="1"/>
  <c r="BH9" i="6"/>
  <c r="BH14" i="6" s="1"/>
  <c r="BM7" i="6" l="1"/>
  <c r="BO7" i="6" s="1"/>
  <c r="BM11" i="6"/>
  <c r="BO11" i="6" s="1"/>
  <c r="BM5" i="6"/>
  <c r="BO5" i="6" s="1"/>
  <c r="BI9" i="6"/>
  <c r="BI14" i="6" s="1"/>
  <c r="BL3" i="6"/>
  <c r="BL8" i="6" s="1"/>
  <c r="BM10" i="6"/>
  <c r="BO10" i="6" s="1"/>
  <c r="BM12" i="6"/>
  <c r="BO12" i="6" s="1"/>
  <c r="BL9" i="6"/>
  <c r="BL14" i="6" s="1"/>
  <c r="BF8" i="6"/>
  <c r="BM13" i="6"/>
  <c r="BO13" i="6" s="1"/>
  <c r="BM4" i="6"/>
  <c r="BO4" i="6" s="1"/>
  <c r="BJ8" i="6"/>
  <c r="BM6" i="6"/>
  <c r="BO6" i="6" s="1"/>
  <c r="BI3" i="6"/>
  <c r="BM9" i="6" l="1"/>
  <c r="BO9" i="6" s="1"/>
  <c r="BM3" i="6"/>
  <c r="BI8" i="6"/>
  <c r="BM14" i="6" l="1"/>
  <c r="BO14" i="6" s="1"/>
  <c r="BO3" i="6"/>
  <c r="BM8" i="6"/>
  <c r="BO8" i="6" s="1"/>
  <c r="F15" i="10" l="1"/>
  <c r="F14" i="10"/>
  <c r="F7" i="10"/>
  <c r="V137" i="8"/>
  <c r="U137" i="8"/>
  <c r="E19" i="7"/>
  <c r="D19" i="7"/>
  <c r="E18" i="7"/>
  <c r="D18" i="7"/>
  <c r="C2" i="11"/>
  <c r="F41" i="10"/>
  <c r="D2" i="10"/>
  <c r="A1" i="9"/>
  <c r="B3" i="8"/>
  <c r="B1" i="7"/>
  <c r="R61" i="14" l="1"/>
  <c r="Y59" i="8"/>
  <c r="K59" i="8"/>
  <c r="L59" i="8" s="1"/>
  <c r="S59" i="8" l="1"/>
  <c r="R62" i="14" l="1"/>
  <c r="R63" i="14" s="1"/>
  <c r="J77" i="5"/>
  <c r="G76" i="5"/>
  <c r="J76" i="5" s="1"/>
  <c r="Z59" i="8"/>
  <c r="T59" i="8" s="1"/>
  <c r="K60" i="8"/>
  <c r="I16" i="7"/>
  <c r="L60" i="8" l="1"/>
  <c r="K61" i="8"/>
  <c r="L61" i="8" s="1"/>
  <c r="Y60" i="8"/>
  <c r="Z60" i="8" s="1"/>
  <c r="S60" i="8" l="1"/>
  <c r="Y61" i="8"/>
  <c r="T60" i="8"/>
  <c r="S61" i="8" l="1"/>
  <c r="Z61" i="8"/>
  <c r="T61" i="8" s="1"/>
  <c r="T136" i="14"/>
  <c r="F22" i="9"/>
  <c r="G74" i="5" l="1"/>
  <c r="G75" i="5"/>
  <c r="G73" i="5"/>
  <c r="G53" i="5" l="1"/>
  <c r="G52" i="5"/>
  <c r="G58" i="5"/>
  <c r="T137" i="14"/>
  <c r="G66" i="5" l="1"/>
  <c r="G72" i="5"/>
  <c r="G67" i="5"/>
  <c r="T136" i="13" l="1"/>
  <c r="T137" i="13" s="1"/>
  <c r="AD144" i="8" l="1"/>
  <c r="AD149" i="8"/>
  <c r="AD104" i="8"/>
  <c r="AD106" i="8"/>
  <c r="X105" i="8"/>
  <c r="X106" i="8" s="1"/>
  <c r="R106" i="8" s="1"/>
  <c r="X144" i="8"/>
  <c r="R41" i="8"/>
  <c r="R42" i="8"/>
  <c r="R43" i="8"/>
  <c r="R44" i="8"/>
  <c r="R45" i="8"/>
  <c r="R46" i="8"/>
  <c r="R47" i="8"/>
  <c r="R48" i="8"/>
  <c r="R49" i="8"/>
  <c r="R50" i="8"/>
  <c r="R51" i="8"/>
  <c r="R52" i="8"/>
  <c r="R53" i="8"/>
  <c r="R54" i="8"/>
  <c r="R68" i="8"/>
  <c r="R69" i="8"/>
  <c r="R70" i="8"/>
  <c r="R71" i="8"/>
  <c r="R72" i="8"/>
  <c r="R73" i="8"/>
  <c r="R74" i="8"/>
  <c r="R75" i="8"/>
  <c r="R76" i="8"/>
  <c r="R77" i="8"/>
  <c r="R78" i="8"/>
  <c r="R79" i="8"/>
  <c r="R80" i="8"/>
  <c r="R92" i="8"/>
  <c r="R93" i="8"/>
  <c r="R95" i="8"/>
  <c r="J105" i="8"/>
  <c r="J106" i="8" s="1"/>
  <c r="G6" i="7"/>
  <c r="R105" i="8" l="1"/>
  <c r="G57" i="5"/>
  <c r="X28" i="8"/>
  <c r="R28" i="8" s="1"/>
  <c r="R24" i="13"/>
  <c r="G7" i="7"/>
  <c r="J29" i="8" s="1"/>
  <c r="J104" i="8" s="1"/>
  <c r="J28" i="8"/>
  <c r="G15" i="7"/>
  <c r="G71" i="5" l="1"/>
  <c r="X29" i="8"/>
  <c r="R29" i="8" s="1"/>
  <c r="G14" i="7"/>
  <c r="R25" i="13"/>
  <c r="T134" i="13" s="1"/>
  <c r="X65" i="8"/>
  <c r="J65" i="8"/>
  <c r="I52" i="5" l="1"/>
  <c r="J52" i="5" s="1"/>
  <c r="J66" i="5" s="1"/>
  <c r="X104" i="8"/>
  <c r="R104" i="8" s="1"/>
  <c r="R65" i="13"/>
  <c r="X64" i="8"/>
  <c r="R64" i="8" s="1"/>
  <c r="J64" i="8"/>
  <c r="R65" i="8"/>
  <c r="I57" i="5" l="1"/>
  <c r="J57" i="5" s="1"/>
  <c r="J71" i="5" s="1"/>
  <c r="AD1" i="8"/>
  <c r="X1" i="8"/>
  <c r="AD2" i="8"/>
  <c r="X2" i="8"/>
  <c r="R1" i="8"/>
  <c r="R2" i="8" s="1"/>
  <c r="J2" i="8"/>
  <c r="R66" i="13" l="1"/>
  <c r="AE149" i="8" l="1"/>
  <c r="AC149" i="8"/>
  <c r="AB149" i="8"/>
  <c r="AA149" i="8"/>
  <c r="AE144" i="8" l="1"/>
  <c r="AC144" i="8"/>
  <c r="AB144" i="8"/>
  <c r="AA144" i="8"/>
  <c r="Y144" i="8"/>
  <c r="W144" i="8"/>
  <c r="V144" i="8"/>
  <c r="U144" i="8"/>
  <c r="Z144" i="8" s="1"/>
  <c r="T111" i="8" l="1"/>
  <c r="T97" i="8"/>
  <c r="Y105" i="8" l="1"/>
  <c r="Y106" i="8" s="1"/>
  <c r="W105" i="8"/>
  <c r="W106" i="8" s="1"/>
  <c r="Q106" i="8" s="1"/>
  <c r="V105" i="8"/>
  <c r="P105" i="8" s="1"/>
  <c r="U105" i="8"/>
  <c r="U106" i="8" s="1"/>
  <c r="AF97" i="8"/>
  <c r="Z97" i="8"/>
  <c r="AF114" i="8"/>
  <c r="AF116" i="8" s="1"/>
  <c r="Z114" i="8"/>
  <c r="Z116" i="8" s="1"/>
  <c r="T116" i="8" s="1"/>
  <c r="AF113" i="8"/>
  <c r="Z113" i="8"/>
  <c r="T113" i="8" s="1"/>
  <c r="AE106" i="8"/>
  <c r="AC106" i="8"/>
  <c r="AB106" i="8"/>
  <c r="AA106" i="8"/>
  <c r="AF105" i="8"/>
  <c r="AE104" i="8"/>
  <c r="AC104" i="8"/>
  <c r="AB104" i="8"/>
  <c r="AA104" i="8"/>
  <c r="S95" i="8"/>
  <c r="Q95" i="8"/>
  <c r="P95" i="8"/>
  <c r="O95" i="8"/>
  <c r="AF93" i="8"/>
  <c r="Z93" i="8"/>
  <c r="S93" i="8"/>
  <c r="Q93" i="8"/>
  <c r="P93" i="8"/>
  <c r="O93" i="8"/>
  <c r="AF92" i="8"/>
  <c r="Z92" i="8"/>
  <c r="S92" i="8"/>
  <c r="Q92" i="8"/>
  <c r="P92" i="8"/>
  <c r="O92" i="8"/>
  <c r="Z82" i="8"/>
  <c r="AF81" i="8"/>
  <c r="T80" i="8"/>
  <c r="S80" i="8"/>
  <c r="Q80" i="8"/>
  <c r="P80" i="8"/>
  <c r="O80" i="8"/>
  <c r="T79" i="8"/>
  <c r="S79" i="8"/>
  <c r="Q79" i="8"/>
  <c r="P79" i="8"/>
  <c r="O79" i="8"/>
  <c r="T78" i="8"/>
  <c r="S78" i="8"/>
  <c r="Q78" i="8"/>
  <c r="P78" i="8"/>
  <c r="O78" i="8"/>
  <c r="T77" i="8"/>
  <c r="S77" i="8"/>
  <c r="Q77" i="8"/>
  <c r="P77" i="8"/>
  <c r="O77" i="8"/>
  <c r="T76" i="8"/>
  <c r="S76" i="8"/>
  <c r="Q76" i="8"/>
  <c r="P76" i="8"/>
  <c r="O76" i="8"/>
  <c r="T75" i="8"/>
  <c r="S75" i="8"/>
  <c r="Q75" i="8"/>
  <c r="P75" i="8"/>
  <c r="O75" i="8"/>
  <c r="T74" i="8"/>
  <c r="S74" i="8"/>
  <c r="Q74" i="8"/>
  <c r="P74" i="8"/>
  <c r="O74" i="8"/>
  <c r="T73" i="8"/>
  <c r="S73" i="8"/>
  <c r="Q73" i="8"/>
  <c r="P73" i="8"/>
  <c r="O73" i="8"/>
  <c r="T72" i="8"/>
  <c r="S72" i="8"/>
  <c r="Q72" i="8"/>
  <c r="P72" i="8"/>
  <c r="O72" i="8"/>
  <c r="T71" i="8"/>
  <c r="S71" i="8"/>
  <c r="Q71" i="8"/>
  <c r="P71" i="8"/>
  <c r="O71" i="8"/>
  <c r="T70" i="8"/>
  <c r="S70" i="8"/>
  <c r="Q70" i="8"/>
  <c r="P70" i="8"/>
  <c r="O70" i="8"/>
  <c r="T69" i="8"/>
  <c r="S69" i="8"/>
  <c r="Q69" i="8"/>
  <c r="P69" i="8"/>
  <c r="O69" i="8"/>
  <c r="T68" i="8"/>
  <c r="S68" i="8"/>
  <c r="Q68" i="8"/>
  <c r="P68" i="8"/>
  <c r="O68" i="8"/>
  <c r="AF65" i="8"/>
  <c r="AF64" i="8"/>
  <c r="Z56" i="8"/>
  <c r="AF55" i="8"/>
  <c r="T54" i="8"/>
  <c r="S54" i="8"/>
  <c r="Q54" i="8"/>
  <c r="P54" i="8"/>
  <c r="O54" i="8"/>
  <c r="T53" i="8"/>
  <c r="S53" i="8"/>
  <c r="Q53" i="8"/>
  <c r="P53" i="8"/>
  <c r="O53" i="8"/>
  <c r="T52" i="8"/>
  <c r="S52" i="8"/>
  <c r="Q52" i="8"/>
  <c r="P52" i="8"/>
  <c r="O52" i="8"/>
  <c r="T51" i="8"/>
  <c r="S51" i="8"/>
  <c r="Q51" i="8"/>
  <c r="P51" i="8"/>
  <c r="O51" i="8"/>
  <c r="T50" i="8"/>
  <c r="S50" i="8"/>
  <c r="Q50" i="8"/>
  <c r="P50" i="8"/>
  <c r="O50" i="8"/>
  <c r="T49" i="8"/>
  <c r="S49" i="8"/>
  <c r="Q49" i="8"/>
  <c r="P49" i="8"/>
  <c r="O49" i="8"/>
  <c r="T48" i="8"/>
  <c r="S48" i="8"/>
  <c r="Q48" i="8"/>
  <c r="P48" i="8"/>
  <c r="O48" i="8"/>
  <c r="T47" i="8"/>
  <c r="S47" i="8"/>
  <c r="Q47" i="8"/>
  <c r="P47" i="8"/>
  <c r="O47" i="8"/>
  <c r="T46" i="8"/>
  <c r="S46" i="8"/>
  <c r="Q46" i="8"/>
  <c r="P46" i="8"/>
  <c r="O46" i="8"/>
  <c r="T45" i="8"/>
  <c r="S45" i="8"/>
  <c r="Q45" i="8"/>
  <c r="P45" i="8"/>
  <c r="O45" i="8"/>
  <c r="T44" i="8"/>
  <c r="S44" i="8"/>
  <c r="Q44" i="8"/>
  <c r="P44" i="8"/>
  <c r="O44" i="8"/>
  <c r="T43" i="8"/>
  <c r="S43" i="8"/>
  <c r="Q43" i="8"/>
  <c r="P43" i="8"/>
  <c r="O43" i="8"/>
  <c r="T42" i="8"/>
  <c r="S42" i="8"/>
  <c r="Q42" i="8"/>
  <c r="P42" i="8"/>
  <c r="O42" i="8"/>
  <c r="T41" i="8"/>
  <c r="S41" i="8"/>
  <c r="Q41" i="8"/>
  <c r="P41" i="8"/>
  <c r="O41" i="8"/>
  <c r="AF29" i="8"/>
  <c r="AF28" i="8"/>
  <c r="Z25" i="8"/>
  <c r="AF24" i="8"/>
  <c r="L97" i="8"/>
  <c r="G105" i="8"/>
  <c r="G106" i="8" s="1"/>
  <c r="H105" i="8"/>
  <c r="H106" i="8" s="1"/>
  <c r="I105" i="8"/>
  <c r="I106" i="8" s="1"/>
  <c r="K105" i="8"/>
  <c r="K106" i="8" s="1"/>
  <c r="L111" i="8"/>
  <c r="L115" i="8"/>
  <c r="AF106" i="8" l="1"/>
  <c r="AF125" i="8" s="1"/>
  <c r="AF104" i="8"/>
  <c r="T114" i="8"/>
  <c r="S106" i="8"/>
  <c r="V106" i="8"/>
  <c r="P106" i="8" s="1"/>
  <c r="S105" i="8"/>
  <c r="L106" i="8"/>
  <c r="L105" i="8"/>
  <c r="O106" i="8"/>
  <c r="Z105" i="8"/>
  <c r="T105" i="8" s="1"/>
  <c r="O105" i="8"/>
  <c r="Q105" i="8"/>
  <c r="Z106" i="8" l="1"/>
  <c r="Z125" i="8" s="1"/>
  <c r="T125" i="8" l="1"/>
  <c r="T106" i="8"/>
  <c r="I33" i="12"/>
  <c r="F33" i="12" s="1"/>
  <c r="E33" i="12" s="1"/>
  <c r="F34" i="12"/>
  <c r="E34" i="12" s="1"/>
  <c r="I41" i="12"/>
  <c r="I43" i="12"/>
  <c r="F45" i="12"/>
  <c r="F46" i="12"/>
  <c r="F47" i="12"/>
  <c r="F48" i="12"/>
  <c r="F49" i="12"/>
  <c r="F50" i="12"/>
  <c r="F51" i="12"/>
  <c r="F52" i="12"/>
  <c r="F53" i="12"/>
  <c r="F54" i="12"/>
  <c r="F55" i="12"/>
  <c r="F56" i="12"/>
  <c r="F57" i="12"/>
  <c r="F58" i="12"/>
  <c r="F59" i="12"/>
  <c r="F60" i="12"/>
  <c r="F61" i="12"/>
  <c r="F62" i="12"/>
  <c r="F63" i="12"/>
  <c r="F64" i="12"/>
  <c r="F65" i="12"/>
  <c r="F66" i="12"/>
  <c r="F67" i="12"/>
  <c r="F68" i="12"/>
  <c r="I69" i="12"/>
  <c r="I71" i="12"/>
  <c r="F72" i="12"/>
  <c r="I72" i="12"/>
  <c r="F73" i="12"/>
  <c r="I73" i="12"/>
  <c r="I74" i="12"/>
  <c r="I75" i="12"/>
  <c r="I76" i="12"/>
  <c r="F77" i="12"/>
  <c r="I78" i="12"/>
  <c r="D8" i="11"/>
  <c r="C10" i="11"/>
  <c r="D5" i="10"/>
  <c r="E5" i="10"/>
  <c r="G5" i="10"/>
  <c r="H5" i="10"/>
  <c r="I6" i="10"/>
  <c r="I5" i="10" s="1"/>
  <c r="I7" i="10"/>
  <c r="I9" i="10"/>
  <c r="D10" i="10"/>
  <c r="E10" i="10"/>
  <c r="G10" i="10"/>
  <c r="H10" i="10"/>
  <c r="I11" i="10"/>
  <c r="I12" i="10"/>
  <c r="I13" i="10"/>
  <c r="I14" i="10"/>
  <c r="I15" i="10"/>
  <c r="I16" i="10"/>
  <c r="D17" i="10"/>
  <c r="E17" i="10"/>
  <c r="G17" i="10"/>
  <c r="H17" i="10"/>
  <c r="I18" i="10"/>
  <c r="I19" i="10"/>
  <c r="I20" i="10"/>
  <c r="D22" i="10"/>
  <c r="D21" i="10" s="1"/>
  <c r="E22" i="10"/>
  <c r="G22" i="10"/>
  <c r="H22" i="10"/>
  <c r="H21" i="10" s="1"/>
  <c r="I23" i="10"/>
  <c r="I24" i="10"/>
  <c r="I25" i="10"/>
  <c r="I26" i="10"/>
  <c r="I27" i="10"/>
  <c r="I29" i="10"/>
  <c r="I30" i="10"/>
  <c r="I31" i="10"/>
  <c r="I36" i="10"/>
  <c r="I37" i="10"/>
  <c r="D38" i="10"/>
  <c r="E38" i="10"/>
  <c r="G38" i="10"/>
  <c r="H38" i="10"/>
  <c r="I39" i="10"/>
  <c r="I40" i="10"/>
  <c r="I41" i="10"/>
  <c r="I42" i="10"/>
  <c r="D43" i="10"/>
  <c r="E43" i="10"/>
  <c r="G43" i="10"/>
  <c r="H43" i="10"/>
  <c r="I44" i="10"/>
  <c r="I45" i="10"/>
  <c r="I46" i="10"/>
  <c r="D48" i="10"/>
  <c r="E48" i="10"/>
  <c r="G48" i="10"/>
  <c r="H48" i="10"/>
  <c r="I49" i="10"/>
  <c r="I50" i="10"/>
  <c r="I51" i="10"/>
  <c r="I52" i="10"/>
  <c r="I53" i="10"/>
  <c r="D54" i="10"/>
  <c r="E54" i="10"/>
  <c r="G54" i="10"/>
  <c r="H54" i="10"/>
  <c r="I55" i="10"/>
  <c r="I57" i="10"/>
  <c r="I58" i="10"/>
  <c r="D59" i="10"/>
  <c r="E59" i="10"/>
  <c r="G59" i="10"/>
  <c r="H59" i="10"/>
  <c r="I60" i="10"/>
  <c r="I61" i="10"/>
  <c r="I62" i="10"/>
  <c r="D63" i="10"/>
  <c r="E63" i="10"/>
  <c r="G63" i="10"/>
  <c r="H63" i="10"/>
  <c r="I64" i="10"/>
  <c r="I63" i="10" s="1"/>
  <c r="D65" i="10"/>
  <c r="E65" i="10"/>
  <c r="G65" i="10"/>
  <c r="H65" i="10"/>
  <c r="I66" i="10"/>
  <c r="I65" i="10" s="1"/>
  <c r="D68" i="10"/>
  <c r="E68" i="10"/>
  <c r="E67" i="10" s="1"/>
  <c r="G68" i="10"/>
  <c r="H68" i="10"/>
  <c r="I69" i="10"/>
  <c r="I70" i="10"/>
  <c r="I71" i="10"/>
  <c r="I72" i="10"/>
  <c r="I73" i="10"/>
  <c r="I74" i="10"/>
  <c r="I75" i="10"/>
  <c r="D77" i="10"/>
  <c r="E77" i="10"/>
  <c r="F77" i="10"/>
  <c r="G77" i="10"/>
  <c r="H77" i="10"/>
  <c r="I78" i="10"/>
  <c r="I77" i="10" s="1"/>
  <c r="D79" i="10"/>
  <c r="E79" i="10"/>
  <c r="F79" i="10"/>
  <c r="G79" i="10"/>
  <c r="H79" i="10"/>
  <c r="I80" i="10"/>
  <c r="I81" i="10"/>
  <c r="I79" i="10" s="1"/>
  <c r="I82" i="10"/>
  <c r="I92" i="10"/>
  <c r="I85" i="10" s="1"/>
  <c r="B19" i="9"/>
  <c r="C19" i="9"/>
  <c r="F19" i="9"/>
  <c r="B20" i="9"/>
  <c r="C20" i="9"/>
  <c r="F20" i="9"/>
  <c r="B21" i="9"/>
  <c r="C21" i="9"/>
  <c r="F21" i="9"/>
  <c r="B22" i="9"/>
  <c r="C22" i="9"/>
  <c r="O1" i="8"/>
  <c r="P1" i="8"/>
  <c r="Q1" i="8"/>
  <c r="S1" i="8"/>
  <c r="U1" i="8"/>
  <c r="V1" i="8"/>
  <c r="W1" i="8"/>
  <c r="Y1" i="8"/>
  <c r="AA1" i="8"/>
  <c r="AB1" i="8"/>
  <c r="AC1" i="8"/>
  <c r="AE1" i="8"/>
  <c r="AE2" i="8" s="1"/>
  <c r="G2" i="8"/>
  <c r="H2" i="8"/>
  <c r="I2" i="8"/>
  <c r="K2" i="8"/>
  <c r="O2" i="8"/>
  <c r="P2" i="8"/>
  <c r="Q2" i="8"/>
  <c r="S2" i="8"/>
  <c r="U2" i="8"/>
  <c r="V2" i="8"/>
  <c r="W2" i="8"/>
  <c r="Y2" i="8"/>
  <c r="AA2" i="8"/>
  <c r="AB2" i="8"/>
  <c r="AC2" i="8"/>
  <c r="I17" i="7"/>
  <c r="I24" i="7"/>
  <c r="D6" i="7"/>
  <c r="H6" i="7"/>
  <c r="R24" i="14" s="1"/>
  <c r="R66" i="14" s="1"/>
  <c r="D7" i="7"/>
  <c r="E7" i="7"/>
  <c r="F7" i="7"/>
  <c r="H7" i="7"/>
  <c r="R25" i="14" s="1"/>
  <c r="T134" i="14" s="1"/>
  <c r="Y16" i="6"/>
  <c r="AW16" i="6"/>
  <c r="AZ16" i="6"/>
  <c r="AX16" i="6"/>
  <c r="BA16" i="6"/>
  <c r="BK16" i="6"/>
  <c r="BH16" i="6"/>
  <c r="AV16" i="6"/>
  <c r="BG16" i="6"/>
  <c r="BJ16" i="6"/>
  <c r="J73" i="5"/>
  <c r="J74" i="5"/>
  <c r="J75" i="5"/>
  <c r="AA113" i="4"/>
  <c r="T146" i="4"/>
  <c r="T154" i="4"/>
  <c r="T136" i="3"/>
  <c r="T137" i="3" s="1"/>
  <c r="T136" i="2"/>
  <c r="T136" i="1"/>
  <c r="J34" i="12" l="1"/>
  <c r="K11" i="5"/>
  <c r="K12" i="5" s="1"/>
  <c r="AA113" i="2"/>
  <c r="AA113" i="14"/>
  <c r="AA113" i="13"/>
  <c r="D4" i="10"/>
  <c r="T137" i="2"/>
  <c r="T136" i="4"/>
  <c r="G49" i="5"/>
  <c r="G63" i="5" s="1"/>
  <c r="G56" i="5"/>
  <c r="G70" i="5" s="1"/>
  <c r="G54" i="5"/>
  <c r="G68" i="5" s="1"/>
  <c r="G47" i="10"/>
  <c r="I22" i="10"/>
  <c r="H67" i="10"/>
  <c r="I59" i="10"/>
  <c r="I48" i="10"/>
  <c r="D47" i="10"/>
  <c r="I38" i="10"/>
  <c r="G21" i="10"/>
  <c r="G4" i="10"/>
  <c r="I68" i="10"/>
  <c r="D67" i="10"/>
  <c r="I54" i="10"/>
  <c r="E47" i="10"/>
  <c r="I43" i="10"/>
  <c r="I10" i="10"/>
  <c r="I4" i="10" s="1"/>
  <c r="I83" i="10" s="1"/>
  <c r="H4" i="10"/>
  <c r="G67" i="10"/>
  <c r="H47" i="10"/>
  <c r="E21" i="10"/>
  <c r="I17" i="10"/>
  <c r="E4" i="10"/>
  <c r="U28" i="8"/>
  <c r="G28" i="8"/>
  <c r="Y29" i="8"/>
  <c r="K29" i="8"/>
  <c r="K104" i="8" s="1"/>
  <c r="I29" i="8"/>
  <c r="I104" i="8" s="1"/>
  <c r="W29" i="8"/>
  <c r="W104" i="8" s="1"/>
  <c r="V29" i="8"/>
  <c r="V104" i="8" s="1"/>
  <c r="H29" i="8"/>
  <c r="H104" i="8" s="1"/>
  <c r="U29" i="8"/>
  <c r="G29" i="8"/>
  <c r="K28" i="8"/>
  <c r="Y28" i="8"/>
  <c r="S28" i="8" s="1"/>
  <c r="AA113" i="1"/>
  <c r="AA113" i="3"/>
  <c r="T137" i="1"/>
  <c r="F91" i="10"/>
  <c r="D6" i="11" s="1"/>
  <c r="G55" i="5"/>
  <c r="G69" i="5" s="1"/>
  <c r="E73" i="12"/>
  <c r="E72" i="12"/>
  <c r="F14" i="7"/>
  <c r="R25" i="3"/>
  <c r="T134" i="3" s="1"/>
  <c r="H14" i="7"/>
  <c r="R65" i="14" s="1"/>
  <c r="E14" i="7"/>
  <c r="R25" i="2"/>
  <c r="T134" i="2" s="1"/>
  <c r="R25" i="1"/>
  <c r="I7" i="7"/>
  <c r="D14" i="7"/>
  <c r="H15" i="7"/>
  <c r="D15" i="7"/>
  <c r="R24" i="1"/>
  <c r="BL16" i="6"/>
  <c r="BF16" i="6"/>
  <c r="I21" i="10"/>
  <c r="I67" i="10"/>
  <c r="I47" i="10"/>
  <c r="J33" i="12"/>
  <c r="T137" i="4" l="1"/>
  <c r="R25" i="4"/>
  <c r="I38" i="12"/>
  <c r="F38" i="12" s="1"/>
  <c r="E38" i="12" s="1"/>
  <c r="G104" i="8"/>
  <c r="L104" i="8" s="1"/>
  <c r="L29" i="8"/>
  <c r="Q104" i="8"/>
  <c r="Q29" i="8"/>
  <c r="O29" i="8"/>
  <c r="U104" i="8"/>
  <c r="Z29" i="8"/>
  <c r="T29" i="8" s="1"/>
  <c r="P29" i="8"/>
  <c r="P104" i="8"/>
  <c r="S29" i="8"/>
  <c r="Y104" i="8"/>
  <c r="S104" i="8" s="1"/>
  <c r="O28" i="8"/>
  <c r="Y64" i="8"/>
  <c r="K64" i="8"/>
  <c r="V64" i="8"/>
  <c r="H64" i="8"/>
  <c r="W64" i="8"/>
  <c r="I64" i="8"/>
  <c r="Y65" i="8"/>
  <c r="S65" i="8" s="1"/>
  <c r="K65" i="8"/>
  <c r="U64" i="8"/>
  <c r="G64" i="8"/>
  <c r="U65" i="8"/>
  <c r="G65" i="8"/>
  <c r="BB16" i="6"/>
  <c r="AY16" i="6"/>
  <c r="R66" i="1"/>
  <c r="I14" i="7"/>
  <c r="R65" i="1"/>
  <c r="T134" i="1"/>
  <c r="BI16" i="6"/>
  <c r="R65" i="3"/>
  <c r="I84" i="10"/>
  <c r="I77" i="12"/>
  <c r="J77" i="12" s="1"/>
  <c r="R65" i="2"/>
  <c r="BM16" i="6"/>
  <c r="T134" i="4" l="1"/>
  <c r="BB134" i="4"/>
  <c r="L64" i="8"/>
  <c r="I53" i="5"/>
  <c r="J53" i="5" s="1"/>
  <c r="J67" i="5" s="1"/>
  <c r="I58" i="5"/>
  <c r="J58" i="5" s="1"/>
  <c r="J72" i="5" s="1"/>
  <c r="I55" i="5"/>
  <c r="J55" i="5" s="1"/>
  <c r="J69" i="5" s="1"/>
  <c r="I49" i="5"/>
  <c r="R65" i="4"/>
  <c r="I56" i="5"/>
  <c r="J56" i="5" s="1"/>
  <c r="J70" i="5" s="1"/>
  <c r="O104" i="8"/>
  <c r="Z104" i="8"/>
  <c r="T104" i="8" s="1"/>
  <c r="Q64" i="8"/>
  <c r="P64" i="8"/>
  <c r="S64" i="8"/>
  <c r="Z64" i="8"/>
  <c r="T64" i="8" s="1"/>
  <c r="O64" i="8"/>
  <c r="O65" i="8"/>
  <c r="I54" i="5"/>
  <c r="J54" i="5" s="1"/>
  <c r="J68" i="5" s="1"/>
  <c r="J38" i="12"/>
  <c r="F6" i="7"/>
  <c r="W28" i="8" s="1"/>
  <c r="E6" i="7"/>
  <c r="BC16" i="6"/>
  <c r="G14" i="5" l="1"/>
  <c r="J49" i="5"/>
  <c r="J63" i="5" s="1"/>
  <c r="V28" i="8"/>
  <c r="H28" i="8"/>
  <c r="Q28" i="8"/>
  <c r="I28" i="8"/>
  <c r="G50" i="5"/>
  <c r="G51" i="5"/>
  <c r="BD16" i="6"/>
  <c r="L28" i="8" l="1"/>
  <c r="P28" i="8"/>
  <c r="Z28" i="8"/>
  <c r="T28" i="8" s="1"/>
  <c r="I51" i="5"/>
  <c r="J51" i="5" s="1"/>
  <c r="J65" i="5" s="1"/>
  <c r="I50" i="5"/>
  <c r="G65" i="5"/>
  <c r="G64" i="5"/>
  <c r="F15" i="7"/>
  <c r="W65" i="8" s="1"/>
  <c r="R24" i="3"/>
  <c r="E15" i="7"/>
  <c r="R24" i="2"/>
  <c r="I6" i="7"/>
  <c r="G35" i="5" l="1"/>
  <c r="R24" i="4"/>
  <c r="V65" i="8"/>
  <c r="H65" i="8"/>
  <c r="I65" i="8"/>
  <c r="J50" i="5"/>
  <c r="I15" i="7"/>
  <c r="R66" i="2"/>
  <c r="R66" i="3"/>
  <c r="J64" i="5" l="1"/>
  <c r="J59" i="5"/>
  <c r="R66" i="4"/>
  <c r="L65" i="8"/>
  <c r="Q65" i="8"/>
  <c r="P65" i="8"/>
  <c r="Z65" i="8"/>
  <c r="T65" i="8" s="1"/>
  <c r="D6" i="5"/>
  <c r="D11" i="5" l="1"/>
  <c r="J78" i="5"/>
  <c r="G82" i="8" l="1"/>
  <c r="P89" i="1"/>
  <c r="AA82" i="8"/>
  <c r="AA83" i="8" l="1"/>
  <c r="O82" i="8"/>
  <c r="AA90" i="8" l="1"/>
  <c r="AA91" i="8" l="1"/>
  <c r="AA138" i="8" l="1"/>
  <c r="G81" i="8" l="1"/>
  <c r="P88" i="1"/>
  <c r="U81" i="8"/>
  <c r="AS89" i="1" l="1"/>
  <c r="Z100" i="1" s="1"/>
  <c r="Z101" i="1" s="1"/>
  <c r="U83" i="8"/>
  <c r="O81" i="8"/>
  <c r="G83" i="8"/>
  <c r="G90" i="8" s="1"/>
  <c r="G91" i="8" s="1"/>
  <c r="U90" i="8" l="1"/>
  <c r="O83" i="8"/>
  <c r="U91" i="8" l="1"/>
  <c r="O90" i="8"/>
  <c r="U138" i="8" l="1"/>
  <c r="O91" i="8"/>
  <c r="P88" i="2" l="1"/>
  <c r="V81" i="8"/>
  <c r="H81" i="8"/>
  <c r="V83" i="8" l="1"/>
  <c r="V90" i="8" s="1"/>
  <c r="P81" i="8"/>
  <c r="V91" i="8" l="1"/>
  <c r="V138" i="8" l="1"/>
  <c r="U139" i="8" l="1"/>
  <c r="V139" i="8" l="1"/>
  <c r="P89" i="2" l="1"/>
  <c r="AS89" i="2" s="1"/>
  <c r="Z100" i="2" s="1"/>
  <c r="Z101" i="2" s="1"/>
  <c r="H82" i="8"/>
  <c r="H83" i="8" s="1"/>
  <c r="H90" i="8" s="1"/>
  <c r="H91" i="8" s="1"/>
  <c r="AB82" i="8"/>
  <c r="P82" i="8" l="1"/>
  <c r="AB83" i="8"/>
  <c r="AB90" i="8" l="1"/>
  <c r="P83" i="8"/>
  <c r="P90" i="8" l="1"/>
  <c r="AB91" i="8"/>
  <c r="AB138" i="8" l="1"/>
  <c r="P91" i="8"/>
  <c r="I8" i="7" l="1"/>
  <c r="G40" i="5"/>
  <c r="T34" i="8" l="1"/>
  <c r="T85" i="8" s="1"/>
  <c r="L34" i="8"/>
  <c r="L85" i="8" s="1"/>
  <c r="R35" i="4"/>
  <c r="P92" i="4" s="1"/>
  <c r="F51" i="10" l="1"/>
  <c r="F55" i="10"/>
  <c r="F64" i="10" l="1"/>
  <c r="F63" i="10" s="1"/>
  <c r="F50" i="10"/>
  <c r="F61" i="10"/>
  <c r="F56" i="10" l="1"/>
  <c r="F52" i="10"/>
  <c r="F49" i="10"/>
  <c r="F48" i="10" s="1"/>
  <c r="F62" i="10"/>
  <c r="AA137" i="8" l="1"/>
  <c r="AA139" i="8" s="1"/>
  <c r="G4" i="7" l="1"/>
  <c r="J25" i="8" l="1"/>
  <c r="R21" i="13"/>
  <c r="AD25" i="8"/>
  <c r="AD132" i="8"/>
  <c r="AD26" i="8" l="1"/>
  <c r="R25" i="8"/>
  <c r="AD31" i="8" l="1"/>
  <c r="AD32" i="8" s="1"/>
  <c r="AD84" i="8"/>
  <c r="AD30" i="8"/>
  <c r="AD108" i="8" l="1"/>
  <c r="AD133" i="8"/>
  <c r="AD134" i="8" s="1"/>
  <c r="F4" i="7" l="1"/>
  <c r="F57" i="10"/>
  <c r="F54" i="10" s="1"/>
  <c r="F60" i="10"/>
  <c r="F59" i="10" s="1"/>
  <c r="E4" i="7"/>
  <c r="H4" i="7"/>
  <c r="D4" i="7"/>
  <c r="I10" i="7" l="1"/>
  <c r="G39" i="5"/>
  <c r="I4" i="7"/>
  <c r="AA25" i="8"/>
  <c r="R21" i="1"/>
  <c r="G25" i="8"/>
  <c r="H25" i="8"/>
  <c r="R21" i="2"/>
  <c r="AB25" i="8"/>
  <c r="AC25" i="8"/>
  <c r="R21" i="3"/>
  <c r="I25" i="8"/>
  <c r="K25" i="8"/>
  <c r="R21" i="14"/>
  <c r="AE25" i="8"/>
  <c r="G37" i="5"/>
  <c r="AE132" i="8"/>
  <c r="AB132" i="8"/>
  <c r="AC132" i="8"/>
  <c r="AA132" i="8"/>
  <c r="F53" i="10"/>
  <c r="F66" i="10"/>
  <c r="F65" i="10" s="1"/>
  <c r="P25" i="8" l="1"/>
  <c r="AB26" i="8"/>
  <c r="R21" i="4"/>
  <c r="F47" i="10"/>
  <c r="I4" i="12" s="1"/>
  <c r="AA26" i="8"/>
  <c r="O25" i="8"/>
  <c r="AF25" i="8"/>
  <c r="T25" i="8" s="1"/>
  <c r="R39" i="4"/>
  <c r="L37" i="8"/>
  <c r="T37" i="8"/>
  <c r="AF132" i="8"/>
  <c r="S25" i="8"/>
  <c r="AE26" i="8"/>
  <c r="AC26" i="8"/>
  <c r="Q25" i="8"/>
  <c r="L25" i="8"/>
  <c r="AE84" i="8" l="1"/>
  <c r="AE31" i="8"/>
  <c r="AE32" i="8" s="1"/>
  <c r="AE30" i="8"/>
  <c r="AB30" i="8"/>
  <c r="AB84" i="8"/>
  <c r="AB31" i="8"/>
  <c r="AB32" i="8" s="1"/>
  <c r="AC30" i="8"/>
  <c r="AC84" i="8"/>
  <c r="AC31" i="8"/>
  <c r="AC32" i="8" s="1"/>
  <c r="AA31" i="8"/>
  <c r="AA30" i="8"/>
  <c r="AA84" i="8"/>
  <c r="AF26" i="8"/>
  <c r="F4" i="12"/>
  <c r="J4" i="12" s="1"/>
  <c r="AF84" i="8" l="1"/>
  <c r="AF30" i="8"/>
  <c r="E4" i="12"/>
  <c r="F43" i="12"/>
  <c r="E43" i="12" s="1"/>
  <c r="AB108" i="8"/>
  <c r="AB133" i="8"/>
  <c r="AB134" i="8" s="1"/>
  <c r="AF31" i="8"/>
  <c r="AA32" i="8"/>
  <c r="AE108" i="8"/>
  <c r="AE133" i="8"/>
  <c r="AE134" i="8" s="1"/>
  <c r="AC108" i="8"/>
  <c r="AC133" i="8"/>
  <c r="AC134" i="8" s="1"/>
  <c r="AA133" i="8" l="1"/>
  <c r="AF32" i="8"/>
  <c r="AA108" i="8"/>
  <c r="AF108" i="8" l="1"/>
  <c r="AF133" i="8"/>
  <c r="AA134" i="8"/>
  <c r="AF134" i="8" s="1"/>
  <c r="G12" i="7" l="1"/>
  <c r="AD127" i="8"/>
  <c r="AD56" i="8" l="1"/>
  <c r="J56" i="8"/>
  <c r="R60" i="13"/>
  <c r="R56" i="8" l="1"/>
  <c r="AD57" i="8"/>
  <c r="AD67" i="8" l="1"/>
  <c r="AD66" i="8"/>
  <c r="AD128" i="8" l="1"/>
  <c r="AD129" i="8" s="1"/>
  <c r="F72" i="10" l="1"/>
  <c r="I25" i="12" s="1"/>
  <c r="F73" i="10"/>
  <c r="I26" i="12" s="1"/>
  <c r="F75" i="10"/>
  <c r="F70" i="10"/>
  <c r="I23" i="12" s="1"/>
  <c r="B18" i="9"/>
  <c r="F71" i="10"/>
  <c r="I24" i="12" s="1"/>
  <c r="B14" i="9"/>
  <c r="B10" i="9"/>
  <c r="I64" i="12" l="1"/>
  <c r="J64" i="12" s="1"/>
  <c r="F24" i="12"/>
  <c r="E24" i="12" s="1"/>
  <c r="I66" i="12"/>
  <c r="J66" i="12" s="1"/>
  <c r="F26" i="12"/>
  <c r="E26" i="12" s="1"/>
  <c r="I63" i="12"/>
  <c r="J63" i="12" s="1"/>
  <c r="F23" i="12"/>
  <c r="E23" i="12" s="1"/>
  <c r="I65" i="12"/>
  <c r="J65" i="12" s="1"/>
  <c r="F25" i="12"/>
  <c r="E25" i="12" s="1"/>
  <c r="H12" i="7"/>
  <c r="F12" i="7"/>
  <c r="D12" i="7"/>
  <c r="J25" i="12" l="1"/>
  <c r="J24" i="12"/>
  <c r="J26" i="12"/>
  <c r="G56" i="8"/>
  <c r="AA56" i="8"/>
  <c r="R60" i="1"/>
  <c r="AE56" i="8"/>
  <c r="K56" i="8"/>
  <c r="R60" i="14"/>
  <c r="I56" i="8"/>
  <c r="AC56" i="8"/>
  <c r="R60" i="3"/>
  <c r="B6" i="9"/>
  <c r="F69" i="10"/>
  <c r="J23" i="12"/>
  <c r="AC127" i="8"/>
  <c r="D21" i="5"/>
  <c r="E12" i="7"/>
  <c r="AE127" i="8"/>
  <c r="AA127" i="8"/>
  <c r="F74" i="10"/>
  <c r="I27" i="12" s="1"/>
  <c r="F76" i="10"/>
  <c r="I28" i="12" s="1"/>
  <c r="H19" i="7" l="1"/>
  <c r="S56" i="8"/>
  <c r="AE57" i="8"/>
  <c r="F28" i="12"/>
  <c r="E28" i="12" s="1"/>
  <c r="I68" i="12"/>
  <c r="J68" i="12" s="1"/>
  <c r="I67" i="12"/>
  <c r="J67" i="12" s="1"/>
  <c r="F27" i="12"/>
  <c r="E27" i="12" s="1"/>
  <c r="I12" i="7"/>
  <c r="R60" i="2"/>
  <c r="R60" i="4" s="1"/>
  <c r="AB56" i="8"/>
  <c r="AF56" i="8" s="1"/>
  <c r="T56" i="8" s="1"/>
  <c r="H56" i="8"/>
  <c r="L56" i="8" s="1"/>
  <c r="AC57" i="8"/>
  <c r="Q56" i="8"/>
  <c r="F68" i="10"/>
  <c r="F67" i="10" s="1"/>
  <c r="I22" i="12"/>
  <c r="O56" i="8"/>
  <c r="AA57" i="8"/>
  <c r="B23" i="9"/>
  <c r="AB127" i="8"/>
  <c r="J27" i="12" l="1"/>
  <c r="J28" i="12"/>
  <c r="AF127" i="8"/>
  <c r="G19" i="7"/>
  <c r="F19" i="7"/>
  <c r="I62" i="12"/>
  <c r="J62" i="12" s="1"/>
  <c r="F22" i="12"/>
  <c r="E22" i="12" s="1"/>
  <c r="AC67" i="8"/>
  <c r="AC66" i="8"/>
  <c r="AE67" i="8"/>
  <c r="AE66" i="8"/>
  <c r="AE62" i="8" s="1"/>
  <c r="AF62" i="8" s="1"/>
  <c r="AA67" i="8"/>
  <c r="AA66" i="8"/>
  <c r="AE82" i="8"/>
  <c r="K82" i="8"/>
  <c r="P89" i="14"/>
  <c r="P56" i="8"/>
  <c r="AB57" i="8"/>
  <c r="D22" i="5"/>
  <c r="D23" i="5" s="1"/>
  <c r="AE83" i="8" l="1"/>
  <c r="AE90" i="8" s="1"/>
  <c r="AE91" i="8" s="1"/>
  <c r="S82" i="8"/>
  <c r="AC128" i="8"/>
  <c r="AC129" i="8" s="1"/>
  <c r="AF57" i="8"/>
  <c r="AB67" i="8"/>
  <c r="AF67" i="8" s="1"/>
  <c r="AB66" i="8"/>
  <c r="AF66" i="8" s="1"/>
  <c r="AA128" i="8"/>
  <c r="AE63" i="8"/>
  <c r="AF63" i="8" s="1"/>
  <c r="AE128" i="8"/>
  <c r="AE129" i="8" s="1"/>
  <c r="J22" i="12"/>
  <c r="I19" i="7"/>
  <c r="AC82" i="8"/>
  <c r="P89" i="3"/>
  <c r="I82" i="8"/>
  <c r="AD82" i="8"/>
  <c r="P89" i="13"/>
  <c r="J82" i="8"/>
  <c r="P89" i="4" l="1"/>
  <c r="AA129" i="8"/>
  <c r="AB128" i="8"/>
  <c r="AB129" i="8" s="1"/>
  <c r="AF129" i="8" s="1"/>
  <c r="AD83" i="8"/>
  <c r="AD90" i="8" s="1"/>
  <c r="AD91" i="8" s="1"/>
  <c r="R82" i="8"/>
  <c r="L82" i="8"/>
  <c r="AF82" i="8"/>
  <c r="AF83" i="8" s="1"/>
  <c r="Q82" i="8"/>
  <c r="AC83" i="8"/>
  <c r="AC90" i="8" s="1"/>
  <c r="B24" i="9"/>
  <c r="AE138" i="8"/>
  <c r="T82" i="8" l="1"/>
  <c r="AF128" i="8"/>
  <c r="AC91" i="8"/>
  <c r="AF90" i="8"/>
  <c r="B25" i="9"/>
  <c r="AD138" i="8"/>
  <c r="AC138" i="8" l="1"/>
  <c r="AF138" i="8" s="1"/>
  <c r="AF91" i="8"/>
  <c r="AF119" i="8" l="1"/>
  <c r="D24" i="9"/>
  <c r="A1" i="5" l="1"/>
  <c r="G3" i="7" l="1"/>
  <c r="R20" i="13" l="1"/>
  <c r="AK21" i="13" s="1"/>
  <c r="J24" i="8"/>
  <c r="J26" i="8" s="1"/>
  <c r="X24" i="8"/>
  <c r="J30" i="8" l="1"/>
  <c r="J31" i="8"/>
  <c r="J32" i="8" s="1"/>
  <c r="J108" i="8" s="1"/>
  <c r="J84" i="8"/>
  <c r="P91" i="13"/>
  <c r="R29" i="13"/>
  <c r="R31" i="13" s="1"/>
  <c r="T142" i="13" s="1"/>
  <c r="R27" i="13"/>
  <c r="R24" i="8"/>
  <c r="X26" i="8"/>
  <c r="R26" i="8" l="1"/>
  <c r="X84" i="8"/>
  <c r="R84" i="8" s="1"/>
  <c r="X31" i="8"/>
  <c r="X30" i="8"/>
  <c r="R30" i="8" s="1"/>
  <c r="X32" i="8" l="1"/>
  <c r="R31" i="8"/>
  <c r="R32" i="8" l="1"/>
  <c r="X108" i="8"/>
  <c r="R108" i="8" l="1"/>
  <c r="F6" i="10" l="1"/>
  <c r="G36" i="5" l="1"/>
  <c r="I9" i="7"/>
  <c r="G33" i="5"/>
  <c r="H3" i="7"/>
  <c r="D3" i="7"/>
  <c r="F3" i="7"/>
  <c r="E3" i="7"/>
  <c r="Y24" i="8" l="1"/>
  <c r="R20" i="14"/>
  <c r="AK21" i="14" s="1"/>
  <c r="K24" i="8"/>
  <c r="K26" i="8" s="1"/>
  <c r="W24" i="8"/>
  <c r="R20" i="3"/>
  <c r="AK21" i="3" s="1"/>
  <c r="I24" i="8"/>
  <c r="I26" i="8" s="1"/>
  <c r="U24" i="8"/>
  <c r="R20" i="1"/>
  <c r="G24" i="8"/>
  <c r="I3" i="7"/>
  <c r="H24" i="8"/>
  <c r="H26" i="8" s="1"/>
  <c r="V24" i="8"/>
  <c r="R20" i="2"/>
  <c r="AK21" i="2" s="1"/>
  <c r="T36" i="8"/>
  <c r="L36" i="8"/>
  <c r="L38" i="8" s="1"/>
  <c r="R38" i="4"/>
  <c r="AK39" i="4" s="1"/>
  <c r="P93" i="4" s="1"/>
  <c r="L86" i="8" l="1"/>
  <c r="T38" i="8"/>
  <c r="T86" i="8" s="1"/>
  <c r="H84" i="8"/>
  <c r="H30" i="8"/>
  <c r="H31" i="8"/>
  <c r="H32" i="8" s="1"/>
  <c r="H108" i="8" s="1"/>
  <c r="O24" i="8"/>
  <c r="U26" i="8"/>
  <c r="Z24" i="8"/>
  <c r="T24" i="8" s="1"/>
  <c r="I30" i="8"/>
  <c r="I31" i="8"/>
  <c r="I32" i="8" s="1"/>
  <c r="I108" i="8" s="1"/>
  <c r="I84" i="8"/>
  <c r="K84" i="8"/>
  <c r="K31" i="8"/>
  <c r="K32" i="8" s="1"/>
  <c r="K108" i="8" s="1"/>
  <c r="K30" i="8"/>
  <c r="R29" i="2"/>
  <c r="R31" i="2" s="1"/>
  <c r="T142" i="2" s="1"/>
  <c r="P91" i="2"/>
  <c r="R27" i="2"/>
  <c r="G26" i="8"/>
  <c r="L24" i="8"/>
  <c r="P91" i="3"/>
  <c r="R29" i="3"/>
  <c r="R31" i="3" s="1"/>
  <c r="T142" i="3" s="1"/>
  <c r="R27" i="3"/>
  <c r="R27" i="14"/>
  <c r="R29" i="14"/>
  <c r="R31" i="14" s="1"/>
  <c r="T142" i="14" s="1"/>
  <c r="P91" i="14"/>
  <c r="V26" i="8"/>
  <c r="P24" i="8"/>
  <c r="R20" i="4"/>
  <c r="AK21" i="4" s="1"/>
  <c r="AK21" i="1"/>
  <c r="Q24" i="8"/>
  <c r="W26" i="8"/>
  <c r="S24" i="8"/>
  <c r="Y26" i="8"/>
  <c r="W30" i="8" l="1"/>
  <c r="Q30" i="8" s="1"/>
  <c r="W84" i="8"/>
  <c r="Q84" i="8" s="1"/>
  <c r="W31" i="8"/>
  <c r="Q26" i="8"/>
  <c r="V31" i="8"/>
  <c r="V84" i="8"/>
  <c r="P84" i="8" s="1"/>
  <c r="V30" i="8"/>
  <c r="P30" i="8" s="1"/>
  <c r="P26" i="8"/>
  <c r="G31" i="8"/>
  <c r="L26" i="8"/>
  <c r="G84" i="8"/>
  <c r="L84" i="8" s="1"/>
  <c r="L87" i="8" s="1"/>
  <c r="L98" i="8" s="1"/>
  <c r="G30" i="8"/>
  <c r="L30" i="8" s="1"/>
  <c r="L33" i="8" s="1"/>
  <c r="U84" i="8"/>
  <c r="U30" i="8"/>
  <c r="U31" i="8"/>
  <c r="O26" i="8"/>
  <c r="Z26" i="8"/>
  <c r="T26" i="8" s="1"/>
  <c r="Y30" i="8"/>
  <c r="S30" i="8" s="1"/>
  <c r="S26" i="8"/>
  <c r="Y31" i="8"/>
  <c r="Y84" i="8"/>
  <c r="S84" i="8" s="1"/>
  <c r="R27" i="1"/>
  <c r="R27" i="4" s="1"/>
  <c r="R34" i="4" s="1"/>
  <c r="R36" i="4" s="1"/>
  <c r="P91" i="1"/>
  <c r="P91" i="4" s="1"/>
  <c r="AE92" i="4" s="1"/>
  <c r="AA116" i="4" s="1"/>
  <c r="R29" i="1"/>
  <c r="AA116" i="3" l="1"/>
  <c r="AA116" i="14"/>
  <c r="AA116" i="2"/>
  <c r="AA116" i="1"/>
  <c r="AA116" i="13"/>
  <c r="O31" i="8"/>
  <c r="Z31" i="8"/>
  <c r="T31" i="8" s="1"/>
  <c r="U32" i="8"/>
  <c r="L35" i="8"/>
  <c r="T33" i="8"/>
  <c r="Z103" i="1"/>
  <c r="Z103" i="4"/>
  <c r="Z103" i="3"/>
  <c r="Z103" i="13"/>
  <c r="Z103" i="14"/>
  <c r="R40" i="4"/>
  <c r="Z103" i="2"/>
  <c r="Z30" i="8"/>
  <c r="T30" i="8" s="1"/>
  <c r="O30" i="8"/>
  <c r="Q31" i="8"/>
  <c r="W32" i="8"/>
  <c r="Z84" i="8"/>
  <c r="O84" i="8"/>
  <c r="T84" i="8" s="1"/>
  <c r="T87" i="8" s="1"/>
  <c r="R29" i="4"/>
  <c r="R31" i="1"/>
  <c r="Y32" i="8"/>
  <c r="S31" i="8"/>
  <c r="L31" i="8"/>
  <c r="G32" i="8"/>
  <c r="V32" i="8"/>
  <c r="P31" i="8"/>
  <c r="T98" i="8" l="1"/>
  <c r="AF98" i="8"/>
  <c r="Z98" i="8"/>
  <c r="Z106" i="1"/>
  <c r="Z108" i="1" s="1"/>
  <c r="Z106" i="4"/>
  <c r="BB103" i="4" s="1"/>
  <c r="Z106" i="13"/>
  <c r="Z106" i="14"/>
  <c r="Z106" i="2"/>
  <c r="Z108" i="2" s="1"/>
  <c r="Z106" i="3"/>
  <c r="O32" i="8"/>
  <c r="U108" i="8"/>
  <c r="Z32" i="8"/>
  <c r="T32" i="8" s="1"/>
  <c r="P32" i="8"/>
  <c r="V108" i="8"/>
  <c r="Y108" i="8"/>
  <c r="S32" i="8"/>
  <c r="R31" i="4"/>
  <c r="T142" i="1"/>
  <c r="W108" i="8"/>
  <c r="Q32" i="8"/>
  <c r="R42" i="4"/>
  <c r="G108" i="8"/>
  <c r="L32" i="8"/>
  <c r="L92" i="8"/>
  <c r="T35" i="8"/>
  <c r="T92" i="8" s="1"/>
  <c r="L39" i="8"/>
  <c r="L40" i="8" s="1"/>
  <c r="T40" i="8" s="1"/>
  <c r="AC89" i="8" l="1"/>
  <c r="AD89" i="8"/>
  <c r="AB89" i="8"/>
  <c r="AA89" i="8"/>
  <c r="Q108" i="8"/>
  <c r="S108" i="8"/>
  <c r="Z108" i="8"/>
  <c r="T108" i="8" s="1"/>
  <c r="O108" i="8"/>
  <c r="AE89" i="8"/>
  <c r="T39" i="8"/>
  <c r="T93" i="8" s="1"/>
  <c r="L93" i="8"/>
  <c r="U94" i="8" s="1"/>
  <c r="L108" i="8"/>
  <c r="T142" i="4"/>
  <c r="P108" i="8"/>
  <c r="AF89" i="8" l="1"/>
  <c r="C24" i="9"/>
  <c r="AF143" i="8"/>
  <c r="AF120" i="8"/>
  <c r="AB94" i="8"/>
  <c r="AB96" i="8" s="1"/>
  <c r="AB99" i="8" s="1"/>
  <c r="AB100" i="8" s="1"/>
  <c r="AB101" i="8" s="1"/>
  <c r="AB103" i="8" s="1"/>
  <c r="AB107" i="8" s="1"/>
  <c r="AB109" i="8" s="1"/>
  <c r="AB110" i="8" s="1"/>
  <c r="V94" i="8"/>
  <c r="H94" i="8"/>
  <c r="AC94" i="8"/>
  <c r="AC96" i="8" s="1"/>
  <c r="AC99" i="8" s="1"/>
  <c r="AC100" i="8" s="1"/>
  <c r="AC101" i="8" s="1"/>
  <c r="AC103" i="8" s="1"/>
  <c r="AC107" i="8" s="1"/>
  <c r="AC109" i="8" s="1"/>
  <c r="AC110" i="8" s="1"/>
  <c r="G94" i="8"/>
  <c r="AE94" i="8"/>
  <c r="AE96" i="8" s="1"/>
  <c r="AE99" i="8" s="1"/>
  <c r="AE100" i="8" s="1"/>
  <c r="AE101" i="8" s="1"/>
  <c r="AE103" i="8" s="1"/>
  <c r="AE107" i="8" s="1"/>
  <c r="AE109" i="8" s="1"/>
  <c r="AE110" i="8" s="1"/>
  <c r="AD94" i="8"/>
  <c r="AD96" i="8" s="1"/>
  <c r="AD99" i="8" s="1"/>
  <c r="AD100" i="8" s="1"/>
  <c r="AD101" i="8" s="1"/>
  <c r="AD103" i="8" s="1"/>
  <c r="AD107" i="8" s="1"/>
  <c r="AD109" i="8" s="1"/>
  <c r="AD110" i="8" s="1"/>
  <c r="AA94" i="8"/>
  <c r="O94" i="8" s="1"/>
  <c r="AA96" i="8" l="1"/>
  <c r="AF94" i="8"/>
  <c r="P94" i="8"/>
  <c r="C14" i="9"/>
  <c r="C10" i="9"/>
  <c r="C18" i="9"/>
  <c r="C6" i="9" l="1"/>
  <c r="C23" i="9" s="1"/>
  <c r="AA99" i="8"/>
  <c r="AF96" i="8"/>
  <c r="AF148" i="8"/>
  <c r="E24" i="9"/>
  <c r="AF142" i="8" l="1"/>
  <c r="AF144" i="8" s="1"/>
  <c r="C25" i="9"/>
  <c r="AF99" i="8"/>
  <c r="AA100" i="8"/>
  <c r="AF100" i="8" l="1"/>
  <c r="AF121" i="8" s="1"/>
  <c r="AF122" i="8" s="1"/>
  <c r="AF124" i="8" s="1"/>
  <c r="AA101" i="8"/>
  <c r="AF101" i="8" l="1"/>
  <c r="F24" i="9" s="1"/>
  <c r="AA103" i="8"/>
  <c r="G24" i="9"/>
  <c r="H24" i="9"/>
  <c r="AA107" i="8" l="1"/>
  <c r="AF103" i="8"/>
  <c r="AA109" i="8" l="1"/>
  <c r="AF107" i="8"/>
  <c r="F16" i="10"/>
  <c r="F12" i="10"/>
  <c r="F9" i="10"/>
  <c r="F8" i="10"/>
  <c r="F18" i="10"/>
  <c r="F19" i="10"/>
  <c r="F20" i="10"/>
  <c r="F11" i="10"/>
  <c r="F13" i="10"/>
  <c r="F17" i="10" l="1"/>
  <c r="F10" i="10"/>
  <c r="F5" i="10"/>
  <c r="AA110" i="8"/>
  <c r="AF110" i="8" s="1"/>
  <c r="AF109" i="8"/>
  <c r="F4" i="10" l="1"/>
  <c r="F83" i="10" s="1"/>
  <c r="C4" i="11" s="1"/>
  <c r="AF118" i="8"/>
  <c r="AF112" i="8"/>
  <c r="AF117" i="8" s="1"/>
  <c r="I3" i="12"/>
  <c r="F3" i="12" l="1"/>
  <c r="I42" i="12"/>
  <c r="J3" i="12" l="1"/>
  <c r="F41" i="12"/>
  <c r="E3" i="12"/>
  <c r="I29" i="12"/>
  <c r="F29" i="12" l="1"/>
  <c r="E41" i="12"/>
  <c r="J29" i="12" l="1"/>
  <c r="E29" i="12"/>
  <c r="F42" i="12"/>
  <c r="E42" i="12" l="1"/>
  <c r="J42" i="12"/>
  <c r="X127" i="8" l="1"/>
  <c r="G11" i="7" l="1"/>
  <c r="X55" i="8" l="1"/>
  <c r="J55" i="8"/>
  <c r="J57" i="8" s="1"/>
  <c r="R59" i="13"/>
  <c r="AK60" i="13" s="1"/>
  <c r="T70" i="13" l="1"/>
  <c r="Z98" i="13" s="1"/>
  <c r="T68" i="13"/>
  <c r="J67" i="8"/>
  <c r="J89" i="8" s="1"/>
  <c r="J66" i="8"/>
  <c r="R55" i="8"/>
  <c r="X57" i="8"/>
  <c r="R57" i="8" l="1"/>
  <c r="X67" i="8"/>
  <c r="X66" i="8"/>
  <c r="R66" i="8" s="1"/>
  <c r="R67" i="8" l="1"/>
  <c r="X89" i="8"/>
  <c r="X128" i="8"/>
  <c r="X129" i="8" s="1"/>
  <c r="R89" i="8" l="1"/>
  <c r="F45" i="10" l="1"/>
  <c r="I21" i="12" s="1"/>
  <c r="F44" i="10"/>
  <c r="F21" i="12" l="1"/>
  <c r="E21" i="12" s="1"/>
  <c r="I61" i="12"/>
  <c r="J61" i="12" s="1"/>
  <c r="F43" i="10"/>
  <c r="I20" i="12"/>
  <c r="F37" i="10"/>
  <c r="I18" i="12" s="1"/>
  <c r="F42" i="10"/>
  <c r="F31" i="10"/>
  <c r="I13" i="12" s="1"/>
  <c r="F34" i="10"/>
  <c r="I16" i="12" s="1"/>
  <c r="F36" i="10"/>
  <c r="J21" i="12" l="1"/>
  <c r="F13" i="12"/>
  <c r="E13" i="12" s="1"/>
  <c r="I53" i="12"/>
  <c r="J53" i="12" s="1"/>
  <c r="F18" i="12"/>
  <c r="E18" i="12" s="1"/>
  <c r="I58" i="12"/>
  <c r="J58" i="12" s="1"/>
  <c r="I60" i="12"/>
  <c r="J60" i="12" s="1"/>
  <c r="F20" i="12"/>
  <c r="E20" i="12" s="1"/>
  <c r="F16" i="12"/>
  <c r="E16" i="12" s="1"/>
  <c r="I56" i="12"/>
  <c r="J56" i="12" s="1"/>
  <c r="F29" i="10"/>
  <c r="I11" i="12" s="1"/>
  <c r="F11" i="7"/>
  <c r="F24" i="10"/>
  <c r="I6" i="12" s="1"/>
  <c r="F28" i="10"/>
  <c r="I10" i="12" s="1"/>
  <c r="F32" i="10"/>
  <c r="I14" i="12" s="1"/>
  <c r="F35" i="10"/>
  <c r="I17" i="12" s="1"/>
  <c r="F26" i="10"/>
  <c r="I8" i="12" s="1"/>
  <c r="F25" i="10"/>
  <c r="I7" i="12" s="1"/>
  <c r="E11" i="7"/>
  <c r="F33" i="10"/>
  <c r="I15" i="12" s="1"/>
  <c r="F39" i="10"/>
  <c r="F38" i="10" s="1"/>
  <c r="I19" i="12" s="1"/>
  <c r="F30" i="10"/>
  <c r="I12" i="12" s="1"/>
  <c r="F27" i="10"/>
  <c r="I9" i="12" s="1"/>
  <c r="F23" i="10"/>
  <c r="J13" i="12" l="1"/>
  <c r="J16" i="12"/>
  <c r="J18" i="12"/>
  <c r="F9" i="12"/>
  <c r="E9" i="12" s="1"/>
  <c r="I49" i="12"/>
  <c r="J49" i="12" s="1"/>
  <c r="I55" i="12"/>
  <c r="J55" i="12" s="1"/>
  <c r="F15" i="12"/>
  <c r="E15" i="12" s="1"/>
  <c r="H11" i="7"/>
  <c r="I46" i="12"/>
  <c r="J46" i="12" s="1"/>
  <c r="F6" i="12"/>
  <c r="E6" i="12" s="1"/>
  <c r="D11" i="7"/>
  <c r="H55" i="8"/>
  <c r="H57" i="8" s="1"/>
  <c r="R59" i="2"/>
  <c r="AK60" i="2" s="1"/>
  <c r="V55" i="8"/>
  <c r="F8" i="12"/>
  <c r="E8" i="12" s="1"/>
  <c r="I48" i="12"/>
  <c r="J48" i="12" s="1"/>
  <c r="F14" i="12"/>
  <c r="E14" i="12" s="1"/>
  <c r="I54" i="12"/>
  <c r="J54" i="12" s="1"/>
  <c r="W55" i="8"/>
  <c r="I55" i="8"/>
  <c r="I57" i="8" s="1"/>
  <c r="R59" i="3"/>
  <c r="AK60" i="3" s="1"/>
  <c r="F22" i="10"/>
  <c r="F21" i="10" s="1"/>
  <c r="F84" i="10" s="1"/>
  <c r="D5" i="11" s="1"/>
  <c r="D15" i="11" s="1"/>
  <c r="I5" i="12"/>
  <c r="F12" i="12"/>
  <c r="E12" i="12" s="1"/>
  <c r="I52" i="12"/>
  <c r="J52" i="12" s="1"/>
  <c r="I59" i="12"/>
  <c r="J59" i="12" s="1"/>
  <c r="F19" i="12"/>
  <c r="E19" i="12" s="1"/>
  <c r="D8" i="5"/>
  <c r="I47" i="12"/>
  <c r="J47" i="12" s="1"/>
  <c r="F7" i="12"/>
  <c r="E7" i="12" s="1"/>
  <c r="F17" i="12"/>
  <c r="E17" i="12" s="1"/>
  <c r="I57" i="12"/>
  <c r="J57" i="12" s="1"/>
  <c r="F10" i="12"/>
  <c r="E10" i="12" s="1"/>
  <c r="I50" i="12"/>
  <c r="J50" i="12" s="1"/>
  <c r="F11" i="12"/>
  <c r="E11" i="12" s="1"/>
  <c r="I51" i="12"/>
  <c r="J51" i="12" s="1"/>
  <c r="J20" i="12"/>
  <c r="V127" i="8"/>
  <c r="U127" i="8"/>
  <c r="Y127" i="8"/>
  <c r="W127" i="8"/>
  <c r="J15" i="12" l="1"/>
  <c r="J17" i="12"/>
  <c r="J10" i="12"/>
  <c r="J9" i="12"/>
  <c r="J12" i="12"/>
  <c r="J14" i="12"/>
  <c r="J7" i="12"/>
  <c r="J19" i="12"/>
  <c r="T70" i="3"/>
  <c r="Z98" i="3" s="1"/>
  <c r="T68" i="3"/>
  <c r="Y55" i="8"/>
  <c r="AI61" i="14"/>
  <c r="R59" i="14"/>
  <c r="AK60" i="14" s="1"/>
  <c r="K55" i="8"/>
  <c r="K57" i="8" s="1"/>
  <c r="J11" i="12"/>
  <c r="I66" i="8"/>
  <c r="I67" i="8"/>
  <c r="I89" i="8" s="1"/>
  <c r="V57" i="8"/>
  <c r="P55" i="8"/>
  <c r="J6" i="12"/>
  <c r="F5" i="12"/>
  <c r="I45" i="12"/>
  <c r="J45" i="12" s="1"/>
  <c r="W57" i="8"/>
  <c r="Q55" i="8"/>
  <c r="J8" i="12"/>
  <c r="T68" i="2"/>
  <c r="T70" i="2"/>
  <c r="Z98" i="2" s="1"/>
  <c r="AC111" i="2" s="1"/>
  <c r="AA118" i="2" s="1"/>
  <c r="Z120" i="2" s="1"/>
  <c r="Z127" i="8"/>
  <c r="H67" i="8"/>
  <c r="H89" i="8" s="1"/>
  <c r="H96" i="8" s="1"/>
  <c r="H99" i="8" s="1"/>
  <c r="H100" i="8" s="1"/>
  <c r="H101" i="8" s="1"/>
  <c r="H103" i="8" s="1"/>
  <c r="H107" i="8" s="1"/>
  <c r="H109" i="8" s="1"/>
  <c r="H110" i="8" s="1"/>
  <c r="H113" i="8" s="1"/>
  <c r="H114" i="8" s="1"/>
  <c r="H66" i="8"/>
  <c r="G55" i="8"/>
  <c r="R59" i="1"/>
  <c r="U55" i="8"/>
  <c r="I11" i="7"/>
  <c r="V67" i="8" l="1"/>
  <c r="V66" i="8"/>
  <c r="P66" i="8" s="1"/>
  <c r="P57" i="8"/>
  <c r="K67" i="8"/>
  <c r="K66" i="8"/>
  <c r="K62" i="8" s="1"/>
  <c r="L62" i="8" s="1"/>
  <c r="AK60" i="1"/>
  <c r="R59" i="4"/>
  <c r="J5" i="12"/>
  <c r="F44" i="12"/>
  <c r="E5" i="12"/>
  <c r="AI62" i="14"/>
  <c r="T70" i="14"/>
  <c r="Z98" i="14" s="1"/>
  <c r="T68" i="14"/>
  <c r="O55" i="8"/>
  <c r="U57" i="8"/>
  <c r="Z55" i="8"/>
  <c r="T55" i="8" s="1"/>
  <c r="G57" i="8"/>
  <c r="L55" i="8"/>
  <c r="Z122" i="2"/>
  <c r="T132" i="2" s="1"/>
  <c r="T139" i="2" s="1"/>
  <c r="T143" i="2" s="1"/>
  <c r="T144" i="2" s="1"/>
  <c r="T151" i="2" s="1"/>
  <c r="T152" i="2" s="1"/>
  <c r="Q57" i="8"/>
  <c r="W67" i="8"/>
  <c r="W66" i="8"/>
  <c r="Q66" i="8" s="1"/>
  <c r="Y57" i="8"/>
  <c r="S55" i="8"/>
  <c r="W89" i="8" l="1"/>
  <c r="W128" i="8"/>
  <c r="W129" i="8" s="1"/>
  <c r="Q67" i="8"/>
  <c r="Y67" i="8"/>
  <c r="Y66" i="8"/>
  <c r="S57" i="8"/>
  <c r="O57" i="8"/>
  <c r="U66" i="8"/>
  <c r="Z57" i="8"/>
  <c r="T57" i="8" s="1"/>
  <c r="U67" i="8"/>
  <c r="T70" i="1"/>
  <c r="T68" i="1"/>
  <c r="T68" i="4" s="1"/>
  <c r="AK60" i="4"/>
  <c r="BC68" i="4" s="1"/>
  <c r="P67" i="8"/>
  <c r="V128" i="8"/>
  <c r="V129" i="8" s="1"/>
  <c r="V89" i="8"/>
  <c r="L57" i="8"/>
  <c r="G67" i="8"/>
  <c r="G66" i="8"/>
  <c r="L66" i="8" s="1"/>
  <c r="K63" i="8"/>
  <c r="L63" i="8" s="1"/>
  <c r="K89" i="8"/>
  <c r="G89" i="8" l="1"/>
  <c r="L67" i="8"/>
  <c r="O67" i="8"/>
  <c r="Z67" i="8"/>
  <c r="T67" i="8" s="1"/>
  <c r="U128" i="8"/>
  <c r="U89" i="8"/>
  <c r="Q89" i="8"/>
  <c r="V96" i="8"/>
  <c r="P89" i="8"/>
  <c r="Y62" i="8"/>
  <c r="S66" i="8"/>
  <c r="T70" i="4"/>
  <c r="Z98" i="1"/>
  <c r="Z66" i="8"/>
  <c r="T66" i="8" s="1"/>
  <c r="O66" i="8"/>
  <c r="Y63" i="8"/>
  <c r="Y89" i="8"/>
  <c r="S67" i="8"/>
  <c r="Y128" i="8"/>
  <c r="Y129" i="8" s="1"/>
  <c r="P96" i="8" l="1"/>
  <c r="V99" i="8"/>
  <c r="U96" i="8"/>
  <c r="O89" i="8"/>
  <c r="Z89" i="8"/>
  <c r="Z120" i="8" s="1"/>
  <c r="Z128" i="8"/>
  <c r="U129" i="8"/>
  <c r="Z129" i="8" s="1"/>
  <c r="G96" i="8"/>
  <c r="L89" i="8"/>
  <c r="S63" i="8"/>
  <c r="Z63" i="8"/>
  <c r="T63" i="8" s="1"/>
  <c r="S89" i="8"/>
  <c r="Z98" i="4"/>
  <c r="AC111" i="1"/>
  <c r="Z62" i="8"/>
  <c r="T62" i="8" s="1"/>
  <c r="S62" i="8"/>
  <c r="G99" i="8" l="1"/>
  <c r="T120" i="8"/>
  <c r="T89" i="8"/>
  <c r="P99" i="8"/>
  <c r="V100" i="8"/>
  <c r="O96" i="8"/>
  <c r="U99" i="8"/>
  <c r="AA118" i="1"/>
  <c r="G100" i="8" l="1"/>
  <c r="O99" i="8"/>
  <c r="U100" i="8"/>
  <c r="Z120" i="1"/>
  <c r="P100" i="8"/>
  <c r="V101" i="8"/>
  <c r="G101" i="8" l="1"/>
  <c r="V103" i="8"/>
  <c r="P101" i="8"/>
  <c r="Z122" i="1"/>
  <c r="O100" i="8"/>
  <c r="U101" i="8"/>
  <c r="P103" i="8" l="1"/>
  <c r="V107" i="8"/>
  <c r="T132" i="1"/>
  <c r="G103" i="8"/>
  <c r="O101" i="8"/>
  <c r="U103" i="8"/>
  <c r="O103" i="8" l="1"/>
  <c r="U107" i="8"/>
  <c r="G107" i="8"/>
  <c r="T139" i="1"/>
  <c r="V109" i="8"/>
  <c r="P107" i="8"/>
  <c r="G109" i="8" l="1"/>
  <c r="U109" i="8"/>
  <c r="O107" i="8"/>
  <c r="P109" i="8"/>
  <c r="V110" i="8"/>
  <c r="P110" i="8" s="1"/>
  <c r="T143" i="1"/>
  <c r="O109" i="8" l="1"/>
  <c r="U110" i="8"/>
  <c r="T144" i="1"/>
  <c r="G110" i="8"/>
  <c r="T151" i="1" l="1"/>
  <c r="O110" i="8"/>
  <c r="G113" i="8"/>
  <c r="G114" i="8" l="1"/>
  <c r="T152" i="1"/>
  <c r="F18" i="7" l="1"/>
  <c r="H18" i="7"/>
  <c r="G18" i="7"/>
  <c r="J81" i="8" l="1"/>
  <c r="J83" i="8" s="1"/>
  <c r="J90" i="8" s="1"/>
  <c r="J91" i="8" s="1"/>
  <c r="J94" i="8" s="1"/>
  <c r="J96" i="8" s="1"/>
  <c r="J99" i="8" s="1"/>
  <c r="J100" i="8" s="1"/>
  <c r="J101" i="8" s="1"/>
  <c r="J103" i="8" s="1"/>
  <c r="J107" i="8" s="1"/>
  <c r="J109" i="8" s="1"/>
  <c r="J110" i="8" s="1"/>
  <c r="J113" i="8" s="1"/>
  <c r="J114" i="8" s="1"/>
  <c r="X81" i="8"/>
  <c r="P88" i="13"/>
  <c r="AS89" i="13" s="1"/>
  <c r="Z100" i="13" s="1"/>
  <c r="Z101" i="13" s="1"/>
  <c r="Z108" i="13" s="1"/>
  <c r="AC111" i="13" s="1"/>
  <c r="AA118" i="13" s="1"/>
  <c r="Z120" i="13" s="1"/>
  <c r="Z122" i="13" s="1"/>
  <c r="T132" i="13" s="1"/>
  <c r="T139" i="13" s="1"/>
  <c r="T143" i="13" s="1"/>
  <c r="T144" i="13" s="1"/>
  <c r="T151" i="13" s="1"/>
  <c r="T152" i="13" s="1"/>
  <c r="K81" i="8"/>
  <c r="K83" i="8" s="1"/>
  <c r="K90" i="8" s="1"/>
  <c r="K91" i="8" s="1"/>
  <c r="K94" i="8" s="1"/>
  <c r="K96" i="8" s="1"/>
  <c r="K99" i="8" s="1"/>
  <c r="K100" i="8" s="1"/>
  <c r="K101" i="8" s="1"/>
  <c r="K103" i="8" s="1"/>
  <c r="K107" i="8" s="1"/>
  <c r="K109" i="8" s="1"/>
  <c r="K110" i="8" s="1"/>
  <c r="K113" i="8" s="1"/>
  <c r="K114" i="8" s="1"/>
  <c r="Y81" i="8"/>
  <c r="P88" i="14"/>
  <c r="AS89" i="14" s="1"/>
  <c r="Z100" i="14" s="1"/>
  <c r="Z101" i="14" s="1"/>
  <c r="Z108" i="14" s="1"/>
  <c r="AC111" i="14" s="1"/>
  <c r="AA118" i="14" s="1"/>
  <c r="Z120" i="14" s="1"/>
  <c r="Z122" i="14" s="1"/>
  <c r="T132" i="14" s="1"/>
  <c r="T139" i="14" s="1"/>
  <c r="T143" i="14" s="1"/>
  <c r="T144" i="14" s="1"/>
  <c r="T151" i="14" s="1"/>
  <c r="T152" i="14" s="1"/>
  <c r="I18" i="7"/>
  <c r="I81" i="8"/>
  <c r="W81" i="8"/>
  <c r="P88" i="3"/>
  <c r="Q81" i="8" l="1"/>
  <c r="Z81" i="8"/>
  <c r="Z83" i="8" s="1"/>
  <c r="W83" i="8"/>
  <c r="I83" i="8"/>
  <c r="I90" i="8" s="1"/>
  <c r="L81" i="8"/>
  <c r="L83" i="8" s="1"/>
  <c r="L88" i="8" s="1"/>
  <c r="R81" i="8"/>
  <c r="X83" i="8"/>
  <c r="P88" i="4"/>
  <c r="AS89" i="4" s="1"/>
  <c r="P95" i="4" s="1"/>
  <c r="AS89" i="3"/>
  <c r="Z100" i="3" s="1"/>
  <c r="Y83" i="8"/>
  <c r="S81" i="8"/>
  <c r="Z100" i="4" l="1"/>
  <c r="Z101" i="3"/>
  <c r="Q83" i="8"/>
  <c r="W90" i="8"/>
  <c r="T81" i="8"/>
  <c r="T83" i="8" s="1"/>
  <c r="T88" i="8" s="1"/>
  <c r="R83" i="8"/>
  <c r="X90" i="8"/>
  <c r="S83" i="8"/>
  <c r="Y90" i="8"/>
  <c r="L90" i="8"/>
  <c r="I91" i="8"/>
  <c r="S90" i="8" l="1"/>
  <c r="Y91" i="8"/>
  <c r="L91" i="8"/>
  <c r="I94" i="8"/>
  <c r="X91" i="8"/>
  <c r="R90" i="8"/>
  <c r="Z108" i="3"/>
  <c r="BB101" i="4"/>
  <c r="BB108" i="4" s="1"/>
  <c r="BB111" i="4" s="1"/>
  <c r="Z101" i="4"/>
  <c r="Z90" i="8"/>
  <c r="W91" i="8"/>
  <c r="Q90" i="8"/>
  <c r="Y94" i="8" l="1"/>
  <c r="Y138" i="8"/>
  <c r="S91" i="8"/>
  <c r="T90" i="8"/>
  <c r="X94" i="8"/>
  <c r="X138" i="8"/>
  <c r="R91" i="8"/>
  <c r="W138" i="8"/>
  <c r="Q91" i="8"/>
  <c r="W94" i="8"/>
  <c r="Z91" i="8"/>
  <c r="L94" i="8"/>
  <c r="I96" i="8"/>
  <c r="AC111" i="3"/>
  <c r="Z108" i="4"/>
  <c r="T91" i="8" l="1"/>
  <c r="Z119" i="8"/>
  <c r="W96" i="8"/>
  <c r="Q94" i="8"/>
  <c r="Z94" i="8"/>
  <c r="AA118" i="3"/>
  <c r="AC111" i="4"/>
  <c r="Z138" i="8"/>
  <c r="R94" i="8"/>
  <c r="X96" i="8"/>
  <c r="L96" i="8"/>
  <c r="I99" i="8"/>
  <c r="S94" i="8"/>
  <c r="Y96" i="8"/>
  <c r="L99" i="8" l="1"/>
  <c r="I100" i="8"/>
  <c r="T94" i="8"/>
  <c r="S96" i="8"/>
  <c r="Y99" i="8"/>
  <c r="R96" i="8"/>
  <c r="X99" i="8"/>
  <c r="Z96" i="8"/>
  <c r="Q96" i="8"/>
  <c r="W99" i="8"/>
  <c r="AA118" i="4"/>
  <c r="Z120" i="3"/>
  <c r="T119" i="8"/>
  <c r="F87" i="10"/>
  <c r="T96" i="8" l="1"/>
  <c r="Z122" i="3"/>
  <c r="Z120" i="4"/>
  <c r="BB122" i="4" s="1"/>
  <c r="I101" i="8"/>
  <c r="L100" i="8"/>
  <c r="R99" i="8"/>
  <c r="X100" i="8"/>
  <c r="Z99" i="8"/>
  <c r="Q99" i="8"/>
  <c r="W100" i="8"/>
  <c r="S99" i="8"/>
  <c r="Y100" i="8"/>
  <c r="Y101" i="8" l="1"/>
  <c r="S100" i="8"/>
  <c r="Q100" i="8"/>
  <c r="Z100" i="8"/>
  <c r="Z121" i="8" s="1"/>
  <c r="W101" i="8"/>
  <c r="X101" i="8"/>
  <c r="R100" i="8"/>
  <c r="Z122" i="4"/>
  <c r="T132" i="3"/>
  <c r="T99" i="8"/>
  <c r="I103" i="8"/>
  <c r="L101" i="8"/>
  <c r="T100" i="8" l="1"/>
  <c r="X103" i="8"/>
  <c r="R101" i="8"/>
  <c r="I107" i="8"/>
  <c r="L103" i="8"/>
  <c r="T121" i="8"/>
  <c r="Z122" i="8"/>
  <c r="T132" i="4"/>
  <c r="BB132" i="4"/>
  <c r="T139" i="3"/>
  <c r="Q101" i="8"/>
  <c r="Z101" i="8"/>
  <c r="W103" i="8"/>
  <c r="Y103" i="8"/>
  <c r="S101" i="8"/>
  <c r="L107" i="8" l="1"/>
  <c r="I109" i="8"/>
  <c r="T101" i="8"/>
  <c r="Z124" i="8"/>
  <c r="F88" i="10"/>
  <c r="T122" i="8"/>
  <c r="T124" i="8" s="1"/>
  <c r="Y107" i="8"/>
  <c r="S103" i="8"/>
  <c r="T143" i="3"/>
  <c r="T139" i="4"/>
  <c r="X107" i="8"/>
  <c r="R103" i="8"/>
  <c r="Q103" i="8"/>
  <c r="Z103" i="8"/>
  <c r="T103" i="8" s="1"/>
  <c r="W107" i="8"/>
  <c r="I39" i="12" l="1"/>
  <c r="C7" i="11"/>
  <c r="W109" i="8"/>
  <c r="Z107" i="8"/>
  <c r="T107" i="8" s="1"/>
  <c r="Q107" i="8"/>
  <c r="X109" i="8"/>
  <c r="R107" i="8"/>
  <c r="S107" i="8"/>
  <c r="Y109" i="8"/>
  <c r="T143" i="4"/>
  <c r="T144" i="3"/>
  <c r="I110" i="8"/>
  <c r="L109" i="8"/>
  <c r="F86" i="10"/>
  <c r="F39" i="12"/>
  <c r="R109" i="8" l="1"/>
  <c r="X110" i="8"/>
  <c r="R110" i="8" s="1"/>
  <c r="J39" i="12"/>
  <c r="F78" i="12"/>
  <c r="E78" i="12" s="1"/>
  <c r="E39" i="12"/>
  <c r="L110" i="8"/>
  <c r="I113" i="8"/>
  <c r="Y110" i="8"/>
  <c r="S110" i="8" s="1"/>
  <c r="S109" i="8"/>
  <c r="T151" i="3"/>
  <c r="T144" i="4"/>
  <c r="T148" i="4" s="1"/>
  <c r="Q109" i="8"/>
  <c r="W110" i="8"/>
  <c r="Z109" i="8"/>
  <c r="T109" i="8" s="1"/>
  <c r="T152" i="3" l="1"/>
  <c r="T152" i="4" s="1"/>
  <c r="T156" i="4" s="1"/>
  <c r="T159" i="4" s="1"/>
  <c r="D35" i="5" s="1"/>
  <c r="T151" i="4"/>
  <c r="Q110" i="8"/>
  <c r="Z110" i="8"/>
  <c r="I114" i="8"/>
  <c r="L114" i="8" s="1"/>
  <c r="L116" i="8" s="1"/>
  <c r="L113" i="8"/>
  <c r="L112" i="8"/>
  <c r="L118" i="8" l="1"/>
  <c r="L117" i="8"/>
  <c r="T110" i="8"/>
  <c r="Z112" i="8"/>
  <c r="Z118" i="8"/>
  <c r="T118" i="8" l="1"/>
  <c r="C14" i="11"/>
  <c r="T112" i="8"/>
  <c r="Z117" i="8"/>
  <c r="T117" i="8" s="1"/>
  <c r="I30" i="12" l="1"/>
  <c r="F30" i="12" l="1"/>
  <c r="J30" i="12" l="1"/>
  <c r="E30" i="12"/>
  <c r="F69" i="12"/>
  <c r="E69" i="12" l="1"/>
  <c r="D11" i="9" l="1"/>
  <c r="D15" i="9" l="1"/>
  <c r="D4" i="9" l="1"/>
  <c r="D20" i="9" l="1"/>
  <c r="E4" i="9"/>
  <c r="E20" i="9" s="1"/>
  <c r="D3" i="9" l="1"/>
  <c r="D7" i="9" l="1"/>
  <c r="D19" i="9" l="1"/>
  <c r="AB137" i="8" l="1"/>
  <c r="AB139" i="8" l="1"/>
  <c r="D12" i="9" l="1"/>
  <c r="D16" i="9"/>
  <c r="E16" i="9" l="1"/>
  <c r="E12" i="9"/>
  <c r="D8" i="9"/>
  <c r="D21" i="9" l="1"/>
  <c r="E8" i="9"/>
  <c r="E21" i="9" s="1"/>
  <c r="D13" i="9" l="1"/>
  <c r="D9" i="9"/>
  <c r="D17" i="9"/>
  <c r="E9" i="9" l="1"/>
  <c r="D10" i="9"/>
  <c r="E13" i="9"/>
  <c r="D14" i="9"/>
  <c r="E17" i="9"/>
  <c r="D18" i="9"/>
  <c r="AE137" i="8"/>
  <c r="AE139" i="8" s="1"/>
  <c r="E14" i="9" l="1"/>
  <c r="G14" i="9" s="1"/>
  <c r="E18" i="9"/>
  <c r="G18" i="9" s="1"/>
  <c r="E10" i="9"/>
  <c r="G10" i="9" s="1"/>
  <c r="AD137" i="8"/>
  <c r="AD139" i="8" s="1"/>
  <c r="G8" i="9" l="1"/>
  <c r="G9" i="9"/>
  <c r="H9" i="9" s="1"/>
  <c r="G13" i="9"/>
  <c r="H13" i="9" s="1"/>
  <c r="G12" i="9"/>
  <c r="H12" i="9" s="1"/>
  <c r="G17" i="9"/>
  <c r="H17" i="9" s="1"/>
  <c r="G16" i="9"/>
  <c r="H16" i="9" s="1"/>
  <c r="E15" i="9"/>
  <c r="F18" i="9"/>
  <c r="E6" i="9"/>
  <c r="E7" i="9"/>
  <c r="F10" i="9"/>
  <c r="E11" i="9"/>
  <c r="F14" i="9"/>
  <c r="AC137" i="8"/>
  <c r="G7" i="9" l="1"/>
  <c r="H7" i="9" s="1"/>
  <c r="F6" i="9"/>
  <c r="F23" i="9" s="1"/>
  <c r="F25" i="9" s="1"/>
  <c r="E23" i="9"/>
  <c r="D5" i="9"/>
  <c r="G11" i="9"/>
  <c r="H11" i="9" s="1"/>
  <c r="H14" i="9" s="1"/>
  <c r="AC139" i="8"/>
  <c r="AF139" i="8" s="1"/>
  <c r="AF137" i="8"/>
  <c r="G15" i="9"/>
  <c r="H15" i="9" s="1"/>
  <c r="H18" i="9" s="1"/>
  <c r="G21" i="9"/>
  <c r="H8" i="9"/>
  <c r="H21" i="9" s="1"/>
  <c r="F96" i="10" s="1"/>
  <c r="D24" i="5"/>
  <c r="D22" i="9" l="1"/>
  <c r="E5" i="9"/>
  <c r="D6" i="9"/>
  <c r="I36" i="12"/>
  <c r="C12" i="11"/>
  <c r="AF147" i="8"/>
  <c r="AF149" i="8" s="1"/>
  <c r="E25" i="9"/>
  <c r="H10" i="9"/>
  <c r="D23" i="9" l="1"/>
  <c r="D25" i="9" s="1"/>
  <c r="G6" i="9"/>
  <c r="E22" i="9"/>
  <c r="E3" i="9"/>
  <c r="E19" i="9" s="1"/>
  <c r="F36" i="12"/>
  <c r="J36" i="12" s="1"/>
  <c r="G23" i="9" l="1"/>
  <c r="G25" i="9" s="1"/>
  <c r="G4" i="9"/>
  <c r="G5" i="9"/>
  <c r="E36" i="12"/>
  <c r="F75" i="12"/>
  <c r="E75" i="12" s="1"/>
  <c r="G3" i="9" l="1"/>
  <c r="H3" i="9" s="1"/>
  <c r="G22" i="9"/>
  <c r="H5" i="9"/>
  <c r="H22" i="9" s="1"/>
  <c r="F97" i="10" s="1"/>
  <c r="G20" i="9"/>
  <c r="H4" i="9"/>
  <c r="H20" i="9" s="1"/>
  <c r="F95" i="10" s="1"/>
  <c r="G19" i="9" l="1"/>
  <c r="I35" i="12"/>
  <c r="C11" i="11"/>
  <c r="C13" i="11"/>
  <c r="I37" i="12"/>
  <c r="F37" i="12" s="1"/>
  <c r="H6" i="9"/>
  <c r="H23" i="9" s="1"/>
  <c r="H25" i="9" s="1"/>
  <c r="H19" i="9"/>
  <c r="F93" i="10" s="1"/>
  <c r="J37" i="12" l="1"/>
  <c r="E37" i="12"/>
  <c r="F76" i="12"/>
  <c r="E76" i="12" s="1"/>
  <c r="C9" i="11"/>
  <c r="C8" i="11" s="1"/>
  <c r="I32" i="12"/>
  <c r="F92" i="10"/>
  <c r="F35" i="12"/>
  <c r="J35" i="12"/>
  <c r="E8" i="11" l="1"/>
  <c r="C15" i="11"/>
  <c r="C16" i="11" s="1"/>
  <c r="E35" i="12"/>
  <c r="F74" i="12"/>
  <c r="E74" i="12" s="1"/>
  <c r="I31" i="12"/>
  <c r="F85" i="10"/>
  <c r="J85" i="10" s="1"/>
  <c r="I70" i="12"/>
  <c r="F32" i="12"/>
  <c r="J32" i="12" l="1"/>
  <c r="F71" i="12"/>
  <c r="E71" i="12" s="1"/>
  <c r="E32" i="12"/>
  <c r="F31" i="12"/>
  <c r="I40" i="12"/>
  <c r="I44" i="12"/>
  <c r="E31" i="12" l="1"/>
  <c r="F70" i="12"/>
  <c r="F40" i="12"/>
  <c r="E40" i="12" s="1"/>
  <c r="I79" i="12"/>
  <c r="J44" i="12"/>
  <c r="J79" i="12" s="1"/>
  <c r="J40" i="12"/>
  <c r="J31" i="12"/>
  <c r="E70" i="12" l="1"/>
  <c r="E79" i="12" s="1"/>
  <c r="F79" i="12"/>
  <c r="D29" i="5" l="1"/>
  <c r="D19" i="5" l="1"/>
  <c r="D18" i="5" l="1"/>
  <c r="D20" i="5" s="1"/>
  <c r="G38" i="5" s="1"/>
  <c r="W137" i="8" l="1"/>
  <c r="Y137" i="8"/>
  <c r="Y139" i="8" s="1"/>
  <c r="X137" i="8"/>
  <c r="X139" i="8" s="1"/>
  <c r="Z137" i="8" l="1"/>
  <c r="W139" i="8"/>
  <c r="Z139" i="8" s="1"/>
  <c r="J5" i="5"/>
  <c r="D13" i="5"/>
  <c r="D9" i="5" l="1"/>
  <c r="D12" i="5" l="1"/>
  <c r="D10" i="5"/>
  <c r="D3" i="5" l="1"/>
  <c r="D4" i="5" l="1"/>
  <c r="D7" i="5"/>
  <c r="D5" i="5"/>
  <c r="G34" i="5" s="1"/>
  <c r="G44" i="5" l="1"/>
  <c r="G43" i="5"/>
  <c r="G41" i="5"/>
  <c r="G12" i="5" l="1"/>
  <c r="G23" i="5"/>
  <c r="G24" i="5"/>
  <c r="G13" i="5"/>
  <c r="G25" i="5" l="1"/>
  <c r="D26" i="5" s="1"/>
  <c r="I21" i="5"/>
  <c r="G15" i="5"/>
  <c r="D16" i="5" s="1"/>
  <c r="D28" i="5" s="1"/>
  <c r="J8" i="5"/>
  <c r="D36" i="5" l="1"/>
  <c r="D30" i="5"/>
  <c r="J13" i="5"/>
  <c r="K13" i="5" s="1"/>
  <c r="J12" i="5"/>
</calcChain>
</file>

<file path=xl/comments1.xml><?xml version="1.0" encoding="utf-8"?>
<comments xmlns="http://schemas.openxmlformats.org/spreadsheetml/2006/main">
  <authors>
    <author>4202453</author>
    <author>Windows ユーザー</author>
    <author>広島市</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Z101" authorId="2" shapeId="0">
      <text>
        <r>
          <rPr>
            <b/>
            <sz val="9"/>
            <color indexed="81"/>
            <rFont val="ＭＳ Ｐゴシック"/>
            <family val="3"/>
            <charset val="128"/>
          </rPr>
          <t>税率3％期間（H1.4.1～H9.3.31）に課税仕入れの財源の借入金に対する補助金等であっても、５％での課税仕入れとみなして、控除対象仕入税額から差し引かれる調整税額の計算を行う。</t>
        </r>
      </text>
    </comment>
  </commentList>
</comments>
</file>

<file path=xl/comments2.xml><?xml version="1.0" encoding="utf-8"?>
<comments xmlns="http://schemas.openxmlformats.org/spreadsheetml/2006/main">
  <authors>
    <author>4202453</author>
    <author>Windows ユーザー</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AG132" authorId="2" shapeId="0">
      <text>
        <r>
          <rPr>
            <sz val="9"/>
            <color indexed="81"/>
            <rFont val="MS P ゴシック"/>
            <family val="3"/>
            <charset val="128"/>
          </rPr>
          <t xml:space="preserve">R2確定申告の計算式に修正
</t>
        </r>
      </text>
    </comment>
    <comment ref="AG144" authorId="2" shapeId="0">
      <text>
        <r>
          <rPr>
            <sz val="9"/>
            <color indexed="81"/>
            <rFont val="MS P ゴシック"/>
            <family val="3"/>
            <charset val="128"/>
          </rPr>
          <t xml:space="preserve">R2確定申告の計算式に修正(Wが△の時）
</t>
        </r>
      </text>
    </comment>
    <comment ref="AG152" authorId="2" shapeId="0">
      <text>
        <r>
          <rPr>
            <sz val="9"/>
            <color indexed="81"/>
            <rFont val="MS P ゴシック"/>
            <family val="3"/>
            <charset val="128"/>
          </rPr>
          <t xml:space="preserve">R2確定申告の計算式に修正
</t>
        </r>
      </text>
    </comment>
  </commentList>
</comments>
</file>

<file path=xl/comments3.xml><?xml version="1.0" encoding="utf-8"?>
<comments xmlns="http://schemas.openxmlformats.org/spreadsheetml/2006/main">
  <authors>
    <author>4202453</author>
    <author>Windows ユーザー</author>
    <author>安達 謙介</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T144" authorId="2" shapeId="0">
      <text>
        <r>
          <rPr>
            <b/>
            <sz val="9"/>
            <color indexed="81"/>
            <rFont val="MS P ゴシック"/>
            <family val="3"/>
            <charset val="128"/>
          </rPr>
          <t>R5決算：式修正
&lt;元の式&gt;T142-T143</t>
        </r>
      </text>
    </comment>
    <comment ref="AG152" authorId="3" shapeId="0">
      <text>
        <r>
          <rPr>
            <sz val="9"/>
            <color indexed="81"/>
            <rFont val="MS P ゴシック"/>
            <family val="3"/>
            <charset val="128"/>
          </rPr>
          <t xml:space="preserve">R2確定申告の計算式に修正
</t>
        </r>
      </text>
    </comment>
  </commentList>
</comments>
</file>

<file path=xl/comments4.xml><?xml version="1.0" encoding="utf-8"?>
<comments xmlns="http://schemas.openxmlformats.org/spreadsheetml/2006/main">
  <authors>
    <author>4202453</author>
    <author>Windows ユーザー</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AG152" authorId="2" shapeId="0">
      <text>
        <r>
          <rPr>
            <sz val="9"/>
            <color indexed="81"/>
            <rFont val="MS P ゴシック"/>
            <family val="3"/>
            <charset val="128"/>
          </rPr>
          <t xml:space="preserve">R2確定申告の計算式に修正
</t>
        </r>
      </text>
    </comment>
  </commentList>
</comments>
</file>

<file path=xl/comments5.xml><?xml version="1.0" encoding="utf-8"?>
<comments xmlns="http://schemas.openxmlformats.org/spreadsheetml/2006/main">
  <authors>
    <author>4202453</author>
    <author>Windows ユーザー</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W91" authorId="1" shapeId="0">
      <text>
        <r>
          <rPr>
            <b/>
            <sz val="9"/>
            <color indexed="81"/>
            <rFont val="ＭＳ Ｐゴシック"/>
            <family val="3"/>
            <charset val="128"/>
          </rPr>
          <t>特定収入割合を算出する際に用いる資産の譲渡等の対価の額からは、売上に係る対価の返還等の額は控除しない（計算表１の注を参照）。
仕入対価の返還等の額も、同様に控除しない。
基準期間における課税売上額である付表２の①の課税売上額とは異なり、ここでは、純粋な課税売上額を用いる。
※H26.6.26 広島東税務署 宮城 上席国税調査官に確認</t>
        </r>
      </text>
    </comment>
    <comment ref="AG152" authorId="2" shapeId="0">
      <text>
        <r>
          <rPr>
            <sz val="9"/>
            <color indexed="81"/>
            <rFont val="MS P ゴシック"/>
            <family val="3"/>
            <charset val="128"/>
          </rPr>
          <t xml:space="preserve">R2確定申告の計算式に修正
</t>
        </r>
      </text>
    </comment>
  </commentList>
</comments>
</file>

<file path=xl/comments6.xml><?xml version="1.0" encoding="utf-8"?>
<comments xmlns="http://schemas.openxmlformats.org/spreadsheetml/2006/main">
  <authors>
    <author>4202453</author>
    <author>work</author>
  </authors>
  <commentList>
    <comment ref="Y24" authorId="0" shapeId="0">
      <text>
        <r>
          <rPr>
            <b/>
            <sz val="9"/>
            <color indexed="81"/>
            <rFont val="ＭＳ Ｐゴシック"/>
            <family val="3"/>
            <charset val="128"/>
          </rPr>
          <t>過去に支払った通勤手当の還付、建設負担金の精算に伴う還付など</t>
        </r>
      </text>
    </comment>
    <comment ref="Y25" authorId="0" shapeId="0">
      <text>
        <r>
          <rPr>
            <b/>
            <sz val="9"/>
            <color indexed="81"/>
            <rFont val="ＭＳ Ｐゴシック"/>
            <family val="3"/>
            <charset val="128"/>
          </rPr>
          <t>下水道使用料の調定減額、過誤納還付金など</t>
        </r>
      </text>
    </comment>
    <comment ref="AG42" authorId="0" shapeId="0">
      <text>
        <r>
          <rPr>
            <b/>
            <sz val="9"/>
            <color indexed="81"/>
            <rFont val="ＭＳ Ｐゴシック"/>
            <family val="3"/>
            <charset val="128"/>
          </rPr>
          <t>税額計算の際には、この端数を切り捨てた率で計算してもよいし、端数を切り捨てず、F/Hで（FとHの値をそのまま分母と分子にして）計算してもよいこととされている。
端数を切り捨てない方が税額は小さくなるため、これまでの下水道事業会計では、後者を採用している。</t>
        </r>
      </text>
    </comment>
    <comment ref="Y65" authorId="0" shapeId="0">
      <text>
        <r>
          <rPr>
            <b/>
            <sz val="9"/>
            <color indexed="81"/>
            <rFont val="ＭＳ Ｐゴシック"/>
            <family val="3"/>
            <charset val="128"/>
          </rPr>
          <t>H24決算では、下水道使用料の減額調定・過誤納還付金・時効欠損、排水設備取付管設置工事受託金の還付が該当。
H23決算では、これらのほかに「過年度分の旅費の支払い」が特別損失に計上されていたが、この「返還等対価・貸倒れの額」には含めていなかった。
性質によって判断すること。</t>
        </r>
      </text>
    </comment>
    <comment ref="AB144" authorId="1" shapeId="0">
      <text>
        <r>
          <rPr>
            <sz val="9"/>
            <color indexed="81"/>
            <rFont val="MS P ゴシック"/>
            <family val="3"/>
            <charset val="128"/>
          </rPr>
          <t xml:space="preserve">R2確定申告の計算式に修正
</t>
        </r>
      </text>
    </comment>
    <comment ref="AB152" authorId="1" shapeId="0">
      <text>
        <r>
          <rPr>
            <sz val="9"/>
            <color indexed="81"/>
            <rFont val="MS P ゴシック"/>
            <family val="3"/>
            <charset val="128"/>
          </rPr>
          <t xml:space="preserve">R2確定申告の計算式に修正
</t>
        </r>
      </text>
    </comment>
  </commentList>
</comments>
</file>

<file path=xl/comments7.xml><?xml version="1.0" encoding="utf-8"?>
<comments xmlns="http://schemas.openxmlformats.org/spreadsheetml/2006/main">
  <authors>
    <author>Windows ユーザー</author>
    <author>楠 宏</author>
    <author>広島市</author>
  </authors>
  <commentList>
    <comment ref="B6" authorId="0" shapeId="0">
      <text>
        <r>
          <rPr>
            <b/>
            <sz val="9"/>
            <color indexed="81"/>
            <rFont val="ＭＳ Ｐゴシック"/>
            <family val="3"/>
            <charset val="128"/>
          </rPr>
          <t>仕入対価の返還等</t>
        </r>
      </text>
    </comment>
    <comment ref="B11" authorId="0" shapeId="0">
      <text>
        <r>
          <rPr>
            <b/>
            <sz val="9"/>
            <color indexed="81"/>
            <rFont val="ＭＳ Ｐゴシック"/>
            <family val="3"/>
            <charset val="128"/>
          </rPr>
          <t>返還等対価返還等、仕入対価の返還等</t>
        </r>
      </text>
    </comment>
    <comment ref="D13" authorId="1" shapeId="0">
      <text>
        <r>
          <rPr>
            <sz val="9"/>
            <color indexed="81"/>
            <rFont val="ＭＳ Ｐゴシック"/>
            <family val="3"/>
            <charset val="128"/>
          </rPr>
          <t>「Ｈ○○　３条支出　消費税」エクセル「営業外費用」シートのセルＫ１４の</t>
        </r>
        <r>
          <rPr>
            <b/>
            <sz val="9"/>
            <color indexed="81"/>
            <rFont val="ＭＳ Ｐゴシック"/>
            <family val="3"/>
            <charset val="128"/>
          </rPr>
          <t>雑支出の</t>
        </r>
        <r>
          <rPr>
            <b/>
            <u/>
            <sz val="11"/>
            <color indexed="81"/>
            <rFont val="ＭＳ Ｐゴシック"/>
            <family val="3"/>
            <charset val="128"/>
          </rPr>
          <t>消費税額</t>
        </r>
        <r>
          <rPr>
            <b/>
            <sz val="9"/>
            <color indexed="81"/>
            <rFont val="ＭＳ Ｐゴシック"/>
            <family val="3"/>
            <charset val="128"/>
          </rPr>
          <t>を加算</t>
        </r>
        <r>
          <rPr>
            <sz val="9"/>
            <color indexed="81"/>
            <rFont val="ＭＳ Ｐゴシック"/>
            <family val="3"/>
            <charset val="128"/>
          </rPr>
          <t>する。
（計算結果が特定収入に係る課税仕入れに係る消費税額　合計（セルＮ26）と合致する必要がある。セルＢ14でチェック）
雑支出の税込-税抜には、通常分雑支出の消費税が含まれているのでこれを加算している。</t>
        </r>
      </text>
    </comment>
    <comment ref="D18" authorId="1" shapeId="0">
      <text>
        <r>
          <rPr>
            <b/>
            <sz val="9"/>
            <color indexed="81"/>
            <rFont val="ＭＳ Ｐゴシック"/>
            <family val="3"/>
            <charset val="128"/>
          </rPr>
          <t>４条収入　消費税エクセルより
まず、出資金0円の状態で当該セル（D18,D19）に税込、税抜を入力する。他のセルを全て埋め、B14がOKになり、出資金の額が確定したら、４条収入　消費税エクセルの出資金を入力し、その後、当該セル（D18,D19）に税込、税抜を入力し直す。
出資金の有無は、４条仮受け消費税の計算に関係ないので、このような手順を踏んでも、結果が変わらないと思われる。</t>
        </r>
      </text>
    </comment>
    <comment ref="D24" authorId="1" shapeId="0">
      <text>
        <r>
          <rPr>
            <sz val="9"/>
            <color indexed="81"/>
            <rFont val="ＭＳ Ｐゴシック"/>
            <family val="3"/>
            <charset val="128"/>
          </rPr>
          <t>４条収入の　「特定収入に係る課税仕入れに係る消費税額の計</t>
        </r>
      </text>
    </comment>
    <comment ref="G33" authorId="2" shapeId="0">
      <text>
        <r>
          <rPr>
            <b/>
            <sz val="11"/>
            <color indexed="10"/>
            <rFont val="ＭＳ Ｐゴシック"/>
            <family val="3"/>
            <charset val="128"/>
          </rPr>
          <t>【重要】
区域外分を作成する際には、すべての作業を始める前に、この緑の範囲をコピーし、「値」で貼付け直しておく。
（課税売上割合は全事業共通のため。）</t>
        </r>
      </text>
    </comment>
    <comment ref="F35" authorId="0" shapeId="0">
      <text>
        <r>
          <rPr>
            <b/>
            <sz val="9"/>
            <color indexed="81"/>
            <rFont val="ＭＳ Ｐゴシック"/>
            <family val="3"/>
            <charset val="128"/>
          </rPr>
          <t>仕入対価の返還等、売上対価の返還等</t>
        </r>
      </text>
    </comment>
    <comment ref="G40" authorId="1" shapeId="0">
      <text>
        <r>
          <rPr>
            <sz val="11"/>
            <color indexed="81"/>
            <rFont val="ＭＳ Ｐゴシック"/>
            <family val="3"/>
            <charset val="128"/>
          </rPr>
          <t>韓国領事館免税分</t>
        </r>
      </text>
    </comment>
    <comment ref="F49" authorId="0" shapeId="0">
      <text>
        <r>
          <rPr>
            <sz val="9"/>
            <color indexed="81"/>
            <rFont val="ＭＳ Ｐゴシック"/>
            <family val="3"/>
            <charset val="128"/>
          </rPr>
          <t>「過年度損益修正益」「その他特別利益」のうち、課税支出が返還されたもの</t>
        </r>
      </text>
    </comment>
    <comment ref="F54" authorId="0" shapeId="0">
      <text>
        <r>
          <rPr>
            <sz val="9"/>
            <color indexed="81"/>
            <rFont val="ＭＳ Ｐゴシック"/>
            <family val="3"/>
            <charset val="128"/>
          </rPr>
          <t>「過年度損益修正損」「その他特別損失」のうち、課税収入を返還したもの</t>
        </r>
      </text>
    </comment>
    <comment ref="F68" authorId="0" shapeId="0">
      <text>
        <r>
          <rPr>
            <sz val="9"/>
            <color indexed="81"/>
            <rFont val="ＭＳ Ｐゴシック"/>
            <family val="3"/>
            <charset val="128"/>
          </rPr>
          <t>「過年度損益修正損」「その他特別損失」のうち、課税収入を返還したもの</t>
        </r>
      </text>
    </comment>
    <comment ref="F74" authorId="2" shapeId="0">
      <text>
        <r>
          <rPr>
            <sz val="9"/>
            <color indexed="81"/>
            <rFont val="ＭＳ Ｐゴシック"/>
            <family val="3"/>
            <charset val="128"/>
          </rPr>
          <t>使用料関係の</t>
        </r>
        <r>
          <rPr>
            <b/>
            <sz val="9"/>
            <color indexed="81"/>
            <rFont val="ＭＳ Ｐゴシック"/>
            <family val="3"/>
            <charset val="128"/>
          </rPr>
          <t>貸倒引当金取り崩し額</t>
        </r>
        <r>
          <rPr>
            <sz val="9"/>
            <color indexed="81"/>
            <rFont val="ＭＳ Ｐゴシック"/>
            <family val="3"/>
            <charset val="128"/>
          </rPr>
          <t>を積算する。税率別の内訳は、管理課使用料係に確認する。</t>
        </r>
      </text>
    </comment>
  </commentList>
</comments>
</file>

<file path=xl/comments8.xml><?xml version="1.0" encoding="utf-8"?>
<comments xmlns="http://schemas.openxmlformats.org/spreadsheetml/2006/main">
  <authors>
    <author>中尾 尚武</author>
    <author>work</author>
    <author>経理</author>
  </authors>
  <commentList>
    <comment ref="J7" authorId="0" shapeId="0">
      <text>
        <r>
          <rPr>
            <b/>
            <sz val="9"/>
            <color indexed="81"/>
            <rFont val="ＭＳ Ｐゴシック"/>
            <family val="3"/>
            <charset val="128"/>
          </rPr>
          <t>不納欠損は調定減額を伴わないものとして減じるようにしていないと思われる。</t>
        </r>
        <r>
          <rPr>
            <sz val="9"/>
            <color indexed="81"/>
            <rFont val="ＭＳ Ｐゴシック"/>
            <family val="3"/>
            <charset val="128"/>
          </rPr>
          <t xml:space="preserve">
減額調定は調定減額を伴うので、課税割合を算定する際には減額していると思われる。</t>
        </r>
      </text>
    </comment>
    <comment ref="E12" authorId="0" shapeId="0">
      <text>
        <r>
          <rPr>
            <b/>
            <sz val="9"/>
            <color indexed="81"/>
            <rFont val="ＭＳ Ｐゴシック"/>
            <family val="3"/>
            <charset val="128"/>
          </rPr>
          <t>「ｈ28　４条支出消費税」ファイルの公共下水道整備・市街化区域外整備シートより
公共下水道整備
241,986,688
+
区域外　714,000</t>
        </r>
        <r>
          <rPr>
            <sz val="9"/>
            <color indexed="81"/>
            <rFont val="ＭＳ Ｐゴシック"/>
            <family val="3"/>
            <charset val="128"/>
          </rPr>
          <t xml:space="preserve">
</t>
        </r>
      </text>
    </comment>
    <comment ref="H16" authorId="1" shapeId="0">
      <text>
        <r>
          <rPr>
            <b/>
            <sz val="9"/>
            <color indexed="81"/>
            <rFont val="MS P ゴシック"/>
            <family val="3"/>
            <charset val="128"/>
          </rPr>
          <t>work:</t>
        </r>
        <r>
          <rPr>
            <sz val="9"/>
            <color indexed="81"/>
            <rFont val="MS P ゴシック"/>
            <family val="3"/>
            <charset val="128"/>
          </rPr>
          <t xml:space="preserve">
R6から追加
念のため松浦主査検証したところ申告に問題なしと回答。</t>
        </r>
      </text>
    </comment>
    <comment ref="F17" authorId="2" shapeId="0">
      <text>
        <r>
          <rPr>
            <b/>
            <sz val="9"/>
            <color indexed="81"/>
            <rFont val="MS P ゴシック"/>
            <family val="3"/>
            <charset val="128"/>
          </rPr>
          <t>貸倒引当金を取り崩した額だけを入力すること！
R2浄化槽は、貸倒引当金を計上していなかったので、過年度損益修正損で対応している。</t>
        </r>
        <r>
          <rPr>
            <sz val="9"/>
            <color indexed="81"/>
            <rFont val="MS P ゴシック"/>
            <family val="3"/>
            <charset val="128"/>
          </rPr>
          <t xml:space="preserve">
</t>
        </r>
      </text>
    </comment>
    <comment ref="D18" authorId="0" shapeId="0">
      <text>
        <r>
          <rPr>
            <b/>
            <sz val="9"/>
            <color indexed="81"/>
            <rFont val="ＭＳ Ｐゴシック"/>
            <family val="3"/>
            <charset val="128"/>
          </rPr>
          <t>「H28 不課税収入の区分（特定収入額)○　修正（特損）」ファイル参照
各シートの消費税率内訳ごとに金額をを積み上げる。</t>
        </r>
      </text>
    </comment>
  </commentList>
</comments>
</file>

<file path=xl/comments9.xml><?xml version="1.0" encoding="utf-8"?>
<comments xmlns="http://schemas.openxmlformats.org/spreadsheetml/2006/main">
  <authors>
    <author>4202453</author>
    <author>広島市</author>
    <author>安達 謙介</author>
    <author>河野 昌治</author>
  </authors>
  <commentList>
    <comment ref="E28" authorId="0" shapeId="0">
      <text>
        <r>
          <rPr>
            <b/>
            <sz val="9"/>
            <color indexed="81"/>
            <rFont val="ＭＳ Ｐゴシック"/>
            <family val="3"/>
            <charset val="128"/>
          </rPr>
          <t>過去に支払った通勤手当の還付、建設負担金の精算に伴う還付など</t>
        </r>
      </text>
    </comment>
    <comment ref="E29" authorId="0" shapeId="0">
      <text>
        <r>
          <rPr>
            <b/>
            <sz val="9"/>
            <color indexed="81"/>
            <rFont val="ＭＳ Ｐゴシック"/>
            <family val="3"/>
            <charset val="128"/>
          </rPr>
          <t>下水道使用料の調定減額、過誤納還付金など</t>
        </r>
      </text>
    </comment>
    <comment ref="AG40" authorId="0" shapeId="0">
      <text>
        <r>
          <rPr>
            <b/>
            <sz val="9"/>
            <color indexed="81"/>
            <rFont val="ＭＳ Ｐゴシック"/>
            <family val="3"/>
            <charset val="128"/>
          </rPr>
          <t>税額計算の際には、この端数を切り捨てた率で計算してもよいし、端数を切り捨てず、F/Hで（FとHの値をそのまま分母と分子にして）計算してもよいこととされている。
端数を切り捨てない方が税額は小さくなるため、これまでの下水道事業会計では、後者を採用している。</t>
        </r>
      </text>
    </comment>
    <comment ref="E84" authorId="1" shapeId="0">
      <text>
        <r>
          <rPr>
            <b/>
            <sz val="9"/>
            <color indexed="81"/>
            <rFont val="ＭＳ Ｐゴシック"/>
            <family val="3"/>
            <charset val="128"/>
          </rPr>
          <t xml:space="preserve">3％分に特定する場合であっても、特定収入に係る消費税額は、5％分として計算する。
平成25年政令第56号改正附則第14条第1項
平成26年政令第317号改正附則第14条第1項（未施行、Ｈ31.10.1施行予定）
</t>
        </r>
        <r>
          <rPr>
            <b/>
            <sz val="9"/>
            <color indexed="10"/>
            <rFont val="ＭＳ Ｐゴシック"/>
            <family val="3"/>
            <charset val="128"/>
          </rPr>
          <t>税率改正時は要注意。附則の内容によっては、数式を変更すること。</t>
        </r>
      </text>
    </comment>
    <comment ref="Z111" authorId="2" shapeId="0">
      <text>
        <r>
          <rPr>
            <sz val="9"/>
            <color indexed="81"/>
            <rFont val="MS P ゴシック"/>
            <family val="3"/>
            <charset val="128"/>
          </rPr>
          <t xml:space="preserve">R6.6.19 修正
</t>
        </r>
      </text>
    </comment>
    <comment ref="W128" authorId="3" shapeId="0">
      <text>
        <r>
          <rPr>
            <b/>
            <sz val="9"/>
            <color indexed="81"/>
            <rFont val="MS P ゴシック"/>
            <family val="3"/>
            <charset val="128"/>
          </rPr>
          <t xml:space="preserve">Ｈ30の数式は、=+U62+U99
【U122～Y122について】
控除対象仕入税額を計算する際に、
課税支出から仕入対価の返還等の額も差し引くが、
このセルでは差し引いていなかった。
修正した数式でも、確実にチェックできるかどうか不明。123行は参考セル
</t>
        </r>
        <r>
          <rPr>
            <b/>
            <sz val="9"/>
            <color indexed="10"/>
            <rFont val="MS P ゴシック"/>
            <family val="3"/>
            <charset val="128"/>
          </rPr>
          <t>124行：精算表の左右が一致しているかどうかで判断し、一致していない場合はここで調整する。</t>
        </r>
      </text>
    </comment>
  </commentList>
</comments>
</file>

<file path=xl/comments10.xml><?xml version="1.0" encoding="utf-8"?>
<comments xmlns="http://schemas.openxmlformats.org/spreadsheetml/2006/main">
  <authors>
    <author>楠 宏</author>
  </authors>
  <commentList>
    <comment ref="C14" authorId="0" shapeId="0">
      <text>
        <r>
          <rPr>
            <sz val="9"/>
            <color indexed="81"/>
            <rFont val="ＭＳ Ｐゴシック"/>
            <family val="3"/>
            <charset val="128"/>
          </rPr>
          <t>='I:\経理係フォルダ\★一般会計繰入金（請求・決算事務・基準）\決算事務\２７年度\精算\[27年度一般会計繰入金決算（伺い用）消費税計算.xls]消費税 (修正版１)'!$D$23</t>
        </r>
      </text>
    </comment>
  </commentList>
</comments>
</file>

<file path=xl/comments11.xml><?xml version="1.0" encoding="utf-8"?>
<comments xmlns="http://schemas.openxmlformats.org/spreadsheetml/2006/main">
  <authors>
    <author>楠 宏</author>
    <author>Windows ユーザー</author>
  </authors>
  <commentList>
    <comment ref="H19" authorId="0" shapeId="0">
      <text>
        <r>
          <rPr>
            <sz val="9"/>
            <color indexed="81"/>
            <rFont val="ＭＳ Ｐゴシック"/>
            <family val="3"/>
            <charset val="128"/>
          </rPr>
          <t>営業外費用分の総額</t>
        </r>
      </text>
    </comment>
    <comment ref="H20" authorId="0" shapeId="0">
      <text>
        <r>
          <rPr>
            <sz val="9"/>
            <color indexed="81"/>
            <rFont val="ＭＳ Ｐゴシック"/>
            <family val="3"/>
            <charset val="128"/>
          </rPr>
          <t>過年度損の総額</t>
        </r>
      </text>
    </comment>
    <comment ref="I32" authorId="1" shapeId="0">
      <text>
        <r>
          <rPr>
            <b/>
            <sz val="11"/>
            <color indexed="81"/>
            <rFont val="ＭＳ Ｐゴシック"/>
            <family val="3"/>
            <charset val="128"/>
          </rPr>
          <t>仮受・仮払消費税計算表の数値</t>
        </r>
      </text>
    </comment>
    <comment ref="I33" authorId="1" shapeId="0">
      <text>
        <r>
          <rPr>
            <b/>
            <sz val="11"/>
            <color indexed="81"/>
            <rFont val="ＭＳ Ｐゴシック"/>
            <family val="3"/>
            <charset val="128"/>
          </rPr>
          <t>仮受・仮払消費税計算表の数値</t>
        </r>
      </text>
    </comment>
  </commentList>
</comments>
</file>

<file path=xl/sharedStrings.xml><?xml version="1.0" encoding="utf-8"?>
<sst xmlns="http://schemas.openxmlformats.org/spreadsheetml/2006/main" count="5030" uniqueCount="1193">
  <si>
    <t>消費税及び地方消費税の合計納付税額</t>
    <rPh sb="0" eb="3">
      <t>ショウヒゼイ</t>
    </rPh>
    <rPh sb="3" eb="4">
      <t>オヨ</t>
    </rPh>
    <rPh sb="11" eb="13">
      <t>ゴウケイ</t>
    </rPh>
    <rPh sb="13" eb="15">
      <t>ノウフ</t>
    </rPh>
    <phoneticPr fontId="4"/>
  </si>
  <si>
    <t>付表１⑮</t>
    <phoneticPr fontId="4"/>
  </si>
  <si>
    <t>※　AB×0/100　（100円未満切捨て）</t>
    <phoneticPr fontId="4"/>
  </si>
  <si>
    <t>AE</t>
    <phoneticPr fontId="4"/>
  </si>
  <si>
    <t>納税額</t>
    <rPh sb="0" eb="2">
      <t>ノウゼイ</t>
    </rPh>
    <rPh sb="2" eb="3">
      <t>ガク</t>
    </rPh>
    <phoneticPr fontId="4"/>
  </si>
  <si>
    <t>※　ABの額</t>
    <rPh sb="5" eb="6">
      <t>ガク</t>
    </rPh>
    <phoneticPr fontId="4"/>
  </si>
  <si>
    <t>地方消費税の課税標準となる税額</t>
    <rPh sb="6" eb="8">
      <t>カゼイ</t>
    </rPh>
    <rPh sb="8" eb="10">
      <t>ヒョウジュン</t>
    </rPh>
    <rPh sb="13" eb="15">
      <t>ゼイガク</t>
    </rPh>
    <phoneticPr fontId="4"/>
  </si>
  <si>
    <t>地方消費税の税額の計算</t>
    <rPh sb="0" eb="2">
      <t>チホウ</t>
    </rPh>
    <rPh sb="2" eb="5">
      <t>ショウヒゼイ</t>
    </rPh>
    <rPh sb="6" eb="8">
      <t>ゼイガク</t>
    </rPh>
    <rPh sb="7" eb="8">
      <t>ガク</t>
    </rPh>
    <rPh sb="9" eb="11">
      <t>ケイサン</t>
    </rPh>
    <phoneticPr fontId="4"/>
  </si>
  <si>
    <t>付表１⑨</t>
    <phoneticPr fontId="4"/>
  </si>
  <si>
    <t>※　F－AA　（100円未満切捨て）</t>
    <rPh sb="11" eb="12">
      <t>エン</t>
    </rPh>
    <rPh sb="12" eb="14">
      <t>ミマン</t>
    </rPh>
    <rPh sb="14" eb="16">
      <t>キリス</t>
    </rPh>
    <phoneticPr fontId="4"/>
  </si>
  <si>
    <t>AB</t>
    <phoneticPr fontId="4"/>
  </si>
  <si>
    <t>差引税額</t>
    <rPh sb="0" eb="2">
      <t>サシヒキ</t>
    </rPh>
    <rPh sb="2" eb="4">
      <t>ゼイガク</t>
    </rPh>
    <phoneticPr fontId="4"/>
  </si>
  <si>
    <t>※　AAの額</t>
    <rPh sb="5" eb="6">
      <t>ガク</t>
    </rPh>
    <phoneticPr fontId="4"/>
  </si>
  <si>
    <t>控除税額</t>
    <rPh sb="0" eb="2">
      <t>コウジョ</t>
    </rPh>
    <rPh sb="2" eb="4">
      <t>ゼイガク</t>
    </rPh>
    <phoneticPr fontId="4"/>
  </si>
  <si>
    <t>※　Fの額</t>
    <rPh sb="4" eb="5">
      <t>ガク</t>
    </rPh>
    <phoneticPr fontId="4"/>
  </si>
  <si>
    <t>消費税額</t>
    <rPh sb="0" eb="3">
      <t>ショウヒゼイ</t>
    </rPh>
    <rPh sb="3" eb="4">
      <t>ガク</t>
    </rPh>
    <phoneticPr fontId="4"/>
  </si>
  <si>
    <t>消費税の納付税額の計算</t>
    <rPh sb="0" eb="3">
      <t>ショウヒゼイ</t>
    </rPh>
    <rPh sb="4" eb="6">
      <t>ノウフ</t>
    </rPh>
    <rPh sb="6" eb="8">
      <t>ゼイガク</t>
    </rPh>
    <rPh sb="7" eb="8">
      <t>ガク</t>
    </rPh>
    <rPh sb="9" eb="11">
      <t>ケイサン</t>
    </rPh>
    <phoneticPr fontId="4"/>
  </si>
  <si>
    <t>付表１⑦</t>
    <phoneticPr fontId="4"/>
  </si>
  <si>
    <t>※　W＋X＋Z</t>
    <phoneticPr fontId="4"/>
  </si>
  <si>
    <t>AA</t>
    <phoneticPr fontId="4"/>
  </si>
  <si>
    <t>控除税額　計</t>
    <rPh sb="0" eb="2">
      <t>コウジョ</t>
    </rPh>
    <rPh sb="2" eb="4">
      <t>ゼイガク</t>
    </rPh>
    <rPh sb="5" eb="6">
      <t>ケイ</t>
    </rPh>
    <phoneticPr fontId="4"/>
  </si>
  <si>
    <t>付表１⑥</t>
    <phoneticPr fontId="4"/>
  </si>
  <si>
    <t>※　Y×3/103</t>
    <phoneticPr fontId="4"/>
  </si>
  <si>
    <t>Z</t>
    <phoneticPr fontId="4"/>
  </si>
  <si>
    <t>貸倒れに係る税額</t>
    <rPh sb="0" eb="2">
      <t>カシダオ</t>
    </rPh>
    <rPh sb="4" eb="5">
      <t>カカ</t>
    </rPh>
    <rPh sb="6" eb="8">
      <t>ゼイガク</t>
    </rPh>
    <phoneticPr fontId="4"/>
  </si>
  <si>
    <t>※　特別損失の課税支出のうち、時効欠損分</t>
    <rPh sb="19" eb="20">
      <t>ブン</t>
    </rPh>
    <phoneticPr fontId="4"/>
  </si>
  <si>
    <t>Y.</t>
    <phoneticPr fontId="4"/>
  </si>
  <si>
    <t>貸倒れに係る金額（税込）</t>
    <rPh sb="0" eb="2">
      <t>カシダオ</t>
    </rPh>
    <rPh sb="4" eb="5">
      <t>カカ</t>
    </rPh>
    <rPh sb="6" eb="8">
      <t>キンガク</t>
    </rPh>
    <rPh sb="9" eb="11">
      <t>ゼイコ</t>
    </rPh>
    <phoneticPr fontId="4"/>
  </si>
  <si>
    <t>付表１⑤</t>
    <rPh sb="0" eb="2">
      <t>フヒョウ</t>
    </rPh>
    <phoneticPr fontId="4"/>
  </si>
  <si>
    <t>※　C×3/103</t>
    <phoneticPr fontId="4"/>
  </si>
  <si>
    <t>X</t>
    <phoneticPr fontId="4"/>
  </si>
  <si>
    <t>返還等対価に係る税額</t>
    <rPh sb="0" eb="2">
      <t>ヘンカン</t>
    </rPh>
    <rPh sb="2" eb="3">
      <t>トウ</t>
    </rPh>
    <rPh sb="3" eb="5">
      <t>タイカ</t>
    </rPh>
    <rPh sb="6" eb="7">
      <t>カカ</t>
    </rPh>
    <rPh sb="8" eb="10">
      <t>ゼイガク</t>
    </rPh>
    <phoneticPr fontId="4"/>
  </si>
  <si>
    <t>※　Wの額</t>
    <rPh sb="4" eb="5">
      <t>ガク</t>
    </rPh>
    <phoneticPr fontId="4"/>
  </si>
  <si>
    <t>控除対象仕入税額</t>
    <rPh sb="0" eb="2">
      <t>コウジョ</t>
    </rPh>
    <rPh sb="2" eb="4">
      <t>タイショウ</t>
    </rPh>
    <rPh sb="4" eb="6">
      <t>シイレ</t>
    </rPh>
    <rPh sb="6" eb="8">
      <t>ゼイガク</t>
    </rPh>
    <phoneticPr fontId="4"/>
  </si>
  <si>
    <t>控除税額の計算</t>
    <rPh sb="0" eb="2">
      <t>コウジョ</t>
    </rPh>
    <rPh sb="2" eb="4">
      <t>ゼイガク</t>
    </rPh>
    <rPh sb="5" eb="7">
      <t>ケイサン</t>
    </rPh>
    <phoneticPr fontId="4"/>
  </si>
  <si>
    <t>納税額等の
計算</t>
    <rPh sb="0" eb="2">
      <t>ノウゼイ</t>
    </rPh>
    <rPh sb="2" eb="3">
      <t>ガク</t>
    </rPh>
    <rPh sb="3" eb="4">
      <t>トウ</t>
    </rPh>
    <rPh sb="6" eb="8">
      <t>ケイサン</t>
    </rPh>
    <phoneticPr fontId="4"/>
  </si>
  <si>
    <t>※　O－V</t>
    <phoneticPr fontId="4"/>
  </si>
  <si>
    <t>W</t>
    <phoneticPr fontId="4"/>
  </si>
  <si>
    <t>控除対象仕入税額</t>
    <rPh sb="0" eb="2">
      <t>コウジョ</t>
    </rPh>
    <rPh sb="2" eb="4">
      <t>タイショウ</t>
    </rPh>
    <rPh sb="4" eb="6">
      <t>シイ</t>
    </rPh>
    <rPh sb="6" eb="8">
      <t>ゼイガク</t>
    </rPh>
    <phoneticPr fontId="4"/>
  </si>
  <si>
    <t>計算表５⑫
付表２⑳
付表１④</t>
    <rPh sb="11" eb="13">
      <t>フヒョウ</t>
    </rPh>
    <phoneticPr fontId="4"/>
  </si>
  <si>
    <t>計算表５⑪</t>
    <phoneticPr fontId="4"/>
  </si>
  <si>
    <t>※　R＋U</t>
    <phoneticPr fontId="4"/>
  </si>
  <si>
    <t>V</t>
    <phoneticPr fontId="4"/>
  </si>
  <si>
    <t>特定収入に係る課税仕入れ等の税額</t>
    <rPh sb="5" eb="6">
      <t>カカ</t>
    </rPh>
    <rPh sb="7" eb="9">
      <t>カゼイ</t>
    </rPh>
    <rPh sb="9" eb="11">
      <t>シイ</t>
    </rPh>
    <rPh sb="12" eb="13">
      <t>トウ</t>
    </rPh>
    <rPh sb="14" eb="16">
      <t>ゼイガク</t>
    </rPh>
    <phoneticPr fontId="4"/>
  </si>
  <si>
    <t>計算表５⑩</t>
    <phoneticPr fontId="4"/>
  </si>
  <si>
    <t>※　S×T</t>
    <phoneticPr fontId="4"/>
  </si>
  <si>
    <t>U</t>
    <phoneticPr fontId="4"/>
  </si>
  <si>
    <t>使途不特定の特定収入の税額</t>
    <rPh sb="0" eb="2">
      <t>シト</t>
    </rPh>
    <rPh sb="2" eb="5">
      <t>フトクテイ</t>
    </rPh>
    <rPh sb="6" eb="8">
      <t>トクテイ</t>
    </rPh>
    <rPh sb="8" eb="10">
      <t>シュウニュウ</t>
    </rPh>
    <phoneticPr fontId="4"/>
  </si>
  <si>
    <t>計算表５⑨</t>
    <phoneticPr fontId="4"/>
  </si>
  <si>
    <t>※　合計を参照</t>
    <rPh sb="2" eb="4">
      <t>ゴウケイ</t>
    </rPh>
    <rPh sb="5" eb="7">
      <t>サンショウ</t>
    </rPh>
    <phoneticPr fontId="4"/>
  </si>
  <si>
    <t>T</t>
    <phoneticPr fontId="4"/>
  </si>
  <si>
    <t>調整割合</t>
    <rPh sb="0" eb="2">
      <t>チョウセイ</t>
    </rPh>
    <rPh sb="2" eb="4">
      <t>ワリアイ</t>
    </rPh>
    <phoneticPr fontId="4"/>
  </si>
  <si>
    <t>計算表５⑧</t>
    <phoneticPr fontId="4"/>
  </si>
  <si>
    <t>※　O－R</t>
    <phoneticPr fontId="4"/>
  </si>
  <si>
    <t>S</t>
    <phoneticPr fontId="4"/>
  </si>
  <si>
    <t>課税仕入れ等の税額－特定収入に係る課税仕入れ等の税額</t>
    <phoneticPr fontId="4"/>
  </si>
  <si>
    <t>使途不特定の特定収入</t>
    <rPh sb="0" eb="2">
      <t>シト</t>
    </rPh>
    <rPh sb="2" eb="5">
      <t>フトクテイ</t>
    </rPh>
    <rPh sb="6" eb="8">
      <t>トクテイ</t>
    </rPh>
    <rPh sb="8" eb="10">
      <t>シュウニュウ</t>
    </rPh>
    <phoneticPr fontId="4"/>
  </si>
  <si>
    <t>計算表５⑦</t>
    <phoneticPr fontId="4"/>
  </si>
  <si>
    <t>※　P×Q</t>
    <phoneticPr fontId="4"/>
  </si>
  <si>
    <t>R</t>
    <phoneticPr fontId="4"/>
  </si>
  <si>
    <t>特定収入に係る課税仕入れの税額</t>
    <rPh sb="5" eb="6">
      <t>カカ</t>
    </rPh>
    <rPh sb="7" eb="9">
      <t>カゼイ</t>
    </rPh>
    <rPh sb="9" eb="11">
      <t>シイ</t>
    </rPh>
    <rPh sb="13" eb="15">
      <t>ゼイガク</t>
    </rPh>
    <phoneticPr fontId="4"/>
  </si>
  <si>
    <t>※　合計のJの額</t>
    <rPh sb="2" eb="4">
      <t>ゴウケイ</t>
    </rPh>
    <rPh sb="7" eb="8">
      <t>ガク</t>
    </rPh>
    <phoneticPr fontId="4"/>
  </si>
  <si>
    <t>計算表５⑥</t>
    <phoneticPr fontId="4"/>
  </si>
  <si>
    <t>※　合計のHの額</t>
    <rPh sb="2" eb="4">
      <t>ゴウケイ</t>
    </rPh>
    <rPh sb="7" eb="8">
      <t>ガク</t>
    </rPh>
    <phoneticPr fontId="4"/>
  </si>
  <si>
    <t>Q</t>
    <phoneticPr fontId="4"/>
  </si>
  <si>
    <t>課税売上割合</t>
    <rPh sb="0" eb="2">
      <t>カゼイ</t>
    </rPh>
    <rPh sb="2" eb="4">
      <t>ウリアゲ</t>
    </rPh>
    <rPh sb="4" eb="6">
      <t>ワリアイ</t>
    </rPh>
    <phoneticPr fontId="4"/>
  </si>
  <si>
    <t>計算表５③</t>
    <phoneticPr fontId="4"/>
  </si>
  <si>
    <t>※　N×4/105</t>
    <phoneticPr fontId="4"/>
  </si>
  <si>
    <t>P</t>
    <phoneticPr fontId="4"/>
  </si>
  <si>
    <t>課税仕入れに係る特定収入×4/105</t>
    <rPh sb="0" eb="2">
      <t>カゼイ</t>
    </rPh>
    <rPh sb="2" eb="4">
      <t>シイ</t>
    </rPh>
    <rPh sb="6" eb="7">
      <t>カカ</t>
    </rPh>
    <rPh sb="8" eb="10">
      <t>トクテイ</t>
    </rPh>
    <rPh sb="10" eb="12">
      <t>シュウニュウ</t>
    </rPh>
    <phoneticPr fontId="4"/>
  </si>
  <si>
    <t>計算表５②</t>
    <phoneticPr fontId="4"/>
  </si>
  <si>
    <t>※　Nの額</t>
    <rPh sb="4" eb="5">
      <t>ガク</t>
    </rPh>
    <phoneticPr fontId="4"/>
  </si>
  <si>
    <t>課税仕入れに係る特定収入</t>
    <rPh sb="0" eb="2">
      <t>カゼイ</t>
    </rPh>
    <rPh sb="2" eb="4">
      <t>シイ</t>
    </rPh>
    <rPh sb="6" eb="7">
      <t>カカ</t>
    </rPh>
    <rPh sb="8" eb="10">
      <t>トクテイ</t>
    </rPh>
    <rPh sb="10" eb="12">
      <t>シュウニュウ</t>
    </rPh>
    <phoneticPr fontId="4"/>
  </si>
  <si>
    <t>（調整前）</t>
    <rPh sb="1" eb="3">
      <t>チョウセイ</t>
    </rPh>
    <rPh sb="3" eb="4">
      <t>マエ</t>
    </rPh>
    <phoneticPr fontId="4"/>
  </si>
  <si>
    <t>※　M×合計のH/合計のJ</t>
    <rPh sb="4" eb="6">
      <t>ゴウケイ</t>
    </rPh>
    <rPh sb="9" eb="11">
      <t>ゴウケイ</t>
    </rPh>
    <phoneticPr fontId="4"/>
  </si>
  <si>
    <t>O</t>
    <phoneticPr fontId="4"/>
  </si>
  <si>
    <t>一括比例配分方式により控除する課税仕入れ等の税額</t>
    <rPh sb="0" eb="2">
      <t>イッカツ</t>
    </rPh>
    <rPh sb="2" eb="4">
      <t>ヒレイ</t>
    </rPh>
    <rPh sb="4" eb="6">
      <t>ハイブン</t>
    </rPh>
    <rPh sb="6" eb="8">
      <t>ホウシキ</t>
    </rPh>
    <rPh sb="11" eb="13">
      <t>コウジョ</t>
    </rPh>
    <rPh sb="15" eb="17">
      <t>カゼイ</t>
    </rPh>
    <rPh sb="17" eb="19">
      <t>シイ</t>
    </rPh>
    <rPh sb="20" eb="21">
      <t>トウ</t>
    </rPh>
    <rPh sb="22" eb="24">
      <t>ゼイガク</t>
    </rPh>
    <phoneticPr fontId="4"/>
  </si>
  <si>
    <t>付表２⑰
計算表５①</t>
    <rPh sb="0" eb="2">
      <t>フヒョウ</t>
    </rPh>
    <rPh sb="5" eb="7">
      <t>ケイサン</t>
    </rPh>
    <rPh sb="7" eb="8">
      <t>ヒョウ</t>
    </rPh>
    <phoneticPr fontId="4"/>
  </si>
  <si>
    <t>仕入税額控除の計算</t>
    <rPh sb="7" eb="9">
      <t>ケイサン</t>
    </rPh>
    <phoneticPr fontId="4"/>
  </si>
  <si>
    <t>特定収入割合</t>
    <rPh sb="0" eb="2">
      <t>トクテイ</t>
    </rPh>
    <rPh sb="2" eb="4">
      <t>シュウニュウ</t>
    </rPh>
    <rPh sb="4" eb="6">
      <t>ワリアイ</t>
    </rPh>
    <phoneticPr fontId="4"/>
  </si>
  <si>
    <t>非課税売上額</t>
    <rPh sb="0" eb="3">
      <t>ヒカゼイ</t>
    </rPh>
    <phoneticPr fontId="4"/>
  </si>
  <si>
    <t>免税売上額</t>
    <phoneticPr fontId="4"/>
  </si>
  <si>
    <t>※　A×100/103</t>
    <phoneticPr fontId="4"/>
  </si>
  <si>
    <t>課税売上額（税抜）</t>
    <rPh sb="0" eb="2">
      <t>カゼイ</t>
    </rPh>
    <rPh sb="2" eb="4">
      <t>ウリアゲ</t>
    </rPh>
    <rPh sb="4" eb="5">
      <t>ガク</t>
    </rPh>
    <rPh sb="6" eb="7">
      <t>ゼイ</t>
    </rPh>
    <rPh sb="7" eb="8">
      <t>ヌ</t>
    </rPh>
    <phoneticPr fontId="4"/>
  </si>
  <si>
    <t>N</t>
    <phoneticPr fontId="4"/>
  </si>
  <si>
    <t>計</t>
    <rPh sb="0" eb="1">
      <t>ケイ</t>
    </rPh>
    <phoneticPr fontId="4"/>
  </si>
  <si>
    <t>※　「決算総括表」の「不課税収入」のうち「課税仕入に特定」</t>
    <rPh sb="3" eb="5">
      <t>ケッサン</t>
    </rPh>
    <rPh sb="5" eb="7">
      <t>ソウカツ</t>
    </rPh>
    <rPh sb="7" eb="8">
      <t>ヒョウ</t>
    </rPh>
    <rPh sb="11" eb="12">
      <t>フ</t>
    </rPh>
    <rPh sb="12" eb="14">
      <t>カゼイ</t>
    </rPh>
    <rPh sb="14" eb="16">
      <t>シュウニュウ</t>
    </rPh>
    <phoneticPr fontId="4"/>
  </si>
  <si>
    <t>資本的支出のうち特定収入</t>
    <rPh sb="0" eb="2">
      <t>シホン</t>
    </rPh>
    <rPh sb="2" eb="3">
      <t>テキ</t>
    </rPh>
    <phoneticPr fontId="4"/>
  </si>
  <si>
    <t>収益的支出のうち特定収入</t>
    <rPh sb="0" eb="3">
      <t>シュウエキテキ</t>
    </rPh>
    <rPh sb="3" eb="5">
      <t>シシュツ</t>
    </rPh>
    <rPh sb="8" eb="10">
      <t>トクテイ</t>
    </rPh>
    <rPh sb="10" eb="12">
      <t>シュウニュウ</t>
    </rPh>
    <phoneticPr fontId="4"/>
  </si>
  <si>
    <t>特定収入割合の計算</t>
    <rPh sb="0" eb="2">
      <t>トクテイ</t>
    </rPh>
    <rPh sb="2" eb="4">
      <t>シュウニュウ</t>
    </rPh>
    <rPh sb="4" eb="6">
      <t>ワリアイ</t>
    </rPh>
    <rPh sb="7" eb="9">
      <t>ケイサン</t>
    </rPh>
    <phoneticPr fontId="4"/>
  </si>
  <si>
    <t>仕入税額控除
の調整</t>
    <rPh sb="0" eb="2">
      <t>シイレ</t>
    </rPh>
    <rPh sb="2" eb="4">
      <t>ゼイガク</t>
    </rPh>
    <rPh sb="4" eb="6">
      <t>コウジョ</t>
    </rPh>
    <rPh sb="8" eb="10">
      <t>チョウセイ</t>
    </rPh>
    <phoneticPr fontId="4"/>
  </si>
  <si>
    <t>還付加算金について、特定収入の判定をしているか</t>
    <rPh sb="0" eb="2">
      <t>カンプ</t>
    </rPh>
    <rPh sb="2" eb="5">
      <t>カサンキン</t>
    </rPh>
    <rPh sb="10" eb="12">
      <t>トクテイ</t>
    </rPh>
    <rPh sb="12" eb="14">
      <t>シュウニュウ</t>
    </rPh>
    <rPh sb="15" eb="17">
      <t>ハンテイ</t>
    </rPh>
    <phoneticPr fontId="4"/>
  </si>
  <si>
    <t>「国庫補助金」をチェック</t>
    <rPh sb="1" eb="3">
      <t>コッコ</t>
    </rPh>
    <rPh sb="3" eb="6">
      <t>ホジョキン</t>
    </rPh>
    <phoneticPr fontId="4"/>
  </si>
  <si>
    <t>補助金等の一部を翌期に繰り越した場合、収入のあった課税期間で特定収入の調整（支出金額の割合により按分）を行っているか</t>
    <rPh sb="0" eb="4">
      <t>ホジョキントウ</t>
    </rPh>
    <rPh sb="5" eb="7">
      <t>イチブ</t>
    </rPh>
    <rPh sb="8" eb="9">
      <t>ヨク</t>
    </rPh>
    <rPh sb="9" eb="10">
      <t>キ</t>
    </rPh>
    <rPh sb="11" eb="12">
      <t>ク</t>
    </rPh>
    <rPh sb="13" eb="14">
      <t>コ</t>
    </rPh>
    <rPh sb="16" eb="18">
      <t>バアイ</t>
    </rPh>
    <rPh sb="19" eb="21">
      <t>シュウニュウ</t>
    </rPh>
    <rPh sb="25" eb="27">
      <t>カゼイ</t>
    </rPh>
    <rPh sb="27" eb="29">
      <t>キカン</t>
    </rPh>
    <rPh sb="30" eb="32">
      <t>トクテイ</t>
    </rPh>
    <rPh sb="32" eb="34">
      <t>シュウニュウ</t>
    </rPh>
    <rPh sb="35" eb="37">
      <t>チョウセイ</t>
    </rPh>
    <rPh sb="38" eb="40">
      <t>シシュツ</t>
    </rPh>
    <rPh sb="40" eb="42">
      <t>キンガク</t>
    </rPh>
    <rPh sb="43" eb="45">
      <t>ワリアイ</t>
    </rPh>
    <rPh sb="48" eb="50">
      <t>アンブン</t>
    </rPh>
    <rPh sb="52" eb="53">
      <t>オコナ</t>
    </rPh>
    <phoneticPr fontId="4"/>
  </si>
  <si>
    <t>該当なし</t>
    <rPh sb="0" eb="2">
      <t>ガイトウ</t>
    </rPh>
    <phoneticPr fontId="4"/>
  </si>
  <si>
    <t>通常の借入金の元金返済のために一般会計から繰入金等があった場合、特定収入の判定（借入金で賄った事業のために使用されたとして使途を特定）をしているか</t>
    <rPh sb="0" eb="2">
      <t>ツウジョウ</t>
    </rPh>
    <rPh sb="3" eb="5">
      <t>カリイレ</t>
    </rPh>
    <rPh sb="5" eb="6">
      <t>キン</t>
    </rPh>
    <rPh sb="7" eb="9">
      <t>ガンキン</t>
    </rPh>
    <rPh sb="9" eb="11">
      <t>ヘンサイ</t>
    </rPh>
    <rPh sb="15" eb="17">
      <t>イッパン</t>
    </rPh>
    <rPh sb="17" eb="19">
      <t>カイケイ</t>
    </rPh>
    <rPh sb="21" eb="23">
      <t>クリイレ</t>
    </rPh>
    <rPh sb="23" eb="24">
      <t>キン</t>
    </rPh>
    <rPh sb="24" eb="25">
      <t>トウ</t>
    </rPh>
    <rPh sb="29" eb="31">
      <t>バアイ</t>
    </rPh>
    <rPh sb="32" eb="34">
      <t>トクテイ</t>
    </rPh>
    <rPh sb="34" eb="36">
      <t>シュウニュウ</t>
    </rPh>
    <rPh sb="37" eb="39">
      <t>ハンテイ</t>
    </rPh>
    <rPh sb="40" eb="42">
      <t>カリイレ</t>
    </rPh>
    <rPh sb="42" eb="43">
      <t>キン</t>
    </rPh>
    <rPh sb="44" eb="45">
      <t>マカナ</t>
    </rPh>
    <rPh sb="47" eb="49">
      <t>ジギョウ</t>
    </rPh>
    <rPh sb="53" eb="55">
      <t>シヨウ</t>
    </rPh>
    <rPh sb="61" eb="63">
      <t>シト</t>
    </rPh>
    <rPh sb="64" eb="66">
      <t>トクテイ</t>
    </rPh>
    <phoneticPr fontId="4"/>
  </si>
  <si>
    <t>「一般会計出資金」をチェック</t>
    <rPh sb="1" eb="3">
      <t>イッパン</t>
    </rPh>
    <rPh sb="3" eb="5">
      <t>カイケイ</t>
    </rPh>
    <rPh sb="5" eb="8">
      <t>シュッシキン</t>
    </rPh>
    <phoneticPr fontId="4"/>
  </si>
  <si>
    <t>一般会計繰入金であっても、地方公営企業法適用企業が受け入れる出資金は特定収入から除かれる。出資金を特定収入にしていないか</t>
    <rPh sb="0" eb="2">
      <t>イッパン</t>
    </rPh>
    <rPh sb="2" eb="4">
      <t>カイケイ</t>
    </rPh>
    <rPh sb="4" eb="6">
      <t>クリイレ</t>
    </rPh>
    <rPh sb="6" eb="7">
      <t>キン</t>
    </rPh>
    <rPh sb="13" eb="15">
      <t>チホウ</t>
    </rPh>
    <rPh sb="15" eb="17">
      <t>コウエイ</t>
    </rPh>
    <rPh sb="17" eb="19">
      <t>キギョウ</t>
    </rPh>
    <rPh sb="19" eb="20">
      <t>ホウ</t>
    </rPh>
    <rPh sb="20" eb="22">
      <t>テキヨウ</t>
    </rPh>
    <rPh sb="22" eb="24">
      <t>キギョウ</t>
    </rPh>
    <rPh sb="25" eb="26">
      <t>ウ</t>
    </rPh>
    <rPh sb="27" eb="28">
      <t>イ</t>
    </rPh>
    <rPh sb="30" eb="33">
      <t>シュッシキン</t>
    </rPh>
    <rPh sb="34" eb="36">
      <t>トクテイ</t>
    </rPh>
    <rPh sb="36" eb="38">
      <t>シュウニュウ</t>
    </rPh>
    <rPh sb="40" eb="41">
      <t>ノゾ</t>
    </rPh>
    <rPh sb="45" eb="48">
      <t>シュッシキン</t>
    </rPh>
    <rPh sb="49" eb="51">
      <t>トクテイ</t>
    </rPh>
    <rPh sb="51" eb="53">
      <t>シュウニュウ</t>
    </rPh>
    <phoneticPr fontId="4"/>
  </si>
  <si>
    <t>「企業債」をチェック</t>
    <rPh sb="1" eb="3">
      <t>キギョウ</t>
    </rPh>
    <rPh sb="3" eb="4">
      <t>サイ</t>
    </rPh>
    <phoneticPr fontId="4"/>
  </si>
  <si>
    <t>通常の借入金（地方債の起債収入等）を特定収入にしていないか</t>
    <rPh sb="0" eb="2">
      <t>ツウジョウ</t>
    </rPh>
    <rPh sb="3" eb="5">
      <t>カリイレ</t>
    </rPh>
    <rPh sb="5" eb="6">
      <t>キン</t>
    </rPh>
    <rPh sb="7" eb="10">
      <t>チホウサイ</t>
    </rPh>
    <rPh sb="11" eb="13">
      <t>キサイ</t>
    </rPh>
    <rPh sb="13" eb="16">
      <t>シュウニュウトウ</t>
    </rPh>
    <rPh sb="18" eb="20">
      <t>トクテイ</t>
    </rPh>
    <rPh sb="20" eb="22">
      <t>シュウニュウ</t>
    </rPh>
    <phoneticPr fontId="4"/>
  </si>
  <si>
    <t>特定収入の
判定</t>
    <rPh sb="0" eb="2">
      <t>トクテイ</t>
    </rPh>
    <rPh sb="2" eb="4">
      <t>シュウニュウ</t>
    </rPh>
    <rPh sb="6" eb="8">
      <t>ハンテイ</t>
    </rPh>
    <phoneticPr fontId="4"/>
  </si>
  <si>
    <t>付表２⑨⑫</t>
    <rPh sb="0" eb="2">
      <t>フヒョウ</t>
    </rPh>
    <phoneticPr fontId="4"/>
  </si>
  <si>
    <t>M</t>
    <phoneticPr fontId="4"/>
  </si>
  <si>
    <t>課税仕入れに係る消費税額</t>
    <rPh sb="0" eb="2">
      <t>カゼイ</t>
    </rPh>
    <rPh sb="2" eb="4">
      <t>シイ</t>
    </rPh>
    <rPh sb="6" eb="7">
      <t>カカ</t>
    </rPh>
    <rPh sb="8" eb="11">
      <t>ショウヒゼイ</t>
    </rPh>
    <rPh sb="11" eb="12">
      <t>ガク</t>
    </rPh>
    <phoneticPr fontId="4"/>
  </si>
  <si>
    <t>付表２⑧</t>
    <rPh sb="0" eb="2">
      <t>フヒョウ</t>
    </rPh>
    <phoneticPr fontId="4"/>
  </si>
  <si>
    <t>※　K-L-B</t>
    <phoneticPr fontId="4"/>
  </si>
  <si>
    <t>課税仕入れに係る支払対価の額（税込）</t>
    <rPh sb="0" eb="2">
      <t>カゼイ</t>
    </rPh>
    <rPh sb="2" eb="4">
      <t>シイ</t>
    </rPh>
    <rPh sb="6" eb="7">
      <t>カカ</t>
    </rPh>
    <rPh sb="8" eb="10">
      <t>シハライ</t>
    </rPh>
    <rPh sb="10" eb="12">
      <t>タイカ</t>
    </rPh>
    <rPh sb="13" eb="14">
      <t>ガク</t>
    </rPh>
    <rPh sb="15" eb="17">
      <t>ゼイコ</t>
    </rPh>
    <phoneticPr fontId="4"/>
  </si>
  <si>
    <t>※　Bの額</t>
    <rPh sb="4" eb="5">
      <t>ガク</t>
    </rPh>
    <phoneticPr fontId="4"/>
  </si>
  <si>
    <t>仕入対価の返還等の額</t>
    <rPh sb="0" eb="2">
      <t>シイレ</t>
    </rPh>
    <rPh sb="2" eb="4">
      <t>タイカ</t>
    </rPh>
    <rPh sb="5" eb="7">
      <t>ヘンカン</t>
    </rPh>
    <rPh sb="7" eb="8">
      <t>トウ</t>
    </rPh>
    <rPh sb="9" eb="10">
      <t>ガク</t>
    </rPh>
    <phoneticPr fontId="4"/>
  </si>
  <si>
    <t>※　「過年度損益修正損」「その他特別損失」の課税支出うち、該当分</t>
    <rPh sb="6" eb="8">
      <t>ソンエキ</t>
    </rPh>
    <rPh sb="22" eb="24">
      <t>カゼイ</t>
    </rPh>
    <rPh sb="24" eb="26">
      <t>シシュツ</t>
    </rPh>
    <rPh sb="29" eb="31">
      <t>ガイトウ</t>
    </rPh>
    <rPh sb="31" eb="32">
      <t>ブン</t>
    </rPh>
    <phoneticPr fontId="4"/>
  </si>
  <si>
    <t>L</t>
    <phoneticPr fontId="4"/>
  </si>
  <si>
    <t>返還等対価・貸倒れの額</t>
    <rPh sb="0" eb="2">
      <t>ヘンカン</t>
    </rPh>
    <rPh sb="2" eb="3">
      <t>トウ</t>
    </rPh>
    <rPh sb="3" eb="5">
      <t>タイカ</t>
    </rPh>
    <rPh sb="6" eb="8">
      <t>カシダオ</t>
    </rPh>
    <rPh sb="10" eb="11">
      <t>ガク</t>
    </rPh>
    <phoneticPr fontId="4"/>
  </si>
  <si>
    <t>課税仕入れから控除するもの</t>
    <rPh sb="0" eb="2">
      <t>カゼイ</t>
    </rPh>
    <rPh sb="2" eb="4">
      <t>シイ</t>
    </rPh>
    <rPh sb="7" eb="9">
      <t>コウジョ</t>
    </rPh>
    <phoneticPr fontId="4"/>
  </si>
  <si>
    <t>K</t>
    <phoneticPr fontId="4"/>
  </si>
  <si>
    <t>※　「決算総括表」より</t>
    <rPh sb="3" eb="5">
      <t>ケッサン</t>
    </rPh>
    <rPh sb="5" eb="7">
      <t>ソウカツ</t>
    </rPh>
    <rPh sb="7" eb="8">
      <t>ヒョウ</t>
    </rPh>
    <phoneticPr fontId="4"/>
  </si>
  <si>
    <t>資本的支出のうち課税支出（税込）</t>
    <rPh sb="0" eb="2">
      <t>シホン</t>
    </rPh>
    <rPh sb="2" eb="3">
      <t>テキ</t>
    </rPh>
    <rPh sb="13" eb="15">
      <t>ゼイコ</t>
    </rPh>
    <phoneticPr fontId="4"/>
  </si>
  <si>
    <t>収益的支出のうち課税支出（税込）</t>
    <rPh sb="0" eb="3">
      <t>シュウエキテキ</t>
    </rPh>
    <rPh sb="3" eb="5">
      <t>シシュツ</t>
    </rPh>
    <rPh sb="8" eb="10">
      <t>カゼイ</t>
    </rPh>
    <rPh sb="13" eb="15">
      <t>ゼイコ</t>
    </rPh>
    <phoneticPr fontId="4"/>
  </si>
  <si>
    <t>課税仕入れ等の税額の計算</t>
    <rPh sb="0" eb="2">
      <t>カゼイ</t>
    </rPh>
    <rPh sb="2" eb="4">
      <t>シイ</t>
    </rPh>
    <rPh sb="5" eb="6">
      <t>トウ</t>
    </rPh>
    <rPh sb="7" eb="9">
      <t>ゼイガク</t>
    </rPh>
    <rPh sb="10" eb="12">
      <t>ケイサン</t>
    </rPh>
    <phoneticPr fontId="4"/>
  </si>
  <si>
    <t>経過措置対象取引（3%取引）がある場合、課税仕入れを3%取引と4%取引に区分して計算しているか</t>
    <rPh sb="0" eb="2">
      <t>ケイカ</t>
    </rPh>
    <rPh sb="2" eb="4">
      <t>ソチ</t>
    </rPh>
    <rPh sb="4" eb="6">
      <t>タイショウ</t>
    </rPh>
    <rPh sb="6" eb="8">
      <t>トリヒキ</t>
    </rPh>
    <rPh sb="11" eb="13">
      <t>トリヒキ</t>
    </rPh>
    <rPh sb="17" eb="19">
      <t>バアイ</t>
    </rPh>
    <rPh sb="20" eb="22">
      <t>カゼイ</t>
    </rPh>
    <rPh sb="22" eb="24">
      <t>シイ</t>
    </rPh>
    <rPh sb="28" eb="30">
      <t>トリヒキ</t>
    </rPh>
    <rPh sb="33" eb="35">
      <t>トリヒキ</t>
    </rPh>
    <rPh sb="36" eb="38">
      <t>クブン</t>
    </rPh>
    <rPh sb="40" eb="42">
      <t>ケイサン</t>
    </rPh>
    <phoneticPr fontId="4"/>
  </si>
  <si>
    <t>固定資産売却損をチェック</t>
    <rPh sb="0" eb="2">
      <t>コテイ</t>
    </rPh>
    <rPh sb="2" eb="4">
      <t>シサン</t>
    </rPh>
    <rPh sb="4" eb="6">
      <t>バイキャク</t>
    </rPh>
    <rPh sb="6" eb="7">
      <t>ソン</t>
    </rPh>
    <phoneticPr fontId="4"/>
  </si>
  <si>
    <t>資産の譲渡損を課税仕入れにしていないか</t>
    <rPh sb="0" eb="2">
      <t>シサン</t>
    </rPh>
    <rPh sb="3" eb="5">
      <t>ジョウト</t>
    </rPh>
    <rPh sb="5" eb="6">
      <t>ソン</t>
    </rPh>
    <rPh sb="7" eb="9">
      <t>カゼイ</t>
    </rPh>
    <rPh sb="9" eb="11">
      <t>シイ</t>
    </rPh>
    <phoneticPr fontId="4"/>
  </si>
  <si>
    <t>各費目をチェック</t>
    <rPh sb="0" eb="3">
      <t>カクヒモク</t>
    </rPh>
    <phoneticPr fontId="4"/>
  </si>
  <si>
    <t>免税・非課税・不課税仕入れを課税仕入れにしていないか</t>
    <rPh sb="0" eb="2">
      <t>メンゼイ</t>
    </rPh>
    <rPh sb="3" eb="6">
      <t>ヒカゼイ</t>
    </rPh>
    <rPh sb="7" eb="8">
      <t>フ</t>
    </rPh>
    <rPh sb="8" eb="10">
      <t>カゼイ</t>
    </rPh>
    <rPh sb="10" eb="12">
      <t>シイ</t>
    </rPh>
    <rPh sb="14" eb="16">
      <t>カゼイ</t>
    </rPh>
    <rPh sb="16" eb="18">
      <t>シイ</t>
    </rPh>
    <phoneticPr fontId="4"/>
  </si>
  <si>
    <t>損害賠償金を課税仕入れにしていないか（一般的には不課税）</t>
    <rPh sb="0" eb="2">
      <t>ソンガイ</t>
    </rPh>
    <rPh sb="2" eb="5">
      <t>バイショウキン</t>
    </rPh>
    <rPh sb="6" eb="8">
      <t>カゼイ</t>
    </rPh>
    <rPh sb="8" eb="10">
      <t>シイ</t>
    </rPh>
    <rPh sb="19" eb="22">
      <t>イッパンテキ</t>
    </rPh>
    <rPh sb="24" eb="25">
      <t>フ</t>
    </rPh>
    <rPh sb="25" eb="27">
      <t>カゼイ</t>
    </rPh>
    <phoneticPr fontId="4"/>
  </si>
  <si>
    <t>保証金をチェック</t>
    <rPh sb="0" eb="3">
      <t>ホショウキン</t>
    </rPh>
    <phoneticPr fontId="4"/>
  </si>
  <si>
    <t>課税の対象となる対価補償金以外の補償金を課税仕入れにしていないか（水道管移設保証金、ガス管移設保証金等は不課税）</t>
    <rPh sb="0" eb="2">
      <t>カゼイ</t>
    </rPh>
    <rPh sb="3" eb="5">
      <t>タイショウ</t>
    </rPh>
    <rPh sb="8" eb="10">
      <t>タイカ</t>
    </rPh>
    <rPh sb="10" eb="13">
      <t>ホショウキン</t>
    </rPh>
    <rPh sb="13" eb="15">
      <t>イガイ</t>
    </rPh>
    <rPh sb="16" eb="19">
      <t>ホショウキン</t>
    </rPh>
    <rPh sb="20" eb="22">
      <t>カゼイ</t>
    </rPh>
    <rPh sb="22" eb="24">
      <t>シイ</t>
    </rPh>
    <rPh sb="33" eb="36">
      <t>スイドウカン</t>
    </rPh>
    <rPh sb="36" eb="38">
      <t>イセツ</t>
    </rPh>
    <rPh sb="38" eb="41">
      <t>ホショウキン</t>
    </rPh>
    <rPh sb="44" eb="45">
      <t>カン</t>
    </rPh>
    <rPh sb="45" eb="47">
      <t>イセツ</t>
    </rPh>
    <rPh sb="47" eb="50">
      <t>ホショウキン</t>
    </rPh>
    <rPh sb="50" eb="51">
      <t>トウ</t>
    </rPh>
    <rPh sb="52" eb="53">
      <t>フ</t>
    </rPh>
    <rPh sb="53" eb="55">
      <t>カゼイ</t>
    </rPh>
    <phoneticPr fontId="4"/>
  </si>
  <si>
    <t>賃借料をチェック</t>
    <rPh sb="0" eb="3">
      <t>チンシャクリョウ</t>
    </rPh>
    <phoneticPr fontId="4"/>
  </si>
  <si>
    <t>土地の借受（原則非課税）のうち、契約期間が1か月未満の場合や、駐車場その他の施設の利用に伴って土地を使用する場合は課税としているか</t>
    <rPh sb="0" eb="2">
      <t>トチ</t>
    </rPh>
    <rPh sb="3" eb="5">
      <t>カリウケ</t>
    </rPh>
    <rPh sb="6" eb="8">
      <t>ゲンソク</t>
    </rPh>
    <rPh sb="8" eb="11">
      <t>ヒカゼイ</t>
    </rPh>
    <phoneticPr fontId="4"/>
  </si>
  <si>
    <t>課税仕入れ</t>
    <rPh sb="0" eb="2">
      <t>カゼイ</t>
    </rPh>
    <rPh sb="2" eb="4">
      <t>シイ</t>
    </rPh>
    <phoneticPr fontId="4"/>
  </si>
  <si>
    <t>資産の譲渡等の対価の額</t>
    <rPh sb="0" eb="2">
      <t>シサン</t>
    </rPh>
    <rPh sb="3" eb="6">
      <t>ジョウトトウ</t>
    </rPh>
    <rPh sb="7" eb="9">
      <t>タイカ</t>
    </rPh>
    <rPh sb="10" eb="11">
      <t>ガク</t>
    </rPh>
    <phoneticPr fontId="4"/>
  </si>
  <si>
    <t>資本的収入のうち非課税売上（税込）</t>
    <rPh sb="0" eb="2">
      <t>シホン</t>
    </rPh>
    <rPh sb="2" eb="3">
      <t>テキ</t>
    </rPh>
    <rPh sb="3" eb="5">
      <t>シュウニュウ</t>
    </rPh>
    <rPh sb="8" eb="9">
      <t>ヒ</t>
    </rPh>
    <rPh sb="14" eb="16">
      <t>ゼイコ</t>
    </rPh>
    <phoneticPr fontId="4"/>
  </si>
  <si>
    <t>収益的収入のうち非課税売上（税込）</t>
    <rPh sb="0" eb="3">
      <t>シュウエキテキ</t>
    </rPh>
    <rPh sb="3" eb="5">
      <t>シュウニュウ</t>
    </rPh>
    <rPh sb="8" eb="9">
      <t>ヒ</t>
    </rPh>
    <rPh sb="9" eb="11">
      <t>カゼイ</t>
    </rPh>
    <rPh sb="11" eb="13">
      <t>ウリアゲ</t>
    </rPh>
    <rPh sb="14" eb="16">
      <t>ゼイコ</t>
    </rPh>
    <phoneticPr fontId="4"/>
  </si>
  <si>
    <t>課税資産の譲渡等の対価の額</t>
    <rPh sb="0" eb="2">
      <t>カゼイ</t>
    </rPh>
    <rPh sb="2" eb="4">
      <t>シサン</t>
    </rPh>
    <rPh sb="5" eb="8">
      <t>ジョウトトウ</t>
    </rPh>
    <rPh sb="9" eb="11">
      <t>タイカ</t>
    </rPh>
    <rPh sb="12" eb="13">
      <t>ガク</t>
    </rPh>
    <phoneticPr fontId="4"/>
  </si>
  <si>
    <t>免税売上額</t>
    <phoneticPr fontId="4"/>
  </si>
  <si>
    <t>課税売上額</t>
    <rPh sb="0" eb="2">
      <t>カゼイ</t>
    </rPh>
    <rPh sb="2" eb="4">
      <t>ウリアゲ</t>
    </rPh>
    <rPh sb="4" eb="5">
      <t>ガク</t>
    </rPh>
    <phoneticPr fontId="4"/>
  </si>
  <si>
    <t>課税売上割合の計算</t>
    <rPh sb="0" eb="2">
      <t>カゼイ</t>
    </rPh>
    <rPh sb="2" eb="4">
      <t>ウリアゲ</t>
    </rPh>
    <rPh sb="4" eb="6">
      <t>ワリアイ</t>
    </rPh>
    <rPh sb="7" eb="9">
      <t>ケイサン</t>
    </rPh>
    <phoneticPr fontId="4"/>
  </si>
  <si>
    <t>付表１②</t>
    <phoneticPr fontId="4"/>
  </si>
  <si>
    <t>※　E×3%</t>
    <phoneticPr fontId="4"/>
  </si>
  <si>
    <t>F</t>
    <phoneticPr fontId="4"/>
  </si>
  <si>
    <t>課税標準額に対する消費税額</t>
    <rPh sb="0" eb="2">
      <t>カゼイ</t>
    </rPh>
    <rPh sb="2" eb="4">
      <t>ヒョウジュン</t>
    </rPh>
    <rPh sb="4" eb="5">
      <t>ガク</t>
    </rPh>
    <rPh sb="6" eb="7">
      <t>タイ</t>
    </rPh>
    <rPh sb="9" eb="12">
      <t>ショウヒゼイ</t>
    </rPh>
    <rPh sb="12" eb="13">
      <t>ガク</t>
    </rPh>
    <phoneticPr fontId="4"/>
  </si>
  <si>
    <t>付表１①</t>
    <rPh sb="0" eb="2">
      <t>フヒョウ</t>
    </rPh>
    <phoneticPr fontId="4"/>
  </si>
  <si>
    <t>※　（A－B）×100/103　　1,000円未満切捨</t>
    <phoneticPr fontId="4"/>
  </si>
  <si>
    <t>E</t>
    <phoneticPr fontId="4"/>
  </si>
  <si>
    <t>課税標準額（税抜）</t>
    <rPh sb="0" eb="2">
      <t>カゼイ</t>
    </rPh>
    <rPh sb="2" eb="4">
      <t>ヒョウジュン</t>
    </rPh>
    <rPh sb="4" eb="5">
      <t>ガク</t>
    </rPh>
    <phoneticPr fontId="4"/>
  </si>
  <si>
    <t>付表２①</t>
    <rPh sb="0" eb="2">
      <t>フヒョウ</t>
    </rPh>
    <phoneticPr fontId="4"/>
  </si>
  <si>
    <t>※　（A－B－C）×100/103</t>
    <phoneticPr fontId="4"/>
  </si>
  <si>
    <t>D</t>
    <phoneticPr fontId="4"/>
  </si>
  <si>
    <t>※　「過年度損益修正損」「その他特別損失」のうち、課税収入を返還したもの</t>
    <rPh sb="10" eb="11">
      <t>ソン</t>
    </rPh>
    <rPh sb="15" eb="16">
      <t>タ</t>
    </rPh>
    <rPh sb="16" eb="18">
      <t>トクベツ</t>
    </rPh>
    <rPh sb="18" eb="20">
      <t>ソンシツ</t>
    </rPh>
    <rPh sb="25" eb="27">
      <t>カゼイ</t>
    </rPh>
    <rPh sb="27" eb="29">
      <t>シュウニュウ</t>
    </rPh>
    <rPh sb="30" eb="32">
      <t>ヘンカン</t>
    </rPh>
    <phoneticPr fontId="4"/>
  </si>
  <si>
    <t>C</t>
    <phoneticPr fontId="4"/>
  </si>
  <si>
    <t>売上対価の返還等の額</t>
    <rPh sb="0" eb="2">
      <t>ウリアゲ</t>
    </rPh>
    <rPh sb="2" eb="4">
      <t>タイカ</t>
    </rPh>
    <rPh sb="5" eb="7">
      <t>ヘンカン</t>
    </rPh>
    <rPh sb="7" eb="8">
      <t>トウ</t>
    </rPh>
    <rPh sb="9" eb="10">
      <t>ガク</t>
    </rPh>
    <phoneticPr fontId="4"/>
  </si>
  <si>
    <t>※　「過年度損益修正益」「その他特別利益」のうち、課税支出が返還されたもの</t>
    <rPh sb="3" eb="6">
      <t>カネンド</t>
    </rPh>
    <rPh sb="8" eb="10">
      <t>シュウセイ</t>
    </rPh>
    <rPh sb="10" eb="11">
      <t>エキ</t>
    </rPh>
    <rPh sb="15" eb="16">
      <t>タ</t>
    </rPh>
    <rPh sb="16" eb="18">
      <t>トクベツ</t>
    </rPh>
    <rPh sb="18" eb="20">
      <t>リエキ</t>
    </rPh>
    <rPh sb="25" eb="27">
      <t>カゼイ</t>
    </rPh>
    <rPh sb="27" eb="29">
      <t>シシュツ</t>
    </rPh>
    <rPh sb="30" eb="32">
      <t>ヘンカン</t>
    </rPh>
    <phoneticPr fontId="4"/>
  </si>
  <si>
    <t>B</t>
    <phoneticPr fontId="4"/>
  </si>
  <si>
    <t>課税売上から控除するもの</t>
    <rPh sb="0" eb="2">
      <t>カゼイ</t>
    </rPh>
    <rPh sb="2" eb="4">
      <t>ウリアゲ</t>
    </rPh>
    <rPh sb="6" eb="8">
      <t>コウジョ</t>
    </rPh>
    <phoneticPr fontId="4"/>
  </si>
  <si>
    <t>A</t>
    <phoneticPr fontId="4"/>
  </si>
  <si>
    <t>資本的収入のうち課税売上（税込）</t>
    <rPh sb="0" eb="2">
      <t>シホン</t>
    </rPh>
    <rPh sb="2" eb="3">
      <t>テキ</t>
    </rPh>
    <rPh sb="3" eb="5">
      <t>シュウニュウ</t>
    </rPh>
    <rPh sb="13" eb="15">
      <t>ゼイコ</t>
    </rPh>
    <phoneticPr fontId="4"/>
  </si>
  <si>
    <t>収益的収入のうち課税売上（税込）</t>
    <rPh sb="0" eb="3">
      <t>シュウエキテキ</t>
    </rPh>
    <rPh sb="3" eb="5">
      <t>シュウニュウ</t>
    </rPh>
    <rPh sb="8" eb="10">
      <t>カゼイ</t>
    </rPh>
    <rPh sb="10" eb="12">
      <t>ウリアゲ</t>
    </rPh>
    <rPh sb="13" eb="15">
      <t>ゼイコ</t>
    </rPh>
    <phoneticPr fontId="4"/>
  </si>
  <si>
    <t>課税売上額の計算</t>
    <rPh sb="0" eb="2">
      <t>カゼイ</t>
    </rPh>
    <rPh sb="2" eb="4">
      <t>ウリアゲ</t>
    </rPh>
    <rPh sb="4" eb="5">
      <t>ガク</t>
    </rPh>
    <rPh sb="6" eb="8">
      <t>ケイサン</t>
    </rPh>
    <phoneticPr fontId="4"/>
  </si>
  <si>
    <t>土地建物一括譲渡の場合、対価の額の区分は正しいか</t>
    <rPh sb="0" eb="2">
      <t>トチ</t>
    </rPh>
    <rPh sb="2" eb="4">
      <t>タテモノ</t>
    </rPh>
    <rPh sb="4" eb="6">
      <t>イッカツ</t>
    </rPh>
    <rPh sb="6" eb="8">
      <t>ジョウト</t>
    </rPh>
    <rPh sb="9" eb="11">
      <t>バアイ</t>
    </rPh>
    <rPh sb="12" eb="14">
      <t>タイカ</t>
    </rPh>
    <rPh sb="15" eb="16">
      <t>ガク</t>
    </rPh>
    <rPh sb="17" eb="19">
      <t>クブン</t>
    </rPh>
    <rPh sb="20" eb="21">
      <t>タダ</t>
    </rPh>
    <phoneticPr fontId="4"/>
  </si>
  <si>
    <t>車両等を購入した場合、下取り価額を課税売上にしていないか</t>
    <rPh sb="0" eb="3">
      <t>シャリョウトウ</t>
    </rPh>
    <rPh sb="4" eb="6">
      <t>コウニュウ</t>
    </rPh>
    <rPh sb="8" eb="10">
      <t>バアイ</t>
    </rPh>
    <rPh sb="11" eb="13">
      <t>シタド</t>
    </rPh>
    <rPh sb="14" eb="16">
      <t>カガク</t>
    </rPh>
    <rPh sb="17" eb="19">
      <t>カゼイ</t>
    </rPh>
    <rPh sb="19" eb="21">
      <t>ウリアゲ</t>
    </rPh>
    <phoneticPr fontId="4"/>
  </si>
  <si>
    <t>「固定資産売却益」及び「土地売却代金」をチェック</t>
    <rPh sb="1" eb="3">
      <t>コテイ</t>
    </rPh>
    <rPh sb="3" eb="5">
      <t>シサン</t>
    </rPh>
    <rPh sb="5" eb="8">
      <t>バイキャクエキ</t>
    </rPh>
    <rPh sb="9" eb="10">
      <t>オヨ</t>
    </rPh>
    <rPh sb="12" eb="14">
      <t>トチ</t>
    </rPh>
    <rPh sb="14" eb="16">
      <t>バイキャク</t>
    </rPh>
    <rPh sb="16" eb="18">
      <t>ダイキン</t>
    </rPh>
    <phoneticPr fontId="4"/>
  </si>
  <si>
    <t>建物等固定資産（土地を除く）の売却について、差益部分のみを課税売上にしていないか</t>
    <rPh sb="0" eb="3">
      <t>タテモノトウ</t>
    </rPh>
    <rPh sb="3" eb="5">
      <t>コテイ</t>
    </rPh>
    <rPh sb="5" eb="7">
      <t>シサン</t>
    </rPh>
    <rPh sb="8" eb="10">
      <t>トチ</t>
    </rPh>
    <rPh sb="11" eb="12">
      <t>ノゾ</t>
    </rPh>
    <rPh sb="15" eb="17">
      <t>バイキャク</t>
    </rPh>
    <rPh sb="22" eb="23">
      <t>サ</t>
    </rPh>
    <rPh sb="23" eb="24">
      <t>エキ</t>
    </rPh>
    <rPh sb="24" eb="26">
      <t>ブブン</t>
    </rPh>
    <rPh sb="29" eb="31">
      <t>カゼイ</t>
    </rPh>
    <rPh sb="31" eb="33">
      <t>ウリアゲ</t>
    </rPh>
    <phoneticPr fontId="4"/>
  </si>
  <si>
    <t>損害賠償金を課税売上にしていないか（一般的には不課税）</t>
    <rPh sb="0" eb="2">
      <t>ソンガイ</t>
    </rPh>
    <rPh sb="2" eb="5">
      <t>バイショウキン</t>
    </rPh>
    <rPh sb="6" eb="8">
      <t>カゼイ</t>
    </rPh>
    <rPh sb="8" eb="10">
      <t>ウリアゲ</t>
    </rPh>
    <rPh sb="18" eb="21">
      <t>イッパンテキ</t>
    </rPh>
    <rPh sb="23" eb="24">
      <t>フ</t>
    </rPh>
    <rPh sb="24" eb="26">
      <t>カゼイ</t>
    </rPh>
    <phoneticPr fontId="4"/>
  </si>
  <si>
    <t>課税の対象となる対価補償金以外の補償金を課税売上にしていないか（水道管移設保証金、ガス管移設保証金等は不課税）</t>
    <rPh sb="0" eb="2">
      <t>カゼイ</t>
    </rPh>
    <rPh sb="3" eb="5">
      <t>タイショウ</t>
    </rPh>
    <rPh sb="8" eb="10">
      <t>タイカ</t>
    </rPh>
    <rPh sb="10" eb="13">
      <t>ホショウキン</t>
    </rPh>
    <rPh sb="13" eb="15">
      <t>イガイ</t>
    </rPh>
    <rPh sb="16" eb="19">
      <t>ホショウキン</t>
    </rPh>
    <rPh sb="20" eb="22">
      <t>カゼイ</t>
    </rPh>
    <rPh sb="22" eb="24">
      <t>ウリアゲ</t>
    </rPh>
    <rPh sb="32" eb="35">
      <t>スイドウカン</t>
    </rPh>
    <rPh sb="35" eb="37">
      <t>イセツ</t>
    </rPh>
    <rPh sb="37" eb="40">
      <t>ホショウキン</t>
    </rPh>
    <rPh sb="43" eb="44">
      <t>カン</t>
    </rPh>
    <rPh sb="44" eb="46">
      <t>イセツ</t>
    </rPh>
    <rPh sb="46" eb="49">
      <t>ホショウキン</t>
    </rPh>
    <rPh sb="49" eb="50">
      <t>トウ</t>
    </rPh>
    <rPh sb="51" eb="52">
      <t>フ</t>
    </rPh>
    <rPh sb="52" eb="54">
      <t>カゼイ</t>
    </rPh>
    <phoneticPr fontId="4"/>
  </si>
  <si>
    <t>「雑収益」の「その他雑収益」をチェック</t>
    <rPh sb="1" eb="2">
      <t>ザツ</t>
    </rPh>
    <rPh sb="2" eb="4">
      <t>シュウエキ</t>
    </rPh>
    <rPh sb="9" eb="10">
      <t>タ</t>
    </rPh>
    <rPh sb="10" eb="11">
      <t>ザツ</t>
    </rPh>
    <rPh sb="11" eb="13">
      <t>シュウエキ</t>
    </rPh>
    <phoneticPr fontId="4"/>
  </si>
  <si>
    <t>土地の貸付（原則非課税）のうち、契約期間が1か月未満の場合や、駐車場その他の施設の利用に伴って土地が使用される場合は課税としているか</t>
    <rPh sb="0" eb="2">
      <t>トチ</t>
    </rPh>
    <rPh sb="3" eb="5">
      <t>カシツケ</t>
    </rPh>
    <rPh sb="6" eb="8">
      <t>ゲンソク</t>
    </rPh>
    <rPh sb="8" eb="11">
      <t>ヒカゼイ</t>
    </rPh>
    <rPh sb="16" eb="18">
      <t>ケイヤク</t>
    </rPh>
    <rPh sb="18" eb="20">
      <t>キカン</t>
    </rPh>
    <rPh sb="23" eb="24">
      <t>ゲツ</t>
    </rPh>
    <rPh sb="24" eb="26">
      <t>ミマン</t>
    </rPh>
    <rPh sb="27" eb="29">
      <t>バアイ</t>
    </rPh>
    <rPh sb="31" eb="34">
      <t>チュウシャジョウ</t>
    </rPh>
    <rPh sb="36" eb="37">
      <t>タ</t>
    </rPh>
    <rPh sb="38" eb="40">
      <t>シセツ</t>
    </rPh>
    <rPh sb="41" eb="43">
      <t>リヨウ</t>
    </rPh>
    <rPh sb="44" eb="45">
      <t>トモナ</t>
    </rPh>
    <rPh sb="47" eb="49">
      <t>トチ</t>
    </rPh>
    <rPh sb="50" eb="52">
      <t>シヨウ</t>
    </rPh>
    <rPh sb="55" eb="57">
      <t>バアイ</t>
    </rPh>
    <rPh sb="58" eb="60">
      <t>カゼイ</t>
    </rPh>
    <phoneticPr fontId="4"/>
  </si>
  <si>
    <t>「その他営業収益」の「手数料」をチェック</t>
    <rPh sb="3" eb="4">
      <t>タ</t>
    </rPh>
    <rPh sb="4" eb="6">
      <t>エイギョウ</t>
    </rPh>
    <rPh sb="6" eb="8">
      <t>シュウエキ</t>
    </rPh>
    <rPh sb="11" eb="14">
      <t>テスウリョウ</t>
    </rPh>
    <phoneticPr fontId="4"/>
  </si>
  <si>
    <t>行政手数料収入を課税売上にしていないか（一部のものを除き、非課税となる）</t>
    <rPh sb="0" eb="2">
      <t>ギョウセイ</t>
    </rPh>
    <rPh sb="2" eb="5">
      <t>テスウリョウ</t>
    </rPh>
    <rPh sb="5" eb="7">
      <t>シュウニュウ</t>
    </rPh>
    <rPh sb="8" eb="10">
      <t>カゼイ</t>
    </rPh>
    <rPh sb="10" eb="12">
      <t>ウリアゲ</t>
    </rPh>
    <rPh sb="20" eb="22">
      <t>イチブ</t>
    </rPh>
    <rPh sb="26" eb="27">
      <t>ノゾ</t>
    </rPh>
    <rPh sb="29" eb="32">
      <t>ヒカゼイ</t>
    </rPh>
    <phoneticPr fontId="4"/>
  </si>
  <si>
    <t>課税標準等</t>
    <rPh sb="0" eb="2">
      <t>カゼイ</t>
    </rPh>
    <rPh sb="2" eb="5">
      <t>ヒョウジュントウ</t>
    </rPh>
    <phoneticPr fontId="4"/>
  </si>
  <si>
    <t>申告書等</t>
    <rPh sb="0" eb="3">
      <t>シンコクショ</t>
    </rPh>
    <rPh sb="3" eb="4">
      <t>トウ</t>
    </rPh>
    <phoneticPr fontId="4"/>
  </si>
  <si>
    <t>検証</t>
    <rPh sb="0" eb="2">
      <t>ケンショウ</t>
    </rPh>
    <phoneticPr fontId="4"/>
  </si>
  <si>
    <t>チェック項目</t>
    <rPh sb="4" eb="6">
      <t>コウモク</t>
    </rPh>
    <phoneticPr fontId="4"/>
  </si>
  <si>
    <t>単位：円</t>
    <rPh sb="0" eb="2">
      <t>タンイ</t>
    </rPh>
    <rPh sb="3" eb="4">
      <t>エン</t>
    </rPh>
    <phoneticPr fontId="4"/>
  </si>
  <si>
    <t>消費税等計算チェックシート</t>
    <rPh sb="0" eb="4">
      <t>ショウヒゼイトウ</t>
    </rPh>
    <rPh sb="4" eb="6">
      <t>ケイサン</t>
    </rPh>
    <phoneticPr fontId="4"/>
  </si>
  <si>
    <t>AE</t>
    <phoneticPr fontId="4"/>
  </si>
  <si>
    <t>AB</t>
    <phoneticPr fontId="4"/>
  </si>
  <si>
    <t>付表１⑦</t>
    <phoneticPr fontId="4"/>
  </si>
  <si>
    <t>※　W＋X＋Z</t>
    <phoneticPr fontId="4"/>
  </si>
  <si>
    <t>AA</t>
    <phoneticPr fontId="4"/>
  </si>
  <si>
    <t>付表１⑥</t>
    <phoneticPr fontId="4"/>
  </si>
  <si>
    <t>※　Y×4/105</t>
    <phoneticPr fontId="4"/>
  </si>
  <si>
    <t>Z</t>
    <phoneticPr fontId="4"/>
  </si>
  <si>
    <t>Y.</t>
    <phoneticPr fontId="4"/>
  </si>
  <si>
    <t>※　C×4/105</t>
    <phoneticPr fontId="4"/>
  </si>
  <si>
    <t>X</t>
    <phoneticPr fontId="4"/>
  </si>
  <si>
    <t>※　O－V</t>
    <phoneticPr fontId="4"/>
  </si>
  <si>
    <t>W</t>
    <phoneticPr fontId="4"/>
  </si>
  <si>
    <t>※　R＋U</t>
    <phoneticPr fontId="4"/>
  </si>
  <si>
    <t>V</t>
    <phoneticPr fontId="4"/>
  </si>
  <si>
    <t>※　S×T</t>
    <phoneticPr fontId="4"/>
  </si>
  <si>
    <t>U</t>
    <phoneticPr fontId="4"/>
  </si>
  <si>
    <t>計算表５⑨</t>
    <phoneticPr fontId="4"/>
  </si>
  <si>
    <t>T</t>
    <phoneticPr fontId="4"/>
  </si>
  <si>
    <t>※　O－R</t>
    <phoneticPr fontId="4"/>
  </si>
  <si>
    <t>S</t>
    <phoneticPr fontId="4"/>
  </si>
  <si>
    <t>課税仕入れ等の税額－特定収入に係る課税仕入れ等の税額</t>
    <phoneticPr fontId="4"/>
  </si>
  <si>
    <t>※　P×Q</t>
    <phoneticPr fontId="4"/>
  </si>
  <si>
    <t>R</t>
    <phoneticPr fontId="4"/>
  </si>
  <si>
    <t>Q</t>
    <phoneticPr fontId="4"/>
  </si>
  <si>
    <t>※　N×4/105</t>
    <phoneticPr fontId="4"/>
  </si>
  <si>
    <t>P</t>
    <phoneticPr fontId="4"/>
  </si>
  <si>
    <t>O</t>
    <phoneticPr fontId="4"/>
  </si>
  <si>
    <t>免税売上額</t>
    <phoneticPr fontId="4"/>
  </si>
  <si>
    <t>※　A×100/105</t>
    <phoneticPr fontId="4"/>
  </si>
  <si>
    <t>N</t>
    <phoneticPr fontId="4"/>
  </si>
  <si>
    <t>※　E×4%</t>
    <phoneticPr fontId="4"/>
  </si>
  <si>
    <t>※　（A－B）×100/105　　1,000円未満切捨</t>
    <phoneticPr fontId="4"/>
  </si>
  <si>
    <t>※　（A－B－C）×100/105</t>
    <phoneticPr fontId="4"/>
  </si>
  <si>
    <t>※　Y×6.3/108</t>
    <phoneticPr fontId="4"/>
  </si>
  <si>
    <t>※　C×6.3/108</t>
    <phoneticPr fontId="4"/>
  </si>
  <si>
    <t>※　N×6.3/108</t>
    <phoneticPr fontId="4"/>
  </si>
  <si>
    <t>課税仕入れに係る特定収入×6.3/108</t>
    <rPh sb="0" eb="2">
      <t>カゼイ</t>
    </rPh>
    <rPh sb="2" eb="4">
      <t>シイ</t>
    </rPh>
    <rPh sb="6" eb="7">
      <t>カカ</t>
    </rPh>
    <rPh sb="8" eb="10">
      <t>トクテイ</t>
    </rPh>
    <rPh sb="10" eb="12">
      <t>シュウニュウ</t>
    </rPh>
    <phoneticPr fontId="4"/>
  </si>
  <si>
    <t>※　A×100/108</t>
    <phoneticPr fontId="4"/>
  </si>
  <si>
    <t>※　E×6.3%</t>
    <phoneticPr fontId="4"/>
  </si>
  <si>
    <t>※　（A－B）×100/108　　1,000円未満切捨</t>
    <phoneticPr fontId="4"/>
  </si>
  <si>
    <t>※　（A－B－C）×100/108</t>
    <phoneticPr fontId="4"/>
  </si>
  <si>
    <t>申告書26</t>
    <phoneticPr fontId="4"/>
  </si>
  <si>
    <t>※　AD＋AG</t>
    <phoneticPr fontId="4"/>
  </si>
  <si>
    <t>消費税及び地方消費税の合計納付税額</t>
    <phoneticPr fontId="4"/>
  </si>
  <si>
    <t>申告書22</t>
    <phoneticPr fontId="4"/>
  </si>
  <si>
    <t>※ マイナスの場合は申告書23</t>
    <rPh sb="7" eb="9">
      <t>バアイ</t>
    </rPh>
    <rPh sb="10" eb="13">
      <t>シンコクショ</t>
    </rPh>
    <phoneticPr fontId="4"/>
  </si>
  <si>
    <t>※　AE－AF</t>
    <phoneticPr fontId="4"/>
  </si>
  <si>
    <t>AG</t>
    <phoneticPr fontId="4"/>
  </si>
  <si>
    <t>納付税額</t>
    <rPh sb="0" eb="2">
      <t>ノウフ</t>
    </rPh>
    <rPh sb="2" eb="4">
      <t>ゼイガク</t>
    </rPh>
    <phoneticPr fontId="4"/>
  </si>
  <si>
    <t>申告書21</t>
    <phoneticPr fontId="4"/>
  </si>
  <si>
    <t>※ 中間納付のうち、地方消費税分</t>
    <rPh sb="2" eb="4">
      <t>チュウカン</t>
    </rPh>
    <rPh sb="4" eb="6">
      <t>ノウフ</t>
    </rPh>
    <rPh sb="10" eb="12">
      <t>チホウ</t>
    </rPh>
    <rPh sb="12" eb="15">
      <t>ショウヒゼイ</t>
    </rPh>
    <rPh sb="15" eb="16">
      <t>ブン</t>
    </rPh>
    <phoneticPr fontId="4"/>
  </si>
  <si>
    <t>AF</t>
    <phoneticPr fontId="4"/>
  </si>
  <si>
    <t>中間納付税額</t>
    <rPh sb="0" eb="2">
      <t>チュウカン</t>
    </rPh>
    <rPh sb="2" eb="4">
      <t>ノウフ</t>
    </rPh>
    <rPh sb="4" eb="6">
      <t>ゼイガク</t>
    </rPh>
    <phoneticPr fontId="4"/>
  </si>
  <si>
    <t>申告書⑳</t>
    <phoneticPr fontId="4"/>
  </si>
  <si>
    <t>AE</t>
    <phoneticPr fontId="4"/>
  </si>
  <si>
    <t>申告書⑱</t>
    <phoneticPr fontId="4"/>
  </si>
  <si>
    <t>申告書⑪</t>
    <phoneticPr fontId="4"/>
  </si>
  <si>
    <t>※ マイナスの場合は申告書⑫</t>
    <rPh sb="7" eb="9">
      <t>バアイ</t>
    </rPh>
    <rPh sb="10" eb="13">
      <t>シンコクショ</t>
    </rPh>
    <phoneticPr fontId="4"/>
  </si>
  <si>
    <t>※　AB－AC</t>
    <phoneticPr fontId="4"/>
  </si>
  <si>
    <t>AD</t>
    <phoneticPr fontId="4"/>
  </si>
  <si>
    <t>申告書⑩</t>
    <phoneticPr fontId="4"/>
  </si>
  <si>
    <t>※ 中間納付のうち、地方消費税分は含まない</t>
    <rPh sb="2" eb="4">
      <t>チュウカン</t>
    </rPh>
    <rPh sb="4" eb="6">
      <t>ノウフ</t>
    </rPh>
    <rPh sb="10" eb="12">
      <t>チホウ</t>
    </rPh>
    <rPh sb="12" eb="15">
      <t>ショウヒゼイ</t>
    </rPh>
    <rPh sb="15" eb="16">
      <t>ブン</t>
    </rPh>
    <rPh sb="17" eb="18">
      <t>フク</t>
    </rPh>
    <phoneticPr fontId="4"/>
  </si>
  <si>
    <t>AC</t>
    <phoneticPr fontId="4"/>
  </si>
  <si>
    <t>申告書⑨</t>
    <phoneticPr fontId="4"/>
  </si>
  <si>
    <t>AB</t>
    <phoneticPr fontId="4"/>
  </si>
  <si>
    <t>申告書⑦</t>
    <phoneticPr fontId="4"/>
  </si>
  <si>
    <t>AA</t>
    <phoneticPr fontId="4"/>
  </si>
  <si>
    <t>申告書⑥</t>
    <phoneticPr fontId="4"/>
  </si>
  <si>
    <t>Z</t>
    <phoneticPr fontId="4"/>
  </si>
  <si>
    <t>Y.</t>
    <phoneticPr fontId="4"/>
  </si>
  <si>
    <t>申告書⑤</t>
    <phoneticPr fontId="4"/>
  </si>
  <si>
    <t>X</t>
    <phoneticPr fontId="4"/>
  </si>
  <si>
    <t>※　O－V</t>
    <phoneticPr fontId="4"/>
  </si>
  <si>
    <t>W</t>
    <phoneticPr fontId="4"/>
  </si>
  <si>
    <t>※　R＋U</t>
    <phoneticPr fontId="4"/>
  </si>
  <si>
    <t>V</t>
    <phoneticPr fontId="4"/>
  </si>
  <si>
    <t>※　S×T</t>
    <phoneticPr fontId="4"/>
  </si>
  <si>
    <t>U</t>
    <phoneticPr fontId="4"/>
  </si>
  <si>
    <t>※　資産の譲渡等の対価の額</t>
    <phoneticPr fontId="4"/>
  </si>
  <si>
    <t>計算表５⑨</t>
    <phoneticPr fontId="4"/>
  </si>
  <si>
    <t>※　使途不特定の特定収入はないので、ゼロ</t>
    <rPh sb="2" eb="4">
      <t>シト</t>
    </rPh>
    <rPh sb="4" eb="7">
      <t>フトクテイ</t>
    </rPh>
    <rPh sb="8" eb="10">
      <t>トクテイ</t>
    </rPh>
    <rPh sb="10" eb="12">
      <t>シュウニュウ</t>
    </rPh>
    <phoneticPr fontId="4"/>
  </si>
  <si>
    <t>T</t>
    <phoneticPr fontId="4"/>
  </si>
  <si>
    <t>※　O－R</t>
    <phoneticPr fontId="4"/>
  </si>
  <si>
    <t>S</t>
    <phoneticPr fontId="4"/>
  </si>
  <si>
    <t>課税仕入れ等の税額－特定収入に係る課税仕入れ等の税額</t>
    <phoneticPr fontId="4"/>
  </si>
  <si>
    <t>R</t>
    <phoneticPr fontId="4"/>
  </si>
  <si>
    <t>※　Jの額</t>
    <rPh sb="4" eb="5">
      <t>ガク</t>
    </rPh>
    <phoneticPr fontId="4"/>
  </si>
  <si>
    <t>計算表５⑥</t>
    <phoneticPr fontId="4"/>
  </si>
  <si>
    <t>※　Hの額</t>
    <rPh sb="4" eb="5">
      <t>ガク</t>
    </rPh>
    <phoneticPr fontId="4"/>
  </si>
  <si>
    <t>Q</t>
    <phoneticPr fontId="4"/>
  </si>
  <si>
    <t>P</t>
    <phoneticPr fontId="4"/>
  </si>
  <si>
    <t>O</t>
    <phoneticPr fontId="4"/>
  </si>
  <si>
    <t>小数第4位以下切上げ（「国、地方公共団体等と消費税（H25.6）P.50）</t>
    <phoneticPr fontId="4"/>
  </si>
  <si>
    <t>※　N/(N+資産の譲渡等の対価の額)</t>
    <phoneticPr fontId="4"/>
  </si>
  <si>
    <t>※　Iの額</t>
    <rPh sb="4" eb="5">
      <t>ガク</t>
    </rPh>
    <phoneticPr fontId="4"/>
  </si>
  <si>
    <t xml:space="preserve"> 資産の譲渡等の対価の額</t>
    <rPh sb="1" eb="3">
      <t>シサン</t>
    </rPh>
    <rPh sb="4" eb="6">
      <t>ジョウト</t>
    </rPh>
    <rPh sb="6" eb="7">
      <t>トウ</t>
    </rPh>
    <rPh sb="8" eb="10">
      <t>タイカ</t>
    </rPh>
    <rPh sb="11" eb="12">
      <t>ガク</t>
    </rPh>
    <phoneticPr fontId="4"/>
  </si>
  <si>
    <t>※　Gの額</t>
    <rPh sb="4" eb="5">
      <t>ガク</t>
    </rPh>
    <phoneticPr fontId="4"/>
  </si>
  <si>
    <t>※　5%分＋8%分</t>
    <rPh sb="4" eb="5">
      <t>ブン</t>
    </rPh>
    <rPh sb="8" eb="9">
      <t>ブン</t>
    </rPh>
    <phoneticPr fontId="4"/>
  </si>
  <si>
    <t>N</t>
    <phoneticPr fontId="4"/>
  </si>
  <si>
    <t>税務署提出書類「資産の譲渡等の対価以外の収入の使途について」</t>
    <rPh sb="0" eb="3">
      <t>ゼイムショ</t>
    </rPh>
    <rPh sb="3" eb="5">
      <t>テイシュツ</t>
    </rPh>
    <rPh sb="5" eb="7">
      <t>ショルイ</t>
    </rPh>
    <phoneticPr fontId="4"/>
  </si>
  <si>
    <t>付表２⑨⑭</t>
    <rPh sb="0" eb="2">
      <t>フヒョウ</t>
    </rPh>
    <phoneticPr fontId="4"/>
  </si>
  <si>
    <t>付表２④/⑦</t>
    <rPh sb="0" eb="2">
      <t>フヒョウ</t>
    </rPh>
    <phoneticPr fontId="4"/>
  </si>
  <si>
    <t>【付表２記載値】</t>
    <rPh sb="1" eb="3">
      <t>フヒョウ</t>
    </rPh>
    <rPh sb="4" eb="6">
      <t>キサイ</t>
    </rPh>
    <rPh sb="6" eb="7">
      <t>アタイ</t>
    </rPh>
    <phoneticPr fontId="4"/>
  </si>
  <si>
    <t>※　H/J　端数切捨て</t>
    <rPh sb="6" eb="8">
      <t>ハスウ</t>
    </rPh>
    <rPh sb="8" eb="10">
      <t>キリス</t>
    </rPh>
    <phoneticPr fontId="4"/>
  </si>
  <si>
    <t>【課税売上割合の分母】</t>
    <rPh sb="8" eb="10">
      <t>ブンボ</t>
    </rPh>
    <phoneticPr fontId="4"/>
  </si>
  <si>
    <t>※　H＋I</t>
    <phoneticPr fontId="4"/>
  </si>
  <si>
    <t>J</t>
    <phoneticPr fontId="4"/>
  </si>
  <si>
    <t>付表２⑥</t>
    <rPh sb="0" eb="2">
      <t>フヒョウ</t>
    </rPh>
    <phoneticPr fontId="4"/>
  </si>
  <si>
    <t>I</t>
    <phoneticPr fontId="4"/>
  </si>
  <si>
    <t>申告書⑮
付表２④⑤</t>
    <phoneticPr fontId="4"/>
  </si>
  <si>
    <t>【課税売上割合の分子】</t>
    <phoneticPr fontId="4"/>
  </si>
  <si>
    <t>※　D＋G</t>
    <phoneticPr fontId="4"/>
  </si>
  <si>
    <t>H</t>
    <phoneticPr fontId="4"/>
  </si>
  <si>
    <t>付表２②</t>
    <rPh sb="0" eb="2">
      <t>フヒョウ</t>
    </rPh>
    <phoneticPr fontId="4"/>
  </si>
  <si>
    <t>※　管理課資料、「決算総括表」より</t>
    <rPh sb="2" eb="5">
      <t>カンリカ</t>
    </rPh>
    <rPh sb="5" eb="7">
      <t>シリョウ</t>
    </rPh>
    <phoneticPr fontId="4"/>
  </si>
  <si>
    <t>G</t>
    <phoneticPr fontId="4"/>
  </si>
  <si>
    <t>免税売上額</t>
    <phoneticPr fontId="4"/>
  </si>
  <si>
    <t>※　Dの額</t>
    <rPh sb="4" eb="5">
      <t>ガク</t>
    </rPh>
    <phoneticPr fontId="4"/>
  </si>
  <si>
    <t>申告書②</t>
    <rPh sb="0" eb="3">
      <t>シンコクショ</t>
    </rPh>
    <phoneticPr fontId="4"/>
  </si>
  <si>
    <t>F</t>
    <phoneticPr fontId="4"/>
  </si>
  <si>
    <t>申告書①</t>
    <rPh sb="0" eb="3">
      <t>シンコクショ</t>
    </rPh>
    <phoneticPr fontId="4"/>
  </si>
  <si>
    <t>E</t>
    <phoneticPr fontId="4"/>
  </si>
  <si>
    <t>D</t>
    <phoneticPr fontId="4"/>
  </si>
  <si>
    <t>C</t>
    <phoneticPr fontId="4"/>
  </si>
  <si>
    <t>B</t>
    <phoneticPr fontId="4"/>
  </si>
  <si>
    <t>A</t>
    <phoneticPr fontId="4"/>
  </si>
  <si>
    <t>→</t>
    <phoneticPr fontId="4"/>
  </si>
  <si>
    <t>貸倒れに係る金額（8%）</t>
    <phoneticPr fontId="4"/>
  </si>
  <si>
    <t>→</t>
    <phoneticPr fontId="4"/>
  </si>
  <si>
    <t>貸倒れに係る金額（5%）</t>
    <phoneticPr fontId="4"/>
  </si>
  <si>
    <t>貸倒れに係る金額（3%）</t>
    <phoneticPr fontId="4"/>
  </si>
  <si>
    <t>売上対価の返還等の額（8%）</t>
    <phoneticPr fontId="4"/>
  </si>
  <si>
    <t>売上対価の返還等の額（5%）</t>
    <phoneticPr fontId="4"/>
  </si>
  <si>
    <t>売上対価の返還等の額（3%）</t>
    <phoneticPr fontId="4"/>
  </si>
  <si>
    <t>仕入対価の返還等の額（8%）</t>
    <rPh sb="0" eb="2">
      <t>シイレ</t>
    </rPh>
    <rPh sb="2" eb="4">
      <t>タイカ</t>
    </rPh>
    <rPh sb="5" eb="7">
      <t>ヘンカン</t>
    </rPh>
    <rPh sb="7" eb="8">
      <t>トウ</t>
    </rPh>
    <rPh sb="9" eb="10">
      <t>ガク</t>
    </rPh>
    <phoneticPr fontId="4"/>
  </si>
  <si>
    <t>仕入対価の返還等の額（5%）</t>
    <rPh sb="0" eb="2">
      <t>シイレ</t>
    </rPh>
    <rPh sb="2" eb="4">
      <t>タイカ</t>
    </rPh>
    <rPh sb="5" eb="7">
      <t>ヘンカン</t>
    </rPh>
    <rPh sb="7" eb="8">
      <t>トウ</t>
    </rPh>
    <rPh sb="9" eb="10">
      <t>ガク</t>
    </rPh>
    <phoneticPr fontId="4"/>
  </si>
  <si>
    <t>仕入対価の返還等の額（3%）</t>
    <rPh sb="0" eb="2">
      <t>シイレ</t>
    </rPh>
    <rPh sb="2" eb="4">
      <t>タイカ</t>
    </rPh>
    <rPh sb="5" eb="7">
      <t>ヘンカン</t>
    </rPh>
    <rPh sb="7" eb="8">
      <t>トウ</t>
    </rPh>
    <rPh sb="9" eb="10">
      <t>ガク</t>
    </rPh>
    <phoneticPr fontId="4"/>
  </si>
  <si>
    <t>税額</t>
    <rPh sb="0" eb="2">
      <t>ゼイガク</t>
    </rPh>
    <phoneticPr fontId="4"/>
  </si>
  <si>
    <t>税抜</t>
    <rPh sb="0" eb="2">
      <t>ゼイヌキ</t>
    </rPh>
    <phoneticPr fontId="4"/>
  </si>
  <si>
    <t>税込</t>
    <rPh sb="0" eb="2">
      <t>ゼイコミ</t>
    </rPh>
    <phoneticPr fontId="4"/>
  </si>
  <si>
    <t>※ 仮払消費税から控除するもの　内訳</t>
    <rPh sb="2" eb="4">
      <t>カリバライ</t>
    </rPh>
    <rPh sb="4" eb="7">
      <t>ショウヒゼイ</t>
    </rPh>
    <phoneticPr fontId="4"/>
  </si>
  <si>
    <t>※ 課税売上から控除するもの　内訳</t>
    <rPh sb="15" eb="17">
      <t>ウチワケ</t>
    </rPh>
    <phoneticPr fontId="4"/>
  </si>
  <si>
    <t>資産の譲渡等の対価の額（課税売上（税抜）+免税売上+非課税売上）</t>
    <rPh sb="0" eb="2">
      <t>シサン</t>
    </rPh>
    <rPh sb="3" eb="5">
      <t>ジョウト</t>
    </rPh>
    <rPh sb="5" eb="6">
      <t>トウ</t>
    </rPh>
    <rPh sb="7" eb="9">
      <t>タイカ</t>
    </rPh>
    <rPh sb="10" eb="11">
      <t>ガク</t>
    </rPh>
    <rPh sb="12" eb="14">
      <t>カゼイ</t>
    </rPh>
    <rPh sb="14" eb="16">
      <t>ウリアゲ</t>
    </rPh>
    <rPh sb="17" eb="18">
      <t>ゼイ</t>
    </rPh>
    <rPh sb="18" eb="19">
      <t>ヌ</t>
    </rPh>
    <rPh sb="21" eb="23">
      <t>メンゼイ</t>
    </rPh>
    <rPh sb="23" eb="24">
      <t>ウ</t>
    </rPh>
    <rPh sb="24" eb="25">
      <t>ア</t>
    </rPh>
    <rPh sb="26" eb="29">
      <t>ヒカゼイ</t>
    </rPh>
    <rPh sb="29" eb="31">
      <t>ウリアゲ</t>
    </rPh>
    <phoneticPr fontId="4"/>
  </si>
  <si>
    <t>課税資産の譲渡等の対価の額（課税売上（税抜）+免税売上）</t>
    <rPh sb="0" eb="2">
      <t>カゼイ</t>
    </rPh>
    <rPh sb="2" eb="4">
      <t>シサン</t>
    </rPh>
    <rPh sb="5" eb="7">
      <t>ジョウト</t>
    </rPh>
    <rPh sb="7" eb="8">
      <t>トウ</t>
    </rPh>
    <rPh sb="9" eb="11">
      <t>タイカ</t>
    </rPh>
    <rPh sb="12" eb="13">
      <t>ガク</t>
    </rPh>
    <rPh sb="14" eb="16">
      <t>カゼイ</t>
    </rPh>
    <rPh sb="16" eb="18">
      <t>ウリアゲ</t>
    </rPh>
    <rPh sb="19" eb="20">
      <t>ゼイ</t>
    </rPh>
    <rPh sb="20" eb="21">
      <t>ヌ</t>
    </rPh>
    <rPh sb="23" eb="25">
      <t>メンゼイ</t>
    </rPh>
    <rPh sb="25" eb="26">
      <t>ウ</t>
    </rPh>
    <rPh sb="26" eb="27">
      <t>ア</t>
    </rPh>
    <phoneticPr fontId="4"/>
  </si>
  <si>
    <r>
      <t>課税売上割合</t>
    </r>
    <r>
      <rPr>
        <sz val="11"/>
        <rFont val="ＭＳ Ｐゴシック"/>
        <family val="3"/>
        <charset val="128"/>
      </rPr>
      <t>｛(a-b-ｱ)+(d-e)｝／｛(a-b-ｱ+c)+(d-e+f)｝</t>
    </r>
    <phoneticPr fontId="4"/>
  </si>
  <si>
    <t>免税額</t>
    <rPh sb="0" eb="2">
      <t>メンゼイ</t>
    </rPh>
    <rPh sb="2" eb="3">
      <t>ガク</t>
    </rPh>
    <phoneticPr fontId="4"/>
  </si>
  <si>
    <t>４条非課税収入額　(f)</t>
    <phoneticPr fontId="4"/>
  </si>
  <si>
    <t>４条仮受消費税額　(e)</t>
    <phoneticPr fontId="4"/>
  </si>
  <si>
    <t>４条課税売上額　(d)</t>
    <phoneticPr fontId="4"/>
  </si>
  <si>
    <t>３条非課税収入額　(ｃ)</t>
    <rPh sb="1" eb="2">
      <t>ジョウ</t>
    </rPh>
    <rPh sb="2" eb="3">
      <t>ヒ</t>
    </rPh>
    <rPh sb="3" eb="5">
      <t>カゼイ</t>
    </rPh>
    <rPh sb="5" eb="7">
      <t>シュウニュウ</t>
    </rPh>
    <rPh sb="7" eb="8">
      <t>ガク</t>
    </rPh>
    <phoneticPr fontId="4"/>
  </si>
  <si>
    <t>差</t>
    <rPh sb="0" eb="1">
      <t>サ</t>
    </rPh>
    <phoneticPr fontId="4"/>
  </si>
  <si>
    <t>課税売上から控除するもの　(ｱ)</t>
    <phoneticPr fontId="4"/>
  </si>
  <si>
    <t>３条仮受消費税額　(b)</t>
    <phoneticPr fontId="4"/>
  </si>
  <si>
    <t>３条課税売上額　(a)</t>
    <phoneticPr fontId="4"/>
  </si>
  <si>
    <t>差引き</t>
    <rPh sb="0" eb="2">
      <t>サシヒ</t>
    </rPh>
    <phoneticPr fontId="4"/>
  </si>
  <si>
    <t>決算計上消費税額</t>
    <rPh sb="0" eb="2">
      <t>ケッサン</t>
    </rPh>
    <rPh sb="2" eb="4">
      <t>ケイジョウ</t>
    </rPh>
    <rPh sb="4" eb="7">
      <t>シ</t>
    </rPh>
    <rPh sb="7" eb="8">
      <t>ガク</t>
    </rPh>
    <phoneticPr fontId="4"/>
  </si>
  <si>
    <t>ｱ+ｲ</t>
    <phoneticPr fontId="4"/>
  </si>
  <si>
    <t>下水道事業会計消費税納付額</t>
    <rPh sb="0" eb="5">
      <t>ゲ</t>
    </rPh>
    <rPh sb="5" eb="7">
      <t>カイケイ</t>
    </rPh>
    <rPh sb="7" eb="10">
      <t>シ</t>
    </rPh>
    <rPh sb="10" eb="13">
      <t>ノウフガク</t>
    </rPh>
    <phoneticPr fontId="4"/>
  </si>
  <si>
    <t>ｲ=①'－⑥'</t>
    <phoneticPr fontId="4"/>
  </si>
  <si>
    <t>４条で納付すべき消費税（資本的収支調整額）</t>
    <rPh sb="1" eb="2">
      <t>ジョウ</t>
    </rPh>
    <rPh sb="3" eb="5">
      <t>ノウフ</t>
    </rPh>
    <rPh sb="8" eb="11">
      <t>ショウヒゼイ</t>
    </rPh>
    <rPh sb="12" eb="15">
      <t>シホンテキ</t>
    </rPh>
    <rPh sb="15" eb="17">
      <t>シュウシ</t>
    </rPh>
    <rPh sb="17" eb="19">
      <t>チョウセイ</t>
    </rPh>
    <rPh sb="19" eb="20">
      <t>ガク</t>
    </rPh>
    <phoneticPr fontId="4"/>
  </si>
  <si>
    <t>⑥'</t>
    <phoneticPr fontId="4"/>
  </si>
  <si>
    <t>仕入控除税額（③'－⑤'）</t>
    <phoneticPr fontId="4"/>
  </si>
  <si>
    <t>⑤'</t>
    <phoneticPr fontId="4"/>
  </si>
  <si>
    <t>特定収入に係る課税仕入の額（④'×課税売上割合）</t>
    <rPh sb="0" eb="2">
      <t>トクテイ</t>
    </rPh>
    <rPh sb="2" eb="4">
      <t>シュウニュウ</t>
    </rPh>
    <rPh sb="5" eb="6">
      <t>カカ</t>
    </rPh>
    <rPh sb="7" eb="9">
      <t>カゼイ</t>
    </rPh>
    <rPh sb="9" eb="11">
      <t>シイレ</t>
    </rPh>
    <rPh sb="12" eb="13">
      <t>ガク</t>
    </rPh>
    <phoneticPr fontId="4"/>
  </si>
  <si>
    <t>④'</t>
    <phoneticPr fontId="4"/>
  </si>
  <si>
    <t>４条の控除不可消費税</t>
    <rPh sb="1" eb="2">
      <t>ジョウ</t>
    </rPh>
    <rPh sb="3" eb="5">
      <t>コウジョ</t>
    </rPh>
    <rPh sb="5" eb="7">
      <t>フカ</t>
    </rPh>
    <rPh sb="7" eb="10">
      <t>シ</t>
    </rPh>
    <phoneticPr fontId="4"/>
  </si>
  <si>
    <t>③'</t>
    <phoneticPr fontId="4"/>
  </si>
  <si>
    <t>課税仕入等の税額（②'×課税売上割合）</t>
    <rPh sb="0" eb="2">
      <t>カゼイ</t>
    </rPh>
    <rPh sb="2" eb="4">
      <t>シイレ</t>
    </rPh>
    <rPh sb="4" eb="5">
      <t>トウ</t>
    </rPh>
    <rPh sb="6" eb="8">
      <t>ゼイガク</t>
    </rPh>
    <phoneticPr fontId="4"/>
  </si>
  <si>
    <t>②'</t>
    <phoneticPr fontId="4"/>
  </si>
  <si>
    <t>４条仮払消費税</t>
    <rPh sb="1" eb="2">
      <t>ジョウ</t>
    </rPh>
    <rPh sb="2" eb="3">
      <t>カリ</t>
    </rPh>
    <rPh sb="3" eb="4">
      <t>ハラ</t>
    </rPh>
    <rPh sb="4" eb="7">
      <t>シ</t>
    </rPh>
    <phoneticPr fontId="4"/>
  </si>
  <si>
    <t>４条税抜き支出額</t>
    <rPh sb="1" eb="2">
      <t>ジョウ</t>
    </rPh>
    <rPh sb="2" eb="3">
      <t>ゼイ</t>
    </rPh>
    <rPh sb="3" eb="4">
      <t>ヌ</t>
    </rPh>
    <rPh sb="5" eb="7">
      <t>シシュツ</t>
    </rPh>
    <rPh sb="7" eb="8">
      <t>ガク</t>
    </rPh>
    <phoneticPr fontId="4"/>
  </si>
  <si>
    <t>４条税込み支出額</t>
    <rPh sb="1" eb="2">
      <t>ジョウ</t>
    </rPh>
    <rPh sb="2" eb="4">
      <t>ゼイコ</t>
    </rPh>
    <rPh sb="5" eb="7">
      <t>シシュツ</t>
    </rPh>
    <rPh sb="7" eb="8">
      <t>ガク</t>
    </rPh>
    <phoneticPr fontId="4"/>
  </si>
  <si>
    <t>課税売上割合を乗じることにより控除できなくなった額
　⑦'=②'-③'-（④'-⑤'）</t>
    <phoneticPr fontId="4"/>
  </si>
  <si>
    <t>①'</t>
    <phoneticPr fontId="4"/>
  </si>
  <si>
    <t>４条仮受消費税</t>
    <rPh sb="1" eb="2">
      <t>ジョウ</t>
    </rPh>
    <rPh sb="2" eb="3">
      <t>カリ</t>
    </rPh>
    <rPh sb="3" eb="4">
      <t>ウ</t>
    </rPh>
    <rPh sb="4" eb="7">
      <t>シ</t>
    </rPh>
    <phoneticPr fontId="4"/>
  </si>
  <si>
    <t>４条税抜き収入額</t>
    <rPh sb="1" eb="2">
      <t>ジョウ</t>
    </rPh>
    <rPh sb="2" eb="3">
      <t>ゼイ</t>
    </rPh>
    <rPh sb="3" eb="4">
      <t>ヌ</t>
    </rPh>
    <rPh sb="5" eb="7">
      <t>シ</t>
    </rPh>
    <rPh sb="7" eb="8">
      <t>ガク</t>
    </rPh>
    <phoneticPr fontId="4"/>
  </si>
  <si>
    <t>４条税込み収入額</t>
    <rPh sb="1" eb="2">
      <t>ジョウ</t>
    </rPh>
    <rPh sb="2" eb="4">
      <t>ゼイコ</t>
    </rPh>
    <rPh sb="5" eb="7">
      <t>シ</t>
    </rPh>
    <rPh sb="7" eb="8">
      <t>ガク</t>
    </rPh>
    <phoneticPr fontId="4"/>
  </si>
  <si>
    <t>ｱ=①－⑥</t>
    <phoneticPr fontId="4"/>
  </si>
  <si>
    <t>３条で納付すべき消費税</t>
    <rPh sb="1" eb="2">
      <t>ジョウ</t>
    </rPh>
    <rPh sb="3" eb="5">
      <t>ノウフ</t>
    </rPh>
    <rPh sb="8" eb="11">
      <t>シ</t>
    </rPh>
    <phoneticPr fontId="4"/>
  </si>
  <si>
    <t>⑥</t>
    <phoneticPr fontId="4"/>
  </si>
  <si>
    <t>仕入控除税額（③－⑤＋E）</t>
    <phoneticPr fontId="4"/>
  </si>
  <si>
    <t>E</t>
    <phoneticPr fontId="4"/>
  </si>
  <si>
    <t>返還等対価、貸倒れに係る税額</t>
    <phoneticPr fontId="4"/>
  </si>
  <si>
    <t>⑤</t>
    <phoneticPr fontId="4"/>
  </si>
  <si>
    <t>特定収入に係る課税仕入の額（④×課税売上割合）</t>
    <rPh sb="0" eb="2">
      <t>トクテイ</t>
    </rPh>
    <rPh sb="2" eb="4">
      <t>シュウニュウ</t>
    </rPh>
    <rPh sb="5" eb="6">
      <t>カカ</t>
    </rPh>
    <rPh sb="7" eb="9">
      <t>カゼイ</t>
    </rPh>
    <rPh sb="9" eb="11">
      <t>シイレ</t>
    </rPh>
    <rPh sb="12" eb="13">
      <t>ガク</t>
    </rPh>
    <phoneticPr fontId="4"/>
  </si>
  <si>
    <t>④</t>
    <phoneticPr fontId="4"/>
  </si>
  <si>
    <t>３条の控除不可消費税（雑支出）</t>
    <rPh sb="1" eb="2">
      <t>ジョウ</t>
    </rPh>
    <rPh sb="11" eb="12">
      <t>ザツ</t>
    </rPh>
    <rPh sb="12" eb="14">
      <t>シシュツ</t>
    </rPh>
    <phoneticPr fontId="4"/>
  </si>
  <si>
    <t>③</t>
    <phoneticPr fontId="4"/>
  </si>
  <si>
    <t>課税仕入等の税額（②×課税売上割合）</t>
    <rPh sb="0" eb="2">
      <t>カゼイ</t>
    </rPh>
    <rPh sb="2" eb="4">
      <t>シイレ</t>
    </rPh>
    <rPh sb="4" eb="5">
      <t>トウ</t>
    </rPh>
    <rPh sb="6" eb="8">
      <t>ゼイガク</t>
    </rPh>
    <phoneticPr fontId="4"/>
  </si>
  <si>
    <t>②=C-D</t>
    <phoneticPr fontId="4"/>
  </si>
  <si>
    <t>課税仕入れに係る消費税額（控除後）</t>
    <rPh sb="13" eb="15">
      <t>コウジョ</t>
    </rPh>
    <rPh sb="15" eb="16">
      <t>ゴ</t>
    </rPh>
    <phoneticPr fontId="4"/>
  </si>
  <si>
    <t>返還等対価、貸倒れに係る税額</t>
    <phoneticPr fontId="4"/>
  </si>
  <si>
    <t>課税仕入れから控除する税額</t>
    <rPh sb="11" eb="13">
      <t>ゼイガク</t>
    </rPh>
    <phoneticPr fontId="4"/>
  </si>
  <si>
    <t>３条仮払消費税（控除前）</t>
    <rPh sb="1" eb="2">
      <t>ジョウ</t>
    </rPh>
    <rPh sb="2" eb="3">
      <t>カリ</t>
    </rPh>
    <rPh sb="3" eb="4">
      <t>ハラ</t>
    </rPh>
    <rPh sb="4" eb="7">
      <t>シ</t>
    </rPh>
    <phoneticPr fontId="4"/>
  </si>
  <si>
    <t>３条税抜き支出額（消費税雑支出除く。）</t>
    <rPh sb="1" eb="2">
      <t>ジョウ</t>
    </rPh>
    <rPh sb="2" eb="3">
      <t>ゼイ</t>
    </rPh>
    <rPh sb="3" eb="4">
      <t>ヌ</t>
    </rPh>
    <rPh sb="5" eb="7">
      <t>シシュツ</t>
    </rPh>
    <rPh sb="7" eb="8">
      <t>ガク</t>
    </rPh>
    <phoneticPr fontId="4"/>
  </si>
  <si>
    <t>課税売上割合を乗じることにより控除できなくなった額
　⑦=②-③-（④-⑤）</t>
    <phoneticPr fontId="4"/>
  </si>
  <si>
    <t>３条税込み支出額（消費税除く。）</t>
    <rPh sb="1" eb="2">
      <t>ジョウ</t>
    </rPh>
    <rPh sb="2" eb="4">
      <t>ゼイコ</t>
    </rPh>
    <rPh sb="5" eb="7">
      <t>シシュツ</t>
    </rPh>
    <rPh sb="7" eb="8">
      <t>ガク</t>
    </rPh>
    <rPh sb="9" eb="12">
      <t>シ</t>
    </rPh>
    <rPh sb="12" eb="13">
      <t>ノゾ</t>
    </rPh>
    <phoneticPr fontId="4"/>
  </si>
  <si>
    <t>仮払消費税からの控除</t>
    <rPh sb="8" eb="10">
      <t>コウジョ</t>
    </rPh>
    <phoneticPr fontId="4"/>
  </si>
  <si>
    <t>①=A-B</t>
    <phoneticPr fontId="4"/>
  </si>
  <si>
    <t>仮受消費税からの控除</t>
    <rPh sb="8" eb="10">
      <t>コウジョ</t>
    </rPh>
    <phoneticPr fontId="4"/>
  </si>
  <si>
    <t>B</t>
    <phoneticPr fontId="4"/>
  </si>
  <si>
    <t>課税標準額から控除するものに係る税額</t>
    <rPh sb="14" eb="15">
      <t>カカ</t>
    </rPh>
    <rPh sb="16" eb="18">
      <t>ゼイガク</t>
    </rPh>
    <phoneticPr fontId="4"/>
  </si>
  <si>
    <t>特定収入に係る課税仕入れ等の税額</t>
    <phoneticPr fontId="4"/>
  </si>
  <si>
    <t>A</t>
    <phoneticPr fontId="4"/>
  </si>
  <si>
    <t>３条仮受消費税（控除前課税標準額）</t>
    <rPh sb="1" eb="2">
      <t>ジョウ</t>
    </rPh>
    <rPh sb="2" eb="3">
      <t>カリ</t>
    </rPh>
    <rPh sb="3" eb="4">
      <t>ウ</t>
    </rPh>
    <rPh sb="4" eb="7">
      <t>シ</t>
    </rPh>
    <rPh sb="8" eb="10">
      <t>コウジョ</t>
    </rPh>
    <rPh sb="10" eb="11">
      <t>マエ</t>
    </rPh>
    <rPh sb="11" eb="13">
      <t>カゼイ</t>
    </rPh>
    <rPh sb="13" eb="15">
      <t>ヒョウジュン</t>
    </rPh>
    <rPh sb="15" eb="16">
      <t>ガク</t>
    </rPh>
    <phoneticPr fontId="4"/>
  </si>
  <si>
    <t>雑収益計上</t>
    <rPh sb="0" eb="1">
      <t>ザツ</t>
    </rPh>
    <rPh sb="1" eb="3">
      <t>シュウエキ</t>
    </rPh>
    <rPh sb="3" eb="5">
      <t>ケイジョウ</t>
    </rPh>
    <phoneticPr fontId="4"/>
  </si>
  <si>
    <t>雑支出計上</t>
    <rPh sb="0" eb="1">
      <t>ザツ</t>
    </rPh>
    <rPh sb="1" eb="3">
      <t>シシュツ</t>
    </rPh>
    <rPh sb="3" eb="5">
      <t>ケイジョウ</t>
    </rPh>
    <phoneticPr fontId="4"/>
  </si>
  <si>
    <t>調整項目</t>
    <rPh sb="0" eb="2">
      <t>チョウセイ</t>
    </rPh>
    <rPh sb="2" eb="4">
      <t>コウモク</t>
    </rPh>
    <phoneticPr fontId="4"/>
  </si>
  <si>
    <t>３条税抜き収入額（消費税雑収入除く。）</t>
    <rPh sb="1" eb="2">
      <t>ジョウ</t>
    </rPh>
    <rPh sb="2" eb="3">
      <t>ゼイ</t>
    </rPh>
    <rPh sb="3" eb="4">
      <t>ヌ</t>
    </rPh>
    <rPh sb="5" eb="7">
      <t>シ</t>
    </rPh>
    <rPh sb="7" eb="8">
      <t>ガク</t>
    </rPh>
    <rPh sb="9" eb="12">
      <t>ショウヒゼイ</t>
    </rPh>
    <rPh sb="13" eb="15">
      <t>シュウニュウ</t>
    </rPh>
    <phoneticPr fontId="4"/>
  </si>
  <si>
    <t>　　【消費税雑支出】</t>
    <rPh sb="3" eb="6">
      <t>ショウヒゼイ</t>
    </rPh>
    <rPh sb="6" eb="7">
      <t>ザツ</t>
    </rPh>
    <rPh sb="7" eb="9">
      <t>シシュツ</t>
    </rPh>
    <phoneticPr fontId="4"/>
  </si>
  <si>
    <t>３条税込み収入額</t>
    <rPh sb="1" eb="2">
      <t>ジョウ</t>
    </rPh>
    <rPh sb="2" eb="4">
      <t>ゼイコ</t>
    </rPh>
    <rPh sb="5" eb="7">
      <t>シ</t>
    </rPh>
    <rPh sb="7" eb="8">
      <t>ガク</t>
    </rPh>
    <phoneticPr fontId="4"/>
  </si>
  <si>
    <t>計</t>
    <rPh sb="0" eb="1">
      <t>ケイ</t>
    </rPh>
    <phoneticPr fontId="21"/>
  </si>
  <si>
    <t>基準外</t>
    <rPh sb="0" eb="2">
      <t>キジュン</t>
    </rPh>
    <rPh sb="2" eb="3">
      <t>ガイ</t>
    </rPh>
    <phoneticPr fontId="21"/>
  </si>
  <si>
    <t>基準内</t>
    <rPh sb="0" eb="2">
      <t>キジュン</t>
    </rPh>
    <rPh sb="2" eb="3">
      <t>ナイ</t>
    </rPh>
    <phoneticPr fontId="21"/>
  </si>
  <si>
    <t>区域外</t>
    <rPh sb="0" eb="3">
      <t>クイキガイ</t>
    </rPh>
    <phoneticPr fontId="21"/>
  </si>
  <si>
    <t>区域内</t>
    <rPh sb="0" eb="3">
      <t>クイキナイ</t>
    </rPh>
    <phoneticPr fontId="21"/>
  </si>
  <si>
    <t>集計用税率</t>
    <rPh sb="0" eb="3">
      <t>シュウケイヨウ</t>
    </rPh>
    <rPh sb="3" eb="5">
      <t>ゼイリツ</t>
    </rPh>
    <phoneticPr fontId="21"/>
  </si>
  <si>
    <t>集計用課税区分</t>
    <rPh sb="0" eb="3">
      <t>シュウケイヨウ</t>
    </rPh>
    <rPh sb="3" eb="5">
      <t>カゼイ</t>
    </rPh>
    <rPh sb="5" eb="7">
      <t>クブン</t>
    </rPh>
    <phoneticPr fontId="21"/>
  </si>
  <si>
    <t>重複</t>
    <rPh sb="0" eb="2">
      <t>チョウフク</t>
    </rPh>
    <phoneticPr fontId="21"/>
  </si>
  <si>
    <t>備考</t>
  </si>
  <si>
    <t>正しい税率</t>
    <rPh sb="3" eb="5">
      <t>ゼイリツ</t>
    </rPh>
    <phoneticPr fontId="21"/>
  </si>
  <si>
    <t>正しい課税区分</t>
  </si>
  <si>
    <t>確認状況</t>
  </si>
  <si>
    <t>複合伝票番号</t>
    <rPh sb="0" eb="2">
      <t>フクゴウ</t>
    </rPh>
    <rPh sb="2" eb="4">
      <t>デンピョウ</t>
    </rPh>
    <rPh sb="4" eb="6">
      <t>バンゴウ</t>
    </rPh>
    <phoneticPr fontId="21"/>
  </si>
  <si>
    <t>債権者</t>
  </si>
  <si>
    <t>税抜金額</t>
  </si>
  <si>
    <t>税額</t>
  </si>
  <si>
    <t>税率</t>
  </si>
  <si>
    <t>税区分</t>
  </si>
  <si>
    <t>貸方金額</t>
  </si>
  <si>
    <t>貸方勘定科目</t>
  </si>
  <si>
    <t>貸方勘定</t>
  </si>
  <si>
    <t>借方金額</t>
  </si>
  <si>
    <t>借方勘定科目</t>
  </si>
  <si>
    <t>借方勘定</t>
  </si>
  <si>
    <t>執行額</t>
  </si>
  <si>
    <t>確定額</t>
  </si>
  <si>
    <t>概算額</t>
  </si>
  <si>
    <t>予算額</t>
  </si>
  <si>
    <t>事業名</t>
  </si>
  <si>
    <t>事業コード</t>
  </si>
  <si>
    <t>細節名称</t>
  </si>
  <si>
    <t>節名称</t>
  </si>
  <si>
    <t>目名称</t>
  </si>
  <si>
    <t>項名称</t>
  </si>
  <si>
    <t>款名称</t>
  </si>
  <si>
    <t>予算科目</t>
  </si>
  <si>
    <t>現繰</t>
  </si>
  <si>
    <t>内訳番号</t>
  </si>
  <si>
    <t>枝番</t>
  </si>
  <si>
    <t>伝票番号</t>
  </si>
  <si>
    <t>種別</t>
  </si>
  <si>
    <t>事項</t>
  </si>
  <si>
    <t>振替年月日</t>
  </si>
  <si>
    <t>年月日</t>
  </si>
  <si>
    <t>主管課名</t>
  </si>
  <si>
    <t>主管課</t>
  </si>
  <si>
    <t>所属名</t>
  </si>
  <si>
    <t>所属</t>
  </si>
  <si>
    <t>事業区分</t>
  </si>
  <si>
    <t>備考</t>
    <rPh sb="0" eb="2">
      <t>ビコウ</t>
    </rPh>
    <phoneticPr fontId="4"/>
  </si>
  <si>
    <t>合計</t>
    <rPh sb="0" eb="2">
      <t>ゴウケイ</t>
    </rPh>
    <phoneticPr fontId="21"/>
  </si>
  <si>
    <t>汚水</t>
    <rPh sb="0" eb="2">
      <t>オスイ</t>
    </rPh>
    <phoneticPr fontId="21"/>
  </si>
  <si>
    <t>チェック</t>
    <phoneticPr fontId="21"/>
  </si>
  <si>
    <t/>
  </si>
  <si>
    <t>----</t>
  </si>
  <si>
    <t>↓以下がコピペ領域</t>
    <rPh sb="1" eb="3">
      <t>イカ</t>
    </rPh>
    <rPh sb="7" eb="9">
      <t>リョウイキ</t>
    </rPh>
    <phoneticPr fontId="4"/>
  </si>
  <si>
    <t>売上対価の返還の額　　計</t>
    <rPh sb="0" eb="2">
      <t>ウリアゲ</t>
    </rPh>
    <rPh sb="11" eb="12">
      <t>ケイ</t>
    </rPh>
    <phoneticPr fontId="4"/>
  </si>
  <si>
    <t>売上対価の返還等の額（10%）</t>
    <phoneticPr fontId="4"/>
  </si>
  <si>
    <t>仕入対価の返還の額　　計</t>
    <rPh sb="11" eb="12">
      <t>ケイ</t>
    </rPh>
    <phoneticPr fontId="4"/>
  </si>
  <si>
    <t>仕入対価の返還等の額（10%）</t>
    <rPh sb="0" eb="2">
      <t>シイレ</t>
    </rPh>
    <rPh sb="2" eb="4">
      <t>タイカ</t>
    </rPh>
    <rPh sb="5" eb="7">
      <t>ヘンカン</t>
    </rPh>
    <rPh sb="7" eb="8">
      <t>トウ</t>
    </rPh>
    <rPh sb="9" eb="10">
      <t>ガク</t>
    </rPh>
    <phoneticPr fontId="4"/>
  </si>
  <si>
    <t>＊時効欠損は、平成26年度の会計制度の見直しに伴い、貸倒引当金を繰り入れたことから、平成27年度申告からは取崩し分を計上する</t>
    <rPh sb="1" eb="3">
      <t>ジコウ</t>
    </rPh>
    <rPh sb="3" eb="5">
      <t>ケッソン</t>
    </rPh>
    <rPh sb="7" eb="9">
      <t>ヘイセイ</t>
    </rPh>
    <rPh sb="11" eb="13">
      <t>ネンド</t>
    </rPh>
    <rPh sb="14" eb="16">
      <t>カイケイ</t>
    </rPh>
    <rPh sb="16" eb="18">
      <t>セイド</t>
    </rPh>
    <rPh sb="19" eb="21">
      <t>ミナオ</t>
    </rPh>
    <rPh sb="23" eb="24">
      <t>トモナ</t>
    </rPh>
    <rPh sb="26" eb="28">
      <t>カシダオレ</t>
    </rPh>
    <rPh sb="28" eb="30">
      <t>ヒキアテ</t>
    </rPh>
    <rPh sb="30" eb="31">
      <t>キン</t>
    </rPh>
    <rPh sb="32" eb="33">
      <t>ク</t>
    </rPh>
    <rPh sb="34" eb="35">
      <t>イ</t>
    </rPh>
    <rPh sb="42" eb="44">
      <t>ヘイセイ</t>
    </rPh>
    <rPh sb="46" eb="48">
      <t>ネンド</t>
    </rPh>
    <rPh sb="48" eb="50">
      <t>シンコク</t>
    </rPh>
    <rPh sb="53" eb="55">
      <t>トリクズ</t>
    </rPh>
    <rPh sb="56" eb="57">
      <t>ブン</t>
    </rPh>
    <rPh sb="58" eb="60">
      <t>ケイジョウ</t>
    </rPh>
    <phoneticPr fontId="4"/>
  </si>
  <si>
    <t>　　計</t>
    <rPh sb="2" eb="3">
      <t>ケイ</t>
    </rPh>
    <phoneticPr fontId="4"/>
  </si>
  <si>
    <t>地方消費税</t>
    <rPh sb="0" eb="2">
      <t>チホウ</t>
    </rPh>
    <rPh sb="2" eb="5">
      <t>ショウヒゼイ</t>
    </rPh>
    <phoneticPr fontId="4"/>
  </si>
  <si>
    <t>消費税</t>
    <rPh sb="0" eb="3">
      <t>ショウヒゼイ</t>
    </rPh>
    <phoneticPr fontId="4"/>
  </si>
  <si>
    <t>使途不特定の特定収入</t>
    <phoneticPr fontId="4"/>
  </si>
  <si>
    <t>「決算総括表」の「不課税収入」のうち「課税仕入に特定」</t>
    <phoneticPr fontId="4"/>
  </si>
  <si>
    <t>特別損失の課税支出のうち、時効欠損分*</t>
    <phoneticPr fontId="4"/>
  </si>
  <si>
    <t>貸倒れに係る金額（税込）</t>
    <phoneticPr fontId="4"/>
  </si>
  <si>
    <t>仕入対価の返還等の額（税込）</t>
    <rPh sb="0" eb="2">
      <t>シイレ</t>
    </rPh>
    <rPh sb="2" eb="4">
      <t>タイカ</t>
    </rPh>
    <rPh sb="5" eb="7">
      <t>ヘンカン</t>
    </rPh>
    <rPh sb="7" eb="8">
      <t>トウ</t>
    </rPh>
    <rPh sb="9" eb="10">
      <t>ガク</t>
    </rPh>
    <phoneticPr fontId="4"/>
  </si>
  <si>
    <t>「雑支出」「過年度損益修正損」「その他特別損失」の課税支出うち、該当分（下水道使用料の減額調定・過誤納還付金・時効欠損*、排水設備取付管設置工事受託金の還付など）</t>
    <phoneticPr fontId="4"/>
  </si>
  <si>
    <t>返還等対価・貸倒れの額（税込）</t>
    <rPh sb="0" eb="2">
      <t>ヘンカン</t>
    </rPh>
    <rPh sb="2" eb="3">
      <t>トウ</t>
    </rPh>
    <rPh sb="3" eb="5">
      <t>タイカ</t>
    </rPh>
    <rPh sb="6" eb="8">
      <t>カシダオ</t>
    </rPh>
    <rPh sb="10" eb="11">
      <t>ガク</t>
    </rPh>
    <phoneticPr fontId="4"/>
  </si>
  <si>
    <t>「決算総括表」より</t>
    <phoneticPr fontId="4"/>
  </si>
  <si>
    <t>「決算総括表」より  （H27決算から貸倒引当金の取り崩し分を計上）</t>
    <rPh sb="15" eb="17">
      <t>ケッサン</t>
    </rPh>
    <rPh sb="19" eb="21">
      <t>カシダオレ</t>
    </rPh>
    <rPh sb="21" eb="23">
      <t>ヒキアテ</t>
    </rPh>
    <rPh sb="23" eb="24">
      <t>キン</t>
    </rPh>
    <rPh sb="25" eb="26">
      <t>ト</t>
    </rPh>
    <rPh sb="27" eb="28">
      <t>クズ</t>
    </rPh>
    <rPh sb="29" eb="30">
      <t>ブン</t>
    </rPh>
    <rPh sb="31" eb="33">
      <t>ケイジョウ</t>
    </rPh>
    <phoneticPr fontId="4"/>
  </si>
  <si>
    <t>「決算総括表」より</t>
    <phoneticPr fontId="4"/>
  </si>
  <si>
    <t>「決算総括表」より</t>
    <phoneticPr fontId="4"/>
  </si>
  <si>
    <t>管理課資料、「決算総括表」より</t>
    <phoneticPr fontId="4"/>
  </si>
  <si>
    <t>免税売上額</t>
  </si>
  <si>
    <t>「雑支出」「過年度損益修正損」「その他特別損失」のうち、課税収入を返還したもの（下水道使用料の調定減額、過誤納還付金など）</t>
    <rPh sb="13" eb="14">
      <t>ソン</t>
    </rPh>
    <rPh sb="18" eb="19">
      <t>タ</t>
    </rPh>
    <rPh sb="19" eb="21">
      <t>トクベツ</t>
    </rPh>
    <rPh sb="21" eb="23">
      <t>ソンシツ</t>
    </rPh>
    <rPh sb="28" eb="30">
      <t>カゼイ</t>
    </rPh>
    <rPh sb="30" eb="32">
      <t>シュウニュウ</t>
    </rPh>
    <rPh sb="33" eb="35">
      <t>ヘンカン</t>
    </rPh>
    <phoneticPr fontId="4"/>
  </si>
  <si>
    <t>売上対価の返還等の額（税込）</t>
    <rPh sb="0" eb="2">
      <t>ウリアゲ</t>
    </rPh>
    <rPh sb="2" eb="4">
      <t>タイカ</t>
    </rPh>
    <rPh sb="5" eb="7">
      <t>ヘンカン</t>
    </rPh>
    <rPh sb="7" eb="8">
      <t>トウ</t>
    </rPh>
    <rPh sb="9" eb="10">
      <t>ガク</t>
    </rPh>
    <phoneticPr fontId="4"/>
  </si>
  <si>
    <t>「過年度損益修正益」「その他特別利益」のうち、課税支出が返還されたもの（過去に支払った通勤手当の還付、建設負担金の精算に伴う還付など）</t>
    <rPh sb="1" eb="4">
      <t>カネンド</t>
    </rPh>
    <rPh sb="6" eb="8">
      <t>シュウセイ</t>
    </rPh>
    <rPh sb="8" eb="9">
      <t>エキ</t>
    </rPh>
    <rPh sb="13" eb="14">
      <t>タ</t>
    </rPh>
    <rPh sb="14" eb="16">
      <t>トクベツ</t>
    </rPh>
    <rPh sb="16" eb="18">
      <t>リエキ</t>
    </rPh>
    <rPh sb="23" eb="25">
      <t>カゼイ</t>
    </rPh>
    <rPh sb="25" eb="27">
      <t>シシュツ</t>
    </rPh>
    <rPh sb="28" eb="30">
      <t>ヘンカン</t>
    </rPh>
    <phoneticPr fontId="4"/>
  </si>
  <si>
    <t>10%適用部分</t>
    <phoneticPr fontId="4"/>
  </si>
  <si>
    <t>8%適用部分</t>
    <rPh sb="2" eb="4">
      <t>テキヨウ</t>
    </rPh>
    <rPh sb="4" eb="6">
      <t>ブブン</t>
    </rPh>
    <phoneticPr fontId="4"/>
  </si>
  <si>
    <t>5%適用部分</t>
    <rPh sb="2" eb="4">
      <t>テキヨウ</t>
    </rPh>
    <rPh sb="4" eb="6">
      <t>ブブン</t>
    </rPh>
    <phoneticPr fontId="4"/>
  </si>
  <si>
    <t>3%適用部分</t>
    <rPh sb="2" eb="4">
      <t>テキヨウ</t>
    </rPh>
    <rPh sb="4" eb="6">
      <t>ブブン</t>
    </rPh>
    <phoneticPr fontId="4"/>
  </si>
  <si>
    <t>3条分消費税雑支出計上額、4条分圧縮記帳額の計算</t>
    <rPh sb="1" eb="2">
      <t>ジョウ</t>
    </rPh>
    <rPh sb="2" eb="3">
      <t>ブン</t>
    </rPh>
    <rPh sb="3" eb="6">
      <t>ショウヒゼイ</t>
    </rPh>
    <rPh sb="6" eb="7">
      <t>ザツ</t>
    </rPh>
    <rPh sb="7" eb="9">
      <t>シシュツ</t>
    </rPh>
    <rPh sb="9" eb="11">
      <t>ケイジョウ</t>
    </rPh>
    <rPh sb="11" eb="12">
      <t>ガク</t>
    </rPh>
    <rPh sb="14" eb="15">
      <t>ジョウ</t>
    </rPh>
    <rPh sb="15" eb="16">
      <t>ブン</t>
    </rPh>
    <rPh sb="16" eb="18">
      <t>アッシュク</t>
    </rPh>
    <rPh sb="18" eb="20">
      <t>キチョウ</t>
    </rPh>
    <rPh sb="20" eb="21">
      <t>ガク</t>
    </rPh>
    <rPh sb="22" eb="24">
      <t>ケイサン</t>
    </rPh>
    <phoneticPr fontId="4"/>
  </si>
  <si>
    <t>Zの再掲</t>
    <rPh sb="2" eb="4">
      <t>サイケイ</t>
    </rPh>
    <phoneticPr fontId="4"/>
  </si>
  <si>
    <t>貸倒れに係る税額（控除可能額）</t>
    <rPh sb="0" eb="1">
      <t>カシ</t>
    </rPh>
    <rPh sb="1" eb="2">
      <t>ダオ</t>
    </rPh>
    <rPh sb="4" eb="5">
      <t>カカ</t>
    </rPh>
    <rPh sb="6" eb="8">
      <t>ゼイガク</t>
    </rPh>
    <rPh sb="9" eb="11">
      <t>コウジョ</t>
    </rPh>
    <rPh sb="11" eb="13">
      <t>カノウ</t>
    </rPh>
    <rPh sb="13" eb="14">
      <t>ガク</t>
    </rPh>
    <phoneticPr fontId="4"/>
  </si>
  <si>
    <t>AL=AJ-AK</t>
    <phoneticPr fontId="4"/>
  </si>
  <si>
    <t>AL=AJ-AK</t>
    <phoneticPr fontId="4"/>
  </si>
  <si>
    <t>AK=P-V</t>
    <phoneticPr fontId="4"/>
  </si>
  <si>
    <t>特定収入に係る消費税額で控除できない額に、課税売上割合を乗じることにより、控除額から減額される額</t>
    <rPh sb="0" eb="2">
      <t>トクテイ</t>
    </rPh>
    <rPh sb="2" eb="4">
      <t>シュウニュウ</t>
    </rPh>
    <rPh sb="5" eb="6">
      <t>カカ</t>
    </rPh>
    <rPh sb="7" eb="10">
      <t>ショウヒゼイ</t>
    </rPh>
    <rPh sb="10" eb="11">
      <t>ガク</t>
    </rPh>
    <rPh sb="12" eb="14">
      <t>コウジョ</t>
    </rPh>
    <rPh sb="18" eb="19">
      <t>ガク</t>
    </rPh>
    <rPh sb="21" eb="23">
      <t>カゼイ</t>
    </rPh>
    <rPh sb="23" eb="25">
      <t>ウリアゲ</t>
    </rPh>
    <rPh sb="25" eb="27">
      <t>ワリアイ</t>
    </rPh>
    <rPh sb="28" eb="29">
      <t>ジョウ</t>
    </rPh>
    <rPh sb="37" eb="39">
      <t>コウジョ</t>
    </rPh>
    <rPh sb="39" eb="40">
      <t>ガク</t>
    </rPh>
    <rPh sb="42" eb="44">
      <t>ゲンガク</t>
    </rPh>
    <rPh sb="47" eb="48">
      <t>ガク</t>
    </rPh>
    <phoneticPr fontId="4"/>
  </si>
  <si>
    <t>AJ=M-O</t>
    <phoneticPr fontId="4"/>
  </si>
  <si>
    <t>Pの再掲</t>
    <rPh sb="1" eb="3">
      <t>サイケイ</t>
    </rPh>
    <phoneticPr fontId="4"/>
  </si>
  <si>
    <t>課税仕入れ等に係る特定収入に係る消費税相当額</t>
    <rPh sb="0" eb="2">
      <t>カゼイ</t>
    </rPh>
    <rPh sb="2" eb="4">
      <t>シイ</t>
    </rPh>
    <rPh sb="5" eb="6">
      <t>トウ</t>
    </rPh>
    <rPh sb="7" eb="8">
      <t>カカ</t>
    </rPh>
    <rPh sb="9" eb="11">
      <t>トクテイ</t>
    </rPh>
    <rPh sb="11" eb="13">
      <t>シュウニュウ</t>
    </rPh>
    <rPh sb="14" eb="15">
      <t>カカ</t>
    </rPh>
    <rPh sb="16" eb="19">
      <t>ショウヒゼイ</t>
    </rPh>
    <rPh sb="19" eb="21">
      <t>ソウトウ</t>
    </rPh>
    <rPh sb="21" eb="22">
      <t>ガク</t>
    </rPh>
    <phoneticPr fontId="4"/>
  </si>
  <si>
    <t>課税仕入れ割合を乗じることにより控除できなくなった額（雑支出計上額）の計算</t>
    <rPh sb="25" eb="26">
      <t>ガク</t>
    </rPh>
    <rPh sb="27" eb="28">
      <t>ザツ</t>
    </rPh>
    <rPh sb="28" eb="30">
      <t>シシュツ</t>
    </rPh>
    <rPh sb="30" eb="32">
      <t>ケイジョウ</t>
    </rPh>
    <rPh sb="32" eb="33">
      <t>ガク</t>
    </rPh>
    <rPh sb="35" eb="37">
      <t>ケイサン</t>
    </rPh>
    <phoneticPr fontId="4"/>
  </si>
  <si>
    <t>消費税雑支出等</t>
    <rPh sb="0" eb="2">
      <t>ショウヒ</t>
    </rPh>
    <rPh sb="2" eb="3">
      <t>ゼイ</t>
    </rPh>
    <rPh sb="3" eb="4">
      <t>ザツ</t>
    </rPh>
    <rPh sb="4" eb="6">
      <t>シシュツ</t>
    </rPh>
    <rPh sb="6" eb="7">
      <t>トウ</t>
    </rPh>
    <phoneticPr fontId="4"/>
  </si>
  <si>
    <t>AI=AB+AE</t>
  </si>
  <si>
    <t>決算上の消費税及び地方消費税の計</t>
    <rPh sb="0" eb="2">
      <t>ケッサン</t>
    </rPh>
    <rPh sb="2" eb="3">
      <t>ジョウ</t>
    </rPh>
    <rPh sb="15" eb="16">
      <t>ケイ</t>
    </rPh>
    <phoneticPr fontId="4"/>
  </si>
  <si>
    <t>当期消費税及び地方消費税額計上額（決算額）</t>
    <rPh sb="0" eb="2">
      <t>トウキ</t>
    </rPh>
    <rPh sb="2" eb="5">
      <t>ショウヒゼイ</t>
    </rPh>
    <rPh sb="5" eb="6">
      <t>オヨ</t>
    </rPh>
    <rPh sb="7" eb="9">
      <t>チホウ</t>
    </rPh>
    <rPh sb="9" eb="12">
      <t>ショウヒゼイ</t>
    </rPh>
    <rPh sb="12" eb="13">
      <t>ガク</t>
    </rPh>
    <rPh sb="13" eb="15">
      <t>ケイジョウ</t>
    </rPh>
    <rPh sb="15" eb="16">
      <t>ガク</t>
    </rPh>
    <rPh sb="17" eb="19">
      <t>ケッサン</t>
    </rPh>
    <rPh sb="19" eb="20">
      <t>ガク</t>
    </rPh>
    <phoneticPr fontId="4"/>
  </si>
  <si>
    <t>AH=AD+AG</t>
  </si>
  <si>
    <t>申告書㉖</t>
    <phoneticPr fontId="4"/>
  </si>
  <si>
    <t>納付税額（消費税及び地方消費税の計）</t>
    <rPh sb="0" eb="2">
      <t>ノウフ</t>
    </rPh>
    <rPh sb="2" eb="4">
      <t>ゼイガク</t>
    </rPh>
    <rPh sb="5" eb="8">
      <t>ショウヒゼイ</t>
    </rPh>
    <rPh sb="8" eb="9">
      <t>オヨ</t>
    </rPh>
    <rPh sb="10" eb="12">
      <t>チホウ</t>
    </rPh>
    <rPh sb="12" eb="15">
      <t>ショウヒゼイ</t>
    </rPh>
    <rPh sb="16" eb="17">
      <t>ケイ</t>
    </rPh>
    <phoneticPr fontId="4"/>
  </si>
  <si>
    <t>消費税及び地方消費税の合計（納付又は還付）税額</t>
    <rPh sb="0" eb="3">
      <t>ショウヒゼイ</t>
    </rPh>
    <rPh sb="3" eb="4">
      <t>オヨ</t>
    </rPh>
    <rPh sb="11" eb="13">
      <t>ゴウケイ</t>
    </rPh>
    <rPh sb="14" eb="16">
      <t>ノウフ</t>
    </rPh>
    <rPh sb="16" eb="17">
      <t>マタ</t>
    </rPh>
    <rPh sb="18" eb="20">
      <t>カンプ</t>
    </rPh>
    <rPh sb="21" eb="23">
      <t>ゼイガク</t>
    </rPh>
    <phoneticPr fontId="4"/>
  </si>
  <si>
    <t>AG=AE-AF</t>
  </si>
  <si>
    <t>申告書㉒（△は㉓）</t>
    <phoneticPr fontId="4"/>
  </si>
  <si>
    <t>納付税額（申告額）</t>
    <rPh sb="0" eb="2">
      <t>ノウフ</t>
    </rPh>
    <rPh sb="2" eb="4">
      <t>ゼイガク</t>
    </rPh>
    <phoneticPr fontId="4"/>
  </si>
  <si>
    <t>AF</t>
  </si>
  <si>
    <t>申告書㉑</t>
    <phoneticPr fontId="4"/>
  </si>
  <si>
    <t>AE=AB×(地方消費税率）/(消費税率）</t>
    <rPh sb="7" eb="9">
      <t>チホウ</t>
    </rPh>
    <phoneticPr fontId="8"/>
  </si>
  <si>
    <t>申告書⑳</t>
    <phoneticPr fontId="4"/>
  </si>
  <si>
    <t>ABの再掲</t>
    <rPh sb="3" eb="5">
      <t>サイケイ</t>
    </rPh>
    <phoneticPr fontId="8"/>
  </si>
  <si>
    <t>申告書⑱</t>
    <phoneticPr fontId="4"/>
  </si>
  <si>
    <t>AD=AB-AC</t>
  </si>
  <si>
    <t>申告書⑪（△は⑫）</t>
    <phoneticPr fontId="4"/>
  </si>
  <si>
    <t>納付税額（申告額）</t>
    <rPh sb="0" eb="2">
      <t>ノウフ</t>
    </rPh>
    <rPh sb="2" eb="4">
      <t>ゼイガク</t>
    </rPh>
    <rPh sb="5" eb="7">
      <t>シンコク</t>
    </rPh>
    <rPh sb="7" eb="8">
      <t>ガク</t>
    </rPh>
    <phoneticPr fontId="4"/>
  </si>
  <si>
    <t>AC</t>
  </si>
  <si>
    <t>申告書⑩</t>
    <phoneticPr fontId="4"/>
  </si>
  <si>
    <t>AB=F-AA</t>
  </si>
  <si>
    <t>申告書⑨</t>
    <phoneticPr fontId="4"/>
  </si>
  <si>
    <t>AAの再掲</t>
    <rPh sb="3" eb="5">
      <t>サイケイ</t>
    </rPh>
    <phoneticPr fontId="8"/>
  </si>
  <si>
    <t>Fの再掲</t>
    <rPh sb="2" eb="4">
      <t>サイケイ</t>
    </rPh>
    <phoneticPr fontId="8"/>
  </si>
  <si>
    <t>AA=W+X+Z</t>
  </si>
  <si>
    <t>申告書⑦</t>
    <phoneticPr fontId="4"/>
  </si>
  <si>
    <t>　控除税額　計</t>
    <rPh sb="1" eb="3">
      <t>コウジョ</t>
    </rPh>
    <rPh sb="3" eb="5">
      <t>ゼイガク</t>
    </rPh>
    <rPh sb="6" eb="7">
      <t>ケイ</t>
    </rPh>
    <phoneticPr fontId="4"/>
  </si>
  <si>
    <t>Z=Y×（消費税及び地方消費税率）
　　/（1+消費税及び地方消費税率）</t>
    <phoneticPr fontId="4"/>
  </si>
  <si>
    <t>Z=Y×(消費税率）
　　/（1+消費税及び地方消費税率）</t>
  </si>
  <si>
    <t>　貸倒れ（引当金取崩分）に係る税額</t>
    <rPh sb="1" eb="3">
      <t>カシダオ</t>
    </rPh>
    <rPh sb="5" eb="7">
      <t>ヒキアテ</t>
    </rPh>
    <rPh sb="7" eb="8">
      <t>キン</t>
    </rPh>
    <rPh sb="8" eb="10">
      <t>トリクズシ</t>
    </rPh>
    <rPh sb="10" eb="11">
      <t>ブン</t>
    </rPh>
    <rPh sb="13" eb="14">
      <t>カカ</t>
    </rPh>
    <rPh sb="15" eb="17">
      <t>ゼイガク</t>
    </rPh>
    <phoneticPr fontId="4"/>
  </si>
  <si>
    <t>Y</t>
  </si>
  <si>
    <t>　貸倒れに係る金額（税込）</t>
    <rPh sb="1" eb="3">
      <t>カシダオ</t>
    </rPh>
    <rPh sb="5" eb="6">
      <t>カカ</t>
    </rPh>
    <rPh sb="7" eb="9">
      <t>キンガク</t>
    </rPh>
    <rPh sb="10" eb="12">
      <t>ゼイコ</t>
    </rPh>
    <phoneticPr fontId="4"/>
  </si>
  <si>
    <t>X=C×（消費税及び地方消費税率）
　　/（1+消費税及び地方消費税率）</t>
    <phoneticPr fontId="4"/>
  </si>
  <si>
    <t>X=C×(消費税率）
　　/（1+消費税及び地方消費税率）</t>
  </si>
  <si>
    <t>　売上対価の返還等に係る税額</t>
    <rPh sb="1" eb="3">
      <t>ウリアゲ</t>
    </rPh>
    <rPh sb="3" eb="5">
      <t>タイカ</t>
    </rPh>
    <rPh sb="6" eb="8">
      <t>ヘンカン</t>
    </rPh>
    <rPh sb="8" eb="9">
      <t>トウ</t>
    </rPh>
    <rPh sb="10" eb="11">
      <t>カカ</t>
    </rPh>
    <rPh sb="12" eb="14">
      <t>ゼイガク</t>
    </rPh>
    <phoneticPr fontId="4"/>
  </si>
  <si>
    <t>Wの再掲</t>
    <rPh sb="2" eb="4">
      <t>サイケイ</t>
    </rPh>
    <phoneticPr fontId="8"/>
  </si>
  <si>
    <t>　控除対象仕入税額</t>
    <rPh sb="1" eb="3">
      <t>コウジョ</t>
    </rPh>
    <rPh sb="3" eb="5">
      <t>タイショウ</t>
    </rPh>
    <rPh sb="5" eb="7">
      <t>シイレ</t>
    </rPh>
    <rPh sb="7" eb="9">
      <t>ゼイガク</t>
    </rPh>
    <phoneticPr fontId="4"/>
  </si>
  <si>
    <t>納税額等の計算</t>
    <phoneticPr fontId="4"/>
  </si>
  <si>
    <t>W=O-V</t>
  </si>
  <si>
    <t>V=R+U</t>
  </si>
  <si>
    <t>U=S×T</t>
  </si>
  <si>
    <t>　使途不特定の特定収入の税額</t>
    <rPh sb="1" eb="3">
      <t>シト</t>
    </rPh>
    <rPh sb="3" eb="6">
      <t>フトクテイ</t>
    </rPh>
    <rPh sb="7" eb="9">
      <t>トクテイ</t>
    </rPh>
    <rPh sb="9" eb="11">
      <t>シュウニュウ</t>
    </rPh>
    <phoneticPr fontId="4"/>
  </si>
  <si>
    <t>資産の譲渡等の対価の額</t>
    <phoneticPr fontId="4"/>
  </si>
  <si>
    <t>資産の譲渡等の対価の額）</t>
    <phoneticPr fontId="21"/>
  </si>
  <si>
    <t>使途不特定はないので、ゼロ</t>
    <rPh sb="0" eb="2">
      <t>シト</t>
    </rPh>
    <rPh sb="2" eb="5">
      <t>フトクテイ</t>
    </rPh>
    <phoneticPr fontId="4"/>
  </si>
  <si>
    <t>T</t>
  </si>
  <si>
    <t>計算表５⑨</t>
    <phoneticPr fontId="4"/>
  </si>
  <si>
    <t>　調整割合　(使途不特定の特定収入/</t>
    <rPh sb="1" eb="3">
      <t>チョウセイ</t>
    </rPh>
    <rPh sb="3" eb="5">
      <t>ワリアイ</t>
    </rPh>
    <phoneticPr fontId="4"/>
  </si>
  <si>
    <t>S=O-R</t>
  </si>
  <si>
    <t>　課税仕入れ等の税額－特定収入に係る課税仕入れ等の税額</t>
    <phoneticPr fontId="4"/>
  </si>
  <si>
    <t>使途不特定の特定収入の計算</t>
    <rPh sb="0" eb="2">
      <t>シト</t>
    </rPh>
    <rPh sb="2" eb="5">
      <t>フトクテイ</t>
    </rPh>
    <rPh sb="6" eb="8">
      <t>トクテイ</t>
    </rPh>
    <rPh sb="8" eb="10">
      <t>シュウニュウ</t>
    </rPh>
    <rPh sb="11" eb="13">
      <t>ケイサン</t>
    </rPh>
    <phoneticPr fontId="4"/>
  </si>
  <si>
    <t>R=P×H/J</t>
  </si>
  <si>
    <t>特定収入に係る課税仕入れ等の税額</t>
    <rPh sb="5" eb="6">
      <t>カカ</t>
    </rPh>
    <rPh sb="7" eb="9">
      <t>カゼイ</t>
    </rPh>
    <rPh sb="9" eb="11">
      <t>シイ</t>
    </rPh>
    <rPh sb="14" eb="16">
      <t>ゼイガク</t>
    </rPh>
    <phoneticPr fontId="4"/>
  </si>
  <si>
    <t>Ｑ=H/J</t>
  </si>
  <si>
    <t>計算表５⑥</t>
    <phoneticPr fontId="4"/>
  </si>
  <si>
    <t>Ｐ=N×（消費税及び地方消費税率）
　　/（1+消費税及び地方消費税率）</t>
    <phoneticPr fontId="4"/>
  </si>
  <si>
    <t>Ｐ=N×(消費税率）
　　/（1+消費税及び地方消費税率）</t>
  </si>
  <si>
    <t>Ｎの再掲</t>
    <rPh sb="2" eb="4">
      <t>サイケイ</t>
    </rPh>
    <phoneticPr fontId="8"/>
  </si>
  <si>
    <t>課税仕入れ等に係る特定収入</t>
    <rPh sb="0" eb="2">
      <t>カゼイ</t>
    </rPh>
    <rPh sb="2" eb="4">
      <t>シイ</t>
    </rPh>
    <rPh sb="7" eb="8">
      <t>カカ</t>
    </rPh>
    <rPh sb="9" eb="11">
      <t>トクテイ</t>
    </rPh>
    <rPh sb="11" eb="13">
      <t>シュウニュウ</t>
    </rPh>
    <phoneticPr fontId="4"/>
  </si>
  <si>
    <t>O=M×H/J</t>
  </si>
  <si>
    <t>N/(N+資産の譲渡等の対価の額)</t>
  </si>
  <si>
    <t>　資産の譲渡等の対価の額（課税（税抜）+免税+非課税売上の計）</t>
    <rPh sb="1" eb="3">
      <t>シサン</t>
    </rPh>
    <rPh sb="4" eb="6">
      <t>ジョウト</t>
    </rPh>
    <rPh sb="6" eb="7">
      <t>トウ</t>
    </rPh>
    <rPh sb="8" eb="10">
      <t>タイカ</t>
    </rPh>
    <rPh sb="11" eb="12">
      <t>ガク</t>
    </rPh>
    <rPh sb="13" eb="15">
      <t>カゼイ</t>
    </rPh>
    <rPh sb="16" eb="17">
      <t>ゼイ</t>
    </rPh>
    <rPh sb="17" eb="18">
      <t>ヌキ</t>
    </rPh>
    <rPh sb="20" eb="22">
      <t>メンゼイ</t>
    </rPh>
    <rPh sb="23" eb="26">
      <t>ヒカゼイ</t>
    </rPh>
    <rPh sb="26" eb="28">
      <t>ウリアゲ</t>
    </rPh>
    <rPh sb="29" eb="30">
      <t>ケイ</t>
    </rPh>
    <phoneticPr fontId="4"/>
  </si>
  <si>
    <t>Ｉの再掲</t>
    <rPh sb="2" eb="4">
      <t>サイケイ</t>
    </rPh>
    <phoneticPr fontId="27"/>
  </si>
  <si>
    <t>Gの再掲</t>
    <rPh sb="2" eb="4">
      <t>サイケイ</t>
    </rPh>
    <phoneticPr fontId="8"/>
  </si>
  <si>
    <t>免税売上額</t>
    <phoneticPr fontId="4"/>
  </si>
  <si>
    <t>=A×1/（1+消費税及び地方消費税率）</t>
  </si>
  <si>
    <t>N=3条特収+4条特収</t>
    <rPh sb="4" eb="5">
      <t>トク</t>
    </rPh>
    <rPh sb="5" eb="6">
      <t>シュウ</t>
    </rPh>
    <phoneticPr fontId="8"/>
  </si>
  <si>
    <t>　特定収入　計</t>
    <rPh sb="6" eb="7">
      <t>ケイ</t>
    </rPh>
    <phoneticPr fontId="4"/>
  </si>
  <si>
    <t>「不課税収入」のうち「課税仕入に特定」</t>
    <rPh sb="1" eb="2">
      <t>フ</t>
    </rPh>
    <rPh sb="2" eb="4">
      <t>カゼイ</t>
    </rPh>
    <rPh sb="4" eb="6">
      <t>シュウニュウ</t>
    </rPh>
    <phoneticPr fontId="4"/>
  </si>
  <si>
    <t>資本的収入のうち特定収入</t>
    <rPh sb="0" eb="2">
      <t>シホン</t>
    </rPh>
    <rPh sb="2" eb="3">
      <t>テキ</t>
    </rPh>
    <rPh sb="3" eb="5">
      <t>シュウニュウ</t>
    </rPh>
    <phoneticPr fontId="4"/>
  </si>
  <si>
    <t>収益的収入のうち特定収入</t>
    <rPh sb="0" eb="3">
      <t>シュウエキテキ</t>
    </rPh>
    <rPh sb="3" eb="5">
      <t>シュウニュウ</t>
    </rPh>
    <rPh sb="8" eb="10">
      <t>トクテイ</t>
    </rPh>
    <rPh sb="10" eb="12">
      <t>シュウニュウ</t>
    </rPh>
    <phoneticPr fontId="4"/>
  </si>
  <si>
    <t>特定収入割合の計算</t>
    <phoneticPr fontId="4"/>
  </si>
  <si>
    <t>仕入税額控除の調整</t>
    <phoneticPr fontId="4"/>
  </si>
  <si>
    <t>特定収入の判定</t>
    <rPh sb="0" eb="2">
      <t>トクテイ</t>
    </rPh>
    <rPh sb="2" eb="4">
      <t>シュウニュウ</t>
    </rPh>
    <rPh sb="5" eb="7">
      <t>ハンテイ</t>
    </rPh>
    <phoneticPr fontId="4"/>
  </si>
  <si>
    <t>M=（K-L-B)×（消費税及び地方消費税率）
　　/（1+消費税及び地方消費税率）</t>
    <rPh sb="30" eb="33">
      <t>ショウヒゼイ</t>
    </rPh>
    <rPh sb="33" eb="34">
      <t>オヨ</t>
    </rPh>
    <rPh sb="35" eb="37">
      <t>チホウ</t>
    </rPh>
    <rPh sb="37" eb="40">
      <t>ショウヒゼイ</t>
    </rPh>
    <rPh sb="40" eb="41">
      <t>リツ</t>
    </rPh>
    <phoneticPr fontId="8"/>
  </si>
  <si>
    <t>M=（K-L-B)×(消費税率）
　　/（1+消費税及び地方消費税率）</t>
    <rPh sb="11" eb="13">
      <t>ショウヒ</t>
    </rPh>
    <rPh sb="13" eb="15">
      <t>ゼイリツ</t>
    </rPh>
    <rPh sb="23" eb="26">
      <t>ショウヒゼイ</t>
    </rPh>
    <rPh sb="26" eb="27">
      <t>オヨ</t>
    </rPh>
    <rPh sb="28" eb="30">
      <t>チホウ</t>
    </rPh>
    <rPh sb="30" eb="33">
      <t>ショウヒゼイ</t>
    </rPh>
    <rPh sb="33" eb="34">
      <t>リツ</t>
    </rPh>
    <phoneticPr fontId="8"/>
  </si>
  <si>
    <t>=K-L-B</t>
  </si>
  <si>
    <t>Bの再掲</t>
    <rPh sb="2" eb="4">
      <t>サイケイ</t>
    </rPh>
    <phoneticPr fontId="27"/>
  </si>
  <si>
    <t>　仕入対価の返還等の額</t>
    <rPh sb="1" eb="3">
      <t>シイレ</t>
    </rPh>
    <rPh sb="3" eb="5">
      <t>タイカ</t>
    </rPh>
    <rPh sb="6" eb="8">
      <t>ヘンカン</t>
    </rPh>
    <rPh sb="8" eb="9">
      <t>トウ</t>
    </rPh>
    <rPh sb="10" eb="11">
      <t>ガク</t>
    </rPh>
    <phoneticPr fontId="4"/>
  </si>
  <si>
    <t>L</t>
  </si>
  <si>
    <t>　売上対価の返還等の額</t>
    <rPh sb="1" eb="3">
      <t>ウリアゲ</t>
    </rPh>
    <rPh sb="3" eb="5">
      <t>タイカ</t>
    </rPh>
    <rPh sb="6" eb="8">
      <t>ヘンカン</t>
    </rPh>
    <rPh sb="8" eb="9">
      <t>トウ</t>
    </rPh>
    <rPh sb="10" eb="11">
      <t>ガク</t>
    </rPh>
    <phoneticPr fontId="4"/>
  </si>
  <si>
    <t>K=3条課税+4条課税</t>
  </si>
  <si>
    <t>　課税支出（税込）　計</t>
    <rPh sb="6" eb="8">
      <t>ゼイコ</t>
    </rPh>
    <rPh sb="10" eb="11">
      <t>ケイ</t>
    </rPh>
    <phoneticPr fontId="4"/>
  </si>
  <si>
    <t>課税仕入れ等の税額の計算</t>
    <phoneticPr fontId="4"/>
  </si>
  <si>
    <t>端数切捨て</t>
    <phoneticPr fontId="21"/>
  </si>
  <si>
    <t>=H/J（=下記Q）</t>
    <rPh sb="6" eb="8">
      <t>カキ</t>
    </rPh>
    <phoneticPr fontId="8"/>
  </si>
  <si>
    <t>課税売上割合（端数切捨）</t>
    <rPh sb="0" eb="2">
      <t>カゼイ</t>
    </rPh>
    <rPh sb="2" eb="4">
      <t>ウリアゲ</t>
    </rPh>
    <rPh sb="4" eb="6">
      <t>ワリアイ</t>
    </rPh>
    <rPh sb="7" eb="9">
      <t>ハスウ</t>
    </rPh>
    <rPh sb="9" eb="11">
      <t>キリス</t>
    </rPh>
    <phoneticPr fontId="4"/>
  </si>
  <si>
    <t>課税売上割合の分母</t>
  </si>
  <si>
    <t>J=H＋I</t>
  </si>
  <si>
    <t>申告書⑯、付表２⑦</t>
    <rPh sb="5" eb="7">
      <t>フヒョウ</t>
    </rPh>
    <phoneticPr fontId="4"/>
  </si>
  <si>
    <t>Ｉ=3条非課税+4条非課税</t>
    <rPh sb="3" eb="4">
      <t>ジョウ</t>
    </rPh>
    <rPh sb="4" eb="7">
      <t>ヒカゼイ</t>
    </rPh>
    <rPh sb="9" eb="10">
      <t>ジョウ</t>
    </rPh>
    <rPh sb="10" eb="13">
      <t>ヒカゼイ</t>
    </rPh>
    <phoneticPr fontId="27"/>
  </si>
  <si>
    <t>　非課税売上（税込）　計</t>
    <rPh sb="1" eb="2">
      <t>ヒ</t>
    </rPh>
    <rPh sb="7" eb="9">
      <t>ゼイコ</t>
    </rPh>
    <rPh sb="11" eb="12">
      <t>ケイ</t>
    </rPh>
    <phoneticPr fontId="4"/>
  </si>
  <si>
    <t>「決算総括表」より</t>
    <phoneticPr fontId="21"/>
  </si>
  <si>
    <t>課税売上割合の分子</t>
    <phoneticPr fontId="21"/>
  </si>
  <si>
    <t>H=Dの合計+G</t>
    <rPh sb="4" eb="6">
      <t>ゴウケイ</t>
    </rPh>
    <phoneticPr fontId="8"/>
  </si>
  <si>
    <t>申告書⑮
付表２④⑤</t>
    <phoneticPr fontId="4"/>
  </si>
  <si>
    <t>管理課資料、「決算総括表」より</t>
    <phoneticPr fontId="21"/>
  </si>
  <si>
    <t>G</t>
  </si>
  <si>
    <t>Dの合計（各税率の合計）</t>
    <rPh sb="2" eb="4">
      <t>ゴウケイ</t>
    </rPh>
    <rPh sb="5" eb="6">
      <t>カク</t>
    </rPh>
    <rPh sb="6" eb="8">
      <t>ゼイリツ</t>
    </rPh>
    <rPh sb="9" eb="11">
      <t>ゴウケイ</t>
    </rPh>
    <phoneticPr fontId="27"/>
  </si>
  <si>
    <t>F=E×（消費税及び地方消費税率）</t>
    <phoneticPr fontId="4"/>
  </si>
  <si>
    <t>F=E×(消費税率）</t>
  </si>
  <si>
    <t>E=（A-B)×1/（1+消費税及び地方消費税率）</t>
  </si>
  <si>
    <t>D=（A-B-C)×（消費税及び地方消費税率）
　　/（1+消費税及び地方消費税率）</t>
    <phoneticPr fontId="4"/>
  </si>
  <si>
    <t>D=（A-B-C)×（消費税及び地方消費税率）
　　/（1+消費税及び地方消費税率）</t>
  </si>
  <si>
    <t>C</t>
  </si>
  <si>
    <t>B</t>
  </si>
  <si>
    <t>A</t>
  </si>
  <si>
    <t>　課税売上（税込）　計　</t>
    <rPh sb="6" eb="8">
      <t>ゼイコ</t>
    </rPh>
    <rPh sb="10" eb="11">
      <t>ケイ</t>
    </rPh>
    <phoneticPr fontId="4"/>
  </si>
  <si>
    <t>計算</t>
    <rPh sb="0" eb="2">
      <t>ケイサン</t>
    </rPh>
    <phoneticPr fontId="27"/>
  </si>
  <si>
    <t>1円単位での端数処理</t>
    <rPh sb="1" eb="2">
      <t>エン</t>
    </rPh>
    <rPh sb="2" eb="4">
      <t>タンイ</t>
    </rPh>
    <rPh sb="6" eb="8">
      <t>ハスウ</t>
    </rPh>
    <rPh sb="8" eb="10">
      <t>ショリ</t>
    </rPh>
    <phoneticPr fontId="4"/>
  </si>
  <si>
    <t>金額単位端数処理の取扱い</t>
    <rPh sb="0" eb="2">
      <t>キンガク</t>
    </rPh>
    <rPh sb="2" eb="4">
      <t>タンイ</t>
    </rPh>
    <rPh sb="4" eb="6">
      <t>ハスウ</t>
    </rPh>
    <rPh sb="6" eb="8">
      <t>ショリ</t>
    </rPh>
    <rPh sb="9" eb="11">
      <t>トリアツカ</t>
    </rPh>
    <phoneticPr fontId="4"/>
  </si>
  <si>
    <t>申告ベース（課税標準額千円単位、納税額百円単位）</t>
    <rPh sb="6" eb="8">
      <t>カゼイ</t>
    </rPh>
    <rPh sb="8" eb="10">
      <t>ヒョウジュン</t>
    </rPh>
    <rPh sb="10" eb="11">
      <t>ガク</t>
    </rPh>
    <rPh sb="11" eb="13">
      <t>センエン</t>
    </rPh>
    <rPh sb="13" eb="15">
      <t>タンイ</t>
    </rPh>
    <rPh sb="16" eb="18">
      <t>ノウゼイ</t>
    </rPh>
    <rPh sb="18" eb="19">
      <t>ガク</t>
    </rPh>
    <rPh sb="19" eb="21">
      <t>ヒャクエン</t>
    </rPh>
    <rPh sb="21" eb="23">
      <t>タンイ</t>
    </rPh>
    <phoneticPr fontId="4"/>
  </si>
  <si>
    <t>「消費税」を「消費税及び地方消費税」に読み替えて計算</t>
    <rPh sb="7" eb="10">
      <t>ショウヒゼイ</t>
    </rPh>
    <rPh sb="10" eb="11">
      <t>オヨ</t>
    </rPh>
    <rPh sb="12" eb="14">
      <t>チホウ</t>
    </rPh>
    <rPh sb="14" eb="17">
      <t>ショウヒゼイ</t>
    </rPh>
    <rPh sb="19" eb="20">
      <t>ヨ</t>
    </rPh>
    <rPh sb="21" eb="22">
      <t>カ</t>
    </rPh>
    <rPh sb="24" eb="26">
      <t>ケイサン</t>
    </rPh>
    <phoneticPr fontId="4"/>
  </si>
  <si>
    <t>消費税及び地方消費税の計算</t>
    <rPh sb="0" eb="3">
      <t>ショウヒゼイ</t>
    </rPh>
    <rPh sb="3" eb="4">
      <t>オヨ</t>
    </rPh>
    <rPh sb="5" eb="7">
      <t>チホウ</t>
    </rPh>
    <rPh sb="7" eb="10">
      <t>ショウヒゼイ</t>
    </rPh>
    <rPh sb="11" eb="13">
      <t>ケイサン</t>
    </rPh>
    <phoneticPr fontId="4"/>
  </si>
  <si>
    <t>申告ベース（消費税を計算後、地方消費税を計算）</t>
    <rPh sb="10" eb="12">
      <t>ケイサン</t>
    </rPh>
    <rPh sb="12" eb="13">
      <t>ゴ</t>
    </rPh>
    <rPh sb="14" eb="16">
      <t>チホウ</t>
    </rPh>
    <rPh sb="16" eb="19">
      <t>ショウヒゼイ</t>
    </rPh>
    <rPh sb="20" eb="22">
      <t>ケイサン</t>
    </rPh>
    <phoneticPr fontId="4"/>
  </si>
  <si>
    <t>区　　　　分</t>
    <rPh sb="0" eb="1">
      <t>ク</t>
    </rPh>
    <rPh sb="5" eb="6">
      <t>ブン</t>
    </rPh>
    <phoneticPr fontId="4"/>
  </si>
  <si>
    <t>資本的収支のみ</t>
    <rPh sb="0" eb="2">
      <t>シホン</t>
    </rPh>
    <phoneticPr fontId="4"/>
  </si>
  <si>
    <t>収益的収支・資本的収支の別</t>
    <rPh sb="0" eb="3">
      <t>シュウエキテキ</t>
    </rPh>
    <rPh sb="3" eb="5">
      <t>シュウシ</t>
    </rPh>
    <rPh sb="6" eb="9">
      <t>シホンテキ</t>
    </rPh>
    <rPh sb="9" eb="11">
      <t>シュウシ</t>
    </rPh>
    <rPh sb="12" eb="13">
      <t>ベツ</t>
    </rPh>
    <phoneticPr fontId="4"/>
  </si>
  <si>
    <t>申告ベース（収益的収支と資本的収支の合計額）</t>
    <rPh sb="0" eb="2">
      <t>シンコク</t>
    </rPh>
    <rPh sb="18" eb="20">
      <t>ゴウケイ</t>
    </rPh>
    <rPh sb="20" eb="21">
      <t>ガク</t>
    </rPh>
    <phoneticPr fontId="4"/>
  </si>
  <si>
    <t>地方消費税率</t>
    <rPh sb="0" eb="2">
      <t>チホウ</t>
    </rPh>
    <rPh sb="2" eb="5">
      <t>ショウヒゼイ</t>
    </rPh>
    <rPh sb="5" eb="6">
      <t>リツ</t>
    </rPh>
    <phoneticPr fontId="4"/>
  </si>
  <si>
    <t>消費税率</t>
    <rPh sb="0" eb="3">
      <t>ショウヒゼイ</t>
    </rPh>
    <rPh sb="3" eb="4">
      <t>リツ</t>
    </rPh>
    <phoneticPr fontId="4"/>
  </si>
  <si>
    <t>消費税シートより</t>
    <rPh sb="0" eb="3">
      <t>ショウヒゼイ</t>
    </rPh>
    <phoneticPr fontId="4"/>
  </si>
  <si>
    <t>　　全事業　計</t>
    <rPh sb="2" eb="5">
      <t>ゼンジギョウ</t>
    </rPh>
    <rPh sb="6" eb="7">
      <t>ケイ</t>
    </rPh>
    <phoneticPr fontId="4"/>
  </si>
  <si>
    <t>全事業 工事負担金</t>
    <rPh sb="0" eb="3">
      <t>ゼンジギョウ</t>
    </rPh>
    <rPh sb="4" eb="6">
      <t>コウジ</t>
    </rPh>
    <rPh sb="6" eb="9">
      <t>フタンキン</t>
    </rPh>
    <phoneticPr fontId="4"/>
  </si>
  <si>
    <t>全事業 受益分担金</t>
    <rPh sb="0" eb="3">
      <t>ゼンジギョウ</t>
    </rPh>
    <rPh sb="4" eb="6">
      <t>ジュエキ</t>
    </rPh>
    <rPh sb="6" eb="9">
      <t>ブンタンキン</t>
    </rPh>
    <phoneticPr fontId="4"/>
  </si>
  <si>
    <t>全事業 受益負担金</t>
    <rPh sb="0" eb="3">
      <t>ゼンジギョウ</t>
    </rPh>
    <rPh sb="4" eb="6">
      <t>ジュエキ</t>
    </rPh>
    <rPh sb="6" eb="9">
      <t>フタンキン</t>
    </rPh>
    <phoneticPr fontId="4"/>
  </si>
  <si>
    <t>全事業 国庫補助金</t>
    <rPh sb="0" eb="3">
      <t>ゼンジギョウ</t>
    </rPh>
    <phoneticPr fontId="4"/>
  </si>
  <si>
    <t>　　浄化槽　計</t>
    <rPh sb="2" eb="5">
      <t>ジョウカソウ</t>
    </rPh>
    <rPh sb="6" eb="7">
      <t>ケイ</t>
    </rPh>
    <phoneticPr fontId="4"/>
  </si>
  <si>
    <t>浄化槽 受益分担金</t>
    <rPh sb="0" eb="2">
      <t>ジョウカ</t>
    </rPh>
    <rPh sb="2" eb="3">
      <t>ソウ</t>
    </rPh>
    <rPh sb="4" eb="6">
      <t>ジュエキ</t>
    </rPh>
    <rPh sb="6" eb="9">
      <t>ブンタンキン</t>
    </rPh>
    <phoneticPr fontId="4"/>
  </si>
  <si>
    <t>浄化槽 国庫補助金</t>
    <rPh sb="0" eb="2">
      <t>ジョウカ</t>
    </rPh>
    <rPh sb="2" eb="3">
      <t>ソウ</t>
    </rPh>
    <rPh sb="4" eb="6">
      <t>コッコ</t>
    </rPh>
    <rPh sb="6" eb="9">
      <t>ホジョキン</t>
    </rPh>
    <phoneticPr fontId="4"/>
  </si>
  <si>
    <t>　　農集　計</t>
    <rPh sb="2" eb="4">
      <t>ノウシュウ</t>
    </rPh>
    <rPh sb="5" eb="6">
      <t>ケイ</t>
    </rPh>
    <phoneticPr fontId="4"/>
  </si>
  <si>
    <t>農集 受益分担金</t>
    <rPh sb="0" eb="2">
      <t>ノウシュウ</t>
    </rPh>
    <rPh sb="3" eb="5">
      <t>ジュエキ</t>
    </rPh>
    <rPh sb="5" eb="8">
      <t>ブンタンキン</t>
    </rPh>
    <phoneticPr fontId="4"/>
  </si>
  <si>
    <t>農集 国庫補助金</t>
    <rPh sb="0" eb="2">
      <t>ノウシュウ</t>
    </rPh>
    <rPh sb="3" eb="5">
      <t>コッコ</t>
    </rPh>
    <rPh sb="5" eb="8">
      <t>ホジョキン</t>
    </rPh>
    <phoneticPr fontId="4"/>
  </si>
  <si>
    <t>　　特環　計</t>
    <rPh sb="2" eb="4">
      <t>トッカン</t>
    </rPh>
    <rPh sb="5" eb="6">
      <t>ケイ</t>
    </rPh>
    <phoneticPr fontId="4"/>
  </si>
  <si>
    <t>特環 受益分担金</t>
    <rPh sb="0" eb="2">
      <t>トッカン</t>
    </rPh>
    <rPh sb="3" eb="5">
      <t>ジュエキ</t>
    </rPh>
    <rPh sb="5" eb="8">
      <t>ブンタンキン</t>
    </rPh>
    <phoneticPr fontId="4"/>
  </si>
  <si>
    <t>特環 国庫補助金</t>
    <rPh sb="0" eb="2">
      <t>トッカン</t>
    </rPh>
    <rPh sb="3" eb="5">
      <t>コッコ</t>
    </rPh>
    <rPh sb="5" eb="8">
      <t>ホジョキン</t>
    </rPh>
    <phoneticPr fontId="4"/>
  </si>
  <si>
    <t>　　公共　計</t>
    <rPh sb="2" eb="4">
      <t>コウキョウ</t>
    </rPh>
    <rPh sb="5" eb="6">
      <t>ケイ</t>
    </rPh>
    <phoneticPr fontId="4"/>
  </si>
  <si>
    <t>公共 工事負担金</t>
    <rPh sb="0" eb="2">
      <t>コウキョウ</t>
    </rPh>
    <rPh sb="3" eb="5">
      <t>コウジ</t>
    </rPh>
    <rPh sb="5" eb="8">
      <t>フタンキン</t>
    </rPh>
    <phoneticPr fontId="4"/>
  </si>
  <si>
    <t>公共 受益負担金</t>
    <rPh sb="0" eb="2">
      <t>コウキョウ</t>
    </rPh>
    <rPh sb="3" eb="5">
      <t>ジュエキ</t>
    </rPh>
    <rPh sb="5" eb="8">
      <t>フタンキン</t>
    </rPh>
    <phoneticPr fontId="4"/>
  </si>
  <si>
    <t>公共 国庫補助金</t>
    <rPh sb="0" eb="2">
      <t>コウキョウ</t>
    </rPh>
    <rPh sb="3" eb="5">
      <t>コッコ</t>
    </rPh>
    <rPh sb="5" eb="7">
      <t>ホジョ</t>
    </rPh>
    <rPh sb="7" eb="8">
      <t>キン</t>
    </rPh>
    <phoneticPr fontId="4"/>
  </si>
  <si>
    <t>圧縮記帳額
⑦=③+⑥=①-⑤</t>
    <phoneticPr fontId="4"/>
  </si>
  <si>
    <t>課税売上割合を乗じることにより控除できなくなった額
⑥=（①-②）-（③-④）</t>
    <rPh sb="7" eb="8">
      <t>ジョウ</t>
    </rPh>
    <phoneticPr fontId="4"/>
  </si>
  <si>
    <t>仕入控除税額
⑤=②-④</t>
    <phoneticPr fontId="4"/>
  </si>
  <si>
    <t>特定収入に係る課税仕入れ等の税額
④=③×課税売上割合</t>
    <phoneticPr fontId="4"/>
  </si>
  <si>
    <t>課税仕入れ等に係る特定収入に係る消費税額
不可消費税
③</t>
    <rPh sb="0" eb="2">
      <t>カゼイ</t>
    </rPh>
    <rPh sb="2" eb="4">
      <t>シイ</t>
    </rPh>
    <rPh sb="5" eb="6">
      <t>トウ</t>
    </rPh>
    <rPh sb="7" eb="8">
      <t>カカ</t>
    </rPh>
    <rPh sb="9" eb="11">
      <t>トクテイ</t>
    </rPh>
    <rPh sb="11" eb="13">
      <t>シュウニュウ</t>
    </rPh>
    <rPh sb="14" eb="15">
      <t>カカ</t>
    </rPh>
    <rPh sb="16" eb="19">
      <t>ショウヒゼイ</t>
    </rPh>
    <rPh sb="19" eb="20">
      <t>ガク</t>
    </rPh>
    <rPh sb="21" eb="23">
      <t>フカ</t>
    </rPh>
    <rPh sb="23" eb="26">
      <t>シ</t>
    </rPh>
    <phoneticPr fontId="4"/>
  </si>
  <si>
    <t>課税仕入等
に係る税額
②=①×課税売上割合</t>
    <rPh sb="7" eb="8">
      <t>カカ</t>
    </rPh>
    <rPh sb="16" eb="18">
      <t>カゼイ</t>
    </rPh>
    <rPh sb="18" eb="20">
      <t>ウリアゲ</t>
    </rPh>
    <rPh sb="20" eb="22">
      <t>ワリアイ</t>
    </rPh>
    <phoneticPr fontId="4"/>
  </si>
  <si>
    <t>仮払消費税
①</t>
    <rPh sb="0" eb="1">
      <t>カリ</t>
    </rPh>
    <rPh sb="1" eb="2">
      <t>ハラ</t>
    </rPh>
    <rPh sb="2" eb="5">
      <t>シ</t>
    </rPh>
    <phoneticPr fontId="4"/>
  </si>
  <si>
    <t>（注）　税込は、消費税還付金を除く。</t>
    <rPh sb="1" eb="2">
      <t>チュウ</t>
    </rPh>
    <rPh sb="4" eb="6">
      <t>ゼイコミ</t>
    </rPh>
    <rPh sb="8" eb="11">
      <t>ショウヒゼイ</t>
    </rPh>
    <rPh sb="11" eb="14">
      <t>カンプキン</t>
    </rPh>
    <rPh sb="15" eb="16">
      <t>ノゾ</t>
    </rPh>
    <phoneticPr fontId="31"/>
  </si>
  <si>
    <t>工事負担金</t>
    <rPh sb="0" eb="2">
      <t>コウジ</t>
    </rPh>
    <rPh sb="2" eb="5">
      <t>フタンキン</t>
    </rPh>
    <phoneticPr fontId="31"/>
  </si>
  <si>
    <t>受益者分担金</t>
    <rPh sb="0" eb="3">
      <t>ジュエキシャ</t>
    </rPh>
    <rPh sb="3" eb="6">
      <t>ブンタンキン</t>
    </rPh>
    <phoneticPr fontId="31"/>
  </si>
  <si>
    <t>受益者負担金</t>
    <rPh sb="0" eb="3">
      <t>ジュエキシャ</t>
    </rPh>
    <rPh sb="3" eb="6">
      <t>フタンキン</t>
    </rPh>
    <phoneticPr fontId="31"/>
  </si>
  <si>
    <t>県補助金</t>
    <rPh sb="0" eb="1">
      <t>ケン</t>
    </rPh>
    <rPh sb="1" eb="4">
      <t>ホジョキン</t>
    </rPh>
    <phoneticPr fontId="31"/>
  </si>
  <si>
    <t>国庫補助金</t>
    <rPh sb="0" eb="2">
      <t>コッコ</t>
    </rPh>
    <rPh sb="2" eb="5">
      <t>ホジョキン</t>
    </rPh>
    <phoneticPr fontId="31"/>
  </si>
  <si>
    <t>４条分</t>
    <rPh sb="0" eb="3">
      <t>４ジョウブン</t>
    </rPh>
    <phoneticPr fontId="31"/>
  </si>
  <si>
    <t>返還等対価、貸倒れに係る消費税額</t>
    <rPh sb="0" eb="2">
      <t>ヘンカン</t>
    </rPh>
    <rPh sb="2" eb="3">
      <t>トウ</t>
    </rPh>
    <rPh sb="3" eb="5">
      <t>タイカ</t>
    </rPh>
    <rPh sb="6" eb="7">
      <t>カシ</t>
    </rPh>
    <rPh sb="7" eb="8">
      <t>ダオ</t>
    </rPh>
    <rPh sb="10" eb="11">
      <t>カカ</t>
    </rPh>
    <rPh sb="12" eb="15">
      <t>ショウヒゼイ</t>
    </rPh>
    <rPh sb="15" eb="16">
      <t>ガク</t>
    </rPh>
    <phoneticPr fontId="31"/>
  </si>
  <si>
    <t>仕入・売上対価返還等に係る消費税額</t>
    <rPh sb="0" eb="2">
      <t>シイレ</t>
    </rPh>
    <rPh sb="3" eb="5">
      <t>ウリアゲ</t>
    </rPh>
    <rPh sb="5" eb="7">
      <t>タイカ</t>
    </rPh>
    <rPh sb="7" eb="9">
      <t>ヘンカン</t>
    </rPh>
    <rPh sb="9" eb="10">
      <t>トウ</t>
    </rPh>
    <rPh sb="11" eb="12">
      <t>カカ</t>
    </rPh>
    <rPh sb="13" eb="16">
      <t>ショウヒゼイ</t>
    </rPh>
    <rPh sb="16" eb="17">
      <t>ガク</t>
    </rPh>
    <phoneticPr fontId="31"/>
  </si>
  <si>
    <t>仮払消費税×（１－課税売上割合）分</t>
    <rPh sb="0" eb="2">
      <t>カリバラ</t>
    </rPh>
    <rPh sb="2" eb="5">
      <t>ショウヒゼイ</t>
    </rPh>
    <rPh sb="9" eb="11">
      <t>カゼイ</t>
    </rPh>
    <rPh sb="11" eb="13">
      <t>ウリアゲ</t>
    </rPh>
    <rPh sb="13" eb="15">
      <t>ワリアイ</t>
    </rPh>
    <rPh sb="16" eb="17">
      <t>ブン</t>
    </rPh>
    <phoneticPr fontId="31"/>
  </si>
  <si>
    <t>特定収入に係る課税仕入れ分</t>
    <phoneticPr fontId="31"/>
  </si>
  <si>
    <t>３条分</t>
    <rPh sb="1" eb="2">
      <t>ジョウ</t>
    </rPh>
    <rPh sb="2" eb="3">
      <t>ブン</t>
    </rPh>
    <phoneticPr fontId="31"/>
  </si>
  <si>
    <t>仕入控除できない消費税額</t>
    <rPh sb="0" eb="2">
      <t>シイレ</t>
    </rPh>
    <rPh sb="2" eb="4">
      <t>コウジョ</t>
    </rPh>
    <rPh sb="8" eb="11">
      <t>ショウヒゼイ</t>
    </rPh>
    <rPh sb="11" eb="12">
      <t>ガク</t>
    </rPh>
    <phoneticPr fontId="31"/>
  </si>
  <si>
    <t>仮払消費税合計</t>
    <rPh sb="0" eb="1">
      <t>カリ</t>
    </rPh>
    <rPh sb="1" eb="2">
      <t>ハラ</t>
    </rPh>
    <rPh sb="2" eb="5">
      <t>ショウヒゼイ</t>
    </rPh>
    <rPh sb="5" eb="7">
      <t>ゴウケイ</t>
    </rPh>
    <phoneticPr fontId="31"/>
  </si>
  <si>
    <t>仮受消費税合計</t>
    <rPh sb="0" eb="1">
      <t>カリ</t>
    </rPh>
    <rPh sb="1" eb="2">
      <t>ウケ</t>
    </rPh>
    <rPh sb="2" eb="5">
      <t>ショウヒゼイ</t>
    </rPh>
    <rPh sb="5" eb="7">
      <t>ゴウケイ</t>
    </rPh>
    <phoneticPr fontId="31"/>
  </si>
  <si>
    <t>補助金・借入金返還金</t>
    <rPh sb="0" eb="3">
      <t>ホジョキン</t>
    </rPh>
    <rPh sb="4" eb="6">
      <t>カリイレ</t>
    </rPh>
    <rPh sb="6" eb="7">
      <t>キン</t>
    </rPh>
    <rPh sb="7" eb="9">
      <t>ヘンカン</t>
    </rPh>
    <rPh sb="9" eb="10">
      <t>キン</t>
    </rPh>
    <phoneticPr fontId="31"/>
  </si>
  <si>
    <t>貸付資金企業債償還金</t>
    <rPh sb="0" eb="2">
      <t>カシツケ</t>
    </rPh>
    <rPh sb="2" eb="4">
      <t>シキン</t>
    </rPh>
    <rPh sb="4" eb="6">
      <t>キギョウ</t>
    </rPh>
    <rPh sb="6" eb="7">
      <t>サイ</t>
    </rPh>
    <rPh sb="7" eb="10">
      <t>ショウカンキン</t>
    </rPh>
    <phoneticPr fontId="31"/>
  </si>
  <si>
    <t>貸付金</t>
    <rPh sb="0" eb="2">
      <t>カシツケ</t>
    </rPh>
    <rPh sb="2" eb="3">
      <t>キン</t>
    </rPh>
    <phoneticPr fontId="31"/>
  </si>
  <si>
    <t>水洗化貸付事業費</t>
    <rPh sb="0" eb="3">
      <t>スイセンカ</t>
    </rPh>
    <rPh sb="3" eb="5">
      <t>カシツケ</t>
    </rPh>
    <rPh sb="5" eb="8">
      <t>ジギョウヒ</t>
    </rPh>
    <phoneticPr fontId="31"/>
  </si>
  <si>
    <t>企業債償還金</t>
    <rPh sb="0" eb="2">
      <t>キギョウ</t>
    </rPh>
    <rPh sb="2" eb="3">
      <t>サイ</t>
    </rPh>
    <rPh sb="3" eb="6">
      <t>ショウカンキン</t>
    </rPh>
    <phoneticPr fontId="31"/>
  </si>
  <si>
    <t>償還金</t>
    <rPh sb="0" eb="3">
      <t>ショウカンキン</t>
    </rPh>
    <phoneticPr fontId="31"/>
  </si>
  <si>
    <t>市街化区域外整備費</t>
    <rPh sb="0" eb="3">
      <t>シガイカ</t>
    </rPh>
    <rPh sb="3" eb="6">
      <t>クイキガイ</t>
    </rPh>
    <rPh sb="6" eb="9">
      <t>セイビヒ</t>
    </rPh>
    <phoneticPr fontId="31"/>
  </si>
  <si>
    <t>建設利息</t>
    <rPh sb="0" eb="2">
      <t>ケンセツ</t>
    </rPh>
    <rPh sb="2" eb="4">
      <t>リソク</t>
    </rPh>
    <phoneticPr fontId="31"/>
  </si>
  <si>
    <t>諸設備新設改良費</t>
    <rPh sb="0" eb="1">
      <t>ショ</t>
    </rPh>
    <rPh sb="1" eb="3">
      <t>セツビ</t>
    </rPh>
    <rPh sb="3" eb="5">
      <t>シンセツ</t>
    </rPh>
    <rPh sb="5" eb="7">
      <t>カイリョウ</t>
    </rPh>
    <rPh sb="7" eb="8">
      <t>ヒ</t>
    </rPh>
    <phoneticPr fontId="31"/>
  </si>
  <si>
    <t>流域下水道整備費</t>
    <rPh sb="0" eb="2">
      <t>リュウイキ</t>
    </rPh>
    <rPh sb="2" eb="5">
      <t>ゲスイドウ</t>
    </rPh>
    <rPh sb="5" eb="8">
      <t>セイビヒ</t>
    </rPh>
    <phoneticPr fontId="31"/>
  </si>
  <si>
    <t>都市下水路整備費</t>
    <rPh sb="0" eb="2">
      <t>トシ</t>
    </rPh>
    <rPh sb="2" eb="4">
      <t>ゲスイ</t>
    </rPh>
    <rPh sb="4" eb="5">
      <t>ロ</t>
    </rPh>
    <rPh sb="5" eb="8">
      <t>セイビヒ</t>
    </rPh>
    <phoneticPr fontId="31"/>
  </si>
  <si>
    <t>排水設備整備費</t>
    <rPh sb="0" eb="2">
      <t>ハイスイ</t>
    </rPh>
    <rPh sb="2" eb="4">
      <t>セツビ</t>
    </rPh>
    <rPh sb="4" eb="7">
      <t>セイビヒ</t>
    </rPh>
    <phoneticPr fontId="31"/>
  </si>
  <si>
    <t>受益者負担金業務費</t>
    <rPh sb="0" eb="3">
      <t>ジュエキシャ</t>
    </rPh>
    <rPh sb="3" eb="6">
      <t>フタンキン</t>
    </rPh>
    <rPh sb="6" eb="8">
      <t>ギョウム</t>
    </rPh>
    <rPh sb="8" eb="9">
      <t>ヒ</t>
    </rPh>
    <phoneticPr fontId="31"/>
  </si>
  <si>
    <t>公共下水道整備費</t>
    <rPh sb="0" eb="2">
      <t>コウキョウ</t>
    </rPh>
    <rPh sb="2" eb="5">
      <t>ゲスイドウ</t>
    </rPh>
    <rPh sb="5" eb="8">
      <t>セイビヒ</t>
    </rPh>
    <phoneticPr fontId="31"/>
  </si>
  <si>
    <t>建設改良費</t>
    <rPh sb="0" eb="2">
      <t>ケンセツ</t>
    </rPh>
    <rPh sb="2" eb="4">
      <t>カイリョウ</t>
    </rPh>
    <rPh sb="4" eb="5">
      <t>ヒ</t>
    </rPh>
    <phoneticPr fontId="31"/>
  </si>
  <si>
    <t>４条仮払消費税</t>
    <rPh sb="1" eb="2">
      <t>３ジョウ</t>
    </rPh>
    <rPh sb="2" eb="3">
      <t>カリ</t>
    </rPh>
    <rPh sb="3" eb="4">
      <t>ハラ</t>
    </rPh>
    <rPh sb="4" eb="7">
      <t>ショウヒゼイ</t>
    </rPh>
    <phoneticPr fontId="31"/>
  </si>
  <si>
    <t>債券償還収入</t>
    <rPh sb="0" eb="2">
      <t>サイケン</t>
    </rPh>
    <rPh sb="2" eb="4">
      <t>ショウカン</t>
    </rPh>
    <rPh sb="4" eb="6">
      <t>シュウニュウ</t>
    </rPh>
    <phoneticPr fontId="31"/>
  </si>
  <si>
    <t>その他資本的収入</t>
    <rPh sb="0" eb="3">
      <t>ソノタ</t>
    </rPh>
    <rPh sb="3" eb="6">
      <t>シホンテキ</t>
    </rPh>
    <rPh sb="6" eb="8">
      <t>シュウニュウ</t>
    </rPh>
    <phoneticPr fontId="31"/>
  </si>
  <si>
    <t>土地売却代金</t>
    <rPh sb="0" eb="2">
      <t>トチ</t>
    </rPh>
    <rPh sb="2" eb="4">
      <t>バイキャク</t>
    </rPh>
    <rPh sb="4" eb="6">
      <t>ダイキン</t>
    </rPh>
    <phoneticPr fontId="31"/>
  </si>
  <si>
    <t>固定資産売却代金</t>
    <rPh sb="0" eb="2">
      <t>コテイ</t>
    </rPh>
    <rPh sb="2" eb="4">
      <t>シサン</t>
    </rPh>
    <rPh sb="4" eb="6">
      <t>バイキャク</t>
    </rPh>
    <rPh sb="6" eb="8">
      <t>ダイキン</t>
    </rPh>
    <phoneticPr fontId="31"/>
  </si>
  <si>
    <t>貸付金回収金</t>
    <rPh sb="0" eb="2">
      <t>カシツケ</t>
    </rPh>
    <rPh sb="2" eb="3">
      <t>キン</t>
    </rPh>
    <rPh sb="3" eb="5">
      <t>カイシュウ</t>
    </rPh>
    <rPh sb="5" eb="6">
      <t>キン</t>
    </rPh>
    <phoneticPr fontId="31"/>
  </si>
  <si>
    <t>一般会計借入金</t>
    <rPh sb="0" eb="2">
      <t>イッパン</t>
    </rPh>
    <rPh sb="2" eb="4">
      <t>カイケイ</t>
    </rPh>
    <rPh sb="4" eb="6">
      <t>カリイレ</t>
    </rPh>
    <rPh sb="6" eb="7">
      <t>キン</t>
    </rPh>
    <phoneticPr fontId="31"/>
  </si>
  <si>
    <t>貸付企業債</t>
    <rPh sb="0" eb="2">
      <t>カシツケ</t>
    </rPh>
    <rPh sb="2" eb="4">
      <t>キギョウ</t>
    </rPh>
    <rPh sb="4" eb="5">
      <t>サイ</t>
    </rPh>
    <phoneticPr fontId="31"/>
  </si>
  <si>
    <t>水洗化貸付事業収入</t>
    <rPh sb="0" eb="3">
      <t>スイセンカ</t>
    </rPh>
    <rPh sb="3" eb="5">
      <t>カシツケ</t>
    </rPh>
    <rPh sb="5" eb="7">
      <t>ジギョウ</t>
    </rPh>
    <rPh sb="7" eb="9">
      <t>シュウニュウ</t>
    </rPh>
    <phoneticPr fontId="31"/>
  </si>
  <si>
    <t>他会計負担金</t>
    <rPh sb="0" eb="1">
      <t>タカイ</t>
    </rPh>
    <rPh sb="1" eb="3">
      <t>カイケイ</t>
    </rPh>
    <rPh sb="3" eb="6">
      <t>フタンキン</t>
    </rPh>
    <phoneticPr fontId="31"/>
  </si>
  <si>
    <t>受益者分担金</t>
    <rPh sb="0" eb="3">
      <t>ジュエキシャ</t>
    </rPh>
    <phoneticPr fontId="31"/>
  </si>
  <si>
    <t>負担金</t>
    <rPh sb="0" eb="3">
      <t>フタンキン</t>
    </rPh>
    <phoneticPr fontId="31"/>
  </si>
  <si>
    <t>工事受託金</t>
    <rPh sb="0" eb="2">
      <t>コウジ</t>
    </rPh>
    <rPh sb="2" eb="4">
      <t>ジュタク</t>
    </rPh>
    <rPh sb="4" eb="5">
      <t>キン</t>
    </rPh>
    <phoneticPr fontId="31"/>
  </si>
  <si>
    <t>一般会計出資金</t>
    <rPh sb="0" eb="2">
      <t>イッパン</t>
    </rPh>
    <rPh sb="2" eb="4">
      <t>カイケイ</t>
    </rPh>
    <rPh sb="4" eb="7">
      <t>シュッシキン</t>
    </rPh>
    <phoneticPr fontId="31"/>
  </si>
  <si>
    <t>借換債</t>
    <rPh sb="0" eb="2">
      <t>カリカエ</t>
    </rPh>
    <rPh sb="2" eb="3">
      <t>サイ</t>
    </rPh>
    <phoneticPr fontId="31"/>
  </si>
  <si>
    <t>建設企業債</t>
    <rPh sb="0" eb="2">
      <t>ケンセツ</t>
    </rPh>
    <rPh sb="2" eb="4">
      <t>キギョウ</t>
    </rPh>
    <rPh sb="4" eb="5">
      <t>サイ</t>
    </rPh>
    <phoneticPr fontId="31"/>
  </si>
  <si>
    <t>企業債</t>
    <rPh sb="0" eb="2">
      <t>キギョウ</t>
    </rPh>
    <rPh sb="2" eb="3">
      <t>サイ</t>
    </rPh>
    <phoneticPr fontId="31"/>
  </si>
  <si>
    <t>４条仮受消費税</t>
    <rPh sb="1" eb="2">
      <t>３ジョウ</t>
    </rPh>
    <rPh sb="2" eb="3">
      <t>カリ</t>
    </rPh>
    <rPh sb="3" eb="4">
      <t>ウケ</t>
    </rPh>
    <rPh sb="4" eb="7">
      <t>ショウヒゼイ</t>
    </rPh>
    <phoneticPr fontId="31"/>
  </si>
  <si>
    <t>予備費</t>
    <rPh sb="0" eb="3">
      <t>ヨビヒ</t>
    </rPh>
    <phoneticPr fontId="31"/>
  </si>
  <si>
    <t>その他特別損失</t>
    <rPh sb="0" eb="3">
      <t>ソノタ</t>
    </rPh>
    <rPh sb="3" eb="5">
      <t>トクベツ</t>
    </rPh>
    <rPh sb="5" eb="7">
      <t>ソンシツ</t>
    </rPh>
    <phoneticPr fontId="31"/>
  </si>
  <si>
    <t>過年度損益修正損</t>
    <rPh sb="0" eb="3">
      <t>カネンド</t>
    </rPh>
    <rPh sb="3" eb="5">
      <t>ソンエキ</t>
    </rPh>
    <rPh sb="5" eb="7">
      <t>シュウセイ</t>
    </rPh>
    <rPh sb="7" eb="8">
      <t>ソン</t>
    </rPh>
    <phoneticPr fontId="31"/>
  </si>
  <si>
    <t>特別損失</t>
    <rPh sb="0" eb="2">
      <t>トクベツ</t>
    </rPh>
    <rPh sb="2" eb="4">
      <t>ソンシツ</t>
    </rPh>
    <phoneticPr fontId="31"/>
  </si>
  <si>
    <t>雑支出</t>
    <rPh sb="0" eb="1">
      <t>ザツ</t>
    </rPh>
    <rPh sb="1" eb="3">
      <t>シシュツ</t>
    </rPh>
    <phoneticPr fontId="31"/>
  </si>
  <si>
    <t>消費税</t>
    <rPh sb="0" eb="3">
      <t>ショウヒゼイ</t>
    </rPh>
    <phoneticPr fontId="31"/>
  </si>
  <si>
    <t>繰延勘定償却</t>
    <rPh sb="0" eb="2">
      <t>クリノベ</t>
    </rPh>
    <rPh sb="2" eb="4">
      <t>カンジョウ</t>
    </rPh>
    <rPh sb="4" eb="6">
      <t>ショウキャク</t>
    </rPh>
    <phoneticPr fontId="31"/>
  </si>
  <si>
    <t>支払利息及び諸費</t>
    <rPh sb="0" eb="2">
      <t>シハライ</t>
    </rPh>
    <rPh sb="2" eb="4">
      <t>リソク</t>
    </rPh>
    <rPh sb="4" eb="5">
      <t>オヨ</t>
    </rPh>
    <rPh sb="6" eb="8">
      <t>ショヒ</t>
    </rPh>
    <phoneticPr fontId="31"/>
  </si>
  <si>
    <t>営業外費用</t>
    <rPh sb="0" eb="3">
      <t>エイギョウガイ</t>
    </rPh>
    <rPh sb="3" eb="5">
      <t>ヒヨウ</t>
    </rPh>
    <phoneticPr fontId="31"/>
  </si>
  <si>
    <t>資産減耗費</t>
    <rPh sb="0" eb="2">
      <t>シサン</t>
    </rPh>
    <rPh sb="2" eb="4">
      <t>ゲンモウ</t>
    </rPh>
    <rPh sb="4" eb="5">
      <t>ヒ</t>
    </rPh>
    <phoneticPr fontId="31"/>
  </si>
  <si>
    <t>減価償却費</t>
    <rPh sb="0" eb="2">
      <t>ゲンカ</t>
    </rPh>
    <rPh sb="2" eb="4">
      <t>ショウキャク</t>
    </rPh>
    <rPh sb="4" eb="5">
      <t>ヒ</t>
    </rPh>
    <phoneticPr fontId="31"/>
  </si>
  <si>
    <t>災害復旧費</t>
    <rPh sb="0" eb="2">
      <t>サイガイ</t>
    </rPh>
    <rPh sb="2" eb="4">
      <t>フッキュウ</t>
    </rPh>
    <rPh sb="4" eb="5">
      <t>ヒ</t>
    </rPh>
    <phoneticPr fontId="31"/>
  </si>
  <si>
    <t>浄化槽費</t>
    <rPh sb="0" eb="3">
      <t>ジョウカソウ</t>
    </rPh>
    <rPh sb="3" eb="4">
      <t>ヒ</t>
    </rPh>
    <phoneticPr fontId="31"/>
  </si>
  <si>
    <t>農集費</t>
    <rPh sb="0" eb="1">
      <t>ノウ</t>
    </rPh>
    <rPh sb="1" eb="2">
      <t>シュウ</t>
    </rPh>
    <rPh sb="2" eb="3">
      <t>ヒ</t>
    </rPh>
    <phoneticPr fontId="31"/>
  </si>
  <si>
    <t>特環費</t>
    <rPh sb="0" eb="2">
      <t>トッカン</t>
    </rPh>
    <rPh sb="2" eb="3">
      <t>ヒ</t>
    </rPh>
    <phoneticPr fontId="31"/>
  </si>
  <si>
    <t>総係費</t>
    <rPh sb="0" eb="1">
      <t>ソウ</t>
    </rPh>
    <rPh sb="1" eb="2">
      <t>カカリ</t>
    </rPh>
    <rPh sb="2" eb="3">
      <t>ヒ</t>
    </rPh>
    <phoneticPr fontId="31"/>
  </si>
  <si>
    <t>業務費</t>
    <rPh sb="0" eb="2">
      <t>ギョウム</t>
    </rPh>
    <rPh sb="2" eb="3">
      <t>ヒ</t>
    </rPh>
    <phoneticPr fontId="31"/>
  </si>
  <si>
    <t>普及促進費</t>
    <rPh sb="0" eb="2">
      <t>フキュウ</t>
    </rPh>
    <rPh sb="2" eb="5">
      <t>ソクシンヒ</t>
    </rPh>
    <phoneticPr fontId="31"/>
  </si>
  <si>
    <t>受託工事費</t>
  </si>
  <si>
    <t>処理場費</t>
    <rPh sb="0" eb="3">
      <t>ショリジョウ</t>
    </rPh>
    <rPh sb="3" eb="4">
      <t>ヒ</t>
    </rPh>
    <phoneticPr fontId="31"/>
  </si>
  <si>
    <t>ポンプ場費</t>
    <rPh sb="3" eb="4">
      <t>ジョウ</t>
    </rPh>
    <rPh sb="4" eb="5">
      <t>ヒ</t>
    </rPh>
    <phoneticPr fontId="31"/>
  </si>
  <si>
    <t>水質指導費</t>
    <rPh sb="0" eb="2">
      <t>スイシツ</t>
    </rPh>
    <rPh sb="2" eb="4">
      <t>シドウ</t>
    </rPh>
    <rPh sb="4" eb="5">
      <t>ヒ</t>
    </rPh>
    <phoneticPr fontId="31"/>
  </si>
  <si>
    <t>管きょ費</t>
    <rPh sb="3" eb="4">
      <t>ヒ</t>
    </rPh>
    <phoneticPr fontId="31"/>
  </si>
  <si>
    <t>営業費用</t>
    <rPh sb="0" eb="2">
      <t>エイギョウ</t>
    </rPh>
    <rPh sb="2" eb="4">
      <t>ヒヨウ</t>
    </rPh>
    <phoneticPr fontId="31"/>
  </si>
  <si>
    <t>３条仮払消費税</t>
    <rPh sb="0" eb="2">
      <t>３ジョウ</t>
    </rPh>
    <rPh sb="2" eb="3">
      <t>カリ</t>
    </rPh>
    <rPh sb="3" eb="4">
      <t>ハラ</t>
    </rPh>
    <rPh sb="4" eb="7">
      <t>ショウヒゼイ</t>
    </rPh>
    <phoneticPr fontId="31"/>
  </si>
  <si>
    <t>その他特別利益</t>
    <rPh sb="0" eb="3">
      <t>ソノタ</t>
    </rPh>
    <rPh sb="3" eb="5">
      <t>トクベツ</t>
    </rPh>
    <rPh sb="5" eb="7">
      <t>リエキ</t>
    </rPh>
    <phoneticPr fontId="31"/>
  </si>
  <si>
    <t>過年度損益修正益</t>
    <rPh sb="0" eb="3">
      <t>カネンド</t>
    </rPh>
    <rPh sb="3" eb="5">
      <t>ソンエキ</t>
    </rPh>
    <rPh sb="5" eb="7">
      <t>シュウセイ</t>
    </rPh>
    <rPh sb="7" eb="8">
      <t>エキ</t>
    </rPh>
    <phoneticPr fontId="31"/>
  </si>
  <si>
    <t>固定資産売却収益</t>
    <rPh sb="0" eb="2">
      <t>コテイ</t>
    </rPh>
    <rPh sb="2" eb="4">
      <t>シサン</t>
    </rPh>
    <rPh sb="4" eb="6">
      <t>バイキャク</t>
    </rPh>
    <rPh sb="6" eb="8">
      <t>シュウエキ</t>
    </rPh>
    <phoneticPr fontId="31"/>
  </si>
  <si>
    <t>特別利益</t>
    <rPh sb="0" eb="2">
      <t>トクベツ</t>
    </rPh>
    <rPh sb="2" eb="4">
      <t>リエキ</t>
    </rPh>
    <phoneticPr fontId="31"/>
  </si>
  <si>
    <t>雑収益</t>
    <rPh sb="0" eb="3">
      <t>ザツシュウエキ</t>
    </rPh>
    <phoneticPr fontId="31"/>
  </si>
  <si>
    <t>消費税還付金</t>
    <rPh sb="0" eb="3">
      <t>ショウヒゼイ</t>
    </rPh>
    <rPh sb="3" eb="6">
      <t>カンプキン</t>
    </rPh>
    <phoneticPr fontId="31"/>
  </si>
  <si>
    <t>一般会計補助金</t>
    <rPh sb="0" eb="2">
      <t>イッパン</t>
    </rPh>
    <rPh sb="2" eb="4">
      <t>カイケイ</t>
    </rPh>
    <rPh sb="4" eb="7">
      <t>ホジョキン</t>
    </rPh>
    <phoneticPr fontId="31"/>
  </si>
  <si>
    <t>受取利息</t>
    <rPh sb="0" eb="2">
      <t>ウケトリ</t>
    </rPh>
    <rPh sb="2" eb="4">
      <t>リソク</t>
    </rPh>
    <phoneticPr fontId="31"/>
  </si>
  <si>
    <t>営業外収益</t>
    <rPh sb="0" eb="3">
      <t>エイギョウガイ</t>
    </rPh>
    <rPh sb="3" eb="5">
      <t>シュウエキ</t>
    </rPh>
    <phoneticPr fontId="31"/>
  </si>
  <si>
    <t>その他営業収益</t>
    <rPh sb="0" eb="3">
      <t>ソノタ</t>
    </rPh>
    <rPh sb="3" eb="5">
      <t>エイギョウ</t>
    </rPh>
    <rPh sb="5" eb="7">
      <t>シュウエキ</t>
    </rPh>
    <phoneticPr fontId="31"/>
  </si>
  <si>
    <t>受託工事収益</t>
    <rPh sb="0" eb="2">
      <t>ジュタク</t>
    </rPh>
    <rPh sb="2" eb="4">
      <t>コウジ</t>
    </rPh>
    <rPh sb="4" eb="6">
      <t>シュウエキ</t>
    </rPh>
    <phoneticPr fontId="31"/>
  </si>
  <si>
    <t>一般会計負担金</t>
    <rPh sb="0" eb="2">
      <t>イッパン</t>
    </rPh>
    <rPh sb="2" eb="4">
      <t>カイケイ</t>
    </rPh>
    <rPh sb="4" eb="7">
      <t>フタンキン</t>
    </rPh>
    <phoneticPr fontId="31"/>
  </si>
  <si>
    <t>下水道使用料</t>
    <rPh sb="0" eb="3">
      <t>ゲスイドウ</t>
    </rPh>
    <rPh sb="3" eb="5">
      <t>シヨウ</t>
    </rPh>
    <rPh sb="5" eb="6">
      <t>リョウ</t>
    </rPh>
    <phoneticPr fontId="31"/>
  </si>
  <si>
    <t>営業収益</t>
    <rPh sb="0" eb="2">
      <t>エイギョウ</t>
    </rPh>
    <rPh sb="2" eb="4">
      <t>シュウエキ</t>
    </rPh>
    <phoneticPr fontId="31"/>
  </si>
  <si>
    <t>３条仮受消費税</t>
    <rPh sb="0" eb="2">
      <t>３ジョウ</t>
    </rPh>
    <rPh sb="2" eb="3">
      <t>カリ</t>
    </rPh>
    <rPh sb="3" eb="4">
      <t>ウケ</t>
    </rPh>
    <rPh sb="4" eb="7">
      <t>ショウヒゼイ</t>
    </rPh>
    <phoneticPr fontId="31"/>
  </si>
  <si>
    <t>消費税額（ａ－ｂ）</t>
    <rPh sb="0" eb="3">
      <t>ショウヒゼイ</t>
    </rPh>
    <rPh sb="3" eb="4">
      <t>ガク</t>
    </rPh>
    <phoneticPr fontId="31"/>
  </si>
  <si>
    <t>税　　抜　（ｂ）</t>
    <rPh sb="0" eb="1">
      <t>ゼイ</t>
    </rPh>
    <rPh sb="3" eb="4">
      <t>ヌ</t>
    </rPh>
    <phoneticPr fontId="31"/>
  </si>
  <si>
    <t>税　　込　（ａ）</t>
    <rPh sb="0" eb="4">
      <t>ゼイコミ</t>
    </rPh>
    <phoneticPr fontId="31"/>
  </si>
  <si>
    <t>平成１３年度決算見込</t>
    <rPh sb="0" eb="6">
      <t>ヘイセイ１１ネンド</t>
    </rPh>
    <rPh sb="6" eb="8">
      <t>ケッサン</t>
    </rPh>
    <rPh sb="8" eb="10">
      <t>ミコミ</t>
    </rPh>
    <phoneticPr fontId="31"/>
  </si>
  <si>
    <t>区分</t>
    <rPh sb="0" eb="2">
      <t>クブン</t>
    </rPh>
    <phoneticPr fontId="31"/>
  </si>
  <si>
    <t>（単位：千円）</t>
    <rPh sb="1" eb="3">
      <t>タンイ</t>
    </rPh>
    <rPh sb="4" eb="6">
      <t>センエン</t>
    </rPh>
    <phoneticPr fontId="31"/>
  </si>
  <si>
    <t>(単位：円)</t>
    <rPh sb="1" eb="3">
      <t>タンイ</t>
    </rPh>
    <rPh sb="4" eb="5">
      <t>エン</t>
    </rPh>
    <phoneticPr fontId="31"/>
  </si>
  <si>
    <t>計</t>
    <rPh sb="0" eb="1">
      <t>ケイ</t>
    </rPh>
    <phoneticPr fontId="31"/>
  </si>
  <si>
    <t>未払消費税納付金</t>
    <rPh sb="0" eb="1">
      <t>ミ</t>
    </rPh>
    <rPh sb="1" eb="2">
      <t>バライ</t>
    </rPh>
    <rPh sb="2" eb="5">
      <t>ショウヒゼイ</t>
    </rPh>
    <rPh sb="5" eb="8">
      <t>ノウフキン</t>
    </rPh>
    <phoneticPr fontId="31"/>
  </si>
  <si>
    <t>資本剰余金</t>
    <rPh sb="0" eb="2">
      <t>シホン</t>
    </rPh>
    <rPh sb="2" eb="5">
      <t>ジョウヨキン</t>
    </rPh>
    <phoneticPr fontId="31"/>
  </si>
  <si>
    <t>雑収益</t>
    <rPh sb="0" eb="1">
      <t>ザツ</t>
    </rPh>
    <rPh sb="1" eb="3">
      <t>シュウエキ</t>
    </rPh>
    <phoneticPr fontId="4"/>
  </si>
  <si>
    <t>仮払消費税</t>
    <rPh sb="0" eb="1">
      <t>カリ</t>
    </rPh>
    <rPh sb="1" eb="2">
      <t>ハラ</t>
    </rPh>
    <rPh sb="2" eb="5">
      <t>ショウヒゼイ</t>
    </rPh>
    <phoneticPr fontId="31"/>
  </si>
  <si>
    <t>仮受消費税</t>
    <rPh sb="0" eb="1">
      <t>カリ</t>
    </rPh>
    <rPh sb="1" eb="2">
      <t>ウケ</t>
    </rPh>
    <rPh sb="2" eb="5">
      <t>ショウヒゼイ</t>
    </rPh>
    <phoneticPr fontId="31"/>
  </si>
  <si>
    <t>貸　方</t>
    <rPh sb="0" eb="3">
      <t>カシカタ</t>
    </rPh>
    <phoneticPr fontId="31"/>
  </si>
  <si>
    <t>借　方</t>
    <rPh sb="0" eb="3">
      <t>カリカタ</t>
    </rPh>
    <phoneticPr fontId="31"/>
  </si>
  <si>
    <t>区　　　　分</t>
    <rPh sb="0" eb="6">
      <t>クブン</t>
    </rPh>
    <phoneticPr fontId="31"/>
  </si>
  <si>
    <t>合計</t>
    <rPh sb="0" eb="2">
      <t>ゴウケイ</t>
    </rPh>
    <phoneticPr fontId="31"/>
  </si>
  <si>
    <t>雑収益</t>
    <rPh sb="0" eb="1">
      <t>ザツ</t>
    </rPh>
    <phoneticPr fontId="31"/>
  </si>
  <si>
    <t>特定資金公共事業債</t>
    <rPh sb="0" eb="2">
      <t>トクテイ</t>
    </rPh>
    <rPh sb="2" eb="4">
      <t>シキン</t>
    </rPh>
    <rPh sb="4" eb="6">
      <t>コウキョウ</t>
    </rPh>
    <rPh sb="6" eb="8">
      <t>ジギョウ</t>
    </rPh>
    <rPh sb="8" eb="9">
      <t>サイ</t>
    </rPh>
    <phoneticPr fontId="31"/>
  </si>
  <si>
    <t>特定収入仮払消費税</t>
    <rPh sb="0" eb="2">
      <t>トクテイ</t>
    </rPh>
    <rPh sb="2" eb="4">
      <t>シュウニュウ</t>
    </rPh>
    <rPh sb="4" eb="6">
      <t>カリバライ</t>
    </rPh>
    <rPh sb="6" eb="9">
      <t>ショウヒゼイ</t>
    </rPh>
    <phoneticPr fontId="31"/>
  </si>
  <si>
    <t>都市下水路整備費</t>
    <rPh sb="0" eb="2">
      <t>トシ</t>
    </rPh>
    <rPh sb="2" eb="3">
      <t>ゲ</t>
    </rPh>
    <rPh sb="3" eb="5">
      <t>スイロ</t>
    </rPh>
    <rPh sb="5" eb="8">
      <t>セイビヒ</t>
    </rPh>
    <phoneticPr fontId="31"/>
  </si>
  <si>
    <t>受益者負担業務費</t>
    <rPh sb="0" eb="3">
      <t>ジュエキシャ</t>
    </rPh>
    <rPh sb="3" eb="5">
      <t>フタン</t>
    </rPh>
    <rPh sb="5" eb="7">
      <t>ギョウム</t>
    </rPh>
    <rPh sb="7" eb="8">
      <t>ヒ</t>
    </rPh>
    <phoneticPr fontId="31"/>
  </si>
  <si>
    <t>その他特別損失</t>
    <rPh sb="2" eb="3">
      <t>タ</t>
    </rPh>
    <rPh sb="3" eb="5">
      <t>トクベツ</t>
    </rPh>
    <rPh sb="5" eb="7">
      <t>ソンシツ</t>
    </rPh>
    <phoneticPr fontId="31"/>
  </si>
  <si>
    <t>企業債手数料及び取扱費</t>
    <rPh sb="0" eb="2">
      <t>キギョウ</t>
    </rPh>
    <rPh sb="2" eb="3">
      <t>サイ</t>
    </rPh>
    <rPh sb="3" eb="6">
      <t>テスウリョウ</t>
    </rPh>
    <rPh sb="6" eb="7">
      <t>オヨ</t>
    </rPh>
    <rPh sb="8" eb="10">
      <t>トリアツカイ</t>
    </rPh>
    <rPh sb="10" eb="11">
      <t>ヒ</t>
    </rPh>
    <phoneticPr fontId="31"/>
  </si>
  <si>
    <t>固定資産撤去費</t>
    <rPh sb="0" eb="2">
      <t>コテイ</t>
    </rPh>
    <rPh sb="2" eb="4">
      <t>シサン</t>
    </rPh>
    <rPh sb="4" eb="7">
      <t>テッキョヒ</t>
    </rPh>
    <phoneticPr fontId="31"/>
  </si>
  <si>
    <t>農業集落排水費</t>
    <rPh sb="0" eb="2">
      <t>ノウギョウ</t>
    </rPh>
    <rPh sb="2" eb="4">
      <t>シュウラク</t>
    </rPh>
    <rPh sb="4" eb="6">
      <t>ハイスイ</t>
    </rPh>
    <rPh sb="6" eb="7">
      <t>ヒ</t>
    </rPh>
    <phoneticPr fontId="31"/>
  </si>
  <si>
    <t>特環公共下水道費</t>
    <rPh sb="0" eb="2">
      <t>トッカン</t>
    </rPh>
    <rPh sb="2" eb="4">
      <t>コウキョウ</t>
    </rPh>
    <rPh sb="4" eb="6">
      <t>ゲスイ</t>
    </rPh>
    <rPh sb="6" eb="7">
      <t>ドウ</t>
    </rPh>
    <rPh sb="7" eb="8">
      <t>ヒ</t>
    </rPh>
    <phoneticPr fontId="31"/>
  </si>
  <si>
    <t>管きょ費</t>
    <rPh sb="0" eb="1">
      <t>カン</t>
    </rPh>
    <rPh sb="3" eb="4">
      <t>ヒ</t>
    </rPh>
    <phoneticPr fontId="31"/>
  </si>
  <si>
    <t>仮払消費税</t>
    <rPh sb="0" eb="2">
      <t>カリバライ</t>
    </rPh>
    <rPh sb="2" eb="5">
      <t>ショウヒゼイ</t>
    </rPh>
    <phoneticPr fontId="31"/>
  </si>
  <si>
    <t>資本的収入</t>
    <rPh sb="0" eb="3">
      <t>シホンテキ</t>
    </rPh>
    <rPh sb="3" eb="5">
      <t>シュウニュウ</t>
    </rPh>
    <phoneticPr fontId="31"/>
  </si>
  <si>
    <t>仮受消費税</t>
    <rPh sb="0" eb="2">
      <t>カリウケ</t>
    </rPh>
    <rPh sb="2" eb="5">
      <t>ショウヒゼイ</t>
    </rPh>
    <phoneticPr fontId="31"/>
  </si>
  <si>
    <t>下水道事業収益</t>
    <rPh sb="0" eb="3">
      <t>ゲスイドウ</t>
    </rPh>
    <rPh sb="3" eb="5">
      <t>ジギョウ</t>
    </rPh>
    <rPh sb="5" eb="7">
      <t>シュウエキ</t>
    </rPh>
    <phoneticPr fontId="31"/>
  </si>
  <si>
    <t>収益的支出に係る控除できない仕入税額の振替</t>
    <rPh sb="0" eb="3">
      <t>シュウエキテキ</t>
    </rPh>
    <rPh sb="3" eb="5">
      <t>シシュツ</t>
    </rPh>
    <rPh sb="6" eb="7">
      <t>カカ</t>
    </rPh>
    <rPh sb="8" eb="10">
      <t>コウジョ</t>
    </rPh>
    <rPh sb="14" eb="16">
      <t>シイレ</t>
    </rPh>
    <rPh sb="16" eb="18">
      <t>ゼイガク</t>
    </rPh>
    <rPh sb="19" eb="21">
      <t>フリカエ</t>
    </rPh>
    <phoneticPr fontId="31"/>
  </si>
  <si>
    <t>収益的支出に係る返還等対価、貸倒れに係る税額の振替</t>
    <rPh sb="0" eb="3">
      <t>シュウエキテキ</t>
    </rPh>
    <rPh sb="3" eb="5">
      <t>シシュツ</t>
    </rPh>
    <rPh sb="6" eb="7">
      <t>カカ</t>
    </rPh>
    <rPh sb="8" eb="10">
      <t>ヘンカン</t>
    </rPh>
    <rPh sb="10" eb="11">
      <t>トウ</t>
    </rPh>
    <rPh sb="11" eb="13">
      <t>タイカ</t>
    </rPh>
    <rPh sb="14" eb="15">
      <t>カシ</t>
    </rPh>
    <rPh sb="15" eb="16">
      <t>ダオ</t>
    </rPh>
    <rPh sb="18" eb="19">
      <t>カカ</t>
    </rPh>
    <rPh sb="20" eb="22">
      <t>ゼイガク</t>
    </rPh>
    <rPh sb="21" eb="22">
      <t>ガク</t>
    </rPh>
    <rPh sb="23" eb="25">
      <t>フリカ</t>
    </rPh>
    <phoneticPr fontId="31"/>
  </si>
  <si>
    <t>資本的支出に係る控除できない仕入税額の圧縮記帳</t>
    <rPh sb="0" eb="3">
      <t>シホンテキ</t>
    </rPh>
    <rPh sb="3" eb="5">
      <t>シシュツ</t>
    </rPh>
    <rPh sb="6" eb="7">
      <t>カカ</t>
    </rPh>
    <rPh sb="8" eb="10">
      <t>コウジョ</t>
    </rPh>
    <rPh sb="14" eb="16">
      <t>シイレ</t>
    </rPh>
    <rPh sb="16" eb="18">
      <t>ゼイガク</t>
    </rPh>
    <rPh sb="19" eb="21">
      <t>アッシュク</t>
    </rPh>
    <rPh sb="21" eb="23">
      <t>キチョウ</t>
    </rPh>
    <phoneticPr fontId="31"/>
  </si>
  <si>
    <t>資本的支出に係る控除できない仕入税額の振替</t>
    <rPh sb="0" eb="3">
      <t>シホンテキ</t>
    </rPh>
    <rPh sb="3" eb="5">
      <t>シシュツ</t>
    </rPh>
    <rPh sb="6" eb="7">
      <t>カカ</t>
    </rPh>
    <rPh sb="8" eb="10">
      <t>コウジョ</t>
    </rPh>
    <rPh sb="14" eb="16">
      <t>シイレ</t>
    </rPh>
    <rPh sb="16" eb="18">
      <t>ゼイガク</t>
    </rPh>
    <rPh sb="19" eb="21">
      <t>フリカエ</t>
    </rPh>
    <phoneticPr fontId="31"/>
  </si>
  <si>
    <t>仮払消費税の振替</t>
    <rPh sb="0" eb="2">
      <t>カリバライ</t>
    </rPh>
    <rPh sb="2" eb="5">
      <t>ショウヒゼイ</t>
    </rPh>
    <rPh sb="6" eb="8">
      <t>フリカエ</t>
    </rPh>
    <phoneticPr fontId="31"/>
  </si>
  <si>
    <t>資本的支出仮払消費税の振替</t>
    <rPh sb="0" eb="3">
      <t>シホンテキ</t>
    </rPh>
    <rPh sb="3" eb="5">
      <t>シシュツ</t>
    </rPh>
    <rPh sb="5" eb="7">
      <t>カリバライ</t>
    </rPh>
    <rPh sb="7" eb="10">
      <t>ショウヒゼイ</t>
    </rPh>
    <rPh sb="11" eb="13">
      <t>フリカエ</t>
    </rPh>
    <phoneticPr fontId="31"/>
  </si>
  <si>
    <t>収益的支出仮払消費税の振替</t>
    <rPh sb="0" eb="3">
      <t>シュウエキテキ</t>
    </rPh>
    <rPh sb="3" eb="5">
      <t>シシュツ</t>
    </rPh>
    <rPh sb="5" eb="7">
      <t>カリバライ</t>
    </rPh>
    <rPh sb="7" eb="10">
      <t>ショウヒゼイ</t>
    </rPh>
    <rPh sb="11" eb="13">
      <t>フリカエ</t>
    </rPh>
    <phoneticPr fontId="31"/>
  </si>
  <si>
    <t>資本的収入仮受消費税の振替</t>
    <rPh sb="0" eb="3">
      <t>シホンテキ</t>
    </rPh>
    <rPh sb="3" eb="5">
      <t>シュウニュウ</t>
    </rPh>
    <rPh sb="5" eb="7">
      <t>カリウケ</t>
    </rPh>
    <rPh sb="7" eb="10">
      <t>ショウヒゼイ</t>
    </rPh>
    <rPh sb="11" eb="13">
      <t>フリカエ</t>
    </rPh>
    <phoneticPr fontId="31"/>
  </si>
  <si>
    <t>収益的収入仮受消費税の振替</t>
    <rPh sb="0" eb="3">
      <t>シュウエキテキ</t>
    </rPh>
    <rPh sb="3" eb="5">
      <t>シュウニュウ</t>
    </rPh>
    <rPh sb="5" eb="7">
      <t>カリウケ</t>
    </rPh>
    <rPh sb="7" eb="10">
      <t>ショウヒゼイ</t>
    </rPh>
    <rPh sb="11" eb="13">
      <t>フリカエ</t>
    </rPh>
    <phoneticPr fontId="31"/>
  </si>
  <si>
    <t>残高</t>
    <rPh sb="0" eb="2">
      <t>ザンダカ</t>
    </rPh>
    <phoneticPr fontId="31"/>
  </si>
  <si>
    <t>金額</t>
    <rPh sb="0" eb="2">
      <t>キンガク</t>
    </rPh>
    <phoneticPr fontId="31"/>
  </si>
  <si>
    <t>科目</t>
    <rPh sb="0" eb="2">
      <t>カモク</t>
    </rPh>
    <phoneticPr fontId="31"/>
  </si>
  <si>
    <t>貸方</t>
    <rPh sb="0" eb="2">
      <t>カシカタ</t>
    </rPh>
    <phoneticPr fontId="31"/>
  </si>
  <si>
    <t>借方</t>
    <rPh sb="0" eb="2">
      <t>カリカタ</t>
    </rPh>
    <phoneticPr fontId="31"/>
  </si>
  <si>
    <t>課税仕入れに係る消費税額に、課税売上割合を乗じることにより控除できなくなった額</t>
    <rPh sb="14" eb="16">
      <t>カゼイ</t>
    </rPh>
    <rPh sb="16" eb="18">
      <t>ウリアゲ</t>
    </rPh>
    <rPh sb="18" eb="20">
      <t>ワリアイ</t>
    </rPh>
    <rPh sb="21" eb="22">
      <t>ジョウ</t>
    </rPh>
    <rPh sb="29" eb="31">
      <t>コウジョ</t>
    </rPh>
    <rPh sb="38" eb="39">
      <t>ガク</t>
    </rPh>
    <phoneticPr fontId="4"/>
  </si>
  <si>
    <t>課税売上割合を乗じることにより控除できなくなった額</t>
    <rPh sb="2" eb="4">
      <t>ウリアゲ</t>
    </rPh>
    <phoneticPr fontId="4"/>
  </si>
  <si>
    <t>雑収益計上額</t>
    <rPh sb="1" eb="3">
      <t>シュウエキ</t>
    </rPh>
    <rPh sb="3" eb="5">
      <t>ケイジョウ</t>
    </rPh>
    <phoneticPr fontId="4"/>
  </si>
  <si>
    <t>AM=P+AL-X</t>
    <phoneticPr fontId="4"/>
  </si>
  <si>
    <t>雨水（税込）</t>
    <rPh sb="0" eb="2">
      <t>ウスイ</t>
    </rPh>
    <rPh sb="3" eb="5">
      <t>ゼイコミ</t>
    </rPh>
    <phoneticPr fontId="21"/>
  </si>
  <si>
    <t>一般行政</t>
    <phoneticPr fontId="3"/>
  </si>
  <si>
    <t>一般行政</t>
    <phoneticPr fontId="3"/>
  </si>
  <si>
    <t>一般行政</t>
    <phoneticPr fontId="3"/>
  </si>
  <si>
    <t>収益的収支のみ+資本的収支のみの単純計</t>
    <rPh sb="8" eb="10">
      <t>シホン</t>
    </rPh>
    <rPh sb="16" eb="18">
      <t>タンジュン</t>
    </rPh>
    <rPh sb="18" eb="19">
      <t>ケイ</t>
    </rPh>
    <phoneticPr fontId="4"/>
  </si>
  <si>
    <t>収益的収支のみ</t>
    <phoneticPr fontId="4"/>
  </si>
  <si>
    <t>区域外消費税計算調整用→</t>
    <rPh sb="0" eb="3">
      <t>クイキガイ</t>
    </rPh>
    <rPh sb="3" eb="6">
      <t>ショウヒゼイ</t>
    </rPh>
    <rPh sb="6" eb="8">
      <t>ケイサン</t>
    </rPh>
    <rPh sb="8" eb="11">
      <t>チョウセイヨウ</t>
    </rPh>
    <phoneticPr fontId="4"/>
  </si>
  <si>
    <t>課税仕入れに係る消費税額+売上対価返還の税額　㋑</t>
    <rPh sb="0" eb="2">
      <t>カゼイ</t>
    </rPh>
    <rPh sb="2" eb="4">
      <t>シイ</t>
    </rPh>
    <rPh sb="6" eb="7">
      <t>カカ</t>
    </rPh>
    <rPh sb="8" eb="11">
      <t>ショウヒゼイ</t>
    </rPh>
    <rPh sb="11" eb="12">
      <t>ガク</t>
    </rPh>
    <rPh sb="13" eb="14">
      <t>ウ</t>
    </rPh>
    <rPh sb="14" eb="15">
      <t>ア</t>
    </rPh>
    <rPh sb="15" eb="17">
      <t>タイカ</t>
    </rPh>
    <rPh sb="17" eb="19">
      <t>ヘンカン</t>
    </rPh>
    <rPh sb="20" eb="22">
      <t>ゼイガク</t>
    </rPh>
    <rPh sb="21" eb="22">
      <t>ガク</t>
    </rPh>
    <phoneticPr fontId="4"/>
  </si>
  <si>
    <t>要調整額　㋐－㋑</t>
    <rPh sb="0" eb="1">
      <t>ヨウ</t>
    </rPh>
    <rPh sb="1" eb="3">
      <t>チョウセイ</t>
    </rPh>
    <rPh sb="3" eb="4">
      <t>ガク</t>
    </rPh>
    <phoneticPr fontId="4"/>
  </si>
  <si>
    <t>要調整額　㋒－㋓</t>
    <rPh sb="0" eb="1">
      <t>ヨウ</t>
    </rPh>
    <rPh sb="1" eb="3">
      <t>チョウセイ</t>
    </rPh>
    <rPh sb="3" eb="4">
      <t>ガク</t>
    </rPh>
    <phoneticPr fontId="4"/>
  </si>
  <si>
    <t>課税標準額に対する消費税額　㋓</t>
    <phoneticPr fontId="4"/>
  </si>
  <si>
    <t>課税仕入れ等に係る特定収入に係る消費税相当額　㋕</t>
    <phoneticPr fontId="4"/>
  </si>
  <si>
    <t>要調整額　㋔－㋕</t>
    <rPh sb="0" eb="1">
      <t>ヨウ</t>
    </rPh>
    <rPh sb="1" eb="3">
      <t>チョウセイ</t>
    </rPh>
    <rPh sb="3" eb="4">
      <t>ガク</t>
    </rPh>
    <phoneticPr fontId="4"/>
  </si>
  <si>
    <t>４条収入の仮受消費税額　㋒</t>
    <rPh sb="1" eb="2">
      <t>ジョウ</t>
    </rPh>
    <rPh sb="2" eb="4">
      <t>シュウニュウ</t>
    </rPh>
    <rPh sb="5" eb="7">
      <t>カリウケ</t>
    </rPh>
    <rPh sb="7" eb="10">
      <t>ショウヒゼイ</t>
    </rPh>
    <rPh sb="10" eb="11">
      <t>ガク</t>
    </rPh>
    <phoneticPr fontId="4"/>
  </si>
  <si>
    <t>３条収入、４条収入の特定収入に係る消費税額　㋔</t>
    <rPh sb="1" eb="2">
      <t>ジョウ</t>
    </rPh>
    <rPh sb="2" eb="4">
      <t>シュウニュウ</t>
    </rPh>
    <rPh sb="6" eb="7">
      <t>ジョウ</t>
    </rPh>
    <rPh sb="7" eb="9">
      <t>シュウニュウ</t>
    </rPh>
    <rPh sb="10" eb="12">
      <t>トクテイ</t>
    </rPh>
    <rPh sb="12" eb="14">
      <t>シュウニュウ</t>
    </rPh>
    <rPh sb="15" eb="16">
      <t>カカ</t>
    </rPh>
    <rPh sb="17" eb="20">
      <t>ショウヒゼイ</t>
    </rPh>
    <rPh sb="20" eb="21">
      <t>ガク</t>
    </rPh>
    <phoneticPr fontId="4"/>
  </si>
  <si>
    <t>調整額入力欄（Ｍの調整）</t>
    <rPh sb="0" eb="2">
      <t>チョウセイ</t>
    </rPh>
    <rPh sb="2" eb="3">
      <t>ガク</t>
    </rPh>
    <rPh sb="3" eb="5">
      <t>ニュウリョク</t>
    </rPh>
    <rPh sb="5" eb="6">
      <t>ラン</t>
    </rPh>
    <phoneticPr fontId="4"/>
  </si>
  <si>
    <t>調整額入力欄（Ｐの調整）</t>
    <rPh sb="0" eb="2">
      <t>チョウセイ</t>
    </rPh>
    <rPh sb="2" eb="3">
      <t>ガク</t>
    </rPh>
    <rPh sb="3" eb="5">
      <t>ニュウリョク</t>
    </rPh>
    <rPh sb="5" eb="6">
      <t>ラン</t>
    </rPh>
    <phoneticPr fontId="4"/>
  </si>
  <si>
    <t>調整額入力欄（Ｆの調整）</t>
    <rPh sb="0" eb="2">
      <t>チョウセイ</t>
    </rPh>
    <rPh sb="2" eb="3">
      <t>ガク</t>
    </rPh>
    <rPh sb="3" eb="5">
      <t>ニュウリョク</t>
    </rPh>
    <rPh sb="5" eb="6">
      <t>ラン</t>
    </rPh>
    <rPh sb="9" eb="11">
      <t>チョウセイ</t>
    </rPh>
    <phoneticPr fontId="4"/>
  </si>
  <si>
    <t>雨水（税抜）</t>
    <rPh sb="0" eb="2">
      <t>ウスイ</t>
    </rPh>
    <phoneticPr fontId="21"/>
  </si>
  <si>
    <t>汚水（税抜）</t>
    <rPh sb="0" eb="2">
      <t>オスイ</t>
    </rPh>
    <phoneticPr fontId="21"/>
  </si>
  <si>
    <t>３条支出、４条支出の仮払消費税額　㋐</t>
    <rPh sb="2" eb="4">
      <t>シシュツ</t>
    </rPh>
    <rPh sb="6" eb="7">
      <t>ジョウ</t>
    </rPh>
    <rPh sb="7" eb="9">
      <t>シシュツ</t>
    </rPh>
    <rPh sb="10" eb="12">
      <t>カリバラ</t>
    </rPh>
    <rPh sb="12" eb="15">
      <t>ショウヒゼイ</t>
    </rPh>
    <rPh sb="15" eb="16">
      <t>ガク</t>
    </rPh>
    <phoneticPr fontId="4"/>
  </si>
  <si>
    <t>4条圧縮シートの②　㋖</t>
    <rPh sb="1" eb="2">
      <t>ジョウ</t>
    </rPh>
    <rPh sb="2" eb="4">
      <t>アッシュク</t>
    </rPh>
    <phoneticPr fontId="4"/>
  </si>
  <si>
    <t>一括比例配分方式により控除する課税仕入れ等の税額　㋗</t>
    <rPh sb="0" eb="2">
      <t>イッカツ</t>
    </rPh>
    <rPh sb="2" eb="4">
      <t>ヒレイ</t>
    </rPh>
    <rPh sb="4" eb="6">
      <t>ハイブン</t>
    </rPh>
    <rPh sb="6" eb="8">
      <t>ホウシキ</t>
    </rPh>
    <rPh sb="11" eb="13">
      <t>コウジョ</t>
    </rPh>
    <rPh sb="15" eb="17">
      <t>カゼイ</t>
    </rPh>
    <rPh sb="17" eb="19">
      <t>シイ</t>
    </rPh>
    <rPh sb="20" eb="21">
      <t>トウ</t>
    </rPh>
    <rPh sb="22" eb="24">
      <t>ゼイガク</t>
    </rPh>
    <phoneticPr fontId="4"/>
  </si>
  <si>
    <t>要調整額　㋖－㋗</t>
    <rPh sb="0" eb="1">
      <t>ヨウ</t>
    </rPh>
    <rPh sb="1" eb="3">
      <t>チョウセイ</t>
    </rPh>
    <rPh sb="3" eb="4">
      <t>ガク</t>
    </rPh>
    <phoneticPr fontId="4"/>
  </si>
  <si>
    <t>調整額入力欄（Ｏの調整）</t>
    <rPh sb="0" eb="2">
      <t>チョウセイ</t>
    </rPh>
    <rPh sb="2" eb="3">
      <t>ガク</t>
    </rPh>
    <rPh sb="3" eb="5">
      <t>ニュウリョク</t>
    </rPh>
    <rPh sb="5" eb="6">
      <t>ラン</t>
    </rPh>
    <phoneticPr fontId="4"/>
  </si>
  <si>
    <t>4条圧縮シートの④　㋘</t>
    <rPh sb="1" eb="2">
      <t>ジョウ</t>
    </rPh>
    <rPh sb="2" eb="4">
      <t>アッシュク</t>
    </rPh>
    <phoneticPr fontId="4"/>
  </si>
  <si>
    <t>特定収入に係る課税仕入れ等の税額　㋙</t>
  </si>
  <si>
    <t>要調整額　㋘－㋙</t>
    <rPh sb="0" eb="1">
      <t>ヨウ</t>
    </rPh>
    <rPh sb="1" eb="3">
      <t>チョウセイ</t>
    </rPh>
    <rPh sb="3" eb="4">
      <t>ガク</t>
    </rPh>
    <phoneticPr fontId="4"/>
  </si>
  <si>
    <t>調整額入力欄（Ｒの調整）</t>
    <rPh sb="0" eb="2">
      <t>チョウセイ</t>
    </rPh>
    <rPh sb="2" eb="3">
      <t>ガク</t>
    </rPh>
    <rPh sb="3" eb="5">
      <t>ニュウリョク</t>
    </rPh>
    <rPh sb="5" eb="6">
      <t>ラン</t>
    </rPh>
    <phoneticPr fontId="4"/>
  </si>
  <si>
    <t>仕入対価の返還等の額（8%（軽））</t>
    <rPh sb="0" eb="2">
      <t>シイレ</t>
    </rPh>
    <rPh sb="2" eb="4">
      <t>タイカ</t>
    </rPh>
    <rPh sb="5" eb="7">
      <t>ヘンカン</t>
    </rPh>
    <rPh sb="7" eb="8">
      <t>トウ</t>
    </rPh>
    <rPh sb="9" eb="10">
      <t>ガク</t>
    </rPh>
    <rPh sb="14" eb="15">
      <t>ケイ</t>
    </rPh>
    <phoneticPr fontId="4"/>
  </si>
  <si>
    <t>8%（軽）適用部分</t>
    <rPh sb="3" eb="4">
      <t>ケイ</t>
    </rPh>
    <rPh sb="5" eb="7">
      <t>テキヨウ</t>
    </rPh>
    <rPh sb="7" eb="9">
      <t>ブブン</t>
    </rPh>
    <phoneticPr fontId="4"/>
  </si>
  <si>
    <t>売上対価の返還等の額（8%（軽））</t>
    <rPh sb="0" eb="2">
      <t>ウリアゲ</t>
    </rPh>
    <rPh sb="2" eb="4">
      <t>タイカ</t>
    </rPh>
    <rPh sb="5" eb="7">
      <t>ヘンカン</t>
    </rPh>
    <rPh sb="7" eb="8">
      <t>トウ</t>
    </rPh>
    <rPh sb="9" eb="10">
      <t>ガク</t>
    </rPh>
    <rPh sb="14" eb="15">
      <t>ケイ</t>
    </rPh>
    <phoneticPr fontId="4"/>
  </si>
  <si>
    <t>※　C×6.24/108</t>
    <phoneticPr fontId="4"/>
  </si>
  <si>
    <t>※　Y×6.24/108</t>
    <phoneticPr fontId="4"/>
  </si>
  <si>
    <t>※　E×6.24%</t>
    <phoneticPr fontId="4"/>
  </si>
  <si>
    <t>※　（K-L-B）×6.24/108　＜付表２の注３による計算＞</t>
    <rPh sb="20" eb="22">
      <t>フヒョウ</t>
    </rPh>
    <rPh sb="24" eb="25">
      <t>チュウ</t>
    </rPh>
    <rPh sb="29" eb="31">
      <t>ケイサン</t>
    </rPh>
    <phoneticPr fontId="4"/>
  </si>
  <si>
    <t>※　（K-L-B）×6.3/108　＜付表２の注３による計算＞</t>
    <rPh sb="19" eb="21">
      <t>フヒョウ</t>
    </rPh>
    <rPh sb="23" eb="24">
      <t>チュウ</t>
    </rPh>
    <rPh sb="28" eb="30">
      <t>ケイサン</t>
    </rPh>
    <phoneticPr fontId="4"/>
  </si>
  <si>
    <t>※　（K-L-B）×4/105　＜付表２の注３による計算＞</t>
    <rPh sb="17" eb="19">
      <t>フヒョウ</t>
    </rPh>
    <rPh sb="21" eb="22">
      <t>チュウ</t>
    </rPh>
    <rPh sb="26" eb="28">
      <t>ケイサン</t>
    </rPh>
    <phoneticPr fontId="4"/>
  </si>
  <si>
    <t>※　（K-L-B）×3/103　＜付表２の注３による計算＞</t>
    <rPh sb="17" eb="19">
      <t>フヒョウ</t>
    </rPh>
    <rPh sb="21" eb="22">
      <t>チュウ</t>
    </rPh>
    <rPh sb="26" eb="28">
      <t>ケイサン</t>
    </rPh>
    <phoneticPr fontId="4"/>
  </si>
  <si>
    <t>※　E×7.8%</t>
    <phoneticPr fontId="4"/>
  </si>
  <si>
    <t>F</t>
    <phoneticPr fontId="4"/>
  </si>
  <si>
    <t>※　（A－B－C）×100/110</t>
    <phoneticPr fontId="4"/>
  </si>
  <si>
    <t>E</t>
    <phoneticPr fontId="4"/>
  </si>
  <si>
    <t>※　（A－B）×100/110　　1,000円未満切捨</t>
    <phoneticPr fontId="4"/>
  </si>
  <si>
    <t>※　（K-L-B）×7.8/110　＜付表２の注３による計算＞</t>
    <rPh sb="19" eb="21">
      <t>フヒョウ</t>
    </rPh>
    <rPh sb="23" eb="24">
      <t>チュウ</t>
    </rPh>
    <rPh sb="28" eb="30">
      <t>ケイサン</t>
    </rPh>
    <phoneticPr fontId="4"/>
  </si>
  <si>
    <t>※　A×100/110</t>
    <phoneticPr fontId="4"/>
  </si>
  <si>
    <t>P</t>
    <phoneticPr fontId="4"/>
  </si>
  <si>
    <t>※　N×7.8/110</t>
    <phoneticPr fontId="4"/>
  </si>
  <si>
    <t>P</t>
    <phoneticPr fontId="4"/>
  </si>
  <si>
    <t>※　N×6.24/108</t>
    <phoneticPr fontId="4"/>
  </si>
  <si>
    <t>X</t>
    <phoneticPr fontId="4"/>
  </si>
  <si>
    <t>※　C×7.8/110</t>
    <phoneticPr fontId="4"/>
  </si>
  <si>
    <t>Z</t>
    <phoneticPr fontId="4"/>
  </si>
  <si>
    <t>※　Y×7.8/110</t>
    <phoneticPr fontId="4"/>
  </si>
  <si>
    <t>AE</t>
    <phoneticPr fontId="4"/>
  </si>
  <si>
    <t>売上対価の返還等の額（10%）</t>
    <phoneticPr fontId="4"/>
  </si>
  <si>
    <t>貸倒れに係る金額（10%）</t>
    <phoneticPr fontId="4"/>
  </si>
  <si>
    <t>仕入対価の返還等の額（8%軽）</t>
    <rPh sb="0" eb="2">
      <t>シイレ</t>
    </rPh>
    <rPh sb="2" eb="4">
      <t>タイカ</t>
    </rPh>
    <rPh sb="5" eb="7">
      <t>ヘンカン</t>
    </rPh>
    <rPh sb="7" eb="8">
      <t>トウ</t>
    </rPh>
    <rPh sb="9" eb="10">
      <t>ガク</t>
    </rPh>
    <rPh sb="13" eb="14">
      <t>ケイ</t>
    </rPh>
    <phoneticPr fontId="4"/>
  </si>
  <si>
    <t>売上対価の返還等の額（8%軽）</t>
    <rPh sb="13" eb="14">
      <t>ケイ</t>
    </rPh>
    <phoneticPr fontId="4"/>
  </si>
  <si>
    <t>申告納付額（実際の納付額）</t>
    <rPh sb="0" eb="2">
      <t>シンコク</t>
    </rPh>
    <rPh sb="2" eb="5">
      <t>ノウフガク</t>
    </rPh>
    <rPh sb="6" eb="8">
      <t>ジッサイ</t>
    </rPh>
    <rPh sb="9" eb="11">
      <t>ノウフ</t>
    </rPh>
    <rPh sb="11" eb="12">
      <t>ガク</t>
    </rPh>
    <phoneticPr fontId="4"/>
  </si>
  <si>
    <t>付表２⑨</t>
    <rPh sb="0" eb="2">
      <t>フヒョウ</t>
    </rPh>
    <phoneticPr fontId="4"/>
  </si>
  <si>
    <t>付表２⑩⑮</t>
    <rPh sb="0" eb="2">
      <t>フヒョウ</t>
    </rPh>
    <phoneticPr fontId="4"/>
  </si>
  <si>
    <t xml:space="preserve">付表２⑳
</t>
    <rPh sb="0" eb="2">
      <t>フヒョウ</t>
    </rPh>
    <phoneticPr fontId="4"/>
  </si>
  <si>
    <t>計算表５①</t>
    <phoneticPr fontId="4"/>
  </si>
  <si>
    <t>計算表５②</t>
    <phoneticPr fontId="4"/>
  </si>
  <si>
    <t>計算表５③</t>
    <phoneticPr fontId="4"/>
  </si>
  <si>
    <t>計算表５⑩</t>
    <phoneticPr fontId="4"/>
  </si>
  <si>
    <t>計算表５⑮</t>
    <phoneticPr fontId="4"/>
  </si>
  <si>
    <t>計算表５⑫</t>
    <phoneticPr fontId="4"/>
  </si>
  <si>
    <t>計算表５⑬</t>
    <phoneticPr fontId="4"/>
  </si>
  <si>
    <t>計算表５⑭</t>
    <phoneticPr fontId="4"/>
  </si>
  <si>
    <t>付表２㉑</t>
    <rPh sb="0" eb="2">
      <t>フヒョウ</t>
    </rPh>
    <phoneticPr fontId="4"/>
  </si>
  <si>
    <t>計算表５⑮</t>
    <phoneticPr fontId="4"/>
  </si>
  <si>
    <t xml:space="preserve">計算表５⑯
</t>
    <phoneticPr fontId="4"/>
  </si>
  <si>
    <t xml:space="preserve">計算表５⑯
</t>
    <phoneticPr fontId="4"/>
  </si>
  <si>
    <t>付表２㉔or㉕</t>
    <phoneticPr fontId="4"/>
  </si>
  <si>
    <t>付表１③or④</t>
    <phoneticPr fontId="4"/>
  </si>
  <si>
    <t>付表１③or④</t>
    <phoneticPr fontId="4"/>
  </si>
  <si>
    <t>計算表５①</t>
    <phoneticPr fontId="4"/>
  </si>
  <si>
    <t>計算表５⑮</t>
    <phoneticPr fontId="4"/>
  </si>
  <si>
    <t>計算表５⑫</t>
    <phoneticPr fontId="4"/>
  </si>
  <si>
    <t>計算表５⑬</t>
    <phoneticPr fontId="4"/>
  </si>
  <si>
    <t>計算表５⑭</t>
    <phoneticPr fontId="4"/>
  </si>
  <si>
    <t>計算表５⑩</t>
    <phoneticPr fontId="4"/>
  </si>
  <si>
    <t>計算表５⑮</t>
    <phoneticPr fontId="4"/>
  </si>
  <si>
    <t>計算表５⑬</t>
    <phoneticPr fontId="4"/>
  </si>
  <si>
    <t>計算表５①</t>
    <phoneticPr fontId="4"/>
  </si>
  <si>
    <t>付表１③or④</t>
    <phoneticPr fontId="4"/>
  </si>
  <si>
    <t>付表１⑧or⑨</t>
    <phoneticPr fontId="4"/>
  </si>
  <si>
    <t>付表１⑧or⑨</t>
    <phoneticPr fontId="4"/>
  </si>
  <si>
    <t>付表１⑭or⑮</t>
    <phoneticPr fontId="4"/>
  </si>
  <si>
    <t>付表１⑭or⑮</t>
    <phoneticPr fontId="4"/>
  </si>
  <si>
    <t>計算表５④</t>
    <phoneticPr fontId="4"/>
  </si>
  <si>
    <t>計算表５⑤</t>
    <phoneticPr fontId="4"/>
  </si>
  <si>
    <t>付表１②</t>
    <rPh sb="0" eb="2">
      <t>フヒョウ</t>
    </rPh>
    <phoneticPr fontId="4"/>
  </si>
  <si>
    <t>申告書②</t>
    <phoneticPr fontId="4"/>
  </si>
  <si>
    <t>付表２⑦</t>
    <rPh sb="0" eb="2">
      <t>フヒョウ</t>
    </rPh>
    <phoneticPr fontId="4"/>
  </si>
  <si>
    <t xml:space="preserve">申告書⑯
</t>
    <phoneticPr fontId="4"/>
  </si>
  <si>
    <t>付表２⑳</t>
    <rPh sb="0" eb="2">
      <t>フヒョウ</t>
    </rPh>
    <phoneticPr fontId="4"/>
  </si>
  <si>
    <t>付表２㉑</t>
    <phoneticPr fontId="4"/>
  </si>
  <si>
    <t xml:space="preserve">
付表１④
申告書④</t>
    <phoneticPr fontId="4"/>
  </si>
  <si>
    <t>Wが△の時は</t>
    <rPh sb="4" eb="5">
      <t>トキ</t>
    </rPh>
    <phoneticPr fontId="4"/>
  </si>
  <si>
    <t>※　F－AA　</t>
    <phoneticPr fontId="4"/>
  </si>
  <si>
    <t>※　F－AA　</t>
    <phoneticPr fontId="4"/>
  </si>
  <si>
    <t>※　AB×22/78</t>
    <phoneticPr fontId="4"/>
  </si>
  <si>
    <t>※　AB×25/100　</t>
    <phoneticPr fontId="4"/>
  </si>
  <si>
    <t>※　AB×17/63　</t>
    <phoneticPr fontId="4"/>
  </si>
  <si>
    <t>※　AB×22/78　</t>
    <phoneticPr fontId="4"/>
  </si>
  <si>
    <t>特環 工事負担金</t>
    <rPh sb="0" eb="2">
      <t>トッカン</t>
    </rPh>
    <rPh sb="3" eb="5">
      <t>コウジ</t>
    </rPh>
    <rPh sb="5" eb="8">
      <t>フタンキン</t>
    </rPh>
    <phoneticPr fontId="4"/>
  </si>
  <si>
    <t>農集 工事負担金</t>
    <rPh sb="0" eb="2">
      <t>ノウシュウ</t>
    </rPh>
    <rPh sb="3" eb="5">
      <t>コウジ</t>
    </rPh>
    <rPh sb="5" eb="8">
      <t>フタンキン</t>
    </rPh>
    <phoneticPr fontId="4"/>
  </si>
  <si>
    <t>浄化槽 工事負担金</t>
    <rPh sb="0" eb="3">
      <t>ジョウカソウ</t>
    </rPh>
    <rPh sb="4" eb="6">
      <t>コウジ</t>
    </rPh>
    <rPh sb="6" eb="9">
      <t>フタンキン</t>
    </rPh>
    <phoneticPr fontId="4"/>
  </si>
  <si>
    <t>　　　↑現在の決算作業では、計算式により消費税シートから値が飛ぶようになっているため不要</t>
    <rPh sb="4" eb="6">
      <t>ゲンザイ</t>
    </rPh>
    <rPh sb="7" eb="9">
      <t>ケッサン</t>
    </rPh>
    <rPh sb="9" eb="11">
      <t>サギョウ</t>
    </rPh>
    <rPh sb="14" eb="16">
      <t>ケイサン</t>
    </rPh>
    <rPh sb="16" eb="17">
      <t>シキ</t>
    </rPh>
    <rPh sb="20" eb="23">
      <t>ショウヒゼイ</t>
    </rPh>
    <rPh sb="28" eb="29">
      <t>アタイ</t>
    </rPh>
    <rPh sb="30" eb="31">
      <t>ト</t>
    </rPh>
    <rPh sb="42" eb="44">
      <t>フヨウ</t>
    </rPh>
    <phoneticPr fontId="4"/>
  </si>
  <si>
    <t>免税業者との取引額</t>
    <rPh sb="0" eb="2">
      <t>メンゼイ</t>
    </rPh>
    <rPh sb="2" eb="4">
      <t>ギョウシャ</t>
    </rPh>
    <rPh sb="6" eb="9">
      <t>トリヒキガク</t>
    </rPh>
    <phoneticPr fontId="4"/>
  </si>
  <si>
    <t>免税業者との取引額のうち控除できない税額</t>
    <rPh sb="0" eb="2">
      <t>メンゼイ</t>
    </rPh>
    <rPh sb="2" eb="4">
      <t>ギョウシャ</t>
    </rPh>
    <rPh sb="6" eb="9">
      <t>トリヒキガク</t>
    </rPh>
    <rPh sb="12" eb="14">
      <t>コウジョ</t>
    </rPh>
    <rPh sb="18" eb="20">
      <t>ゼイガク</t>
    </rPh>
    <phoneticPr fontId="4"/>
  </si>
  <si>
    <t>免税業者との取引額（税込）</t>
    <rPh sb="0" eb="2">
      <t>メンゼイ</t>
    </rPh>
    <rPh sb="2" eb="4">
      <t>ギョウシャ</t>
    </rPh>
    <rPh sb="6" eb="9">
      <t>トリヒキガク</t>
    </rPh>
    <phoneticPr fontId="4"/>
  </si>
  <si>
    <t>税控除できない額</t>
    <rPh sb="0" eb="3">
      <t>ゼイコウジョ</t>
    </rPh>
    <rPh sb="7" eb="8">
      <t>ガク</t>
    </rPh>
    <phoneticPr fontId="4"/>
  </si>
  <si>
    <t>免税業者以外との取引額</t>
    <rPh sb="0" eb="2">
      <t>メンゼイ</t>
    </rPh>
    <rPh sb="2" eb="4">
      <t>ギョウシャ</t>
    </rPh>
    <rPh sb="4" eb="6">
      <t>イガイ</t>
    </rPh>
    <rPh sb="8" eb="11">
      <t>トリヒキガク</t>
    </rPh>
    <phoneticPr fontId="4"/>
  </si>
  <si>
    <t>免税業者との取引額の税額</t>
    <rPh sb="0" eb="2">
      <t>メンゼイ</t>
    </rPh>
    <rPh sb="2" eb="4">
      <t>ギョウシャ</t>
    </rPh>
    <rPh sb="6" eb="9">
      <t>トリヒキガク</t>
    </rPh>
    <rPh sb="10" eb="12">
      <t>ゼイガク</t>
    </rPh>
    <phoneticPr fontId="4"/>
  </si>
  <si>
    <t>課税仕入れに係る消費税額</t>
    <rPh sb="0" eb="2">
      <t>カゼイ</t>
    </rPh>
    <rPh sb="2" eb="4">
      <t>シイ</t>
    </rPh>
    <rPh sb="6" eb="7">
      <t>カカ</t>
    </rPh>
    <rPh sb="8" eb="11">
      <t>ショウヒゼイ</t>
    </rPh>
    <rPh sb="11" eb="12">
      <t>ガク</t>
    </rPh>
    <phoneticPr fontId="4"/>
  </si>
  <si>
    <t>免税業者との取引額のうち控除できる税額</t>
    <rPh sb="0" eb="2">
      <t>メンゼイ</t>
    </rPh>
    <rPh sb="2" eb="4">
      <t>ギョウシャ</t>
    </rPh>
    <rPh sb="6" eb="9">
      <t>トリヒキガク</t>
    </rPh>
    <rPh sb="12" eb="14">
      <t>コウジョ</t>
    </rPh>
    <rPh sb="17" eb="19">
      <t>ゼイガク</t>
    </rPh>
    <phoneticPr fontId="4"/>
  </si>
  <si>
    <t>免税業者以外との取引額</t>
    <rPh sb="0" eb="2">
      <t>メンゼイ</t>
    </rPh>
    <rPh sb="2" eb="4">
      <t>ギョウシャ</t>
    </rPh>
    <rPh sb="4" eb="6">
      <t>イガイ</t>
    </rPh>
    <rPh sb="8" eb="11">
      <t>トリヒキガク</t>
    </rPh>
    <phoneticPr fontId="4"/>
  </si>
  <si>
    <t>免税業者以外との取引額の税額</t>
    <rPh sb="0" eb="2">
      <t>メンゼイ</t>
    </rPh>
    <rPh sb="2" eb="4">
      <t>ギョウシャ</t>
    </rPh>
    <rPh sb="4" eb="6">
      <t>イガイ</t>
    </rPh>
    <rPh sb="8" eb="11">
      <t>トリヒキガク</t>
    </rPh>
    <rPh sb="12" eb="14">
      <t>ゼイガク</t>
    </rPh>
    <phoneticPr fontId="4"/>
  </si>
  <si>
    <t>免税業者との取引額を税込額で入力</t>
    <rPh sb="0" eb="2">
      <t>メンゼイ</t>
    </rPh>
    <rPh sb="2" eb="4">
      <t>ギョウシャ</t>
    </rPh>
    <rPh sb="6" eb="9">
      <t>トリヒキガク</t>
    </rPh>
    <rPh sb="10" eb="13">
      <t>ゼイコミガク</t>
    </rPh>
    <rPh sb="14" eb="16">
      <t>ニュウリョク</t>
    </rPh>
    <phoneticPr fontId="4"/>
  </si>
  <si>
    <t>1</t>
  </si>
  <si>
    <t xml:space="preserve">    </t>
  </si>
  <si>
    <t>1502110500</t>
  </si>
  <si>
    <t>管理課</t>
  </si>
  <si>
    <t>R05/09/01</t>
  </si>
  <si>
    <t>000</t>
  </si>
  <si>
    <t>001</t>
  </si>
  <si>
    <t>021402001002015000</t>
  </si>
  <si>
    <t>未収下水道使用料５</t>
  </si>
  <si>
    <t>8</t>
  </si>
  <si>
    <t>R05/11/01</t>
  </si>
  <si>
    <t>3</t>
  </si>
  <si>
    <t>10</t>
  </si>
  <si>
    <t>R06/01/01</t>
  </si>
  <si>
    <t>021402001002013000</t>
  </si>
  <si>
    <t>未収下水道使用料３</t>
  </si>
  <si>
    <t>R05/08/01</t>
  </si>
  <si>
    <t>R06/03/15</t>
  </si>
  <si>
    <t>R06/02/01</t>
  </si>
  <si>
    <t>021402001002012000</t>
  </si>
  <si>
    <t>未収下水道使用料２</t>
  </si>
  <si>
    <t>021402001002011000</t>
  </si>
  <si>
    <t>未収下水道使用料１</t>
  </si>
  <si>
    <t>R05/12/01</t>
  </si>
  <si>
    <t>R06/03/01</t>
  </si>
  <si>
    <t>R05/04/10</t>
  </si>
  <si>
    <t>R05/04/20</t>
  </si>
  <si>
    <t>R05/04/30</t>
  </si>
  <si>
    <t>2</t>
  </si>
  <si>
    <t>R06/01/10</t>
  </si>
  <si>
    <t>下水道使用料返還金の支出</t>
  </si>
  <si>
    <t>振替伝票（未払計上）</t>
  </si>
  <si>
    <t>34005121</t>
  </si>
  <si>
    <t>0884066300</t>
  </si>
  <si>
    <t>下水道事業費用</t>
  </si>
  <si>
    <t>営業外費用</t>
  </si>
  <si>
    <t>雑支出</t>
  </si>
  <si>
    <t>その他雑支出</t>
  </si>
  <si>
    <t>921472</t>
  </si>
  <si>
    <t>下水道使用料賦課（返還金）</t>
  </si>
  <si>
    <t>088406001063000000</t>
  </si>
  <si>
    <t>051410001001000000</t>
  </si>
  <si>
    <t>その他未払金</t>
  </si>
  <si>
    <t>15</t>
  </si>
  <si>
    <t>田畑　美香</t>
  </si>
  <si>
    <t>34005121-000-001-1-0884066300-921472-15</t>
  </si>
  <si>
    <t>下水道使用料過誤納還付金の精算（１０月分）</t>
  </si>
  <si>
    <t>振替伝票（予算振替）</t>
  </si>
  <si>
    <t>37000234</t>
  </si>
  <si>
    <t>0885060600</t>
  </si>
  <si>
    <t>特別損失</t>
  </si>
  <si>
    <t>過年度損益修正損</t>
  </si>
  <si>
    <t>921481</t>
  </si>
  <si>
    <t>下水道使用料賦課徴収　　　　　</t>
  </si>
  <si>
    <t>088506001006000000</t>
  </si>
  <si>
    <t>022602001006000000</t>
  </si>
  <si>
    <t>下水道使用料還付前渡資金</t>
  </si>
  <si>
    <t>18</t>
  </si>
  <si>
    <t>37000234-000-001-1-0885060600-921481-18</t>
  </si>
  <si>
    <t>37000235</t>
  </si>
  <si>
    <t>37000235-000-001-1-0885060600-921481-18</t>
  </si>
  <si>
    <t>37000236</t>
  </si>
  <si>
    <t>37000236-000-001-1-0885060600-921481-18</t>
  </si>
  <si>
    <t>下水道使用料過誤納還付金の精算（１１月分）</t>
  </si>
  <si>
    <t>37000266</t>
  </si>
  <si>
    <t>37000266-000-001-1-0885060600-921481-18</t>
  </si>
  <si>
    <t>37000267</t>
  </si>
  <si>
    <t>37000267-000-001-1-0885060600-921481-18</t>
  </si>
  <si>
    <t>37000268</t>
  </si>
  <si>
    <t>37000268-000-001-1-0885060600-921481-18</t>
  </si>
  <si>
    <t>下水道使用料過誤納還付金の精算（１２月分）</t>
  </si>
  <si>
    <t>37000289</t>
  </si>
  <si>
    <t>37000289-000-001-1-0885060600-921481-18</t>
  </si>
  <si>
    <t>37000290</t>
  </si>
  <si>
    <t>37000290-000-001-1-0885060600-921481-18</t>
  </si>
  <si>
    <t xml:space="preserve">下水道使用料過誤納還付金の精算（１月分）                                        </t>
  </si>
  <si>
    <t>37000354</t>
  </si>
  <si>
    <t>37000354-000-001-1-0885060600-921481-18</t>
  </si>
  <si>
    <t>37000355</t>
  </si>
  <si>
    <t>37000355-000-001-1-0885060600-921481-18</t>
  </si>
  <si>
    <t xml:space="preserve">下水道使用料過誤納還付金の精算（２月分）                                        </t>
  </si>
  <si>
    <t>37000368</t>
  </si>
  <si>
    <t>37000368-000-001-1-0885060600-921481-18</t>
  </si>
  <si>
    <t>37000369</t>
  </si>
  <si>
    <t>37000369-000-001-1-0885060600-921481-18</t>
  </si>
  <si>
    <t>R06/03/31</t>
  </si>
  <si>
    <t xml:space="preserve">下水道使用料過誤納還付金の精算（３月分）                                        </t>
  </si>
  <si>
    <t>37000505</t>
  </si>
  <si>
    <t>37000505-000-001-1-0885060600-921481-18</t>
  </si>
  <si>
    <t>下水道使用料過誤納還付金の精算（４月分）</t>
  </si>
  <si>
    <t>37000043</t>
  </si>
  <si>
    <t>37000043-000-001-1-0885060600-921481-18</t>
  </si>
  <si>
    <t>37000044</t>
  </si>
  <si>
    <t>37000044-000-001-1-0885060600-921481-18</t>
  </si>
  <si>
    <t>37000045</t>
  </si>
  <si>
    <t>37000045-000-001-1-0885060600-921481-18</t>
  </si>
  <si>
    <t>37000046</t>
  </si>
  <si>
    <t>37000046-000-001-1-0885060600-921481-18</t>
  </si>
  <si>
    <t>R05/05/31</t>
  </si>
  <si>
    <t>下水道使用料過誤納還付金の精算（５月分）</t>
  </si>
  <si>
    <t>37000061</t>
  </si>
  <si>
    <t>37000061-000-001-1-0885060600-921481-18</t>
  </si>
  <si>
    <t>37000063</t>
  </si>
  <si>
    <t>37000063-000-001-1-0885060600-921481-18</t>
  </si>
  <si>
    <t>37000064</t>
  </si>
  <si>
    <t>37000064-000-001-1-0885060600-921481-18</t>
  </si>
  <si>
    <t>37000065</t>
  </si>
  <si>
    <t>37000065-000-001-1-0885060600-921481-18</t>
  </si>
  <si>
    <t>R05/07/01</t>
  </si>
  <si>
    <t>下水道使用料過誤納還付金の精算（６月分）</t>
  </si>
  <si>
    <t>37000106</t>
  </si>
  <si>
    <t>37000106-000-001-1-0885060600-921481-18</t>
  </si>
  <si>
    <t>37000107</t>
  </si>
  <si>
    <t>37000107-000-001-1-0885060600-921481-18</t>
  </si>
  <si>
    <t>37000108</t>
  </si>
  <si>
    <t>37000108-000-001-1-0885060600-921481-18</t>
  </si>
  <si>
    <t>37000109</t>
  </si>
  <si>
    <t>37000109-000-001-1-0885060600-921481-18</t>
  </si>
  <si>
    <t>37000110</t>
  </si>
  <si>
    <t>37000110-000-001-1-0885060600-921481-18</t>
  </si>
  <si>
    <t>下水道使用料過誤納還付金の精算（７月分）</t>
  </si>
  <si>
    <t>37000157</t>
  </si>
  <si>
    <t>37000157-000-001-1-0885060600-921481-18</t>
  </si>
  <si>
    <t>37000158</t>
  </si>
  <si>
    <t>37000158-000-001-1-0885060600-921481-18</t>
  </si>
  <si>
    <t>37000159</t>
  </si>
  <si>
    <t>37000159-000-001-1-0885060600-921481-18</t>
  </si>
  <si>
    <t>37000160</t>
  </si>
  <si>
    <t>37000160-000-001-1-0885060600-921481-18</t>
  </si>
  <si>
    <t>37000161</t>
  </si>
  <si>
    <t>37000161-000-001-1-0885060600-921481-18</t>
  </si>
  <si>
    <t>下水道使用料過誤納還付金の精算（８月分）</t>
  </si>
  <si>
    <t>37000183</t>
  </si>
  <si>
    <t>37000183-000-001-1-0885060600-921481-18</t>
  </si>
  <si>
    <t>37000184</t>
  </si>
  <si>
    <t>37000184-000-001-1-0885060600-921481-18</t>
  </si>
  <si>
    <t>37000185</t>
  </si>
  <si>
    <t>37000185-000-001-1-0885060600-921481-18</t>
  </si>
  <si>
    <t>37000186</t>
  </si>
  <si>
    <t>37000186-000-001-1-0885060600-921481-18</t>
  </si>
  <si>
    <t>R05/10/01</t>
  </si>
  <si>
    <t>下水道使用料過誤納還付金の精算（９月分）</t>
  </si>
  <si>
    <t>37000205</t>
  </si>
  <si>
    <t>37000205-000-001-1-0885060600-921481-18</t>
  </si>
  <si>
    <t>37000206</t>
  </si>
  <si>
    <t>37000206-000-001-1-0885060600-921481-18</t>
  </si>
  <si>
    <t>37000207</t>
  </si>
  <si>
    <t>37000207-000-001-1-0885060600-921481-18</t>
  </si>
  <si>
    <t>37000208</t>
  </si>
  <si>
    <t>37000208-000-001-1-0885060600-921481-18</t>
  </si>
  <si>
    <t>R05/04/18</t>
  </si>
  <si>
    <t>過年度分下水道使用料過誤納還付金（口座還付分）</t>
  </si>
  <si>
    <t>37000037</t>
  </si>
  <si>
    <t>021402001002010000</t>
  </si>
  <si>
    <t>未収下水道使用料０</t>
  </si>
  <si>
    <t>37000037-000-001-1-0885060600-921481-18</t>
  </si>
  <si>
    <t>R05/05/09</t>
  </si>
  <si>
    <t>37000038</t>
  </si>
  <si>
    <t>37000038-000-001-1-0885060600-921481-15</t>
  </si>
  <si>
    <t>R05/04/26</t>
  </si>
  <si>
    <t>37000039</t>
  </si>
  <si>
    <t>37000039-000-001-1-0885060600-921481-15</t>
  </si>
  <si>
    <t>R06/03/18</t>
  </si>
  <si>
    <t xml:space="preserve">過年度分下水道使用料過誤納還付金（口座還付分）                                  </t>
  </si>
  <si>
    <t>37000411</t>
  </si>
  <si>
    <t>37000411-000-001-1-0885060600-921481-18</t>
  </si>
  <si>
    <t>R06/02/06</t>
  </si>
  <si>
    <t>37000338</t>
  </si>
  <si>
    <t>37000338-000-001-1-0885060600-921481-18</t>
  </si>
  <si>
    <t>R06/02/27</t>
  </si>
  <si>
    <t>37000356</t>
  </si>
  <si>
    <t>37000356-000-001-1-0885060600-921481-18</t>
  </si>
  <si>
    <t>R05/12/18</t>
  </si>
  <si>
    <t>37000269</t>
  </si>
  <si>
    <t>37000269-000-001-1-0885060600-921481-18</t>
  </si>
  <si>
    <t>R06/01/09</t>
  </si>
  <si>
    <t>37000296</t>
  </si>
  <si>
    <t>37000296-000-001-1-0885060600-921481-18</t>
  </si>
  <si>
    <t>37000297</t>
  </si>
  <si>
    <t>37000297-000-001-1-0885060600-921481-15</t>
  </si>
  <si>
    <t>R06/01/16</t>
  </si>
  <si>
    <t>37000302</t>
  </si>
  <si>
    <t>37000302-000-001-1-0885060600-921481-18</t>
  </si>
  <si>
    <t>R05/11/28</t>
  </si>
  <si>
    <t>37000252</t>
  </si>
  <si>
    <t>37000252-000-001-1-0885060600-921481-18</t>
  </si>
  <si>
    <t>R05/11/16</t>
  </si>
  <si>
    <t>37000237</t>
  </si>
  <si>
    <t>37000237-000-001-1-0885060600-921481-15</t>
  </si>
  <si>
    <t>37000098</t>
  </si>
  <si>
    <t>37000098-000-001-1-0885060600-921481-18</t>
  </si>
  <si>
    <t>37000099</t>
  </si>
  <si>
    <t>37000099-000-001-1-0885060600-921481-18</t>
  </si>
  <si>
    <t>37000100</t>
  </si>
  <si>
    <t>37000100-000-001-1-0885060600-921481-15</t>
  </si>
  <si>
    <t>37000101</t>
  </si>
  <si>
    <t>37000101-000-001-1-0885060600-921481-18</t>
  </si>
  <si>
    <t>37000102</t>
  </si>
  <si>
    <t>37000102-000-001-1-0885060600-921481-18</t>
  </si>
  <si>
    <t>37000103</t>
  </si>
  <si>
    <t>37000103-000-001-1-0885060600-921481-18</t>
  </si>
  <si>
    <t>R05/07/06</t>
  </si>
  <si>
    <t>37000104</t>
  </si>
  <si>
    <t>37000104-000-001-1-0885060600-921481-18</t>
  </si>
  <si>
    <t>R05/09/19</t>
  </si>
  <si>
    <t>37000194</t>
  </si>
  <si>
    <t>37000194-000-001-1-0885060600-921481-18</t>
  </si>
  <si>
    <t>37000162</t>
  </si>
  <si>
    <t>37000162-000-001-1-0885060600-921481-18</t>
  </si>
  <si>
    <t>37000163</t>
  </si>
  <si>
    <t>37000163-000-001-1-0885060600-921481-18</t>
  </si>
  <si>
    <t>R05/08/08</t>
  </si>
  <si>
    <t>37000164</t>
  </si>
  <si>
    <t>37000164-000-001-1-0885060600-921481-18</t>
  </si>
  <si>
    <t>R05/08/16</t>
  </si>
  <si>
    <t>37000165</t>
  </si>
  <si>
    <t>37000165-000-001-1-0885060600-921481-18</t>
  </si>
  <si>
    <t>R05/08/28</t>
  </si>
  <si>
    <t>37000166</t>
  </si>
  <si>
    <t>37000166-000-001-1-0885060600-921481-18</t>
  </si>
  <si>
    <t>R05/09/06</t>
  </si>
  <si>
    <t>37000182</t>
  </si>
  <si>
    <t>37000182-000-001-1-0885060600-921481-18</t>
  </si>
  <si>
    <t>R05/10/26</t>
  </si>
  <si>
    <t>37000218</t>
  </si>
  <si>
    <t>37000218-000-001-1-0885060600-921481-15</t>
  </si>
  <si>
    <t>平成３０年度下水道使用料減額調定　１件</t>
  </si>
  <si>
    <t>37000181</t>
  </si>
  <si>
    <t>37000181-000-001-1-0885060600-921481-15</t>
  </si>
  <si>
    <t xml:space="preserve">令和２年度下水道使用料減額調定　１件                                            </t>
  </si>
  <si>
    <t>37000471</t>
  </si>
  <si>
    <t>37000471-000-001-1-0885060600-921481-18</t>
  </si>
  <si>
    <t>令和２年度下水道使用料減額調定　１件</t>
  </si>
  <si>
    <t>37000240</t>
  </si>
  <si>
    <t>37000240-000-001-1-0885060600-921481-15</t>
  </si>
  <si>
    <t>37000245</t>
  </si>
  <si>
    <t>37000245-000-001-1-0885060600-921481-18</t>
  </si>
  <si>
    <t>37000145</t>
  </si>
  <si>
    <t>37000145-000-001-1-0885060600-921481-18</t>
  </si>
  <si>
    <t>令和２年度下水道使用料減額調定　３件</t>
  </si>
  <si>
    <t>37000300</t>
  </si>
  <si>
    <t>37000300-000-001-1-0885060600-921481-18</t>
  </si>
  <si>
    <t>令和３年度下水道使用料減額調定　２件</t>
  </si>
  <si>
    <t>37000180</t>
  </si>
  <si>
    <t>37000180-000-001-1-0885060600-921481-18</t>
  </si>
  <si>
    <t>令和４年度下水道使用料減額調定　１０件</t>
  </si>
  <si>
    <t>37000060</t>
  </si>
  <si>
    <t>37000060-000-001-1-0885060600-921481-18</t>
  </si>
  <si>
    <t>令和４年度下水道使用料減額調定　１３件</t>
  </si>
  <si>
    <t>37000059</t>
  </si>
  <si>
    <t>37000059-000-001-1-0885060600-921481-18</t>
  </si>
  <si>
    <t>令和４年度下水道使用料減額調定　１件</t>
  </si>
  <si>
    <t>37000279</t>
  </si>
  <si>
    <t>37000279-000-001-1-0885060600-921481-18</t>
  </si>
  <si>
    <t>37000301</t>
  </si>
  <si>
    <t>37000301-000-001-1-0885060600-921481-18</t>
  </si>
  <si>
    <t>37000151</t>
  </si>
  <si>
    <t>37000151-000-001-1-0885060600-921481-18</t>
  </si>
  <si>
    <t>37000147</t>
  </si>
  <si>
    <t>37000147-000-001-1-0885060600-921481-18</t>
  </si>
  <si>
    <t>37000178</t>
  </si>
  <si>
    <t>37000178-000-001-1-0885060600-921481-18</t>
  </si>
  <si>
    <t>令和４年度下水道使用料減額調定　２件</t>
  </si>
  <si>
    <t>37000153</t>
  </si>
  <si>
    <t>37000153-000-001-1-0885060600-921481-18</t>
  </si>
  <si>
    <t>令和４年度下水道使用料減額調定　３件</t>
  </si>
  <si>
    <t>37000152</t>
  </si>
  <si>
    <t>37000152-000-001-1-0885060600-921481-18</t>
  </si>
  <si>
    <t>令和４年度下水道使用料減額調定　４件</t>
  </si>
  <si>
    <t>37000142</t>
  </si>
  <si>
    <t>37000142-000-001-1-0885060600-921481-18</t>
  </si>
  <si>
    <t>37000144</t>
  </si>
  <si>
    <t>37000144-000-001-1-0885060600-921481-18</t>
  </si>
  <si>
    <t>令和４年度下水道使用料減額調定　６件</t>
  </si>
  <si>
    <t>37000146</t>
  </si>
  <si>
    <t>37000146-000-001-1-0885060600-921481-18</t>
  </si>
  <si>
    <t>令和４年度下水道使用料減額調定　７件</t>
  </si>
  <si>
    <t>37000076</t>
  </si>
  <si>
    <t>37000076-000-001-1-0885060600-921481-18</t>
  </si>
  <si>
    <t>令和４年度下水道使用料減額調定　８件</t>
  </si>
  <si>
    <t>37000150</t>
  </si>
  <si>
    <t>37000150-000-001-1-0885060600-921481-18</t>
  </si>
  <si>
    <t>37000143</t>
  </si>
  <si>
    <t>37000143-000-001-1-0885060600-921481-18</t>
  </si>
  <si>
    <t>令和４年度下水道使用料減額調定　９件</t>
  </si>
  <si>
    <t>37000179</t>
  </si>
  <si>
    <t>37000179-000-001-1-0885060600-921481-18</t>
  </si>
  <si>
    <t>令和４年度下水道使用料減額調定（特環）　１件</t>
  </si>
  <si>
    <t>37000066</t>
  </si>
  <si>
    <t>921516</t>
  </si>
  <si>
    <t>下水道使用料賦課修正損（特環）</t>
  </si>
  <si>
    <t>37000066-000-001-1-0885060600-921516-18</t>
  </si>
  <si>
    <t>令和４年度下水道使用料減額調定（農集）　０件</t>
  </si>
  <si>
    <t>37000069</t>
  </si>
  <si>
    <t>921614</t>
  </si>
  <si>
    <t>下水道使用料賦課修正損（農集）</t>
  </si>
  <si>
    <t>37000069-000-001-1-0885060600-921614-18</t>
  </si>
  <si>
    <t>AAA</t>
    <phoneticPr fontId="4"/>
  </si>
  <si>
    <t>AAA</t>
    <phoneticPr fontId="4"/>
  </si>
  <si>
    <t>一般行政</t>
    <phoneticPr fontId="3"/>
  </si>
  <si>
    <t>免税事業者との取引額</t>
    <rPh sb="0" eb="5">
      <t>メンゼイジギョウシャ</t>
    </rPh>
    <rPh sb="7" eb="10">
      <t>トリヒキガク</t>
    </rPh>
    <phoneticPr fontId="4"/>
  </si>
  <si>
    <t>免税事業者に係る控除不能額【R5決算：追加】</t>
    <rPh sb="0" eb="2">
      <t>メンゼイ</t>
    </rPh>
    <rPh sb="2" eb="5">
      <t>ジギョウシャ</t>
    </rPh>
    <rPh sb="6" eb="7">
      <t>カカ</t>
    </rPh>
    <rPh sb="8" eb="10">
      <t>コウジョ</t>
    </rPh>
    <rPh sb="10" eb="12">
      <t>フノウ</t>
    </rPh>
    <rPh sb="12" eb="13">
      <t>ガク</t>
    </rPh>
    <rPh sb="16" eb="18">
      <t>ケッサン</t>
    </rPh>
    <rPh sb="19" eb="21">
      <t>ツイカ</t>
    </rPh>
    <phoneticPr fontId="4"/>
  </si>
  <si>
    <t>免税事業者に係る控除不能額</t>
    <rPh sb="0" eb="5">
      <t>メンゼイジギョウシャ</t>
    </rPh>
    <rPh sb="6" eb="7">
      <t>カカ</t>
    </rPh>
    <rPh sb="8" eb="13">
      <t>コウジョフノウガク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</si>
</sst>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0;&quot;△ &quot;#,##0"/>
    <numFmt numFmtId="177" formatCode="0.0%"/>
    <numFmt numFmtId="178" formatCode="#,##0_ ;[Red]\-#,##0\ "/>
    <numFmt numFmtId="179" formatCode="[&lt;=999]000;[&lt;=9999]000\-00;000\-0000"/>
    <numFmt numFmtId="180" formatCode="#,##0;&quot;▲ &quot;#,##0"/>
    <numFmt numFmtId="181" formatCode="General&quot; （軽）&quot;"/>
  </numFmts>
  <fonts count="44">
    <font>
      <sz val="11"/>
      <name val="ＭＳ Ｐゴシック"/>
      <family val="3"/>
      <charset val="128"/>
    </font>
    <font>
      <sz val="11"/>
      <color theme="1"/>
      <name val="ＭＳ Ｐゴシック"/>
      <family val="3"/>
      <charset val="128"/>
      <scheme val="minor"/>
    </font>
    <font>
      <sz val="9"/>
      <color theme="1"/>
      <name val="ＭＳ Ｐゴシック"/>
      <family val="3"/>
      <charset val="128"/>
      <scheme val="minor"/>
    </font>
    <font>
      <sz val="6"/>
      <name val="ＭＳ Ｐゴシック"/>
      <family val="2"/>
      <charset val="128"/>
      <scheme val="minor"/>
    </font>
    <font>
      <sz val="6"/>
      <name val="ＭＳ Ｐゴシック"/>
      <family val="3"/>
      <charset val="128"/>
    </font>
    <font>
      <sz val="8"/>
      <color theme="1"/>
      <name val="ＭＳ Ｐゴシック"/>
      <family val="3"/>
      <charset val="128"/>
      <scheme val="minor"/>
    </font>
    <font>
      <sz val="11"/>
      <name val="ＭＳ Ｐゴシック"/>
      <family val="3"/>
      <charset val="128"/>
    </font>
    <font>
      <sz val="12"/>
      <color theme="1"/>
      <name val="ＭＳ Ｐゴシック"/>
      <family val="3"/>
      <charset val="128"/>
      <scheme val="minor"/>
    </font>
    <font>
      <b/>
      <sz val="9"/>
      <color indexed="81"/>
      <name val="ＭＳ Ｐゴシック"/>
      <family val="3"/>
      <charset val="128"/>
    </font>
    <font>
      <sz val="10"/>
      <name val="ＭＳ 明朝"/>
      <family val="1"/>
      <charset val="128"/>
    </font>
    <font>
      <sz val="11"/>
      <color theme="1"/>
      <name val="ＭＳ Ｐゴシック"/>
      <family val="2"/>
      <scheme val="minor"/>
    </font>
    <font>
      <sz val="11"/>
      <name val="ＭＳ Ｐ明朝"/>
      <family val="1"/>
      <charset val="128"/>
    </font>
    <font>
      <sz val="8"/>
      <name val="ＭＳ Ｐゴシック"/>
      <family val="3"/>
      <charset val="128"/>
    </font>
    <font>
      <sz val="9"/>
      <name val="ＭＳ Ｐゴシック"/>
      <family val="3"/>
      <charset val="128"/>
    </font>
    <font>
      <b/>
      <sz val="11"/>
      <name val="ＭＳ Ｐゴシック"/>
      <family val="3"/>
      <charset val="128"/>
    </font>
    <font>
      <b/>
      <sz val="12"/>
      <name val="ＭＳ Ｐゴシック"/>
      <family val="3"/>
      <charset val="128"/>
    </font>
    <font>
      <b/>
      <sz val="14"/>
      <name val="ＭＳ Ｐゴシック"/>
      <family val="3"/>
      <charset val="128"/>
    </font>
    <font>
      <sz val="9"/>
      <color indexed="81"/>
      <name val="ＭＳ Ｐゴシック"/>
      <family val="3"/>
      <charset val="128"/>
    </font>
    <font>
      <sz val="11"/>
      <color indexed="81"/>
      <name val="ＭＳ Ｐゴシック"/>
      <family val="3"/>
      <charset val="128"/>
    </font>
    <font>
      <b/>
      <sz val="11"/>
      <color indexed="10"/>
      <name val="ＭＳ Ｐゴシック"/>
      <family val="3"/>
      <charset val="128"/>
    </font>
    <font>
      <b/>
      <u/>
      <sz val="11"/>
      <color indexed="81"/>
      <name val="ＭＳ Ｐゴシック"/>
      <family val="3"/>
      <charset val="128"/>
    </font>
    <font>
      <sz val="6"/>
      <name val="ＭＳ Ｐゴシック"/>
      <family val="3"/>
      <charset val="128"/>
      <scheme val="minor"/>
    </font>
    <font>
      <b/>
      <sz val="11"/>
      <color theme="1"/>
      <name val="ＭＳ Ｐゴシック"/>
      <family val="3"/>
      <charset val="128"/>
      <scheme val="minor"/>
    </font>
    <font>
      <b/>
      <sz val="11"/>
      <color rgb="FFFF0000"/>
      <name val="ＭＳ Ｐゴシック"/>
      <family val="3"/>
      <charset val="128"/>
      <scheme val="minor"/>
    </font>
    <font>
      <sz val="11"/>
      <color rgb="FF0000FF"/>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sz val="11"/>
      <color indexed="10"/>
      <name val="ＭＳ Ｐゴシック"/>
      <family val="3"/>
      <charset val="128"/>
    </font>
    <font>
      <sz val="10"/>
      <color theme="1"/>
      <name val="ＭＳ Ｐゴシック"/>
      <family val="3"/>
      <charset val="128"/>
      <scheme val="minor"/>
    </font>
    <font>
      <b/>
      <sz val="9"/>
      <color indexed="10"/>
      <name val="ＭＳ Ｐゴシック"/>
      <family val="3"/>
      <charset val="128"/>
    </font>
    <font>
      <sz val="10"/>
      <name val="ＭＳ Ｐゴシック"/>
      <family val="3"/>
      <charset val="128"/>
    </font>
    <font>
      <sz val="6"/>
      <name val="ＭＳ Ｐ明朝"/>
      <family val="1"/>
      <charset val="128"/>
    </font>
    <font>
      <sz val="9"/>
      <name val="ＭＳ Ｐ明朝"/>
      <family val="1"/>
      <charset val="128"/>
    </font>
    <font>
      <sz val="10"/>
      <name val="ＭＳ Ｐ明朝"/>
      <family val="1"/>
      <charset val="128"/>
    </font>
    <font>
      <sz val="7"/>
      <name val="ＭＳ Ｐ明朝"/>
      <family val="1"/>
      <charset val="128"/>
    </font>
    <font>
      <sz val="8"/>
      <name val="ＭＳ Ｐ明朝"/>
      <family val="1"/>
      <charset val="128"/>
    </font>
    <font>
      <sz val="11"/>
      <color rgb="FFFF0000"/>
      <name val="ＭＳ Ｐ明朝"/>
      <family val="1"/>
      <charset val="128"/>
    </font>
    <font>
      <sz val="8"/>
      <color rgb="FFFF0000"/>
      <name val="ＭＳ Ｐ明朝"/>
      <family val="1"/>
      <charset val="128"/>
    </font>
    <font>
      <b/>
      <sz val="11"/>
      <color indexed="81"/>
      <name val="ＭＳ Ｐゴシック"/>
      <family val="3"/>
      <charset val="128"/>
    </font>
    <font>
      <b/>
      <sz val="9"/>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9"/>
      <color indexed="10"/>
      <name val="MS P ゴシック"/>
      <family val="3"/>
      <charset val="128"/>
    </font>
    <font>
      <sz val="9"/>
      <color rgb="FFFF0000"/>
      <name val="ＭＳ Ｐゴシック"/>
      <family val="3"/>
      <charset val="128"/>
      <scheme val="minor"/>
    </font>
  </fonts>
  <fills count="1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CC0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6699FF"/>
        <bgColor indexed="64"/>
      </patternFill>
    </fill>
    <fill>
      <patternFill patternType="solid">
        <fgColor theme="0" tint="-0.249977111117893"/>
        <bgColor indexed="64"/>
      </patternFill>
    </fill>
    <fill>
      <patternFill patternType="solid">
        <fgColor rgb="FF92D050"/>
        <bgColor indexed="64"/>
      </patternFill>
    </fill>
    <fill>
      <patternFill patternType="solid">
        <fgColor rgb="FF00B050"/>
        <bgColor indexed="64"/>
      </patternFill>
    </fill>
    <fill>
      <patternFill patternType="solid">
        <fgColor theme="0" tint="-0.14999847407452621"/>
        <bgColor indexed="64"/>
      </patternFill>
    </fill>
    <fill>
      <patternFill patternType="solid">
        <fgColor indexed="13"/>
        <bgColor indexed="64"/>
      </patternFill>
    </fill>
    <fill>
      <patternFill patternType="solid">
        <fgColor rgb="FF00FF00"/>
        <bgColor indexed="64"/>
      </patternFill>
    </fill>
    <fill>
      <patternFill patternType="solid">
        <fgColor rgb="FFFFCCFF"/>
        <bgColor indexed="64"/>
      </patternFill>
    </fill>
    <fill>
      <patternFill patternType="solid">
        <fgColor theme="5" tint="0.39997558519241921"/>
        <bgColor indexed="64"/>
      </patternFill>
    </fill>
    <fill>
      <patternFill patternType="solid">
        <fgColor theme="5" tint="0.59999389629810485"/>
        <bgColor indexed="64"/>
      </patternFill>
    </fill>
  </fills>
  <borders count="146">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medium">
        <color indexed="64"/>
      </left>
      <right/>
      <top/>
      <bottom/>
      <diagonal/>
    </border>
    <border>
      <left/>
      <right/>
      <top/>
      <bottom style="medium">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diagonalUp="1">
      <left style="thin">
        <color indexed="64"/>
      </left>
      <right style="thin">
        <color indexed="64"/>
      </right>
      <top style="thin">
        <color indexed="64"/>
      </top>
      <bottom style="thin">
        <color indexed="64"/>
      </bottom>
      <diagonal style="hair">
        <color indexed="64"/>
      </diagonal>
    </border>
    <border diagonalUp="1">
      <left style="thin">
        <color indexed="64"/>
      </left>
      <right style="thin">
        <color indexed="64"/>
      </right>
      <top/>
      <bottom style="thin">
        <color indexed="64"/>
      </bottom>
      <diagonal style="hair">
        <color indexed="64"/>
      </diagonal>
    </border>
    <border diagonalUp="1">
      <left style="thin">
        <color indexed="64"/>
      </left>
      <right style="thin">
        <color indexed="64"/>
      </right>
      <top/>
      <bottom/>
      <diagonal style="hair">
        <color indexed="64"/>
      </diagonal>
    </border>
    <border diagonalUp="1">
      <left style="thin">
        <color indexed="64"/>
      </left>
      <right style="thin">
        <color indexed="64"/>
      </right>
      <top style="thin">
        <color indexed="64"/>
      </top>
      <bottom/>
      <diagonal style="hair">
        <color indexed="64"/>
      </diagonal>
    </border>
    <border>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diagonalUp="1">
      <left style="hair">
        <color indexed="64"/>
      </left>
      <right/>
      <top style="hair">
        <color indexed="64"/>
      </top>
      <bottom style="medium">
        <color indexed="64"/>
      </bottom>
      <diagonal style="hair">
        <color indexed="64"/>
      </diagonal>
    </border>
    <border diagonalUp="1">
      <left/>
      <right style="hair">
        <color indexed="64"/>
      </right>
      <top style="hair">
        <color indexed="64"/>
      </top>
      <bottom style="medium">
        <color indexed="64"/>
      </bottom>
      <diagonal style="hair">
        <color indexed="64"/>
      </diagonal>
    </border>
    <border diagonalUp="1">
      <left style="thin">
        <color indexed="64"/>
      </left>
      <right style="hair">
        <color indexed="64"/>
      </right>
      <top style="hair">
        <color indexed="64"/>
      </top>
      <bottom style="medium">
        <color indexed="64"/>
      </bottom>
      <diagonal style="hair">
        <color indexed="64"/>
      </diagonal>
    </border>
    <border>
      <left style="hair">
        <color indexed="64"/>
      </left>
      <right/>
      <top style="hair">
        <color indexed="64"/>
      </top>
      <bottom style="medium">
        <color indexed="64"/>
      </bottom>
      <diagonal/>
    </border>
    <border>
      <left style="medium">
        <color indexed="64"/>
      </left>
      <right style="hair">
        <color indexed="64"/>
      </right>
      <top/>
      <bottom style="medium">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diagonalUp="1">
      <left style="hair">
        <color indexed="64"/>
      </left>
      <right/>
      <top style="hair">
        <color indexed="64"/>
      </top>
      <bottom style="hair">
        <color indexed="64"/>
      </bottom>
      <diagonal style="hair">
        <color indexed="64"/>
      </diagonal>
    </border>
    <border diagonalUp="1">
      <left/>
      <right style="hair">
        <color indexed="64"/>
      </right>
      <top style="hair">
        <color indexed="64"/>
      </top>
      <bottom style="hair">
        <color indexed="64"/>
      </bottom>
      <diagonal style="hair">
        <color indexed="64"/>
      </diagonal>
    </border>
    <border diagonalUp="1">
      <left style="thin">
        <color indexed="64"/>
      </left>
      <right style="hair">
        <color indexed="64"/>
      </right>
      <top style="hair">
        <color indexed="64"/>
      </top>
      <bottom style="hair">
        <color indexed="64"/>
      </bottom>
      <diagonal style="hair">
        <color indexed="64"/>
      </diagonal>
    </border>
    <border>
      <left style="hair">
        <color indexed="64"/>
      </left>
      <right/>
      <top style="hair">
        <color indexed="64"/>
      </top>
      <bottom style="hair">
        <color indexed="64"/>
      </bottom>
      <diagonal/>
    </border>
    <border>
      <left style="medium">
        <color indexed="64"/>
      </left>
      <right style="hair">
        <color indexed="64"/>
      </right>
      <top/>
      <bottom/>
      <diagonal/>
    </border>
    <border>
      <left style="medium">
        <color indexed="64"/>
      </left>
      <right style="hair">
        <color indexed="64"/>
      </right>
      <top style="hair">
        <color indexed="64"/>
      </top>
      <bottom/>
      <diagonal/>
    </border>
    <border>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diagonalUp="1">
      <left style="hair">
        <color indexed="64"/>
      </left>
      <right/>
      <top style="medium">
        <color indexed="64"/>
      </top>
      <bottom style="medium">
        <color indexed="64"/>
      </bottom>
      <diagonal style="hair">
        <color indexed="64"/>
      </diagonal>
    </border>
    <border diagonalUp="1">
      <left/>
      <right style="hair">
        <color indexed="64"/>
      </right>
      <top style="medium">
        <color indexed="64"/>
      </top>
      <bottom style="medium">
        <color indexed="64"/>
      </bottom>
      <diagonal style="hair">
        <color indexed="64"/>
      </diagonal>
    </border>
    <border diagonalUp="1">
      <left style="thin">
        <color indexed="64"/>
      </left>
      <right style="hair">
        <color indexed="64"/>
      </right>
      <top style="medium">
        <color indexed="64"/>
      </top>
      <bottom style="medium">
        <color indexed="64"/>
      </bottom>
      <diagonal style="hair">
        <color indexed="64"/>
      </diagonal>
    </border>
    <border>
      <left style="hair">
        <color indexed="64"/>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right style="hair">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right style="hair">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diagonalUp="1">
      <left style="hair">
        <color indexed="64"/>
      </left>
      <right/>
      <top style="medium">
        <color indexed="64"/>
      </top>
      <bottom style="hair">
        <color indexed="64"/>
      </bottom>
      <diagonal style="hair">
        <color indexed="64"/>
      </diagonal>
    </border>
    <border diagonalUp="1">
      <left/>
      <right style="hair">
        <color indexed="64"/>
      </right>
      <top style="medium">
        <color indexed="64"/>
      </top>
      <bottom style="hair">
        <color indexed="64"/>
      </bottom>
      <diagonal style="hair">
        <color indexed="64"/>
      </diagonal>
    </border>
    <border diagonalUp="1">
      <left style="thin">
        <color indexed="64"/>
      </left>
      <right style="hair">
        <color indexed="64"/>
      </right>
      <top style="medium">
        <color indexed="64"/>
      </top>
      <bottom style="hair">
        <color indexed="64"/>
      </bottom>
      <diagonal style="hair">
        <color indexed="64"/>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
      <left style="thin">
        <color indexed="64"/>
      </left>
      <right style="thin">
        <color indexed="64"/>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style="hair">
        <color indexed="64"/>
      </left>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bottom/>
      <diagonal/>
    </border>
    <border>
      <left style="hair">
        <color indexed="64"/>
      </left>
      <right style="hair">
        <color indexed="64"/>
      </right>
      <top/>
      <bottom/>
      <diagonal/>
    </border>
    <border>
      <left style="thin">
        <color indexed="64"/>
      </left>
      <right style="hair">
        <color indexed="64"/>
      </right>
      <top/>
      <bottom/>
      <diagonal/>
    </border>
    <border>
      <left style="hair">
        <color indexed="64"/>
      </left>
      <right style="thin">
        <color indexed="64"/>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double">
        <color indexed="64"/>
      </top>
      <bottom style="thin">
        <color indexed="64"/>
      </bottom>
      <diagonal/>
    </border>
    <border diagonalUp="1">
      <left style="hair">
        <color indexed="64"/>
      </left>
      <right style="hair">
        <color indexed="64"/>
      </right>
      <top style="hair">
        <color indexed="64"/>
      </top>
      <bottom style="thin">
        <color indexed="64"/>
      </bottom>
      <diagonal style="hair">
        <color indexed="64"/>
      </diagonal>
    </border>
    <border diagonalUp="1">
      <left style="thin">
        <color indexed="64"/>
      </left>
      <right style="hair">
        <color indexed="64"/>
      </right>
      <top style="hair">
        <color indexed="64"/>
      </top>
      <bottom style="thin">
        <color indexed="64"/>
      </bottom>
      <diagonal style="hair">
        <color indexed="64"/>
      </diagonal>
    </border>
    <border diagonalUp="1">
      <left style="thin">
        <color indexed="64"/>
      </left>
      <right/>
      <top style="hair">
        <color indexed="64"/>
      </top>
      <bottom style="thin">
        <color indexed="64"/>
      </bottom>
      <diagonal style="hair">
        <color indexed="64"/>
      </diagonal>
    </border>
    <border>
      <left/>
      <right style="thin">
        <color indexed="64"/>
      </right>
      <top style="hair">
        <color indexed="64"/>
      </top>
      <bottom/>
      <diagonal/>
    </border>
    <border diagonalUp="1">
      <left style="hair">
        <color indexed="64"/>
      </left>
      <right style="hair">
        <color indexed="64"/>
      </right>
      <top style="hair">
        <color indexed="64"/>
      </top>
      <bottom/>
      <diagonal style="hair">
        <color indexed="64"/>
      </diagonal>
    </border>
    <border diagonalUp="1">
      <left style="thin">
        <color indexed="64"/>
      </left>
      <right style="hair">
        <color indexed="64"/>
      </right>
      <top style="hair">
        <color indexed="64"/>
      </top>
      <bottom/>
      <diagonal style="hair">
        <color indexed="64"/>
      </diagonal>
    </border>
    <border diagonalUp="1">
      <left style="thin">
        <color indexed="64"/>
      </left>
      <right/>
      <top style="hair">
        <color indexed="64"/>
      </top>
      <bottom/>
      <diagonal style="hair">
        <color indexed="64"/>
      </diagonal>
    </border>
    <border diagonalUp="1">
      <left style="hair">
        <color indexed="64"/>
      </left>
      <right style="hair">
        <color indexed="64"/>
      </right>
      <top style="hair">
        <color indexed="64"/>
      </top>
      <bottom style="hair">
        <color indexed="64"/>
      </bottom>
      <diagonal style="hair">
        <color indexed="64"/>
      </diagonal>
    </border>
    <border diagonalUp="1">
      <left style="thin">
        <color indexed="64"/>
      </left>
      <right/>
      <top style="hair">
        <color indexed="64"/>
      </top>
      <bottom style="hair">
        <color indexed="64"/>
      </bottom>
      <diagonal style="hair">
        <color indexed="64"/>
      </diagonal>
    </border>
    <border diagonalUp="1">
      <left style="hair">
        <color indexed="64"/>
      </left>
      <right style="hair">
        <color indexed="64"/>
      </right>
      <top/>
      <bottom/>
      <diagonal style="hair">
        <color indexed="64"/>
      </diagonal>
    </border>
    <border diagonalUp="1">
      <left style="thin">
        <color indexed="64"/>
      </left>
      <right style="hair">
        <color indexed="64"/>
      </right>
      <top/>
      <bottom/>
      <diagonal style="hair">
        <color indexed="64"/>
      </diagonal>
    </border>
    <border diagonalUp="1">
      <left style="thin">
        <color indexed="64"/>
      </left>
      <right/>
      <top/>
      <bottom/>
      <diagonal style="hair">
        <color indexed="64"/>
      </diagonal>
    </border>
    <border diagonalUp="1">
      <left style="hair">
        <color indexed="64"/>
      </left>
      <right style="hair">
        <color indexed="64"/>
      </right>
      <top style="thin">
        <color indexed="64"/>
      </top>
      <bottom/>
      <diagonal style="hair">
        <color indexed="64"/>
      </diagonal>
    </border>
    <border diagonalUp="1">
      <left style="thin">
        <color indexed="64"/>
      </left>
      <right style="hair">
        <color indexed="64"/>
      </right>
      <top style="thin">
        <color indexed="64"/>
      </top>
      <bottom/>
      <diagonal style="hair">
        <color indexed="64"/>
      </diagonal>
    </border>
    <border diagonalUp="1">
      <left style="hair">
        <color indexed="64"/>
      </left>
      <right style="hair">
        <color indexed="64"/>
      </right>
      <top style="thin">
        <color indexed="64"/>
      </top>
      <bottom style="thin">
        <color indexed="64"/>
      </bottom>
      <diagonal style="hair">
        <color indexed="64"/>
      </diagonal>
    </border>
    <border diagonalUp="1">
      <left style="thin">
        <color indexed="64"/>
      </left>
      <right style="hair">
        <color indexed="64"/>
      </right>
      <top style="thin">
        <color indexed="64"/>
      </top>
      <bottom style="thin">
        <color indexed="64"/>
      </bottom>
      <diagonal style="hair">
        <color indexed="64"/>
      </diagonal>
    </border>
    <border diagonalUp="1">
      <left style="thin">
        <color indexed="64"/>
      </left>
      <right/>
      <top style="thin">
        <color indexed="64"/>
      </top>
      <bottom style="thin">
        <color indexed="64"/>
      </bottom>
      <diagonal style="hair">
        <color indexed="64"/>
      </diagonal>
    </border>
    <border diagonalUp="1">
      <left style="thin">
        <color indexed="64"/>
      </left>
      <right/>
      <top style="thin">
        <color indexed="64"/>
      </top>
      <bottom/>
      <diagonal style="hair">
        <color indexed="64"/>
      </diagonal>
    </border>
    <border>
      <left/>
      <right/>
      <top style="hair">
        <color indexed="64"/>
      </top>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s>
  <cellStyleXfs count="14">
    <xf numFmtId="0" fontId="0" fillId="0" borderId="0"/>
    <xf numFmtId="9" fontId="6" fillId="0" borderId="0" applyFont="0" applyFill="0" applyBorder="0" applyAlignment="0" applyProtection="0"/>
    <xf numFmtId="0" fontId="1" fillId="0" borderId="0">
      <alignment vertical="center"/>
    </xf>
    <xf numFmtId="9" fontId="1" fillId="0" borderId="0" applyFont="0" applyFill="0" applyBorder="0" applyAlignment="0" applyProtection="0">
      <alignment vertical="center"/>
    </xf>
    <xf numFmtId="38" fontId="1" fillId="0" borderId="0" applyFont="0" applyFill="0" applyBorder="0" applyAlignment="0" applyProtection="0">
      <alignment vertical="center"/>
    </xf>
    <xf numFmtId="38" fontId="6" fillId="0" borderId="0" applyFont="0" applyFill="0" applyBorder="0" applyAlignment="0" applyProtection="0"/>
    <xf numFmtId="38" fontId="9" fillId="0" borderId="0" applyFont="0" applyFill="0" applyBorder="0" applyAlignment="0" applyProtection="0"/>
    <xf numFmtId="38" fontId="10" fillId="0" borderId="0" applyFont="0" applyFill="0" applyBorder="0" applyAlignment="0" applyProtection="0">
      <alignment vertical="center"/>
    </xf>
    <xf numFmtId="0" fontId="1" fillId="0" borderId="0"/>
    <xf numFmtId="0" fontId="6" fillId="0" borderId="0"/>
    <xf numFmtId="0" fontId="9" fillId="0" borderId="0"/>
    <xf numFmtId="0" fontId="10" fillId="0" borderId="0"/>
    <xf numFmtId="0" fontId="11" fillId="0" borderId="0"/>
    <xf numFmtId="38" fontId="6" fillId="0" borderId="0" applyFont="0" applyFill="0" applyBorder="0" applyAlignment="0" applyProtection="0">
      <alignment vertical="center"/>
    </xf>
  </cellStyleXfs>
  <cellXfs count="785">
    <xf numFmtId="0" fontId="0" fillId="0" borderId="0" xfId="0"/>
    <xf numFmtId="0" fontId="2" fillId="0" borderId="0" xfId="2" applyFont="1">
      <alignment vertical="center"/>
    </xf>
    <xf numFmtId="176" fontId="2" fillId="0" borderId="0" xfId="2" applyNumberFormat="1" applyFont="1">
      <alignment vertical="center"/>
    </xf>
    <xf numFmtId="0" fontId="2" fillId="0" borderId="0" xfId="2" applyFont="1" applyAlignment="1">
      <alignment vertical="center" wrapText="1"/>
    </xf>
    <xf numFmtId="0" fontId="2" fillId="0" borderId="1" xfId="2" applyFont="1" applyBorder="1">
      <alignment vertical="center"/>
    </xf>
    <xf numFmtId="0" fontId="2" fillId="0" borderId="2" xfId="2" applyFont="1" applyBorder="1">
      <alignment vertical="center"/>
    </xf>
    <xf numFmtId="0" fontId="2" fillId="0" borderId="3" xfId="2" applyFont="1" applyBorder="1">
      <alignment vertical="center"/>
    </xf>
    <xf numFmtId="176" fontId="2" fillId="0" borderId="3" xfId="2" applyNumberFormat="1" applyFont="1" applyBorder="1">
      <alignment vertical="center"/>
    </xf>
    <xf numFmtId="0" fontId="2" fillId="0" borderId="4" xfId="2" applyFont="1" applyBorder="1">
      <alignment vertical="center"/>
    </xf>
    <xf numFmtId="0" fontId="2" fillId="0" borderId="5" xfId="2" applyFont="1" applyBorder="1">
      <alignment vertical="center"/>
    </xf>
    <xf numFmtId="0" fontId="2" fillId="0" borderId="6" xfId="2" applyFont="1" applyBorder="1">
      <alignment vertical="center"/>
    </xf>
    <xf numFmtId="0" fontId="2" fillId="0" borderId="0" xfId="2" applyFont="1" applyBorder="1">
      <alignment vertical="center"/>
    </xf>
    <xf numFmtId="176" fontId="2" fillId="0" borderId="0" xfId="2" applyNumberFormat="1" applyFont="1" applyBorder="1">
      <alignment vertical="center"/>
    </xf>
    <xf numFmtId="0" fontId="2" fillId="0" borderId="7" xfId="2" applyFont="1" applyBorder="1">
      <alignment vertical="center"/>
    </xf>
    <xf numFmtId="0" fontId="2" fillId="0" borderId="8" xfId="2" applyFont="1" applyBorder="1">
      <alignment vertical="center"/>
    </xf>
    <xf numFmtId="0" fontId="2" fillId="0" borderId="9" xfId="2" applyFont="1" applyBorder="1">
      <alignment vertical="center"/>
    </xf>
    <xf numFmtId="0" fontId="2" fillId="0" borderId="10" xfId="2" applyFont="1" applyBorder="1">
      <alignment vertical="center"/>
    </xf>
    <xf numFmtId="176" fontId="2" fillId="0" borderId="10" xfId="2" applyNumberFormat="1" applyFont="1" applyBorder="1">
      <alignment vertical="center"/>
    </xf>
    <xf numFmtId="0" fontId="2" fillId="0" borderId="11" xfId="2" applyFont="1" applyBorder="1">
      <alignment vertical="center"/>
    </xf>
    <xf numFmtId="0" fontId="5" fillId="0" borderId="0" xfId="2" applyFont="1" applyBorder="1">
      <alignment vertical="center"/>
    </xf>
    <xf numFmtId="0" fontId="2" fillId="0" borderId="16" xfId="2" applyFont="1" applyBorder="1">
      <alignment vertical="center"/>
    </xf>
    <xf numFmtId="0" fontId="2" fillId="0" borderId="1" xfId="2" applyFont="1" applyBorder="1" applyAlignment="1">
      <alignment vertical="center" wrapText="1"/>
    </xf>
    <xf numFmtId="0" fontId="2" fillId="0" borderId="5" xfId="2" applyFont="1" applyBorder="1" applyAlignment="1">
      <alignment vertical="center" wrapText="1"/>
    </xf>
    <xf numFmtId="0" fontId="2" fillId="0" borderId="8" xfId="2" applyFont="1" applyBorder="1" applyAlignment="1">
      <alignment vertical="center" wrapText="1"/>
    </xf>
    <xf numFmtId="0" fontId="5" fillId="0" borderId="0" xfId="0" applyFont="1" applyBorder="1" applyAlignment="1">
      <alignment vertical="center"/>
    </xf>
    <xf numFmtId="0" fontId="2" fillId="0" borderId="7" xfId="0" applyFont="1" applyBorder="1" applyAlignment="1">
      <alignment vertical="center"/>
    </xf>
    <xf numFmtId="0" fontId="2" fillId="0" borderId="0" xfId="2" applyFont="1" applyBorder="1" applyAlignment="1">
      <alignment vertical="top"/>
    </xf>
    <xf numFmtId="0" fontId="5" fillId="0" borderId="3" xfId="2" applyFont="1" applyBorder="1">
      <alignment vertical="center"/>
    </xf>
    <xf numFmtId="176" fontId="2" fillId="0" borderId="7" xfId="2" applyNumberFormat="1" applyFont="1" applyBorder="1">
      <alignment vertical="center"/>
    </xf>
    <xf numFmtId="0" fontId="2" fillId="0" borderId="0" xfId="2" applyFont="1" applyFill="1" applyBorder="1">
      <alignment vertical="center"/>
    </xf>
    <xf numFmtId="0" fontId="5" fillId="0" borderId="0" xfId="2" applyFont="1" applyFill="1" applyBorder="1">
      <alignment vertical="center"/>
    </xf>
    <xf numFmtId="10" fontId="2" fillId="0" borderId="0" xfId="2" applyNumberFormat="1" applyFont="1" applyFill="1" applyBorder="1">
      <alignment vertical="center"/>
    </xf>
    <xf numFmtId="176" fontId="2" fillId="0" borderId="0" xfId="2" applyNumberFormat="1" applyFont="1" applyFill="1" applyBorder="1">
      <alignment vertical="center"/>
    </xf>
    <xf numFmtId="0" fontId="2" fillId="0" borderId="15" xfId="2" applyFont="1" applyBorder="1" applyAlignment="1">
      <alignment horizontal="center" vertical="center"/>
    </xf>
    <xf numFmtId="0" fontId="2" fillId="0" borderId="0" xfId="2" applyFont="1" applyAlignment="1">
      <alignment horizontal="right" vertical="center"/>
    </xf>
    <xf numFmtId="0" fontId="7" fillId="0" borderId="0" xfId="2" applyFont="1">
      <alignment vertical="center"/>
    </xf>
    <xf numFmtId="38" fontId="0" fillId="0" borderId="0" xfId="5" applyFont="1" applyFill="1" applyAlignment="1">
      <alignment vertical="center"/>
    </xf>
    <xf numFmtId="38" fontId="0" fillId="0" borderId="0" xfId="5" applyFont="1" applyFill="1" applyAlignment="1">
      <alignment horizontal="center" vertical="center"/>
    </xf>
    <xf numFmtId="38" fontId="0" fillId="0" borderId="0" xfId="5" applyFont="1" applyFill="1" applyAlignment="1">
      <alignment horizontal="right" vertical="center"/>
    </xf>
    <xf numFmtId="38" fontId="0" fillId="2" borderId="0" xfId="5" applyFont="1" applyFill="1" applyAlignment="1">
      <alignment vertical="center"/>
    </xf>
    <xf numFmtId="38" fontId="0" fillId="0" borderId="22" xfId="5" applyFont="1" applyFill="1" applyBorder="1" applyAlignment="1">
      <alignment vertical="center"/>
    </xf>
    <xf numFmtId="38" fontId="6" fillId="0" borderId="23" xfId="5" applyFont="1" applyFill="1" applyBorder="1" applyAlignment="1">
      <alignment vertical="center"/>
    </xf>
    <xf numFmtId="38" fontId="12" fillId="0" borderId="24" xfId="5" applyFont="1" applyFill="1" applyBorder="1" applyAlignment="1">
      <alignment horizontal="center" vertical="center"/>
    </xf>
    <xf numFmtId="38" fontId="6" fillId="0" borderId="3" xfId="5" applyFont="1" applyFill="1" applyBorder="1" applyAlignment="1">
      <alignment vertical="center"/>
    </xf>
    <xf numFmtId="38" fontId="13" fillId="0" borderId="22" xfId="5" applyFont="1" applyFill="1" applyBorder="1" applyAlignment="1">
      <alignment horizontal="center" vertical="center"/>
    </xf>
    <xf numFmtId="38" fontId="6" fillId="0" borderId="0" xfId="5" applyFont="1" applyFill="1" applyBorder="1" applyAlignment="1">
      <alignment vertical="center"/>
    </xf>
    <xf numFmtId="38" fontId="14" fillId="0" borderId="22" xfId="5" applyFont="1" applyFill="1" applyBorder="1" applyAlignment="1">
      <alignment vertical="center"/>
    </xf>
    <xf numFmtId="10" fontId="6" fillId="0" borderId="0" xfId="1" applyNumberFormat="1" applyFont="1" applyFill="1" applyBorder="1" applyAlignment="1">
      <alignment vertical="center"/>
    </xf>
    <xf numFmtId="38" fontId="14" fillId="0" borderId="22" xfId="5" applyFont="1" applyFill="1" applyBorder="1" applyAlignment="1">
      <alignment horizontal="left" vertical="center"/>
    </xf>
    <xf numFmtId="38" fontId="6" fillId="4" borderId="0" xfId="5" applyFont="1" applyFill="1" applyBorder="1" applyAlignment="1">
      <alignment vertical="center"/>
    </xf>
    <xf numFmtId="38" fontId="0" fillId="0" borderId="22" xfId="5" applyFont="1" applyFill="1" applyBorder="1" applyAlignment="1">
      <alignment horizontal="left" vertical="center"/>
    </xf>
    <xf numFmtId="38" fontId="6" fillId="5" borderId="0" xfId="5" applyFont="1" applyFill="1" applyBorder="1" applyAlignment="1">
      <alignment vertical="center"/>
    </xf>
    <xf numFmtId="38" fontId="14" fillId="0" borderId="0" xfId="5" applyFont="1" applyFill="1" applyAlignment="1">
      <alignment vertical="center"/>
    </xf>
    <xf numFmtId="38" fontId="14" fillId="2" borderId="15" xfId="5" applyFont="1" applyFill="1" applyBorder="1" applyAlignment="1">
      <alignment vertical="center"/>
    </xf>
    <xf numFmtId="38" fontId="0" fillId="0" borderId="25" xfId="5" applyFont="1" applyFill="1" applyBorder="1" applyAlignment="1">
      <alignment vertical="center"/>
    </xf>
    <xf numFmtId="38" fontId="0" fillId="0" borderId="26" xfId="5" applyFont="1" applyFill="1" applyBorder="1" applyAlignment="1">
      <alignment vertical="center"/>
    </xf>
    <xf numFmtId="38" fontId="0" fillId="6" borderId="0" xfId="5" applyFont="1" applyFill="1" applyAlignment="1">
      <alignment vertical="center"/>
    </xf>
    <xf numFmtId="38" fontId="0" fillId="5" borderId="0" xfId="5" applyFont="1" applyFill="1" applyAlignment="1">
      <alignment vertical="center"/>
    </xf>
    <xf numFmtId="38" fontId="0" fillId="7" borderId="0" xfId="5" applyFont="1" applyFill="1" applyAlignment="1">
      <alignment vertical="center"/>
    </xf>
    <xf numFmtId="38" fontId="14" fillId="0" borderId="0" xfId="5" applyFont="1" applyFill="1" applyAlignment="1">
      <alignment horizontal="left" vertical="center"/>
    </xf>
    <xf numFmtId="38" fontId="0" fillId="8" borderId="0" xfId="5" applyFont="1" applyFill="1" applyAlignment="1">
      <alignment vertical="center"/>
    </xf>
    <xf numFmtId="38" fontId="0" fillId="4" borderId="0" xfId="5" applyFont="1" applyFill="1" applyAlignment="1">
      <alignment vertical="center"/>
    </xf>
    <xf numFmtId="38" fontId="0" fillId="0" borderId="15" xfId="5" applyFont="1" applyFill="1" applyBorder="1" applyAlignment="1">
      <alignment vertical="center"/>
    </xf>
    <xf numFmtId="38" fontId="0" fillId="0" borderId="15" xfId="5" applyFont="1" applyFill="1" applyBorder="1" applyAlignment="1">
      <alignment horizontal="center" vertical="center"/>
    </xf>
    <xf numFmtId="38" fontId="0" fillId="0" borderId="27" xfId="5" applyFont="1" applyFill="1" applyBorder="1" applyAlignment="1">
      <alignment vertical="center"/>
    </xf>
    <xf numFmtId="38" fontId="0" fillId="9" borderId="0" xfId="5" applyFont="1" applyFill="1" applyAlignment="1">
      <alignment vertical="center"/>
    </xf>
    <xf numFmtId="38" fontId="0" fillId="10" borderId="0" xfId="5" applyFont="1" applyFill="1" applyAlignment="1">
      <alignment vertical="center"/>
    </xf>
    <xf numFmtId="38" fontId="0" fillId="0" borderId="27" xfId="5" applyFont="1" applyFill="1" applyBorder="1" applyAlignment="1">
      <alignment horizontal="right" vertical="center"/>
    </xf>
    <xf numFmtId="38" fontId="0" fillId="4" borderId="15" xfId="5" applyFont="1" applyFill="1" applyBorder="1" applyAlignment="1">
      <alignment vertical="center"/>
    </xf>
    <xf numFmtId="38" fontId="0" fillId="0" borderId="8" xfId="5" applyFont="1" applyFill="1" applyBorder="1" applyAlignment="1">
      <alignment vertical="center" wrapText="1"/>
    </xf>
    <xf numFmtId="38" fontId="0" fillId="0" borderId="8" xfId="5" applyFont="1" applyFill="1" applyBorder="1" applyAlignment="1">
      <alignment horizontal="center" vertical="center"/>
    </xf>
    <xf numFmtId="38" fontId="0" fillId="0" borderId="8" xfId="5" applyFont="1" applyFill="1" applyBorder="1" applyAlignment="1">
      <alignment horizontal="center" vertical="center" wrapText="1"/>
    </xf>
    <xf numFmtId="38" fontId="15" fillId="0" borderId="0" xfId="5" applyFont="1" applyFill="1" applyAlignment="1">
      <alignment vertical="center"/>
    </xf>
    <xf numFmtId="38" fontId="16" fillId="0" borderId="0" xfId="5" applyFont="1" applyFill="1" applyAlignment="1">
      <alignment vertical="center"/>
    </xf>
    <xf numFmtId="0" fontId="10" fillId="0" borderId="0" xfId="11"/>
    <xf numFmtId="38" fontId="0" fillId="0" borderId="0" xfId="7" applyFont="1" applyAlignment="1"/>
    <xf numFmtId="0" fontId="10" fillId="0" borderId="0" xfId="11" applyFill="1" applyAlignment="1">
      <alignment vertical="center"/>
    </xf>
    <xf numFmtId="0" fontId="10" fillId="0" borderId="0" xfId="11" applyFill="1"/>
    <xf numFmtId="0" fontId="10" fillId="3" borderId="0" xfId="11" applyFill="1"/>
    <xf numFmtId="178" fontId="10" fillId="0" borderId="0" xfId="11" applyNumberFormat="1"/>
    <xf numFmtId="0" fontId="10" fillId="0" borderId="0" xfId="11" applyAlignment="1"/>
    <xf numFmtId="38" fontId="0" fillId="0" borderId="0" xfId="7" applyFont="1" applyFill="1" applyAlignment="1">
      <alignment vertical="center"/>
    </xf>
    <xf numFmtId="0" fontId="22" fillId="0" borderId="0" xfId="11" applyFont="1"/>
    <xf numFmtId="38" fontId="14" fillId="0" borderId="0" xfId="7" applyFont="1" applyAlignment="1"/>
    <xf numFmtId="0" fontId="14" fillId="0" borderId="0" xfId="0" applyFont="1" applyAlignment="1">
      <alignment horizontal="right"/>
    </xf>
    <xf numFmtId="0" fontId="23" fillId="0" borderId="0" xfId="11" applyFont="1"/>
    <xf numFmtId="38" fontId="22" fillId="0" borderId="0" xfId="11" applyNumberFormat="1" applyFont="1"/>
    <xf numFmtId="38" fontId="10" fillId="0" borderId="0" xfId="11" applyNumberFormat="1"/>
    <xf numFmtId="0" fontId="0" fillId="0" borderId="0" xfId="0" applyAlignment="1">
      <alignment horizontal="right"/>
    </xf>
    <xf numFmtId="0" fontId="1" fillId="0" borderId="0" xfId="2">
      <alignment vertical="center"/>
    </xf>
    <xf numFmtId="0" fontId="2" fillId="0" borderId="0" xfId="2" applyFont="1" applyAlignment="1">
      <alignment horizontal="left" vertical="center" wrapText="1" indent="1"/>
    </xf>
    <xf numFmtId="176" fontId="1" fillId="0" borderId="0" xfId="2" applyNumberFormat="1" applyFill="1">
      <alignment vertical="center"/>
    </xf>
    <xf numFmtId="179" fontId="2" fillId="0" borderId="0" xfId="2" applyNumberFormat="1" applyFont="1" applyAlignment="1">
      <alignment horizontal="left" vertical="center" wrapText="1"/>
    </xf>
    <xf numFmtId="0" fontId="2" fillId="0" borderId="31" xfId="2" applyFont="1" applyBorder="1" applyAlignment="1">
      <alignment horizontal="left" vertical="center" wrapText="1" indent="1"/>
    </xf>
    <xf numFmtId="176" fontId="24" fillId="0" borderId="32" xfId="2" applyNumberFormat="1" applyFont="1" applyFill="1" applyBorder="1">
      <alignment vertical="center"/>
    </xf>
    <xf numFmtId="176" fontId="1" fillId="0" borderId="34" xfId="2" applyNumberFormat="1" applyFill="1" applyBorder="1">
      <alignment vertical="center"/>
    </xf>
    <xf numFmtId="176" fontId="1" fillId="0" borderId="35" xfId="2" applyNumberFormat="1" applyFill="1" applyBorder="1">
      <alignment vertical="center"/>
    </xf>
    <xf numFmtId="176" fontId="1" fillId="0" borderId="36" xfId="2" applyNumberFormat="1" applyFill="1" applyBorder="1">
      <alignment vertical="center"/>
    </xf>
    <xf numFmtId="0" fontId="1" fillId="0" borderId="37" xfId="2" applyBorder="1">
      <alignment vertical="center"/>
    </xf>
    <xf numFmtId="0" fontId="2" fillId="0" borderId="39" xfId="2" applyFont="1" applyBorder="1" applyAlignment="1">
      <alignment horizontal="left" vertical="center" wrapText="1" indent="1"/>
    </xf>
    <xf numFmtId="176" fontId="25" fillId="0" borderId="42" xfId="2" applyNumberFormat="1" applyFont="1" applyFill="1" applyBorder="1">
      <alignment vertical="center"/>
    </xf>
    <xf numFmtId="176" fontId="25" fillId="0" borderId="43" xfId="2" applyNumberFormat="1" applyFont="1" applyFill="1" applyBorder="1">
      <alignment vertical="center"/>
    </xf>
    <xf numFmtId="176" fontId="25" fillId="0" borderId="44" xfId="2" applyNumberFormat="1" applyFont="1" applyFill="1" applyBorder="1">
      <alignment vertical="center"/>
    </xf>
    <xf numFmtId="0" fontId="1" fillId="0" borderId="45" xfId="2" applyBorder="1">
      <alignment vertical="center"/>
    </xf>
    <xf numFmtId="0" fontId="2" fillId="0" borderId="48" xfId="2" applyFont="1" applyBorder="1" applyAlignment="1">
      <alignment horizontal="left" vertical="center" wrapText="1" indent="1"/>
    </xf>
    <xf numFmtId="176" fontId="24" fillId="0" borderId="49" xfId="2" applyNumberFormat="1" applyFont="1" applyFill="1" applyBorder="1">
      <alignment vertical="center"/>
    </xf>
    <xf numFmtId="176" fontId="25" fillId="0" borderId="50" xfId="2" applyNumberFormat="1" applyFont="1" applyFill="1" applyBorder="1">
      <alignment vertical="center"/>
    </xf>
    <xf numFmtId="176" fontId="25" fillId="0" borderId="51" xfId="2" applyNumberFormat="1" applyFont="1" applyFill="1" applyBorder="1">
      <alignment vertical="center"/>
    </xf>
    <xf numFmtId="176" fontId="25" fillId="0" borderId="52" xfId="2" applyNumberFormat="1" applyFont="1" applyFill="1" applyBorder="1">
      <alignment vertical="center"/>
    </xf>
    <xf numFmtId="176" fontId="25" fillId="0" borderId="53" xfId="2" applyNumberFormat="1" applyFont="1" applyFill="1" applyBorder="1">
      <alignment vertical="center"/>
    </xf>
    <xf numFmtId="0" fontId="2" fillId="0" borderId="55" xfId="2" applyFont="1" applyBorder="1" applyAlignment="1">
      <alignment horizontal="left" vertical="center" wrapText="1" indent="1"/>
    </xf>
    <xf numFmtId="176" fontId="24" fillId="0" borderId="56" xfId="2" applyNumberFormat="1" applyFont="1" applyFill="1" applyBorder="1">
      <alignment vertical="center"/>
    </xf>
    <xf numFmtId="176" fontId="25" fillId="0" borderId="57" xfId="2" applyNumberFormat="1" applyFont="1" applyFill="1" applyBorder="1">
      <alignment vertical="center"/>
    </xf>
    <xf numFmtId="176" fontId="25" fillId="0" borderId="58" xfId="2" applyNumberFormat="1" applyFont="1" applyFill="1" applyBorder="1">
      <alignment vertical="center"/>
    </xf>
    <xf numFmtId="176" fontId="25" fillId="0" borderId="59" xfId="2" applyNumberFormat="1" applyFont="1" applyFill="1" applyBorder="1">
      <alignment vertical="center"/>
    </xf>
    <xf numFmtId="176" fontId="25" fillId="0" borderId="60" xfId="2" applyNumberFormat="1" applyFont="1" applyFill="1" applyBorder="1">
      <alignment vertical="center"/>
    </xf>
    <xf numFmtId="176" fontId="25" fillId="3" borderId="57" xfId="2" applyNumberFormat="1" applyFont="1" applyFill="1" applyBorder="1">
      <alignment vertical="center"/>
    </xf>
    <xf numFmtId="176" fontId="25" fillId="3" borderId="61" xfId="2" applyNumberFormat="1" applyFont="1" applyFill="1" applyBorder="1">
      <alignment vertical="center"/>
    </xf>
    <xf numFmtId="176" fontId="25" fillId="3" borderId="66" xfId="2" applyNumberFormat="1" applyFont="1" applyFill="1" applyBorder="1">
      <alignment vertical="center"/>
    </xf>
    <xf numFmtId="176" fontId="25" fillId="3" borderId="67" xfId="2" applyNumberFormat="1" applyFont="1" applyFill="1" applyBorder="1">
      <alignment vertical="center"/>
    </xf>
    <xf numFmtId="176" fontId="1" fillId="0" borderId="0" xfId="2" applyNumberFormat="1">
      <alignment vertical="center"/>
    </xf>
    <xf numFmtId="176" fontId="24" fillId="0" borderId="40" xfId="2" applyNumberFormat="1" applyFont="1" applyFill="1" applyBorder="1">
      <alignment vertical="center"/>
    </xf>
    <xf numFmtId="176" fontId="25" fillId="0" borderId="34" xfId="2" applyNumberFormat="1" applyFont="1" applyFill="1" applyBorder="1">
      <alignment vertical="center"/>
    </xf>
    <xf numFmtId="176" fontId="25" fillId="0" borderId="35" xfId="2" applyNumberFormat="1" applyFont="1" applyFill="1" applyBorder="1">
      <alignment vertical="center"/>
    </xf>
    <xf numFmtId="176" fontId="25" fillId="0" borderId="36" xfId="2" applyNumberFormat="1" applyFont="1" applyFill="1" applyBorder="1">
      <alignment vertical="center"/>
    </xf>
    <xf numFmtId="176" fontId="25" fillId="0" borderId="70" xfId="2" applyNumberFormat="1" applyFont="1" applyFill="1" applyBorder="1">
      <alignment vertical="center"/>
    </xf>
    <xf numFmtId="176" fontId="25" fillId="0" borderId="71" xfId="2" applyNumberFormat="1" applyFont="1" applyFill="1" applyBorder="1">
      <alignment vertical="center"/>
    </xf>
    <xf numFmtId="176" fontId="25" fillId="0" borderId="72" xfId="2" applyNumberFormat="1" applyFont="1" applyFill="1" applyBorder="1">
      <alignment vertical="center"/>
    </xf>
    <xf numFmtId="0" fontId="1" fillId="0" borderId="55" xfId="2" applyFont="1" applyBorder="1" applyAlignment="1">
      <alignment horizontal="center" vertical="center" wrapText="1"/>
    </xf>
    <xf numFmtId="176" fontId="1" fillId="0" borderId="56" xfId="2" applyNumberFormat="1" applyFill="1" applyBorder="1" applyAlignment="1">
      <alignment horizontal="center" vertical="center"/>
    </xf>
    <xf numFmtId="176" fontId="1" fillId="0" borderId="57" xfId="2" applyNumberFormat="1" applyFill="1" applyBorder="1" applyAlignment="1">
      <alignment horizontal="center" vertical="center"/>
    </xf>
    <xf numFmtId="176" fontId="1" fillId="0" borderId="61" xfId="2" applyNumberFormat="1" applyFill="1" applyBorder="1" applyAlignment="1">
      <alignment horizontal="center" vertical="center"/>
    </xf>
    <xf numFmtId="176" fontId="1" fillId="0" borderId="66" xfId="2" applyNumberFormat="1" applyFill="1" applyBorder="1" applyAlignment="1">
      <alignment horizontal="center" vertical="center"/>
    </xf>
    <xf numFmtId="176" fontId="1" fillId="0" borderId="67" xfId="2" applyNumberFormat="1" applyFill="1" applyBorder="1" applyAlignment="1">
      <alignment horizontal="center" vertical="center"/>
    </xf>
    <xf numFmtId="0" fontId="26" fillId="0" borderId="0" xfId="2" applyFont="1">
      <alignment vertical="center"/>
    </xf>
    <xf numFmtId="38" fontId="2" fillId="0" borderId="0" xfId="5" applyFont="1" applyAlignment="1">
      <alignment vertical="center"/>
    </xf>
    <xf numFmtId="0" fontId="2" fillId="0" borderId="0" xfId="2" applyFont="1" applyFill="1">
      <alignment vertical="center"/>
    </xf>
    <xf numFmtId="0" fontId="2" fillId="0" borderId="0" xfId="2" applyFont="1" applyAlignment="1">
      <alignment horizontal="left" vertical="center" wrapText="1"/>
    </xf>
    <xf numFmtId="0" fontId="2" fillId="0" borderId="0" xfId="2" applyFont="1" applyAlignment="1">
      <alignment horizontal="center" vertical="center"/>
    </xf>
    <xf numFmtId="0" fontId="2" fillId="0" borderId="0" xfId="2" applyFont="1" applyFill="1" applyAlignment="1">
      <alignment vertical="center" wrapText="1"/>
    </xf>
    <xf numFmtId="38" fontId="2" fillId="0" borderId="15" xfId="4" applyFont="1" applyFill="1" applyBorder="1">
      <alignment vertical="center"/>
    </xf>
    <xf numFmtId="0" fontId="2" fillId="0" borderId="76" xfId="2" quotePrefix="1" applyFont="1" applyBorder="1">
      <alignment vertical="center"/>
    </xf>
    <xf numFmtId="0" fontId="2" fillId="0" borderId="18" xfId="2" applyFont="1" applyBorder="1">
      <alignment vertical="center"/>
    </xf>
    <xf numFmtId="0" fontId="2" fillId="0" borderId="15" xfId="2" applyFont="1" applyBorder="1" applyAlignment="1">
      <alignment horizontal="left" vertical="center" wrapText="1"/>
    </xf>
    <xf numFmtId="0" fontId="2" fillId="0" borderId="15" xfId="2" applyFont="1" applyBorder="1" applyAlignment="1">
      <alignment horizontal="right" vertical="center"/>
    </xf>
    <xf numFmtId="0" fontId="2" fillId="0" borderId="77" xfId="2" applyFont="1" applyFill="1" applyBorder="1">
      <alignment vertical="center"/>
    </xf>
    <xf numFmtId="0" fontId="2" fillId="0" borderId="78" xfId="2" applyFont="1" applyBorder="1">
      <alignment vertical="center"/>
    </xf>
    <xf numFmtId="0" fontId="2" fillId="0" borderId="77" xfId="2" applyFont="1" applyBorder="1">
      <alignment vertical="center"/>
    </xf>
    <xf numFmtId="0" fontId="2" fillId="0" borderId="81" xfId="2" applyFont="1" applyFill="1" applyBorder="1">
      <alignment vertical="center"/>
    </xf>
    <xf numFmtId="0" fontId="2" fillId="0" borderId="40" xfId="2" applyFont="1" applyFill="1" applyBorder="1">
      <alignment vertical="center"/>
    </xf>
    <xf numFmtId="0" fontId="2" fillId="0" borderId="41" xfId="2" applyFont="1" applyBorder="1">
      <alignment vertical="center"/>
    </xf>
    <xf numFmtId="0" fontId="2" fillId="0" borderId="82" xfId="2" applyFont="1" applyBorder="1">
      <alignment vertical="center"/>
    </xf>
    <xf numFmtId="0" fontId="2" fillId="0" borderId="40" xfId="2" applyFont="1" applyBorder="1">
      <alignment vertical="center"/>
    </xf>
    <xf numFmtId="0" fontId="2" fillId="0" borderId="83" xfId="2" applyFont="1" applyFill="1" applyBorder="1" applyAlignment="1">
      <alignment vertical="center" wrapText="1"/>
    </xf>
    <xf numFmtId="0" fontId="2" fillId="0" borderId="84" xfId="2" applyFont="1" applyFill="1" applyBorder="1">
      <alignment vertical="center"/>
    </xf>
    <xf numFmtId="38" fontId="2" fillId="0" borderId="84" xfId="2" applyNumberFormat="1" applyFont="1" applyBorder="1">
      <alignment vertical="center"/>
    </xf>
    <xf numFmtId="0" fontId="2" fillId="0" borderId="85" xfId="2" applyFont="1" applyBorder="1">
      <alignment vertical="center"/>
    </xf>
    <xf numFmtId="0" fontId="2" fillId="0" borderId="88" xfId="2" applyFont="1" applyFill="1" applyBorder="1" applyAlignment="1">
      <alignment vertical="center" wrapText="1"/>
    </xf>
    <xf numFmtId="38" fontId="2" fillId="0" borderId="89" xfId="4" applyFont="1" applyFill="1" applyBorder="1">
      <alignment vertical="center"/>
    </xf>
    <xf numFmtId="0" fontId="2" fillId="0" borderId="93" xfId="2" quotePrefix="1" applyFont="1" applyBorder="1">
      <alignment vertical="center"/>
    </xf>
    <xf numFmtId="0" fontId="2" fillId="0" borderId="94" xfId="2" applyFont="1" applyBorder="1">
      <alignment vertical="center"/>
    </xf>
    <xf numFmtId="38" fontId="2" fillId="0" borderId="77" xfId="4" applyFont="1" applyFill="1" applyBorder="1">
      <alignment vertical="center"/>
    </xf>
    <xf numFmtId="0" fontId="2" fillId="0" borderId="81" xfId="2" applyFont="1" applyBorder="1">
      <alignment vertical="center"/>
    </xf>
    <xf numFmtId="38" fontId="2" fillId="0" borderId="40" xfId="4" applyFont="1" applyFill="1" applyBorder="1">
      <alignment vertical="center"/>
    </xf>
    <xf numFmtId="0" fontId="2" fillId="0" borderId="83" xfId="2" applyFont="1" applyBorder="1">
      <alignment vertical="center"/>
    </xf>
    <xf numFmtId="0" fontId="2" fillId="0" borderId="93" xfId="2" applyFont="1" applyBorder="1">
      <alignment vertical="center"/>
    </xf>
    <xf numFmtId="0" fontId="2" fillId="0" borderId="83" xfId="2" applyFont="1" applyFill="1" applyBorder="1">
      <alignment vertical="center"/>
    </xf>
    <xf numFmtId="0" fontId="2" fillId="0" borderId="41" xfId="2" applyFont="1" applyBorder="1" applyAlignment="1">
      <alignment vertical="center" wrapText="1"/>
    </xf>
    <xf numFmtId="0" fontId="2" fillId="0" borderId="85" xfId="2" applyFont="1" applyBorder="1" applyAlignment="1">
      <alignment vertical="center"/>
    </xf>
    <xf numFmtId="38" fontId="2" fillId="0" borderId="84" xfId="4" applyFont="1" applyFill="1" applyBorder="1" applyAlignment="1">
      <alignment vertical="center"/>
    </xf>
    <xf numFmtId="0" fontId="2" fillId="0" borderId="88" xfId="2" applyFont="1" applyBorder="1" applyAlignment="1">
      <alignment horizontal="right" vertical="center"/>
    </xf>
    <xf numFmtId="0" fontId="2" fillId="0" borderId="101" xfId="2" applyFont="1" applyBorder="1" applyAlignment="1">
      <alignment vertical="center"/>
    </xf>
    <xf numFmtId="38" fontId="2" fillId="0" borderId="97" xfId="4" applyFont="1" applyFill="1" applyBorder="1" applyAlignment="1">
      <alignment vertical="center"/>
    </xf>
    <xf numFmtId="0" fontId="2" fillId="0" borderId="102" xfId="2" applyFont="1" applyBorder="1" applyAlignment="1">
      <alignment vertical="center"/>
    </xf>
    <xf numFmtId="0" fontId="2" fillId="0" borderId="88" xfId="2" applyFont="1" applyBorder="1" applyAlignment="1">
      <alignment vertical="center"/>
    </xf>
    <xf numFmtId="10" fontId="2" fillId="0" borderId="77" xfId="3" applyNumberFormat="1" applyFont="1" applyFill="1" applyBorder="1">
      <alignment vertical="center"/>
    </xf>
    <xf numFmtId="0" fontId="2" fillId="0" borderId="83" xfId="2" applyFont="1" applyBorder="1" applyAlignment="1">
      <alignment horizontal="left" vertical="center"/>
    </xf>
    <xf numFmtId="0" fontId="2" fillId="0" borderId="41" xfId="2" quotePrefix="1" applyFont="1" applyBorder="1">
      <alignment vertical="center"/>
    </xf>
    <xf numFmtId="176" fontId="2" fillId="0" borderId="83" xfId="2" applyNumberFormat="1" applyFont="1" applyBorder="1">
      <alignment vertical="center"/>
    </xf>
    <xf numFmtId="176" fontId="2" fillId="0" borderId="93" xfId="2" applyNumberFormat="1" applyFont="1" applyBorder="1">
      <alignment vertical="center"/>
    </xf>
    <xf numFmtId="176" fontId="2" fillId="0" borderId="94" xfId="2" applyNumberFormat="1" applyFont="1" applyBorder="1">
      <alignment vertical="center"/>
    </xf>
    <xf numFmtId="38" fontId="2" fillId="0" borderId="8" xfId="4" applyFont="1" applyFill="1" applyBorder="1" applyAlignment="1">
      <alignment vertical="center"/>
    </xf>
    <xf numFmtId="38" fontId="2" fillId="0" borderId="8" xfId="4" applyFont="1" applyBorder="1" applyAlignment="1">
      <alignment vertical="center"/>
    </xf>
    <xf numFmtId="38" fontId="2" fillId="0" borderId="103" xfId="4" applyFont="1" applyBorder="1" applyAlignment="1">
      <alignment vertical="center"/>
    </xf>
    <xf numFmtId="38" fontId="2" fillId="0" borderId="104" xfId="4" applyFont="1" applyBorder="1" applyAlignment="1">
      <alignment vertical="center"/>
    </xf>
    <xf numFmtId="0" fontId="2" fillId="0" borderId="105" xfId="2" applyFont="1" applyBorder="1" applyAlignment="1">
      <alignment vertical="center"/>
    </xf>
    <xf numFmtId="38" fontId="2" fillId="0" borderId="106" xfId="4" applyFont="1" applyBorder="1" applyAlignment="1">
      <alignment vertical="center"/>
    </xf>
    <xf numFmtId="0" fontId="2" fillId="0" borderId="11" xfId="2" applyFont="1" applyBorder="1" applyAlignment="1">
      <alignment vertical="center"/>
    </xf>
    <xf numFmtId="38" fontId="2" fillId="0" borderId="1" xfId="4" applyFont="1" applyFill="1" applyBorder="1" applyAlignment="1">
      <alignment vertical="center"/>
    </xf>
    <xf numFmtId="38" fontId="2" fillId="0" borderId="1" xfId="4" applyFont="1" applyBorder="1" applyAlignment="1">
      <alignment vertical="center"/>
    </xf>
    <xf numFmtId="38" fontId="2" fillId="0" borderId="107" xfId="4" applyFont="1" applyBorder="1" applyAlignment="1">
      <alignment vertical="center"/>
    </xf>
    <xf numFmtId="38" fontId="2" fillId="0" borderId="108" xfId="4" applyFont="1" applyBorder="1" applyAlignment="1">
      <alignment vertical="center"/>
    </xf>
    <xf numFmtId="38" fontId="2" fillId="0" borderId="109" xfId="4" applyFont="1" applyBorder="1" applyAlignment="1">
      <alignment vertical="center"/>
    </xf>
    <xf numFmtId="0" fontId="2" fillId="0" borderId="110" xfId="2" applyFont="1" applyBorder="1" applyAlignment="1">
      <alignment vertical="center"/>
    </xf>
    <xf numFmtId="0" fontId="2" fillId="0" borderId="4" xfId="2" applyFont="1" applyBorder="1" applyAlignment="1">
      <alignment vertical="center"/>
    </xf>
    <xf numFmtId="38" fontId="2" fillId="0" borderId="5" xfId="4" applyFont="1" applyFill="1" applyBorder="1" applyAlignment="1">
      <alignment vertical="center"/>
    </xf>
    <xf numFmtId="38" fontId="2" fillId="0" borderId="5" xfId="4" applyFont="1" applyBorder="1" applyAlignment="1">
      <alignment vertical="center"/>
    </xf>
    <xf numFmtId="38" fontId="2" fillId="0" borderId="111" xfId="4" applyFont="1" applyBorder="1" applyAlignment="1">
      <alignment vertical="center"/>
    </xf>
    <xf numFmtId="38" fontId="2" fillId="0" borderId="112" xfId="4" applyFont="1" applyBorder="1" applyAlignment="1">
      <alignment vertical="center"/>
    </xf>
    <xf numFmtId="38" fontId="2" fillId="0" borderId="113" xfId="4" applyFont="1" applyBorder="1" applyAlignment="1">
      <alignment vertical="center"/>
    </xf>
    <xf numFmtId="0" fontId="2" fillId="0" borderId="114" xfId="2" applyFont="1" applyBorder="1" applyAlignment="1">
      <alignment vertical="center"/>
    </xf>
    <xf numFmtId="0" fontId="2" fillId="0" borderId="7" xfId="2" applyFont="1" applyBorder="1" applyAlignment="1">
      <alignment vertical="center"/>
    </xf>
    <xf numFmtId="0" fontId="2" fillId="0" borderId="78" xfId="2" applyFont="1" applyBorder="1" applyAlignment="1">
      <alignment vertical="center" wrapText="1"/>
    </xf>
    <xf numFmtId="176" fontId="2" fillId="0" borderId="81" xfId="2" applyNumberFormat="1" applyFont="1" applyFill="1" applyBorder="1">
      <alignment vertical="center"/>
    </xf>
    <xf numFmtId="0" fontId="2" fillId="0" borderId="78" xfId="2" quotePrefix="1" applyFont="1" applyBorder="1">
      <alignment vertical="center"/>
    </xf>
    <xf numFmtId="0" fontId="2" fillId="0" borderId="41" xfId="2" applyFont="1" applyBorder="1" applyAlignment="1">
      <alignment horizontal="left" vertical="center"/>
    </xf>
    <xf numFmtId="38" fontId="2" fillId="0" borderId="84" xfId="4" applyFont="1" applyFill="1" applyBorder="1">
      <alignment vertical="center"/>
    </xf>
    <xf numFmtId="0" fontId="2" fillId="0" borderId="88" xfId="2" applyFont="1" applyBorder="1">
      <alignment vertical="center"/>
    </xf>
    <xf numFmtId="0" fontId="2" fillId="0" borderId="5" xfId="2" applyFont="1" applyFill="1" applyBorder="1" applyAlignment="1">
      <alignment vertical="center"/>
    </xf>
    <xf numFmtId="0" fontId="2" fillId="0" borderId="5" xfId="2" applyFont="1" applyBorder="1" applyAlignment="1">
      <alignment vertical="center"/>
    </xf>
    <xf numFmtId="0" fontId="2" fillId="0" borderId="111" xfId="2" applyFont="1" applyBorder="1">
      <alignment vertical="center"/>
    </xf>
    <xf numFmtId="0" fontId="2" fillId="0" borderId="112" xfId="2" applyFont="1" applyBorder="1">
      <alignment vertical="center"/>
    </xf>
    <xf numFmtId="0" fontId="2" fillId="0" borderId="113" xfId="2" applyFont="1" applyBorder="1">
      <alignment vertical="center"/>
    </xf>
    <xf numFmtId="0" fontId="2" fillId="0" borderId="5" xfId="2" applyFont="1" applyFill="1" applyBorder="1">
      <alignment vertical="center"/>
    </xf>
    <xf numFmtId="0" fontId="2" fillId="0" borderId="1" xfId="2" applyFont="1" applyFill="1" applyBorder="1" applyAlignment="1">
      <alignment vertical="center"/>
    </xf>
    <xf numFmtId="0" fontId="2" fillId="0" borderId="1" xfId="2" applyFont="1" applyBorder="1" applyAlignment="1">
      <alignment vertical="center"/>
    </xf>
    <xf numFmtId="177" fontId="2" fillId="0" borderId="110" xfId="3" applyNumberFormat="1" applyFont="1" applyBorder="1" applyAlignment="1">
      <alignment vertical="center"/>
    </xf>
    <xf numFmtId="177" fontId="2" fillId="0" borderId="108" xfId="3" applyNumberFormat="1" applyFont="1" applyBorder="1" applyAlignment="1">
      <alignment vertical="center"/>
    </xf>
    <xf numFmtId="177" fontId="2" fillId="0" borderId="109" xfId="3" applyNumberFormat="1" applyFont="1" applyBorder="1" applyAlignment="1">
      <alignment vertical="center"/>
    </xf>
    <xf numFmtId="177" fontId="2" fillId="0" borderId="1" xfId="3" applyNumberFormat="1" applyFont="1" applyFill="1" applyBorder="1" applyAlignment="1">
      <alignment vertical="center"/>
    </xf>
    <xf numFmtId="0" fontId="2" fillId="0" borderId="8" xfId="2" applyFont="1" applyFill="1" applyBorder="1" applyAlignment="1">
      <alignment vertical="center"/>
    </xf>
    <xf numFmtId="0" fontId="2" fillId="0" borderId="8" xfId="2" applyFont="1" applyBorder="1" applyAlignment="1">
      <alignment vertical="center"/>
    </xf>
    <xf numFmtId="177" fontId="2" fillId="0" borderId="114" xfId="3" applyNumberFormat="1" applyFont="1" applyBorder="1" applyAlignment="1">
      <alignment vertical="center"/>
    </xf>
    <xf numFmtId="177" fontId="2" fillId="0" borderId="112" xfId="3" applyNumberFormat="1" applyFont="1" applyBorder="1" applyAlignment="1">
      <alignment vertical="center"/>
    </xf>
    <xf numFmtId="177" fontId="2" fillId="0" borderId="113" xfId="3" applyNumberFormat="1" applyFont="1" applyBorder="1" applyAlignment="1">
      <alignment vertical="center"/>
    </xf>
    <xf numFmtId="177" fontId="2" fillId="0" borderId="5" xfId="3" applyNumberFormat="1" applyFont="1" applyFill="1" applyBorder="1" applyAlignment="1">
      <alignment vertical="center"/>
    </xf>
    <xf numFmtId="0" fontId="28" fillId="0" borderId="15" xfId="2" applyFont="1" applyFill="1" applyBorder="1" applyAlignment="1">
      <alignment horizontal="center" vertical="center"/>
    </xf>
    <xf numFmtId="0" fontId="28" fillId="0" borderId="15" xfId="2" applyFont="1" applyBorder="1" applyAlignment="1">
      <alignment horizontal="center" vertical="center"/>
    </xf>
    <xf numFmtId="9" fontId="2" fillId="0" borderId="76" xfId="3" applyNumberFormat="1" applyFont="1" applyBorder="1" applyAlignment="1">
      <alignment horizontal="center" vertical="center"/>
    </xf>
    <xf numFmtId="9" fontId="2" fillId="0" borderId="74" xfId="3" applyNumberFormat="1" applyFont="1" applyBorder="1" applyAlignment="1">
      <alignment horizontal="center" vertical="center"/>
    </xf>
    <xf numFmtId="9" fontId="2" fillId="0" borderId="75" xfId="3" applyNumberFormat="1" applyFont="1" applyBorder="1" applyAlignment="1">
      <alignment horizontal="center" vertical="center"/>
    </xf>
    <xf numFmtId="0" fontId="2" fillId="0" borderId="76" xfId="2" applyFont="1" applyBorder="1" applyAlignment="1">
      <alignment horizontal="center" vertical="center"/>
    </xf>
    <xf numFmtId="9" fontId="2" fillId="0" borderId="15" xfId="3" applyNumberFormat="1" applyFont="1" applyFill="1" applyBorder="1" applyAlignment="1">
      <alignment horizontal="center" vertical="center"/>
    </xf>
    <xf numFmtId="0" fontId="2" fillId="0" borderId="18" xfId="2" applyFont="1" applyBorder="1" applyAlignment="1">
      <alignment horizontal="center" vertical="center"/>
    </xf>
    <xf numFmtId="0" fontId="2" fillId="0" borderId="115" xfId="2" applyFont="1" applyBorder="1" applyAlignment="1">
      <alignment horizontal="centerContinuous" vertical="center"/>
    </xf>
    <xf numFmtId="0" fontId="2" fillId="0" borderId="116" xfId="2" applyFont="1" applyBorder="1" applyAlignment="1">
      <alignment horizontal="centerContinuous" vertical="center"/>
    </xf>
    <xf numFmtId="0" fontId="2" fillId="0" borderId="81" xfId="2" applyFont="1" applyBorder="1" applyAlignment="1">
      <alignment horizontal="centerContinuous" vertical="center"/>
    </xf>
    <xf numFmtId="0" fontId="2" fillId="0" borderId="78" xfId="2" applyFont="1" applyBorder="1" applyAlignment="1">
      <alignment horizontal="center" vertical="center"/>
    </xf>
    <xf numFmtId="0" fontId="2" fillId="0" borderId="117" xfId="2" applyFont="1" applyBorder="1" applyAlignment="1">
      <alignment horizontal="centerContinuous" vertical="center"/>
    </xf>
    <xf numFmtId="0" fontId="2" fillId="0" borderId="118" xfId="2" applyFont="1" applyBorder="1" applyAlignment="1">
      <alignment horizontal="centerContinuous" vertical="center"/>
    </xf>
    <xf numFmtId="0" fontId="2" fillId="0" borderId="83" xfId="2" applyFont="1" applyBorder="1" applyAlignment="1">
      <alignment horizontal="centerContinuous" vertical="center"/>
    </xf>
    <xf numFmtId="0" fontId="2" fillId="0" borderId="41" xfId="2" applyFont="1" applyBorder="1" applyAlignment="1">
      <alignment horizontal="center" vertical="center"/>
    </xf>
    <xf numFmtId="0" fontId="2" fillId="0" borderId="7" xfId="2" applyFont="1" applyBorder="1" applyAlignment="1">
      <alignment horizontal="center" vertical="center"/>
    </xf>
    <xf numFmtId="0" fontId="2" fillId="0" borderId="89" xfId="2" applyFont="1" applyFill="1" applyBorder="1">
      <alignment vertical="center"/>
    </xf>
    <xf numFmtId="0" fontId="2" fillId="0" borderId="119" xfId="2" applyFont="1" applyBorder="1" applyAlignment="1">
      <alignment horizontal="centerContinuous" vertical="center"/>
    </xf>
    <xf numFmtId="0" fontId="2" fillId="0" borderId="120" xfId="2" applyFont="1" applyBorder="1" applyAlignment="1">
      <alignment horizontal="centerContinuous" vertical="center"/>
    </xf>
    <xf numFmtId="0" fontId="2" fillId="0" borderId="94" xfId="2" applyFont="1" applyBorder="1" applyAlignment="1">
      <alignment horizontal="centerContinuous" vertical="center"/>
    </xf>
    <xf numFmtId="0" fontId="2" fillId="0" borderId="93" xfId="2" applyFont="1" applyBorder="1" applyAlignment="1">
      <alignment horizontal="center" vertical="center"/>
    </xf>
    <xf numFmtId="0" fontId="7" fillId="0" borderId="0" xfId="2" applyFont="1" applyAlignment="1">
      <alignment horizontal="left" vertical="center"/>
    </xf>
    <xf numFmtId="177" fontId="2" fillId="0" borderId="110" xfId="3" applyNumberFormat="1" applyFont="1" applyFill="1" applyBorder="1" applyAlignment="1">
      <alignment vertical="center"/>
    </xf>
    <xf numFmtId="177" fontId="2" fillId="0" borderId="108" xfId="3" applyNumberFormat="1" applyFont="1" applyFill="1" applyBorder="1" applyAlignment="1">
      <alignment vertical="center"/>
    </xf>
    <xf numFmtId="177" fontId="2" fillId="0" borderId="109" xfId="3" applyNumberFormat="1" applyFont="1" applyFill="1" applyBorder="1" applyAlignment="1">
      <alignment vertical="center"/>
    </xf>
    <xf numFmtId="177" fontId="2" fillId="0" borderId="114" xfId="3" applyNumberFormat="1" applyFont="1" applyFill="1" applyBorder="1" applyAlignment="1">
      <alignment vertical="center"/>
    </xf>
    <xf numFmtId="177" fontId="2" fillId="0" borderId="112" xfId="3" applyNumberFormat="1" applyFont="1" applyFill="1" applyBorder="1" applyAlignment="1">
      <alignment vertical="center"/>
    </xf>
    <xf numFmtId="177" fontId="2" fillId="0" borderId="113" xfId="3" applyNumberFormat="1" applyFont="1" applyFill="1" applyBorder="1" applyAlignment="1">
      <alignment vertical="center"/>
    </xf>
    <xf numFmtId="177" fontId="2" fillId="3" borderId="114" xfId="3" applyNumberFormat="1" applyFont="1" applyFill="1" applyBorder="1" applyAlignment="1">
      <alignment vertical="center"/>
    </xf>
    <xf numFmtId="177" fontId="2" fillId="3" borderId="112" xfId="3" applyNumberFormat="1" applyFont="1" applyFill="1" applyBorder="1" applyAlignment="1">
      <alignment vertical="center"/>
    </xf>
    <xf numFmtId="177" fontId="2" fillId="3" borderId="113" xfId="3" applyNumberFormat="1" applyFont="1" applyFill="1" applyBorder="1" applyAlignment="1">
      <alignment vertical="center"/>
    </xf>
    <xf numFmtId="38" fontId="0" fillId="0" borderId="0" xfId="0" applyNumberFormat="1"/>
    <xf numFmtId="38" fontId="0" fillId="2" borderId="77" xfId="5" applyFont="1" applyFill="1" applyBorder="1" applyAlignment="1">
      <alignment vertical="center"/>
    </xf>
    <xf numFmtId="38" fontId="0" fillId="0" borderId="77" xfId="5" applyFont="1" applyFill="1" applyBorder="1" applyAlignment="1">
      <alignment vertical="center"/>
    </xf>
    <xf numFmtId="38" fontId="0" fillId="0" borderId="121" xfId="5" applyFont="1" applyFill="1" applyBorder="1" applyAlignment="1">
      <alignment vertical="center"/>
    </xf>
    <xf numFmtId="38" fontId="0" fillId="0" borderId="97" xfId="5" applyFont="1" applyFill="1" applyBorder="1" applyAlignment="1">
      <alignment vertical="center"/>
    </xf>
    <xf numFmtId="38" fontId="0" fillId="0" borderId="40" xfId="5" applyFont="1" applyFill="1" applyBorder="1" applyAlignment="1">
      <alignment vertical="center"/>
    </xf>
    <xf numFmtId="38" fontId="0" fillId="0" borderId="89" xfId="5" applyFont="1" applyFill="1" applyBorder="1" applyAlignment="1">
      <alignment vertical="center"/>
    </xf>
    <xf numFmtId="38" fontId="0" fillId="7" borderId="77" xfId="5" applyFont="1" applyFill="1" applyBorder="1" applyAlignment="1">
      <alignment vertical="center"/>
    </xf>
    <xf numFmtId="38" fontId="0" fillId="5" borderId="40" xfId="5" applyFont="1" applyFill="1" applyBorder="1" applyAlignment="1">
      <alignment vertical="center"/>
    </xf>
    <xf numFmtId="38" fontId="0" fillId="5" borderId="89" xfId="5" applyFont="1" applyFill="1" applyBorder="1" applyAlignment="1">
      <alignment vertical="center"/>
    </xf>
    <xf numFmtId="0" fontId="30" fillId="0" borderId="0" xfId="0" applyFont="1" applyAlignment="1">
      <alignment horizontal="center" wrapText="1"/>
    </xf>
    <xf numFmtId="38" fontId="30" fillId="0" borderId="15" xfId="5" applyFont="1" applyFill="1" applyBorder="1" applyAlignment="1">
      <alignment horizontal="center" vertical="center" wrapText="1"/>
    </xf>
    <xf numFmtId="0" fontId="0" fillId="0" borderId="0" xfId="0" applyAlignment="1">
      <alignment horizontal="left" vertical="center"/>
    </xf>
    <xf numFmtId="0" fontId="11" fillId="0" borderId="0" xfId="12" applyFont="1"/>
    <xf numFmtId="0" fontId="11" fillId="0" borderId="0" xfId="12" applyFont="1" applyFill="1"/>
    <xf numFmtId="178" fontId="11" fillId="0" borderId="115" xfId="12" applyNumberFormat="1" applyFont="1" applyBorder="1"/>
    <xf numFmtId="0" fontId="11" fillId="0" borderId="122" xfId="12" applyFont="1" applyBorder="1"/>
    <xf numFmtId="0" fontId="11" fillId="0" borderId="123" xfId="12" applyFont="1" applyBorder="1"/>
    <xf numFmtId="178" fontId="11" fillId="2" borderId="115" xfId="12" applyNumberFormat="1" applyFont="1" applyFill="1" applyBorder="1"/>
    <xf numFmtId="0" fontId="11" fillId="0" borderId="124" xfId="12" applyFont="1" applyBorder="1"/>
    <xf numFmtId="0" fontId="11" fillId="0" borderId="78" xfId="12" applyFont="1" applyBorder="1"/>
    <xf numFmtId="0" fontId="11" fillId="0" borderId="107" xfId="12" applyFont="1" applyBorder="1"/>
    <xf numFmtId="0" fontId="11" fillId="0" borderId="4" xfId="12" applyFont="1" applyBorder="1"/>
    <xf numFmtId="178" fontId="11" fillId="0" borderId="125" xfId="12" applyNumberFormat="1" applyFont="1" applyBorder="1"/>
    <xf numFmtId="0" fontId="11" fillId="0" borderId="126" xfId="12" applyFont="1" applyBorder="1"/>
    <xf numFmtId="0" fontId="11" fillId="0" borderId="127" xfId="12" applyFont="1" applyBorder="1"/>
    <xf numFmtId="178" fontId="11" fillId="2" borderId="125" xfId="12" applyNumberFormat="1" applyFont="1" applyFill="1" applyBorder="1"/>
    <xf numFmtId="0" fontId="11" fillId="0" borderId="128" xfId="12" applyFont="1" applyBorder="1"/>
    <xf numFmtId="0" fontId="11" fillId="0" borderId="101" xfId="12" applyFont="1" applyBorder="1"/>
    <xf numFmtId="0" fontId="11" fillId="0" borderId="111" xfId="12" applyFont="1" applyBorder="1"/>
    <xf numFmtId="0" fontId="11" fillId="0" borderId="7" xfId="12" applyFont="1" applyBorder="1"/>
    <xf numFmtId="178" fontId="11" fillId="0" borderId="117" xfId="12" applyNumberFormat="1" applyFont="1" applyBorder="1"/>
    <xf numFmtId="0" fontId="11" fillId="0" borderId="129" xfId="12" applyFont="1" applyBorder="1"/>
    <xf numFmtId="0" fontId="11" fillId="0" borderId="44" xfId="12" applyFont="1" applyBorder="1"/>
    <xf numFmtId="178" fontId="11" fillId="2" borderId="117" xfId="12" applyNumberFormat="1" applyFont="1" applyFill="1" applyBorder="1"/>
    <xf numFmtId="0" fontId="11" fillId="0" borderId="130" xfId="12" applyFont="1" applyBorder="1"/>
    <xf numFmtId="0" fontId="11" fillId="0" borderId="41" xfId="12" applyFont="1" applyBorder="1"/>
    <xf numFmtId="178" fontId="11" fillId="0" borderId="117" xfId="12" applyNumberFormat="1" applyFont="1" applyFill="1" applyBorder="1"/>
    <xf numFmtId="0" fontId="11" fillId="0" borderId="117" xfId="12" applyFont="1" applyBorder="1"/>
    <xf numFmtId="0" fontId="11" fillId="0" borderId="45" xfId="12" applyFont="1" applyBorder="1"/>
    <xf numFmtId="3" fontId="11" fillId="0" borderId="0" xfId="12" applyNumberFormat="1" applyFont="1"/>
    <xf numFmtId="178" fontId="11" fillId="0" borderId="6" xfId="12" applyNumberFormat="1" applyFont="1" applyBorder="1"/>
    <xf numFmtId="0" fontId="11" fillId="0" borderId="131" xfId="12" applyFont="1" applyBorder="1"/>
    <xf numFmtId="0" fontId="11" fillId="0" borderId="132" xfId="12" applyFont="1" applyBorder="1"/>
    <xf numFmtId="178" fontId="11" fillId="2" borderId="41" xfId="12" applyNumberFormat="1" applyFont="1" applyFill="1" applyBorder="1"/>
    <xf numFmtId="0" fontId="11" fillId="0" borderId="133" xfId="12" applyFont="1" applyBorder="1"/>
    <xf numFmtId="0" fontId="11" fillId="0" borderId="134" xfId="12" applyFont="1" applyBorder="1"/>
    <xf numFmtId="0" fontId="11" fillId="0" borderId="135" xfId="12" applyFont="1" applyBorder="1"/>
    <xf numFmtId="178" fontId="11" fillId="0" borderId="93" xfId="12" applyNumberFormat="1" applyFont="1" applyFill="1" applyBorder="1"/>
    <xf numFmtId="178" fontId="11" fillId="0" borderId="0" xfId="12" applyNumberFormat="1" applyFont="1"/>
    <xf numFmtId="178" fontId="11" fillId="0" borderId="17" xfId="12" applyNumberFormat="1" applyFont="1" applyBorder="1"/>
    <xf numFmtId="0" fontId="11" fillId="0" borderId="136" xfId="12" applyFont="1" applyBorder="1"/>
    <xf numFmtId="0" fontId="11" fillId="0" borderId="137" xfId="12" applyFont="1" applyBorder="1"/>
    <xf numFmtId="178" fontId="11" fillId="0" borderId="17" xfId="12" applyNumberFormat="1" applyFont="1" applyFill="1" applyBorder="1"/>
    <xf numFmtId="0" fontId="11" fillId="0" borderId="138" xfId="12" applyFont="1" applyBorder="1"/>
    <xf numFmtId="0" fontId="11" fillId="0" borderId="17" xfId="12" applyFont="1" applyBorder="1"/>
    <xf numFmtId="0" fontId="11" fillId="0" borderId="16" xfId="12" applyFont="1" applyBorder="1"/>
    <xf numFmtId="0" fontId="11" fillId="0" borderId="18" xfId="12" applyFont="1" applyBorder="1"/>
    <xf numFmtId="178" fontId="11" fillId="0" borderId="115" xfId="12" applyNumberFormat="1" applyFont="1" applyFill="1" applyBorder="1"/>
    <xf numFmtId="0" fontId="11" fillId="0" borderId="115" xfId="12" applyFont="1" applyBorder="1"/>
    <xf numFmtId="0" fontId="11" fillId="0" borderId="116" xfId="12" applyFont="1" applyBorder="1"/>
    <xf numFmtId="0" fontId="11" fillId="0" borderId="81" xfId="12" applyFont="1" applyBorder="1"/>
    <xf numFmtId="178" fontId="11" fillId="0" borderId="9" xfId="12" applyNumberFormat="1" applyFont="1" applyBorder="1"/>
    <xf numFmtId="178" fontId="11" fillId="0" borderId="134" xfId="12" applyNumberFormat="1" applyFont="1" applyBorder="1"/>
    <xf numFmtId="178" fontId="11" fillId="0" borderId="139" xfId="12" applyNumberFormat="1" applyFont="1" applyBorder="1"/>
    <xf numFmtId="178" fontId="11" fillId="0" borderId="9" xfId="12" applyNumberFormat="1" applyFont="1" applyFill="1" applyBorder="1"/>
    <xf numFmtId="0" fontId="11" fillId="0" borderId="9" xfId="12" applyFont="1" applyBorder="1" applyAlignment="1">
      <alignment vertical="center"/>
    </xf>
    <xf numFmtId="0" fontId="11" fillId="0" borderId="10" xfId="12" applyFont="1" applyBorder="1" applyAlignment="1">
      <alignment vertical="center"/>
    </xf>
    <xf numFmtId="0" fontId="11" fillId="0" borderId="11" xfId="12" applyFont="1" applyBorder="1" applyAlignment="1">
      <alignment vertical="center"/>
    </xf>
    <xf numFmtId="178" fontId="11" fillId="0" borderId="2" xfId="12" applyNumberFormat="1" applyFont="1" applyBorder="1"/>
    <xf numFmtId="178" fontId="11" fillId="0" borderId="108" xfId="12" applyNumberFormat="1" applyFont="1" applyBorder="1"/>
    <xf numFmtId="178" fontId="11" fillId="0" borderId="3" xfId="12" applyNumberFormat="1" applyFont="1" applyBorder="1"/>
    <xf numFmtId="178" fontId="11" fillId="0" borderId="2" xfId="12" applyNumberFormat="1" applyFont="1" applyFill="1" applyBorder="1"/>
    <xf numFmtId="178" fontId="11" fillId="0" borderId="4" xfId="12" applyNumberFormat="1" applyFont="1" applyBorder="1"/>
    <xf numFmtId="0" fontId="11" fillId="0" borderId="2" xfId="12" applyFont="1" applyBorder="1" applyAlignment="1">
      <alignment vertical="center"/>
    </xf>
    <xf numFmtId="0" fontId="11" fillId="0" borderId="95" xfId="12" applyFont="1" applyBorder="1" applyAlignment="1">
      <alignment vertical="center"/>
    </xf>
    <xf numFmtId="0" fontId="11" fillId="0" borderId="4" xfId="12" applyFont="1" applyBorder="1" applyAlignment="1">
      <alignment vertical="center"/>
    </xf>
    <xf numFmtId="178" fontId="11" fillId="0" borderId="82" xfId="12" applyNumberFormat="1" applyFont="1" applyBorder="1"/>
    <xf numFmtId="178" fontId="11" fillId="0" borderId="118" xfId="12" applyNumberFormat="1" applyFont="1" applyBorder="1"/>
    <xf numFmtId="178" fontId="11" fillId="0" borderId="83" xfId="12" applyNumberFormat="1" applyFont="1" applyBorder="1"/>
    <xf numFmtId="0" fontId="11" fillId="0" borderId="41" xfId="12" applyFont="1" applyBorder="1" applyAlignment="1">
      <alignment vertical="center"/>
    </xf>
    <xf numFmtId="0" fontId="11" fillId="0" borderId="111" xfId="12" applyFont="1" applyBorder="1" applyAlignment="1">
      <alignment vertical="center"/>
    </xf>
    <xf numFmtId="0" fontId="11" fillId="0" borderId="7" xfId="12" applyFont="1" applyBorder="1" applyAlignment="1">
      <alignment vertical="center"/>
    </xf>
    <xf numFmtId="0" fontId="11" fillId="0" borderId="117" xfId="12" applyFont="1" applyBorder="1" applyAlignment="1">
      <alignment vertical="center"/>
    </xf>
    <xf numFmtId="0" fontId="11" fillId="0" borderId="45" xfId="12" applyFont="1" applyBorder="1" applyAlignment="1">
      <alignment vertical="center"/>
    </xf>
    <xf numFmtId="178" fontId="11" fillId="0" borderId="99" xfId="12" applyNumberFormat="1" applyFont="1" applyBorder="1"/>
    <xf numFmtId="178" fontId="11" fillId="0" borderId="140" xfId="12" applyNumberFormat="1" applyFont="1" applyBorder="1"/>
    <xf numFmtId="178" fontId="11" fillId="0" borderId="125" xfId="12" applyNumberFormat="1" applyFont="1" applyFill="1" applyBorder="1"/>
    <xf numFmtId="178" fontId="11" fillId="0" borderId="102" xfId="12" applyNumberFormat="1" applyFont="1" applyBorder="1"/>
    <xf numFmtId="0" fontId="11" fillId="0" borderId="101" xfId="12" applyFont="1" applyBorder="1" applyAlignment="1">
      <alignment vertical="center"/>
    </xf>
    <xf numFmtId="178" fontId="11" fillId="7" borderId="117" xfId="12" applyNumberFormat="1" applyFont="1" applyFill="1" applyBorder="1"/>
    <xf numFmtId="0" fontId="11" fillId="0" borderId="125" xfId="12" applyFont="1" applyBorder="1" applyAlignment="1">
      <alignment vertical="center"/>
    </xf>
    <xf numFmtId="178" fontId="11" fillId="0" borderId="119" xfId="12" applyNumberFormat="1" applyFont="1" applyBorder="1"/>
    <xf numFmtId="178" fontId="11" fillId="0" borderId="91" xfId="12" applyNumberFormat="1" applyFont="1" applyBorder="1"/>
    <xf numFmtId="178" fontId="11" fillId="0" borderId="120" xfId="12" applyNumberFormat="1" applyFont="1" applyBorder="1"/>
    <xf numFmtId="178" fontId="11" fillId="0" borderId="119" xfId="12" applyNumberFormat="1" applyFont="1" applyFill="1" applyBorder="1"/>
    <xf numFmtId="178" fontId="11" fillId="0" borderId="94" xfId="12" applyNumberFormat="1" applyFont="1" applyBorder="1"/>
    <xf numFmtId="0" fontId="11" fillId="0" borderId="119" xfId="12" applyFont="1" applyBorder="1" applyAlignment="1">
      <alignment vertical="center"/>
    </xf>
    <xf numFmtId="0" fontId="11" fillId="0" borderId="90" xfId="12" applyFont="1" applyBorder="1" applyAlignment="1">
      <alignment vertical="center"/>
    </xf>
    <xf numFmtId="178" fontId="11" fillId="0" borderId="74" xfId="12" applyNumberFormat="1" applyFont="1" applyBorder="1"/>
    <xf numFmtId="178" fontId="11" fillId="0" borderId="16" xfId="12" applyNumberFormat="1" applyFont="1" applyBorder="1"/>
    <xf numFmtId="178" fontId="11" fillId="0" borderId="18" xfId="12" applyNumberFormat="1" applyFont="1" applyBorder="1"/>
    <xf numFmtId="0" fontId="11" fillId="0" borderId="17" xfId="12" applyFont="1" applyBorder="1" applyAlignment="1">
      <alignment vertical="center"/>
    </xf>
    <xf numFmtId="0" fontId="11" fillId="0" borderId="16" xfId="12" applyFont="1" applyBorder="1" applyAlignment="1">
      <alignment vertical="center"/>
    </xf>
    <xf numFmtId="0" fontId="11" fillId="0" borderId="18" xfId="12" applyFont="1" applyBorder="1" applyAlignment="1">
      <alignment vertical="center"/>
    </xf>
    <xf numFmtId="178" fontId="11" fillId="5" borderId="2" xfId="12" applyNumberFormat="1" applyFont="1" applyFill="1" applyBorder="1"/>
    <xf numFmtId="0" fontId="11" fillId="0" borderId="107" xfId="12" applyFont="1" applyBorder="1" applyAlignment="1">
      <alignment vertical="center"/>
    </xf>
    <xf numFmtId="178" fontId="11" fillId="5" borderId="125" xfId="12" applyNumberFormat="1" applyFont="1" applyFill="1" applyBorder="1"/>
    <xf numFmtId="178" fontId="11" fillId="5" borderId="117" xfId="12" applyNumberFormat="1" applyFont="1" applyFill="1" applyBorder="1"/>
    <xf numFmtId="178" fontId="11" fillId="0" borderId="78" xfId="12" applyNumberFormat="1" applyFont="1" applyFill="1" applyBorder="1"/>
    <xf numFmtId="178" fontId="11" fillId="4" borderId="125" xfId="12" applyNumberFormat="1" applyFont="1" applyFill="1" applyBorder="1"/>
    <xf numFmtId="178" fontId="11" fillId="4" borderId="117" xfId="12" applyNumberFormat="1" applyFont="1" applyFill="1" applyBorder="1"/>
    <xf numFmtId="178" fontId="11" fillId="4" borderId="2" xfId="12" applyNumberFormat="1" applyFont="1" applyFill="1" applyBorder="1"/>
    <xf numFmtId="0" fontId="11" fillId="0" borderId="110" xfId="12" applyFont="1" applyBorder="1" applyAlignment="1">
      <alignment vertical="center"/>
    </xf>
    <xf numFmtId="178" fontId="11" fillId="0" borderId="112" xfId="12" applyNumberFormat="1" applyFont="1" applyBorder="1"/>
    <xf numFmtId="178" fontId="11" fillId="0" borderId="0" xfId="12" applyNumberFormat="1" applyFont="1" applyBorder="1"/>
    <xf numFmtId="178" fontId="11" fillId="0" borderId="7" xfId="12" applyNumberFormat="1" applyFont="1" applyBorder="1"/>
    <xf numFmtId="178" fontId="11" fillId="12" borderId="7" xfId="12" applyNumberFormat="1" applyFont="1" applyFill="1" applyBorder="1"/>
    <xf numFmtId="0" fontId="11" fillId="0" borderId="114" xfId="12" applyFont="1" applyBorder="1" applyAlignment="1">
      <alignment vertical="center"/>
    </xf>
    <xf numFmtId="178" fontId="11" fillId="4" borderId="6" xfId="12" applyNumberFormat="1" applyFont="1" applyFill="1" applyBorder="1"/>
    <xf numFmtId="0" fontId="11" fillId="0" borderId="115" xfId="12" applyFont="1" applyBorder="1" applyAlignment="1">
      <alignment horizontal="distributed" vertical="center" justifyLastLine="1"/>
    </xf>
    <xf numFmtId="0" fontId="11" fillId="0" borderId="79" xfId="12" applyFont="1" applyBorder="1" applyAlignment="1">
      <alignment horizontal="distributed" vertical="center" justifyLastLine="1"/>
    </xf>
    <xf numFmtId="0" fontId="11" fillId="0" borderId="116" xfId="12" applyFont="1" applyBorder="1" applyAlignment="1">
      <alignment horizontal="distributed" vertical="center" justifyLastLine="1"/>
    </xf>
    <xf numFmtId="0" fontId="11" fillId="0" borderId="81" xfId="12" applyFont="1" applyBorder="1" applyAlignment="1">
      <alignment horizontal="distributed" vertical="center" justifyLastLine="1"/>
    </xf>
    <xf numFmtId="0" fontId="11" fillId="0" borderId="0" xfId="12" applyFont="1" applyAlignment="1">
      <alignment horizontal="right"/>
    </xf>
    <xf numFmtId="0" fontId="11" fillId="0" borderId="0" xfId="12" applyFont="1" applyAlignment="1">
      <alignment horizontal="center"/>
    </xf>
    <xf numFmtId="176" fontId="11" fillId="0" borderId="0" xfId="12" applyNumberFormat="1" applyFont="1"/>
    <xf numFmtId="178" fontId="11" fillId="0" borderId="76" xfId="12" applyNumberFormat="1" applyFont="1" applyBorder="1"/>
    <xf numFmtId="178" fontId="11" fillId="0" borderId="110" xfId="12" applyNumberFormat="1" applyFont="1" applyBorder="1" applyAlignment="1">
      <alignment vertical="center"/>
    </xf>
    <xf numFmtId="176" fontId="11" fillId="2" borderId="3" xfId="12" applyNumberFormat="1" applyFont="1" applyFill="1" applyBorder="1" applyAlignment="1">
      <alignment vertical="center"/>
    </xf>
    <xf numFmtId="0" fontId="11" fillId="0" borderId="81" xfId="12" applyFont="1" applyBorder="1" applyAlignment="1">
      <alignment vertical="center"/>
    </xf>
    <xf numFmtId="178" fontId="11" fillId="0" borderId="41" xfId="12" applyNumberFormat="1" applyFont="1" applyBorder="1" applyAlignment="1">
      <alignment vertical="center"/>
    </xf>
    <xf numFmtId="178" fontId="11" fillId="2" borderId="118" xfId="12" applyNumberFormat="1" applyFont="1" applyFill="1" applyBorder="1" applyAlignment="1">
      <alignment vertical="center"/>
    </xf>
    <xf numFmtId="178" fontId="11" fillId="0" borderId="118" xfId="12" applyNumberFormat="1" applyFont="1" applyBorder="1" applyAlignment="1">
      <alignment vertical="center"/>
    </xf>
    <xf numFmtId="0" fontId="11" fillId="0" borderId="83" xfId="12" applyFont="1" applyBorder="1" applyAlignment="1">
      <alignment vertical="center"/>
    </xf>
    <xf numFmtId="178" fontId="11" fillId="2" borderId="41" xfId="12" applyNumberFormat="1" applyFont="1" applyFill="1" applyBorder="1" applyAlignment="1">
      <alignment vertical="center"/>
    </xf>
    <xf numFmtId="178" fontId="11" fillId="0" borderId="114" xfId="12" applyNumberFormat="1" applyFont="1" applyBorder="1" applyAlignment="1">
      <alignment vertical="center"/>
    </xf>
    <xf numFmtId="178" fontId="11" fillId="2" borderId="0" xfId="12" applyNumberFormat="1" applyFont="1" applyFill="1" applyBorder="1" applyAlignment="1">
      <alignment vertical="center"/>
    </xf>
    <xf numFmtId="0" fontId="11" fillId="0" borderId="6" xfId="12" applyFont="1" applyBorder="1" applyAlignment="1">
      <alignment vertical="center"/>
    </xf>
    <xf numFmtId="0" fontId="11" fillId="0" borderId="78" xfId="12" applyFont="1" applyBorder="1" applyAlignment="1">
      <alignment horizontal="distributed" vertical="center" justifyLastLine="1"/>
    </xf>
    <xf numFmtId="0" fontId="11" fillId="0" borderId="3" xfId="12" applyFont="1" applyBorder="1" applyAlignment="1">
      <alignment horizontal="distributed" vertical="center" justifyLastLine="1"/>
    </xf>
    <xf numFmtId="38" fontId="11" fillId="0" borderId="0" xfId="12" applyNumberFormat="1" applyFont="1"/>
    <xf numFmtId="38" fontId="11" fillId="0" borderId="82" xfId="12" applyNumberFormat="1" applyFont="1" applyFill="1" applyBorder="1"/>
    <xf numFmtId="0" fontId="11" fillId="0" borderId="82" xfId="12" applyFont="1" applyFill="1" applyBorder="1" applyAlignment="1">
      <alignment horizontal="distributed" vertical="center" justifyLastLine="1"/>
    </xf>
    <xf numFmtId="0" fontId="11" fillId="0" borderId="82" xfId="12" applyFont="1" applyFill="1" applyBorder="1"/>
    <xf numFmtId="0" fontId="11" fillId="0" borderId="82" xfId="12" applyFont="1" applyFill="1" applyBorder="1" applyAlignment="1">
      <alignment horizontal="center" vertical="center" shrinkToFit="1"/>
    </xf>
    <xf numFmtId="0" fontId="32" fillId="0" borderId="82" xfId="12" applyFont="1" applyFill="1" applyBorder="1" applyAlignment="1">
      <alignment horizontal="distributed" vertical="center" justifyLastLine="1"/>
    </xf>
    <xf numFmtId="180" fontId="11" fillId="0" borderId="82" xfId="12" applyNumberFormat="1" applyFont="1" applyFill="1" applyBorder="1"/>
    <xf numFmtId="0" fontId="33" fillId="0" borderId="82" xfId="12" applyFont="1" applyFill="1" applyBorder="1" applyAlignment="1">
      <alignment horizontal="distributed" vertical="center" justifyLastLine="1"/>
    </xf>
    <xf numFmtId="0" fontId="34" fillId="0" borderId="82" xfId="12" applyFont="1" applyFill="1" applyBorder="1" applyAlignment="1">
      <alignment horizontal="distributed" vertical="center" justifyLastLine="1"/>
    </xf>
    <xf numFmtId="38" fontId="11" fillId="8" borderId="82" xfId="12" applyNumberFormat="1" applyFont="1" applyFill="1" applyBorder="1"/>
    <xf numFmtId="0" fontId="35" fillId="0" borderId="82" xfId="12" applyFont="1" applyFill="1" applyBorder="1"/>
    <xf numFmtId="0" fontId="36" fillId="0" borderId="82" xfId="12" applyFont="1" applyFill="1" applyBorder="1" applyAlignment="1">
      <alignment horizontal="distributed" vertical="center" justifyLastLine="1"/>
    </xf>
    <xf numFmtId="0" fontId="36" fillId="0" borderId="82" xfId="12" applyFont="1" applyFill="1" applyBorder="1"/>
    <xf numFmtId="0" fontId="37" fillId="0" borderId="82" xfId="12" applyFont="1" applyFill="1" applyBorder="1"/>
    <xf numFmtId="38" fontId="11" fillId="2" borderId="82" xfId="12" applyNumberFormat="1" applyFont="1" applyFill="1" applyBorder="1"/>
    <xf numFmtId="180" fontId="11" fillId="8" borderId="82" xfId="12" applyNumberFormat="1" applyFont="1" applyFill="1" applyBorder="1"/>
    <xf numFmtId="0" fontId="11" fillId="0" borderId="82" xfId="12" applyFont="1" applyFill="1" applyBorder="1" applyAlignment="1">
      <alignment horizontal="center"/>
    </xf>
    <xf numFmtId="0" fontId="2" fillId="0" borderId="1" xfId="2" applyFont="1" applyBorder="1" applyAlignment="1">
      <alignment vertical="center" wrapText="1"/>
    </xf>
    <xf numFmtId="0" fontId="2" fillId="0" borderId="102" xfId="2" applyFont="1" applyFill="1" applyBorder="1" applyAlignment="1">
      <alignment vertical="center" wrapText="1"/>
    </xf>
    <xf numFmtId="0" fontId="2" fillId="0" borderId="101" xfId="2" applyFont="1" applyBorder="1">
      <alignment vertical="center"/>
    </xf>
    <xf numFmtId="0" fontId="2" fillId="0" borderId="99" xfId="2" applyFont="1" applyBorder="1">
      <alignment vertical="center"/>
    </xf>
    <xf numFmtId="0" fontId="2" fillId="0" borderId="97" xfId="2" applyFont="1" applyBorder="1">
      <alignment vertical="center"/>
    </xf>
    <xf numFmtId="0" fontId="2" fillId="0" borderId="97" xfId="2" applyFont="1" applyFill="1" applyBorder="1">
      <alignment vertical="center"/>
    </xf>
    <xf numFmtId="0" fontId="2" fillId="0" borderId="82" xfId="2" applyFont="1" applyFill="1" applyBorder="1">
      <alignment vertical="center"/>
    </xf>
    <xf numFmtId="0" fontId="2" fillId="0" borderId="99" xfId="2" applyFont="1" applyFill="1" applyBorder="1">
      <alignment vertical="center"/>
    </xf>
    <xf numFmtId="0" fontId="39" fillId="0" borderId="0" xfId="2" applyFont="1" applyAlignment="1">
      <alignment horizontal="right" vertical="center" wrapText="1"/>
    </xf>
    <xf numFmtId="0" fontId="2" fillId="0" borderId="62" xfId="2" applyFont="1" applyBorder="1">
      <alignment vertical="center"/>
    </xf>
    <xf numFmtId="0" fontId="2" fillId="0" borderId="141" xfId="2" applyFont="1" applyBorder="1">
      <alignment vertical="center"/>
    </xf>
    <xf numFmtId="0" fontId="2" fillId="0" borderId="142" xfId="2" applyFont="1" applyFill="1" applyBorder="1">
      <alignment vertical="center"/>
    </xf>
    <xf numFmtId="0" fontId="0" fillId="0" borderId="0" xfId="0"/>
    <xf numFmtId="0" fontId="2" fillId="0" borderId="82" xfId="2" applyFont="1" applyBorder="1">
      <alignment vertical="center"/>
    </xf>
    <xf numFmtId="0" fontId="2" fillId="0" borderId="99" xfId="2" applyFont="1" applyBorder="1">
      <alignment vertical="center"/>
    </xf>
    <xf numFmtId="0" fontId="2" fillId="0" borderId="82" xfId="2" applyFont="1" applyFill="1" applyBorder="1">
      <alignment vertical="center"/>
    </xf>
    <xf numFmtId="0" fontId="2" fillId="0" borderId="99" xfId="2" applyFont="1" applyFill="1" applyBorder="1">
      <alignment vertical="center"/>
    </xf>
    <xf numFmtId="0" fontId="39" fillId="0" borderId="0" xfId="2" applyFont="1" applyAlignment="1">
      <alignment horizontal="right" vertical="center" wrapText="1"/>
    </xf>
    <xf numFmtId="0" fontId="2" fillId="0" borderId="62" xfId="2" applyFont="1" applyBorder="1">
      <alignment vertical="center"/>
    </xf>
    <xf numFmtId="0" fontId="2" fillId="0" borderId="141" xfId="2" applyFont="1" applyBorder="1">
      <alignment vertical="center"/>
    </xf>
    <xf numFmtId="0" fontId="2" fillId="0" borderId="141" xfId="2" applyFont="1" applyFill="1" applyBorder="1">
      <alignment vertical="center"/>
    </xf>
    <xf numFmtId="0" fontId="2" fillId="0" borderId="142" xfId="2" applyFont="1" applyFill="1" applyBorder="1">
      <alignment vertical="center"/>
    </xf>
    <xf numFmtId="176" fontId="24" fillId="0" borderId="53" xfId="2" applyNumberFormat="1" applyFont="1" applyFill="1" applyBorder="1">
      <alignment vertical="center"/>
    </xf>
    <xf numFmtId="176" fontId="24" fillId="0" borderId="52" xfId="2" applyNumberFormat="1" applyFont="1" applyFill="1" applyBorder="1">
      <alignment vertical="center"/>
    </xf>
    <xf numFmtId="176" fontId="24" fillId="0" borderId="51" xfId="2" applyNumberFormat="1" applyFont="1" applyFill="1" applyBorder="1">
      <alignment vertical="center"/>
    </xf>
    <xf numFmtId="176" fontId="24" fillId="0" borderId="50" xfId="2" applyNumberFormat="1" applyFont="1" applyFill="1" applyBorder="1">
      <alignment vertical="center"/>
    </xf>
    <xf numFmtId="176" fontId="24" fillId="0" borderId="64" xfId="2" applyNumberFormat="1" applyFont="1" applyFill="1" applyBorder="1">
      <alignment vertical="center"/>
    </xf>
    <xf numFmtId="176" fontId="24" fillId="0" borderId="63" xfId="2" applyNumberFormat="1" applyFont="1" applyFill="1" applyBorder="1">
      <alignment vertical="center"/>
    </xf>
    <xf numFmtId="176" fontId="24" fillId="0" borderId="37" xfId="2" applyNumberFormat="1" applyFont="1" applyFill="1" applyBorder="1">
      <alignment vertical="center"/>
    </xf>
    <xf numFmtId="176" fontId="24" fillId="0" borderId="33" xfId="2" applyNumberFormat="1" applyFont="1" applyFill="1" applyBorder="1">
      <alignment vertical="center"/>
    </xf>
    <xf numFmtId="176" fontId="24" fillId="0" borderId="69" xfId="2" applyNumberFormat="1" applyFont="1" applyFill="1" applyBorder="1">
      <alignment vertical="center"/>
    </xf>
    <xf numFmtId="176" fontId="24" fillId="0" borderId="68" xfId="2" applyNumberFormat="1" applyFont="1" applyFill="1" applyBorder="1">
      <alignment vertical="center"/>
    </xf>
    <xf numFmtId="176" fontId="24" fillId="0" borderId="45" xfId="2" applyNumberFormat="1" applyFont="1" applyFill="1" applyBorder="1">
      <alignment vertical="center"/>
    </xf>
    <xf numFmtId="176" fontId="24" fillId="0" borderId="41" xfId="2" applyNumberFormat="1" applyFont="1" applyFill="1" applyBorder="1">
      <alignment vertical="center"/>
    </xf>
    <xf numFmtId="176" fontId="25" fillId="3" borderId="40" xfId="2" applyNumberFormat="1" applyFont="1" applyFill="1" applyBorder="1">
      <alignment vertical="center"/>
    </xf>
    <xf numFmtId="0" fontId="2" fillId="0" borderId="5" xfId="2" applyFont="1" applyBorder="1">
      <alignment vertical="center"/>
    </xf>
    <xf numFmtId="0" fontId="2" fillId="0" borderId="5" xfId="2" applyFont="1" applyBorder="1" applyAlignment="1">
      <alignment vertical="center" wrapText="1"/>
    </xf>
    <xf numFmtId="0" fontId="2" fillId="0" borderId="1" xfId="2" applyFont="1" applyBorder="1">
      <alignment vertical="center"/>
    </xf>
    <xf numFmtId="0" fontId="2" fillId="0" borderId="0" xfId="2" applyFont="1" applyBorder="1">
      <alignment vertical="center"/>
    </xf>
    <xf numFmtId="0" fontId="5" fillId="0" borderId="0" xfId="2" applyFont="1" applyBorder="1">
      <alignment vertical="center"/>
    </xf>
    <xf numFmtId="0" fontId="2" fillId="0" borderId="8" xfId="2" applyFont="1" applyBorder="1" applyAlignment="1">
      <alignment vertical="center" wrapText="1"/>
    </xf>
    <xf numFmtId="0" fontId="2" fillId="0" borderId="1" xfId="2" applyFont="1" applyBorder="1" applyAlignment="1">
      <alignment vertical="center" wrapText="1"/>
    </xf>
    <xf numFmtId="0" fontId="2" fillId="0" borderId="8" xfId="2" applyFont="1" applyBorder="1">
      <alignment vertical="center"/>
    </xf>
    <xf numFmtId="0" fontId="2" fillId="0" borderId="9" xfId="2" applyFont="1" applyBorder="1">
      <alignment vertical="center"/>
    </xf>
    <xf numFmtId="0" fontId="2" fillId="0" borderId="6" xfId="2" applyFont="1" applyBorder="1">
      <alignment vertical="center"/>
    </xf>
    <xf numFmtId="0" fontId="2" fillId="0" borderId="2" xfId="2" applyFont="1" applyBorder="1">
      <alignment vertical="center"/>
    </xf>
    <xf numFmtId="0" fontId="2" fillId="0" borderId="7" xfId="2" applyFont="1" applyBorder="1">
      <alignment vertical="center"/>
    </xf>
    <xf numFmtId="0" fontId="2" fillId="0" borderId="11" xfId="2" applyFont="1" applyBorder="1">
      <alignment vertical="center"/>
    </xf>
    <xf numFmtId="0" fontId="2" fillId="0" borderId="10" xfId="2" applyFont="1" applyBorder="1">
      <alignment vertical="center"/>
    </xf>
    <xf numFmtId="0" fontId="2" fillId="0" borderId="4" xfId="2" applyFont="1" applyBorder="1">
      <alignment vertical="center"/>
    </xf>
    <xf numFmtId="0" fontId="2" fillId="0" borderId="3" xfId="2" applyFont="1" applyBorder="1">
      <alignment vertical="center"/>
    </xf>
    <xf numFmtId="0" fontId="2" fillId="0" borderId="15" xfId="2" applyFont="1" applyBorder="1" applyAlignment="1">
      <alignment horizontal="center" vertical="center"/>
    </xf>
    <xf numFmtId="176" fontId="25" fillId="0" borderId="61" xfId="2" applyNumberFormat="1" applyFont="1" applyFill="1" applyBorder="1">
      <alignment vertical="center"/>
    </xf>
    <xf numFmtId="177" fontId="2" fillId="0" borderId="111" xfId="3" applyNumberFormat="1" applyFont="1" applyBorder="1" applyAlignment="1">
      <alignment vertical="center"/>
    </xf>
    <xf numFmtId="177" fontId="2" fillId="0" borderId="107" xfId="3" applyNumberFormat="1" applyFont="1" applyBorder="1" applyAlignment="1">
      <alignment vertical="center"/>
    </xf>
    <xf numFmtId="10" fontId="2" fillId="0" borderId="108" xfId="3" applyNumberFormat="1" applyFont="1" applyBorder="1" applyAlignment="1">
      <alignment vertical="center"/>
    </xf>
    <xf numFmtId="10" fontId="2" fillId="3" borderId="112" xfId="3" applyNumberFormat="1" applyFont="1" applyFill="1" applyBorder="1" applyAlignment="1">
      <alignment vertical="center"/>
    </xf>
    <xf numFmtId="9" fontId="2" fillId="14" borderId="74" xfId="3" applyNumberFormat="1" applyFont="1" applyFill="1" applyBorder="1" applyAlignment="1">
      <alignment horizontal="center" vertical="center"/>
    </xf>
    <xf numFmtId="10" fontId="2" fillId="14" borderId="112" xfId="3" applyNumberFormat="1" applyFont="1" applyFill="1" applyBorder="1" applyAlignment="1">
      <alignment vertical="center"/>
    </xf>
    <xf numFmtId="10" fontId="2" fillId="14" borderId="108" xfId="3" applyNumberFormat="1" applyFont="1" applyFill="1" applyBorder="1" applyAlignment="1">
      <alignment vertical="center"/>
    </xf>
    <xf numFmtId="176" fontId="1" fillId="14" borderId="61" xfId="2" applyNumberFormat="1" applyFill="1" applyBorder="1" applyAlignment="1">
      <alignment horizontal="center" vertical="center"/>
    </xf>
    <xf numFmtId="0" fontId="10" fillId="14" borderId="0" xfId="11" applyFill="1"/>
    <xf numFmtId="0" fontId="0" fillId="14" borderId="0" xfId="0" applyFill="1" applyAlignment="1">
      <alignment horizontal="right"/>
    </xf>
    <xf numFmtId="181" fontId="0" fillId="14" borderId="0" xfId="1" applyNumberFormat="1" applyFont="1" applyFill="1" applyBorder="1" applyAlignment="1">
      <alignment horizontal="right" vertical="center" shrinkToFit="1"/>
    </xf>
    <xf numFmtId="38" fontId="10" fillId="14" borderId="0" xfId="11" applyNumberFormat="1" applyFill="1"/>
    <xf numFmtId="38" fontId="0" fillId="14" borderId="0" xfId="7" applyFont="1" applyFill="1" applyAlignment="1"/>
    <xf numFmtId="0" fontId="2" fillId="0" borderId="0" xfId="2" applyFont="1" applyBorder="1">
      <alignment vertical="center"/>
    </xf>
    <xf numFmtId="0" fontId="5" fillId="0" borderId="0" xfId="2" applyFont="1" applyBorder="1">
      <alignment vertical="center"/>
    </xf>
    <xf numFmtId="0" fontId="0" fillId="0" borderId="0" xfId="0" applyFill="1"/>
    <xf numFmtId="38" fontId="6" fillId="0" borderId="0" xfId="5" applyFont="1" applyFill="1" applyAlignment="1">
      <alignment vertical="center"/>
    </xf>
    <xf numFmtId="0" fontId="2" fillId="0" borderId="1" xfId="2" applyFont="1" applyBorder="1">
      <alignment vertical="center"/>
    </xf>
    <xf numFmtId="0" fontId="2" fillId="0" borderId="5" xfId="2" applyFont="1" applyBorder="1">
      <alignment vertical="center"/>
    </xf>
    <xf numFmtId="0" fontId="2" fillId="0" borderId="5" xfId="2" applyFont="1" applyBorder="1" applyAlignment="1">
      <alignment vertical="center" wrapText="1"/>
    </xf>
    <xf numFmtId="0" fontId="2" fillId="0" borderId="8" xfId="2" applyFont="1" applyBorder="1" applyAlignment="1">
      <alignment horizontal="left" vertical="center"/>
    </xf>
    <xf numFmtId="0" fontId="2" fillId="0" borderId="5" xfId="2" applyFont="1" applyBorder="1" applyAlignment="1">
      <alignment vertical="top" wrapText="1"/>
    </xf>
    <xf numFmtId="0" fontId="2" fillId="0" borderId="0" xfId="2" applyFont="1" applyBorder="1">
      <alignment vertical="center"/>
    </xf>
    <xf numFmtId="0" fontId="2" fillId="0" borderId="5" xfId="2" applyFont="1" applyBorder="1">
      <alignment vertical="center"/>
    </xf>
    <xf numFmtId="0" fontId="2" fillId="0" borderId="7" xfId="2" applyFont="1" applyBorder="1">
      <alignment vertical="center"/>
    </xf>
    <xf numFmtId="0" fontId="2" fillId="0" borderId="0" xfId="2" applyFont="1" applyBorder="1">
      <alignment vertical="center"/>
    </xf>
    <xf numFmtId="0" fontId="2" fillId="0" borderId="6" xfId="2" applyFont="1" applyBorder="1">
      <alignment vertical="center"/>
    </xf>
    <xf numFmtId="0" fontId="5" fillId="0" borderId="0" xfId="2" applyFont="1" applyBorder="1">
      <alignment vertical="center"/>
    </xf>
    <xf numFmtId="0" fontId="2" fillId="3" borderId="0" xfId="2" applyFont="1" applyFill="1">
      <alignment vertical="center"/>
    </xf>
    <xf numFmtId="176" fontId="2" fillId="3" borderId="83" xfId="2" applyNumberFormat="1" applyFont="1" applyFill="1" applyBorder="1">
      <alignment vertical="center"/>
    </xf>
    <xf numFmtId="0" fontId="2" fillId="3" borderId="41" xfId="2" applyFont="1" applyFill="1" applyBorder="1">
      <alignment vertical="center"/>
    </xf>
    <xf numFmtId="38" fontId="2" fillId="3" borderId="40" xfId="4" applyFont="1" applyFill="1" applyBorder="1">
      <alignment vertical="center"/>
    </xf>
    <xf numFmtId="38" fontId="2" fillId="3" borderId="0" xfId="5" applyFont="1" applyFill="1" applyAlignment="1">
      <alignment vertical="center"/>
    </xf>
    <xf numFmtId="38" fontId="0" fillId="0" borderId="0" xfId="7" applyFont="1" applyAlignment="1">
      <alignment horizontal="center"/>
    </xf>
    <xf numFmtId="38" fontId="0" fillId="0" borderId="0" xfId="13" applyFont="1" applyAlignment="1">
      <alignment horizontal="center"/>
    </xf>
    <xf numFmtId="38" fontId="0" fillId="0" borderId="0" xfId="13" applyFont="1" applyAlignment="1"/>
    <xf numFmtId="38" fontId="10" fillId="0" borderId="0" xfId="13" applyFont="1" applyAlignment="1"/>
    <xf numFmtId="38" fontId="22" fillId="0" borderId="0" xfId="13" applyFont="1" applyAlignment="1"/>
    <xf numFmtId="38" fontId="14" fillId="0" borderId="0" xfId="13" applyFont="1" applyAlignment="1"/>
    <xf numFmtId="38" fontId="0" fillId="0" borderId="0" xfId="13" applyFont="1" applyFill="1" applyAlignment="1"/>
    <xf numFmtId="0" fontId="2" fillId="0" borderId="5" xfId="2" applyFont="1" applyBorder="1">
      <alignment vertical="center"/>
    </xf>
    <xf numFmtId="0" fontId="2" fillId="0" borderId="0" xfId="2" applyFont="1" applyBorder="1">
      <alignment vertical="center"/>
    </xf>
    <xf numFmtId="0" fontId="5" fillId="0" borderId="0" xfId="2" applyFont="1" applyBorder="1">
      <alignment vertical="center"/>
    </xf>
    <xf numFmtId="0" fontId="2" fillId="0" borderId="6" xfId="2" applyFont="1" applyBorder="1">
      <alignment vertical="center"/>
    </xf>
    <xf numFmtId="0" fontId="2" fillId="0" borderId="7" xfId="2" applyFont="1" applyBorder="1">
      <alignment vertical="center"/>
    </xf>
    <xf numFmtId="38" fontId="2" fillId="2" borderId="92" xfId="4" applyFont="1" applyFill="1" applyBorder="1" applyAlignment="1">
      <alignment horizontal="right" vertical="center"/>
    </xf>
    <xf numFmtId="38" fontId="2" fillId="2" borderId="91" xfId="4" applyFont="1" applyFill="1" applyBorder="1" applyAlignment="1">
      <alignment horizontal="right" vertical="center"/>
    </xf>
    <xf numFmtId="38" fontId="2" fillId="2" borderId="90" xfId="4" applyFont="1" applyFill="1" applyBorder="1" applyAlignment="1">
      <alignment horizontal="right" vertical="center"/>
    </xf>
    <xf numFmtId="38" fontId="2" fillId="0" borderId="89" xfId="4" applyFont="1" applyBorder="1" applyAlignment="1">
      <alignment horizontal="right" vertical="center"/>
    </xf>
    <xf numFmtId="38" fontId="2" fillId="0" borderId="92" xfId="4" applyFont="1" applyFill="1" applyBorder="1" applyAlignment="1">
      <alignment horizontal="right" vertical="center"/>
    </xf>
    <xf numFmtId="38" fontId="2" fillId="0" borderId="91" xfId="4" applyFont="1" applyFill="1" applyBorder="1" applyAlignment="1">
      <alignment horizontal="right" vertical="center"/>
    </xf>
    <xf numFmtId="38" fontId="2" fillId="0" borderId="90" xfId="4" applyFont="1" applyFill="1" applyBorder="1" applyAlignment="1">
      <alignment horizontal="right" vertical="center"/>
    </xf>
    <xf numFmtId="38" fontId="2" fillId="2" borderId="69" xfId="4" applyFont="1" applyFill="1" applyBorder="1" applyAlignment="1">
      <alignment horizontal="right" vertical="center"/>
    </xf>
    <xf numFmtId="38" fontId="2" fillId="2" borderId="82" xfId="4" applyFont="1" applyFill="1" applyBorder="1" applyAlignment="1">
      <alignment horizontal="right" vertical="center"/>
    </xf>
    <xf numFmtId="38" fontId="2" fillId="2" borderId="45" xfId="4" applyFont="1" applyFill="1" applyBorder="1" applyAlignment="1">
      <alignment horizontal="right" vertical="center"/>
    </xf>
    <xf numFmtId="38" fontId="2" fillId="0" borderId="40" xfId="4" applyFont="1" applyBorder="1" applyAlignment="1">
      <alignment horizontal="right" vertical="center"/>
    </xf>
    <xf numFmtId="38" fontId="2" fillId="0" borderId="40" xfId="4" applyFont="1" applyFill="1" applyBorder="1" applyAlignment="1">
      <alignment horizontal="right" vertical="center"/>
    </xf>
    <xf numFmtId="0" fontId="2" fillId="0" borderId="41" xfId="2" applyFont="1" applyBorder="1" applyAlignment="1">
      <alignment horizontal="right" vertical="center"/>
    </xf>
    <xf numFmtId="38" fontId="2" fillId="0" borderId="69" xfId="4" applyFont="1" applyFill="1" applyBorder="1" applyAlignment="1">
      <alignment horizontal="right" vertical="center"/>
    </xf>
    <xf numFmtId="38" fontId="2" fillId="0" borderId="82" xfId="4" applyFont="1" applyFill="1" applyBorder="1" applyAlignment="1">
      <alignment horizontal="right" vertical="center"/>
    </xf>
    <xf numFmtId="38" fontId="2" fillId="0" borderId="45" xfId="4" applyFont="1" applyFill="1" applyBorder="1" applyAlignment="1">
      <alignment horizontal="right" vertical="center"/>
    </xf>
    <xf numFmtId="38" fontId="2" fillId="0" borderId="69" xfId="4" applyFont="1" applyBorder="1" applyAlignment="1">
      <alignment horizontal="right" vertical="center"/>
    </xf>
    <xf numFmtId="38" fontId="2" fillId="0" borderId="82" xfId="4" applyFont="1" applyBorder="1" applyAlignment="1">
      <alignment horizontal="right" vertical="center"/>
    </xf>
    <xf numFmtId="38" fontId="2" fillId="0" borderId="45" xfId="4" applyFont="1" applyBorder="1" applyAlignment="1">
      <alignment horizontal="right" vertical="center"/>
    </xf>
    <xf numFmtId="38" fontId="2" fillId="0" borderId="80" xfId="4" applyFont="1" applyBorder="1" applyAlignment="1">
      <alignment horizontal="right" vertical="center"/>
    </xf>
    <xf numFmtId="38" fontId="2" fillId="0" borderId="79" xfId="4" applyFont="1" applyBorder="1" applyAlignment="1">
      <alignment horizontal="right" vertical="center"/>
    </xf>
    <xf numFmtId="38" fontId="2" fillId="0" borderId="95" xfId="4" applyFont="1" applyBorder="1" applyAlignment="1">
      <alignment horizontal="right" vertical="center"/>
    </xf>
    <xf numFmtId="38" fontId="2" fillId="0" borderId="77" xfId="4" applyFont="1" applyBorder="1" applyAlignment="1">
      <alignment horizontal="right" vertical="center"/>
    </xf>
    <xf numFmtId="0" fontId="2" fillId="0" borderId="78" xfId="2" applyFont="1" applyBorder="1" applyAlignment="1">
      <alignment horizontal="right" vertical="center"/>
    </xf>
    <xf numFmtId="38" fontId="2" fillId="0" borderId="80" xfId="4" applyFont="1" applyFill="1" applyBorder="1" applyAlignment="1">
      <alignment horizontal="right" vertical="center"/>
    </xf>
    <xf numFmtId="38" fontId="2" fillId="0" borderId="79" xfId="4" applyFont="1" applyFill="1" applyBorder="1" applyAlignment="1">
      <alignment horizontal="right" vertical="center"/>
    </xf>
    <xf numFmtId="38" fontId="2" fillId="0" borderId="95" xfId="4" applyFont="1" applyFill="1" applyBorder="1" applyAlignment="1">
      <alignment horizontal="right" vertical="center"/>
    </xf>
    <xf numFmtId="38" fontId="2" fillId="0" borderId="87" xfId="4" applyFont="1" applyBorder="1" applyAlignment="1">
      <alignment horizontal="right" vertical="center"/>
    </xf>
    <xf numFmtId="38" fontId="2" fillId="0" borderId="86" xfId="4" applyFont="1" applyBorder="1" applyAlignment="1">
      <alignment horizontal="right" vertical="center"/>
    </xf>
    <xf numFmtId="38" fontId="2" fillId="0" borderId="96" xfId="4" applyFont="1" applyBorder="1" applyAlignment="1">
      <alignment horizontal="right" vertical="center"/>
    </xf>
    <xf numFmtId="38" fontId="2" fillId="0" borderId="84" xfId="4" applyFont="1" applyBorder="1" applyAlignment="1">
      <alignment horizontal="right" vertical="center"/>
    </xf>
    <xf numFmtId="0" fontId="2" fillId="0" borderId="85" xfId="2" applyFont="1" applyBorder="1" applyAlignment="1">
      <alignment horizontal="right" vertical="center"/>
    </xf>
    <xf numFmtId="38" fontId="2" fillId="11" borderId="87" xfId="4" applyFont="1" applyFill="1" applyBorder="1" applyAlignment="1">
      <alignment horizontal="right" vertical="center"/>
    </xf>
    <xf numFmtId="38" fontId="2" fillId="11" borderId="86" xfId="4" applyFont="1" applyFill="1" applyBorder="1" applyAlignment="1">
      <alignment horizontal="right" vertical="center"/>
    </xf>
    <xf numFmtId="38" fontId="2" fillId="11" borderId="96" xfId="4" applyFont="1" applyFill="1" applyBorder="1" applyAlignment="1">
      <alignment horizontal="right" vertical="center"/>
    </xf>
    <xf numFmtId="38" fontId="2" fillId="11" borderId="84" xfId="4" applyFont="1" applyFill="1" applyBorder="1" applyAlignment="1">
      <alignment horizontal="right" vertical="center"/>
    </xf>
    <xf numFmtId="38" fontId="2" fillId="2" borderId="40" xfId="4" applyFont="1" applyFill="1" applyBorder="1" applyAlignment="1">
      <alignment horizontal="right" vertical="center"/>
    </xf>
    <xf numFmtId="38" fontId="2" fillId="11" borderId="69" xfId="4" applyFont="1" applyFill="1" applyBorder="1" applyAlignment="1">
      <alignment horizontal="right" vertical="center"/>
    </xf>
    <xf numFmtId="38" fontId="2" fillId="11" borderId="82" xfId="4" applyFont="1" applyFill="1" applyBorder="1" applyAlignment="1">
      <alignment horizontal="right" vertical="center"/>
    </xf>
    <xf numFmtId="38" fontId="2" fillId="11" borderId="45" xfId="4" applyFont="1" applyFill="1" applyBorder="1" applyAlignment="1">
      <alignment horizontal="right" vertical="center"/>
    </xf>
    <xf numFmtId="38" fontId="2" fillId="11" borderId="40" xfId="4" applyFont="1" applyFill="1" applyBorder="1" applyAlignment="1">
      <alignment horizontal="right" vertical="center"/>
    </xf>
    <xf numFmtId="10" fontId="2" fillId="0" borderId="77" xfId="3" applyNumberFormat="1" applyFont="1" applyBorder="1" applyAlignment="1">
      <alignment horizontal="right" vertical="center"/>
    </xf>
    <xf numFmtId="38" fontId="2" fillId="11" borderId="80" xfId="4" applyFont="1" applyFill="1" applyBorder="1" applyAlignment="1">
      <alignment horizontal="right" vertical="center"/>
    </xf>
    <xf numFmtId="38" fontId="2" fillId="11" borderId="79" xfId="4" applyFont="1" applyFill="1" applyBorder="1" applyAlignment="1">
      <alignment horizontal="right" vertical="center"/>
    </xf>
    <xf numFmtId="38" fontId="2" fillId="11" borderId="95" xfId="4" applyFont="1" applyFill="1" applyBorder="1" applyAlignment="1">
      <alignment horizontal="right" vertical="center"/>
    </xf>
    <xf numFmtId="10" fontId="2" fillId="11" borderId="77" xfId="3" applyNumberFormat="1" applyFont="1" applyFill="1" applyBorder="1" applyAlignment="1">
      <alignment horizontal="right" vertical="center"/>
    </xf>
    <xf numFmtId="38" fontId="2" fillId="0" borderId="113" xfId="4" applyFont="1" applyBorder="1" applyAlignment="1">
      <alignment horizontal="right" vertical="center"/>
    </xf>
    <xf numFmtId="38" fontId="2" fillId="0" borderId="112" xfId="4" applyFont="1" applyBorder="1" applyAlignment="1">
      <alignment horizontal="right" vertical="center"/>
    </xf>
    <xf numFmtId="38" fontId="2" fillId="0" borderId="111" xfId="4" applyFont="1" applyBorder="1" applyAlignment="1">
      <alignment horizontal="right" vertical="center"/>
    </xf>
    <xf numFmtId="38" fontId="2" fillId="0" borderId="5" xfId="4" applyFont="1" applyBorder="1" applyAlignment="1">
      <alignment horizontal="right" vertical="center"/>
    </xf>
    <xf numFmtId="38" fontId="2" fillId="0" borderId="113" xfId="4" applyFont="1" applyFill="1" applyBorder="1" applyAlignment="1">
      <alignment horizontal="right" vertical="center"/>
    </xf>
    <xf numFmtId="38" fontId="2" fillId="0" borderId="112" xfId="4" applyFont="1" applyFill="1" applyBorder="1" applyAlignment="1">
      <alignment horizontal="right" vertical="center"/>
    </xf>
    <xf numFmtId="38" fontId="2" fillId="0" borderId="111" xfId="4" applyFont="1" applyFill="1" applyBorder="1" applyAlignment="1">
      <alignment horizontal="right" vertical="center"/>
    </xf>
    <xf numFmtId="38" fontId="2" fillId="0" borderId="109" xfId="4" applyFont="1" applyBorder="1" applyAlignment="1">
      <alignment horizontal="right" vertical="center"/>
    </xf>
    <xf numFmtId="38" fontId="2" fillId="0" borderId="108" xfId="4" applyFont="1" applyBorder="1" applyAlignment="1">
      <alignment horizontal="right" vertical="center"/>
    </xf>
    <xf numFmtId="38" fontId="2" fillId="0" borderId="107" xfId="4" applyFont="1" applyBorder="1" applyAlignment="1">
      <alignment horizontal="right" vertical="center"/>
    </xf>
    <xf numFmtId="38" fontId="2" fillId="0" borderId="1" xfId="4" applyFont="1" applyBorder="1" applyAlignment="1">
      <alignment horizontal="right" vertical="center"/>
    </xf>
    <xf numFmtId="38" fontId="2" fillId="0" borderId="109" xfId="4" applyFont="1" applyFill="1" applyBorder="1" applyAlignment="1">
      <alignment horizontal="right" vertical="center"/>
    </xf>
    <xf numFmtId="38" fontId="2" fillId="0" borderId="108" xfId="4" applyFont="1" applyFill="1" applyBorder="1" applyAlignment="1">
      <alignment horizontal="right" vertical="center"/>
    </xf>
    <xf numFmtId="38" fontId="2" fillId="0" borderId="107" xfId="4" applyFont="1" applyFill="1" applyBorder="1" applyAlignment="1">
      <alignment horizontal="right" vertical="center"/>
    </xf>
    <xf numFmtId="38" fontId="2" fillId="0" borderId="106" xfId="4" applyFont="1" applyBorder="1" applyAlignment="1">
      <alignment horizontal="right" vertical="center"/>
    </xf>
    <xf numFmtId="38" fontId="2" fillId="0" borderId="104" xfId="4" applyFont="1" applyBorder="1" applyAlignment="1">
      <alignment horizontal="right" vertical="center"/>
    </xf>
    <xf numFmtId="38" fontId="2" fillId="0" borderId="103" xfId="4" applyFont="1" applyBorder="1" applyAlignment="1">
      <alignment horizontal="right" vertical="center"/>
    </xf>
    <xf numFmtId="38" fontId="2" fillId="0" borderId="8" xfId="4" applyFont="1" applyBorder="1" applyAlignment="1">
      <alignment horizontal="right" vertical="center"/>
    </xf>
    <xf numFmtId="38" fontId="2" fillId="0" borderId="106" xfId="4" applyFont="1" applyFill="1" applyBorder="1" applyAlignment="1">
      <alignment horizontal="right" vertical="center"/>
    </xf>
    <xf numFmtId="38" fontId="2" fillId="0" borderId="104" xfId="4" applyFont="1" applyFill="1" applyBorder="1" applyAlignment="1">
      <alignment horizontal="right" vertical="center"/>
    </xf>
    <xf numFmtId="38" fontId="2" fillId="0" borderId="103" xfId="4" applyFont="1" applyFill="1" applyBorder="1" applyAlignment="1">
      <alignment horizontal="right" vertical="center"/>
    </xf>
    <xf numFmtId="38" fontId="2" fillId="3" borderId="69" xfId="4" applyFont="1" applyFill="1" applyBorder="1" applyAlignment="1">
      <alignment horizontal="right" vertical="center"/>
    </xf>
    <xf numFmtId="38" fontId="2" fillId="3" borderId="82" xfId="4" applyFont="1" applyFill="1" applyBorder="1" applyAlignment="1">
      <alignment horizontal="right" vertical="center"/>
    </xf>
    <xf numFmtId="38" fontId="2" fillId="3" borderId="45" xfId="4" applyFont="1" applyFill="1" applyBorder="1" applyAlignment="1">
      <alignment horizontal="right" vertical="center"/>
    </xf>
    <xf numFmtId="38" fontId="2" fillId="3" borderId="40" xfId="4" applyFont="1" applyFill="1" applyBorder="1" applyAlignment="1">
      <alignment horizontal="right" vertical="center"/>
    </xf>
    <xf numFmtId="38" fontId="2" fillId="13" borderId="77" xfId="4" applyFont="1" applyFill="1" applyBorder="1" applyAlignment="1">
      <alignment horizontal="right" vertical="center"/>
    </xf>
    <xf numFmtId="38" fontId="2" fillId="5" borderId="79" xfId="4" applyFont="1" applyFill="1" applyBorder="1" applyAlignment="1">
      <alignment horizontal="right" vertical="center"/>
    </xf>
    <xf numFmtId="38" fontId="2" fillId="5" borderId="95" xfId="4" applyFont="1" applyFill="1" applyBorder="1" applyAlignment="1">
      <alignment horizontal="right" vertical="center"/>
    </xf>
    <xf numFmtId="38" fontId="2" fillId="0" borderId="92" xfId="4" applyFont="1" applyBorder="1" applyAlignment="1">
      <alignment horizontal="right" vertical="center"/>
    </xf>
    <xf numFmtId="38" fontId="2" fillId="0" borderId="91" xfId="4" applyFont="1" applyBorder="1" applyAlignment="1">
      <alignment horizontal="right" vertical="center"/>
    </xf>
    <xf numFmtId="38" fontId="2" fillId="0" borderId="90" xfId="4" applyFont="1" applyBorder="1" applyAlignment="1">
      <alignment horizontal="right" vertical="center"/>
    </xf>
    <xf numFmtId="38" fontId="2" fillId="0" borderId="100" xfId="4" applyFont="1" applyBorder="1" applyAlignment="1">
      <alignment horizontal="right" vertical="center"/>
    </xf>
    <xf numFmtId="38" fontId="2" fillId="0" borderId="99" xfId="4" applyFont="1" applyBorder="1" applyAlignment="1">
      <alignment horizontal="right" vertical="center"/>
    </xf>
    <xf numFmtId="38" fontId="2" fillId="0" borderId="98" xfId="4" applyFont="1" applyBorder="1" applyAlignment="1">
      <alignment horizontal="right" vertical="center"/>
    </xf>
    <xf numFmtId="38" fontId="2" fillId="0" borderId="97" xfId="4" applyFont="1" applyBorder="1" applyAlignment="1">
      <alignment horizontal="right" vertical="center"/>
    </xf>
    <xf numFmtId="0" fontId="2" fillId="0" borderId="101" xfId="2" applyFont="1" applyBorder="1" applyAlignment="1">
      <alignment horizontal="right" vertical="center"/>
    </xf>
    <xf numFmtId="38" fontId="2" fillId="0" borderId="100" xfId="4" applyFont="1" applyFill="1" applyBorder="1" applyAlignment="1">
      <alignment horizontal="right" vertical="center"/>
    </xf>
    <xf numFmtId="38" fontId="2" fillId="0" borderId="99" xfId="4" applyFont="1" applyFill="1" applyBorder="1" applyAlignment="1">
      <alignment horizontal="right" vertical="center"/>
    </xf>
    <xf numFmtId="38" fontId="2" fillId="0" borderId="98" xfId="4" applyFont="1" applyFill="1" applyBorder="1" applyAlignment="1">
      <alignment horizontal="right" vertical="center"/>
    </xf>
    <xf numFmtId="38" fontId="2" fillId="0" borderId="87" xfId="4" applyFont="1" applyFill="1" applyBorder="1" applyAlignment="1">
      <alignment horizontal="right" vertical="center"/>
    </xf>
    <xf numFmtId="38" fontId="2" fillId="0" borderId="86" xfId="4" applyFont="1" applyFill="1" applyBorder="1" applyAlignment="1">
      <alignment horizontal="right" vertical="center"/>
    </xf>
    <xf numFmtId="38" fontId="2" fillId="0" borderId="96" xfId="4" applyFont="1" applyFill="1" applyBorder="1" applyAlignment="1">
      <alignment horizontal="right" vertical="center"/>
    </xf>
    <xf numFmtId="38" fontId="2" fillId="2" borderId="97" xfId="4" applyFont="1" applyFill="1" applyBorder="1" applyAlignment="1">
      <alignment horizontal="right" vertical="center"/>
    </xf>
    <xf numFmtId="38" fontId="2" fillId="13" borderId="40" xfId="4" applyFont="1" applyFill="1" applyBorder="1" applyAlignment="1">
      <alignment horizontal="right" vertical="center"/>
    </xf>
    <xf numFmtId="38" fontId="2" fillId="5" borderId="69" xfId="4" applyFont="1" applyFill="1" applyBorder="1" applyAlignment="1">
      <alignment horizontal="right" vertical="center"/>
    </xf>
    <xf numFmtId="38" fontId="2" fillId="5" borderId="82" xfId="4" applyFont="1" applyFill="1" applyBorder="1" applyAlignment="1">
      <alignment horizontal="right" vertical="center"/>
    </xf>
    <xf numFmtId="38" fontId="2" fillId="5" borderId="45" xfId="4" applyFont="1" applyFill="1" applyBorder="1" applyAlignment="1">
      <alignment horizontal="right" vertical="center"/>
    </xf>
    <xf numFmtId="38" fontId="2" fillId="11" borderId="92" xfId="4" applyFont="1" applyFill="1" applyBorder="1" applyAlignment="1">
      <alignment horizontal="right" vertical="center"/>
    </xf>
    <xf numFmtId="38" fontId="2" fillId="11" borderId="91" xfId="4" applyFont="1" applyFill="1" applyBorder="1" applyAlignment="1">
      <alignment horizontal="right" vertical="center"/>
    </xf>
    <xf numFmtId="38" fontId="2" fillId="11" borderId="90" xfId="4" applyFont="1" applyFill="1" applyBorder="1" applyAlignment="1">
      <alignment horizontal="right" vertical="center"/>
    </xf>
    <xf numFmtId="38" fontId="2" fillId="11" borderId="89" xfId="4" applyFont="1" applyFill="1" applyBorder="1" applyAlignment="1">
      <alignment horizontal="right" vertical="center"/>
    </xf>
    <xf numFmtId="38" fontId="2" fillId="11" borderId="77" xfId="4" applyFont="1" applyFill="1" applyBorder="1" applyAlignment="1">
      <alignment horizontal="right" vertical="center"/>
    </xf>
    <xf numFmtId="38" fontId="2" fillId="0" borderId="75" xfId="4" applyFont="1" applyBorder="1" applyAlignment="1">
      <alignment horizontal="right" vertical="center"/>
    </xf>
    <xf numFmtId="38" fontId="2" fillId="0" borderId="74" xfId="4" applyFont="1" applyBorder="1" applyAlignment="1">
      <alignment horizontal="right" vertical="center"/>
    </xf>
    <xf numFmtId="38" fontId="2" fillId="0" borderId="73" xfId="4" applyFont="1" applyBorder="1" applyAlignment="1">
      <alignment horizontal="right" vertical="center"/>
    </xf>
    <xf numFmtId="38" fontId="2" fillId="0" borderId="15" xfId="4" applyFont="1" applyBorder="1" applyAlignment="1">
      <alignment horizontal="right" vertical="center"/>
    </xf>
    <xf numFmtId="38" fontId="2" fillId="0" borderId="75" xfId="4" applyFont="1" applyFill="1" applyBorder="1" applyAlignment="1">
      <alignment horizontal="right" vertical="center"/>
    </xf>
    <xf numFmtId="38" fontId="2" fillId="0" borderId="74" xfId="4" applyFont="1" applyFill="1" applyBorder="1" applyAlignment="1">
      <alignment horizontal="right" vertical="center"/>
    </xf>
    <xf numFmtId="38" fontId="2" fillId="0" borderId="73" xfId="4" applyFont="1" applyFill="1" applyBorder="1" applyAlignment="1">
      <alignment horizontal="right" vertical="center"/>
    </xf>
    <xf numFmtId="38" fontId="2" fillId="0" borderId="87" xfId="2" applyNumberFormat="1" applyFont="1" applyBorder="1" applyAlignment="1">
      <alignment horizontal="right" vertical="center"/>
    </xf>
    <xf numFmtId="0" fontId="2" fillId="0" borderId="86" xfId="2" applyFont="1" applyBorder="1" applyAlignment="1">
      <alignment horizontal="right" vertical="center"/>
    </xf>
    <xf numFmtId="38" fontId="2" fillId="0" borderId="84" xfId="2" applyNumberFormat="1" applyFont="1" applyBorder="1" applyAlignment="1">
      <alignment horizontal="right" vertical="center"/>
    </xf>
    <xf numFmtId="38" fontId="2" fillId="0" borderId="87" xfId="2" applyNumberFormat="1" applyFont="1" applyFill="1" applyBorder="1" applyAlignment="1">
      <alignment horizontal="right" vertical="center"/>
    </xf>
    <xf numFmtId="0" fontId="2" fillId="0" borderId="86" xfId="2" applyFont="1" applyFill="1" applyBorder="1" applyAlignment="1">
      <alignment horizontal="right" vertical="center"/>
    </xf>
    <xf numFmtId="0" fontId="2" fillId="0" borderId="85" xfId="2" applyFont="1" applyFill="1" applyBorder="1" applyAlignment="1">
      <alignment horizontal="right" vertical="center"/>
    </xf>
    <xf numFmtId="0" fontId="2" fillId="0" borderId="87" xfId="2" applyFont="1" applyBorder="1" applyAlignment="1">
      <alignment horizontal="right" vertical="center"/>
    </xf>
    <xf numFmtId="0" fontId="2" fillId="0" borderId="69" xfId="2" applyFont="1" applyBorder="1" applyAlignment="1">
      <alignment horizontal="right" vertical="center"/>
    </xf>
    <xf numFmtId="0" fontId="2" fillId="0" borderId="82" xfId="2" applyFont="1" applyBorder="1" applyAlignment="1">
      <alignment horizontal="right" vertical="center"/>
    </xf>
    <xf numFmtId="38" fontId="2" fillId="0" borderId="40" xfId="2" applyNumberFormat="1" applyFont="1" applyBorder="1" applyAlignment="1">
      <alignment horizontal="right" vertical="center"/>
    </xf>
    <xf numFmtId="0" fontId="2" fillId="0" borderId="69" xfId="2" applyFont="1" applyFill="1" applyBorder="1" applyAlignment="1">
      <alignment horizontal="right" vertical="center"/>
    </xf>
    <xf numFmtId="0" fontId="2" fillId="0" borderId="82" xfId="2" applyFont="1" applyFill="1" applyBorder="1" applyAlignment="1">
      <alignment horizontal="right" vertical="center"/>
    </xf>
    <xf numFmtId="0" fontId="2" fillId="0" borderId="41" xfId="2" applyFont="1" applyFill="1" applyBorder="1" applyAlignment="1">
      <alignment horizontal="right" vertical="center"/>
    </xf>
    <xf numFmtId="0" fontId="2" fillId="0" borderId="100" xfId="2" applyFont="1" applyBorder="1" applyAlignment="1">
      <alignment horizontal="right" vertical="center"/>
    </xf>
    <xf numFmtId="0" fontId="2" fillId="0" borderId="99" xfId="2" applyFont="1" applyBorder="1" applyAlignment="1">
      <alignment horizontal="right" vertical="center"/>
    </xf>
    <xf numFmtId="38" fontId="2" fillId="0" borderId="97" xfId="2" applyNumberFormat="1" applyFont="1" applyBorder="1" applyAlignment="1">
      <alignment horizontal="right" vertical="center"/>
    </xf>
    <xf numFmtId="0" fontId="2" fillId="0" borderId="100" xfId="2" applyFont="1" applyFill="1" applyBorder="1" applyAlignment="1">
      <alignment horizontal="right" vertical="center"/>
    </xf>
    <xf numFmtId="0" fontId="2" fillId="0" borderId="99" xfId="2" applyFont="1" applyFill="1" applyBorder="1" applyAlignment="1">
      <alignment horizontal="right" vertical="center"/>
    </xf>
    <xf numFmtId="0" fontId="2" fillId="0" borderId="101" xfId="2" applyFont="1" applyFill="1" applyBorder="1" applyAlignment="1">
      <alignment horizontal="right" vertical="center"/>
    </xf>
    <xf numFmtId="0" fontId="2" fillId="0" borderId="80" xfId="2" applyFont="1" applyBorder="1" applyAlignment="1">
      <alignment horizontal="right" vertical="center"/>
    </xf>
    <xf numFmtId="0" fontId="2" fillId="0" borderId="79" xfId="2" applyFont="1" applyBorder="1" applyAlignment="1">
      <alignment horizontal="right" vertical="center"/>
    </xf>
    <xf numFmtId="38" fontId="2" fillId="0" borderId="77" xfId="2" applyNumberFormat="1" applyFont="1" applyBorder="1" applyAlignment="1">
      <alignment horizontal="right" vertical="center"/>
    </xf>
    <xf numFmtId="0" fontId="2" fillId="0" borderId="80" xfId="2" applyFont="1" applyFill="1" applyBorder="1" applyAlignment="1">
      <alignment horizontal="right" vertical="center"/>
    </xf>
    <xf numFmtId="0" fontId="2" fillId="0" borderId="79" xfId="2" applyFont="1" applyFill="1" applyBorder="1" applyAlignment="1">
      <alignment horizontal="right" vertical="center"/>
    </xf>
    <xf numFmtId="0" fontId="2" fillId="0" borderId="78" xfId="2" applyFont="1" applyFill="1" applyBorder="1" applyAlignment="1">
      <alignment horizontal="right" vertical="center"/>
    </xf>
    <xf numFmtId="38" fontId="2" fillId="0" borderId="0" xfId="2" applyNumberFormat="1" applyFont="1" applyAlignment="1">
      <alignment horizontal="right" vertical="center"/>
    </xf>
    <xf numFmtId="38" fontId="2" fillId="0" borderId="82" xfId="2" applyNumberFormat="1" applyFont="1" applyBorder="1" applyAlignment="1">
      <alignment horizontal="right" vertical="center"/>
    </xf>
    <xf numFmtId="38" fontId="2" fillId="0" borderId="99" xfId="2" applyNumberFormat="1" applyFont="1" applyBorder="1" applyAlignment="1">
      <alignment horizontal="right" vertical="center"/>
    </xf>
    <xf numFmtId="0" fontId="2" fillId="0" borderId="141" xfId="2" applyFont="1" applyBorder="1" applyAlignment="1">
      <alignment horizontal="right" vertical="center"/>
    </xf>
    <xf numFmtId="38" fontId="2" fillId="0" borderId="141" xfId="2" applyNumberFormat="1" applyFont="1" applyBorder="1" applyAlignment="1">
      <alignment horizontal="right" vertical="center"/>
    </xf>
    <xf numFmtId="0" fontId="13" fillId="0" borderId="141" xfId="0" applyFont="1" applyBorder="1" applyAlignment="1">
      <alignment horizontal="right" vertical="center"/>
    </xf>
    <xf numFmtId="38" fontId="2" fillId="11" borderId="82" xfId="2" applyNumberFormat="1" applyFont="1" applyFill="1" applyBorder="1" applyAlignment="1">
      <alignment horizontal="right" vertical="center"/>
    </xf>
    <xf numFmtId="38" fontId="2" fillId="11" borderId="99" xfId="2" applyNumberFormat="1" applyFont="1" applyFill="1" applyBorder="1" applyAlignment="1">
      <alignment horizontal="right" vertical="center"/>
    </xf>
    <xf numFmtId="38" fontId="0" fillId="0" borderId="15" xfId="5" applyFont="1" applyFill="1" applyBorder="1" applyAlignment="1">
      <alignment vertical="center" wrapText="1"/>
    </xf>
    <xf numFmtId="0" fontId="2" fillId="16" borderId="102" xfId="2" applyFont="1" applyFill="1" applyBorder="1" applyAlignment="1">
      <alignment vertical="center" wrapText="1"/>
    </xf>
    <xf numFmtId="0" fontId="2" fillId="16" borderId="101" xfId="2" applyFont="1" applyFill="1" applyBorder="1">
      <alignment vertical="center"/>
    </xf>
    <xf numFmtId="0" fontId="2" fillId="16" borderId="100" xfId="2" applyFont="1" applyFill="1" applyBorder="1" applyAlignment="1">
      <alignment horizontal="right" vertical="center"/>
    </xf>
    <xf numFmtId="0" fontId="2" fillId="16" borderId="99" xfId="2" applyFont="1" applyFill="1" applyBorder="1" applyAlignment="1">
      <alignment horizontal="right" vertical="center"/>
    </xf>
    <xf numFmtId="0" fontId="2" fillId="16" borderId="98" xfId="2" applyFont="1" applyFill="1" applyBorder="1" applyAlignment="1">
      <alignment horizontal="right" vertical="center"/>
    </xf>
    <xf numFmtId="38" fontId="2" fillId="16" borderId="97" xfId="2" applyNumberFormat="1" applyFont="1" applyFill="1" applyBorder="1" applyAlignment="1">
      <alignment horizontal="right" vertical="center"/>
    </xf>
    <xf numFmtId="0" fontId="2" fillId="16" borderId="97" xfId="2" applyFont="1" applyFill="1" applyBorder="1">
      <alignment vertical="center"/>
    </xf>
    <xf numFmtId="0" fontId="2" fillId="16" borderId="0" xfId="2" applyFont="1" applyFill="1">
      <alignment vertical="center"/>
    </xf>
    <xf numFmtId="38" fontId="2" fillId="16" borderId="0" xfId="5" applyFont="1" applyFill="1" applyAlignment="1">
      <alignment vertical="center"/>
    </xf>
    <xf numFmtId="0" fontId="2" fillId="0" borderId="8" xfId="2" applyFont="1" applyBorder="1" applyAlignment="1">
      <alignment wrapText="1"/>
    </xf>
    <xf numFmtId="0" fontId="2" fillId="0" borderId="5" xfId="2" applyFont="1" applyBorder="1" applyAlignment="1">
      <alignment wrapText="1"/>
    </xf>
    <xf numFmtId="0" fontId="2" fillId="0" borderId="1" xfId="2" applyFont="1" applyBorder="1" applyAlignment="1">
      <alignment wrapText="1"/>
    </xf>
    <xf numFmtId="176" fontId="2" fillId="0" borderId="15" xfId="2" applyNumberFormat="1" applyFont="1" applyBorder="1">
      <alignment vertical="center"/>
    </xf>
    <xf numFmtId="0" fontId="2" fillId="0" borderId="5" xfId="2" applyFont="1" applyBorder="1">
      <alignment vertical="center"/>
    </xf>
    <xf numFmtId="176" fontId="2" fillId="0" borderId="14" xfId="2" applyNumberFormat="1" applyFont="1" applyBorder="1">
      <alignment vertical="center"/>
    </xf>
    <xf numFmtId="176" fontId="2" fillId="0" borderId="13" xfId="2" applyNumberFormat="1" applyFont="1" applyBorder="1">
      <alignment vertical="center"/>
    </xf>
    <xf numFmtId="176" fontId="2" fillId="0" borderId="12" xfId="2" applyNumberFormat="1" applyFont="1" applyBorder="1">
      <alignment vertical="center"/>
    </xf>
    <xf numFmtId="0" fontId="2" fillId="0" borderId="5" xfId="2" applyFont="1" applyBorder="1" applyAlignment="1">
      <alignment vertical="center" wrapText="1"/>
    </xf>
    <xf numFmtId="0" fontId="2" fillId="0" borderId="1" xfId="2" applyFont="1" applyBorder="1">
      <alignment vertical="center"/>
    </xf>
    <xf numFmtId="177" fontId="2" fillId="0" borderId="14" xfId="2" applyNumberFormat="1" applyFont="1" applyBorder="1">
      <alignment vertical="center"/>
    </xf>
    <xf numFmtId="177" fontId="2" fillId="0" borderId="13" xfId="2" applyNumberFormat="1" applyFont="1" applyBorder="1">
      <alignment vertical="center"/>
    </xf>
    <xf numFmtId="177" fontId="2" fillId="0" borderId="12" xfId="2" applyNumberFormat="1" applyFont="1" applyBorder="1">
      <alignment vertical="center"/>
    </xf>
    <xf numFmtId="176" fontId="2" fillId="0" borderId="14" xfId="2" applyNumberFormat="1" applyFont="1" applyFill="1" applyBorder="1">
      <alignment vertical="center"/>
    </xf>
    <xf numFmtId="176" fontId="2" fillId="0" borderId="13" xfId="2" applyNumberFormat="1" applyFont="1" applyFill="1" applyBorder="1">
      <alignment vertical="center"/>
    </xf>
    <xf numFmtId="176" fontId="2" fillId="0" borderId="12" xfId="2" applyNumberFormat="1" applyFont="1" applyFill="1" applyBorder="1">
      <alignment vertical="center"/>
    </xf>
    <xf numFmtId="0" fontId="2" fillId="0" borderId="0" xfId="2" applyFont="1" applyBorder="1">
      <alignment vertical="center"/>
    </xf>
    <xf numFmtId="0" fontId="5" fillId="0" borderId="0" xfId="2" applyFont="1" applyBorder="1">
      <alignment vertical="center"/>
    </xf>
    <xf numFmtId="0" fontId="2" fillId="0" borderId="8" xfId="2" applyFont="1" applyBorder="1" applyAlignment="1">
      <alignment vertical="center" wrapText="1"/>
    </xf>
    <xf numFmtId="0" fontId="2" fillId="0" borderId="1" xfId="2" applyFont="1" applyBorder="1" applyAlignment="1">
      <alignment vertical="center" wrapText="1"/>
    </xf>
    <xf numFmtId="0" fontId="2" fillId="0" borderId="8" xfId="2" applyFont="1" applyBorder="1">
      <alignment vertical="center"/>
    </xf>
    <xf numFmtId="0" fontId="2" fillId="0" borderId="5" xfId="2" applyFont="1" applyBorder="1" applyAlignment="1"/>
    <xf numFmtId="0" fontId="2" fillId="0" borderId="9" xfId="2" applyFont="1" applyBorder="1">
      <alignment vertical="center"/>
    </xf>
    <xf numFmtId="0" fontId="2" fillId="0" borderId="6" xfId="2" applyFont="1" applyBorder="1">
      <alignment vertical="center"/>
    </xf>
    <xf numFmtId="0" fontId="2" fillId="0" borderId="2" xfId="2" applyFont="1" applyBorder="1">
      <alignment vertical="center"/>
    </xf>
    <xf numFmtId="176" fontId="2" fillId="2" borderId="15" xfId="2" applyNumberFormat="1" applyFont="1" applyFill="1" applyBorder="1">
      <alignment vertical="center"/>
    </xf>
    <xf numFmtId="0" fontId="2" fillId="0" borderId="15" xfId="2" applyFont="1" applyBorder="1">
      <alignment vertical="center"/>
    </xf>
    <xf numFmtId="0" fontId="2" fillId="0" borderId="7" xfId="2" applyFont="1" applyBorder="1">
      <alignment vertical="center"/>
    </xf>
    <xf numFmtId="0" fontId="2" fillId="0" borderId="15" xfId="2" applyFont="1" applyBorder="1" applyAlignment="1">
      <alignment vertical="center" wrapText="1"/>
    </xf>
    <xf numFmtId="0" fontId="2" fillId="0" borderId="11" xfId="2" applyFont="1" applyBorder="1">
      <alignment vertical="center"/>
    </xf>
    <xf numFmtId="0" fontId="2" fillId="0" borderId="10" xfId="2" applyFont="1" applyBorder="1">
      <alignment vertical="center"/>
    </xf>
    <xf numFmtId="0" fontId="2" fillId="0" borderId="4" xfId="2" applyFont="1" applyBorder="1">
      <alignment vertical="center"/>
    </xf>
    <xf numFmtId="0" fontId="2" fillId="0" borderId="3" xfId="2" applyFont="1" applyBorder="1">
      <alignment vertical="center"/>
    </xf>
    <xf numFmtId="176" fontId="2" fillId="0" borderId="15" xfId="2" applyNumberFormat="1" applyFont="1" applyFill="1" applyBorder="1">
      <alignment vertical="center"/>
    </xf>
    <xf numFmtId="0" fontId="2" fillId="0" borderId="15" xfId="2" applyFont="1" applyBorder="1" applyAlignment="1">
      <alignment horizontal="center" vertical="center"/>
    </xf>
    <xf numFmtId="176" fontId="2" fillId="0" borderId="143" xfId="2" applyNumberFormat="1" applyFont="1" applyBorder="1">
      <alignment vertical="center"/>
    </xf>
    <xf numFmtId="176" fontId="2" fillId="0" borderId="144" xfId="2" applyNumberFormat="1" applyFont="1" applyBorder="1">
      <alignment vertical="center"/>
    </xf>
    <xf numFmtId="176" fontId="2" fillId="0" borderId="145" xfId="2" applyNumberFormat="1" applyFont="1" applyBorder="1">
      <alignment vertical="center"/>
    </xf>
    <xf numFmtId="176" fontId="2" fillId="15" borderId="14" xfId="2" applyNumberFormat="1" applyFont="1" applyFill="1" applyBorder="1">
      <alignment vertical="center"/>
    </xf>
    <xf numFmtId="176" fontId="2" fillId="15" borderId="13" xfId="2" applyNumberFormat="1" applyFont="1" applyFill="1" applyBorder="1">
      <alignment vertical="center"/>
    </xf>
    <xf numFmtId="176" fontId="2" fillId="15" borderId="12" xfId="2" applyNumberFormat="1" applyFont="1" applyFill="1" applyBorder="1">
      <alignment vertical="center"/>
    </xf>
    <xf numFmtId="176" fontId="2" fillId="0" borderId="18" xfId="2" applyNumberFormat="1" applyFont="1" applyFill="1" applyBorder="1">
      <alignment vertical="center"/>
    </xf>
    <xf numFmtId="176" fontId="2" fillId="0" borderId="16" xfId="2" applyNumberFormat="1" applyFont="1" applyFill="1" applyBorder="1">
      <alignment vertical="center"/>
    </xf>
    <xf numFmtId="176" fontId="2" fillId="0" borderId="17" xfId="2" applyNumberFormat="1" applyFont="1" applyFill="1" applyBorder="1">
      <alignment vertical="center"/>
    </xf>
    <xf numFmtId="176" fontId="2" fillId="2" borderId="8" xfId="2" applyNumberFormat="1" applyFont="1" applyFill="1" applyBorder="1">
      <alignment vertical="center"/>
    </xf>
    <xf numFmtId="176" fontId="43" fillId="2" borderId="15" xfId="2" applyNumberFormat="1" applyFont="1" applyFill="1" applyBorder="1">
      <alignment vertical="center"/>
    </xf>
    <xf numFmtId="176" fontId="2" fillId="2" borderId="14" xfId="2" applyNumberFormat="1" applyFont="1" applyFill="1" applyBorder="1">
      <alignment vertical="center"/>
    </xf>
    <xf numFmtId="176" fontId="2" fillId="2" borderId="13" xfId="2" applyNumberFormat="1" applyFont="1" applyFill="1" applyBorder="1">
      <alignment vertical="center"/>
    </xf>
    <xf numFmtId="176" fontId="2" fillId="2" borderId="12" xfId="2" applyNumberFormat="1" applyFont="1" applyFill="1" applyBorder="1">
      <alignment vertical="center"/>
    </xf>
    <xf numFmtId="176" fontId="2" fillId="0" borderId="8" xfId="2" applyNumberFormat="1" applyFont="1" applyBorder="1">
      <alignment vertical="center"/>
    </xf>
    <xf numFmtId="176" fontId="2" fillId="2" borderId="21" xfId="2" applyNumberFormat="1" applyFont="1" applyFill="1" applyBorder="1">
      <alignment vertical="center"/>
    </xf>
    <xf numFmtId="176" fontId="2" fillId="2" borderId="20" xfId="2" applyNumberFormat="1" applyFont="1" applyFill="1" applyBorder="1">
      <alignment vertical="center"/>
    </xf>
    <xf numFmtId="176" fontId="2" fillId="2" borderId="19" xfId="2" applyNumberFormat="1" applyFont="1" applyFill="1" applyBorder="1">
      <alignment vertical="center"/>
    </xf>
    <xf numFmtId="10" fontId="2" fillId="0" borderId="14" xfId="2" applyNumberFormat="1" applyFont="1" applyBorder="1">
      <alignment vertical="center"/>
    </xf>
    <xf numFmtId="10" fontId="2" fillId="0" borderId="13" xfId="2" applyNumberFormat="1" applyFont="1" applyBorder="1">
      <alignment vertical="center"/>
    </xf>
    <xf numFmtId="10" fontId="2" fillId="0" borderId="12" xfId="2" applyNumberFormat="1" applyFont="1" applyBorder="1">
      <alignment vertical="center"/>
    </xf>
    <xf numFmtId="38" fontId="0" fillId="0" borderId="30" xfId="5" applyFont="1" applyFill="1" applyBorder="1" applyAlignment="1">
      <alignment horizontal="center" vertical="center"/>
    </xf>
    <xf numFmtId="38" fontId="0" fillId="0" borderId="29" xfId="5" applyFont="1" applyFill="1" applyBorder="1" applyAlignment="1">
      <alignment horizontal="center" vertical="center"/>
    </xf>
    <xf numFmtId="38" fontId="0" fillId="0" borderId="28" xfId="5" applyFont="1" applyFill="1" applyBorder="1" applyAlignment="1">
      <alignment horizontal="center" vertical="center"/>
    </xf>
    <xf numFmtId="38" fontId="0" fillId="0" borderId="0" xfId="7" applyFont="1" applyAlignment="1">
      <alignment horizontal="center"/>
    </xf>
    <xf numFmtId="38" fontId="0" fillId="0" borderId="0" xfId="13" applyFont="1" applyAlignment="1">
      <alignment horizontal="center"/>
    </xf>
    <xf numFmtId="0" fontId="1" fillId="0" borderId="47" xfId="2" applyBorder="1">
      <alignment vertical="center"/>
    </xf>
    <xf numFmtId="0" fontId="1" fillId="0" borderId="46" xfId="2" applyBorder="1">
      <alignment vertical="center"/>
    </xf>
    <xf numFmtId="0" fontId="1" fillId="0" borderId="38" xfId="2" applyBorder="1">
      <alignment vertical="center"/>
    </xf>
    <xf numFmtId="0" fontId="1" fillId="0" borderId="62" xfId="2" applyBorder="1">
      <alignment vertical="center"/>
    </xf>
    <xf numFmtId="0" fontId="1" fillId="0" borderId="61" xfId="2" applyBorder="1">
      <alignment vertical="center"/>
    </xf>
    <xf numFmtId="0" fontId="1" fillId="0" borderId="54" xfId="2" applyBorder="1">
      <alignment vertical="center"/>
    </xf>
    <xf numFmtId="0" fontId="1" fillId="0" borderId="51" xfId="2" applyBorder="1">
      <alignment vertical="center"/>
    </xf>
    <xf numFmtId="0" fontId="2" fillId="0" borderId="48" xfId="2" applyFont="1" applyBorder="1" applyAlignment="1">
      <alignment horizontal="left" vertical="center" wrapText="1" indent="1"/>
    </xf>
    <xf numFmtId="0" fontId="2" fillId="0" borderId="31" xfId="2" applyFont="1" applyBorder="1" applyAlignment="1">
      <alignment horizontal="left" vertical="center" wrapText="1" indent="1"/>
    </xf>
    <xf numFmtId="0" fontId="1" fillId="0" borderId="65" xfId="2" applyBorder="1">
      <alignment vertical="center"/>
    </xf>
    <xf numFmtId="0" fontId="1" fillId="0" borderId="37" xfId="2" applyBorder="1">
      <alignment vertical="center"/>
    </xf>
    <xf numFmtId="176" fontId="1" fillId="0" borderId="47" xfId="2" applyNumberFormat="1" applyBorder="1">
      <alignment vertical="center"/>
    </xf>
    <xf numFmtId="176" fontId="1" fillId="0" borderId="38" xfId="2" applyNumberFormat="1" applyBorder="1">
      <alignment vertical="center"/>
    </xf>
    <xf numFmtId="0" fontId="2" fillId="0" borderId="8" xfId="2" applyFont="1" applyBorder="1" applyAlignment="1">
      <alignment horizontal="center" vertical="center" textRotation="255" wrapText="1"/>
    </xf>
    <xf numFmtId="0" fontId="2" fillId="0" borderId="5" xfId="2" applyFont="1" applyBorder="1" applyAlignment="1">
      <alignment horizontal="center" vertical="center" textRotation="255" wrapText="1"/>
    </xf>
    <xf numFmtId="0" fontId="2" fillId="0" borderId="1" xfId="2" applyFont="1" applyBorder="1" applyAlignment="1">
      <alignment horizontal="center" vertical="center" textRotation="255" wrapText="1"/>
    </xf>
    <xf numFmtId="0" fontId="2" fillId="0" borderId="8" xfId="2" applyFont="1" applyBorder="1" applyAlignment="1">
      <alignment horizontal="right" vertical="center"/>
    </xf>
    <xf numFmtId="0" fontId="2" fillId="0" borderId="1" xfId="2" applyFont="1" applyBorder="1" applyAlignment="1">
      <alignment horizontal="right" vertical="center"/>
    </xf>
    <xf numFmtId="0" fontId="2" fillId="0" borderId="15" xfId="2" applyFont="1" applyBorder="1" applyAlignment="1">
      <alignment horizontal="left" vertical="center" wrapText="1"/>
    </xf>
    <xf numFmtId="0" fontId="2" fillId="0" borderId="5" xfId="2" applyFont="1" applyBorder="1" applyAlignment="1">
      <alignment horizontal="right" vertical="center"/>
    </xf>
    <xf numFmtId="0" fontId="2" fillId="0" borderId="8" xfId="2" applyFont="1" applyBorder="1" applyAlignment="1">
      <alignment horizontal="left" vertical="center"/>
    </xf>
    <xf numFmtId="0" fontId="2" fillId="0" borderId="5" xfId="2" applyFont="1" applyBorder="1" applyAlignment="1">
      <alignment horizontal="left" vertical="center"/>
    </xf>
    <xf numFmtId="0" fontId="2" fillId="0" borderId="1" xfId="2" applyFont="1" applyBorder="1" applyAlignment="1">
      <alignment horizontal="left" vertical="center"/>
    </xf>
    <xf numFmtId="0" fontId="2" fillId="0" borderId="8" xfId="2" applyFont="1" applyBorder="1" applyAlignment="1">
      <alignment horizontal="left" vertical="center" wrapText="1"/>
    </xf>
    <xf numFmtId="0" fontId="2" fillId="0" borderId="5" xfId="2" applyFont="1" applyBorder="1" applyAlignment="1">
      <alignment horizontal="left" vertical="center" wrapText="1"/>
    </xf>
    <xf numFmtId="0" fontId="2" fillId="0" borderId="1" xfId="2" applyFont="1" applyBorder="1" applyAlignment="1">
      <alignment horizontal="left" vertical="center" wrapText="1"/>
    </xf>
    <xf numFmtId="0" fontId="2" fillId="0" borderId="9" xfId="2" applyFont="1" applyBorder="1" applyAlignment="1">
      <alignment horizontal="right" vertical="center"/>
    </xf>
    <xf numFmtId="0" fontId="2" fillId="0" borderId="6" xfId="2" applyFont="1" applyBorder="1" applyAlignment="1">
      <alignment horizontal="right" vertical="center"/>
    </xf>
    <xf numFmtId="0" fontId="2" fillId="0" borderId="8" xfId="2" applyFont="1" applyBorder="1" applyAlignment="1">
      <alignment horizontal="center" vertical="center" textRotation="255"/>
    </xf>
    <xf numFmtId="0" fontId="2" fillId="0" borderId="5" xfId="2" applyFont="1" applyBorder="1" applyAlignment="1">
      <alignment horizontal="center" vertical="center" textRotation="255"/>
    </xf>
    <xf numFmtId="0" fontId="2" fillId="0" borderId="1" xfId="2" applyFont="1" applyBorder="1" applyAlignment="1">
      <alignment horizontal="center" vertical="center" textRotation="255"/>
    </xf>
    <xf numFmtId="0" fontId="2" fillId="0" borderId="8" xfId="2" applyFont="1" applyBorder="1" applyAlignment="1">
      <alignment horizontal="center" vertical="center"/>
    </xf>
    <xf numFmtId="0" fontId="2" fillId="0" borderId="5" xfId="2" applyFont="1" applyBorder="1" applyAlignment="1">
      <alignment horizontal="center" vertical="center"/>
    </xf>
    <xf numFmtId="0" fontId="2" fillId="0" borderId="1" xfId="2" applyFont="1" applyBorder="1" applyAlignment="1">
      <alignment horizontal="center" vertical="center"/>
    </xf>
    <xf numFmtId="0" fontId="2" fillId="0" borderId="15" xfId="2" applyFont="1" applyBorder="1" applyAlignment="1">
      <alignment horizontal="right" vertical="center"/>
    </xf>
    <xf numFmtId="0" fontId="2" fillId="0" borderId="11" xfId="2" applyFont="1" applyBorder="1" applyAlignment="1">
      <alignment horizontal="center" vertical="center"/>
    </xf>
    <xf numFmtId="0" fontId="2" fillId="0" borderId="10" xfId="2" applyFont="1" applyBorder="1" applyAlignment="1">
      <alignment horizontal="center" vertical="center"/>
    </xf>
    <xf numFmtId="0" fontId="2" fillId="0" borderId="9" xfId="2" applyFont="1" applyBorder="1" applyAlignment="1">
      <alignment horizontal="center" vertical="center"/>
    </xf>
    <xf numFmtId="0" fontId="2" fillId="0" borderId="7" xfId="2" applyFont="1" applyBorder="1" applyAlignment="1">
      <alignment horizontal="center" vertical="center"/>
    </xf>
    <xf numFmtId="0" fontId="2" fillId="0" borderId="0" xfId="2" applyFont="1" applyBorder="1" applyAlignment="1">
      <alignment horizontal="center" vertical="center"/>
    </xf>
    <xf numFmtId="0" fontId="2" fillId="0" borderId="6" xfId="2" applyFont="1" applyBorder="1" applyAlignment="1">
      <alignment horizontal="center" vertical="center"/>
    </xf>
    <xf numFmtId="0" fontId="2" fillId="0" borderId="4" xfId="2" applyFont="1" applyBorder="1" applyAlignment="1">
      <alignment horizontal="center" vertical="center"/>
    </xf>
    <xf numFmtId="0" fontId="2" fillId="0" borderId="3" xfId="2" applyFont="1" applyBorder="1" applyAlignment="1">
      <alignment horizontal="center" vertical="center"/>
    </xf>
    <xf numFmtId="0" fontId="2" fillId="0" borderId="2" xfId="2" applyFont="1" applyBorder="1" applyAlignment="1">
      <alignment horizontal="center" vertical="center"/>
    </xf>
    <xf numFmtId="0" fontId="11" fillId="0" borderId="11" xfId="12" applyFont="1" applyBorder="1" applyAlignment="1">
      <alignment horizontal="distributed" vertical="center" justifyLastLine="1"/>
    </xf>
    <xf numFmtId="0" fontId="11" fillId="0" borderId="10" xfId="12" applyFont="1" applyBorder="1" applyAlignment="1">
      <alignment horizontal="distributed" vertical="center" justifyLastLine="1"/>
    </xf>
    <xf numFmtId="0" fontId="11" fillId="0" borderId="9" xfId="12" applyFont="1" applyBorder="1" applyAlignment="1">
      <alignment horizontal="distributed" vertical="center" justifyLastLine="1"/>
    </xf>
    <xf numFmtId="0" fontId="11" fillId="0" borderId="4" xfId="12" applyFont="1" applyBorder="1" applyAlignment="1">
      <alignment horizontal="distributed" vertical="center" justifyLastLine="1"/>
    </xf>
    <xf numFmtId="0" fontId="11" fillId="0" borderId="3" xfId="12" applyFont="1" applyBorder="1" applyAlignment="1">
      <alignment horizontal="distributed" vertical="center" justifyLastLine="1"/>
    </xf>
    <xf numFmtId="0" fontId="11" fillId="0" borderId="2" xfId="12" applyFont="1" applyBorder="1" applyAlignment="1">
      <alignment horizontal="distributed" vertical="center" justifyLastLine="1"/>
    </xf>
    <xf numFmtId="0" fontId="11" fillId="0" borderId="11" xfId="12" applyFont="1" applyBorder="1" applyAlignment="1">
      <alignment horizontal="center" vertical="center"/>
    </xf>
    <xf numFmtId="0" fontId="11" fillId="0" borderId="9" xfId="12" applyFont="1" applyBorder="1" applyAlignment="1">
      <alignment horizontal="center" vertical="center"/>
    </xf>
    <xf numFmtId="0" fontId="11" fillId="0" borderId="4" xfId="12" applyFont="1" applyBorder="1" applyAlignment="1">
      <alignment horizontal="center" vertical="center"/>
    </xf>
    <xf numFmtId="0" fontId="11" fillId="0" borderId="2" xfId="12" applyFont="1" applyBorder="1" applyAlignment="1">
      <alignment horizontal="center" vertical="center"/>
    </xf>
    <xf numFmtId="0" fontId="11" fillId="0" borderId="94" xfId="12" applyFont="1" applyBorder="1" applyAlignment="1">
      <alignment horizontal="center" vertical="center"/>
    </xf>
    <xf numFmtId="0" fontId="11" fillId="0" borderId="119" xfId="12" applyFont="1" applyBorder="1" applyAlignment="1">
      <alignment horizontal="center" vertical="center"/>
    </xf>
    <xf numFmtId="0" fontId="11" fillId="0" borderId="18" xfId="12" applyFont="1" applyBorder="1" applyAlignment="1">
      <alignment horizontal="center" vertical="center"/>
    </xf>
    <xf numFmtId="0" fontId="11" fillId="0" borderId="17" xfId="12" applyFont="1" applyBorder="1" applyAlignment="1">
      <alignment horizontal="center" vertical="center"/>
    </xf>
    <xf numFmtId="0" fontId="11" fillId="0" borderId="45" xfId="12" applyFont="1" applyFill="1" applyBorder="1" applyAlignment="1">
      <alignment horizontal="distributed" justifyLastLine="1"/>
    </xf>
    <xf numFmtId="0" fontId="11" fillId="0" borderId="118" xfId="12" applyFont="1" applyFill="1" applyBorder="1" applyAlignment="1">
      <alignment horizontal="distributed" justifyLastLine="1"/>
    </xf>
    <xf numFmtId="0" fontId="11" fillId="0" borderId="68" xfId="12" applyFont="1" applyFill="1" applyBorder="1" applyAlignment="1">
      <alignment horizontal="distributed" justifyLastLine="1"/>
    </xf>
    <xf numFmtId="38" fontId="2" fillId="15" borderId="40" xfId="4" applyFont="1" applyFill="1" applyBorder="1" applyAlignment="1">
      <alignment horizontal="right" vertical="center"/>
    </xf>
  </cellXfs>
  <cellStyles count="14">
    <cellStyle name="パーセント" xfId="1" builtinId="5"/>
    <cellStyle name="パーセント 2" xfId="3"/>
    <cellStyle name="桁区切り" xfId="13" builtinId="6"/>
    <cellStyle name="桁区切り 2" xfId="4"/>
    <cellStyle name="桁区切り 2 2" xfId="5"/>
    <cellStyle name="桁区切り 3" xfId="6"/>
    <cellStyle name="桁区切り 4" xfId="7"/>
    <cellStyle name="標準" xfId="0" builtinId="0"/>
    <cellStyle name="標準 2" xfId="8"/>
    <cellStyle name="標準 2 2" xfId="9"/>
    <cellStyle name="標準 3" xfId="10"/>
    <cellStyle name="標準 4" xfId="2"/>
    <cellStyle name="標準 5" xfId="11"/>
    <cellStyle name="標準 6" xfId="12"/>
  </cellStyles>
  <dxfs count="13">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colors>
    <mruColors>
      <color rgb="FFFFCCFF"/>
      <color rgb="FF66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3" name="角丸四角形 2"/>
        <xdr:cNvSpPr/>
      </xdr:nvSpPr>
      <xdr:spPr>
        <a:xfrm>
          <a:off x="13039725" y="6181725"/>
          <a:ext cx="54863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4" name="角丸四角形 3"/>
        <xdr:cNvSpPr/>
      </xdr:nvSpPr>
      <xdr:spPr>
        <a:xfrm>
          <a:off x="26060400" y="15268575"/>
          <a:ext cx="694372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3" name="角丸四角形 2"/>
        <xdr:cNvSpPr/>
      </xdr:nvSpPr>
      <xdr:spPr>
        <a:xfrm>
          <a:off x="13039725" y="6181725"/>
          <a:ext cx="54863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4" name="角丸四角形 3"/>
        <xdr:cNvSpPr/>
      </xdr:nvSpPr>
      <xdr:spPr>
        <a:xfrm>
          <a:off x="26060400" y="15268575"/>
          <a:ext cx="694372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3" name="角丸四角形 2"/>
        <xdr:cNvSpPr/>
      </xdr:nvSpPr>
      <xdr:spPr>
        <a:xfrm>
          <a:off x="26060400" y="15268575"/>
          <a:ext cx="694372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4" name="角丸四角形 3"/>
        <xdr:cNvSpPr/>
      </xdr:nvSpPr>
      <xdr:spPr>
        <a:xfrm>
          <a:off x="13039725" y="6181725"/>
          <a:ext cx="54863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7143750" y="15144750"/>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3" name="角丸四角形 2"/>
        <xdr:cNvSpPr/>
      </xdr:nvSpPr>
      <xdr:spPr>
        <a:xfrm>
          <a:off x="8562975" y="15316200"/>
          <a:ext cx="151447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4" name="角丸四角形 3"/>
        <xdr:cNvSpPr/>
      </xdr:nvSpPr>
      <xdr:spPr>
        <a:xfrm>
          <a:off x="5857875" y="6229350"/>
          <a:ext cx="11429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7143750" y="15144750"/>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38</xdr:col>
      <xdr:colOff>0</xdr:colOff>
      <xdr:row>91</xdr:row>
      <xdr:rowOff>9525</xdr:rowOff>
    </xdr:from>
    <xdr:to>
      <xdr:col>48</xdr:col>
      <xdr:colOff>85725</xdr:colOff>
      <xdr:row>94</xdr:row>
      <xdr:rowOff>0</xdr:rowOff>
    </xdr:to>
    <xdr:sp macro="" textlink="">
      <xdr:nvSpPr>
        <xdr:cNvPr id="3" name="角丸四角形 2"/>
        <xdr:cNvSpPr/>
      </xdr:nvSpPr>
      <xdr:spPr>
        <a:xfrm>
          <a:off x="8562975" y="15316200"/>
          <a:ext cx="1514475" cy="50482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免税売上額以下は</a:t>
          </a:r>
          <a:endParaRPr kumimoji="1" lang="en-US" altLang="ja-JP" sz="1100" b="1">
            <a:solidFill>
              <a:srgbClr val="FF0000"/>
            </a:solidFill>
          </a:endParaRPr>
        </a:p>
        <a:p>
          <a:pPr algn="ctr"/>
          <a:r>
            <a:rPr kumimoji="1" lang="ja-JP" altLang="en-US" sz="1100" b="1">
              <a:solidFill>
                <a:srgbClr val="FF0000"/>
              </a:solidFill>
            </a:rPr>
            <a:t>合計に表示</a:t>
          </a:r>
        </a:p>
      </xdr:txBody>
    </xdr:sp>
    <xdr:clientData/>
  </xdr:twoCellAnchor>
  <xdr:twoCellAnchor>
    <xdr:from>
      <xdr:col>19</xdr:col>
      <xdr:colOff>9525</xdr:colOff>
      <xdr:row>36</xdr:row>
      <xdr:rowOff>9525</xdr:rowOff>
    </xdr:from>
    <xdr:to>
      <xdr:col>27</xdr:col>
      <xdr:colOff>9524</xdr:colOff>
      <xdr:row>37</xdr:row>
      <xdr:rowOff>133350</xdr:rowOff>
    </xdr:to>
    <xdr:sp macro="" textlink="">
      <xdr:nvSpPr>
        <xdr:cNvPr id="4" name="角丸四角形 3"/>
        <xdr:cNvSpPr/>
      </xdr:nvSpPr>
      <xdr:spPr>
        <a:xfrm>
          <a:off x="5857875" y="6229350"/>
          <a:ext cx="1142999" cy="2952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rgbClr val="FF0000"/>
              </a:solidFill>
            </a:rPr>
            <a:t>合計欄に表示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28</xdr:col>
      <xdr:colOff>9525</xdr:colOff>
      <xdr:row>90</xdr:row>
      <xdr:rowOff>9525</xdr:rowOff>
    </xdr:from>
    <xdr:to>
      <xdr:col>28</xdr:col>
      <xdr:colOff>104775</xdr:colOff>
      <xdr:row>93</xdr:row>
      <xdr:rowOff>19050</xdr:rowOff>
    </xdr:to>
    <xdr:sp macro="" textlink="">
      <xdr:nvSpPr>
        <xdr:cNvPr id="2" name="右中かっこ 1"/>
        <xdr:cNvSpPr/>
      </xdr:nvSpPr>
      <xdr:spPr>
        <a:xfrm>
          <a:off x="19211925" y="15097125"/>
          <a:ext cx="95250" cy="523875"/>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142876</xdr:colOff>
      <xdr:row>0</xdr:row>
      <xdr:rowOff>0</xdr:rowOff>
    </xdr:from>
    <xdr:to>
      <xdr:col>21</xdr:col>
      <xdr:colOff>119063</xdr:colOff>
      <xdr:row>11</xdr:row>
      <xdr:rowOff>11905</xdr:rowOff>
    </xdr:to>
    <xdr:sp macro="" textlink="">
      <xdr:nvSpPr>
        <xdr:cNvPr id="2" name="角丸四角形吹き出し 1"/>
        <xdr:cNvSpPr/>
      </xdr:nvSpPr>
      <xdr:spPr>
        <a:xfrm>
          <a:off x="18395157" y="0"/>
          <a:ext cx="4310062" cy="2107405"/>
        </a:xfrm>
        <a:prstGeom prst="wedgeRoundRectCallout">
          <a:avLst>
            <a:gd name="adj1" fmla="val -50888"/>
            <a:gd name="adj2" fmla="val 86431"/>
            <a:gd name="adj3" fmla="val 16667"/>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000"/>
            <a:t>このシートは現在、決算担当は使用していないためフォローなし</a:t>
          </a:r>
          <a:endParaRPr kumimoji="1" lang="en-US" altLang="ja-JP" sz="2000"/>
        </a:p>
        <a:p>
          <a:pPr algn="l"/>
          <a:r>
            <a:rPr kumimoji="1" lang="ja-JP" altLang="en-US" sz="2000"/>
            <a:t>ただし、監査事務局へは部分的に紙ベースで提出しているため消費税担当が適宜、修正</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4</xdr:row>
      <xdr:rowOff>0</xdr:rowOff>
    </xdr:from>
    <xdr:to>
      <xdr:col>18</xdr:col>
      <xdr:colOff>0</xdr:colOff>
      <xdr:row>14</xdr:row>
      <xdr:rowOff>0</xdr:rowOff>
    </xdr:to>
    <xdr:sp macro="" textlink="">
      <xdr:nvSpPr>
        <xdr:cNvPr id="2" name="テキスト ボックス 1"/>
        <xdr:cNvSpPr txBox="1"/>
      </xdr:nvSpPr>
      <xdr:spPr>
        <a:xfrm>
          <a:off x="598714" y="707571"/>
          <a:ext cx="5701393" cy="1768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R5</a:t>
          </a:r>
          <a:r>
            <a:rPr kumimoji="1" lang="ja-JP" altLang="en-US" sz="1100"/>
            <a:t>決算：仕入れ対価の返還等はなし</a:t>
          </a:r>
          <a:endParaRPr kumimoji="1" lang="en-US" altLang="ja-JP" sz="1100"/>
        </a:p>
        <a:p>
          <a:r>
            <a:rPr kumimoji="1" lang="en-US" altLang="ja-JP" sz="1100"/>
            <a:t>※</a:t>
          </a:r>
          <a:r>
            <a:rPr kumimoji="1" lang="ja-JP" altLang="en-US" sz="1100"/>
            <a:t>支払った金額が過大だったため翌年度以降返還→レアケース（たぶん）</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xdr:row>
      <xdr:rowOff>10697</xdr:rowOff>
    </xdr:from>
    <xdr:to>
      <xdr:col>18</xdr:col>
      <xdr:colOff>0</xdr:colOff>
      <xdr:row>3</xdr:row>
      <xdr:rowOff>509</xdr:rowOff>
    </xdr:to>
    <xdr:sp macro="" textlink="">
      <xdr:nvSpPr>
        <xdr:cNvPr id="6" name="テキスト ボックス 5"/>
        <xdr:cNvSpPr txBox="1"/>
      </xdr:nvSpPr>
      <xdr:spPr>
        <a:xfrm>
          <a:off x="9603441"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twoCellAnchor>
    <xdr:from>
      <xdr:col>23</xdr:col>
      <xdr:colOff>-1</xdr:colOff>
      <xdr:row>2</xdr:row>
      <xdr:rowOff>10697</xdr:rowOff>
    </xdr:from>
    <xdr:to>
      <xdr:col>24</xdr:col>
      <xdr:colOff>-1</xdr:colOff>
      <xdr:row>3</xdr:row>
      <xdr:rowOff>509</xdr:rowOff>
    </xdr:to>
    <xdr:sp macro="" textlink="">
      <xdr:nvSpPr>
        <xdr:cNvPr id="7" name="テキスト ボックス 6"/>
        <xdr:cNvSpPr txBox="1"/>
      </xdr:nvSpPr>
      <xdr:spPr>
        <a:xfrm>
          <a:off x="14713323"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twoCellAnchor>
    <xdr:from>
      <xdr:col>28</xdr:col>
      <xdr:colOff>851645</xdr:colOff>
      <xdr:row>2</xdr:row>
      <xdr:rowOff>10697</xdr:rowOff>
    </xdr:from>
    <xdr:to>
      <xdr:col>29</xdr:col>
      <xdr:colOff>851645</xdr:colOff>
      <xdr:row>3</xdr:row>
      <xdr:rowOff>509</xdr:rowOff>
    </xdr:to>
    <xdr:sp macro="" textlink="">
      <xdr:nvSpPr>
        <xdr:cNvPr id="8" name="テキスト ボックス 7"/>
        <xdr:cNvSpPr txBox="1"/>
      </xdr:nvSpPr>
      <xdr:spPr>
        <a:xfrm>
          <a:off x="19823204"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twoCellAnchor>
    <xdr:from>
      <xdr:col>9</xdr:col>
      <xdr:colOff>0</xdr:colOff>
      <xdr:row>2</xdr:row>
      <xdr:rowOff>10697</xdr:rowOff>
    </xdr:from>
    <xdr:to>
      <xdr:col>10</xdr:col>
      <xdr:colOff>0</xdr:colOff>
      <xdr:row>3</xdr:row>
      <xdr:rowOff>509</xdr:rowOff>
    </xdr:to>
    <xdr:sp macro="" textlink="">
      <xdr:nvSpPr>
        <xdr:cNvPr id="9" name="テキスト ボックス 8"/>
        <xdr:cNvSpPr txBox="1"/>
      </xdr:nvSpPr>
      <xdr:spPr>
        <a:xfrm>
          <a:off x="8987118" y="346873"/>
          <a:ext cx="851647" cy="213930"/>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↓軽減税率↑</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316;R5%20&#38632;&#27738;&#277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9313;R5%20&#65299;&#26465;&#21454;&#2083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9312;R5%20&#65299;&#26465;&#25903;&#2098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9315;R5%20&#65300;&#26465;&#21454;&#2083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9314;R5%20&#65300;&#26465;&#25903;&#2098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9319;R5%20&#19968;&#33324;&#20250;&#35336;&#32368;&#20837;&#37329;&#27770;&#3163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9317;R5%20&#19981;&#35506;&#31246;&#21454;&#20837;&#12398;&#21306;&#20998;&#65288;&#29305;&#23450;&#21454;&#20837;&#38989;&#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雨汚水"/>
      <sheetName val="雨汚収入"/>
      <sheetName val="雨汚支出"/>
      <sheetName val="補助補給"/>
      <sheetName val="3条税込み"/>
      <sheetName val="3条税抜き"/>
      <sheetName val="3条税抜き (消費税雑支出加算)"/>
      <sheetName val="収入税込"/>
      <sheetName val="収入税抜き"/>
      <sheetName val="収入税抜き (消費税雑収入加算）)"/>
      <sheetName val="雨汚水(共通按分後)"/>
      <sheetName val="3条税込み(共通按分後)"/>
      <sheetName val="3条税抜き(共通按分後)"/>
      <sheetName val="3条税抜き (消費税雑支出加算)(共通按分後)"/>
      <sheetName val="雨汚水(共通按分後) (確認用)"/>
    </sheetNames>
    <sheetDataSet>
      <sheetData sheetId="0">
        <row r="1">
          <cell r="D1" t="str">
            <v>令和５年度決算　消費税算出資料</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条収入"/>
    </sheetNames>
    <sheetDataSet>
      <sheetData sheetId="0">
        <row r="8">
          <cell r="AB8">
            <v>1862625061</v>
          </cell>
        </row>
        <row r="9">
          <cell r="AB9">
            <v>0</v>
          </cell>
        </row>
        <row r="17">
          <cell r="AB17">
            <v>0</v>
          </cell>
        </row>
        <row r="19">
          <cell r="AB19">
            <v>17203263</v>
          </cell>
        </row>
        <row r="28">
          <cell r="AB28">
            <v>0</v>
          </cell>
        </row>
        <row r="32">
          <cell r="AB32">
            <v>0</v>
          </cell>
        </row>
        <row r="39">
          <cell r="AB39">
            <v>3365145</v>
          </cell>
        </row>
        <row r="42">
          <cell r="AB42">
            <v>0</v>
          </cell>
        </row>
        <row r="49">
          <cell r="AB49">
            <v>0</v>
          </cell>
        </row>
        <row r="51">
          <cell r="AB51">
            <v>1210357</v>
          </cell>
        </row>
        <row r="54">
          <cell r="AI54">
            <v>1880565</v>
          </cell>
        </row>
        <row r="58">
          <cell r="AB58">
            <v>0</v>
          </cell>
        </row>
        <row r="60">
          <cell r="AB60">
            <v>145888</v>
          </cell>
        </row>
        <row r="62">
          <cell r="AB62">
            <v>0</v>
          </cell>
        </row>
        <row r="69">
          <cell r="E69">
            <v>44454711283</v>
          </cell>
          <cell r="F69">
            <v>0</v>
          </cell>
          <cell r="G69">
            <v>0</v>
          </cell>
          <cell r="H69">
            <v>47053</v>
          </cell>
          <cell r="I69">
            <v>0</v>
          </cell>
          <cell r="J69">
            <v>20730008529</v>
          </cell>
          <cell r="K69">
            <v>20730055582</v>
          </cell>
          <cell r="L69">
            <v>22644840</v>
          </cell>
          <cell r="M69">
            <v>86860</v>
          </cell>
          <cell r="AC69">
            <v>0</v>
          </cell>
          <cell r="AD69">
            <v>0</v>
          </cell>
          <cell r="AE69">
            <v>33732</v>
          </cell>
          <cell r="AF69">
            <v>9671</v>
          </cell>
          <cell r="AG69">
            <v>210209720</v>
          </cell>
          <cell r="AH69">
            <v>210253123</v>
          </cell>
          <cell r="AI69">
            <v>42572042134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年度"/>
      <sheetName val="全伝票"/>
      <sheetName val="災害伝票"/>
      <sheetName val="3条支出"/>
      <sheetName val="管"/>
      <sheetName val="水質"/>
      <sheetName val="ポ"/>
      <sheetName val="処"/>
      <sheetName val="受工"/>
      <sheetName val="普及"/>
      <sheetName val="貸付"/>
      <sheetName val="業務"/>
      <sheetName val="総係"/>
      <sheetName val="特環"/>
      <sheetName val="農集"/>
      <sheetName val="浄化"/>
      <sheetName val="災"/>
      <sheetName val="減価"/>
      <sheetName val="減耗"/>
      <sheetName val="営外"/>
      <sheetName val="特損"/>
      <sheetName val="3条支出(共通按分後)"/>
      <sheetName val="総係(共通按分後)"/>
      <sheetName val="特環(共通按分後)"/>
      <sheetName val="農集(共通按分後)"/>
      <sheetName val="浄化(共通按分後)"/>
    </sheetNames>
    <sheetDataSet>
      <sheetData sheetId="0"/>
      <sheetData sheetId="1"/>
      <sheetData sheetId="2"/>
      <sheetData sheetId="3">
        <row r="1">
          <cell r="D1" t="str">
            <v>令和５年度決算　消費税算出資料</v>
          </cell>
        </row>
        <row r="6">
          <cell r="S6">
            <v>47155349</v>
          </cell>
        </row>
        <row r="7">
          <cell r="S7">
            <v>1130574</v>
          </cell>
        </row>
        <row r="8">
          <cell r="S8">
            <v>104382258</v>
          </cell>
        </row>
        <row r="9">
          <cell r="S9">
            <v>519893786</v>
          </cell>
        </row>
        <row r="10">
          <cell r="S10">
            <v>0</v>
          </cell>
        </row>
        <row r="11">
          <cell r="S11">
            <v>1715497</v>
          </cell>
        </row>
        <row r="12">
          <cell r="S12">
            <v>87589</v>
          </cell>
        </row>
        <row r="13">
          <cell r="S13">
            <v>90253429</v>
          </cell>
        </row>
        <row r="14">
          <cell r="S14">
            <v>17678805</v>
          </cell>
        </row>
        <row r="15">
          <cell r="S15">
            <v>9713984</v>
          </cell>
        </row>
        <row r="16">
          <cell r="S16">
            <v>22486229</v>
          </cell>
        </row>
        <row r="17">
          <cell r="S17">
            <v>6447001</v>
          </cell>
        </row>
        <row r="18">
          <cell r="S18">
            <v>0</v>
          </cell>
        </row>
        <row r="19">
          <cell r="S19">
            <v>0</v>
          </cell>
        </row>
        <row r="20">
          <cell r="S20">
            <v>0</v>
          </cell>
        </row>
        <row r="23">
          <cell r="S23">
            <v>5619432</v>
          </cell>
        </row>
        <row r="24">
          <cell r="S24">
            <v>489822</v>
          </cell>
        </row>
        <row r="28">
          <cell r="S28">
            <v>968444</v>
          </cell>
        </row>
        <row r="29">
          <cell r="S29">
            <v>0</v>
          </cell>
        </row>
        <row r="41">
          <cell r="E41">
            <v>42643669657</v>
          </cell>
          <cell r="F41">
            <v>0</v>
          </cell>
          <cell r="G41">
            <v>0</v>
          </cell>
          <cell r="H41">
            <v>1236141</v>
          </cell>
          <cell r="I41">
            <v>500878</v>
          </cell>
          <cell r="J41">
            <v>9106828850</v>
          </cell>
          <cell r="N41">
            <v>0</v>
          </cell>
          <cell r="O41">
            <v>0</v>
          </cell>
          <cell r="P41">
            <v>91566</v>
          </cell>
          <cell r="Q41">
            <v>37102</v>
          </cell>
          <cell r="R41">
            <v>827893531</v>
          </cell>
          <cell r="T41">
            <v>42028134935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7">
          <cell r="T17">
            <v>210253123</v>
          </cell>
        </row>
        <row r="18">
          <cell r="T18">
            <v>2233725</v>
          </cell>
        </row>
        <row r="19">
          <cell r="T19">
            <v>629</v>
          </cell>
        </row>
      </sheetData>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条収入"/>
    </sheetNames>
    <sheetDataSet>
      <sheetData sheetId="0">
        <row r="8">
          <cell r="AB8">
            <v>0</v>
          </cell>
        </row>
        <row r="16">
          <cell r="AB16">
            <v>0</v>
          </cell>
        </row>
        <row r="22">
          <cell r="AB22">
            <v>0</v>
          </cell>
        </row>
        <row r="23">
          <cell r="AB23">
            <v>0</v>
          </cell>
        </row>
        <row r="25">
          <cell r="AH25">
            <v>516208819</v>
          </cell>
        </row>
        <row r="27">
          <cell r="AH27">
            <v>0</v>
          </cell>
        </row>
        <row r="28">
          <cell r="AH28">
            <v>0</v>
          </cell>
        </row>
        <row r="29">
          <cell r="AH29">
            <v>0</v>
          </cell>
        </row>
        <row r="30">
          <cell r="AH30">
            <v>0</v>
          </cell>
        </row>
        <row r="32">
          <cell r="AH32">
            <v>2772727</v>
          </cell>
        </row>
        <row r="33">
          <cell r="AH33">
            <v>0</v>
          </cell>
        </row>
        <row r="34">
          <cell r="AH34">
            <v>317091</v>
          </cell>
        </row>
        <row r="37">
          <cell r="AB37">
            <v>2215735</v>
          </cell>
        </row>
        <row r="43">
          <cell r="AB43">
            <v>0</v>
          </cell>
          <cell r="AH43">
            <v>775000</v>
          </cell>
        </row>
        <row r="45">
          <cell r="AB45">
            <v>0</v>
          </cell>
        </row>
        <row r="47">
          <cell r="AH47">
            <v>1431014</v>
          </cell>
        </row>
        <row r="48">
          <cell r="AH48">
            <v>1253458</v>
          </cell>
        </row>
        <row r="49">
          <cell r="AH49">
            <v>357295</v>
          </cell>
        </row>
        <row r="50">
          <cell r="AB50">
            <v>1392575</v>
          </cell>
        </row>
        <row r="51">
          <cell r="AH51">
            <v>26207717</v>
          </cell>
        </row>
        <row r="52">
          <cell r="AH52">
            <v>0</v>
          </cell>
        </row>
        <row r="53">
          <cell r="AH53">
            <v>0</v>
          </cell>
        </row>
        <row r="54">
          <cell r="AH54">
            <v>0</v>
          </cell>
        </row>
        <row r="56">
          <cell r="AB56">
            <v>0</v>
          </cell>
        </row>
        <row r="58">
          <cell r="AB58">
            <v>0</v>
          </cell>
        </row>
        <row r="71">
          <cell r="AB71">
            <v>0</v>
          </cell>
        </row>
        <row r="87">
          <cell r="AB87">
            <v>0</v>
          </cell>
        </row>
        <row r="89">
          <cell r="AB89">
            <v>0</v>
          </cell>
        </row>
        <row r="91">
          <cell r="E91">
            <v>42025205141</v>
          </cell>
          <cell r="F91">
            <v>0</v>
          </cell>
          <cell r="G91">
            <v>0</v>
          </cell>
          <cell r="H91">
            <v>0</v>
          </cell>
          <cell r="I91">
            <v>0</v>
          </cell>
          <cell r="J91">
            <v>39691410</v>
          </cell>
          <cell r="K91">
            <v>39691410</v>
          </cell>
          <cell r="L91">
            <v>45948113</v>
          </cell>
          <cell r="W91">
            <v>0</v>
          </cell>
          <cell r="X91">
            <v>0</v>
          </cell>
          <cell r="Y91">
            <v>0</v>
          </cell>
          <cell r="Z91">
            <v>0</v>
          </cell>
          <cell r="AA91">
            <v>3608310</v>
          </cell>
          <cell r="AC91">
            <v>0</v>
          </cell>
          <cell r="AD91">
            <v>6284860</v>
          </cell>
          <cell r="AE91">
            <v>92363</v>
          </cell>
          <cell r="AF91">
            <v>7</v>
          </cell>
          <cell r="AG91">
            <v>542945891</v>
          </cell>
          <cell r="AH91">
            <v>549323121</v>
          </cell>
          <cell r="AI91">
            <v>42021596831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条支出"/>
      <sheetName val="公整"/>
      <sheetName val="受益"/>
      <sheetName val="排水"/>
      <sheetName val="都下"/>
      <sheetName val="流下"/>
      <sheetName val="諸公"/>
      <sheetName val="諸特"/>
      <sheetName val="諸農"/>
      <sheetName val="建利"/>
      <sheetName val="特整"/>
      <sheetName val="農整"/>
      <sheetName val="浄整"/>
      <sheetName val="償還"/>
      <sheetName val="水洗"/>
      <sheetName val="返還"/>
    </sheetNames>
    <sheetDataSet>
      <sheetData sheetId="0">
        <row r="6">
          <cell r="S6">
            <v>1356109400</v>
          </cell>
        </row>
        <row r="7">
          <cell r="S7">
            <v>543071</v>
          </cell>
        </row>
        <row r="8">
          <cell r="S8">
            <v>47147259</v>
          </cell>
        </row>
        <row r="9">
          <cell r="S9">
            <v>0</v>
          </cell>
        </row>
        <row r="10">
          <cell r="S10">
            <v>11020779</v>
          </cell>
        </row>
        <row r="11">
          <cell r="S11">
            <v>5379819</v>
          </cell>
        </row>
        <row r="15">
          <cell r="S15">
            <v>0</v>
          </cell>
        </row>
        <row r="16">
          <cell r="S16">
            <v>59696859</v>
          </cell>
        </row>
        <row r="41">
          <cell r="E41">
            <v>61875977537</v>
          </cell>
          <cell r="F41">
            <v>0</v>
          </cell>
          <cell r="G41">
            <v>0</v>
          </cell>
          <cell r="H41">
            <v>125712</v>
          </cell>
          <cell r="I41">
            <v>36840</v>
          </cell>
          <cell r="J41">
            <v>16278736624</v>
          </cell>
          <cell r="N41">
            <v>0</v>
          </cell>
          <cell r="O41">
            <v>0</v>
          </cell>
          <cell r="P41">
            <v>9312</v>
          </cell>
          <cell r="Q41">
            <v>2728</v>
          </cell>
          <cell r="R41">
            <v>1479885147</v>
          </cell>
          <cell r="T41">
            <v>60396080350</v>
          </cell>
        </row>
      </sheetData>
      <sheetData sheetId="1"/>
      <sheetData sheetId="2"/>
      <sheetData sheetId="3"/>
      <sheetData sheetId="4"/>
      <sheetData sheetId="5"/>
      <sheetData sheetId="6">
        <row r="41">
          <cell r="S41">
            <v>5379819</v>
          </cell>
        </row>
      </sheetData>
      <sheetData sheetId="7">
        <row r="41">
          <cell r="S41">
            <v>0</v>
          </cell>
        </row>
      </sheetData>
      <sheetData sheetId="8">
        <row r="41">
          <cell r="S41">
            <v>0</v>
          </cell>
        </row>
      </sheetData>
      <sheetData sheetId="9"/>
      <sheetData sheetId="10">
        <row r="41">
          <cell r="S41">
            <v>40062545</v>
          </cell>
        </row>
      </sheetData>
      <sheetData sheetId="11">
        <row r="41">
          <cell r="S41">
            <v>12416364</v>
          </cell>
        </row>
      </sheetData>
      <sheetData sheetId="12">
        <row r="41">
          <cell r="S41">
            <v>7217950</v>
          </cell>
        </row>
      </sheetData>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最終チェック（資本的支出の財源内訳と照合）"/>
      <sheetName val="(繰)案"/>
      <sheetName val="(繰)精算書"/>
      <sheetName val="(繰)繰入金"/>
      <sheetName val="(繰)対前年"/>
      <sheetName val="(繰)3条収入"/>
      <sheetName val="(繰)3条支出 "/>
      <sheetName val="(繰)4条収入"/>
      <sheetName val="(繰)4条支出 "/>
      <sheetName val="出資金しくみ"/>
      <sheetName val="総括表 (メモなし)"/>
      <sheetName val="総括表"/>
      <sheetName val="３条 税抜"/>
      <sheetName val="3条税込"/>
      <sheetName val="４条（みなし）"/>
      <sheetName val="４条（決算）"/>
    </sheetNames>
    <sheetDataSet>
      <sheetData sheetId="0"/>
      <sheetData sheetId="1"/>
      <sheetData sheetId="2"/>
      <sheetData sheetId="3"/>
      <sheetData sheetId="4"/>
      <sheetData sheetId="5"/>
      <sheetData sheetId="6">
        <row r="22">
          <cell r="G22">
            <v>0</v>
          </cell>
        </row>
      </sheetData>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税務署提出用"/>
      <sheetName val="総括表"/>
      <sheetName val="3条一般会計"/>
      <sheetName val="3条補助金"/>
      <sheetName val="3条他会計"/>
      <sheetName val="3条その他"/>
      <sheetName val="3条災害補助"/>
      <sheetName val="4条補助（公）"/>
      <sheetName val="4条補助（特）"/>
      <sheetName val="4条補助（農）"/>
      <sheetName val="4条補助（浄）"/>
      <sheetName val="受益（公）"/>
      <sheetName val="受益（区域外）"/>
      <sheetName val="4条その他"/>
      <sheetName val="4条工事負担金"/>
      <sheetName val="工事負担金（所属別内訳）"/>
      <sheetName val="工事負担金（元金償還分)"/>
      <sheetName val="西風"/>
      <sheetName val="海田"/>
      <sheetName val="府中青崎"/>
      <sheetName val="府中大須"/>
      <sheetName val="大須（共通）"/>
      <sheetName val="廿日市"/>
      <sheetName val="年度別調書"/>
    </sheetNames>
    <sheetDataSet>
      <sheetData sheetId="0"/>
      <sheetData sheetId="1">
        <row r="62">
          <cell r="K62">
            <v>0</v>
          </cell>
          <cell r="L62">
            <v>0</v>
          </cell>
          <cell r="M62">
            <v>455392</v>
          </cell>
          <cell r="N62">
            <v>130568</v>
          </cell>
          <cell r="O62">
            <v>2312306920</v>
          </cell>
        </row>
        <row r="172">
          <cell r="K172">
            <v>0</v>
          </cell>
          <cell r="L172">
            <v>131982078</v>
          </cell>
          <cell r="M172">
            <v>1246904</v>
          </cell>
          <cell r="N172">
            <v>99</v>
          </cell>
          <cell r="O172">
            <v>5972404802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89" zoomScale="80" zoomScaleNormal="80" workbookViewId="0">
      <selection activeCell="T132" sqref="T132:Y132"/>
    </sheetView>
  </sheetViews>
  <sheetFormatPr defaultColWidth="9" defaultRowHeight="13.5" customHeight="1"/>
  <cols>
    <col min="1" max="1" width="0.375" style="1" customWidth="1"/>
    <col min="2" max="2" width="10.625" style="1" customWidth="1"/>
    <col min="3" max="3" width="2.375" style="1" customWidth="1"/>
    <col min="4" max="4" width="35.25" style="3" customWidth="1"/>
    <col min="5" max="5" width="1.875" style="1" customWidth="1"/>
    <col min="6" max="6" width="1.875" style="2" customWidth="1"/>
    <col min="7" max="51" width="1.875" style="1" customWidth="1"/>
    <col min="52" max="52" width="9.375" style="1" customWidth="1"/>
    <col min="53" max="53" width="0.625" style="1" customWidth="1"/>
    <col min="54" max="16384" width="9" style="1"/>
  </cols>
  <sheetData>
    <row r="1" spans="2:52" ht="17.25" customHeight="1">
      <c r="B1" s="35" t="s">
        <v>172</v>
      </c>
      <c r="AZ1" s="34" t="s">
        <v>171</v>
      </c>
    </row>
    <row r="2" spans="2:52" ht="13.5" customHeight="1">
      <c r="B2" s="696" t="s">
        <v>170</v>
      </c>
      <c r="C2" s="696"/>
      <c r="D2" s="696"/>
      <c r="E2" s="696" t="s">
        <v>169</v>
      </c>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696"/>
      <c r="AZ2" s="33" t="s">
        <v>168</v>
      </c>
    </row>
    <row r="3" spans="2:52" ht="13.5" customHeight="1">
      <c r="B3" s="682" t="s">
        <v>167</v>
      </c>
      <c r="C3" s="688">
        <v>1</v>
      </c>
      <c r="D3" s="690" t="s">
        <v>166</v>
      </c>
      <c r="E3" s="688" t="s">
        <v>165</v>
      </c>
      <c r="F3" s="688"/>
      <c r="G3" s="688"/>
      <c r="H3" s="688"/>
      <c r="I3" s="688"/>
      <c r="J3" s="688"/>
      <c r="K3" s="688"/>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c r="AP3" s="688"/>
      <c r="AQ3" s="688"/>
      <c r="AR3" s="688"/>
      <c r="AS3" s="688"/>
      <c r="AT3" s="688"/>
      <c r="AU3" s="688"/>
      <c r="AV3" s="688"/>
      <c r="AW3" s="688"/>
      <c r="AX3" s="688"/>
      <c r="AY3" s="688"/>
      <c r="AZ3" s="14"/>
    </row>
    <row r="4" spans="2:52" ht="13.5" customHeight="1">
      <c r="B4" s="666"/>
      <c r="C4" s="688"/>
      <c r="D4" s="690"/>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8"/>
      <c r="AN4" s="688"/>
      <c r="AO4" s="688"/>
      <c r="AP4" s="688"/>
      <c r="AQ4" s="688"/>
      <c r="AR4" s="688"/>
      <c r="AS4" s="688"/>
      <c r="AT4" s="688"/>
      <c r="AU4" s="688"/>
      <c r="AV4" s="688"/>
      <c r="AW4" s="688"/>
      <c r="AX4" s="688"/>
      <c r="AY4" s="688"/>
      <c r="AZ4" s="4"/>
    </row>
    <row r="5" spans="2:52" ht="13.5" customHeight="1">
      <c r="B5" s="666"/>
      <c r="C5" s="688">
        <v>2</v>
      </c>
      <c r="D5" s="690" t="s">
        <v>164</v>
      </c>
      <c r="E5" s="688" t="s">
        <v>163</v>
      </c>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c r="AP5" s="688"/>
      <c r="AQ5" s="688"/>
      <c r="AR5" s="688"/>
      <c r="AS5" s="688"/>
      <c r="AT5" s="688"/>
      <c r="AU5" s="688"/>
      <c r="AV5" s="688"/>
      <c r="AW5" s="688"/>
      <c r="AX5" s="688"/>
      <c r="AY5" s="688"/>
      <c r="AZ5" s="14"/>
    </row>
    <row r="6" spans="2:52" ht="13.5" customHeight="1">
      <c r="B6" s="666"/>
      <c r="C6" s="688"/>
      <c r="D6" s="690"/>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8"/>
      <c r="AN6" s="688"/>
      <c r="AO6" s="688"/>
      <c r="AP6" s="688"/>
      <c r="AQ6" s="688"/>
      <c r="AR6" s="688"/>
      <c r="AS6" s="688"/>
      <c r="AT6" s="688"/>
      <c r="AU6" s="688"/>
      <c r="AV6" s="688"/>
      <c r="AW6" s="688"/>
      <c r="AX6" s="688"/>
      <c r="AY6" s="688"/>
      <c r="AZ6" s="9"/>
    </row>
    <row r="7" spans="2:52" ht="13.5" customHeight="1">
      <c r="B7" s="666"/>
      <c r="C7" s="688"/>
      <c r="D7" s="690"/>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8"/>
      <c r="AN7" s="688"/>
      <c r="AO7" s="688"/>
      <c r="AP7" s="688"/>
      <c r="AQ7" s="688"/>
      <c r="AR7" s="688"/>
      <c r="AS7" s="688"/>
      <c r="AT7" s="688"/>
      <c r="AU7" s="688"/>
      <c r="AV7" s="688"/>
      <c r="AW7" s="688"/>
      <c r="AX7" s="688"/>
      <c r="AY7" s="688"/>
      <c r="AZ7" s="9"/>
    </row>
    <row r="8" spans="2:52" ht="13.5" customHeight="1">
      <c r="B8" s="666"/>
      <c r="C8" s="688">
        <v>3</v>
      </c>
      <c r="D8" s="690" t="s">
        <v>162</v>
      </c>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8"/>
      <c r="AN8" s="688"/>
      <c r="AO8" s="688"/>
      <c r="AP8" s="688"/>
      <c r="AQ8" s="688"/>
      <c r="AR8" s="688"/>
      <c r="AS8" s="688"/>
      <c r="AT8" s="688"/>
      <c r="AU8" s="688"/>
      <c r="AV8" s="688"/>
      <c r="AW8" s="688"/>
      <c r="AX8" s="688"/>
      <c r="AY8" s="688"/>
      <c r="AZ8" s="9"/>
    </row>
    <row r="9" spans="2:52" ht="13.5" customHeight="1">
      <c r="B9" s="666"/>
      <c r="C9" s="688"/>
      <c r="D9" s="690"/>
      <c r="E9" s="688"/>
      <c r="F9" s="688"/>
      <c r="G9" s="688"/>
      <c r="H9" s="688"/>
      <c r="I9" s="688"/>
      <c r="J9" s="688"/>
      <c r="K9" s="688"/>
      <c r="L9" s="688"/>
      <c r="M9" s="688"/>
      <c r="N9" s="688"/>
      <c r="O9" s="688"/>
      <c r="P9" s="688"/>
      <c r="Q9" s="688"/>
      <c r="R9" s="688"/>
      <c r="S9" s="688"/>
      <c r="T9" s="688"/>
      <c r="U9" s="688"/>
      <c r="V9" s="688"/>
      <c r="W9" s="688"/>
      <c r="X9" s="688"/>
      <c r="Y9" s="688"/>
      <c r="Z9" s="688"/>
      <c r="AA9" s="688"/>
      <c r="AB9" s="688"/>
      <c r="AC9" s="688"/>
      <c r="AD9" s="688"/>
      <c r="AE9" s="688"/>
      <c r="AF9" s="688"/>
      <c r="AG9" s="688"/>
      <c r="AH9" s="688"/>
      <c r="AI9" s="688"/>
      <c r="AJ9" s="688"/>
      <c r="AK9" s="688"/>
      <c r="AL9" s="688"/>
      <c r="AM9" s="688"/>
      <c r="AN9" s="688"/>
      <c r="AO9" s="688"/>
      <c r="AP9" s="688"/>
      <c r="AQ9" s="688"/>
      <c r="AR9" s="688"/>
      <c r="AS9" s="688"/>
      <c r="AT9" s="688"/>
      <c r="AU9" s="688"/>
      <c r="AV9" s="688"/>
      <c r="AW9" s="688"/>
      <c r="AX9" s="688"/>
      <c r="AY9" s="688"/>
      <c r="AZ9" s="9"/>
    </row>
    <row r="10" spans="2:52" ht="13.5" customHeight="1">
      <c r="B10" s="666"/>
      <c r="C10" s="688"/>
      <c r="D10" s="690"/>
      <c r="E10" s="688"/>
      <c r="F10" s="688"/>
      <c r="G10" s="688"/>
      <c r="H10" s="688"/>
      <c r="I10" s="688"/>
      <c r="J10" s="688"/>
      <c r="K10" s="688"/>
      <c r="L10" s="688"/>
      <c r="M10" s="688"/>
      <c r="N10" s="688"/>
      <c r="O10" s="688"/>
      <c r="P10" s="688"/>
      <c r="Q10" s="688"/>
      <c r="R10" s="688"/>
      <c r="S10" s="688"/>
      <c r="T10" s="688"/>
      <c r="U10" s="688"/>
      <c r="V10" s="688"/>
      <c r="W10" s="688"/>
      <c r="X10" s="688"/>
      <c r="Y10" s="688"/>
      <c r="Z10" s="688"/>
      <c r="AA10" s="688"/>
      <c r="AB10" s="688"/>
      <c r="AC10" s="688"/>
      <c r="AD10" s="688"/>
      <c r="AE10" s="688"/>
      <c r="AF10" s="688"/>
      <c r="AG10" s="688"/>
      <c r="AH10" s="688"/>
      <c r="AI10" s="688"/>
      <c r="AJ10" s="688"/>
      <c r="AK10" s="688"/>
      <c r="AL10" s="688"/>
      <c r="AM10" s="688"/>
      <c r="AN10" s="688"/>
      <c r="AO10" s="688"/>
      <c r="AP10" s="688"/>
      <c r="AQ10" s="688"/>
      <c r="AR10" s="688"/>
      <c r="AS10" s="688"/>
      <c r="AT10" s="688"/>
      <c r="AU10" s="688"/>
      <c r="AV10" s="688"/>
      <c r="AW10" s="688"/>
      <c r="AX10" s="688"/>
      <c r="AY10" s="688"/>
      <c r="AZ10" s="9"/>
    </row>
    <row r="11" spans="2:52" ht="13.5" customHeight="1">
      <c r="B11" s="666"/>
      <c r="C11" s="682">
        <v>4</v>
      </c>
      <c r="D11" s="690" t="s">
        <v>161</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9"/>
    </row>
    <row r="12" spans="2:52" ht="13.5" customHeight="1">
      <c r="B12" s="666"/>
      <c r="C12" s="671"/>
      <c r="D12" s="690"/>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4"/>
    </row>
    <row r="13" spans="2:52" ht="13.5" customHeight="1">
      <c r="B13" s="666"/>
      <c r="C13" s="682">
        <v>5</v>
      </c>
      <c r="D13" s="690" t="s">
        <v>160</v>
      </c>
      <c r="E13" s="688" t="s">
        <v>159</v>
      </c>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14"/>
    </row>
    <row r="14" spans="2:52" ht="13.5" customHeight="1">
      <c r="B14" s="666"/>
      <c r="C14" s="671"/>
      <c r="D14" s="690"/>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9"/>
    </row>
    <row r="15" spans="2:52" ht="13.5" customHeight="1">
      <c r="B15" s="666"/>
      <c r="C15" s="682">
        <v>6</v>
      </c>
      <c r="D15" s="690" t="s">
        <v>158</v>
      </c>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9"/>
    </row>
    <row r="16" spans="2:52" ht="13.5" customHeight="1">
      <c r="B16" s="666"/>
      <c r="C16" s="671"/>
      <c r="D16" s="690"/>
      <c r="E16" s="688"/>
      <c r="F16" s="688"/>
      <c r="G16" s="688"/>
      <c r="H16" s="688"/>
      <c r="I16" s="688"/>
      <c r="J16" s="688"/>
      <c r="K16" s="688"/>
      <c r="L16" s="688"/>
      <c r="M16" s="688"/>
      <c r="N16" s="688"/>
      <c r="O16" s="688"/>
      <c r="P16" s="688"/>
      <c r="Q16" s="688"/>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9"/>
    </row>
    <row r="17" spans="2:52" ht="13.5" customHeight="1">
      <c r="B17" s="666"/>
      <c r="C17" s="682">
        <v>7</v>
      </c>
      <c r="D17" s="690" t="s">
        <v>157</v>
      </c>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9"/>
    </row>
    <row r="18" spans="2:52" ht="13.5" customHeight="1">
      <c r="B18" s="666"/>
      <c r="C18" s="671"/>
      <c r="D18" s="690"/>
      <c r="E18" s="688"/>
      <c r="F18" s="688"/>
      <c r="G18" s="688"/>
      <c r="H18" s="688"/>
      <c r="I18" s="688"/>
      <c r="J18" s="688"/>
      <c r="K18" s="688"/>
      <c r="L18" s="688"/>
      <c r="M18" s="688"/>
      <c r="N18" s="688"/>
      <c r="O18" s="688"/>
      <c r="P18" s="688"/>
      <c r="Q18" s="688"/>
      <c r="R18" s="688"/>
      <c r="S18" s="688"/>
      <c r="T18" s="688"/>
      <c r="U18" s="688"/>
      <c r="V18" s="688"/>
      <c r="W18" s="688"/>
      <c r="X18" s="688"/>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4"/>
    </row>
    <row r="19" spans="2:52" ht="13.5" customHeight="1">
      <c r="B19" s="666"/>
      <c r="C19" s="682">
        <v>8</v>
      </c>
      <c r="D19" s="680" t="s">
        <v>156</v>
      </c>
      <c r="E19" s="18"/>
      <c r="F19" s="17"/>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5"/>
      <c r="AZ19" s="14"/>
    </row>
    <row r="20" spans="2:52" ht="13.5" customHeight="1">
      <c r="B20" s="666"/>
      <c r="C20" s="666"/>
      <c r="D20" s="670"/>
      <c r="E20" s="28" t="s">
        <v>155</v>
      </c>
      <c r="F20" s="12"/>
      <c r="G20" s="12"/>
      <c r="H20" s="12"/>
      <c r="I20" s="12"/>
      <c r="J20" s="12"/>
      <c r="K20" s="12"/>
      <c r="L20" s="12"/>
      <c r="M20" s="12"/>
      <c r="N20" s="12"/>
      <c r="O20" s="12"/>
      <c r="P20" s="12"/>
      <c r="Q20" s="11"/>
      <c r="R20" s="687">
        <f>基礎数値!D3</f>
        <v>0</v>
      </c>
      <c r="S20" s="687"/>
      <c r="T20" s="687"/>
      <c r="U20" s="687"/>
      <c r="V20" s="687"/>
      <c r="W20" s="687"/>
      <c r="X20" s="11"/>
      <c r="Y20" s="19" t="s">
        <v>114</v>
      </c>
      <c r="Z20" s="11"/>
      <c r="AA20" s="11"/>
      <c r="AB20" s="11"/>
      <c r="AC20" s="11"/>
      <c r="AD20" s="11"/>
      <c r="AE20" s="11"/>
      <c r="AF20" s="11"/>
      <c r="AG20" s="11"/>
      <c r="AH20" s="11"/>
      <c r="AI20" s="12"/>
      <c r="AJ20" s="11"/>
      <c r="AK20" s="11"/>
      <c r="AL20" s="11"/>
      <c r="AM20" s="11"/>
      <c r="AN20" s="11"/>
      <c r="AO20" s="11"/>
      <c r="AP20" s="11"/>
      <c r="AQ20" s="11"/>
      <c r="AR20" s="11"/>
      <c r="AS20" s="11"/>
      <c r="AT20" s="11"/>
      <c r="AU20" s="11"/>
      <c r="AV20" s="11"/>
      <c r="AW20" s="11"/>
      <c r="AX20" s="11"/>
      <c r="AY20" s="10"/>
      <c r="AZ20" s="9"/>
    </row>
    <row r="21" spans="2:52" ht="13.5" customHeight="1">
      <c r="B21" s="666"/>
      <c r="C21" s="666"/>
      <c r="D21" s="670"/>
      <c r="E21" s="28" t="s">
        <v>154</v>
      </c>
      <c r="F21" s="11"/>
      <c r="G21" s="11"/>
      <c r="H21" s="11"/>
      <c r="I21" s="11"/>
      <c r="J21" s="11"/>
      <c r="K21" s="11"/>
      <c r="L21" s="11"/>
      <c r="M21" s="11"/>
      <c r="N21" s="11"/>
      <c r="O21" s="11"/>
      <c r="P21" s="11"/>
      <c r="Q21" s="11"/>
      <c r="R21" s="687">
        <f>基礎数値!D4</f>
        <v>0</v>
      </c>
      <c r="S21" s="687"/>
      <c r="T21" s="687"/>
      <c r="U21" s="687"/>
      <c r="V21" s="687"/>
      <c r="W21" s="687"/>
      <c r="X21" s="11"/>
      <c r="Y21" s="19" t="s">
        <v>114</v>
      </c>
      <c r="Z21" s="11"/>
      <c r="AA21" s="11"/>
      <c r="AB21" s="11"/>
      <c r="AC21" s="11"/>
      <c r="AD21" s="11"/>
      <c r="AE21" s="11"/>
      <c r="AF21" s="11"/>
      <c r="AG21" s="11"/>
      <c r="AH21" s="11"/>
      <c r="AI21" s="11"/>
      <c r="AJ21" s="11" t="s">
        <v>85</v>
      </c>
      <c r="AK21" s="665">
        <f>R20+R21</f>
        <v>0</v>
      </c>
      <c r="AL21" s="665"/>
      <c r="AM21" s="665"/>
      <c r="AN21" s="665"/>
      <c r="AO21" s="665"/>
      <c r="AP21" s="665"/>
      <c r="AQ21" s="11" t="s">
        <v>153</v>
      </c>
      <c r="AR21" s="11"/>
      <c r="AS21" s="11"/>
      <c r="AT21" s="11"/>
      <c r="AU21" s="11"/>
      <c r="AV21" s="11"/>
      <c r="AW21" s="11"/>
      <c r="AX21" s="11"/>
      <c r="AY21" s="10"/>
      <c r="AZ21" s="9"/>
    </row>
    <row r="22" spans="2:52" ht="13.5" customHeight="1">
      <c r="B22" s="666"/>
      <c r="C22" s="666"/>
      <c r="D22" s="670"/>
      <c r="E22" s="28"/>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0"/>
      <c r="AZ22" s="9"/>
    </row>
    <row r="23" spans="2:52" ht="13.5" customHeight="1">
      <c r="B23" s="666"/>
      <c r="C23" s="666"/>
      <c r="D23" s="670"/>
      <c r="E23" s="28" t="s">
        <v>152</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0"/>
      <c r="AZ23" s="9"/>
    </row>
    <row r="24" spans="2:52" ht="13.5" customHeight="1">
      <c r="B24" s="666"/>
      <c r="C24" s="666"/>
      <c r="D24" s="670"/>
      <c r="E24" s="28"/>
      <c r="F24" s="11"/>
      <c r="G24" s="11"/>
      <c r="H24" s="12" t="s">
        <v>108</v>
      </c>
      <c r="I24" s="11"/>
      <c r="J24" s="11"/>
      <c r="K24" s="11"/>
      <c r="L24" s="11"/>
      <c r="M24" s="11"/>
      <c r="N24" s="11"/>
      <c r="O24" s="11"/>
      <c r="P24" s="11"/>
      <c r="Q24" s="11"/>
      <c r="R24" s="687">
        <f>基礎数値!D6</f>
        <v>0</v>
      </c>
      <c r="S24" s="687"/>
      <c r="T24" s="687"/>
      <c r="U24" s="687"/>
      <c r="V24" s="687"/>
      <c r="W24" s="687"/>
      <c r="X24" s="11" t="s">
        <v>151</v>
      </c>
      <c r="Y24" s="19" t="s">
        <v>150</v>
      </c>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0"/>
      <c r="AZ24" s="9"/>
    </row>
    <row r="25" spans="2:52" ht="13.5" customHeight="1">
      <c r="B25" s="666"/>
      <c r="C25" s="666"/>
      <c r="D25" s="670"/>
      <c r="E25" s="13"/>
      <c r="F25" s="12"/>
      <c r="G25" s="11"/>
      <c r="H25" s="12" t="s">
        <v>149</v>
      </c>
      <c r="I25" s="11"/>
      <c r="J25" s="11"/>
      <c r="K25" s="11"/>
      <c r="L25" s="11"/>
      <c r="M25" s="11"/>
      <c r="N25" s="11"/>
      <c r="O25" s="11"/>
      <c r="P25" s="11"/>
      <c r="Q25" s="11"/>
      <c r="R25" s="687">
        <f>基礎数値!D7</f>
        <v>0</v>
      </c>
      <c r="S25" s="687"/>
      <c r="T25" s="687"/>
      <c r="U25" s="687"/>
      <c r="V25" s="687"/>
      <c r="W25" s="687"/>
      <c r="X25" s="11" t="s">
        <v>148</v>
      </c>
      <c r="Y25" s="19" t="s">
        <v>147</v>
      </c>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0"/>
      <c r="AZ25" s="9"/>
    </row>
    <row r="26" spans="2:52" ht="13.5" customHeight="1" thickBot="1">
      <c r="B26" s="666"/>
      <c r="C26" s="666"/>
      <c r="D26" s="670"/>
      <c r="E26" s="13"/>
      <c r="F26" s="12"/>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0"/>
      <c r="AZ26" s="9"/>
    </row>
    <row r="27" spans="2:52" ht="13.5" customHeight="1" thickTop="1" thickBot="1">
      <c r="B27" s="666"/>
      <c r="C27" s="666"/>
      <c r="D27" s="670"/>
      <c r="E27" s="13" t="s">
        <v>83</v>
      </c>
      <c r="F27" s="12"/>
      <c r="G27" s="11"/>
      <c r="H27" s="11"/>
      <c r="I27" s="11"/>
      <c r="J27" s="11"/>
      <c r="K27" s="11"/>
      <c r="L27" s="11"/>
      <c r="M27" s="11"/>
      <c r="N27" s="11"/>
      <c r="O27" s="11"/>
      <c r="P27" s="11"/>
      <c r="Q27" s="11"/>
      <c r="R27" s="667">
        <f>ROUNDDOWN((AK21-R24-R25)*100/103,0)</f>
        <v>0</v>
      </c>
      <c r="S27" s="668"/>
      <c r="T27" s="668"/>
      <c r="U27" s="668"/>
      <c r="V27" s="668"/>
      <c r="W27" s="669"/>
      <c r="X27" s="11" t="s">
        <v>146</v>
      </c>
      <c r="Y27" s="19" t="s">
        <v>145</v>
      </c>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0"/>
      <c r="AZ27" s="9" t="s">
        <v>144</v>
      </c>
    </row>
    <row r="28" spans="2:52" ht="13.5" customHeight="1" thickTop="1" thickBot="1">
      <c r="B28" s="666"/>
      <c r="C28" s="666"/>
      <c r="D28" s="670"/>
      <c r="E28" s="13"/>
      <c r="F28" s="12"/>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0"/>
      <c r="AZ28" s="9"/>
    </row>
    <row r="29" spans="2:52" ht="13.5" customHeight="1" thickTop="1" thickBot="1">
      <c r="B29" s="666"/>
      <c r="C29" s="666"/>
      <c r="D29" s="670"/>
      <c r="E29" s="13" t="s">
        <v>143</v>
      </c>
      <c r="F29" s="12"/>
      <c r="G29" s="11"/>
      <c r="H29" s="11"/>
      <c r="I29" s="11"/>
      <c r="J29" s="11"/>
      <c r="K29" s="11"/>
      <c r="L29" s="11"/>
      <c r="M29" s="11"/>
      <c r="N29" s="11"/>
      <c r="O29" s="11"/>
      <c r="P29" s="11"/>
      <c r="Q29" s="11"/>
      <c r="R29" s="667">
        <f>ROUNDDOWN((AK21-R24)*100/103,-3)</f>
        <v>0</v>
      </c>
      <c r="S29" s="668"/>
      <c r="T29" s="668"/>
      <c r="U29" s="668"/>
      <c r="V29" s="668"/>
      <c r="W29" s="669"/>
      <c r="X29" s="11" t="s">
        <v>142</v>
      </c>
      <c r="Y29" s="19" t="s">
        <v>141</v>
      </c>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0"/>
      <c r="AZ29" s="9" t="s">
        <v>140</v>
      </c>
    </row>
    <row r="30" spans="2:52" ht="13.5" customHeight="1" thickTop="1" thickBot="1">
      <c r="B30" s="666"/>
      <c r="C30" s="666"/>
      <c r="D30" s="670"/>
      <c r="E30" s="13"/>
      <c r="F30" s="12"/>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0"/>
      <c r="AZ30" s="9"/>
    </row>
    <row r="31" spans="2:52" ht="13.5" customHeight="1" thickTop="1" thickBot="1">
      <c r="B31" s="666"/>
      <c r="C31" s="666"/>
      <c r="D31" s="670"/>
      <c r="E31" s="13" t="s">
        <v>139</v>
      </c>
      <c r="F31" s="12"/>
      <c r="G31" s="11"/>
      <c r="H31" s="11"/>
      <c r="I31" s="11"/>
      <c r="J31" s="11"/>
      <c r="K31" s="11"/>
      <c r="L31" s="11"/>
      <c r="M31" s="11"/>
      <c r="N31" s="11"/>
      <c r="O31" s="11"/>
      <c r="P31" s="11"/>
      <c r="Q31" s="11"/>
      <c r="R31" s="667">
        <f>ROUNDDOWN(R29*3/100,0)</f>
        <v>0</v>
      </c>
      <c r="S31" s="668"/>
      <c r="T31" s="668"/>
      <c r="U31" s="668"/>
      <c r="V31" s="668"/>
      <c r="W31" s="669"/>
      <c r="X31" s="11" t="s">
        <v>138</v>
      </c>
      <c r="Y31" s="19" t="s">
        <v>137</v>
      </c>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0"/>
      <c r="AZ31" s="9" t="s">
        <v>136</v>
      </c>
    </row>
    <row r="32" spans="2:52" ht="13.5" customHeight="1" thickTop="1">
      <c r="B32" s="671"/>
      <c r="C32" s="671"/>
      <c r="D32" s="681"/>
      <c r="E32" s="8"/>
      <c r="F32" s="7"/>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5"/>
      <c r="AZ32" s="4"/>
    </row>
    <row r="33" spans="2:52" ht="13.5" customHeight="1">
      <c r="B33" s="682" t="s">
        <v>65</v>
      </c>
      <c r="C33" s="682">
        <v>1</v>
      </c>
      <c r="D33" s="682" t="s">
        <v>135</v>
      </c>
      <c r="E33" s="18"/>
      <c r="F33" s="17"/>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5"/>
      <c r="AZ33" s="14"/>
    </row>
    <row r="34" spans="2:52" ht="13.5" customHeight="1">
      <c r="B34" s="666"/>
      <c r="C34" s="666"/>
      <c r="D34" s="666"/>
      <c r="E34" s="13" t="s">
        <v>134</v>
      </c>
      <c r="F34" s="12"/>
      <c r="G34" s="11"/>
      <c r="H34" s="11"/>
      <c r="I34" s="11"/>
      <c r="J34" s="11"/>
      <c r="K34" s="11"/>
      <c r="L34" s="11"/>
      <c r="M34" s="11"/>
      <c r="N34" s="11"/>
      <c r="O34" s="11"/>
      <c r="P34" s="11"/>
      <c r="Q34" s="11"/>
      <c r="R34" s="32"/>
      <c r="S34" s="32"/>
      <c r="T34" s="32"/>
      <c r="U34" s="32"/>
      <c r="V34" s="32"/>
      <c r="W34" s="32"/>
      <c r="X34" s="29"/>
      <c r="Y34" s="30"/>
      <c r="Z34" s="29"/>
      <c r="AA34" s="29"/>
      <c r="AB34" s="29"/>
      <c r="AC34" s="29"/>
      <c r="AD34" s="29"/>
      <c r="AE34" s="29"/>
      <c r="AF34" s="29"/>
      <c r="AG34" s="29"/>
      <c r="AH34" s="29"/>
      <c r="AI34" s="29"/>
      <c r="AJ34" s="29"/>
      <c r="AK34" s="29"/>
      <c r="AL34" s="29"/>
      <c r="AM34" s="29"/>
      <c r="AN34" s="29"/>
      <c r="AO34" s="29"/>
      <c r="AP34" s="29"/>
      <c r="AQ34" s="29"/>
      <c r="AR34" s="11"/>
      <c r="AS34" s="11"/>
      <c r="AT34" s="11"/>
      <c r="AU34" s="11"/>
      <c r="AV34" s="11"/>
      <c r="AW34" s="11"/>
      <c r="AX34" s="11"/>
      <c r="AY34" s="10"/>
      <c r="AZ34" s="9"/>
    </row>
    <row r="35" spans="2:52" ht="13.5" customHeight="1">
      <c r="B35" s="666"/>
      <c r="C35" s="666"/>
      <c r="D35" s="666"/>
      <c r="E35" s="13" t="s">
        <v>133</v>
      </c>
      <c r="F35" s="12"/>
      <c r="G35" s="11"/>
      <c r="H35" s="11"/>
      <c r="I35" s="11"/>
      <c r="J35" s="11"/>
      <c r="K35" s="11"/>
      <c r="L35" s="11"/>
      <c r="M35" s="11"/>
      <c r="N35" s="11"/>
      <c r="O35" s="11"/>
      <c r="P35" s="11"/>
      <c r="Q35" s="11"/>
      <c r="R35" s="32"/>
      <c r="S35" s="32"/>
      <c r="T35" s="32"/>
      <c r="U35" s="32"/>
      <c r="V35" s="32"/>
      <c r="W35" s="32"/>
      <c r="X35" s="29"/>
      <c r="Y35" s="30"/>
      <c r="Z35" s="29"/>
      <c r="AA35" s="29"/>
      <c r="AB35" s="29"/>
      <c r="AC35" s="29"/>
      <c r="AD35" s="29"/>
      <c r="AE35" s="29"/>
      <c r="AF35" s="29"/>
      <c r="AG35" s="29"/>
      <c r="AH35" s="29"/>
      <c r="AI35" s="29"/>
      <c r="AJ35" s="29"/>
      <c r="AK35" s="29"/>
      <c r="AL35" s="29"/>
      <c r="AM35" s="29"/>
      <c r="AN35" s="29"/>
      <c r="AO35" s="29"/>
      <c r="AP35" s="29"/>
      <c r="AQ35" s="29"/>
      <c r="AR35" s="11"/>
      <c r="AS35" s="11"/>
      <c r="AT35" s="11"/>
      <c r="AU35" s="11"/>
      <c r="AV35" s="11"/>
      <c r="AW35" s="11"/>
      <c r="AX35" s="11"/>
      <c r="AY35" s="10"/>
      <c r="AZ35" s="9"/>
    </row>
    <row r="36" spans="2:52" ht="13.5" customHeight="1">
      <c r="B36" s="666"/>
      <c r="C36" s="666"/>
      <c r="D36" s="666"/>
      <c r="E36" s="13" t="s">
        <v>132</v>
      </c>
      <c r="F36" s="12"/>
      <c r="G36" s="11"/>
      <c r="H36" s="11"/>
      <c r="I36" s="11"/>
      <c r="J36" s="11"/>
      <c r="K36" s="11"/>
      <c r="L36" s="11"/>
      <c r="M36" s="11"/>
      <c r="N36" s="11"/>
      <c r="O36" s="11"/>
      <c r="P36" s="11"/>
      <c r="Q36" s="11"/>
      <c r="R36" s="32"/>
      <c r="S36" s="32"/>
      <c r="T36" s="32"/>
      <c r="U36" s="32"/>
      <c r="V36" s="32"/>
      <c r="W36" s="32"/>
      <c r="X36" s="29"/>
      <c r="Y36" s="30"/>
      <c r="Z36" s="29"/>
      <c r="AA36" s="29"/>
      <c r="AB36" s="29"/>
      <c r="AC36" s="29"/>
      <c r="AD36" s="29"/>
      <c r="AE36" s="29"/>
      <c r="AF36" s="29"/>
      <c r="AG36" s="29"/>
      <c r="AH36" s="29"/>
      <c r="AI36" s="29"/>
      <c r="AJ36" s="29"/>
      <c r="AK36" s="29"/>
      <c r="AL36" s="29"/>
      <c r="AM36" s="29"/>
      <c r="AN36" s="29"/>
      <c r="AO36" s="29"/>
      <c r="AP36" s="29"/>
      <c r="AQ36" s="29"/>
      <c r="AR36" s="11"/>
      <c r="AS36" s="11"/>
      <c r="AT36" s="11"/>
      <c r="AU36" s="11"/>
      <c r="AV36" s="11"/>
      <c r="AW36" s="11"/>
      <c r="AX36" s="11"/>
      <c r="AY36" s="10"/>
      <c r="AZ36" s="670"/>
    </row>
    <row r="37" spans="2:52" ht="13.5" customHeight="1">
      <c r="B37" s="666"/>
      <c r="C37" s="666"/>
      <c r="D37" s="666"/>
      <c r="E37" s="13"/>
      <c r="F37" s="12"/>
      <c r="G37" s="11"/>
      <c r="H37" s="11"/>
      <c r="I37" s="11"/>
      <c r="J37" s="11"/>
      <c r="K37" s="11"/>
      <c r="L37" s="11"/>
      <c r="M37" s="11"/>
      <c r="N37" s="11"/>
      <c r="O37" s="11"/>
      <c r="P37" s="11"/>
      <c r="Q37" s="11"/>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11"/>
      <c r="AS37" s="11"/>
      <c r="AT37" s="11"/>
      <c r="AU37" s="11"/>
      <c r="AV37" s="11"/>
      <c r="AW37" s="11"/>
      <c r="AX37" s="11"/>
      <c r="AY37" s="10"/>
      <c r="AZ37" s="670"/>
    </row>
    <row r="38" spans="2:52" ht="13.5" customHeight="1">
      <c r="B38" s="666"/>
      <c r="C38" s="666"/>
      <c r="D38" s="666"/>
      <c r="E38" s="28" t="s">
        <v>131</v>
      </c>
      <c r="F38" s="12"/>
      <c r="G38" s="11"/>
      <c r="H38" s="11"/>
      <c r="I38" s="11"/>
      <c r="J38" s="11"/>
      <c r="K38" s="11"/>
      <c r="L38" s="11"/>
      <c r="M38" s="11"/>
      <c r="N38" s="11"/>
      <c r="O38" s="11"/>
      <c r="P38" s="11"/>
      <c r="Q38" s="11"/>
      <c r="R38" s="32"/>
      <c r="S38" s="32"/>
      <c r="T38" s="32"/>
      <c r="U38" s="32"/>
      <c r="V38" s="32"/>
      <c r="W38" s="32"/>
      <c r="X38" s="29"/>
      <c r="Y38" s="30"/>
      <c r="Z38" s="29"/>
      <c r="AA38" s="29"/>
      <c r="AB38" s="29"/>
      <c r="AC38" s="29"/>
      <c r="AD38" s="29"/>
      <c r="AE38" s="29"/>
      <c r="AF38" s="29"/>
      <c r="AG38" s="29"/>
      <c r="AH38" s="29"/>
      <c r="AI38" s="29"/>
      <c r="AJ38" s="29"/>
      <c r="AK38" s="29"/>
      <c r="AL38" s="29"/>
      <c r="AM38" s="29"/>
      <c r="AN38" s="29"/>
      <c r="AO38" s="29"/>
      <c r="AP38" s="29"/>
      <c r="AQ38" s="29"/>
      <c r="AR38" s="11"/>
      <c r="AS38" s="11"/>
      <c r="AT38" s="11"/>
      <c r="AU38" s="11"/>
      <c r="AV38" s="11"/>
      <c r="AW38" s="11"/>
      <c r="AX38" s="11"/>
      <c r="AY38" s="10"/>
      <c r="AZ38" s="9"/>
    </row>
    <row r="39" spans="2:52" ht="13.5" customHeight="1">
      <c r="B39" s="666"/>
      <c r="C39" s="666"/>
      <c r="D39" s="666"/>
      <c r="E39" s="28" t="s">
        <v>130</v>
      </c>
      <c r="F39" s="12"/>
      <c r="G39" s="11"/>
      <c r="H39" s="11"/>
      <c r="I39" s="11"/>
      <c r="J39" s="11"/>
      <c r="K39" s="11"/>
      <c r="L39" s="11"/>
      <c r="M39" s="11"/>
      <c r="N39" s="11"/>
      <c r="O39" s="11"/>
      <c r="P39" s="11"/>
      <c r="Q39" s="11"/>
      <c r="R39" s="32"/>
      <c r="S39" s="32"/>
      <c r="T39" s="32"/>
      <c r="U39" s="32"/>
      <c r="V39" s="32"/>
      <c r="W39" s="32"/>
      <c r="X39" s="29"/>
      <c r="Y39" s="30"/>
      <c r="Z39" s="29"/>
      <c r="AA39" s="29"/>
      <c r="AB39" s="29"/>
      <c r="AC39" s="29"/>
      <c r="AD39" s="29"/>
      <c r="AE39" s="29"/>
      <c r="AF39" s="29"/>
      <c r="AG39" s="29"/>
      <c r="AH39" s="29"/>
      <c r="AI39" s="29"/>
      <c r="AJ39" s="29"/>
      <c r="AK39" s="32"/>
      <c r="AL39" s="32"/>
      <c r="AM39" s="32"/>
      <c r="AN39" s="32"/>
      <c r="AO39" s="32"/>
      <c r="AP39" s="32"/>
      <c r="AQ39" s="29"/>
      <c r="AR39" s="11"/>
      <c r="AS39" s="11"/>
      <c r="AT39" s="11"/>
      <c r="AU39" s="11"/>
      <c r="AV39" s="11"/>
      <c r="AW39" s="11"/>
      <c r="AX39" s="11"/>
      <c r="AY39" s="10"/>
      <c r="AZ39" s="9"/>
    </row>
    <row r="40" spans="2:52" ht="13.5" customHeight="1">
      <c r="B40" s="666"/>
      <c r="C40" s="666"/>
      <c r="D40" s="666"/>
      <c r="E40" s="13" t="s">
        <v>129</v>
      </c>
      <c r="F40" s="12"/>
      <c r="G40" s="11"/>
      <c r="H40" s="11"/>
      <c r="I40" s="11"/>
      <c r="J40" s="11"/>
      <c r="K40" s="11"/>
      <c r="L40" s="11"/>
      <c r="M40" s="11"/>
      <c r="N40" s="11"/>
      <c r="O40" s="11"/>
      <c r="P40" s="11"/>
      <c r="Q40" s="11"/>
      <c r="R40" s="32"/>
      <c r="S40" s="32"/>
      <c r="T40" s="32"/>
      <c r="U40" s="32"/>
      <c r="V40" s="32"/>
      <c r="W40" s="32"/>
      <c r="X40" s="29"/>
      <c r="Y40" s="30"/>
      <c r="Z40" s="29"/>
      <c r="AA40" s="29"/>
      <c r="AB40" s="29"/>
      <c r="AC40" s="29"/>
      <c r="AD40" s="29"/>
      <c r="AE40" s="29"/>
      <c r="AF40" s="29"/>
      <c r="AG40" s="29"/>
      <c r="AH40" s="29"/>
      <c r="AI40" s="29"/>
      <c r="AJ40" s="29"/>
      <c r="AK40" s="29"/>
      <c r="AL40" s="29"/>
      <c r="AM40" s="29"/>
      <c r="AN40" s="29"/>
      <c r="AO40" s="29"/>
      <c r="AP40" s="29"/>
      <c r="AQ40" s="29"/>
      <c r="AR40" s="11"/>
      <c r="AS40" s="11"/>
      <c r="AT40" s="11"/>
      <c r="AU40" s="11"/>
      <c r="AV40" s="11"/>
      <c r="AW40" s="11"/>
      <c r="AX40" s="11"/>
      <c r="AY40" s="10"/>
      <c r="AZ40" s="670"/>
    </row>
    <row r="41" spans="2:52" ht="13.5" customHeight="1">
      <c r="B41" s="666"/>
      <c r="C41" s="666"/>
      <c r="D41" s="666"/>
      <c r="E41" s="13"/>
      <c r="F41" s="12"/>
      <c r="G41" s="11"/>
      <c r="H41" s="11"/>
      <c r="I41" s="11"/>
      <c r="J41" s="11"/>
      <c r="K41" s="11"/>
      <c r="L41" s="11"/>
      <c r="M41" s="11"/>
      <c r="N41" s="11"/>
      <c r="O41" s="11"/>
      <c r="P41" s="11"/>
      <c r="Q41" s="11"/>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11"/>
      <c r="AS41" s="11"/>
      <c r="AT41" s="11"/>
      <c r="AU41" s="11"/>
      <c r="AV41" s="11"/>
      <c r="AW41" s="11"/>
      <c r="AX41" s="11"/>
      <c r="AY41" s="10"/>
      <c r="AZ41" s="666"/>
    </row>
    <row r="42" spans="2:52" ht="13.5" customHeight="1">
      <c r="B42" s="666"/>
      <c r="C42" s="666"/>
      <c r="D42" s="666"/>
      <c r="E42" s="13" t="s">
        <v>65</v>
      </c>
      <c r="F42" s="12"/>
      <c r="G42" s="11"/>
      <c r="H42" s="11"/>
      <c r="I42" s="11"/>
      <c r="J42" s="11"/>
      <c r="K42" s="11"/>
      <c r="L42" s="11"/>
      <c r="M42" s="11"/>
      <c r="N42" s="11"/>
      <c r="O42" s="11"/>
      <c r="P42" s="11"/>
      <c r="Q42" s="11"/>
      <c r="R42" s="31"/>
      <c r="S42" s="31"/>
      <c r="T42" s="31"/>
      <c r="U42" s="31"/>
      <c r="V42" s="31"/>
      <c r="W42" s="31"/>
      <c r="X42" s="29"/>
      <c r="Y42" s="30"/>
      <c r="Z42" s="29"/>
      <c r="AA42" s="29"/>
      <c r="AB42" s="29"/>
      <c r="AC42" s="29"/>
      <c r="AD42" s="29"/>
      <c r="AE42" s="29"/>
      <c r="AF42" s="29"/>
      <c r="AG42" s="29"/>
      <c r="AH42" s="29"/>
      <c r="AI42" s="29"/>
      <c r="AJ42" s="29"/>
      <c r="AK42" s="29"/>
      <c r="AL42" s="29"/>
      <c r="AM42" s="29"/>
      <c r="AN42" s="29"/>
      <c r="AO42" s="29"/>
      <c r="AP42" s="29"/>
      <c r="AQ42" s="29"/>
      <c r="AR42" s="11"/>
      <c r="AS42" s="11"/>
      <c r="AT42" s="11"/>
      <c r="AU42" s="11"/>
      <c r="AV42" s="11"/>
      <c r="AW42" s="11"/>
      <c r="AX42" s="11"/>
      <c r="AY42" s="10"/>
      <c r="AZ42" s="9"/>
    </row>
    <row r="43" spans="2:52" ht="13.5" customHeight="1">
      <c r="B43" s="671"/>
      <c r="C43" s="671"/>
      <c r="D43" s="671"/>
      <c r="E43" s="8"/>
      <c r="F43" s="7"/>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5"/>
      <c r="AZ43" s="4"/>
    </row>
    <row r="44" spans="2:52" ht="13.5" customHeight="1">
      <c r="B44" s="682" t="s">
        <v>128</v>
      </c>
      <c r="C44" s="682">
        <v>1</v>
      </c>
      <c r="D44" s="680" t="s">
        <v>127</v>
      </c>
      <c r="E44" s="691" t="s">
        <v>126</v>
      </c>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92"/>
      <c r="AM44" s="692"/>
      <c r="AN44" s="692"/>
      <c r="AO44" s="692"/>
      <c r="AP44" s="692"/>
      <c r="AQ44" s="692"/>
      <c r="AR44" s="692"/>
      <c r="AS44" s="692"/>
      <c r="AT44" s="692"/>
      <c r="AU44" s="692"/>
      <c r="AV44" s="692"/>
      <c r="AW44" s="692"/>
      <c r="AX44" s="692"/>
      <c r="AY44" s="684"/>
      <c r="AZ44" s="14"/>
    </row>
    <row r="45" spans="2:52" ht="13.5" customHeight="1">
      <c r="B45" s="666"/>
      <c r="C45" s="666"/>
      <c r="D45" s="670"/>
      <c r="E45" s="689"/>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8"/>
      <c r="AU45" s="678"/>
      <c r="AV45" s="678"/>
      <c r="AW45" s="678"/>
      <c r="AX45" s="678"/>
      <c r="AY45" s="685"/>
      <c r="AZ45" s="9"/>
    </row>
    <row r="46" spans="2:52" ht="13.5" customHeight="1">
      <c r="B46" s="666"/>
      <c r="C46" s="671"/>
      <c r="D46" s="681"/>
      <c r="E46" s="693"/>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4"/>
      <c r="AO46" s="694"/>
      <c r="AP46" s="694"/>
      <c r="AQ46" s="694"/>
      <c r="AR46" s="694"/>
      <c r="AS46" s="694"/>
      <c r="AT46" s="694"/>
      <c r="AU46" s="694"/>
      <c r="AV46" s="694"/>
      <c r="AW46" s="694"/>
      <c r="AX46" s="694"/>
      <c r="AY46" s="686"/>
      <c r="AZ46" s="4"/>
    </row>
    <row r="47" spans="2:52" ht="13.5" customHeight="1">
      <c r="B47" s="666"/>
      <c r="C47" s="682">
        <v>2</v>
      </c>
      <c r="D47" s="680" t="s">
        <v>125</v>
      </c>
      <c r="E47" s="691" t="s">
        <v>124</v>
      </c>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W47" s="692"/>
      <c r="AX47" s="692"/>
      <c r="AY47" s="684"/>
      <c r="AZ47" s="14"/>
    </row>
    <row r="48" spans="2:52" ht="13.5" customHeight="1">
      <c r="B48" s="666"/>
      <c r="C48" s="666"/>
      <c r="D48" s="670"/>
      <c r="E48" s="689"/>
      <c r="F48" s="678"/>
      <c r="G48" s="678"/>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c r="AE48" s="678"/>
      <c r="AF48" s="678"/>
      <c r="AG48" s="678"/>
      <c r="AH48" s="678"/>
      <c r="AI48" s="678"/>
      <c r="AJ48" s="678"/>
      <c r="AK48" s="678"/>
      <c r="AL48" s="678"/>
      <c r="AM48" s="678"/>
      <c r="AN48" s="678"/>
      <c r="AO48" s="678"/>
      <c r="AP48" s="678"/>
      <c r="AQ48" s="678"/>
      <c r="AR48" s="678"/>
      <c r="AS48" s="678"/>
      <c r="AT48" s="678"/>
      <c r="AU48" s="678"/>
      <c r="AV48" s="678"/>
      <c r="AW48" s="678"/>
      <c r="AX48" s="678"/>
      <c r="AY48" s="685"/>
      <c r="AZ48" s="9"/>
    </row>
    <row r="49" spans="2:52" ht="13.5" customHeight="1">
      <c r="B49" s="666"/>
      <c r="C49" s="671"/>
      <c r="D49" s="681"/>
      <c r="E49" s="689"/>
      <c r="F49" s="678"/>
      <c r="G49" s="678"/>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c r="AY49" s="685"/>
      <c r="AZ49" s="9"/>
    </row>
    <row r="50" spans="2:52" ht="13.5" customHeight="1">
      <c r="B50" s="666"/>
      <c r="C50" s="682">
        <v>3</v>
      </c>
      <c r="D50" s="690" t="s">
        <v>123</v>
      </c>
      <c r="E50" s="689"/>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c r="AY50" s="685"/>
      <c r="AZ50" s="9"/>
    </row>
    <row r="51" spans="2:52" ht="13.5" customHeight="1">
      <c r="B51" s="666"/>
      <c r="C51" s="671"/>
      <c r="D51" s="690"/>
      <c r="E51" s="693"/>
      <c r="F51" s="694"/>
      <c r="G51" s="694"/>
      <c r="H51" s="694"/>
      <c r="I51" s="694"/>
      <c r="J51" s="694"/>
      <c r="K51" s="694"/>
      <c r="L51" s="694"/>
      <c r="M51" s="694"/>
      <c r="N51" s="694"/>
      <c r="O51" s="694"/>
      <c r="P51" s="694"/>
      <c r="Q51" s="694"/>
      <c r="R51" s="694"/>
      <c r="S51" s="694"/>
      <c r="T51" s="694"/>
      <c r="U51" s="694"/>
      <c r="V51" s="694"/>
      <c r="W51" s="694"/>
      <c r="X51" s="694"/>
      <c r="Y51" s="694"/>
      <c r="Z51" s="694"/>
      <c r="AA51" s="694"/>
      <c r="AB51" s="694"/>
      <c r="AC51" s="694"/>
      <c r="AD51" s="694"/>
      <c r="AE51" s="694"/>
      <c r="AF51" s="694"/>
      <c r="AG51" s="694"/>
      <c r="AH51" s="694"/>
      <c r="AI51" s="694"/>
      <c r="AJ51" s="694"/>
      <c r="AK51" s="694"/>
      <c r="AL51" s="694"/>
      <c r="AM51" s="694"/>
      <c r="AN51" s="694"/>
      <c r="AO51" s="694"/>
      <c r="AP51" s="694"/>
      <c r="AQ51" s="694"/>
      <c r="AR51" s="694"/>
      <c r="AS51" s="694"/>
      <c r="AT51" s="694"/>
      <c r="AU51" s="694"/>
      <c r="AV51" s="694"/>
      <c r="AW51" s="694"/>
      <c r="AX51" s="694"/>
      <c r="AY51" s="686"/>
      <c r="AZ51" s="4"/>
    </row>
    <row r="52" spans="2:52" ht="13.5" customHeight="1">
      <c r="B52" s="666"/>
      <c r="C52" s="682">
        <v>4</v>
      </c>
      <c r="D52" s="690" t="s">
        <v>122</v>
      </c>
      <c r="E52" s="688" t="s">
        <v>121</v>
      </c>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9"/>
    </row>
    <row r="53" spans="2:52" ht="13.5" customHeight="1">
      <c r="B53" s="666"/>
      <c r="C53" s="671"/>
      <c r="D53" s="690"/>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688"/>
      <c r="AX53" s="688"/>
      <c r="AY53" s="688"/>
      <c r="AZ53" s="9"/>
    </row>
    <row r="54" spans="2:52" ht="13.5" customHeight="1">
      <c r="B54" s="666"/>
      <c r="C54" s="682">
        <v>5</v>
      </c>
      <c r="D54" s="690" t="s">
        <v>120</v>
      </c>
      <c r="E54" s="688" t="s">
        <v>119</v>
      </c>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88"/>
      <c r="AH54" s="688"/>
      <c r="AI54" s="688"/>
      <c r="AJ54" s="688"/>
      <c r="AK54" s="688"/>
      <c r="AL54" s="688"/>
      <c r="AM54" s="688"/>
      <c r="AN54" s="688"/>
      <c r="AO54" s="688"/>
      <c r="AP54" s="688"/>
      <c r="AQ54" s="688"/>
      <c r="AR54" s="688"/>
      <c r="AS54" s="688"/>
      <c r="AT54" s="688"/>
      <c r="AU54" s="688"/>
      <c r="AV54" s="688"/>
      <c r="AW54" s="688"/>
      <c r="AX54" s="688"/>
      <c r="AY54" s="688"/>
      <c r="AZ54" s="14"/>
    </row>
    <row r="55" spans="2:52" ht="13.5" customHeight="1">
      <c r="B55" s="666"/>
      <c r="C55" s="671"/>
      <c r="D55" s="690"/>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688"/>
      <c r="AC55" s="688"/>
      <c r="AD55" s="688"/>
      <c r="AE55" s="688"/>
      <c r="AF55" s="688"/>
      <c r="AG55" s="688"/>
      <c r="AH55" s="688"/>
      <c r="AI55" s="688"/>
      <c r="AJ55" s="688"/>
      <c r="AK55" s="688"/>
      <c r="AL55" s="688"/>
      <c r="AM55" s="688"/>
      <c r="AN55" s="688"/>
      <c r="AO55" s="688"/>
      <c r="AP55" s="688"/>
      <c r="AQ55" s="688"/>
      <c r="AR55" s="688"/>
      <c r="AS55" s="688"/>
      <c r="AT55" s="688"/>
      <c r="AU55" s="688"/>
      <c r="AV55" s="688"/>
      <c r="AW55" s="688"/>
      <c r="AX55" s="688"/>
      <c r="AY55" s="688"/>
      <c r="AZ55" s="4"/>
    </row>
    <row r="56" spans="2:52" ht="13.5" customHeight="1">
      <c r="B56" s="666"/>
      <c r="C56" s="682">
        <v>6</v>
      </c>
      <c r="D56" s="690" t="s">
        <v>118</v>
      </c>
      <c r="E56" s="688" t="s">
        <v>94</v>
      </c>
      <c r="F56" s="688"/>
      <c r="G56" s="688"/>
      <c r="H56" s="688"/>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688"/>
      <c r="AX56" s="688"/>
      <c r="AY56" s="688"/>
      <c r="AZ56" s="9"/>
    </row>
    <row r="57" spans="2:52" ht="13.5" customHeight="1">
      <c r="B57" s="666"/>
      <c r="C57" s="671"/>
      <c r="D57" s="690"/>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688"/>
      <c r="AC57" s="688"/>
      <c r="AD57" s="688"/>
      <c r="AE57" s="688"/>
      <c r="AF57" s="688"/>
      <c r="AG57" s="688"/>
      <c r="AH57" s="688"/>
      <c r="AI57" s="688"/>
      <c r="AJ57" s="688"/>
      <c r="AK57" s="688"/>
      <c r="AL57" s="688"/>
      <c r="AM57" s="688"/>
      <c r="AN57" s="688"/>
      <c r="AO57" s="688"/>
      <c r="AP57" s="688"/>
      <c r="AQ57" s="688"/>
      <c r="AR57" s="688"/>
      <c r="AS57" s="688"/>
      <c r="AT57" s="688"/>
      <c r="AU57" s="688"/>
      <c r="AV57" s="688"/>
      <c r="AW57" s="688"/>
      <c r="AX57" s="688"/>
      <c r="AY57" s="688"/>
      <c r="AZ57" s="9"/>
    </row>
    <row r="58" spans="2:52" ht="13.5" customHeight="1">
      <c r="B58" s="666"/>
      <c r="C58" s="682">
        <v>7</v>
      </c>
      <c r="D58" s="680" t="s">
        <v>117</v>
      </c>
      <c r="E58" s="18"/>
      <c r="F58" s="17"/>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5"/>
      <c r="AZ58" s="14"/>
    </row>
    <row r="59" spans="2:52" ht="13.5" customHeight="1">
      <c r="B59" s="666"/>
      <c r="C59" s="666"/>
      <c r="D59" s="670"/>
      <c r="E59" s="28" t="s">
        <v>116</v>
      </c>
      <c r="F59" s="12"/>
      <c r="G59" s="12"/>
      <c r="H59" s="12"/>
      <c r="I59" s="12"/>
      <c r="J59" s="12"/>
      <c r="K59" s="12"/>
      <c r="L59" s="12"/>
      <c r="M59" s="12"/>
      <c r="N59" s="12"/>
      <c r="O59" s="12"/>
      <c r="P59" s="12"/>
      <c r="Q59" s="11"/>
      <c r="R59" s="687">
        <f>基礎数値!D11</f>
        <v>0</v>
      </c>
      <c r="S59" s="687"/>
      <c r="T59" s="687"/>
      <c r="U59" s="687"/>
      <c r="V59" s="687"/>
      <c r="W59" s="687"/>
      <c r="X59" s="11"/>
      <c r="Y59" s="19" t="s">
        <v>114</v>
      </c>
      <c r="Z59" s="11"/>
      <c r="AA59" s="11"/>
      <c r="AB59" s="11"/>
      <c r="AC59" s="11"/>
      <c r="AD59" s="11"/>
      <c r="AE59" s="11"/>
      <c r="AF59" s="11"/>
      <c r="AG59" s="11"/>
      <c r="AH59" s="11"/>
      <c r="AI59" s="12"/>
      <c r="AJ59" s="11"/>
      <c r="AK59" s="11"/>
      <c r="AL59" s="11"/>
      <c r="AM59" s="11"/>
      <c r="AN59" s="11"/>
      <c r="AO59" s="11"/>
      <c r="AP59" s="11"/>
      <c r="AQ59" s="11"/>
      <c r="AR59" s="11"/>
      <c r="AS59" s="11"/>
      <c r="AT59" s="11"/>
      <c r="AU59" s="11"/>
      <c r="AV59" s="11"/>
      <c r="AW59" s="11"/>
      <c r="AX59" s="11"/>
      <c r="AY59" s="10"/>
      <c r="AZ59" s="9"/>
    </row>
    <row r="60" spans="2:52" ht="13.5" customHeight="1">
      <c r="B60" s="666"/>
      <c r="C60" s="666"/>
      <c r="D60" s="670"/>
      <c r="E60" s="28" t="s">
        <v>115</v>
      </c>
      <c r="F60" s="11"/>
      <c r="G60" s="11"/>
      <c r="H60" s="11"/>
      <c r="I60" s="11"/>
      <c r="J60" s="11"/>
      <c r="K60" s="11"/>
      <c r="L60" s="11"/>
      <c r="M60" s="11"/>
      <c r="N60" s="11"/>
      <c r="O60" s="11"/>
      <c r="P60" s="11"/>
      <c r="Q60" s="11"/>
      <c r="R60" s="687">
        <f>基礎数値!D12</f>
        <v>0</v>
      </c>
      <c r="S60" s="687"/>
      <c r="T60" s="687"/>
      <c r="U60" s="687"/>
      <c r="V60" s="687"/>
      <c r="W60" s="687"/>
      <c r="X60" s="11"/>
      <c r="Y60" s="19" t="s">
        <v>114</v>
      </c>
      <c r="Z60" s="11"/>
      <c r="AA60" s="11"/>
      <c r="AB60" s="11"/>
      <c r="AC60" s="11"/>
      <c r="AD60" s="11"/>
      <c r="AE60" s="11"/>
      <c r="AF60" s="11"/>
      <c r="AG60" s="11"/>
      <c r="AH60" s="11"/>
      <c r="AI60" s="11"/>
      <c r="AJ60" s="11" t="s">
        <v>85</v>
      </c>
      <c r="AK60" s="665">
        <f>R59+R60</f>
        <v>0</v>
      </c>
      <c r="AL60" s="665"/>
      <c r="AM60" s="665"/>
      <c r="AN60" s="665"/>
      <c r="AO60" s="665"/>
      <c r="AP60" s="665"/>
      <c r="AQ60" s="11" t="s">
        <v>113</v>
      </c>
      <c r="AR60" s="11"/>
      <c r="AS60" s="11"/>
      <c r="AT60" s="11"/>
      <c r="AU60" s="11"/>
      <c r="AV60" s="11"/>
      <c r="AW60" s="11"/>
      <c r="AX60" s="11"/>
      <c r="AY60" s="10"/>
      <c r="AZ60" s="9"/>
    </row>
    <row r="61" spans="2:52" ht="13.5" customHeight="1">
      <c r="B61" s="666"/>
      <c r="C61" s="666"/>
      <c r="D61" s="670"/>
      <c r="E61" s="13"/>
      <c r="F61" s="12"/>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0"/>
      <c r="AZ61" s="9"/>
    </row>
    <row r="62" spans="2:52" ht="13.5" customHeight="1">
      <c r="B62" s="666"/>
      <c r="C62" s="666"/>
      <c r="D62" s="670"/>
      <c r="E62" s="513"/>
      <c r="F62" s="12"/>
      <c r="G62" s="510"/>
      <c r="H62" s="510"/>
      <c r="I62" s="510"/>
      <c r="J62" s="510"/>
      <c r="K62" s="510"/>
      <c r="L62" s="510"/>
      <c r="M62" s="510"/>
      <c r="N62" s="510"/>
      <c r="O62" s="510"/>
      <c r="P62" s="510"/>
      <c r="Q62" s="510"/>
      <c r="R62" s="510"/>
      <c r="S62" s="510"/>
      <c r="T62" s="510"/>
      <c r="U62" s="510"/>
      <c r="V62" s="510"/>
      <c r="W62" s="510"/>
      <c r="X62" s="510"/>
      <c r="Y62" s="510"/>
      <c r="Z62" s="510"/>
      <c r="AA62" s="510"/>
      <c r="AB62" s="510"/>
      <c r="AC62" s="510"/>
      <c r="AD62" s="510"/>
      <c r="AE62" s="510"/>
      <c r="AF62" s="510"/>
      <c r="AG62" s="510"/>
      <c r="AH62" s="510"/>
      <c r="AI62" s="510"/>
      <c r="AJ62" s="510"/>
      <c r="AK62" s="510"/>
      <c r="AL62" s="510"/>
      <c r="AM62" s="510"/>
      <c r="AN62" s="510"/>
      <c r="AO62" s="510"/>
      <c r="AP62" s="510"/>
      <c r="AQ62" s="510"/>
      <c r="AR62" s="510"/>
      <c r="AS62" s="510"/>
      <c r="AT62" s="510"/>
      <c r="AU62" s="510"/>
      <c r="AV62" s="510"/>
      <c r="AW62" s="510"/>
      <c r="AX62" s="510"/>
      <c r="AY62" s="512"/>
      <c r="AZ62" s="509"/>
    </row>
    <row r="63" spans="2:52" ht="13.5" customHeight="1">
      <c r="B63" s="666"/>
      <c r="C63" s="666"/>
      <c r="D63" s="670"/>
      <c r="E63" s="513"/>
      <c r="F63" s="12"/>
      <c r="G63" s="510"/>
      <c r="H63" s="510"/>
      <c r="I63" s="510"/>
      <c r="J63" s="510"/>
      <c r="K63" s="510"/>
      <c r="L63" s="510"/>
      <c r="M63" s="510"/>
      <c r="N63" s="510"/>
      <c r="O63" s="510"/>
      <c r="P63" s="510"/>
      <c r="Q63" s="510"/>
      <c r="R63" s="510"/>
      <c r="S63" s="510"/>
      <c r="T63" s="510"/>
      <c r="U63" s="510"/>
      <c r="V63" s="510"/>
      <c r="W63" s="510"/>
      <c r="X63" s="510"/>
      <c r="Y63" s="510"/>
      <c r="Z63" s="510"/>
      <c r="AA63" s="510"/>
      <c r="AB63" s="510"/>
      <c r="AC63" s="510"/>
      <c r="AD63" s="510"/>
      <c r="AE63" s="510"/>
      <c r="AF63" s="510"/>
      <c r="AG63" s="510"/>
      <c r="AH63" s="510"/>
      <c r="AI63" s="510"/>
      <c r="AJ63" s="510"/>
      <c r="AK63" s="510"/>
      <c r="AL63" s="510"/>
      <c r="AM63" s="510"/>
      <c r="AN63" s="510"/>
      <c r="AO63" s="510"/>
      <c r="AP63" s="510"/>
      <c r="AQ63" s="510"/>
      <c r="AR63" s="510"/>
      <c r="AS63" s="510"/>
      <c r="AT63" s="510"/>
      <c r="AU63" s="510"/>
      <c r="AV63" s="510"/>
      <c r="AW63" s="510"/>
      <c r="AX63" s="510"/>
      <c r="AY63" s="512"/>
      <c r="AZ63" s="509"/>
    </row>
    <row r="64" spans="2:52" ht="13.5" customHeight="1">
      <c r="B64" s="666"/>
      <c r="C64" s="666"/>
      <c r="D64" s="670"/>
      <c r="E64" s="28" t="s">
        <v>112</v>
      </c>
      <c r="F64" s="12"/>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0"/>
      <c r="AZ64" s="9"/>
    </row>
    <row r="65" spans="2:52" ht="13.5" customHeight="1">
      <c r="B65" s="666"/>
      <c r="C65" s="666"/>
      <c r="D65" s="670"/>
      <c r="E65" s="13"/>
      <c r="F65" s="12"/>
      <c r="G65" s="11"/>
      <c r="H65" s="12" t="s">
        <v>111</v>
      </c>
      <c r="I65" s="11"/>
      <c r="J65" s="11"/>
      <c r="K65" s="11"/>
      <c r="L65" s="11"/>
      <c r="M65" s="11"/>
      <c r="N65" s="11"/>
      <c r="O65" s="11"/>
      <c r="P65" s="11"/>
      <c r="Q65" s="11"/>
      <c r="R65" s="687">
        <f>基礎数値!D14</f>
        <v>0</v>
      </c>
      <c r="S65" s="687"/>
      <c r="T65" s="687"/>
      <c r="U65" s="687"/>
      <c r="V65" s="687"/>
      <c r="W65" s="687"/>
      <c r="X65" s="11" t="s">
        <v>110</v>
      </c>
      <c r="Y65" s="19" t="s">
        <v>109</v>
      </c>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0"/>
      <c r="AZ65" s="9"/>
    </row>
    <row r="66" spans="2:52" ht="13.5" customHeight="1">
      <c r="B66" s="666"/>
      <c r="C66" s="666"/>
      <c r="D66" s="670"/>
      <c r="E66" s="13"/>
      <c r="F66" s="12"/>
      <c r="G66" s="11"/>
      <c r="H66" s="12" t="s">
        <v>108</v>
      </c>
      <c r="I66" s="11"/>
      <c r="J66" s="11"/>
      <c r="K66" s="11"/>
      <c r="L66" s="11"/>
      <c r="M66" s="11"/>
      <c r="N66" s="11"/>
      <c r="O66" s="11"/>
      <c r="P66" s="11"/>
      <c r="Q66" s="11"/>
      <c r="R66" s="695">
        <f>R24</f>
        <v>0</v>
      </c>
      <c r="S66" s="695"/>
      <c r="T66" s="695"/>
      <c r="U66" s="695"/>
      <c r="V66" s="695"/>
      <c r="W66" s="695"/>
      <c r="X66" s="11"/>
      <c r="Y66" s="19" t="s">
        <v>107</v>
      </c>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0"/>
      <c r="AZ66" s="9"/>
    </row>
    <row r="67" spans="2:52" ht="13.5" customHeight="1" thickBot="1">
      <c r="B67" s="666"/>
      <c r="C67" s="666"/>
      <c r="D67" s="670"/>
      <c r="E67" s="13"/>
      <c r="F67" s="12"/>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0"/>
      <c r="AZ67" s="9"/>
    </row>
    <row r="68" spans="2:52" ht="13.5" customHeight="1" thickTop="1" thickBot="1">
      <c r="B68" s="666"/>
      <c r="C68" s="666"/>
      <c r="D68" s="670"/>
      <c r="E68" s="28" t="s">
        <v>106</v>
      </c>
      <c r="F68" s="12"/>
      <c r="G68" s="11"/>
      <c r="H68" s="11"/>
      <c r="I68" s="11"/>
      <c r="J68" s="11"/>
      <c r="K68" s="11"/>
      <c r="L68" s="11"/>
      <c r="M68" s="11"/>
      <c r="N68" s="11"/>
      <c r="O68" s="11"/>
      <c r="P68" s="11"/>
      <c r="Q68" s="11"/>
      <c r="R68" s="11"/>
      <c r="S68" s="11"/>
      <c r="T68" s="675">
        <f>AK60-R65-R66</f>
        <v>0</v>
      </c>
      <c r="U68" s="676"/>
      <c r="V68" s="676"/>
      <c r="W68" s="676"/>
      <c r="X68" s="676"/>
      <c r="Y68" s="677"/>
      <c r="Z68" s="11"/>
      <c r="AA68" s="19" t="s">
        <v>105</v>
      </c>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0"/>
      <c r="AZ68" s="9" t="s">
        <v>104</v>
      </c>
    </row>
    <row r="69" spans="2:52" ht="13.5" customHeight="1" thickTop="1" thickBot="1">
      <c r="B69" s="666"/>
      <c r="C69" s="666"/>
      <c r="D69" s="670"/>
      <c r="E69" s="13"/>
      <c r="F69" s="12"/>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0"/>
      <c r="AZ69" s="9"/>
    </row>
    <row r="70" spans="2:52" ht="13.5" customHeight="1" thickTop="1" thickBot="1">
      <c r="B70" s="666"/>
      <c r="C70" s="666"/>
      <c r="D70" s="670"/>
      <c r="E70" s="28" t="s">
        <v>103</v>
      </c>
      <c r="F70" s="12"/>
      <c r="G70" s="11"/>
      <c r="H70" s="11"/>
      <c r="I70" s="11"/>
      <c r="J70" s="11"/>
      <c r="K70" s="11"/>
      <c r="L70" s="11"/>
      <c r="M70" s="11"/>
      <c r="N70" s="11"/>
      <c r="O70" s="11"/>
      <c r="P70" s="11"/>
      <c r="Q70" s="11"/>
      <c r="R70" s="11"/>
      <c r="S70" s="11"/>
      <c r="T70" s="675">
        <f>ROUNDDOWN((AK60-R65-R66)*3/103,0)</f>
        <v>0</v>
      </c>
      <c r="U70" s="676"/>
      <c r="V70" s="676"/>
      <c r="W70" s="676"/>
      <c r="X70" s="676"/>
      <c r="Y70" s="677"/>
      <c r="Z70" s="482" t="s">
        <v>102</v>
      </c>
      <c r="AA70" s="483" t="s">
        <v>805</v>
      </c>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0"/>
      <c r="AZ70" s="9" t="s">
        <v>101</v>
      </c>
    </row>
    <row r="71" spans="2:52" ht="13.5" customHeight="1" thickTop="1">
      <c r="B71" s="671"/>
      <c r="C71" s="671"/>
      <c r="D71" s="681"/>
      <c r="E71" s="8"/>
      <c r="F71" s="7"/>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5"/>
      <c r="AZ71" s="4"/>
    </row>
    <row r="72" spans="2:52" ht="13.5" customHeight="1">
      <c r="B72" s="680" t="s">
        <v>100</v>
      </c>
      <c r="C72" s="682">
        <v>1</v>
      </c>
      <c r="D72" s="690" t="s">
        <v>99</v>
      </c>
      <c r="E72" s="688" t="s">
        <v>98</v>
      </c>
      <c r="F72" s="688"/>
      <c r="G72" s="688"/>
      <c r="H72" s="688"/>
      <c r="I72" s="688"/>
      <c r="J72" s="688"/>
      <c r="K72" s="688"/>
      <c r="L72" s="688"/>
      <c r="M72" s="688"/>
      <c r="N72" s="688"/>
      <c r="O72" s="688"/>
      <c r="P72" s="688"/>
      <c r="Q72" s="688"/>
      <c r="R72" s="688"/>
      <c r="S72" s="688"/>
      <c r="T72" s="688"/>
      <c r="U72" s="688"/>
      <c r="V72" s="688"/>
      <c r="W72" s="688"/>
      <c r="X72" s="688"/>
      <c r="Y72" s="688"/>
      <c r="Z72" s="688"/>
      <c r="AA72" s="688"/>
      <c r="AB72" s="688"/>
      <c r="AC72" s="688"/>
      <c r="AD72" s="688"/>
      <c r="AE72" s="688"/>
      <c r="AF72" s="688"/>
      <c r="AG72" s="688"/>
      <c r="AH72" s="688"/>
      <c r="AI72" s="688"/>
      <c r="AJ72" s="688"/>
      <c r="AK72" s="688"/>
      <c r="AL72" s="688"/>
      <c r="AM72" s="688"/>
      <c r="AN72" s="688"/>
      <c r="AO72" s="688"/>
      <c r="AP72" s="688"/>
      <c r="AQ72" s="688"/>
      <c r="AR72" s="688"/>
      <c r="AS72" s="688"/>
      <c r="AT72" s="688"/>
      <c r="AU72" s="688"/>
      <c r="AV72" s="688"/>
      <c r="AW72" s="688"/>
      <c r="AX72" s="688"/>
      <c r="AY72" s="688"/>
      <c r="AZ72" s="14"/>
    </row>
    <row r="73" spans="2:52" ht="13.5" customHeight="1">
      <c r="B73" s="670"/>
      <c r="C73" s="671"/>
      <c r="D73" s="690"/>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688"/>
      <c r="AC73" s="688"/>
      <c r="AD73" s="688"/>
      <c r="AE73" s="688"/>
      <c r="AF73" s="688"/>
      <c r="AG73" s="688"/>
      <c r="AH73" s="688"/>
      <c r="AI73" s="688"/>
      <c r="AJ73" s="688"/>
      <c r="AK73" s="688"/>
      <c r="AL73" s="688"/>
      <c r="AM73" s="688"/>
      <c r="AN73" s="688"/>
      <c r="AO73" s="688"/>
      <c r="AP73" s="688"/>
      <c r="AQ73" s="688"/>
      <c r="AR73" s="688"/>
      <c r="AS73" s="688"/>
      <c r="AT73" s="688"/>
      <c r="AU73" s="688"/>
      <c r="AV73" s="688"/>
      <c r="AW73" s="688"/>
      <c r="AX73" s="688"/>
      <c r="AY73" s="688"/>
      <c r="AZ73" s="9"/>
    </row>
    <row r="74" spans="2:52" ht="13.5" customHeight="1">
      <c r="B74" s="670"/>
      <c r="C74" s="682">
        <v>2</v>
      </c>
      <c r="D74" s="690" t="s">
        <v>97</v>
      </c>
      <c r="E74" s="688" t="s">
        <v>96</v>
      </c>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9"/>
    </row>
    <row r="75" spans="2:52" ht="13.5" customHeight="1">
      <c r="B75" s="670"/>
      <c r="C75" s="666"/>
      <c r="D75" s="690"/>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688"/>
      <c r="AC75" s="688"/>
      <c r="AD75" s="688"/>
      <c r="AE75" s="688"/>
      <c r="AF75" s="688"/>
      <c r="AG75" s="688"/>
      <c r="AH75" s="688"/>
      <c r="AI75" s="688"/>
      <c r="AJ75" s="688"/>
      <c r="AK75" s="688"/>
      <c r="AL75" s="688"/>
      <c r="AM75" s="688"/>
      <c r="AN75" s="688"/>
      <c r="AO75" s="688"/>
      <c r="AP75" s="688"/>
      <c r="AQ75" s="688"/>
      <c r="AR75" s="688"/>
      <c r="AS75" s="688"/>
      <c r="AT75" s="688"/>
      <c r="AU75" s="688"/>
      <c r="AV75" s="688"/>
      <c r="AW75" s="688"/>
      <c r="AX75" s="688"/>
      <c r="AY75" s="688"/>
      <c r="AZ75" s="9"/>
    </row>
    <row r="76" spans="2:52" ht="13.5" customHeight="1">
      <c r="B76" s="670"/>
      <c r="C76" s="671"/>
      <c r="D76" s="690"/>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688"/>
      <c r="AC76" s="688"/>
      <c r="AD76" s="688"/>
      <c r="AE76" s="688"/>
      <c r="AF76" s="688"/>
      <c r="AG76" s="688"/>
      <c r="AH76" s="688"/>
      <c r="AI76" s="688"/>
      <c r="AJ76" s="688"/>
      <c r="AK76" s="688"/>
      <c r="AL76" s="688"/>
      <c r="AM76" s="688"/>
      <c r="AN76" s="688"/>
      <c r="AO76" s="688"/>
      <c r="AP76" s="688"/>
      <c r="AQ76" s="688"/>
      <c r="AR76" s="688"/>
      <c r="AS76" s="688"/>
      <c r="AT76" s="688"/>
      <c r="AU76" s="688"/>
      <c r="AV76" s="688"/>
      <c r="AW76" s="688"/>
      <c r="AX76" s="688"/>
      <c r="AY76" s="688"/>
      <c r="AZ76" s="9"/>
    </row>
    <row r="77" spans="2:52" ht="13.5" customHeight="1">
      <c r="B77" s="670"/>
      <c r="C77" s="682">
        <v>3</v>
      </c>
      <c r="D77" s="690" t="s">
        <v>95</v>
      </c>
      <c r="E77" s="688" t="s">
        <v>94</v>
      </c>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8"/>
      <c r="AN77" s="688"/>
      <c r="AO77" s="688"/>
      <c r="AP77" s="688"/>
      <c r="AQ77" s="688"/>
      <c r="AR77" s="688"/>
      <c r="AS77" s="688"/>
      <c r="AT77" s="688"/>
      <c r="AU77" s="688"/>
      <c r="AV77" s="688"/>
      <c r="AW77" s="688"/>
      <c r="AX77" s="688"/>
      <c r="AY77" s="688"/>
      <c r="AZ77" s="9"/>
    </row>
    <row r="78" spans="2:52" ht="13.5" customHeight="1">
      <c r="B78" s="670"/>
      <c r="C78" s="666"/>
      <c r="D78" s="690"/>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8"/>
      <c r="AN78" s="688"/>
      <c r="AO78" s="688"/>
      <c r="AP78" s="688"/>
      <c r="AQ78" s="688"/>
      <c r="AR78" s="688"/>
      <c r="AS78" s="688"/>
      <c r="AT78" s="688"/>
      <c r="AU78" s="688"/>
      <c r="AV78" s="688"/>
      <c r="AW78" s="688"/>
      <c r="AX78" s="688"/>
      <c r="AY78" s="688"/>
      <c r="AZ78" s="9"/>
    </row>
    <row r="79" spans="2:52" ht="13.5" customHeight="1">
      <c r="B79" s="670"/>
      <c r="C79" s="666"/>
      <c r="D79" s="690"/>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8"/>
      <c r="AN79" s="688"/>
      <c r="AO79" s="688"/>
      <c r="AP79" s="688"/>
      <c r="AQ79" s="688"/>
      <c r="AR79" s="688"/>
      <c r="AS79" s="688"/>
      <c r="AT79" s="688"/>
      <c r="AU79" s="688"/>
      <c r="AV79" s="688"/>
      <c r="AW79" s="688"/>
      <c r="AX79" s="688"/>
      <c r="AY79" s="688"/>
      <c r="AZ79" s="9"/>
    </row>
    <row r="80" spans="2:52" ht="13.5" customHeight="1">
      <c r="B80" s="670"/>
      <c r="C80" s="671"/>
      <c r="D80" s="690"/>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8"/>
      <c r="AN80" s="688"/>
      <c r="AO80" s="688"/>
      <c r="AP80" s="688"/>
      <c r="AQ80" s="688"/>
      <c r="AR80" s="688"/>
      <c r="AS80" s="688"/>
      <c r="AT80" s="688"/>
      <c r="AU80" s="688"/>
      <c r="AV80" s="688"/>
      <c r="AW80" s="688"/>
      <c r="AX80" s="688"/>
      <c r="AY80" s="688"/>
      <c r="AZ80" s="9"/>
    </row>
    <row r="81" spans="2:52" ht="13.5" customHeight="1">
      <c r="B81" s="670"/>
      <c r="C81" s="682">
        <v>4</v>
      </c>
      <c r="D81" s="690" t="s">
        <v>93</v>
      </c>
      <c r="E81" s="688" t="s">
        <v>92</v>
      </c>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8"/>
      <c r="AN81" s="688"/>
      <c r="AO81" s="688"/>
      <c r="AP81" s="688"/>
      <c r="AQ81" s="688"/>
      <c r="AR81" s="688"/>
      <c r="AS81" s="688"/>
      <c r="AT81" s="688"/>
      <c r="AU81" s="688"/>
      <c r="AV81" s="688"/>
      <c r="AW81" s="688"/>
      <c r="AX81" s="688"/>
      <c r="AY81" s="688"/>
      <c r="AZ81" s="9"/>
    </row>
    <row r="82" spans="2:52" ht="13.5" customHeight="1">
      <c r="B82" s="670"/>
      <c r="C82" s="666"/>
      <c r="D82" s="690"/>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88"/>
      <c r="AM82" s="688"/>
      <c r="AN82" s="688"/>
      <c r="AO82" s="688"/>
      <c r="AP82" s="688"/>
      <c r="AQ82" s="688"/>
      <c r="AR82" s="688"/>
      <c r="AS82" s="688"/>
      <c r="AT82" s="688"/>
      <c r="AU82" s="688"/>
      <c r="AV82" s="688"/>
      <c r="AW82" s="688"/>
      <c r="AX82" s="688"/>
      <c r="AY82" s="688"/>
      <c r="AZ82" s="9"/>
    </row>
    <row r="83" spans="2:52" ht="13.5" customHeight="1">
      <c r="B83" s="670"/>
      <c r="C83" s="671"/>
      <c r="D83" s="690"/>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88"/>
      <c r="AM83" s="688"/>
      <c r="AN83" s="688"/>
      <c r="AO83" s="688"/>
      <c r="AP83" s="688"/>
      <c r="AQ83" s="688"/>
      <c r="AR83" s="688"/>
      <c r="AS83" s="688"/>
      <c r="AT83" s="688"/>
      <c r="AU83" s="688"/>
      <c r="AV83" s="688"/>
      <c r="AW83" s="688"/>
      <c r="AX83" s="688"/>
      <c r="AY83" s="688"/>
      <c r="AZ83" s="9"/>
    </row>
    <row r="84" spans="2:52" ht="13.5" customHeight="1">
      <c r="B84" s="670"/>
      <c r="C84" s="682">
        <v>5</v>
      </c>
      <c r="D84" s="690" t="s">
        <v>91</v>
      </c>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688"/>
      <c r="AC84" s="688"/>
      <c r="AD84" s="688"/>
      <c r="AE84" s="688"/>
      <c r="AF84" s="688"/>
      <c r="AG84" s="688"/>
      <c r="AH84" s="688"/>
      <c r="AI84" s="688"/>
      <c r="AJ84" s="688"/>
      <c r="AK84" s="688"/>
      <c r="AL84" s="688"/>
      <c r="AM84" s="688"/>
      <c r="AN84" s="688"/>
      <c r="AO84" s="688"/>
      <c r="AP84" s="688"/>
      <c r="AQ84" s="688"/>
      <c r="AR84" s="688"/>
      <c r="AS84" s="688"/>
      <c r="AT84" s="688"/>
      <c r="AU84" s="688"/>
      <c r="AV84" s="688"/>
      <c r="AW84" s="688"/>
      <c r="AX84" s="688"/>
      <c r="AY84" s="688"/>
      <c r="AZ84" s="9"/>
    </row>
    <row r="85" spans="2:52" ht="13.5" customHeight="1">
      <c r="B85" s="670"/>
      <c r="C85" s="666"/>
      <c r="D85" s="690"/>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688"/>
      <c r="AC85" s="688"/>
      <c r="AD85" s="688"/>
      <c r="AE85" s="688"/>
      <c r="AF85" s="688"/>
      <c r="AG85" s="688"/>
      <c r="AH85" s="688"/>
      <c r="AI85" s="688"/>
      <c r="AJ85" s="688"/>
      <c r="AK85" s="688"/>
      <c r="AL85" s="688"/>
      <c r="AM85" s="688"/>
      <c r="AN85" s="688"/>
      <c r="AO85" s="688"/>
      <c r="AP85" s="688"/>
      <c r="AQ85" s="688"/>
      <c r="AR85" s="688"/>
      <c r="AS85" s="688"/>
      <c r="AT85" s="688"/>
      <c r="AU85" s="688"/>
      <c r="AV85" s="688"/>
      <c r="AW85" s="688"/>
      <c r="AX85" s="688"/>
      <c r="AY85" s="688"/>
      <c r="AZ85" s="9"/>
    </row>
    <row r="86" spans="2:52" ht="13.5" customHeight="1">
      <c r="B86" s="681"/>
      <c r="C86" s="671"/>
      <c r="D86" s="690"/>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688"/>
      <c r="AC86" s="688"/>
      <c r="AD86" s="688"/>
      <c r="AE86" s="688"/>
      <c r="AF86" s="688"/>
      <c r="AG86" s="688"/>
      <c r="AH86" s="688"/>
      <c r="AI86" s="688"/>
      <c r="AJ86" s="688"/>
      <c r="AK86" s="688"/>
      <c r="AL86" s="688"/>
      <c r="AM86" s="688"/>
      <c r="AN86" s="688"/>
      <c r="AO86" s="688"/>
      <c r="AP86" s="688"/>
      <c r="AQ86" s="688"/>
      <c r="AR86" s="688"/>
      <c r="AS86" s="688"/>
      <c r="AT86" s="688"/>
      <c r="AU86" s="688"/>
      <c r="AV86" s="688"/>
      <c r="AW86" s="688"/>
      <c r="AX86" s="688"/>
      <c r="AY86" s="688"/>
      <c r="AZ86" s="4"/>
    </row>
    <row r="87" spans="2:52" ht="13.5" customHeight="1">
      <c r="B87" s="680" t="s">
        <v>90</v>
      </c>
      <c r="C87" s="684">
        <v>1</v>
      </c>
      <c r="D87" s="680" t="s">
        <v>89</v>
      </c>
      <c r="E87" s="18"/>
      <c r="F87" s="17"/>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5"/>
      <c r="AZ87" s="662"/>
    </row>
    <row r="88" spans="2:52" ht="13.5" customHeight="1">
      <c r="B88" s="670"/>
      <c r="C88" s="685"/>
      <c r="D88" s="670"/>
      <c r="E88" s="28" t="s">
        <v>88</v>
      </c>
      <c r="F88" s="12"/>
      <c r="G88" s="12"/>
      <c r="H88" s="12"/>
      <c r="I88" s="12"/>
      <c r="J88" s="12"/>
      <c r="K88" s="12"/>
      <c r="L88" s="12"/>
      <c r="M88" s="12"/>
      <c r="N88" s="12"/>
      <c r="O88" s="12"/>
      <c r="P88" s="687">
        <f>基礎数値!D18</f>
        <v>0</v>
      </c>
      <c r="Q88" s="687"/>
      <c r="R88" s="687"/>
      <c r="S88" s="687"/>
      <c r="T88" s="687"/>
      <c r="U88" s="687"/>
      <c r="V88" s="11"/>
      <c r="W88" s="19" t="s">
        <v>86</v>
      </c>
      <c r="X88" s="11"/>
      <c r="Y88" s="11"/>
      <c r="Z88" s="11"/>
      <c r="AA88" s="11"/>
      <c r="AB88" s="11"/>
      <c r="AC88" s="11"/>
      <c r="AD88" s="11"/>
      <c r="AE88" s="11"/>
      <c r="AF88" s="11"/>
      <c r="AG88" s="11"/>
      <c r="AH88" s="11"/>
      <c r="AI88" s="12"/>
      <c r="AJ88" s="11"/>
      <c r="AK88" s="11"/>
      <c r="AL88" s="11"/>
      <c r="AM88" s="11"/>
      <c r="AN88" s="11"/>
      <c r="AO88" s="11"/>
      <c r="AP88" s="11"/>
      <c r="AQ88" s="11"/>
      <c r="AR88" s="11"/>
      <c r="AS88" s="11"/>
      <c r="AT88" s="11"/>
      <c r="AU88" s="11"/>
      <c r="AV88" s="11"/>
      <c r="AW88" s="11"/>
      <c r="AX88" s="11"/>
      <c r="AY88" s="10"/>
      <c r="AZ88" s="663"/>
    </row>
    <row r="89" spans="2:52" ht="13.5" customHeight="1">
      <c r="B89" s="670"/>
      <c r="C89" s="685"/>
      <c r="D89" s="670"/>
      <c r="E89" s="28" t="s">
        <v>87</v>
      </c>
      <c r="F89" s="11"/>
      <c r="G89" s="11"/>
      <c r="H89" s="11"/>
      <c r="I89" s="11"/>
      <c r="J89" s="11"/>
      <c r="K89" s="11"/>
      <c r="L89" s="11"/>
      <c r="M89" s="11"/>
      <c r="N89" s="11"/>
      <c r="O89" s="11"/>
      <c r="P89" s="687">
        <f>基礎数値!D19</f>
        <v>0</v>
      </c>
      <c r="Q89" s="687"/>
      <c r="R89" s="687"/>
      <c r="S89" s="687"/>
      <c r="T89" s="687"/>
      <c r="U89" s="687"/>
      <c r="V89" s="11"/>
      <c r="W89" s="19" t="s">
        <v>86</v>
      </c>
      <c r="X89" s="11"/>
      <c r="Y89" s="11"/>
      <c r="Z89" s="11"/>
      <c r="AA89" s="11"/>
      <c r="AB89" s="11"/>
      <c r="AC89" s="11"/>
      <c r="AD89" s="11"/>
      <c r="AE89" s="11"/>
      <c r="AF89" s="11"/>
      <c r="AG89" s="11"/>
      <c r="AH89" s="11"/>
      <c r="AI89" s="11"/>
      <c r="AJ89" s="11"/>
      <c r="AK89" s="11"/>
      <c r="AL89" s="11"/>
      <c r="AM89" s="11"/>
      <c r="AN89" s="11"/>
      <c r="AO89" s="11"/>
      <c r="AP89" s="11"/>
      <c r="AQ89" s="11"/>
      <c r="AR89" s="11" t="s">
        <v>85</v>
      </c>
      <c r="AS89" s="665">
        <f>P88+P89</f>
        <v>0</v>
      </c>
      <c r="AT89" s="665"/>
      <c r="AU89" s="665"/>
      <c r="AV89" s="665"/>
      <c r="AW89" s="665"/>
      <c r="AX89" s="665"/>
      <c r="AY89" s="10" t="s">
        <v>84</v>
      </c>
      <c r="AZ89" s="663"/>
    </row>
    <row r="90" spans="2:52" ht="13.5" customHeight="1">
      <c r="B90" s="670"/>
      <c r="C90" s="685"/>
      <c r="D90" s="670"/>
      <c r="E90" s="13"/>
      <c r="F90" s="12"/>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0"/>
      <c r="AZ90" s="663"/>
    </row>
    <row r="91" spans="2:52" ht="13.5" customHeight="1">
      <c r="B91" s="670"/>
      <c r="C91" s="685"/>
      <c r="D91" s="670"/>
      <c r="E91" s="13" t="s">
        <v>83</v>
      </c>
      <c r="F91" s="12"/>
      <c r="G91" s="11"/>
      <c r="H91" s="11"/>
      <c r="I91" s="11"/>
      <c r="J91" s="11"/>
      <c r="K91" s="11"/>
      <c r="L91" s="11"/>
      <c r="M91" s="11"/>
      <c r="N91" s="11"/>
      <c r="O91" s="11"/>
      <c r="P91" s="665">
        <f>ROUNDDOWN(AK21*100/103,0)</f>
        <v>0</v>
      </c>
      <c r="Q91" s="665"/>
      <c r="R91" s="665"/>
      <c r="S91" s="665"/>
      <c r="T91" s="665"/>
      <c r="U91" s="665"/>
      <c r="V91" s="11"/>
      <c r="W91" s="19" t="s">
        <v>82</v>
      </c>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0"/>
      <c r="AZ91" s="663"/>
    </row>
    <row r="92" spans="2:52" ht="13.5" customHeight="1">
      <c r="B92" s="670"/>
      <c r="C92" s="685"/>
      <c r="D92" s="670"/>
      <c r="E92" s="13" t="s">
        <v>81</v>
      </c>
      <c r="F92" s="12"/>
      <c r="G92" s="11"/>
      <c r="H92" s="11"/>
      <c r="I92" s="11"/>
      <c r="J92" s="11"/>
      <c r="K92" s="11"/>
      <c r="L92" s="11"/>
      <c r="M92" s="11"/>
      <c r="N92" s="11"/>
      <c r="O92" s="11"/>
      <c r="P92" s="665"/>
      <c r="Q92" s="665"/>
      <c r="R92" s="665"/>
      <c r="S92" s="665"/>
      <c r="T92" s="665"/>
      <c r="U92" s="665"/>
      <c r="V92" s="11"/>
      <c r="W92" s="19"/>
      <c r="X92" s="11"/>
      <c r="Y92" s="11"/>
      <c r="Z92" s="11"/>
      <c r="AA92" s="11"/>
      <c r="AB92" s="11"/>
      <c r="AC92" s="11"/>
      <c r="AD92" s="11"/>
      <c r="AE92" s="665"/>
      <c r="AF92" s="665"/>
      <c r="AG92" s="665"/>
      <c r="AH92" s="665"/>
      <c r="AI92" s="665"/>
      <c r="AJ92" s="665"/>
      <c r="AK92" s="19"/>
      <c r="AL92" s="11"/>
      <c r="AM92" s="11"/>
      <c r="AN92" s="11"/>
      <c r="AO92" s="11"/>
      <c r="AP92" s="11"/>
      <c r="AQ92" s="11"/>
      <c r="AR92" s="11"/>
      <c r="AS92" s="11"/>
      <c r="AT92" s="11"/>
      <c r="AU92" s="11"/>
      <c r="AV92" s="11"/>
      <c r="AW92" s="11"/>
      <c r="AX92" s="11"/>
      <c r="AY92" s="10"/>
      <c r="AZ92" s="663"/>
    </row>
    <row r="93" spans="2:52" ht="13.5" customHeight="1">
      <c r="B93" s="670"/>
      <c r="C93" s="685"/>
      <c r="D93" s="670"/>
      <c r="E93" s="13" t="s">
        <v>80</v>
      </c>
      <c r="F93" s="12"/>
      <c r="G93" s="11"/>
      <c r="H93" s="11"/>
      <c r="I93" s="11"/>
      <c r="J93" s="11"/>
      <c r="K93" s="11"/>
      <c r="L93" s="11"/>
      <c r="M93" s="11"/>
      <c r="N93" s="11"/>
      <c r="O93" s="11"/>
      <c r="P93" s="665"/>
      <c r="Q93" s="665"/>
      <c r="R93" s="665"/>
      <c r="S93" s="665"/>
      <c r="T93" s="665"/>
      <c r="U93" s="665"/>
      <c r="V93" s="11"/>
      <c r="W93" s="19"/>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0"/>
      <c r="AZ93" s="663"/>
    </row>
    <row r="94" spans="2:52" ht="13.5" customHeight="1" thickBot="1">
      <c r="B94" s="670"/>
      <c r="C94" s="685"/>
      <c r="D94" s="670"/>
      <c r="E94" s="13"/>
      <c r="F94" s="12"/>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0"/>
      <c r="AZ94" s="663"/>
    </row>
    <row r="95" spans="2:52" ht="13.5" customHeight="1" thickTop="1" thickBot="1">
      <c r="B95" s="670"/>
      <c r="C95" s="685"/>
      <c r="D95" s="670"/>
      <c r="E95" s="13" t="s">
        <v>79</v>
      </c>
      <c r="F95" s="12"/>
      <c r="G95" s="11"/>
      <c r="H95" s="11"/>
      <c r="I95" s="11"/>
      <c r="J95" s="11"/>
      <c r="K95" s="11"/>
      <c r="L95" s="11"/>
      <c r="M95" s="11"/>
      <c r="N95" s="11"/>
      <c r="O95" s="11"/>
      <c r="P95" s="672"/>
      <c r="Q95" s="673"/>
      <c r="R95" s="673"/>
      <c r="S95" s="673"/>
      <c r="T95" s="673"/>
      <c r="U95" s="674"/>
      <c r="V95" s="11"/>
      <c r="W95" s="19"/>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0"/>
      <c r="AZ95" s="663"/>
    </row>
    <row r="96" spans="2:52" ht="13.5" customHeight="1" thickTop="1">
      <c r="B96" s="670"/>
      <c r="C96" s="686"/>
      <c r="D96" s="681"/>
      <c r="E96" s="8"/>
      <c r="F96" s="7"/>
      <c r="G96" s="6"/>
      <c r="H96" s="6"/>
      <c r="I96" s="6"/>
      <c r="J96" s="6"/>
      <c r="K96" s="6"/>
      <c r="L96" s="6"/>
      <c r="M96" s="6"/>
      <c r="N96" s="6"/>
      <c r="O96" s="6"/>
      <c r="P96" s="6"/>
      <c r="Q96" s="6"/>
      <c r="R96" s="6"/>
      <c r="S96" s="6"/>
      <c r="T96" s="6"/>
      <c r="U96" s="6"/>
      <c r="V96" s="6"/>
      <c r="W96" s="6"/>
      <c r="X96" s="27"/>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5"/>
      <c r="AZ96" s="664"/>
    </row>
    <row r="97" spans="2:52" ht="13.5" customHeight="1" thickBot="1">
      <c r="B97" s="670"/>
      <c r="C97" s="684">
        <v>2</v>
      </c>
      <c r="D97" s="680" t="s">
        <v>78</v>
      </c>
      <c r="E97" s="18"/>
      <c r="F97" s="17"/>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5"/>
      <c r="AZ97" s="662" t="s">
        <v>77</v>
      </c>
    </row>
    <row r="98" spans="2:52" ht="13.5" customHeight="1" thickTop="1" thickBot="1">
      <c r="B98" s="670"/>
      <c r="C98" s="685"/>
      <c r="D98" s="670"/>
      <c r="E98" s="13" t="s">
        <v>76</v>
      </c>
      <c r="F98" s="12"/>
      <c r="G98" s="11"/>
      <c r="H98" s="11"/>
      <c r="I98" s="11"/>
      <c r="J98" s="11"/>
      <c r="K98" s="11"/>
      <c r="L98" s="11"/>
      <c r="M98" s="11"/>
      <c r="N98" s="11"/>
      <c r="O98" s="11"/>
      <c r="P98" s="11"/>
      <c r="Q98" s="11"/>
      <c r="R98" s="11"/>
      <c r="S98" s="11"/>
      <c r="T98" s="11"/>
      <c r="U98" s="11"/>
      <c r="V98" s="11"/>
      <c r="W98" s="11"/>
      <c r="X98" s="11"/>
      <c r="Y98" s="11"/>
      <c r="Z98" s="667">
        <f>ROUNDDOWN(T70*'(申)計'!R36/'(申)計'!R40,0)</f>
        <v>0</v>
      </c>
      <c r="AA98" s="668"/>
      <c r="AB98" s="668"/>
      <c r="AC98" s="668"/>
      <c r="AD98" s="668"/>
      <c r="AE98" s="669"/>
      <c r="AF98" s="11" t="s">
        <v>75</v>
      </c>
      <c r="AG98" s="19" t="s">
        <v>74</v>
      </c>
      <c r="AH98" s="11"/>
      <c r="AI98" s="11"/>
      <c r="AJ98" s="11"/>
      <c r="AK98" s="11"/>
      <c r="AL98" s="11"/>
      <c r="AM98" s="11"/>
      <c r="AN98" s="11"/>
      <c r="AO98" s="11"/>
      <c r="AP98" s="11"/>
      <c r="AQ98" s="11"/>
      <c r="AR98" s="11"/>
      <c r="AS98" s="11"/>
      <c r="AT98" s="11"/>
      <c r="AU98" s="11"/>
      <c r="AV98" s="11"/>
      <c r="AW98" s="11"/>
      <c r="AX98" s="11"/>
      <c r="AY98" s="10"/>
      <c r="AZ98" s="683"/>
    </row>
    <row r="99" spans="2:52" ht="13.5" customHeight="1" thickTop="1" thickBot="1">
      <c r="B99" s="670"/>
      <c r="C99" s="685"/>
      <c r="D99" s="670"/>
      <c r="E99" s="13"/>
      <c r="F99" s="12"/>
      <c r="G99" s="11"/>
      <c r="H99" s="11"/>
      <c r="I99" s="11"/>
      <c r="J99" s="11"/>
      <c r="K99" s="11"/>
      <c r="L99" s="11"/>
      <c r="M99" s="11"/>
      <c r="N99" s="11"/>
      <c r="O99" s="11"/>
      <c r="P99" s="11"/>
      <c r="Q99" s="11"/>
      <c r="R99" s="11"/>
      <c r="S99" s="11"/>
      <c r="T99" s="11"/>
      <c r="U99" s="26" t="s">
        <v>73</v>
      </c>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0"/>
      <c r="AZ99" s="9"/>
    </row>
    <row r="100" spans="2:52" ht="13.5" customHeight="1" thickTop="1" thickBot="1">
      <c r="B100" s="670"/>
      <c r="C100" s="685"/>
      <c r="D100" s="670"/>
      <c r="E100" s="13" t="s">
        <v>72</v>
      </c>
      <c r="F100" s="12"/>
      <c r="G100" s="11"/>
      <c r="H100" s="11"/>
      <c r="I100" s="11"/>
      <c r="J100" s="11"/>
      <c r="K100" s="11"/>
      <c r="L100" s="11"/>
      <c r="M100" s="11"/>
      <c r="N100" s="11"/>
      <c r="O100" s="11"/>
      <c r="P100" s="11"/>
      <c r="Q100" s="11"/>
      <c r="R100" s="11"/>
      <c r="S100" s="11"/>
      <c r="T100" s="11"/>
      <c r="U100" s="11"/>
      <c r="V100" s="11"/>
      <c r="W100" s="11"/>
      <c r="X100" s="11"/>
      <c r="Y100" s="11"/>
      <c r="Z100" s="667">
        <f>AS89</f>
        <v>0</v>
      </c>
      <c r="AA100" s="668"/>
      <c r="AB100" s="668"/>
      <c r="AC100" s="668"/>
      <c r="AD100" s="668"/>
      <c r="AE100" s="669"/>
      <c r="AF100" s="11"/>
      <c r="AG100" s="19" t="s">
        <v>71</v>
      </c>
      <c r="AH100" s="11"/>
      <c r="AI100" s="11"/>
      <c r="AJ100" s="11"/>
      <c r="AK100" s="11"/>
      <c r="AL100" s="11"/>
      <c r="AM100" s="11"/>
      <c r="AN100" s="11"/>
      <c r="AO100" s="11"/>
      <c r="AP100" s="11"/>
      <c r="AQ100" s="11"/>
      <c r="AR100" s="11"/>
      <c r="AS100" s="11"/>
      <c r="AT100" s="11"/>
      <c r="AU100" s="11"/>
      <c r="AV100" s="11"/>
      <c r="AW100" s="11"/>
      <c r="AX100" s="11"/>
      <c r="AY100" s="10"/>
      <c r="AZ100" s="9" t="s">
        <v>70</v>
      </c>
    </row>
    <row r="101" spans="2:52" ht="13.5" customHeight="1" thickTop="1" thickBot="1">
      <c r="B101" s="670"/>
      <c r="C101" s="685"/>
      <c r="D101" s="670"/>
      <c r="E101" s="25" t="s">
        <v>69</v>
      </c>
      <c r="F101" s="12"/>
      <c r="G101" s="11"/>
      <c r="H101" s="11"/>
      <c r="I101" s="11"/>
      <c r="J101" s="11"/>
      <c r="K101" s="11"/>
      <c r="L101" s="11"/>
      <c r="M101" s="11"/>
      <c r="N101" s="11"/>
      <c r="O101" s="11"/>
      <c r="P101" s="11"/>
      <c r="Q101" s="11"/>
      <c r="R101" s="11"/>
      <c r="S101" s="11"/>
      <c r="T101" s="11"/>
      <c r="U101" s="11"/>
      <c r="V101" s="11"/>
      <c r="W101" s="11"/>
      <c r="X101" s="11"/>
      <c r="Y101" s="11"/>
      <c r="Z101" s="667">
        <f>ROUNDDOWN(Z100*4/105,0)</f>
        <v>0</v>
      </c>
      <c r="AA101" s="668"/>
      <c r="AB101" s="668"/>
      <c r="AC101" s="668"/>
      <c r="AD101" s="668"/>
      <c r="AE101" s="669"/>
      <c r="AF101" s="11" t="s">
        <v>68</v>
      </c>
      <c r="AG101" s="24" t="s">
        <v>67</v>
      </c>
      <c r="AH101" s="11"/>
      <c r="AI101" s="11"/>
      <c r="AJ101" s="11"/>
      <c r="AK101" s="11"/>
      <c r="AL101" s="11"/>
      <c r="AM101" s="11"/>
      <c r="AN101" s="11"/>
      <c r="AO101" s="11"/>
      <c r="AP101" s="11"/>
      <c r="AQ101" s="11"/>
      <c r="AR101" s="11"/>
      <c r="AS101" s="11"/>
      <c r="AT101" s="11"/>
      <c r="AU101" s="11"/>
      <c r="AV101" s="11"/>
      <c r="AW101" s="11"/>
      <c r="AX101" s="11"/>
      <c r="AY101" s="10"/>
      <c r="AZ101" s="9" t="s">
        <v>66</v>
      </c>
    </row>
    <row r="102" spans="2:52" ht="13.5" customHeight="1" thickTop="1" thickBot="1">
      <c r="B102" s="670"/>
      <c r="C102" s="685"/>
      <c r="D102" s="670"/>
      <c r="E102" s="13"/>
      <c r="F102" s="12"/>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0"/>
      <c r="AZ102" s="9"/>
    </row>
    <row r="103" spans="2:52" ht="13.5" customHeight="1" thickTop="1" thickBot="1">
      <c r="B103" s="670"/>
      <c r="C103" s="685"/>
      <c r="D103" s="670"/>
      <c r="E103" s="689" t="s">
        <v>65</v>
      </c>
      <c r="F103" s="678"/>
      <c r="G103" s="678"/>
      <c r="H103" s="678"/>
      <c r="I103" s="678"/>
      <c r="J103" s="678"/>
      <c r="K103" s="678"/>
      <c r="L103" s="678"/>
      <c r="M103" s="678"/>
      <c r="N103" s="678"/>
      <c r="O103" s="678"/>
      <c r="P103" s="678"/>
      <c r="Q103" s="678"/>
      <c r="R103" s="678"/>
      <c r="S103" s="11"/>
      <c r="T103" s="11"/>
      <c r="U103" s="11"/>
      <c r="V103" s="11"/>
      <c r="W103" s="11"/>
      <c r="X103" s="11"/>
      <c r="Y103" s="11"/>
      <c r="Z103" s="667">
        <f>'(申)計'!R36</f>
        <v>18871966907</v>
      </c>
      <c r="AA103" s="668"/>
      <c r="AB103" s="668"/>
      <c r="AC103" s="668"/>
      <c r="AD103" s="668"/>
      <c r="AE103" s="669"/>
      <c r="AF103" s="11"/>
      <c r="AG103" s="678" t="s">
        <v>64</v>
      </c>
      <c r="AH103" s="19" t="s">
        <v>63</v>
      </c>
      <c r="AI103" s="11"/>
      <c r="AJ103" s="11"/>
      <c r="AK103" s="11"/>
      <c r="AL103" s="11"/>
      <c r="AM103" s="11"/>
      <c r="AN103" s="11"/>
      <c r="AO103" s="11"/>
      <c r="AP103" s="11"/>
      <c r="AQ103" s="11"/>
      <c r="AR103" s="11"/>
      <c r="AS103" s="11"/>
      <c r="AT103" s="11"/>
      <c r="AU103" s="11"/>
      <c r="AV103" s="11"/>
      <c r="AW103" s="11"/>
      <c r="AX103" s="11"/>
      <c r="AY103" s="10"/>
      <c r="AZ103" s="666" t="s">
        <v>62</v>
      </c>
    </row>
    <row r="104" spans="2:52" ht="3" customHeight="1" thickTop="1">
      <c r="B104" s="670"/>
      <c r="C104" s="685"/>
      <c r="D104" s="670"/>
      <c r="E104" s="689"/>
      <c r="F104" s="678"/>
      <c r="G104" s="678"/>
      <c r="H104" s="678"/>
      <c r="I104" s="678"/>
      <c r="J104" s="678"/>
      <c r="K104" s="678"/>
      <c r="L104" s="678"/>
      <c r="M104" s="678"/>
      <c r="N104" s="678"/>
      <c r="O104" s="678"/>
      <c r="P104" s="678"/>
      <c r="Q104" s="678"/>
      <c r="R104" s="678"/>
      <c r="S104" s="11"/>
      <c r="T104" s="11"/>
      <c r="U104" s="11"/>
      <c r="V104" s="11"/>
      <c r="W104" s="11"/>
      <c r="X104" s="11"/>
      <c r="Y104" s="6"/>
      <c r="Z104" s="6"/>
      <c r="AA104" s="6"/>
      <c r="AB104" s="6"/>
      <c r="AC104" s="6"/>
      <c r="AD104" s="6"/>
      <c r="AE104" s="6"/>
      <c r="AF104" s="6"/>
      <c r="AG104" s="678"/>
      <c r="AH104" s="11"/>
      <c r="AI104" s="11"/>
      <c r="AJ104" s="11"/>
      <c r="AK104" s="11"/>
      <c r="AL104" s="11"/>
      <c r="AM104" s="11"/>
      <c r="AN104" s="11"/>
      <c r="AO104" s="11"/>
      <c r="AP104" s="11"/>
      <c r="AQ104" s="11"/>
      <c r="AR104" s="11"/>
      <c r="AS104" s="11"/>
      <c r="AT104" s="11"/>
      <c r="AU104" s="11"/>
      <c r="AV104" s="11"/>
      <c r="AW104" s="11"/>
      <c r="AX104" s="11"/>
      <c r="AY104" s="10"/>
      <c r="AZ104" s="666"/>
    </row>
    <row r="105" spans="2:52" ht="3" customHeight="1" thickBot="1">
      <c r="B105" s="670"/>
      <c r="C105" s="685"/>
      <c r="D105" s="670"/>
      <c r="E105" s="689"/>
      <c r="F105" s="678"/>
      <c r="G105" s="678"/>
      <c r="H105" s="678"/>
      <c r="I105" s="678"/>
      <c r="J105" s="678"/>
      <c r="K105" s="678"/>
      <c r="L105" s="678"/>
      <c r="M105" s="678"/>
      <c r="N105" s="678"/>
      <c r="O105" s="678"/>
      <c r="P105" s="678"/>
      <c r="Q105" s="678"/>
      <c r="R105" s="678"/>
      <c r="S105" s="11"/>
      <c r="T105" s="11"/>
      <c r="U105" s="11"/>
      <c r="V105" s="11"/>
      <c r="W105" s="11"/>
      <c r="X105" s="11"/>
      <c r="Y105" s="11"/>
      <c r="Z105" s="11"/>
      <c r="AA105" s="11"/>
      <c r="AB105" s="11"/>
      <c r="AC105" s="11"/>
      <c r="AD105" s="11"/>
      <c r="AE105" s="11"/>
      <c r="AF105" s="11"/>
      <c r="AG105" s="678"/>
      <c r="AH105" s="11"/>
      <c r="AI105" s="11"/>
      <c r="AJ105" s="11"/>
      <c r="AK105" s="11"/>
      <c r="AL105" s="11"/>
      <c r="AM105" s="11"/>
      <c r="AN105" s="11"/>
      <c r="AO105" s="11"/>
      <c r="AP105" s="11"/>
      <c r="AQ105" s="11"/>
      <c r="AR105" s="11"/>
      <c r="AS105" s="11"/>
      <c r="AT105" s="11"/>
      <c r="AU105" s="11"/>
      <c r="AV105" s="11"/>
      <c r="AW105" s="11"/>
      <c r="AX105" s="11"/>
      <c r="AY105" s="10"/>
      <c r="AZ105" s="666"/>
    </row>
    <row r="106" spans="2:52" ht="13.5" customHeight="1" thickTop="1" thickBot="1">
      <c r="B106" s="670"/>
      <c r="C106" s="685"/>
      <c r="D106" s="670"/>
      <c r="E106" s="689"/>
      <c r="F106" s="678"/>
      <c r="G106" s="678"/>
      <c r="H106" s="678"/>
      <c r="I106" s="678"/>
      <c r="J106" s="678"/>
      <c r="K106" s="678"/>
      <c r="L106" s="678"/>
      <c r="M106" s="678"/>
      <c r="N106" s="678"/>
      <c r="O106" s="678"/>
      <c r="P106" s="678"/>
      <c r="Q106" s="678"/>
      <c r="R106" s="678"/>
      <c r="S106" s="11"/>
      <c r="T106" s="11"/>
      <c r="U106" s="11"/>
      <c r="V106" s="11"/>
      <c r="W106" s="11"/>
      <c r="X106" s="11"/>
      <c r="Y106" s="11"/>
      <c r="Z106" s="667">
        <f>'(申)計'!R40</f>
        <v>18940559860</v>
      </c>
      <c r="AA106" s="668"/>
      <c r="AB106" s="668"/>
      <c r="AC106" s="668"/>
      <c r="AD106" s="668"/>
      <c r="AE106" s="669"/>
      <c r="AF106" s="11"/>
      <c r="AG106" s="678"/>
      <c r="AH106" s="19" t="s">
        <v>61</v>
      </c>
      <c r="AI106" s="11"/>
      <c r="AJ106" s="11"/>
      <c r="AK106" s="11"/>
      <c r="AL106" s="11"/>
      <c r="AM106" s="11"/>
      <c r="AN106" s="11"/>
      <c r="AO106" s="11"/>
      <c r="AP106" s="11"/>
      <c r="AQ106" s="11"/>
      <c r="AR106" s="11"/>
      <c r="AS106" s="11"/>
      <c r="AT106" s="11"/>
      <c r="AU106" s="11"/>
      <c r="AV106" s="11"/>
      <c r="AW106" s="11"/>
      <c r="AX106" s="11"/>
      <c r="AY106" s="10"/>
      <c r="AZ106" s="666"/>
    </row>
    <row r="107" spans="2:52" ht="13.5" customHeight="1" thickTop="1" thickBot="1">
      <c r="B107" s="670"/>
      <c r="C107" s="685"/>
      <c r="D107" s="670"/>
      <c r="E107" s="13"/>
      <c r="F107" s="12"/>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0"/>
      <c r="AZ107" s="9"/>
    </row>
    <row r="108" spans="2:52" ht="13.5" customHeight="1" thickTop="1" thickBot="1">
      <c r="B108" s="670"/>
      <c r="C108" s="685"/>
      <c r="D108" s="670"/>
      <c r="E108" s="13" t="s">
        <v>60</v>
      </c>
      <c r="F108" s="12"/>
      <c r="G108" s="11"/>
      <c r="H108" s="11"/>
      <c r="I108" s="11"/>
      <c r="J108" s="11"/>
      <c r="K108" s="11"/>
      <c r="L108" s="11"/>
      <c r="M108" s="11"/>
      <c r="N108" s="11"/>
      <c r="O108" s="11"/>
      <c r="P108" s="11"/>
      <c r="Q108" s="11"/>
      <c r="R108" s="11"/>
      <c r="S108" s="11"/>
      <c r="T108" s="11"/>
      <c r="U108" s="11"/>
      <c r="V108" s="11"/>
      <c r="W108" s="11"/>
      <c r="X108" s="11"/>
      <c r="Y108" s="11"/>
      <c r="Z108" s="667">
        <f>ROUNDDOWN(Z101*Z103/Z106,0)</f>
        <v>0</v>
      </c>
      <c r="AA108" s="668"/>
      <c r="AB108" s="668"/>
      <c r="AC108" s="668"/>
      <c r="AD108" s="668"/>
      <c r="AE108" s="669"/>
      <c r="AF108" s="11" t="s">
        <v>59</v>
      </c>
      <c r="AG108" s="19" t="s">
        <v>58</v>
      </c>
      <c r="AH108" s="11"/>
      <c r="AI108" s="11"/>
      <c r="AJ108" s="11"/>
      <c r="AK108" s="11"/>
      <c r="AL108" s="11"/>
      <c r="AM108" s="11"/>
      <c r="AN108" s="11"/>
      <c r="AO108" s="11"/>
      <c r="AP108" s="11"/>
      <c r="AQ108" s="11"/>
      <c r="AR108" s="11"/>
      <c r="AS108" s="11"/>
      <c r="AT108" s="11"/>
      <c r="AU108" s="11"/>
      <c r="AV108" s="11"/>
      <c r="AW108" s="11"/>
      <c r="AX108" s="11"/>
      <c r="AY108" s="10"/>
      <c r="AZ108" s="9" t="s">
        <v>57</v>
      </c>
    </row>
    <row r="109" spans="2:52" ht="13.5" customHeight="1" thickTop="1">
      <c r="B109" s="670"/>
      <c r="C109" s="685"/>
      <c r="D109" s="670"/>
      <c r="E109" s="13"/>
      <c r="F109" s="12"/>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0"/>
      <c r="AZ109" s="9"/>
    </row>
    <row r="110" spans="2:52" ht="13.5" customHeight="1" thickBot="1">
      <c r="B110" s="670"/>
      <c r="C110" s="685"/>
      <c r="D110" s="670"/>
      <c r="E110" s="13" t="s">
        <v>56</v>
      </c>
      <c r="F110" s="12"/>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0"/>
      <c r="AZ110" s="9"/>
    </row>
    <row r="111" spans="2:52" ht="13.5" customHeight="1" thickTop="1" thickBot="1">
      <c r="B111" s="670"/>
      <c r="C111" s="685"/>
      <c r="D111" s="670"/>
      <c r="E111" s="13"/>
      <c r="F111" s="12" t="s">
        <v>55</v>
      </c>
      <c r="G111" s="11"/>
      <c r="H111" s="11"/>
      <c r="I111" s="11"/>
      <c r="J111" s="11"/>
      <c r="K111" s="11"/>
      <c r="L111" s="11"/>
      <c r="M111" s="11"/>
      <c r="N111" s="11"/>
      <c r="O111" s="11"/>
      <c r="P111" s="11"/>
      <c r="Q111" s="11"/>
      <c r="R111" s="11"/>
      <c r="S111" s="11"/>
      <c r="T111" s="11"/>
      <c r="U111" s="11"/>
      <c r="V111" s="11"/>
      <c r="W111" s="11"/>
      <c r="X111" s="11"/>
      <c r="Y111" s="11"/>
      <c r="Z111" s="11"/>
      <c r="AA111" s="11"/>
      <c r="AB111" s="11"/>
      <c r="AC111" s="667">
        <f>Z98-Z108</f>
        <v>0</v>
      </c>
      <c r="AD111" s="668"/>
      <c r="AE111" s="668"/>
      <c r="AF111" s="668"/>
      <c r="AG111" s="668"/>
      <c r="AH111" s="669"/>
      <c r="AI111" s="11" t="s">
        <v>54</v>
      </c>
      <c r="AJ111" s="19" t="s">
        <v>53</v>
      </c>
      <c r="AK111" s="11"/>
      <c r="AL111" s="11"/>
      <c r="AM111" s="11"/>
      <c r="AN111" s="11"/>
      <c r="AO111" s="11"/>
      <c r="AP111" s="11"/>
      <c r="AQ111" s="11"/>
      <c r="AR111" s="11"/>
      <c r="AS111" s="11"/>
      <c r="AT111" s="11"/>
      <c r="AU111" s="11"/>
      <c r="AV111" s="11"/>
      <c r="AW111" s="11"/>
      <c r="AX111" s="11"/>
      <c r="AY111" s="10"/>
      <c r="AZ111" s="9" t="s">
        <v>52</v>
      </c>
    </row>
    <row r="112" spans="2:52" ht="13.5" customHeight="1" thickTop="1" thickBot="1">
      <c r="B112" s="670"/>
      <c r="C112" s="685"/>
      <c r="D112" s="670"/>
      <c r="E112" s="13"/>
      <c r="F112" s="12"/>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0"/>
      <c r="AZ112" s="9"/>
    </row>
    <row r="113" spans="2:52" ht="13.5" customHeight="1" thickTop="1" thickBot="1">
      <c r="B113" s="670"/>
      <c r="C113" s="685"/>
      <c r="D113" s="670"/>
      <c r="E113" s="13"/>
      <c r="F113" s="678" t="s">
        <v>51</v>
      </c>
      <c r="G113" s="678"/>
      <c r="H113" s="678"/>
      <c r="I113" s="678"/>
      <c r="J113" s="678"/>
      <c r="K113" s="678"/>
      <c r="L113" s="678"/>
      <c r="M113" s="678"/>
      <c r="N113" s="678"/>
      <c r="O113" s="678"/>
      <c r="P113" s="678"/>
      <c r="Q113" s="678"/>
      <c r="R113" s="678"/>
      <c r="S113" s="678"/>
      <c r="T113" s="11"/>
      <c r="U113" s="11"/>
      <c r="V113" s="11"/>
      <c r="W113" s="11"/>
      <c r="X113" s="11"/>
      <c r="Y113" s="11"/>
      <c r="Z113" s="11"/>
      <c r="AA113" s="675">
        <f>'(申)計'!AA113</f>
        <v>0</v>
      </c>
      <c r="AB113" s="676"/>
      <c r="AC113" s="676"/>
      <c r="AD113" s="676"/>
      <c r="AE113" s="676"/>
      <c r="AF113" s="677"/>
      <c r="AG113" s="11"/>
      <c r="AH113" s="678" t="s">
        <v>50</v>
      </c>
      <c r="AI113" s="679" t="s">
        <v>49</v>
      </c>
      <c r="AJ113" s="679"/>
      <c r="AK113" s="679"/>
      <c r="AL113" s="679"/>
      <c r="AM113" s="679"/>
      <c r="AN113" s="679"/>
      <c r="AO113" s="679"/>
      <c r="AP113" s="679"/>
      <c r="AQ113" s="679"/>
      <c r="AR113" s="11"/>
      <c r="AS113" s="11"/>
      <c r="AT113" s="11"/>
      <c r="AU113" s="11"/>
      <c r="AV113" s="11"/>
      <c r="AW113" s="11"/>
      <c r="AX113" s="11"/>
      <c r="AY113" s="10"/>
      <c r="AZ113" s="666" t="s">
        <v>48</v>
      </c>
    </row>
    <row r="114" spans="2:52" ht="3" customHeight="1" thickTop="1">
      <c r="B114" s="670"/>
      <c r="C114" s="685"/>
      <c r="D114" s="670"/>
      <c r="E114" s="13"/>
      <c r="F114" s="678"/>
      <c r="G114" s="678"/>
      <c r="H114" s="678"/>
      <c r="I114" s="678"/>
      <c r="J114" s="678"/>
      <c r="K114" s="678"/>
      <c r="L114" s="678"/>
      <c r="M114" s="678"/>
      <c r="N114" s="678"/>
      <c r="O114" s="678"/>
      <c r="P114" s="678"/>
      <c r="Q114" s="678"/>
      <c r="R114" s="678"/>
      <c r="S114" s="678"/>
      <c r="T114" s="11"/>
      <c r="U114" s="11"/>
      <c r="V114" s="11"/>
      <c r="W114" s="11"/>
      <c r="X114" s="11"/>
      <c r="Y114" s="11"/>
      <c r="Z114" s="6"/>
      <c r="AA114" s="6"/>
      <c r="AB114" s="6"/>
      <c r="AC114" s="6"/>
      <c r="AD114" s="6"/>
      <c r="AE114" s="6"/>
      <c r="AF114" s="6"/>
      <c r="AG114" s="6"/>
      <c r="AH114" s="678"/>
      <c r="AI114" s="679"/>
      <c r="AJ114" s="679"/>
      <c r="AK114" s="679"/>
      <c r="AL114" s="679"/>
      <c r="AM114" s="679"/>
      <c r="AN114" s="679"/>
      <c r="AO114" s="679"/>
      <c r="AP114" s="679"/>
      <c r="AQ114" s="679"/>
      <c r="AR114" s="11"/>
      <c r="AS114" s="11"/>
      <c r="AT114" s="11"/>
      <c r="AU114" s="11"/>
      <c r="AV114" s="11"/>
      <c r="AW114" s="11"/>
      <c r="AX114" s="11"/>
      <c r="AY114" s="10"/>
      <c r="AZ114" s="666"/>
    </row>
    <row r="115" spans="2:52" ht="3" customHeight="1" thickBot="1">
      <c r="B115" s="670"/>
      <c r="C115" s="685"/>
      <c r="D115" s="670"/>
      <c r="E115" s="13"/>
      <c r="F115" s="678"/>
      <c r="G115" s="678"/>
      <c r="H115" s="678"/>
      <c r="I115" s="678"/>
      <c r="J115" s="678"/>
      <c r="K115" s="678"/>
      <c r="L115" s="678"/>
      <c r="M115" s="678"/>
      <c r="N115" s="678"/>
      <c r="O115" s="678"/>
      <c r="P115" s="678"/>
      <c r="Q115" s="678"/>
      <c r="R115" s="678"/>
      <c r="S115" s="678"/>
      <c r="T115" s="11"/>
      <c r="U115" s="11"/>
      <c r="V115" s="11"/>
      <c r="W115" s="11"/>
      <c r="X115" s="11"/>
      <c r="Y115" s="11"/>
      <c r="Z115" s="11"/>
      <c r="AA115" s="11"/>
      <c r="AB115" s="11"/>
      <c r="AC115" s="11"/>
      <c r="AD115" s="11"/>
      <c r="AE115" s="11"/>
      <c r="AF115" s="11"/>
      <c r="AG115" s="11"/>
      <c r="AH115" s="678"/>
      <c r="AI115" s="679"/>
      <c r="AJ115" s="679"/>
      <c r="AK115" s="679"/>
      <c r="AL115" s="679"/>
      <c r="AM115" s="679"/>
      <c r="AN115" s="679"/>
      <c r="AO115" s="679"/>
      <c r="AP115" s="679"/>
      <c r="AQ115" s="679"/>
      <c r="AR115" s="11"/>
      <c r="AS115" s="11"/>
      <c r="AT115" s="11"/>
      <c r="AU115" s="11"/>
      <c r="AV115" s="11"/>
      <c r="AW115" s="11"/>
      <c r="AX115" s="11"/>
      <c r="AY115" s="10"/>
      <c r="AZ115" s="666"/>
    </row>
    <row r="116" spans="2:52" ht="13.5" customHeight="1" thickTop="1" thickBot="1">
      <c r="B116" s="670"/>
      <c r="C116" s="685"/>
      <c r="D116" s="670"/>
      <c r="E116" s="13"/>
      <c r="F116" s="678"/>
      <c r="G116" s="678"/>
      <c r="H116" s="678"/>
      <c r="I116" s="678"/>
      <c r="J116" s="678"/>
      <c r="K116" s="678"/>
      <c r="L116" s="678"/>
      <c r="M116" s="678"/>
      <c r="N116" s="678"/>
      <c r="O116" s="678"/>
      <c r="P116" s="678"/>
      <c r="Q116" s="678"/>
      <c r="R116" s="678"/>
      <c r="S116" s="678"/>
      <c r="T116" s="11"/>
      <c r="U116" s="11"/>
      <c r="V116" s="11"/>
      <c r="W116" s="11"/>
      <c r="X116" s="11"/>
      <c r="Y116" s="11"/>
      <c r="Z116" s="11"/>
      <c r="AA116" s="667">
        <f>'(申)計'!AA116</f>
        <v>18950268779</v>
      </c>
      <c r="AB116" s="668"/>
      <c r="AC116" s="668"/>
      <c r="AD116" s="668"/>
      <c r="AE116" s="668"/>
      <c r="AF116" s="669"/>
      <c r="AG116" s="11"/>
      <c r="AH116" s="678"/>
      <c r="AI116" s="679"/>
      <c r="AJ116" s="679"/>
      <c r="AK116" s="679"/>
      <c r="AL116" s="679"/>
      <c r="AM116" s="679"/>
      <c r="AN116" s="679"/>
      <c r="AO116" s="679"/>
      <c r="AP116" s="679"/>
      <c r="AQ116" s="679"/>
      <c r="AR116" s="11"/>
      <c r="AS116" s="11"/>
      <c r="AT116" s="11"/>
      <c r="AU116" s="11"/>
      <c r="AV116" s="11"/>
      <c r="AW116" s="11"/>
      <c r="AX116" s="11"/>
      <c r="AY116" s="10"/>
      <c r="AZ116" s="666"/>
    </row>
    <row r="117" spans="2:52" ht="13.5" customHeight="1" thickTop="1" thickBot="1">
      <c r="B117" s="670"/>
      <c r="C117" s="685"/>
      <c r="D117" s="670"/>
      <c r="E117" s="13"/>
      <c r="F117" s="12"/>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0"/>
      <c r="AZ117" s="9"/>
    </row>
    <row r="118" spans="2:52" ht="13.5" customHeight="1" thickTop="1" thickBot="1">
      <c r="B118" s="670"/>
      <c r="C118" s="685"/>
      <c r="D118" s="670"/>
      <c r="E118" s="13"/>
      <c r="F118" s="11" t="s">
        <v>47</v>
      </c>
      <c r="G118" s="11"/>
      <c r="H118" s="11"/>
      <c r="I118" s="11"/>
      <c r="J118" s="11"/>
      <c r="K118" s="11"/>
      <c r="L118" s="11"/>
      <c r="M118" s="11"/>
      <c r="N118" s="11"/>
      <c r="O118" s="11"/>
      <c r="P118" s="11"/>
      <c r="Q118" s="11"/>
      <c r="R118" s="11"/>
      <c r="S118" s="11"/>
      <c r="T118" s="11"/>
      <c r="U118" s="11"/>
      <c r="V118" s="11"/>
      <c r="W118" s="11"/>
      <c r="X118" s="11"/>
      <c r="Y118" s="11"/>
      <c r="Z118" s="11"/>
      <c r="AA118" s="667">
        <f>ROUNDDOWN(AC111*AA113/AA116,0)</f>
        <v>0</v>
      </c>
      <c r="AB118" s="668"/>
      <c r="AC118" s="668"/>
      <c r="AD118" s="668"/>
      <c r="AE118" s="668"/>
      <c r="AF118" s="669"/>
      <c r="AG118" s="11" t="s">
        <v>46</v>
      </c>
      <c r="AH118" s="19" t="s">
        <v>45</v>
      </c>
      <c r="AI118" s="11"/>
      <c r="AJ118" s="11"/>
      <c r="AK118" s="11"/>
      <c r="AL118" s="11"/>
      <c r="AM118" s="11"/>
      <c r="AN118" s="11"/>
      <c r="AO118" s="11"/>
      <c r="AP118" s="11"/>
      <c r="AQ118" s="11"/>
      <c r="AR118" s="11"/>
      <c r="AS118" s="11"/>
      <c r="AT118" s="11"/>
      <c r="AU118" s="11"/>
      <c r="AV118" s="11"/>
      <c r="AW118" s="11"/>
      <c r="AX118" s="11"/>
      <c r="AY118" s="10"/>
      <c r="AZ118" s="9" t="s">
        <v>44</v>
      </c>
    </row>
    <row r="119" spans="2:52" ht="13.5" customHeight="1" thickTop="1" thickBot="1">
      <c r="B119" s="670"/>
      <c r="C119" s="685"/>
      <c r="D119" s="670"/>
      <c r="E119" s="13"/>
      <c r="F119" s="12"/>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0"/>
      <c r="AZ119" s="9"/>
    </row>
    <row r="120" spans="2:52" ht="13.5" customHeight="1" thickTop="1" thickBot="1">
      <c r="B120" s="670"/>
      <c r="C120" s="685"/>
      <c r="D120" s="670"/>
      <c r="E120" s="13" t="s">
        <v>43</v>
      </c>
      <c r="F120" s="12"/>
      <c r="G120" s="11"/>
      <c r="H120" s="11"/>
      <c r="I120" s="11"/>
      <c r="J120" s="11"/>
      <c r="K120" s="11"/>
      <c r="L120" s="11"/>
      <c r="M120" s="11"/>
      <c r="N120" s="11"/>
      <c r="O120" s="11"/>
      <c r="P120" s="11"/>
      <c r="Q120" s="11"/>
      <c r="R120" s="11"/>
      <c r="S120" s="11"/>
      <c r="T120" s="11"/>
      <c r="U120" s="11"/>
      <c r="V120" s="11"/>
      <c r="W120" s="11"/>
      <c r="X120" s="11"/>
      <c r="Y120" s="11"/>
      <c r="Z120" s="667">
        <f>Z108+AA118</f>
        <v>0</v>
      </c>
      <c r="AA120" s="668"/>
      <c r="AB120" s="668"/>
      <c r="AC120" s="668"/>
      <c r="AD120" s="668"/>
      <c r="AE120" s="669"/>
      <c r="AF120" s="11" t="s">
        <v>42</v>
      </c>
      <c r="AG120" s="19" t="s">
        <v>41</v>
      </c>
      <c r="AH120" s="11"/>
      <c r="AI120" s="11"/>
      <c r="AJ120" s="11"/>
      <c r="AK120" s="11"/>
      <c r="AL120" s="11"/>
      <c r="AM120" s="11"/>
      <c r="AN120" s="11"/>
      <c r="AO120" s="11"/>
      <c r="AP120" s="11"/>
      <c r="AQ120" s="11"/>
      <c r="AR120" s="11"/>
      <c r="AS120" s="11"/>
      <c r="AT120" s="11"/>
      <c r="AU120" s="11"/>
      <c r="AV120" s="11"/>
      <c r="AW120" s="11"/>
      <c r="AX120" s="11"/>
      <c r="AY120" s="10"/>
      <c r="AZ120" s="9" t="s">
        <v>40</v>
      </c>
    </row>
    <row r="121" spans="2:52" ht="13.5" customHeight="1" thickTop="1" thickBot="1">
      <c r="B121" s="670"/>
      <c r="C121" s="685"/>
      <c r="D121" s="670"/>
      <c r="E121" s="13"/>
      <c r="F121" s="12"/>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0"/>
      <c r="AZ121" s="670" t="s">
        <v>39</v>
      </c>
    </row>
    <row r="122" spans="2:52" ht="13.5" customHeight="1" thickTop="1" thickBot="1">
      <c r="B122" s="670"/>
      <c r="C122" s="685"/>
      <c r="D122" s="670"/>
      <c r="E122" s="13" t="s">
        <v>38</v>
      </c>
      <c r="F122" s="12"/>
      <c r="G122" s="11"/>
      <c r="H122" s="11"/>
      <c r="I122" s="11"/>
      <c r="J122" s="11"/>
      <c r="K122" s="11"/>
      <c r="L122" s="11"/>
      <c r="M122" s="11"/>
      <c r="N122" s="11"/>
      <c r="O122" s="11"/>
      <c r="P122" s="11"/>
      <c r="Q122" s="11"/>
      <c r="R122" s="11"/>
      <c r="S122" s="11"/>
      <c r="T122" s="11"/>
      <c r="U122" s="11"/>
      <c r="V122" s="11"/>
      <c r="W122" s="11"/>
      <c r="X122" s="11"/>
      <c r="Y122" s="11"/>
      <c r="Z122" s="667">
        <f>Z98-Z120</f>
        <v>0</v>
      </c>
      <c r="AA122" s="668"/>
      <c r="AB122" s="668"/>
      <c r="AC122" s="668"/>
      <c r="AD122" s="668"/>
      <c r="AE122" s="669"/>
      <c r="AF122" s="11" t="s">
        <v>37</v>
      </c>
      <c r="AG122" s="19" t="s">
        <v>36</v>
      </c>
      <c r="AH122" s="11"/>
      <c r="AI122" s="11"/>
      <c r="AJ122" s="11"/>
      <c r="AK122" s="11"/>
      <c r="AL122" s="11"/>
      <c r="AM122" s="11"/>
      <c r="AN122" s="11"/>
      <c r="AO122" s="11"/>
      <c r="AP122" s="11"/>
      <c r="AQ122" s="11"/>
      <c r="AR122" s="11"/>
      <c r="AS122" s="11"/>
      <c r="AT122" s="11"/>
      <c r="AU122" s="11"/>
      <c r="AV122" s="11"/>
      <c r="AW122" s="11"/>
      <c r="AX122" s="11"/>
      <c r="AY122" s="10"/>
      <c r="AZ122" s="666"/>
    </row>
    <row r="123" spans="2:52" ht="13.5" customHeight="1" thickTop="1">
      <c r="B123" s="670"/>
      <c r="C123" s="686"/>
      <c r="D123" s="681"/>
      <c r="E123" s="8"/>
      <c r="F123" s="7"/>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5"/>
      <c r="AZ123" s="671"/>
    </row>
    <row r="124" spans="2:52" ht="13.5" customHeight="1">
      <c r="B124" s="670"/>
      <c r="C124" s="14"/>
      <c r="D124" s="23"/>
      <c r="E124" s="18"/>
      <c r="F124" s="17"/>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5"/>
      <c r="AZ124" s="14"/>
    </row>
    <row r="125" spans="2:52" ht="13.5" customHeight="1">
      <c r="B125" s="670"/>
      <c r="C125" s="9"/>
      <c r="D125" s="22"/>
      <c r="E125" s="13"/>
      <c r="F125" s="12"/>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0"/>
      <c r="AZ125" s="9"/>
    </row>
    <row r="126" spans="2:52" ht="13.5" customHeight="1">
      <c r="B126" s="670"/>
      <c r="C126" s="9"/>
      <c r="D126" s="22"/>
      <c r="E126" s="13"/>
      <c r="F126" s="12"/>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0"/>
      <c r="AZ126" s="9"/>
    </row>
    <row r="127" spans="2:52" ht="13.5" customHeight="1">
      <c r="B127" s="670"/>
      <c r="C127" s="9"/>
      <c r="D127" s="22"/>
      <c r="E127" s="13"/>
      <c r="F127" s="12"/>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0"/>
      <c r="AZ127" s="9"/>
    </row>
    <row r="128" spans="2:52" ht="13.5" customHeight="1">
      <c r="B128" s="670"/>
      <c r="C128" s="9"/>
      <c r="D128" s="22"/>
      <c r="E128" s="13"/>
      <c r="F128" s="12"/>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0"/>
      <c r="AZ128" s="9"/>
    </row>
    <row r="129" spans="2:52" ht="13.5" customHeight="1">
      <c r="B129" s="670"/>
      <c r="C129" s="9"/>
      <c r="D129" s="22"/>
      <c r="E129" s="13"/>
      <c r="F129" s="12"/>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0"/>
      <c r="AZ129" s="9"/>
    </row>
    <row r="130" spans="2:52" ht="13.5" customHeight="1">
      <c r="B130" s="681"/>
      <c r="C130" s="4"/>
      <c r="D130" s="21"/>
      <c r="E130" s="8"/>
      <c r="F130" s="7"/>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5"/>
      <c r="AZ130" s="4"/>
    </row>
    <row r="131" spans="2:52" ht="13.5" customHeight="1">
      <c r="B131" s="680" t="s">
        <v>35</v>
      </c>
      <c r="C131" s="682">
        <v>1</v>
      </c>
      <c r="D131" s="682" t="s">
        <v>34</v>
      </c>
      <c r="E131" s="18"/>
      <c r="F131" s="17"/>
      <c r="G131" s="16"/>
      <c r="H131" s="16"/>
      <c r="I131" s="16"/>
      <c r="J131" s="16"/>
      <c r="K131" s="16"/>
      <c r="L131" s="16"/>
      <c r="M131" s="16"/>
      <c r="N131" s="16"/>
      <c r="O131" s="16"/>
      <c r="P131" s="16"/>
      <c r="Q131" s="16"/>
      <c r="R131" s="16"/>
      <c r="S131" s="16"/>
      <c r="T131" s="20"/>
      <c r="U131" s="20"/>
      <c r="V131" s="20"/>
      <c r="W131" s="20"/>
      <c r="X131" s="20"/>
      <c r="Y131" s="20"/>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5"/>
      <c r="AZ131" s="14"/>
    </row>
    <row r="132" spans="2:52" ht="13.5" customHeight="1">
      <c r="B132" s="670"/>
      <c r="C132" s="666"/>
      <c r="D132" s="666"/>
      <c r="E132" s="13" t="s">
        <v>13</v>
      </c>
      <c r="F132" s="12"/>
      <c r="G132" s="11"/>
      <c r="H132" s="11"/>
      <c r="I132" s="11"/>
      <c r="J132" s="11" t="s">
        <v>33</v>
      </c>
      <c r="K132" s="11"/>
      <c r="L132" s="11"/>
      <c r="M132" s="11"/>
      <c r="N132" s="11"/>
      <c r="O132" s="11"/>
      <c r="P132" s="11"/>
      <c r="Q132" s="11"/>
      <c r="R132" s="11"/>
      <c r="S132" s="11"/>
      <c r="T132" s="665">
        <f>Z122</f>
        <v>0</v>
      </c>
      <c r="U132" s="665"/>
      <c r="V132" s="665"/>
      <c r="W132" s="665"/>
      <c r="X132" s="665"/>
      <c r="Y132" s="665"/>
      <c r="Z132" s="11"/>
      <c r="AA132" s="19" t="s">
        <v>32</v>
      </c>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0"/>
      <c r="AZ132" s="9"/>
    </row>
    <row r="133" spans="2:52" ht="13.5" customHeight="1" thickBot="1">
      <c r="B133" s="670"/>
      <c r="C133" s="666"/>
      <c r="D133" s="666"/>
      <c r="E133" s="13"/>
      <c r="F133" s="12"/>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0"/>
      <c r="AZ133" s="9"/>
    </row>
    <row r="134" spans="2:52" ht="13.5" customHeight="1" thickTop="1" thickBot="1">
      <c r="B134" s="670"/>
      <c r="C134" s="666"/>
      <c r="D134" s="666"/>
      <c r="E134" s="13"/>
      <c r="F134" s="12"/>
      <c r="G134" s="11"/>
      <c r="H134" s="11"/>
      <c r="I134" s="11"/>
      <c r="J134" s="11" t="s">
        <v>31</v>
      </c>
      <c r="K134" s="11"/>
      <c r="L134" s="11"/>
      <c r="M134" s="11"/>
      <c r="N134" s="11"/>
      <c r="O134" s="11"/>
      <c r="P134" s="11"/>
      <c r="Q134" s="11"/>
      <c r="R134" s="11"/>
      <c r="S134" s="11"/>
      <c r="T134" s="667">
        <f>ROUNDDOWN(R25*3/103,0)</f>
        <v>0</v>
      </c>
      <c r="U134" s="668"/>
      <c r="V134" s="668"/>
      <c r="W134" s="668"/>
      <c r="X134" s="668"/>
      <c r="Y134" s="669"/>
      <c r="Z134" s="11" t="s">
        <v>30</v>
      </c>
      <c r="AA134" s="19" t="s">
        <v>29</v>
      </c>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0"/>
      <c r="AZ134" s="9" t="s">
        <v>28</v>
      </c>
    </row>
    <row r="135" spans="2:52" ht="13.5" customHeight="1" thickTop="1">
      <c r="B135" s="670"/>
      <c r="C135" s="666"/>
      <c r="D135" s="666"/>
      <c r="E135" s="13"/>
      <c r="F135" s="12"/>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0"/>
      <c r="AZ135" s="9"/>
    </row>
    <row r="136" spans="2:52" ht="13.5" customHeight="1" thickBot="1">
      <c r="B136" s="670"/>
      <c r="C136" s="666"/>
      <c r="D136" s="666"/>
      <c r="E136" s="13"/>
      <c r="F136" s="12"/>
      <c r="G136" s="11"/>
      <c r="H136" s="11"/>
      <c r="I136" s="11"/>
      <c r="J136" s="11" t="s">
        <v>27</v>
      </c>
      <c r="K136" s="11"/>
      <c r="L136" s="11"/>
      <c r="M136" s="11"/>
      <c r="N136" s="11"/>
      <c r="O136" s="11"/>
      <c r="P136" s="11"/>
      <c r="Q136" s="11"/>
      <c r="R136" s="11"/>
      <c r="S136" s="11"/>
      <c r="T136" s="687">
        <f>基礎数値!D17</f>
        <v>0</v>
      </c>
      <c r="U136" s="687"/>
      <c r="V136" s="687"/>
      <c r="W136" s="687"/>
      <c r="X136" s="687"/>
      <c r="Y136" s="687"/>
      <c r="Z136" s="11" t="s">
        <v>26</v>
      </c>
      <c r="AA136" s="19" t="s">
        <v>25</v>
      </c>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0"/>
      <c r="AZ136" s="9"/>
    </row>
    <row r="137" spans="2:52" ht="13.5" customHeight="1" thickTop="1" thickBot="1">
      <c r="B137" s="670"/>
      <c r="C137" s="666"/>
      <c r="D137" s="666"/>
      <c r="E137" s="13"/>
      <c r="F137" s="12"/>
      <c r="G137" s="11"/>
      <c r="H137" s="11"/>
      <c r="I137" s="11"/>
      <c r="J137" s="11" t="s">
        <v>24</v>
      </c>
      <c r="K137" s="11"/>
      <c r="L137" s="11"/>
      <c r="M137" s="11"/>
      <c r="N137" s="11"/>
      <c r="O137" s="11"/>
      <c r="P137" s="11"/>
      <c r="Q137" s="11"/>
      <c r="R137" s="11"/>
      <c r="S137" s="11"/>
      <c r="T137" s="667">
        <f>ROUNDDOWN(T136*3/103,0)</f>
        <v>0</v>
      </c>
      <c r="U137" s="668"/>
      <c r="V137" s="668"/>
      <c r="W137" s="668"/>
      <c r="X137" s="668"/>
      <c r="Y137" s="669"/>
      <c r="Z137" s="11" t="s">
        <v>23</v>
      </c>
      <c r="AA137" s="19" t="s">
        <v>22</v>
      </c>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0"/>
      <c r="AZ137" s="9" t="s">
        <v>21</v>
      </c>
    </row>
    <row r="138" spans="2:52" ht="13.5" customHeight="1" thickTop="1" thickBot="1">
      <c r="B138" s="670"/>
      <c r="C138" s="666"/>
      <c r="D138" s="666"/>
      <c r="E138" s="13"/>
      <c r="F138" s="12"/>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0"/>
      <c r="AZ138" s="9"/>
    </row>
    <row r="139" spans="2:52" ht="13.5" customHeight="1" thickTop="1" thickBot="1">
      <c r="B139" s="670"/>
      <c r="C139" s="666"/>
      <c r="D139" s="666"/>
      <c r="E139" s="13"/>
      <c r="F139" s="12"/>
      <c r="G139" s="11"/>
      <c r="H139" s="11"/>
      <c r="I139" s="11"/>
      <c r="J139" s="11" t="s">
        <v>20</v>
      </c>
      <c r="K139" s="11"/>
      <c r="L139" s="11"/>
      <c r="M139" s="11"/>
      <c r="N139" s="11"/>
      <c r="O139" s="11"/>
      <c r="P139" s="11"/>
      <c r="Q139" s="11"/>
      <c r="R139" s="11"/>
      <c r="S139" s="11"/>
      <c r="T139" s="667">
        <f>T132+T134+T137</f>
        <v>0</v>
      </c>
      <c r="U139" s="668"/>
      <c r="V139" s="668"/>
      <c r="W139" s="668"/>
      <c r="X139" s="668"/>
      <c r="Y139" s="669"/>
      <c r="Z139" s="11" t="s">
        <v>19</v>
      </c>
      <c r="AB139" s="19" t="s">
        <v>18</v>
      </c>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0"/>
      <c r="AZ139" s="9" t="s">
        <v>17</v>
      </c>
    </row>
    <row r="140" spans="2:52" ht="13.5" customHeight="1" thickTop="1">
      <c r="B140" s="670"/>
      <c r="C140" s="671"/>
      <c r="D140" s="671"/>
      <c r="E140" s="8"/>
      <c r="F140" s="7"/>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5"/>
      <c r="AZ140" s="4"/>
    </row>
    <row r="141" spans="2:52" ht="13.5" customHeight="1">
      <c r="B141" s="670"/>
      <c r="C141" s="682">
        <v>2</v>
      </c>
      <c r="D141" s="680" t="s">
        <v>16</v>
      </c>
      <c r="E141" s="18"/>
      <c r="F141" s="17"/>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5"/>
      <c r="AZ141" s="14"/>
    </row>
    <row r="142" spans="2:52" ht="13.5" customHeight="1">
      <c r="B142" s="670"/>
      <c r="C142" s="666"/>
      <c r="D142" s="670"/>
      <c r="E142" s="13" t="s">
        <v>15</v>
      </c>
      <c r="F142" s="12"/>
      <c r="G142" s="11"/>
      <c r="H142" s="11"/>
      <c r="I142" s="11"/>
      <c r="J142" s="11"/>
      <c r="K142" s="11"/>
      <c r="L142" s="11"/>
      <c r="M142" s="11"/>
      <c r="N142" s="11"/>
      <c r="O142" s="11"/>
      <c r="P142" s="11"/>
      <c r="Q142" s="11"/>
      <c r="R142" s="11"/>
      <c r="S142" s="11"/>
      <c r="T142" s="665">
        <f>R31</f>
        <v>0</v>
      </c>
      <c r="U142" s="665"/>
      <c r="V142" s="665"/>
      <c r="W142" s="665"/>
      <c r="X142" s="665"/>
      <c r="Y142" s="665"/>
      <c r="Z142" s="11"/>
      <c r="AA142" s="11"/>
      <c r="AB142" s="19" t="s">
        <v>14</v>
      </c>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0"/>
      <c r="AZ142" s="9"/>
    </row>
    <row r="143" spans="2:52" ht="13.5" customHeight="1" thickBot="1">
      <c r="B143" s="670"/>
      <c r="C143" s="666"/>
      <c r="D143" s="670"/>
      <c r="E143" s="13" t="s">
        <v>13</v>
      </c>
      <c r="F143" s="12"/>
      <c r="G143" s="11"/>
      <c r="H143" s="11"/>
      <c r="I143" s="11"/>
      <c r="J143" s="11"/>
      <c r="K143" s="11"/>
      <c r="L143" s="11"/>
      <c r="M143" s="11"/>
      <c r="N143" s="11"/>
      <c r="O143" s="11"/>
      <c r="P143" s="11"/>
      <c r="Q143" s="11"/>
      <c r="R143" s="11"/>
      <c r="S143" s="11"/>
      <c r="T143" s="665">
        <f>T139</f>
        <v>0</v>
      </c>
      <c r="U143" s="665"/>
      <c r="V143" s="665"/>
      <c r="W143" s="665"/>
      <c r="X143" s="665"/>
      <c r="Y143" s="665"/>
      <c r="Z143" s="11"/>
      <c r="AA143" s="11"/>
      <c r="AB143" s="19" t="s">
        <v>12</v>
      </c>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0"/>
      <c r="AZ143" s="9"/>
    </row>
    <row r="144" spans="2:52" ht="13.5" customHeight="1" thickTop="1" thickBot="1">
      <c r="B144" s="670"/>
      <c r="C144" s="666"/>
      <c r="D144" s="670"/>
      <c r="E144" s="13" t="s">
        <v>11</v>
      </c>
      <c r="F144" s="12"/>
      <c r="G144" s="11"/>
      <c r="H144" s="11"/>
      <c r="I144" s="11"/>
      <c r="J144" s="11"/>
      <c r="K144" s="11"/>
      <c r="L144" s="11"/>
      <c r="M144" s="11"/>
      <c r="N144" s="11"/>
      <c r="O144" s="11"/>
      <c r="P144" s="11"/>
      <c r="Q144" s="11"/>
      <c r="R144" s="11"/>
      <c r="S144" s="11"/>
      <c r="T144" s="667">
        <f>ROUNDDOWN(T142-T143,-2)</f>
        <v>0</v>
      </c>
      <c r="U144" s="668"/>
      <c r="V144" s="668"/>
      <c r="W144" s="668"/>
      <c r="X144" s="668"/>
      <c r="Y144" s="669"/>
      <c r="Z144" s="11" t="s">
        <v>10</v>
      </c>
      <c r="AA144" s="11"/>
      <c r="AB144" s="19" t="s">
        <v>9</v>
      </c>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0"/>
      <c r="AZ144" s="9" t="s">
        <v>8</v>
      </c>
    </row>
    <row r="145" spans="2:52" ht="13.5" customHeight="1" thickTop="1">
      <c r="B145" s="670"/>
      <c r="C145" s="666"/>
      <c r="D145" s="670"/>
      <c r="E145" s="13"/>
      <c r="F145" s="12"/>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0"/>
      <c r="AZ145" s="9"/>
    </row>
    <row r="146" spans="2:52" ht="13.5" customHeight="1">
      <c r="B146" s="670"/>
      <c r="C146" s="666"/>
      <c r="D146" s="670"/>
      <c r="E146" s="13"/>
      <c r="F146" s="12"/>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0"/>
      <c r="AZ146" s="9"/>
    </row>
    <row r="147" spans="2:52" ht="13.5" customHeight="1">
      <c r="B147" s="670"/>
      <c r="C147" s="666"/>
      <c r="D147" s="670"/>
      <c r="E147" s="13"/>
      <c r="F147" s="12"/>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0"/>
      <c r="AZ147" s="9"/>
    </row>
    <row r="148" spans="2:52" ht="13.5" customHeight="1">
      <c r="B148" s="670"/>
      <c r="C148" s="666"/>
      <c r="D148" s="670"/>
      <c r="E148" s="13"/>
      <c r="F148" s="12"/>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9"/>
      <c r="AI148" s="11"/>
      <c r="AJ148" s="11"/>
      <c r="AK148" s="11"/>
      <c r="AL148" s="11"/>
      <c r="AM148" s="11"/>
      <c r="AN148" s="11"/>
      <c r="AO148" s="11"/>
      <c r="AP148" s="11"/>
      <c r="AQ148" s="11"/>
      <c r="AR148" s="11"/>
      <c r="AS148" s="11"/>
      <c r="AT148" s="11"/>
      <c r="AU148" s="11"/>
      <c r="AV148" s="11"/>
      <c r="AW148" s="11"/>
      <c r="AX148" s="11"/>
      <c r="AY148" s="10"/>
      <c r="AZ148" s="9"/>
    </row>
    <row r="149" spans="2:52" ht="13.5" customHeight="1">
      <c r="B149" s="670"/>
      <c r="C149" s="671"/>
      <c r="D149" s="681"/>
      <c r="E149" s="8"/>
      <c r="F149" s="7"/>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5"/>
      <c r="AZ149" s="4"/>
    </row>
    <row r="150" spans="2:52" ht="13.5" customHeight="1" thickBot="1">
      <c r="B150" s="670"/>
      <c r="C150" s="682">
        <v>3</v>
      </c>
      <c r="D150" s="680" t="s">
        <v>7</v>
      </c>
      <c r="E150" s="18"/>
      <c r="F150" s="17"/>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5"/>
      <c r="AZ150" s="14"/>
    </row>
    <row r="151" spans="2:52" ht="13.5" customHeight="1" thickTop="1" thickBot="1">
      <c r="B151" s="670"/>
      <c r="C151" s="666"/>
      <c r="D151" s="670"/>
      <c r="E151" s="13" t="s">
        <v>6</v>
      </c>
      <c r="F151" s="12"/>
      <c r="G151" s="11"/>
      <c r="H151" s="11"/>
      <c r="I151" s="11"/>
      <c r="J151" s="11"/>
      <c r="K151" s="11"/>
      <c r="L151" s="11"/>
      <c r="M151" s="11"/>
      <c r="N151" s="11"/>
      <c r="O151" s="11"/>
      <c r="P151" s="11"/>
      <c r="Q151" s="11"/>
      <c r="R151" s="11"/>
      <c r="S151" s="11"/>
      <c r="T151" s="667">
        <f>T144</f>
        <v>0</v>
      </c>
      <c r="U151" s="668"/>
      <c r="V151" s="668"/>
      <c r="W151" s="668"/>
      <c r="X151" s="668"/>
      <c r="Y151" s="669"/>
      <c r="Z151" s="11"/>
      <c r="AA151" s="11"/>
      <c r="AB151" s="19" t="s">
        <v>5</v>
      </c>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0"/>
      <c r="AZ151" s="9"/>
    </row>
    <row r="152" spans="2:52" ht="13.5" customHeight="1" thickTop="1" thickBot="1">
      <c r="B152" s="670"/>
      <c r="C152" s="666"/>
      <c r="D152" s="670"/>
      <c r="E152" s="13" t="s">
        <v>4</v>
      </c>
      <c r="F152" s="12"/>
      <c r="G152" s="11"/>
      <c r="H152" s="11"/>
      <c r="I152" s="11"/>
      <c r="J152" s="11"/>
      <c r="K152" s="11"/>
      <c r="L152" s="11"/>
      <c r="M152" s="11"/>
      <c r="N152" s="11"/>
      <c r="O152" s="11"/>
      <c r="P152" s="11"/>
      <c r="Q152" s="11"/>
      <c r="R152" s="11"/>
      <c r="S152" s="11"/>
      <c r="T152" s="667">
        <f>ROUNDDOWN(T151*0/100,-2)</f>
        <v>0</v>
      </c>
      <c r="U152" s="668"/>
      <c r="V152" s="668"/>
      <c r="W152" s="668"/>
      <c r="X152" s="668"/>
      <c r="Y152" s="669"/>
      <c r="Z152" s="11" t="s">
        <v>3</v>
      </c>
      <c r="AA152" s="11"/>
      <c r="AB152" s="19" t="s">
        <v>2</v>
      </c>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0"/>
      <c r="AZ152" s="9" t="s">
        <v>1</v>
      </c>
    </row>
    <row r="153" spans="2:52" ht="13.5" customHeight="1" thickTop="1">
      <c r="B153" s="670"/>
      <c r="C153" s="666"/>
      <c r="D153" s="670"/>
      <c r="E153" s="13"/>
      <c r="F153" s="12"/>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0"/>
      <c r="AZ153" s="9"/>
    </row>
    <row r="154" spans="2:52" ht="13.5" customHeight="1">
      <c r="B154" s="670"/>
      <c r="C154" s="666"/>
      <c r="D154" s="670"/>
      <c r="E154" s="13"/>
      <c r="F154" s="12"/>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0"/>
      <c r="AZ154" s="9"/>
    </row>
    <row r="155" spans="2:52" ht="13.5" customHeight="1">
      <c r="B155" s="670"/>
      <c r="C155" s="666"/>
      <c r="D155" s="670"/>
      <c r="E155" s="13"/>
      <c r="F155" s="12"/>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0"/>
      <c r="AZ155" s="9"/>
    </row>
    <row r="156" spans="2:52" ht="13.5" customHeight="1">
      <c r="B156" s="670"/>
      <c r="C156" s="666"/>
      <c r="D156" s="670"/>
      <c r="E156" s="13"/>
      <c r="F156" s="12"/>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9"/>
      <c r="AI156" s="11"/>
      <c r="AJ156" s="11"/>
      <c r="AK156" s="11"/>
      <c r="AL156" s="11"/>
      <c r="AM156" s="11"/>
      <c r="AN156" s="11"/>
      <c r="AO156" s="11"/>
      <c r="AP156" s="11"/>
      <c r="AQ156" s="11"/>
      <c r="AR156" s="11"/>
      <c r="AS156" s="11"/>
      <c r="AT156" s="11"/>
      <c r="AU156" s="11"/>
      <c r="AV156" s="11"/>
      <c r="AW156" s="11"/>
      <c r="AX156" s="11"/>
      <c r="AY156" s="10"/>
      <c r="AZ156" s="9"/>
    </row>
    <row r="157" spans="2:52" ht="13.5" customHeight="1">
      <c r="B157" s="670"/>
      <c r="C157" s="671"/>
      <c r="D157" s="681"/>
      <c r="E157" s="8"/>
      <c r="F157" s="7"/>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5"/>
      <c r="AZ157" s="4"/>
    </row>
    <row r="158" spans="2:52" ht="13.5" customHeight="1">
      <c r="B158" s="670"/>
      <c r="C158" s="682">
        <v>4</v>
      </c>
      <c r="D158" s="680" t="s">
        <v>0</v>
      </c>
      <c r="E158" s="18"/>
      <c r="F158" s="17"/>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5"/>
      <c r="AZ158" s="14"/>
    </row>
    <row r="159" spans="2:52" ht="13.5" customHeight="1">
      <c r="B159" s="670"/>
      <c r="C159" s="666"/>
      <c r="D159" s="670"/>
      <c r="E159" s="13"/>
      <c r="F159" s="12"/>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0"/>
      <c r="AZ159" s="9"/>
    </row>
    <row r="160" spans="2:52" ht="13.5" customHeight="1">
      <c r="B160" s="681"/>
      <c r="C160" s="671"/>
      <c r="D160" s="681"/>
      <c r="E160" s="8"/>
      <c r="F160" s="7"/>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5"/>
      <c r="AZ160" s="4"/>
    </row>
  </sheetData>
  <mergeCells count="132">
    <mergeCell ref="D5:D7"/>
    <mergeCell ref="E5:AY12"/>
    <mergeCell ref="C8:C10"/>
    <mergeCell ref="D8:D10"/>
    <mergeCell ref="C11:C12"/>
    <mergeCell ref="D11:D12"/>
    <mergeCell ref="B33:B43"/>
    <mergeCell ref="C33:C43"/>
    <mergeCell ref="D33:D43"/>
    <mergeCell ref="C19:C32"/>
    <mergeCell ref="D19:D32"/>
    <mergeCell ref="R20:W20"/>
    <mergeCell ref="R21:W21"/>
    <mergeCell ref="C13:C14"/>
    <mergeCell ref="D13:D14"/>
    <mergeCell ref="E13:AY18"/>
    <mergeCell ref="C15:C16"/>
    <mergeCell ref="D15:D16"/>
    <mergeCell ref="C17:C18"/>
    <mergeCell ref="D17:D18"/>
    <mergeCell ref="B72:B86"/>
    <mergeCell ref="C72:C73"/>
    <mergeCell ref="D72:D73"/>
    <mergeCell ref="B2:D2"/>
    <mergeCell ref="E2:AY2"/>
    <mergeCell ref="B3:B32"/>
    <mergeCell ref="C3:C4"/>
    <mergeCell ref="D3:D4"/>
    <mergeCell ref="E3:AY4"/>
    <mergeCell ref="C5:C7"/>
    <mergeCell ref="C58:C71"/>
    <mergeCell ref="D58:D71"/>
    <mergeCell ref="R59:W59"/>
    <mergeCell ref="R60:W60"/>
    <mergeCell ref="AK21:AP21"/>
    <mergeCell ref="R24:W24"/>
    <mergeCell ref="R25:W25"/>
    <mergeCell ref="R27:W27"/>
    <mergeCell ref="R29:W29"/>
    <mergeCell ref="R31:W31"/>
    <mergeCell ref="C56:C57"/>
    <mergeCell ref="D56:D57"/>
    <mergeCell ref="E56:AY57"/>
    <mergeCell ref="D47:D49"/>
    <mergeCell ref="C52:C53"/>
    <mergeCell ref="D52:D53"/>
    <mergeCell ref="E52:AY53"/>
    <mergeCell ref="AZ36:AZ37"/>
    <mergeCell ref="AZ40:AZ41"/>
    <mergeCell ref="B44:B71"/>
    <mergeCell ref="C44:C46"/>
    <mergeCell ref="D44:D46"/>
    <mergeCell ref="E44:AY46"/>
    <mergeCell ref="C47:C49"/>
    <mergeCell ref="C54:C55"/>
    <mergeCell ref="D54:D55"/>
    <mergeCell ref="E54:AY55"/>
    <mergeCell ref="AK60:AP60"/>
    <mergeCell ref="R65:W65"/>
    <mergeCell ref="R66:W66"/>
    <mergeCell ref="T68:Y68"/>
    <mergeCell ref="T70:Y70"/>
    <mergeCell ref="E47:AY51"/>
    <mergeCell ref="C50:C51"/>
    <mergeCell ref="D50:D51"/>
    <mergeCell ref="E72:AY73"/>
    <mergeCell ref="C74:C76"/>
    <mergeCell ref="E103:R106"/>
    <mergeCell ref="C87:C96"/>
    <mergeCell ref="D87:D96"/>
    <mergeCell ref="P88:U88"/>
    <mergeCell ref="P89:U89"/>
    <mergeCell ref="Z106:AE106"/>
    <mergeCell ref="B87:B130"/>
    <mergeCell ref="P91:U91"/>
    <mergeCell ref="P92:U92"/>
    <mergeCell ref="AE92:AJ92"/>
    <mergeCell ref="AG103:AG106"/>
    <mergeCell ref="C81:C83"/>
    <mergeCell ref="D81:D83"/>
    <mergeCell ref="E81:AY83"/>
    <mergeCell ref="C84:C86"/>
    <mergeCell ref="D84:D86"/>
    <mergeCell ref="E84:AY86"/>
    <mergeCell ref="D74:D76"/>
    <mergeCell ref="E74:AY76"/>
    <mergeCell ref="C77:C80"/>
    <mergeCell ref="D77:D80"/>
    <mergeCell ref="E77:AY80"/>
    <mergeCell ref="B131:B160"/>
    <mergeCell ref="C131:C140"/>
    <mergeCell ref="D131:D140"/>
    <mergeCell ref="T132:Y132"/>
    <mergeCell ref="T134:Y134"/>
    <mergeCell ref="AZ97:AZ98"/>
    <mergeCell ref="Z98:AE98"/>
    <mergeCell ref="Z100:AE100"/>
    <mergeCell ref="Z101:AE101"/>
    <mergeCell ref="Z103:AE103"/>
    <mergeCell ref="T144:Y144"/>
    <mergeCell ref="F113:S116"/>
    <mergeCell ref="C97:C123"/>
    <mergeCell ref="C141:C149"/>
    <mergeCell ref="D141:D149"/>
    <mergeCell ref="D97:D123"/>
    <mergeCell ref="C150:C157"/>
    <mergeCell ref="D150:D157"/>
    <mergeCell ref="T151:Y151"/>
    <mergeCell ref="T152:Y152"/>
    <mergeCell ref="C158:C160"/>
    <mergeCell ref="D158:D160"/>
    <mergeCell ref="T136:Y136"/>
    <mergeCell ref="T137:Y137"/>
    <mergeCell ref="AZ87:AZ96"/>
    <mergeCell ref="AS89:AX89"/>
    <mergeCell ref="AZ113:AZ116"/>
    <mergeCell ref="AA116:AF116"/>
    <mergeCell ref="AA118:AF118"/>
    <mergeCell ref="Z120:AE120"/>
    <mergeCell ref="AZ121:AZ123"/>
    <mergeCell ref="Z122:AE122"/>
    <mergeCell ref="T143:Y143"/>
    <mergeCell ref="P93:U93"/>
    <mergeCell ref="P95:U95"/>
    <mergeCell ref="T142:Y142"/>
    <mergeCell ref="AZ103:AZ106"/>
    <mergeCell ref="T139:Y139"/>
    <mergeCell ref="Z108:AE108"/>
    <mergeCell ref="AC111:AH111"/>
    <mergeCell ref="AA113:AF113"/>
    <mergeCell ref="AH113:AH116"/>
    <mergeCell ref="AI113:AQ116"/>
  </mergeCells>
  <phoneticPr fontId="3"/>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118" zoomScaleNormal="100" workbookViewId="0">
      <selection activeCell="Z98" sqref="Z98:AE98"/>
    </sheetView>
  </sheetViews>
  <sheetFormatPr defaultColWidth="9" defaultRowHeight="13.5" customHeight="1"/>
  <cols>
    <col min="1" max="1" width="0.375" style="1" customWidth="1"/>
    <col min="2" max="2" width="10.625" style="1" customWidth="1"/>
    <col min="3" max="3" width="2.375" style="1" customWidth="1"/>
    <col min="4" max="4" width="35.25" style="3" customWidth="1"/>
    <col min="5" max="5" width="1.875" style="1" customWidth="1"/>
    <col min="6" max="6" width="1.875" style="2" customWidth="1"/>
    <col min="7" max="51" width="1.875" style="1" customWidth="1"/>
    <col min="52" max="52" width="9.375" style="1" customWidth="1"/>
    <col min="53" max="53" width="0.625" style="1" customWidth="1"/>
    <col min="54" max="16384" width="9" style="1"/>
  </cols>
  <sheetData>
    <row r="1" spans="2:52" ht="17.25" customHeight="1">
      <c r="B1" s="35" t="s">
        <v>172</v>
      </c>
      <c r="AZ1" s="34" t="s">
        <v>171</v>
      </c>
    </row>
    <row r="2" spans="2:52" ht="13.5" customHeight="1">
      <c r="B2" s="696" t="s">
        <v>170</v>
      </c>
      <c r="C2" s="696"/>
      <c r="D2" s="696"/>
      <c r="E2" s="696" t="s">
        <v>169</v>
      </c>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696"/>
      <c r="AZ2" s="33" t="s">
        <v>168</v>
      </c>
    </row>
    <row r="3" spans="2:52" ht="13.5" customHeight="1">
      <c r="B3" s="682" t="s">
        <v>167</v>
      </c>
      <c r="C3" s="688">
        <v>1</v>
      </c>
      <c r="D3" s="690" t="s">
        <v>166</v>
      </c>
      <c r="E3" s="688" t="s">
        <v>165</v>
      </c>
      <c r="F3" s="688"/>
      <c r="G3" s="688"/>
      <c r="H3" s="688"/>
      <c r="I3" s="688"/>
      <c r="J3" s="688"/>
      <c r="K3" s="688"/>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c r="AP3" s="688"/>
      <c r="AQ3" s="688"/>
      <c r="AR3" s="688"/>
      <c r="AS3" s="688"/>
      <c r="AT3" s="688"/>
      <c r="AU3" s="688"/>
      <c r="AV3" s="688"/>
      <c r="AW3" s="688"/>
      <c r="AX3" s="688"/>
      <c r="AY3" s="688"/>
      <c r="AZ3" s="14"/>
    </row>
    <row r="4" spans="2:52" ht="13.5" customHeight="1">
      <c r="B4" s="666"/>
      <c r="C4" s="688"/>
      <c r="D4" s="690"/>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8"/>
      <c r="AN4" s="688"/>
      <c r="AO4" s="688"/>
      <c r="AP4" s="688"/>
      <c r="AQ4" s="688"/>
      <c r="AR4" s="688"/>
      <c r="AS4" s="688"/>
      <c r="AT4" s="688"/>
      <c r="AU4" s="688"/>
      <c r="AV4" s="688"/>
      <c r="AW4" s="688"/>
      <c r="AX4" s="688"/>
      <c r="AY4" s="688"/>
      <c r="AZ4" s="4"/>
    </row>
    <row r="5" spans="2:52" ht="13.5" customHeight="1">
      <c r="B5" s="666"/>
      <c r="C5" s="688">
        <v>2</v>
      </c>
      <c r="D5" s="690" t="s">
        <v>164</v>
      </c>
      <c r="E5" s="688" t="s">
        <v>163</v>
      </c>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c r="AP5" s="688"/>
      <c r="AQ5" s="688"/>
      <c r="AR5" s="688"/>
      <c r="AS5" s="688"/>
      <c r="AT5" s="688"/>
      <c r="AU5" s="688"/>
      <c r="AV5" s="688"/>
      <c r="AW5" s="688"/>
      <c r="AX5" s="688"/>
      <c r="AY5" s="688"/>
      <c r="AZ5" s="14"/>
    </row>
    <row r="6" spans="2:52" ht="13.5" customHeight="1">
      <c r="B6" s="666"/>
      <c r="C6" s="688"/>
      <c r="D6" s="690"/>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8"/>
      <c r="AN6" s="688"/>
      <c r="AO6" s="688"/>
      <c r="AP6" s="688"/>
      <c r="AQ6" s="688"/>
      <c r="AR6" s="688"/>
      <c r="AS6" s="688"/>
      <c r="AT6" s="688"/>
      <c r="AU6" s="688"/>
      <c r="AV6" s="688"/>
      <c r="AW6" s="688"/>
      <c r="AX6" s="688"/>
      <c r="AY6" s="688"/>
      <c r="AZ6" s="9"/>
    </row>
    <row r="7" spans="2:52" ht="13.5" customHeight="1">
      <c r="B7" s="666"/>
      <c r="C7" s="688"/>
      <c r="D7" s="690"/>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8"/>
      <c r="AN7" s="688"/>
      <c r="AO7" s="688"/>
      <c r="AP7" s="688"/>
      <c r="AQ7" s="688"/>
      <c r="AR7" s="688"/>
      <c r="AS7" s="688"/>
      <c r="AT7" s="688"/>
      <c r="AU7" s="688"/>
      <c r="AV7" s="688"/>
      <c r="AW7" s="688"/>
      <c r="AX7" s="688"/>
      <c r="AY7" s="688"/>
      <c r="AZ7" s="9"/>
    </row>
    <row r="8" spans="2:52" ht="13.5" customHeight="1">
      <c r="B8" s="666"/>
      <c r="C8" s="688">
        <v>3</v>
      </c>
      <c r="D8" s="690" t="s">
        <v>162</v>
      </c>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8"/>
      <c r="AN8" s="688"/>
      <c r="AO8" s="688"/>
      <c r="AP8" s="688"/>
      <c r="AQ8" s="688"/>
      <c r="AR8" s="688"/>
      <c r="AS8" s="688"/>
      <c r="AT8" s="688"/>
      <c r="AU8" s="688"/>
      <c r="AV8" s="688"/>
      <c r="AW8" s="688"/>
      <c r="AX8" s="688"/>
      <c r="AY8" s="688"/>
      <c r="AZ8" s="9"/>
    </row>
    <row r="9" spans="2:52" ht="13.5" customHeight="1">
      <c r="B9" s="666"/>
      <c r="C9" s="688"/>
      <c r="D9" s="690"/>
      <c r="E9" s="688"/>
      <c r="F9" s="688"/>
      <c r="G9" s="688"/>
      <c r="H9" s="688"/>
      <c r="I9" s="688"/>
      <c r="J9" s="688"/>
      <c r="K9" s="688"/>
      <c r="L9" s="688"/>
      <c r="M9" s="688"/>
      <c r="N9" s="688"/>
      <c r="O9" s="688"/>
      <c r="P9" s="688"/>
      <c r="Q9" s="688"/>
      <c r="R9" s="688"/>
      <c r="S9" s="688"/>
      <c r="T9" s="688"/>
      <c r="U9" s="688"/>
      <c r="V9" s="688"/>
      <c r="W9" s="688"/>
      <c r="X9" s="688"/>
      <c r="Y9" s="688"/>
      <c r="Z9" s="688"/>
      <c r="AA9" s="688"/>
      <c r="AB9" s="688"/>
      <c r="AC9" s="688"/>
      <c r="AD9" s="688"/>
      <c r="AE9" s="688"/>
      <c r="AF9" s="688"/>
      <c r="AG9" s="688"/>
      <c r="AH9" s="688"/>
      <c r="AI9" s="688"/>
      <c r="AJ9" s="688"/>
      <c r="AK9" s="688"/>
      <c r="AL9" s="688"/>
      <c r="AM9" s="688"/>
      <c r="AN9" s="688"/>
      <c r="AO9" s="688"/>
      <c r="AP9" s="688"/>
      <c r="AQ9" s="688"/>
      <c r="AR9" s="688"/>
      <c r="AS9" s="688"/>
      <c r="AT9" s="688"/>
      <c r="AU9" s="688"/>
      <c r="AV9" s="688"/>
      <c r="AW9" s="688"/>
      <c r="AX9" s="688"/>
      <c r="AY9" s="688"/>
      <c r="AZ9" s="9"/>
    </row>
    <row r="10" spans="2:52" ht="13.5" customHeight="1">
      <c r="B10" s="666"/>
      <c r="C10" s="688"/>
      <c r="D10" s="690"/>
      <c r="E10" s="688"/>
      <c r="F10" s="688"/>
      <c r="G10" s="688"/>
      <c r="H10" s="688"/>
      <c r="I10" s="688"/>
      <c r="J10" s="688"/>
      <c r="K10" s="688"/>
      <c r="L10" s="688"/>
      <c r="M10" s="688"/>
      <c r="N10" s="688"/>
      <c r="O10" s="688"/>
      <c r="P10" s="688"/>
      <c r="Q10" s="688"/>
      <c r="R10" s="688"/>
      <c r="S10" s="688"/>
      <c r="T10" s="688"/>
      <c r="U10" s="688"/>
      <c r="V10" s="688"/>
      <c r="W10" s="688"/>
      <c r="X10" s="688"/>
      <c r="Y10" s="688"/>
      <c r="Z10" s="688"/>
      <c r="AA10" s="688"/>
      <c r="AB10" s="688"/>
      <c r="AC10" s="688"/>
      <c r="AD10" s="688"/>
      <c r="AE10" s="688"/>
      <c r="AF10" s="688"/>
      <c r="AG10" s="688"/>
      <c r="AH10" s="688"/>
      <c r="AI10" s="688"/>
      <c r="AJ10" s="688"/>
      <c r="AK10" s="688"/>
      <c r="AL10" s="688"/>
      <c r="AM10" s="688"/>
      <c r="AN10" s="688"/>
      <c r="AO10" s="688"/>
      <c r="AP10" s="688"/>
      <c r="AQ10" s="688"/>
      <c r="AR10" s="688"/>
      <c r="AS10" s="688"/>
      <c r="AT10" s="688"/>
      <c r="AU10" s="688"/>
      <c r="AV10" s="688"/>
      <c r="AW10" s="688"/>
      <c r="AX10" s="688"/>
      <c r="AY10" s="688"/>
      <c r="AZ10" s="9"/>
    </row>
    <row r="11" spans="2:52" ht="13.5" customHeight="1">
      <c r="B11" s="666"/>
      <c r="C11" s="682">
        <v>4</v>
      </c>
      <c r="D11" s="690" t="s">
        <v>161</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9"/>
    </row>
    <row r="12" spans="2:52" ht="13.5" customHeight="1">
      <c r="B12" s="666"/>
      <c r="C12" s="671"/>
      <c r="D12" s="690"/>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4"/>
    </row>
    <row r="13" spans="2:52" ht="13.5" customHeight="1">
      <c r="B13" s="666"/>
      <c r="C13" s="682">
        <v>5</v>
      </c>
      <c r="D13" s="690" t="s">
        <v>160</v>
      </c>
      <c r="E13" s="688" t="s">
        <v>159</v>
      </c>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14"/>
    </row>
    <row r="14" spans="2:52" ht="13.5" customHeight="1">
      <c r="B14" s="666"/>
      <c r="C14" s="671"/>
      <c r="D14" s="690"/>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9"/>
    </row>
    <row r="15" spans="2:52" ht="13.5" customHeight="1">
      <c r="B15" s="666"/>
      <c r="C15" s="682">
        <v>6</v>
      </c>
      <c r="D15" s="690" t="s">
        <v>158</v>
      </c>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9"/>
    </row>
    <row r="16" spans="2:52" ht="13.5" customHeight="1">
      <c r="B16" s="666"/>
      <c r="C16" s="671"/>
      <c r="D16" s="690"/>
      <c r="E16" s="688"/>
      <c r="F16" s="688"/>
      <c r="G16" s="688"/>
      <c r="H16" s="688"/>
      <c r="I16" s="688"/>
      <c r="J16" s="688"/>
      <c r="K16" s="688"/>
      <c r="L16" s="688"/>
      <c r="M16" s="688"/>
      <c r="N16" s="688"/>
      <c r="O16" s="688"/>
      <c r="P16" s="688"/>
      <c r="Q16" s="688"/>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9"/>
    </row>
    <row r="17" spans="2:52" ht="13.5" customHeight="1">
      <c r="B17" s="666"/>
      <c r="C17" s="682">
        <v>7</v>
      </c>
      <c r="D17" s="690" t="s">
        <v>157</v>
      </c>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9"/>
    </row>
    <row r="18" spans="2:52" ht="13.5" customHeight="1">
      <c r="B18" s="666"/>
      <c r="C18" s="671"/>
      <c r="D18" s="690"/>
      <c r="E18" s="688"/>
      <c r="F18" s="688"/>
      <c r="G18" s="688"/>
      <c r="H18" s="688"/>
      <c r="I18" s="688"/>
      <c r="J18" s="688"/>
      <c r="K18" s="688"/>
      <c r="L18" s="688"/>
      <c r="M18" s="688"/>
      <c r="N18" s="688"/>
      <c r="O18" s="688"/>
      <c r="P18" s="688"/>
      <c r="Q18" s="688"/>
      <c r="R18" s="688"/>
      <c r="S18" s="688"/>
      <c r="T18" s="688"/>
      <c r="U18" s="688"/>
      <c r="V18" s="688"/>
      <c r="W18" s="688"/>
      <c r="X18" s="688"/>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4"/>
    </row>
    <row r="19" spans="2:52" ht="13.5" customHeight="1">
      <c r="B19" s="666"/>
      <c r="C19" s="682">
        <v>8</v>
      </c>
      <c r="D19" s="680" t="s">
        <v>156</v>
      </c>
      <c r="E19" s="18"/>
      <c r="F19" s="17"/>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5"/>
      <c r="AZ19" s="14"/>
    </row>
    <row r="20" spans="2:52" ht="13.5" customHeight="1">
      <c r="B20" s="666"/>
      <c r="C20" s="666"/>
      <c r="D20" s="670"/>
      <c r="E20" s="28" t="s">
        <v>155</v>
      </c>
      <c r="F20" s="12"/>
      <c r="G20" s="12"/>
      <c r="H20" s="12"/>
      <c r="I20" s="12"/>
      <c r="J20" s="12"/>
      <c r="K20" s="12"/>
      <c r="L20" s="12"/>
      <c r="M20" s="12"/>
      <c r="N20" s="12"/>
      <c r="O20" s="12"/>
      <c r="P20" s="12"/>
      <c r="Q20" s="11"/>
      <c r="R20" s="687">
        <f>基礎数値!E3</f>
        <v>0</v>
      </c>
      <c r="S20" s="687"/>
      <c r="T20" s="687"/>
      <c r="U20" s="687"/>
      <c r="V20" s="687"/>
      <c r="W20" s="687"/>
      <c r="X20" s="11"/>
      <c r="Y20" s="19" t="s">
        <v>114</v>
      </c>
      <c r="Z20" s="11"/>
      <c r="AA20" s="11"/>
      <c r="AB20" s="11"/>
      <c r="AC20" s="11"/>
      <c r="AD20" s="11"/>
      <c r="AE20" s="11"/>
      <c r="AF20" s="11"/>
      <c r="AG20" s="11"/>
      <c r="AH20" s="11"/>
      <c r="AI20" s="12"/>
      <c r="AJ20" s="11"/>
      <c r="AK20" s="11"/>
      <c r="AL20" s="11"/>
      <c r="AM20" s="11"/>
      <c r="AN20" s="11"/>
      <c r="AO20" s="11"/>
      <c r="AP20" s="11"/>
      <c r="AQ20" s="11"/>
      <c r="AR20" s="11"/>
      <c r="AS20" s="11"/>
      <c r="AT20" s="11"/>
      <c r="AU20" s="11"/>
      <c r="AV20" s="11"/>
      <c r="AW20" s="11"/>
      <c r="AX20" s="11"/>
      <c r="AY20" s="10"/>
      <c r="AZ20" s="9"/>
    </row>
    <row r="21" spans="2:52" ht="13.5" customHeight="1">
      <c r="B21" s="666"/>
      <c r="C21" s="666"/>
      <c r="D21" s="670"/>
      <c r="E21" s="28" t="s">
        <v>154</v>
      </c>
      <c r="F21" s="11"/>
      <c r="G21" s="11"/>
      <c r="H21" s="11"/>
      <c r="I21" s="11"/>
      <c r="J21" s="11"/>
      <c r="K21" s="11"/>
      <c r="L21" s="11"/>
      <c r="M21" s="11"/>
      <c r="N21" s="11"/>
      <c r="O21" s="11"/>
      <c r="P21" s="11"/>
      <c r="Q21" s="11"/>
      <c r="R21" s="687">
        <f>基礎数値!E4</f>
        <v>0</v>
      </c>
      <c r="S21" s="687"/>
      <c r="T21" s="687"/>
      <c r="U21" s="687"/>
      <c r="V21" s="687"/>
      <c r="W21" s="687"/>
      <c r="X21" s="11"/>
      <c r="Y21" s="19" t="s">
        <v>114</v>
      </c>
      <c r="Z21" s="11"/>
      <c r="AA21" s="11"/>
      <c r="AB21" s="11"/>
      <c r="AC21" s="11"/>
      <c r="AD21" s="11"/>
      <c r="AE21" s="11"/>
      <c r="AF21" s="11"/>
      <c r="AG21" s="11"/>
      <c r="AH21" s="11"/>
      <c r="AI21" s="11"/>
      <c r="AJ21" s="11" t="s">
        <v>85</v>
      </c>
      <c r="AK21" s="665">
        <f>R20+R21</f>
        <v>0</v>
      </c>
      <c r="AL21" s="665"/>
      <c r="AM21" s="665"/>
      <c r="AN21" s="665"/>
      <c r="AO21" s="665"/>
      <c r="AP21" s="665"/>
      <c r="AQ21" s="11" t="s">
        <v>153</v>
      </c>
      <c r="AR21" s="11"/>
      <c r="AS21" s="11"/>
      <c r="AT21" s="11"/>
      <c r="AU21" s="11"/>
      <c r="AV21" s="11"/>
      <c r="AW21" s="11"/>
      <c r="AX21" s="11"/>
      <c r="AY21" s="10"/>
      <c r="AZ21" s="9"/>
    </row>
    <row r="22" spans="2:52" ht="13.5" customHeight="1">
      <c r="B22" s="666"/>
      <c r="C22" s="666"/>
      <c r="D22" s="670"/>
      <c r="E22" s="28"/>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0"/>
      <c r="AZ22" s="9"/>
    </row>
    <row r="23" spans="2:52" ht="13.5" customHeight="1">
      <c r="B23" s="666"/>
      <c r="C23" s="666"/>
      <c r="D23" s="670"/>
      <c r="E23" s="28" t="s">
        <v>152</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0"/>
      <c r="AZ23" s="9"/>
    </row>
    <row r="24" spans="2:52" ht="13.5" customHeight="1">
      <c r="B24" s="666"/>
      <c r="C24" s="666"/>
      <c r="D24" s="670"/>
      <c r="E24" s="28"/>
      <c r="F24" s="11"/>
      <c r="G24" s="11"/>
      <c r="H24" s="12" t="s">
        <v>108</v>
      </c>
      <c r="I24" s="11"/>
      <c r="J24" s="11"/>
      <c r="K24" s="11"/>
      <c r="L24" s="11"/>
      <c r="M24" s="11"/>
      <c r="N24" s="11"/>
      <c r="O24" s="11"/>
      <c r="P24" s="11"/>
      <c r="Q24" s="11"/>
      <c r="R24" s="687">
        <f>基礎数値!E6</f>
        <v>0</v>
      </c>
      <c r="S24" s="687"/>
      <c r="T24" s="687"/>
      <c r="U24" s="687"/>
      <c r="V24" s="687"/>
      <c r="W24" s="687"/>
      <c r="X24" s="11" t="s">
        <v>151</v>
      </c>
      <c r="Y24" s="19" t="s">
        <v>150</v>
      </c>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0"/>
      <c r="AZ24" s="9"/>
    </row>
    <row r="25" spans="2:52" ht="13.5" customHeight="1">
      <c r="B25" s="666"/>
      <c r="C25" s="666"/>
      <c r="D25" s="670"/>
      <c r="E25" s="13"/>
      <c r="F25" s="12"/>
      <c r="G25" s="11"/>
      <c r="H25" s="12" t="s">
        <v>149</v>
      </c>
      <c r="I25" s="11"/>
      <c r="J25" s="11"/>
      <c r="K25" s="11"/>
      <c r="L25" s="11"/>
      <c r="M25" s="11"/>
      <c r="N25" s="11"/>
      <c r="O25" s="11"/>
      <c r="P25" s="11"/>
      <c r="Q25" s="11"/>
      <c r="R25" s="687">
        <f>基礎数値!E7</f>
        <v>0</v>
      </c>
      <c r="S25" s="687"/>
      <c r="T25" s="687"/>
      <c r="U25" s="687"/>
      <c r="V25" s="687"/>
      <c r="W25" s="687"/>
      <c r="X25" s="11" t="s">
        <v>148</v>
      </c>
      <c r="Y25" s="19" t="s">
        <v>147</v>
      </c>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0"/>
      <c r="AZ25" s="9"/>
    </row>
    <row r="26" spans="2:52" ht="13.5" customHeight="1" thickBot="1">
      <c r="B26" s="666"/>
      <c r="C26" s="666"/>
      <c r="D26" s="670"/>
      <c r="E26" s="13"/>
      <c r="F26" s="12"/>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0"/>
      <c r="AZ26" s="9"/>
    </row>
    <row r="27" spans="2:52" ht="13.5" customHeight="1" thickTop="1" thickBot="1">
      <c r="B27" s="666"/>
      <c r="C27" s="666"/>
      <c r="D27" s="670"/>
      <c r="E27" s="13" t="s">
        <v>83</v>
      </c>
      <c r="F27" s="12"/>
      <c r="G27" s="11"/>
      <c r="H27" s="11"/>
      <c r="I27" s="11"/>
      <c r="J27" s="11"/>
      <c r="K27" s="11"/>
      <c r="L27" s="11"/>
      <c r="M27" s="11"/>
      <c r="N27" s="11"/>
      <c r="O27" s="11"/>
      <c r="P27" s="11"/>
      <c r="Q27" s="11"/>
      <c r="R27" s="667">
        <f>ROUNDDOWN((AK21-R24-R25)*100/105,0)</f>
        <v>0</v>
      </c>
      <c r="S27" s="668"/>
      <c r="T27" s="668"/>
      <c r="U27" s="668"/>
      <c r="V27" s="668"/>
      <c r="W27" s="669"/>
      <c r="X27" s="11" t="s">
        <v>146</v>
      </c>
      <c r="Y27" s="19" t="s">
        <v>206</v>
      </c>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0"/>
      <c r="AZ27" s="9" t="s">
        <v>144</v>
      </c>
    </row>
    <row r="28" spans="2:52" ht="13.5" customHeight="1" thickTop="1" thickBot="1">
      <c r="B28" s="666"/>
      <c r="C28" s="666"/>
      <c r="D28" s="670"/>
      <c r="E28" s="13"/>
      <c r="F28" s="12"/>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0"/>
      <c r="AZ28" s="9"/>
    </row>
    <row r="29" spans="2:52" ht="13.5" customHeight="1" thickTop="1" thickBot="1">
      <c r="B29" s="666"/>
      <c r="C29" s="666"/>
      <c r="D29" s="670"/>
      <c r="E29" s="13" t="s">
        <v>143</v>
      </c>
      <c r="F29" s="12"/>
      <c r="G29" s="11"/>
      <c r="H29" s="11"/>
      <c r="I29" s="11"/>
      <c r="J29" s="11"/>
      <c r="K29" s="11"/>
      <c r="L29" s="11"/>
      <c r="M29" s="11"/>
      <c r="N29" s="11"/>
      <c r="O29" s="11"/>
      <c r="P29" s="11"/>
      <c r="Q29" s="11"/>
      <c r="R29" s="667">
        <f>ROUNDDOWN((AK21-R24)*100/105,-3)</f>
        <v>0</v>
      </c>
      <c r="S29" s="668"/>
      <c r="T29" s="668"/>
      <c r="U29" s="668"/>
      <c r="V29" s="668"/>
      <c r="W29" s="669"/>
      <c r="X29" s="11" t="s">
        <v>142</v>
      </c>
      <c r="Y29" s="19" t="s">
        <v>205</v>
      </c>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0"/>
      <c r="AZ29" s="9" t="s">
        <v>140</v>
      </c>
    </row>
    <row r="30" spans="2:52" ht="13.5" customHeight="1" thickTop="1" thickBot="1">
      <c r="B30" s="666"/>
      <c r="C30" s="666"/>
      <c r="D30" s="670"/>
      <c r="E30" s="13"/>
      <c r="F30" s="12"/>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0"/>
      <c r="AZ30" s="9"/>
    </row>
    <row r="31" spans="2:52" ht="13.5" customHeight="1" thickTop="1" thickBot="1">
      <c r="B31" s="666"/>
      <c r="C31" s="666"/>
      <c r="D31" s="670"/>
      <c r="E31" s="13" t="s">
        <v>139</v>
      </c>
      <c r="F31" s="12"/>
      <c r="G31" s="11"/>
      <c r="H31" s="11"/>
      <c r="I31" s="11"/>
      <c r="J31" s="11"/>
      <c r="K31" s="11"/>
      <c r="L31" s="11"/>
      <c r="M31" s="11"/>
      <c r="N31" s="11"/>
      <c r="O31" s="11"/>
      <c r="P31" s="11"/>
      <c r="Q31" s="11"/>
      <c r="R31" s="667">
        <f>ROUNDDOWN(R29*4/100,0)</f>
        <v>0</v>
      </c>
      <c r="S31" s="668"/>
      <c r="T31" s="668"/>
      <c r="U31" s="668"/>
      <c r="V31" s="668"/>
      <c r="W31" s="669"/>
      <c r="X31" s="11" t="s">
        <v>138</v>
      </c>
      <c r="Y31" s="19" t="s">
        <v>204</v>
      </c>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0"/>
      <c r="AZ31" s="9" t="s">
        <v>136</v>
      </c>
    </row>
    <row r="32" spans="2:52" ht="13.5" customHeight="1" thickTop="1">
      <c r="B32" s="671"/>
      <c r="C32" s="671"/>
      <c r="D32" s="681"/>
      <c r="E32" s="8"/>
      <c r="F32" s="7"/>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5"/>
      <c r="AZ32" s="4"/>
    </row>
    <row r="33" spans="2:52" ht="13.5" customHeight="1">
      <c r="B33" s="682" t="s">
        <v>65</v>
      </c>
      <c r="C33" s="682">
        <v>1</v>
      </c>
      <c r="D33" s="682" t="s">
        <v>135</v>
      </c>
      <c r="E33" s="18"/>
      <c r="F33" s="17"/>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5"/>
      <c r="AZ33" s="14"/>
    </row>
    <row r="34" spans="2:52" ht="13.5" customHeight="1">
      <c r="B34" s="666"/>
      <c r="C34" s="666"/>
      <c r="D34" s="666"/>
      <c r="E34" s="13" t="s">
        <v>134</v>
      </c>
      <c r="F34" s="12"/>
      <c r="G34" s="11"/>
      <c r="H34" s="11"/>
      <c r="I34" s="11"/>
      <c r="J34" s="11"/>
      <c r="K34" s="11"/>
      <c r="L34" s="11"/>
      <c r="M34" s="11"/>
      <c r="N34" s="11"/>
      <c r="O34" s="11"/>
      <c r="P34" s="11"/>
      <c r="Q34" s="11"/>
      <c r="R34" s="32"/>
      <c r="S34" s="32"/>
      <c r="T34" s="32"/>
      <c r="U34" s="32"/>
      <c r="V34" s="32"/>
      <c r="W34" s="32"/>
      <c r="X34" s="29"/>
      <c r="Y34" s="30"/>
      <c r="Z34" s="29"/>
      <c r="AA34" s="29"/>
      <c r="AB34" s="29"/>
      <c r="AC34" s="29"/>
      <c r="AD34" s="29"/>
      <c r="AE34" s="29"/>
      <c r="AF34" s="29"/>
      <c r="AG34" s="29"/>
      <c r="AH34" s="29"/>
      <c r="AI34" s="29"/>
      <c r="AJ34" s="29"/>
      <c r="AK34" s="29"/>
      <c r="AL34" s="29"/>
      <c r="AM34" s="29"/>
      <c r="AN34" s="29"/>
      <c r="AO34" s="29"/>
      <c r="AP34" s="29"/>
      <c r="AQ34" s="29"/>
      <c r="AR34" s="11"/>
      <c r="AS34" s="11"/>
      <c r="AT34" s="11"/>
      <c r="AU34" s="11"/>
      <c r="AV34" s="11"/>
      <c r="AW34" s="11"/>
      <c r="AX34" s="11"/>
      <c r="AY34" s="10"/>
      <c r="AZ34" s="9"/>
    </row>
    <row r="35" spans="2:52" ht="13.5" customHeight="1">
      <c r="B35" s="666"/>
      <c r="C35" s="666"/>
      <c r="D35" s="666"/>
      <c r="E35" s="13" t="s">
        <v>133</v>
      </c>
      <c r="F35" s="12"/>
      <c r="G35" s="11"/>
      <c r="H35" s="11"/>
      <c r="I35" s="11"/>
      <c r="J35" s="11"/>
      <c r="K35" s="11"/>
      <c r="L35" s="11"/>
      <c r="M35" s="11"/>
      <c r="N35" s="11"/>
      <c r="O35" s="11"/>
      <c r="P35" s="11"/>
      <c r="Q35" s="11"/>
      <c r="R35" s="32"/>
      <c r="S35" s="32"/>
      <c r="T35" s="32"/>
      <c r="U35" s="32"/>
      <c r="V35" s="32"/>
      <c r="W35" s="32"/>
      <c r="X35" s="29"/>
      <c r="Y35" s="30"/>
      <c r="Z35" s="29"/>
      <c r="AA35" s="29"/>
      <c r="AB35" s="29"/>
      <c r="AC35" s="29"/>
      <c r="AD35" s="29"/>
      <c r="AE35" s="29"/>
      <c r="AF35" s="29"/>
      <c r="AG35" s="29"/>
      <c r="AH35" s="29"/>
      <c r="AI35" s="29"/>
      <c r="AJ35" s="29"/>
      <c r="AK35" s="29"/>
      <c r="AL35" s="29"/>
      <c r="AM35" s="29"/>
      <c r="AN35" s="29"/>
      <c r="AO35" s="29"/>
      <c r="AP35" s="29"/>
      <c r="AQ35" s="29"/>
      <c r="AR35" s="11"/>
      <c r="AS35" s="11"/>
      <c r="AT35" s="11"/>
      <c r="AU35" s="11"/>
      <c r="AV35" s="11"/>
      <c r="AW35" s="11"/>
      <c r="AX35" s="11"/>
      <c r="AY35" s="10"/>
      <c r="AZ35" s="9"/>
    </row>
    <row r="36" spans="2:52" ht="13.5" customHeight="1">
      <c r="B36" s="666"/>
      <c r="C36" s="666"/>
      <c r="D36" s="666"/>
      <c r="E36" s="13" t="s">
        <v>132</v>
      </c>
      <c r="F36" s="12"/>
      <c r="G36" s="11"/>
      <c r="H36" s="11"/>
      <c r="I36" s="11"/>
      <c r="J36" s="11"/>
      <c r="K36" s="11"/>
      <c r="L36" s="11"/>
      <c r="M36" s="11"/>
      <c r="N36" s="11"/>
      <c r="O36" s="11"/>
      <c r="P36" s="11"/>
      <c r="Q36" s="11"/>
      <c r="R36" s="32"/>
      <c r="S36" s="32"/>
      <c r="T36" s="32"/>
      <c r="U36" s="32"/>
      <c r="V36" s="32"/>
      <c r="W36" s="32"/>
      <c r="X36" s="29"/>
      <c r="Y36" s="30"/>
      <c r="Z36" s="29"/>
      <c r="AA36" s="29"/>
      <c r="AB36" s="29"/>
      <c r="AC36" s="29"/>
      <c r="AD36" s="29"/>
      <c r="AE36" s="29"/>
      <c r="AF36" s="29"/>
      <c r="AG36" s="29"/>
      <c r="AH36" s="29"/>
      <c r="AI36" s="29"/>
      <c r="AJ36" s="29"/>
      <c r="AK36" s="29"/>
      <c r="AL36" s="29"/>
      <c r="AM36" s="29"/>
      <c r="AN36" s="29"/>
      <c r="AO36" s="29"/>
      <c r="AP36" s="29"/>
      <c r="AQ36" s="29"/>
      <c r="AR36" s="11"/>
      <c r="AS36" s="11"/>
      <c r="AT36" s="11"/>
      <c r="AU36" s="11"/>
      <c r="AV36" s="11"/>
      <c r="AW36" s="11"/>
      <c r="AX36" s="11"/>
      <c r="AY36" s="10"/>
      <c r="AZ36" s="670"/>
    </row>
    <row r="37" spans="2:52" ht="13.5" customHeight="1">
      <c r="B37" s="666"/>
      <c r="C37" s="666"/>
      <c r="D37" s="666"/>
      <c r="E37" s="13"/>
      <c r="F37" s="12"/>
      <c r="G37" s="11"/>
      <c r="H37" s="11"/>
      <c r="I37" s="11"/>
      <c r="J37" s="11"/>
      <c r="K37" s="11"/>
      <c r="L37" s="11"/>
      <c r="M37" s="11"/>
      <c r="N37" s="11"/>
      <c r="O37" s="11"/>
      <c r="P37" s="11"/>
      <c r="Q37" s="11"/>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11"/>
      <c r="AS37" s="11"/>
      <c r="AT37" s="11"/>
      <c r="AU37" s="11"/>
      <c r="AV37" s="11"/>
      <c r="AW37" s="11"/>
      <c r="AX37" s="11"/>
      <c r="AY37" s="10"/>
      <c r="AZ37" s="670"/>
    </row>
    <row r="38" spans="2:52" ht="13.5" customHeight="1">
      <c r="B38" s="666"/>
      <c r="C38" s="666"/>
      <c r="D38" s="666"/>
      <c r="E38" s="28" t="s">
        <v>131</v>
      </c>
      <c r="F38" s="12"/>
      <c r="G38" s="11"/>
      <c r="H38" s="11"/>
      <c r="I38" s="11"/>
      <c r="J38" s="11"/>
      <c r="K38" s="11"/>
      <c r="L38" s="11"/>
      <c r="M38" s="11"/>
      <c r="N38" s="11"/>
      <c r="O38" s="11"/>
      <c r="P38" s="11"/>
      <c r="Q38" s="11"/>
      <c r="R38" s="32"/>
      <c r="S38" s="32"/>
      <c r="T38" s="32"/>
      <c r="U38" s="32"/>
      <c r="V38" s="32"/>
      <c r="W38" s="32"/>
      <c r="X38" s="29"/>
      <c r="Y38" s="30"/>
      <c r="Z38" s="29"/>
      <c r="AA38" s="29"/>
      <c r="AB38" s="29"/>
      <c r="AC38" s="29"/>
      <c r="AD38" s="29"/>
      <c r="AE38" s="29"/>
      <c r="AF38" s="29"/>
      <c r="AG38" s="29"/>
      <c r="AH38" s="29"/>
      <c r="AI38" s="29"/>
      <c r="AJ38" s="29"/>
      <c r="AK38" s="29"/>
      <c r="AL38" s="29"/>
      <c r="AM38" s="29"/>
      <c r="AN38" s="29"/>
      <c r="AO38" s="29"/>
      <c r="AP38" s="29"/>
      <c r="AQ38" s="29"/>
      <c r="AR38" s="11"/>
      <c r="AS38" s="11"/>
      <c r="AT38" s="11"/>
      <c r="AU38" s="11"/>
      <c r="AV38" s="11"/>
      <c r="AW38" s="11"/>
      <c r="AX38" s="11"/>
      <c r="AY38" s="10"/>
      <c r="AZ38" s="9"/>
    </row>
    <row r="39" spans="2:52" ht="13.5" customHeight="1">
      <c r="B39" s="666"/>
      <c r="C39" s="666"/>
      <c r="D39" s="666"/>
      <c r="E39" s="28" t="s">
        <v>130</v>
      </c>
      <c r="F39" s="12"/>
      <c r="G39" s="11"/>
      <c r="H39" s="11"/>
      <c r="I39" s="11"/>
      <c r="J39" s="11"/>
      <c r="K39" s="11"/>
      <c r="L39" s="11"/>
      <c r="M39" s="11"/>
      <c r="N39" s="11"/>
      <c r="O39" s="11"/>
      <c r="P39" s="11"/>
      <c r="Q39" s="11"/>
      <c r="R39" s="32"/>
      <c r="S39" s="32"/>
      <c r="T39" s="32"/>
      <c r="U39" s="32"/>
      <c r="V39" s="32"/>
      <c r="W39" s="32"/>
      <c r="X39" s="29"/>
      <c r="Y39" s="30"/>
      <c r="Z39" s="29"/>
      <c r="AA39" s="29"/>
      <c r="AB39" s="29"/>
      <c r="AC39" s="29"/>
      <c r="AD39" s="29"/>
      <c r="AE39" s="29"/>
      <c r="AF39" s="29"/>
      <c r="AG39" s="29"/>
      <c r="AH39" s="29"/>
      <c r="AI39" s="29"/>
      <c r="AJ39" s="29"/>
      <c r="AK39" s="32"/>
      <c r="AL39" s="32"/>
      <c r="AM39" s="32"/>
      <c r="AN39" s="32"/>
      <c r="AO39" s="32"/>
      <c r="AP39" s="32"/>
      <c r="AQ39" s="29"/>
      <c r="AR39" s="11"/>
      <c r="AS39" s="11"/>
      <c r="AT39" s="11"/>
      <c r="AU39" s="11"/>
      <c r="AV39" s="11"/>
      <c r="AW39" s="11"/>
      <c r="AX39" s="11"/>
      <c r="AY39" s="10"/>
      <c r="AZ39" s="9"/>
    </row>
    <row r="40" spans="2:52" ht="13.5" customHeight="1">
      <c r="B40" s="666"/>
      <c r="C40" s="666"/>
      <c r="D40" s="666"/>
      <c r="E40" s="13" t="s">
        <v>129</v>
      </c>
      <c r="F40" s="12"/>
      <c r="G40" s="11"/>
      <c r="H40" s="11"/>
      <c r="I40" s="11"/>
      <c r="J40" s="11"/>
      <c r="K40" s="11"/>
      <c r="L40" s="11"/>
      <c r="M40" s="11"/>
      <c r="N40" s="11"/>
      <c r="O40" s="11"/>
      <c r="P40" s="11"/>
      <c r="Q40" s="11"/>
      <c r="R40" s="32"/>
      <c r="S40" s="32"/>
      <c r="T40" s="32"/>
      <c r="U40" s="32"/>
      <c r="V40" s="32"/>
      <c r="W40" s="32"/>
      <c r="X40" s="29"/>
      <c r="Y40" s="30"/>
      <c r="Z40" s="29"/>
      <c r="AA40" s="29"/>
      <c r="AB40" s="29"/>
      <c r="AC40" s="29"/>
      <c r="AD40" s="29"/>
      <c r="AE40" s="29"/>
      <c r="AF40" s="29"/>
      <c r="AG40" s="29"/>
      <c r="AH40" s="29"/>
      <c r="AI40" s="29"/>
      <c r="AJ40" s="29"/>
      <c r="AK40" s="29"/>
      <c r="AL40" s="29"/>
      <c r="AM40" s="29"/>
      <c r="AN40" s="29"/>
      <c r="AO40" s="29"/>
      <c r="AP40" s="29"/>
      <c r="AQ40" s="29"/>
      <c r="AR40" s="11"/>
      <c r="AS40" s="11"/>
      <c r="AT40" s="11"/>
      <c r="AU40" s="11"/>
      <c r="AV40" s="11"/>
      <c r="AW40" s="11"/>
      <c r="AX40" s="11"/>
      <c r="AY40" s="10"/>
      <c r="AZ40" s="670"/>
    </row>
    <row r="41" spans="2:52" ht="13.5" customHeight="1">
      <c r="B41" s="666"/>
      <c r="C41" s="666"/>
      <c r="D41" s="666"/>
      <c r="E41" s="13"/>
      <c r="F41" s="12"/>
      <c r="G41" s="11"/>
      <c r="H41" s="11"/>
      <c r="I41" s="11"/>
      <c r="J41" s="11"/>
      <c r="K41" s="11"/>
      <c r="L41" s="11"/>
      <c r="M41" s="11"/>
      <c r="N41" s="11"/>
      <c r="O41" s="11"/>
      <c r="P41" s="11"/>
      <c r="Q41" s="11"/>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11"/>
      <c r="AS41" s="11"/>
      <c r="AT41" s="11"/>
      <c r="AU41" s="11"/>
      <c r="AV41" s="11"/>
      <c r="AW41" s="11"/>
      <c r="AX41" s="11"/>
      <c r="AY41" s="10"/>
      <c r="AZ41" s="666"/>
    </row>
    <row r="42" spans="2:52" ht="13.5" customHeight="1">
      <c r="B42" s="666"/>
      <c r="C42" s="666"/>
      <c r="D42" s="666"/>
      <c r="E42" s="13" t="s">
        <v>65</v>
      </c>
      <c r="F42" s="12"/>
      <c r="G42" s="11"/>
      <c r="H42" s="11"/>
      <c r="I42" s="11"/>
      <c r="J42" s="11"/>
      <c r="K42" s="11"/>
      <c r="L42" s="11"/>
      <c r="M42" s="11"/>
      <c r="N42" s="11"/>
      <c r="O42" s="11"/>
      <c r="P42" s="11"/>
      <c r="Q42" s="11"/>
      <c r="R42" s="31"/>
      <c r="S42" s="31"/>
      <c r="T42" s="31"/>
      <c r="U42" s="31"/>
      <c r="V42" s="31"/>
      <c r="W42" s="31"/>
      <c r="X42" s="29"/>
      <c r="Y42" s="30"/>
      <c r="Z42" s="29"/>
      <c r="AA42" s="29"/>
      <c r="AB42" s="29"/>
      <c r="AC42" s="29"/>
      <c r="AD42" s="29"/>
      <c r="AE42" s="29"/>
      <c r="AF42" s="29"/>
      <c r="AG42" s="29"/>
      <c r="AH42" s="29"/>
      <c r="AI42" s="29"/>
      <c r="AJ42" s="29"/>
      <c r="AK42" s="29"/>
      <c r="AL42" s="29"/>
      <c r="AM42" s="29"/>
      <c r="AN42" s="29"/>
      <c r="AO42" s="29"/>
      <c r="AP42" s="29"/>
      <c r="AQ42" s="29"/>
      <c r="AR42" s="11"/>
      <c r="AS42" s="11"/>
      <c r="AT42" s="11"/>
      <c r="AU42" s="11"/>
      <c r="AV42" s="11"/>
      <c r="AW42" s="11"/>
      <c r="AX42" s="11"/>
      <c r="AY42" s="10"/>
      <c r="AZ42" s="9"/>
    </row>
    <row r="43" spans="2:52" ht="13.5" customHeight="1">
      <c r="B43" s="671"/>
      <c r="C43" s="671"/>
      <c r="D43" s="671"/>
      <c r="E43" s="8"/>
      <c r="F43" s="7"/>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5"/>
      <c r="AZ43" s="4"/>
    </row>
    <row r="44" spans="2:52" ht="13.5" customHeight="1">
      <c r="B44" s="682" t="s">
        <v>128</v>
      </c>
      <c r="C44" s="682">
        <v>1</v>
      </c>
      <c r="D44" s="680" t="s">
        <v>127</v>
      </c>
      <c r="E44" s="691" t="s">
        <v>126</v>
      </c>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92"/>
      <c r="AM44" s="692"/>
      <c r="AN44" s="692"/>
      <c r="AO44" s="692"/>
      <c r="AP44" s="692"/>
      <c r="AQ44" s="692"/>
      <c r="AR44" s="692"/>
      <c r="AS44" s="692"/>
      <c r="AT44" s="692"/>
      <c r="AU44" s="692"/>
      <c r="AV44" s="692"/>
      <c r="AW44" s="692"/>
      <c r="AX44" s="692"/>
      <c r="AY44" s="684"/>
      <c r="AZ44" s="14"/>
    </row>
    <row r="45" spans="2:52" ht="13.5" customHeight="1">
      <c r="B45" s="666"/>
      <c r="C45" s="666"/>
      <c r="D45" s="670"/>
      <c r="E45" s="689"/>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8"/>
      <c r="AU45" s="678"/>
      <c r="AV45" s="678"/>
      <c r="AW45" s="678"/>
      <c r="AX45" s="678"/>
      <c r="AY45" s="685"/>
      <c r="AZ45" s="9"/>
    </row>
    <row r="46" spans="2:52" ht="13.5" customHeight="1">
      <c r="B46" s="666"/>
      <c r="C46" s="671"/>
      <c r="D46" s="681"/>
      <c r="E46" s="693"/>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4"/>
      <c r="AO46" s="694"/>
      <c r="AP46" s="694"/>
      <c r="AQ46" s="694"/>
      <c r="AR46" s="694"/>
      <c r="AS46" s="694"/>
      <c r="AT46" s="694"/>
      <c r="AU46" s="694"/>
      <c r="AV46" s="694"/>
      <c r="AW46" s="694"/>
      <c r="AX46" s="694"/>
      <c r="AY46" s="686"/>
      <c r="AZ46" s="4"/>
    </row>
    <row r="47" spans="2:52" ht="13.5" customHeight="1">
      <c r="B47" s="666"/>
      <c r="C47" s="682">
        <v>2</v>
      </c>
      <c r="D47" s="680" t="s">
        <v>125</v>
      </c>
      <c r="E47" s="691" t="s">
        <v>124</v>
      </c>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W47" s="692"/>
      <c r="AX47" s="692"/>
      <c r="AY47" s="684"/>
      <c r="AZ47" s="14"/>
    </row>
    <row r="48" spans="2:52" ht="13.5" customHeight="1">
      <c r="B48" s="666"/>
      <c r="C48" s="666"/>
      <c r="D48" s="670"/>
      <c r="E48" s="689"/>
      <c r="F48" s="678"/>
      <c r="G48" s="678"/>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c r="AE48" s="678"/>
      <c r="AF48" s="678"/>
      <c r="AG48" s="678"/>
      <c r="AH48" s="678"/>
      <c r="AI48" s="678"/>
      <c r="AJ48" s="678"/>
      <c r="AK48" s="678"/>
      <c r="AL48" s="678"/>
      <c r="AM48" s="678"/>
      <c r="AN48" s="678"/>
      <c r="AO48" s="678"/>
      <c r="AP48" s="678"/>
      <c r="AQ48" s="678"/>
      <c r="AR48" s="678"/>
      <c r="AS48" s="678"/>
      <c r="AT48" s="678"/>
      <c r="AU48" s="678"/>
      <c r="AV48" s="678"/>
      <c r="AW48" s="678"/>
      <c r="AX48" s="678"/>
      <c r="AY48" s="685"/>
      <c r="AZ48" s="9"/>
    </row>
    <row r="49" spans="2:52" ht="13.5" customHeight="1">
      <c r="B49" s="666"/>
      <c r="C49" s="671"/>
      <c r="D49" s="681"/>
      <c r="E49" s="689"/>
      <c r="F49" s="678"/>
      <c r="G49" s="678"/>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c r="AY49" s="685"/>
      <c r="AZ49" s="9"/>
    </row>
    <row r="50" spans="2:52" ht="13.5" customHeight="1">
      <c r="B50" s="666"/>
      <c r="C50" s="682">
        <v>3</v>
      </c>
      <c r="D50" s="690" t="s">
        <v>123</v>
      </c>
      <c r="E50" s="689"/>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c r="AY50" s="685"/>
      <c r="AZ50" s="9"/>
    </row>
    <row r="51" spans="2:52" ht="13.5" customHeight="1">
      <c r="B51" s="666"/>
      <c r="C51" s="671"/>
      <c r="D51" s="690"/>
      <c r="E51" s="693"/>
      <c r="F51" s="694"/>
      <c r="G51" s="694"/>
      <c r="H51" s="694"/>
      <c r="I51" s="694"/>
      <c r="J51" s="694"/>
      <c r="K51" s="694"/>
      <c r="L51" s="694"/>
      <c r="M51" s="694"/>
      <c r="N51" s="694"/>
      <c r="O51" s="694"/>
      <c r="P51" s="694"/>
      <c r="Q51" s="694"/>
      <c r="R51" s="694"/>
      <c r="S51" s="694"/>
      <c r="T51" s="694"/>
      <c r="U51" s="694"/>
      <c r="V51" s="694"/>
      <c r="W51" s="694"/>
      <c r="X51" s="694"/>
      <c r="Y51" s="694"/>
      <c r="Z51" s="694"/>
      <c r="AA51" s="694"/>
      <c r="AB51" s="694"/>
      <c r="AC51" s="694"/>
      <c r="AD51" s="694"/>
      <c r="AE51" s="694"/>
      <c r="AF51" s="694"/>
      <c r="AG51" s="694"/>
      <c r="AH51" s="694"/>
      <c r="AI51" s="694"/>
      <c r="AJ51" s="694"/>
      <c r="AK51" s="694"/>
      <c r="AL51" s="694"/>
      <c r="AM51" s="694"/>
      <c r="AN51" s="694"/>
      <c r="AO51" s="694"/>
      <c r="AP51" s="694"/>
      <c r="AQ51" s="694"/>
      <c r="AR51" s="694"/>
      <c r="AS51" s="694"/>
      <c r="AT51" s="694"/>
      <c r="AU51" s="694"/>
      <c r="AV51" s="694"/>
      <c r="AW51" s="694"/>
      <c r="AX51" s="694"/>
      <c r="AY51" s="686"/>
      <c r="AZ51" s="4"/>
    </row>
    <row r="52" spans="2:52" ht="13.5" customHeight="1">
      <c r="B52" s="666"/>
      <c r="C52" s="682">
        <v>4</v>
      </c>
      <c r="D52" s="690" t="s">
        <v>122</v>
      </c>
      <c r="E52" s="688" t="s">
        <v>121</v>
      </c>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9"/>
    </row>
    <row r="53" spans="2:52" ht="13.5" customHeight="1">
      <c r="B53" s="666"/>
      <c r="C53" s="671"/>
      <c r="D53" s="690"/>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688"/>
      <c r="AX53" s="688"/>
      <c r="AY53" s="688"/>
      <c r="AZ53" s="9"/>
    </row>
    <row r="54" spans="2:52" ht="13.5" customHeight="1">
      <c r="B54" s="666"/>
      <c r="C54" s="682">
        <v>5</v>
      </c>
      <c r="D54" s="690" t="s">
        <v>120</v>
      </c>
      <c r="E54" s="688" t="s">
        <v>119</v>
      </c>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88"/>
      <c r="AH54" s="688"/>
      <c r="AI54" s="688"/>
      <c r="AJ54" s="688"/>
      <c r="AK54" s="688"/>
      <c r="AL54" s="688"/>
      <c r="AM54" s="688"/>
      <c r="AN54" s="688"/>
      <c r="AO54" s="688"/>
      <c r="AP54" s="688"/>
      <c r="AQ54" s="688"/>
      <c r="AR54" s="688"/>
      <c r="AS54" s="688"/>
      <c r="AT54" s="688"/>
      <c r="AU54" s="688"/>
      <c r="AV54" s="688"/>
      <c r="AW54" s="688"/>
      <c r="AX54" s="688"/>
      <c r="AY54" s="688"/>
      <c r="AZ54" s="14"/>
    </row>
    <row r="55" spans="2:52" ht="13.5" customHeight="1">
      <c r="B55" s="666"/>
      <c r="C55" s="671"/>
      <c r="D55" s="690"/>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688"/>
      <c r="AC55" s="688"/>
      <c r="AD55" s="688"/>
      <c r="AE55" s="688"/>
      <c r="AF55" s="688"/>
      <c r="AG55" s="688"/>
      <c r="AH55" s="688"/>
      <c r="AI55" s="688"/>
      <c r="AJ55" s="688"/>
      <c r="AK55" s="688"/>
      <c r="AL55" s="688"/>
      <c r="AM55" s="688"/>
      <c r="AN55" s="688"/>
      <c r="AO55" s="688"/>
      <c r="AP55" s="688"/>
      <c r="AQ55" s="688"/>
      <c r="AR55" s="688"/>
      <c r="AS55" s="688"/>
      <c r="AT55" s="688"/>
      <c r="AU55" s="688"/>
      <c r="AV55" s="688"/>
      <c r="AW55" s="688"/>
      <c r="AX55" s="688"/>
      <c r="AY55" s="688"/>
      <c r="AZ55" s="4"/>
    </row>
    <row r="56" spans="2:52" ht="13.5" customHeight="1">
      <c r="B56" s="666"/>
      <c r="C56" s="682">
        <v>6</v>
      </c>
      <c r="D56" s="690" t="s">
        <v>118</v>
      </c>
      <c r="E56" s="688" t="s">
        <v>94</v>
      </c>
      <c r="F56" s="688"/>
      <c r="G56" s="688"/>
      <c r="H56" s="688"/>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688"/>
      <c r="AX56" s="688"/>
      <c r="AY56" s="688"/>
      <c r="AZ56" s="9"/>
    </row>
    <row r="57" spans="2:52" ht="13.5" customHeight="1">
      <c r="B57" s="666"/>
      <c r="C57" s="671"/>
      <c r="D57" s="690"/>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688"/>
      <c r="AC57" s="688"/>
      <c r="AD57" s="688"/>
      <c r="AE57" s="688"/>
      <c r="AF57" s="688"/>
      <c r="AG57" s="688"/>
      <c r="AH57" s="688"/>
      <c r="AI57" s="688"/>
      <c r="AJ57" s="688"/>
      <c r="AK57" s="688"/>
      <c r="AL57" s="688"/>
      <c r="AM57" s="688"/>
      <c r="AN57" s="688"/>
      <c r="AO57" s="688"/>
      <c r="AP57" s="688"/>
      <c r="AQ57" s="688"/>
      <c r="AR57" s="688"/>
      <c r="AS57" s="688"/>
      <c r="AT57" s="688"/>
      <c r="AU57" s="688"/>
      <c r="AV57" s="688"/>
      <c r="AW57" s="688"/>
      <c r="AX57" s="688"/>
      <c r="AY57" s="688"/>
      <c r="AZ57" s="9"/>
    </row>
    <row r="58" spans="2:52" ht="13.5" customHeight="1">
      <c r="B58" s="666"/>
      <c r="C58" s="682">
        <v>7</v>
      </c>
      <c r="D58" s="680" t="s">
        <v>117</v>
      </c>
      <c r="E58" s="18"/>
      <c r="F58" s="17"/>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5"/>
      <c r="AZ58" s="14"/>
    </row>
    <row r="59" spans="2:52" ht="13.5" customHeight="1">
      <c r="B59" s="666"/>
      <c r="C59" s="666"/>
      <c r="D59" s="670"/>
      <c r="E59" s="28" t="s">
        <v>116</v>
      </c>
      <c r="F59" s="12"/>
      <c r="G59" s="12"/>
      <c r="H59" s="12"/>
      <c r="I59" s="12"/>
      <c r="J59" s="12"/>
      <c r="K59" s="12"/>
      <c r="L59" s="12"/>
      <c r="M59" s="12"/>
      <c r="N59" s="12"/>
      <c r="O59" s="12"/>
      <c r="P59" s="12"/>
      <c r="Q59" s="11"/>
      <c r="R59" s="687">
        <f>基礎数値!E11</f>
        <v>1120996</v>
      </c>
      <c r="S59" s="687"/>
      <c r="T59" s="687"/>
      <c r="U59" s="687"/>
      <c r="V59" s="687"/>
      <c r="W59" s="687"/>
      <c r="X59" s="11"/>
      <c r="Y59" s="19" t="s">
        <v>114</v>
      </c>
      <c r="Z59" s="11"/>
      <c r="AA59" s="11"/>
      <c r="AB59" s="11"/>
      <c r="AC59" s="11"/>
      <c r="AD59" s="11"/>
      <c r="AE59" s="11"/>
      <c r="AF59" s="11"/>
      <c r="AG59" s="11"/>
      <c r="AH59" s="11"/>
      <c r="AI59" s="12"/>
      <c r="AJ59" s="11"/>
      <c r="AK59" s="11"/>
      <c r="AL59" s="11"/>
      <c r="AM59" s="11"/>
      <c r="AN59" s="11"/>
      <c r="AO59" s="11"/>
      <c r="AP59" s="11"/>
      <c r="AQ59" s="11"/>
      <c r="AR59" s="11"/>
      <c r="AS59" s="11"/>
      <c r="AT59" s="11"/>
      <c r="AU59" s="11"/>
      <c r="AV59" s="11"/>
      <c r="AW59" s="11"/>
      <c r="AX59" s="11"/>
      <c r="AY59" s="10"/>
      <c r="AZ59" s="9"/>
    </row>
    <row r="60" spans="2:52" ht="13.5" customHeight="1">
      <c r="B60" s="666"/>
      <c r="C60" s="666"/>
      <c r="D60" s="670"/>
      <c r="E60" s="28" t="s">
        <v>115</v>
      </c>
      <c r="F60" s="11"/>
      <c r="G60" s="11"/>
      <c r="H60" s="11"/>
      <c r="I60" s="11"/>
      <c r="J60" s="11"/>
      <c r="K60" s="11"/>
      <c r="L60" s="11"/>
      <c r="M60" s="11"/>
      <c r="N60" s="11"/>
      <c r="O60" s="11"/>
      <c r="P60" s="11"/>
      <c r="Q60" s="11"/>
      <c r="R60" s="687">
        <f>基礎数値!E12</f>
        <v>0</v>
      </c>
      <c r="S60" s="687"/>
      <c r="T60" s="687"/>
      <c r="U60" s="687"/>
      <c r="V60" s="687"/>
      <c r="W60" s="687"/>
      <c r="X60" s="11"/>
      <c r="Y60" s="19" t="s">
        <v>114</v>
      </c>
      <c r="Z60" s="11"/>
      <c r="AA60" s="11"/>
      <c r="AB60" s="11"/>
      <c r="AC60" s="11"/>
      <c r="AD60" s="11"/>
      <c r="AE60" s="11"/>
      <c r="AF60" s="11"/>
      <c r="AG60" s="11"/>
      <c r="AH60" s="11"/>
      <c r="AI60" s="11"/>
      <c r="AJ60" s="11" t="s">
        <v>85</v>
      </c>
      <c r="AK60" s="665">
        <f>R59+R60</f>
        <v>1120996</v>
      </c>
      <c r="AL60" s="665"/>
      <c r="AM60" s="665"/>
      <c r="AN60" s="665"/>
      <c r="AO60" s="665"/>
      <c r="AP60" s="665"/>
      <c r="AQ60" s="11" t="s">
        <v>113</v>
      </c>
      <c r="AR60" s="11"/>
      <c r="AS60" s="11"/>
      <c r="AT60" s="11"/>
      <c r="AU60" s="11"/>
      <c r="AV60" s="11"/>
      <c r="AW60" s="11"/>
      <c r="AX60" s="11"/>
      <c r="AY60" s="10"/>
      <c r="AZ60" s="9"/>
    </row>
    <row r="61" spans="2:52" ht="13.5" customHeight="1">
      <c r="B61" s="666"/>
      <c r="C61" s="666"/>
      <c r="D61" s="670"/>
      <c r="E61" s="13"/>
      <c r="F61" s="12"/>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0"/>
      <c r="AZ61" s="9"/>
    </row>
    <row r="62" spans="2:52" ht="13.5" customHeight="1">
      <c r="B62" s="666"/>
      <c r="C62" s="666"/>
      <c r="D62" s="670"/>
      <c r="E62" s="513"/>
      <c r="F62" s="12"/>
      <c r="G62" s="510"/>
      <c r="H62" s="510"/>
      <c r="I62" s="510"/>
      <c r="J62" s="510"/>
      <c r="K62" s="510"/>
      <c r="L62" s="510"/>
      <c r="M62" s="510"/>
      <c r="N62" s="510"/>
      <c r="O62" s="510"/>
      <c r="P62" s="510"/>
      <c r="Q62" s="510"/>
      <c r="R62" s="510"/>
      <c r="S62" s="510"/>
      <c r="T62" s="510"/>
      <c r="U62" s="510"/>
      <c r="V62" s="510"/>
      <c r="W62" s="510"/>
      <c r="X62" s="510"/>
      <c r="Y62" s="510"/>
      <c r="Z62" s="510"/>
      <c r="AA62" s="510"/>
      <c r="AB62" s="510"/>
      <c r="AC62" s="510"/>
      <c r="AD62" s="510"/>
      <c r="AE62" s="510"/>
      <c r="AF62" s="510"/>
      <c r="AG62" s="510"/>
      <c r="AH62" s="510"/>
      <c r="AI62" s="510"/>
      <c r="AJ62" s="510"/>
      <c r="AK62" s="510"/>
      <c r="AL62" s="510"/>
      <c r="AM62" s="510"/>
      <c r="AN62" s="510"/>
      <c r="AO62" s="510"/>
      <c r="AP62" s="510"/>
      <c r="AQ62" s="510"/>
      <c r="AR62" s="510"/>
      <c r="AS62" s="510"/>
      <c r="AT62" s="510"/>
      <c r="AU62" s="510"/>
      <c r="AV62" s="510"/>
      <c r="AW62" s="510"/>
      <c r="AX62" s="510"/>
      <c r="AY62" s="512"/>
      <c r="AZ62" s="509"/>
    </row>
    <row r="63" spans="2:52" ht="13.5" customHeight="1">
      <c r="B63" s="666"/>
      <c r="C63" s="666"/>
      <c r="D63" s="670"/>
      <c r="E63" s="513"/>
      <c r="F63" s="12"/>
      <c r="G63" s="510"/>
      <c r="H63" s="510"/>
      <c r="I63" s="510"/>
      <c r="J63" s="510"/>
      <c r="K63" s="510"/>
      <c r="L63" s="510"/>
      <c r="M63" s="510"/>
      <c r="N63" s="510"/>
      <c r="O63" s="510"/>
      <c r="P63" s="510"/>
      <c r="Q63" s="510"/>
      <c r="R63" s="510"/>
      <c r="S63" s="510"/>
      <c r="T63" s="510"/>
      <c r="U63" s="510"/>
      <c r="V63" s="510"/>
      <c r="W63" s="510"/>
      <c r="X63" s="510"/>
      <c r="Y63" s="510"/>
      <c r="Z63" s="510"/>
      <c r="AA63" s="510"/>
      <c r="AB63" s="510"/>
      <c r="AC63" s="510"/>
      <c r="AD63" s="510"/>
      <c r="AE63" s="510"/>
      <c r="AF63" s="510"/>
      <c r="AG63" s="510"/>
      <c r="AH63" s="510"/>
      <c r="AI63" s="510"/>
      <c r="AJ63" s="510"/>
      <c r="AK63" s="510"/>
      <c r="AL63" s="510"/>
      <c r="AM63" s="510"/>
      <c r="AN63" s="510"/>
      <c r="AO63" s="510"/>
      <c r="AP63" s="510"/>
      <c r="AQ63" s="510"/>
      <c r="AR63" s="510"/>
      <c r="AS63" s="510"/>
      <c r="AT63" s="510"/>
      <c r="AU63" s="510"/>
      <c r="AV63" s="510"/>
      <c r="AW63" s="510"/>
      <c r="AX63" s="510"/>
      <c r="AY63" s="512"/>
      <c r="AZ63" s="509"/>
    </row>
    <row r="64" spans="2:52" ht="13.5" customHeight="1">
      <c r="B64" s="666"/>
      <c r="C64" s="666"/>
      <c r="D64" s="670"/>
      <c r="E64" s="28" t="s">
        <v>112</v>
      </c>
      <c r="F64" s="12"/>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0"/>
      <c r="AZ64" s="9"/>
    </row>
    <row r="65" spans="2:52" ht="13.5" customHeight="1">
      <c r="B65" s="666"/>
      <c r="C65" s="666"/>
      <c r="D65" s="670"/>
      <c r="E65" s="13"/>
      <c r="F65" s="12"/>
      <c r="G65" s="11"/>
      <c r="H65" s="12" t="s">
        <v>111</v>
      </c>
      <c r="I65" s="11"/>
      <c r="J65" s="11"/>
      <c r="K65" s="11"/>
      <c r="L65" s="11"/>
      <c r="M65" s="11"/>
      <c r="N65" s="11"/>
      <c r="O65" s="11"/>
      <c r="P65" s="11"/>
      <c r="Q65" s="11"/>
      <c r="R65" s="687">
        <f>基礎数値!E14</f>
        <v>1120996</v>
      </c>
      <c r="S65" s="687"/>
      <c r="T65" s="687"/>
      <c r="U65" s="687"/>
      <c r="V65" s="687"/>
      <c r="W65" s="687"/>
      <c r="X65" s="11" t="s">
        <v>110</v>
      </c>
      <c r="Y65" s="19" t="s">
        <v>109</v>
      </c>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0"/>
      <c r="AZ65" s="9"/>
    </row>
    <row r="66" spans="2:52" ht="13.5" customHeight="1">
      <c r="B66" s="666"/>
      <c r="C66" s="666"/>
      <c r="D66" s="670"/>
      <c r="E66" s="13"/>
      <c r="F66" s="12"/>
      <c r="G66" s="11"/>
      <c r="H66" s="12" t="s">
        <v>108</v>
      </c>
      <c r="I66" s="11"/>
      <c r="J66" s="11"/>
      <c r="K66" s="11"/>
      <c r="L66" s="11"/>
      <c r="M66" s="11"/>
      <c r="N66" s="11"/>
      <c r="O66" s="11"/>
      <c r="P66" s="11"/>
      <c r="Q66" s="11"/>
      <c r="R66" s="695">
        <f>R24</f>
        <v>0</v>
      </c>
      <c r="S66" s="695"/>
      <c r="T66" s="695"/>
      <c r="U66" s="695"/>
      <c r="V66" s="695"/>
      <c r="W66" s="695"/>
      <c r="X66" s="11"/>
      <c r="Y66" s="19" t="s">
        <v>107</v>
      </c>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0"/>
      <c r="AZ66" s="9"/>
    </row>
    <row r="67" spans="2:52" ht="13.5" customHeight="1" thickBot="1">
      <c r="B67" s="666"/>
      <c r="C67" s="666"/>
      <c r="D67" s="670"/>
      <c r="E67" s="13"/>
      <c r="F67" s="12"/>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0"/>
      <c r="AZ67" s="9"/>
    </row>
    <row r="68" spans="2:52" ht="13.5" customHeight="1" thickTop="1" thickBot="1">
      <c r="B68" s="666"/>
      <c r="C68" s="666"/>
      <c r="D68" s="670"/>
      <c r="E68" s="28" t="s">
        <v>106</v>
      </c>
      <c r="F68" s="12"/>
      <c r="G68" s="11"/>
      <c r="H68" s="11"/>
      <c r="I68" s="11"/>
      <c r="J68" s="11"/>
      <c r="K68" s="11"/>
      <c r="L68" s="11"/>
      <c r="M68" s="11"/>
      <c r="N68" s="11"/>
      <c r="O68" s="11"/>
      <c r="P68" s="11"/>
      <c r="Q68" s="11"/>
      <c r="R68" s="11"/>
      <c r="S68" s="11"/>
      <c r="T68" s="675">
        <f>AK60-R65-R66</f>
        <v>0</v>
      </c>
      <c r="U68" s="676"/>
      <c r="V68" s="676"/>
      <c r="W68" s="676"/>
      <c r="X68" s="676"/>
      <c r="Y68" s="677"/>
      <c r="Z68" s="11"/>
      <c r="AA68" s="19" t="s">
        <v>105</v>
      </c>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0"/>
      <c r="AZ68" s="487" t="s">
        <v>827</v>
      </c>
    </row>
    <row r="69" spans="2:52" ht="13.5" customHeight="1" thickTop="1" thickBot="1">
      <c r="B69" s="666"/>
      <c r="C69" s="666"/>
      <c r="D69" s="670"/>
      <c r="E69" s="13"/>
      <c r="F69" s="12"/>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0"/>
      <c r="AZ69" s="487"/>
    </row>
    <row r="70" spans="2:52" ht="13.5" customHeight="1" thickTop="1" thickBot="1">
      <c r="B70" s="666"/>
      <c r="C70" s="666"/>
      <c r="D70" s="670"/>
      <c r="E70" s="28" t="s">
        <v>103</v>
      </c>
      <c r="F70" s="12"/>
      <c r="G70" s="11"/>
      <c r="H70" s="11"/>
      <c r="I70" s="11"/>
      <c r="J70" s="11"/>
      <c r="K70" s="11"/>
      <c r="L70" s="11"/>
      <c r="M70" s="11"/>
      <c r="N70" s="11"/>
      <c r="O70" s="11"/>
      <c r="P70" s="11"/>
      <c r="Q70" s="11"/>
      <c r="R70" s="11"/>
      <c r="S70" s="11"/>
      <c r="T70" s="675">
        <f>ROUNDDOWN((AK60-R65-R66)*4/105,0)</f>
        <v>0</v>
      </c>
      <c r="U70" s="676"/>
      <c r="V70" s="676"/>
      <c r="W70" s="676"/>
      <c r="X70" s="676"/>
      <c r="Y70" s="677"/>
      <c r="Z70" s="11" t="s">
        <v>102</v>
      </c>
      <c r="AA70" s="483" t="s">
        <v>804</v>
      </c>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0"/>
      <c r="AZ70" s="487" t="s">
        <v>828</v>
      </c>
    </row>
    <row r="71" spans="2:52" ht="13.5" customHeight="1" thickTop="1">
      <c r="B71" s="671"/>
      <c r="C71" s="671"/>
      <c r="D71" s="681"/>
      <c r="E71" s="8"/>
      <c r="F71" s="7"/>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5"/>
      <c r="AZ71" s="4"/>
    </row>
    <row r="72" spans="2:52" ht="13.5" customHeight="1">
      <c r="B72" s="680" t="s">
        <v>100</v>
      </c>
      <c r="C72" s="682">
        <v>1</v>
      </c>
      <c r="D72" s="690" t="s">
        <v>99</v>
      </c>
      <c r="E72" s="688" t="s">
        <v>98</v>
      </c>
      <c r="F72" s="688"/>
      <c r="G72" s="688"/>
      <c r="H72" s="688"/>
      <c r="I72" s="688"/>
      <c r="J72" s="688"/>
      <c r="K72" s="688"/>
      <c r="L72" s="688"/>
      <c r="M72" s="688"/>
      <c r="N72" s="688"/>
      <c r="O72" s="688"/>
      <c r="P72" s="688"/>
      <c r="Q72" s="688"/>
      <c r="R72" s="688"/>
      <c r="S72" s="688"/>
      <c r="T72" s="688"/>
      <c r="U72" s="688"/>
      <c r="V72" s="688"/>
      <c r="W72" s="688"/>
      <c r="X72" s="688"/>
      <c r="Y72" s="688"/>
      <c r="Z72" s="688"/>
      <c r="AA72" s="688"/>
      <c r="AB72" s="688"/>
      <c r="AC72" s="688"/>
      <c r="AD72" s="688"/>
      <c r="AE72" s="688"/>
      <c r="AF72" s="688"/>
      <c r="AG72" s="688"/>
      <c r="AH72" s="688"/>
      <c r="AI72" s="688"/>
      <c r="AJ72" s="688"/>
      <c r="AK72" s="688"/>
      <c r="AL72" s="688"/>
      <c r="AM72" s="688"/>
      <c r="AN72" s="688"/>
      <c r="AO72" s="688"/>
      <c r="AP72" s="688"/>
      <c r="AQ72" s="688"/>
      <c r="AR72" s="688"/>
      <c r="AS72" s="688"/>
      <c r="AT72" s="688"/>
      <c r="AU72" s="688"/>
      <c r="AV72" s="688"/>
      <c r="AW72" s="688"/>
      <c r="AX72" s="688"/>
      <c r="AY72" s="688"/>
      <c r="AZ72" s="14"/>
    </row>
    <row r="73" spans="2:52" ht="13.5" customHeight="1">
      <c r="B73" s="670"/>
      <c r="C73" s="671"/>
      <c r="D73" s="690"/>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688"/>
      <c r="AC73" s="688"/>
      <c r="AD73" s="688"/>
      <c r="AE73" s="688"/>
      <c r="AF73" s="688"/>
      <c r="AG73" s="688"/>
      <c r="AH73" s="688"/>
      <c r="AI73" s="688"/>
      <c r="AJ73" s="688"/>
      <c r="AK73" s="688"/>
      <c r="AL73" s="688"/>
      <c r="AM73" s="688"/>
      <c r="AN73" s="688"/>
      <c r="AO73" s="688"/>
      <c r="AP73" s="688"/>
      <c r="AQ73" s="688"/>
      <c r="AR73" s="688"/>
      <c r="AS73" s="688"/>
      <c r="AT73" s="688"/>
      <c r="AU73" s="688"/>
      <c r="AV73" s="688"/>
      <c r="AW73" s="688"/>
      <c r="AX73" s="688"/>
      <c r="AY73" s="688"/>
      <c r="AZ73" s="9"/>
    </row>
    <row r="74" spans="2:52" ht="13.5" customHeight="1">
      <c r="B74" s="670"/>
      <c r="C74" s="682">
        <v>2</v>
      </c>
      <c r="D74" s="690" t="s">
        <v>97</v>
      </c>
      <c r="E74" s="688" t="s">
        <v>96</v>
      </c>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9"/>
    </row>
    <row r="75" spans="2:52" ht="13.5" customHeight="1">
      <c r="B75" s="670"/>
      <c r="C75" s="666"/>
      <c r="D75" s="690"/>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688"/>
      <c r="AC75" s="688"/>
      <c r="AD75" s="688"/>
      <c r="AE75" s="688"/>
      <c r="AF75" s="688"/>
      <c r="AG75" s="688"/>
      <c r="AH75" s="688"/>
      <c r="AI75" s="688"/>
      <c r="AJ75" s="688"/>
      <c r="AK75" s="688"/>
      <c r="AL75" s="688"/>
      <c r="AM75" s="688"/>
      <c r="AN75" s="688"/>
      <c r="AO75" s="688"/>
      <c r="AP75" s="688"/>
      <c r="AQ75" s="688"/>
      <c r="AR75" s="688"/>
      <c r="AS75" s="688"/>
      <c r="AT75" s="688"/>
      <c r="AU75" s="688"/>
      <c r="AV75" s="688"/>
      <c r="AW75" s="688"/>
      <c r="AX75" s="688"/>
      <c r="AY75" s="688"/>
      <c r="AZ75" s="9"/>
    </row>
    <row r="76" spans="2:52" ht="13.5" customHeight="1">
      <c r="B76" s="670"/>
      <c r="C76" s="671"/>
      <c r="D76" s="690"/>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688"/>
      <c r="AC76" s="688"/>
      <c r="AD76" s="688"/>
      <c r="AE76" s="688"/>
      <c r="AF76" s="688"/>
      <c r="AG76" s="688"/>
      <c r="AH76" s="688"/>
      <c r="AI76" s="688"/>
      <c r="AJ76" s="688"/>
      <c r="AK76" s="688"/>
      <c r="AL76" s="688"/>
      <c r="AM76" s="688"/>
      <c r="AN76" s="688"/>
      <c r="AO76" s="688"/>
      <c r="AP76" s="688"/>
      <c r="AQ76" s="688"/>
      <c r="AR76" s="688"/>
      <c r="AS76" s="688"/>
      <c r="AT76" s="688"/>
      <c r="AU76" s="688"/>
      <c r="AV76" s="688"/>
      <c r="AW76" s="688"/>
      <c r="AX76" s="688"/>
      <c r="AY76" s="688"/>
      <c r="AZ76" s="9"/>
    </row>
    <row r="77" spans="2:52" ht="13.5" customHeight="1">
      <c r="B77" s="670"/>
      <c r="C77" s="682">
        <v>3</v>
      </c>
      <c r="D77" s="690" t="s">
        <v>95</v>
      </c>
      <c r="E77" s="688" t="s">
        <v>94</v>
      </c>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8"/>
      <c r="AN77" s="688"/>
      <c r="AO77" s="688"/>
      <c r="AP77" s="688"/>
      <c r="AQ77" s="688"/>
      <c r="AR77" s="688"/>
      <c r="AS77" s="688"/>
      <c r="AT77" s="688"/>
      <c r="AU77" s="688"/>
      <c r="AV77" s="688"/>
      <c r="AW77" s="688"/>
      <c r="AX77" s="688"/>
      <c r="AY77" s="688"/>
      <c r="AZ77" s="9"/>
    </row>
    <row r="78" spans="2:52" ht="13.5" customHeight="1">
      <c r="B78" s="670"/>
      <c r="C78" s="666"/>
      <c r="D78" s="690"/>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8"/>
      <c r="AN78" s="688"/>
      <c r="AO78" s="688"/>
      <c r="AP78" s="688"/>
      <c r="AQ78" s="688"/>
      <c r="AR78" s="688"/>
      <c r="AS78" s="688"/>
      <c r="AT78" s="688"/>
      <c r="AU78" s="688"/>
      <c r="AV78" s="688"/>
      <c r="AW78" s="688"/>
      <c r="AX78" s="688"/>
      <c r="AY78" s="688"/>
      <c r="AZ78" s="9"/>
    </row>
    <row r="79" spans="2:52" ht="13.5" customHeight="1">
      <c r="B79" s="670"/>
      <c r="C79" s="666"/>
      <c r="D79" s="690"/>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8"/>
      <c r="AN79" s="688"/>
      <c r="AO79" s="688"/>
      <c r="AP79" s="688"/>
      <c r="AQ79" s="688"/>
      <c r="AR79" s="688"/>
      <c r="AS79" s="688"/>
      <c r="AT79" s="688"/>
      <c r="AU79" s="688"/>
      <c r="AV79" s="688"/>
      <c r="AW79" s="688"/>
      <c r="AX79" s="688"/>
      <c r="AY79" s="688"/>
      <c r="AZ79" s="9"/>
    </row>
    <row r="80" spans="2:52" ht="13.5" customHeight="1">
      <c r="B80" s="670"/>
      <c r="C80" s="671"/>
      <c r="D80" s="690"/>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8"/>
      <c r="AN80" s="688"/>
      <c r="AO80" s="688"/>
      <c r="AP80" s="688"/>
      <c r="AQ80" s="688"/>
      <c r="AR80" s="688"/>
      <c r="AS80" s="688"/>
      <c r="AT80" s="688"/>
      <c r="AU80" s="688"/>
      <c r="AV80" s="688"/>
      <c r="AW80" s="688"/>
      <c r="AX80" s="688"/>
      <c r="AY80" s="688"/>
      <c r="AZ80" s="9"/>
    </row>
    <row r="81" spans="2:52" ht="13.5" customHeight="1">
      <c r="B81" s="670"/>
      <c r="C81" s="682">
        <v>4</v>
      </c>
      <c r="D81" s="690" t="s">
        <v>93</v>
      </c>
      <c r="E81" s="688" t="s">
        <v>92</v>
      </c>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8"/>
      <c r="AN81" s="688"/>
      <c r="AO81" s="688"/>
      <c r="AP81" s="688"/>
      <c r="AQ81" s="688"/>
      <c r="AR81" s="688"/>
      <c r="AS81" s="688"/>
      <c r="AT81" s="688"/>
      <c r="AU81" s="688"/>
      <c r="AV81" s="688"/>
      <c r="AW81" s="688"/>
      <c r="AX81" s="688"/>
      <c r="AY81" s="688"/>
      <c r="AZ81" s="9"/>
    </row>
    <row r="82" spans="2:52" ht="13.5" customHeight="1">
      <c r="B82" s="670"/>
      <c r="C82" s="666"/>
      <c r="D82" s="690"/>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88"/>
      <c r="AM82" s="688"/>
      <c r="AN82" s="688"/>
      <c r="AO82" s="688"/>
      <c r="AP82" s="688"/>
      <c r="AQ82" s="688"/>
      <c r="AR82" s="688"/>
      <c r="AS82" s="688"/>
      <c r="AT82" s="688"/>
      <c r="AU82" s="688"/>
      <c r="AV82" s="688"/>
      <c r="AW82" s="688"/>
      <c r="AX82" s="688"/>
      <c r="AY82" s="688"/>
      <c r="AZ82" s="9"/>
    </row>
    <row r="83" spans="2:52" ht="13.5" customHeight="1">
      <c r="B83" s="670"/>
      <c r="C83" s="671"/>
      <c r="D83" s="690"/>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88"/>
      <c r="AM83" s="688"/>
      <c r="AN83" s="688"/>
      <c r="AO83" s="688"/>
      <c r="AP83" s="688"/>
      <c r="AQ83" s="688"/>
      <c r="AR83" s="688"/>
      <c r="AS83" s="688"/>
      <c r="AT83" s="688"/>
      <c r="AU83" s="688"/>
      <c r="AV83" s="688"/>
      <c r="AW83" s="688"/>
      <c r="AX83" s="688"/>
      <c r="AY83" s="688"/>
      <c r="AZ83" s="9"/>
    </row>
    <row r="84" spans="2:52" ht="13.5" customHeight="1">
      <c r="B84" s="670"/>
      <c r="C84" s="682">
        <v>5</v>
      </c>
      <c r="D84" s="690" t="s">
        <v>91</v>
      </c>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688"/>
      <c r="AC84" s="688"/>
      <c r="AD84" s="688"/>
      <c r="AE84" s="688"/>
      <c r="AF84" s="688"/>
      <c r="AG84" s="688"/>
      <c r="AH84" s="688"/>
      <c r="AI84" s="688"/>
      <c r="AJ84" s="688"/>
      <c r="AK84" s="688"/>
      <c r="AL84" s="688"/>
      <c r="AM84" s="688"/>
      <c r="AN84" s="688"/>
      <c r="AO84" s="688"/>
      <c r="AP84" s="688"/>
      <c r="AQ84" s="688"/>
      <c r="AR84" s="688"/>
      <c r="AS84" s="688"/>
      <c r="AT84" s="688"/>
      <c r="AU84" s="688"/>
      <c r="AV84" s="688"/>
      <c r="AW84" s="688"/>
      <c r="AX84" s="688"/>
      <c r="AY84" s="688"/>
      <c r="AZ84" s="9"/>
    </row>
    <row r="85" spans="2:52" ht="13.5" customHeight="1">
      <c r="B85" s="670"/>
      <c r="C85" s="666"/>
      <c r="D85" s="690"/>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688"/>
      <c r="AC85" s="688"/>
      <c r="AD85" s="688"/>
      <c r="AE85" s="688"/>
      <c r="AF85" s="688"/>
      <c r="AG85" s="688"/>
      <c r="AH85" s="688"/>
      <c r="AI85" s="688"/>
      <c r="AJ85" s="688"/>
      <c r="AK85" s="688"/>
      <c r="AL85" s="688"/>
      <c r="AM85" s="688"/>
      <c r="AN85" s="688"/>
      <c r="AO85" s="688"/>
      <c r="AP85" s="688"/>
      <c r="AQ85" s="688"/>
      <c r="AR85" s="688"/>
      <c r="AS85" s="688"/>
      <c r="AT85" s="688"/>
      <c r="AU85" s="688"/>
      <c r="AV85" s="688"/>
      <c r="AW85" s="688"/>
      <c r="AX85" s="688"/>
      <c r="AY85" s="688"/>
      <c r="AZ85" s="9"/>
    </row>
    <row r="86" spans="2:52" ht="13.5" customHeight="1">
      <c r="B86" s="681"/>
      <c r="C86" s="671"/>
      <c r="D86" s="690"/>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688"/>
      <c r="AC86" s="688"/>
      <c r="AD86" s="688"/>
      <c r="AE86" s="688"/>
      <c r="AF86" s="688"/>
      <c r="AG86" s="688"/>
      <c r="AH86" s="688"/>
      <c r="AI86" s="688"/>
      <c r="AJ86" s="688"/>
      <c r="AK86" s="688"/>
      <c r="AL86" s="688"/>
      <c r="AM86" s="688"/>
      <c r="AN86" s="688"/>
      <c r="AO86" s="688"/>
      <c r="AP86" s="688"/>
      <c r="AQ86" s="688"/>
      <c r="AR86" s="688"/>
      <c r="AS86" s="688"/>
      <c r="AT86" s="688"/>
      <c r="AU86" s="688"/>
      <c r="AV86" s="688"/>
      <c r="AW86" s="688"/>
      <c r="AX86" s="688"/>
      <c r="AY86" s="688"/>
      <c r="AZ86" s="4"/>
    </row>
    <row r="87" spans="2:52" ht="13.5" customHeight="1">
      <c r="B87" s="680" t="s">
        <v>90</v>
      </c>
      <c r="C87" s="684">
        <v>1</v>
      </c>
      <c r="D87" s="680" t="s">
        <v>89</v>
      </c>
      <c r="E87" s="18"/>
      <c r="F87" s="17"/>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5"/>
      <c r="AZ87" s="662"/>
    </row>
    <row r="88" spans="2:52" ht="13.5" customHeight="1">
      <c r="B88" s="670"/>
      <c r="C88" s="685"/>
      <c r="D88" s="670"/>
      <c r="E88" s="28" t="s">
        <v>88</v>
      </c>
      <c r="F88" s="12"/>
      <c r="G88" s="12"/>
      <c r="H88" s="12"/>
      <c r="I88" s="12"/>
      <c r="J88" s="12"/>
      <c r="K88" s="12"/>
      <c r="L88" s="12"/>
      <c r="M88" s="12"/>
      <c r="N88" s="12"/>
      <c r="O88" s="12"/>
      <c r="P88" s="687">
        <f>基礎数値!E18</f>
        <v>0</v>
      </c>
      <c r="Q88" s="687"/>
      <c r="R88" s="687"/>
      <c r="S88" s="687"/>
      <c r="T88" s="687"/>
      <c r="U88" s="687"/>
      <c r="V88" s="11"/>
      <c r="W88" s="19" t="s">
        <v>86</v>
      </c>
      <c r="X88" s="11"/>
      <c r="Y88" s="11"/>
      <c r="Z88" s="11"/>
      <c r="AA88" s="11"/>
      <c r="AB88" s="11"/>
      <c r="AC88" s="11"/>
      <c r="AD88" s="11"/>
      <c r="AE88" s="11"/>
      <c r="AF88" s="11"/>
      <c r="AG88" s="11"/>
      <c r="AH88" s="11"/>
      <c r="AI88" s="12"/>
      <c r="AJ88" s="11"/>
      <c r="AK88" s="11"/>
      <c r="AL88" s="11"/>
      <c r="AM88" s="11"/>
      <c r="AN88" s="11"/>
      <c r="AO88" s="11"/>
      <c r="AP88" s="11"/>
      <c r="AQ88" s="11"/>
      <c r="AR88" s="11"/>
      <c r="AS88" s="11"/>
      <c r="AT88" s="11"/>
      <c r="AU88" s="11"/>
      <c r="AV88" s="11"/>
      <c r="AW88" s="11"/>
      <c r="AX88" s="11"/>
      <c r="AY88" s="10"/>
      <c r="AZ88" s="663"/>
    </row>
    <row r="89" spans="2:52" ht="13.5" customHeight="1">
      <c r="B89" s="670"/>
      <c r="C89" s="685"/>
      <c r="D89" s="670"/>
      <c r="E89" s="28" t="s">
        <v>87</v>
      </c>
      <c r="F89" s="11"/>
      <c r="G89" s="11"/>
      <c r="H89" s="11"/>
      <c r="I89" s="11"/>
      <c r="J89" s="11"/>
      <c r="K89" s="11"/>
      <c r="L89" s="11"/>
      <c r="M89" s="11"/>
      <c r="N89" s="11"/>
      <c r="O89" s="11"/>
      <c r="P89" s="687">
        <f>基礎数値!E19</f>
        <v>131982078</v>
      </c>
      <c r="Q89" s="687"/>
      <c r="R89" s="687"/>
      <c r="S89" s="687"/>
      <c r="T89" s="687"/>
      <c r="U89" s="687"/>
      <c r="V89" s="11"/>
      <c r="W89" s="19" t="s">
        <v>86</v>
      </c>
      <c r="X89" s="11"/>
      <c r="Y89" s="11"/>
      <c r="Z89" s="11"/>
      <c r="AA89" s="11"/>
      <c r="AB89" s="11"/>
      <c r="AC89" s="11"/>
      <c r="AD89" s="11"/>
      <c r="AE89" s="11"/>
      <c r="AF89" s="11"/>
      <c r="AG89" s="11"/>
      <c r="AH89" s="11"/>
      <c r="AI89" s="11"/>
      <c r="AJ89" s="11"/>
      <c r="AK89" s="11"/>
      <c r="AL89" s="11"/>
      <c r="AM89" s="11"/>
      <c r="AN89" s="11"/>
      <c r="AO89" s="11"/>
      <c r="AP89" s="11"/>
      <c r="AQ89" s="11"/>
      <c r="AR89" s="11" t="s">
        <v>85</v>
      </c>
      <c r="AS89" s="665">
        <f>P88+P89</f>
        <v>131982078</v>
      </c>
      <c r="AT89" s="665"/>
      <c r="AU89" s="665"/>
      <c r="AV89" s="665"/>
      <c r="AW89" s="665"/>
      <c r="AX89" s="665"/>
      <c r="AY89" s="10" t="s">
        <v>203</v>
      </c>
      <c r="AZ89" s="663"/>
    </row>
    <row r="90" spans="2:52" ht="13.5" customHeight="1">
      <c r="B90" s="670"/>
      <c r="C90" s="685"/>
      <c r="D90" s="670"/>
      <c r="E90" s="13"/>
      <c r="F90" s="12"/>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0"/>
      <c r="AZ90" s="663"/>
    </row>
    <row r="91" spans="2:52" ht="13.5" customHeight="1">
      <c r="B91" s="670"/>
      <c r="C91" s="685"/>
      <c r="D91" s="670"/>
      <c r="E91" s="13" t="s">
        <v>83</v>
      </c>
      <c r="F91" s="12"/>
      <c r="G91" s="11"/>
      <c r="H91" s="11"/>
      <c r="I91" s="11"/>
      <c r="J91" s="11"/>
      <c r="K91" s="11"/>
      <c r="L91" s="11"/>
      <c r="M91" s="11"/>
      <c r="N91" s="11"/>
      <c r="O91" s="11"/>
      <c r="P91" s="665">
        <f>ROUNDDOWN(AK21*100/105,0)</f>
        <v>0</v>
      </c>
      <c r="Q91" s="665"/>
      <c r="R91" s="665"/>
      <c r="S91" s="665"/>
      <c r="T91" s="665"/>
      <c r="U91" s="665"/>
      <c r="V91" s="11"/>
      <c r="W91" s="19" t="s">
        <v>202</v>
      </c>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0"/>
      <c r="AZ91" s="663"/>
    </row>
    <row r="92" spans="2:52" ht="13.5" customHeight="1">
      <c r="B92" s="670"/>
      <c r="C92" s="685"/>
      <c r="D92" s="670"/>
      <c r="E92" s="13" t="s">
        <v>201</v>
      </c>
      <c r="F92" s="12"/>
      <c r="G92" s="11"/>
      <c r="H92" s="11"/>
      <c r="I92" s="11"/>
      <c r="J92" s="11"/>
      <c r="K92" s="11"/>
      <c r="L92" s="11"/>
      <c r="M92" s="11"/>
      <c r="N92" s="11"/>
      <c r="O92" s="11"/>
      <c r="P92" s="665"/>
      <c r="Q92" s="665"/>
      <c r="R92" s="665"/>
      <c r="S92" s="665"/>
      <c r="T92" s="665"/>
      <c r="U92" s="665"/>
      <c r="V92" s="11"/>
      <c r="W92" s="19"/>
      <c r="X92" s="11"/>
      <c r="Y92" s="11"/>
      <c r="Z92" s="11"/>
      <c r="AA92" s="11"/>
      <c r="AB92" s="11"/>
      <c r="AC92" s="11"/>
      <c r="AD92" s="11"/>
      <c r="AE92" s="665"/>
      <c r="AF92" s="665"/>
      <c r="AG92" s="665"/>
      <c r="AH92" s="665"/>
      <c r="AI92" s="665"/>
      <c r="AJ92" s="665"/>
      <c r="AK92" s="19"/>
      <c r="AL92" s="11"/>
      <c r="AM92" s="11"/>
      <c r="AN92" s="11"/>
      <c r="AO92" s="11"/>
      <c r="AP92" s="11"/>
      <c r="AQ92" s="11"/>
      <c r="AR92" s="11"/>
      <c r="AS92" s="11"/>
      <c r="AT92" s="11"/>
      <c r="AU92" s="11"/>
      <c r="AV92" s="11"/>
      <c r="AW92" s="11"/>
      <c r="AX92" s="11"/>
      <c r="AY92" s="10"/>
      <c r="AZ92" s="663"/>
    </row>
    <row r="93" spans="2:52" ht="13.5" customHeight="1">
      <c r="B93" s="670"/>
      <c r="C93" s="685"/>
      <c r="D93" s="670"/>
      <c r="E93" s="13" t="s">
        <v>80</v>
      </c>
      <c r="F93" s="12"/>
      <c r="G93" s="11"/>
      <c r="H93" s="11"/>
      <c r="I93" s="11"/>
      <c r="J93" s="11"/>
      <c r="K93" s="11"/>
      <c r="L93" s="11"/>
      <c r="M93" s="11"/>
      <c r="N93" s="11"/>
      <c r="O93" s="11"/>
      <c r="P93" s="665"/>
      <c r="Q93" s="665"/>
      <c r="R93" s="665"/>
      <c r="S93" s="665"/>
      <c r="T93" s="665"/>
      <c r="U93" s="665"/>
      <c r="V93" s="11"/>
      <c r="W93" s="19"/>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0"/>
      <c r="AZ93" s="663"/>
    </row>
    <row r="94" spans="2:52" ht="13.5" customHeight="1" thickBot="1">
      <c r="B94" s="670"/>
      <c r="C94" s="685"/>
      <c r="D94" s="670"/>
      <c r="E94" s="13"/>
      <c r="F94" s="12"/>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0"/>
      <c r="AZ94" s="663"/>
    </row>
    <row r="95" spans="2:52" ht="13.5" customHeight="1" thickTop="1" thickBot="1">
      <c r="B95" s="670"/>
      <c r="C95" s="685"/>
      <c r="D95" s="670"/>
      <c r="E95" s="13" t="s">
        <v>79</v>
      </c>
      <c r="F95" s="12"/>
      <c r="G95" s="11"/>
      <c r="H95" s="11"/>
      <c r="I95" s="11"/>
      <c r="J95" s="11"/>
      <c r="K95" s="11"/>
      <c r="L95" s="11"/>
      <c r="M95" s="11"/>
      <c r="N95" s="11"/>
      <c r="O95" s="11"/>
      <c r="P95" s="672"/>
      <c r="Q95" s="673"/>
      <c r="R95" s="673"/>
      <c r="S95" s="673"/>
      <c r="T95" s="673"/>
      <c r="U95" s="674"/>
      <c r="V95" s="11"/>
      <c r="W95" s="19"/>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0"/>
      <c r="AZ95" s="663"/>
    </row>
    <row r="96" spans="2:52" ht="13.5" customHeight="1" thickTop="1">
      <c r="B96" s="670"/>
      <c r="C96" s="686"/>
      <c r="D96" s="681"/>
      <c r="E96" s="8"/>
      <c r="F96" s="7"/>
      <c r="G96" s="6"/>
      <c r="H96" s="6"/>
      <c r="I96" s="6"/>
      <c r="J96" s="6"/>
      <c r="K96" s="6"/>
      <c r="L96" s="6"/>
      <c r="M96" s="6"/>
      <c r="N96" s="6"/>
      <c r="O96" s="6"/>
      <c r="P96" s="6"/>
      <c r="Q96" s="6"/>
      <c r="R96" s="6"/>
      <c r="S96" s="6"/>
      <c r="T96" s="6"/>
      <c r="U96" s="6"/>
      <c r="V96" s="6"/>
      <c r="W96" s="6"/>
      <c r="X96" s="27"/>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5"/>
      <c r="AZ96" s="664"/>
    </row>
    <row r="97" spans="2:52" ht="13.5" customHeight="1" thickBot="1">
      <c r="B97" s="670"/>
      <c r="C97" s="684">
        <v>2</v>
      </c>
      <c r="D97" s="680" t="s">
        <v>78</v>
      </c>
      <c r="E97" s="18"/>
      <c r="F97" s="17"/>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5"/>
      <c r="AZ97" s="489" t="s">
        <v>829</v>
      </c>
    </row>
    <row r="98" spans="2:52" ht="13.5" customHeight="1" thickTop="1" thickBot="1">
      <c r="B98" s="670"/>
      <c r="C98" s="685"/>
      <c r="D98" s="670"/>
      <c r="E98" s="13" t="s">
        <v>76</v>
      </c>
      <c r="F98" s="12"/>
      <c r="G98" s="11"/>
      <c r="H98" s="11"/>
      <c r="I98" s="11"/>
      <c r="J98" s="11"/>
      <c r="K98" s="11"/>
      <c r="L98" s="11"/>
      <c r="M98" s="11"/>
      <c r="N98" s="11"/>
      <c r="O98" s="11"/>
      <c r="P98" s="11"/>
      <c r="Q98" s="11"/>
      <c r="R98" s="11"/>
      <c r="S98" s="11"/>
      <c r="T98" s="11"/>
      <c r="U98" s="11"/>
      <c r="V98" s="11"/>
      <c r="W98" s="11"/>
      <c r="X98" s="11"/>
      <c r="Y98" s="11"/>
      <c r="Z98" s="667">
        <f>ROUNDDOWN(T70*'(申)計'!R36/'(申)計'!R40,0)</f>
        <v>0</v>
      </c>
      <c r="AA98" s="668"/>
      <c r="AB98" s="668"/>
      <c r="AC98" s="668"/>
      <c r="AD98" s="668"/>
      <c r="AE98" s="669"/>
      <c r="AF98" s="11" t="s">
        <v>200</v>
      </c>
      <c r="AG98" s="19" t="s">
        <v>74</v>
      </c>
      <c r="AH98" s="11"/>
      <c r="AI98" s="11"/>
      <c r="AJ98" s="11"/>
      <c r="AK98" s="11"/>
      <c r="AL98" s="11"/>
      <c r="AM98" s="11"/>
      <c r="AN98" s="11"/>
      <c r="AO98" s="11"/>
      <c r="AP98" s="11"/>
      <c r="AQ98" s="11"/>
      <c r="AR98" s="11"/>
      <c r="AS98" s="11"/>
      <c r="AT98" s="11"/>
      <c r="AU98" s="11"/>
      <c r="AV98" s="11"/>
      <c r="AW98" s="11"/>
      <c r="AX98" s="11"/>
      <c r="AY98" s="10"/>
      <c r="AZ98" s="209" t="s">
        <v>830</v>
      </c>
    </row>
    <row r="99" spans="2:52" ht="13.5" customHeight="1" thickTop="1" thickBot="1">
      <c r="B99" s="670"/>
      <c r="C99" s="685"/>
      <c r="D99" s="670"/>
      <c r="E99" s="13"/>
      <c r="F99" s="12"/>
      <c r="G99" s="11"/>
      <c r="H99" s="11"/>
      <c r="I99" s="11"/>
      <c r="J99" s="11"/>
      <c r="K99" s="11"/>
      <c r="L99" s="11"/>
      <c r="M99" s="11"/>
      <c r="N99" s="11"/>
      <c r="O99" s="11"/>
      <c r="P99" s="11"/>
      <c r="Q99" s="11"/>
      <c r="R99" s="11"/>
      <c r="S99" s="11"/>
      <c r="T99" s="11"/>
      <c r="U99" s="26" t="s">
        <v>73</v>
      </c>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0"/>
      <c r="AZ99" s="487"/>
    </row>
    <row r="100" spans="2:52" ht="13.5" customHeight="1" thickTop="1" thickBot="1">
      <c r="B100" s="670"/>
      <c r="C100" s="685"/>
      <c r="D100" s="670"/>
      <c r="E100" s="13" t="s">
        <v>72</v>
      </c>
      <c r="F100" s="12"/>
      <c r="G100" s="11"/>
      <c r="H100" s="11"/>
      <c r="I100" s="11"/>
      <c r="J100" s="11"/>
      <c r="K100" s="11"/>
      <c r="L100" s="11"/>
      <c r="M100" s="11"/>
      <c r="N100" s="11"/>
      <c r="O100" s="11"/>
      <c r="P100" s="11"/>
      <c r="Q100" s="11"/>
      <c r="R100" s="11"/>
      <c r="S100" s="11"/>
      <c r="T100" s="11"/>
      <c r="U100" s="11"/>
      <c r="V100" s="11"/>
      <c r="W100" s="11"/>
      <c r="X100" s="11"/>
      <c r="Y100" s="11"/>
      <c r="Z100" s="667">
        <f>AS89</f>
        <v>131982078</v>
      </c>
      <c r="AA100" s="668"/>
      <c r="AB100" s="668"/>
      <c r="AC100" s="668"/>
      <c r="AD100" s="668"/>
      <c r="AE100" s="669"/>
      <c r="AF100" s="11"/>
      <c r="AG100" s="19" t="s">
        <v>71</v>
      </c>
      <c r="AH100" s="11"/>
      <c r="AI100" s="11"/>
      <c r="AJ100" s="11"/>
      <c r="AK100" s="11"/>
      <c r="AL100" s="11"/>
      <c r="AM100" s="11"/>
      <c r="AN100" s="11"/>
      <c r="AO100" s="11"/>
      <c r="AP100" s="11"/>
      <c r="AQ100" s="11"/>
      <c r="AR100" s="11"/>
      <c r="AS100" s="11"/>
      <c r="AT100" s="11"/>
      <c r="AU100" s="11"/>
      <c r="AV100" s="11"/>
      <c r="AW100" s="11"/>
      <c r="AX100" s="11"/>
      <c r="AY100" s="10"/>
      <c r="AZ100" s="487" t="s">
        <v>831</v>
      </c>
    </row>
    <row r="101" spans="2:52" ht="13.5" customHeight="1" thickTop="1" thickBot="1">
      <c r="B101" s="670"/>
      <c r="C101" s="685"/>
      <c r="D101" s="670"/>
      <c r="E101" s="13" t="s">
        <v>69</v>
      </c>
      <c r="F101" s="12"/>
      <c r="G101" s="11"/>
      <c r="H101" s="11"/>
      <c r="I101" s="11"/>
      <c r="J101" s="11"/>
      <c r="K101" s="11"/>
      <c r="L101" s="11"/>
      <c r="M101" s="11"/>
      <c r="N101" s="11"/>
      <c r="O101" s="11"/>
      <c r="P101" s="11"/>
      <c r="Q101" s="11"/>
      <c r="R101" s="11"/>
      <c r="S101" s="11"/>
      <c r="T101" s="11"/>
      <c r="U101" s="11"/>
      <c r="V101" s="11"/>
      <c r="W101" s="11"/>
      <c r="X101" s="11"/>
      <c r="Y101" s="11"/>
      <c r="Z101" s="667">
        <f>ROUNDDOWN(Z100*4/105,0)</f>
        <v>5027888</v>
      </c>
      <c r="AA101" s="668"/>
      <c r="AB101" s="668"/>
      <c r="AC101" s="668"/>
      <c r="AD101" s="668"/>
      <c r="AE101" s="669"/>
      <c r="AF101" s="11" t="s">
        <v>199</v>
      </c>
      <c r="AG101" s="19" t="s">
        <v>198</v>
      </c>
      <c r="AH101" s="11"/>
      <c r="AI101" s="11"/>
      <c r="AJ101" s="11"/>
      <c r="AK101" s="11"/>
      <c r="AL101" s="11"/>
      <c r="AM101" s="11"/>
      <c r="AN101" s="11"/>
      <c r="AO101" s="11"/>
      <c r="AP101" s="11"/>
      <c r="AQ101" s="11"/>
      <c r="AR101" s="11"/>
      <c r="AS101" s="11"/>
      <c r="AT101" s="11"/>
      <c r="AU101" s="11"/>
      <c r="AV101" s="11"/>
      <c r="AW101" s="11"/>
      <c r="AX101" s="11"/>
      <c r="AY101" s="10"/>
      <c r="AZ101" s="487" t="s">
        <v>832</v>
      </c>
    </row>
    <row r="102" spans="2:52" ht="13.5" customHeight="1" thickTop="1" thickBot="1">
      <c r="B102" s="670"/>
      <c r="C102" s="685"/>
      <c r="D102" s="670"/>
      <c r="E102" s="13"/>
      <c r="F102" s="12"/>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0"/>
      <c r="AZ102" s="487"/>
    </row>
    <row r="103" spans="2:52" ht="13.5" customHeight="1" thickTop="1" thickBot="1">
      <c r="B103" s="670"/>
      <c r="C103" s="685"/>
      <c r="D103" s="670"/>
      <c r="E103" s="689" t="s">
        <v>65</v>
      </c>
      <c r="F103" s="678"/>
      <c r="G103" s="678"/>
      <c r="H103" s="678"/>
      <c r="I103" s="678"/>
      <c r="J103" s="678"/>
      <c r="K103" s="678"/>
      <c r="L103" s="678"/>
      <c r="M103" s="678"/>
      <c r="N103" s="678"/>
      <c r="O103" s="678"/>
      <c r="P103" s="678"/>
      <c r="Q103" s="678"/>
      <c r="R103" s="678"/>
      <c r="S103" s="11"/>
      <c r="T103" s="11"/>
      <c r="U103" s="11"/>
      <c r="V103" s="11"/>
      <c r="W103" s="11"/>
      <c r="X103" s="11"/>
      <c r="Y103" s="11"/>
      <c r="Z103" s="667">
        <f>'(申)計'!R36</f>
        <v>18871966907</v>
      </c>
      <c r="AA103" s="668"/>
      <c r="AB103" s="668"/>
      <c r="AC103" s="668"/>
      <c r="AD103" s="668"/>
      <c r="AE103" s="669"/>
      <c r="AF103" s="11"/>
      <c r="AG103" s="678" t="s">
        <v>197</v>
      </c>
      <c r="AH103" s="19" t="s">
        <v>63</v>
      </c>
      <c r="AI103" s="11"/>
      <c r="AJ103" s="11"/>
      <c r="AK103" s="11"/>
      <c r="AL103" s="11"/>
      <c r="AM103" s="11"/>
      <c r="AN103" s="11"/>
      <c r="AO103" s="11"/>
      <c r="AP103" s="11"/>
      <c r="AQ103" s="11"/>
      <c r="AR103" s="11"/>
      <c r="AS103" s="11"/>
      <c r="AT103" s="11"/>
      <c r="AU103" s="11"/>
      <c r="AV103" s="11"/>
      <c r="AW103" s="11"/>
      <c r="AX103" s="11"/>
      <c r="AY103" s="10"/>
      <c r="AZ103" s="666" t="s">
        <v>833</v>
      </c>
    </row>
    <row r="104" spans="2:52" ht="3" customHeight="1" thickTop="1">
      <c r="B104" s="670"/>
      <c r="C104" s="685"/>
      <c r="D104" s="670"/>
      <c r="E104" s="689"/>
      <c r="F104" s="678"/>
      <c r="G104" s="678"/>
      <c r="H104" s="678"/>
      <c r="I104" s="678"/>
      <c r="J104" s="678"/>
      <c r="K104" s="678"/>
      <c r="L104" s="678"/>
      <c r="M104" s="678"/>
      <c r="N104" s="678"/>
      <c r="O104" s="678"/>
      <c r="P104" s="678"/>
      <c r="Q104" s="678"/>
      <c r="R104" s="678"/>
      <c r="S104" s="11"/>
      <c r="T104" s="11"/>
      <c r="U104" s="11"/>
      <c r="V104" s="11"/>
      <c r="W104" s="11"/>
      <c r="X104" s="11"/>
      <c r="Y104" s="6"/>
      <c r="Z104" s="6"/>
      <c r="AA104" s="6"/>
      <c r="AB104" s="6"/>
      <c r="AC104" s="6"/>
      <c r="AD104" s="6"/>
      <c r="AE104" s="6"/>
      <c r="AF104" s="6"/>
      <c r="AG104" s="678"/>
      <c r="AH104" s="11"/>
      <c r="AI104" s="11"/>
      <c r="AJ104" s="11"/>
      <c r="AK104" s="11"/>
      <c r="AL104" s="11"/>
      <c r="AM104" s="11"/>
      <c r="AN104" s="11"/>
      <c r="AO104" s="11"/>
      <c r="AP104" s="11"/>
      <c r="AQ104" s="11"/>
      <c r="AR104" s="11"/>
      <c r="AS104" s="11"/>
      <c r="AT104" s="11"/>
      <c r="AU104" s="11"/>
      <c r="AV104" s="11"/>
      <c r="AW104" s="11"/>
      <c r="AX104" s="11"/>
      <c r="AY104" s="10"/>
      <c r="AZ104" s="666"/>
    </row>
    <row r="105" spans="2:52" ht="3" customHeight="1" thickBot="1">
      <c r="B105" s="670"/>
      <c r="C105" s="685"/>
      <c r="D105" s="670"/>
      <c r="E105" s="689"/>
      <c r="F105" s="678"/>
      <c r="G105" s="678"/>
      <c r="H105" s="678"/>
      <c r="I105" s="678"/>
      <c r="J105" s="678"/>
      <c r="K105" s="678"/>
      <c r="L105" s="678"/>
      <c r="M105" s="678"/>
      <c r="N105" s="678"/>
      <c r="O105" s="678"/>
      <c r="P105" s="678"/>
      <c r="Q105" s="678"/>
      <c r="R105" s="678"/>
      <c r="S105" s="11"/>
      <c r="T105" s="11"/>
      <c r="U105" s="11"/>
      <c r="V105" s="11"/>
      <c r="W105" s="11"/>
      <c r="X105" s="11"/>
      <c r="Y105" s="11"/>
      <c r="Z105" s="11"/>
      <c r="AA105" s="11"/>
      <c r="AB105" s="11"/>
      <c r="AC105" s="11"/>
      <c r="AD105" s="11"/>
      <c r="AE105" s="11"/>
      <c r="AF105" s="11"/>
      <c r="AG105" s="678"/>
      <c r="AH105" s="11"/>
      <c r="AI105" s="11"/>
      <c r="AJ105" s="11"/>
      <c r="AK105" s="11"/>
      <c r="AL105" s="11"/>
      <c r="AM105" s="11"/>
      <c r="AN105" s="11"/>
      <c r="AO105" s="11"/>
      <c r="AP105" s="11"/>
      <c r="AQ105" s="11"/>
      <c r="AR105" s="11"/>
      <c r="AS105" s="11"/>
      <c r="AT105" s="11"/>
      <c r="AU105" s="11"/>
      <c r="AV105" s="11"/>
      <c r="AW105" s="11"/>
      <c r="AX105" s="11"/>
      <c r="AY105" s="10"/>
      <c r="AZ105" s="666"/>
    </row>
    <row r="106" spans="2:52" ht="13.5" customHeight="1" thickTop="1" thickBot="1">
      <c r="B106" s="670"/>
      <c r="C106" s="685"/>
      <c r="D106" s="670"/>
      <c r="E106" s="689"/>
      <c r="F106" s="678"/>
      <c r="G106" s="678"/>
      <c r="H106" s="678"/>
      <c r="I106" s="678"/>
      <c r="J106" s="678"/>
      <c r="K106" s="678"/>
      <c r="L106" s="678"/>
      <c r="M106" s="678"/>
      <c r="N106" s="678"/>
      <c r="O106" s="678"/>
      <c r="P106" s="678"/>
      <c r="Q106" s="678"/>
      <c r="R106" s="678"/>
      <c r="S106" s="11"/>
      <c r="T106" s="11"/>
      <c r="U106" s="11"/>
      <c r="V106" s="11"/>
      <c r="W106" s="11"/>
      <c r="X106" s="11"/>
      <c r="Y106" s="11"/>
      <c r="Z106" s="667">
        <f>'(申)計'!R40</f>
        <v>18940559860</v>
      </c>
      <c r="AA106" s="668"/>
      <c r="AB106" s="668"/>
      <c r="AC106" s="668"/>
      <c r="AD106" s="668"/>
      <c r="AE106" s="669"/>
      <c r="AF106" s="11"/>
      <c r="AG106" s="678"/>
      <c r="AH106" s="19" t="s">
        <v>61</v>
      </c>
      <c r="AI106" s="11"/>
      <c r="AJ106" s="11"/>
      <c r="AK106" s="11"/>
      <c r="AL106" s="11"/>
      <c r="AM106" s="11"/>
      <c r="AN106" s="11"/>
      <c r="AO106" s="11"/>
      <c r="AP106" s="11"/>
      <c r="AQ106" s="11"/>
      <c r="AR106" s="11"/>
      <c r="AS106" s="11"/>
      <c r="AT106" s="11"/>
      <c r="AU106" s="11"/>
      <c r="AV106" s="11"/>
      <c r="AW106" s="11"/>
      <c r="AX106" s="11"/>
      <c r="AY106" s="10"/>
      <c r="AZ106" s="666"/>
    </row>
    <row r="107" spans="2:52" ht="13.5" customHeight="1" thickTop="1" thickBot="1">
      <c r="B107" s="670"/>
      <c r="C107" s="685"/>
      <c r="D107" s="670"/>
      <c r="E107" s="13"/>
      <c r="F107" s="12"/>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0"/>
      <c r="AZ107" s="487"/>
    </row>
    <row r="108" spans="2:52" ht="13.5" customHeight="1" thickTop="1" thickBot="1">
      <c r="B108" s="670"/>
      <c r="C108" s="685"/>
      <c r="D108" s="670"/>
      <c r="E108" s="13" t="s">
        <v>60</v>
      </c>
      <c r="F108" s="12"/>
      <c r="G108" s="11"/>
      <c r="H108" s="11"/>
      <c r="I108" s="11"/>
      <c r="J108" s="11"/>
      <c r="K108" s="11"/>
      <c r="L108" s="11"/>
      <c r="M108" s="11"/>
      <c r="N108" s="11"/>
      <c r="O108" s="11"/>
      <c r="P108" s="11"/>
      <c r="Q108" s="11"/>
      <c r="R108" s="11"/>
      <c r="S108" s="11"/>
      <c r="T108" s="11"/>
      <c r="U108" s="11"/>
      <c r="V108" s="11"/>
      <c r="W108" s="11"/>
      <c r="X108" s="11"/>
      <c r="Y108" s="11"/>
      <c r="Z108" s="667">
        <f>ROUNDDOWN(Z101*Z103/Z106,0)</f>
        <v>5009679</v>
      </c>
      <c r="AA108" s="668"/>
      <c r="AB108" s="668"/>
      <c r="AC108" s="668"/>
      <c r="AD108" s="668"/>
      <c r="AE108" s="669"/>
      <c r="AF108" s="11" t="s">
        <v>196</v>
      </c>
      <c r="AG108" s="19" t="s">
        <v>195</v>
      </c>
      <c r="AH108" s="11"/>
      <c r="AI108" s="11"/>
      <c r="AJ108" s="11"/>
      <c r="AK108" s="11"/>
      <c r="AL108" s="11"/>
      <c r="AM108" s="11"/>
      <c r="AN108" s="11"/>
      <c r="AO108" s="11"/>
      <c r="AP108" s="11"/>
      <c r="AQ108" s="11"/>
      <c r="AR108" s="11"/>
      <c r="AS108" s="11"/>
      <c r="AT108" s="11"/>
      <c r="AU108" s="11"/>
      <c r="AV108" s="11"/>
      <c r="AW108" s="11"/>
      <c r="AX108" s="11"/>
      <c r="AY108" s="10"/>
      <c r="AZ108" s="487" t="s">
        <v>834</v>
      </c>
    </row>
    <row r="109" spans="2:52" ht="13.5" customHeight="1" thickTop="1">
      <c r="B109" s="670"/>
      <c r="C109" s="685"/>
      <c r="D109" s="670"/>
      <c r="E109" s="13"/>
      <c r="F109" s="12"/>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0"/>
      <c r="AZ109" s="487"/>
    </row>
    <row r="110" spans="2:52" ht="13.5" customHeight="1" thickBot="1">
      <c r="B110" s="670"/>
      <c r="C110" s="685"/>
      <c r="D110" s="670"/>
      <c r="E110" s="13" t="s">
        <v>56</v>
      </c>
      <c r="F110" s="12"/>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0"/>
      <c r="AZ110" s="487"/>
    </row>
    <row r="111" spans="2:52" ht="13.5" customHeight="1" thickTop="1" thickBot="1">
      <c r="B111" s="670"/>
      <c r="C111" s="685"/>
      <c r="D111" s="670"/>
      <c r="E111" s="13"/>
      <c r="F111" s="12" t="s">
        <v>194</v>
      </c>
      <c r="G111" s="11"/>
      <c r="H111" s="11"/>
      <c r="I111" s="11"/>
      <c r="J111" s="11"/>
      <c r="K111" s="11"/>
      <c r="L111" s="11"/>
      <c r="M111" s="11"/>
      <c r="N111" s="11"/>
      <c r="O111" s="11"/>
      <c r="P111" s="11"/>
      <c r="Q111" s="11"/>
      <c r="R111" s="11"/>
      <c r="S111" s="11"/>
      <c r="T111" s="11"/>
      <c r="U111" s="11"/>
      <c r="V111" s="11"/>
      <c r="W111" s="11"/>
      <c r="X111" s="11"/>
      <c r="Y111" s="11"/>
      <c r="Z111" s="11"/>
      <c r="AA111" s="11"/>
      <c r="AB111" s="11"/>
      <c r="AC111" s="667">
        <f>Z98-Z108</f>
        <v>-5009679</v>
      </c>
      <c r="AD111" s="668"/>
      <c r="AE111" s="668"/>
      <c r="AF111" s="668"/>
      <c r="AG111" s="668"/>
      <c r="AH111" s="669"/>
      <c r="AI111" s="11" t="s">
        <v>193</v>
      </c>
      <c r="AJ111" s="19" t="s">
        <v>192</v>
      </c>
      <c r="AK111" s="11"/>
      <c r="AL111" s="11"/>
      <c r="AM111" s="11"/>
      <c r="AN111" s="11"/>
      <c r="AO111" s="11"/>
      <c r="AP111" s="11"/>
      <c r="AQ111" s="11"/>
      <c r="AR111" s="11"/>
      <c r="AS111" s="11"/>
      <c r="AT111" s="11"/>
      <c r="AU111" s="11"/>
      <c r="AV111" s="11"/>
      <c r="AW111" s="11"/>
      <c r="AX111" s="11"/>
      <c r="AY111" s="10"/>
      <c r="AZ111" s="487" t="s">
        <v>835</v>
      </c>
    </row>
    <row r="112" spans="2:52" ht="13.5" customHeight="1" thickTop="1" thickBot="1">
      <c r="B112" s="670"/>
      <c r="C112" s="685"/>
      <c r="D112" s="670"/>
      <c r="E112" s="13"/>
      <c r="F112" s="12"/>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0"/>
      <c r="AZ112" s="487"/>
    </row>
    <row r="113" spans="2:52" ht="13.5" customHeight="1" thickTop="1" thickBot="1">
      <c r="B113" s="670"/>
      <c r="C113" s="685"/>
      <c r="D113" s="670"/>
      <c r="E113" s="13"/>
      <c r="F113" s="678" t="s">
        <v>51</v>
      </c>
      <c r="G113" s="678"/>
      <c r="H113" s="678"/>
      <c r="I113" s="678"/>
      <c r="J113" s="678"/>
      <c r="K113" s="678"/>
      <c r="L113" s="678"/>
      <c r="M113" s="678"/>
      <c r="N113" s="678"/>
      <c r="O113" s="678"/>
      <c r="P113" s="678"/>
      <c r="Q113" s="678"/>
      <c r="R113" s="678"/>
      <c r="S113" s="678"/>
      <c r="T113" s="11"/>
      <c r="U113" s="11"/>
      <c r="V113" s="11"/>
      <c r="W113" s="11"/>
      <c r="X113" s="11"/>
      <c r="Y113" s="11"/>
      <c r="Z113" s="11"/>
      <c r="AA113" s="675">
        <f>'(申)計'!AA113</f>
        <v>0</v>
      </c>
      <c r="AB113" s="676"/>
      <c r="AC113" s="676"/>
      <c r="AD113" s="676"/>
      <c r="AE113" s="676"/>
      <c r="AF113" s="677"/>
      <c r="AG113" s="11"/>
      <c r="AH113" s="678" t="s">
        <v>191</v>
      </c>
      <c r="AI113" s="679" t="s">
        <v>49</v>
      </c>
      <c r="AJ113" s="679"/>
      <c r="AK113" s="679"/>
      <c r="AL113" s="679"/>
      <c r="AM113" s="679"/>
      <c r="AN113" s="679"/>
      <c r="AO113" s="679"/>
      <c r="AP113" s="679"/>
      <c r="AQ113" s="679"/>
      <c r="AR113" s="11"/>
      <c r="AS113" s="11"/>
      <c r="AT113" s="11"/>
      <c r="AU113" s="11"/>
      <c r="AV113" s="11"/>
      <c r="AW113" s="11"/>
      <c r="AX113" s="11"/>
      <c r="AY113" s="10"/>
      <c r="AZ113" s="666" t="s">
        <v>836</v>
      </c>
    </row>
    <row r="114" spans="2:52" ht="3" customHeight="1" thickTop="1">
      <c r="B114" s="670"/>
      <c r="C114" s="685"/>
      <c r="D114" s="670"/>
      <c r="E114" s="13"/>
      <c r="F114" s="678"/>
      <c r="G114" s="678"/>
      <c r="H114" s="678"/>
      <c r="I114" s="678"/>
      <c r="J114" s="678"/>
      <c r="K114" s="678"/>
      <c r="L114" s="678"/>
      <c r="M114" s="678"/>
      <c r="N114" s="678"/>
      <c r="O114" s="678"/>
      <c r="P114" s="678"/>
      <c r="Q114" s="678"/>
      <c r="R114" s="678"/>
      <c r="S114" s="678"/>
      <c r="T114" s="11"/>
      <c r="U114" s="11"/>
      <c r="V114" s="11"/>
      <c r="W114" s="11"/>
      <c r="X114" s="11"/>
      <c r="Y114" s="11"/>
      <c r="Z114" s="6"/>
      <c r="AA114" s="6"/>
      <c r="AB114" s="6"/>
      <c r="AC114" s="6"/>
      <c r="AD114" s="6"/>
      <c r="AE114" s="6"/>
      <c r="AF114" s="6"/>
      <c r="AG114" s="6"/>
      <c r="AH114" s="678"/>
      <c r="AI114" s="679"/>
      <c r="AJ114" s="679"/>
      <c r="AK114" s="679"/>
      <c r="AL114" s="679"/>
      <c r="AM114" s="679"/>
      <c r="AN114" s="679"/>
      <c r="AO114" s="679"/>
      <c r="AP114" s="679"/>
      <c r="AQ114" s="679"/>
      <c r="AR114" s="11"/>
      <c r="AS114" s="11"/>
      <c r="AT114" s="11"/>
      <c r="AU114" s="11"/>
      <c r="AV114" s="11"/>
      <c r="AW114" s="11"/>
      <c r="AX114" s="11"/>
      <c r="AY114" s="10"/>
      <c r="AZ114" s="666"/>
    </row>
    <row r="115" spans="2:52" ht="3" customHeight="1" thickBot="1">
      <c r="B115" s="670"/>
      <c r="C115" s="685"/>
      <c r="D115" s="670"/>
      <c r="E115" s="13"/>
      <c r="F115" s="678"/>
      <c r="G115" s="678"/>
      <c r="H115" s="678"/>
      <c r="I115" s="678"/>
      <c r="J115" s="678"/>
      <c r="K115" s="678"/>
      <c r="L115" s="678"/>
      <c r="M115" s="678"/>
      <c r="N115" s="678"/>
      <c r="O115" s="678"/>
      <c r="P115" s="678"/>
      <c r="Q115" s="678"/>
      <c r="R115" s="678"/>
      <c r="S115" s="678"/>
      <c r="T115" s="11"/>
      <c r="U115" s="11"/>
      <c r="V115" s="11"/>
      <c r="W115" s="11"/>
      <c r="X115" s="11"/>
      <c r="Y115" s="11"/>
      <c r="Z115" s="11"/>
      <c r="AA115" s="11"/>
      <c r="AB115" s="11"/>
      <c r="AC115" s="11"/>
      <c r="AD115" s="11"/>
      <c r="AE115" s="11"/>
      <c r="AF115" s="11"/>
      <c r="AG115" s="11"/>
      <c r="AH115" s="678"/>
      <c r="AI115" s="679"/>
      <c r="AJ115" s="679"/>
      <c r="AK115" s="679"/>
      <c r="AL115" s="679"/>
      <c r="AM115" s="679"/>
      <c r="AN115" s="679"/>
      <c r="AO115" s="679"/>
      <c r="AP115" s="679"/>
      <c r="AQ115" s="679"/>
      <c r="AR115" s="11"/>
      <c r="AS115" s="11"/>
      <c r="AT115" s="11"/>
      <c r="AU115" s="11"/>
      <c r="AV115" s="11"/>
      <c r="AW115" s="11"/>
      <c r="AX115" s="11"/>
      <c r="AY115" s="10"/>
      <c r="AZ115" s="666"/>
    </row>
    <row r="116" spans="2:52" ht="13.5" customHeight="1" thickTop="1" thickBot="1">
      <c r="B116" s="670"/>
      <c r="C116" s="685"/>
      <c r="D116" s="670"/>
      <c r="E116" s="13"/>
      <c r="F116" s="678"/>
      <c r="G116" s="678"/>
      <c r="H116" s="678"/>
      <c r="I116" s="678"/>
      <c r="J116" s="678"/>
      <c r="K116" s="678"/>
      <c r="L116" s="678"/>
      <c r="M116" s="678"/>
      <c r="N116" s="678"/>
      <c r="O116" s="678"/>
      <c r="P116" s="678"/>
      <c r="Q116" s="678"/>
      <c r="R116" s="678"/>
      <c r="S116" s="678"/>
      <c r="T116" s="11"/>
      <c r="U116" s="11"/>
      <c r="V116" s="11"/>
      <c r="W116" s="11"/>
      <c r="X116" s="11"/>
      <c r="Y116" s="11"/>
      <c r="Z116" s="11"/>
      <c r="AA116" s="667">
        <f>'(申)計'!AA116</f>
        <v>18950268779</v>
      </c>
      <c r="AB116" s="668"/>
      <c r="AC116" s="668"/>
      <c r="AD116" s="668"/>
      <c r="AE116" s="668"/>
      <c r="AF116" s="669"/>
      <c r="AG116" s="11"/>
      <c r="AH116" s="678"/>
      <c r="AI116" s="679"/>
      <c r="AJ116" s="679"/>
      <c r="AK116" s="679"/>
      <c r="AL116" s="679"/>
      <c r="AM116" s="679"/>
      <c r="AN116" s="679"/>
      <c r="AO116" s="679"/>
      <c r="AP116" s="679"/>
      <c r="AQ116" s="679"/>
      <c r="AR116" s="11"/>
      <c r="AS116" s="11"/>
      <c r="AT116" s="11"/>
      <c r="AU116" s="11"/>
      <c r="AV116" s="11"/>
      <c r="AW116" s="11"/>
      <c r="AX116" s="11"/>
      <c r="AY116" s="10"/>
      <c r="AZ116" s="666"/>
    </row>
    <row r="117" spans="2:52" ht="13.5" customHeight="1" thickTop="1" thickBot="1">
      <c r="B117" s="670"/>
      <c r="C117" s="685"/>
      <c r="D117" s="670"/>
      <c r="E117" s="13"/>
      <c r="F117" s="12"/>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0"/>
      <c r="AZ117" s="487"/>
    </row>
    <row r="118" spans="2:52" ht="13.5" customHeight="1" thickTop="1" thickBot="1">
      <c r="B118" s="670"/>
      <c r="C118" s="685"/>
      <c r="D118" s="670"/>
      <c r="E118" s="13"/>
      <c r="F118" s="11" t="s">
        <v>47</v>
      </c>
      <c r="G118" s="11"/>
      <c r="H118" s="11"/>
      <c r="I118" s="11"/>
      <c r="J118" s="11"/>
      <c r="K118" s="11"/>
      <c r="L118" s="11"/>
      <c r="M118" s="11"/>
      <c r="N118" s="11"/>
      <c r="O118" s="11"/>
      <c r="P118" s="11"/>
      <c r="Q118" s="11"/>
      <c r="R118" s="11"/>
      <c r="S118" s="11"/>
      <c r="T118" s="11"/>
      <c r="U118" s="11"/>
      <c r="V118" s="11"/>
      <c r="W118" s="11"/>
      <c r="X118" s="11"/>
      <c r="Y118" s="11"/>
      <c r="Z118" s="11"/>
      <c r="AA118" s="667">
        <f>ROUNDDOWN(AC111*AA113/AA116,0)</f>
        <v>0</v>
      </c>
      <c r="AB118" s="668"/>
      <c r="AC118" s="668"/>
      <c r="AD118" s="668"/>
      <c r="AE118" s="668"/>
      <c r="AF118" s="669"/>
      <c r="AG118" s="11" t="s">
        <v>189</v>
      </c>
      <c r="AH118" s="19" t="s">
        <v>188</v>
      </c>
      <c r="AI118" s="11"/>
      <c r="AJ118" s="11"/>
      <c r="AK118" s="11"/>
      <c r="AL118" s="11"/>
      <c r="AM118" s="11"/>
      <c r="AN118" s="11"/>
      <c r="AO118" s="11"/>
      <c r="AP118" s="11"/>
      <c r="AQ118" s="11"/>
      <c r="AR118" s="11"/>
      <c r="AS118" s="11"/>
      <c r="AT118" s="11"/>
      <c r="AU118" s="11"/>
      <c r="AV118" s="11"/>
      <c r="AW118" s="11"/>
      <c r="AX118" s="11"/>
      <c r="AY118" s="10"/>
      <c r="AZ118" s="487" t="s">
        <v>837</v>
      </c>
    </row>
    <row r="119" spans="2:52" ht="13.5" customHeight="1" thickTop="1" thickBot="1">
      <c r="B119" s="670"/>
      <c r="C119" s="685"/>
      <c r="D119" s="670"/>
      <c r="E119" s="13"/>
      <c r="F119" s="12"/>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0"/>
      <c r="AZ119" s="487" t="s">
        <v>838</v>
      </c>
    </row>
    <row r="120" spans="2:52" ht="13.5" customHeight="1" thickTop="1" thickBot="1">
      <c r="B120" s="670"/>
      <c r="C120" s="685"/>
      <c r="D120" s="670"/>
      <c r="E120" s="13" t="s">
        <v>43</v>
      </c>
      <c r="F120" s="12"/>
      <c r="G120" s="11"/>
      <c r="H120" s="11"/>
      <c r="I120" s="11"/>
      <c r="J120" s="11"/>
      <c r="K120" s="11"/>
      <c r="L120" s="11"/>
      <c r="M120" s="11"/>
      <c r="N120" s="11"/>
      <c r="O120" s="11"/>
      <c r="P120" s="11"/>
      <c r="Q120" s="11"/>
      <c r="R120" s="11"/>
      <c r="S120" s="11"/>
      <c r="T120" s="11"/>
      <c r="U120" s="11"/>
      <c r="V120" s="11"/>
      <c r="W120" s="11"/>
      <c r="X120" s="11"/>
      <c r="Y120" s="11"/>
      <c r="Z120" s="667">
        <f>Z108+AA118</f>
        <v>5009679</v>
      </c>
      <c r="AA120" s="668"/>
      <c r="AB120" s="668"/>
      <c r="AC120" s="668"/>
      <c r="AD120" s="668"/>
      <c r="AE120" s="669"/>
      <c r="AF120" s="11" t="s">
        <v>187</v>
      </c>
      <c r="AG120" s="19" t="s">
        <v>186</v>
      </c>
      <c r="AH120" s="11"/>
      <c r="AI120" s="11"/>
      <c r="AJ120" s="11"/>
      <c r="AK120" s="11"/>
      <c r="AL120" s="11"/>
      <c r="AM120" s="11"/>
      <c r="AN120" s="11"/>
      <c r="AO120" s="11"/>
      <c r="AP120" s="11"/>
      <c r="AQ120" s="11"/>
      <c r="AR120" s="11"/>
      <c r="AS120" s="11"/>
      <c r="AT120" s="11"/>
      <c r="AU120" s="11"/>
      <c r="AV120" s="11"/>
      <c r="AW120" s="11"/>
      <c r="AX120" s="11"/>
      <c r="AY120" s="10"/>
      <c r="AZ120" s="487" t="s">
        <v>839</v>
      </c>
    </row>
    <row r="121" spans="2:52" ht="13.5" customHeight="1" thickTop="1" thickBot="1">
      <c r="B121" s="670"/>
      <c r="C121" s="685"/>
      <c r="D121" s="670"/>
      <c r="E121" s="13"/>
      <c r="F121" s="12"/>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0"/>
      <c r="AZ121" s="488" t="s">
        <v>841</v>
      </c>
    </row>
    <row r="122" spans="2:52" ht="13.5" customHeight="1" thickTop="1" thickBot="1">
      <c r="B122" s="670"/>
      <c r="C122" s="685"/>
      <c r="D122" s="670"/>
      <c r="E122" s="13" t="s">
        <v>38</v>
      </c>
      <c r="F122" s="12"/>
      <c r="G122" s="11"/>
      <c r="H122" s="11"/>
      <c r="I122" s="11"/>
      <c r="J122" s="11"/>
      <c r="K122" s="11"/>
      <c r="L122" s="11"/>
      <c r="M122" s="11"/>
      <c r="N122" s="11"/>
      <c r="O122" s="11"/>
      <c r="P122" s="11"/>
      <c r="Q122" s="11"/>
      <c r="R122" s="11"/>
      <c r="S122" s="11"/>
      <c r="T122" s="11"/>
      <c r="U122" s="11"/>
      <c r="V122" s="11"/>
      <c r="W122" s="11"/>
      <c r="X122" s="11"/>
      <c r="Y122" s="11"/>
      <c r="Z122" s="667">
        <f>Z98-Z120</f>
        <v>-5009679</v>
      </c>
      <c r="AA122" s="668"/>
      <c r="AB122" s="668"/>
      <c r="AC122" s="668"/>
      <c r="AD122" s="668"/>
      <c r="AE122" s="669"/>
      <c r="AF122" s="11" t="s">
        <v>185</v>
      </c>
      <c r="AG122" s="19" t="s">
        <v>184</v>
      </c>
      <c r="AH122" s="11"/>
      <c r="AI122" s="11"/>
      <c r="AJ122" s="11"/>
      <c r="AK122" s="11"/>
      <c r="AL122" s="11"/>
      <c r="AM122" s="11"/>
      <c r="AN122" s="11"/>
      <c r="AO122" s="11"/>
      <c r="AP122" s="11"/>
      <c r="AQ122" s="11"/>
      <c r="AR122" s="11"/>
      <c r="AS122" s="11"/>
      <c r="AT122" s="11"/>
      <c r="AU122" s="11"/>
      <c r="AV122" s="11"/>
      <c r="AW122" s="11"/>
      <c r="AX122" s="11"/>
      <c r="AY122" s="10"/>
      <c r="AZ122" s="209" t="s">
        <v>842</v>
      </c>
    </row>
    <row r="123" spans="2:52" ht="13.5" customHeight="1" thickTop="1">
      <c r="B123" s="670"/>
      <c r="C123" s="686"/>
      <c r="D123" s="681"/>
      <c r="E123" s="8"/>
      <c r="F123" s="7"/>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5"/>
      <c r="AZ123" s="215" t="s">
        <v>844</v>
      </c>
    </row>
    <row r="124" spans="2:52" ht="13.5" customHeight="1">
      <c r="B124" s="670"/>
      <c r="C124" s="14"/>
      <c r="D124" s="23"/>
      <c r="E124" s="18"/>
      <c r="F124" s="17"/>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5"/>
      <c r="AZ124" s="14"/>
    </row>
    <row r="125" spans="2:52" ht="13.5" customHeight="1">
      <c r="B125" s="670"/>
      <c r="C125" s="9"/>
      <c r="D125" s="22"/>
      <c r="E125" s="13"/>
      <c r="F125" s="12"/>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0"/>
      <c r="AZ125" s="9"/>
    </row>
    <row r="126" spans="2:52" ht="13.5" customHeight="1">
      <c r="B126" s="670"/>
      <c r="C126" s="9"/>
      <c r="D126" s="22"/>
      <c r="E126" s="13"/>
      <c r="F126" s="12"/>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0"/>
      <c r="AZ126" s="9"/>
    </row>
    <row r="127" spans="2:52" ht="13.5" customHeight="1">
      <c r="B127" s="670"/>
      <c r="C127" s="9"/>
      <c r="D127" s="22"/>
      <c r="E127" s="13"/>
      <c r="F127" s="12"/>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0"/>
      <c r="AZ127" s="9"/>
    </row>
    <row r="128" spans="2:52" ht="13.5" customHeight="1">
      <c r="B128" s="670"/>
      <c r="C128" s="9"/>
      <c r="D128" s="22"/>
      <c r="E128" s="13"/>
      <c r="F128" s="12"/>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0"/>
      <c r="AZ128" s="9"/>
    </row>
    <row r="129" spans="2:52" ht="13.5" customHeight="1">
      <c r="B129" s="670"/>
      <c r="C129" s="9"/>
      <c r="D129" s="22"/>
      <c r="E129" s="13"/>
      <c r="F129" s="12"/>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0"/>
      <c r="AZ129" s="9"/>
    </row>
    <row r="130" spans="2:52" ht="13.5" customHeight="1">
      <c r="B130" s="681"/>
      <c r="C130" s="4"/>
      <c r="D130" s="21"/>
      <c r="E130" s="8"/>
      <c r="F130" s="7"/>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5"/>
      <c r="AZ130" s="4"/>
    </row>
    <row r="131" spans="2:52" ht="13.5" customHeight="1">
      <c r="B131" s="680" t="s">
        <v>35</v>
      </c>
      <c r="C131" s="682">
        <v>1</v>
      </c>
      <c r="D131" s="682" t="s">
        <v>34</v>
      </c>
      <c r="E131" s="18"/>
      <c r="F131" s="17"/>
      <c r="G131" s="16"/>
      <c r="H131" s="16"/>
      <c r="I131" s="16"/>
      <c r="J131" s="16"/>
      <c r="K131" s="16"/>
      <c r="L131" s="16"/>
      <c r="M131" s="16"/>
      <c r="N131" s="16"/>
      <c r="O131" s="16"/>
      <c r="P131" s="16"/>
      <c r="Q131" s="16"/>
      <c r="R131" s="16"/>
      <c r="S131" s="16"/>
      <c r="T131" s="20"/>
      <c r="U131" s="20"/>
      <c r="V131" s="20"/>
      <c r="W131" s="20"/>
      <c r="X131" s="20"/>
      <c r="Y131" s="20"/>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5"/>
      <c r="AZ131" s="14"/>
    </row>
    <row r="132" spans="2:52" ht="13.5" customHeight="1">
      <c r="B132" s="670"/>
      <c r="C132" s="666"/>
      <c r="D132" s="666"/>
      <c r="E132" s="13" t="s">
        <v>13</v>
      </c>
      <c r="F132" s="12"/>
      <c r="G132" s="11"/>
      <c r="H132" s="11"/>
      <c r="I132" s="11"/>
      <c r="J132" s="11" t="s">
        <v>33</v>
      </c>
      <c r="K132" s="11"/>
      <c r="L132" s="11"/>
      <c r="M132" s="11"/>
      <c r="N132" s="11"/>
      <c r="O132" s="11"/>
      <c r="P132" s="11"/>
      <c r="Q132" s="11"/>
      <c r="R132" s="11"/>
      <c r="S132" s="11"/>
      <c r="T132" s="665">
        <f>IF(0&gt;Z122,0,Z122)</f>
        <v>0</v>
      </c>
      <c r="U132" s="665"/>
      <c r="V132" s="665"/>
      <c r="W132" s="665"/>
      <c r="X132" s="665"/>
      <c r="Y132" s="665"/>
      <c r="Z132" s="11"/>
      <c r="AA132" s="19" t="s">
        <v>32</v>
      </c>
      <c r="AB132" s="11"/>
      <c r="AC132" s="11"/>
      <c r="AD132" s="11"/>
      <c r="AE132" s="11"/>
      <c r="AF132" s="11"/>
      <c r="AG132" s="491"/>
      <c r="AH132" s="11"/>
      <c r="AI132" s="11"/>
      <c r="AJ132" s="11"/>
      <c r="AK132" s="11"/>
      <c r="AL132" s="11"/>
      <c r="AM132" s="11"/>
      <c r="AN132" s="11"/>
      <c r="AO132" s="11"/>
      <c r="AP132" s="11"/>
      <c r="AQ132" s="11"/>
      <c r="AR132" s="11"/>
      <c r="AS132" s="11"/>
      <c r="AT132" s="11"/>
      <c r="AU132" s="11"/>
      <c r="AV132" s="11"/>
      <c r="AW132" s="11"/>
      <c r="AX132" s="11"/>
      <c r="AY132" s="10"/>
      <c r="AZ132" s="9" t="s">
        <v>868</v>
      </c>
    </row>
    <row r="133" spans="2:52" ht="13.5" customHeight="1" thickBot="1">
      <c r="B133" s="670"/>
      <c r="C133" s="666"/>
      <c r="D133" s="666"/>
      <c r="E133" s="13"/>
      <c r="F133" s="12"/>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0"/>
      <c r="AZ133" s="9">
        <v>0</v>
      </c>
    </row>
    <row r="134" spans="2:52" ht="13.5" customHeight="1" thickTop="1" thickBot="1">
      <c r="B134" s="670"/>
      <c r="C134" s="666"/>
      <c r="D134" s="666"/>
      <c r="E134" s="13"/>
      <c r="F134" s="12"/>
      <c r="G134" s="11"/>
      <c r="H134" s="11"/>
      <c r="I134" s="11"/>
      <c r="J134" s="11" t="s">
        <v>31</v>
      </c>
      <c r="K134" s="11"/>
      <c r="L134" s="11"/>
      <c r="M134" s="11"/>
      <c r="N134" s="11"/>
      <c r="O134" s="11"/>
      <c r="P134" s="11"/>
      <c r="Q134" s="11"/>
      <c r="R134" s="11"/>
      <c r="S134" s="11"/>
      <c r="T134" s="667">
        <f>ROUNDDOWN(R25*4/105,0)</f>
        <v>0</v>
      </c>
      <c r="U134" s="668"/>
      <c r="V134" s="668"/>
      <c r="W134" s="668"/>
      <c r="X134" s="668"/>
      <c r="Y134" s="669"/>
      <c r="Z134" s="11" t="s">
        <v>183</v>
      </c>
      <c r="AA134" s="19" t="s">
        <v>182</v>
      </c>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0"/>
      <c r="AZ134" s="9" t="s">
        <v>28</v>
      </c>
    </row>
    <row r="135" spans="2:52" ht="13.5" customHeight="1" thickTop="1">
      <c r="B135" s="670"/>
      <c r="C135" s="666"/>
      <c r="D135" s="666"/>
      <c r="E135" s="13"/>
      <c r="F135" s="12"/>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0"/>
      <c r="AZ135" s="9"/>
    </row>
    <row r="136" spans="2:52" ht="13.5" customHeight="1" thickBot="1">
      <c r="B136" s="670"/>
      <c r="C136" s="666"/>
      <c r="D136" s="666"/>
      <c r="E136" s="13"/>
      <c r="F136" s="12"/>
      <c r="G136" s="11"/>
      <c r="H136" s="11"/>
      <c r="I136" s="11"/>
      <c r="J136" s="11" t="s">
        <v>27</v>
      </c>
      <c r="K136" s="11"/>
      <c r="L136" s="11"/>
      <c r="M136" s="11"/>
      <c r="N136" s="11"/>
      <c r="O136" s="11"/>
      <c r="P136" s="11"/>
      <c r="Q136" s="11"/>
      <c r="R136" s="11"/>
      <c r="S136" s="11"/>
      <c r="T136" s="687">
        <f>基礎数値!E17</f>
        <v>1120996</v>
      </c>
      <c r="U136" s="687"/>
      <c r="V136" s="687"/>
      <c r="W136" s="687"/>
      <c r="X136" s="687"/>
      <c r="Y136" s="687"/>
      <c r="Z136" s="11" t="s">
        <v>181</v>
      </c>
      <c r="AA136" s="19" t="s">
        <v>25</v>
      </c>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0"/>
      <c r="AZ136" s="9"/>
    </row>
    <row r="137" spans="2:52" ht="13.5" customHeight="1" thickTop="1" thickBot="1">
      <c r="B137" s="670"/>
      <c r="C137" s="666"/>
      <c r="D137" s="666"/>
      <c r="E137" s="13"/>
      <c r="F137" s="12"/>
      <c r="G137" s="11"/>
      <c r="H137" s="11"/>
      <c r="I137" s="11"/>
      <c r="J137" s="11" t="s">
        <v>24</v>
      </c>
      <c r="K137" s="11"/>
      <c r="L137" s="11"/>
      <c r="M137" s="11"/>
      <c r="N137" s="11"/>
      <c r="O137" s="11"/>
      <c r="P137" s="11"/>
      <c r="Q137" s="11"/>
      <c r="R137" s="11"/>
      <c r="S137" s="11"/>
      <c r="T137" s="667">
        <f>ROUNDDOWN(T136*4/105,0)</f>
        <v>42704</v>
      </c>
      <c r="U137" s="668"/>
      <c r="V137" s="668"/>
      <c r="W137" s="668"/>
      <c r="X137" s="668"/>
      <c r="Y137" s="669"/>
      <c r="Z137" s="11" t="s">
        <v>180</v>
      </c>
      <c r="AA137" s="19" t="s">
        <v>179</v>
      </c>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0"/>
      <c r="AZ137" s="9" t="s">
        <v>178</v>
      </c>
    </row>
    <row r="138" spans="2:52" ht="13.5" customHeight="1" thickTop="1" thickBot="1">
      <c r="B138" s="670"/>
      <c r="C138" s="666"/>
      <c r="D138" s="666"/>
      <c r="E138" s="13"/>
      <c r="F138" s="12"/>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0"/>
      <c r="AZ138" s="9"/>
    </row>
    <row r="139" spans="2:52" ht="13.5" customHeight="1" thickTop="1" thickBot="1">
      <c r="B139" s="670"/>
      <c r="C139" s="666"/>
      <c r="D139" s="666"/>
      <c r="E139" s="13"/>
      <c r="F139" s="12"/>
      <c r="G139" s="11"/>
      <c r="H139" s="11"/>
      <c r="I139" s="11"/>
      <c r="J139" s="11" t="s">
        <v>20</v>
      </c>
      <c r="K139" s="11"/>
      <c r="L139" s="11"/>
      <c r="M139" s="11"/>
      <c r="N139" s="11"/>
      <c r="O139" s="11"/>
      <c r="P139" s="11"/>
      <c r="Q139" s="11"/>
      <c r="R139" s="11"/>
      <c r="S139" s="11"/>
      <c r="T139" s="667">
        <f>T132+T134+T137</f>
        <v>42704</v>
      </c>
      <c r="U139" s="668"/>
      <c r="V139" s="668"/>
      <c r="W139" s="668"/>
      <c r="X139" s="668"/>
      <c r="Y139" s="669"/>
      <c r="Z139" s="11" t="s">
        <v>177</v>
      </c>
      <c r="AB139" s="19" t="s">
        <v>176</v>
      </c>
      <c r="AC139" s="11"/>
      <c r="AD139" s="11"/>
      <c r="AE139" s="11"/>
      <c r="AF139" s="11"/>
      <c r="AG139" s="491"/>
      <c r="AH139" s="11"/>
      <c r="AI139" s="11"/>
      <c r="AJ139" s="11"/>
      <c r="AK139" s="11"/>
      <c r="AL139" s="11"/>
      <c r="AM139" s="11"/>
      <c r="AN139" s="11"/>
      <c r="AO139" s="11"/>
      <c r="AP139" s="11"/>
      <c r="AQ139" s="11"/>
      <c r="AR139" s="11"/>
      <c r="AS139" s="11"/>
      <c r="AT139" s="11"/>
      <c r="AU139" s="11"/>
      <c r="AV139" s="11"/>
      <c r="AW139" s="11"/>
      <c r="AX139" s="11"/>
      <c r="AY139" s="10"/>
      <c r="AZ139" s="9" t="s">
        <v>175</v>
      </c>
    </row>
    <row r="140" spans="2:52" ht="13.5" customHeight="1" thickTop="1">
      <c r="B140" s="670"/>
      <c r="C140" s="671"/>
      <c r="D140" s="671"/>
      <c r="E140" s="8"/>
      <c r="F140" s="7"/>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5"/>
      <c r="AZ140" s="4"/>
    </row>
    <row r="141" spans="2:52" ht="13.5" customHeight="1">
      <c r="B141" s="670"/>
      <c r="C141" s="682">
        <v>2</v>
      </c>
      <c r="D141" s="680" t="s">
        <v>16</v>
      </c>
      <c r="E141" s="18"/>
      <c r="F141" s="17"/>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5"/>
      <c r="AZ141" s="14"/>
    </row>
    <row r="142" spans="2:52" ht="13.5" customHeight="1">
      <c r="B142" s="670"/>
      <c r="C142" s="666"/>
      <c r="D142" s="670"/>
      <c r="E142" s="13" t="s">
        <v>15</v>
      </c>
      <c r="F142" s="12"/>
      <c r="G142" s="11"/>
      <c r="H142" s="11"/>
      <c r="I142" s="11"/>
      <c r="J142" s="11"/>
      <c r="K142" s="11"/>
      <c r="L142" s="11"/>
      <c r="M142" s="11"/>
      <c r="N142" s="11"/>
      <c r="O142" s="11"/>
      <c r="P142" s="11"/>
      <c r="Q142" s="11"/>
      <c r="R142" s="11"/>
      <c r="S142" s="11"/>
      <c r="T142" s="665">
        <f>R31</f>
        <v>0</v>
      </c>
      <c r="U142" s="665"/>
      <c r="V142" s="665"/>
      <c r="W142" s="665"/>
      <c r="X142" s="665"/>
      <c r="Y142" s="665"/>
      <c r="Z142" s="11"/>
      <c r="AA142" s="11"/>
      <c r="AB142" s="19" t="s">
        <v>14</v>
      </c>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0"/>
      <c r="AZ142" s="9"/>
    </row>
    <row r="143" spans="2:52" ht="13.5" customHeight="1" thickBot="1">
      <c r="B143" s="670"/>
      <c r="C143" s="666"/>
      <c r="D143" s="670"/>
      <c r="E143" s="13" t="s">
        <v>13</v>
      </c>
      <c r="F143" s="12"/>
      <c r="G143" s="11"/>
      <c r="H143" s="11"/>
      <c r="I143" s="11"/>
      <c r="J143" s="11"/>
      <c r="K143" s="11"/>
      <c r="L143" s="11"/>
      <c r="M143" s="11"/>
      <c r="N143" s="11"/>
      <c r="O143" s="11"/>
      <c r="P143" s="11"/>
      <c r="Q143" s="11"/>
      <c r="R143" s="11"/>
      <c r="S143" s="11"/>
      <c r="T143" s="697">
        <f>T139</f>
        <v>42704</v>
      </c>
      <c r="U143" s="698"/>
      <c r="V143" s="698"/>
      <c r="W143" s="698"/>
      <c r="X143" s="698"/>
      <c r="Y143" s="699"/>
      <c r="Z143" s="11"/>
      <c r="AA143" s="11"/>
      <c r="AB143" s="19" t="s">
        <v>12</v>
      </c>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0"/>
      <c r="AZ143" s="9"/>
    </row>
    <row r="144" spans="2:52" ht="13.5" customHeight="1" thickTop="1" thickBot="1">
      <c r="B144" s="670"/>
      <c r="C144" s="666"/>
      <c r="D144" s="670"/>
      <c r="E144" s="13" t="s">
        <v>11</v>
      </c>
      <c r="F144" s="12"/>
      <c r="G144" s="11"/>
      <c r="H144" s="11"/>
      <c r="I144" s="11"/>
      <c r="J144" s="11"/>
      <c r="K144" s="11"/>
      <c r="L144" s="11"/>
      <c r="M144" s="11"/>
      <c r="N144" s="11"/>
      <c r="O144" s="11"/>
      <c r="P144" s="11"/>
      <c r="Q144" s="11"/>
      <c r="R144" s="11"/>
      <c r="S144" s="11"/>
      <c r="T144" s="667">
        <f>ROUNDDOWN(Z120-T143,0)</f>
        <v>4966975</v>
      </c>
      <c r="U144" s="668"/>
      <c r="V144" s="668"/>
      <c r="W144" s="668"/>
      <c r="X144" s="668"/>
      <c r="Y144" s="669"/>
      <c r="Z144" s="11" t="s">
        <v>174</v>
      </c>
      <c r="AA144" s="11"/>
      <c r="AB144" s="19" t="s">
        <v>869</v>
      </c>
      <c r="AC144" s="11"/>
      <c r="AD144" s="11"/>
      <c r="AE144" s="11"/>
      <c r="AF144" s="11"/>
      <c r="AG144" s="491"/>
      <c r="AH144" s="11"/>
      <c r="AI144" s="11"/>
      <c r="AJ144" s="11"/>
      <c r="AK144" s="11"/>
      <c r="AL144" s="11"/>
      <c r="AM144" s="11"/>
      <c r="AN144" s="11"/>
      <c r="AO144" s="11"/>
      <c r="AP144" s="11"/>
      <c r="AQ144" s="11"/>
      <c r="AR144" s="11"/>
      <c r="AS144" s="11"/>
      <c r="AT144" s="11"/>
      <c r="AU144" s="11"/>
      <c r="AV144" s="11"/>
      <c r="AW144" s="11"/>
      <c r="AX144" s="11"/>
      <c r="AY144" s="10"/>
      <c r="AZ144" s="487" t="s">
        <v>855</v>
      </c>
    </row>
    <row r="145" spans="2:52" ht="13.5" customHeight="1" thickTop="1">
      <c r="B145" s="670"/>
      <c r="C145" s="666"/>
      <c r="D145" s="670"/>
      <c r="E145" s="13"/>
      <c r="F145" s="12"/>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0"/>
      <c r="AZ145" s="9"/>
    </row>
    <row r="146" spans="2:52" ht="13.5" customHeight="1">
      <c r="B146" s="670"/>
      <c r="C146" s="666"/>
      <c r="D146" s="670"/>
      <c r="E146" s="13"/>
      <c r="F146" s="12"/>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0"/>
      <c r="AZ146" s="9"/>
    </row>
    <row r="147" spans="2:52" ht="13.5" customHeight="1">
      <c r="B147" s="670"/>
      <c r="C147" s="666"/>
      <c r="D147" s="670"/>
      <c r="E147" s="13"/>
      <c r="F147" s="12"/>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0"/>
      <c r="AZ147" s="9"/>
    </row>
    <row r="148" spans="2:52" ht="13.5" customHeight="1">
      <c r="B148" s="670"/>
      <c r="C148" s="666"/>
      <c r="D148" s="670"/>
      <c r="E148" s="13"/>
      <c r="F148" s="12"/>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9"/>
      <c r="AI148" s="11"/>
      <c r="AJ148" s="11"/>
      <c r="AK148" s="11"/>
      <c r="AL148" s="11"/>
      <c r="AM148" s="11"/>
      <c r="AN148" s="11"/>
      <c r="AO148" s="11"/>
      <c r="AP148" s="11"/>
      <c r="AQ148" s="11"/>
      <c r="AR148" s="11"/>
      <c r="AS148" s="11"/>
      <c r="AT148" s="11"/>
      <c r="AU148" s="11"/>
      <c r="AV148" s="11"/>
      <c r="AW148" s="11"/>
      <c r="AX148" s="11"/>
      <c r="AY148" s="10"/>
      <c r="AZ148" s="9"/>
    </row>
    <row r="149" spans="2:52" ht="13.5" customHeight="1">
      <c r="B149" s="670"/>
      <c r="C149" s="671"/>
      <c r="D149" s="681"/>
      <c r="E149" s="8"/>
      <c r="F149" s="7"/>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5"/>
      <c r="AZ149" s="4"/>
    </row>
    <row r="150" spans="2:52" ht="13.5" customHeight="1" thickBot="1">
      <c r="B150" s="670"/>
      <c r="C150" s="682">
        <v>3</v>
      </c>
      <c r="D150" s="680" t="s">
        <v>7</v>
      </c>
      <c r="E150" s="18"/>
      <c r="F150" s="17"/>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5"/>
      <c r="AZ150" s="14"/>
    </row>
    <row r="151" spans="2:52" ht="13.5" customHeight="1" thickTop="1" thickBot="1">
      <c r="B151" s="670"/>
      <c r="C151" s="666"/>
      <c r="D151" s="670"/>
      <c r="E151" s="13" t="s">
        <v>6</v>
      </c>
      <c r="F151" s="12"/>
      <c r="G151" s="11"/>
      <c r="H151" s="11"/>
      <c r="I151" s="11"/>
      <c r="J151" s="11"/>
      <c r="K151" s="11"/>
      <c r="L151" s="11"/>
      <c r="M151" s="11"/>
      <c r="N151" s="11"/>
      <c r="O151" s="11"/>
      <c r="P151" s="11"/>
      <c r="Q151" s="11"/>
      <c r="R151" s="11"/>
      <c r="S151" s="11"/>
      <c r="T151" s="667">
        <f>T144</f>
        <v>4966975</v>
      </c>
      <c r="U151" s="668"/>
      <c r="V151" s="668"/>
      <c r="W151" s="668"/>
      <c r="X151" s="668"/>
      <c r="Y151" s="669"/>
      <c r="Z151" s="11"/>
      <c r="AA151" s="11"/>
      <c r="AB151" s="19" t="s">
        <v>5</v>
      </c>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0"/>
      <c r="AZ151" s="9"/>
    </row>
    <row r="152" spans="2:52" ht="13.5" customHeight="1" thickTop="1" thickBot="1">
      <c r="B152" s="670"/>
      <c r="C152" s="666"/>
      <c r="D152" s="670"/>
      <c r="E152" s="13" t="s">
        <v>4</v>
      </c>
      <c r="F152" s="12"/>
      <c r="G152" s="11"/>
      <c r="H152" s="11"/>
      <c r="I152" s="11"/>
      <c r="J152" s="11"/>
      <c r="K152" s="11"/>
      <c r="L152" s="11"/>
      <c r="M152" s="11"/>
      <c r="N152" s="11"/>
      <c r="O152" s="11"/>
      <c r="P152" s="11"/>
      <c r="Q152" s="11"/>
      <c r="R152" s="11"/>
      <c r="S152" s="11"/>
      <c r="T152" s="667">
        <f>ROUNDDOWN(T151*25/100,0)</f>
        <v>1241743</v>
      </c>
      <c r="U152" s="668"/>
      <c r="V152" s="668"/>
      <c r="W152" s="668"/>
      <c r="X152" s="668"/>
      <c r="Y152" s="669"/>
      <c r="Z152" s="11" t="s">
        <v>173</v>
      </c>
      <c r="AA152" s="11"/>
      <c r="AB152" s="19" t="s">
        <v>872</v>
      </c>
      <c r="AC152" s="11"/>
      <c r="AD152" s="11"/>
      <c r="AE152" s="11"/>
      <c r="AF152" s="11"/>
      <c r="AG152" s="491"/>
      <c r="AH152" s="11"/>
      <c r="AI152" s="11"/>
      <c r="AJ152" s="11"/>
      <c r="AK152" s="11"/>
      <c r="AL152" s="11"/>
      <c r="AM152" s="11"/>
      <c r="AN152" s="11"/>
      <c r="AO152" s="11"/>
      <c r="AP152" s="11"/>
      <c r="AQ152" s="11"/>
      <c r="AR152" s="11"/>
      <c r="AS152" s="11"/>
      <c r="AT152" s="11"/>
      <c r="AU152" s="11"/>
      <c r="AV152" s="11"/>
      <c r="AW152" s="11"/>
      <c r="AX152" s="11"/>
      <c r="AY152" s="10"/>
      <c r="AZ152" s="487" t="s">
        <v>858</v>
      </c>
    </row>
    <row r="153" spans="2:52" ht="13.5" customHeight="1" thickTop="1">
      <c r="B153" s="670"/>
      <c r="C153" s="666"/>
      <c r="D153" s="670"/>
      <c r="E153" s="13"/>
      <c r="F153" s="12"/>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0"/>
      <c r="AZ153" s="9"/>
    </row>
    <row r="154" spans="2:52" ht="13.5" customHeight="1">
      <c r="B154" s="670"/>
      <c r="C154" s="666"/>
      <c r="D154" s="670"/>
      <c r="E154" s="13"/>
      <c r="F154" s="12"/>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0"/>
      <c r="AZ154" s="9"/>
    </row>
    <row r="155" spans="2:52" ht="13.5" customHeight="1">
      <c r="B155" s="670"/>
      <c r="C155" s="666"/>
      <c r="D155" s="670"/>
      <c r="E155" s="13"/>
      <c r="F155" s="12"/>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0"/>
      <c r="AZ155" s="9"/>
    </row>
    <row r="156" spans="2:52" ht="13.5" customHeight="1">
      <c r="B156" s="670"/>
      <c r="C156" s="666"/>
      <c r="D156" s="670"/>
      <c r="E156" s="13"/>
      <c r="F156" s="12"/>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9"/>
      <c r="AI156" s="11"/>
      <c r="AJ156" s="11"/>
      <c r="AK156" s="11"/>
      <c r="AL156" s="11"/>
      <c r="AM156" s="11"/>
      <c r="AN156" s="11"/>
      <c r="AO156" s="11"/>
      <c r="AP156" s="11"/>
      <c r="AQ156" s="11"/>
      <c r="AR156" s="11"/>
      <c r="AS156" s="11"/>
      <c r="AT156" s="11"/>
      <c r="AU156" s="11"/>
      <c r="AV156" s="11"/>
      <c r="AW156" s="11"/>
      <c r="AX156" s="11"/>
      <c r="AY156" s="10"/>
      <c r="AZ156" s="9"/>
    </row>
    <row r="157" spans="2:52" ht="13.5" customHeight="1">
      <c r="B157" s="670"/>
      <c r="C157" s="671"/>
      <c r="D157" s="681"/>
      <c r="E157" s="8"/>
      <c r="F157" s="7"/>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5"/>
      <c r="AZ157" s="4"/>
    </row>
    <row r="158" spans="2:52" ht="13.5" customHeight="1">
      <c r="B158" s="670"/>
      <c r="C158" s="682">
        <v>4</v>
      </c>
      <c r="D158" s="680" t="s">
        <v>0</v>
      </c>
      <c r="E158" s="18"/>
      <c r="F158" s="17"/>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5"/>
      <c r="AZ158" s="14"/>
    </row>
    <row r="159" spans="2:52" ht="13.5" customHeight="1">
      <c r="B159" s="670"/>
      <c r="C159" s="666"/>
      <c r="D159" s="670"/>
      <c r="E159" s="13"/>
      <c r="F159" s="12"/>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0"/>
      <c r="AZ159" s="9"/>
    </row>
    <row r="160" spans="2:52" ht="13.5" customHeight="1">
      <c r="B160" s="681"/>
      <c r="C160" s="671"/>
      <c r="D160" s="681"/>
      <c r="E160" s="8"/>
      <c r="F160" s="7"/>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5"/>
      <c r="AZ160" s="4"/>
    </row>
  </sheetData>
  <mergeCells count="130">
    <mergeCell ref="D5:D7"/>
    <mergeCell ref="E5:AY12"/>
    <mergeCell ref="C8:C10"/>
    <mergeCell ref="D8:D10"/>
    <mergeCell ref="C11:C12"/>
    <mergeCell ref="D11:D12"/>
    <mergeCell ref="B33:B43"/>
    <mergeCell ref="C33:C43"/>
    <mergeCell ref="D33:D43"/>
    <mergeCell ref="C19:C32"/>
    <mergeCell ref="D19:D32"/>
    <mergeCell ref="R20:W20"/>
    <mergeCell ref="R21:W21"/>
    <mergeCell ref="C13:C14"/>
    <mergeCell ref="D13:D14"/>
    <mergeCell ref="E13:AY18"/>
    <mergeCell ref="C15:C16"/>
    <mergeCell ref="D15:D16"/>
    <mergeCell ref="C17:C18"/>
    <mergeCell ref="D17:D18"/>
    <mergeCell ref="B72:B86"/>
    <mergeCell ref="C72:C73"/>
    <mergeCell ref="D72:D73"/>
    <mergeCell ref="B2:D2"/>
    <mergeCell ref="E2:AY2"/>
    <mergeCell ref="B3:B32"/>
    <mergeCell ref="C3:C4"/>
    <mergeCell ref="D3:D4"/>
    <mergeCell ref="E3:AY4"/>
    <mergeCell ref="C5:C7"/>
    <mergeCell ref="C58:C71"/>
    <mergeCell ref="D58:D71"/>
    <mergeCell ref="R59:W59"/>
    <mergeCell ref="R60:W60"/>
    <mergeCell ref="AK21:AP21"/>
    <mergeCell ref="R24:W24"/>
    <mergeCell ref="R25:W25"/>
    <mergeCell ref="R27:W27"/>
    <mergeCell ref="R29:W29"/>
    <mergeCell ref="R31:W31"/>
    <mergeCell ref="C56:C57"/>
    <mergeCell ref="D56:D57"/>
    <mergeCell ref="E56:AY57"/>
    <mergeCell ref="D47:D49"/>
    <mergeCell ref="C52:C53"/>
    <mergeCell ref="D52:D53"/>
    <mergeCell ref="E52:AY53"/>
    <mergeCell ref="AZ36:AZ37"/>
    <mergeCell ref="AZ40:AZ41"/>
    <mergeCell ref="B44:B71"/>
    <mergeCell ref="C44:C46"/>
    <mergeCell ref="D44:D46"/>
    <mergeCell ref="E44:AY46"/>
    <mergeCell ref="C47:C49"/>
    <mergeCell ref="C54:C55"/>
    <mergeCell ref="D54:D55"/>
    <mergeCell ref="E54:AY55"/>
    <mergeCell ref="AK60:AP60"/>
    <mergeCell ref="R65:W65"/>
    <mergeCell ref="R66:W66"/>
    <mergeCell ref="T68:Y68"/>
    <mergeCell ref="T70:Y70"/>
    <mergeCell ref="E47:AY51"/>
    <mergeCell ref="C50:C51"/>
    <mergeCell ref="D50:D51"/>
    <mergeCell ref="E72:AY73"/>
    <mergeCell ref="C74:C76"/>
    <mergeCell ref="E103:R106"/>
    <mergeCell ref="C87:C96"/>
    <mergeCell ref="D87:D96"/>
    <mergeCell ref="P88:U88"/>
    <mergeCell ref="P89:U89"/>
    <mergeCell ref="Z106:AE106"/>
    <mergeCell ref="B87:B130"/>
    <mergeCell ref="P91:U91"/>
    <mergeCell ref="P92:U92"/>
    <mergeCell ref="AE92:AJ92"/>
    <mergeCell ref="AG103:AG106"/>
    <mergeCell ref="C81:C83"/>
    <mergeCell ref="D81:D83"/>
    <mergeCell ref="E81:AY83"/>
    <mergeCell ref="C84:C86"/>
    <mergeCell ref="D84:D86"/>
    <mergeCell ref="E84:AY86"/>
    <mergeCell ref="D74:D76"/>
    <mergeCell ref="E74:AY76"/>
    <mergeCell ref="C77:C80"/>
    <mergeCell ref="D77:D80"/>
    <mergeCell ref="E77:AY80"/>
    <mergeCell ref="B131:B160"/>
    <mergeCell ref="C131:C140"/>
    <mergeCell ref="D131:D140"/>
    <mergeCell ref="T132:Y132"/>
    <mergeCell ref="T134:Y134"/>
    <mergeCell ref="Z98:AE98"/>
    <mergeCell ref="Z100:AE100"/>
    <mergeCell ref="Z101:AE101"/>
    <mergeCell ref="Z103:AE103"/>
    <mergeCell ref="T144:Y144"/>
    <mergeCell ref="F113:S116"/>
    <mergeCell ref="C97:C123"/>
    <mergeCell ref="C141:C149"/>
    <mergeCell ref="D141:D149"/>
    <mergeCell ref="D97:D123"/>
    <mergeCell ref="C150:C157"/>
    <mergeCell ref="D150:D157"/>
    <mergeCell ref="T151:Y151"/>
    <mergeCell ref="T152:Y152"/>
    <mergeCell ref="C158:C160"/>
    <mergeCell ref="D158:D160"/>
    <mergeCell ref="T136:Y136"/>
    <mergeCell ref="T137:Y137"/>
    <mergeCell ref="AZ87:AZ96"/>
    <mergeCell ref="AS89:AX89"/>
    <mergeCell ref="AZ113:AZ116"/>
    <mergeCell ref="AA116:AF116"/>
    <mergeCell ref="AA118:AF118"/>
    <mergeCell ref="Z120:AE120"/>
    <mergeCell ref="Z122:AE122"/>
    <mergeCell ref="T143:Y143"/>
    <mergeCell ref="P93:U93"/>
    <mergeCell ref="P95:U95"/>
    <mergeCell ref="T142:Y142"/>
    <mergeCell ref="AZ103:AZ106"/>
    <mergeCell ref="T139:Y139"/>
    <mergeCell ref="Z108:AE108"/>
    <mergeCell ref="AC111:AH111"/>
    <mergeCell ref="AA113:AF113"/>
    <mergeCell ref="AH113:AH116"/>
    <mergeCell ref="AI113:AQ116"/>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91" zoomScale="115" zoomScaleNormal="115" workbookViewId="0">
      <selection activeCell="T144" sqref="T144:Y144"/>
    </sheetView>
  </sheetViews>
  <sheetFormatPr defaultColWidth="9" defaultRowHeight="13.5" customHeight="1"/>
  <cols>
    <col min="1" max="1" width="0.375" style="1" customWidth="1"/>
    <col min="2" max="2" width="10.625" style="1" customWidth="1"/>
    <col min="3" max="3" width="2.375" style="1" customWidth="1"/>
    <col min="4" max="4" width="35.25" style="3" customWidth="1"/>
    <col min="5" max="5" width="1.875" style="1" customWidth="1"/>
    <col min="6" max="6" width="1.875" style="2" customWidth="1"/>
    <col min="7" max="51" width="1.875" style="1" customWidth="1"/>
    <col min="52" max="52" width="9.375" style="1" customWidth="1"/>
    <col min="53" max="53" width="0.625" style="1" customWidth="1"/>
    <col min="54" max="16384" width="9" style="1"/>
  </cols>
  <sheetData>
    <row r="1" spans="2:52" ht="17.25" customHeight="1">
      <c r="B1" s="35" t="s">
        <v>172</v>
      </c>
      <c r="AZ1" s="34" t="s">
        <v>171</v>
      </c>
    </row>
    <row r="2" spans="2:52" ht="13.5" customHeight="1">
      <c r="B2" s="696" t="s">
        <v>170</v>
      </c>
      <c r="C2" s="696"/>
      <c r="D2" s="696"/>
      <c r="E2" s="696" t="s">
        <v>169</v>
      </c>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696"/>
      <c r="AZ2" s="33" t="s">
        <v>168</v>
      </c>
    </row>
    <row r="3" spans="2:52" ht="13.5" customHeight="1">
      <c r="B3" s="682" t="s">
        <v>167</v>
      </c>
      <c r="C3" s="688">
        <v>1</v>
      </c>
      <c r="D3" s="690" t="s">
        <v>166</v>
      </c>
      <c r="E3" s="688" t="s">
        <v>165</v>
      </c>
      <c r="F3" s="688"/>
      <c r="G3" s="688"/>
      <c r="H3" s="688"/>
      <c r="I3" s="688"/>
      <c r="J3" s="688"/>
      <c r="K3" s="688"/>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c r="AP3" s="688"/>
      <c r="AQ3" s="688"/>
      <c r="AR3" s="688"/>
      <c r="AS3" s="688"/>
      <c r="AT3" s="688"/>
      <c r="AU3" s="688"/>
      <c r="AV3" s="688"/>
      <c r="AW3" s="688"/>
      <c r="AX3" s="688"/>
      <c r="AY3" s="688"/>
      <c r="AZ3" s="14"/>
    </row>
    <row r="4" spans="2:52" ht="13.5" customHeight="1">
      <c r="B4" s="666"/>
      <c r="C4" s="688"/>
      <c r="D4" s="690"/>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8"/>
      <c r="AN4" s="688"/>
      <c r="AO4" s="688"/>
      <c r="AP4" s="688"/>
      <c r="AQ4" s="688"/>
      <c r="AR4" s="688"/>
      <c r="AS4" s="688"/>
      <c r="AT4" s="688"/>
      <c r="AU4" s="688"/>
      <c r="AV4" s="688"/>
      <c r="AW4" s="688"/>
      <c r="AX4" s="688"/>
      <c r="AY4" s="688"/>
      <c r="AZ4" s="4"/>
    </row>
    <row r="5" spans="2:52" ht="13.5" customHeight="1">
      <c r="B5" s="666"/>
      <c r="C5" s="688">
        <v>2</v>
      </c>
      <c r="D5" s="690" t="s">
        <v>164</v>
      </c>
      <c r="E5" s="688" t="s">
        <v>163</v>
      </c>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c r="AP5" s="688"/>
      <c r="AQ5" s="688"/>
      <c r="AR5" s="688"/>
      <c r="AS5" s="688"/>
      <c r="AT5" s="688"/>
      <c r="AU5" s="688"/>
      <c r="AV5" s="688"/>
      <c r="AW5" s="688"/>
      <c r="AX5" s="688"/>
      <c r="AY5" s="688"/>
      <c r="AZ5" s="14"/>
    </row>
    <row r="6" spans="2:52" ht="13.5" customHeight="1">
      <c r="B6" s="666"/>
      <c r="C6" s="688"/>
      <c r="D6" s="690"/>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8"/>
      <c r="AN6" s="688"/>
      <c r="AO6" s="688"/>
      <c r="AP6" s="688"/>
      <c r="AQ6" s="688"/>
      <c r="AR6" s="688"/>
      <c r="AS6" s="688"/>
      <c r="AT6" s="688"/>
      <c r="AU6" s="688"/>
      <c r="AV6" s="688"/>
      <c r="AW6" s="688"/>
      <c r="AX6" s="688"/>
      <c r="AY6" s="688"/>
      <c r="AZ6" s="9"/>
    </row>
    <row r="7" spans="2:52" ht="13.5" customHeight="1">
      <c r="B7" s="666"/>
      <c r="C7" s="688"/>
      <c r="D7" s="690"/>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8"/>
      <c r="AN7" s="688"/>
      <c r="AO7" s="688"/>
      <c r="AP7" s="688"/>
      <c r="AQ7" s="688"/>
      <c r="AR7" s="688"/>
      <c r="AS7" s="688"/>
      <c r="AT7" s="688"/>
      <c r="AU7" s="688"/>
      <c r="AV7" s="688"/>
      <c r="AW7" s="688"/>
      <c r="AX7" s="688"/>
      <c r="AY7" s="688"/>
      <c r="AZ7" s="9"/>
    </row>
    <row r="8" spans="2:52" ht="13.5" customHeight="1">
      <c r="B8" s="666"/>
      <c r="C8" s="688">
        <v>3</v>
      </c>
      <c r="D8" s="690" t="s">
        <v>162</v>
      </c>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8"/>
      <c r="AN8" s="688"/>
      <c r="AO8" s="688"/>
      <c r="AP8" s="688"/>
      <c r="AQ8" s="688"/>
      <c r="AR8" s="688"/>
      <c r="AS8" s="688"/>
      <c r="AT8" s="688"/>
      <c r="AU8" s="688"/>
      <c r="AV8" s="688"/>
      <c r="AW8" s="688"/>
      <c r="AX8" s="688"/>
      <c r="AY8" s="688"/>
      <c r="AZ8" s="9"/>
    </row>
    <row r="9" spans="2:52" ht="13.5" customHeight="1">
      <c r="B9" s="666"/>
      <c r="C9" s="688"/>
      <c r="D9" s="690"/>
      <c r="E9" s="688"/>
      <c r="F9" s="688"/>
      <c r="G9" s="688"/>
      <c r="H9" s="688"/>
      <c r="I9" s="688"/>
      <c r="J9" s="688"/>
      <c r="K9" s="688"/>
      <c r="L9" s="688"/>
      <c r="M9" s="688"/>
      <c r="N9" s="688"/>
      <c r="O9" s="688"/>
      <c r="P9" s="688"/>
      <c r="Q9" s="688"/>
      <c r="R9" s="688"/>
      <c r="S9" s="688"/>
      <c r="T9" s="688"/>
      <c r="U9" s="688"/>
      <c r="V9" s="688"/>
      <c r="W9" s="688"/>
      <c r="X9" s="688"/>
      <c r="Y9" s="688"/>
      <c r="Z9" s="688"/>
      <c r="AA9" s="688"/>
      <c r="AB9" s="688"/>
      <c r="AC9" s="688"/>
      <c r="AD9" s="688"/>
      <c r="AE9" s="688"/>
      <c r="AF9" s="688"/>
      <c r="AG9" s="688"/>
      <c r="AH9" s="688"/>
      <c r="AI9" s="688"/>
      <c r="AJ9" s="688"/>
      <c r="AK9" s="688"/>
      <c r="AL9" s="688"/>
      <c r="AM9" s="688"/>
      <c r="AN9" s="688"/>
      <c r="AO9" s="688"/>
      <c r="AP9" s="688"/>
      <c r="AQ9" s="688"/>
      <c r="AR9" s="688"/>
      <c r="AS9" s="688"/>
      <c r="AT9" s="688"/>
      <c r="AU9" s="688"/>
      <c r="AV9" s="688"/>
      <c r="AW9" s="688"/>
      <c r="AX9" s="688"/>
      <c r="AY9" s="688"/>
      <c r="AZ9" s="9"/>
    </row>
    <row r="10" spans="2:52" ht="13.5" customHeight="1">
      <c r="B10" s="666"/>
      <c r="C10" s="688"/>
      <c r="D10" s="690"/>
      <c r="E10" s="688"/>
      <c r="F10" s="688"/>
      <c r="G10" s="688"/>
      <c r="H10" s="688"/>
      <c r="I10" s="688"/>
      <c r="J10" s="688"/>
      <c r="K10" s="688"/>
      <c r="L10" s="688"/>
      <c r="M10" s="688"/>
      <c r="N10" s="688"/>
      <c r="O10" s="688"/>
      <c r="P10" s="688"/>
      <c r="Q10" s="688"/>
      <c r="R10" s="688"/>
      <c r="S10" s="688"/>
      <c r="T10" s="688"/>
      <c r="U10" s="688"/>
      <c r="V10" s="688"/>
      <c r="W10" s="688"/>
      <c r="X10" s="688"/>
      <c r="Y10" s="688"/>
      <c r="Z10" s="688"/>
      <c r="AA10" s="688"/>
      <c r="AB10" s="688"/>
      <c r="AC10" s="688"/>
      <c r="AD10" s="688"/>
      <c r="AE10" s="688"/>
      <c r="AF10" s="688"/>
      <c r="AG10" s="688"/>
      <c r="AH10" s="688"/>
      <c r="AI10" s="688"/>
      <c r="AJ10" s="688"/>
      <c r="AK10" s="688"/>
      <c r="AL10" s="688"/>
      <c r="AM10" s="688"/>
      <c r="AN10" s="688"/>
      <c r="AO10" s="688"/>
      <c r="AP10" s="688"/>
      <c r="AQ10" s="688"/>
      <c r="AR10" s="688"/>
      <c r="AS10" s="688"/>
      <c r="AT10" s="688"/>
      <c r="AU10" s="688"/>
      <c r="AV10" s="688"/>
      <c r="AW10" s="688"/>
      <c r="AX10" s="688"/>
      <c r="AY10" s="688"/>
      <c r="AZ10" s="9"/>
    </row>
    <row r="11" spans="2:52" ht="13.5" customHeight="1">
      <c r="B11" s="666"/>
      <c r="C11" s="682">
        <v>4</v>
      </c>
      <c r="D11" s="690" t="s">
        <v>161</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9"/>
    </row>
    <row r="12" spans="2:52" ht="13.5" customHeight="1">
      <c r="B12" s="666"/>
      <c r="C12" s="671"/>
      <c r="D12" s="690"/>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4"/>
    </row>
    <row r="13" spans="2:52" ht="13.5" customHeight="1">
      <c r="B13" s="666"/>
      <c r="C13" s="682">
        <v>5</v>
      </c>
      <c r="D13" s="690" t="s">
        <v>160</v>
      </c>
      <c r="E13" s="688" t="s">
        <v>159</v>
      </c>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14"/>
    </row>
    <row r="14" spans="2:52" ht="13.5" customHeight="1">
      <c r="B14" s="666"/>
      <c r="C14" s="671"/>
      <c r="D14" s="690"/>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9"/>
    </row>
    <row r="15" spans="2:52" ht="13.5" customHeight="1">
      <c r="B15" s="666"/>
      <c r="C15" s="682">
        <v>6</v>
      </c>
      <c r="D15" s="690" t="s">
        <v>158</v>
      </c>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9"/>
    </row>
    <row r="16" spans="2:52" ht="13.5" customHeight="1">
      <c r="B16" s="666"/>
      <c r="C16" s="671"/>
      <c r="D16" s="690"/>
      <c r="E16" s="688"/>
      <c r="F16" s="688"/>
      <c r="G16" s="688"/>
      <c r="H16" s="688"/>
      <c r="I16" s="688"/>
      <c r="J16" s="688"/>
      <c r="K16" s="688"/>
      <c r="L16" s="688"/>
      <c r="M16" s="688"/>
      <c r="N16" s="688"/>
      <c r="O16" s="688"/>
      <c r="P16" s="688"/>
      <c r="Q16" s="688"/>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9"/>
    </row>
    <row r="17" spans="2:52" ht="13.5" customHeight="1">
      <c r="B17" s="666"/>
      <c r="C17" s="682">
        <v>7</v>
      </c>
      <c r="D17" s="690" t="s">
        <v>157</v>
      </c>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9"/>
    </row>
    <row r="18" spans="2:52" ht="13.5" customHeight="1">
      <c r="B18" s="666"/>
      <c r="C18" s="671"/>
      <c r="D18" s="690"/>
      <c r="E18" s="688"/>
      <c r="F18" s="688"/>
      <c r="G18" s="688"/>
      <c r="H18" s="688"/>
      <c r="I18" s="688"/>
      <c r="J18" s="688"/>
      <c r="K18" s="688"/>
      <c r="L18" s="688"/>
      <c r="M18" s="688"/>
      <c r="N18" s="688"/>
      <c r="O18" s="688"/>
      <c r="P18" s="688"/>
      <c r="Q18" s="688"/>
      <c r="R18" s="688"/>
      <c r="S18" s="688"/>
      <c r="T18" s="688"/>
      <c r="U18" s="688"/>
      <c r="V18" s="688"/>
      <c r="W18" s="688"/>
      <c r="X18" s="688"/>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4"/>
    </row>
    <row r="19" spans="2:52" ht="13.5" customHeight="1">
      <c r="B19" s="666"/>
      <c r="C19" s="682">
        <v>8</v>
      </c>
      <c r="D19" s="680" t="s">
        <v>156</v>
      </c>
      <c r="E19" s="18"/>
      <c r="F19" s="17"/>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5"/>
      <c r="AZ19" s="14"/>
    </row>
    <row r="20" spans="2:52" ht="13.5" customHeight="1">
      <c r="B20" s="666"/>
      <c r="C20" s="666"/>
      <c r="D20" s="670"/>
      <c r="E20" s="28" t="s">
        <v>155</v>
      </c>
      <c r="F20" s="12"/>
      <c r="G20" s="12"/>
      <c r="H20" s="12"/>
      <c r="I20" s="12"/>
      <c r="J20" s="12"/>
      <c r="K20" s="12"/>
      <c r="L20" s="12"/>
      <c r="M20" s="12"/>
      <c r="N20" s="12"/>
      <c r="O20" s="12"/>
      <c r="P20" s="12"/>
      <c r="Q20" s="11"/>
      <c r="R20" s="687">
        <f>基礎数値!F3</f>
        <v>47053</v>
      </c>
      <c r="S20" s="687"/>
      <c r="T20" s="687"/>
      <c r="U20" s="687"/>
      <c r="V20" s="687"/>
      <c r="W20" s="687"/>
      <c r="X20" s="11"/>
      <c r="Y20" s="19" t="s">
        <v>114</v>
      </c>
      <c r="Z20" s="11"/>
      <c r="AA20" s="11"/>
      <c r="AB20" s="11"/>
      <c r="AC20" s="11"/>
      <c r="AD20" s="11"/>
      <c r="AE20" s="11"/>
      <c r="AF20" s="11"/>
      <c r="AG20" s="11"/>
      <c r="AH20" s="11"/>
      <c r="AI20" s="12"/>
      <c r="AJ20" s="11"/>
      <c r="AK20" s="11"/>
      <c r="AL20" s="11"/>
      <c r="AM20" s="11"/>
      <c r="AN20" s="11"/>
      <c r="AO20" s="11"/>
      <c r="AP20" s="11"/>
      <c r="AQ20" s="11"/>
      <c r="AR20" s="11"/>
      <c r="AS20" s="11"/>
      <c r="AT20" s="11"/>
      <c r="AU20" s="11"/>
      <c r="AV20" s="11"/>
      <c r="AW20" s="11"/>
      <c r="AX20" s="11"/>
      <c r="AY20" s="10"/>
      <c r="AZ20" s="9"/>
    </row>
    <row r="21" spans="2:52" ht="13.5" customHeight="1">
      <c r="B21" s="666"/>
      <c r="C21" s="666"/>
      <c r="D21" s="670"/>
      <c r="E21" s="28" t="s">
        <v>154</v>
      </c>
      <c r="F21" s="11"/>
      <c r="G21" s="11"/>
      <c r="H21" s="11"/>
      <c r="I21" s="11"/>
      <c r="J21" s="11"/>
      <c r="K21" s="11"/>
      <c r="L21" s="11"/>
      <c r="M21" s="11"/>
      <c r="N21" s="11"/>
      <c r="O21" s="11"/>
      <c r="P21" s="11"/>
      <c r="Q21" s="11"/>
      <c r="R21" s="687">
        <f>基礎数値!F4</f>
        <v>0</v>
      </c>
      <c r="S21" s="687"/>
      <c r="T21" s="687"/>
      <c r="U21" s="687"/>
      <c r="V21" s="687"/>
      <c r="W21" s="687"/>
      <c r="X21" s="11"/>
      <c r="Y21" s="19" t="s">
        <v>114</v>
      </c>
      <c r="Z21" s="11"/>
      <c r="AA21" s="11"/>
      <c r="AB21" s="11"/>
      <c r="AC21" s="11"/>
      <c r="AD21" s="11"/>
      <c r="AE21" s="11"/>
      <c r="AF21" s="11"/>
      <c r="AG21" s="11"/>
      <c r="AH21" s="11"/>
      <c r="AI21" s="11"/>
      <c r="AJ21" s="11" t="s">
        <v>85</v>
      </c>
      <c r="AK21" s="665">
        <f>R20+R21</f>
        <v>47053</v>
      </c>
      <c r="AL21" s="665"/>
      <c r="AM21" s="665"/>
      <c r="AN21" s="665"/>
      <c r="AO21" s="665"/>
      <c r="AP21" s="665"/>
      <c r="AQ21" s="11" t="s">
        <v>153</v>
      </c>
      <c r="AR21" s="11"/>
      <c r="AS21" s="11"/>
      <c r="AT21" s="11"/>
      <c r="AU21" s="11"/>
      <c r="AV21" s="11"/>
      <c r="AW21" s="11"/>
      <c r="AX21" s="11"/>
      <c r="AY21" s="10"/>
      <c r="AZ21" s="9"/>
    </row>
    <row r="22" spans="2:52" ht="13.5" customHeight="1">
      <c r="B22" s="666"/>
      <c r="C22" s="666"/>
      <c r="D22" s="670"/>
      <c r="E22" s="28"/>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0"/>
      <c r="AZ22" s="9"/>
    </row>
    <row r="23" spans="2:52" ht="13.5" customHeight="1">
      <c r="B23" s="666"/>
      <c r="C23" s="666"/>
      <c r="D23" s="670"/>
      <c r="E23" s="28" t="s">
        <v>152</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0"/>
      <c r="AZ23" s="9"/>
    </row>
    <row r="24" spans="2:52" ht="13.5" customHeight="1">
      <c r="B24" s="666"/>
      <c r="C24" s="666"/>
      <c r="D24" s="670"/>
      <c r="E24" s="28"/>
      <c r="F24" s="11"/>
      <c r="G24" s="11"/>
      <c r="H24" s="12" t="s">
        <v>108</v>
      </c>
      <c r="I24" s="11"/>
      <c r="J24" s="11"/>
      <c r="K24" s="11"/>
      <c r="L24" s="11"/>
      <c r="M24" s="11"/>
      <c r="N24" s="11"/>
      <c r="O24" s="11"/>
      <c r="P24" s="11"/>
      <c r="Q24" s="11"/>
      <c r="R24" s="687">
        <f>基礎数値!F6</f>
        <v>0</v>
      </c>
      <c r="S24" s="687"/>
      <c r="T24" s="687"/>
      <c r="U24" s="687"/>
      <c r="V24" s="687"/>
      <c r="W24" s="687"/>
      <c r="X24" s="11" t="s">
        <v>151</v>
      </c>
      <c r="Y24" s="19" t="s">
        <v>150</v>
      </c>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0"/>
      <c r="AZ24" s="9"/>
    </row>
    <row r="25" spans="2:52" ht="13.5" customHeight="1">
      <c r="B25" s="666"/>
      <c r="C25" s="666"/>
      <c r="D25" s="670"/>
      <c r="E25" s="13"/>
      <c r="F25" s="12"/>
      <c r="G25" s="11"/>
      <c r="H25" s="12" t="s">
        <v>149</v>
      </c>
      <c r="I25" s="11"/>
      <c r="J25" s="11"/>
      <c r="K25" s="11"/>
      <c r="L25" s="11"/>
      <c r="M25" s="11"/>
      <c r="N25" s="11"/>
      <c r="O25" s="11"/>
      <c r="P25" s="11"/>
      <c r="Q25" s="11"/>
      <c r="R25" s="687">
        <f>基礎数値!F7</f>
        <v>39339</v>
      </c>
      <c r="S25" s="687"/>
      <c r="T25" s="687"/>
      <c r="U25" s="687"/>
      <c r="V25" s="687"/>
      <c r="W25" s="687"/>
      <c r="X25" s="11" t="s">
        <v>148</v>
      </c>
      <c r="Y25" s="19" t="s">
        <v>147</v>
      </c>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0"/>
      <c r="AZ25" s="9"/>
    </row>
    <row r="26" spans="2:52" ht="13.5" customHeight="1" thickBot="1">
      <c r="B26" s="666"/>
      <c r="C26" s="666"/>
      <c r="D26" s="670"/>
      <c r="E26" s="13"/>
      <c r="F26" s="12"/>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0"/>
      <c r="AZ26" s="9"/>
    </row>
    <row r="27" spans="2:52" ht="13.5" customHeight="1" thickTop="1" thickBot="1">
      <c r="B27" s="666"/>
      <c r="C27" s="666"/>
      <c r="D27" s="670"/>
      <c r="E27" s="13" t="s">
        <v>83</v>
      </c>
      <c r="F27" s="12"/>
      <c r="G27" s="11"/>
      <c r="H27" s="11"/>
      <c r="I27" s="11"/>
      <c r="J27" s="11"/>
      <c r="K27" s="11"/>
      <c r="L27" s="11"/>
      <c r="M27" s="11"/>
      <c r="N27" s="11"/>
      <c r="O27" s="11"/>
      <c r="P27" s="11"/>
      <c r="Q27" s="11"/>
      <c r="R27" s="667">
        <f>ROUNDDOWN((AK21-R24-R25)*100/108,0)</f>
        <v>7142</v>
      </c>
      <c r="S27" s="668"/>
      <c r="T27" s="668"/>
      <c r="U27" s="668"/>
      <c r="V27" s="668"/>
      <c r="W27" s="669"/>
      <c r="X27" s="11" t="s">
        <v>146</v>
      </c>
      <c r="Y27" s="19" t="s">
        <v>214</v>
      </c>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0"/>
      <c r="AZ27" s="9" t="s">
        <v>144</v>
      </c>
    </row>
    <row r="28" spans="2:52" ht="13.5" customHeight="1" thickTop="1" thickBot="1">
      <c r="B28" s="666"/>
      <c r="C28" s="666"/>
      <c r="D28" s="670"/>
      <c r="E28" s="13"/>
      <c r="F28" s="12"/>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0"/>
      <c r="AZ28" s="9"/>
    </row>
    <row r="29" spans="2:52" ht="13.5" customHeight="1" thickTop="1" thickBot="1">
      <c r="B29" s="666"/>
      <c r="C29" s="666"/>
      <c r="D29" s="670"/>
      <c r="E29" s="13" t="s">
        <v>143</v>
      </c>
      <c r="F29" s="12"/>
      <c r="G29" s="11"/>
      <c r="H29" s="11"/>
      <c r="I29" s="11"/>
      <c r="J29" s="11"/>
      <c r="K29" s="11"/>
      <c r="L29" s="11"/>
      <c r="M29" s="11"/>
      <c r="N29" s="11"/>
      <c r="O29" s="11"/>
      <c r="P29" s="11"/>
      <c r="Q29" s="11"/>
      <c r="R29" s="667">
        <f>ROUNDDOWN((AK21-R24)*100/108,-3)</f>
        <v>43000</v>
      </c>
      <c r="S29" s="668"/>
      <c r="T29" s="668"/>
      <c r="U29" s="668"/>
      <c r="V29" s="668"/>
      <c r="W29" s="669"/>
      <c r="X29" s="11" t="s">
        <v>142</v>
      </c>
      <c r="Y29" s="19" t="s">
        <v>213</v>
      </c>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0"/>
      <c r="AZ29" s="9" t="s">
        <v>140</v>
      </c>
    </row>
    <row r="30" spans="2:52" ht="13.5" customHeight="1" thickTop="1" thickBot="1">
      <c r="B30" s="666"/>
      <c r="C30" s="666"/>
      <c r="D30" s="670"/>
      <c r="E30" s="13"/>
      <c r="F30" s="12"/>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0"/>
      <c r="AZ30" s="9"/>
    </row>
    <row r="31" spans="2:52" ht="13.5" customHeight="1" thickTop="1" thickBot="1">
      <c r="B31" s="666"/>
      <c r="C31" s="666"/>
      <c r="D31" s="670"/>
      <c r="E31" s="13" t="s">
        <v>139</v>
      </c>
      <c r="F31" s="12"/>
      <c r="G31" s="11"/>
      <c r="H31" s="11"/>
      <c r="I31" s="11"/>
      <c r="J31" s="11"/>
      <c r="K31" s="11"/>
      <c r="L31" s="11"/>
      <c r="M31" s="11"/>
      <c r="N31" s="11"/>
      <c r="O31" s="11"/>
      <c r="P31" s="11"/>
      <c r="Q31" s="11"/>
      <c r="R31" s="667">
        <f>ROUNDDOWN(R29*63/1000,0)</f>
        <v>2709</v>
      </c>
      <c r="S31" s="668"/>
      <c r="T31" s="668"/>
      <c r="U31" s="668"/>
      <c r="V31" s="668"/>
      <c r="W31" s="669"/>
      <c r="X31" s="11" t="s">
        <v>138</v>
      </c>
      <c r="Y31" s="19" t="s">
        <v>212</v>
      </c>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0"/>
      <c r="AZ31" s="9" t="s">
        <v>136</v>
      </c>
    </row>
    <row r="32" spans="2:52" ht="13.5" customHeight="1" thickTop="1">
      <c r="B32" s="671"/>
      <c r="C32" s="671"/>
      <c r="D32" s="681"/>
      <c r="E32" s="8"/>
      <c r="F32" s="7"/>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5"/>
      <c r="AZ32" s="4"/>
    </row>
    <row r="33" spans="2:52" ht="13.5" customHeight="1">
      <c r="B33" s="682" t="s">
        <v>65</v>
      </c>
      <c r="C33" s="682">
        <v>1</v>
      </c>
      <c r="D33" s="682" t="s">
        <v>135</v>
      </c>
      <c r="E33" s="18"/>
      <c r="F33" s="17"/>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5"/>
      <c r="AZ33" s="14"/>
    </row>
    <row r="34" spans="2:52" ht="13.5" customHeight="1">
      <c r="B34" s="666"/>
      <c r="C34" s="666"/>
      <c r="D34" s="666"/>
      <c r="E34" s="13" t="s">
        <v>134</v>
      </c>
      <c r="F34" s="12"/>
      <c r="G34" s="11"/>
      <c r="H34" s="11"/>
      <c r="I34" s="11"/>
      <c r="J34" s="11"/>
      <c r="K34" s="11"/>
      <c r="L34" s="11"/>
      <c r="M34" s="11"/>
      <c r="N34" s="11"/>
      <c r="O34" s="11"/>
      <c r="P34" s="11"/>
      <c r="Q34" s="11"/>
      <c r="R34" s="32"/>
      <c r="S34" s="32"/>
      <c r="T34" s="32"/>
      <c r="U34" s="32"/>
      <c r="V34" s="32"/>
      <c r="W34" s="32"/>
      <c r="X34" s="29"/>
      <c r="Y34" s="30"/>
      <c r="Z34" s="29"/>
      <c r="AA34" s="29"/>
      <c r="AB34" s="29"/>
      <c r="AC34" s="29"/>
      <c r="AD34" s="29"/>
      <c r="AE34" s="29"/>
      <c r="AF34" s="29"/>
      <c r="AG34" s="29"/>
      <c r="AH34" s="29"/>
      <c r="AI34" s="29"/>
      <c r="AJ34" s="29"/>
      <c r="AK34" s="29"/>
      <c r="AL34" s="29"/>
      <c r="AM34" s="29"/>
      <c r="AN34" s="29"/>
      <c r="AO34" s="29"/>
      <c r="AP34" s="29"/>
      <c r="AQ34" s="29"/>
      <c r="AR34" s="11"/>
      <c r="AS34" s="11"/>
      <c r="AT34" s="11"/>
      <c r="AU34" s="11"/>
      <c r="AV34" s="11"/>
      <c r="AW34" s="11"/>
      <c r="AX34" s="11"/>
      <c r="AY34" s="10"/>
      <c r="AZ34" s="9"/>
    </row>
    <row r="35" spans="2:52" ht="13.5" customHeight="1">
      <c r="B35" s="666"/>
      <c r="C35" s="666"/>
      <c r="D35" s="666"/>
      <c r="E35" s="13" t="s">
        <v>133</v>
      </c>
      <c r="F35" s="12"/>
      <c r="G35" s="11"/>
      <c r="H35" s="11"/>
      <c r="I35" s="11"/>
      <c r="J35" s="11"/>
      <c r="K35" s="11"/>
      <c r="L35" s="11"/>
      <c r="M35" s="11"/>
      <c r="N35" s="11"/>
      <c r="O35" s="11"/>
      <c r="P35" s="11"/>
      <c r="Q35" s="11"/>
      <c r="R35" s="32"/>
      <c r="S35" s="32"/>
      <c r="T35" s="32"/>
      <c r="U35" s="32"/>
      <c r="V35" s="32"/>
      <c r="W35" s="32"/>
      <c r="X35" s="29"/>
      <c r="Y35" s="30"/>
      <c r="Z35" s="29"/>
      <c r="AA35" s="29"/>
      <c r="AB35" s="29"/>
      <c r="AC35" s="29"/>
      <c r="AD35" s="29"/>
      <c r="AE35" s="29"/>
      <c r="AF35" s="29"/>
      <c r="AG35" s="29"/>
      <c r="AH35" s="29"/>
      <c r="AI35" s="29"/>
      <c r="AJ35" s="29"/>
      <c r="AK35" s="29"/>
      <c r="AL35" s="29"/>
      <c r="AM35" s="29"/>
      <c r="AN35" s="29"/>
      <c r="AO35" s="29"/>
      <c r="AP35" s="29"/>
      <c r="AQ35" s="29"/>
      <c r="AR35" s="11"/>
      <c r="AS35" s="11"/>
      <c r="AT35" s="11"/>
      <c r="AU35" s="11"/>
      <c r="AV35" s="11"/>
      <c r="AW35" s="11"/>
      <c r="AX35" s="11"/>
      <c r="AY35" s="10"/>
      <c r="AZ35" s="9"/>
    </row>
    <row r="36" spans="2:52" ht="13.5" customHeight="1">
      <c r="B36" s="666"/>
      <c r="C36" s="666"/>
      <c r="D36" s="666"/>
      <c r="E36" s="13" t="s">
        <v>132</v>
      </c>
      <c r="F36" s="12"/>
      <c r="G36" s="11"/>
      <c r="H36" s="11"/>
      <c r="I36" s="11"/>
      <c r="J36" s="11"/>
      <c r="K36" s="11"/>
      <c r="L36" s="11"/>
      <c r="M36" s="11"/>
      <c r="N36" s="11"/>
      <c r="O36" s="11"/>
      <c r="P36" s="11"/>
      <c r="Q36" s="11"/>
      <c r="R36" s="32"/>
      <c r="S36" s="32"/>
      <c r="T36" s="32"/>
      <c r="U36" s="32"/>
      <c r="V36" s="32"/>
      <c r="W36" s="32"/>
      <c r="X36" s="29"/>
      <c r="Y36" s="30"/>
      <c r="Z36" s="29"/>
      <c r="AA36" s="29"/>
      <c r="AB36" s="29"/>
      <c r="AC36" s="29"/>
      <c r="AD36" s="29"/>
      <c r="AE36" s="29"/>
      <c r="AF36" s="29"/>
      <c r="AG36" s="29"/>
      <c r="AH36" s="29"/>
      <c r="AI36" s="29"/>
      <c r="AJ36" s="29"/>
      <c r="AK36" s="29"/>
      <c r="AL36" s="29"/>
      <c r="AM36" s="29"/>
      <c r="AN36" s="29"/>
      <c r="AO36" s="29"/>
      <c r="AP36" s="29"/>
      <c r="AQ36" s="29"/>
      <c r="AR36" s="11"/>
      <c r="AS36" s="11"/>
      <c r="AT36" s="11"/>
      <c r="AU36" s="11"/>
      <c r="AV36" s="11"/>
      <c r="AW36" s="11"/>
      <c r="AX36" s="11"/>
      <c r="AY36" s="10"/>
      <c r="AZ36" s="670"/>
    </row>
    <row r="37" spans="2:52" ht="13.5" customHeight="1">
      <c r="B37" s="666"/>
      <c r="C37" s="666"/>
      <c r="D37" s="666"/>
      <c r="E37" s="13"/>
      <c r="F37" s="12"/>
      <c r="G37" s="11"/>
      <c r="H37" s="11"/>
      <c r="I37" s="11"/>
      <c r="J37" s="11"/>
      <c r="K37" s="11"/>
      <c r="L37" s="11"/>
      <c r="M37" s="11"/>
      <c r="N37" s="11"/>
      <c r="O37" s="11"/>
      <c r="P37" s="11"/>
      <c r="Q37" s="11"/>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11"/>
      <c r="AS37" s="11"/>
      <c r="AT37" s="11"/>
      <c r="AU37" s="11"/>
      <c r="AV37" s="11"/>
      <c r="AW37" s="11"/>
      <c r="AX37" s="11"/>
      <c r="AY37" s="10"/>
      <c r="AZ37" s="670"/>
    </row>
    <row r="38" spans="2:52" ht="13.5" customHeight="1">
      <c r="B38" s="666"/>
      <c r="C38" s="666"/>
      <c r="D38" s="666"/>
      <c r="E38" s="28" t="s">
        <v>131</v>
      </c>
      <c r="F38" s="12"/>
      <c r="G38" s="11"/>
      <c r="H38" s="11"/>
      <c r="I38" s="11"/>
      <c r="J38" s="11"/>
      <c r="K38" s="11"/>
      <c r="L38" s="11"/>
      <c r="M38" s="11"/>
      <c r="N38" s="11"/>
      <c r="O38" s="11"/>
      <c r="P38" s="11"/>
      <c r="Q38" s="11"/>
      <c r="R38" s="32"/>
      <c r="S38" s="32"/>
      <c r="T38" s="32"/>
      <c r="U38" s="32"/>
      <c r="V38" s="32"/>
      <c r="W38" s="32"/>
      <c r="X38" s="29"/>
      <c r="Y38" s="30"/>
      <c r="Z38" s="29"/>
      <c r="AA38" s="29"/>
      <c r="AB38" s="29"/>
      <c r="AC38" s="29"/>
      <c r="AD38" s="29"/>
      <c r="AE38" s="29"/>
      <c r="AF38" s="29"/>
      <c r="AG38" s="29"/>
      <c r="AH38" s="29"/>
      <c r="AI38" s="29"/>
      <c r="AJ38" s="29"/>
      <c r="AK38" s="29"/>
      <c r="AL38" s="29"/>
      <c r="AM38" s="29"/>
      <c r="AN38" s="29"/>
      <c r="AO38" s="29"/>
      <c r="AP38" s="29"/>
      <c r="AQ38" s="29"/>
      <c r="AR38" s="11"/>
      <c r="AS38" s="11"/>
      <c r="AT38" s="11"/>
      <c r="AU38" s="11"/>
      <c r="AV38" s="11"/>
      <c r="AW38" s="11"/>
      <c r="AX38" s="11"/>
      <c r="AY38" s="10"/>
      <c r="AZ38" s="9"/>
    </row>
    <row r="39" spans="2:52" ht="13.5" customHeight="1">
      <c r="B39" s="666"/>
      <c r="C39" s="666"/>
      <c r="D39" s="666"/>
      <c r="E39" s="28" t="s">
        <v>130</v>
      </c>
      <c r="F39" s="12"/>
      <c r="G39" s="11"/>
      <c r="H39" s="11"/>
      <c r="I39" s="11"/>
      <c r="J39" s="11"/>
      <c r="K39" s="11"/>
      <c r="L39" s="11"/>
      <c r="M39" s="11"/>
      <c r="N39" s="11"/>
      <c r="O39" s="11"/>
      <c r="P39" s="11"/>
      <c r="Q39" s="11"/>
      <c r="R39" s="32"/>
      <c r="S39" s="32"/>
      <c r="T39" s="32"/>
      <c r="U39" s="32"/>
      <c r="V39" s="32"/>
      <c r="W39" s="32"/>
      <c r="X39" s="29"/>
      <c r="Y39" s="30"/>
      <c r="Z39" s="29"/>
      <c r="AA39" s="29"/>
      <c r="AB39" s="29"/>
      <c r="AC39" s="29"/>
      <c r="AD39" s="29"/>
      <c r="AE39" s="29"/>
      <c r="AF39" s="29"/>
      <c r="AG39" s="29"/>
      <c r="AH39" s="29"/>
      <c r="AI39" s="29"/>
      <c r="AJ39" s="29"/>
      <c r="AK39" s="32"/>
      <c r="AL39" s="32"/>
      <c r="AM39" s="32"/>
      <c r="AN39" s="32"/>
      <c r="AO39" s="32"/>
      <c r="AP39" s="32"/>
      <c r="AQ39" s="29"/>
      <c r="AR39" s="11"/>
      <c r="AS39" s="11"/>
      <c r="AT39" s="11"/>
      <c r="AU39" s="11"/>
      <c r="AV39" s="11"/>
      <c r="AW39" s="11"/>
      <c r="AX39" s="11"/>
      <c r="AY39" s="10"/>
      <c r="AZ39" s="9"/>
    </row>
    <row r="40" spans="2:52" ht="13.5" customHeight="1">
      <c r="B40" s="666"/>
      <c r="C40" s="666"/>
      <c r="D40" s="666"/>
      <c r="E40" s="13" t="s">
        <v>129</v>
      </c>
      <c r="F40" s="12"/>
      <c r="G40" s="11"/>
      <c r="H40" s="11"/>
      <c r="I40" s="11"/>
      <c r="J40" s="11"/>
      <c r="K40" s="11"/>
      <c r="L40" s="11"/>
      <c r="M40" s="11"/>
      <c r="N40" s="11"/>
      <c r="O40" s="11"/>
      <c r="P40" s="11"/>
      <c r="Q40" s="11"/>
      <c r="R40" s="32"/>
      <c r="S40" s="32"/>
      <c r="T40" s="32"/>
      <c r="U40" s="32"/>
      <c r="V40" s="32"/>
      <c r="W40" s="32"/>
      <c r="X40" s="29"/>
      <c r="Y40" s="30"/>
      <c r="Z40" s="29"/>
      <c r="AA40" s="29"/>
      <c r="AB40" s="29"/>
      <c r="AC40" s="29"/>
      <c r="AD40" s="29"/>
      <c r="AE40" s="29"/>
      <c r="AF40" s="29"/>
      <c r="AG40" s="29"/>
      <c r="AH40" s="29"/>
      <c r="AI40" s="29"/>
      <c r="AJ40" s="29"/>
      <c r="AK40" s="29"/>
      <c r="AL40" s="29"/>
      <c r="AM40" s="29"/>
      <c r="AN40" s="29"/>
      <c r="AO40" s="29"/>
      <c r="AP40" s="29"/>
      <c r="AQ40" s="29"/>
      <c r="AR40" s="11"/>
      <c r="AS40" s="11"/>
      <c r="AT40" s="11"/>
      <c r="AU40" s="11"/>
      <c r="AV40" s="11"/>
      <c r="AW40" s="11"/>
      <c r="AX40" s="11"/>
      <c r="AY40" s="10"/>
      <c r="AZ40" s="670"/>
    </row>
    <row r="41" spans="2:52" ht="13.5" customHeight="1">
      <c r="B41" s="666"/>
      <c r="C41" s="666"/>
      <c r="D41" s="666"/>
      <c r="E41" s="13"/>
      <c r="F41" s="12"/>
      <c r="G41" s="11"/>
      <c r="H41" s="11"/>
      <c r="I41" s="11"/>
      <c r="J41" s="11"/>
      <c r="K41" s="11"/>
      <c r="L41" s="11"/>
      <c r="M41" s="11"/>
      <c r="N41" s="11"/>
      <c r="O41" s="11"/>
      <c r="P41" s="11"/>
      <c r="Q41" s="11"/>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11"/>
      <c r="AS41" s="11"/>
      <c r="AT41" s="11"/>
      <c r="AU41" s="11"/>
      <c r="AV41" s="11"/>
      <c r="AW41" s="11"/>
      <c r="AX41" s="11"/>
      <c r="AY41" s="10"/>
      <c r="AZ41" s="666"/>
    </row>
    <row r="42" spans="2:52" ht="13.5" customHeight="1">
      <c r="B42" s="666"/>
      <c r="C42" s="666"/>
      <c r="D42" s="666"/>
      <c r="E42" s="13" t="s">
        <v>65</v>
      </c>
      <c r="F42" s="12"/>
      <c r="G42" s="11"/>
      <c r="H42" s="11"/>
      <c r="I42" s="11"/>
      <c r="J42" s="11"/>
      <c r="K42" s="11"/>
      <c r="L42" s="11"/>
      <c r="M42" s="11"/>
      <c r="N42" s="11"/>
      <c r="O42" s="11"/>
      <c r="P42" s="11"/>
      <c r="Q42" s="11"/>
      <c r="R42" s="31"/>
      <c r="S42" s="31"/>
      <c r="T42" s="31"/>
      <c r="U42" s="31"/>
      <c r="V42" s="31"/>
      <c r="W42" s="31"/>
      <c r="X42" s="29"/>
      <c r="Y42" s="30"/>
      <c r="Z42" s="29"/>
      <c r="AA42" s="29"/>
      <c r="AB42" s="29"/>
      <c r="AC42" s="29"/>
      <c r="AD42" s="29"/>
      <c r="AE42" s="29"/>
      <c r="AF42" s="29"/>
      <c r="AG42" s="29"/>
      <c r="AH42" s="29"/>
      <c r="AI42" s="29"/>
      <c r="AJ42" s="29"/>
      <c r="AK42" s="29"/>
      <c r="AL42" s="29"/>
      <c r="AM42" s="29"/>
      <c r="AN42" s="29"/>
      <c r="AO42" s="29"/>
      <c r="AP42" s="29"/>
      <c r="AQ42" s="29"/>
      <c r="AR42" s="11"/>
      <c r="AS42" s="11"/>
      <c r="AT42" s="11"/>
      <c r="AU42" s="11"/>
      <c r="AV42" s="11"/>
      <c r="AW42" s="11"/>
      <c r="AX42" s="11"/>
      <c r="AY42" s="10"/>
      <c r="AZ42" s="9"/>
    </row>
    <row r="43" spans="2:52" ht="13.5" customHeight="1">
      <c r="B43" s="671"/>
      <c r="C43" s="671"/>
      <c r="D43" s="671"/>
      <c r="E43" s="8"/>
      <c r="F43" s="7"/>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5"/>
      <c r="AZ43" s="4"/>
    </row>
    <row r="44" spans="2:52" ht="13.5" customHeight="1">
      <c r="B44" s="682" t="s">
        <v>128</v>
      </c>
      <c r="C44" s="682">
        <v>1</v>
      </c>
      <c r="D44" s="680" t="s">
        <v>127</v>
      </c>
      <c r="E44" s="691" t="s">
        <v>126</v>
      </c>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92"/>
      <c r="AM44" s="692"/>
      <c r="AN44" s="692"/>
      <c r="AO44" s="692"/>
      <c r="AP44" s="692"/>
      <c r="AQ44" s="692"/>
      <c r="AR44" s="692"/>
      <c r="AS44" s="692"/>
      <c r="AT44" s="692"/>
      <c r="AU44" s="692"/>
      <c r="AV44" s="692"/>
      <c r="AW44" s="692"/>
      <c r="AX44" s="692"/>
      <c r="AY44" s="684"/>
      <c r="AZ44" s="14"/>
    </row>
    <row r="45" spans="2:52" ht="13.5" customHeight="1">
      <c r="B45" s="666"/>
      <c r="C45" s="666"/>
      <c r="D45" s="670"/>
      <c r="E45" s="689"/>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8"/>
      <c r="AU45" s="678"/>
      <c r="AV45" s="678"/>
      <c r="AW45" s="678"/>
      <c r="AX45" s="678"/>
      <c r="AY45" s="685"/>
      <c r="AZ45" s="9"/>
    </row>
    <row r="46" spans="2:52" ht="13.5" customHeight="1">
      <c r="B46" s="666"/>
      <c r="C46" s="671"/>
      <c r="D46" s="681"/>
      <c r="E46" s="693"/>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4"/>
      <c r="AO46" s="694"/>
      <c r="AP46" s="694"/>
      <c r="AQ46" s="694"/>
      <c r="AR46" s="694"/>
      <c r="AS46" s="694"/>
      <c r="AT46" s="694"/>
      <c r="AU46" s="694"/>
      <c r="AV46" s="694"/>
      <c r="AW46" s="694"/>
      <c r="AX46" s="694"/>
      <c r="AY46" s="686"/>
      <c r="AZ46" s="4"/>
    </row>
    <row r="47" spans="2:52" ht="13.5" customHeight="1">
      <c r="B47" s="666"/>
      <c r="C47" s="682">
        <v>2</v>
      </c>
      <c r="D47" s="680" t="s">
        <v>125</v>
      </c>
      <c r="E47" s="691" t="s">
        <v>124</v>
      </c>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W47" s="692"/>
      <c r="AX47" s="692"/>
      <c r="AY47" s="684"/>
      <c r="AZ47" s="14"/>
    </row>
    <row r="48" spans="2:52" ht="13.5" customHeight="1">
      <c r="B48" s="666"/>
      <c r="C48" s="666"/>
      <c r="D48" s="670"/>
      <c r="E48" s="689"/>
      <c r="F48" s="678"/>
      <c r="G48" s="678"/>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c r="AE48" s="678"/>
      <c r="AF48" s="678"/>
      <c r="AG48" s="678"/>
      <c r="AH48" s="678"/>
      <c r="AI48" s="678"/>
      <c r="AJ48" s="678"/>
      <c r="AK48" s="678"/>
      <c r="AL48" s="678"/>
      <c r="AM48" s="678"/>
      <c r="AN48" s="678"/>
      <c r="AO48" s="678"/>
      <c r="AP48" s="678"/>
      <c r="AQ48" s="678"/>
      <c r="AR48" s="678"/>
      <c r="AS48" s="678"/>
      <c r="AT48" s="678"/>
      <c r="AU48" s="678"/>
      <c r="AV48" s="678"/>
      <c r="AW48" s="678"/>
      <c r="AX48" s="678"/>
      <c r="AY48" s="685"/>
      <c r="AZ48" s="9"/>
    </row>
    <row r="49" spans="2:52" ht="13.5" customHeight="1">
      <c r="B49" s="666"/>
      <c r="C49" s="671"/>
      <c r="D49" s="681"/>
      <c r="E49" s="689"/>
      <c r="F49" s="678"/>
      <c r="G49" s="678"/>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c r="AY49" s="685"/>
      <c r="AZ49" s="9"/>
    </row>
    <row r="50" spans="2:52" ht="13.5" customHeight="1">
      <c r="B50" s="666"/>
      <c r="C50" s="682">
        <v>3</v>
      </c>
      <c r="D50" s="690" t="s">
        <v>123</v>
      </c>
      <c r="E50" s="689"/>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c r="AY50" s="685"/>
      <c r="AZ50" s="9"/>
    </row>
    <row r="51" spans="2:52" ht="13.5" customHeight="1">
      <c r="B51" s="666"/>
      <c r="C51" s="671"/>
      <c r="D51" s="690"/>
      <c r="E51" s="693"/>
      <c r="F51" s="694"/>
      <c r="G51" s="694"/>
      <c r="H51" s="694"/>
      <c r="I51" s="694"/>
      <c r="J51" s="694"/>
      <c r="K51" s="694"/>
      <c r="L51" s="694"/>
      <c r="M51" s="694"/>
      <c r="N51" s="694"/>
      <c r="O51" s="694"/>
      <c r="P51" s="694"/>
      <c r="Q51" s="694"/>
      <c r="R51" s="694"/>
      <c r="S51" s="694"/>
      <c r="T51" s="694"/>
      <c r="U51" s="694"/>
      <c r="V51" s="694"/>
      <c r="W51" s="694"/>
      <c r="X51" s="694"/>
      <c r="Y51" s="694"/>
      <c r="Z51" s="694"/>
      <c r="AA51" s="694"/>
      <c r="AB51" s="694"/>
      <c r="AC51" s="694"/>
      <c r="AD51" s="694"/>
      <c r="AE51" s="694"/>
      <c r="AF51" s="694"/>
      <c r="AG51" s="694"/>
      <c r="AH51" s="694"/>
      <c r="AI51" s="694"/>
      <c r="AJ51" s="694"/>
      <c r="AK51" s="694"/>
      <c r="AL51" s="694"/>
      <c r="AM51" s="694"/>
      <c r="AN51" s="694"/>
      <c r="AO51" s="694"/>
      <c r="AP51" s="694"/>
      <c r="AQ51" s="694"/>
      <c r="AR51" s="694"/>
      <c r="AS51" s="694"/>
      <c r="AT51" s="694"/>
      <c r="AU51" s="694"/>
      <c r="AV51" s="694"/>
      <c r="AW51" s="694"/>
      <c r="AX51" s="694"/>
      <c r="AY51" s="686"/>
      <c r="AZ51" s="4"/>
    </row>
    <row r="52" spans="2:52" ht="13.5" customHeight="1">
      <c r="B52" s="666"/>
      <c r="C52" s="682">
        <v>4</v>
      </c>
      <c r="D52" s="690" t="s">
        <v>122</v>
      </c>
      <c r="E52" s="688" t="s">
        <v>121</v>
      </c>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9"/>
    </row>
    <row r="53" spans="2:52" ht="13.5" customHeight="1">
      <c r="B53" s="666"/>
      <c r="C53" s="671"/>
      <c r="D53" s="690"/>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688"/>
      <c r="AX53" s="688"/>
      <c r="AY53" s="688"/>
      <c r="AZ53" s="9"/>
    </row>
    <row r="54" spans="2:52" ht="13.5" customHeight="1">
      <c r="B54" s="666"/>
      <c r="C54" s="682">
        <v>5</v>
      </c>
      <c r="D54" s="690" t="s">
        <v>120</v>
      </c>
      <c r="E54" s="688" t="s">
        <v>119</v>
      </c>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88"/>
      <c r="AH54" s="688"/>
      <c r="AI54" s="688"/>
      <c r="AJ54" s="688"/>
      <c r="AK54" s="688"/>
      <c r="AL54" s="688"/>
      <c r="AM54" s="688"/>
      <c r="AN54" s="688"/>
      <c r="AO54" s="688"/>
      <c r="AP54" s="688"/>
      <c r="AQ54" s="688"/>
      <c r="AR54" s="688"/>
      <c r="AS54" s="688"/>
      <c r="AT54" s="688"/>
      <c r="AU54" s="688"/>
      <c r="AV54" s="688"/>
      <c r="AW54" s="688"/>
      <c r="AX54" s="688"/>
      <c r="AY54" s="688"/>
      <c r="AZ54" s="14"/>
    </row>
    <row r="55" spans="2:52" ht="13.5" customHeight="1">
      <c r="B55" s="666"/>
      <c r="C55" s="671"/>
      <c r="D55" s="690"/>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688"/>
      <c r="AC55" s="688"/>
      <c r="AD55" s="688"/>
      <c r="AE55" s="688"/>
      <c r="AF55" s="688"/>
      <c r="AG55" s="688"/>
      <c r="AH55" s="688"/>
      <c r="AI55" s="688"/>
      <c r="AJ55" s="688"/>
      <c r="AK55" s="688"/>
      <c r="AL55" s="688"/>
      <c r="AM55" s="688"/>
      <c r="AN55" s="688"/>
      <c r="AO55" s="688"/>
      <c r="AP55" s="688"/>
      <c r="AQ55" s="688"/>
      <c r="AR55" s="688"/>
      <c r="AS55" s="688"/>
      <c r="AT55" s="688"/>
      <c r="AU55" s="688"/>
      <c r="AV55" s="688"/>
      <c r="AW55" s="688"/>
      <c r="AX55" s="688"/>
      <c r="AY55" s="688"/>
      <c r="AZ55" s="4"/>
    </row>
    <row r="56" spans="2:52" ht="13.5" customHeight="1">
      <c r="B56" s="666"/>
      <c r="C56" s="682">
        <v>6</v>
      </c>
      <c r="D56" s="690" t="s">
        <v>118</v>
      </c>
      <c r="E56" s="688" t="s">
        <v>94</v>
      </c>
      <c r="F56" s="688"/>
      <c r="G56" s="688"/>
      <c r="H56" s="688"/>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688"/>
      <c r="AX56" s="688"/>
      <c r="AY56" s="688"/>
      <c r="AZ56" s="9"/>
    </row>
    <row r="57" spans="2:52" ht="13.5" customHeight="1">
      <c r="B57" s="666"/>
      <c r="C57" s="671"/>
      <c r="D57" s="690"/>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688"/>
      <c r="AC57" s="688"/>
      <c r="AD57" s="688"/>
      <c r="AE57" s="688"/>
      <c r="AF57" s="688"/>
      <c r="AG57" s="688"/>
      <c r="AH57" s="688"/>
      <c r="AI57" s="688"/>
      <c r="AJ57" s="688"/>
      <c r="AK57" s="688"/>
      <c r="AL57" s="688"/>
      <c r="AM57" s="688"/>
      <c r="AN57" s="688"/>
      <c r="AO57" s="688"/>
      <c r="AP57" s="688"/>
      <c r="AQ57" s="688"/>
      <c r="AR57" s="688"/>
      <c r="AS57" s="688"/>
      <c r="AT57" s="688"/>
      <c r="AU57" s="688"/>
      <c r="AV57" s="688"/>
      <c r="AW57" s="688"/>
      <c r="AX57" s="688"/>
      <c r="AY57" s="688"/>
      <c r="AZ57" s="9"/>
    </row>
    <row r="58" spans="2:52" ht="13.5" customHeight="1">
      <c r="B58" s="666"/>
      <c r="C58" s="682">
        <v>7</v>
      </c>
      <c r="D58" s="680" t="s">
        <v>117</v>
      </c>
      <c r="E58" s="18"/>
      <c r="F58" s="17"/>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5"/>
      <c r="AZ58" s="14"/>
    </row>
    <row r="59" spans="2:52" ht="13.5" customHeight="1">
      <c r="B59" s="666"/>
      <c r="C59" s="666"/>
      <c r="D59" s="670"/>
      <c r="E59" s="28" t="s">
        <v>116</v>
      </c>
      <c r="F59" s="12"/>
      <c r="G59" s="12"/>
      <c r="H59" s="12"/>
      <c r="I59" s="12"/>
      <c r="J59" s="12"/>
      <c r="K59" s="12"/>
      <c r="L59" s="12"/>
      <c r="M59" s="12"/>
      <c r="N59" s="12"/>
      <c r="O59" s="12"/>
      <c r="P59" s="12"/>
      <c r="Q59" s="11"/>
      <c r="R59" s="687">
        <f>基礎数値!F11</f>
        <v>25903142</v>
      </c>
      <c r="S59" s="687"/>
      <c r="T59" s="687"/>
      <c r="U59" s="687"/>
      <c r="V59" s="687"/>
      <c r="W59" s="687"/>
      <c r="X59" s="11"/>
      <c r="Y59" s="19" t="s">
        <v>114</v>
      </c>
      <c r="Z59" s="11"/>
      <c r="AA59" s="11"/>
      <c r="AB59" s="11"/>
      <c r="AC59" s="11"/>
      <c r="AD59" s="11"/>
      <c r="AE59" s="11"/>
      <c r="AF59" s="11"/>
      <c r="AG59" s="11"/>
      <c r="AH59" s="11"/>
      <c r="AI59" s="12"/>
      <c r="AJ59" s="11"/>
      <c r="AK59" s="11"/>
      <c r="AL59" s="11"/>
      <c r="AM59" s="11"/>
      <c r="AN59" s="11"/>
      <c r="AO59" s="11"/>
      <c r="AP59" s="11"/>
      <c r="AQ59" s="11"/>
      <c r="AR59" s="11"/>
      <c r="AS59" s="11"/>
      <c r="AT59" s="11"/>
      <c r="AU59" s="11"/>
      <c r="AV59" s="11"/>
      <c r="AW59" s="11"/>
      <c r="AX59" s="11"/>
      <c r="AY59" s="10"/>
      <c r="AZ59" s="9"/>
    </row>
    <row r="60" spans="2:52" ht="13.5" customHeight="1">
      <c r="B60" s="666"/>
      <c r="C60" s="666"/>
      <c r="D60" s="670"/>
      <c r="E60" s="28" t="s">
        <v>115</v>
      </c>
      <c r="F60" s="11"/>
      <c r="G60" s="11"/>
      <c r="H60" s="11"/>
      <c r="I60" s="11"/>
      <c r="J60" s="11"/>
      <c r="K60" s="11"/>
      <c r="L60" s="11"/>
      <c r="M60" s="11"/>
      <c r="N60" s="11"/>
      <c r="O60" s="11"/>
      <c r="P60" s="11"/>
      <c r="Q60" s="11"/>
      <c r="R60" s="687">
        <f>基礎数値!F12</f>
        <v>125712</v>
      </c>
      <c r="S60" s="687"/>
      <c r="T60" s="687"/>
      <c r="U60" s="687"/>
      <c r="V60" s="687"/>
      <c r="W60" s="687"/>
      <c r="X60" s="11"/>
      <c r="Y60" s="19" t="s">
        <v>114</v>
      </c>
      <c r="Z60" s="11"/>
      <c r="AA60" s="11"/>
      <c r="AB60" s="11"/>
      <c r="AC60" s="11"/>
      <c r="AD60" s="11"/>
      <c r="AE60" s="11"/>
      <c r="AF60" s="11"/>
      <c r="AG60" s="11"/>
      <c r="AH60" s="11"/>
      <c r="AI60" s="11"/>
      <c r="AJ60" s="11" t="s">
        <v>85</v>
      </c>
      <c r="AK60" s="665">
        <f>R59+R60</f>
        <v>26028854</v>
      </c>
      <c r="AL60" s="665"/>
      <c r="AM60" s="665"/>
      <c r="AN60" s="665"/>
      <c r="AO60" s="665"/>
      <c r="AP60" s="665"/>
      <c r="AQ60" s="11" t="s">
        <v>113</v>
      </c>
      <c r="AR60" s="11"/>
      <c r="AS60" s="11"/>
      <c r="AT60" s="11"/>
      <c r="AU60" s="11"/>
      <c r="AV60" s="11"/>
      <c r="AW60" s="11"/>
      <c r="AX60" s="11"/>
      <c r="AY60" s="10"/>
      <c r="AZ60" s="9"/>
    </row>
    <row r="61" spans="2:52" ht="13.5" customHeight="1">
      <c r="B61" s="666"/>
      <c r="C61" s="666"/>
      <c r="D61" s="670"/>
      <c r="E61" s="13"/>
      <c r="F61" s="12"/>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0"/>
      <c r="AZ61" s="9"/>
    </row>
    <row r="62" spans="2:52" ht="13.5" customHeight="1">
      <c r="B62" s="666"/>
      <c r="C62" s="666"/>
      <c r="D62" s="670"/>
      <c r="E62" s="513"/>
      <c r="F62" s="12"/>
      <c r="G62" s="510"/>
      <c r="H62" s="510"/>
      <c r="I62" s="510"/>
      <c r="J62" s="510"/>
      <c r="K62" s="510"/>
      <c r="L62" s="510"/>
      <c r="M62" s="510"/>
      <c r="N62" s="510"/>
      <c r="O62" s="510"/>
      <c r="P62" s="510"/>
      <c r="Q62" s="510"/>
      <c r="R62" s="510"/>
      <c r="S62" s="510"/>
      <c r="T62" s="510"/>
      <c r="U62" s="510"/>
      <c r="V62" s="510"/>
      <c r="W62" s="510"/>
      <c r="X62" s="510"/>
      <c r="Y62" s="510"/>
      <c r="Z62" s="510"/>
      <c r="AA62" s="510"/>
      <c r="AB62" s="510"/>
      <c r="AC62" s="510"/>
      <c r="AD62" s="510"/>
      <c r="AE62" s="510"/>
      <c r="AF62" s="510"/>
      <c r="AG62" s="510"/>
      <c r="AH62" s="510"/>
      <c r="AI62" s="510"/>
      <c r="AJ62" s="510"/>
      <c r="AK62" s="510"/>
      <c r="AL62" s="510"/>
      <c r="AM62" s="510"/>
      <c r="AN62" s="510"/>
      <c r="AO62" s="510"/>
      <c r="AP62" s="510"/>
      <c r="AQ62" s="510"/>
      <c r="AR62" s="510"/>
      <c r="AS62" s="510"/>
      <c r="AT62" s="510"/>
      <c r="AU62" s="510"/>
      <c r="AV62" s="510"/>
      <c r="AW62" s="510"/>
      <c r="AX62" s="510"/>
      <c r="AY62" s="512"/>
      <c r="AZ62" s="509"/>
    </row>
    <row r="63" spans="2:52" ht="13.5" customHeight="1">
      <c r="B63" s="666"/>
      <c r="C63" s="666"/>
      <c r="D63" s="670"/>
      <c r="E63" s="513"/>
      <c r="F63" s="12"/>
      <c r="G63" s="510"/>
      <c r="H63" s="510"/>
      <c r="I63" s="510"/>
      <c r="J63" s="510"/>
      <c r="K63" s="510"/>
      <c r="L63" s="510"/>
      <c r="M63" s="510"/>
      <c r="N63" s="510"/>
      <c r="O63" s="510"/>
      <c r="P63" s="510"/>
      <c r="Q63" s="510"/>
      <c r="R63" s="510"/>
      <c r="S63" s="510"/>
      <c r="T63" s="510"/>
      <c r="U63" s="510"/>
      <c r="V63" s="510"/>
      <c r="W63" s="510"/>
      <c r="X63" s="510"/>
      <c r="Y63" s="510"/>
      <c r="Z63" s="510"/>
      <c r="AA63" s="510"/>
      <c r="AB63" s="510"/>
      <c r="AC63" s="510"/>
      <c r="AD63" s="510"/>
      <c r="AE63" s="510"/>
      <c r="AF63" s="510"/>
      <c r="AG63" s="510"/>
      <c r="AH63" s="510"/>
      <c r="AI63" s="510"/>
      <c r="AJ63" s="510"/>
      <c r="AK63" s="510"/>
      <c r="AL63" s="510"/>
      <c r="AM63" s="510"/>
      <c r="AN63" s="510"/>
      <c r="AO63" s="510"/>
      <c r="AP63" s="510"/>
      <c r="AQ63" s="510"/>
      <c r="AR63" s="510"/>
      <c r="AS63" s="510"/>
      <c r="AT63" s="510"/>
      <c r="AU63" s="510"/>
      <c r="AV63" s="510"/>
      <c r="AW63" s="510"/>
      <c r="AX63" s="510"/>
      <c r="AY63" s="512"/>
      <c r="AZ63" s="509"/>
    </row>
    <row r="64" spans="2:52" ht="13.5" customHeight="1">
      <c r="B64" s="666"/>
      <c r="C64" s="666"/>
      <c r="D64" s="670"/>
      <c r="E64" s="28" t="s">
        <v>112</v>
      </c>
      <c r="F64" s="12"/>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0"/>
      <c r="AZ64" s="9"/>
    </row>
    <row r="65" spans="2:52" ht="13.5" customHeight="1">
      <c r="B65" s="666"/>
      <c r="C65" s="666"/>
      <c r="D65" s="670"/>
      <c r="E65" s="13"/>
      <c r="F65" s="12"/>
      <c r="G65" s="11"/>
      <c r="H65" s="12" t="s">
        <v>111</v>
      </c>
      <c r="I65" s="11"/>
      <c r="J65" s="11"/>
      <c r="K65" s="11"/>
      <c r="L65" s="11"/>
      <c r="M65" s="11"/>
      <c r="N65" s="11"/>
      <c r="O65" s="11"/>
      <c r="P65" s="11"/>
      <c r="Q65" s="11"/>
      <c r="R65" s="687">
        <f>基礎数値!F14</f>
        <v>24706340</v>
      </c>
      <c r="S65" s="687"/>
      <c r="T65" s="687"/>
      <c r="U65" s="687"/>
      <c r="V65" s="687"/>
      <c r="W65" s="687"/>
      <c r="X65" s="11" t="s">
        <v>110</v>
      </c>
      <c r="Y65" s="19" t="s">
        <v>109</v>
      </c>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0"/>
      <c r="AZ65" s="9"/>
    </row>
    <row r="66" spans="2:52" ht="13.5" customHeight="1">
      <c r="B66" s="666"/>
      <c r="C66" s="666"/>
      <c r="D66" s="670"/>
      <c r="E66" s="13"/>
      <c r="F66" s="12"/>
      <c r="G66" s="11"/>
      <c r="H66" s="12" t="s">
        <v>108</v>
      </c>
      <c r="I66" s="11"/>
      <c r="J66" s="11"/>
      <c r="K66" s="11"/>
      <c r="L66" s="11"/>
      <c r="M66" s="11"/>
      <c r="N66" s="11"/>
      <c r="O66" s="11"/>
      <c r="P66" s="11"/>
      <c r="Q66" s="11"/>
      <c r="R66" s="695">
        <f>R24</f>
        <v>0</v>
      </c>
      <c r="S66" s="695"/>
      <c r="T66" s="695"/>
      <c r="U66" s="695"/>
      <c r="V66" s="695"/>
      <c r="W66" s="695"/>
      <c r="X66" s="11"/>
      <c r="Y66" s="19" t="s">
        <v>107</v>
      </c>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0"/>
      <c r="AZ66" s="9"/>
    </row>
    <row r="67" spans="2:52" ht="13.5" customHeight="1" thickBot="1">
      <c r="B67" s="666"/>
      <c r="C67" s="666"/>
      <c r="D67" s="670"/>
      <c r="E67" s="13"/>
      <c r="F67" s="12"/>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0"/>
      <c r="AZ67" s="9"/>
    </row>
    <row r="68" spans="2:52" ht="13.5" customHeight="1" thickTop="1" thickBot="1">
      <c r="B68" s="666"/>
      <c r="C68" s="666"/>
      <c r="D68" s="670"/>
      <c r="E68" s="28" t="s">
        <v>106</v>
      </c>
      <c r="F68" s="12"/>
      <c r="G68" s="11"/>
      <c r="H68" s="11"/>
      <c r="I68" s="11"/>
      <c r="J68" s="11"/>
      <c r="K68" s="11"/>
      <c r="L68" s="11"/>
      <c r="M68" s="11"/>
      <c r="N68" s="11"/>
      <c r="O68" s="11"/>
      <c r="P68" s="11"/>
      <c r="Q68" s="11"/>
      <c r="R68" s="11"/>
      <c r="S68" s="11"/>
      <c r="T68" s="675">
        <f>AK60-R65-R66</f>
        <v>1322514</v>
      </c>
      <c r="U68" s="676"/>
      <c r="V68" s="676"/>
      <c r="W68" s="676"/>
      <c r="X68" s="676"/>
      <c r="Y68" s="677"/>
      <c r="Z68" s="11"/>
      <c r="AA68" s="19" t="s">
        <v>105</v>
      </c>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0"/>
      <c r="AZ68" s="487" t="s">
        <v>827</v>
      </c>
    </row>
    <row r="69" spans="2:52" ht="13.5" customHeight="1" thickTop="1" thickBot="1">
      <c r="B69" s="666"/>
      <c r="C69" s="666"/>
      <c r="D69" s="670"/>
      <c r="E69" s="13"/>
      <c r="F69" s="12"/>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0"/>
      <c r="AZ69" s="487"/>
    </row>
    <row r="70" spans="2:52" ht="13.5" customHeight="1" thickTop="1" thickBot="1">
      <c r="B70" s="666"/>
      <c r="C70" s="666"/>
      <c r="D70" s="670"/>
      <c r="E70" s="28" t="s">
        <v>103</v>
      </c>
      <c r="F70" s="12"/>
      <c r="G70" s="11"/>
      <c r="H70" s="11"/>
      <c r="I70" s="11"/>
      <c r="J70" s="11"/>
      <c r="K70" s="11"/>
      <c r="L70" s="11"/>
      <c r="M70" s="11"/>
      <c r="N70" s="11"/>
      <c r="O70" s="11"/>
      <c r="P70" s="11"/>
      <c r="Q70" s="11"/>
      <c r="R70" s="11"/>
      <c r="S70" s="11"/>
      <c r="T70" s="675">
        <f>ROUNDDOWN((AK60-R65-R66)*63/1080,0)</f>
        <v>77146</v>
      </c>
      <c r="U70" s="676"/>
      <c r="V70" s="676"/>
      <c r="W70" s="676"/>
      <c r="X70" s="676"/>
      <c r="Y70" s="677"/>
      <c r="Z70" s="11" t="s">
        <v>102</v>
      </c>
      <c r="AA70" s="483" t="s">
        <v>803</v>
      </c>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0"/>
      <c r="AZ70" s="487" t="s">
        <v>828</v>
      </c>
    </row>
    <row r="71" spans="2:52" ht="13.5" customHeight="1" thickTop="1">
      <c r="B71" s="671"/>
      <c r="C71" s="671"/>
      <c r="D71" s="681"/>
      <c r="E71" s="8"/>
      <c r="F71" s="7"/>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5"/>
      <c r="AZ71" s="4"/>
    </row>
    <row r="72" spans="2:52" ht="13.5" customHeight="1">
      <c r="B72" s="680" t="s">
        <v>100</v>
      </c>
      <c r="C72" s="682">
        <v>1</v>
      </c>
      <c r="D72" s="690" t="s">
        <v>99</v>
      </c>
      <c r="E72" s="688" t="s">
        <v>98</v>
      </c>
      <c r="F72" s="688"/>
      <c r="G72" s="688"/>
      <c r="H72" s="688"/>
      <c r="I72" s="688"/>
      <c r="J72" s="688"/>
      <c r="K72" s="688"/>
      <c r="L72" s="688"/>
      <c r="M72" s="688"/>
      <c r="N72" s="688"/>
      <c r="O72" s="688"/>
      <c r="P72" s="688"/>
      <c r="Q72" s="688"/>
      <c r="R72" s="688"/>
      <c r="S72" s="688"/>
      <c r="T72" s="688"/>
      <c r="U72" s="688"/>
      <c r="V72" s="688"/>
      <c r="W72" s="688"/>
      <c r="X72" s="688"/>
      <c r="Y72" s="688"/>
      <c r="Z72" s="688"/>
      <c r="AA72" s="688"/>
      <c r="AB72" s="688"/>
      <c r="AC72" s="688"/>
      <c r="AD72" s="688"/>
      <c r="AE72" s="688"/>
      <c r="AF72" s="688"/>
      <c r="AG72" s="688"/>
      <c r="AH72" s="688"/>
      <c r="AI72" s="688"/>
      <c r="AJ72" s="688"/>
      <c r="AK72" s="688"/>
      <c r="AL72" s="688"/>
      <c r="AM72" s="688"/>
      <c r="AN72" s="688"/>
      <c r="AO72" s="688"/>
      <c r="AP72" s="688"/>
      <c r="AQ72" s="688"/>
      <c r="AR72" s="688"/>
      <c r="AS72" s="688"/>
      <c r="AT72" s="688"/>
      <c r="AU72" s="688"/>
      <c r="AV72" s="688"/>
      <c r="AW72" s="688"/>
      <c r="AX72" s="688"/>
      <c r="AY72" s="688"/>
      <c r="AZ72" s="14"/>
    </row>
    <row r="73" spans="2:52" ht="13.5" customHeight="1">
      <c r="B73" s="670"/>
      <c r="C73" s="671"/>
      <c r="D73" s="690"/>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688"/>
      <c r="AC73" s="688"/>
      <c r="AD73" s="688"/>
      <c r="AE73" s="688"/>
      <c r="AF73" s="688"/>
      <c r="AG73" s="688"/>
      <c r="AH73" s="688"/>
      <c r="AI73" s="688"/>
      <c r="AJ73" s="688"/>
      <c r="AK73" s="688"/>
      <c r="AL73" s="688"/>
      <c r="AM73" s="688"/>
      <c r="AN73" s="688"/>
      <c r="AO73" s="688"/>
      <c r="AP73" s="688"/>
      <c r="AQ73" s="688"/>
      <c r="AR73" s="688"/>
      <c r="AS73" s="688"/>
      <c r="AT73" s="688"/>
      <c r="AU73" s="688"/>
      <c r="AV73" s="688"/>
      <c r="AW73" s="688"/>
      <c r="AX73" s="688"/>
      <c r="AY73" s="688"/>
      <c r="AZ73" s="9"/>
    </row>
    <row r="74" spans="2:52" ht="13.5" customHeight="1">
      <c r="B74" s="670"/>
      <c r="C74" s="682">
        <v>2</v>
      </c>
      <c r="D74" s="690" t="s">
        <v>97</v>
      </c>
      <c r="E74" s="688" t="s">
        <v>96</v>
      </c>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9"/>
    </row>
    <row r="75" spans="2:52" ht="13.5" customHeight="1">
      <c r="B75" s="670"/>
      <c r="C75" s="666"/>
      <c r="D75" s="690"/>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688"/>
      <c r="AC75" s="688"/>
      <c r="AD75" s="688"/>
      <c r="AE75" s="688"/>
      <c r="AF75" s="688"/>
      <c r="AG75" s="688"/>
      <c r="AH75" s="688"/>
      <c r="AI75" s="688"/>
      <c r="AJ75" s="688"/>
      <c r="AK75" s="688"/>
      <c r="AL75" s="688"/>
      <c r="AM75" s="688"/>
      <c r="AN75" s="688"/>
      <c r="AO75" s="688"/>
      <c r="AP75" s="688"/>
      <c r="AQ75" s="688"/>
      <c r="AR75" s="688"/>
      <c r="AS75" s="688"/>
      <c r="AT75" s="688"/>
      <c r="AU75" s="688"/>
      <c r="AV75" s="688"/>
      <c r="AW75" s="688"/>
      <c r="AX75" s="688"/>
      <c r="AY75" s="688"/>
      <c r="AZ75" s="9"/>
    </row>
    <row r="76" spans="2:52" ht="13.5" customHeight="1">
      <c r="B76" s="670"/>
      <c r="C76" s="671"/>
      <c r="D76" s="690"/>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688"/>
      <c r="AC76" s="688"/>
      <c r="AD76" s="688"/>
      <c r="AE76" s="688"/>
      <c r="AF76" s="688"/>
      <c r="AG76" s="688"/>
      <c r="AH76" s="688"/>
      <c r="AI76" s="688"/>
      <c r="AJ76" s="688"/>
      <c r="AK76" s="688"/>
      <c r="AL76" s="688"/>
      <c r="AM76" s="688"/>
      <c r="AN76" s="688"/>
      <c r="AO76" s="688"/>
      <c r="AP76" s="688"/>
      <c r="AQ76" s="688"/>
      <c r="AR76" s="688"/>
      <c r="AS76" s="688"/>
      <c r="AT76" s="688"/>
      <c r="AU76" s="688"/>
      <c r="AV76" s="688"/>
      <c r="AW76" s="688"/>
      <c r="AX76" s="688"/>
      <c r="AY76" s="688"/>
      <c r="AZ76" s="9"/>
    </row>
    <row r="77" spans="2:52" ht="13.5" customHeight="1">
      <c r="B77" s="670"/>
      <c r="C77" s="682">
        <v>3</v>
      </c>
      <c r="D77" s="690" t="s">
        <v>95</v>
      </c>
      <c r="E77" s="688" t="s">
        <v>94</v>
      </c>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8"/>
      <c r="AN77" s="688"/>
      <c r="AO77" s="688"/>
      <c r="AP77" s="688"/>
      <c r="AQ77" s="688"/>
      <c r="AR77" s="688"/>
      <c r="AS77" s="688"/>
      <c r="AT77" s="688"/>
      <c r="AU77" s="688"/>
      <c r="AV77" s="688"/>
      <c r="AW77" s="688"/>
      <c r="AX77" s="688"/>
      <c r="AY77" s="688"/>
      <c r="AZ77" s="9"/>
    </row>
    <row r="78" spans="2:52" ht="13.5" customHeight="1">
      <c r="B78" s="670"/>
      <c r="C78" s="666"/>
      <c r="D78" s="690"/>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8"/>
      <c r="AN78" s="688"/>
      <c r="AO78" s="688"/>
      <c r="AP78" s="688"/>
      <c r="AQ78" s="688"/>
      <c r="AR78" s="688"/>
      <c r="AS78" s="688"/>
      <c r="AT78" s="688"/>
      <c r="AU78" s="688"/>
      <c r="AV78" s="688"/>
      <c r="AW78" s="688"/>
      <c r="AX78" s="688"/>
      <c r="AY78" s="688"/>
      <c r="AZ78" s="9"/>
    </row>
    <row r="79" spans="2:52" ht="13.5" customHeight="1">
      <c r="B79" s="670"/>
      <c r="C79" s="666"/>
      <c r="D79" s="690"/>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8"/>
      <c r="AN79" s="688"/>
      <c r="AO79" s="688"/>
      <c r="AP79" s="688"/>
      <c r="AQ79" s="688"/>
      <c r="AR79" s="688"/>
      <c r="AS79" s="688"/>
      <c r="AT79" s="688"/>
      <c r="AU79" s="688"/>
      <c r="AV79" s="688"/>
      <c r="AW79" s="688"/>
      <c r="AX79" s="688"/>
      <c r="AY79" s="688"/>
      <c r="AZ79" s="9"/>
    </row>
    <row r="80" spans="2:52" ht="13.5" customHeight="1">
      <c r="B80" s="670"/>
      <c r="C80" s="671"/>
      <c r="D80" s="690"/>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8"/>
      <c r="AN80" s="688"/>
      <c r="AO80" s="688"/>
      <c r="AP80" s="688"/>
      <c r="AQ80" s="688"/>
      <c r="AR80" s="688"/>
      <c r="AS80" s="688"/>
      <c r="AT80" s="688"/>
      <c r="AU80" s="688"/>
      <c r="AV80" s="688"/>
      <c r="AW80" s="688"/>
      <c r="AX80" s="688"/>
      <c r="AY80" s="688"/>
      <c r="AZ80" s="9"/>
    </row>
    <row r="81" spans="2:52" ht="13.5" customHeight="1">
      <c r="B81" s="670"/>
      <c r="C81" s="682">
        <v>4</v>
      </c>
      <c r="D81" s="690" t="s">
        <v>93</v>
      </c>
      <c r="E81" s="688" t="s">
        <v>92</v>
      </c>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8"/>
      <c r="AN81" s="688"/>
      <c r="AO81" s="688"/>
      <c r="AP81" s="688"/>
      <c r="AQ81" s="688"/>
      <c r="AR81" s="688"/>
      <c r="AS81" s="688"/>
      <c r="AT81" s="688"/>
      <c r="AU81" s="688"/>
      <c r="AV81" s="688"/>
      <c r="AW81" s="688"/>
      <c r="AX81" s="688"/>
      <c r="AY81" s="688"/>
      <c r="AZ81" s="9"/>
    </row>
    <row r="82" spans="2:52" ht="13.5" customHeight="1">
      <c r="B82" s="670"/>
      <c r="C82" s="666"/>
      <c r="D82" s="690"/>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88"/>
      <c r="AM82" s="688"/>
      <c r="AN82" s="688"/>
      <c r="AO82" s="688"/>
      <c r="AP82" s="688"/>
      <c r="AQ82" s="688"/>
      <c r="AR82" s="688"/>
      <c r="AS82" s="688"/>
      <c r="AT82" s="688"/>
      <c r="AU82" s="688"/>
      <c r="AV82" s="688"/>
      <c r="AW82" s="688"/>
      <c r="AX82" s="688"/>
      <c r="AY82" s="688"/>
      <c r="AZ82" s="9"/>
    </row>
    <row r="83" spans="2:52" ht="13.5" customHeight="1">
      <c r="B83" s="670"/>
      <c r="C83" s="671"/>
      <c r="D83" s="690"/>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88"/>
      <c r="AM83" s="688"/>
      <c r="AN83" s="688"/>
      <c r="AO83" s="688"/>
      <c r="AP83" s="688"/>
      <c r="AQ83" s="688"/>
      <c r="AR83" s="688"/>
      <c r="AS83" s="688"/>
      <c r="AT83" s="688"/>
      <c r="AU83" s="688"/>
      <c r="AV83" s="688"/>
      <c r="AW83" s="688"/>
      <c r="AX83" s="688"/>
      <c r="AY83" s="688"/>
      <c r="AZ83" s="9"/>
    </row>
    <row r="84" spans="2:52" ht="13.5" customHeight="1">
      <c r="B84" s="670"/>
      <c r="C84" s="682">
        <v>5</v>
      </c>
      <c r="D84" s="690" t="s">
        <v>91</v>
      </c>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688"/>
      <c r="AC84" s="688"/>
      <c r="AD84" s="688"/>
      <c r="AE84" s="688"/>
      <c r="AF84" s="688"/>
      <c r="AG84" s="688"/>
      <c r="AH84" s="688"/>
      <c r="AI84" s="688"/>
      <c r="AJ84" s="688"/>
      <c r="AK84" s="688"/>
      <c r="AL84" s="688"/>
      <c r="AM84" s="688"/>
      <c r="AN84" s="688"/>
      <c r="AO84" s="688"/>
      <c r="AP84" s="688"/>
      <c r="AQ84" s="688"/>
      <c r="AR84" s="688"/>
      <c r="AS84" s="688"/>
      <c r="AT84" s="688"/>
      <c r="AU84" s="688"/>
      <c r="AV84" s="688"/>
      <c r="AW84" s="688"/>
      <c r="AX84" s="688"/>
      <c r="AY84" s="688"/>
      <c r="AZ84" s="9"/>
    </row>
    <row r="85" spans="2:52" ht="13.5" customHeight="1">
      <c r="B85" s="670"/>
      <c r="C85" s="666"/>
      <c r="D85" s="690"/>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688"/>
      <c r="AC85" s="688"/>
      <c r="AD85" s="688"/>
      <c r="AE85" s="688"/>
      <c r="AF85" s="688"/>
      <c r="AG85" s="688"/>
      <c r="AH85" s="688"/>
      <c r="AI85" s="688"/>
      <c r="AJ85" s="688"/>
      <c r="AK85" s="688"/>
      <c r="AL85" s="688"/>
      <c r="AM85" s="688"/>
      <c r="AN85" s="688"/>
      <c r="AO85" s="688"/>
      <c r="AP85" s="688"/>
      <c r="AQ85" s="688"/>
      <c r="AR85" s="688"/>
      <c r="AS85" s="688"/>
      <c r="AT85" s="688"/>
      <c r="AU85" s="688"/>
      <c r="AV85" s="688"/>
      <c r="AW85" s="688"/>
      <c r="AX85" s="688"/>
      <c r="AY85" s="688"/>
      <c r="AZ85" s="9"/>
    </row>
    <row r="86" spans="2:52" ht="13.5" customHeight="1">
      <c r="B86" s="681"/>
      <c r="C86" s="671"/>
      <c r="D86" s="690"/>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688"/>
      <c r="AC86" s="688"/>
      <c r="AD86" s="688"/>
      <c r="AE86" s="688"/>
      <c r="AF86" s="688"/>
      <c r="AG86" s="688"/>
      <c r="AH86" s="688"/>
      <c r="AI86" s="688"/>
      <c r="AJ86" s="688"/>
      <c r="AK86" s="688"/>
      <c r="AL86" s="688"/>
      <c r="AM86" s="688"/>
      <c r="AN86" s="688"/>
      <c r="AO86" s="688"/>
      <c r="AP86" s="688"/>
      <c r="AQ86" s="688"/>
      <c r="AR86" s="688"/>
      <c r="AS86" s="688"/>
      <c r="AT86" s="688"/>
      <c r="AU86" s="688"/>
      <c r="AV86" s="688"/>
      <c r="AW86" s="688"/>
      <c r="AX86" s="688"/>
      <c r="AY86" s="688"/>
      <c r="AZ86" s="4"/>
    </row>
    <row r="87" spans="2:52" ht="13.5" customHeight="1">
      <c r="B87" s="680" t="s">
        <v>90</v>
      </c>
      <c r="C87" s="684">
        <v>1</v>
      </c>
      <c r="D87" s="680" t="s">
        <v>89</v>
      </c>
      <c r="E87" s="18"/>
      <c r="F87" s="17"/>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5"/>
      <c r="AZ87" s="662"/>
    </row>
    <row r="88" spans="2:52" ht="13.5" customHeight="1">
      <c r="B88" s="670"/>
      <c r="C88" s="685"/>
      <c r="D88" s="670"/>
      <c r="E88" s="28" t="s">
        <v>88</v>
      </c>
      <c r="F88" s="12"/>
      <c r="G88" s="12"/>
      <c r="H88" s="12"/>
      <c r="I88" s="12"/>
      <c r="J88" s="12"/>
      <c r="K88" s="12"/>
      <c r="L88" s="12"/>
      <c r="M88" s="12"/>
      <c r="N88" s="12"/>
      <c r="O88" s="12"/>
      <c r="P88" s="687">
        <f>基礎数値!F18</f>
        <v>455392</v>
      </c>
      <c r="Q88" s="687"/>
      <c r="R88" s="687"/>
      <c r="S88" s="687"/>
      <c r="T88" s="687"/>
      <c r="U88" s="687"/>
      <c r="V88" s="11"/>
      <c r="W88" s="19" t="s">
        <v>86</v>
      </c>
      <c r="X88" s="11"/>
      <c r="Y88" s="11"/>
      <c r="Z88" s="11"/>
      <c r="AA88" s="11"/>
      <c r="AB88" s="11"/>
      <c r="AC88" s="11"/>
      <c r="AD88" s="11"/>
      <c r="AE88" s="11"/>
      <c r="AF88" s="11"/>
      <c r="AG88" s="11"/>
      <c r="AH88" s="11"/>
      <c r="AI88" s="12"/>
      <c r="AJ88" s="11"/>
      <c r="AK88" s="11"/>
      <c r="AL88" s="11"/>
      <c r="AM88" s="11"/>
      <c r="AN88" s="11"/>
      <c r="AO88" s="11"/>
      <c r="AP88" s="11"/>
      <c r="AQ88" s="11"/>
      <c r="AR88" s="11"/>
      <c r="AS88" s="11"/>
      <c r="AT88" s="11"/>
      <c r="AU88" s="11"/>
      <c r="AV88" s="11"/>
      <c r="AW88" s="11"/>
      <c r="AX88" s="11"/>
      <c r="AY88" s="10"/>
      <c r="AZ88" s="663"/>
    </row>
    <row r="89" spans="2:52" ht="13.5" customHeight="1">
      <c r="B89" s="670"/>
      <c r="C89" s="685"/>
      <c r="D89" s="670"/>
      <c r="E89" s="28" t="s">
        <v>87</v>
      </c>
      <c r="F89" s="11"/>
      <c r="G89" s="11"/>
      <c r="H89" s="11"/>
      <c r="I89" s="11"/>
      <c r="J89" s="11"/>
      <c r="K89" s="11"/>
      <c r="L89" s="11"/>
      <c r="M89" s="11"/>
      <c r="N89" s="11"/>
      <c r="O89" s="11"/>
      <c r="P89" s="687">
        <f>基礎数値!F19</f>
        <v>1246904</v>
      </c>
      <c r="Q89" s="687"/>
      <c r="R89" s="687"/>
      <c r="S89" s="687"/>
      <c r="T89" s="687"/>
      <c r="U89" s="687"/>
      <c r="V89" s="11"/>
      <c r="W89" s="19" t="s">
        <v>86</v>
      </c>
      <c r="X89" s="11"/>
      <c r="Y89" s="11"/>
      <c r="Z89" s="11"/>
      <c r="AA89" s="11"/>
      <c r="AB89" s="11"/>
      <c r="AC89" s="11"/>
      <c r="AD89" s="11"/>
      <c r="AE89" s="11"/>
      <c r="AF89" s="11"/>
      <c r="AG89" s="11"/>
      <c r="AH89" s="11"/>
      <c r="AI89" s="11"/>
      <c r="AJ89" s="11"/>
      <c r="AK89" s="11"/>
      <c r="AL89" s="11"/>
      <c r="AM89" s="11"/>
      <c r="AN89" s="11"/>
      <c r="AO89" s="11"/>
      <c r="AP89" s="11"/>
      <c r="AQ89" s="11"/>
      <c r="AR89" s="11" t="s">
        <v>85</v>
      </c>
      <c r="AS89" s="665">
        <f>P88+P89</f>
        <v>1702296</v>
      </c>
      <c r="AT89" s="665"/>
      <c r="AU89" s="665"/>
      <c r="AV89" s="665"/>
      <c r="AW89" s="665"/>
      <c r="AX89" s="665"/>
      <c r="AY89" s="10" t="s">
        <v>203</v>
      </c>
      <c r="AZ89" s="663"/>
    </row>
    <row r="90" spans="2:52" ht="13.5" customHeight="1">
      <c r="B90" s="670"/>
      <c r="C90" s="685"/>
      <c r="D90" s="670"/>
      <c r="E90" s="13"/>
      <c r="F90" s="12"/>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0"/>
      <c r="AZ90" s="663"/>
    </row>
    <row r="91" spans="2:52" ht="13.5" customHeight="1">
      <c r="B91" s="670"/>
      <c r="C91" s="685"/>
      <c r="D91" s="670"/>
      <c r="E91" s="13" t="s">
        <v>83</v>
      </c>
      <c r="F91" s="12"/>
      <c r="G91" s="11"/>
      <c r="H91" s="11"/>
      <c r="I91" s="11"/>
      <c r="J91" s="11"/>
      <c r="K91" s="11"/>
      <c r="L91" s="11"/>
      <c r="M91" s="11"/>
      <c r="N91" s="11"/>
      <c r="O91" s="11"/>
      <c r="P91" s="665">
        <f>ROUNDDOWN(AK21*100/108,0)</f>
        <v>43567</v>
      </c>
      <c r="Q91" s="665"/>
      <c r="R91" s="665"/>
      <c r="S91" s="665"/>
      <c r="T91" s="665"/>
      <c r="U91" s="665"/>
      <c r="V91" s="11"/>
      <c r="W91" s="19" t="s">
        <v>211</v>
      </c>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0"/>
      <c r="AZ91" s="663"/>
    </row>
    <row r="92" spans="2:52" ht="13.5" customHeight="1">
      <c r="B92" s="670"/>
      <c r="C92" s="685"/>
      <c r="D92" s="670"/>
      <c r="E92" s="13" t="s">
        <v>201</v>
      </c>
      <c r="F92" s="12"/>
      <c r="G92" s="11"/>
      <c r="H92" s="11"/>
      <c r="I92" s="11"/>
      <c r="J92" s="11"/>
      <c r="K92" s="11"/>
      <c r="L92" s="11"/>
      <c r="M92" s="11"/>
      <c r="N92" s="11"/>
      <c r="O92" s="11"/>
      <c r="P92" s="665"/>
      <c r="Q92" s="665"/>
      <c r="R92" s="665"/>
      <c r="S92" s="665"/>
      <c r="T92" s="665"/>
      <c r="U92" s="665"/>
      <c r="V92" s="11"/>
      <c r="W92" s="19"/>
      <c r="X92" s="11"/>
      <c r="Y92" s="11"/>
      <c r="Z92" s="11"/>
      <c r="AA92" s="11"/>
      <c r="AB92" s="11"/>
      <c r="AC92" s="11"/>
      <c r="AD92" s="11"/>
      <c r="AE92" s="665"/>
      <c r="AF92" s="665"/>
      <c r="AG92" s="665"/>
      <c r="AH92" s="665"/>
      <c r="AI92" s="665"/>
      <c r="AJ92" s="665"/>
      <c r="AK92" s="19"/>
      <c r="AL92" s="11"/>
      <c r="AM92" s="11"/>
      <c r="AN92" s="11"/>
      <c r="AO92" s="11"/>
      <c r="AP92" s="11"/>
      <c r="AQ92" s="11"/>
      <c r="AR92" s="11"/>
      <c r="AS92" s="11"/>
      <c r="AT92" s="11"/>
      <c r="AU92" s="11"/>
      <c r="AV92" s="11"/>
      <c r="AW92" s="11"/>
      <c r="AX92" s="11"/>
      <c r="AY92" s="10"/>
      <c r="AZ92" s="663"/>
    </row>
    <row r="93" spans="2:52" ht="13.5" customHeight="1">
      <c r="B93" s="670"/>
      <c r="C93" s="685"/>
      <c r="D93" s="670"/>
      <c r="E93" s="13" t="s">
        <v>80</v>
      </c>
      <c r="F93" s="12"/>
      <c r="G93" s="11"/>
      <c r="H93" s="11"/>
      <c r="I93" s="11"/>
      <c r="J93" s="11"/>
      <c r="K93" s="11"/>
      <c r="L93" s="11"/>
      <c r="M93" s="11"/>
      <c r="N93" s="11"/>
      <c r="O93" s="11"/>
      <c r="P93" s="665"/>
      <c r="Q93" s="665"/>
      <c r="R93" s="665"/>
      <c r="S93" s="665"/>
      <c r="T93" s="665"/>
      <c r="U93" s="665"/>
      <c r="V93" s="11"/>
      <c r="W93" s="19"/>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0"/>
      <c r="AZ93" s="663"/>
    </row>
    <row r="94" spans="2:52" ht="13.5" customHeight="1" thickBot="1">
      <c r="B94" s="670"/>
      <c r="C94" s="685"/>
      <c r="D94" s="670"/>
      <c r="E94" s="13"/>
      <c r="F94" s="12"/>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0"/>
      <c r="AZ94" s="663"/>
    </row>
    <row r="95" spans="2:52" ht="13.5" customHeight="1" thickTop="1" thickBot="1">
      <c r="B95" s="670"/>
      <c r="C95" s="685"/>
      <c r="D95" s="670"/>
      <c r="E95" s="13" t="s">
        <v>79</v>
      </c>
      <c r="F95" s="12"/>
      <c r="G95" s="11"/>
      <c r="H95" s="11"/>
      <c r="I95" s="11"/>
      <c r="J95" s="11"/>
      <c r="K95" s="11"/>
      <c r="L95" s="11"/>
      <c r="M95" s="11"/>
      <c r="N95" s="11"/>
      <c r="O95" s="11"/>
      <c r="P95" s="672"/>
      <c r="Q95" s="673"/>
      <c r="R95" s="673"/>
      <c r="S95" s="673"/>
      <c r="T95" s="673"/>
      <c r="U95" s="674"/>
      <c r="V95" s="11"/>
      <c r="W95" s="19"/>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0"/>
      <c r="AZ95" s="663"/>
    </row>
    <row r="96" spans="2:52" ht="13.5" customHeight="1" thickTop="1">
      <c r="B96" s="670"/>
      <c r="C96" s="686"/>
      <c r="D96" s="681"/>
      <c r="E96" s="8"/>
      <c r="F96" s="7"/>
      <c r="G96" s="6"/>
      <c r="H96" s="6"/>
      <c r="I96" s="6"/>
      <c r="J96" s="6"/>
      <c r="K96" s="6"/>
      <c r="L96" s="6"/>
      <c r="M96" s="6"/>
      <c r="N96" s="6"/>
      <c r="O96" s="6"/>
      <c r="P96" s="6"/>
      <c r="Q96" s="6"/>
      <c r="R96" s="6"/>
      <c r="S96" s="6"/>
      <c r="T96" s="6"/>
      <c r="U96" s="6"/>
      <c r="V96" s="6"/>
      <c r="W96" s="6"/>
      <c r="X96" s="27"/>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5"/>
      <c r="AZ96" s="664"/>
    </row>
    <row r="97" spans="2:52" ht="13.5" customHeight="1" thickBot="1">
      <c r="B97" s="670"/>
      <c r="C97" s="684">
        <v>2</v>
      </c>
      <c r="D97" s="680" t="s">
        <v>78</v>
      </c>
      <c r="E97" s="18"/>
      <c r="F97" s="17"/>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5"/>
      <c r="AZ97" s="489" t="s">
        <v>829</v>
      </c>
    </row>
    <row r="98" spans="2:52" ht="13.5" customHeight="1" thickTop="1" thickBot="1">
      <c r="B98" s="670"/>
      <c r="C98" s="685"/>
      <c r="D98" s="670"/>
      <c r="E98" s="13" t="s">
        <v>76</v>
      </c>
      <c r="F98" s="12"/>
      <c r="G98" s="11"/>
      <c r="H98" s="11"/>
      <c r="I98" s="11"/>
      <c r="J98" s="11"/>
      <c r="K98" s="11"/>
      <c r="L98" s="11"/>
      <c r="M98" s="11"/>
      <c r="N98" s="11"/>
      <c r="O98" s="11"/>
      <c r="P98" s="11"/>
      <c r="Q98" s="11"/>
      <c r="R98" s="11"/>
      <c r="S98" s="11"/>
      <c r="T98" s="11"/>
      <c r="U98" s="11"/>
      <c r="V98" s="11"/>
      <c r="W98" s="11"/>
      <c r="X98" s="11"/>
      <c r="Y98" s="11"/>
      <c r="Z98" s="667">
        <f>ROUNDDOWN(T70*'(申)計'!R36/'(申)計'!R40,0)</f>
        <v>76866</v>
      </c>
      <c r="AA98" s="668"/>
      <c r="AB98" s="668"/>
      <c r="AC98" s="668"/>
      <c r="AD98" s="668"/>
      <c r="AE98" s="669"/>
      <c r="AF98" s="11" t="s">
        <v>200</v>
      </c>
      <c r="AG98" s="19" t="s">
        <v>74</v>
      </c>
      <c r="AH98" s="11"/>
      <c r="AI98" s="11"/>
      <c r="AJ98" s="11"/>
      <c r="AK98" s="11"/>
      <c r="AL98" s="11"/>
      <c r="AM98" s="11"/>
      <c r="AN98" s="11"/>
      <c r="AO98" s="11"/>
      <c r="AP98" s="11"/>
      <c r="AQ98" s="11"/>
      <c r="AR98" s="11"/>
      <c r="AS98" s="11"/>
      <c r="AT98" s="11"/>
      <c r="AU98" s="11"/>
      <c r="AV98" s="11"/>
      <c r="AW98" s="11"/>
      <c r="AX98" s="11"/>
      <c r="AY98" s="10"/>
      <c r="AZ98" s="209" t="s">
        <v>853</v>
      </c>
    </row>
    <row r="99" spans="2:52" ht="13.5" customHeight="1" thickTop="1" thickBot="1">
      <c r="B99" s="670"/>
      <c r="C99" s="685"/>
      <c r="D99" s="670"/>
      <c r="E99" s="13"/>
      <c r="F99" s="12"/>
      <c r="G99" s="11"/>
      <c r="H99" s="11"/>
      <c r="I99" s="11"/>
      <c r="J99" s="11"/>
      <c r="K99" s="11"/>
      <c r="L99" s="11"/>
      <c r="M99" s="11"/>
      <c r="N99" s="11"/>
      <c r="O99" s="11"/>
      <c r="P99" s="11"/>
      <c r="Q99" s="11"/>
      <c r="R99" s="11"/>
      <c r="S99" s="11"/>
      <c r="T99" s="11"/>
      <c r="U99" s="26" t="s">
        <v>73</v>
      </c>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0"/>
      <c r="AZ99" s="487"/>
    </row>
    <row r="100" spans="2:52" ht="13.5" customHeight="1" thickTop="1" thickBot="1">
      <c r="B100" s="670"/>
      <c r="C100" s="685"/>
      <c r="D100" s="670"/>
      <c r="E100" s="13" t="s">
        <v>72</v>
      </c>
      <c r="F100" s="12"/>
      <c r="G100" s="11"/>
      <c r="H100" s="11"/>
      <c r="I100" s="11"/>
      <c r="J100" s="11"/>
      <c r="K100" s="11"/>
      <c r="L100" s="11"/>
      <c r="M100" s="11"/>
      <c r="N100" s="11"/>
      <c r="O100" s="11"/>
      <c r="P100" s="11"/>
      <c r="Q100" s="11"/>
      <c r="R100" s="11"/>
      <c r="S100" s="11"/>
      <c r="T100" s="11"/>
      <c r="U100" s="11"/>
      <c r="V100" s="11"/>
      <c r="W100" s="11"/>
      <c r="X100" s="11"/>
      <c r="Y100" s="11"/>
      <c r="Z100" s="667">
        <f>AS89</f>
        <v>1702296</v>
      </c>
      <c r="AA100" s="668"/>
      <c r="AB100" s="668"/>
      <c r="AC100" s="668"/>
      <c r="AD100" s="668"/>
      <c r="AE100" s="669"/>
      <c r="AF100" s="11"/>
      <c r="AG100" s="19" t="s">
        <v>71</v>
      </c>
      <c r="AH100" s="11"/>
      <c r="AI100" s="11"/>
      <c r="AJ100" s="11"/>
      <c r="AK100" s="11"/>
      <c r="AL100" s="11"/>
      <c r="AM100" s="11"/>
      <c r="AN100" s="11"/>
      <c r="AO100" s="11"/>
      <c r="AP100" s="11"/>
      <c r="AQ100" s="11"/>
      <c r="AR100" s="11"/>
      <c r="AS100" s="11"/>
      <c r="AT100" s="11"/>
      <c r="AU100" s="11"/>
      <c r="AV100" s="11"/>
      <c r="AW100" s="11"/>
      <c r="AX100" s="11"/>
      <c r="AY100" s="10"/>
      <c r="AZ100" s="487" t="s">
        <v>859</v>
      </c>
    </row>
    <row r="101" spans="2:52" ht="13.5" customHeight="1" thickTop="1" thickBot="1">
      <c r="B101" s="670"/>
      <c r="C101" s="685"/>
      <c r="D101" s="670"/>
      <c r="E101" s="13" t="s">
        <v>210</v>
      </c>
      <c r="F101" s="12"/>
      <c r="G101" s="11"/>
      <c r="H101" s="11"/>
      <c r="I101" s="11"/>
      <c r="J101" s="11"/>
      <c r="K101" s="11"/>
      <c r="L101" s="11"/>
      <c r="M101" s="11"/>
      <c r="N101" s="11"/>
      <c r="O101" s="11"/>
      <c r="P101" s="11"/>
      <c r="Q101" s="11"/>
      <c r="R101" s="11"/>
      <c r="S101" s="11"/>
      <c r="T101" s="11"/>
      <c r="U101" s="11"/>
      <c r="V101" s="11"/>
      <c r="W101" s="11"/>
      <c r="X101" s="11"/>
      <c r="Y101" s="11"/>
      <c r="Z101" s="667">
        <f>ROUNDDOWN(Z100*63/1080,0)</f>
        <v>99300</v>
      </c>
      <c r="AA101" s="668"/>
      <c r="AB101" s="668"/>
      <c r="AC101" s="668"/>
      <c r="AD101" s="668"/>
      <c r="AE101" s="669"/>
      <c r="AF101" s="11" t="s">
        <v>199</v>
      </c>
      <c r="AG101" s="19" t="s">
        <v>209</v>
      </c>
      <c r="AH101" s="11"/>
      <c r="AI101" s="11"/>
      <c r="AJ101" s="11"/>
      <c r="AK101" s="11"/>
      <c r="AL101" s="11"/>
      <c r="AM101" s="11"/>
      <c r="AN101" s="11"/>
      <c r="AO101" s="11"/>
      <c r="AP101" s="11"/>
      <c r="AQ101" s="11"/>
      <c r="AR101" s="11"/>
      <c r="AS101" s="11"/>
      <c r="AT101" s="11"/>
      <c r="AU101" s="11"/>
      <c r="AV101" s="11"/>
      <c r="AW101" s="11"/>
      <c r="AX101" s="11"/>
      <c r="AY101" s="10"/>
      <c r="AZ101" s="487" t="s">
        <v>860</v>
      </c>
    </row>
    <row r="102" spans="2:52" ht="13.5" customHeight="1" thickTop="1" thickBot="1">
      <c r="B102" s="670"/>
      <c r="C102" s="685"/>
      <c r="D102" s="670"/>
      <c r="E102" s="13"/>
      <c r="F102" s="12"/>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0"/>
      <c r="AZ102" s="487"/>
    </row>
    <row r="103" spans="2:52" ht="13.5" customHeight="1" thickTop="1" thickBot="1">
      <c r="B103" s="670"/>
      <c r="C103" s="685"/>
      <c r="D103" s="670"/>
      <c r="E103" s="689" t="s">
        <v>65</v>
      </c>
      <c r="F103" s="678"/>
      <c r="G103" s="678"/>
      <c r="H103" s="678"/>
      <c r="I103" s="678"/>
      <c r="J103" s="678"/>
      <c r="K103" s="678"/>
      <c r="L103" s="678"/>
      <c r="M103" s="678"/>
      <c r="N103" s="678"/>
      <c r="O103" s="678"/>
      <c r="P103" s="678"/>
      <c r="Q103" s="678"/>
      <c r="R103" s="678"/>
      <c r="S103" s="11"/>
      <c r="T103" s="11"/>
      <c r="U103" s="11"/>
      <c r="V103" s="11"/>
      <c r="W103" s="11"/>
      <c r="X103" s="11"/>
      <c r="Y103" s="11"/>
      <c r="Z103" s="667">
        <f>'(申)計'!R36</f>
        <v>18871966907</v>
      </c>
      <c r="AA103" s="668"/>
      <c r="AB103" s="668"/>
      <c r="AC103" s="668"/>
      <c r="AD103" s="668"/>
      <c r="AE103" s="669"/>
      <c r="AF103" s="11"/>
      <c r="AG103" s="678" t="s">
        <v>197</v>
      </c>
      <c r="AH103" s="19" t="s">
        <v>63</v>
      </c>
      <c r="AI103" s="11"/>
      <c r="AJ103" s="11"/>
      <c r="AK103" s="11"/>
      <c r="AL103" s="11"/>
      <c r="AM103" s="11"/>
      <c r="AN103" s="11"/>
      <c r="AO103" s="11"/>
      <c r="AP103" s="11"/>
      <c r="AQ103" s="11"/>
      <c r="AR103" s="11"/>
      <c r="AS103" s="11"/>
      <c r="AT103" s="11"/>
      <c r="AU103" s="11"/>
      <c r="AV103" s="11"/>
      <c r="AW103" s="11"/>
      <c r="AX103" s="11"/>
      <c r="AY103" s="10"/>
      <c r="AZ103" s="666" t="s">
        <v>44</v>
      </c>
    </row>
    <row r="104" spans="2:52" ht="3" customHeight="1" thickTop="1">
      <c r="B104" s="670"/>
      <c r="C104" s="685"/>
      <c r="D104" s="670"/>
      <c r="E104" s="689"/>
      <c r="F104" s="678"/>
      <c r="G104" s="678"/>
      <c r="H104" s="678"/>
      <c r="I104" s="678"/>
      <c r="J104" s="678"/>
      <c r="K104" s="678"/>
      <c r="L104" s="678"/>
      <c r="M104" s="678"/>
      <c r="N104" s="678"/>
      <c r="O104" s="678"/>
      <c r="P104" s="678"/>
      <c r="Q104" s="678"/>
      <c r="R104" s="678"/>
      <c r="S104" s="11"/>
      <c r="T104" s="11"/>
      <c r="U104" s="11"/>
      <c r="V104" s="11"/>
      <c r="W104" s="11"/>
      <c r="X104" s="11"/>
      <c r="Y104" s="6"/>
      <c r="Z104" s="6"/>
      <c r="AA104" s="6"/>
      <c r="AB104" s="6"/>
      <c r="AC104" s="6"/>
      <c r="AD104" s="6"/>
      <c r="AE104" s="6"/>
      <c r="AF104" s="6"/>
      <c r="AG104" s="678"/>
      <c r="AH104" s="11"/>
      <c r="AI104" s="11"/>
      <c r="AJ104" s="11"/>
      <c r="AK104" s="11"/>
      <c r="AL104" s="11"/>
      <c r="AM104" s="11"/>
      <c r="AN104" s="11"/>
      <c r="AO104" s="11"/>
      <c r="AP104" s="11"/>
      <c r="AQ104" s="11"/>
      <c r="AR104" s="11"/>
      <c r="AS104" s="11"/>
      <c r="AT104" s="11"/>
      <c r="AU104" s="11"/>
      <c r="AV104" s="11"/>
      <c r="AW104" s="11"/>
      <c r="AX104" s="11"/>
      <c r="AY104" s="10"/>
      <c r="AZ104" s="666"/>
    </row>
    <row r="105" spans="2:52" ht="3" customHeight="1" thickBot="1">
      <c r="B105" s="670"/>
      <c r="C105" s="685"/>
      <c r="D105" s="670"/>
      <c r="E105" s="689"/>
      <c r="F105" s="678"/>
      <c r="G105" s="678"/>
      <c r="H105" s="678"/>
      <c r="I105" s="678"/>
      <c r="J105" s="678"/>
      <c r="K105" s="678"/>
      <c r="L105" s="678"/>
      <c r="M105" s="678"/>
      <c r="N105" s="678"/>
      <c r="O105" s="678"/>
      <c r="P105" s="678"/>
      <c r="Q105" s="678"/>
      <c r="R105" s="678"/>
      <c r="S105" s="11"/>
      <c r="T105" s="11"/>
      <c r="U105" s="11"/>
      <c r="V105" s="11"/>
      <c r="W105" s="11"/>
      <c r="X105" s="11"/>
      <c r="Y105" s="11"/>
      <c r="Z105" s="11"/>
      <c r="AA105" s="11"/>
      <c r="AB105" s="11"/>
      <c r="AC105" s="11"/>
      <c r="AD105" s="11"/>
      <c r="AE105" s="11"/>
      <c r="AF105" s="11"/>
      <c r="AG105" s="678"/>
      <c r="AH105" s="11"/>
      <c r="AI105" s="11"/>
      <c r="AJ105" s="11"/>
      <c r="AK105" s="11"/>
      <c r="AL105" s="11"/>
      <c r="AM105" s="11"/>
      <c r="AN105" s="11"/>
      <c r="AO105" s="11"/>
      <c r="AP105" s="11"/>
      <c r="AQ105" s="11"/>
      <c r="AR105" s="11"/>
      <c r="AS105" s="11"/>
      <c r="AT105" s="11"/>
      <c r="AU105" s="11"/>
      <c r="AV105" s="11"/>
      <c r="AW105" s="11"/>
      <c r="AX105" s="11"/>
      <c r="AY105" s="10"/>
      <c r="AZ105" s="666"/>
    </row>
    <row r="106" spans="2:52" ht="13.5" customHeight="1" thickTop="1" thickBot="1">
      <c r="B106" s="670"/>
      <c r="C106" s="685"/>
      <c r="D106" s="670"/>
      <c r="E106" s="689"/>
      <c r="F106" s="678"/>
      <c r="G106" s="678"/>
      <c r="H106" s="678"/>
      <c r="I106" s="678"/>
      <c r="J106" s="678"/>
      <c r="K106" s="678"/>
      <c r="L106" s="678"/>
      <c r="M106" s="678"/>
      <c r="N106" s="678"/>
      <c r="O106" s="678"/>
      <c r="P106" s="678"/>
      <c r="Q106" s="678"/>
      <c r="R106" s="678"/>
      <c r="S106" s="11"/>
      <c r="T106" s="11"/>
      <c r="U106" s="11"/>
      <c r="V106" s="11"/>
      <c r="W106" s="11"/>
      <c r="X106" s="11"/>
      <c r="Y106" s="11"/>
      <c r="Z106" s="667">
        <f>'(申)計'!R40</f>
        <v>18940559860</v>
      </c>
      <c r="AA106" s="668"/>
      <c r="AB106" s="668"/>
      <c r="AC106" s="668"/>
      <c r="AD106" s="668"/>
      <c r="AE106" s="669"/>
      <c r="AF106" s="11"/>
      <c r="AG106" s="678"/>
      <c r="AH106" s="19" t="s">
        <v>61</v>
      </c>
      <c r="AI106" s="11"/>
      <c r="AJ106" s="11"/>
      <c r="AK106" s="11"/>
      <c r="AL106" s="11"/>
      <c r="AM106" s="11"/>
      <c r="AN106" s="11"/>
      <c r="AO106" s="11"/>
      <c r="AP106" s="11"/>
      <c r="AQ106" s="11"/>
      <c r="AR106" s="11"/>
      <c r="AS106" s="11"/>
      <c r="AT106" s="11"/>
      <c r="AU106" s="11"/>
      <c r="AV106" s="11"/>
      <c r="AW106" s="11"/>
      <c r="AX106" s="11"/>
      <c r="AY106" s="10"/>
      <c r="AZ106" s="666"/>
    </row>
    <row r="107" spans="2:52" ht="13.5" customHeight="1" thickTop="1" thickBot="1">
      <c r="B107" s="670"/>
      <c r="C107" s="685"/>
      <c r="D107" s="670"/>
      <c r="E107" s="13"/>
      <c r="F107" s="12"/>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0"/>
      <c r="AZ107" s="487"/>
    </row>
    <row r="108" spans="2:52" ht="13.5" customHeight="1" thickTop="1" thickBot="1">
      <c r="B108" s="670"/>
      <c r="C108" s="685"/>
      <c r="D108" s="670"/>
      <c r="E108" s="13" t="s">
        <v>60</v>
      </c>
      <c r="F108" s="12"/>
      <c r="G108" s="11"/>
      <c r="H108" s="11"/>
      <c r="I108" s="11"/>
      <c r="J108" s="11"/>
      <c r="K108" s="11"/>
      <c r="L108" s="11"/>
      <c r="M108" s="11"/>
      <c r="N108" s="11"/>
      <c r="O108" s="11"/>
      <c r="P108" s="11"/>
      <c r="Q108" s="11"/>
      <c r="R108" s="11"/>
      <c r="S108" s="11"/>
      <c r="T108" s="11"/>
      <c r="U108" s="11"/>
      <c r="V108" s="11"/>
      <c r="W108" s="11"/>
      <c r="X108" s="11"/>
      <c r="Y108" s="11"/>
      <c r="Z108" s="667">
        <f>ROUNDDOWN(Z101*Z103/Z106,0)</f>
        <v>98940</v>
      </c>
      <c r="AA108" s="668"/>
      <c r="AB108" s="668"/>
      <c r="AC108" s="668"/>
      <c r="AD108" s="668"/>
      <c r="AE108" s="669"/>
      <c r="AF108" s="11" t="s">
        <v>196</v>
      </c>
      <c r="AG108" s="19" t="s">
        <v>195</v>
      </c>
      <c r="AH108" s="11"/>
      <c r="AI108" s="11"/>
      <c r="AJ108" s="11"/>
      <c r="AK108" s="11"/>
      <c r="AL108" s="11"/>
      <c r="AM108" s="11"/>
      <c r="AN108" s="11"/>
      <c r="AO108" s="11"/>
      <c r="AP108" s="11"/>
      <c r="AQ108" s="11"/>
      <c r="AR108" s="11"/>
      <c r="AS108" s="11"/>
      <c r="AT108" s="11"/>
      <c r="AU108" s="11"/>
      <c r="AV108" s="11"/>
      <c r="AW108" s="11"/>
      <c r="AX108" s="11"/>
      <c r="AY108" s="10"/>
      <c r="AZ108" s="487" t="s">
        <v>846</v>
      </c>
    </row>
    <row r="109" spans="2:52" ht="13.5" customHeight="1" thickTop="1">
      <c r="B109" s="670"/>
      <c r="C109" s="685"/>
      <c r="D109" s="670"/>
      <c r="E109" s="13"/>
      <c r="F109" s="12"/>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0"/>
      <c r="AZ109" s="487"/>
    </row>
    <row r="110" spans="2:52" ht="13.5" customHeight="1" thickBot="1">
      <c r="B110" s="670"/>
      <c r="C110" s="685"/>
      <c r="D110" s="670"/>
      <c r="E110" s="13" t="s">
        <v>56</v>
      </c>
      <c r="F110" s="12"/>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0"/>
      <c r="AZ110" s="487"/>
    </row>
    <row r="111" spans="2:52" ht="13.5" customHeight="1" thickTop="1" thickBot="1">
      <c r="B111" s="670"/>
      <c r="C111" s="685"/>
      <c r="D111" s="670"/>
      <c r="E111" s="13"/>
      <c r="F111" s="12" t="s">
        <v>194</v>
      </c>
      <c r="G111" s="11"/>
      <c r="H111" s="11"/>
      <c r="I111" s="11"/>
      <c r="J111" s="11"/>
      <c r="K111" s="11"/>
      <c r="L111" s="11"/>
      <c r="M111" s="11"/>
      <c r="N111" s="11"/>
      <c r="O111" s="11"/>
      <c r="P111" s="11"/>
      <c r="Q111" s="11"/>
      <c r="R111" s="11"/>
      <c r="S111" s="11"/>
      <c r="T111" s="11"/>
      <c r="U111" s="11"/>
      <c r="V111" s="11"/>
      <c r="W111" s="11"/>
      <c r="X111" s="11"/>
      <c r="Y111" s="11"/>
      <c r="Z111" s="11"/>
      <c r="AA111" s="11"/>
      <c r="AB111" s="11"/>
      <c r="AC111" s="667">
        <f>Z98-Z108</f>
        <v>-22074</v>
      </c>
      <c r="AD111" s="668"/>
      <c r="AE111" s="668"/>
      <c r="AF111" s="668"/>
      <c r="AG111" s="668"/>
      <c r="AH111" s="669"/>
      <c r="AI111" s="11" t="s">
        <v>193</v>
      </c>
      <c r="AJ111" s="19" t="s">
        <v>192</v>
      </c>
      <c r="AK111" s="11"/>
      <c r="AL111" s="11"/>
      <c r="AM111" s="11"/>
      <c r="AN111" s="11"/>
      <c r="AO111" s="11"/>
      <c r="AP111" s="11"/>
      <c r="AQ111" s="11"/>
      <c r="AR111" s="11"/>
      <c r="AS111" s="11"/>
      <c r="AT111" s="11"/>
      <c r="AU111" s="11"/>
      <c r="AV111" s="11"/>
      <c r="AW111" s="11"/>
      <c r="AX111" s="11"/>
      <c r="AY111" s="10"/>
      <c r="AZ111" s="487" t="s">
        <v>847</v>
      </c>
    </row>
    <row r="112" spans="2:52" ht="13.5" customHeight="1" thickTop="1" thickBot="1">
      <c r="B112" s="670"/>
      <c r="C112" s="685"/>
      <c r="D112" s="670"/>
      <c r="E112" s="13"/>
      <c r="F112" s="12"/>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0"/>
      <c r="AZ112" s="487"/>
    </row>
    <row r="113" spans="2:52" ht="13.5" customHeight="1" thickTop="1" thickBot="1">
      <c r="B113" s="670"/>
      <c r="C113" s="685"/>
      <c r="D113" s="670"/>
      <c r="E113" s="13"/>
      <c r="F113" s="678" t="s">
        <v>51</v>
      </c>
      <c r="G113" s="678"/>
      <c r="H113" s="678"/>
      <c r="I113" s="678"/>
      <c r="J113" s="678"/>
      <c r="K113" s="678"/>
      <c r="L113" s="678"/>
      <c r="M113" s="678"/>
      <c r="N113" s="678"/>
      <c r="O113" s="678"/>
      <c r="P113" s="678"/>
      <c r="Q113" s="678"/>
      <c r="R113" s="678"/>
      <c r="S113" s="678"/>
      <c r="T113" s="11"/>
      <c r="U113" s="11"/>
      <c r="V113" s="11"/>
      <c r="W113" s="11"/>
      <c r="X113" s="11"/>
      <c r="Y113" s="11"/>
      <c r="Z113" s="11"/>
      <c r="AA113" s="675">
        <f>'(申)計'!AA113</f>
        <v>0</v>
      </c>
      <c r="AB113" s="676"/>
      <c r="AC113" s="676"/>
      <c r="AD113" s="676"/>
      <c r="AE113" s="676"/>
      <c r="AF113" s="677"/>
      <c r="AG113" s="11"/>
      <c r="AH113" s="678" t="s">
        <v>191</v>
      </c>
      <c r="AI113" s="679" t="s">
        <v>49</v>
      </c>
      <c r="AJ113" s="679"/>
      <c r="AK113" s="679"/>
      <c r="AL113" s="679"/>
      <c r="AM113" s="679"/>
      <c r="AN113" s="679"/>
      <c r="AO113" s="679"/>
      <c r="AP113" s="679"/>
      <c r="AQ113" s="679"/>
      <c r="AR113" s="11"/>
      <c r="AS113" s="11"/>
      <c r="AT113" s="11"/>
      <c r="AU113" s="11"/>
      <c r="AV113" s="11"/>
      <c r="AW113" s="11"/>
      <c r="AX113" s="11"/>
      <c r="AY113" s="10"/>
      <c r="AZ113" s="666" t="s">
        <v>852</v>
      </c>
    </row>
    <row r="114" spans="2:52" ht="3" customHeight="1" thickTop="1">
      <c r="B114" s="670"/>
      <c r="C114" s="685"/>
      <c r="D114" s="670"/>
      <c r="E114" s="13"/>
      <c r="F114" s="678"/>
      <c r="G114" s="678"/>
      <c r="H114" s="678"/>
      <c r="I114" s="678"/>
      <c r="J114" s="678"/>
      <c r="K114" s="678"/>
      <c r="L114" s="678"/>
      <c r="M114" s="678"/>
      <c r="N114" s="678"/>
      <c r="O114" s="678"/>
      <c r="P114" s="678"/>
      <c r="Q114" s="678"/>
      <c r="R114" s="678"/>
      <c r="S114" s="678"/>
      <c r="T114" s="11"/>
      <c r="U114" s="11"/>
      <c r="V114" s="11"/>
      <c r="W114" s="11"/>
      <c r="X114" s="11"/>
      <c r="Y114" s="11"/>
      <c r="Z114" s="6"/>
      <c r="AA114" s="6"/>
      <c r="AB114" s="6"/>
      <c r="AC114" s="6"/>
      <c r="AD114" s="6"/>
      <c r="AE114" s="6"/>
      <c r="AF114" s="6"/>
      <c r="AG114" s="6"/>
      <c r="AH114" s="678"/>
      <c r="AI114" s="679"/>
      <c r="AJ114" s="679"/>
      <c r="AK114" s="679"/>
      <c r="AL114" s="679"/>
      <c r="AM114" s="679"/>
      <c r="AN114" s="679"/>
      <c r="AO114" s="679"/>
      <c r="AP114" s="679"/>
      <c r="AQ114" s="679"/>
      <c r="AR114" s="11"/>
      <c r="AS114" s="11"/>
      <c r="AT114" s="11"/>
      <c r="AU114" s="11"/>
      <c r="AV114" s="11"/>
      <c r="AW114" s="11"/>
      <c r="AX114" s="11"/>
      <c r="AY114" s="10"/>
      <c r="AZ114" s="666"/>
    </row>
    <row r="115" spans="2:52" ht="3" customHeight="1" thickBot="1">
      <c r="B115" s="670"/>
      <c r="C115" s="685"/>
      <c r="D115" s="670"/>
      <c r="E115" s="13"/>
      <c r="F115" s="678"/>
      <c r="G115" s="678"/>
      <c r="H115" s="678"/>
      <c r="I115" s="678"/>
      <c r="J115" s="678"/>
      <c r="K115" s="678"/>
      <c r="L115" s="678"/>
      <c r="M115" s="678"/>
      <c r="N115" s="678"/>
      <c r="O115" s="678"/>
      <c r="P115" s="678"/>
      <c r="Q115" s="678"/>
      <c r="R115" s="678"/>
      <c r="S115" s="678"/>
      <c r="T115" s="11"/>
      <c r="U115" s="11"/>
      <c r="V115" s="11"/>
      <c r="W115" s="11"/>
      <c r="X115" s="11"/>
      <c r="Y115" s="11"/>
      <c r="Z115" s="11"/>
      <c r="AA115" s="11"/>
      <c r="AB115" s="11"/>
      <c r="AC115" s="11"/>
      <c r="AD115" s="11"/>
      <c r="AE115" s="11"/>
      <c r="AF115" s="11"/>
      <c r="AG115" s="11"/>
      <c r="AH115" s="678"/>
      <c r="AI115" s="679"/>
      <c r="AJ115" s="679"/>
      <c r="AK115" s="679"/>
      <c r="AL115" s="679"/>
      <c r="AM115" s="679"/>
      <c r="AN115" s="679"/>
      <c r="AO115" s="679"/>
      <c r="AP115" s="679"/>
      <c r="AQ115" s="679"/>
      <c r="AR115" s="11"/>
      <c r="AS115" s="11"/>
      <c r="AT115" s="11"/>
      <c r="AU115" s="11"/>
      <c r="AV115" s="11"/>
      <c r="AW115" s="11"/>
      <c r="AX115" s="11"/>
      <c r="AY115" s="10"/>
      <c r="AZ115" s="666"/>
    </row>
    <row r="116" spans="2:52" ht="13.5" customHeight="1" thickTop="1" thickBot="1">
      <c r="B116" s="670"/>
      <c r="C116" s="685"/>
      <c r="D116" s="670"/>
      <c r="E116" s="13"/>
      <c r="F116" s="678"/>
      <c r="G116" s="678"/>
      <c r="H116" s="678"/>
      <c r="I116" s="678"/>
      <c r="J116" s="678"/>
      <c r="K116" s="678"/>
      <c r="L116" s="678"/>
      <c r="M116" s="678"/>
      <c r="N116" s="678"/>
      <c r="O116" s="678"/>
      <c r="P116" s="678"/>
      <c r="Q116" s="678"/>
      <c r="R116" s="678"/>
      <c r="S116" s="678"/>
      <c r="T116" s="11"/>
      <c r="U116" s="11"/>
      <c r="V116" s="11"/>
      <c r="W116" s="11"/>
      <c r="X116" s="11"/>
      <c r="Y116" s="11"/>
      <c r="Z116" s="11"/>
      <c r="AA116" s="667">
        <f>'(申)計'!AA116</f>
        <v>18950268779</v>
      </c>
      <c r="AB116" s="668"/>
      <c r="AC116" s="668"/>
      <c r="AD116" s="668"/>
      <c r="AE116" s="668"/>
      <c r="AF116" s="669"/>
      <c r="AG116" s="11"/>
      <c r="AH116" s="678"/>
      <c r="AI116" s="679"/>
      <c r="AJ116" s="679"/>
      <c r="AK116" s="679"/>
      <c r="AL116" s="679"/>
      <c r="AM116" s="679"/>
      <c r="AN116" s="679"/>
      <c r="AO116" s="679"/>
      <c r="AP116" s="679"/>
      <c r="AQ116" s="679"/>
      <c r="AR116" s="11"/>
      <c r="AS116" s="11"/>
      <c r="AT116" s="11"/>
      <c r="AU116" s="11"/>
      <c r="AV116" s="11"/>
      <c r="AW116" s="11"/>
      <c r="AX116" s="11"/>
      <c r="AY116" s="10"/>
      <c r="AZ116" s="666"/>
    </row>
    <row r="117" spans="2:52" ht="13.5" customHeight="1" thickTop="1" thickBot="1">
      <c r="B117" s="670"/>
      <c r="C117" s="685"/>
      <c r="D117" s="670"/>
      <c r="E117" s="13"/>
      <c r="F117" s="12"/>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0"/>
      <c r="AZ117" s="487"/>
    </row>
    <row r="118" spans="2:52" ht="13.5" customHeight="1" thickTop="1" thickBot="1">
      <c r="B118" s="670"/>
      <c r="C118" s="685"/>
      <c r="D118" s="670"/>
      <c r="E118" s="13"/>
      <c r="F118" s="11" t="s">
        <v>47</v>
      </c>
      <c r="G118" s="11"/>
      <c r="H118" s="11"/>
      <c r="I118" s="11"/>
      <c r="J118" s="11"/>
      <c r="K118" s="11"/>
      <c r="L118" s="11"/>
      <c r="M118" s="11"/>
      <c r="N118" s="11"/>
      <c r="O118" s="11"/>
      <c r="P118" s="11"/>
      <c r="Q118" s="11"/>
      <c r="R118" s="11"/>
      <c r="S118" s="11"/>
      <c r="T118" s="11"/>
      <c r="U118" s="11"/>
      <c r="V118" s="11"/>
      <c r="W118" s="11"/>
      <c r="X118" s="11"/>
      <c r="Y118" s="11"/>
      <c r="Z118" s="11"/>
      <c r="AA118" s="667">
        <f>ROUNDDOWN(AC111*AA113/AA116,0)</f>
        <v>0</v>
      </c>
      <c r="AB118" s="668"/>
      <c r="AC118" s="668"/>
      <c r="AD118" s="668"/>
      <c r="AE118" s="668"/>
      <c r="AF118" s="669"/>
      <c r="AG118" s="11" t="s">
        <v>189</v>
      </c>
      <c r="AH118" s="19" t="s">
        <v>188</v>
      </c>
      <c r="AI118" s="11"/>
      <c r="AJ118" s="11"/>
      <c r="AK118" s="11"/>
      <c r="AL118" s="11"/>
      <c r="AM118" s="11"/>
      <c r="AN118" s="11"/>
      <c r="AO118" s="11"/>
      <c r="AP118" s="11"/>
      <c r="AQ118" s="11"/>
      <c r="AR118" s="11"/>
      <c r="AS118" s="11"/>
      <c r="AT118" s="11"/>
      <c r="AU118" s="11"/>
      <c r="AV118" s="11"/>
      <c r="AW118" s="11"/>
      <c r="AX118" s="11"/>
      <c r="AY118" s="10"/>
      <c r="AZ118" s="487" t="s">
        <v>837</v>
      </c>
    </row>
    <row r="119" spans="2:52" ht="13.5" customHeight="1" thickTop="1" thickBot="1">
      <c r="B119" s="670"/>
      <c r="C119" s="685"/>
      <c r="D119" s="670"/>
      <c r="E119" s="13"/>
      <c r="F119" s="12"/>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0"/>
      <c r="AZ119" s="487" t="s">
        <v>838</v>
      </c>
    </row>
    <row r="120" spans="2:52" ht="13.5" customHeight="1" thickTop="1" thickBot="1">
      <c r="B120" s="670"/>
      <c r="C120" s="685"/>
      <c r="D120" s="670"/>
      <c r="E120" s="13" t="s">
        <v>43</v>
      </c>
      <c r="F120" s="12"/>
      <c r="G120" s="11"/>
      <c r="H120" s="11"/>
      <c r="I120" s="11"/>
      <c r="J120" s="11"/>
      <c r="K120" s="11"/>
      <c r="L120" s="11"/>
      <c r="M120" s="11"/>
      <c r="N120" s="11"/>
      <c r="O120" s="11"/>
      <c r="P120" s="11"/>
      <c r="Q120" s="11"/>
      <c r="R120" s="11"/>
      <c r="S120" s="11"/>
      <c r="T120" s="11"/>
      <c r="U120" s="11"/>
      <c r="V120" s="11"/>
      <c r="W120" s="11"/>
      <c r="X120" s="11"/>
      <c r="Y120" s="11"/>
      <c r="Z120" s="667">
        <f>Z108+AA118</f>
        <v>98940</v>
      </c>
      <c r="AA120" s="668"/>
      <c r="AB120" s="668"/>
      <c r="AC120" s="668"/>
      <c r="AD120" s="668"/>
      <c r="AE120" s="669"/>
      <c r="AF120" s="11" t="s">
        <v>187</v>
      </c>
      <c r="AG120" s="19" t="s">
        <v>186</v>
      </c>
      <c r="AH120" s="11"/>
      <c r="AI120" s="11"/>
      <c r="AJ120" s="11"/>
      <c r="AK120" s="11"/>
      <c r="AL120" s="11"/>
      <c r="AM120" s="11"/>
      <c r="AN120" s="11"/>
      <c r="AO120" s="11"/>
      <c r="AP120" s="11"/>
      <c r="AQ120" s="11"/>
      <c r="AR120" s="11"/>
      <c r="AS120" s="11"/>
      <c r="AT120" s="11"/>
      <c r="AU120" s="11"/>
      <c r="AV120" s="11"/>
      <c r="AW120" s="11"/>
      <c r="AX120" s="11"/>
      <c r="AY120" s="10"/>
      <c r="AZ120" s="487" t="s">
        <v>851</v>
      </c>
    </row>
    <row r="121" spans="2:52" ht="13.5" customHeight="1" thickTop="1" thickBot="1">
      <c r="B121" s="670"/>
      <c r="C121" s="685"/>
      <c r="D121" s="670"/>
      <c r="E121" s="13"/>
      <c r="F121" s="12"/>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0"/>
      <c r="AZ121" s="488" t="s">
        <v>840</v>
      </c>
    </row>
    <row r="122" spans="2:52" ht="13.5" customHeight="1" thickTop="1" thickBot="1">
      <c r="B122" s="670"/>
      <c r="C122" s="685"/>
      <c r="D122" s="670"/>
      <c r="E122" s="13" t="s">
        <v>38</v>
      </c>
      <c r="F122" s="12"/>
      <c r="G122" s="11"/>
      <c r="H122" s="11"/>
      <c r="I122" s="11"/>
      <c r="J122" s="11"/>
      <c r="K122" s="11"/>
      <c r="L122" s="11"/>
      <c r="M122" s="11"/>
      <c r="N122" s="11"/>
      <c r="O122" s="11"/>
      <c r="P122" s="11"/>
      <c r="Q122" s="11"/>
      <c r="R122" s="11"/>
      <c r="S122" s="11"/>
      <c r="T122" s="11"/>
      <c r="U122" s="11"/>
      <c r="V122" s="11"/>
      <c r="W122" s="11"/>
      <c r="X122" s="11"/>
      <c r="Y122" s="11"/>
      <c r="Z122" s="667">
        <f>Z98-Z120</f>
        <v>-22074</v>
      </c>
      <c r="AA122" s="668"/>
      <c r="AB122" s="668"/>
      <c r="AC122" s="668"/>
      <c r="AD122" s="668"/>
      <c r="AE122" s="669"/>
      <c r="AF122" s="11" t="s">
        <v>185</v>
      </c>
      <c r="AG122" s="19" t="s">
        <v>184</v>
      </c>
      <c r="AH122" s="11"/>
      <c r="AI122" s="11"/>
      <c r="AJ122" s="11"/>
      <c r="AK122" s="11"/>
      <c r="AL122" s="11"/>
      <c r="AM122" s="11"/>
      <c r="AN122" s="11"/>
      <c r="AO122" s="11"/>
      <c r="AP122" s="11"/>
      <c r="AQ122" s="11"/>
      <c r="AR122" s="11"/>
      <c r="AS122" s="11"/>
      <c r="AT122" s="11"/>
      <c r="AU122" s="11"/>
      <c r="AV122" s="11"/>
      <c r="AW122" s="11"/>
      <c r="AX122" s="11"/>
      <c r="AY122" s="10"/>
      <c r="AZ122" s="209" t="s">
        <v>842</v>
      </c>
    </row>
    <row r="123" spans="2:52" ht="13.5" customHeight="1" thickTop="1">
      <c r="B123" s="670"/>
      <c r="C123" s="686"/>
      <c r="D123" s="681"/>
      <c r="E123" s="8"/>
      <c r="F123" s="7"/>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5"/>
      <c r="AZ123" s="215" t="s">
        <v>854</v>
      </c>
    </row>
    <row r="124" spans="2:52" ht="13.5" customHeight="1">
      <c r="B124" s="670"/>
      <c r="C124" s="14"/>
      <c r="D124" s="23"/>
      <c r="E124" s="18"/>
      <c r="F124" s="17"/>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5"/>
      <c r="AZ124" s="14"/>
    </row>
    <row r="125" spans="2:52" ht="13.5" customHeight="1">
      <c r="B125" s="670"/>
      <c r="C125" s="9"/>
      <c r="D125" s="22"/>
      <c r="E125" s="13"/>
      <c r="F125" s="12"/>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0"/>
      <c r="AZ125" s="9"/>
    </row>
    <row r="126" spans="2:52" ht="13.5" customHeight="1">
      <c r="B126" s="670"/>
      <c r="C126" s="9"/>
      <c r="D126" s="22"/>
      <c r="E126" s="13"/>
      <c r="F126" s="12"/>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0"/>
      <c r="AZ126" s="9"/>
    </row>
    <row r="127" spans="2:52" ht="13.5" customHeight="1">
      <c r="B127" s="670"/>
      <c r="C127" s="9"/>
      <c r="D127" s="22"/>
      <c r="E127" s="13"/>
      <c r="F127" s="12"/>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0"/>
      <c r="AZ127" s="9"/>
    </row>
    <row r="128" spans="2:52" ht="13.5" customHeight="1">
      <c r="B128" s="670"/>
      <c r="C128" s="9"/>
      <c r="D128" s="22"/>
      <c r="E128" s="13"/>
      <c r="F128" s="12"/>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0"/>
      <c r="AZ128" s="9"/>
    </row>
    <row r="129" spans="2:52" ht="13.5" customHeight="1">
      <c r="B129" s="670"/>
      <c r="C129" s="9"/>
      <c r="D129" s="22"/>
      <c r="E129" s="13"/>
      <c r="F129" s="12"/>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0"/>
      <c r="AZ129" s="9"/>
    </row>
    <row r="130" spans="2:52" ht="13.5" customHeight="1">
      <c r="B130" s="681"/>
      <c r="C130" s="4"/>
      <c r="D130" s="21"/>
      <c r="E130" s="8"/>
      <c r="F130" s="7"/>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5"/>
      <c r="AZ130" s="4"/>
    </row>
    <row r="131" spans="2:52" ht="13.5" customHeight="1">
      <c r="B131" s="680" t="s">
        <v>35</v>
      </c>
      <c r="C131" s="682">
        <v>1</v>
      </c>
      <c r="D131" s="682" t="s">
        <v>34</v>
      </c>
      <c r="E131" s="18"/>
      <c r="F131" s="17"/>
      <c r="G131" s="16"/>
      <c r="H131" s="16"/>
      <c r="I131" s="16"/>
      <c r="J131" s="16"/>
      <c r="K131" s="16"/>
      <c r="L131" s="16"/>
      <c r="M131" s="16"/>
      <c r="N131" s="16"/>
      <c r="O131" s="16"/>
      <c r="P131" s="16"/>
      <c r="Q131" s="16"/>
      <c r="R131" s="16"/>
      <c r="S131" s="16"/>
      <c r="T131" s="20"/>
      <c r="U131" s="20"/>
      <c r="V131" s="20"/>
      <c r="W131" s="20"/>
      <c r="X131" s="20"/>
      <c r="Y131" s="20"/>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5"/>
      <c r="AZ131" s="14"/>
    </row>
    <row r="132" spans="2:52" ht="13.5" customHeight="1">
      <c r="B132" s="670"/>
      <c r="C132" s="666"/>
      <c r="D132" s="666"/>
      <c r="E132" s="13" t="s">
        <v>13</v>
      </c>
      <c r="F132" s="12"/>
      <c r="G132" s="11"/>
      <c r="H132" s="11"/>
      <c r="I132" s="11"/>
      <c r="J132" s="11" t="s">
        <v>33</v>
      </c>
      <c r="K132" s="11"/>
      <c r="L132" s="11"/>
      <c r="M132" s="11"/>
      <c r="N132" s="11"/>
      <c r="O132" s="11"/>
      <c r="P132" s="11"/>
      <c r="Q132" s="11"/>
      <c r="R132" s="11"/>
      <c r="S132" s="11"/>
      <c r="T132" s="665">
        <f>IF(0&gt;Z122,0,Z122)</f>
        <v>0</v>
      </c>
      <c r="U132" s="665"/>
      <c r="V132" s="665"/>
      <c r="W132" s="665"/>
      <c r="X132" s="665"/>
      <c r="Y132" s="665"/>
      <c r="Z132" s="11"/>
      <c r="AA132" s="19" t="s">
        <v>32</v>
      </c>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0"/>
      <c r="AZ132" s="9" t="s">
        <v>868</v>
      </c>
    </row>
    <row r="133" spans="2:52" ht="13.5" customHeight="1" thickBot="1">
      <c r="B133" s="670"/>
      <c r="C133" s="666"/>
      <c r="D133" s="666"/>
      <c r="E133" s="13"/>
      <c r="F133" s="12"/>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0"/>
      <c r="AZ133" s="9">
        <v>0</v>
      </c>
    </row>
    <row r="134" spans="2:52" ht="13.5" customHeight="1" thickTop="1" thickBot="1">
      <c r="B134" s="670"/>
      <c r="C134" s="666"/>
      <c r="D134" s="666"/>
      <c r="E134" s="13"/>
      <c r="F134" s="12"/>
      <c r="G134" s="11"/>
      <c r="H134" s="11"/>
      <c r="I134" s="11"/>
      <c r="J134" s="11" t="s">
        <v>31</v>
      </c>
      <c r="K134" s="11"/>
      <c r="L134" s="11"/>
      <c r="M134" s="11"/>
      <c r="N134" s="11"/>
      <c r="O134" s="11"/>
      <c r="P134" s="11"/>
      <c r="Q134" s="11"/>
      <c r="R134" s="11"/>
      <c r="S134" s="11"/>
      <c r="T134" s="667">
        <f>ROUNDDOWN(R25*63/1080,0)</f>
        <v>2294</v>
      </c>
      <c r="U134" s="668"/>
      <c r="V134" s="668"/>
      <c r="W134" s="668"/>
      <c r="X134" s="668"/>
      <c r="Y134" s="669"/>
      <c r="Z134" s="11" t="s">
        <v>183</v>
      </c>
      <c r="AA134" s="19" t="s">
        <v>208</v>
      </c>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0"/>
      <c r="AZ134" s="9" t="s">
        <v>28</v>
      </c>
    </row>
    <row r="135" spans="2:52" ht="13.5" customHeight="1" thickTop="1">
      <c r="B135" s="670"/>
      <c r="C135" s="666"/>
      <c r="D135" s="666"/>
      <c r="E135" s="13"/>
      <c r="F135" s="12"/>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0"/>
      <c r="AZ135" s="9"/>
    </row>
    <row r="136" spans="2:52" ht="13.5" customHeight="1" thickBot="1">
      <c r="B136" s="670"/>
      <c r="C136" s="666"/>
      <c r="D136" s="666"/>
      <c r="E136" s="13"/>
      <c r="F136" s="12"/>
      <c r="G136" s="11"/>
      <c r="H136" s="11"/>
      <c r="I136" s="11"/>
      <c r="J136" s="11" t="s">
        <v>27</v>
      </c>
      <c r="K136" s="11"/>
      <c r="L136" s="11"/>
      <c r="M136" s="11"/>
      <c r="N136" s="11"/>
      <c r="O136" s="11"/>
      <c r="P136" s="11"/>
      <c r="Q136" s="11"/>
      <c r="R136" s="11"/>
      <c r="S136" s="11"/>
      <c r="T136" s="687">
        <f>基礎数値!F17</f>
        <v>24667001</v>
      </c>
      <c r="U136" s="687"/>
      <c r="V136" s="687"/>
      <c r="W136" s="687"/>
      <c r="X136" s="687"/>
      <c r="Y136" s="687"/>
      <c r="Z136" s="11" t="s">
        <v>181</v>
      </c>
      <c r="AA136" s="19" t="s">
        <v>25</v>
      </c>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0"/>
      <c r="AZ136" s="9"/>
    </row>
    <row r="137" spans="2:52" ht="13.5" customHeight="1" thickTop="1" thickBot="1">
      <c r="B137" s="670"/>
      <c r="C137" s="666"/>
      <c r="D137" s="666"/>
      <c r="E137" s="13"/>
      <c r="F137" s="12"/>
      <c r="G137" s="11"/>
      <c r="H137" s="11"/>
      <c r="I137" s="11"/>
      <c r="J137" s="11" t="s">
        <v>24</v>
      </c>
      <c r="K137" s="11"/>
      <c r="L137" s="11"/>
      <c r="M137" s="11"/>
      <c r="N137" s="11"/>
      <c r="O137" s="11"/>
      <c r="P137" s="11"/>
      <c r="Q137" s="11"/>
      <c r="R137" s="11"/>
      <c r="S137" s="11"/>
      <c r="T137" s="667">
        <f>ROUNDDOWN(T136*63/1080,0)</f>
        <v>1438908</v>
      </c>
      <c r="U137" s="668"/>
      <c r="V137" s="668"/>
      <c r="W137" s="668"/>
      <c r="X137" s="668"/>
      <c r="Y137" s="669"/>
      <c r="Z137" s="11" t="s">
        <v>180</v>
      </c>
      <c r="AA137" s="19" t="s">
        <v>207</v>
      </c>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0"/>
      <c r="AZ137" s="9" t="s">
        <v>178</v>
      </c>
    </row>
    <row r="138" spans="2:52" ht="13.5" customHeight="1" thickTop="1" thickBot="1">
      <c r="B138" s="670"/>
      <c r="C138" s="666"/>
      <c r="D138" s="666"/>
      <c r="E138" s="13"/>
      <c r="F138" s="12"/>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0"/>
      <c r="AZ138" s="9"/>
    </row>
    <row r="139" spans="2:52" ht="13.5" customHeight="1" thickTop="1" thickBot="1">
      <c r="B139" s="670"/>
      <c r="C139" s="666"/>
      <c r="D139" s="666"/>
      <c r="E139" s="13"/>
      <c r="F139" s="12"/>
      <c r="G139" s="11"/>
      <c r="H139" s="11"/>
      <c r="I139" s="11"/>
      <c r="J139" s="11" t="s">
        <v>20</v>
      </c>
      <c r="K139" s="11"/>
      <c r="L139" s="11"/>
      <c r="M139" s="11"/>
      <c r="N139" s="11"/>
      <c r="O139" s="11"/>
      <c r="P139" s="11"/>
      <c r="Q139" s="11"/>
      <c r="R139" s="11"/>
      <c r="S139" s="11"/>
      <c r="T139" s="667">
        <f>T132+T134+T137</f>
        <v>1441202</v>
      </c>
      <c r="U139" s="668"/>
      <c r="V139" s="668"/>
      <c r="W139" s="668"/>
      <c r="X139" s="668"/>
      <c r="Y139" s="669"/>
      <c r="Z139" s="11" t="s">
        <v>177</v>
      </c>
      <c r="AB139" s="19" t="s">
        <v>176</v>
      </c>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0"/>
      <c r="AZ139" s="9" t="s">
        <v>175</v>
      </c>
    </row>
    <row r="140" spans="2:52" ht="13.5" customHeight="1" thickTop="1">
      <c r="B140" s="670"/>
      <c r="C140" s="671"/>
      <c r="D140" s="671"/>
      <c r="E140" s="8"/>
      <c r="F140" s="7"/>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5"/>
      <c r="AZ140" s="4"/>
    </row>
    <row r="141" spans="2:52" ht="13.5" customHeight="1">
      <c r="B141" s="670"/>
      <c r="C141" s="682">
        <v>2</v>
      </c>
      <c r="D141" s="680" t="s">
        <v>16</v>
      </c>
      <c r="E141" s="18"/>
      <c r="F141" s="17"/>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5"/>
      <c r="AZ141" s="14"/>
    </row>
    <row r="142" spans="2:52" ht="13.5" customHeight="1">
      <c r="B142" s="670"/>
      <c r="C142" s="666"/>
      <c r="D142" s="670"/>
      <c r="E142" s="13" t="s">
        <v>15</v>
      </c>
      <c r="F142" s="12"/>
      <c r="G142" s="11"/>
      <c r="H142" s="11"/>
      <c r="I142" s="11"/>
      <c r="J142" s="11"/>
      <c r="K142" s="11"/>
      <c r="L142" s="11"/>
      <c r="M142" s="11"/>
      <c r="N142" s="11"/>
      <c r="O142" s="11"/>
      <c r="P142" s="11"/>
      <c r="Q142" s="11"/>
      <c r="R142" s="11"/>
      <c r="S142" s="11"/>
      <c r="T142" s="665">
        <f>R31</f>
        <v>2709</v>
      </c>
      <c r="U142" s="665"/>
      <c r="V142" s="665"/>
      <c r="W142" s="665"/>
      <c r="X142" s="665"/>
      <c r="Y142" s="665"/>
      <c r="Z142" s="11"/>
      <c r="AA142" s="11"/>
      <c r="AB142" s="19" t="s">
        <v>14</v>
      </c>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0"/>
      <c r="AZ142" s="9"/>
    </row>
    <row r="143" spans="2:52" ht="13.5" customHeight="1" thickBot="1">
      <c r="B143" s="670"/>
      <c r="C143" s="666"/>
      <c r="D143" s="670"/>
      <c r="E143" s="13" t="s">
        <v>13</v>
      </c>
      <c r="F143" s="12"/>
      <c r="G143" s="11"/>
      <c r="H143" s="11"/>
      <c r="I143" s="11"/>
      <c r="J143" s="11"/>
      <c r="K143" s="11"/>
      <c r="L143" s="11"/>
      <c r="M143" s="11"/>
      <c r="N143" s="11"/>
      <c r="O143" s="11"/>
      <c r="P143" s="11"/>
      <c r="Q143" s="11"/>
      <c r="R143" s="11"/>
      <c r="S143" s="11"/>
      <c r="T143" s="665">
        <f>T139</f>
        <v>1441202</v>
      </c>
      <c r="U143" s="665"/>
      <c r="V143" s="665"/>
      <c r="W143" s="665"/>
      <c r="X143" s="665"/>
      <c r="Y143" s="665"/>
      <c r="Z143" s="11"/>
      <c r="AA143" s="11"/>
      <c r="AB143" s="19" t="s">
        <v>12</v>
      </c>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0"/>
      <c r="AZ143" s="9"/>
    </row>
    <row r="144" spans="2:52" ht="13.5" customHeight="1" thickTop="1" thickBot="1">
      <c r="B144" s="670"/>
      <c r="C144" s="666"/>
      <c r="D144" s="670"/>
      <c r="E144" s="13" t="s">
        <v>11</v>
      </c>
      <c r="F144" s="12"/>
      <c r="G144" s="11"/>
      <c r="H144" s="11"/>
      <c r="I144" s="11"/>
      <c r="J144" s="11"/>
      <c r="K144" s="11"/>
      <c r="L144" s="11"/>
      <c r="M144" s="11"/>
      <c r="N144" s="11"/>
      <c r="O144" s="11"/>
      <c r="P144" s="11"/>
      <c r="Q144" s="11"/>
      <c r="R144" s="11"/>
      <c r="S144" s="11"/>
      <c r="T144" s="700">
        <f>IF(Z122&lt;0,T142-T143-Z122,T142-T143)</f>
        <v>-1416419</v>
      </c>
      <c r="U144" s="701"/>
      <c r="V144" s="701"/>
      <c r="W144" s="701"/>
      <c r="X144" s="701"/>
      <c r="Y144" s="702"/>
      <c r="Z144" s="11" t="s">
        <v>174</v>
      </c>
      <c r="AA144" s="11"/>
      <c r="AB144" s="19" t="s">
        <v>870</v>
      </c>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0"/>
      <c r="AZ144" s="487" t="s">
        <v>856</v>
      </c>
    </row>
    <row r="145" spans="2:52" ht="13.5" customHeight="1" thickTop="1">
      <c r="B145" s="670"/>
      <c r="C145" s="666"/>
      <c r="D145" s="670"/>
      <c r="E145" s="13"/>
      <c r="F145" s="12"/>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0"/>
      <c r="AZ145" s="9"/>
    </row>
    <row r="146" spans="2:52" ht="13.5" customHeight="1">
      <c r="B146" s="670"/>
      <c r="C146" s="666"/>
      <c r="D146" s="670"/>
      <c r="E146" s="13"/>
      <c r="F146" s="12"/>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0"/>
      <c r="AZ146" s="9"/>
    </row>
    <row r="147" spans="2:52" ht="13.5" customHeight="1">
      <c r="B147" s="670"/>
      <c r="C147" s="666"/>
      <c r="D147" s="670"/>
      <c r="E147" s="13"/>
      <c r="F147" s="12"/>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0"/>
      <c r="AZ147" s="9"/>
    </row>
    <row r="148" spans="2:52" ht="13.5" customHeight="1">
      <c r="B148" s="670"/>
      <c r="C148" s="666"/>
      <c r="D148" s="670"/>
      <c r="E148" s="13"/>
      <c r="F148" s="12"/>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9"/>
      <c r="AI148" s="11"/>
      <c r="AJ148" s="11"/>
      <c r="AK148" s="11"/>
      <c r="AL148" s="11"/>
      <c r="AM148" s="11"/>
      <c r="AN148" s="11"/>
      <c r="AO148" s="11"/>
      <c r="AP148" s="11"/>
      <c r="AQ148" s="11"/>
      <c r="AR148" s="11"/>
      <c r="AS148" s="11"/>
      <c r="AT148" s="11"/>
      <c r="AU148" s="11"/>
      <c r="AV148" s="11"/>
      <c r="AW148" s="11"/>
      <c r="AX148" s="11"/>
      <c r="AY148" s="10"/>
      <c r="AZ148" s="9"/>
    </row>
    <row r="149" spans="2:52" ht="13.5" customHeight="1">
      <c r="B149" s="670"/>
      <c r="C149" s="671"/>
      <c r="D149" s="681"/>
      <c r="E149" s="8"/>
      <c r="F149" s="7"/>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5"/>
      <c r="AZ149" s="4"/>
    </row>
    <row r="150" spans="2:52" ht="13.5" customHeight="1" thickBot="1">
      <c r="B150" s="670"/>
      <c r="C150" s="682">
        <v>3</v>
      </c>
      <c r="D150" s="680" t="s">
        <v>7</v>
      </c>
      <c r="E150" s="18"/>
      <c r="F150" s="17"/>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5"/>
      <c r="AZ150" s="14"/>
    </row>
    <row r="151" spans="2:52" ht="13.5" customHeight="1" thickTop="1" thickBot="1">
      <c r="B151" s="670"/>
      <c r="C151" s="666"/>
      <c r="D151" s="670"/>
      <c r="E151" s="13" t="s">
        <v>6</v>
      </c>
      <c r="F151" s="12"/>
      <c r="G151" s="11"/>
      <c r="H151" s="11"/>
      <c r="I151" s="11"/>
      <c r="J151" s="11"/>
      <c r="K151" s="11"/>
      <c r="L151" s="11"/>
      <c r="M151" s="11"/>
      <c r="N151" s="11"/>
      <c r="O151" s="11"/>
      <c r="P151" s="11"/>
      <c r="Q151" s="11"/>
      <c r="R151" s="11"/>
      <c r="S151" s="11"/>
      <c r="T151" s="667">
        <f>T144</f>
        <v>-1416419</v>
      </c>
      <c r="U151" s="668"/>
      <c r="V151" s="668"/>
      <c r="W151" s="668"/>
      <c r="X151" s="668"/>
      <c r="Y151" s="669"/>
      <c r="Z151" s="11"/>
      <c r="AA151" s="11"/>
      <c r="AB151" s="19" t="s">
        <v>5</v>
      </c>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0"/>
      <c r="AZ151" s="9"/>
    </row>
    <row r="152" spans="2:52" ht="13.5" customHeight="1" thickTop="1" thickBot="1">
      <c r="B152" s="670"/>
      <c r="C152" s="666"/>
      <c r="D152" s="670"/>
      <c r="E152" s="13" t="s">
        <v>4</v>
      </c>
      <c r="F152" s="12"/>
      <c r="G152" s="11"/>
      <c r="H152" s="11"/>
      <c r="I152" s="11"/>
      <c r="J152" s="11"/>
      <c r="K152" s="11"/>
      <c r="L152" s="11"/>
      <c r="M152" s="11"/>
      <c r="N152" s="11"/>
      <c r="O152" s="11"/>
      <c r="P152" s="11"/>
      <c r="Q152" s="11"/>
      <c r="R152" s="11"/>
      <c r="S152" s="11"/>
      <c r="T152" s="667">
        <f>ROUNDDOWN(T151*17/63,0)</f>
        <v>-382208</v>
      </c>
      <c r="U152" s="668"/>
      <c r="V152" s="668"/>
      <c r="W152" s="668"/>
      <c r="X152" s="668"/>
      <c r="Y152" s="669"/>
      <c r="Z152" s="11" t="s">
        <v>173</v>
      </c>
      <c r="AA152" s="11"/>
      <c r="AB152" s="19" t="s">
        <v>873</v>
      </c>
      <c r="AC152" s="11"/>
      <c r="AD152" s="11"/>
      <c r="AE152" s="11"/>
      <c r="AF152" s="11"/>
      <c r="AG152" s="491"/>
      <c r="AH152" s="11"/>
      <c r="AI152" s="11"/>
      <c r="AJ152" s="11"/>
      <c r="AK152" s="11"/>
      <c r="AL152" s="11"/>
      <c r="AM152" s="11"/>
      <c r="AN152" s="11"/>
      <c r="AO152" s="11"/>
      <c r="AP152" s="11"/>
      <c r="AQ152" s="11"/>
      <c r="AR152" s="11"/>
      <c r="AS152" s="11"/>
      <c r="AT152" s="11"/>
      <c r="AU152" s="11"/>
      <c r="AV152" s="11"/>
      <c r="AW152" s="11"/>
      <c r="AX152" s="11"/>
      <c r="AY152" s="10"/>
      <c r="AZ152" s="487" t="s">
        <v>858</v>
      </c>
    </row>
    <row r="153" spans="2:52" ht="13.5" customHeight="1" thickTop="1">
      <c r="B153" s="670"/>
      <c r="C153" s="666"/>
      <c r="D153" s="670"/>
      <c r="E153" s="13"/>
      <c r="F153" s="12"/>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0"/>
      <c r="AZ153" s="9"/>
    </row>
    <row r="154" spans="2:52" ht="13.5" customHeight="1">
      <c r="B154" s="670"/>
      <c r="C154" s="666"/>
      <c r="D154" s="670"/>
      <c r="E154" s="13"/>
      <c r="F154" s="12"/>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0"/>
      <c r="AZ154" s="9"/>
    </row>
    <row r="155" spans="2:52" ht="13.5" customHeight="1">
      <c r="B155" s="670"/>
      <c r="C155" s="666"/>
      <c r="D155" s="670"/>
      <c r="E155" s="13"/>
      <c r="F155" s="12"/>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0"/>
      <c r="AZ155" s="9"/>
    </row>
    <row r="156" spans="2:52" ht="13.5" customHeight="1">
      <c r="B156" s="670"/>
      <c r="C156" s="666"/>
      <c r="D156" s="670"/>
      <c r="E156" s="13"/>
      <c r="F156" s="12"/>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9"/>
      <c r="AI156" s="11"/>
      <c r="AJ156" s="11"/>
      <c r="AK156" s="11"/>
      <c r="AL156" s="11"/>
      <c r="AM156" s="11"/>
      <c r="AN156" s="11"/>
      <c r="AO156" s="11"/>
      <c r="AP156" s="11"/>
      <c r="AQ156" s="11"/>
      <c r="AR156" s="11"/>
      <c r="AS156" s="11"/>
      <c r="AT156" s="11"/>
      <c r="AU156" s="11"/>
      <c r="AV156" s="11"/>
      <c r="AW156" s="11"/>
      <c r="AX156" s="11"/>
      <c r="AY156" s="10"/>
      <c r="AZ156" s="9"/>
    </row>
    <row r="157" spans="2:52" ht="13.5" customHeight="1">
      <c r="B157" s="670"/>
      <c r="C157" s="671"/>
      <c r="D157" s="681"/>
      <c r="E157" s="8"/>
      <c r="F157" s="7"/>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5"/>
      <c r="AZ157" s="4"/>
    </row>
    <row r="158" spans="2:52" ht="13.5" customHeight="1">
      <c r="B158" s="670"/>
      <c r="C158" s="682">
        <v>4</v>
      </c>
      <c r="D158" s="680" t="s">
        <v>0</v>
      </c>
      <c r="E158" s="18"/>
      <c r="F158" s="17"/>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5"/>
      <c r="AZ158" s="14"/>
    </row>
    <row r="159" spans="2:52" ht="13.5" customHeight="1">
      <c r="B159" s="670"/>
      <c r="C159" s="666"/>
      <c r="D159" s="670"/>
      <c r="E159" s="13"/>
      <c r="F159" s="12"/>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0"/>
      <c r="AZ159" s="9"/>
    </row>
    <row r="160" spans="2:52" ht="13.5" customHeight="1">
      <c r="B160" s="681"/>
      <c r="C160" s="671"/>
      <c r="D160" s="681"/>
      <c r="E160" s="8"/>
      <c r="F160" s="7"/>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5"/>
      <c r="AZ160" s="4"/>
    </row>
  </sheetData>
  <mergeCells count="130">
    <mergeCell ref="D5:D7"/>
    <mergeCell ref="E5:AY12"/>
    <mergeCell ref="C8:C10"/>
    <mergeCell ref="D8:D10"/>
    <mergeCell ref="C11:C12"/>
    <mergeCell ref="D11:D12"/>
    <mergeCell ref="B33:B43"/>
    <mergeCell ref="C33:C43"/>
    <mergeCell ref="D33:D43"/>
    <mergeCell ref="C19:C32"/>
    <mergeCell ref="D19:D32"/>
    <mergeCell ref="R20:W20"/>
    <mergeCell ref="R21:W21"/>
    <mergeCell ref="C13:C14"/>
    <mergeCell ref="D13:D14"/>
    <mergeCell ref="E13:AY18"/>
    <mergeCell ref="C15:C16"/>
    <mergeCell ref="D15:D16"/>
    <mergeCell ref="C17:C18"/>
    <mergeCell ref="D17:D18"/>
    <mergeCell ref="B72:B86"/>
    <mergeCell ref="C72:C73"/>
    <mergeCell ref="D72:D73"/>
    <mergeCell ref="B2:D2"/>
    <mergeCell ref="E2:AY2"/>
    <mergeCell ref="B3:B32"/>
    <mergeCell ref="C3:C4"/>
    <mergeCell ref="D3:D4"/>
    <mergeCell ref="E3:AY4"/>
    <mergeCell ref="C5:C7"/>
    <mergeCell ref="C58:C71"/>
    <mergeCell ref="D58:D71"/>
    <mergeCell ref="R59:W59"/>
    <mergeCell ref="R60:W60"/>
    <mergeCell ref="AK21:AP21"/>
    <mergeCell ref="R24:W24"/>
    <mergeCell ref="R25:W25"/>
    <mergeCell ref="R27:W27"/>
    <mergeCell ref="R29:W29"/>
    <mergeCell ref="R31:W31"/>
    <mergeCell ref="C56:C57"/>
    <mergeCell ref="D56:D57"/>
    <mergeCell ref="E56:AY57"/>
    <mergeCell ref="D47:D49"/>
    <mergeCell ref="C52:C53"/>
    <mergeCell ref="D52:D53"/>
    <mergeCell ref="E52:AY53"/>
    <mergeCell ref="AZ36:AZ37"/>
    <mergeCell ref="AZ40:AZ41"/>
    <mergeCell ref="B44:B71"/>
    <mergeCell ref="C44:C46"/>
    <mergeCell ref="D44:D46"/>
    <mergeCell ref="E44:AY46"/>
    <mergeCell ref="C47:C49"/>
    <mergeCell ref="C54:C55"/>
    <mergeCell ref="D54:D55"/>
    <mergeCell ref="E54:AY55"/>
    <mergeCell ref="AK60:AP60"/>
    <mergeCell ref="R65:W65"/>
    <mergeCell ref="R66:W66"/>
    <mergeCell ref="T68:Y68"/>
    <mergeCell ref="T70:Y70"/>
    <mergeCell ref="E47:AY51"/>
    <mergeCell ref="C50:C51"/>
    <mergeCell ref="D50:D51"/>
    <mergeCell ref="E72:AY73"/>
    <mergeCell ref="C74:C76"/>
    <mergeCell ref="E103:R106"/>
    <mergeCell ref="C87:C96"/>
    <mergeCell ref="D87:D96"/>
    <mergeCell ref="P88:U88"/>
    <mergeCell ref="P89:U89"/>
    <mergeCell ref="Z106:AE106"/>
    <mergeCell ref="B87:B130"/>
    <mergeCell ref="P91:U91"/>
    <mergeCell ref="P92:U92"/>
    <mergeCell ref="AE92:AJ92"/>
    <mergeCell ref="AG103:AG106"/>
    <mergeCell ref="C81:C83"/>
    <mergeCell ref="D81:D83"/>
    <mergeCell ref="E81:AY83"/>
    <mergeCell ref="C84:C86"/>
    <mergeCell ref="D84:D86"/>
    <mergeCell ref="E84:AY86"/>
    <mergeCell ref="D74:D76"/>
    <mergeCell ref="E74:AY76"/>
    <mergeCell ref="C77:C80"/>
    <mergeCell ref="D77:D80"/>
    <mergeCell ref="E77:AY80"/>
    <mergeCell ref="B131:B160"/>
    <mergeCell ref="C131:C140"/>
    <mergeCell ref="D131:D140"/>
    <mergeCell ref="T132:Y132"/>
    <mergeCell ref="T134:Y134"/>
    <mergeCell ref="Z98:AE98"/>
    <mergeCell ref="Z100:AE100"/>
    <mergeCell ref="Z101:AE101"/>
    <mergeCell ref="Z103:AE103"/>
    <mergeCell ref="T144:Y144"/>
    <mergeCell ref="F113:S116"/>
    <mergeCell ref="C97:C123"/>
    <mergeCell ref="C141:C149"/>
    <mergeCell ref="D141:D149"/>
    <mergeCell ref="D97:D123"/>
    <mergeCell ref="C150:C157"/>
    <mergeCell ref="D150:D157"/>
    <mergeCell ref="T151:Y151"/>
    <mergeCell ref="T152:Y152"/>
    <mergeCell ref="C158:C160"/>
    <mergeCell ref="D158:D160"/>
    <mergeCell ref="T136:Y136"/>
    <mergeCell ref="T137:Y137"/>
    <mergeCell ref="AZ87:AZ96"/>
    <mergeCell ref="AS89:AX89"/>
    <mergeCell ref="AZ113:AZ116"/>
    <mergeCell ref="AA116:AF116"/>
    <mergeCell ref="AA118:AF118"/>
    <mergeCell ref="Z120:AE120"/>
    <mergeCell ref="Z122:AE122"/>
    <mergeCell ref="T143:Y143"/>
    <mergeCell ref="P93:U93"/>
    <mergeCell ref="P95:U95"/>
    <mergeCell ref="T142:Y142"/>
    <mergeCell ref="AZ103:AZ106"/>
    <mergeCell ref="T139:Y139"/>
    <mergeCell ref="Z108:AE108"/>
    <mergeCell ref="AC111:AH111"/>
    <mergeCell ref="AA113:AF113"/>
    <mergeCell ref="AH113:AH116"/>
    <mergeCell ref="AI113:AQ116"/>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rowBreaks count="4" manualBreakCount="4">
    <brk id="32" max="16383" man="1"/>
    <brk id="71" max="16383" man="1"/>
    <brk id="96" max="16383" man="1"/>
    <brk id="130"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56" zoomScale="80" zoomScaleNormal="80" workbookViewId="0">
      <selection activeCell="C72" sqref="C72:C73"/>
    </sheetView>
  </sheetViews>
  <sheetFormatPr defaultColWidth="9" defaultRowHeight="13.5" customHeight="1"/>
  <cols>
    <col min="1" max="1" width="0.375" style="1" customWidth="1"/>
    <col min="2" max="2" width="10.625" style="1" customWidth="1"/>
    <col min="3" max="3" width="2.375" style="1" customWidth="1"/>
    <col min="4" max="4" width="35.25" style="3" customWidth="1"/>
    <col min="5" max="5" width="1.875" style="1" customWidth="1"/>
    <col min="6" max="6" width="1.875" style="2" customWidth="1"/>
    <col min="7" max="51" width="1.875" style="1" customWidth="1"/>
    <col min="52" max="52" width="9.375" style="1" customWidth="1"/>
    <col min="53" max="53" width="0.625" style="1" customWidth="1"/>
    <col min="54" max="56" width="9" style="1"/>
    <col min="57" max="57" width="0.375" style="1" customWidth="1"/>
    <col min="58" max="16384" width="9" style="1"/>
  </cols>
  <sheetData>
    <row r="1" spans="2:52" ht="17.25" customHeight="1">
      <c r="B1" s="35" t="s">
        <v>172</v>
      </c>
      <c r="AZ1" s="34" t="s">
        <v>171</v>
      </c>
    </row>
    <row r="2" spans="2:52" ht="13.5" customHeight="1">
      <c r="B2" s="696" t="s">
        <v>170</v>
      </c>
      <c r="C2" s="696"/>
      <c r="D2" s="696"/>
      <c r="E2" s="696" t="s">
        <v>169</v>
      </c>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696"/>
      <c r="AZ2" s="467" t="s">
        <v>168</v>
      </c>
    </row>
    <row r="3" spans="2:52" ht="13.5" customHeight="1">
      <c r="B3" s="682" t="s">
        <v>167</v>
      </c>
      <c r="C3" s="688">
        <v>1</v>
      </c>
      <c r="D3" s="690" t="s">
        <v>166</v>
      </c>
      <c r="E3" s="688" t="s">
        <v>165</v>
      </c>
      <c r="F3" s="688"/>
      <c r="G3" s="688"/>
      <c r="H3" s="688"/>
      <c r="I3" s="688"/>
      <c r="J3" s="688"/>
      <c r="K3" s="688"/>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c r="AP3" s="688"/>
      <c r="AQ3" s="688"/>
      <c r="AR3" s="688"/>
      <c r="AS3" s="688"/>
      <c r="AT3" s="688"/>
      <c r="AU3" s="688"/>
      <c r="AV3" s="688"/>
      <c r="AW3" s="688"/>
      <c r="AX3" s="688"/>
      <c r="AY3" s="688"/>
      <c r="AZ3" s="458"/>
    </row>
    <row r="4" spans="2:52" ht="13.5" customHeight="1">
      <c r="B4" s="666"/>
      <c r="C4" s="688"/>
      <c r="D4" s="690"/>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8"/>
      <c r="AN4" s="688"/>
      <c r="AO4" s="688"/>
      <c r="AP4" s="688"/>
      <c r="AQ4" s="688"/>
      <c r="AR4" s="688"/>
      <c r="AS4" s="688"/>
      <c r="AT4" s="688"/>
      <c r="AU4" s="688"/>
      <c r="AV4" s="688"/>
      <c r="AW4" s="688"/>
      <c r="AX4" s="688"/>
      <c r="AY4" s="688"/>
      <c r="AZ4" s="453"/>
    </row>
    <row r="5" spans="2:52" ht="13.5" customHeight="1">
      <c r="B5" s="666"/>
      <c r="C5" s="688">
        <v>2</v>
      </c>
      <c r="D5" s="690" t="s">
        <v>164</v>
      </c>
      <c r="E5" s="688" t="s">
        <v>163</v>
      </c>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c r="AP5" s="688"/>
      <c r="AQ5" s="688"/>
      <c r="AR5" s="688"/>
      <c r="AS5" s="688"/>
      <c r="AT5" s="688"/>
      <c r="AU5" s="688"/>
      <c r="AV5" s="688"/>
      <c r="AW5" s="688"/>
      <c r="AX5" s="688"/>
      <c r="AY5" s="688"/>
      <c r="AZ5" s="458"/>
    </row>
    <row r="6" spans="2:52" ht="13.5" customHeight="1">
      <c r="B6" s="666"/>
      <c r="C6" s="688"/>
      <c r="D6" s="690"/>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8"/>
      <c r="AN6" s="688"/>
      <c r="AO6" s="688"/>
      <c r="AP6" s="688"/>
      <c r="AQ6" s="688"/>
      <c r="AR6" s="688"/>
      <c r="AS6" s="688"/>
      <c r="AT6" s="688"/>
      <c r="AU6" s="688"/>
      <c r="AV6" s="688"/>
      <c r="AW6" s="688"/>
      <c r="AX6" s="688"/>
      <c r="AY6" s="688"/>
      <c r="AZ6" s="451"/>
    </row>
    <row r="7" spans="2:52" ht="13.5" customHeight="1">
      <c r="B7" s="666"/>
      <c r="C7" s="688"/>
      <c r="D7" s="690"/>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8"/>
      <c r="AN7" s="688"/>
      <c r="AO7" s="688"/>
      <c r="AP7" s="688"/>
      <c r="AQ7" s="688"/>
      <c r="AR7" s="688"/>
      <c r="AS7" s="688"/>
      <c r="AT7" s="688"/>
      <c r="AU7" s="688"/>
      <c r="AV7" s="688"/>
      <c r="AW7" s="688"/>
      <c r="AX7" s="688"/>
      <c r="AY7" s="688"/>
      <c r="AZ7" s="451"/>
    </row>
    <row r="8" spans="2:52" ht="13.5" customHeight="1">
      <c r="B8" s="666"/>
      <c r="C8" s="688">
        <v>3</v>
      </c>
      <c r="D8" s="690" t="s">
        <v>162</v>
      </c>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8"/>
      <c r="AN8" s="688"/>
      <c r="AO8" s="688"/>
      <c r="AP8" s="688"/>
      <c r="AQ8" s="688"/>
      <c r="AR8" s="688"/>
      <c r="AS8" s="688"/>
      <c r="AT8" s="688"/>
      <c r="AU8" s="688"/>
      <c r="AV8" s="688"/>
      <c r="AW8" s="688"/>
      <c r="AX8" s="688"/>
      <c r="AY8" s="688"/>
      <c r="AZ8" s="451"/>
    </row>
    <row r="9" spans="2:52" ht="13.5" customHeight="1">
      <c r="B9" s="666"/>
      <c r="C9" s="688"/>
      <c r="D9" s="690"/>
      <c r="E9" s="688"/>
      <c r="F9" s="688"/>
      <c r="G9" s="688"/>
      <c r="H9" s="688"/>
      <c r="I9" s="688"/>
      <c r="J9" s="688"/>
      <c r="K9" s="688"/>
      <c r="L9" s="688"/>
      <c r="M9" s="688"/>
      <c r="N9" s="688"/>
      <c r="O9" s="688"/>
      <c r="P9" s="688"/>
      <c r="Q9" s="688"/>
      <c r="R9" s="688"/>
      <c r="S9" s="688"/>
      <c r="T9" s="688"/>
      <c r="U9" s="688"/>
      <c r="V9" s="688"/>
      <c r="W9" s="688"/>
      <c r="X9" s="688"/>
      <c r="Y9" s="688"/>
      <c r="Z9" s="688"/>
      <c r="AA9" s="688"/>
      <c r="AB9" s="688"/>
      <c r="AC9" s="688"/>
      <c r="AD9" s="688"/>
      <c r="AE9" s="688"/>
      <c r="AF9" s="688"/>
      <c r="AG9" s="688"/>
      <c r="AH9" s="688"/>
      <c r="AI9" s="688"/>
      <c r="AJ9" s="688"/>
      <c r="AK9" s="688"/>
      <c r="AL9" s="688"/>
      <c r="AM9" s="688"/>
      <c r="AN9" s="688"/>
      <c r="AO9" s="688"/>
      <c r="AP9" s="688"/>
      <c r="AQ9" s="688"/>
      <c r="AR9" s="688"/>
      <c r="AS9" s="688"/>
      <c r="AT9" s="688"/>
      <c r="AU9" s="688"/>
      <c r="AV9" s="688"/>
      <c r="AW9" s="688"/>
      <c r="AX9" s="688"/>
      <c r="AY9" s="688"/>
      <c r="AZ9" s="451"/>
    </row>
    <row r="10" spans="2:52" ht="13.5" customHeight="1">
      <c r="B10" s="666"/>
      <c r="C10" s="688"/>
      <c r="D10" s="690"/>
      <c r="E10" s="688"/>
      <c r="F10" s="688"/>
      <c r="G10" s="688"/>
      <c r="H10" s="688"/>
      <c r="I10" s="688"/>
      <c r="J10" s="688"/>
      <c r="K10" s="688"/>
      <c r="L10" s="688"/>
      <c r="M10" s="688"/>
      <c r="N10" s="688"/>
      <c r="O10" s="688"/>
      <c r="P10" s="688"/>
      <c r="Q10" s="688"/>
      <c r="R10" s="688"/>
      <c r="S10" s="688"/>
      <c r="T10" s="688"/>
      <c r="U10" s="688"/>
      <c r="V10" s="688"/>
      <c r="W10" s="688"/>
      <c r="X10" s="688"/>
      <c r="Y10" s="688"/>
      <c r="Z10" s="688"/>
      <c r="AA10" s="688"/>
      <c r="AB10" s="688"/>
      <c r="AC10" s="688"/>
      <c r="AD10" s="688"/>
      <c r="AE10" s="688"/>
      <c r="AF10" s="688"/>
      <c r="AG10" s="688"/>
      <c r="AH10" s="688"/>
      <c r="AI10" s="688"/>
      <c r="AJ10" s="688"/>
      <c r="AK10" s="688"/>
      <c r="AL10" s="688"/>
      <c r="AM10" s="688"/>
      <c r="AN10" s="688"/>
      <c r="AO10" s="688"/>
      <c r="AP10" s="688"/>
      <c r="AQ10" s="688"/>
      <c r="AR10" s="688"/>
      <c r="AS10" s="688"/>
      <c r="AT10" s="688"/>
      <c r="AU10" s="688"/>
      <c r="AV10" s="688"/>
      <c r="AW10" s="688"/>
      <c r="AX10" s="688"/>
      <c r="AY10" s="688"/>
      <c r="AZ10" s="451"/>
    </row>
    <row r="11" spans="2:52" ht="13.5" customHeight="1">
      <c r="B11" s="666"/>
      <c r="C11" s="682">
        <v>4</v>
      </c>
      <c r="D11" s="690" t="s">
        <v>161</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451"/>
    </row>
    <row r="12" spans="2:52" ht="13.5" customHeight="1">
      <c r="B12" s="666"/>
      <c r="C12" s="671"/>
      <c r="D12" s="690"/>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453"/>
    </row>
    <row r="13" spans="2:52" ht="13.5" customHeight="1">
      <c r="B13" s="666"/>
      <c r="C13" s="682">
        <v>5</v>
      </c>
      <c r="D13" s="690" t="s">
        <v>160</v>
      </c>
      <c r="E13" s="688" t="s">
        <v>159</v>
      </c>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458"/>
    </row>
    <row r="14" spans="2:52" ht="13.5" customHeight="1">
      <c r="B14" s="666"/>
      <c r="C14" s="671"/>
      <c r="D14" s="690"/>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451"/>
    </row>
    <row r="15" spans="2:52" ht="13.5" customHeight="1">
      <c r="B15" s="666"/>
      <c r="C15" s="682">
        <v>6</v>
      </c>
      <c r="D15" s="690" t="s">
        <v>158</v>
      </c>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451"/>
    </row>
    <row r="16" spans="2:52" ht="13.5" customHeight="1">
      <c r="B16" s="666"/>
      <c r="C16" s="671"/>
      <c r="D16" s="690"/>
      <c r="E16" s="688"/>
      <c r="F16" s="688"/>
      <c r="G16" s="688"/>
      <c r="H16" s="688"/>
      <c r="I16" s="688"/>
      <c r="J16" s="688"/>
      <c r="K16" s="688"/>
      <c r="L16" s="688"/>
      <c r="M16" s="688"/>
      <c r="N16" s="688"/>
      <c r="O16" s="688"/>
      <c r="P16" s="688"/>
      <c r="Q16" s="688"/>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451"/>
    </row>
    <row r="17" spans="2:52" ht="13.5" customHeight="1">
      <c r="B17" s="666"/>
      <c r="C17" s="682">
        <v>7</v>
      </c>
      <c r="D17" s="690" t="s">
        <v>157</v>
      </c>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451"/>
    </row>
    <row r="18" spans="2:52" ht="13.5" customHeight="1">
      <c r="B18" s="666"/>
      <c r="C18" s="671"/>
      <c r="D18" s="690"/>
      <c r="E18" s="688"/>
      <c r="F18" s="688"/>
      <c r="G18" s="688"/>
      <c r="H18" s="688"/>
      <c r="I18" s="688"/>
      <c r="J18" s="688"/>
      <c r="K18" s="688"/>
      <c r="L18" s="688"/>
      <c r="M18" s="688"/>
      <c r="N18" s="688"/>
      <c r="O18" s="688"/>
      <c r="P18" s="688"/>
      <c r="Q18" s="688"/>
      <c r="R18" s="688"/>
      <c r="S18" s="688"/>
      <c r="T18" s="688"/>
      <c r="U18" s="688"/>
      <c r="V18" s="688"/>
      <c r="W18" s="688"/>
      <c r="X18" s="688"/>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453"/>
    </row>
    <row r="19" spans="2:52" ht="13.5" customHeight="1">
      <c r="B19" s="666"/>
      <c r="C19" s="682">
        <v>8</v>
      </c>
      <c r="D19" s="680" t="s">
        <v>156</v>
      </c>
      <c r="E19" s="463"/>
      <c r="F19" s="17"/>
      <c r="G19" s="464"/>
      <c r="H19" s="464"/>
      <c r="I19" s="464"/>
      <c r="J19" s="464"/>
      <c r="K19" s="464"/>
      <c r="L19" s="4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c r="AK19" s="464"/>
      <c r="AL19" s="464"/>
      <c r="AM19" s="464"/>
      <c r="AN19" s="464"/>
      <c r="AO19" s="464"/>
      <c r="AP19" s="464"/>
      <c r="AQ19" s="464"/>
      <c r="AR19" s="464"/>
      <c r="AS19" s="464"/>
      <c r="AT19" s="464"/>
      <c r="AU19" s="464"/>
      <c r="AV19" s="464"/>
      <c r="AW19" s="464"/>
      <c r="AX19" s="464"/>
      <c r="AY19" s="459"/>
      <c r="AZ19" s="458"/>
    </row>
    <row r="20" spans="2:52" ht="13.5" customHeight="1">
      <c r="B20" s="666"/>
      <c r="C20" s="666"/>
      <c r="D20" s="670"/>
      <c r="E20" s="28" t="s">
        <v>155</v>
      </c>
      <c r="F20" s="12"/>
      <c r="G20" s="12"/>
      <c r="H20" s="12"/>
      <c r="I20" s="12"/>
      <c r="J20" s="12"/>
      <c r="K20" s="12"/>
      <c r="L20" s="12"/>
      <c r="M20" s="12"/>
      <c r="N20" s="12"/>
      <c r="O20" s="12"/>
      <c r="P20" s="12"/>
      <c r="Q20" s="454"/>
      <c r="R20" s="687">
        <f>基礎数値!G3</f>
        <v>0</v>
      </c>
      <c r="S20" s="687"/>
      <c r="T20" s="687"/>
      <c r="U20" s="687"/>
      <c r="V20" s="687"/>
      <c r="W20" s="687"/>
      <c r="X20" s="454"/>
      <c r="Y20" s="455" t="s">
        <v>114</v>
      </c>
      <c r="Z20" s="454"/>
      <c r="AA20" s="454"/>
      <c r="AB20" s="454"/>
      <c r="AC20" s="454"/>
      <c r="AD20" s="454"/>
      <c r="AE20" s="454"/>
      <c r="AF20" s="454"/>
      <c r="AG20" s="454"/>
      <c r="AH20" s="454"/>
      <c r="AI20" s="12"/>
      <c r="AJ20" s="454"/>
      <c r="AK20" s="454"/>
      <c r="AL20" s="454"/>
      <c r="AM20" s="454"/>
      <c r="AN20" s="454"/>
      <c r="AO20" s="454"/>
      <c r="AP20" s="454"/>
      <c r="AQ20" s="454"/>
      <c r="AR20" s="454"/>
      <c r="AS20" s="454"/>
      <c r="AT20" s="454"/>
      <c r="AU20" s="454"/>
      <c r="AV20" s="454"/>
      <c r="AW20" s="454"/>
      <c r="AX20" s="454"/>
      <c r="AY20" s="460"/>
      <c r="AZ20" s="451"/>
    </row>
    <row r="21" spans="2:52" ht="13.5" customHeight="1">
      <c r="B21" s="666"/>
      <c r="C21" s="666"/>
      <c r="D21" s="670"/>
      <c r="E21" s="28" t="s">
        <v>154</v>
      </c>
      <c r="F21" s="454"/>
      <c r="G21" s="454"/>
      <c r="H21" s="454"/>
      <c r="I21" s="454"/>
      <c r="J21" s="454"/>
      <c r="K21" s="454"/>
      <c r="L21" s="454"/>
      <c r="M21" s="454"/>
      <c r="N21" s="454"/>
      <c r="O21" s="454"/>
      <c r="P21" s="454"/>
      <c r="Q21" s="454"/>
      <c r="R21" s="687">
        <f>基礎数値!G4</f>
        <v>0</v>
      </c>
      <c r="S21" s="687"/>
      <c r="T21" s="687"/>
      <c r="U21" s="687"/>
      <c r="V21" s="687"/>
      <c r="W21" s="687"/>
      <c r="X21" s="454"/>
      <c r="Y21" s="455" t="s">
        <v>114</v>
      </c>
      <c r="Z21" s="454"/>
      <c r="AA21" s="454"/>
      <c r="AB21" s="454"/>
      <c r="AC21" s="454"/>
      <c r="AD21" s="454"/>
      <c r="AE21" s="454"/>
      <c r="AF21" s="454"/>
      <c r="AG21" s="454"/>
      <c r="AH21" s="454"/>
      <c r="AI21" s="454"/>
      <c r="AJ21" s="454" t="s">
        <v>85</v>
      </c>
      <c r="AK21" s="665">
        <f>R20+R21</f>
        <v>0</v>
      </c>
      <c r="AL21" s="665"/>
      <c r="AM21" s="665"/>
      <c r="AN21" s="665"/>
      <c r="AO21" s="665"/>
      <c r="AP21" s="665"/>
      <c r="AQ21" s="454" t="s">
        <v>153</v>
      </c>
      <c r="AR21" s="454"/>
      <c r="AS21" s="454"/>
      <c r="AT21" s="454"/>
      <c r="AU21" s="454"/>
      <c r="AV21" s="454"/>
      <c r="AW21" s="454"/>
      <c r="AX21" s="454"/>
      <c r="AY21" s="460"/>
      <c r="AZ21" s="451"/>
    </row>
    <row r="22" spans="2:52" ht="13.5" customHeight="1">
      <c r="B22" s="666"/>
      <c r="C22" s="666"/>
      <c r="D22" s="670"/>
      <c r="E22" s="28"/>
      <c r="F22" s="454"/>
      <c r="G22" s="454"/>
      <c r="H22" s="454"/>
      <c r="I22" s="454"/>
      <c r="J22" s="454"/>
      <c r="K22" s="454"/>
      <c r="L22" s="454"/>
      <c r="M22" s="454"/>
      <c r="N22" s="454"/>
      <c r="O22" s="454"/>
      <c r="P22" s="454"/>
      <c r="Q22" s="454"/>
      <c r="R22" s="454"/>
      <c r="S22" s="454"/>
      <c r="T22" s="454"/>
      <c r="U22" s="454"/>
      <c r="V22" s="454"/>
      <c r="W22" s="454"/>
      <c r="X22" s="454"/>
      <c r="Y22" s="454"/>
      <c r="Z22" s="454"/>
      <c r="AA22" s="454"/>
      <c r="AB22" s="454"/>
      <c r="AC22" s="454"/>
      <c r="AD22" s="454"/>
      <c r="AE22" s="454"/>
      <c r="AF22" s="454"/>
      <c r="AG22" s="454"/>
      <c r="AH22" s="454"/>
      <c r="AI22" s="454"/>
      <c r="AJ22" s="454"/>
      <c r="AK22" s="454"/>
      <c r="AL22" s="454"/>
      <c r="AM22" s="454"/>
      <c r="AN22" s="454"/>
      <c r="AO22" s="454"/>
      <c r="AP22" s="454"/>
      <c r="AQ22" s="454"/>
      <c r="AR22" s="454"/>
      <c r="AS22" s="454"/>
      <c r="AT22" s="454"/>
      <c r="AU22" s="454"/>
      <c r="AV22" s="454"/>
      <c r="AW22" s="454"/>
      <c r="AX22" s="454"/>
      <c r="AY22" s="460"/>
      <c r="AZ22" s="451"/>
    </row>
    <row r="23" spans="2:52" ht="13.5" customHeight="1">
      <c r="B23" s="666"/>
      <c r="C23" s="666"/>
      <c r="D23" s="670"/>
      <c r="E23" s="28" t="s">
        <v>152</v>
      </c>
      <c r="F23" s="454"/>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454"/>
      <c r="AE23" s="454"/>
      <c r="AF23" s="454"/>
      <c r="AG23" s="454"/>
      <c r="AH23" s="454"/>
      <c r="AI23" s="454"/>
      <c r="AJ23" s="454"/>
      <c r="AK23" s="454"/>
      <c r="AL23" s="454"/>
      <c r="AM23" s="454"/>
      <c r="AN23" s="454"/>
      <c r="AO23" s="454"/>
      <c r="AP23" s="454"/>
      <c r="AQ23" s="454"/>
      <c r="AR23" s="454"/>
      <c r="AS23" s="454"/>
      <c r="AT23" s="454"/>
      <c r="AU23" s="454"/>
      <c r="AV23" s="454"/>
      <c r="AW23" s="454"/>
      <c r="AX23" s="454"/>
      <c r="AY23" s="460"/>
      <c r="AZ23" s="451"/>
    </row>
    <row r="24" spans="2:52" ht="13.5" customHeight="1">
      <c r="B24" s="666"/>
      <c r="C24" s="666"/>
      <c r="D24" s="670"/>
      <c r="E24" s="28"/>
      <c r="F24" s="454"/>
      <c r="G24" s="454"/>
      <c r="H24" s="12" t="s">
        <v>108</v>
      </c>
      <c r="I24" s="454"/>
      <c r="J24" s="454"/>
      <c r="K24" s="454"/>
      <c r="L24" s="454"/>
      <c r="M24" s="454"/>
      <c r="N24" s="454"/>
      <c r="O24" s="454"/>
      <c r="P24" s="454"/>
      <c r="Q24" s="454"/>
      <c r="R24" s="687">
        <f>基礎数値!G6</f>
        <v>0</v>
      </c>
      <c r="S24" s="687"/>
      <c r="T24" s="687"/>
      <c r="U24" s="687"/>
      <c r="V24" s="687"/>
      <c r="W24" s="687"/>
      <c r="X24" s="454" t="s">
        <v>151</v>
      </c>
      <c r="Y24" s="455" t="s">
        <v>150</v>
      </c>
      <c r="Z24" s="454"/>
      <c r="AA24" s="454"/>
      <c r="AB24" s="454"/>
      <c r="AC24" s="454"/>
      <c r="AD24" s="454"/>
      <c r="AE24" s="454"/>
      <c r="AF24" s="454"/>
      <c r="AG24" s="454"/>
      <c r="AH24" s="454"/>
      <c r="AI24" s="454"/>
      <c r="AJ24" s="454"/>
      <c r="AK24" s="454"/>
      <c r="AL24" s="454"/>
      <c r="AM24" s="454"/>
      <c r="AN24" s="454"/>
      <c r="AO24" s="454"/>
      <c r="AP24" s="454"/>
      <c r="AQ24" s="454"/>
      <c r="AR24" s="454"/>
      <c r="AS24" s="454"/>
      <c r="AT24" s="454"/>
      <c r="AU24" s="454"/>
      <c r="AV24" s="454"/>
      <c r="AW24" s="454"/>
      <c r="AX24" s="454"/>
      <c r="AY24" s="460"/>
      <c r="AZ24" s="451"/>
    </row>
    <row r="25" spans="2:52" ht="13.5" customHeight="1">
      <c r="B25" s="666"/>
      <c r="C25" s="666"/>
      <c r="D25" s="670"/>
      <c r="E25" s="462"/>
      <c r="F25" s="12"/>
      <c r="G25" s="454"/>
      <c r="H25" s="12" t="s">
        <v>149</v>
      </c>
      <c r="I25" s="454"/>
      <c r="J25" s="454"/>
      <c r="K25" s="454"/>
      <c r="L25" s="454"/>
      <c r="M25" s="454"/>
      <c r="N25" s="454"/>
      <c r="O25" s="454"/>
      <c r="P25" s="454"/>
      <c r="Q25" s="454"/>
      <c r="R25" s="687">
        <f>基礎数値!G7</f>
        <v>0</v>
      </c>
      <c r="S25" s="687"/>
      <c r="T25" s="687"/>
      <c r="U25" s="687"/>
      <c r="V25" s="687"/>
      <c r="W25" s="687"/>
      <c r="X25" s="454" t="s">
        <v>148</v>
      </c>
      <c r="Y25" s="455" t="s">
        <v>147</v>
      </c>
      <c r="Z25" s="454"/>
      <c r="AA25" s="454"/>
      <c r="AB25" s="454"/>
      <c r="AC25" s="454"/>
      <c r="AD25" s="454"/>
      <c r="AE25" s="454"/>
      <c r="AF25" s="454"/>
      <c r="AG25" s="454"/>
      <c r="AH25" s="454"/>
      <c r="AI25" s="454"/>
      <c r="AJ25" s="454"/>
      <c r="AK25" s="454"/>
      <c r="AL25" s="454"/>
      <c r="AM25" s="454"/>
      <c r="AN25" s="454"/>
      <c r="AO25" s="454"/>
      <c r="AP25" s="454"/>
      <c r="AQ25" s="454"/>
      <c r="AR25" s="454"/>
      <c r="AS25" s="454"/>
      <c r="AT25" s="454"/>
      <c r="AU25" s="454"/>
      <c r="AV25" s="454"/>
      <c r="AW25" s="454"/>
      <c r="AX25" s="454"/>
      <c r="AY25" s="460"/>
      <c r="AZ25" s="451"/>
    </row>
    <row r="26" spans="2:52" ht="13.5" customHeight="1" thickBot="1">
      <c r="B26" s="666"/>
      <c r="C26" s="666"/>
      <c r="D26" s="670"/>
      <c r="E26" s="462"/>
      <c r="F26" s="12"/>
      <c r="G26" s="454"/>
      <c r="H26" s="454"/>
      <c r="I26" s="454"/>
      <c r="J26" s="454"/>
      <c r="K26" s="454"/>
      <c r="L26" s="454"/>
      <c r="M26" s="454"/>
      <c r="N26" s="454"/>
      <c r="O26" s="454"/>
      <c r="P26" s="454"/>
      <c r="Q26" s="454"/>
      <c r="R26" s="454"/>
      <c r="S26" s="454"/>
      <c r="T26" s="454"/>
      <c r="U26" s="454"/>
      <c r="V26" s="454"/>
      <c r="W26" s="454"/>
      <c r="X26" s="454"/>
      <c r="Y26" s="454"/>
      <c r="Z26" s="454"/>
      <c r="AA26" s="454"/>
      <c r="AB26" s="454"/>
      <c r="AC26" s="454"/>
      <c r="AD26" s="454"/>
      <c r="AE26" s="454"/>
      <c r="AF26" s="454"/>
      <c r="AG26" s="454"/>
      <c r="AH26" s="454"/>
      <c r="AI26" s="454"/>
      <c r="AJ26" s="454"/>
      <c r="AK26" s="454"/>
      <c r="AL26" s="454"/>
      <c r="AM26" s="454"/>
      <c r="AN26" s="454"/>
      <c r="AO26" s="454"/>
      <c r="AP26" s="454"/>
      <c r="AQ26" s="454"/>
      <c r="AR26" s="454"/>
      <c r="AS26" s="454"/>
      <c r="AT26" s="454"/>
      <c r="AU26" s="454"/>
      <c r="AV26" s="454"/>
      <c r="AW26" s="454"/>
      <c r="AX26" s="454"/>
      <c r="AY26" s="460"/>
      <c r="AZ26" s="451"/>
    </row>
    <row r="27" spans="2:52" ht="13.5" customHeight="1" thickTop="1" thickBot="1">
      <c r="B27" s="666"/>
      <c r="C27" s="666"/>
      <c r="D27" s="670"/>
      <c r="E27" s="462" t="s">
        <v>83</v>
      </c>
      <c r="F27" s="12"/>
      <c r="G27" s="454"/>
      <c r="H27" s="454"/>
      <c r="I27" s="454"/>
      <c r="J27" s="454"/>
      <c r="K27" s="454"/>
      <c r="L27" s="454"/>
      <c r="M27" s="454"/>
      <c r="N27" s="454"/>
      <c r="O27" s="454"/>
      <c r="P27" s="454"/>
      <c r="Q27" s="454"/>
      <c r="R27" s="667">
        <f>ROUNDDOWN((AK21-R24-R25)*100/108,0)</f>
        <v>0</v>
      </c>
      <c r="S27" s="668"/>
      <c r="T27" s="668"/>
      <c r="U27" s="668"/>
      <c r="V27" s="668"/>
      <c r="W27" s="669"/>
      <c r="X27" s="454" t="s">
        <v>146</v>
      </c>
      <c r="Y27" s="455" t="s">
        <v>214</v>
      </c>
      <c r="Z27" s="454"/>
      <c r="AA27" s="454"/>
      <c r="AB27" s="454"/>
      <c r="AC27" s="454"/>
      <c r="AD27" s="454"/>
      <c r="AE27" s="454"/>
      <c r="AF27" s="454"/>
      <c r="AG27" s="454"/>
      <c r="AH27" s="454"/>
      <c r="AI27" s="454"/>
      <c r="AJ27" s="454"/>
      <c r="AK27" s="454"/>
      <c r="AL27" s="454"/>
      <c r="AM27" s="454"/>
      <c r="AN27" s="454"/>
      <c r="AO27" s="454"/>
      <c r="AP27" s="454"/>
      <c r="AQ27" s="454"/>
      <c r="AR27" s="454"/>
      <c r="AS27" s="454"/>
      <c r="AT27" s="454"/>
      <c r="AU27" s="454"/>
      <c r="AV27" s="454"/>
      <c r="AW27" s="454"/>
      <c r="AX27" s="454"/>
      <c r="AY27" s="460"/>
      <c r="AZ27" s="451" t="s">
        <v>144</v>
      </c>
    </row>
    <row r="28" spans="2:52" ht="13.5" customHeight="1" thickTop="1" thickBot="1">
      <c r="B28" s="666"/>
      <c r="C28" s="666"/>
      <c r="D28" s="670"/>
      <c r="E28" s="462"/>
      <c r="F28" s="12"/>
      <c r="G28" s="454"/>
      <c r="H28" s="454"/>
      <c r="I28" s="454"/>
      <c r="J28" s="454"/>
      <c r="K28" s="454"/>
      <c r="L28" s="454"/>
      <c r="M28" s="454"/>
      <c r="N28" s="454"/>
      <c r="O28" s="454"/>
      <c r="P28" s="454"/>
      <c r="Q28" s="454"/>
      <c r="R28" s="454"/>
      <c r="S28" s="454"/>
      <c r="T28" s="454"/>
      <c r="U28" s="454"/>
      <c r="V28" s="454"/>
      <c r="W28" s="454"/>
      <c r="X28" s="454"/>
      <c r="Y28" s="454"/>
      <c r="Z28" s="454"/>
      <c r="AA28" s="454"/>
      <c r="AB28" s="454"/>
      <c r="AC28" s="454"/>
      <c r="AD28" s="454"/>
      <c r="AE28" s="454"/>
      <c r="AF28" s="454"/>
      <c r="AG28" s="454"/>
      <c r="AH28" s="454"/>
      <c r="AI28" s="454"/>
      <c r="AJ28" s="454"/>
      <c r="AK28" s="454"/>
      <c r="AL28" s="454"/>
      <c r="AM28" s="454"/>
      <c r="AN28" s="454"/>
      <c r="AO28" s="454"/>
      <c r="AP28" s="454"/>
      <c r="AQ28" s="454"/>
      <c r="AR28" s="454"/>
      <c r="AS28" s="454"/>
      <c r="AT28" s="454"/>
      <c r="AU28" s="454"/>
      <c r="AV28" s="454"/>
      <c r="AW28" s="454"/>
      <c r="AX28" s="454"/>
      <c r="AY28" s="460"/>
      <c r="AZ28" s="451"/>
    </row>
    <row r="29" spans="2:52" ht="13.5" customHeight="1" thickTop="1" thickBot="1">
      <c r="B29" s="666"/>
      <c r="C29" s="666"/>
      <c r="D29" s="670"/>
      <c r="E29" s="462" t="s">
        <v>143</v>
      </c>
      <c r="F29" s="12"/>
      <c r="G29" s="454"/>
      <c r="H29" s="454"/>
      <c r="I29" s="454"/>
      <c r="J29" s="454"/>
      <c r="K29" s="454"/>
      <c r="L29" s="454"/>
      <c r="M29" s="454"/>
      <c r="N29" s="454"/>
      <c r="O29" s="454"/>
      <c r="P29" s="454"/>
      <c r="Q29" s="454"/>
      <c r="R29" s="667">
        <f>ROUNDDOWN((AK21-R24)*100/108,-3)</f>
        <v>0</v>
      </c>
      <c r="S29" s="668"/>
      <c r="T29" s="668"/>
      <c r="U29" s="668"/>
      <c r="V29" s="668"/>
      <c r="W29" s="669"/>
      <c r="X29" s="454" t="s">
        <v>142</v>
      </c>
      <c r="Y29" s="455" t="s">
        <v>213</v>
      </c>
      <c r="Z29" s="454"/>
      <c r="AA29" s="454"/>
      <c r="AB29" s="454"/>
      <c r="AC29" s="454"/>
      <c r="AD29" s="454"/>
      <c r="AE29" s="454"/>
      <c r="AF29" s="454"/>
      <c r="AG29" s="454"/>
      <c r="AH29" s="454"/>
      <c r="AI29" s="454"/>
      <c r="AJ29" s="454"/>
      <c r="AK29" s="454"/>
      <c r="AL29" s="454"/>
      <c r="AM29" s="454"/>
      <c r="AN29" s="454"/>
      <c r="AO29" s="454"/>
      <c r="AP29" s="454"/>
      <c r="AQ29" s="454"/>
      <c r="AR29" s="454"/>
      <c r="AS29" s="454"/>
      <c r="AT29" s="454"/>
      <c r="AU29" s="454"/>
      <c r="AV29" s="454"/>
      <c r="AW29" s="454"/>
      <c r="AX29" s="454"/>
      <c r="AY29" s="460"/>
      <c r="AZ29" s="451" t="s">
        <v>140</v>
      </c>
    </row>
    <row r="30" spans="2:52" ht="13.5" customHeight="1" thickTop="1" thickBot="1">
      <c r="B30" s="666"/>
      <c r="C30" s="666"/>
      <c r="D30" s="670"/>
      <c r="E30" s="462"/>
      <c r="F30" s="12"/>
      <c r="G30" s="454"/>
      <c r="H30" s="454"/>
      <c r="I30" s="454"/>
      <c r="J30" s="454"/>
      <c r="K30" s="454"/>
      <c r="L30" s="454"/>
      <c r="M30" s="454"/>
      <c r="N30" s="454"/>
      <c r="O30" s="454"/>
      <c r="P30" s="454"/>
      <c r="Q30" s="454"/>
      <c r="R30" s="454"/>
      <c r="S30" s="454"/>
      <c r="T30" s="454"/>
      <c r="U30" s="454"/>
      <c r="V30" s="454"/>
      <c r="W30" s="454"/>
      <c r="X30" s="454"/>
      <c r="Y30" s="454"/>
      <c r="Z30" s="454"/>
      <c r="AA30" s="454"/>
      <c r="AB30" s="454"/>
      <c r="AC30" s="454"/>
      <c r="AD30" s="454"/>
      <c r="AE30" s="454"/>
      <c r="AF30" s="454"/>
      <c r="AG30" s="454"/>
      <c r="AH30" s="454"/>
      <c r="AI30" s="454"/>
      <c r="AJ30" s="454"/>
      <c r="AK30" s="454"/>
      <c r="AL30" s="454"/>
      <c r="AM30" s="454"/>
      <c r="AN30" s="454"/>
      <c r="AO30" s="454"/>
      <c r="AP30" s="454"/>
      <c r="AQ30" s="454"/>
      <c r="AR30" s="454"/>
      <c r="AS30" s="454"/>
      <c r="AT30" s="454"/>
      <c r="AU30" s="454"/>
      <c r="AV30" s="454"/>
      <c r="AW30" s="454"/>
      <c r="AX30" s="454"/>
      <c r="AY30" s="460"/>
      <c r="AZ30" s="451"/>
    </row>
    <row r="31" spans="2:52" ht="13.5" customHeight="1" thickTop="1" thickBot="1">
      <c r="B31" s="666"/>
      <c r="C31" s="666"/>
      <c r="D31" s="670"/>
      <c r="E31" s="462" t="s">
        <v>139</v>
      </c>
      <c r="F31" s="12"/>
      <c r="G31" s="454"/>
      <c r="H31" s="454"/>
      <c r="I31" s="454"/>
      <c r="J31" s="454"/>
      <c r="K31" s="454"/>
      <c r="L31" s="454"/>
      <c r="M31" s="454"/>
      <c r="N31" s="454"/>
      <c r="O31" s="454"/>
      <c r="P31" s="454"/>
      <c r="Q31" s="454"/>
      <c r="R31" s="667">
        <f>ROUNDDOWN(R29*62.4/1000,0)</f>
        <v>0</v>
      </c>
      <c r="S31" s="668"/>
      <c r="T31" s="668"/>
      <c r="U31" s="668"/>
      <c r="V31" s="668"/>
      <c r="W31" s="669"/>
      <c r="X31" s="454" t="s">
        <v>138</v>
      </c>
      <c r="Y31" s="455" t="s">
        <v>801</v>
      </c>
      <c r="Z31" s="454"/>
      <c r="AA31" s="454"/>
      <c r="AB31" s="454"/>
      <c r="AC31" s="454"/>
      <c r="AD31" s="454"/>
      <c r="AE31" s="454"/>
      <c r="AF31" s="454"/>
      <c r="AG31" s="454"/>
      <c r="AH31" s="454"/>
      <c r="AI31" s="454"/>
      <c r="AJ31" s="454"/>
      <c r="AK31" s="454"/>
      <c r="AL31" s="454"/>
      <c r="AM31" s="454"/>
      <c r="AN31" s="454"/>
      <c r="AO31" s="454"/>
      <c r="AP31" s="454"/>
      <c r="AQ31" s="454"/>
      <c r="AR31" s="454"/>
      <c r="AS31" s="454"/>
      <c r="AT31" s="454"/>
      <c r="AU31" s="454"/>
      <c r="AV31" s="454"/>
      <c r="AW31" s="454"/>
      <c r="AX31" s="454"/>
      <c r="AY31" s="460"/>
      <c r="AZ31" s="451" t="s">
        <v>136</v>
      </c>
    </row>
    <row r="32" spans="2:52" ht="13.5" customHeight="1" thickTop="1">
      <c r="B32" s="671"/>
      <c r="C32" s="671"/>
      <c r="D32" s="681"/>
      <c r="E32" s="465"/>
      <c r="F32" s="7"/>
      <c r="G32" s="466"/>
      <c r="H32" s="466"/>
      <c r="I32" s="466"/>
      <c r="J32" s="466"/>
      <c r="K32" s="466"/>
      <c r="L32" s="466"/>
      <c r="M32" s="466"/>
      <c r="N32" s="466"/>
      <c r="O32" s="466"/>
      <c r="P32" s="466"/>
      <c r="Q32" s="466"/>
      <c r="R32" s="466"/>
      <c r="S32" s="466"/>
      <c r="T32" s="466"/>
      <c r="U32" s="466"/>
      <c r="V32" s="466"/>
      <c r="W32" s="466"/>
      <c r="X32" s="466"/>
      <c r="Y32" s="466"/>
      <c r="Z32" s="466"/>
      <c r="AA32" s="466"/>
      <c r="AB32" s="466"/>
      <c r="AC32" s="466"/>
      <c r="AD32" s="466"/>
      <c r="AE32" s="466"/>
      <c r="AF32" s="466"/>
      <c r="AG32" s="466"/>
      <c r="AH32" s="466"/>
      <c r="AI32" s="466"/>
      <c r="AJ32" s="466"/>
      <c r="AK32" s="466"/>
      <c r="AL32" s="466"/>
      <c r="AM32" s="466"/>
      <c r="AN32" s="466"/>
      <c r="AO32" s="466"/>
      <c r="AP32" s="466"/>
      <c r="AQ32" s="466"/>
      <c r="AR32" s="466"/>
      <c r="AS32" s="466"/>
      <c r="AT32" s="466"/>
      <c r="AU32" s="466"/>
      <c r="AV32" s="466"/>
      <c r="AW32" s="466"/>
      <c r="AX32" s="466"/>
      <c r="AY32" s="461"/>
      <c r="AZ32" s="453"/>
    </row>
    <row r="33" spans="2:52" ht="13.5" customHeight="1">
      <c r="B33" s="682" t="s">
        <v>65</v>
      </c>
      <c r="C33" s="682">
        <v>1</v>
      </c>
      <c r="D33" s="682" t="s">
        <v>135</v>
      </c>
      <c r="E33" s="463"/>
      <c r="F33" s="17"/>
      <c r="G33" s="464"/>
      <c r="H33" s="464"/>
      <c r="I33" s="464"/>
      <c r="J33" s="464"/>
      <c r="K33" s="464"/>
      <c r="L33" s="464"/>
      <c r="M33" s="464"/>
      <c r="N33" s="464"/>
      <c r="O33" s="464"/>
      <c r="P33" s="464"/>
      <c r="Q33" s="464"/>
      <c r="R33" s="464"/>
      <c r="S33" s="464"/>
      <c r="T33" s="464"/>
      <c r="U33" s="464"/>
      <c r="V33" s="464"/>
      <c r="W33" s="464"/>
      <c r="X33" s="464"/>
      <c r="Y33" s="464"/>
      <c r="Z33" s="464"/>
      <c r="AA33" s="464"/>
      <c r="AB33" s="464"/>
      <c r="AC33" s="464"/>
      <c r="AD33" s="464"/>
      <c r="AE33" s="464"/>
      <c r="AF33" s="464"/>
      <c r="AG33" s="464"/>
      <c r="AH33" s="464"/>
      <c r="AI33" s="464"/>
      <c r="AJ33" s="464"/>
      <c r="AK33" s="464"/>
      <c r="AL33" s="464"/>
      <c r="AM33" s="464"/>
      <c r="AN33" s="464"/>
      <c r="AO33" s="464"/>
      <c r="AP33" s="464"/>
      <c r="AQ33" s="464"/>
      <c r="AR33" s="464"/>
      <c r="AS33" s="464"/>
      <c r="AT33" s="464"/>
      <c r="AU33" s="464"/>
      <c r="AV33" s="464"/>
      <c r="AW33" s="464"/>
      <c r="AX33" s="464"/>
      <c r="AY33" s="459"/>
      <c r="AZ33" s="458"/>
    </row>
    <row r="34" spans="2:52" ht="13.5" customHeight="1">
      <c r="B34" s="666"/>
      <c r="C34" s="666"/>
      <c r="D34" s="666"/>
      <c r="E34" s="462" t="s">
        <v>134</v>
      </c>
      <c r="F34" s="12"/>
      <c r="G34" s="454"/>
      <c r="H34" s="454"/>
      <c r="I34" s="454"/>
      <c r="J34" s="454"/>
      <c r="K34" s="454"/>
      <c r="L34" s="454"/>
      <c r="M34" s="454"/>
      <c r="N34" s="454"/>
      <c r="O34" s="454"/>
      <c r="P34" s="454"/>
      <c r="Q34" s="454"/>
      <c r="R34" s="32"/>
      <c r="S34" s="32"/>
      <c r="T34" s="32"/>
      <c r="U34" s="32"/>
      <c r="V34" s="32"/>
      <c r="W34" s="32"/>
      <c r="X34" s="29"/>
      <c r="Y34" s="30"/>
      <c r="Z34" s="29"/>
      <c r="AA34" s="29"/>
      <c r="AB34" s="29"/>
      <c r="AC34" s="29"/>
      <c r="AD34" s="29"/>
      <c r="AE34" s="29"/>
      <c r="AF34" s="29"/>
      <c r="AG34" s="29"/>
      <c r="AH34" s="29"/>
      <c r="AI34" s="29"/>
      <c r="AJ34" s="29"/>
      <c r="AK34" s="29"/>
      <c r="AL34" s="29"/>
      <c r="AM34" s="29"/>
      <c r="AN34" s="29"/>
      <c r="AO34" s="29"/>
      <c r="AP34" s="29"/>
      <c r="AQ34" s="29"/>
      <c r="AR34" s="454"/>
      <c r="AS34" s="454"/>
      <c r="AT34" s="454"/>
      <c r="AU34" s="454"/>
      <c r="AV34" s="454"/>
      <c r="AW34" s="454"/>
      <c r="AX34" s="454"/>
      <c r="AY34" s="460"/>
      <c r="AZ34" s="451"/>
    </row>
    <row r="35" spans="2:52" ht="13.5" customHeight="1">
      <c r="B35" s="666"/>
      <c r="C35" s="666"/>
      <c r="D35" s="666"/>
      <c r="E35" s="462" t="s">
        <v>133</v>
      </c>
      <c r="F35" s="12"/>
      <c r="G35" s="454"/>
      <c r="H35" s="454"/>
      <c r="I35" s="454"/>
      <c r="J35" s="454"/>
      <c r="K35" s="454"/>
      <c r="L35" s="454"/>
      <c r="M35" s="454"/>
      <c r="N35" s="454"/>
      <c r="O35" s="454"/>
      <c r="P35" s="454"/>
      <c r="Q35" s="454"/>
      <c r="R35" s="32"/>
      <c r="S35" s="32"/>
      <c r="T35" s="32"/>
      <c r="U35" s="32"/>
      <c r="V35" s="32"/>
      <c r="W35" s="32"/>
      <c r="X35" s="29"/>
      <c r="Y35" s="30"/>
      <c r="Z35" s="29"/>
      <c r="AA35" s="29"/>
      <c r="AB35" s="29"/>
      <c r="AC35" s="29"/>
      <c r="AD35" s="29"/>
      <c r="AE35" s="29"/>
      <c r="AF35" s="29"/>
      <c r="AG35" s="29"/>
      <c r="AH35" s="29"/>
      <c r="AI35" s="29"/>
      <c r="AJ35" s="29"/>
      <c r="AK35" s="29"/>
      <c r="AL35" s="29"/>
      <c r="AM35" s="29"/>
      <c r="AN35" s="29"/>
      <c r="AO35" s="29"/>
      <c r="AP35" s="29"/>
      <c r="AQ35" s="29"/>
      <c r="AR35" s="454"/>
      <c r="AS35" s="454"/>
      <c r="AT35" s="454"/>
      <c r="AU35" s="454"/>
      <c r="AV35" s="454"/>
      <c r="AW35" s="454"/>
      <c r="AX35" s="454"/>
      <c r="AY35" s="460"/>
      <c r="AZ35" s="451"/>
    </row>
    <row r="36" spans="2:52" ht="13.5" customHeight="1">
      <c r="B36" s="666"/>
      <c r="C36" s="666"/>
      <c r="D36" s="666"/>
      <c r="E36" s="462" t="s">
        <v>132</v>
      </c>
      <c r="F36" s="12"/>
      <c r="G36" s="454"/>
      <c r="H36" s="454"/>
      <c r="I36" s="454"/>
      <c r="J36" s="454"/>
      <c r="K36" s="454"/>
      <c r="L36" s="454"/>
      <c r="M36" s="454"/>
      <c r="N36" s="454"/>
      <c r="O36" s="454"/>
      <c r="P36" s="454"/>
      <c r="Q36" s="454"/>
      <c r="R36" s="32"/>
      <c r="S36" s="32"/>
      <c r="T36" s="32"/>
      <c r="U36" s="32"/>
      <c r="V36" s="32"/>
      <c r="W36" s="32"/>
      <c r="X36" s="29"/>
      <c r="Y36" s="30"/>
      <c r="Z36" s="29"/>
      <c r="AA36" s="29"/>
      <c r="AB36" s="29"/>
      <c r="AC36" s="29"/>
      <c r="AD36" s="29"/>
      <c r="AE36" s="29"/>
      <c r="AF36" s="29"/>
      <c r="AG36" s="29"/>
      <c r="AH36" s="29"/>
      <c r="AI36" s="29"/>
      <c r="AJ36" s="29"/>
      <c r="AK36" s="29"/>
      <c r="AL36" s="29"/>
      <c r="AM36" s="29"/>
      <c r="AN36" s="29"/>
      <c r="AO36" s="29"/>
      <c r="AP36" s="29"/>
      <c r="AQ36" s="29"/>
      <c r="AR36" s="454"/>
      <c r="AS36" s="454"/>
      <c r="AT36" s="454"/>
      <c r="AU36" s="454"/>
      <c r="AV36" s="454"/>
      <c r="AW36" s="454"/>
      <c r="AX36" s="454"/>
      <c r="AY36" s="460"/>
      <c r="AZ36" s="670"/>
    </row>
    <row r="37" spans="2:52" ht="13.5" customHeight="1">
      <c r="B37" s="666"/>
      <c r="C37" s="666"/>
      <c r="D37" s="666"/>
      <c r="E37" s="462"/>
      <c r="F37" s="12"/>
      <c r="G37" s="454"/>
      <c r="H37" s="454"/>
      <c r="I37" s="454"/>
      <c r="J37" s="454"/>
      <c r="K37" s="454"/>
      <c r="L37" s="454"/>
      <c r="M37" s="454"/>
      <c r="N37" s="454"/>
      <c r="O37" s="454"/>
      <c r="P37" s="454"/>
      <c r="Q37" s="454"/>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454"/>
      <c r="AS37" s="454"/>
      <c r="AT37" s="454"/>
      <c r="AU37" s="454"/>
      <c r="AV37" s="454"/>
      <c r="AW37" s="454"/>
      <c r="AX37" s="454"/>
      <c r="AY37" s="460"/>
      <c r="AZ37" s="670"/>
    </row>
    <row r="38" spans="2:52" ht="13.5" customHeight="1">
      <c r="B38" s="666"/>
      <c r="C38" s="666"/>
      <c r="D38" s="666"/>
      <c r="E38" s="28" t="s">
        <v>131</v>
      </c>
      <c r="F38" s="12"/>
      <c r="G38" s="454"/>
      <c r="H38" s="454"/>
      <c r="I38" s="454"/>
      <c r="J38" s="454"/>
      <c r="K38" s="454"/>
      <c r="L38" s="454"/>
      <c r="M38" s="454"/>
      <c r="N38" s="454"/>
      <c r="O38" s="454"/>
      <c r="P38" s="454"/>
      <c r="Q38" s="454"/>
      <c r="R38" s="32"/>
      <c r="S38" s="32"/>
      <c r="T38" s="32"/>
      <c r="U38" s="32"/>
      <c r="V38" s="32"/>
      <c r="W38" s="32"/>
      <c r="X38" s="29"/>
      <c r="Y38" s="30"/>
      <c r="Z38" s="29"/>
      <c r="AA38" s="29"/>
      <c r="AB38" s="29"/>
      <c r="AC38" s="29"/>
      <c r="AD38" s="29"/>
      <c r="AE38" s="29"/>
      <c r="AF38" s="29"/>
      <c r="AG38" s="29"/>
      <c r="AH38" s="29"/>
      <c r="AI38" s="29"/>
      <c r="AJ38" s="29"/>
      <c r="AK38" s="29"/>
      <c r="AL38" s="29"/>
      <c r="AM38" s="29"/>
      <c r="AN38" s="29"/>
      <c r="AO38" s="29"/>
      <c r="AP38" s="29"/>
      <c r="AQ38" s="29"/>
      <c r="AR38" s="454"/>
      <c r="AS38" s="454"/>
      <c r="AT38" s="454"/>
      <c r="AU38" s="454"/>
      <c r="AV38" s="454"/>
      <c r="AW38" s="454"/>
      <c r="AX38" s="454"/>
      <c r="AY38" s="460"/>
      <c r="AZ38" s="451"/>
    </row>
    <row r="39" spans="2:52" ht="13.5" customHeight="1">
      <c r="B39" s="666"/>
      <c r="C39" s="666"/>
      <c r="D39" s="666"/>
      <c r="E39" s="28" t="s">
        <v>130</v>
      </c>
      <c r="F39" s="12"/>
      <c r="G39" s="454"/>
      <c r="H39" s="454"/>
      <c r="I39" s="454"/>
      <c r="J39" s="454"/>
      <c r="K39" s="454"/>
      <c r="L39" s="454"/>
      <c r="M39" s="454"/>
      <c r="N39" s="454"/>
      <c r="O39" s="454"/>
      <c r="P39" s="454"/>
      <c r="Q39" s="454"/>
      <c r="R39" s="32"/>
      <c r="S39" s="32"/>
      <c r="T39" s="32"/>
      <c r="U39" s="32"/>
      <c r="V39" s="32"/>
      <c r="W39" s="32"/>
      <c r="X39" s="29"/>
      <c r="Y39" s="30"/>
      <c r="Z39" s="29"/>
      <c r="AA39" s="29"/>
      <c r="AB39" s="29"/>
      <c r="AC39" s="29"/>
      <c r="AD39" s="29"/>
      <c r="AE39" s="29"/>
      <c r="AF39" s="29"/>
      <c r="AG39" s="29"/>
      <c r="AH39" s="29"/>
      <c r="AI39" s="29"/>
      <c r="AJ39" s="29"/>
      <c r="AK39" s="32"/>
      <c r="AL39" s="32"/>
      <c r="AM39" s="32"/>
      <c r="AN39" s="32"/>
      <c r="AO39" s="32"/>
      <c r="AP39" s="32"/>
      <c r="AQ39" s="29"/>
      <c r="AR39" s="454"/>
      <c r="AS39" s="454"/>
      <c r="AT39" s="454"/>
      <c r="AU39" s="454"/>
      <c r="AV39" s="454"/>
      <c r="AW39" s="454"/>
      <c r="AX39" s="454"/>
      <c r="AY39" s="460"/>
      <c r="AZ39" s="451"/>
    </row>
    <row r="40" spans="2:52" ht="13.5" customHeight="1">
      <c r="B40" s="666"/>
      <c r="C40" s="666"/>
      <c r="D40" s="666"/>
      <c r="E40" s="462" t="s">
        <v>129</v>
      </c>
      <c r="F40" s="12"/>
      <c r="G40" s="454"/>
      <c r="H40" s="454"/>
      <c r="I40" s="454"/>
      <c r="J40" s="454"/>
      <c r="K40" s="454"/>
      <c r="L40" s="454"/>
      <c r="M40" s="454"/>
      <c r="N40" s="454"/>
      <c r="O40" s="454"/>
      <c r="P40" s="454"/>
      <c r="Q40" s="454"/>
      <c r="R40" s="32"/>
      <c r="S40" s="32"/>
      <c r="T40" s="32"/>
      <c r="U40" s="32"/>
      <c r="V40" s="32"/>
      <c r="W40" s="32"/>
      <c r="X40" s="29"/>
      <c r="Y40" s="30"/>
      <c r="Z40" s="29"/>
      <c r="AA40" s="29"/>
      <c r="AB40" s="29"/>
      <c r="AC40" s="29"/>
      <c r="AD40" s="29"/>
      <c r="AE40" s="29"/>
      <c r="AF40" s="29"/>
      <c r="AG40" s="29"/>
      <c r="AH40" s="29"/>
      <c r="AI40" s="29"/>
      <c r="AJ40" s="29"/>
      <c r="AK40" s="29"/>
      <c r="AL40" s="29"/>
      <c r="AM40" s="29"/>
      <c r="AN40" s="29"/>
      <c r="AO40" s="29"/>
      <c r="AP40" s="29"/>
      <c r="AQ40" s="29"/>
      <c r="AR40" s="454"/>
      <c r="AS40" s="454"/>
      <c r="AT40" s="454"/>
      <c r="AU40" s="454"/>
      <c r="AV40" s="454"/>
      <c r="AW40" s="454"/>
      <c r="AX40" s="454"/>
      <c r="AY40" s="460"/>
      <c r="AZ40" s="670"/>
    </row>
    <row r="41" spans="2:52" ht="13.5" customHeight="1">
      <c r="B41" s="666"/>
      <c r="C41" s="666"/>
      <c r="D41" s="666"/>
      <c r="E41" s="462"/>
      <c r="F41" s="12"/>
      <c r="G41" s="454"/>
      <c r="H41" s="454"/>
      <c r="I41" s="454"/>
      <c r="J41" s="454"/>
      <c r="K41" s="454"/>
      <c r="L41" s="454"/>
      <c r="M41" s="454"/>
      <c r="N41" s="454"/>
      <c r="O41" s="454"/>
      <c r="P41" s="454"/>
      <c r="Q41" s="454"/>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454"/>
      <c r="AS41" s="454"/>
      <c r="AT41" s="454"/>
      <c r="AU41" s="454"/>
      <c r="AV41" s="454"/>
      <c r="AW41" s="454"/>
      <c r="AX41" s="454"/>
      <c r="AY41" s="460"/>
      <c r="AZ41" s="666"/>
    </row>
    <row r="42" spans="2:52" ht="13.5" customHeight="1">
      <c r="B42" s="666"/>
      <c r="C42" s="666"/>
      <c r="D42" s="666"/>
      <c r="E42" s="462" t="s">
        <v>65</v>
      </c>
      <c r="F42" s="12"/>
      <c r="G42" s="454"/>
      <c r="H42" s="454"/>
      <c r="I42" s="454"/>
      <c r="J42" s="454"/>
      <c r="K42" s="454"/>
      <c r="L42" s="454"/>
      <c r="M42" s="454"/>
      <c r="N42" s="454"/>
      <c r="O42" s="454"/>
      <c r="P42" s="454"/>
      <c r="Q42" s="454"/>
      <c r="R42" s="31"/>
      <c r="S42" s="31"/>
      <c r="T42" s="31"/>
      <c r="U42" s="31"/>
      <c r="V42" s="31"/>
      <c r="W42" s="31"/>
      <c r="X42" s="29"/>
      <c r="Y42" s="30"/>
      <c r="Z42" s="29"/>
      <c r="AA42" s="29"/>
      <c r="AB42" s="29"/>
      <c r="AC42" s="29"/>
      <c r="AD42" s="29"/>
      <c r="AE42" s="29"/>
      <c r="AF42" s="29"/>
      <c r="AG42" s="29"/>
      <c r="AH42" s="29"/>
      <c r="AI42" s="29"/>
      <c r="AJ42" s="29"/>
      <c r="AK42" s="29"/>
      <c r="AL42" s="29"/>
      <c r="AM42" s="29"/>
      <c r="AN42" s="29"/>
      <c r="AO42" s="29"/>
      <c r="AP42" s="29"/>
      <c r="AQ42" s="29"/>
      <c r="AR42" s="454"/>
      <c r="AS42" s="454"/>
      <c r="AT42" s="454"/>
      <c r="AU42" s="454"/>
      <c r="AV42" s="454"/>
      <c r="AW42" s="454"/>
      <c r="AX42" s="454"/>
      <c r="AY42" s="460"/>
      <c r="AZ42" s="451"/>
    </row>
    <row r="43" spans="2:52" ht="13.5" customHeight="1">
      <c r="B43" s="671"/>
      <c r="C43" s="671"/>
      <c r="D43" s="671"/>
      <c r="E43" s="465"/>
      <c r="F43" s="7"/>
      <c r="G43" s="466"/>
      <c r="H43" s="466"/>
      <c r="I43" s="466"/>
      <c r="J43" s="466"/>
      <c r="K43" s="466"/>
      <c r="L43" s="466"/>
      <c r="M43" s="466"/>
      <c r="N43" s="466"/>
      <c r="O43" s="466"/>
      <c r="P43" s="466"/>
      <c r="Q43" s="466"/>
      <c r="R43" s="466"/>
      <c r="S43" s="466"/>
      <c r="T43" s="466"/>
      <c r="U43" s="466"/>
      <c r="V43" s="466"/>
      <c r="W43" s="466"/>
      <c r="X43" s="466"/>
      <c r="Y43" s="466"/>
      <c r="Z43" s="466"/>
      <c r="AA43" s="466"/>
      <c r="AB43" s="466"/>
      <c r="AC43" s="466"/>
      <c r="AD43" s="466"/>
      <c r="AE43" s="466"/>
      <c r="AF43" s="466"/>
      <c r="AG43" s="466"/>
      <c r="AH43" s="466"/>
      <c r="AI43" s="466"/>
      <c r="AJ43" s="466"/>
      <c r="AK43" s="466"/>
      <c r="AL43" s="466"/>
      <c r="AM43" s="466"/>
      <c r="AN43" s="466"/>
      <c r="AO43" s="466"/>
      <c r="AP43" s="466"/>
      <c r="AQ43" s="466"/>
      <c r="AR43" s="466"/>
      <c r="AS43" s="466"/>
      <c r="AT43" s="466"/>
      <c r="AU43" s="466"/>
      <c r="AV43" s="466"/>
      <c r="AW43" s="466"/>
      <c r="AX43" s="466"/>
      <c r="AY43" s="461"/>
      <c r="AZ43" s="453"/>
    </row>
    <row r="44" spans="2:52" ht="13.5" customHeight="1">
      <c r="B44" s="682" t="s">
        <v>128</v>
      </c>
      <c r="C44" s="682">
        <v>1</v>
      </c>
      <c r="D44" s="680" t="s">
        <v>127</v>
      </c>
      <c r="E44" s="691" t="s">
        <v>126</v>
      </c>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92"/>
      <c r="AM44" s="692"/>
      <c r="AN44" s="692"/>
      <c r="AO44" s="692"/>
      <c r="AP44" s="692"/>
      <c r="AQ44" s="692"/>
      <c r="AR44" s="692"/>
      <c r="AS44" s="692"/>
      <c r="AT44" s="692"/>
      <c r="AU44" s="692"/>
      <c r="AV44" s="692"/>
      <c r="AW44" s="692"/>
      <c r="AX44" s="692"/>
      <c r="AY44" s="684"/>
      <c r="AZ44" s="458"/>
    </row>
    <row r="45" spans="2:52" ht="13.5" customHeight="1">
      <c r="B45" s="666"/>
      <c r="C45" s="666"/>
      <c r="D45" s="670"/>
      <c r="E45" s="689"/>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8"/>
      <c r="AU45" s="678"/>
      <c r="AV45" s="678"/>
      <c r="AW45" s="678"/>
      <c r="AX45" s="678"/>
      <c r="AY45" s="685"/>
      <c r="AZ45" s="451"/>
    </row>
    <row r="46" spans="2:52" ht="13.5" customHeight="1">
      <c r="B46" s="666"/>
      <c r="C46" s="671"/>
      <c r="D46" s="681"/>
      <c r="E46" s="693"/>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4"/>
      <c r="AO46" s="694"/>
      <c r="AP46" s="694"/>
      <c r="AQ46" s="694"/>
      <c r="AR46" s="694"/>
      <c r="AS46" s="694"/>
      <c r="AT46" s="694"/>
      <c r="AU46" s="694"/>
      <c r="AV46" s="694"/>
      <c r="AW46" s="694"/>
      <c r="AX46" s="694"/>
      <c r="AY46" s="686"/>
      <c r="AZ46" s="453"/>
    </row>
    <row r="47" spans="2:52" ht="13.5" customHeight="1">
      <c r="B47" s="666"/>
      <c r="C47" s="682">
        <v>2</v>
      </c>
      <c r="D47" s="680" t="s">
        <v>125</v>
      </c>
      <c r="E47" s="691" t="s">
        <v>124</v>
      </c>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W47" s="692"/>
      <c r="AX47" s="692"/>
      <c r="AY47" s="684"/>
      <c r="AZ47" s="458"/>
    </row>
    <row r="48" spans="2:52" ht="13.5" customHeight="1">
      <c r="B48" s="666"/>
      <c r="C48" s="666"/>
      <c r="D48" s="670"/>
      <c r="E48" s="689"/>
      <c r="F48" s="678"/>
      <c r="G48" s="678"/>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c r="AE48" s="678"/>
      <c r="AF48" s="678"/>
      <c r="AG48" s="678"/>
      <c r="AH48" s="678"/>
      <c r="AI48" s="678"/>
      <c r="AJ48" s="678"/>
      <c r="AK48" s="678"/>
      <c r="AL48" s="678"/>
      <c r="AM48" s="678"/>
      <c r="AN48" s="678"/>
      <c r="AO48" s="678"/>
      <c r="AP48" s="678"/>
      <c r="AQ48" s="678"/>
      <c r="AR48" s="678"/>
      <c r="AS48" s="678"/>
      <c r="AT48" s="678"/>
      <c r="AU48" s="678"/>
      <c r="AV48" s="678"/>
      <c r="AW48" s="678"/>
      <c r="AX48" s="678"/>
      <c r="AY48" s="685"/>
      <c r="AZ48" s="451"/>
    </row>
    <row r="49" spans="2:52" ht="13.5" customHeight="1">
      <c r="B49" s="666"/>
      <c r="C49" s="671"/>
      <c r="D49" s="681"/>
      <c r="E49" s="689"/>
      <c r="F49" s="678"/>
      <c r="G49" s="678"/>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c r="AY49" s="685"/>
      <c r="AZ49" s="451"/>
    </row>
    <row r="50" spans="2:52" ht="13.5" customHeight="1">
      <c r="B50" s="666"/>
      <c r="C50" s="682">
        <v>3</v>
      </c>
      <c r="D50" s="690" t="s">
        <v>123</v>
      </c>
      <c r="E50" s="689"/>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c r="AY50" s="685"/>
      <c r="AZ50" s="451"/>
    </row>
    <row r="51" spans="2:52" ht="13.5" customHeight="1">
      <c r="B51" s="666"/>
      <c r="C51" s="671"/>
      <c r="D51" s="690"/>
      <c r="E51" s="693"/>
      <c r="F51" s="694"/>
      <c r="G51" s="694"/>
      <c r="H51" s="694"/>
      <c r="I51" s="694"/>
      <c r="J51" s="694"/>
      <c r="K51" s="694"/>
      <c r="L51" s="694"/>
      <c r="M51" s="694"/>
      <c r="N51" s="694"/>
      <c r="O51" s="694"/>
      <c r="P51" s="694"/>
      <c r="Q51" s="694"/>
      <c r="R51" s="694"/>
      <c r="S51" s="694"/>
      <c r="T51" s="694"/>
      <c r="U51" s="694"/>
      <c r="V51" s="694"/>
      <c r="W51" s="694"/>
      <c r="X51" s="694"/>
      <c r="Y51" s="694"/>
      <c r="Z51" s="694"/>
      <c r="AA51" s="694"/>
      <c r="AB51" s="694"/>
      <c r="AC51" s="694"/>
      <c r="AD51" s="694"/>
      <c r="AE51" s="694"/>
      <c r="AF51" s="694"/>
      <c r="AG51" s="694"/>
      <c r="AH51" s="694"/>
      <c r="AI51" s="694"/>
      <c r="AJ51" s="694"/>
      <c r="AK51" s="694"/>
      <c r="AL51" s="694"/>
      <c r="AM51" s="694"/>
      <c r="AN51" s="694"/>
      <c r="AO51" s="694"/>
      <c r="AP51" s="694"/>
      <c r="AQ51" s="694"/>
      <c r="AR51" s="694"/>
      <c r="AS51" s="694"/>
      <c r="AT51" s="694"/>
      <c r="AU51" s="694"/>
      <c r="AV51" s="694"/>
      <c r="AW51" s="694"/>
      <c r="AX51" s="694"/>
      <c r="AY51" s="686"/>
      <c r="AZ51" s="453"/>
    </row>
    <row r="52" spans="2:52" ht="13.5" customHeight="1">
      <c r="B52" s="666"/>
      <c r="C52" s="682">
        <v>4</v>
      </c>
      <c r="D52" s="690" t="s">
        <v>122</v>
      </c>
      <c r="E52" s="688" t="s">
        <v>121</v>
      </c>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451"/>
    </row>
    <row r="53" spans="2:52" ht="13.5" customHeight="1">
      <c r="B53" s="666"/>
      <c r="C53" s="671"/>
      <c r="D53" s="690"/>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688"/>
      <c r="AX53" s="688"/>
      <c r="AY53" s="688"/>
      <c r="AZ53" s="451"/>
    </row>
    <row r="54" spans="2:52" ht="13.5" customHeight="1">
      <c r="B54" s="666"/>
      <c r="C54" s="682">
        <v>5</v>
      </c>
      <c r="D54" s="690" t="s">
        <v>120</v>
      </c>
      <c r="E54" s="688" t="s">
        <v>119</v>
      </c>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88"/>
      <c r="AH54" s="688"/>
      <c r="AI54" s="688"/>
      <c r="AJ54" s="688"/>
      <c r="AK54" s="688"/>
      <c r="AL54" s="688"/>
      <c r="AM54" s="688"/>
      <c r="AN54" s="688"/>
      <c r="AO54" s="688"/>
      <c r="AP54" s="688"/>
      <c r="AQ54" s="688"/>
      <c r="AR54" s="688"/>
      <c r="AS54" s="688"/>
      <c r="AT54" s="688"/>
      <c r="AU54" s="688"/>
      <c r="AV54" s="688"/>
      <c r="AW54" s="688"/>
      <c r="AX54" s="688"/>
      <c r="AY54" s="688"/>
      <c r="AZ54" s="458"/>
    </row>
    <row r="55" spans="2:52" ht="13.5" customHeight="1">
      <c r="B55" s="666"/>
      <c r="C55" s="671"/>
      <c r="D55" s="690"/>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688"/>
      <c r="AC55" s="688"/>
      <c r="AD55" s="688"/>
      <c r="AE55" s="688"/>
      <c r="AF55" s="688"/>
      <c r="AG55" s="688"/>
      <c r="AH55" s="688"/>
      <c r="AI55" s="688"/>
      <c r="AJ55" s="688"/>
      <c r="AK55" s="688"/>
      <c r="AL55" s="688"/>
      <c r="AM55" s="688"/>
      <c r="AN55" s="688"/>
      <c r="AO55" s="688"/>
      <c r="AP55" s="688"/>
      <c r="AQ55" s="688"/>
      <c r="AR55" s="688"/>
      <c r="AS55" s="688"/>
      <c r="AT55" s="688"/>
      <c r="AU55" s="688"/>
      <c r="AV55" s="688"/>
      <c r="AW55" s="688"/>
      <c r="AX55" s="688"/>
      <c r="AY55" s="688"/>
      <c r="AZ55" s="453"/>
    </row>
    <row r="56" spans="2:52" ht="13.5" customHeight="1">
      <c r="B56" s="666"/>
      <c r="C56" s="682">
        <v>6</v>
      </c>
      <c r="D56" s="690" t="s">
        <v>118</v>
      </c>
      <c r="E56" s="688" t="s">
        <v>94</v>
      </c>
      <c r="F56" s="688"/>
      <c r="G56" s="688"/>
      <c r="H56" s="688"/>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688"/>
      <c r="AX56" s="688"/>
      <c r="AY56" s="688"/>
      <c r="AZ56" s="451"/>
    </row>
    <row r="57" spans="2:52" ht="13.5" customHeight="1">
      <c r="B57" s="666"/>
      <c r="C57" s="671"/>
      <c r="D57" s="690"/>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688"/>
      <c r="AC57" s="688"/>
      <c r="AD57" s="688"/>
      <c r="AE57" s="688"/>
      <c r="AF57" s="688"/>
      <c r="AG57" s="688"/>
      <c r="AH57" s="688"/>
      <c r="AI57" s="688"/>
      <c r="AJ57" s="688"/>
      <c r="AK57" s="688"/>
      <c r="AL57" s="688"/>
      <c r="AM57" s="688"/>
      <c r="AN57" s="688"/>
      <c r="AO57" s="688"/>
      <c r="AP57" s="688"/>
      <c r="AQ57" s="688"/>
      <c r="AR57" s="688"/>
      <c r="AS57" s="688"/>
      <c r="AT57" s="688"/>
      <c r="AU57" s="688"/>
      <c r="AV57" s="688"/>
      <c r="AW57" s="688"/>
      <c r="AX57" s="688"/>
      <c r="AY57" s="688"/>
      <c r="AZ57" s="451"/>
    </row>
    <row r="58" spans="2:52" ht="13.5" customHeight="1">
      <c r="B58" s="666"/>
      <c r="C58" s="682">
        <v>7</v>
      </c>
      <c r="D58" s="680" t="s">
        <v>117</v>
      </c>
      <c r="E58" s="463"/>
      <c r="F58" s="17"/>
      <c r="G58" s="464"/>
      <c r="H58" s="464"/>
      <c r="I58" s="464"/>
      <c r="J58" s="464"/>
      <c r="K58" s="464"/>
      <c r="L58" s="464"/>
      <c r="M58" s="464"/>
      <c r="N58" s="464"/>
      <c r="O58" s="464"/>
      <c r="P58" s="464"/>
      <c r="Q58" s="464"/>
      <c r="R58" s="464"/>
      <c r="S58" s="464"/>
      <c r="T58" s="464"/>
      <c r="U58" s="464"/>
      <c r="V58" s="464"/>
      <c r="W58" s="464"/>
      <c r="X58" s="464"/>
      <c r="Y58" s="464"/>
      <c r="Z58" s="464"/>
      <c r="AA58" s="464"/>
      <c r="AB58" s="464"/>
      <c r="AC58" s="464"/>
      <c r="AD58" s="464"/>
      <c r="AE58" s="464"/>
      <c r="AF58" s="464"/>
      <c r="AG58" s="464"/>
      <c r="AH58" s="464"/>
      <c r="AI58" s="464"/>
      <c r="AJ58" s="464"/>
      <c r="AK58" s="464"/>
      <c r="AL58" s="464"/>
      <c r="AM58" s="464"/>
      <c r="AN58" s="464"/>
      <c r="AO58" s="464"/>
      <c r="AP58" s="464"/>
      <c r="AQ58" s="464"/>
      <c r="AR58" s="464"/>
      <c r="AS58" s="464"/>
      <c r="AT58" s="464"/>
      <c r="AU58" s="464"/>
      <c r="AV58" s="464"/>
      <c r="AW58" s="464"/>
      <c r="AX58" s="464"/>
      <c r="AY58" s="459"/>
      <c r="AZ58" s="458"/>
    </row>
    <row r="59" spans="2:52" ht="13.5" customHeight="1">
      <c r="B59" s="666"/>
      <c r="C59" s="666"/>
      <c r="D59" s="670"/>
      <c r="E59" s="28" t="s">
        <v>116</v>
      </c>
      <c r="F59" s="12"/>
      <c r="G59" s="12"/>
      <c r="H59" s="12"/>
      <c r="I59" s="12"/>
      <c r="J59" s="12"/>
      <c r="K59" s="12"/>
      <c r="L59" s="12"/>
      <c r="M59" s="12"/>
      <c r="N59" s="12"/>
      <c r="O59" s="12"/>
      <c r="P59" s="12"/>
      <c r="Q59" s="454"/>
      <c r="R59" s="687">
        <f>基礎数値!G11</f>
        <v>500878</v>
      </c>
      <c r="S59" s="687"/>
      <c r="T59" s="687"/>
      <c r="U59" s="687"/>
      <c r="V59" s="687"/>
      <c r="W59" s="687"/>
      <c r="X59" s="454"/>
      <c r="Y59" s="455" t="s">
        <v>114</v>
      </c>
      <c r="Z59" s="454"/>
      <c r="AA59" s="454"/>
      <c r="AB59" s="454"/>
      <c r="AC59" s="454"/>
      <c r="AD59" s="454"/>
      <c r="AE59" s="454"/>
      <c r="AF59" s="454"/>
      <c r="AG59" s="454"/>
      <c r="AH59" s="454"/>
      <c r="AI59" s="12"/>
      <c r="AJ59" s="454"/>
      <c r="AK59" s="454"/>
      <c r="AL59" s="454"/>
      <c r="AM59" s="454"/>
      <c r="AN59" s="454"/>
      <c r="AO59" s="454"/>
      <c r="AP59" s="454"/>
      <c r="AQ59" s="454"/>
      <c r="AR59" s="454"/>
      <c r="AS59" s="454"/>
      <c r="AT59" s="454"/>
      <c r="AU59" s="454"/>
      <c r="AV59" s="454"/>
      <c r="AW59" s="454"/>
      <c r="AX59" s="454"/>
      <c r="AY59" s="460"/>
      <c r="AZ59" s="451"/>
    </row>
    <row r="60" spans="2:52" ht="13.5" customHeight="1">
      <c r="B60" s="666"/>
      <c r="C60" s="666"/>
      <c r="D60" s="670"/>
      <c r="E60" s="28" t="s">
        <v>115</v>
      </c>
      <c r="F60" s="454"/>
      <c r="G60" s="454"/>
      <c r="H60" s="454"/>
      <c r="I60" s="454"/>
      <c r="J60" s="454"/>
      <c r="K60" s="454"/>
      <c r="L60" s="454"/>
      <c r="M60" s="454"/>
      <c r="N60" s="454"/>
      <c r="O60" s="454"/>
      <c r="P60" s="454"/>
      <c r="Q60" s="454"/>
      <c r="R60" s="687">
        <f>基礎数値!G12</f>
        <v>36840</v>
      </c>
      <c r="S60" s="687"/>
      <c r="T60" s="687"/>
      <c r="U60" s="687"/>
      <c r="V60" s="687"/>
      <c r="W60" s="687"/>
      <c r="X60" s="454"/>
      <c r="Y60" s="455" t="s">
        <v>114</v>
      </c>
      <c r="Z60" s="454"/>
      <c r="AA60" s="454"/>
      <c r="AB60" s="454"/>
      <c r="AC60" s="454"/>
      <c r="AD60" s="454"/>
      <c r="AE60" s="454"/>
      <c r="AF60" s="454"/>
      <c r="AG60" s="454"/>
      <c r="AH60" s="454"/>
      <c r="AI60" s="454"/>
      <c r="AJ60" s="454" t="s">
        <v>85</v>
      </c>
      <c r="AK60" s="665">
        <f>R59+R60</f>
        <v>537718</v>
      </c>
      <c r="AL60" s="665"/>
      <c r="AM60" s="665"/>
      <c r="AN60" s="665"/>
      <c r="AO60" s="665"/>
      <c r="AP60" s="665"/>
      <c r="AQ60" s="454" t="s">
        <v>113</v>
      </c>
      <c r="AR60" s="454"/>
      <c r="AS60" s="454"/>
      <c r="AT60" s="454"/>
      <c r="AU60" s="454"/>
      <c r="AV60" s="454"/>
      <c r="AW60" s="454"/>
      <c r="AX60" s="454"/>
      <c r="AY60" s="460"/>
      <c r="AZ60" s="451"/>
    </row>
    <row r="61" spans="2:52" ht="13.5" customHeight="1">
      <c r="B61" s="666"/>
      <c r="C61" s="666"/>
      <c r="D61" s="670"/>
      <c r="E61" s="462"/>
      <c r="F61" s="12"/>
      <c r="G61" s="454"/>
      <c r="H61" s="454"/>
      <c r="I61" s="454"/>
      <c r="J61" s="454"/>
      <c r="K61" s="454"/>
      <c r="L61" s="454"/>
      <c r="M61" s="454"/>
      <c r="N61" s="454"/>
      <c r="O61" s="454"/>
      <c r="P61" s="454"/>
      <c r="Q61" s="454"/>
      <c r="R61" s="454"/>
      <c r="S61" s="454"/>
      <c r="T61" s="454"/>
      <c r="U61" s="454"/>
      <c r="V61" s="454"/>
      <c r="W61" s="454"/>
      <c r="X61" s="454"/>
      <c r="Y61" s="454"/>
      <c r="Z61" s="454"/>
      <c r="AA61" s="454"/>
      <c r="AB61" s="454"/>
      <c r="AC61" s="454"/>
      <c r="AD61" s="454"/>
      <c r="AE61" s="454"/>
      <c r="AF61" s="454"/>
      <c r="AG61" s="454"/>
      <c r="AH61" s="454"/>
      <c r="AI61" s="454"/>
      <c r="AJ61" s="454"/>
      <c r="AK61" s="454"/>
      <c r="AL61" s="454"/>
      <c r="AM61" s="454"/>
      <c r="AN61" s="454"/>
      <c r="AO61" s="454"/>
      <c r="AP61" s="454"/>
      <c r="AQ61" s="454"/>
      <c r="AR61" s="454"/>
      <c r="AS61" s="454"/>
      <c r="AT61" s="454"/>
      <c r="AU61" s="454"/>
      <c r="AV61" s="454"/>
      <c r="AW61" s="454"/>
      <c r="AX61" s="454"/>
      <c r="AY61" s="460"/>
      <c r="AZ61" s="451"/>
    </row>
    <row r="62" spans="2:52" ht="13.5" customHeight="1">
      <c r="B62" s="666"/>
      <c r="C62" s="666"/>
      <c r="D62" s="670"/>
      <c r="E62" s="513"/>
      <c r="F62" s="12"/>
      <c r="G62" s="510"/>
      <c r="H62" s="510"/>
      <c r="I62" s="510"/>
      <c r="J62" s="510"/>
      <c r="K62" s="510"/>
      <c r="L62" s="510"/>
      <c r="M62" s="510"/>
      <c r="N62" s="510"/>
      <c r="O62" s="510"/>
      <c r="P62" s="510"/>
      <c r="Q62" s="510"/>
      <c r="R62" s="510"/>
      <c r="S62" s="510"/>
      <c r="T62" s="510"/>
      <c r="U62" s="510"/>
      <c r="V62" s="510"/>
      <c r="W62" s="510"/>
      <c r="X62" s="510"/>
      <c r="Y62" s="510"/>
      <c r="Z62" s="510"/>
      <c r="AA62" s="510"/>
      <c r="AB62" s="510"/>
      <c r="AC62" s="510"/>
      <c r="AD62" s="510"/>
      <c r="AE62" s="510"/>
      <c r="AF62" s="510"/>
      <c r="AG62" s="510"/>
      <c r="AH62" s="510"/>
      <c r="AI62" s="510"/>
      <c r="AJ62" s="510"/>
      <c r="AK62" s="510"/>
      <c r="AL62" s="510"/>
      <c r="AM62" s="510"/>
      <c r="AN62" s="510"/>
      <c r="AO62" s="510"/>
      <c r="AP62" s="510"/>
      <c r="AQ62" s="510"/>
      <c r="AR62" s="510"/>
      <c r="AS62" s="510"/>
      <c r="AT62" s="510"/>
      <c r="AU62" s="510"/>
      <c r="AV62" s="510"/>
      <c r="AW62" s="510"/>
      <c r="AX62" s="510"/>
      <c r="AY62" s="512"/>
      <c r="AZ62" s="509"/>
    </row>
    <row r="63" spans="2:52" ht="13.5" customHeight="1">
      <c r="B63" s="666"/>
      <c r="C63" s="666"/>
      <c r="D63" s="670"/>
      <c r="E63" s="513"/>
      <c r="F63" s="12"/>
      <c r="G63" s="510"/>
      <c r="H63" s="510"/>
      <c r="I63" s="510"/>
      <c r="J63" s="510"/>
      <c r="K63" s="510"/>
      <c r="L63" s="510"/>
      <c r="M63" s="510"/>
      <c r="N63" s="510"/>
      <c r="O63" s="510"/>
      <c r="P63" s="510"/>
      <c r="Q63" s="510"/>
      <c r="R63" s="510"/>
      <c r="S63" s="510"/>
      <c r="T63" s="510"/>
      <c r="U63" s="510"/>
      <c r="V63" s="510"/>
      <c r="W63" s="510"/>
      <c r="X63" s="510"/>
      <c r="Y63" s="510"/>
      <c r="Z63" s="510"/>
      <c r="AA63" s="510"/>
      <c r="AB63" s="510"/>
      <c r="AC63" s="510"/>
      <c r="AD63" s="510"/>
      <c r="AE63" s="510"/>
      <c r="AF63" s="510"/>
      <c r="AG63" s="510"/>
      <c r="AH63" s="510"/>
      <c r="AI63" s="510"/>
      <c r="AJ63" s="510"/>
      <c r="AK63" s="510"/>
      <c r="AL63" s="510"/>
      <c r="AM63" s="510"/>
      <c r="AN63" s="510"/>
      <c r="AO63" s="510"/>
      <c r="AP63" s="510"/>
      <c r="AQ63" s="510"/>
      <c r="AR63" s="510"/>
      <c r="AS63" s="510"/>
      <c r="AT63" s="510"/>
      <c r="AU63" s="510"/>
      <c r="AV63" s="510"/>
      <c r="AW63" s="510"/>
      <c r="AX63" s="510"/>
      <c r="AY63" s="512"/>
      <c r="AZ63" s="509"/>
    </row>
    <row r="64" spans="2:52" ht="13.5" customHeight="1">
      <c r="B64" s="666"/>
      <c r="C64" s="666"/>
      <c r="D64" s="670"/>
      <c r="E64" s="28" t="s">
        <v>112</v>
      </c>
      <c r="F64" s="12"/>
      <c r="G64" s="454"/>
      <c r="H64" s="454"/>
      <c r="I64" s="454"/>
      <c r="J64" s="454"/>
      <c r="K64" s="454"/>
      <c r="L64" s="454"/>
      <c r="M64" s="454"/>
      <c r="N64" s="454"/>
      <c r="O64" s="454"/>
      <c r="P64" s="454"/>
      <c r="Q64" s="454"/>
      <c r="R64" s="454"/>
      <c r="S64" s="454"/>
      <c r="T64" s="454"/>
      <c r="U64" s="454"/>
      <c r="V64" s="454"/>
      <c r="W64" s="454"/>
      <c r="X64" s="454"/>
      <c r="Y64" s="454"/>
      <c r="Z64" s="454"/>
      <c r="AA64" s="454"/>
      <c r="AB64" s="454"/>
      <c r="AC64" s="454"/>
      <c r="AD64" s="454"/>
      <c r="AE64" s="454"/>
      <c r="AF64" s="454"/>
      <c r="AG64" s="454"/>
      <c r="AH64" s="454"/>
      <c r="AI64" s="454"/>
      <c r="AJ64" s="454"/>
      <c r="AK64" s="454"/>
      <c r="AL64" s="454"/>
      <c r="AM64" s="454"/>
      <c r="AN64" s="454"/>
      <c r="AO64" s="454"/>
      <c r="AP64" s="454"/>
      <c r="AQ64" s="454"/>
      <c r="AR64" s="454"/>
      <c r="AS64" s="454"/>
      <c r="AT64" s="454"/>
      <c r="AU64" s="454"/>
      <c r="AV64" s="454"/>
      <c r="AW64" s="454"/>
      <c r="AX64" s="454"/>
      <c r="AY64" s="460"/>
      <c r="AZ64" s="451"/>
    </row>
    <row r="65" spans="2:52" ht="13.5" customHeight="1">
      <c r="B65" s="666"/>
      <c r="C65" s="666"/>
      <c r="D65" s="670"/>
      <c r="E65" s="462"/>
      <c r="F65" s="12"/>
      <c r="G65" s="454"/>
      <c r="H65" s="12" t="s">
        <v>111</v>
      </c>
      <c r="I65" s="454"/>
      <c r="J65" s="454"/>
      <c r="K65" s="454"/>
      <c r="L65" s="454"/>
      <c r="M65" s="454"/>
      <c r="N65" s="454"/>
      <c r="O65" s="454"/>
      <c r="P65" s="454"/>
      <c r="Q65" s="454"/>
      <c r="R65" s="687">
        <f>基礎数値!G14</f>
        <v>0</v>
      </c>
      <c r="S65" s="687"/>
      <c r="T65" s="687"/>
      <c r="U65" s="687"/>
      <c r="V65" s="687"/>
      <c r="W65" s="687"/>
      <c r="X65" s="454" t="s">
        <v>110</v>
      </c>
      <c r="Y65" s="455" t="s">
        <v>109</v>
      </c>
      <c r="Z65" s="454"/>
      <c r="AA65" s="454"/>
      <c r="AB65" s="454"/>
      <c r="AC65" s="454"/>
      <c r="AD65" s="454"/>
      <c r="AE65" s="454"/>
      <c r="AF65" s="454"/>
      <c r="AG65" s="454"/>
      <c r="AH65" s="454"/>
      <c r="AI65" s="454"/>
      <c r="AJ65" s="454"/>
      <c r="AK65" s="454"/>
      <c r="AL65" s="454"/>
      <c r="AM65" s="454"/>
      <c r="AN65" s="454"/>
      <c r="AO65" s="454"/>
      <c r="AP65" s="454"/>
      <c r="AQ65" s="454"/>
      <c r="AR65" s="454"/>
      <c r="AS65" s="454"/>
      <c r="AT65" s="454"/>
      <c r="AU65" s="454"/>
      <c r="AV65" s="454"/>
      <c r="AW65" s="454"/>
      <c r="AX65" s="454"/>
      <c r="AY65" s="460"/>
      <c r="AZ65" s="451"/>
    </row>
    <row r="66" spans="2:52" ht="13.5" customHeight="1">
      <c r="B66" s="666"/>
      <c r="C66" s="666"/>
      <c r="D66" s="670"/>
      <c r="E66" s="462"/>
      <c r="F66" s="12"/>
      <c r="G66" s="454"/>
      <c r="H66" s="12" t="s">
        <v>108</v>
      </c>
      <c r="I66" s="454"/>
      <c r="J66" s="454"/>
      <c r="K66" s="454"/>
      <c r="L66" s="454"/>
      <c r="M66" s="454"/>
      <c r="N66" s="454"/>
      <c r="O66" s="454"/>
      <c r="P66" s="454"/>
      <c r="Q66" s="454"/>
      <c r="R66" s="695">
        <f>R24</f>
        <v>0</v>
      </c>
      <c r="S66" s="695"/>
      <c r="T66" s="695"/>
      <c r="U66" s="695"/>
      <c r="V66" s="695"/>
      <c r="W66" s="695"/>
      <c r="X66" s="454"/>
      <c r="Y66" s="455" t="s">
        <v>107</v>
      </c>
      <c r="Z66" s="454"/>
      <c r="AA66" s="454"/>
      <c r="AB66" s="454"/>
      <c r="AC66" s="454"/>
      <c r="AD66" s="454"/>
      <c r="AE66" s="454"/>
      <c r="AF66" s="454"/>
      <c r="AG66" s="454"/>
      <c r="AH66" s="454"/>
      <c r="AI66" s="454"/>
      <c r="AJ66" s="454"/>
      <c r="AK66" s="454"/>
      <c r="AL66" s="454"/>
      <c r="AM66" s="454"/>
      <c r="AN66" s="454"/>
      <c r="AO66" s="454"/>
      <c r="AP66" s="454"/>
      <c r="AQ66" s="454"/>
      <c r="AR66" s="454"/>
      <c r="AS66" s="454"/>
      <c r="AT66" s="454"/>
      <c r="AU66" s="454"/>
      <c r="AV66" s="454"/>
      <c r="AW66" s="454"/>
      <c r="AX66" s="454"/>
      <c r="AY66" s="460"/>
      <c r="AZ66" s="451"/>
    </row>
    <row r="67" spans="2:52" ht="13.5" customHeight="1" thickBot="1">
      <c r="B67" s="666"/>
      <c r="C67" s="666"/>
      <c r="D67" s="670"/>
      <c r="E67" s="462"/>
      <c r="F67" s="12"/>
      <c r="G67" s="454"/>
      <c r="H67" s="454"/>
      <c r="I67" s="454"/>
      <c r="J67" s="454"/>
      <c r="K67" s="454"/>
      <c r="L67" s="454"/>
      <c r="M67" s="454"/>
      <c r="N67" s="454"/>
      <c r="O67" s="454"/>
      <c r="P67" s="454"/>
      <c r="Q67" s="454"/>
      <c r="R67" s="454"/>
      <c r="S67" s="454"/>
      <c r="T67" s="454"/>
      <c r="U67" s="454"/>
      <c r="V67" s="454"/>
      <c r="W67" s="454"/>
      <c r="X67" s="454"/>
      <c r="Y67" s="454"/>
      <c r="Z67" s="454"/>
      <c r="AA67" s="454"/>
      <c r="AB67" s="454"/>
      <c r="AC67" s="454"/>
      <c r="AD67" s="454"/>
      <c r="AE67" s="454"/>
      <c r="AF67" s="454"/>
      <c r="AG67" s="454"/>
      <c r="AH67" s="454"/>
      <c r="AI67" s="454"/>
      <c r="AJ67" s="454"/>
      <c r="AK67" s="454"/>
      <c r="AL67" s="454"/>
      <c r="AM67" s="454"/>
      <c r="AN67" s="454"/>
      <c r="AO67" s="454"/>
      <c r="AP67" s="454"/>
      <c r="AQ67" s="454"/>
      <c r="AR67" s="454"/>
      <c r="AS67" s="454"/>
      <c r="AT67" s="454"/>
      <c r="AU67" s="454"/>
      <c r="AV67" s="454"/>
      <c r="AW67" s="454"/>
      <c r="AX67" s="454"/>
      <c r="AY67" s="460"/>
      <c r="AZ67" s="451"/>
    </row>
    <row r="68" spans="2:52" ht="13.5" customHeight="1" thickTop="1" thickBot="1">
      <c r="B68" s="666"/>
      <c r="C68" s="666"/>
      <c r="D68" s="670"/>
      <c r="E68" s="28" t="s">
        <v>106</v>
      </c>
      <c r="F68" s="12"/>
      <c r="G68" s="454"/>
      <c r="H68" s="454"/>
      <c r="I68" s="454"/>
      <c r="J68" s="454"/>
      <c r="K68" s="454"/>
      <c r="L68" s="454"/>
      <c r="M68" s="454"/>
      <c r="N68" s="454"/>
      <c r="O68" s="454"/>
      <c r="P68" s="454"/>
      <c r="Q68" s="454"/>
      <c r="R68" s="454"/>
      <c r="S68" s="454"/>
      <c r="T68" s="675">
        <f>AK60-R65-R66</f>
        <v>537718</v>
      </c>
      <c r="U68" s="676"/>
      <c r="V68" s="676"/>
      <c r="W68" s="676"/>
      <c r="X68" s="676"/>
      <c r="Y68" s="677"/>
      <c r="Z68" s="454"/>
      <c r="AA68" s="455" t="s">
        <v>105</v>
      </c>
      <c r="AB68" s="454"/>
      <c r="AC68" s="454"/>
      <c r="AD68" s="454"/>
      <c r="AE68" s="454"/>
      <c r="AF68" s="454"/>
      <c r="AG68" s="454"/>
      <c r="AH68" s="454"/>
      <c r="AI68" s="454"/>
      <c r="AJ68" s="454"/>
      <c r="AK68" s="454"/>
      <c r="AL68" s="454"/>
      <c r="AM68" s="454"/>
      <c r="AN68" s="454"/>
      <c r="AO68" s="454"/>
      <c r="AP68" s="454"/>
      <c r="AQ68" s="454"/>
      <c r="AR68" s="454"/>
      <c r="AS68" s="454"/>
      <c r="AT68" s="454"/>
      <c r="AU68" s="454"/>
      <c r="AV68" s="454"/>
      <c r="AW68" s="454"/>
      <c r="AX68" s="454"/>
      <c r="AY68" s="460"/>
      <c r="AZ68" s="487" t="s">
        <v>827</v>
      </c>
    </row>
    <row r="69" spans="2:52" ht="13.5" customHeight="1" thickTop="1" thickBot="1">
      <c r="B69" s="666"/>
      <c r="C69" s="666"/>
      <c r="D69" s="670"/>
      <c r="E69" s="462"/>
      <c r="F69" s="12"/>
      <c r="G69" s="454"/>
      <c r="H69" s="454"/>
      <c r="I69" s="454"/>
      <c r="J69" s="454"/>
      <c r="K69" s="454"/>
      <c r="L69" s="454"/>
      <c r="M69" s="454"/>
      <c r="N69" s="454"/>
      <c r="O69" s="454"/>
      <c r="P69" s="454"/>
      <c r="Q69" s="454"/>
      <c r="R69" s="454"/>
      <c r="S69" s="454"/>
      <c r="T69" s="454"/>
      <c r="U69" s="454"/>
      <c r="V69" s="454"/>
      <c r="W69" s="454"/>
      <c r="X69" s="454"/>
      <c r="Y69" s="454"/>
      <c r="Z69" s="454"/>
      <c r="AA69" s="454"/>
      <c r="AB69" s="454"/>
      <c r="AC69" s="454"/>
      <c r="AD69" s="454"/>
      <c r="AE69" s="454"/>
      <c r="AF69" s="454"/>
      <c r="AG69" s="454"/>
      <c r="AH69" s="454"/>
      <c r="AI69" s="454"/>
      <c r="AJ69" s="454"/>
      <c r="AK69" s="454"/>
      <c r="AL69" s="454"/>
      <c r="AM69" s="454"/>
      <c r="AN69" s="454"/>
      <c r="AO69" s="454"/>
      <c r="AP69" s="454"/>
      <c r="AQ69" s="454"/>
      <c r="AR69" s="454"/>
      <c r="AS69" s="454"/>
      <c r="AT69" s="454"/>
      <c r="AU69" s="454"/>
      <c r="AV69" s="454"/>
      <c r="AW69" s="454"/>
      <c r="AX69" s="454"/>
      <c r="AY69" s="460"/>
      <c r="AZ69" s="487"/>
    </row>
    <row r="70" spans="2:52" ht="13.5" customHeight="1" thickTop="1" thickBot="1">
      <c r="B70" s="666"/>
      <c r="C70" s="666"/>
      <c r="D70" s="670"/>
      <c r="E70" s="28" t="s">
        <v>103</v>
      </c>
      <c r="F70" s="12"/>
      <c r="G70" s="454"/>
      <c r="H70" s="454"/>
      <c r="I70" s="454"/>
      <c r="J70" s="454"/>
      <c r="K70" s="454"/>
      <c r="L70" s="454"/>
      <c r="M70" s="454"/>
      <c r="N70" s="454"/>
      <c r="O70" s="454"/>
      <c r="P70" s="454"/>
      <c r="Q70" s="454"/>
      <c r="R70" s="454"/>
      <c r="S70" s="454"/>
      <c r="T70" s="675">
        <f>ROUNDDOWN((AK60-R65-R66)*62.4/1080,0)</f>
        <v>31068</v>
      </c>
      <c r="U70" s="676"/>
      <c r="V70" s="676"/>
      <c r="W70" s="676"/>
      <c r="X70" s="676"/>
      <c r="Y70" s="677"/>
      <c r="Z70" s="454" t="s">
        <v>102</v>
      </c>
      <c r="AA70" s="455" t="s">
        <v>802</v>
      </c>
      <c r="AB70" s="454"/>
      <c r="AC70" s="454"/>
      <c r="AD70" s="454"/>
      <c r="AE70" s="454"/>
      <c r="AF70" s="454"/>
      <c r="AG70" s="454"/>
      <c r="AH70" s="454"/>
      <c r="AI70" s="454"/>
      <c r="AJ70" s="454"/>
      <c r="AK70" s="454"/>
      <c r="AL70" s="454"/>
      <c r="AM70" s="454"/>
      <c r="AN70" s="454"/>
      <c r="AO70" s="454"/>
      <c r="AP70" s="454"/>
      <c r="AQ70" s="454"/>
      <c r="AR70" s="454"/>
      <c r="AS70" s="454"/>
      <c r="AT70" s="454"/>
      <c r="AU70" s="454"/>
      <c r="AV70" s="454"/>
      <c r="AW70" s="454"/>
      <c r="AX70" s="454"/>
      <c r="AY70" s="460"/>
      <c r="AZ70" s="487" t="s">
        <v>828</v>
      </c>
    </row>
    <row r="71" spans="2:52" ht="13.5" customHeight="1" thickTop="1">
      <c r="B71" s="671"/>
      <c r="C71" s="671"/>
      <c r="D71" s="681"/>
      <c r="E71" s="465"/>
      <c r="F71" s="7"/>
      <c r="G71" s="466"/>
      <c r="H71" s="466"/>
      <c r="I71" s="466"/>
      <c r="J71" s="466"/>
      <c r="K71" s="466"/>
      <c r="L71" s="466"/>
      <c r="M71" s="466"/>
      <c r="N71" s="466"/>
      <c r="O71" s="466"/>
      <c r="P71" s="466"/>
      <c r="Q71" s="466"/>
      <c r="R71" s="466"/>
      <c r="S71" s="466"/>
      <c r="T71" s="466"/>
      <c r="U71" s="466"/>
      <c r="V71" s="466"/>
      <c r="W71" s="466"/>
      <c r="X71" s="466"/>
      <c r="Y71" s="466"/>
      <c r="Z71" s="466"/>
      <c r="AA71" s="466"/>
      <c r="AB71" s="466"/>
      <c r="AC71" s="466"/>
      <c r="AD71" s="466"/>
      <c r="AE71" s="466"/>
      <c r="AF71" s="466"/>
      <c r="AG71" s="466"/>
      <c r="AH71" s="466"/>
      <c r="AI71" s="466"/>
      <c r="AJ71" s="466"/>
      <c r="AK71" s="466"/>
      <c r="AL71" s="466"/>
      <c r="AM71" s="466"/>
      <c r="AN71" s="466"/>
      <c r="AO71" s="466"/>
      <c r="AP71" s="466"/>
      <c r="AQ71" s="466"/>
      <c r="AR71" s="466"/>
      <c r="AS71" s="466"/>
      <c r="AT71" s="466"/>
      <c r="AU71" s="466"/>
      <c r="AV71" s="466"/>
      <c r="AW71" s="466"/>
      <c r="AX71" s="466"/>
      <c r="AY71" s="461"/>
      <c r="AZ71" s="453"/>
    </row>
    <row r="72" spans="2:52" ht="13.5" customHeight="1">
      <c r="B72" s="680" t="s">
        <v>100</v>
      </c>
      <c r="C72" s="682">
        <v>1</v>
      </c>
      <c r="D72" s="690" t="s">
        <v>99</v>
      </c>
      <c r="E72" s="688" t="s">
        <v>98</v>
      </c>
      <c r="F72" s="688"/>
      <c r="G72" s="688"/>
      <c r="H72" s="688"/>
      <c r="I72" s="688"/>
      <c r="J72" s="688"/>
      <c r="K72" s="688"/>
      <c r="L72" s="688"/>
      <c r="M72" s="688"/>
      <c r="N72" s="688"/>
      <c r="O72" s="688"/>
      <c r="P72" s="688"/>
      <c r="Q72" s="688"/>
      <c r="R72" s="688"/>
      <c r="S72" s="688"/>
      <c r="T72" s="688"/>
      <c r="U72" s="688"/>
      <c r="V72" s="688"/>
      <c r="W72" s="688"/>
      <c r="X72" s="688"/>
      <c r="Y72" s="688"/>
      <c r="Z72" s="688"/>
      <c r="AA72" s="688"/>
      <c r="AB72" s="688"/>
      <c r="AC72" s="688"/>
      <c r="AD72" s="688"/>
      <c r="AE72" s="688"/>
      <c r="AF72" s="688"/>
      <c r="AG72" s="688"/>
      <c r="AH72" s="688"/>
      <c r="AI72" s="688"/>
      <c r="AJ72" s="688"/>
      <c r="AK72" s="688"/>
      <c r="AL72" s="688"/>
      <c r="AM72" s="688"/>
      <c r="AN72" s="688"/>
      <c r="AO72" s="688"/>
      <c r="AP72" s="688"/>
      <c r="AQ72" s="688"/>
      <c r="AR72" s="688"/>
      <c r="AS72" s="688"/>
      <c r="AT72" s="688"/>
      <c r="AU72" s="688"/>
      <c r="AV72" s="688"/>
      <c r="AW72" s="688"/>
      <c r="AX72" s="688"/>
      <c r="AY72" s="688"/>
      <c r="AZ72" s="458"/>
    </row>
    <row r="73" spans="2:52" ht="13.5" customHeight="1">
      <c r="B73" s="670"/>
      <c r="C73" s="671"/>
      <c r="D73" s="690"/>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688"/>
      <c r="AC73" s="688"/>
      <c r="AD73" s="688"/>
      <c r="AE73" s="688"/>
      <c r="AF73" s="688"/>
      <c r="AG73" s="688"/>
      <c r="AH73" s="688"/>
      <c r="AI73" s="688"/>
      <c r="AJ73" s="688"/>
      <c r="AK73" s="688"/>
      <c r="AL73" s="688"/>
      <c r="AM73" s="688"/>
      <c r="AN73" s="688"/>
      <c r="AO73" s="688"/>
      <c r="AP73" s="688"/>
      <c r="AQ73" s="688"/>
      <c r="AR73" s="688"/>
      <c r="AS73" s="688"/>
      <c r="AT73" s="688"/>
      <c r="AU73" s="688"/>
      <c r="AV73" s="688"/>
      <c r="AW73" s="688"/>
      <c r="AX73" s="688"/>
      <c r="AY73" s="688"/>
      <c r="AZ73" s="451"/>
    </row>
    <row r="74" spans="2:52" ht="13.5" customHeight="1">
      <c r="B74" s="670"/>
      <c r="C74" s="682">
        <v>2</v>
      </c>
      <c r="D74" s="690" t="s">
        <v>97</v>
      </c>
      <c r="E74" s="688" t="s">
        <v>96</v>
      </c>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451"/>
    </row>
    <row r="75" spans="2:52" ht="13.5" customHeight="1">
      <c r="B75" s="670"/>
      <c r="C75" s="666"/>
      <c r="D75" s="690"/>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688"/>
      <c r="AC75" s="688"/>
      <c r="AD75" s="688"/>
      <c r="AE75" s="688"/>
      <c r="AF75" s="688"/>
      <c r="AG75" s="688"/>
      <c r="AH75" s="688"/>
      <c r="AI75" s="688"/>
      <c r="AJ75" s="688"/>
      <c r="AK75" s="688"/>
      <c r="AL75" s="688"/>
      <c r="AM75" s="688"/>
      <c r="AN75" s="688"/>
      <c r="AO75" s="688"/>
      <c r="AP75" s="688"/>
      <c r="AQ75" s="688"/>
      <c r="AR75" s="688"/>
      <c r="AS75" s="688"/>
      <c r="AT75" s="688"/>
      <c r="AU75" s="688"/>
      <c r="AV75" s="688"/>
      <c r="AW75" s="688"/>
      <c r="AX75" s="688"/>
      <c r="AY75" s="688"/>
      <c r="AZ75" s="451"/>
    </row>
    <row r="76" spans="2:52" ht="13.5" customHeight="1">
      <c r="B76" s="670"/>
      <c r="C76" s="671"/>
      <c r="D76" s="690"/>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688"/>
      <c r="AC76" s="688"/>
      <c r="AD76" s="688"/>
      <c r="AE76" s="688"/>
      <c r="AF76" s="688"/>
      <c r="AG76" s="688"/>
      <c r="AH76" s="688"/>
      <c r="AI76" s="688"/>
      <c r="AJ76" s="688"/>
      <c r="AK76" s="688"/>
      <c r="AL76" s="688"/>
      <c r="AM76" s="688"/>
      <c r="AN76" s="688"/>
      <c r="AO76" s="688"/>
      <c r="AP76" s="688"/>
      <c r="AQ76" s="688"/>
      <c r="AR76" s="688"/>
      <c r="AS76" s="688"/>
      <c r="AT76" s="688"/>
      <c r="AU76" s="688"/>
      <c r="AV76" s="688"/>
      <c r="AW76" s="688"/>
      <c r="AX76" s="688"/>
      <c r="AY76" s="688"/>
      <c r="AZ76" s="451"/>
    </row>
    <row r="77" spans="2:52" ht="13.5" customHeight="1">
      <c r="B77" s="670"/>
      <c r="C77" s="682">
        <v>3</v>
      </c>
      <c r="D77" s="690" t="s">
        <v>95</v>
      </c>
      <c r="E77" s="688" t="s">
        <v>94</v>
      </c>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8"/>
      <c r="AN77" s="688"/>
      <c r="AO77" s="688"/>
      <c r="AP77" s="688"/>
      <c r="AQ77" s="688"/>
      <c r="AR77" s="688"/>
      <c r="AS77" s="688"/>
      <c r="AT77" s="688"/>
      <c r="AU77" s="688"/>
      <c r="AV77" s="688"/>
      <c r="AW77" s="688"/>
      <c r="AX77" s="688"/>
      <c r="AY77" s="688"/>
      <c r="AZ77" s="451"/>
    </row>
    <row r="78" spans="2:52" ht="13.5" customHeight="1">
      <c r="B78" s="670"/>
      <c r="C78" s="666"/>
      <c r="D78" s="690"/>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8"/>
      <c r="AN78" s="688"/>
      <c r="AO78" s="688"/>
      <c r="AP78" s="688"/>
      <c r="AQ78" s="688"/>
      <c r="AR78" s="688"/>
      <c r="AS78" s="688"/>
      <c r="AT78" s="688"/>
      <c r="AU78" s="688"/>
      <c r="AV78" s="688"/>
      <c r="AW78" s="688"/>
      <c r="AX78" s="688"/>
      <c r="AY78" s="688"/>
      <c r="AZ78" s="451"/>
    </row>
    <row r="79" spans="2:52" ht="13.5" customHeight="1">
      <c r="B79" s="670"/>
      <c r="C79" s="666"/>
      <c r="D79" s="690"/>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8"/>
      <c r="AN79" s="688"/>
      <c r="AO79" s="688"/>
      <c r="AP79" s="688"/>
      <c r="AQ79" s="688"/>
      <c r="AR79" s="688"/>
      <c r="AS79" s="688"/>
      <c r="AT79" s="688"/>
      <c r="AU79" s="688"/>
      <c r="AV79" s="688"/>
      <c r="AW79" s="688"/>
      <c r="AX79" s="688"/>
      <c r="AY79" s="688"/>
      <c r="AZ79" s="451"/>
    </row>
    <row r="80" spans="2:52" ht="13.5" customHeight="1">
      <c r="B80" s="670"/>
      <c r="C80" s="671"/>
      <c r="D80" s="690"/>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8"/>
      <c r="AN80" s="688"/>
      <c r="AO80" s="688"/>
      <c r="AP80" s="688"/>
      <c r="AQ80" s="688"/>
      <c r="AR80" s="688"/>
      <c r="AS80" s="688"/>
      <c r="AT80" s="688"/>
      <c r="AU80" s="688"/>
      <c r="AV80" s="688"/>
      <c r="AW80" s="688"/>
      <c r="AX80" s="688"/>
      <c r="AY80" s="688"/>
      <c r="AZ80" s="451"/>
    </row>
    <row r="81" spans="2:52" ht="13.5" customHeight="1">
      <c r="B81" s="670"/>
      <c r="C81" s="682">
        <v>4</v>
      </c>
      <c r="D81" s="690" t="s">
        <v>93</v>
      </c>
      <c r="E81" s="688" t="s">
        <v>92</v>
      </c>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8"/>
      <c r="AN81" s="688"/>
      <c r="AO81" s="688"/>
      <c r="AP81" s="688"/>
      <c r="AQ81" s="688"/>
      <c r="AR81" s="688"/>
      <c r="AS81" s="688"/>
      <c r="AT81" s="688"/>
      <c r="AU81" s="688"/>
      <c r="AV81" s="688"/>
      <c r="AW81" s="688"/>
      <c r="AX81" s="688"/>
      <c r="AY81" s="688"/>
      <c r="AZ81" s="451"/>
    </row>
    <row r="82" spans="2:52" ht="13.5" customHeight="1">
      <c r="B82" s="670"/>
      <c r="C82" s="666"/>
      <c r="D82" s="690"/>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88"/>
      <c r="AM82" s="688"/>
      <c r="AN82" s="688"/>
      <c r="AO82" s="688"/>
      <c r="AP82" s="688"/>
      <c r="AQ82" s="688"/>
      <c r="AR82" s="688"/>
      <c r="AS82" s="688"/>
      <c r="AT82" s="688"/>
      <c r="AU82" s="688"/>
      <c r="AV82" s="688"/>
      <c r="AW82" s="688"/>
      <c r="AX82" s="688"/>
      <c r="AY82" s="688"/>
      <c r="AZ82" s="451"/>
    </row>
    <row r="83" spans="2:52" ht="13.5" customHeight="1">
      <c r="B83" s="670"/>
      <c r="C83" s="671"/>
      <c r="D83" s="690"/>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88"/>
      <c r="AM83" s="688"/>
      <c r="AN83" s="688"/>
      <c r="AO83" s="688"/>
      <c r="AP83" s="688"/>
      <c r="AQ83" s="688"/>
      <c r="AR83" s="688"/>
      <c r="AS83" s="688"/>
      <c r="AT83" s="688"/>
      <c r="AU83" s="688"/>
      <c r="AV83" s="688"/>
      <c r="AW83" s="688"/>
      <c r="AX83" s="688"/>
      <c r="AY83" s="688"/>
      <c r="AZ83" s="451"/>
    </row>
    <row r="84" spans="2:52" ht="13.5" customHeight="1">
      <c r="B84" s="670"/>
      <c r="C84" s="682">
        <v>5</v>
      </c>
      <c r="D84" s="690" t="s">
        <v>91</v>
      </c>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688"/>
      <c r="AC84" s="688"/>
      <c r="AD84" s="688"/>
      <c r="AE84" s="688"/>
      <c r="AF84" s="688"/>
      <c r="AG84" s="688"/>
      <c r="AH84" s="688"/>
      <c r="AI84" s="688"/>
      <c r="AJ84" s="688"/>
      <c r="AK84" s="688"/>
      <c r="AL84" s="688"/>
      <c r="AM84" s="688"/>
      <c r="AN84" s="688"/>
      <c r="AO84" s="688"/>
      <c r="AP84" s="688"/>
      <c r="AQ84" s="688"/>
      <c r="AR84" s="688"/>
      <c r="AS84" s="688"/>
      <c r="AT84" s="688"/>
      <c r="AU84" s="688"/>
      <c r="AV84" s="688"/>
      <c r="AW84" s="688"/>
      <c r="AX84" s="688"/>
      <c r="AY84" s="688"/>
      <c r="AZ84" s="451"/>
    </row>
    <row r="85" spans="2:52" ht="13.5" customHeight="1">
      <c r="B85" s="670"/>
      <c r="C85" s="666"/>
      <c r="D85" s="690"/>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688"/>
      <c r="AC85" s="688"/>
      <c r="AD85" s="688"/>
      <c r="AE85" s="688"/>
      <c r="AF85" s="688"/>
      <c r="AG85" s="688"/>
      <c r="AH85" s="688"/>
      <c r="AI85" s="688"/>
      <c r="AJ85" s="688"/>
      <c r="AK85" s="688"/>
      <c r="AL85" s="688"/>
      <c r="AM85" s="688"/>
      <c r="AN85" s="688"/>
      <c r="AO85" s="688"/>
      <c r="AP85" s="688"/>
      <c r="AQ85" s="688"/>
      <c r="AR85" s="688"/>
      <c r="AS85" s="688"/>
      <c r="AT85" s="688"/>
      <c r="AU85" s="688"/>
      <c r="AV85" s="688"/>
      <c r="AW85" s="688"/>
      <c r="AX85" s="688"/>
      <c r="AY85" s="688"/>
      <c r="AZ85" s="451"/>
    </row>
    <row r="86" spans="2:52" ht="13.5" customHeight="1">
      <c r="B86" s="681"/>
      <c r="C86" s="671"/>
      <c r="D86" s="690"/>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688"/>
      <c r="AC86" s="688"/>
      <c r="AD86" s="688"/>
      <c r="AE86" s="688"/>
      <c r="AF86" s="688"/>
      <c r="AG86" s="688"/>
      <c r="AH86" s="688"/>
      <c r="AI86" s="688"/>
      <c r="AJ86" s="688"/>
      <c r="AK86" s="688"/>
      <c r="AL86" s="688"/>
      <c r="AM86" s="688"/>
      <c r="AN86" s="688"/>
      <c r="AO86" s="688"/>
      <c r="AP86" s="688"/>
      <c r="AQ86" s="688"/>
      <c r="AR86" s="688"/>
      <c r="AS86" s="688"/>
      <c r="AT86" s="688"/>
      <c r="AU86" s="688"/>
      <c r="AV86" s="688"/>
      <c r="AW86" s="688"/>
      <c r="AX86" s="688"/>
      <c r="AY86" s="688"/>
      <c r="AZ86" s="453"/>
    </row>
    <row r="87" spans="2:52" ht="13.5" customHeight="1">
      <c r="B87" s="680" t="s">
        <v>90</v>
      </c>
      <c r="C87" s="684">
        <v>1</v>
      </c>
      <c r="D87" s="680" t="s">
        <v>89</v>
      </c>
      <c r="E87" s="463"/>
      <c r="F87" s="17"/>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c r="AK87" s="464"/>
      <c r="AL87" s="464"/>
      <c r="AM87" s="464"/>
      <c r="AN87" s="464"/>
      <c r="AO87" s="464"/>
      <c r="AP87" s="464"/>
      <c r="AQ87" s="464"/>
      <c r="AR87" s="464"/>
      <c r="AS87" s="464"/>
      <c r="AT87" s="464"/>
      <c r="AU87" s="464"/>
      <c r="AV87" s="464"/>
      <c r="AW87" s="464"/>
      <c r="AX87" s="464"/>
      <c r="AY87" s="459"/>
      <c r="AZ87" s="662"/>
    </row>
    <row r="88" spans="2:52" ht="13.5" customHeight="1">
      <c r="B88" s="670"/>
      <c r="C88" s="685"/>
      <c r="D88" s="670"/>
      <c r="E88" s="28" t="s">
        <v>88</v>
      </c>
      <c r="F88" s="12"/>
      <c r="G88" s="12"/>
      <c r="H88" s="12"/>
      <c r="I88" s="12"/>
      <c r="J88" s="12"/>
      <c r="K88" s="12"/>
      <c r="L88" s="12"/>
      <c r="M88" s="12"/>
      <c r="N88" s="12"/>
      <c r="O88" s="12"/>
      <c r="P88" s="687">
        <f>基礎数値!G18</f>
        <v>130568</v>
      </c>
      <c r="Q88" s="687"/>
      <c r="R88" s="687"/>
      <c r="S88" s="687"/>
      <c r="T88" s="687"/>
      <c r="U88" s="687"/>
      <c r="V88" s="454"/>
      <c r="W88" s="455" t="s">
        <v>86</v>
      </c>
      <c r="X88" s="454"/>
      <c r="Y88" s="454"/>
      <c r="Z88" s="454"/>
      <c r="AA88" s="454"/>
      <c r="AB88" s="454"/>
      <c r="AC88" s="454"/>
      <c r="AD88" s="454"/>
      <c r="AE88" s="454"/>
      <c r="AF88" s="454"/>
      <c r="AG88" s="454"/>
      <c r="AH88" s="454"/>
      <c r="AI88" s="12"/>
      <c r="AJ88" s="454"/>
      <c r="AK88" s="454"/>
      <c r="AL88" s="454"/>
      <c r="AM88" s="454"/>
      <c r="AN88" s="454"/>
      <c r="AO88" s="454"/>
      <c r="AP88" s="454"/>
      <c r="AQ88" s="454"/>
      <c r="AR88" s="454"/>
      <c r="AS88" s="454"/>
      <c r="AT88" s="454"/>
      <c r="AU88" s="454"/>
      <c r="AV88" s="454"/>
      <c r="AW88" s="454"/>
      <c r="AX88" s="454"/>
      <c r="AY88" s="460"/>
      <c r="AZ88" s="663"/>
    </row>
    <row r="89" spans="2:52" ht="13.5" customHeight="1">
      <c r="B89" s="670"/>
      <c r="C89" s="685"/>
      <c r="D89" s="670"/>
      <c r="E89" s="28" t="s">
        <v>87</v>
      </c>
      <c r="F89" s="454"/>
      <c r="G89" s="454"/>
      <c r="H89" s="454"/>
      <c r="I89" s="454"/>
      <c r="J89" s="454"/>
      <c r="K89" s="454"/>
      <c r="L89" s="454"/>
      <c r="M89" s="454"/>
      <c r="N89" s="454"/>
      <c r="O89" s="454"/>
      <c r="P89" s="687">
        <f>基礎数値!G19</f>
        <v>99</v>
      </c>
      <c r="Q89" s="687"/>
      <c r="R89" s="687"/>
      <c r="S89" s="687"/>
      <c r="T89" s="687"/>
      <c r="U89" s="687"/>
      <c r="V89" s="454"/>
      <c r="W89" s="455" t="s">
        <v>86</v>
      </c>
      <c r="X89" s="454"/>
      <c r="Y89" s="454"/>
      <c r="Z89" s="454"/>
      <c r="AA89" s="454"/>
      <c r="AB89" s="454"/>
      <c r="AC89" s="454"/>
      <c r="AD89" s="454"/>
      <c r="AE89" s="454"/>
      <c r="AF89" s="454"/>
      <c r="AG89" s="454"/>
      <c r="AH89" s="454"/>
      <c r="AI89" s="454"/>
      <c r="AJ89" s="454"/>
      <c r="AK89" s="454"/>
      <c r="AL89" s="454"/>
      <c r="AM89" s="454"/>
      <c r="AN89" s="454"/>
      <c r="AO89" s="454"/>
      <c r="AP89" s="454"/>
      <c r="AQ89" s="454"/>
      <c r="AR89" s="454" t="s">
        <v>85</v>
      </c>
      <c r="AS89" s="665">
        <f>P88+P89</f>
        <v>130667</v>
      </c>
      <c r="AT89" s="665"/>
      <c r="AU89" s="665"/>
      <c r="AV89" s="665"/>
      <c r="AW89" s="665"/>
      <c r="AX89" s="665"/>
      <c r="AY89" s="460" t="s">
        <v>84</v>
      </c>
      <c r="AZ89" s="663"/>
    </row>
    <row r="90" spans="2:52" ht="13.5" customHeight="1">
      <c r="B90" s="670"/>
      <c r="C90" s="685"/>
      <c r="D90" s="670"/>
      <c r="E90" s="462"/>
      <c r="F90" s="12"/>
      <c r="G90" s="454"/>
      <c r="H90" s="454"/>
      <c r="I90" s="454"/>
      <c r="J90" s="454"/>
      <c r="K90" s="454"/>
      <c r="L90" s="454"/>
      <c r="M90" s="454"/>
      <c r="N90" s="454"/>
      <c r="O90" s="454"/>
      <c r="P90" s="454"/>
      <c r="Q90" s="454"/>
      <c r="R90" s="454"/>
      <c r="S90" s="454"/>
      <c r="T90" s="454"/>
      <c r="U90" s="454"/>
      <c r="V90" s="454"/>
      <c r="W90" s="454"/>
      <c r="X90" s="454"/>
      <c r="Y90" s="454"/>
      <c r="Z90" s="454"/>
      <c r="AA90" s="454"/>
      <c r="AB90" s="454"/>
      <c r="AC90" s="454"/>
      <c r="AD90" s="454"/>
      <c r="AE90" s="454"/>
      <c r="AF90" s="454"/>
      <c r="AG90" s="454"/>
      <c r="AH90" s="454"/>
      <c r="AI90" s="454"/>
      <c r="AJ90" s="454"/>
      <c r="AK90" s="454"/>
      <c r="AL90" s="454"/>
      <c r="AM90" s="454"/>
      <c r="AN90" s="454"/>
      <c r="AO90" s="454"/>
      <c r="AP90" s="454"/>
      <c r="AQ90" s="454"/>
      <c r="AR90" s="454"/>
      <c r="AS90" s="454"/>
      <c r="AT90" s="454"/>
      <c r="AU90" s="454"/>
      <c r="AV90" s="454"/>
      <c r="AW90" s="454"/>
      <c r="AX90" s="454"/>
      <c r="AY90" s="460"/>
      <c r="AZ90" s="663"/>
    </row>
    <row r="91" spans="2:52" ht="13.5" customHeight="1">
      <c r="B91" s="670"/>
      <c r="C91" s="685"/>
      <c r="D91" s="670"/>
      <c r="E91" s="462" t="s">
        <v>83</v>
      </c>
      <c r="F91" s="12"/>
      <c r="G91" s="454"/>
      <c r="H91" s="454"/>
      <c r="I91" s="454"/>
      <c r="J91" s="454"/>
      <c r="K91" s="454"/>
      <c r="L91" s="454"/>
      <c r="M91" s="454"/>
      <c r="N91" s="454"/>
      <c r="O91" s="454"/>
      <c r="P91" s="665">
        <f>ROUNDDOWN(AK21*100/108,0)</f>
        <v>0</v>
      </c>
      <c r="Q91" s="665"/>
      <c r="R91" s="665"/>
      <c r="S91" s="665"/>
      <c r="T91" s="665"/>
      <c r="U91" s="665"/>
      <c r="V91" s="454"/>
      <c r="W91" s="455" t="s">
        <v>211</v>
      </c>
      <c r="X91" s="454"/>
      <c r="Y91" s="454"/>
      <c r="Z91" s="454"/>
      <c r="AA91" s="454"/>
      <c r="AB91" s="454"/>
      <c r="AC91" s="454"/>
      <c r="AD91" s="454"/>
      <c r="AE91" s="454"/>
      <c r="AF91" s="454"/>
      <c r="AG91" s="454"/>
      <c r="AH91" s="454"/>
      <c r="AI91" s="454"/>
      <c r="AJ91" s="454"/>
      <c r="AK91" s="454"/>
      <c r="AL91" s="454"/>
      <c r="AM91" s="454"/>
      <c r="AN91" s="454"/>
      <c r="AO91" s="454"/>
      <c r="AP91" s="454"/>
      <c r="AQ91" s="454"/>
      <c r="AR91" s="454"/>
      <c r="AS91" s="454"/>
      <c r="AT91" s="454"/>
      <c r="AU91" s="454"/>
      <c r="AV91" s="454"/>
      <c r="AW91" s="454"/>
      <c r="AX91" s="454"/>
      <c r="AY91" s="460"/>
      <c r="AZ91" s="663"/>
    </row>
    <row r="92" spans="2:52" ht="13.5" customHeight="1">
      <c r="B92" s="670"/>
      <c r="C92" s="685"/>
      <c r="D92" s="670"/>
      <c r="E92" s="462" t="s">
        <v>133</v>
      </c>
      <c r="F92" s="12"/>
      <c r="G92" s="454"/>
      <c r="H92" s="454"/>
      <c r="I92" s="454"/>
      <c r="J92" s="454"/>
      <c r="K92" s="454"/>
      <c r="L92" s="454"/>
      <c r="M92" s="454"/>
      <c r="N92" s="454"/>
      <c r="O92" s="454"/>
      <c r="P92" s="665"/>
      <c r="Q92" s="665"/>
      <c r="R92" s="665"/>
      <c r="S92" s="665"/>
      <c r="T92" s="665"/>
      <c r="U92" s="665"/>
      <c r="V92" s="454"/>
      <c r="W92" s="455"/>
      <c r="X92" s="454"/>
      <c r="Y92" s="454"/>
      <c r="Z92" s="454"/>
      <c r="AA92" s="454"/>
      <c r="AB92" s="454"/>
      <c r="AC92" s="454"/>
      <c r="AD92" s="454"/>
      <c r="AE92" s="665"/>
      <c r="AF92" s="665"/>
      <c r="AG92" s="665"/>
      <c r="AH92" s="665"/>
      <c r="AI92" s="665"/>
      <c r="AJ92" s="665"/>
      <c r="AK92" s="455"/>
      <c r="AL92" s="454"/>
      <c r="AM92" s="454"/>
      <c r="AN92" s="454"/>
      <c r="AO92" s="454"/>
      <c r="AP92" s="454"/>
      <c r="AQ92" s="454"/>
      <c r="AR92" s="454"/>
      <c r="AS92" s="454"/>
      <c r="AT92" s="454"/>
      <c r="AU92" s="454"/>
      <c r="AV92" s="454"/>
      <c r="AW92" s="454"/>
      <c r="AX92" s="454"/>
      <c r="AY92" s="460"/>
      <c r="AZ92" s="663"/>
    </row>
    <row r="93" spans="2:52" ht="13.5" customHeight="1">
      <c r="B93" s="670"/>
      <c r="C93" s="685"/>
      <c r="D93" s="670"/>
      <c r="E93" s="462" t="s">
        <v>80</v>
      </c>
      <c r="F93" s="12"/>
      <c r="G93" s="454"/>
      <c r="H93" s="454"/>
      <c r="I93" s="454"/>
      <c r="J93" s="454"/>
      <c r="K93" s="454"/>
      <c r="L93" s="454"/>
      <c r="M93" s="454"/>
      <c r="N93" s="454"/>
      <c r="O93" s="454"/>
      <c r="P93" s="665"/>
      <c r="Q93" s="665"/>
      <c r="R93" s="665"/>
      <c r="S93" s="665"/>
      <c r="T93" s="665"/>
      <c r="U93" s="665"/>
      <c r="V93" s="454"/>
      <c r="W93" s="455"/>
      <c r="X93" s="454"/>
      <c r="Y93" s="454"/>
      <c r="Z93" s="454"/>
      <c r="AA93" s="454"/>
      <c r="AB93" s="454"/>
      <c r="AC93" s="454"/>
      <c r="AD93" s="454"/>
      <c r="AE93" s="454"/>
      <c r="AF93" s="454"/>
      <c r="AG93" s="454"/>
      <c r="AH93" s="454"/>
      <c r="AI93" s="454"/>
      <c r="AJ93" s="454"/>
      <c r="AK93" s="454"/>
      <c r="AL93" s="454"/>
      <c r="AM93" s="454"/>
      <c r="AN93" s="454"/>
      <c r="AO93" s="454"/>
      <c r="AP93" s="454"/>
      <c r="AQ93" s="454"/>
      <c r="AR93" s="454"/>
      <c r="AS93" s="454"/>
      <c r="AT93" s="454"/>
      <c r="AU93" s="454"/>
      <c r="AV93" s="454"/>
      <c r="AW93" s="454"/>
      <c r="AX93" s="454"/>
      <c r="AY93" s="460"/>
      <c r="AZ93" s="663"/>
    </row>
    <row r="94" spans="2:52" ht="13.5" customHeight="1" thickBot="1">
      <c r="B94" s="670"/>
      <c r="C94" s="685"/>
      <c r="D94" s="670"/>
      <c r="E94" s="462"/>
      <c r="F94" s="12"/>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454"/>
      <c r="AF94" s="454"/>
      <c r="AG94" s="454"/>
      <c r="AH94" s="454"/>
      <c r="AI94" s="454"/>
      <c r="AJ94" s="454"/>
      <c r="AK94" s="454"/>
      <c r="AL94" s="454"/>
      <c r="AM94" s="454"/>
      <c r="AN94" s="454"/>
      <c r="AO94" s="454"/>
      <c r="AP94" s="454"/>
      <c r="AQ94" s="454"/>
      <c r="AR94" s="454"/>
      <c r="AS94" s="454"/>
      <c r="AT94" s="454"/>
      <c r="AU94" s="454"/>
      <c r="AV94" s="454"/>
      <c r="AW94" s="454"/>
      <c r="AX94" s="454"/>
      <c r="AY94" s="460"/>
      <c r="AZ94" s="663"/>
    </row>
    <row r="95" spans="2:52" ht="13.5" customHeight="1" thickTop="1" thickBot="1">
      <c r="B95" s="670"/>
      <c r="C95" s="685"/>
      <c r="D95" s="670"/>
      <c r="E95" s="462" t="s">
        <v>79</v>
      </c>
      <c r="F95" s="12"/>
      <c r="G95" s="454"/>
      <c r="H95" s="454"/>
      <c r="I95" s="454"/>
      <c r="J95" s="454"/>
      <c r="K95" s="454"/>
      <c r="L95" s="454"/>
      <c r="M95" s="454"/>
      <c r="N95" s="454"/>
      <c r="O95" s="454"/>
      <c r="P95" s="672"/>
      <c r="Q95" s="673"/>
      <c r="R95" s="673"/>
      <c r="S95" s="673"/>
      <c r="T95" s="673"/>
      <c r="U95" s="674"/>
      <c r="V95" s="454"/>
      <c r="W95" s="455"/>
      <c r="X95" s="454"/>
      <c r="Y95" s="454"/>
      <c r="Z95" s="454"/>
      <c r="AA95" s="454"/>
      <c r="AB95" s="454"/>
      <c r="AC95" s="454"/>
      <c r="AD95" s="454"/>
      <c r="AE95" s="454"/>
      <c r="AF95" s="454"/>
      <c r="AG95" s="454"/>
      <c r="AH95" s="454"/>
      <c r="AI95" s="454"/>
      <c r="AJ95" s="454"/>
      <c r="AK95" s="454"/>
      <c r="AL95" s="454"/>
      <c r="AM95" s="454"/>
      <c r="AN95" s="454"/>
      <c r="AO95" s="454"/>
      <c r="AP95" s="454"/>
      <c r="AQ95" s="454"/>
      <c r="AR95" s="454"/>
      <c r="AS95" s="454"/>
      <c r="AT95" s="454"/>
      <c r="AU95" s="454"/>
      <c r="AV95" s="454"/>
      <c r="AW95" s="454"/>
      <c r="AX95" s="454"/>
      <c r="AY95" s="460"/>
      <c r="AZ95" s="663"/>
    </row>
    <row r="96" spans="2:52" ht="13.5" customHeight="1" thickTop="1">
      <c r="B96" s="670"/>
      <c r="C96" s="686"/>
      <c r="D96" s="681"/>
      <c r="E96" s="465"/>
      <c r="F96" s="7"/>
      <c r="G96" s="466"/>
      <c r="H96" s="466"/>
      <c r="I96" s="466"/>
      <c r="J96" s="466"/>
      <c r="K96" s="466"/>
      <c r="L96" s="466"/>
      <c r="M96" s="466"/>
      <c r="N96" s="466"/>
      <c r="O96" s="466"/>
      <c r="P96" s="466"/>
      <c r="Q96" s="466"/>
      <c r="R96" s="466"/>
      <c r="S96" s="466"/>
      <c r="T96" s="466"/>
      <c r="U96" s="466"/>
      <c r="V96" s="466"/>
      <c r="W96" s="466"/>
      <c r="X96" s="27"/>
      <c r="Y96" s="466"/>
      <c r="Z96" s="466"/>
      <c r="AA96" s="466"/>
      <c r="AB96" s="466"/>
      <c r="AC96" s="466"/>
      <c r="AD96" s="466"/>
      <c r="AE96" s="466"/>
      <c r="AF96" s="466"/>
      <c r="AG96" s="466"/>
      <c r="AH96" s="466"/>
      <c r="AI96" s="466"/>
      <c r="AJ96" s="466"/>
      <c r="AK96" s="466"/>
      <c r="AL96" s="466"/>
      <c r="AM96" s="466"/>
      <c r="AN96" s="466"/>
      <c r="AO96" s="466"/>
      <c r="AP96" s="466"/>
      <c r="AQ96" s="466"/>
      <c r="AR96" s="466"/>
      <c r="AS96" s="466"/>
      <c r="AT96" s="466"/>
      <c r="AU96" s="466"/>
      <c r="AV96" s="466"/>
      <c r="AW96" s="466"/>
      <c r="AX96" s="466"/>
      <c r="AY96" s="461"/>
      <c r="AZ96" s="664"/>
    </row>
    <row r="97" spans="2:52" ht="13.5" customHeight="1" thickBot="1">
      <c r="B97" s="670"/>
      <c r="C97" s="684">
        <v>2</v>
      </c>
      <c r="D97" s="680" t="s">
        <v>78</v>
      </c>
      <c r="E97" s="463"/>
      <c r="F97" s="17"/>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464"/>
      <c r="AI97" s="464"/>
      <c r="AJ97" s="464"/>
      <c r="AK97" s="464"/>
      <c r="AL97" s="464"/>
      <c r="AM97" s="464"/>
      <c r="AN97" s="464"/>
      <c r="AO97" s="464"/>
      <c r="AP97" s="464"/>
      <c r="AQ97" s="464"/>
      <c r="AR97" s="464"/>
      <c r="AS97" s="464"/>
      <c r="AT97" s="464"/>
      <c r="AU97" s="464"/>
      <c r="AV97" s="464"/>
      <c r="AW97" s="464"/>
      <c r="AX97" s="464"/>
      <c r="AY97" s="459"/>
      <c r="AZ97" s="489" t="s">
        <v>829</v>
      </c>
    </row>
    <row r="98" spans="2:52" ht="13.5" customHeight="1" thickTop="1" thickBot="1">
      <c r="B98" s="670"/>
      <c r="C98" s="685"/>
      <c r="D98" s="670"/>
      <c r="E98" s="462" t="s">
        <v>76</v>
      </c>
      <c r="F98" s="12"/>
      <c r="G98" s="454"/>
      <c r="H98" s="454"/>
      <c r="I98" s="454"/>
      <c r="J98" s="454"/>
      <c r="K98" s="454"/>
      <c r="L98" s="454"/>
      <c r="M98" s="454"/>
      <c r="N98" s="454"/>
      <c r="O98" s="454"/>
      <c r="P98" s="454"/>
      <c r="Q98" s="454"/>
      <c r="R98" s="454"/>
      <c r="S98" s="454"/>
      <c r="T98" s="454"/>
      <c r="U98" s="454"/>
      <c r="V98" s="454"/>
      <c r="W98" s="454"/>
      <c r="X98" s="454"/>
      <c r="Y98" s="454"/>
      <c r="Z98" s="667">
        <f>ROUNDDOWN(T70*'(申)計'!R36/'(申)計'!R40,0)</f>
        <v>30955</v>
      </c>
      <c r="AA98" s="668"/>
      <c r="AB98" s="668"/>
      <c r="AC98" s="668"/>
      <c r="AD98" s="668"/>
      <c r="AE98" s="669"/>
      <c r="AF98" s="454" t="s">
        <v>75</v>
      </c>
      <c r="AG98" s="455" t="s">
        <v>74</v>
      </c>
      <c r="AH98" s="454"/>
      <c r="AI98" s="454"/>
      <c r="AJ98" s="454"/>
      <c r="AK98" s="454"/>
      <c r="AL98" s="454"/>
      <c r="AM98" s="454"/>
      <c r="AN98" s="454"/>
      <c r="AO98" s="454"/>
      <c r="AP98" s="454"/>
      <c r="AQ98" s="454"/>
      <c r="AR98" s="454"/>
      <c r="AS98" s="454"/>
      <c r="AT98" s="454"/>
      <c r="AU98" s="454"/>
      <c r="AV98" s="454"/>
      <c r="AW98" s="454"/>
      <c r="AX98" s="454"/>
      <c r="AY98" s="460"/>
      <c r="AZ98" s="209" t="s">
        <v>845</v>
      </c>
    </row>
    <row r="99" spans="2:52" ht="13.5" customHeight="1" thickTop="1" thickBot="1">
      <c r="B99" s="670"/>
      <c r="C99" s="685"/>
      <c r="D99" s="670"/>
      <c r="E99" s="462"/>
      <c r="F99" s="12"/>
      <c r="G99" s="454"/>
      <c r="H99" s="454"/>
      <c r="I99" s="454"/>
      <c r="J99" s="454"/>
      <c r="K99" s="454"/>
      <c r="L99" s="454"/>
      <c r="M99" s="454"/>
      <c r="N99" s="454"/>
      <c r="O99" s="454"/>
      <c r="P99" s="454"/>
      <c r="Q99" s="454"/>
      <c r="R99" s="454"/>
      <c r="S99" s="454"/>
      <c r="T99" s="454"/>
      <c r="U99" s="26" t="s">
        <v>73</v>
      </c>
      <c r="V99" s="454"/>
      <c r="W99" s="454"/>
      <c r="X99" s="454"/>
      <c r="Y99" s="454"/>
      <c r="Z99" s="454"/>
      <c r="AA99" s="454"/>
      <c r="AB99" s="454"/>
      <c r="AC99" s="454"/>
      <c r="AD99" s="454"/>
      <c r="AE99" s="454"/>
      <c r="AF99" s="454"/>
      <c r="AG99" s="454"/>
      <c r="AH99" s="454"/>
      <c r="AI99" s="454"/>
      <c r="AJ99" s="454"/>
      <c r="AK99" s="454"/>
      <c r="AL99" s="454"/>
      <c r="AM99" s="454"/>
      <c r="AN99" s="454"/>
      <c r="AO99" s="454"/>
      <c r="AP99" s="454"/>
      <c r="AQ99" s="454"/>
      <c r="AR99" s="454"/>
      <c r="AS99" s="454"/>
      <c r="AT99" s="454"/>
      <c r="AU99" s="454"/>
      <c r="AV99" s="454"/>
      <c r="AW99" s="454"/>
      <c r="AX99" s="454"/>
      <c r="AY99" s="460"/>
      <c r="AZ99" s="487"/>
    </row>
    <row r="100" spans="2:52" ht="13.5" customHeight="1" thickTop="1" thickBot="1">
      <c r="B100" s="670"/>
      <c r="C100" s="685"/>
      <c r="D100" s="670"/>
      <c r="E100" s="462" t="s">
        <v>72</v>
      </c>
      <c r="F100" s="12"/>
      <c r="G100" s="454"/>
      <c r="H100" s="454"/>
      <c r="I100" s="454"/>
      <c r="J100" s="454"/>
      <c r="K100" s="454"/>
      <c r="L100" s="454"/>
      <c r="M100" s="454"/>
      <c r="N100" s="454"/>
      <c r="O100" s="454"/>
      <c r="P100" s="454"/>
      <c r="Q100" s="454"/>
      <c r="R100" s="454"/>
      <c r="S100" s="454"/>
      <c r="T100" s="454"/>
      <c r="U100" s="454"/>
      <c r="V100" s="454"/>
      <c r="W100" s="454"/>
      <c r="X100" s="454"/>
      <c r="Y100" s="454"/>
      <c r="Z100" s="667">
        <f>AS89</f>
        <v>130667</v>
      </c>
      <c r="AA100" s="668"/>
      <c r="AB100" s="668"/>
      <c r="AC100" s="668"/>
      <c r="AD100" s="668"/>
      <c r="AE100" s="669"/>
      <c r="AF100" s="454"/>
      <c r="AG100" s="455" t="s">
        <v>71</v>
      </c>
      <c r="AH100" s="454"/>
      <c r="AI100" s="454"/>
      <c r="AJ100" s="454"/>
      <c r="AK100" s="454"/>
      <c r="AL100" s="454"/>
      <c r="AM100" s="454"/>
      <c r="AN100" s="454"/>
      <c r="AO100" s="454"/>
      <c r="AP100" s="454"/>
      <c r="AQ100" s="454"/>
      <c r="AR100" s="454"/>
      <c r="AS100" s="454"/>
      <c r="AT100" s="454"/>
      <c r="AU100" s="454"/>
      <c r="AV100" s="454"/>
      <c r="AW100" s="454"/>
      <c r="AX100" s="454"/>
      <c r="AY100" s="460"/>
      <c r="AZ100" s="487" t="s">
        <v>62</v>
      </c>
    </row>
    <row r="101" spans="2:52" ht="13.5" customHeight="1" thickTop="1" thickBot="1">
      <c r="B101" s="670"/>
      <c r="C101" s="685"/>
      <c r="D101" s="670"/>
      <c r="E101" s="462" t="s">
        <v>210</v>
      </c>
      <c r="F101" s="12"/>
      <c r="G101" s="454"/>
      <c r="H101" s="454"/>
      <c r="I101" s="454"/>
      <c r="J101" s="454"/>
      <c r="K101" s="454"/>
      <c r="L101" s="454"/>
      <c r="M101" s="454"/>
      <c r="N101" s="454"/>
      <c r="O101" s="454"/>
      <c r="P101" s="454"/>
      <c r="Q101" s="454"/>
      <c r="R101" s="454"/>
      <c r="S101" s="454"/>
      <c r="T101" s="454"/>
      <c r="U101" s="454"/>
      <c r="V101" s="454"/>
      <c r="W101" s="454"/>
      <c r="X101" s="454"/>
      <c r="Y101" s="454"/>
      <c r="Z101" s="667">
        <f>ROUNDDOWN(Z100*62.4/1080,0)</f>
        <v>7549</v>
      </c>
      <c r="AA101" s="668"/>
      <c r="AB101" s="668"/>
      <c r="AC101" s="668"/>
      <c r="AD101" s="668"/>
      <c r="AE101" s="669"/>
      <c r="AF101" s="482" t="s">
        <v>815</v>
      </c>
      <c r="AG101" s="483" t="s">
        <v>816</v>
      </c>
      <c r="AH101" s="454"/>
      <c r="AI101" s="454"/>
      <c r="AJ101" s="454"/>
      <c r="AK101" s="454"/>
      <c r="AL101" s="454"/>
      <c r="AM101" s="454"/>
      <c r="AN101" s="454"/>
      <c r="AO101" s="454"/>
      <c r="AP101" s="454"/>
      <c r="AQ101" s="454"/>
      <c r="AR101" s="454"/>
      <c r="AS101" s="454"/>
      <c r="AT101" s="454"/>
      <c r="AU101" s="454"/>
      <c r="AV101" s="454"/>
      <c r="AW101" s="454"/>
      <c r="AX101" s="454"/>
      <c r="AY101" s="460"/>
      <c r="AZ101" s="487" t="s">
        <v>57</v>
      </c>
    </row>
    <row r="102" spans="2:52" ht="13.5" customHeight="1" thickTop="1" thickBot="1">
      <c r="B102" s="670"/>
      <c r="C102" s="685"/>
      <c r="D102" s="670"/>
      <c r="E102" s="462"/>
      <c r="F102" s="12"/>
      <c r="G102" s="454"/>
      <c r="H102" s="454"/>
      <c r="I102" s="454"/>
      <c r="J102" s="454"/>
      <c r="K102" s="454"/>
      <c r="L102" s="454"/>
      <c r="M102" s="454"/>
      <c r="N102" s="454"/>
      <c r="O102" s="454"/>
      <c r="P102" s="454"/>
      <c r="Q102" s="454"/>
      <c r="R102" s="454"/>
      <c r="S102" s="454"/>
      <c r="T102" s="454"/>
      <c r="U102" s="454"/>
      <c r="V102" s="454"/>
      <c r="W102" s="454"/>
      <c r="X102" s="454"/>
      <c r="Y102" s="454"/>
      <c r="Z102" s="454"/>
      <c r="AA102" s="454"/>
      <c r="AB102" s="454"/>
      <c r="AC102" s="454"/>
      <c r="AD102" s="454"/>
      <c r="AE102" s="454"/>
      <c r="AF102" s="454"/>
      <c r="AG102" s="454"/>
      <c r="AH102" s="454"/>
      <c r="AI102" s="454"/>
      <c r="AJ102" s="454"/>
      <c r="AK102" s="454"/>
      <c r="AL102" s="454"/>
      <c r="AM102" s="454"/>
      <c r="AN102" s="454"/>
      <c r="AO102" s="454"/>
      <c r="AP102" s="454"/>
      <c r="AQ102" s="454"/>
      <c r="AR102" s="454"/>
      <c r="AS102" s="454"/>
      <c r="AT102" s="454"/>
      <c r="AU102" s="454"/>
      <c r="AV102" s="454"/>
      <c r="AW102" s="454"/>
      <c r="AX102" s="454"/>
      <c r="AY102" s="460"/>
      <c r="AZ102" s="487"/>
    </row>
    <row r="103" spans="2:52" ht="13.5" customHeight="1" thickTop="1" thickBot="1">
      <c r="B103" s="670"/>
      <c r="C103" s="685"/>
      <c r="D103" s="670"/>
      <c r="E103" s="689" t="s">
        <v>65</v>
      </c>
      <c r="F103" s="678"/>
      <c r="G103" s="678"/>
      <c r="H103" s="678"/>
      <c r="I103" s="678"/>
      <c r="J103" s="678"/>
      <c r="K103" s="678"/>
      <c r="L103" s="678"/>
      <c r="M103" s="678"/>
      <c r="N103" s="678"/>
      <c r="O103" s="678"/>
      <c r="P103" s="678"/>
      <c r="Q103" s="678"/>
      <c r="R103" s="678"/>
      <c r="S103" s="454"/>
      <c r="T103" s="454"/>
      <c r="U103" s="454"/>
      <c r="V103" s="454"/>
      <c r="W103" s="454"/>
      <c r="X103" s="454"/>
      <c r="Y103" s="454"/>
      <c r="Z103" s="667">
        <f>'(申)計'!R36</f>
        <v>18871966907</v>
      </c>
      <c r="AA103" s="668"/>
      <c r="AB103" s="668"/>
      <c r="AC103" s="668"/>
      <c r="AD103" s="668"/>
      <c r="AE103" s="669"/>
      <c r="AF103" s="454"/>
      <c r="AG103" s="678" t="s">
        <v>64</v>
      </c>
      <c r="AH103" s="455" t="s">
        <v>63</v>
      </c>
      <c r="AI103" s="454"/>
      <c r="AJ103" s="454"/>
      <c r="AK103" s="454"/>
      <c r="AL103" s="454"/>
      <c r="AM103" s="454"/>
      <c r="AN103" s="454"/>
      <c r="AO103" s="454"/>
      <c r="AP103" s="454"/>
      <c r="AQ103" s="454"/>
      <c r="AR103" s="454"/>
      <c r="AS103" s="454"/>
      <c r="AT103" s="454"/>
      <c r="AU103" s="454"/>
      <c r="AV103" s="454"/>
      <c r="AW103" s="454"/>
      <c r="AX103" s="454"/>
      <c r="AY103" s="460"/>
      <c r="AZ103" s="666" t="s">
        <v>850</v>
      </c>
    </row>
    <row r="104" spans="2:52" ht="3" customHeight="1" thickTop="1">
      <c r="B104" s="670"/>
      <c r="C104" s="685"/>
      <c r="D104" s="670"/>
      <c r="E104" s="689"/>
      <c r="F104" s="678"/>
      <c r="G104" s="678"/>
      <c r="H104" s="678"/>
      <c r="I104" s="678"/>
      <c r="J104" s="678"/>
      <c r="K104" s="678"/>
      <c r="L104" s="678"/>
      <c r="M104" s="678"/>
      <c r="N104" s="678"/>
      <c r="O104" s="678"/>
      <c r="P104" s="678"/>
      <c r="Q104" s="678"/>
      <c r="R104" s="678"/>
      <c r="S104" s="454"/>
      <c r="T104" s="454"/>
      <c r="U104" s="454"/>
      <c r="V104" s="454"/>
      <c r="W104" s="454"/>
      <c r="X104" s="454"/>
      <c r="Y104" s="466"/>
      <c r="Z104" s="466"/>
      <c r="AA104" s="466"/>
      <c r="AB104" s="466"/>
      <c r="AC104" s="466"/>
      <c r="AD104" s="466"/>
      <c r="AE104" s="466"/>
      <c r="AF104" s="466"/>
      <c r="AG104" s="678"/>
      <c r="AH104" s="454"/>
      <c r="AI104" s="454"/>
      <c r="AJ104" s="454"/>
      <c r="AK104" s="454"/>
      <c r="AL104" s="454"/>
      <c r="AM104" s="454"/>
      <c r="AN104" s="454"/>
      <c r="AO104" s="454"/>
      <c r="AP104" s="454"/>
      <c r="AQ104" s="454"/>
      <c r="AR104" s="454"/>
      <c r="AS104" s="454"/>
      <c r="AT104" s="454"/>
      <c r="AU104" s="454"/>
      <c r="AV104" s="454"/>
      <c r="AW104" s="454"/>
      <c r="AX104" s="454"/>
      <c r="AY104" s="460"/>
      <c r="AZ104" s="666"/>
    </row>
    <row r="105" spans="2:52" ht="3" customHeight="1" thickBot="1">
      <c r="B105" s="670"/>
      <c r="C105" s="685"/>
      <c r="D105" s="670"/>
      <c r="E105" s="689"/>
      <c r="F105" s="678"/>
      <c r="G105" s="678"/>
      <c r="H105" s="678"/>
      <c r="I105" s="678"/>
      <c r="J105" s="678"/>
      <c r="K105" s="678"/>
      <c r="L105" s="678"/>
      <c r="M105" s="678"/>
      <c r="N105" s="678"/>
      <c r="O105" s="678"/>
      <c r="P105" s="678"/>
      <c r="Q105" s="678"/>
      <c r="R105" s="678"/>
      <c r="S105" s="454"/>
      <c r="T105" s="454"/>
      <c r="U105" s="454"/>
      <c r="V105" s="454"/>
      <c r="W105" s="454"/>
      <c r="X105" s="454"/>
      <c r="Y105" s="454"/>
      <c r="Z105" s="454"/>
      <c r="AA105" s="454"/>
      <c r="AB105" s="454"/>
      <c r="AC105" s="454"/>
      <c r="AD105" s="454"/>
      <c r="AE105" s="454"/>
      <c r="AF105" s="454"/>
      <c r="AG105" s="678"/>
      <c r="AH105" s="454"/>
      <c r="AI105" s="454"/>
      <c r="AJ105" s="454"/>
      <c r="AK105" s="454"/>
      <c r="AL105" s="454"/>
      <c r="AM105" s="454"/>
      <c r="AN105" s="454"/>
      <c r="AO105" s="454"/>
      <c r="AP105" s="454"/>
      <c r="AQ105" s="454"/>
      <c r="AR105" s="454"/>
      <c r="AS105" s="454"/>
      <c r="AT105" s="454"/>
      <c r="AU105" s="454"/>
      <c r="AV105" s="454"/>
      <c r="AW105" s="454"/>
      <c r="AX105" s="454"/>
      <c r="AY105" s="460"/>
      <c r="AZ105" s="666"/>
    </row>
    <row r="106" spans="2:52" ht="13.5" customHeight="1" thickTop="1" thickBot="1">
      <c r="B106" s="670"/>
      <c r="C106" s="685"/>
      <c r="D106" s="670"/>
      <c r="E106" s="689"/>
      <c r="F106" s="678"/>
      <c r="G106" s="678"/>
      <c r="H106" s="678"/>
      <c r="I106" s="678"/>
      <c r="J106" s="678"/>
      <c r="K106" s="678"/>
      <c r="L106" s="678"/>
      <c r="M106" s="678"/>
      <c r="N106" s="678"/>
      <c r="O106" s="678"/>
      <c r="P106" s="678"/>
      <c r="Q106" s="678"/>
      <c r="R106" s="678"/>
      <c r="S106" s="454"/>
      <c r="T106" s="454"/>
      <c r="U106" s="454"/>
      <c r="V106" s="454"/>
      <c r="W106" s="454"/>
      <c r="X106" s="454"/>
      <c r="Y106" s="454"/>
      <c r="Z106" s="667">
        <f>'(申)計'!R40</f>
        <v>18940559860</v>
      </c>
      <c r="AA106" s="668"/>
      <c r="AB106" s="668"/>
      <c r="AC106" s="668"/>
      <c r="AD106" s="668"/>
      <c r="AE106" s="669"/>
      <c r="AF106" s="454"/>
      <c r="AG106" s="678"/>
      <c r="AH106" s="455" t="s">
        <v>61</v>
      </c>
      <c r="AI106" s="454"/>
      <c r="AJ106" s="454"/>
      <c r="AK106" s="454"/>
      <c r="AL106" s="454"/>
      <c r="AM106" s="454"/>
      <c r="AN106" s="454"/>
      <c r="AO106" s="454"/>
      <c r="AP106" s="454"/>
      <c r="AQ106" s="454"/>
      <c r="AR106" s="454"/>
      <c r="AS106" s="454"/>
      <c r="AT106" s="454"/>
      <c r="AU106" s="454"/>
      <c r="AV106" s="454"/>
      <c r="AW106" s="454"/>
      <c r="AX106" s="454"/>
      <c r="AY106" s="460"/>
      <c r="AZ106" s="666"/>
    </row>
    <row r="107" spans="2:52" ht="13.5" customHeight="1" thickTop="1" thickBot="1">
      <c r="B107" s="670"/>
      <c r="C107" s="685"/>
      <c r="D107" s="670"/>
      <c r="E107" s="462"/>
      <c r="F107" s="12"/>
      <c r="G107" s="454"/>
      <c r="H107" s="454"/>
      <c r="I107" s="454"/>
      <c r="J107" s="454"/>
      <c r="K107" s="454"/>
      <c r="L107" s="454"/>
      <c r="M107" s="454"/>
      <c r="N107" s="454"/>
      <c r="O107" s="454"/>
      <c r="P107" s="454"/>
      <c r="Q107" s="454"/>
      <c r="R107" s="454"/>
      <c r="S107" s="454"/>
      <c r="T107" s="454"/>
      <c r="U107" s="454"/>
      <c r="V107" s="454"/>
      <c r="W107" s="454"/>
      <c r="X107" s="454"/>
      <c r="Y107" s="454"/>
      <c r="Z107" s="454"/>
      <c r="AA107" s="454"/>
      <c r="AB107" s="454"/>
      <c r="AC107" s="454"/>
      <c r="AD107" s="454"/>
      <c r="AE107" s="454"/>
      <c r="AF107" s="454"/>
      <c r="AG107" s="454"/>
      <c r="AH107" s="454"/>
      <c r="AI107" s="454"/>
      <c r="AJ107" s="454"/>
      <c r="AK107" s="454"/>
      <c r="AL107" s="454"/>
      <c r="AM107" s="454"/>
      <c r="AN107" s="454"/>
      <c r="AO107" s="454"/>
      <c r="AP107" s="454"/>
      <c r="AQ107" s="454"/>
      <c r="AR107" s="454"/>
      <c r="AS107" s="454"/>
      <c r="AT107" s="454"/>
      <c r="AU107" s="454"/>
      <c r="AV107" s="454"/>
      <c r="AW107" s="454"/>
      <c r="AX107" s="454"/>
      <c r="AY107" s="460"/>
      <c r="AZ107" s="487"/>
    </row>
    <row r="108" spans="2:52" ht="13.5" customHeight="1" thickTop="1" thickBot="1">
      <c r="B108" s="670"/>
      <c r="C108" s="685"/>
      <c r="D108" s="670"/>
      <c r="E108" s="462" t="s">
        <v>60</v>
      </c>
      <c r="F108" s="12"/>
      <c r="G108" s="454"/>
      <c r="H108" s="454"/>
      <c r="I108" s="454"/>
      <c r="J108" s="454"/>
      <c r="K108" s="454"/>
      <c r="L108" s="454"/>
      <c r="M108" s="454"/>
      <c r="N108" s="454"/>
      <c r="O108" s="454"/>
      <c r="P108" s="454"/>
      <c r="Q108" s="454"/>
      <c r="R108" s="454"/>
      <c r="S108" s="454"/>
      <c r="T108" s="454"/>
      <c r="U108" s="454"/>
      <c r="V108" s="454"/>
      <c r="W108" s="454"/>
      <c r="X108" s="454"/>
      <c r="Y108" s="454"/>
      <c r="Z108" s="667">
        <f>ROUNDDOWN(Z101*Z103/Z106,0)</f>
        <v>7521</v>
      </c>
      <c r="AA108" s="668"/>
      <c r="AB108" s="668"/>
      <c r="AC108" s="668"/>
      <c r="AD108" s="668"/>
      <c r="AE108" s="669"/>
      <c r="AF108" s="454" t="s">
        <v>59</v>
      </c>
      <c r="AG108" s="455" t="s">
        <v>58</v>
      </c>
      <c r="AH108" s="454"/>
      <c r="AI108" s="454"/>
      <c r="AJ108" s="454"/>
      <c r="AK108" s="454"/>
      <c r="AL108" s="454"/>
      <c r="AM108" s="454"/>
      <c r="AN108" s="454"/>
      <c r="AO108" s="454"/>
      <c r="AP108" s="454"/>
      <c r="AQ108" s="454"/>
      <c r="AR108" s="454"/>
      <c r="AS108" s="454"/>
      <c r="AT108" s="454"/>
      <c r="AU108" s="454"/>
      <c r="AV108" s="454"/>
      <c r="AW108" s="454"/>
      <c r="AX108" s="454"/>
      <c r="AY108" s="460"/>
      <c r="AZ108" s="487" t="s">
        <v>851</v>
      </c>
    </row>
    <row r="109" spans="2:52" ht="13.5" customHeight="1" thickTop="1">
      <c r="B109" s="670"/>
      <c r="C109" s="685"/>
      <c r="D109" s="670"/>
      <c r="E109" s="462"/>
      <c r="F109" s="12"/>
      <c r="G109" s="454"/>
      <c r="H109" s="454"/>
      <c r="I109" s="454"/>
      <c r="J109" s="454"/>
      <c r="K109" s="454"/>
      <c r="L109" s="454"/>
      <c r="M109" s="454"/>
      <c r="N109" s="454"/>
      <c r="O109" s="454"/>
      <c r="P109" s="454"/>
      <c r="Q109" s="454"/>
      <c r="R109" s="454"/>
      <c r="S109" s="454"/>
      <c r="T109" s="454"/>
      <c r="U109" s="454"/>
      <c r="V109" s="454"/>
      <c r="W109" s="454"/>
      <c r="X109" s="454"/>
      <c r="Y109" s="454"/>
      <c r="Z109" s="454"/>
      <c r="AA109" s="454"/>
      <c r="AB109" s="454"/>
      <c r="AC109" s="454"/>
      <c r="AD109" s="454"/>
      <c r="AE109" s="454"/>
      <c r="AF109" s="454"/>
      <c r="AG109" s="454"/>
      <c r="AH109" s="454"/>
      <c r="AI109" s="454"/>
      <c r="AJ109" s="454"/>
      <c r="AK109" s="454"/>
      <c r="AL109" s="454"/>
      <c r="AM109" s="454"/>
      <c r="AN109" s="454"/>
      <c r="AO109" s="454"/>
      <c r="AP109" s="454"/>
      <c r="AQ109" s="454"/>
      <c r="AR109" s="454"/>
      <c r="AS109" s="454"/>
      <c r="AT109" s="454"/>
      <c r="AU109" s="454"/>
      <c r="AV109" s="454"/>
      <c r="AW109" s="454"/>
      <c r="AX109" s="454"/>
      <c r="AY109" s="460"/>
      <c r="AZ109" s="487"/>
    </row>
    <row r="110" spans="2:52" ht="13.5" customHeight="1" thickBot="1">
      <c r="B110" s="670"/>
      <c r="C110" s="685"/>
      <c r="D110" s="670"/>
      <c r="E110" s="462" t="s">
        <v>56</v>
      </c>
      <c r="F110" s="12"/>
      <c r="G110" s="454"/>
      <c r="H110" s="454"/>
      <c r="I110" s="454"/>
      <c r="J110" s="454"/>
      <c r="K110" s="454"/>
      <c r="L110" s="454"/>
      <c r="M110" s="454"/>
      <c r="N110" s="454"/>
      <c r="O110" s="454"/>
      <c r="P110" s="454"/>
      <c r="Q110" s="454"/>
      <c r="R110" s="454"/>
      <c r="S110" s="454"/>
      <c r="T110" s="454"/>
      <c r="U110" s="454"/>
      <c r="V110" s="454"/>
      <c r="W110" s="454"/>
      <c r="X110" s="454"/>
      <c r="Y110" s="454"/>
      <c r="Z110" s="454"/>
      <c r="AA110" s="454"/>
      <c r="AB110" s="454"/>
      <c r="AC110" s="454"/>
      <c r="AD110" s="454"/>
      <c r="AE110" s="454"/>
      <c r="AF110" s="454"/>
      <c r="AG110" s="454"/>
      <c r="AH110" s="454"/>
      <c r="AI110" s="454"/>
      <c r="AJ110" s="454"/>
      <c r="AK110" s="454"/>
      <c r="AL110" s="454"/>
      <c r="AM110" s="454"/>
      <c r="AN110" s="454"/>
      <c r="AO110" s="454"/>
      <c r="AP110" s="454"/>
      <c r="AQ110" s="454"/>
      <c r="AR110" s="454"/>
      <c r="AS110" s="454"/>
      <c r="AT110" s="454"/>
      <c r="AU110" s="454"/>
      <c r="AV110" s="454"/>
      <c r="AW110" s="454"/>
      <c r="AX110" s="454"/>
      <c r="AY110" s="460"/>
      <c r="AZ110" s="487"/>
    </row>
    <row r="111" spans="2:52" ht="13.5" customHeight="1" thickTop="1" thickBot="1">
      <c r="B111" s="670"/>
      <c r="C111" s="685"/>
      <c r="D111" s="670"/>
      <c r="E111" s="462"/>
      <c r="F111" s="12" t="s">
        <v>194</v>
      </c>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667">
        <f>Z98-Z108</f>
        <v>23434</v>
      </c>
      <c r="AD111" s="668"/>
      <c r="AE111" s="668"/>
      <c r="AF111" s="668"/>
      <c r="AG111" s="668"/>
      <c r="AH111" s="669"/>
      <c r="AI111" s="454" t="s">
        <v>54</v>
      </c>
      <c r="AJ111" s="455" t="s">
        <v>53</v>
      </c>
      <c r="AK111" s="454"/>
      <c r="AL111" s="454"/>
      <c r="AM111" s="454"/>
      <c r="AN111" s="454"/>
      <c r="AO111" s="454"/>
      <c r="AP111" s="454"/>
      <c r="AQ111" s="454"/>
      <c r="AR111" s="454"/>
      <c r="AS111" s="454"/>
      <c r="AT111" s="454"/>
      <c r="AU111" s="454"/>
      <c r="AV111" s="454"/>
      <c r="AW111" s="454"/>
      <c r="AX111" s="454"/>
      <c r="AY111" s="460"/>
      <c r="AZ111" s="487" t="s">
        <v>847</v>
      </c>
    </row>
    <row r="112" spans="2:52" ht="13.5" customHeight="1" thickTop="1" thickBot="1">
      <c r="B112" s="670"/>
      <c r="C112" s="685"/>
      <c r="D112" s="670"/>
      <c r="E112" s="462"/>
      <c r="F112" s="12"/>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454"/>
      <c r="AD112" s="454"/>
      <c r="AE112" s="454"/>
      <c r="AF112" s="454"/>
      <c r="AG112" s="454"/>
      <c r="AH112" s="454"/>
      <c r="AI112" s="454"/>
      <c r="AJ112" s="454"/>
      <c r="AK112" s="454"/>
      <c r="AL112" s="454"/>
      <c r="AM112" s="454"/>
      <c r="AN112" s="454"/>
      <c r="AO112" s="454"/>
      <c r="AP112" s="454"/>
      <c r="AQ112" s="454"/>
      <c r="AR112" s="454"/>
      <c r="AS112" s="454"/>
      <c r="AT112" s="454"/>
      <c r="AU112" s="454"/>
      <c r="AV112" s="454"/>
      <c r="AW112" s="454"/>
      <c r="AX112" s="454"/>
      <c r="AY112" s="460"/>
      <c r="AZ112" s="487"/>
    </row>
    <row r="113" spans="2:52" ht="13.5" customHeight="1" thickTop="1" thickBot="1">
      <c r="B113" s="670"/>
      <c r="C113" s="685"/>
      <c r="D113" s="670"/>
      <c r="E113" s="462"/>
      <c r="F113" s="678" t="s">
        <v>51</v>
      </c>
      <c r="G113" s="678"/>
      <c r="H113" s="678"/>
      <c r="I113" s="678"/>
      <c r="J113" s="678"/>
      <c r="K113" s="678"/>
      <c r="L113" s="678"/>
      <c r="M113" s="678"/>
      <c r="N113" s="678"/>
      <c r="O113" s="678"/>
      <c r="P113" s="678"/>
      <c r="Q113" s="678"/>
      <c r="R113" s="678"/>
      <c r="S113" s="678"/>
      <c r="T113" s="454"/>
      <c r="U113" s="454"/>
      <c r="V113" s="454"/>
      <c r="W113" s="454"/>
      <c r="X113" s="454"/>
      <c r="Y113" s="454"/>
      <c r="Z113" s="454"/>
      <c r="AA113" s="675">
        <f>'(申)計'!AA113</f>
        <v>0</v>
      </c>
      <c r="AB113" s="676"/>
      <c r="AC113" s="676"/>
      <c r="AD113" s="676"/>
      <c r="AE113" s="676"/>
      <c r="AF113" s="677"/>
      <c r="AG113" s="454"/>
      <c r="AH113" s="678" t="s">
        <v>50</v>
      </c>
      <c r="AI113" s="679" t="s">
        <v>49</v>
      </c>
      <c r="AJ113" s="679"/>
      <c r="AK113" s="679"/>
      <c r="AL113" s="679"/>
      <c r="AM113" s="679"/>
      <c r="AN113" s="679"/>
      <c r="AO113" s="679"/>
      <c r="AP113" s="679"/>
      <c r="AQ113" s="679"/>
      <c r="AR113" s="454"/>
      <c r="AS113" s="454"/>
      <c r="AT113" s="454"/>
      <c r="AU113" s="454"/>
      <c r="AV113" s="454"/>
      <c r="AW113" s="454"/>
      <c r="AX113" s="454"/>
      <c r="AY113" s="460"/>
      <c r="AZ113" s="666" t="s">
        <v>852</v>
      </c>
    </row>
    <row r="114" spans="2:52" ht="3" customHeight="1" thickTop="1">
      <c r="B114" s="670"/>
      <c r="C114" s="685"/>
      <c r="D114" s="670"/>
      <c r="E114" s="462"/>
      <c r="F114" s="678"/>
      <c r="G114" s="678"/>
      <c r="H114" s="678"/>
      <c r="I114" s="678"/>
      <c r="J114" s="678"/>
      <c r="K114" s="678"/>
      <c r="L114" s="678"/>
      <c r="M114" s="678"/>
      <c r="N114" s="678"/>
      <c r="O114" s="678"/>
      <c r="P114" s="678"/>
      <c r="Q114" s="678"/>
      <c r="R114" s="678"/>
      <c r="S114" s="678"/>
      <c r="T114" s="454"/>
      <c r="U114" s="454"/>
      <c r="V114" s="454"/>
      <c r="W114" s="454"/>
      <c r="X114" s="454"/>
      <c r="Y114" s="454"/>
      <c r="Z114" s="466"/>
      <c r="AA114" s="466"/>
      <c r="AB114" s="466"/>
      <c r="AC114" s="466"/>
      <c r="AD114" s="466"/>
      <c r="AE114" s="466"/>
      <c r="AF114" s="466"/>
      <c r="AG114" s="466"/>
      <c r="AH114" s="678"/>
      <c r="AI114" s="679"/>
      <c r="AJ114" s="679"/>
      <c r="AK114" s="679"/>
      <c r="AL114" s="679"/>
      <c r="AM114" s="679"/>
      <c r="AN114" s="679"/>
      <c r="AO114" s="679"/>
      <c r="AP114" s="679"/>
      <c r="AQ114" s="679"/>
      <c r="AR114" s="454"/>
      <c r="AS114" s="454"/>
      <c r="AT114" s="454"/>
      <c r="AU114" s="454"/>
      <c r="AV114" s="454"/>
      <c r="AW114" s="454"/>
      <c r="AX114" s="454"/>
      <c r="AY114" s="460"/>
      <c r="AZ114" s="666"/>
    </row>
    <row r="115" spans="2:52" ht="3" customHeight="1" thickBot="1">
      <c r="B115" s="670"/>
      <c r="C115" s="685"/>
      <c r="D115" s="670"/>
      <c r="E115" s="462"/>
      <c r="F115" s="678"/>
      <c r="G115" s="678"/>
      <c r="H115" s="678"/>
      <c r="I115" s="678"/>
      <c r="J115" s="678"/>
      <c r="K115" s="678"/>
      <c r="L115" s="678"/>
      <c r="M115" s="678"/>
      <c r="N115" s="678"/>
      <c r="O115" s="678"/>
      <c r="P115" s="678"/>
      <c r="Q115" s="678"/>
      <c r="R115" s="678"/>
      <c r="S115" s="678"/>
      <c r="T115" s="454"/>
      <c r="U115" s="454"/>
      <c r="V115" s="454"/>
      <c r="W115" s="454"/>
      <c r="X115" s="454"/>
      <c r="Y115" s="454"/>
      <c r="Z115" s="454"/>
      <c r="AA115" s="454"/>
      <c r="AB115" s="454"/>
      <c r="AC115" s="454"/>
      <c r="AD115" s="454"/>
      <c r="AE115" s="454"/>
      <c r="AF115" s="454"/>
      <c r="AG115" s="454"/>
      <c r="AH115" s="678"/>
      <c r="AI115" s="679"/>
      <c r="AJ115" s="679"/>
      <c r="AK115" s="679"/>
      <c r="AL115" s="679"/>
      <c r="AM115" s="679"/>
      <c r="AN115" s="679"/>
      <c r="AO115" s="679"/>
      <c r="AP115" s="679"/>
      <c r="AQ115" s="679"/>
      <c r="AR115" s="454"/>
      <c r="AS115" s="454"/>
      <c r="AT115" s="454"/>
      <c r="AU115" s="454"/>
      <c r="AV115" s="454"/>
      <c r="AW115" s="454"/>
      <c r="AX115" s="454"/>
      <c r="AY115" s="460"/>
      <c r="AZ115" s="666"/>
    </row>
    <row r="116" spans="2:52" ht="13.5" customHeight="1" thickTop="1" thickBot="1">
      <c r="B116" s="670"/>
      <c r="C116" s="685"/>
      <c r="D116" s="670"/>
      <c r="E116" s="462"/>
      <c r="F116" s="678"/>
      <c r="G116" s="678"/>
      <c r="H116" s="678"/>
      <c r="I116" s="678"/>
      <c r="J116" s="678"/>
      <c r="K116" s="678"/>
      <c r="L116" s="678"/>
      <c r="M116" s="678"/>
      <c r="N116" s="678"/>
      <c r="O116" s="678"/>
      <c r="P116" s="678"/>
      <c r="Q116" s="678"/>
      <c r="R116" s="678"/>
      <c r="S116" s="678"/>
      <c r="T116" s="454"/>
      <c r="U116" s="454"/>
      <c r="V116" s="454"/>
      <c r="W116" s="454"/>
      <c r="X116" s="454"/>
      <c r="Y116" s="454"/>
      <c r="Z116" s="454"/>
      <c r="AA116" s="667">
        <f>'(申)計'!AA116</f>
        <v>18950268779</v>
      </c>
      <c r="AB116" s="668"/>
      <c r="AC116" s="668"/>
      <c r="AD116" s="668"/>
      <c r="AE116" s="668"/>
      <c r="AF116" s="669"/>
      <c r="AG116" s="454"/>
      <c r="AH116" s="678"/>
      <c r="AI116" s="679"/>
      <c r="AJ116" s="679"/>
      <c r="AK116" s="679"/>
      <c r="AL116" s="679"/>
      <c r="AM116" s="679"/>
      <c r="AN116" s="679"/>
      <c r="AO116" s="679"/>
      <c r="AP116" s="679"/>
      <c r="AQ116" s="679"/>
      <c r="AR116" s="454"/>
      <c r="AS116" s="454"/>
      <c r="AT116" s="454"/>
      <c r="AU116" s="454"/>
      <c r="AV116" s="454"/>
      <c r="AW116" s="454"/>
      <c r="AX116" s="454"/>
      <c r="AY116" s="460"/>
      <c r="AZ116" s="666"/>
    </row>
    <row r="117" spans="2:52" ht="13.5" customHeight="1" thickTop="1" thickBot="1">
      <c r="B117" s="670"/>
      <c r="C117" s="685"/>
      <c r="D117" s="670"/>
      <c r="E117" s="462"/>
      <c r="F117" s="12"/>
      <c r="G117" s="454"/>
      <c r="H117" s="454"/>
      <c r="I117" s="454"/>
      <c r="J117" s="454"/>
      <c r="K117" s="454"/>
      <c r="L117" s="454"/>
      <c r="M117" s="454"/>
      <c r="N117" s="454"/>
      <c r="O117" s="454"/>
      <c r="P117" s="454"/>
      <c r="Q117" s="454"/>
      <c r="R117" s="454"/>
      <c r="S117" s="454"/>
      <c r="T117" s="454"/>
      <c r="U117" s="454"/>
      <c r="V117" s="454"/>
      <c r="W117" s="454"/>
      <c r="X117" s="454"/>
      <c r="Y117" s="454"/>
      <c r="Z117" s="454"/>
      <c r="AA117" s="454"/>
      <c r="AB117" s="454"/>
      <c r="AC117" s="454"/>
      <c r="AD117" s="454"/>
      <c r="AE117" s="454"/>
      <c r="AF117" s="454"/>
      <c r="AG117" s="454"/>
      <c r="AH117" s="454"/>
      <c r="AI117" s="454"/>
      <c r="AJ117" s="454"/>
      <c r="AK117" s="454"/>
      <c r="AL117" s="454"/>
      <c r="AM117" s="454"/>
      <c r="AN117" s="454"/>
      <c r="AO117" s="454"/>
      <c r="AP117" s="454"/>
      <c r="AQ117" s="454"/>
      <c r="AR117" s="454"/>
      <c r="AS117" s="454"/>
      <c r="AT117" s="454"/>
      <c r="AU117" s="454"/>
      <c r="AV117" s="454"/>
      <c r="AW117" s="454"/>
      <c r="AX117" s="454"/>
      <c r="AY117" s="460"/>
      <c r="AZ117" s="487"/>
    </row>
    <row r="118" spans="2:52" ht="13.5" customHeight="1" thickTop="1" thickBot="1">
      <c r="B118" s="670"/>
      <c r="C118" s="685"/>
      <c r="D118" s="670"/>
      <c r="E118" s="462"/>
      <c r="F118" s="454" t="s">
        <v>47</v>
      </c>
      <c r="G118" s="454"/>
      <c r="H118" s="454"/>
      <c r="I118" s="454"/>
      <c r="J118" s="454"/>
      <c r="K118" s="454"/>
      <c r="L118" s="454"/>
      <c r="M118" s="454"/>
      <c r="N118" s="454"/>
      <c r="O118" s="454"/>
      <c r="P118" s="454"/>
      <c r="Q118" s="454"/>
      <c r="R118" s="454"/>
      <c r="S118" s="454"/>
      <c r="T118" s="454"/>
      <c r="U118" s="454"/>
      <c r="V118" s="454"/>
      <c r="W118" s="454"/>
      <c r="X118" s="454"/>
      <c r="Y118" s="454"/>
      <c r="Z118" s="454"/>
      <c r="AA118" s="667">
        <f>ROUNDDOWN(AC111*AA113/AA116,0)</f>
        <v>0</v>
      </c>
      <c r="AB118" s="668"/>
      <c r="AC118" s="668"/>
      <c r="AD118" s="668"/>
      <c r="AE118" s="668"/>
      <c r="AF118" s="669"/>
      <c r="AG118" s="454" t="s">
        <v>46</v>
      </c>
      <c r="AH118" s="455" t="s">
        <v>45</v>
      </c>
      <c r="AI118" s="454"/>
      <c r="AJ118" s="454"/>
      <c r="AK118" s="454"/>
      <c r="AL118" s="454"/>
      <c r="AM118" s="454"/>
      <c r="AN118" s="454"/>
      <c r="AO118" s="454"/>
      <c r="AP118" s="454"/>
      <c r="AQ118" s="454"/>
      <c r="AR118" s="454"/>
      <c r="AS118" s="454"/>
      <c r="AT118" s="454"/>
      <c r="AU118" s="454"/>
      <c r="AV118" s="454"/>
      <c r="AW118" s="454"/>
      <c r="AX118" s="454"/>
      <c r="AY118" s="460"/>
      <c r="AZ118" s="487" t="s">
        <v>837</v>
      </c>
    </row>
    <row r="119" spans="2:52" ht="13.5" customHeight="1" thickTop="1" thickBot="1">
      <c r="B119" s="670"/>
      <c r="C119" s="685"/>
      <c r="D119" s="670"/>
      <c r="E119" s="462"/>
      <c r="F119" s="12"/>
      <c r="G119" s="454"/>
      <c r="H119" s="454"/>
      <c r="I119" s="454"/>
      <c r="J119" s="454"/>
      <c r="K119" s="454"/>
      <c r="L119" s="454"/>
      <c r="M119" s="454"/>
      <c r="N119" s="454"/>
      <c r="O119" s="454"/>
      <c r="P119" s="454"/>
      <c r="Q119" s="454"/>
      <c r="R119" s="454"/>
      <c r="S119" s="454"/>
      <c r="T119" s="454"/>
      <c r="U119" s="454"/>
      <c r="V119" s="454"/>
      <c r="W119" s="454"/>
      <c r="X119" s="454"/>
      <c r="Y119" s="454"/>
      <c r="Z119" s="454"/>
      <c r="AA119" s="454"/>
      <c r="AB119" s="454"/>
      <c r="AC119" s="454"/>
      <c r="AD119" s="454"/>
      <c r="AE119" s="454"/>
      <c r="AF119" s="454"/>
      <c r="AG119" s="454"/>
      <c r="AH119" s="454"/>
      <c r="AI119" s="454"/>
      <c r="AJ119" s="454"/>
      <c r="AK119" s="454"/>
      <c r="AL119" s="454"/>
      <c r="AM119" s="454"/>
      <c r="AN119" s="454"/>
      <c r="AO119" s="454"/>
      <c r="AP119" s="454"/>
      <c r="AQ119" s="454"/>
      <c r="AR119" s="454"/>
      <c r="AS119" s="454"/>
      <c r="AT119" s="454"/>
      <c r="AU119" s="454"/>
      <c r="AV119" s="454"/>
      <c r="AW119" s="454"/>
      <c r="AX119" s="454"/>
      <c r="AY119" s="460"/>
      <c r="AZ119" s="487" t="s">
        <v>838</v>
      </c>
    </row>
    <row r="120" spans="2:52" ht="13.5" customHeight="1" thickTop="1" thickBot="1">
      <c r="B120" s="670"/>
      <c r="C120" s="685"/>
      <c r="D120" s="670"/>
      <c r="E120" s="462" t="s">
        <v>43</v>
      </c>
      <c r="F120" s="12"/>
      <c r="G120" s="454"/>
      <c r="H120" s="454"/>
      <c r="I120" s="454"/>
      <c r="J120" s="454"/>
      <c r="K120" s="454"/>
      <c r="L120" s="454"/>
      <c r="M120" s="454"/>
      <c r="N120" s="454"/>
      <c r="O120" s="454"/>
      <c r="P120" s="454"/>
      <c r="Q120" s="454"/>
      <c r="R120" s="454"/>
      <c r="S120" s="454"/>
      <c r="T120" s="454"/>
      <c r="U120" s="454"/>
      <c r="V120" s="454"/>
      <c r="W120" s="454"/>
      <c r="X120" s="454"/>
      <c r="Y120" s="454"/>
      <c r="Z120" s="667">
        <f>Z108+AA118</f>
        <v>7521</v>
      </c>
      <c r="AA120" s="668"/>
      <c r="AB120" s="668"/>
      <c r="AC120" s="668"/>
      <c r="AD120" s="668"/>
      <c r="AE120" s="669"/>
      <c r="AF120" s="454" t="s">
        <v>42</v>
      </c>
      <c r="AG120" s="455" t="s">
        <v>41</v>
      </c>
      <c r="AH120" s="454"/>
      <c r="AI120" s="454"/>
      <c r="AJ120" s="454"/>
      <c r="AK120" s="454"/>
      <c r="AL120" s="454"/>
      <c r="AM120" s="454"/>
      <c r="AN120" s="454"/>
      <c r="AO120" s="454"/>
      <c r="AP120" s="454"/>
      <c r="AQ120" s="454"/>
      <c r="AR120" s="454"/>
      <c r="AS120" s="454"/>
      <c r="AT120" s="454"/>
      <c r="AU120" s="454"/>
      <c r="AV120" s="454"/>
      <c r="AW120" s="454"/>
      <c r="AX120" s="454"/>
      <c r="AY120" s="460"/>
      <c r="AZ120" s="487" t="s">
        <v>846</v>
      </c>
    </row>
    <row r="121" spans="2:52" ht="13.5" customHeight="1" thickTop="1" thickBot="1">
      <c r="B121" s="670"/>
      <c r="C121" s="685"/>
      <c r="D121" s="670"/>
      <c r="E121" s="462"/>
      <c r="F121" s="12"/>
      <c r="G121" s="454"/>
      <c r="H121" s="454"/>
      <c r="I121" s="454"/>
      <c r="J121" s="454"/>
      <c r="K121" s="454"/>
      <c r="L121" s="454"/>
      <c r="M121" s="454"/>
      <c r="N121" s="454"/>
      <c r="O121" s="454"/>
      <c r="P121" s="454"/>
      <c r="Q121" s="454"/>
      <c r="R121" s="454"/>
      <c r="S121" s="454"/>
      <c r="T121" s="454"/>
      <c r="U121" s="454"/>
      <c r="V121" s="454"/>
      <c r="W121" s="454"/>
      <c r="X121" s="454"/>
      <c r="Y121" s="454"/>
      <c r="Z121" s="454"/>
      <c r="AA121" s="454"/>
      <c r="AB121" s="454"/>
      <c r="AC121" s="454"/>
      <c r="AD121" s="454"/>
      <c r="AE121" s="454"/>
      <c r="AF121" s="454"/>
      <c r="AG121" s="454"/>
      <c r="AH121" s="454"/>
      <c r="AI121" s="454"/>
      <c r="AJ121" s="454"/>
      <c r="AK121" s="454"/>
      <c r="AL121" s="454"/>
      <c r="AM121" s="454"/>
      <c r="AN121" s="454"/>
      <c r="AO121" s="454"/>
      <c r="AP121" s="454"/>
      <c r="AQ121" s="454"/>
      <c r="AR121" s="454"/>
      <c r="AS121" s="454"/>
      <c r="AT121" s="454"/>
      <c r="AU121" s="454"/>
      <c r="AV121" s="454"/>
      <c r="AW121" s="454"/>
      <c r="AX121" s="454"/>
      <c r="AY121" s="460"/>
      <c r="AZ121" s="488" t="s">
        <v>840</v>
      </c>
    </row>
    <row r="122" spans="2:52" ht="13.5" customHeight="1" thickTop="1" thickBot="1">
      <c r="B122" s="670"/>
      <c r="C122" s="685"/>
      <c r="D122" s="670"/>
      <c r="E122" s="462" t="s">
        <v>38</v>
      </c>
      <c r="F122" s="12"/>
      <c r="G122" s="454"/>
      <c r="H122" s="454"/>
      <c r="I122" s="454"/>
      <c r="J122" s="454"/>
      <c r="K122" s="454"/>
      <c r="L122" s="454"/>
      <c r="M122" s="454"/>
      <c r="N122" s="454"/>
      <c r="O122" s="454"/>
      <c r="P122" s="454"/>
      <c r="Q122" s="454"/>
      <c r="R122" s="454"/>
      <c r="S122" s="454"/>
      <c r="T122" s="454"/>
      <c r="U122" s="454"/>
      <c r="V122" s="454"/>
      <c r="W122" s="454"/>
      <c r="X122" s="454"/>
      <c r="Y122" s="454"/>
      <c r="Z122" s="667">
        <f>Z98-Z120</f>
        <v>23434</v>
      </c>
      <c r="AA122" s="668"/>
      <c r="AB122" s="668"/>
      <c r="AC122" s="668"/>
      <c r="AD122" s="668"/>
      <c r="AE122" s="669"/>
      <c r="AF122" s="454" t="s">
        <v>37</v>
      </c>
      <c r="AG122" s="455" t="s">
        <v>36</v>
      </c>
      <c r="AH122" s="454"/>
      <c r="AI122" s="454"/>
      <c r="AJ122" s="454"/>
      <c r="AK122" s="454"/>
      <c r="AL122" s="454"/>
      <c r="AM122" s="454"/>
      <c r="AN122" s="454"/>
      <c r="AO122" s="454"/>
      <c r="AP122" s="454"/>
      <c r="AQ122" s="454"/>
      <c r="AR122" s="454"/>
      <c r="AS122" s="454"/>
      <c r="AT122" s="454"/>
      <c r="AU122" s="454"/>
      <c r="AV122" s="454"/>
      <c r="AW122" s="454"/>
      <c r="AX122" s="454"/>
      <c r="AY122" s="460"/>
      <c r="AZ122" s="209" t="s">
        <v>842</v>
      </c>
    </row>
    <row r="123" spans="2:52" ht="13.5" customHeight="1" thickTop="1">
      <c r="B123" s="670"/>
      <c r="C123" s="686"/>
      <c r="D123" s="681"/>
      <c r="E123" s="465"/>
      <c r="F123" s="7"/>
      <c r="G123" s="466"/>
      <c r="H123" s="466"/>
      <c r="I123" s="466"/>
      <c r="J123" s="466"/>
      <c r="K123" s="466"/>
      <c r="L123" s="466"/>
      <c r="M123" s="466"/>
      <c r="N123" s="466"/>
      <c r="O123" s="466"/>
      <c r="P123" s="466"/>
      <c r="Q123" s="466"/>
      <c r="R123" s="466"/>
      <c r="S123" s="466"/>
      <c r="T123" s="466"/>
      <c r="U123" s="466"/>
      <c r="V123" s="466"/>
      <c r="W123" s="466"/>
      <c r="X123" s="466"/>
      <c r="Y123" s="466"/>
      <c r="Z123" s="466"/>
      <c r="AA123" s="466"/>
      <c r="AB123" s="466"/>
      <c r="AC123" s="466"/>
      <c r="AD123" s="466"/>
      <c r="AE123" s="466"/>
      <c r="AF123" s="466"/>
      <c r="AG123" s="466"/>
      <c r="AH123" s="466"/>
      <c r="AI123" s="466"/>
      <c r="AJ123" s="466"/>
      <c r="AK123" s="466"/>
      <c r="AL123" s="466"/>
      <c r="AM123" s="466"/>
      <c r="AN123" s="466"/>
      <c r="AO123" s="466"/>
      <c r="AP123" s="466"/>
      <c r="AQ123" s="466"/>
      <c r="AR123" s="466"/>
      <c r="AS123" s="466"/>
      <c r="AT123" s="466"/>
      <c r="AU123" s="466"/>
      <c r="AV123" s="466"/>
      <c r="AW123" s="466"/>
      <c r="AX123" s="466"/>
      <c r="AY123" s="461"/>
      <c r="AZ123" s="215" t="s">
        <v>843</v>
      </c>
    </row>
    <row r="124" spans="2:52" ht="13.5" customHeight="1">
      <c r="B124" s="670"/>
      <c r="C124" s="458"/>
      <c r="D124" s="456"/>
      <c r="E124" s="463"/>
      <c r="F124" s="17"/>
      <c r="G124" s="464"/>
      <c r="H124" s="464"/>
      <c r="I124" s="464"/>
      <c r="J124" s="464"/>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c r="AG124" s="464"/>
      <c r="AH124" s="464"/>
      <c r="AI124" s="464"/>
      <c r="AJ124" s="464"/>
      <c r="AK124" s="464"/>
      <c r="AL124" s="464"/>
      <c r="AM124" s="464"/>
      <c r="AN124" s="464"/>
      <c r="AO124" s="464"/>
      <c r="AP124" s="464"/>
      <c r="AQ124" s="464"/>
      <c r="AR124" s="464"/>
      <c r="AS124" s="464"/>
      <c r="AT124" s="464"/>
      <c r="AU124" s="464"/>
      <c r="AV124" s="464"/>
      <c r="AW124" s="464"/>
      <c r="AX124" s="464"/>
      <c r="AY124" s="459"/>
      <c r="AZ124" s="458"/>
    </row>
    <row r="125" spans="2:52" ht="13.5" customHeight="1">
      <c r="B125" s="670"/>
      <c r="C125" s="451"/>
      <c r="D125" s="452"/>
      <c r="E125" s="462"/>
      <c r="F125" s="12"/>
      <c r="G125" s="454"/>
      <c r="H125" s="454"/>
      <c r="I125" s="454"/>
      <c r="J125" s="454"/>
      <c r="K125" s="454"/>
      <c r="L125" s="454"/>
      <c r="M125" s="454"/>
      <c r="N125" s="454"/>
      <c r="O125" s="454"/>
      <c r="P125" s="454"/>
      <c r="Q125" s="454"/>
      <c r="R125" s="454"/>
      <c r="S125" s="454"/>
      <c r="T125" s="454"/>
      <c r="U125" s="454"/>
      <c r="V125" s="454"/>
      <c r="W125" s="454"/>
      <c r="X125" s="454"/>
      <c r="Y125" s="454"/>
      <c r="Z125" s="454"/>
      <c r="AA125" s="454"/>
      <c r="AB125" s="454"/>
      <c r="AC125" s="454"/>
      <c r="AD125" s="454"/>
      <c r="AE125" s="454"/>
      <c r="AF125" s="454"/>
      <c r="AG125" s="454"/>
      <c r="AH125" s="454"/>
      <c r="AI125" s="454"/>
      <c r="AJ125" s="454"/>
      <c r="AK125" s="454"/>
      <c r="AL125" s="454"/>
      <c r="AM125" s="454"/>
      <c r="AN125" s="454"/>
      <c r="AO125" s="454"/>
      <c r="AP125" s="454"/>
      <c r="AQ125" s="454"/>
      <c r="AR125" s="454"/>
      <c r="AS125" s="454"/>
      <c r="AT125" s="454"/>
      <c r="AU125" s="454"/>
      <c r="AV125" s="454"/>
      <c r="AW125" s="454"/>
      <c r="AX125" s="454"/>
      <c r="AY125" s="460"/>
      <c r="AZ125" s="451"/>
    </row>
    <row r="126" spans="2:52" ht="13.5" customHeight="1">
      <c r="B126" s="670"/>
      <c r="C126" s="451"/>
      <c r="D126" s="452"/>
      <c r="E126" s="462"/>
      <c r="F126" s="12"/>
      <c r="G126" s="454"/>
      <c r="H126" s="454"/>
      <c r="I126" s="454"/>
      <c r="J126" s="454"/>
      <c r="K126" s="454"/>
      <c r="L126" s="454"/>
      <c r="M126" s="454"/>
      <c r="N126" s="454"/>
      <c r="O126" s="454"/>
      <c r="P126" s="454"/>
      <c r="Q126" s="454"/>
      <c r="R126" s="454"/>
      <c r="S126" s="454"/>
      <c r="T126" s="454"/>
      <c r="U126" s="454"/>
      <c r="V126" s="454"/>
      <c r="W126" s="454"/>
      <c r="X126" s="454"/>
      <c r="Y126" s="454"/>
      <c r="Z126" s="454"/>
      <c r="AA126" s="454"/>
      <c r="AB126" s="454"/>
      <c r="AC126" s="454"/>
      <c r="AD126" s="454"/>
      <c r="AE126" s="454"/>
      <c r="AF126" s="454"/>
      <c r="AG126" s="454"/>
      <c r="AH126" s="454"/>
      <c r="AI126" s="454"/>
      <c r="AJ126" s="454"/>
      <c r="AK126" s="454"/>
      <c r="AL126" s="454"/>
      <c r="AM126" s="454"/>
      <c r="AN126" s="454"/>
      <c r="AO126" s="454"/>
      <c r="AP126" s="454"/>
      <c r="AQ126" s="454"/>
      <c r="AR126" s="454"/>
      <c r="AS126" s="454"/>
      <c r="AT126" s="454"/>
      <c r="AU126" s="454"/>
      <c r="AV126" s="454"/>
      <c r="AW126" s="454"/>
      <c r="AX126" s="454"/>
      <c r="AY126" s="460"/>
      <c r="AZ126" s="451"/>
    </row>
    <row r="127" spans="2:52" ht="13.5" customHeight="1">
      <c r="B127" s="670"/>
      <c r="C127" s="451"/>
      <c r="D127" s="452"/>
      <c r="E127" s="462"/>
      <c r="F127" s="12"/>
      <c r="G127" s="454"/>
      <c r="H127" s="454"/>
      <c r="I127" s="454"/>
      <c r="J127" s="454"/>
      <c r="K127" s="454"/>
      <c r="L127" s="454"/>
      <c r="M127" s="454"/>
      <c r="N127" s="454"/>
      <c r="O127" s="454"/>
      <c r="P127" s="454"/>
      <c r="Q127" s="454"/>
      <c r="R127" s="454"/>
      <c r="S127" s="454"/>
      <c r="T127" s="454"/>
      <c r="U127" s="454"/>
      <c r="V127" s="454"/>
      <c r="W127" s="454"/>
      <c r="X127" s="454"/>
      <c r="Y127" s="454"/>
      <c r="Z127" s="454"/>
      <c r="AA127" s="454"/>
      <c r="AB127" s="454"/>
      <c r="AC127" s="454"/>
      <c r="AD127" s="454"/>
      <c r="AE127" s="454"/>
      <c r="AF127" s="454"/>
      <c r="AG127" s="454"/>
      <c r="AH127" s="454"/>
      <c r="AI127" s="454"/>
      <c r="AJ127" s="454"/>
      <c r="AK127" s="454"/>
      <c r="AL127" s="454"/>
      <c r="AM127" s="454"/>
      <c r="AN127" s="454"/>
      <c r="AO127" s="454"/>
      <c r="AP127" s="454"/>
      <c r="AQ127" s="454"/>
      <c r="AR127" s="454"/>
      <c r="AS127" s="454"/>
      <c r="AT127" s="454"/>
      <c r="AU127" s="454"/>
      <c r="AV127" s="454"/>
      <c r="AW127" s="454"/>
      <c r="AX127" s="454"/>
      <c r="AY127" s="460"/>
      <c r="AZ127" s="451"/>
    </row>
    <row r="128" spans="2:52" ht="13.5" customHeight="1">
      <c r="B128" s="670"/>
      <c r="C128" s="451"/>
      <c r="D128" s="452"/>
      <c r="E128" s="462"/>
      <c r="F128" s="12"/>
      <c r="G128" s="454"/>
      <c r="H128" s="454"/>
      <c r="I128" s="454"/>
      <c r="J128" s="454"/>
      <c r="K128" s="454"/>
      <c r="L128" s="454"/>
      <c r="M128" s="454"/>
      <c r="N128" s="454"/>
      <c r="O128" s="454"/>
      <c r="P128" s="454"/>
      <c r="Q128" s="454"/>
      <c r="R128" s="454"/>
      <c r="S128" s="454"/>
      <c r="T128" s="454"/>
      <c r="U128" s="454"/>
      <c r="V128" s="454"/>
      <c r="W128" s="454"/>
      <c r="X128" s="454"/>
      <c r="Y128" s="454"/>
      <c r="Z128" s="454"/>
      <c r="AA128" s="454"/>
      <c r="AB128" s="454"/>
      <c r="AC128" s="454"/>
      <c r="AD128" s="454"/>
      <c r="AE128" s="454"/>
      <c r="AF128" s="454"/>
      <c r="AG128" s="454"/>
      <c r="AH128" s="454"/>
      <c r="AI128" s="454"/>
      <c r="AJ128" s="454"/>
      <c r="AK128" s="454"/>
      <c r="AL128" s="454"/>
      <c r="AM128" s="454"/>
      <c r="AN128" s="454"/>
      <c r="AO128" s="454"/>
      <c r="AP128" s="454"/>
      <c r="AQ128" s="454"/>
      <c r="AR128" s="454"/>
      <c r="AS128" s="454"/>
      <c r="AT128" s="454"/>
      <c r="AU128" s="454"/>
      <c r="AV128" s="454"/>
      <c r="AW128" s="454"/>
      <c r="AX128" s="454"/>
      <c r="AY128" s="460"/>
      <c r="AZ128" s="451"/>
    </row>
    <row r="129" spans="2:52" ht="13.5" customHeight="1">
      <c r="B129" s="670"/>
      <c r="C129" s="451"/>
      <c r="D129" s="452"/>
      <c r="E129" s="462"/>
      <c r="F129" s="12"/>
      <c r="G129" s="454"/>
      <c r="H129" s="454"/>
      <c r="I129" s="454"/>
      <c r="J129" s="454"/>
      <c r="K129" s="454"/>
      <c r="L129" s="454"/>
      <c r="M129" s="454"/>
      <c r="N129" s="454"/>
      <c r="O129" s="454"/>
      <c r="P129" s="454"/>
      <c r="Q129" s="454"/>
      <c r="R129" s="454"/>
      <c r="S129" s="454"/>
      <c r="T129" s="454"/>
      <c r="U129" s="454"/>
      <c r="V129" s="454"/>
      <c r="W129" s="454"/>
      <c r="X129" s="454"/>
      <c r="Y129" s="454"/>
      <c r="Z129" s="454"/>
      <c r="AA129" s="454"/>
      <c r="AB129" s="454"/>
      <c r="AC129" s="454"/>
      <c r="AD129" s="454"/>
      <c r="AE129" s="454"/>
      <c r="AF129" s="454"/>
      <c r="AG129" s="454"/>
      <c r="AH129" s="454"/>
      <c r="AI129" s="454"/>
      <c r="AJ129" s="454"/>
      <c r="AK129" s="454"/>
      <c r="AL129" s="454"/>
      <c r="AM129" s="454"/>
      <c r="AN129" s="454"/>
      <c r="AO129" s="454"/>
      <c r="AP129" s="454"/>
      <c r="AQ129" s="454"/>
      <c r="AR129" s="454"/>
      <c r="AS129" s="454"/>
      <c r="AT129" s="454"/>
      <c r="AU129" s="454"/>
      <c r="AV129" s="454"/>
      <c r="AW129" s="454"/>
      <c r="AX129" s="454"/>
      <c r="AY129" s="460"/>
      <c r="AZ129" s="451"/>
    </row>
    <row r="130" spans="2:52" ht="13.5" customHeight="1">
      <c r="B130" s="681"/>
      <c r="C130" s="453"/>
      <c r="D130" s="457"/>
      <c r="E130" s="465"/>
      <c r="F130" s="7"/>
      <c r="G130" s="466"/>
      <c r="H130" s="466"/>
      <c r="I130" s="466"/>
      <c r="J130" s="466"/>
      <c r="K130" s="466"/>
      <c r="L130" s="466"/>
      <c r="M130" s="466"/>
      <c r="N130" s="466"/>
      <c r="O130" s="466"/>
      <c r="P130" s="466"/>
      <c r="Q130" s="466"/>
      <c r="R130" s="466"/>
      <c r="S130" s="466"/>
      <c r="T130" s="466"/>
      <c r="U130" s="466"/>
      <c r="V130" s="466"/>
      <c r="W130" s="466"/>
      <c r="X130" s="466"/>
      <c r="Y130" s="466"/>
      <c r="Z130" s="466"/>
      <c r="AA130" s="466"/>
      <c r="AB130" s="466"/>
      <c r="AC130" s="466"/>
      <c r="AD130" s="466"/>
      <c r="AE130" s="466"/>
      <c r="AF130" s="466"/>
      <c r="AG130" s="466"/>
      <c r="AH130" s="466"/>
      <c r="AI130" s="466"/>
      <c r="AJ130" s="466"/>
      <c r="AK130" s="466"/>
      <c r="AL130" s="466"/>
      <c r="AM130" s="466"/>
      <c r="AN130" s="466"/>
      <c r="AO130" s="466"/>
      <c r="AP130" s="466"/>
      <c r="AQ130" s="466"/>
      <c r="AR130" s="466"/>
      <c r="AS130" s="466"/>
      <c r="AT130" s="466"/>
      <c r="AU130" s="466"/>
      <c r="AV130" s="466"/>
      <c r="AW130" s="466"/>
      <c r="AX130" s="466"/>
      <c r="AY130" s="461"/>
      <c r="AZ130" s="453"/>
    </row>
    <row r="131" spans="2:52" ht="13.5" customHeight="1">
      <c r="B131" s="680" t="s">
        <v>35</v>
      </c>
      <c r="C131" s="682">
        <v>1</v>
      </c>
      <c r="D131" s="682" t="s">
        <v>34</v>
      </c>
      <c r="E131" s="463"/>
      <c r="F131" s="17"/>
      <c r="G131" s="464"/>
      <c r="H131" s="464"/>
      <c r="I131" s="464"/>
      <c r="J131" s="464"/>
      <c r="K131" s="464"/>
      <c r="L131" s="464"/>
      <c r="M131" s="464"/>
      <c r="N131" s="464"/>
      <c r="O131" s="464"/>
      <c r="P131" s="464"/>
      <c r="Q131" s="464"/>
      <c r="R131" s="464"/>
      <c r="S131" s="464"/>
      <c r="T131" s="20"/>
      <c r="U131" s="20"/>
      <c r="V131" s="20"/>
      <c r="W131" s="20"/>
      <c r="X131" s="20"/>
      <c r="Y131" s="20"/>
      <c r="Z131" s="464"/>
      <c r="AA131" s="464"/>
      <c r="AB131" s="464"/>
      <c r="AC131" s="464"/>
      <c r="AD131" s="464"/>
      <c r="AE131" s="464"/>
      <c r="AF131" s="464"/>
      <c r="AG131" s="464"/>
      <c r="AH131" s="464"/>
      <c r="AI131" s="464"/>
      <c r="AJ131" s="464"/>
      <c r="AK131" s="464"/>
      <c r="AL131" s="464"/>
      <c r="AM131" s="464"/>
      <c r="AN131" s="464"/>
      <c r="AO131" s="464"/>
      <c r="AP131" s="464"/>
      <c r="AQ131" s="464"/>
      <c r="AR131" s="464"/>
      <c r="AS131" s="464"/>
      <c r="AT131" s="464"/>
      <c r="AU131" s="464"/>
      <c r="AV131" s="464"/>
      <c r="AW131" s="464"/>
      <c r="AX131" s="464"/>
      <c r="AY131" s="459"/>
      <c r="AZ131" s="458"/>
    </row>
    <row r="132" spans="2:52" ht="13.5" customHeight="1">
      <c r="B132" s="670"/>
      <c r="C132" s="666"/>
      <c r="D132" s="666"/>
      <c r="E132" s="462" t="s">
        <v>13</v>
      </c>
      <c r="F132" s="12"/>
      <c r="G132" s="454"/>
      <c r="H132" s="454"/>
      <c r="I132" s="454"/>
      <c r="J132" s="454" t="s">
        <v>33</v>
      </c>
      <c r="K132" s="454"/>
      <c r="L132" s="454"/>
      <c r="M132" s="454"/>
      <c r="N132" s="454"/>
      <c r="O132" s="454"/>
      <c r="P132" s="454"/>
      <c r="Q132" s="454"/>
      <c r="R132" s="454"/>
      <c r="S132" s="454"/>
      <c r="T132" s="665">
        <f>IF(0&gt;Z122,0,Z122)</f>
        <v>23434</v>
      </c>
      <c r="U132" s="665"/>
      <c r="V132" s="665"/>
      <c r="W132" s="665"/>
      <c r="X132" s="665"/>
      <c r="Y132" s="665"/>
      <c r="Z132" s="454"/>
      <c r="AA132" s="455" t="s">
        <v>32</v>
      </c>
      <c r="AB132" s="454"/>
      <c r="AC132" s="454"/>
      <c r="AD132" s="454"/>
      <c r="AE132" s="454"/>
      <c r="AF132" s="454"/>
      <c r="AG132" s="454"/>
      <c r="AH132" s="454"/>
      <c r="AI132" s="454"/>
      <c r="AJ132" s="454"/>
      <c r="AK132" s="454"/>
      <c r="AL132" s="454"/>
      <c r="AM132" s="454"/>
      <c r="AN132" s="454"/>
      <c r="AO132" s="454"/>
      <c r="AP132" s="454"/>
      <c r="AQ132" s="454"/>
      <c r="AR132" s="454"/>
      <c r="AS132" s="454"/>
      <c r="AT132" s="454"/>
      <c r="AU132" s="454"/>
      <c r="AV132" s="454"/>
      <c r="AW132" s="454"/>
      <c r="AX132" s="454"/>
      <c r="AY132" s="460"/>
      <c r="AZ132" s="451" t="s">
        <v>868</v>
      </c>
    </row>
    <row r="133" spans="2:52" ht="13.5" customHeight="1" thickBot="1">
      <c r="B133" s="670"/>
      <c r="C133" s="666"/>
      <c r="D133" s="666"/>
      <c r="E133" s="462"/>
      <c r="F133" s="12"/>
      <c r="G133" s="454"/>
      <c r="H133" s="454"/>
      <c r="I133" s="454"/>
      <c r="J133" s="454"/>
      <c r="K133" s="454"/>
      <c r="L133" s="454"/>
      <c r="M133" s="454"/>
      <c r="N133" s="454"/>
      <c r="O133" s="454"/>
      <c r="P133" s="454"/>
      <c r="Q133" s="454"/>
      <c r="R133" s="454"/>
      <c r="S133" s="454"/>
      <c r="T133" s="454"/>
      <c r="U133" s="454"/>
      <c r="V133" s="454"/>
      <c r="W133" s="454"/>
      <c r="X133" s="454"/>
      <c r="Y133" s="454"/>
      <c r="Z133" s="454"/>
      <c r="AA133" s="454"/>
      <c r="AB133" s="454"/>
      <c r="AC133" s="454"/>
      <c r="AD133" s="454"/>
      <c r="AE133" s="454"/>
      <c r="AF133" s="454"/>
      <c r="AG133" s="454"/>
      <c r="AH133" s="454"/>
      <c r="AI133" s="454"/>
      <c r="AJ133" s="454"/>
      <c r="AK133" s="454"/>
      <c r="AL133" s="454"/>
      <c r="AM133" s="454"/>
      <c r="AN133" s="454"/>
      <c r="AO133" s="454"/>
      <c r="AP133" s="454"/>
      <c r="AQ133" s="454"/>
      <c r="AR133" s="454"/>
      <c r="AS133" s="454"/>
      <c r="AT133" s="454"/>
      <c r="AU133" s="454"/>
      <c r="AV133" s="454"/>
      <c r="AW133" s="454"/>
      <c r="AX133" s="454"/>
      <c r="AY133" s="460"/>
      <c r="AZ133" s="451">
        <v>0</v>
      </c>
    </row>
    <row r="134" spans="2:52" ht="13.5" customHeight="1" thickTop="1" thickBot="1">
      <c r="B134" s="670"/>
      <c r="C134" s="666"/>
      <c r="D134" s="666"/>
      <c r="E134" s="462"/>
      <c r="F134" s="12"/>
      <c r="G134" s="454"/>
      <c r="H134" s="454"/>
      <c r="I134" s="454"/>
      <c r="J134" s="454" t="s">
        <v>31</v>
      </c>
      <c r="K134" s="454"/>
      <c r="L134" s="454"/>
      <c r="M134" s="454"/>
      <c r="N134" s="454"/>
      <c r="O134" s="454"/>
      <c r="P134" s="454"/>
      <c r="Q134" s="454"/>
      <c r="R134" s="454"/>
      <c r="S134" s="454"/>
      <c r="T134" s="667">
        <f>ROUNDDOWN(R25*62.4/1080,0)</f>
        <v>0</v>
      </c>
      <c r="U134" s="668"/>
      <c r="V134" s="668"/>
      <c r="W134" s="668"/>
      <c r="X134" s="668"/>
      <c r="Y134" s="669"/>
      <c r="Z134" s="454" t="s">
        <v>30</v>
      </c>
      <c r="AA134" s="483" t="s">
        <v>799</v>
      </c>
      <c r="AB134" s="454"/>
      <c r="AC134" s="454"/>
      <c r="AD134" s="454"/>
      <c r="AE134" s="454"/>
      <c r="AF134" s="454"/>
      <c r="AG134" s="454"/>
      <c r="AH134" s="454"/>
      <c r="AI134" s="454"/>
      <c r="AJ134" s="454"/>
      <c r="AK134" s="454"/>
      <c r="AL134" s="454"/>
      <c r="AM134" s="454"/>
      <c r="AN134" s="454"/>
      <c r="AO134" s="454"/>
      <c r="AP134" s="454"/>
      <c r="AQ134" s="454"/>
      <c r="AR134" s="454"/>
      <c r="AS134" s="454"/>
      <c r="AT134" s="454"/>
      <c r="AU134" s="454"/>
      <c r="AV134" s="454"/>
      <c r="AW134" s="454"/>
      <c r="AX134" s="454"/>
      <c r="AY134" s="460"/>
      <c r="AZ134" s="451" t="s">
        <v>28</v>
      </c>
    </row>
    <row r="135" spans="2:52" ht="13.5" customHeight="1" thickTop="1">
      <c r="B135" s="670"/>
      <c r="C135" s="666"/>
      <c r="D135" s="666"/>
      <c r="E135" s="462"/>
      <c r="F135" s="12"/>
      <c r="G135" s="454"/>
      <c r="H135" s="454"/>
      <c r="I135" s="454"/>
      <c r="J135" s="454"/>
      <c r="K135" s="454"/>
      <c r="L135" s="454"/>
      <c r="M135" s="454"/>
      <c r="N135" s="454"/>
      <c r="O135" s="454"/>
      <c r="P135" s="454"/>
      <c r="Q135" s="454"/>
      <c r="R135" s="454"/>
      <c r="S135" s="454"/>
      <c r="T135" s="454"/>
      <c r="U135" s="454"/>
      <c r="V135" s="454"/>
      <c r="W135" s="454"/>
      <c r="X135" s="454"/>
      <c r="Y135" s="454"/>
      <c r="Z135" s="454"/>
      <c r="AA135" s="482"/>
      <c r="AB135" s="454"/>
      <c r="AC135" s="454"/>
      <c r="AD135" s="454"/>
      <c r="AE135" s="454"/>
      <c r="AF135" s="454"/>
      <c r="AG135" s="454"/>
      <c r="AH135" s="454"/>
      <c r="AI135" s="454"/>
      <c r="AJ135" s="454"/>
      <c r="AK135" s="454"/>
      <c r="AL135" s="454"/>
      <c r="AM135" s="454"/>
      <c r="AN135" s="454"/>
      <c r="AO135" s="454"/>
      <c r="AP135" s="454"/>
      <c r="AQ135" s="454"/>
      <c r="AR135" s="454"/>
      <c r="AS135" s="454"/>
      <c r="AT135" s="454"/>
      <c r="AU135" s="454"/>
      <c r="AV135" s="454"/>
      <c r="AW135" s="454"/>
      <c r="AX135" s="454"/>
      <c r="AY135" s="460"/>
      <c r="AZ135" s="451"/>
    </row>
    <row r="136" spans="2:52" ht="13.5" customHeight="1" thickBot="1">
      <c r="B136" s="670"/>
      <c r="C136" s="666"/>
      <c r="D136" s="666"/>
      <c r="E136" s="462"/>
      <c r="F136" s="12"/>
      <c r="G136" s="454"/>
      <c r="H136" s="454"/>
      <c r="I136" s="454"/>
      <c r="J136" s="454" t="s">
        <v>27</v>
      </c>
      <c r="K136" s="454"/>
      <c r="L136" s="454"/>
      <c r="M136" s="454"/>
      <c r="N136" s="454"/>
      <c r="O136" s="454"/>
      <c r="P136" s="454"/>
      <c r="Q136" s="454"/>
      <c r="R136" s="454"/>
      <c r="S136" s="454"/>
      <c r="T136" s="687">
        <f>基礎数値!G17</f>
        <v>0</v>
      </c>
      <c r="U136" s="687"/>
      <c r="V136" s="687"/>
      <c r="W136" s="687"/>
      <c r="X136" s="687"/>
      <c r="Y136" s="687"/>
      <c r="Z136" s="454" t="s">
        <v>26</v>
      </c>
      <c r="AA136" s="483" t="s">
        <v>25</v>
      </c>
      <c r="AB136" s="454"/>
      <c r="AC136" s="454"/>
      <c r="AD136" s="454"/>
      <c r="AE136" s="454"/>
      <c r="AF136" s="454"/>
      <c r="AG136" s="454"/>
      <c r="AH136" s="454"/>
      <c r="AI136" s="454"/>
      <c r="AJ136" s="454"/>
      <c r="AK136" s="454"/>
      <c r="AL136" s="454"/>
      <c r="AM136" s="454"/>
      <c r="AN136" s="454"/>
      <c r="AO136" s="454"/>
      <c r="AP136" s="454"/>
      <c r="AQ136" s="454"/>
      <c r="AR136" s="454"/>
      <c r="AS136" s="454"/>
      <c r="AT136" s="454"/>
      <c r="AU136" s="454"/>
      <c r="AV136" s="454"/>
      <c r="AW136" s="454"/>
      <c r="AX136" s="454"/>
      <c r="AY136" s="460"/>
      <c r="AZ136" s="451"/>
    </row>
    <row r="137" spans="2:52" ht="13.5" customHeight="1" thickTop="1" thickBot="1">
      <c r="B137" s="670"/>
      <c r="C137" s="666"/>
      <c r="D137" s="666"/>
      <c r="E137" s="462"/>
      <c r="F137" s="12"/>
      <c r="G137" s="454"/>
      <c r="H137" s="454"/>
      <c r="I137" s="454"/>
      <c r="J137" s="454" t="s">
        <v>24</v>
      </c>
      <c r="K137" s="454"/>
      <c r="L137" s="454"/>
      <c r="M137" s="454"/>
      <c r="N137" s="454"/>
      <c r="O137" s="454"/>
      <c r="P137" s="454"/>
      <c r="Q137" s="454"/>
      <c r="R137" s="454"/>
      <c r="S137" s="454"/>
      <c r="T137" s="667">
        <f>ROUNDDOWN(T136*62.4/1080,0)</f>
        <v>0</v>
      </c>
      <c r="U137" s="668"/>
      <c r="V137" s="668"/>
      <c r="W137" s="668"/>
      <c r="X137" s="668"/>
      <c r="Y137" s="669"/>
      <c r="Z137" s="454" t="s">
        <v>23</v>
      </c>
      <c r="AA137" s="483" t="s">
        <v>800</v>
      </c>
      <c r="AB137" s="454"/>
      <c r="AC137" s="454"/>
      <c r="AD137" s="454"/>
      <c r="AE137" s="454"/>
      <c r="AF137" s="454"/>
      <c r="AG137" s="454"/>
      <c r="AH137" s="454"/>
      <c r="AI137" s="454"/>
      <c r="AJ137" s="454"/>
      <c r="AK137" s="454"/>
      <c r="AL137" s="454"/>
      <c r="AM137" s="454"/>
      <c r="AN137" s="454"/>
      <c r="AO137" s="454"/>
      <c r="AP137" s="454"/>
      <c r="AQ137" s="454"/>
      <c r="AR137" s="454"/>
      <c r="AS137" s="454"/>
      <c r="AT137" s="454"/>
      <c r="AU137" s="454"/>
      <c r="AV137" s="454"/>
      <c r="AW137" s="454"/>
      <c r="AX137" s="454"/>
      <c r="AY137" s="460"/>
      <c r="AZ137" s="451" t="s">
        <v>21</v>
      </c>
    </row>
    <row r="138" spans="2:52" ht="13.5" customHeight="1" thickTop="1" thickBot="1">
      <c r="B138" s="670"/>
      <c r="C138" s="666"/>
      <c r="D138" s="666"/>
      <c r="E138" s="462"/>
      <c r="F138" s="12"/>
      <c r="G138" s="454"/>
      <c r="H138" s="454"/>
      <c r="I138" s="454"/>
      <c r="J138" s="454"/>
      <c r="K138" s="454"/>
      <c r="L138" s="454"/>
      <c r="M138" s="454"/>
      <c r="N138" s="454"/>
      <c r="O138" s="454"/>
      <c r="P138" s="454"/>
      <c r="Q138" s="454"/>
      <c r="R138" s="454"/>
      <c r="S138" s="454"/>
      <c r="T138" s="454"/>
      <c r="U138" s="454"/>
      <c r="V138" s="454"/>
      <c r="W138" s="454"/>
      <c r="X138" s="454"/>
      <c r="Y138" s="454"/>
      <c r="Z138" s="454"/>
      <c r="AA138" s="454"/>
      <c r="AB138" s="454"/>
      <c r="AC138" s="454"/>
      <c r="AD138" s="454"/>
      <c r="AE138" s="454"/>
      <c r="AF138" s="454"/>
      <c r="AG138" s="454"/>
      <c r="AH138" s="454"/>
      <c r="AI138" s="454"/>
      <c r="AJ138" s="454"/>
      <c r="AK138" s="454"/>
      <c r="AL138" s="454"/>
      <c r="AM138" s="454"/>
      <c r="AN138" s="454"/>
      <c r="AO138" s="454"/>
      <c r="AP138" s="454"/>
      <c r="AQ138" s="454"/>
      <c r="AR138" s="454"/>
      <c r="AS138" s="454"/>
      <c r="AT138" s="454"/>
      <c r="AU138" s="454"/>
      <c r="AV138" s="454"/>
      <c r="AW138" s="454"/>
      <c r="AX138" s="454"/>
      <c r="AY138" s="460"/>
      <c r="AZ138" s="451"/>
    </row>
    <row r="139" spans="2:52" ht="13.5" customHeight="1" thickTop="1" thickBot="1">
      <c r="B139" s="670"/>
      <c r="C139" s="666"/>
      <c r="D139" s="666"/>
      <c r="E139" s="462"/>
      <c r="F139" s="12"/>
      <c r="G139" s="454"/>
      <c r="H139" s="454"/>
      <c r="I139" s="454"/>
      <c r="J139" s="454" t="s">
        <v>20</v>
      </c>
      <c r="K139" s="454"/>
      <c r="L139" s="454"/>
      <c r="M139" s="454"/>
      <c r="N139" s="454"/>
      <c r="O139" s="454"/>
      <c r="P139" s="454"/>
      <c r="Q139" s="454"/>
      <c r="R139" s="454"/>
      <c r="S139" s="454"/>
      <c r="T139" s="667">
        <f>T132+T134+T137</f>
        <v>23434</v>
      </c>
      <c r="U139" s="668"/>
      <c r="V139" s="668"/>
      <c r="W139" s="668"/>
      <c r="X139" s="668"/>
      <c r="Y139" s="669"/>
      <c r="Z139" s="454" t="s">
        <v>177</v>
      </c>
      <c r="AB139" s="455" t="s">
        <v>18</v>
      </c>
      <c r="AC139" s="454"/>
      <c r="AD139" s="454"/>
      <c r="AE139" s="454"/>
      <c r="AF139" s="454"/>
      <c r="AG139" s="454"/>
      <c r="AH139" s="454"/>
      <c r="AI139" s="454"/>
      <c r="AJ139" s="454"/>
      <c r="AK139" s="454"/>
      <c r="AL139" s="454"/>
      <c r="AM139" s="454"/>
      <c r="AN139" s="454"/>
      <c r="AO139" s="454"/>
      <c r="AP139" s="454"/>
      <c r="AQ139" s="454"/>
      <c r="AR139" s="454"/>
      <c r="AS139" s="454"/>
      <c r="AT139" s="454"/>
      <c r="AU139" s="454"/>
      <c r="AV139" s="454"/>
      <c r="AW139" s="454"/>
      <c r="AX139" s="454"/>
      <c r="AY139" s="460"/>
      <c r="AZ139" s="451" t="s">
        <v>17</v>
      </c>
    </row>
    <row r="140" spans="2:52" ht="13.5" customHeight="1" thickTop="1">
      <c r="B140" s="670"/>
      <c r="C140" s="671"/>
      <c r="D140" s="671"/>
      <c r="E140" s="465"/>
      <c r="F140" s="7"/>
      <c r="G140" s="466"/>
      <c r="H140" s="466"/>
      <c r="I140" s="466"/>
      <c r="J140" s="466"/>
      <c r="K140" s="466"/>
      <c r="L140" s="466"/>
      <c r="M140" s="466"/>
      <c r="N140" s="466"/>
      <c r="O140" s="466"/>
      <c r="P140" s="466"/>
      <c r="Q140" s="466"/>
      <c r="R140" s="466"/>
      <c r="S140" s="466"/>
      <c r="T140" s="466"/>
      <c r="U140" s="466"/>
      <c r="V140" s="466"/>
      <c r="W140" s="466"/>
      <c r="X140" s="466"/>
      <c r="Y140" s="466"/>
      <c r="Z140" s="466"/>
      <c r="AA140" s="466"/>
      <c r="AB140" s="466"/>
      <c r="AC140" s="466"/>
      <c r="AD140" s="466"/>
      <c r="AE140" s="466"/>
      <c r="AF140" s="466"/>
      <c r="AG140" s="466"/>
      <c r="AH140" s="466"/>
      <c r="AI140" s="466"/>
      <c r="AJ140" s="466"/>
      <c r="AK140" s="466"/>
      <c r="AL140" s="466"/>
      <c r="AM140" s="466"/>
      <c r="AN140" s="466"/>
      <c r="AO140" s="466"/>
      <c r="AP140" s="466"/>
      <c r="AQ140" s="466"/>
      <c r="AR140" s="466"/>
      <c r="AS140" s="466"/>
      <c r="AT140" s="466"/>
      <c r="AU140" s="466"/>
      <c r="AV140" s="466"/>
      <c r="AW140" s="466"/>
      <c r="AX140" s="466"/>
      <c r="AY140" s="461"/>
      <c r="AZ140" s="453"/>
    </row>
    <row r="141" spans="2:52" ht="13.5" customHeight="1">
      <c r="B141" s="670"/>
      <c r="C141" s="682">
        <v>2</v>
      </c>
      <c r="D141" s="680" t="s">
        <v>16</v>
      </c>
      <c r="E141" s="463"/>
      <c r="F141" s="17"/>
      <c r="G141" s="464"/>
      <c r="H141" s="464"/>
      <c r="I141" s="464"/>
      <c r="J141" s="464"/>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c r="AG141" s="464"/>
      <c r="AH141" s="464"/>
      <c r="AI141" s="464"/>
      <c r="AJ141" s="464"/>
      <c r="AK141" s="464"/>
      <c r="AL141" s="464"/>
      <c r="AM141" s="464"/>
      <c r="AN141" s="464"/>
      <c r="AO141" s="464"/>
      <c r="AP141" s="464"/>
      <c r="AQ141" s="464"/>
      <c r="AR141" s="464"/>
      <c r="AS141" s="464"/>
      <c r="AT141" s="464"/>
      <c r="AU141" s="464"/>
      <c r="AV141" s="464"/>
      <c r="AW141" s="464"/>
      <c r="AX141" s="464"/>
      <c r="AY141" s="459"/>
      <c r="AZ141" s="458"/>
    </row>
    <row r="142" spans="2:52" ht="13.5" customHeight="1">
      <c r="B142" s="670"/>
      <c r="C142" s="666"/>
      <c r="D142" s="670"/>
      <c r="E142" s="462" t="s">
        <v>15</v>
      </c>
      <c r="F142" s="12"/>
      <c r="G142" s="454"/>
      <c r="H142" s="454"/>
      <c r="I142" s="454"/>
      <c r="J142" s="454"/>
      <c r="K142" s="454"/>
      <c r="L142" s="454"/>
      <c r="M142" s="454"/>
      <c r="N142" s="454"/>
      <c r="O142" s="454"/>
      <c r="P142" s="454"/>
      <c r="Q142" s="454"/>
      <c r="R142" s="454"/>
      <c r="S142" s="454"/>
      <c r="T142" s="665">
        <f>R31</f>
        <v>0</v>
      </c>
      <c r="U142" s="665"/>
      <c r="V142" s="665"/>
      <c r="W142" s="665"/>
      <c r="X142" s="665"/>
      <c r="Y142" s="665"/>
      <c r="Z142" s="454"/>
      <c r="AA142" s="454"/>
      <c r="AB142" s="455" t="s">
        <v>14</v>
      </c>
      <c r="AC142" s="454"/>
      <c r="AD142" s="454"/>
      <c r="AE142" s="454"/>
      <c r="AF142" s="454"/>
      <c r="AG142" s="454"/>
      <c r="AH142" s="454"/>
      <c r="AI142" s="454"/>
      <c r="AJ142" s="454"/>
      <c r="AK142" s="454"/>
      <c r="AL142" s="454"/>
      <c r="AM142" s="454"/>
      <c r="AN142" s="454"/>
      <c r="AO142" s="454"/>
      <c r="AP142" s="454"/>
      <c r="AQ142" s="454"/>
      <c r="AR142" s="454"/>
      <c r="AS142" s="454"/>
      <c r="AT142" s="454"/>
      <c r="AU142" s="454"/>
      <c r="AV142" s="454"/>
      <c r="AW142" s="454"/>
      <c r="AX142" s="454"/>
      <c r="AY142" s="460"/>
      <c r="AZ142" s="451"/>
    </row>
    <row r="143" spans="2:52" ht="13.5" customHeight="1" thickBot="1">
      <c r="B143" s="670"/>
      <c r="C143" s="666"/>
      <c r="D143" s="670"/>
      <c r="E143" s="462" t="s">
        <v>13</v>
      </c>
      <c r="F143" s="12"/>
      <c r="G143" s="454"/>
      <c r="H143" s="454"/>
      <c r="I143" s="454"/>
      <c r="J143" s="454"/>
      <c r="K143" s="454"/>
      <c r="L143" s="454"/>
      <c r="M143" s="454"/>
      <c r="N143" s="454"/>
      <c r="O143" s="454"/>
      <c r="P143" s="454"/>
      <c r="Q143" s="454"/>
      <c r="R143" s="454"/>
      <c r="S143" s="454"/>
      <c r="T143" s="665">
        <f>T139</f>
        <v>23434</v>
      </c>
      <c r="U143" s="665"/>
      <c r="V143" s="665"/>
      <c r="W143" s="665"/>
      <c r="X143" s="665"/>
      <c r="Y143" s="665"/>
      <c r="Z143" s="454"/>
      <c r="AA143" s="454"/>
      <c r="AB143" s="455" t="s">
        <v>12</v>
      </c>
      <c r="AC143" s="454"/>
      <c r="AD143" s="454"/>
      <c r="AE143" s="454"/>
      <c r="AF143" s="454"/>
      <c r="AG143" s="454"/>
      <c r="AH143" s="454"/>
      <c r="AI143" s="454"/>
      <c r="AJ143" s="454"/>
      <c r="AK143" s="454"/>
      <c r="AL143" s="454"/>
      <c r="AM143" s="454"/>
      <c r="AN143" s="454"/>
      <c r="AO143" s="454"/>
      <c r="AP143" s="454"/>
      <c r="AQ143" s="454"/>
      <c r="AR143" s="454"/>
      <c r="AS143" s="454"/>
      <c r="AT143" s="454"/>
      <c r="AU143" s="454"/>
      <c r="AV143" s="454"/>
      <c r="AW143" s="454"/>
      <c r="AX143" s="454"/>
      <c r="AY143" s="460"/>
      <c r="AZ143" s="451"/>
    </row>
    <row r="144" spans="2:52" ht="13.5" customHeight="1" thickTop="1" thickBot="1">
      <c r="B144" s="670"/>
      <c r="C144" s="666"/>
      <c r="D144" s="670"/>
      <c r="E144" s="462" t="s">
        <v>11</v>
      </c>
      <c r="F144" s="12"/>
      <c r="G144" s="454"/>
      <c r="H144" s="454"/>
      <c r="I144" s="454"/>
      <c r="J144" s="454"/>
      <c r="K144" s="454"/>
      <c r="L144" s="454"/>
      <c r="M144" s="454"/>
      <c r="N144" s="454"/>
      <c r="O144" s="454"/>
      <c r="P144" s="454"/>
      <c r="Q144" s="454"/>
      <c r="R144" s="454"/>
      <c r="S144" s="454"/>
      <c r="T144" s="667">
        <f>T142-T143</f>
        <v>-23434</v>
      </c>
      <c r="U144" s="668"/>
      <c r="V144" s="668"/>
      <c r="W144" s="668"/>
      <c r="X144" s="668"/>
      <c r="Y144" s="669"/>
      <c r="Z144" s="454" t="s">
        <v>10</v>
      </c>
      <c r="AA144" s="454"/>
      <c r="AB144" s="455" t="s">
        <v>870</v>
      </c>
      <c r="AC144" s="454"/>
      <c r="AD144" s="454"/>
      <c r="AE144" s="454"/>
      <c r="AF144" s="454"/>
      <c r="AG144" s="454"/>
      <c r="AH144" s="454"/>
      <c r="AI144" s="454"/>
      <c r="AJ144" s="454"/>
      <c r="AK144" s="454"/>
      <c r="AL144" s="454"/>
      <c r="AM144" s="454"/>
      <c r="AN144" s="454"/>
      <c r="AO144" s="454"/>
      <c r="AP144" s="454"/>
      <c r="AQ144" s="454"/>
      <c r="AR144" s="454"/>
      <c r="AS144" s="454"/>
      <c r="AT144" s="454"/>
      <c r="AU144" s="454"/>
      <c r="AV144" s="454"/>
      <c r="AW144" s="454"/>
      <c r="AX144" s="454"/>
      <c r="AY144" s="460"/>
      <c r="AZ144" s="487" t="s">
        <v>855</v>
      </c>
    </row>
    <row r="145" spans="2:52" ht="13.5" customHeight="1" thickTop="1">
      <c r="B145" s="670"/>
      <c r="C145" s="666"/>
      <c r="D145" s="670"/>
      <c r="E145" s="462"/>
      <c r="F145" s="12"/>
      <c r="G145" s="454"/>
      <c r="H145" s="454"/>
      <c r="I145" s="454"/>
      <c r="J145" s="454"/>
      <c r="K145" s="454"/>
      <c r="L145" s="454"/>
      <c r="M145" s="454"/>
      <c r="N145" s="454"/>
      <c r="O145" s="454"/>
      <c r="P145" s="454"/>
      <c r="Q145" s="454"/>
      <c r="R145" s="454"/>
      <c r="S145" s="454"/>
      <c r="T145" s="454"/>
      <c r="U145" s="454"/>
      <c r="V145" s="454"/>
      <c r="W145" s="454"/>
      <c r="X145" s="454"/>
      <c r="Y145" s="454"/>
      <c r="Z145" s="454"/>
      <c r="AA145" s="454"/>
      <c r="AB145" s="454"/>
      <c r="AC145" s="454"/>
      <c r="AD145" s="454"/>
      <c r="AE145" s="454"/>
      <c r="AF145" s="454"/>
      <c r="AG145" s="454"/>
      <c r="AH145" s="454"/>
      <c r="AI145" s="454"/>
      <c r="AJ145" s="454"/>
      <c r="AK145" s="454"/>
      <c r="AL145" s="454"/>
      <c r="AM145" s="454"/>
      <c r="AN145" s="454"/>
      <c r="AO145" s="454"/>
      <c r="AP145" s="454"/>
      <c r="AQ145" s="454"/>
      <c r="AR145" s="454"/>
      <c r="AS145" s="454"/>
      <c r="AT145" s="454"/>
      <c r="AU145" s="454"/>
      <c r="AV145" s="454"/>
      <c r="AW145" s="454"/>
      <c r="AX145" s="454"/>
      <c r="AY145" s="460"/>
      <c r="AZ145" s="451"/>
    </row>
    <row r="146" spans="2:52" ht="13.5" customHeight="1">
      <c r="B146" s="670"/>
      <c r="C146" s="666"/>
      <c r="D146" s="670"/>
      <c r="E146" s="462"/>
      <c r="F146" s="12"/>
      <c r="G146" s="454"/>
      <c r="H146" s="454"/>
      <c r="I146" s="454"/>
      <c r="J146" s="454"/>
      <c r="K146" s="454"/>
      <c r="L146" s="454"/>
      <c r="M146" s="454"/>
      <c r="N146" s="454"/>
      <c r="O146" s="454"/>
      <c r="P146" s="454"/>
      <c r="Q146" s="454"/>
      <c r="R146" s="454"/>
      <c r="S146" s="454"/>
      <c r="T146" s="454"/>
      <c r="U146" s="454"/>
      <c r="V146" s="454"/>
      <c r="W146" s="454"/>
      <c r="X146" s="454"/>
      <c r="Y146" s="454"/>
      <c r="Z146" s="454"/>
      <c r="AA146" s="454"/>
      <c r="AB146" s="454"/>
      <c r="AC146" s="454"/>
      <c r="AD146" s="454"/>
      <c r="AE146" s="454"/>
      <c r="AF146" s="454"/>
      <c r="AG146" s="454"/>
      <c r="AH146" s="454"/>
      <c r="AI146" s="454"/>
      <c r="AJ146" s="454"/>
      <c r="AK146" s="454"/>
      <c r="AL146" s="454"/>
      <c r="AM146" s="454"/>
      <c r="AN146" s="454"/>
      <c r="AO146" s="454"/>
      <c r="AP146" s="454"/>
      <c r="AQ146" s="454"/>
      <c r="AR146" s="454"/>
      <c r="AS146" s="454"/>
      <c r="AT146" s="454"/>
      <c r="AU146" s="454"/>
      <c r="AV146" s="454"/>
      <c r="AW146" s="454"/>
      <c r="AX146" s="454"/>
      <c r="AY146" s="460"/>
      <c r="AZ146" s="451"/>
    </row>
    <row r="147" spans="2:52" ht="13.5" customHeight="1">
      <c r="B147" s="670"/>
      <c r="C147" s="666"/>
      <c r="D147" s="670"/>
      <c r="E147" s="462"/>
      <c r="F147" s="12"/>
      <c r="G147" s="454"/>
      <c r="H147" s="454"/>
      <c r="I147" s="454"/>
      <c r="J147" s="454"/>
      <c r="K147" s="454"/>
      <c r="L147" s="454"/>
      <c r="M147" s="454"/>
      <c r="N147" s="454"/>
      <c r="O147" s="454"/>
      <c r="P147" s="454"/>
      <c r="Q147" s="454"/>
      <c r="R147" s="454"/>
      <c r="S147" s="454"/>
      <c r="T147" s="454"/>
      <c r="U147" s="454"/>
      <c r="V147" s="454"/>
      <c r="W147" s="454"/>
      <c r="X147" s="454"/>
      <c r="Y147" s="454"/>
      <c r="Z147" s="454"/>
      <c r="AA147" s="454"/>
      <c r="AB147" s="454"/>
      <c r="AC147" s="454"/>
      <c r="AD147" s="454"/>
      <c r="AE147" s="454"/>
      <c r="AF147" s="454"/>
      <c r="AG147" s="454"/>
      <c r="AH147" s="454"/>
      <c r="AI147" s="454"/>
      <c r="AJ147" s="454"/>
      <c r="AK147" s="454"/>
      <c r="AL147" s="454"/>
      <c r="AM147" s="454"/>
      <c r="AN147" s="454"/>
      <c r="AO147" s="454"/>
      <c r="AP147" s="454"/>
      <c r="AQ147" s="454"/>
      <c r="AR147" s="454"/>
      <c r="AS147" s="454"/>
      <c r="AT147" s="454"/>
      <c r="AU147" s="454"/>
      <c r="AV147" s="454"/>
      <c r="AW147" s="454"/>
      <c r="AX147" s="454"/>
      <c r="AY147" s="460"/>
      <c r="AZ147" s="451"/>
    </row>
    <row r="148" spans="2:52" ht="13.5" customHeight="1">
      <c r="B148" s="670"/>
      <c r="C148" s="666"/>
      <c r="D148" s="670"/>
      <c r="E148" s="462"/>
      <c r="F148" s="12"/>
      <c r="G148" s="454"/>
      <c r="H148" s="454"/>
      <c r="I148" s="454"/>
      <c r="J148" s="454"/>
      <c r="K148" s="454"/>
      <c r="L148" s="454"/>
      <c r="M148" s="454"/>
      <c r="N148" s="454"/>
      <c r="O148" s="454"/>
      <c r="P148" s="454"/>
      <c r="Q148" s="454"/>
      <c r="R148" s="454"/>
      <c r="S148" s="454"/>
      <c r="T148" s="454"/>
      <c r="U148" s="454"/>
      <c r="V148" s="454"/>
      <c r="W148" s="454"/>
      <c r="X148" s="454"/>
      <c r="Y148" s="454"/>
      <c r="Z148" s="454"/>
      <c r="AA148" s="454"/>
      <c r="AB148" s="454"/>
      <c r="AC148" s="454"/>
      <c r="AD148" s="454"/>
      <c r="AE148" s="454"/>
      <c r="AF148" s="454"/>
      <c r="AG148" s="454"/>
      <c r="AH148" s="455"/>
      <c r="AI148" s="454"/>
      <c r="AJ148" s="454"/>
      <c r="AK148" s="454"/>
      <c r="AL148" s="454"/>
      <c r="AM148" s="454"/>
      <c r="AN148" s="454"/>
      <c r="AO148" s="454"/>
      <c r="AP148" s="454"/>
      <c r="AQ148" s="454"/>
      <c r="AR148" s="454"/>
      <c r="AS148" s="454"/>
      <c r="AT148" s="454"/>
      <c r="AU148" s="454"/>
      <c r="AV148" s="454"/>
      <c r="AW148" s="454"/>
      <c r="AX148" s="454"/>
      <c r="AY148" s="460"/>
      <c r="AZ148" s="451"/>
    </row>
    <row r="149" spans="2:52" ht="13.5" customHeight="1">
      <c r="B149" s="670"/>
      <c r="C149" s="671"/>
      <c r="D149" s="681"/>
      <c r="E149" s="465"/>
      <c r="F149" s="7"/>
      <c r="G149" s="466"/>
      <c r="H149" s="466"/>
      <c r="I149" s="466"/>
      <c r="J149" s="466"/>
      <c r="K149" s="466"/>
      <c r="L149" s="466"/>
      <c r="M149" s="466"/>
      <c r="N149" s="466"/>
      <c r="O149" s="466"/>
      <c r="P149" s="466"/>
      <c r="Q149" s="466"/>
      <c r="R149" s="466"/>
      <c r="S149" s="466"/>
      <c r="T149" s="466"/>
      <c r="U149" s="466"/>
      <c r="V149" s="466"/>
      <c r="W149" s="466"/>
      <c r="X149" s="466"/>
      <c r="Y149" s="466"/>
      <c r="Z149" s="466"/>
      <c r="AA149" s="466"/>
      <c r="AB149" s="466"/>
      <c r="AC149" s="466"/>
      <c r="AD149" s="466"/>
      <c r="AE149" s="466"/>
      <c r="AF149" s="466"/>
      <c r="AG149" s="466"/>
      <c r="AH149" s="466"/>
      <c r="AI149" s="466"/>
      <c r="AJ149" s="466"/>
      <c r="AK149" s="466"/>
      <c r="AL149" s="466"/>
      <c r="AM149" s="466"/>
      <c r="AN149" s="466"/>
      <c r="AO149" s="466"/>
      <c r="AP149" s="466"/>
      <c r="AQ149" s="466"/>
      <c r="AR149" s="466"/>
      <c r="AS149" s="466"/>
      <c r="AT149" s="466"/>
      <c r="AU149" s="466"/>
      <c r="AV149" s="466"/>
      <c r="AW149" s="466"/>
      <c r="AX149" s="466"/>
      <c r="AY149" s="461"/>
      <c r="AZ149" s="453"/>
    </row>
    <row r="150" spans="2:52" ht="13.5" customHeight="1" thickBot="1">
      <c r="B150" s="670"/>
      <c r="C150" s="682">
        <v>3</v>
      </c>
      <c r="D150" s="680" t="s">
        <v>7</v>
      </c>
      <c r="E150" s="463"/>
      <c r="F150" s="17"/>
      <c r="G150" s="464"/>
      <c r="H150" s="464"/>
      <c r="I150" s="464"/>
      <c r="J150" s="464"/>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c r="AG150" s="464"/>
      <c r="AH150" s="464"/>
      <c r="AI150" s="464"/>
      <c r="AJ150" s="464"/>
      <c r="AK150" s="464"/>
      <c r="AL150" s="464"/>
      <c r="AM150" s="464"/>
      <c r="AN150" s="464"/>
      <c r="AO150" s="464"/>
      <c r="AP150" s="464"/>
      <c r="AQ150" s="464"/>
      <c r="AR150" s="464"/>
      <c r="AS150" s="464"/>
      <c r="AT150" s="464"/>
      <c r="AU150" s="464"/>
      <c r="AV150" s="464"/>
      <c r="AW150" s="464"/>
      <c r="AX150" s="464"/>
      <c r="AY150" s="459"/>
      <c r="AZ150" s="458"/>
    </row>
    <row r="151" spans="2:52" ht="13.5" customHeight="1" thickTop="1" thickBot="1">
      <c r="B151" s="670"/>
      <c r="C151" s="666"/>
      <c r="D151" s="670"/>
      <c r="E151" s="462" t="s">
        <v>6</v>
      </c>
      <c r="F151" s="12"/>
      <c r="G151" s="454"/>
      <c r="H151" s="454"/>
      <c r="I151" s="454"/>
      <c r="J151" s="454"/>
      <c r="K151" s="454"/>
      <c r="L151" s="454"/>
      <c r="M151" s="454"/>
      <c r="N151" s="454"/>
      <c r="O151" s="454"/>
      <c r="P151" s="454"/>
      <c r="Q151" s="454"/>
      <c r="R151" s="454"/>
      <c r="S151" s="454"/>
      <c r="T151" s="667">
        <f>T144</f>
        <v>-23434</v>
      </c>
      <c r="U151" s="668"/>
      <c r="V151" s="668"/>
      <c r="W151" s="668"/>
      <c r="X151" s="668"/>
      <c r="Y151" s="669"/>
      <c r="Z151" s="454"/>
      <c r="AA151" s="454"/>
      <c r="AB151" s="455" t="s">
        <v>5</v>
      </c>
      <c r="AC151" s="454"/>
      <c r="AD151" s="454"/>
      <c r="AE151" s="454"/>
      <c r="AF151" s="454"/>
      <c r="AG151" s="454"/>
      <c r="AH151" s="454"/>
      <c r="AI151" s="454"/>
      <c r="AJ151" s="454"/>
      <c r="AK151" s="454"/>
      <c r="AL151" s="454"/>
      <c r="AM151" s="454"/>
      <c r="AN151" s="454"/>
      <c r="AO151" s="454"/>
      <c r="AP151" s="454"/>
      <c r="AQ151" s="454"/>
      <c r="AR151" s="454"/>
      <c r="AS151" s="454"/>
      <c r="AT151" s="454"/>
      <c r="AU151" s="454"/>
      <c r="AV151" s="454"/>
      <c r="AW151" s="454"/>
      <c r="AX151" s="454"/>
      <c r="AY151" s="460"/>
      <c r="AZ151" s="451"/>
    </row>
    <row r="152" spans="2:52" ht="13.5" customHeight="1" thickTop="1" thickBot="1">
      <c r="B152" s="670"/>
      <c r="C152" s="666"/>
      <c r="D152" s="670"/>
      <c r="E152" s="462" t="s">
        <v>4</v>
      </c>
      <c r="F152" s="12"/>
      <c r="G152" s="454"/>
      <c r="H152" s="454"/>
      <c r="I152" s="454"/>
      <c r="J152" s="454"/>
      <c r="K152" s="454"/>
      <c r="L152" s="454"/>
      <c r="M152" s="454"/>
      <c r="N152" s="454"/>
      <c r="O152" s="454"/>
      <c r="P152" s="454"/>
      <c r="Q152" s="454"/>
      <c r="R152" s="454"/>
      <c r="S152" s="454"/>
      <c r="T152" s="667">
        <f>ROUNDDOWN(T151*22/78,0)</f>
        <v>-6609</v>
      </c>
      <c r="U152" s="668"/>
      <c r="V152" s="668"/>
      <c r="W152" s="668"/>
      <c r="X152" s="668"/>
      <c r="Y152" s="669"/>
      <c r="Z152" s="454" t="s">
        <v>3</v>
      </c>
      <c r="AA152" s="454"/>
      <c r="AB152" s="483" t="s">
        <v>871</v>
      </c>
      <c r="AC152" s="454"/>
      <c r="AD152" s="454"/>
      <c r="AE152" s="454"/>
      <c r="AF152" s="454"/>
      <c r="AG152" s="454"/>
      <c r="AH152" s="454"/>
      <c r="AI152" s="454"/>
      <c r="AJ152" s="454"/>
      <c r="AK152" s="454"/>
      <c r="AL152" s="454"/>
      <c r="AM152" s="454"/>
      <c r="AN152" s="454"/>
      <c r="AO152" s="454"/>
      <c r="AP152" s="454"/>
      <c r="AQ152" s="454"/>
      <c r="AR152" s="454"/>
      <c r="AS152" s="454"/>
      <c r="AT152" s="454"/>
      <c r="AU152" s="454"/>
      <c r="AV152" s="454"/>
      <c r="AW152" s="454"/>
      <c r="AX152" s="454"/>
      <c r="AY152" s="460"/>
      <c r="AZ152" s="487" t="s">
        <v>857</v>
      </c>
    </row>
    <row r="153" spans="2:52" ht="13.5" customHeight="1" thickTop="1">
      <c r="B153" s="670"/>
      <c r="C153" s="666"/>
      <c r="D153" s="670"/>
      <c r="E153" s="462"/>
      <c r="F153" s="12"/>
      <c r="G153" s="454"/>
      <c r="H153" s="454"/>
      <c r="I153" s="454"/>
      <c r="J153" s="454"/>
      <c r="K153" s="454"/>
      <c r="L153" s="454"/>
      <c r="M153" s="454"/>
      <c r="N153" s="454"/>
      <c r="O153" s="454"/>
      <c r="P153" s="454"/>
      <c r="Q153" s="454"/>
      <c r="R153" s="454"/>
      <c r="S153" s="454"/>
      <c r="T153" s="454"/>
      <c r="U153" s="454"/>
      <c r="V153" s="454"/>
      <c r="W153" s="454"/>
      <c r="X153" s="454"/>
      <c r="Y153" s="454"/>
      <c r="Z153" s="454"/>
      <c r="AA153" s="454"/>
      <c r="AB153" s="454"/>
      <c r="AC153" s="454"/>
      <c r="AD153" s="454"/>
      <c r="AE153" s="454"/>
      <c r="AF153" s="454"/>
      <c r="AG153" s="454"/>
      <c r="AH153" s="454"/>
      <c r="AI153" s="454"/>
      <c r="AJ153" s="454"/>
      <c r="AK153" s="454"/>
      <c r="AL153" s="454"/>
      <c r="AM153" s="454"/>
      <c r="AN153" s="454"/>
      <c r="AO153" s="454"/>
      <c r="AP153" s="454"/>
      <c r="AQ153" s="454"/>
      <c r="AR153" s="454"/>
      <c r="AS153" s="454"/>
      <c r="AT153" s="454"/>
      <c r="AU153" s="454"/>
      <c r="AV153" s="454"/>
      <c r="AW153" s="454"/>
      <c r="AX153" s="454"/>
      <c r="AY153" s="460"/>
      <c r="AZ153" s="451"/>
    </row>
    <row r="154" spans="2:52" ht="13.5" customHeight="1">
      <c r="B154" s="670"/>
      <c r="C154" s="666"/>
      <c r="D154" s="670"/>
      <c r="E154" s="462"/>
      <c r="F154" s="12"/>
      <c r="G154" s="454"/>
      <c r="H154" s="454"/>
      <c r="I154" s="454"/>
      <c r="J154" s="454"/>
      <c r="K154" s="454"/>
      <c r="L154" s="454"/>
      <c r="M154" s="454"/>
      <c r="N154" s="454"/>
      <c r="O154" s="454"/>
      <c r="P154" s="454"/>
      <c r="Q154" s="454"/>
      <c r="R154" s="454"/>
      <c r="S154" s="454"/>
      <c r="T154" s="454"/>
      <c r="U154" s="454"/>
      <c r="V154" s="454"/>
      <c r="W154" s="454"/>
      <c r="X154" s="454"/>
      <c r="Y154" s="454"/>
      <c r="Z154" s="454"/>
      <c r="AA154" s="454"/>
      <c r="AB154" s="454"/>
      <c r="AC154" s="454"/>
      <c r="AD154" s="454"/>
      <c r="AE154" s="454"/>
      <c r="AF154" s="454"/>
      <c r="AG154" s="454"/>
      <c r="AH154" s="454"/>
      <c r="AI154" s="454"/>
      <c r="AJ154" s="454"/>
      <c r="AK154" s="454"/>
      <c r="AL154" s="454"/>
      <c r="AM154" s="454"/>
      <c r="AN154" s="454"/>
      <c r="AO154" s="454"/>
      <c r="AP154" s="454"/>
      <c r="AQ154" s="454"/>
      <c r="AR154" s="454"/>
      <c r="AS154" s="454"/>
      <c r="AT154" s="454"/>
      <c r="AU154" s="454"/>
      <c r="AV154" s="454"/>
      <c r="AW154" s="454"/>
      <c r="AX154" s="454"/>
      <c r="AY154" s="460"/>
      <c r="AZ154" s="451"/>
    </row>
    <row r="155" spans="2:52" ht="13.5" customHeight="1">
      <c r="B155" s="670"/>
      <c r="C155" s="666"/>
      <c r="D155" s="670"/>
      <c r="E155" s="462"/>
      <c r="F155" s="12"/>
      <c r="G155" s="454"/>
      <c r="H155" s="454"/>
      <c r="I155" s="454"/>
      <c r="J155" s="454"/>
      <c r="K155" s="454"/>
      <c r="L155" s="454"/>
      <c r="M155" s="454"/>
      <c r="N155" s="454"/>
      <c r="O155" s="454"/>
      <c r="P155" s="454"/>
      <c r="Q155" s="454"/>
      <c r="R155" s="454"/>
      <c r="S155" s="454"/>
      <c r="T155" s="454"/>
      <c r="U155" s="454"/>
      <c r="V155" s="454"/>
      <c r="W155" s="454"/>
      <c r="X155" s="454"/>
      <c r="Y155" s="454"/>
      <c r="Z155" s="454"/>
      <c r="AA155" s="454"/>
      <c r="AB155" s="454"/>
      <c r="AC155" s="454"/>
      <c r="AD155" s="454"/>
      <c r="AE155" s="454"/>
      <c r="AF155" s="454"/>
      <c r="AG155" s="454"/>
      <c r="AH155" s="454"/>
      <c r="AI155" s="454"/>
      <c r="AJ155" s="454"/>
      <c r="AK155" s="454"/>
      <c r="AL155" s="454"/>
      <c r="AM155" s="454"/>
      <c r="AN155" s="454"/>
      <c r="AO155" s="454"/>
      <c r="AP155" s="454"/>
      <c r="AQ155" s="454"/>
      <c r="AR155" s="454"/>
      <c r="AS155" s="454"/>
      <c r="AT155" s="454"/>
      <c r="AU155" s="454"/>
      <c r="AV155" s="454"/>
      <c r="AW155" s="454"/>
      <c r="AX155" s="454"/>
      <c r="AY155" s="460"/>
      <c r="AZ155" s="451"/>
    </row>
    <row r="156" spans="2:52" ht="13.5" customHeight="1">
      <c r="B156" s="670"/>
      <c r="C156" s="666"/>
      <c r="D156" s="670"/>
      <c r="E156" s="462"/>
      <c r="F156" s="12"/>
      <c r="G156" s="454"/>
      <c r="H156" s="454"/>
      <c r="I156" s="454"/>
      <c r="J156" s="454"/>
      <c r="K156" s="454"/>
      <c r="L156" s="454"/>
      <c r="M156" s="454"/>
      <c r="N156" s="454"/>
      <c r="O156" s="454"/>
      <c r="P156" s="454"/>
      <c r="Q156" s="454"/>
      <c r="R156" s="454"/>
      <c r="S156" s="454"/>
      <c r="T156" s="454"/>
      <c r="U156" s="454"/>
      <c r="V156" s="454"/>
      <c r="W156" s="454"/>
      <c r="X156" s="454"/>
      <c r="Y156" s="454"/>
      <c r="Z156" s="454"/>
      <c r="AA156" s="454"/>
      <c r="AB156" s="454"/>
      <c r="AC156" s="454"/>
      <c r="AD156" s="454"/>
      <c r="AE156" s="454"/>
      <c r="AF156" s="454"/>
      <c r="AG156" s="454"/>
      <c r="AH156" s="455"/>
      <c r="AI156" s="454"/>
      <c r="AJ156" s="454"/>
      <c r="AK156" s="454"/>
      <c r="AL156" s="454"/>
      <c r="AM156" s="454"/>
      <c r="AN156" s="454"/>
      <c r="AO156" s="454"/>
      <c r="AP156" s="454"/>
      <c r="AQ156" s="454"/>
      <c r="AR156" s="454"/>
      <c r="AS156" s="454"/>
      <c r="AT156" s="454"/>
      <c r="AU156" s="454"/>
      <c r="AV156" s="454"/>
      <c r="AW156" s="454"/>
      <c r="AX156" s="454"/>
      <c r="AY156" s="460"/>
      <c r="AZ156" s="451"/>
    </row>
    <row r="157" spans="2:52" ht="13.5" customHeight="1">
      <c r="B157" s="670"/>
      <c r="C157" s="671"/>
      <c r="D157" s="681"/>
      <c r="E157" s="465"/>
      <c r="F157" s="7"/>
      <c r="G157" s="466"/>
      <c r="H157" s="466"/>
      <c r="I157" s="466"/>
      <c r="J157" s="466"/>
      <c r="K157" s="466"/>
      <c r="L157" s="466"/>
      <c r="M157" s="466"/>
      <c r="N157" s="466"/>
      <c r="O157" s="466"/>
      <c r="P157" s="466"/>
      <c r="Q157" s="466"/>
      <c r="R157" s="466"/>
      <c r="S157" s="466"/>
      <c r="T157" s="466"/>
      <c r="U157" s="466"/>
      <c r="V157" s="466"/>
      <c r="W157" s="466"/>
      <c r="X157" s="466"/>
      <c r="Y157" s="466"/>
      <c r="Z157" s="466"/>
      <c r="AA157" s="466"/>
      <c r="AB157" s="466"/>
      <c r="AC157" s="466"/>
      <c r="AD157" s="466"/>
      <c r="AE157" s="466"/>
      <c r="AF157" s="466"/>
      <c r="AG157" s="466"/>
      <c r="AH157" s="466"/>
      <c r="AI157" s="466"/>
      <c r="AJ157" s="466"/>
      <c r="AK157" s="466"/>
      <c r="AL157" s="466"/>
      <c r="AM157" s="466"/>
      <c r="AN157" s="466"/>
      <c r="AO157" s="466"/>
      <c r="AP157" s="466"/>
      <c r="AQ157" s="466"/>
      <c r="AR157" s="466"/>
      <c r="AS157" s="466"/>
      <c r="AT157" s="466"/>
      <c r="AU157" s="466"/>
      <c r="AV157" s="466"/>
      <c r="AW157" s="466"/>
      <c r="AX157" s="466"/>
      <c r="AY157" s="461"/>
      <c r="AZ157" s="453"/>
    </row>
    <row r="158" spans="2:52" ht="13.5" customHeight="1">
      <c r="B158" s="670"/>
      <c r="C158" s="682">
        <v>4</v>
      </c>
      <c r="D158" s="680" t="s">
        <v>0</v>
      </c>
      <c r="E158" s="463"/>
      <c r="F158" s="17"/>
      <c r="G158" s="464"/>
      <c r="H158" s="464"/>
      <c r="I158" s="464"/>
      <c r="J158" s="464"/>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c r="AG158" s="464"/>
      <c r="AH158" s="464"/>
      <c r="AI158" s="464"/>
      <c r="AJ158" s="464"/>
      <c r="AK158" s="464"/>
      <c r="AL158" s="464"/>
      <c r="AM158" s="464"/>
      <c r="AN158" s="464"/>
      <c r="AO158" s="464"/>
      <c r="AP158" s="464"/>
      <c r="AQ158" s="464"/>
      <c r="AR158" s="464"/>
      <c r="AS158" s="464"/>
      <c r="AT158" s="464"/>
      <c r="AU158" s="464"/>
      <c r="AV158" s="464"/>
      <c r="AW158" s="464"/>
      <c r="AX158" s="464"/>
      <c r="AY158" s="459"/>
      <c r="AZ158" s="458"/>
    </row>
    <row r="159" spans="2:52" ht="13.5" customHeight="1">
      <c r="B159" s="670"/>
      <c r="C159" s="666"/>
      <c r="D159" s="670"/>
      <c r="E159" s="462"/>
      <c r="F159" s="12"/>
      <c r="G159" s="454"/>
      <c r="H159" s="454"/>
      <c r="I159" s="454"/>
      <c r="J159" s="454"/>
      <c r="K159" s="454"/>
      <c r="L159" s="454"/>
      <c r="M159" s="454"/>
      <c r="N159" s="454"/>
      <c r="O159" s="454"/>
      <c r="P159" s="454"/>
      <c r="Q159" s="454"/>
      <c r="R159" s="454"/>
      <c r="S159" s="454"/>
      <c r="T159" s="454"/>
      <c r="U159" s="454"/>
      <c r="V159" s="454"/>
      <c r="W159" s="454"/>
      <c r="X159" s="454"/>
      <c r="Y159" s="454"/>
      <c r="Z159" s="454"/>
      <c r="AA159" s="454"/>
      <c r="AB159" s="454"/>
      <c r="AC159" s="454"/>
      <c r="AD159" s="454"/>
      <c r="AE159" s="454"/>
      <c r="AF159" s="454"/>
      <c r="AG159" s="454"/>
      <c r="AH159" s="454"/>
      <c r="AI159" s="454"/>
      <c r="AJ159" s="454"/>
      <c r="AK159" s="454"/>
      <c r="AL159" s="454"/>
      <c r="AM159" s="454"/>
      <c r="AN159" s="454"/>
      <c r="AO159" s="454"/>
      <c r="AP159" s="454"/>
      <c r="AQ159" s="454"/>
      <c r="AR159" s="454"/>
      <c r="AS159" s="454"/>
      <c r="AT159" s="454"/>
      <c r="AU159" s="454"/>
      <c r="AV159" s="454"/>
      <c r="AW159" s="454"/>
      <c r="AX159" s="454"/>
      <c r="AY159" s="460"/>
      <c r="AZ159" s="451"/>
    </row>
    <row r="160" spans="2:52" ht="13.5" customHeight="1">
      <c r="B160" s="681"/>
      <c r="C160" s="671"/>
      <c r="D160" s="681"/>
      <c r="E160" s="465"/>
      <c r="F160" s="7"/>
      <c r="G160" s="466"/>
      <c r="H160" s="466"/>
      <c r="I160" s="466"/>
      <c r="J160" s="466"/>
      <c r="K160" s="466"/>
      <c r="L160" s="466"/>
      <c r="M160" s="466"/>
      <c r="N160" s="466"/>
      <c r="O160" s="466"/>
      <c r="P160" s="466"/>
      <c r="Q160" s="466"/>
      <c r="R160" s="466"/>
      <c r="S160" s="466"/>
      <c r="T160" s="466"/>
      <c r="U160" s="466"/>
      <c r="V160" s="466"/>
      <c r="W160" s="466"/>
      <c r="X160" s="466"/>
      <c r="Y160" s="466"/>
      <c r="Z160" s="466"/>
      <c r="AA160" s="466"/>
      <c r="AB160" s="466"/>
      <c r="AC160" s="466"/>
      <c r="AD160" s="466"/>
      <c r="AE160" s="466"/>
      <c r="AF160" s="466"/>
      <c r="AG160" s="466"/>
      <c r="AH160" s="466"/>
      <c r="AI160" s="466"/>
      <c r="AJ160" s="466"/>
      <c r="AK160" s="466"/>
      <c r="AL160" s="466"/>
      <c r="AM160" s="466"/>
      <c r="AN160" s="466"/>
      <c r="AO160" s="466"/>
      <c r="AP160" s="466"/>
      <c r="AQ160" s="466"/>
      <c r="AR160" s="466"/>
      <c r="AS160" s="466"/>
      <c r="AT160" s="466"/>
      <c r="AU160" s="466"/>
      <c r="AV160" s="466"/>
      <c r="AW160" s="466"/>
      <c r="AX160" s="466"/>
      <c r="AY160" s="461"/>
      <c r="AZ160" s="453"/>
    </row>
  </sheetData>
  <mergeCells count="130">
    <mergeCell ref="B2:D2"/>
    <mergeCell ref="E2:AY2"/>
    <mergeCell ref="B3:B32"/>
    <mergeCell ref="C3:C4"/>
    <mergeCell ref="D3:D4"/>
    <mergeCell ref="E3:AY4"/>
    <mergeCell ref="C5:C7"/>
    <mergeCell ref="D5:D7"/>
    <mergeCell ref="E5:AY12"/>
    <mergeCell ref="C8:C10"/>
    <mergeCell ref="D8:D10"/>
    <mergeCell ref="C11:C12"/>
    <mergeCell ref="D11:D12"/>
    <mergeCell ref="C13:C14"/>
    <mergeCell ref="D13:D14"/>
    <mergeCell ref="E13:AY18"/>
    <mergeCell ref="C15:C16"/>
    <mergeCell ref="D15:D16"/>
    <mergeCell ref="C17:C18"/>
    <mergeCell ref="D17:D18"/>
    <mergeCell ref="C19:C32"/>
    <mergeCell ref="D19:D32"/>
    <mergeCell ref="R20:W20"/>
    <mergeCell ref="R21:W21"/>
    <mergeCell ref="AK21:AP21"/>
    <mergeCell ref="R24:W24"/>
    <mergeCell ref="R25:W25"/>
    <mergeCell ref="R27:W27"/>
    <mergeCell ref="R29:W29"/>
    <mergeCell ref="R31:W31"/>
    <mergeCell ref="B33:B43"/>
    <mergeCell ref="C33:C43"/>
    <mergeCell ref="D33:D43"/>
    <mergeCell ref="AZ36:AZ37"/>
    <mergeCell ref="AZ40:AZ41"/>
    <mergeCell ref="B44:B71"/>
    <mergeCell ref="C44:C46"/>
    <mergeCell ref="D44:D46"/>
    <mergeCell ref="E44:AY46"/>
    <mergeCell ref="C47:C49"/>
    <mergeCell ref="C54:C55"/>
    <mergeCell ref="D54:D55"/>
    <mergeCell ref="E54:AY55"/>
    <mergeCell ref="C56:C57"/>
    <mergeCell ref="D56:D57"/>
    <mergeCell ref="E56:AY57"/>
    <mergeCell ref="D47:D49"/>
    <mergeCell ref="E47:AY51"/>
    <mergeCell ref="C50:C51"/>
    <mergeCell ref="D50:D51"/>
    <mergeCell ref="C52:C53"/>
    <mergeCell ref="D52:D53"/>
    <mergeCell ref="E52:AY53"/>
    <mergeCell ref="C58:C71"/>
    <mergeCell ref="D58:D71"/>
    <mergeCell ref="R59:W59"/>
    <mergeCell ref="R60:W60"/>
    <mergeCell ref="AK60:AP60"/>
    <mergeCell ref="R65:W65"/>
    <mergeCell ref="R66:W66"/>
    <mergeCell ref="T68:Y68"/>
    <mergeCell ref="T70:Y70"/>
    <mergeCell ref="C81:C83"/>
    <mergeCell ref="D81:D83"/>
    <mergeCell ref="E81:AY83"/>
    <mergeCell ref="C84:C86"/>
    <mergeCell ref="D84:D86"/>
    <mergeCell ref="E84:AY86"/>
    <mergeCell ref="AC111:AH111"/>
    <mergeCell ref="AA113:AF113"/>
    <mergeCell ref="AH113:AH116"/>
    <mergeCell ref="AI113:AQ116"/>
    <mergeCell ref="B72:B86"/>
    <mergeCell ref="C72:C73"/>
    <mergeCell ref="D72:D73"/>
    <mergeCell ref="E72:AY73"/>
    <mergeCell ref="C74:C76"/>
    <mergeCell ref="D74:D76"/>
    <mergeCell ref="E74:AY76"/>
    <mergeCell ref="C77:C80"/>
    <mergeCell ref="D77:D80"/>
    <mergeCell ref="E77:AY80"/>
    <mergeCell ref="B131:B160"/>
    <mergeCell ref="C131:C140"/>
    <mergeCell ref="D131:D140"/>
    <mergeCell ref="T132:Y132"/>
    <mergeCell ref="T134:Y134"/>
    <mergeCell ref="B87:B130"/>
    <mergeCell ref="C150:C157"/>
    <mergeCell ref="D150:D157"/>
    <mergeCell ref="T151:Y151"/>
    <mergeCell ref="T152:Y152"/>
    <mergeCell ref="C158:C160"/>
    <mergeCell ref="D158:D160"/>
    <mergeCell ref="T136:Y136"/>
    <mergeCell ref="T137:Y137"/>
    <mergeCell ref="T139:Y139"/>
    <mergeCell ref="C141:C149"/>
    <mergeCell ref="D141:D149"/>
    <mergeCell ref="T142:Y142"/>
    <mergeCell ref="D97:D123"/>
    <mergeCell ref="E103:R106"/>
    <mergeCell ref="C87:C96"/>
    <mergeCell ref="D87:D96"/>
    <mergeCell ref="P88:U88"/>
    <mergeCell ref="P89:U89"/>
    <mergeCell ref="T143:Y143"/>
    <mergeCell ref="T144:Y144"/>
    <mergeCell ref="F113:S116"/>
    <mergeCell ref="P93:U93"/>
    <mergeCell ref="P95:U95"/>
    <mergeCell ref="C97:C123"/>
    <mergeCell ref="AZ113:AZ116"/>
    <mergeCell ref="AA116:AF116"/>
    <mergeCell ref="AA118:AF118"/>
    <mergeCell ref="Z120:AE120"/>
    <mergeCell ref="Z122:AE122"/>
    <mergeCell ref="Z98:AE98"/>
    <mergeCell ref="Z100:AE100"/>
    <mergeCell ref="Z101:AE101"/>
    <mergeCell ref="Z103:AE103"/>
    <mergeCell ref="AZ87:AZ96"/>
    <mergeCell ref="AS89:AX89"/>
    <mergeCell ref="P91:U91"/>
    <mergeCell ref="P92:U92"/>
    <mergeCell ref="AE92:AJ92"/>
    <mergeCell ref="AG103:AG106"/>
    <mergeCell ref="AZ103:AZ106"/>
    <mergeCell ref="Z106:AE106"/>
    <mergeCell ref="Z108:AE108"/>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AZ160"/>
  <sheetViews>
    <sheetView topLeftCell="A121" zoomScaleNormal="100" workbookViewId="0">
      <selection activeCell="R62" sqref="R62:W62"/>
    </sheetView>
  </sheetViews>
  <sheetFormatPr defaultColWidth="9" defaultRowHeight="13.5" customHeight="1"/>
  <cols>
    <col min="1" max="1" width="0.375" style="1" customWidth="1"/>
    <col min="2" max="2" width="10.625" style="1" customWidth="1"/>
    <col min="3" max="3" width="2.375" style="1" customWidth="1"/>
    <col min="4" max="4" width="35.25" style="3" customWidth="1"/>
    <col min="5" max="5" width="1.875" style="1" customWidth="1"/>
    <col min="6" max="6" width="1.875" style="2" customWidth="1"/>
    <col min="7" max="51" width="1.875" style="1" customWidth="1"/>
    <col min="52" max="52" width="9.375" style="1" customWidth="1"/>
    <col min="53" max="53" width="0.625" style="1" customWidth="1"/>
    <col min="54" max="16384" width="9" style="1"/>
  </cols>
  <sheetData>
    <row r="1" spans="2:52" ht="17.25" customHeight="1">
      <c r="B1" s="35" t="s">
        <v>172</v>
      </c>
      <c r="AZ1" s="34" t="s">
        <v>171</v>
      </c>
    </row>
    <row r="2" spans="2:52" ht="13.5" customHeight="1">
      <c r="B2" s="696" t="s">
        <v>170</v>
      </c>
      <c r="C2" s="696"/>
      <c r="D2" s="696"/>
      <c r="E2" s="696" t="s">
        <v>169</v>
      </c>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696"/>
      <c r="AZ2" s="467" t="s">
        <v>168</v>
      </c>
    </row>
    <row r="3" spans="2:52" ht="13.5" customHeight="1">
      <c r="B3" s="682" t="s">
        <v>167</v>
      </c>
      <c r="C3" s="688">
        <v>1</v>
      </c>
      <c r="D3" s="690" t="s">
        <v>166</v>
      </c>
      <c r="E3" s="688" t="s">
        <v>165</v>
      </c>
      <c r="F3" s="688"/>
      <c r="G3" s="688"/>
      <c r="H3" s="688"/>
      <c r="I3" s="688"/>
      <c r="J3" s="688"/>
      <c r="K3" s="688"/>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c r="AP3" s="688"/>
      <c r="AQ3" s="688"/>
      <c r="AR3" s="688"/>
      <c r="AS3" s="688"/>
      <c r="AT3" s="688"/>
      <c r="AU3" s="688"/>
      <c r="AV3" s="688"/>
      <c r="AW3" s="688"/>
      <c r="AX3" s="688"/>
      <c r="AY3" s="688"/>
      <c r="AZ3" s="458"/>
    </row>
    <row r="4" spans="2:52" ht="13.5" customHeight="1">
      <c r="B4" s="666"/>
      <c r="C4" s="688"/>
      <c r="D4" s="690"/>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8"/>
      <c r="AN4" s="688"/>
      <c r="AO4" s="688"/>
      <c r="AP4" s="688"/>
      <c r="AQ4" s="688"/>
      <c r="AR4" s="688"/>
      <c r="AS4" s="688"/>
      <c r="AT4" s="688"/>
      <c r="AU4" s="688"/>
      <c r="AV4" s="688"/>
      <c r="AW4" s="688"/>
      <c r="AX4" s="688"/>
      <c r="AY4" s="688"/>
      <c r="AZ4" s="453"/>
    </row>
    <row r="5" spans="2:52" ht="13.5" customHeight="1">
      <c r="B5" s="666"/>
      <c r="C5" s="688">
        <v>2</v>
      </c>
      <c r="D5" s="690" t="s">
        <v>164</v>
      </c>
      <c r="E5" s="688" t="s">
        <v>163</v>
      </c>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c r="AP5" s="688"/>
      <c r="AQ5" s="688"/>
      <c r="AR5" s="688"/>
      <c r="AS5" s="688"/>
      <c r="AT5" s="688"/>
      <c r="AU5" s="688"/>
      <c r="AV5" s="688"/>
      <c r="AW5" s="688"/>
      <c r="AX5" s="688"/>
      <c r="AY5" s="688"/>
      <c r="AZ5" s="458"/>
    </row>
    <row r="6" spans="2:52" ht="13.5" customHeight="1">
      <c r="B6" s="666"/>
      <c r="C6" s="688"/>
      <c r="D6" s="690"/>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8"/>
      <c r="AN6" s="688"/>
      <c r="AO6" s="688"/>
      <c r="AP6" s="688"/>
      <c r="AQ6" s="688"/>
      <c r="AR6" s="688"/>
      <c r="AS6" s="688"/>
      <c r="AT6" s="688"/>
      <c r="AU6" s="688"/>
      <c r="AV6" s="688"/>
      <c r="AW6" s="688"/>
      <c r="AX6" s="688"/>
      <c r="AY6" s="688"/>
      <c r="AZ6" s="451"/>
    </row>
    <row r="7" spans="2:52" ht="13.5" customHeight="1">
      <c r="B7" s="666"/>
      <c r="C7" s="688"/>
      <c r="D7" s="690"/>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8"/>
      <c r="AN7" s="688"/>
      <c r="AO7" s="688"/>
      <c r="AP7" s="688"/>
      <c r="AQ7" s="688"/>
      <c r="AR7" s="688"/>
      <c r="AS7" s="688"/>
      <c r="AT7" s="688"/>
      <c r="AU7" s="688"/>
      <c r="AV7" s="688"/>
      <c r="AW7" s="688"/>
      <c r="AX7" s="688"/>
      <c r="AY7" s="688"/>
      <c r="AZ7" s="451"/>
    </row>
    <row r="8" spans="2:52" ht="13.5" customHeight="1">
      <c r="B8" s="666"/>
      <c r="C8" s="688">
        <v>3</v>
      </c>
      <c r="D8" s="690" t="s">
        <v>162</v>
      </c>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8"/>
      <c r="AN8" s="688"/>
      <c r="AO8" s="688"/>
      <c r="AP8" s="688"/>
      <c r="AQ8" s="688"/>
      <c r="AR8" s="688"/>
      <c r="AS8" s="688"/>
      <c r="AT8" s="688"/>
      <c r="AU8" s="688"/>
      <c r="AV8" s="688"/>
      <c r="AW8" s="688"/>
      <c r="AX8" s="688"/>
      <c r="AY8" s="688"/>
      <c r="AZ8" s="451"/>
    </row>
    <row r="9" spans="2:52" ht="13.5" customHeight="1">
      <c r="B9" s="666"/>
      <c r="C9" s="688"/>
      <c r="D9" s="690"/>
      <c r="E9" s="688"/>
      <c r="F9" s="688"/>
      <c r="G9" s="688"/>
      <c r="H9" s="688"/>
      <c r="I9" s="688"/>
      <c r="J9" s="688"/>
      <c r="K9" s="688"/>
      <c r="L9" s="688"/>
      <c r="M9" s="688"/>
      <c r="N9" s="688"/>
      <c r="O9" s="688"/>
      <c r="P9" s="688"/>
      <c r="Q9" s="688"/>
      <c r="R9" s="688"/>
      <c r="S9" s="688"/>
      <c r="T9" s="688"/>
      <c r="U9" s="688"/>
      <c r="V9" s="688"/>
      <c r="W9" s="688"/>
      <c r="X9" s="688"/>
      <c r="Y9" s="688"/>
      <c r="Z9" s="688"/>
      <c r="AA9" s="688"/>
      <c r="AB9" s="688"/>
      <c r="AC9" s="688"/>
      <c r="AD9" s="688"/>
      <c r="AE9" s="688"/>
      <c r="AF9" s="688"/>
      <c r="AG9" s="688"/>
      <c r="AH9" s="688"/>
      <c r="AI9" s="688"/>
      <c r="AJ9" s="688"/>
      <c r="AK9" s="688"/>
      <c r="AL9" s="688"/>
      <c r="AM9" s="688"/>
      <c r="AN9" s="688"/>
      <c r="AO9" s="688"/>
      <c r="AP9" s="688"/>
      <c r="AQ9" s="688"/>
      <c r="AR9" s="688"/>
      <c r="AS9" s="688"/>
      <c r="AT9" s="688"/>
      <c r="AU9" s="688"/>
      <c r="AV9" s="688"/>
      <c r="AW9" s="688"/>
      <c r="AX9" s="688"/>
      <c r="AY9" s="688"/>
      <c r="AZ9" s="451"/>
    </row>
    <row r="10" spans="2:52" ht="13.5" customHeight="1">
      <c r="B10" s="666"/>
      <c r="C10" s="688"/>
      <c r="D10" s="690"/>
      <c r="E10" s="688"/>
      <c r="F10" s="688"/>
      <c r="G10" s="688"/>
      <c r="H10" s="688"/>
      <c r="I10" s="688"/>
      <c r="J10" s="688"/>
      <c r="K10" s="688"/>
      <c r="L10" s="688"/>
      <c r="M10" s="688"/>
      <c r="N10" s="688"/>
      <c r="O10" s="688"/>
      <c r="P10" s="688"/>
      <c r="Q10" s="688"/>
      <c r="R10" s="688"/>
      <c r="S10" s="688"/>
      <c r="T10" s="688"/>
      <c r="U10" s="688"/>
      <c r="V10" s="688"/>
      <c r="W10" s="688"/>
      <c r="X10" s="688"/>
      <c r="Y10" s="688"/>
      <c r="Z10" s="688"/>
      <c r="AA10" s="688"/>
      <c r="AB10" s="688"/>
      <c r="AC10" s="688"/>
      <c r="AD10" s="688"/>
      <c r="AE10" s="688"/>
      <c r="AF10" s="688"/>
      <c r="AG10" s="688"/>
      <c r="AH10" s="688"/>
      <c r="AI10" s="688"/>
      <c r="AJ10" s="688"/>
      <c r="AK10" s="688"/>
      <c r="AL10" s="688"/>
      <c r="AM10" s="688"/>
      <c r="AN10" s="688"/>
      <c r="AO10" s="688"/>
      <c r="AP10" s="688"/>
      <c r="AQ10" s="688"/>
      <c r="AR10" s="688"/>
      <c r="AS10" s="688"/>
      <c r="AT10" s="688"/>
      <c r="AU10" s="688"/>
      <c r="AV10" s="688"/>
      <c r="AW10" s="688"/>
      <c r="AX10" s="688"/>
      <c r="AY10" s="688"/>
      <c r="AZ10" s="451"/>
    </row>
    <row r="11" spans="2:52" ht="13.5" customHeight="1">
      <c r="B11" s="666"/>
      <c r="C11" s="682">
        <v>4</v>
      </c>
      <c r="D11" s="690" t="s">
        <v>161</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451"/>
    </row>
    <row r="12" spans="2:52" ht="13.5" customHeight="1">
      <c r="B12" s="666"/>
      <c r="C12" s="671"/>
      <c r="D12" s="690"/>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453"/>
    </row>
    <row r="13" spans="2:52" ht="13.5" customHeight="1">
      <c r="B13" s="666"/>
      <c r="C13" s="682">
        <v>5</v>
      </c>
      <c r="D13" s="690" t="s">
        <v>160</v>
      </c>
      <c r="E13" s="688" t="s">
        <v>159</v>
      </c>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458"/>
    </row>
    <row r="14" spans="2:52" ht="13.5" customHeight="1">
      <c r="B14" s="666"/>
      <c r="C14" s="671"/>
      <c r="D14" s="690"/>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451"/>
    </row>
    <row r="15" spans="2:52" ht="13.5" customHeight="1">
      <c r="B15" s="666"/>
      <c r="C15" s="682">
        <v>6</v>
      </c>
      <c r="D15" s="690" t="s">
        <v>158</v>
      </c>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451"/>
    </row>
    <row r="16" spans="2:52" ht="13.5" customHeight="1">
      <c r="B16" s="666"/>
      <c r="C16" s="671"/>
      <c r="D16" s="690"/>
      <c r="E16" s="688"/>
      <c r="F16" s="688"/>
      <c r="G16" s="688"/>
      <c r="H16" s="688"/>
      <c r="I16" s="688"/>
      <c r="J16" s="688"/>
      <c r="K16" s="688"/>
      <c r="L16" s="688"/>
      <c r="M16" s="688"/>
      <c r="N16" s="688"/>
      <c r="O16" s="688"/>
      <c r="P16" s="688"/>
      <c r="Q16" s="688"/>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451"/>
    </row>
    <row r="17" spans="2:52" ht="13.5" customHeight="1">
      <c r="B17" s="666"/>
      <c r="C17" s="682">
        <v>7</v>
      </c>
      <c r="D17" s="690" t="s">
        <v>157</v>
      </c>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451"/>
    </row>
    <row r="18" spans="2:52" ht="13.5" customHeight="1">
      <c r="B18" s="666"/>
      <c r="C18" s="671"/>
      <c r="D18" s="690"/>
      <c r="E18" s="688"/>
      <c r="F18" s="688"/>
      <c r="G18" s="688"/>
      <c r="H18" s="688"/>
      <c r="I18" s="688"/>
      <c r="J18" s="688"/>
      <c r="K18" s="688"/>
      <c r="L18" s="688"/>
      <c r="M18" s="688"/>
      <c r="N18" s="688"/>
      <c r="O18" s="688"/>
      <c r="P18" s="688"/>
      <c r="Q18" s="688"/>
      <c r="R18" s="688"/>
      <c r="S18" s="688"/>
      <c r="T18" s="688"/>
      <c r="U18" s="688"/>
      <c r="V18" s="688"/>
      <c r="W18" s="688"/>
      <c r="X18" s="688"/>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453"/>
    </row>
    <row r="19" spans="2:52" ht="13.5" customHeight="1">
      <c r="B19" s="666"/>
      <c r="C19" s="682">
        <v>8</v>
      </c>
      <c r="D19" s="680" t="s">
        <v>156</v>
      </c>
      <c r="E19" s="463"/>
      <c r="F19" s="17"/>
      <c r="G19" s="464"/>
      <c r="H19" s="464"/>
      <c r="I19" s="464"/>
      <c r="J19" s="464"/>
      <c r="K19" s="464"/>
      <c r="L19" s="464"/>
      <c r="M19" s="464"/>
      <c r="N19" s="464"/>
      <c r="O19" s="464"/>
      <c r="P19" s="464"/>
      <c r="Q19" s="464"/>
      <c r="R19" s="464"/>
      <c r="S19" s="464"/>
      <c r="T19" s="464"/>
      <c r="U19" s="464"/>
      <c r="V19" s="464"/>
      <c r="W19" s="464"/>
      <c r="X19" s="464"/>
      <c r="Y19" s="464"/>
      <c r="Z19" s="464"/>
      <c r="AA19" s="464"/>
      <c r="AB19" s="464"/>
      <c r="AC19" s="464"/>
      <c r="AD19" s="464"/>
      <c r="AE19" s="464"/>
      <c r="AF19" s="464"/>
      <c r="AG19" s="464"/>
      <c r="AH19" s="464"/>
      <c r="AI19" s="464"/>
      <c r="AJ19" s="464"/>
      <c r="AK19" s="464"/>
      <c r="AL19" s="464"/>
      <c r="AM19" s="464"/>
      <c r="AN19" s="464"/>
      <c r="AO19" s="464"/>
      <c r="AP19" s="464"/>
      <c r="AQ19" s="464"/>
      <c r="AR19" s="464"/>
      <c r="AS19" s="464"/>
      <c r="AT19" s="464"/>
      <c r="AU19" s="464"/>
      <c r="AV19" s="464"/>
      <c r="AW19" s="464"/>
      <c r="AX19" s="464"/>
      <c r="AY19" s="459"/>
      <c r="AZ19" s="458"/>
    </row>
    <row r="20" spans="2:52" ht="13.5" customHeight="1">
      <c r="B20" s="666"/>
      <c r="C20" s="666"/>
      <c r="D20" s="670"/>
      <c r="E20" s="28" t="s">
        <v>155</v>
      </c>
      <c r="F20" s="12"/>
      <c r="G20" s="12"/>
      <c r="H20" s="12"/>
      <c r="I20" s="12"/>
      <c r="J20" s="12"/>
      <c r="K20" s="12"/>
      <c r="L20" s="12"/>
      <c r="M20" s="12"/>
      <c r="N20" s="12"/>
      <c r="O20" s="12"/>
      <c r="P20" s="12"/>
      <c r="Q20" s="454"/>
      <c r="R20" s="687">
        <f>基礎数値!H3</f>
        <v>20730008529</v>
      </c>
      <c r="S20" s="687"/>
      <c r="T20" s="687"/>
      <c r="U20" s="687"/>
      <c r="V20" s="687"/>
      <c r="W20" s="687"/>
      <c r="X20" s="454"/>
      <c r="Y20" s="455" t="s">
        <v>114</v>
      </c>
      <c r="Z20" s="454"/>
      <c r="AA20" s="454"/>
      <c r="AB20" s="454"/>
      <c r="AC20" s="454"/>
      <c r="AD20" s="454"/>
      <c r="AE20" s="454"/>
      <c r="AF20" s="454"/>
      <c r="AG20" s="454"/>
      <c r="AH20" s="454"/>
      <c r="AI20" s="12"/>
      <c r="AJ20" s="454"/>
      <c r="AK20" s="454"/>
      <c r="AL20" s="454"/>
      <c r="AM20" s="454"/>
      <c r="AN20" s="454"/>
      <c r="AO20" s="454"/>
      <c r="AP20" s="454"/>
      <c r="AQ20" s="454"/>
      <c r="AR20" s="454"/>
      <c r="AS20" s="454"/>
      <c r="AT20" s="454"/>
      <c r="AU20" s="454"/>
      <c r="AV20" s="454"/>
      <c r="AW20" s="454"/>
      <c r="AX20" s="454"/>
      <c r="AY20" s="460"/>
      <c r="AZ20" s="451"/>
    </row>
    <row r="21" spans="2:52" ht="13.5" customHeight="1">
      <c r="B21" s="666"/>
      <c r="C21" s="666"/>
      <c r="D21" s="670"/>
      <c r="E21" s="28" t="s">
        <v>154</v>
      </c>
      <c r="F21" s="454"/>
      <c r="G21" s="454"/>
      <c r="H21" s="454"/>
      <c r="I21" s="454"/>
      <c r="J21" s="454"/>
      <c r="K21" s="454"/>
      <c r="L21" s="454"/>
      <c r="M21" s="454"/>
      <c r="N21" s="454"/>
      <c r="O21" s="454"/>
      <c r="P21" s="454"/>
      <c r="Q21" s="454"/>
      <c r="R21" s="687">
        <f>基礎数値!H4</f>
        <v>39691410</v>
      </c>
      <c r="S21" s="687"/>
      <c r="T21" s="687"/>
      <c r="U21" s="687"/>
      <c r="V21" s="687"/>
      <c r="W21" s="687"/>
      <c r="X21" s="454"/>
      <c r="Y21" s="455" t="s">
        <v>114</v>
      </c>
      <c r="Z21" s="454"/>
      <c r="AA21" s="454"/>
      <c r="AB21" s="454"/>
      <c r="AC21" s="454"/>
      <c r="AD21" s="454"/>
      <c r="AE21" s="454"/>
      <c r="AF21" s="454"/>
      <c r="AG21" s="454"/>
      <c r="AH21" s="454"/>
      <c r="AI21" s="454"/>
      <c r="AJ21" s="454" t="s">
        <v>85</v>
      </c>
      <c r="AK21" s="665">
        <f>R20+R21</f>
        <v>20769699939</v>
      </c>
      <c r="AL21" s="665"/>
      <c r="AM21" s="665"/>
      <c r="AN21" s="665"/>
      <c r="AO21" s="665"/>
      <c r="AP21" s="665"/>
      <c r="AQ21" s="454" t="s">
        <v>153</v>
      </c>
      <c r="AR21" s="454"/>
      <c r="AS21" s="454"/>
      <c r="AT21" s="454"/>
      <c r="AU21" s="454"/>
      <c r="AV21" s="454"/>
      <c r="AW21" s="454"/>
      <c r="AX21" s="454"/>
      <c r="AY21" s="460"/>
      <c r="AZ21" s="451"/>
    </row>
    <row r="22" spans="2:52" ht="13.5" customHeight="1">
      <c r="B22" s="666"/>
      <c r="C22" s="666"/>
      <c r="D22" s="670"/>
      <c r="E22" s="28"/>
      <c r="F22" s="454"/>
      <c r="G22" s="454"/>
      <c r="H22" s="454"/>
      <c r="I22" s="454"/>
      <c r="J22" s="454"/>
      <c r="K22" s="454"/>
      <c r="L22" s="454"/>
      <c r="M22" s="454"/>
      <c r="N22" s="454"/>
      <c r="O22" s="454"/>
      <c r="P22" s="454"/>
      <c r="Q22" s="454"/>
      <c r="R22" s="454"/>
      <c r="S22" s="454"/>
      <c r="T22" s="454"/>
      <c r="U22" s="454"/>
      <c r="V22" s="454"/>
      <c r="W22" s="454"/>
      <c r="X22" s="454"/>
      <c r="Y22" s="454"/>
      <c r="Z22" s="454"/>
      <c r="AA22" s="454"/>
      <c r="AB22" s="454"/>
      <c r="AC22" s="454"/>
      <c r="AD22" s="454"/>
      <c r="AE22" s="454"/>
      <c r="AF22" s="454"/>
      <c r="AG22" s="454"/>
      <c r="AH22" s="454"/>
      <c r="AI22" s="454"/>
      <c r="AJ22" s="454"/>
      <c r="AK22" s="454"/>
      <c r="AL22" s="454"/>
      <c r="AM22" s="454"/>
      <c r="AN22" s="454"/>
      <c r="AO22" s="454"/>
      <c r="AP22" s="454"/>
      <c r="AQ22" s="454"/>
      <c r="AR22" s="454"/>
      <c r="AS22" s="454"/>
      <c r="AT22" s="454"/>
      <c r="AU22" s="454"/>
      <c r="AV22" s="454"/>
      <c r="AW22" s="454"/>
      <c r="AX22" s="454"/>
      <c r="AY22" s="460"/>
      <c r="AZ22" s="451"/>
    </row>
    <row r="23" spans="2:52" ht="13.5" customHeight="1">
      <c r="B23" s="666"/>
      <c r="C23" s="666"/>
      <c r="D23" s="670"/>
      <c r="E23" s="28" t="s">
        <v>152</v>
      </c>
      <c r="F23" s="454"/>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454"/>
      <c r="AE23" s="454"/>
      <c r="AF23" s="454"/>
      <c r="AG23" s="454"/>
      <c r="AH23" s="454"/>
      <c r="AI23" s="454"/>
      <c r="AJ23" s="454"/>
      <c r="AK23" s="454"/>
      <c r="AL23" s="454"/>
      <c r="AM23" s="454"/>
      <c r="AN23" s="454"/>
      <c r="AO23" s="454"/>
      <c r="AP23" s="454"/>
      <c r="AQ23" s="454"/>
      <c r="AR23" s="454"/>
      <c r="AS23" s="454"/>
      <c r="AT23" s="454"/>
      <c r="AU23" s="454"/>
      <c r="AV23" s="454"/>
      <c r="AW23" s="454"/>
      <c r="AX23" s="454"/>
      <c r="AY23" s="460"/>
      <c r="AZ23" s="451"/>
    </row>
    <row r="24" spans="2:52" ht="13.5" customHeight="1">
      <c r="B24" s="666"/>
      <c r="C24" s="666"/>
      <c r="D24" s="670"/>
      <c r="E24" s="28"/>
      <c r="F24" s="454"/>
      <c r="G24" s="454"/>
      <c r="H24" s="12" t="s">
        <v>108</v>
      </c>
      <c r="I24" s="454"/>
      <c r="J24" s="454"/>
      <c r="K24" s="454"/>
      <c r="L24" s="454"/>
      <c r="M24" s="454"/>
      <c r="N24" s="454"/>
      <c r="O24" s="454"/>
      <c r="P24" s="454"/>
      <c r="Q24" s="454"/>
      <c r="R24" s="687">
        <f>基礎数値!H6</f>
        <v>0</v>
      </c>
      <c r="S24" s="687"/>
      <c r="T24" s="687"/>
      <c r="U24" s="687"/>
      <c r="V24" s="687"/>
      <c r="W24" s="687"/>
      <c r="X24" s="454" t="s">
        <v>151</v>
      </c>
      <c r="Y24" s="455" t="s">
        <v>150</v>
      </c>
      <c r="Z24" s="454"/>
      <c r="AA24" s="454"/>
      <c r="AB24" s="454"/>
      <c r="AC24" s="454"/>
      <c r="AD24" s="454"/>
      <c r="AE24" s="454"/>
      <c r="AF24" s="454"/>
      <c r="AG24" s="454"/>
      <c r="AH24" s="454"/>
      <c r="AI24" s="454"/>
      <c r="AJ24" s="454"/>
      <c r="AK24" s="454"/>
      <c r="AL24" s="454"/>
      <c r="AM24" s="454"/>
      <c r="AN24" s="454"/>
      <c r="AO24" s="454"/>
      <c r="AP24" s="454"/>
      <c r="AQ24" s="454"/>
      <c r="AR24" s="454"/>
      <c r="AS24" s="454"/>
      <c r="AT24" s="454"/>
      <c r="AU24" s="454"/>
      <c r="AV24" s="454"/>
      <c r="AW24" s="454"/>
      <c r="AX24" s="454"/>
      <c r="AY24" s="460"/>
      <c r="AZ24" s="451"/>
    </row>
    <row r="25" spans="2:52" ht="13.5" customHeight="1">
      <c r="B25" s="666"/>
      <c r="C25" s="666"/>
      <c r="D25" s="670"/>
      <c r="E25" s="462"/>
      <c r="F25" s="12"/>
      <c r="G25" s="454"/>
      <c r="H25" s="12" t="s">
        <v>149</v>
      </c>
      <c r="I25" s="454"/>
      <c r="J25" s="454"/>
      <c r="K25" s="454"/>
      <c r="L25" s="454"/>
      <c r="M25" s="454"/>
      <c r="N25" s="454"/>
      <c r="O25" s="454"/>
      <c r="P25" s="454"/>
      <c r="Q25" s="454"/>
      <c r="R25" s="687">
        <f>基礎数値!H7</f>
        <v>10639743</v>
      </c>
      <c r="S25" s="687"/>
      <c r="T25" s="687"/>
      <c r="U25" s="687"/>
      <c r="V25" s="687"/>
      <c r="W25" s="687"/>
      <c r="X25" s="454" t="s">
        <v>148</v>
      </c>
      <c r="Y25" s="455" t="s">
        <v>147</v>
      </c>
      <c r="Z25" s="454"/>
      <c r="AA25" s="454"/>
      <c r="AB25" s="454"/>
      <c r="AC25" s="454"/>
      <c r="AD25" s="454"/>
      <c r="AE25" s="454"/>
      <c r="AF25" s="454"/>
      <c r="AG25" s="454"/>
      <c r="AH25" s="454"/>
      <c r="AI25" s="454"/>
      <c r="AJ25" s="454"/>
      <c r="AK25" s="454"/>
      <c r="AL25" s="454"/>
      <c r="AM25" s="454"/>
      <c r="AN25" s="454"/>
      <c r="AO25" s="454"/>
      <c r="AP25" s="454"/>
      <c r="AQ25" s="454"/>
      <c r="AR25" s="454"/>
      <c r="AS25" s="454"/>
      <c r="AT25" s="454"/>
      <c r="AU25" s="454"/>
      <c r="AV25" s="454"/>
      <c r="AW25" s="454"/>
      <c r="AX25" s="454"/>
      <c r="AY25" s="460"/>
      <c r="AZ25" s="451"/>
    </row>
    <row r="26" spans="2:52" ht="13.5" customHeight="1" thickBot="1">
      <c r="B26" s="666"/>
      <c r="C26" s="666"/>
      <c r="D26" s="670"/>
      <c r="E26" s="462"/>
      <c r="F26" s="12"/>
      <c r="G26" s="454"/>
      <c r="H26" s="454"/>
      <c r="I26" s="454"/>
      <c r="J26" s="454"/>
      <c r="K26" s="454"/>
      <c r="L26" s="454"/>
      <c r="M26" s="454"/>
      <c r="N26" s="454"/>
      <c r="O26" s="454"/>
      <c r="P26" s="454"/>
      <c r="Q26" s="454"/>
      <c r="R26" s="454"/>
      <c r="S26" s="454"/>
      <c r="T26" s="454"/>
      <c r="U26" s="454"/>
      <c r="V26" s="454"/>
      <c r="W26" s="454"/>
      <c r="X26" s="454"/>
      <c r="Y26" s="454"/>
      <c r="Z26" s="454"/>
      <c r="AA26" s="454"/>
      <c r="AB26" s="454"/>
      <c r="AC26" s="454"/>
      <c r="AD26" s="454"/>
      <c r="AE26" s="454"/>
      <c r="AF26" s="454"/>
      <c r="AG26" s="454"/>
      <c r="AH26" s="454"/>
      <c r="AI26" s="454"/>
      <c r="AJ26" s="454"/>
      <c r="AK26" s="454"/>
      <c r="AL26" s="454"/>
      <c r="AM26" s="454"/>
      <c r="AN26" s="454"/>
      <c r="AO26" s="454"/>
      <c r="AP26" s="454"/>
      <c r="AQ26" s="454"/>
      <c r="AR26" s="454"/>
      <c r="AS26" s="454"/>
      <c r="AT26" s="454"/>
      <c r="AU26" s="454"/>
      <c r="AV26" s="454"/>
      <c r="AW26" s="454"/>
      <c r="AX26" s="454"/>
      <c r="AY26" s="460"/>
      <c r="AZ26" s="451"/>
    </row>
    <row r="27" spans="2:52" ht="13.5" customHeight="1" thickTop="1" thickBot="1">
      <c r="B27" s="666"/>
      <c r="C27" s="666"/>
      <c r="D27" s="670"/>
      <c r="E27" s="462" t="s">
        <v>83</v>
      </c>
      <c r="F27" s="12"/>
      <c r="G27" s="454"/>
      <c r="H27" s="454"/>
      <c r="I27" s="454"/>
      <c r="J27" s="454"/>
      <c r="K27" s="454"/>
      <c r="L27" s="454"/>
      <c r="M27" s="454"/>
      <c r="N27" s="454"/>
      <c r="O27" s="454"/>
      <c r="P27" s="454"/>
      <c r="Q27" s="454"/>
      <c r="R27" s="667">
        <f>ROUNDDOWN((AK21-R24-R25)*100/110,0)</f>
        <v>18871872905</v>
      </c>
      <c r="S27" s="668"/>
      <c r="T27" s="668"/>
      <c r="U27" s="668"/>
      <c r="V27" s="668"/>
      <c r="W27" s="669"/>
      <c r="X27" s="482" t="s">
        <v>146</v>
      </c>
      <c r="Y27" s="483" t="s">
        <v>808</v>
      </c>
      <c r="Z27" s="454"/>
      <c r="AA27" s="454"/>
      <c r="AB27" s="454"/>
      <c r="AC27" s="454"/>
      <c r="AD27" s="454"/>
      <c r="AE27" s="454"/>
      <c r="AF27" s="454"/>
      <c r="AG27" s="454"/>
      <c r="AH27" s="454"/>
      <c r="AI27" s="454"/>
      <c r="AJ27" s="454"/>
      <c r="AK27" s="454"/>
      <c r="AL27" s="454"/>
      <c r="AM27" s="454"/>
      <c r="AN27" s="454"/>
      <c r="AO27" s="454"/>
      <c r="AP27" s="454"/>
      <c r="AQ27" s="454"/>
      <c r="AR27" s="454"/>
      <c r="AS27" s="454"/>
      <c r="AT27" s="454"/>
      <c r="AU27" s="454"/>
      <c r="AV27" s="454"/>
      <c r="AW27" s="454"/>
      <c r="AX27" s="454"/>
      <c r="AY27" s="460"/>
      <c r="AZ27" s="451" t="s">
        <v>144</v>
      </c>
    </row>
    <row r="28" spans="2:52" ht="13.5" customHeight="1" thickTop="1" thickBot="1">
      <c r="B28" s="666"/>
      <c r="C28" s="666"/>
      <c r="D28" s="670"/>
      <c r="E28" s="462"/>
      <c r="F28" s="12"/>
      <c r="G28" s="454"/>
      <c r="H28" s="454"/>
      <c r="I28" s="454"/>
      <c r="J28" s="454"/>
      <c r="K28" s="454"/>
      <c r="L28" s="454"/>
      <c r="M28" s="454"/>
      <c r="N28" s="454"/>
      <c r="O28" s="454"/>
      <c r="P28" s="454"/>
      <c r="Q28" s="454"/>
      <c r="R28" s="482"/>
      <c r="S28" s="482"/>
      <c r="T28" s="482"/>
      <c r="U28" s="482"/>
      <c r="V28" s="482"/>
      <c r="W28" s="482"/>
      <c r="X28" s="482"/>
      <c r="Y28" s="482"/>
      <c r="Z28" s="454"/>
      <c r="AA28" s="454"/>
      <c r="AB28" s="454"/>
      <c r="AC28" s="454"/>
      <c r="AD28" s="454"/>
      <c r="AE28" s="454"/>
      <c r="AF28" s="454"/>
      <c r="AG28" s="454"/>
      <c r="AH28" s="454"/>
      <c r="AI28" s="454"/>
      <c r="AJ28" s="454"/>
      <c r="AK28" s="454"/>
      <c r="AL28" s="454"/>
      <c r="AM28" s="454"/>
      <c r="AN28" s="454"/>
      <c r="AO28" s="454"/>
      <c r="AP28" s="454"/>
      <c r="AQ28" s="454"/>
      <c r="AR28" s="454"/>
      <c r="AS28" s="454"/>
      <c r="AT28" s="454"/>
      <c r="AU28" s="454"/>
      <c r="AV28" s="454"/>
      <c r="AW28" s="454"/>
      <c r="AX28" s="454"/>
      <c r="AY28" s="460"/>
      <c r="AZ28" s="451"/>
    </row>
    <row r="29" spans="2:52" ht="13.5" customHeight="1" thickTop="1" thickBot="1">
      <c r="B29" s="666"/>
      <c r="C29" s="666"/>
      <c r="D29" s="670"/>
      <c r="E29" s="462" t="s">
        <v>143</v>
      </c>
      <c r="F29" s="12"/>
      <c r="G29" s="454"/>
      <c r="H29" s="454"/>
      <c r="I29" s="454"/>
      <c r="J29" s="454"/>
      <c r="K29" s="454"/>
      <c r="L29" s="454"/>
      <c r="M29" s="454"/>
      <c r="N29" s="454"/>
      <c r="O29" s="454"/>
      <c r="P29" s="454"/>
      <c r="Q29" s="454"/>
      <c r="R29" s="667">
        <f>ROUNDDOWN((AK21-R24)*100/110,-3)</f>
        <v>18881545000</v>
      </c>
      <c r="S29" s="668"/>
      <c r="T29" s="668"/>
      <c r="U29" s="668"/>
      <c r="V29" s="668"/>
      <c r="W29" s="669"/>
      <c r="X29" s="482" t="s">
        <v>809</v>
      </c>
      <c r="Y29" s="483" t="s">
        <v>810</v>
      </c>
      <c r="Z29" s="454"/>
      <c r="AA29" s="454"/>
      <c r="AB29" s="454"/>
      <c r="AC29" s="454"/>
      <c r="AD29" s="454"/>
      <c r="AE29" s="454"/>
      <c r="AF29" s="454"/>
      <c r="AG29" s="454"/>
      <c r="AH29" s="454"/>
      <c r="AI29" s="454"/>
      <c r="AJ29" s="454"/>
      <c r="AK29" s="454"/>
      <c r="AL29" s="454"/>
      <c r="AM29" s="454"/>
      <c r="AN29" s="454"/>
      <c r="AO29" s="454"/>
      <c r="AP29" s="454"/>
      <c r="AQ29" s="454"/>
      <c r="AR29" s="454"/>
      <c r="AS29" s="454"/>
      <c r="AT29" s="454"/>
      <c r="AU29" s="454"/>
      <c r="AV29" s="454"/>
      <c r="AW29" s="454"/>
      <c r="AX29" s="454"/>
      <c r="AY29" s="460"/>
      <c r="AZ29" s="451" t="s">
        <v>140</v>
      </c>
    </row>
    <row r="30" spans="2:52" ht="13.5" customHeight="1" thickTop="1" thickBot="1">
      <c r="B30" s="666"/>
      <c r="C30" s="666"/>
      <c r="D30" s="670"/>
      <c r="E30" s="462"/>
      <c r="F30" s="12"/>
      <c r="G30" s="454"/>
      <c r="H30" s="454"/>
      <c r="I30" s="454"/>
      <c r="J30" s="454"/>
      <c r="K30" s="454"/>
      <c r="L30" s="454"/>
      <c r="M30" s="454"/>
      <c r="N30" s="454"/>
      <c r="O30" s="454"/>
      <c r="P30" s="454"/>
      <c r="Q30" s="454"/>
      <c r="R30" s="454"/>
      <c r="S30" s="454"/>
      <c r="T30" s="454"/>
      <c r="U30" s="454"/>
      <c r="V30" s="454"/>
      <c r="W30" s="454"/>
      <c r="X30" s="454"/>
      <c r="Y30" s="454"/>
      <c r="Z30" s="454"/>
      <c r="AA30" s="454"/>
      <c r="AB30" s="454"/>
      <c r="AC30" s="454"/>
      <c r="AD30" s="454"/>
      <c r="AE30" s="454"/>
      <c r="AF30" s="454"/>
      <c r="AG30" s="454"/>
      <c r="AH30" s="454"/>
      <c r="AI30" s="454"/>
      <c r="AJ30" s="454"/>
      <c r="AK30" s="454"/>
      <c r="AL30" s="454"/>
      <c r="AM30" s="454"/>
      <c r="AN30" s="454"/>
      <c r="AO30" s="454"/>
      <c r="AP30" s="454"/>
      <c r="AQ30" s="454"/>
      <c r="AR30" s="454"/>
      <c r="AS30" s="454"/>
      <c r="AT30" s="454"/>
      <c r="AU30" s="454"/>
      <c r="AV30" s="454"/>
      <c r="AW30" s="454"/>
      <c r="AX30" s="454"/>
      <c r="AY30" s="460"/>
      <c r="AZ30" s="451"/>
    </row>
    <row r="31" spans="2:52" ht="13.5" customHeight="1" thickTop="1" thickBot="1">
      <c r="B31" s="666"/>
      <c r="C31" s="666"/>
      <c r="D31" s="670"/>
      <c r="E31" s="462" t="s">
        <v>139</v>
      </c>
      <c r="F31" s="12"/>
      <c r="G31" s="454"/>
      <c r="H31" s="454"/>
      <c r="I31" s="454"/>
      <c r="J31" s="454"/>
      <c r="K31" s="454"/>
      <c r="L31" s="454"/>
      <c r="M31" s="454"/>
      <c r="N31" s="454"/>
      <c r="O31" s="454"/>
      <c r="P31" s="454"/>
      <c r="Q31" s="454"/>
      <c r="R31" s="667">
        <f>ROUNDDOWN(R29*78/1000,0)</f>
        <v>1472760510</v>
      </c>
      <c r="S31" s="668"/>
      <c r="T31" s="668"/>
      <c r="U31" s="668"/>
      <c r="V31" s="668"/>
      <c r="W31" s="669"/>
      <c r="X31" s="482" t="s">
        <v>807</v>
      </c>
      <c r="Y31" s="483" t="s">
        <v>806</v>
      </c>
      <c r="Z31" s="482"/>
      <c r="AA31" s="454"/>
      <c r="AB31" s="454"/>
      <c r="AC31" s="454"/>
      <c r="AD31" s="454"/>
      <c r="AE31" s="454"/>
      <c r="AF31" s="454"/>
      <c r="AG31" s="454"/>
      <c r="AH31" s="454"/>
      <c r="AI31" s="454"/>
      <c r="AJ31" s="454"/>
      <c r="AK31" s="454"/>
      <c r="AL31" s="454"/>
      <c r="AM31" s="454"/>
      <c r="AN31" s="454"/>
      <c r="AO31" s="454"/>
      <c r="AP31" s="454"/>
      <c r="AQ31" s="454"/>
      <c r="AR31" s="454"/>
      <c r="AS31" s="454"/>
      <c r="AT31" s="454"/>
      <c r="AU31" s="454"/>
      <c r="AV31" s="454"/>
      <c r="AW31" s="454"/>
      <c r="AX31" s="454"/>
      <c r="AY31" s="460"/>
      <c r="AZ31" s="451" t="s">
        <v>136</v>
      </c>
    </row>
    <row r="32" spans="2:52" ht="13.5" customHeight="1" thickTop="1">
      <c r="B32" s="671"/>
      <c r="C32" s="671"/>
      <c r="D32" s="681"/>
      <c r="E32" s="465"/>
      <c r="F32" s="7"/>
      <c r="G32" s="466"/>
      <c r="H32" s="466"/>
      <c r="I32" s="466"/>
      <c r="J32" s="466"/>
      <c r="K32" s="466"/>
      <c r="L32" s="466"/>
      <c r="M32" s="466"/>
      <c r="N32" s="466"/>
      <c r="O32" s="466"/>
      <c r="P32" s="466"/>
      <c r="Q32" s="466"/>
      <c r="R32" s="466"/>
      <c r="S32" s="466"/>
      <c r="T32" s="466"/>
      <c r="U32" s="466"/>
      <c r="V32" s="466"/>
      <c r="W32" s="466"/>
      <c r="X32" s="466"/>
      <c r="Y32" s="466"/>
      <c r="Z32" s="466"/>
      <c r="AA32" s="466"/>
      <c r="AB32" s="466"/>
      <c r="AC32" s="466"/>
      <c r="AD32" s="466"/>
      <c r="AE32" s="466"/>
      <c r="AF32" s="466"/>
      <c r="AG32" s="466"/>
      <c r="AH32" s="466"/>
      <c r="AI32" s="466"/>
      <c r="AJ32" s="466"/>
      <c r="AK32" s="466"/>
      <c r="AL32" s="466"/>
      <c r="AM32" s="466"/>
      <c r="AN32" s="466"/>
      <c r="AO32" s="466"/>
      <c r="AP32" s="466"/>
      <c r="AQ32" s="466"/>
      <c r="AR32" s="466"/>
      <c r="AS32" s="466"/>
      <c r="AT32" s="466"/>
      <c r="AU32" s="466"/>
      <c r="AV32" s="466"/>
      <c r="AW32" s="466"/>
      <c r="AX32" s="466"/>
      <c r="AY32" s="461"/>
      <c r="AZ32" s="453"/>
    </row>
    <row r="33" spans="2:52" ht="13.5" customHeight="1">
      <c r="B33" s="682" t="s">
        <v>65</v>
      </c>
      <c r="C33" s="682">
        <v>1</v>
      </c>
      <c r="D33" s="682" t="s">
        <v>135</v>
      </c>
      <c r="E33" s="463"/>
      <c r="F33" s="17"/>
      <c r="G33" s="464"/>
      <c r="H33" s="464"/>
      <c r="I33" s="464"/>
      <c r="J33" s="464"/>
      <c r="K33" s="464"/>
      <c r="L33" s="464"/>
      <c r="M33" s="464"/>
      <c r="N33" s="464"/>
      <c r="O33" s="464"/>
      <c r="P33" s="464"/>
      <c r="Q33" s="464"/>
      <c r="R33" s="464"/>
      <c r="S33" s="464"/>
      <c r="T33" s="464"/>
      <c r="U33" s="464"/>
      <c r="V33" s="464"/>
      <c r="W33" s="464"/>
      <c r="X33" s="464"/>
      <c r="Y33" s="464"/>
      <c r="Z33" s="464"/>
      <c r="AA33" s="464"/>
      <c r="AB33" s="464"/>
      <c r="AC33" s="464"/>
      <c r="AD33" s="464"/>
      <c r="AE33" s="464"/>
      <c r="AF33" s="464"/>
      <c r="AG33" s="464"/>
      <c r="AH33" s="464"/>
      <c r="AI33" s="464"/>
      <c r="AJ33" s="464"/>
      <c r="AK33" s="464"/>
      <c r="AL33" s="464"/>
      <c r="AM33" s="464"/>
      <c r="AN33" s="464"/>
      <c r="AO33" s="464"/>
      <c r="AP33" s="464"/>
      <c r="AQ33" s="464"/>
      <c r="AR33" s="464"/>
      <c r="AS33" s="464"/>
      <c r="AT33" s="464"/>
      <c r="AU33" s="464"/>
      <c r="AV33" s="464"/>
      <c r="AW33" s="464"/>
      <c r="AX33" s="464"/>
      <c r="AY33" s="459"/>
      <c r="AZ33" s="458"/>
    </row>
    <row r="34" spans="2:52" ht="13.5" customHeight="1">
      <c r="B34" s="666"/>
      <c r="C34" s="666"/>
      <c r="D34" s="666"/>
      <c r="E34" s="462" t="s">
        <v>134</v>
      </c>
      <c r="F34" s="12"/>
      <c r="G34" s="454"/>
      <c r="H34" s="454"/>
      <c r="I34" s="454"/>
      <c r="J34" s="454"/>
      <c r="K34" s="454"/>
      <c r="L34" s="454"/>
      <c r="M34" s="454"/>
      <c r="N34" s="454"/>
      <c r="O34" s="454"/>
      <c r="P34" s="454"/>
      <c r="Q34" s="454"/>
      <c r="R34" s="32"/>
      <c r="S34" s="32"/>
      <c r="T34" s="32"/>
      <c r="U34" s="32"/>
      <c r="V34" s="32"/>
      <c r="W34" s="32"/>
      <c r="X34" s="29"/>
      <c r="Y34" s="30"/>
      <c r="Z34" s="29"/>
      <c r="AA34" s="29"/>
      <c r="AB34" s="29"/>
      <c r="AC34" s="29"/>
      <c r="AD34" s="29"/>
      <c r="AE34" s="29"/>
      <c r="AF34" s="29"/>
      <c r="AG34" s="29"/>
      <c r="AH34" s="29"/>
      <c r="AI34" s="29"/>
      <c r="AJ34" s="29"/>
      <c r="AK34" s="29"/>
      <c r="AL34" s="29"/>
      <c r="AM34" s="29"/>
      <c r="AN34" s="29"/>
      <c r="AO34" s="29"/>
      <c r="AP34" s="29"/>
      <c r="AQ34" s="29"/>
      <c r="AR34" s="454"/>
      <c r="AS34" s="454"/>
      <c r="AT34" s="454"/>
      <c r="AU34" s="454"/>
      <c r="AV34" s="454"/>
      <c r="AW34" s="454"/>
      <c r="AX34" s="454"/>
      <c r="AY34" s="460"/>
      <c r="AZ34" s="451"/>
    </row>
    <row r="35" spans="2:52" ht="13.5" customHeight="1">
      <c r="B35" s="666"/>
      <c r="C35" s="666"/>
      <c r="D35" s="666"/>
      <c r="E35" s="462" t="s">
        <v>133</v>
      </c>
      <c r="F35" s="12"/>
      <c r="G35" s="454"/>
      <c r="H35" s="454"/>
      <c r="I35" s="454"/>
      <c r="J35" s="454"/>
      <c r="K35" s="454"/>
      <c r="L35" s="454"/>
      <c r="M35" s="454"/>
      <c r="N35" s="454"/>
      <c r="O35" s="454"/>
      <c r="P35" s="454"/>
      <c r="Q35" s="454"/>
      <c r="R35" s="32"/>
      <c r="S35" s="32"/>
      <c r="T35" s="32"/>
      <c r="U35" s="32"/>
      <c r="V35" s="32"/>
      <c r="W35" s="32"/>
      <c r="X35" s="29"/>
      <c r="Y35" s="30"/>
      <c r="Z35" s="29"/>
      <c r="AA35" s="29"/>
      <c r="AB35" s="29"/>
      <c r="AC35" s="29"/>
      <c r="AD35" s="29"/>
      <c r="AE35" s="29"/>
      <c r="AF35" s="29"/>
      <c r="AG35" s="29"/>
      <c r="AH35" s="29"/>
      <c r="AI35" s="29"/>
      <c r="AJ35" s="29"/>
      <c r="AK35" s="29"/>
      <c r="AL35" s="29"/>
      <c r="AM35" s="29"/>
      <c r="AN35" s="29"/>
      <c r="AO35" s="29"/>
      <c r="AP35" s="29"/>
      <c r="AQ35" s="29"/>
      <c r="AR35" s="454"/>
      <c r="AS35" s="454"/>
      <c r="AT35" s="454"/>
      <c r="AU35" s="454"/>
      <c r="AV35" s="454"/>
      <c r="AW35" s="454"/>
      <c r="AX35" s="454"/>
      <c r="AY35" s="460"/>
      <c r="AZ35" s="451"/>
    </row>
    <row r="36" spans="2:52" ht="13.5" customHeight="1">
      <c r="B36" s="666"/>
      <c r="C36" s="666"/>
      <c r="D36" s="666"/>
      <c r="E36" s="462" t="s">
        <v>132</v>
      </c>
      <c r="F36" s="12"/>
      <c r="G36" s="454"/>
      <c r="H36" s="454"/>
      <c r="I36" s="454"/>
      <c r="J36" s="454"/>
      <c r="K36" s="454"/>
      <c r="L36" s="454"/>
      <c r="M36" s="454"/>
      <c r="N36" s="454"/>
      <c r="O36" s="454"/>
      <c r="P36" s="454"/>
      <c r="Q36" s="454"/>
      <c r="R36" s="32"/>
      <c r="S36" s="32"/>
      <c r="T36" s="32"/>
      <c r="U36" s="32"/>
      <c r="V36" s="32"/>
      <c r="W36" s="32"/>
      <c r="X36" s="29"/>
      <c r="Y36" s="30"/>
      <c r="Z36" s="29"/>
      <c r="AA36" s="29"/>
      <c r="AB36" s="29"/>
      <c r="AC36" s="29"/>
      <c r="AD36" s="29"/>
      <c r="AE36" s="29"/>
      <c r="AF36" s="29"/>
      <c r="AG36" s="29"/>
      <c r="AH36" s="29"/>
      <c r="AI36" s="29"/>
      <c r="AJ36" s="29"/>
      <c r="AK36" s="29"/>
      <c r="AL36" s="29"/>
      <c r="AM36" s="29"/>
      <c r="AN36" s="29"/>
      <c r="AO36" s="29"/>
      <c r="AP36" s="29"/>
      <c r="AQ36" s="29"/>
      <c r="AR36" s="454"/>
      <c r="AS36" s="454"/>
      <c r="AT36" s="454"/>
      <c r="AU36" s="454"/>
      <c r="AV36" s="454"/>
      <c r="AW36" s="454"/>
      <c r="AX36" s="454"/>
      <c r="AY36" s="460"/>
      <c r="AZ36" s="670"/>
    </row>
    <row r="37" spans="2:52" ht="13.5" customHeight="1">
      <c r="B37" s="666"/>
      <c r="C37" s="666"/>
      <c r="D37" s="666"/>
      <c r="E37" s="462"/>
      <c r="F37" s="12"/>
      <c r="G37" s="454"/>
      <c r="H37" s="454"/>
      <c r="I37" s="454"/>
      <c r="J37" s="454"/>
      <c r="K37" s="454"/>
      <c r="L37" s="454"/>
      <c r="M37" s="454"/>
      <c r="N37" s="454"/>
      <c r="O37" s="454"/>
      <c r="P37" s="454"/>
      <c r="Q37" s="454"/>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454"/>
      <c r="AS37" s="454"/>
      <c r="AT37" s="454"/>
      <c r="AU37" s="454"/>
      <c r="AV37" s="454"/>
      <c r="AW37" s="454"/>
      <c r="AX37" s="454"/>
      <c r="AY37" s="460"/>
      <c r="AZ37" s="670"/>
    </row>
    <row r="38" spans="2:52" ht="13.5" customHeight="1">
      <c r="B38" s="666"/>
      <c r="C38" s="666"/>
      <c r="D38" s="666"/>
      <c r="E38" s="28" t="s">
        <v>131</v>
      </c>
      <c r="F38" s="12"/>
      <c r="G38" s="454"/>
      <c r="H38" s="454"/>
      <c r="I38" s="454"/>
      <c r="J38" s="454"/>
      <c r="K38" s="454"/>
      <c r="L38" s="454"/>
      <c r="M38" s="454"/>
      <c r="N38" s="454"/>
      <c r="O38" s="454"/>
      <c r="P38" s="454"/>
      <c r="Q38" s="454"/>
      <c r="R38" s="32"/>
      <c r="S38" s="32"/>
      <c r="T38" s="32"/>
      <c r="U38" s="32"/>
      <c r="V38" s="32"/>
      <c r="W38" s="32"/>
      <c r="X38" s="29"/>
      <c r="Y38" s="30"/>
      <c r="Z38" s="29"/>
      <c r="AA38" s="29"/>
      <c r="AB38" s="29"/>
      <c r="AC38" s="29"/>
      <c r="AD38" s="29"/>
      <c r="AE38" s="29"/>
      <c r="AF38" s="29"/>
      <c r="AG38" s="29"/>
      <c r="AH38" s="29"/>
      <c r="AI38" s="29"/>
      <c r="AJ38" s="29"/>
      <c r="AK38" s="29"/>
      <c r="AL38" s="29"/>
      <c r="AM38" s="29"/>
      <c r="AN38" s="29"/>
      <c r="AO38" s="29"/>
      <c r="AP38" s="29"/>
      <c r="AQ38" s="29"/>
      <c r="AR38" s="454"/>
      <c r="AS38" s="454"/>
      <c r="AT38" s="454"/>
      <c r="AU38" s="454"/>
      <c r="AV38" s="454"/>
      <c r="AW38" s="454"/>
      <c r="AX38" s="454"/>
      <c r="AY38" s="460"/>
      <c r="AZ38" s="451"/>
    </row>
    <row r="39" spans="2:52" ht="13.5" customHeight="1">
      <c r="B39" s="666"/>
      <c r="C39" s="666"/>
      <c r="D39" s="666"/>
      <c r="E39" s="28" t="s">
        <v>130</v>
      </c>
      <c r="F39" s="12"/>
      <c r="G39" s="454"/>
      <c r="H39" s="454"/>
      <c r="I39" s="454"/>
      <c r="J39" s="454"/>
      <c r="K39" s="454"/>
      <c r="L39" s="454"/>
      <c r="M39" s="454"/>
      <c r="N39" s="454"/>
      <c r="O39" s="454"/>
      <c r="P39" s="454"/>
      <c r="Q39" s="454"/>
      <c r="R39" s="32"/>
      <c r="S39" s="32"/>
      <c r="T39" s="32"/>
      <c r="U39" s="32"/>
      <c r="V39" s="32"/>
      <c r="W39" s="32"/>
      <c r="X39" s="29"/>
      <c r="Y39" s="30"/>
      <c r="Z39" s="29"/>
      <c r="AA39" s="29"/>
      <c r="AB39" s="29"/>
      <c r="AC39" s="29"/>
      <c r="AD39" s="29"/>
      <c r="AE39" s="29"/>
      <c r="AF39" s="29"/>
      <c r="AG39" s="29"/>
      <c r="AH39" s="29"/>
      <c r="AI39" s="29"/>
      <c r="AJ39" s="29"/>
      <c r="AK39" s="32"/>
      <c r="AL39" s="32"/>
      <c r="AM39" s="32"/>
      <c r="AN39" s="32"/>
      <c r="AO39" s="32"/>
      <c r="AP39" s="32"/>
      <c r="AQ39" s="29"/>
      <c r="AR39" s="454"/>
      <c r="AS39" s="454"/>
      <c r="AT39" s="454"/>
      <c r="AU39" s="454"/>
      <c r="AV39" s="454"/>
      <c r="AW39" s="454"/>
      <c r="AX39" s="454"/>
      <c r="AY39" s="460"/>
      <c r="AZ39" s="451"/>
    </row>
    <row r="40" spans="2:52" ht="13.5" customHeight="1">
      <c r="B40" s="666"/>
      <c r="C40" s="666"/>
      <c r="D40" s="666"/>
      <c r="E40" s="462" t="s">
        <v>129</v>
      </c>
      <c r="F40" s="12"/>
      <c r="G40" s="454"/>
      <c r="H40" s="454"/>
      <c r="I40" s="454"/>
      <c r="J40" s="454"/>
      <c r="K40" s="454"/>
      <c r="L40" s="454"/>
      <c r="M40" s="454"/>
      <c r="N40" s="454"/>
      <c r="O40" s="454"/>
      <c r="P40" s="454"/>
      <c r="Q40" s="454"/>
      <c r="R40" s="32"/>
      <c r="S40" s="32"/>
      <c r="T40" s="32"/>
      <c r="U40" s="32"/>
      <c r="V40" s="32"/>
      <c r="W40" s="32"/>
      <c r="X40" s="29"/>
      <c r="Y40" s="30"/>
      <c r="Z40" s="29"/>
      <c r="AA40" s="29"/>
      <c r="AB40" s="29"/>
      <c r="AC40" s="29"/>
      <c r="AD40" s="29"/>
      <c r="AE40" s="29"/>
      <c r="AF40" s="29"/>
      <c r="AG40" s="29"/>
      <c r="AH40" s="29"/>
      <c r="AI40" s="29"/>
      <c r="AJ40" s="29"/>
      <c r="AK40" s="29"/>
      <c r="AL40" s="29"/>
      <c r="AM40" s="29"/>
      <c r="AN40" s="29"/>
      <c r="AO40" s="29"/>
      <c r="AP40" s="29"/>
      <c r="AQ40" s="29"/>
      <c r="AR40" s="454"/>
      <c r="AS40" s="454"/>
      <c r="AT40" s="454"/>
      <c r="AU40" s="454"/>
      <c r="AV40" s="454"/>
      <c r="AW40" s="454"/>
      <c r="AX40" s="454"/>
      <c r="AY40" s="460"/>
      <c r="AZ40" s="670"/>
    </row>
    <row r="41" spans="2:52" ht="13.5" customHeight="1">
      <c r="B41" s="666"/>
      <c r="C41" s="666"/>
      <c r="D41" s="666"/>
      <c r="E41" s="462"/>
      <c r="F41" s="12"/>
      <c r="G41" s="454"/>
      <c r="H41" s="454"/>
      <c r="I41" s="454"/>
      <c r="J41" s="454"/>
      <c r="K41" s="454"/>
      <c r="L41" s="454"/>
      <c r="M41" s="454"/>
      <c r="N41" s="454"/>
      <c r="O41" s="454"/>
      <c r="P41" s="454"/>
      <c r="Q41" s="454"/>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454"/>
      <c r="AS41" s="454"/>
      <c r="AT41" s="454"/>
      <c r="AU41" s="454"/>
      <c r="AV41" s="454"/>
      <c r="AW41" s="454"/>
      <c r="AX41" s="454"/>
      <c r="AY41" s="460"/>
      <c r="AZ41" s="666"/>
    </row>
    <row r="42" spans="2:52" ht="13.5" customHeight="1">
      <c r="B42" s="666"/>
      <c r="C42" s="666"/>
      <c r="D42" s="666"/>
      <c r="E42" s="462" t="s">
        <v>65</v>
      </c>
      <c r="F42" s="12"/>
      <c r="G42" s="454"/>
      <c r="H42" s="454"/>
      <c r="I42" s="454"/>
      <c r="J42" s="454"/>
      <c r="K42" s="454"/>
      <c r="L42" s="454"/>
      <c r="M42" s="454"/>
      <c r="N42" s="454"/>
      <c r="O42" s="454"/>
      <c r="P42" s="454"/>
      <c r="Q42" s="454"/>
      <c r="R42" s="31"/>
      <c r="S42" s="31"/>
      <c r="T42" s="31"/>
      <c r="U42" s="31"/>
      <c r="V42" s="31"/>
      <c r="W42" s="31"/>
      <c r="X42" s="29"/>
      <c r="Y42" s="30"/>
      <c r="Z42" s="29"/>
      <c r="AA42" s="29"/>
      <c r="AB42" s="29"/>
      <c r="AC42" s="29"/>
      <c r="AD42" s="29"/>
      <c r="AE42" s="29"/>
      <c r="AF42" s="29"/>
      <c r="AG42" s="29"/>
      <c r="AH42" s="29"/>
      <c r="AI42" s="29"/>
      <c r="AJ42" s="29"/>
      <c r="AK42" s="29"/>
      <c r="AL42" s="29"/>
      <c r="AM42" s="29"/>
      <c r="AN42" s="29"/>
      <c r="AO42" s="29"/>
      <c r="AP42" s="29"/>
      <c r="AQ42" s="29"/>
      <c r="AR42" s="454"/>
      <c r="AS42" s="454"/>
      <c r="AT42" s="454"/>
      <c r="AU42" s="454"/>
      <c r="AV42" s="454"/>
      <c r="AW42" s="454"/>
      <c r="AX42" s="454"/>
      <c r="AY42" s="460"/>
      <c r="AZ42" s="451"/>
    </row>
    <row r="43" spans="2:52" ht="13.5" customHeight="1">
      <c r="B43" s="671"/>
      <c r="C43" s="671"/>
      <c r="D43" s="671"/>
      <c r="E43" s="465"/>
      <c r="F43" s="7"/>
      <c r="G43" s="466"/>
      <c r="H43" s="466"/>
      <c r="I43" s="466"/>
      <c r="J43" s="466"/>
      <c r="K43" s="466"/>
      <c r="L43" s="466"/>
      <c r="M43" s="466"/>
      <c r="N43" s="466"/>
      <c r="O43" s="466"/>
      <c r="P43" s="466"/>
      <c r="Q43" s="466"/>
      <c r="R43" s="466"/>
      <c r="S43" s="466"/>
      <c r="T43" s="466"/>
      <c r="U43" s="466"/>
      <c r="V43" s="466"/>
      <c r="W43" s="466"/>
      <c r="X43" s="466"/>
      <c r="Y43" s="466"/>
      <c r="Z43" s="466"/>
      <c r="AA43" s="466"/>
      <c r="AB43" s="466"/>
      <c r="AC43" s="466"/>
      <c r="AD43" s="466"/>
      <c r="AE43" s="466"/>
      <c r="AF43" s="466"/>
      <c r="AG43" s="466"/>
      <c r="AH43" s="466"/>
      <c r="AI43" s="466"/>
      <c r="AJ43" s="466"/>
      <c r="AK43" s="466"/>
      <c r="AL43" s="466"/>
      <c r="AM43" s="466"/>
      <c r="AN43" s="466"/>
      <c r="AO43" s="466"/>
      <c r="AP43" s="466"/>
      <c r="AQ43" s="466"/>
      <c r="AR43" s="466"/>
      <c r="AS43" s="466"/>
      <c r="AT43" s="466"/>
      <c r="AU43" s="466"/>
      <c r="AV43" s="466"/>
      <c r="AW43" s="466"/>
      <c r="AX43" s="466"/>
      <c r="AY43" s="461"/>
      <c r="AZ43" s="453"/>
    </row>
    <row r="44" spans="2:52" ht="13.5" customHeight="1">
      <c r="B44" s="682" t="s">
        <v>128</v>
      </c>
      <c r="C44" s="682">
        <v>1</v>
      </c>
      <c r="D44" s="680" t="s">
        <v>127</v>
      </c>
      <c r="E44" s="691" t="s">
        <v>126</v>
      </c>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92"/>
      <c r="AM44" s="692"/>
      <c r="AN44" s="692"/>
      <c r="AO44" s="692"/>
      <c r="AP44" s="692"/>
      <c r="AQ44" s="692"/>
      <c r="AR44" s="692"/>
      <c r="AS44" s="692"/>
      <c r="AT44" s="692"/>
      <c r="AU44" s="692"/>
      <c r="AV44" s="692"/>
      <c r="AW44" s="692"/>
      <c r="AX44" s="692"/>
      <c r="AY44" s="684"/>
      <c r="AZ44" s="458"/>
    </row>
    <row r="45" spans="2:52" ht="13.5" customHeight="1">
      <c r="B45" s="666"/>
      <c r="C45" s="666"/>
      <c r="D45" s="670"/>
      <c r="E45" s="689"/>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8"/>
      <c r="AU45" s="678"/>
      <c r="AV45" s="678"/>
      <c r="AW45" s="678"/>
      <c r="AX45" s="678"/>
      <c r="AY45" s="685"/>
      <c r="AZ45" s="451"/>
    </row>
    <row r="46" spans="2:52" ht="13.5" customHeight="1">
      <c r="B46" s="666"/>
      <c r="C46" s="671"/>
      <c r="D46" s="681"/>
      <c r="E46" s="693"/>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4"/>
      <c r="AO46" s="694"/>
      <c r="AP46" s="694"/>
      <c r="AQ46" s="694"/>
      <c r="AR46" s="694"/>
      <c r="AS46" s="694"/>
      <c r="AT46" s="694"/>
      <c r="AU46" s="694"/>
      <c r="AV46" s="694"/>
      <c r="AW46" s="694"/>
      <c r="AX46" s="694"/>
      <c r="AY46" s="686"/>
      <c r="AZ46" s="453"/>
    </row>
    <row r="47" spans="2:52" ht="13.5" customHeight="1">
      <c r="B47" s="666"/>
      <c r="C47" s="682">
        <v>2</v>
      </c>
      <c r="D47" s="680" t="s">
        <v>125</v>
      </c>
      <c r="E47" s="691" t="s">
        <v>124</v>
      </c>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W47" s="692"/>
      <c r="AX47" s="692"/>
      <c r="AY47" s="684"/>
      <c r="AZ47" s="458"/>
    </row>
    <row r="48" spans="2:52" ht="13.5" customHeight="1">
      <c r="B48" s="666"/>
      <c r="C48" s="666"/>
      <c r="D48" s="670"/>
      <c r="E48" s="689"/>
      <c r="F48" s="678"/>
      <c r="G48" s="678"/>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c r="AE48" s="678"/>
      <c r="AF48" s="678"/>
      <c r="AG48" s="678"/>
      <c r="AH48" s="678"/>
      <c r="AI48" s="678"/>
      <c r="AJ48" s="678"/>
      <c r="AK48" s="678"/>
      <c r="AL48" s="678"/>
      <c r="AM48" s="678"/>
      <c r="AN48" s="678"/>
      <c r="AO48" s="678"/>
      <c r="AP48" s="678"/>
      <c r="AQ48" s="678"/>
      <c r="AR48" s="678"/>
      <c r="AS48" s="678"/>
      <c r="AT48" s="678"/>
      <c r="AU48" s="678"/>
      <c r="AV48" s="678"/>
      <c r="AW48" s="678"/>
      <c r="AX48" s="678"/>
      <c r="AY48" s="685"/>
      <c r="AZ48" s="451"/>
    </row>
    <row r="49" spans="2:52" ht="13.5" customHeight="1">
      <c r="B49" s="666"/>
      <c r="C49" s="671"/>
      <c r="D49" s="681"/>
      <c r="E49" s="689"/>
      <c r="F49" s="678"/>
      <c r="G49" s="678"/>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c r="AY49" s="685"/>
      <c r="AZ49" s="451"/>
    </row>
    <row r="50" spans="2:52" ht="13.5" customHeight="1">
      <c r="B50" s="666"/>
      <c r="C50" s="682">
        <v>3</v>
      </c>
      <c r="D50" s="690" t="s">
        <v>123</v>
      </c>
      <c r="E50" s="689"/>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c r="AY50" s="685"/>
      <c r="AZ50" s="451"/>
    </row>
    <row r="51" spans="2:52" ht="13.5" customHeight="1">
      <c r="B51" s="666"/>
      <c r="C51" s="671"/>
      <c r="D51" s="690"/>
      <c r="E51" s="693"/>
      <c r="F51" s="694"/>
      <c r="G51" s="694"/>
      <c r="H51" s="694"/>
      <c r="I51" s="694"/>
      <c r="J51" s="694"/>
      <c r="K51" s="694"/>
      <c r="L51" s="694"/>
      <c r="M51" s="694"/>
      <c r="N51" s="694"/>
      <c r="O51" s="694"/>
      <c r="P51" s="694"/>
      <c r="Q51" s="694"/>
      <c r="R51" s="694"/>
      <c r="S51" s="694"/>
      <c r="T51" s="694"/>
      <c r="U51" s="694"/>
      <c r="V51" s="694"/>
      <c r="W51" s="694"/>
      <c r="X51" s="694"/>
      <c r="Y51" s="694"/>
      <c r="Z51" s="694"/>
      <c r="AA51" s="694"/>
      <c r="AB51" s="694"/>
      <c r="AC51" s="694"/>
      <c r="AD51" s="694"/>
      <c r="AE51" s="694"/>
      <c r="AF51" s="694"/>
      <c r="AG51" s="694"/>
      <c r="AH51" s="694"/>
      <c r="AI51" s="694"/>
      <c r="AJ51" s="694"/>
      <c r="AK51" s="694"/>
      <c r="AL51" s="694"/>
      <c r="AM51" s="694"/>
      <c r="AN51" s="694"/>
      <c r="AO51" s="694"/>
      <c r="AP51" s="694"/>
      <c r="AQ51" s="694"/>
      <c r="AR51" s="694"/>
      <c r="AS51" s="694"/>
      <c r="AT51" s="694"/>
      <c r="AU51" s="694"/>
      <c r="AV51" s="694"/>
      <c r="AW51" s="694"/>
      <c r="AX51" s="694"/>
      <c r="AY51" s="686"/>
      <c r="AZ51" s="453"/>
    </row>
    <row r="52" spans="2:52" ht="13.5" customHeight="1">
      <c r="B52" s="666"/>
      <c r="C52" s="682">
        <v>4</v>
      </c>
      <c r="D52" s="690" t="s">
        <v>122</v>
      </c>
      <c r="E52" s="688" t="s">
        <v>121</v>
      </c>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451"/>
    </row>
    <row r="53" spans="2:52" ht="13.5" customHeight="1">
      <c r="B53" s="666"/>
      <c r="C53" s="671"/>
      <c r="D53" s="690"/>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688"/>
      <c r="AX53" s="688"/>
      <c r="AY53" s="688"/>
      <c r="AZ53" s="451"/>
    </row>
    <row r="54" spans="2:52" ht="13.5" customHeight="1">
      <c r="B54" s="666"/>
      <c r="C54" s="682">
        <v>5</v>
      </c>
      <c r="D54" s="690" t="s">
        <v>120</v>
      </c>
      <c r="E54" s="688" t="s">
        <v>119</v>
      </c>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88"/>
      <c r="AH54" s="688"/>
      <c r="AI54" s="688"/>
      <c r="AJ54" s="688"/>
      <c r="AK54" s="688"/>
      <c r="AL54" s="688"/>
      <c r="AM54" s="688"/>
      <c r="AN54" s="688"/>
      <c r="AO54" s="688"/>
      <c r="AP54" s="688"/>
      <c r="AQ54" s="688"/>
      <c r="AR54" s="688"/>
      <c r="AS54" s="688"/>
      <c r="AT54" s="688"/>
      <c r="AU54" s="688"/>
      <c r="AV54" s="688"/>
      <c r="AW54" s="688"/>
      <c r="AX54" s="688"/>
      <c r="AY54" s="688"/>
      <c r="AZ54" s="458"/>
    </row>
    <row r="55" spans="2:52" ht="13.5" customHeight="1">
      <c r="B55" s="666"/>
      <c r="C55" s="671"/>
      <c r="D55" s="690"/>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688"/>
      <c r="AC55" s="688"/>
      <c r="AD55" s="688"/>
      <c r="AE55" s="688"/>
      <c r="AF55" s="688"/>
      <c r="AG55" s="688"/>
      <c r="AH55" s="688"/>
      <c r="AI55" s="688"/>
      <c r="AJ55" s="688"/>
      <c r="AK55" s="688"/>
      <c r="AL55" s="688"/>
      <c r="AM55" s="688"/>
      <c r="AN55" s="688"/>
      <c r="AO55" s="688"/>
      <c r="AP55" s="688"/>
      <c r="AQ55" s="688"/>
      <c r="AR55" s="688"/>
      <c r="AS55" s="688"/>
      <c r="AT55" s="688"/>
      <c r="AU55" s="688"/>
      <c r="AV55" s="688"/>
      <c r="AW55" s="688"/>
      <c r="AX55" s="688"/>
      <c r="AY55" s="688"/>
      <c r="AZ55" s="453"/>
    </row>
    <row r="56" spans="2:52" ht="13.5" customHeight="1">
      <c r="B56" s="666"/>
      <c r="C56" s="682">
        <v>6</v>
      </c>
      <c r="D56" s="690" t="s">
        <v>118</v>
      </c>
      <c r="E56" s="688" t="s">
        <v>94</v>
      </c>
      <c r="F56" s="688"/>
      <c r="G56" s="688"/>
      <c r="H56" s="688"/>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688"/>
      <c r="AX56" s="688"/>
      <c r="AY56" s="688"/>
      <c r="AZ56" s="451"/>
    </row>
    <row r="57" spans="2:52" ht="13.5" customHeight="1">
      <c r="B57" s="666"/>
      <c r="C57" s="671"/>
      <c r="D57" s="690"/>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688"/>
      <c r="AC57" s="688"/>
      <c r="AD57" s="688"/>
      <c r="AE57" s="688"/>
      <c r="AF57" s="688"/>
      <c r="AG57" s="688"/>
      <c r="AH57" s="688"/>
      <c r="AI57" s="688"/>
      <c r="AJ57" s="688"/>
      <c r="AK57" s="688"/>
      <c r="AL57" s="688"/>
      <c r="AM57" s="688"/>
      <c r="AN57" s="688"/>
      <c r="AO57" s="688"/>
      <c r="AP57" s="688"/>
      <c r="AQ57" s="688"/>
      <c r="AR57" s="688"/>
      <c r="AS57" s="688"/>
      <c r="AT57" s="688"/>
      <c r="AU57" s="688"/>
      <c r="AV57" s="688"/>
      <c r="AW57" s="688"/>
      <c r="AX57" s="688"/>
      <c r="AY57" s="688"/>
      <c r="AZ57" s="451"/>
    </row>
    <row r="58" spans="2:52" ht="13.5" customHeight="1">
      <c r="B58" s="666"/>
      <c r="C58" s="682">
        <v>7</v>
      </c>
      <c r="D58" s="680" t="s">
        <v>117</v>
      </c>
      <c r="E58" s="463"/>
      <c r="F58" s="17"/>
      <c r="G58" s="464"/>
      <c r="H58" s="464"/>
      <c r="I58" s="464"/>
      <c r="J58" s="464"/>
      <c r="K58" s="464"/>
      <c r="L58" s="464"/>
      <c r="M58" s="464"/>
      <c r="N58" s="464"/>
      <c r="O58" s="464"/>
      <c r="P58" s="464"/>
      <c r="Q58" s="464"/>
      <c r="R58" s="464"/>
      <c r="S58" s="464"/>
      <c r="T58" s="464"/>
      <c r="U58" s="464"/>
      <c r="V58" s="464"/>
      <c r="W58" s="464"/>
      <c r="X58" s="464"/>
      <c r="Y58" s="464"/>
      <c r="Z58" s="464"/>
      <c r="AA58" s="464"/>
      <c r="AB58" s="464"/>
      <c r="AC58" s="464"/>
      <c r="AD58" s="464"/>
      <c r="AE58" s="464"/>
      <c r="AF58" s="464"/>
      <c r="AG58" s="464"/>
      <c r="AH58" s="464"/>
      <c r="AI58" s="464"/>
      <c r="AJ58" s="464"/>
      <c r="AK58" s="464"/>
      <c r="AL58" s="464"/>
      <c r="AM58" s="464"/>
      <c r="AN58" s="464"/>
      <c r="AO58" s="464"/>
      <c r="AP58" s="464"/>
      <c r="AQ58" s="464"/>
      <c r="AR58" s="464"/>
      <c r="AS58" s="464"/>
      <c r="AT58" s="464"/>
      <c r="AU58" s="464"/>
      <c r="AV58" s="464"/>
      <c r="AW58" s="464"/>
      <c r="AX58" s="464"/>
      <c r="AY58" s="459"/>
      <c r="AZ58" s="458"/>
    </row>
    <row r="59" spans="2:52" ht="13.5" customHeight="1">
      <c r="B59" s="666"/>
      <c r="C59" s="666"/>
      <c r="D59" s="670"/>
      <c r="E59" s="28" t="s">
        <v>116</v>
      </c>
      <c r="F59" s="12"/>
      <c r="G59" s="12"/>
      <c r="H59" s="12"/>
      <c r="I59" s="12"/>
      <c r="J59" s="12"/>
      <c r="K59" s="12"/>
      <c r="L59" s="12"/>
      <c r="M59" s="12"/>
      <c r="N59" s="12"/>
      <c r="O59" s="12"/>
      <c r="P59" s="12"/>
      <c r="Q59" s="454"/>
      <c r="R59" s="687">
        <f>基礎数値!H11</f>
        <v>9106828850</v>
      </c>
      <c r="S59" s="687"/>
      <c r="T59" s="687"/>
      <c r="U59" s="687"/>
      <c r="V59" s="687"/>
      <c r="W59" s="687"/>
      <c r="X59" s="454"/>
      <c r="Y59" s="455" t="s">
        <v>114</v>
      </c>
      <c r="Z59" s="454"/>
      <c r="AA59" s="454"/>
      <c r="AB59" s="454"/>
      <c r="AC59" s="454"/>
      <c r="AD59" s="454"/>
      <c r="AE59" s="454"/>
      <c r="AF59" s="454"/>
      <c r="AG59" s="454"/>
      <c r="AH59" s="454"/>
      <c r="AI59" s="12"/>
      <c r="AJ59" s="454"/>
      <c r="AK59" s="454"/>
      <c r="AL59" s="454"/>
      <c r="AM59" s="454"/>
      <c r="AN59" s="454"/>
      <c r="AO59" s="454"/>
      <c r="AP59" s="454"/>
      <c r="AQ59" s="454"/>
      <c r="AR59" s="454"/>
      <c r="AS59" s="454"/>
      <c r="AT59" s="454"/>
      <c r="AU59" s="454"/>
      <c r="AV59" s="454"/>
      <c r="AW59" s="454"/>
      <c r="AX59" s="454"/>
      <c r="AY59" s="460"/>
      <c r="AZ59" s="451"/>
    </row>
    <row r="60" spans="2:52" ht="13.5" customHeight="1">
      <c r="B60" s="666"/>
      <c r="C60" s="666"/>
      <c r="D60" s="670"/>
      <c r="E60" s="28" t="s">
        <v>115</v>
      </c>
      <c r="F60" s="454"/>
      <c r="G60" s="454"/>
      <c r="H60" s="454"/>
      <c r="I60" s="454"/>
      <c r="J60" s="454"/>
      <c r="K60" s="454"/>
      <c r="L60" s="454"/>
      <c r="M60" s="454"/>
      <c r="N60" s="454"/>
      <c r="O60" s="454"/>
      <c r="P60" s="454"/>
      <c r="Q60" s="454"/>
      <c r="R60" s="687">
        <f>基礎数値!H12</f>
        <v>16278736624</v>
      </c>
      <c r="S60" s="687"/>
      <c r="T60" s="687"/>
      <c r="U60" s="687"/>
      <c r="V60" s="687"/>
      <c r="W60" s="687"/>
      <c r="X60" s="454"/>
      <c r="Y60" s="455" t="s">
        <v>114</v>
      </c>
      <c r="Z60" s="454"/>
      <c r="AA60" s="454"/>
      <c r="AB60" s="454"/>
      <c r="AC60" s="454"/>
      <c r="AD60" s="454"/>
      <c r="AE60" s="454"/>
      <c r="AF60" s="454"/>
      <c r="AG60" s="454"/>
      <c r="AH60" s="454"/>
      <c r="AI60" s="454"/>
      <c r="AJ60" s="454" t="s">
        <v>85</v>
      </c>
      <c r="AK60" s="665">
        <f>R59+R60</f>
        <v>25385565474</v>
      </c>
      <c r="AL60" s="665"/>
      <c r="AM60" s="665"/>
      <c r="AN60" s="665"/>
      <c r="AO60" s="665"/>
      <c r="AP60" s="665"/>
      <c r="AQ60" s="454"/>
      <c r="AR60" s="454"/>
      <c r="AS60" s="454"/>
      <c r="AT60" s="454"/>
      <c r="AU60" s="454"/>
      <c r="AV60" s="454"/>
      <c r="AW60" s="454"/>
      <c r="AX60" s="454"/>
      <c r="AY60" s="460"/>
      <c r="AZ60" s="451"/>
    </row>
    <row r="61" spans="2:52" ht="13.5" customHeight="1">
      <c r="B61" s="666"/>
      <c r="C61" s="666"/>
      <c r="D61" s="670"/>
      <c r="E61" s="462" t="s">
        <v>879</v>
      </c>
      <c r="F61" s="12"/>
      <c r="G61" s="454"/>
      <c r="H61" s="454"/>
      <c r="I61" s="454"/>
      <c r="J61" s="454"/>
      <c r="K61" s="454"/>
      <c r="L61" s="454"/>
      <c r="M61" s="454"/>
      <c r="N61" s="454"/>
      <c r="O61" s="454"/>
      <c r="P61" s="454"/>
      <c r="Q61" s="454"/>
      <c r="R61" s="706">
        <f>基礎数値!H16</f>
        <v>34600</v>
      </c>
      <c r="S61" s="706"/>
      <c r="T61" s="706"/>
      <c r="U61" s="706"/>
      <c r="V61" s="706"/>
      <c r="W61" s="706"/>
      <c r="X61" s="454"/>
      <c r="Y61" s="454" t="s">
        <v>883</v>
      </c>
      <c r="Z61" s="454"/>
      <c r="AA61" s="454"/>
      <c r="AB61" s="454"/>
      <c r="AC61" s="454"/>
      <c r="AD61" s="454"/>
      <c r="AE61" s="454"/>
      <c r="AF61" s="454"/>
      <c r="AG61" s="454"/>
      <c r="AH61" s="454"/>
      <c r="AI61" s="687">
        <f>基礎数値!H11-R61+基礎数値!H12</f>
        <v>25385530874</v>
      </c>
      <c r="AJ61" s="687"/>
      <c r="AK61" s="687"/>
      <c r="AL61" s="687"/>
      <c r="AM61" s="687"/>
      <c r="AN61" s="687"/>
      <c r="AO61" s="454"/>
      <c r="AP61" s="454"/>
      <c r="AQ61" s="454"/>
      <c r="AR61" s="454"/>
      <c r="AS61" s="454"/>
      <c r="AT61" s="454"/>
      <c r="AU61" s="454"/>
      <c r="AV61" s="454"/>
      <c r="AW61" s="454"/>
      <c r="AX61" s="454"/>
      <c r="AY61" s="460"/>
      <c r="AZ61" s="451"/>
    </row>
    <row r="62" spans="2:52" ht="13.5" customHeight="1">
      <c r="B62" s="666"/>
      <c r="C62" s="666"/>
      <c r="D62" s="670"/>
      <c r="E62" s="493" t="s">
        <v>882</v>
      </c>
      <c r="F62" s="12"/>
      <c r="G62" s="494"/>
      <c r="H62" s="494"/>
      <c r="I62" s="494"/>
      <c r="J62" s="494"/>
      <c r="K62" s="494"/>
      <c r="L62" s="494"/>
      <c r="M62" s="494"/>
      <c r="N62" s="494"/>
      <c r="O62" s="494"/>
      <c r="P62" s="494"/>
      <c r="Q62" s="494"/>
      <c r="R62" s="707">
        <f>ROUNDDOWN(R61*0.2*78/1100,0)</f>
        <v>490</v>
      </c>
      <c r="S62" s="707"/>
      <c r="T62" s="707"/>
      <c r="U62" s="707"/>
      <c r="V62" s="707"/>
      <c r="W62" s="707"/>
      <c r="X62" s="494"/>
      <c r="Y62" s="496" t="s">
        <v>885</v>
      </c>
      <c r="Z62" s="494"/>
      <c r="AA62" s="494"/>
      <c r="AB62" s="494"/>
      <c r="AC62" s="494"/>
      <c r="AD62" s="494"/>
      <c r="AE62" s="494"/>
      <c r="AF62" s="494"/>
      <c r="AG62" s="494"/>
      <c r="AH62" s="494"/>
      <c r="AI62" s="687">
        <f>ROUNDDOWN((AK60-R65-R66)*78/1100,0)-R62-R63</f>
        <v>1799310462</v>
      </c>
      <c r="AJ62" s="687"/>
      <c r="AK62" s="687"/>
      <c r="AL62" s="687"/>
      <c r="AM62" s="687"/>
      <c r="AN62" s="687"/>
      <c r="AO62" s="494"/>
      <c r="AP62" s="494"/>
      <c r="AQ62" s="494"/>
      <c r="AR62" s="494"/>
      <c r="AS62" s="494"/>
      <c r="AT62" s="494"/>
      <c r="AU62" s="494"/>
      <c r="AV62" s="494"/>
      <c r="AW62" s="494"/>
      <c r="AX62" s="494"/>
      <c r="AY62" s="495"/>
      <c r="AZ62" s="492"/>
    </row>
    <row r="63" spans="2:52" ht="13.5" customHeight="1">
      <c r="B63" s="666"/>
      <c r="C63" s="666"/>
      <c r="D63" s="670"/>
      <c r="E63" s="493" t="s">
        <v>884</v>
      </c>
      <c r="F63" s="12"/>
      <c r="G63" s="494"/>
      <c r="H63" s="494"/>
      <c r="I63" s="494"/>
      <c r="J63" s="494"/>
      <c r="K63" s="494"/>
      <c r="L63" s="494"/>
      <c r="M63" s="494"/>
      <c r="N63" s="494"/>
      <c r="O63" s="494"/>
      <c r="P63" s="494"/>
      <c r="Q63" s="494"/>
      <c r="R63" s="707">
        <f>ROUNDDOWN(R61*78/1100,0)-R62</f>
        <v>1963</v>
      </c>
      <c r="S63" s="707"/>
      <c r="T63" s="707"/>
      <c r="U63" s="707"/>
      <c r="V63" s="707"/>
      <c r="W63" s="707"/>
      <c r="X63" s="494"/>
      <c r="Y63" s="494"/>
      <c r="Z63" s="494"/>
      <c r="AA63" s="494"/>
      <c r="AB63" s="494"/>
      <c r="AC63" s="494"/>
      <c r="AD63" s="494"/>
      <c r="AE63" s="494"/>
      <c r="AF63" s="494"/>
      <c r="AG63" s="494"/>
      <c r="AH63" s="494"/>
      <c r="AI63" s="494"/>
      <c r="AJ63" s="494"/>
      <c r="AK63" s="494"/>
      <c r="AL63" s="494"/>
      <c r="AM63" s="494"/>
      <c r="AN63" s="494"/>
      <c r="AO63" s="494"/>
      <c r="AP63" s="494"/>
      <c r="AQ63" s="494"/>
      <c r="AR63" s="494"/>
      <c r="AS63" s="494"/>
      <c r="AT63" s="494"/>
      <c r="AU63" s="494"/>
      <c r="AV63" s="494"/>
      <c r="AW63" s="494"/>
      <c r="AX63" s="494"/>
      <c r="AY63" s="495"/>
      <c r="AZ63" s="492"/>
    </row>
    <row r="64" spans="2:52" ht="13.5" customHeight="1">
      <c r="B64" s="666"/>
      <c r="C64" s="666"/>
      <c r="D64" s="670"/>
      <c r="E64" s="28" t="s">
        <v>112</v>
      </c>
      <c r="F64" s="12"/>
      <c r="G64" s="454"/>
      <c r="H64" s="454"/>
      <c r="I64" s="454"/>
      <c r="J64" s="454"/>
      <c r="K64" s="454"/>
      <c r="L64" s="454"/>
      <c r="M64" s="454"/>
      <c r="N64" s="454"/>
      <c r="O64" s="454"/>
      <c r="P64" s="454"/>
      <c r="Q64" s="454"/>
      <c r="R64" s="454"/>
      <c r="S64" s="454"/>
      <c r="T64" s="454"/>
      <c r="U64" s="454"/>
      <c r="V64" s="454"/>
      <c r="W64" s="454"/>
      <c r="X64" s="454"/>
      <c r="Y64" s="454"/>
      <c r="Z64" s="454"/>
      <c r="AA64" s="454"/>
      <c r="AB64" s="454"/>
      <c r="AC64" s="454"/>
      <c r="AD64" s="454"/>
      <c r="AE64" s="454"/>
      <c r="AF64" s="454"/>
      <c r="AG64" s="454"/>
      <c r="AH64" s="454"/>
      <c r="AI64" s="454"/>
      <c r="AJ64" s="454"/>
      <c r="AK64" s="454"/>
      <c r="AL64" s="454"/>
      <c r="AM64" s="454"/>
      <c r="AN64" s="454"/>
      <c r="AO64" s="454"/>
      <c r="AP64" s="454"/>
      <c r="AQ64" s="454"/>
      <c r="AR64" s="454"/>
      <c r="AS64" s="454"/>
      <c r="AT64" s="454"/>
      <c r="AU64" s="454"/>
      <c r="AV64" s="454"/>
      <c r="AW64" s="454"/>
      <c r="AX64" s="454"/>
      <c r="AY64" s="460"/>
      <c r="AZ64" s="451"/>
    </row>
    <row r="65" spans="2:52" ht="13.5" customHeight="1">
      <c r="B65" s="666"/>
      <c r="C65" s="666"/>
      <c r="D65" s="670"/>
      <c r="E65" s="462"/>
      <c r="F65" s="12"/>
      <c r="G65" s="454"/>
      <c r="H65" s="12" t="s">
        <v>111</v>
      </c>
      <c r="I65" s="454"/>
      <c r="J65" s="454"/>
      <c r="K65" s="454"/>
      <c r="L65" s="454"/>
      <c r="M65" s="454"/>
      <c r="N65" s="454"/>
      <c r="O65" s="454"/>
      <c r="P65" s="454"/>
      <c r="Q65" s="454"/>
      <c r="R65" s="687">
        <f>基礎数値!H14</f>
        <v>10639743</v>
      </c>
      <c r="S65" s="687"/>
      <c r="T65" s="687"/>
      <c r="U65" s="687"/>
      <c r="V65" s="687"/>
      <c r="W65" s="687"/>
      <c r="X65" s="454" t="s">
        <v>110</v>
      </c>
      <c r="Y65" s="455" t="s">
        <v>109</v>
      </c>
      <c r="Z65" s="454"/>
      <c r="AA65" s="454"/>
      <c r="AB65" s="454"/>
      <c r="AC65" s="454"/>
      <c r="AD65" s="454"/>
      <c r="AE65" s="454"/>
      <c r="AF65" s="454"/>
      <c r="AG65" s="454"/>
      <c r="AH65" s="454"/>
      <c r="AI65" s="454"/>
      <c r="AJ65" s="454"/>
      <c r="AK65" s="454"/>
      <c r="AL65" s="454"/>
      <c r="AM65" s="454"/>
      <c r="AN65" s="454"/>
      <c r="AO65" s="454"/>
      <c r="AP65" s="454"/>
      <c r="AQ65" s="454"/>
      <c r="AR65" s="454"/>
      <c r="AS65" s="454"/>
      <c r="AT65" s="454"/>
      <c r="AU65" s="454"/>
      <c r="AV65" s="454"/>
      <c r="AW65" s="454"/>
      <c r="AX65" s="454"/>
      <c r="AY65" s="460"/>
      <c r="AZ65" s="451"/>
    </row>
    <row r="66" spans="2:52" ht="13.5" customHeight="1">
      <c r="B66" s="666"/>
      <c r="C66" s="666"/>
      <c r="D66" s="670"/>
      <c r="E66" s="462"/>
      <c r="F66" s="12"/>
      <c r="G66" s="454"/>
      <c r="H66" s="12" t="s">
        <v>108</v>
      </c>
      <c r="I66" s="454"/>
      <c r="J66" s="454"/>
      <c r="K66" s="454"/>
      <c r="L66" s="454"/>
      <c r="M66" s="454"/>
      <c r="N66" s="454"/>
      <c r="O66" s="454"/>
      <c r="P66" s="454"/>
      <c r="Q66" s="454"/>
      <c r="R66" s="703">
        <f>R24</f>
        <v>0</v>
      </c>
      <c r="S66" s="704"/>
      <c r="T66" s="704"/>
      <c r="U66" s="704"/>
      <c r="V66" s="704"/>
      <c r="W66" s="705"/>
      <c r="X66" s="454"/>
      <c r="Y66" s="455" t="s">
        <v>107</v>
      </c>
      <c r="Z66" s="454"/>
      <c r="AA66" s="454"/>
      <c r="AB66" s="454"/>
      <c r="AC66" s="454"/>
      <c r="AD66" s="454"/>
      <c r="AE66" s="454"/>
      <c r="AF66" s="454"/>
      <c r="AG66" s="454"/>
      <c r="AH66" s="454"/>
      <c r="AI66" s="454"/>
      <c r="AJ66" s="454"/>
      <c r="AK66" s="454"/>
      <c r="AL66" s="454"/>
      <c r="AM66" s="454"/>
      <c r="AN66" s="454"/>
      <c r="AO66" s="454"/>
      <c r="AP66" s="454"/>
      <c r="AQ66" s="454"/>
      <c r="AR66" s="454"/>
      <c r="AS66" s="454"/>
      <c r="AT66" s="454"/>
      <c r="AU66" s="454"/>
      <c r="AV66" s="454"/>
      <c r="AW66" s="454"/>
      <c r="AX66" s="454"/>
      <c r="AY66" s="460"/>
      <c r="AZ66" s="451"/>
    </row>
    <row r="67" spans="2:52" ht="13.5" customHeight="1" thickBot="1">
      <c r="B67" s="666"/>
      <c r="C67" s="666"/>
      <c r="D67" s="670"/>
      <c r="E67" s="462"/>
      <c r="F67" s="12"/>
      <c r="G67" s="454"/>
      <c r="H67" s="454"/>
      <c r="I67" s="454"/>
      <c r="J67" s="454"/>
      <c r="K67" s="454"/>
      <c r="L67" s="454"/>
      <c r="M67" s="454"/>
      <c r="N67" s="454"/>
      <c r="O67" s="454"/>
      <c r="P67" s="454"/>
      <c r="Q67" s="454"/>
      <c r="R67" s="454"/>
      <c r="S67" s="454"/>
      <c r="T67" s="454"/>
      <c r="U67" s="454"/>
      <c r="V67" s="454"/>
      <c r="W67" s="454"/>
      <c r="X67" s="454"/>
      <c r="Y67" s="454"/>
      <c r="Z67" s="454"/>
      <c r="AA67" s="454"/>
      <c r="AB67" s="454"/>
      <c r="AC67" s="454"/>
      <c r="AD67" s="454"/>
      <c r="AE67" s="454"/>
      <c r="AF67" s="454"/>
      <c r="AG67" s="454"/>
      <c r="AH67" s="454"/>
      <c r="AI67" s="454"/>
      <c r="AJ67" s="454"/>
      <c r="AK67" s="454"/>
      <c r="AL67" s="454"/>
      <c r="AM67" s="454"/>
      <c r="AN67" s="454"/>
      <c r="AO67" s="454"/>
      <c r="AP67" s="454"/>
      <c r="AQ67" s="454"/>
      <c r="AR67" s="454"/>
      <c r="AS67" s="454"/>
      <c r="AT67" s="454"/>
      <c r="AU67" s="454"/>
      <c r="AV67" s="454"/>
      <c r="AW67" s="454"/>
      <c r="AX67" s="454"/>
      <c r="AY67" s="460"/>
      <c r="AZ67" s="451"/>
    </row>
    <row r="68" spans="2:52" ht="13.5" customHeight="1" thickTop="1" thickBot="1">
      <c r="B68" s="666"/>
      <c r="C68" s="666"/>
      <c r="D68" s="670"/>
      <c r="E68" s="28" t="s">
        <v>106</v>
      </c>
      <c r="F68" s="12"/>
      <c r="G68" s="454"/>
      <c r="H68" s="454"/>
      <c r="I68" s="454"/>
      <c r="J68" s="454"/>
      <c r="K68" s="454"/>
      <c r="L68" s="454"/>
      <c r="M68" s="454"/>
      <c r="N68" s="454"/>
      <c r="O68" s="454"/>
      <c r="P68" s="454"/>
      <c r="Q68" s="454"/>
      <c r="R68" s="454"/>
      <c r="S68" s="454"/>
      <c r="T68" s="675">
        <f>AK60-R65-R66</f>
        <v>25374925731</v>
      </c>
      <c r="U68" s="676"/>
      <c r="V68" s="676"/>
      <c r="W68" s="676"/>
      <c r="X68" s="676"/>
      <c r="Y68" s="677"/>
      <c r="Z68" s="454"/>
      <c r="AA68" s="455" t="s">
        <v>105</v>
      </c>
      <c r="AB68" s="454"/>
      <c r="AC68" s="454"/>
      <c r="AD68" s="454"/>
      <c r="AE68" s="454"/>
      <c r="AF68" s="454"/>
      <c r="AG68" s="454"/>
      <c r="AH68" s="454"/>
      <c r="AI68" s="454"/>
      <c r="AJ68" s="454"/>
      <c r="AK68" s="454"/>
      <c r="AL68" s="454"/>
      <c r="AM68" s="454"/>
      <c r="AN68" s="454"/>
      <c r="AO68" s="454"/>
      <c r="AP68" s="454"/>
      <c r="AQ68" s="454"/>
      <c r="AR68" s="454"/>
      <c r="AS68" s="454"/>
      <c r="AT68" s="454"/>
      <c r="AU68" s="454"/>
      <c r="AV68" s="454"/>
      <c r="AW68" s="454"/>
      <c r="AX68" s="454"/>
      <c r="AY68" s="460"/>
      <c r="AZ68" s="487" t="s">
        <v>827</v>
      </c>
    </row>
    <row r="69" spans="2:52" ht="13.5" customHeight="1" thickTop="1" thickBot="1">
      <c r="B69" s="666"/>
      <c r="C69" s="666"/>
      <c r="D69" s="670"/>
      <c r="E69" s="462"/>
      <c r="F69" s="12"/>
      <c r="G69" s="454"/>
      <c r="H69" s="454"/>
      <c r="I69" s="454"/>
      <c r="J69" s="454"/>
      <c r="K69" s="454"/>
      <c r="L69" s="454"/>
      <c r="M69" s="454"/>
      <c r="N69" s="454"/>
      <c r="O69" s="454"/>
      <c r="P69" s="454"/>
      <c r="Q69" s="454"/>
      <c r="R69" s="454"/>
      <c r="S69" s="454"/>
      <c r="T69" s="454"/>
      <c r="U69" s="454"/>
      <c r="V69" s="454"/>
      <c r="W69" s="454"/>
      <c r="X69" s="454"/>
      <c r="Y69" s="454"/>
      <c r="Z69" s="454"/>
      <c r="AA69" s="454"/>
      <c r="AB69" s="454"/>
      <c r="AC69" s="454"/>
      <c r="AD69" s="454"/>
      <c r="AE69" s="454"/>
      <c r="AF69" s="454"/>
      <c r="AG69" s="454"/>
      <c r="AH69" s="454"/>
      <c r="AI69" s="454"/>
      <c r="AJ69" s="454"/>
      <c r="AK69" s="454"/>
      <c r="AL69" s="454"/>
      <c r="AM69" s="454"/>
      <c r="AN69" s="454"/>
      <c r="AO69" s="454"/>
      <c r="AP69" s="454"/>
      <c r="AQ69" s="454"/>
      <c r="AR69" s="454"/>
      <c r="AS69" s="454"/>
      <c r="AT69" s="454"/>
      <c r="AU69" s="454"/>
      <c r="AV69" s="454"/>
      <c r="AW69" s="454"/>
      <c r="AX69" s="454"/>
      <c r="AY69" s="460"/>
      <c r="AZ69" s="487"/>
    </row>
    <row r="70" spans="2:52" ht="13.5" customHeight="1" thickTop="1" thickBot="1">
      <c r="B70" s="666"/>
      <c r="C70" s="666"/>
      <c r="D70" s="670"/>
      <c r="E70" s="28" t="s">
        <v>103</v>
      </c>
      <c r="F70" s="12"/>
      <c r="G70" s="454"/>
      <c r="H70" s="454"/>
      <c r="I70" s="454"/>
      <c r="J70" s="454"/>
      <c r="K70" s="454"/>
      <c r="L70" s="454"/>
      <c r="M70" s="454"/>
      <c r="N70" s="454"/>
      <c r="O70" s="454"/>
      <c r="P70" s="454"/>
      <c r="Q70" s="454"/>
      <c r="R70" s="454"/>
      <c r="S70" s="454"/>
      <c r="T70" s="675">
        <f>ROUNDDOWN((AK60-R65-R66)*78/1100,0)-R62</f>
        <v>1799312425</v>
      </c>
      <c r="U70" s="676"/>
      <c r="V70" s="676"/>
      <c r="W70" s="676"/>
      <c r="X70" s="676"/>
      <c r="Y70" s="677"/>
      <c r="Z70" s="482" t="s">
        <v>102</v>
      </c>
      <c r="AA70" s="483" t="s">
        <v>811</v>
      </c>
      <c r="AB70" s="454"/>
      <c r="AC70" s="454"/>
      <c r="AD70" s="454"/>
      <c r="AE70" s="454"/>
      <c r="AF70" s="454"/>
      <c r="AG70" s="454"/>
      <c r="AH70" s="454"/>
      <c r="AI70" s="454"/>
      <c r="AJ70" s="454"/>
      <c r="AK70" s="454"/>
      <c r="AL70" s="454"/>
      <c r="AM70" s="454"/>
      <c r="AN70" s="454"/>
      <c r="AO70" s="454"/>
      <c r="AP70" s="454"/>
      <c r="AQ70" s="454"/>
      <c r="AR70" s="454"/>
      <c r="AS70" s="454"/>
      <c r="AT70" s="454"/>
      <c r="AU70" s="454"/>
      <c r="AV70" s="454"/>
      <c r="AW70" s="454"/>
      <c r="AX70" s="454"/>
      <c r="AY70" s="460"/>
      <c r="AZ70" s="487" t="s">
        <v>828</v>
      </c>
    </row>
    <row r="71" spans="2:52" ht="13.5" customHeight="1" thickTop="1">
      <c r="B71" s="671"/>
      <c r="C71" s="671"/>
      <c r="D71" s="681"/>
      <c r="E71" s="465"/>
      <c r="F71" s="7"/>
      <c r="G71" s="466"/>
      <c r="H71" s="466"/>
      <c r="I71" s="466"/>
      <c r="J71" s="466"/>
      <c r="K71" s="466"/>
      <c r="L71" s="466"/>
      <c r="M71" s="466"/>
      <c r="N71" s="466"/>
      <c r="O71" s="466"/>
      <c r="P71" s="466"/>
      <c r="Q71" s="466"/>
      <c r="R71" s="466"/>
      <c r="S71" s="466"/>
      <c r="T71" s="466"/>
      <c r="U71" s="466"/>
      <c r="V71" s="466"/>
      <c r="W71" s="466"/>
      <c r="X71" s="466"/>
      <c r="Y71" s="466"/>
      <c r="Z71" s="466"/>
      <c r="AA71" s="466"/>
      <c r="AB71" s="466"/>
      <c r="AC71" s="466"/>
      <c r="AD71" s="466"/>
      <c r="AE71" s="466"/>
      <c r="AF71" s="466"/>
      <c r="AG71" s="466"/>
      <c r="AH71" s="466"/>
      <c r="AI71" s="466"/>
      <c r="AJ71" s="466"/>
      <c r="AK71" s="466"/>
      <c r="AL71" s="466"/>
      <c r="AM71" s="466"/>
      <c r="AN71" s="466"/>
      <c r="AO71" s="466"/>
      <c r="AP71" s="466"/>
      <c r="AQ71" s="466"/>
      <c r="AR71" s="466"/>
      <c r="AS71" s="466"/>
      <c r="AT71" s="466"/>
      <c r="AU71" s="466"/>
      <c r="AV71" s="466"/>
      <c r="AW71" s="466"/>
      <c r="AX71" s="466"/>
      <c r="AY71" s="461"/>
      <c r="AZ71" s="453"/>
    </row>
    <row r="72" spans="2:52" ht="13.5" customHeight="1">
      <c r="B72" s="680" t="s">
        <v>100</v>
      </c>
      <c r="C72" s="682">
        <v>1</v>
      </c>
      <c r="D72" s="690" t="s">
        <v>99</v>
      </c>
      <c r="E72" s="688" t="s">
        <v>98</v>
      </c>
      <c r="F72" s="688"/>
      <c r="G72" s="688"/>
      <c r="H72" s="688"/>
      <c r="I72" s="688"/>
      <c r="J72" s="688"/>
      <c r="K72" s="688"/>
      <c r="L72" s="688"/>
      <c r="M72" s="688"/>
      <c r="N72" s="688"/>
      <c r="O72" s="688"/>
      <c r="P72" s="688"/>
      <c r="Q72" s="688"/>
      <c r="R72" s="688"/>
      <c r="S72" s="688"/>
      <c r="T72" s="688"/>
      <c r="U72" s="688"/>
      <c r="V72" s="688"/>
      <c r="W72" s="688"/>
      <c r="X72" s="688"/>
      <c r="Y72" s="688"/>
      <c r="Z72" s="688"/>
      <c r="AA72" s="688"/>
      <c r="AB72" s="688"/>
      <c r="AC72" s="688"/>
      <c r="AD72" s="688"/>
      <c r="AE72" s="688"/>
      <c r="AF72" s="688"/>
      <c r="AG72" s="688"/>
      <c r="AH72" s="688"/>
      <c r="AI72" s="688"/>
      <c r="AJ72" s="688"/>
      <c r="AK72" s="688"/>
      <c r="AL72" s="688"/>
      <c r="AM72" s="688"/>
      <c r="AN72" s="688"/>
      <c r="AO72" s="688"/>
      <c r="AP72" s="688"/>
      <c r="AQ72" s="688"/>
      <c r="AR72" s="688"/>
      <c r="AS72" s="688"/>
      <c r="AT72" s="688"/>
      <c r="AU72" s="688"/>
      <c r="AV72" s="688"/>
      <c r="AW72" s="688"/>
      <c r="AX72" s="688"/>
      <c r="AY72" s="688"/>
      <c r="AZ72" s="458"/>
    </row>
    <row r="73" spans="2:52" ht="13.5" customHeight="1">
      <c r="B73" s="670"/>
      <c r="C73" s="671"/>
      <c r="D73" s="690"/>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688"/>
      <c r="AC73" s="688"/>
      <c r="AD73" s="688"/>
      <c r="AE73" s="688"/>
      <c r="AF73" s="688"/>
      <c r="AG73" s="688"/>
      <c r="AH73" s="688"/>
      <c r="AI73" s="688"/>
      <c r="AJ73" s="688"/>
      <c r="AK73" s="688"/>
      <c r="AL73" s="688"/>
      <c r="AM73" s="688"/>
      <c r="AN73" s="688"/>
      <c r="AO73" s="688"/>
      <c r="AP73" s="688"/>
      <c r="AQ73" s="688"/>
      <c r="AR73" s="688"/>
      <c r="AS73" s="688"/>
      <c r="AT73" s="688"/>
      <c r="AU73" s="688"/>
      <c r="AV73" s="688"/>
      <c r="AW73" s="688"/>
      <c r="AX73" s="688"/>
      <c r="AY73" s="688"/>
      <c r="AZ73" s="451"/>
    </row>
    <row r="74" spans="2:52" ht="13.5" customHeight="1">
      <c r="B74" s="670"/>
      <c r="C74" s="682">
        <v>2</v>
      </c>
      <c r="D74" s="690" t="s">
        <v>97</v>
      </c>
      <c r="E74" s="688" t="s">
        <v>96</v>
      </c>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451"/>
    </row>
    <row r="75" spans="2:52" ht="13.5" customHeight="1">
      <c r="B75" s="670"/>
      <c r="C75" s="666"/>
      <c r="D75" s="690"/>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688"/>
      <c r="AC75" s="688"/>
      <c r="AD75" s="688"/>
      <c r="AE75" s="688"/>
      <c r="AF75" s="688"/>
      <c r="AG75" s="688"/>
      <c r="AH75" s="688"/>
      <c r="AI75" s="688"/>
      <c r="AJ75" s="688"/>
      <c r="AK75" s="688"/>
      <c r="AL75" s="688"/>
      <c r="AM75" s="688"/>
      <c r="AN75" s="688"/>
      <c r="AO75" s="688"/>
      <c r="AP75" s="688"/>
      <c r="AQ75" s="688"/>
      <c r="AR75" s="688"/>
      <c r="AS75" s="688"/>
      <c r="AT75" s="688"/>
      <c r="AU75" s="688"/>
      <c r="AV75" s="688"/>
      <c r="AW75" s="688"/>
      <c r="AX75" s="688"/>
      <c r="AY75" s="688"/>
      <c r="AZ75" s="451"/>
    </row>
    <row r="76" spans="2:52" ht="13.5" customHeight="1">
      <c r="B76" s="670"/>
      <c r="C76" s="671"/>
      <c r="D76" s="690"/>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688"/>
      <c r="AC76" s="688"/>
      <c r="AD76" s="688"/>
      <c r="AE76" s="688"/>
      <c r="AF76" s="688"/>
      <c r="AG76" s="688"/>
      <c r="AH76" s="688"/>
      <c r="AI76" s="688"/>
      <c r="AJ76" s="688"/>
      <c r="AK76" s="688"/>
      <c r="AL76" s="688"/>
      <c r="AM76" s="688"/>
      <c r="AN76" s="688"/>
      <c r="AO76" s="688"/>
      <c r="AP76" s="688"/>
      <c r="AQ76" s="688"/>
      <c r="AR76" s="688"/>
      <c r="AS76" s="688"/>
      <c r="AT76" s="688"/>
      <c r="AU76" s="688"/>
      <c r="AV76" s="688"/>
      <c r="AW76" s="688"/>
      <c r="AX76" s="688"/>
      <c r="AY76" s="688"/>
      <c r="AZ76" s="451"/>
    </row>
    <row r="77" spans="2:52" ht="13.5" customHeight="1">
      <c r="B77" s="670"/>
      <c r="C77" s="682">
        <v>3</v>
      </c>
      <c r="D77" s="690" t="s">
        <v>95</v>
      </c>
      <c r="E77" s="688" t="s">
        <v>94</v>
      </c>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8"/>
      <c r="AN77" s="688"/>
      <c r="AO77" s="688"/>
      <c r="AP77" s="688"/>
      <c r="AQ77" s="688"/>
      <c r="AR77" s="688"/>
      <c r="AS77" s="688"/>
      <c r="AT77" s="688"/>
      <c r="AU77" s="688"/>
      <c r="AV77" s="688"/>
      <c r="AW77" s="688"/>
      <c r="AX77" s="688"/>
      <c r="AY77" s="688"/>
      <c r="AZ77" s="451"/>
    </row>
    <row r="78" spans="2:52" ht="13.5" customHeight="1">
      <c r="B78" s="670"/>
      <c r="C78" s="666"/>
      <c r="D78" s="690"/>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8"/>
      <c r="AN78" s="688"/>
      <c r="AO78" s="688"/>
      <c r="AP78" s="688"/>
      <c r="AQ78" s="688"/>
      <c r="AR78" s="688"/>
      <c r="AS78" s="688"/>
      <c r="AT78" s="688"/>
      <c r="AU78" s="688"/>
      <c r="AV78" s="688"/>
      <c r="AW78" s="688"/>
      <c r="AX78" s="688"/>
      <c r="AY78" s="688"/>
      <c r="AZ78" s="451"/>
    </row>
    <row r="79" spans="2:52" ht="13.5" customHeight="1">
      <c r="B79" s="670"/>
      <c r="C79" s="666"/>
      <c r="D79" s="690"/>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8"/>
      <c r="AN79" s="688"/>
      <c r="AO79" s="688"/>
      <c r="AP79" s="688"/>
      <c r="AQ79" s="688"/>
      <c r="AR79" s="688"/>
      <c r="AS79" s="688"/>
      <c r="AT79" s="688"/>
      <c r="AU79" s="688"/>
      <c r="AV79" s="688"/>
      <c r="AW79" s="688"/>
      <c r="AX79" s="688"/>
      <c r="AY79" s="688"/>
      <c r="AZ79" s="451"/>
    </row>
    <row r="80" spans="2:52" ht="13.5" customHeight="1">
      <c r="B80" s="670"/>
      <c r="C80" s="671"/>
      <c r="D80" s="690"/>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8"/>
      <c r="AN80" s="688"/>
      <c r="AO80" s="688"/>
      <c r="AP80" s="688"/>
      <c r="AQ80" s="688"/>
      <c r="AR80" s="688"/>
      <c r="AS80" s="688"/>
      <c r="AT80" s="688"/>
      <c r="AU80" s="688"/>
      <c r="AV80" s="688"/>
      <c r="AW80" s="688"/>
      <c r="AX80" s="688"/>
      <c r="AY80" s="688"/>
      <c r="AZ80" s="451"/>
    </row>
    <row r="81" spans="2:52" ht="13.5" customHeight="1">
      <c r="B81" s="670"/>
      <c r="C81" s="682">
        <v>4</v>
      </c>
      <c r="D81" s="690" t="s">
        <v>93</v>
      </c>
      <c r="E81" s="688" t="s">
        <v>92</v>
      </c>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8"/>
      <c r="AN81" s="688"/>
      <c r="AO81" s="688"/>
      <c r="AP81" s="688"/>
      <c r="AQ81" s="688"/>
      <c r="AR81" s="688"/>
      <c r="AS81" s="688"/>
      <c r="AT81" s="688"/>
      <c r="AU81" s="688"/>
      <c r="AV81" s="688"/>
      <c r="AW81" s="688"/>
      <c r="AX81" s="688"/>
      <c r="AY81" s="688"/>
      <c r="AZ81" s="451"/>
    </row>
    <row r="82" spans="2:52" ht="13.5" customHeight="1">
      <c r="B82" s="670"/>
      <c r="C82" s="666"/>
      <c r="D82" s="690"/>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88"/>
      <c r="AM82" s="688"/>
      <c r="AN82" s="688"/>
      <c r="AO82" s="688"/>
      <c r="AP82" s="688"/>
      <c r="AQ82" s="688"/>
      <c r="AR82" s="688"/>
      <c r="AS82" s="688"/>
      <c r="AT82" s="688"/>
      <c r="AU82" s="688"/>
      <c r="AV82" s="688"/>
      <c r="AW82" s="688"/>
      <c r="AX82" s="688"/>
      <c r="AY82" s="688"/>
      <c r="AZ82" s="451"/>
    </row>
    <row r="83" spans="2:52" ht="13.5" customHeight="1">
      <c r="B83" s="670"/>
      <c r="C83" s="671"/>
      <c r="D83" s="690"/>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88"/>
      <c r="AM83" s="688"/>
      <c r="AN83" s="688"/>
      <c r="AO83" s="688"/>
      <c r="AP83" s="688"/>
      <c r="AQ83" s="688"/>
      <c r="AR83" s="688"/>
      <c r="AS83" s="688"/>
      <c r="AT83" s="688"/>
      <c r="AU83" s="688"/>
      <c r="AV83" s="688"/>
      <c r="AW83" s="688"/>
      <c r="AX83" s="688"/>
      <c r="AY83" s="688"/>
      <c r="AZ83" s="451"/>
    </row>
    <row r="84" spans="2:52" ht="13.5" customHeight="1">
      <c r="B84" s="670"/>
      <c r="C84" s="682">
        <v>5</v>
      </c>
      <c r="D84" s="690" t="s">
        <v>91</v>
      </c>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688"/>
      <c r="AC84" s="688"/>
      <c r="AD84" s="688"/>
      <c r="AE84" s="688"/>
      <c r="AF84" s="688"/>
      <c r="AG84" s="688"/>
      <c r="AH84" s="688"/>
      <c r="AI84" s="688"/>
      <c r="AJ84" s="688"/>
      <c r="AK84" s="688"/>
      <c r="AL84" s="688"/>
      <c r="AM84" s="688"/>
      <c r="AN84" s="688"/>
      <c r="AO84" s="688"/>
      <c r="AP84" s="688"/>
      <c r="AQ84" s="688"/>
      <c r="AR84" s="688"/>
      <c r="AS84" s="688"/>
      <c r="AT84" s="688"/>
      <c r="AU84" s="688"/>
      <c r="AV84" s="688"/>
      <c r="AW84" s="688"/>
      <c r="AX84" s="688"/>
      <c r="AY84" s="688"/>
      <c r="AZ84" s="451"/>
    </row>
    <row r="85" spans="2:52" ht="13.5" customHeight="1">
      <c r="B85" s="670"/>
      <c r="C85" s="666"/>
      <c r="D85" s="690"/>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688"/>
      <c r="AC85" s="688"/>
      <c r="AD85" s="688"/>
      <c r="AE85" s="688"/>
      <c r="AF85" s="688"/>
      <c r="AG85" s="688"/>
      <c r="AH85" s="688"/>
      <c r="AI85" s="688"/>
      <c r="AJ85" s="688"/>
      <c r="AK85" s="688"/>
      <c r="AL85" s="688"/>
      <c r="AM85" s="688"/>
      <c r="AN85" s="688"/>
      <c r="AO85" s="688"/>
      <c r="AP85" s="688"/>
      <c r="AQ85" s="688"/>
      <c r="AR85" s="688"/>
      <c r="AS85" s="688"/>
      <c r="AT85" s="688"/>
      <c r="AU85" s="688"/>
      <c r="AV85" s="688"/>
      <c r="AW85" s="688"/>
      <c r="AX85" s="688"/>
      <c r="AY85" s="688"/>
      <c r="AZ85" s="451"/>
    </row>
    <row r="86" spans="2:52" ht="13.5" customHeight="1">
      <c r="B86" s="681"/>
      <c r="C86" s="671"/>
      <c r="D86" s="690"/>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688"/>
      <c r="AC86" s="688"/>
      <c r="AD86" s="688"/>
      <c r="AE86" s="688"/>
      <c r="AF86" s="688"/>
      <c r="AG86" s="688"/>
      <c r="AH86" s="688"/>
      <c r="AI86" s="688"/>
      <c r="AJ86" s="688"/>
      <c r="AK86" s="688"/>
      <c r="AL86" s="688"/>
      <c r="AM86" s="688"/>
      <c r="AN86" s="688"/>
      <c r="AO86" s="688"/>
      <c r="AP86" s="688"/>
      <c r="AQ86" s="688"/>
      <c r="AR86" s="688"/>
      <c r="AS86" s="688"/>
      <c r="AT86" s="688"/>
      <c r="AU86" s="688"/>
      <c r="AV86" s="688"/>
      <c r="AW86" s="688"/>
      <c r="AX86" s="688"/>
      <c r="AY86" s="688"/>
      <c r="AZ86" s="453"/>
    </row>
    <row r="87" spans="2:52" ht="13.5" customHeight="1">
      <c r="B87" s="680" t="s">
        <v>90</v>
      </c>
      <c r="C87" s="684">
        <v>1</v>
      </c>
      <c r="D87" s="680" t="s">
        <v>89</v>
      </c>
      <c r="E87" s="463"/>
      <c r="F87" s="17"/>
      <c r="G87" s="464"/>
      <c r="H87" s="464"/>
      <c r="I87" s="464"/>
      <c r="J87" s="464"/>
      <c r="K87" s="464"/>
      <c r="L87" s="464"/>
      <c r="M87" s="464"/>
      <c r="N87" s="464"/>
      <c r="O87" s="464"/>
      <c r="P87" s="464"/>
      <c r="Q87" s="464"/>
      <c r="R87" s="464"/>
      <c r="S87" s="464"/>
      <c r="T87" s="464"/>
      <c r="U87" s="464"/>
      <c r="V87" s="464"/>
      <c r="W87" s="464"/>
      <c r="X87" s="464"/>
      <c r="Y87" s="464"/>
      <c r="Z87" s="464"/>
      <c r="AA87" s="464"/>
      <c r="AB87" s="464"/>
      <c r="AC87" s="464"/>
      <c r="AD87" s="464"/>
      <c r="AE87" s="464"/>
      <c r="AF87" s="464"/>
      <c r="AG87" s="464"/>
      <c r="AH87" s="464"/>
      <c r="AI87" s="464"/>
      <c r="AJ87" s="464"/>
      <c r="AK87" s="464"/>
      <c r="AL87" s="464"/>
      <c r="AM87" s="464"/>
      <c r="AN87" s="464"/>
      <c r="AO87" s="464"/>
      <c r="AP87" s="464"/>
      <c r="AQ87" s="464"/>
      <c r="AR87" s="464"/>
      <c r="AS87" s="464"/>
      <c r="AT87" s="464"/>
      <c r="AU87" s="464"/>
      <c r="AV87" s="464"/>
      <c r="AW87" s="464"/>
      <c r="AX87" s="464"/>
      <c r="AY87" s="459"/>
      <c r="AZ87" s="662"/>
    </row>
    <row r="88" spans="2:52" ht="13.5" customHeight="1">
      <c r="B88" s="670"/>
      <c r="C88" s="685"/>
      <c r="D88" s="670"/>
      <c r="E88" s="28" t="s">
        <v>88</v>
      </c>
      <c r="F88" s="12"/>
      <c r="G88" s="12"/>
      <c r="H88" s="12"/>
      <c r="I88" s="12"/>
      <c r="J88" s="12"/>
      <c r="K88" s="12"/>
      <c r="L88" s="12"/>
      <c r="M88" s="12"/>
      <c r="N88" s="12"/>
      <c r="O88" s="12"/>
      <c r="P88" s="687">
        <f>基礎数値!H18</f>
        <v>2312306920</v>
      </c>
      <c r="Q88" s="687"/>
      <c r="R88" s="687"/>
      <c r="S88" s="687"/>
      <c r="T88" s="687"/>
      <c r="U88" s="687"/>
      <c r="V88" s="454"/>
      <c r="W88" s="455" t="s">
        <v>86</v>
      </c>
      <c r="X88" s="454"/>
      <c r="Y88" s="454"/>
      <c r="Z88" s="454"/>
      <c r="AA88" s="454"/>
      <c r="AB88" s="454"/>
      <c r="AC88" s="454"/>
      <c r="AD88" s="454"/>
      <c r="AE88" s="454"/>
      <c r="AF88" s="454"/>
      <c r="AG88" s="454"/>
      <c r="AH88" s="454"/>
      <c r="AI88" s="12"/>
      <c r="AJ88" s="454"/>
      <c r="AK88" s="454"/>
      <c r="AL88" s="454"/>
      <c r="AM88" s="454"/>
      <c r="AN88" s="454"/>
      <c r="AO88" s="454"/>
      <c r="AP88" s="454"/>
      <c r="AQ88" s="454"/>
      <c r="AR88" s="454"/>
      <c r="AS88" s="454"/>
      <c r="AT88" s="454"/>
      <c r="AU88" s="454"/>
      <c r="AV88" s="454"/>
      <c r="AW88" s="454"/>
      <c r="AX88" s="454"/>
      <c r="AY88" s="460"/>
      <c r="AZ88" s="663"/>
    </row>
    <row r="89" spans="2:52" ht="13.5" customHeight="1">
      <c r="B89" s="670"/>
      <c r="C89" s="685"/>
      <c r="D89" s="670"/>
      <c r="E89" s="28" t="s">
        <v>87</v>
      </c>
      <c r="F89" s="454"/>
      <c r="G89" s="454"/>
      <c r="H89" s="454"/>
      <c r="I89" s="454"/>
      <c r="J89" s="454"/>
      <c r="K89" s="454"/>
      <c r="L89" s="454"/>
      <c r="M89" s="454"/>
      <c r="N89" s="454"/>
      <c r="O89" s="454"/>
      <c r="P89" s="687">
        <f>基礎数値!H19</f>
        <v>5972404802</v>
      </c>
      <c r="Q89" s="687"/>
      <c r="R89" s="687"/>
      <c r="S89" s="687"/>
      <c r="T89" s="687"/>
      <c r="U89" s="687"/>
      <c r="V89" s="454"/>
      <c r="W89" s="455" t="s">
        <v>86</v>
      </c>
      <c r="X89" s="454"/>
      <c r="Y89" s="454"/>
      <c r="Z89" s="454"/>
      <c r="AA89" s="454"/>
      <c r="AB89" s="454"/>
      <c r="AC89" s="454"/>
      <c r="AD89" s="454"/>
      <c r="AE89" s="454"/>
      <c r="AF89" s="454"/>
      <c r="AG89" s="454"/>
      <c r="AH89" s="454"/>
      <c r="AI89" s="454"/>
      <c r="AJ89" s="454"/>
      <c r="AK89" s="454"/>
      <c r="AL89" s="454"/>
      <c r="AM89" s="454"/>
      <c r="AN89" s="454"/>
      <c r="AO89" s="454"/>
      <c r="AP89" s="454"/>
      <c r="AQ89" s="454"/>
      <c r="AR89" s="454" t="s">
        <v>85</v>
      </c>
      <c r="AS89" s="665">
        <f>P88+P89</f>
        <v>8284711722</v>
      </c>
      <c r="AT89" s="665"/>
      <c r="AU89" s="665"/>
      <c r="AV89" s="665"/>
      <c r="AW89" s="665"/>
      <c r="AX89" s="665"/>
      <c r="AY89" s="460" t="s">
        <v>84</v>
      </c>
      <c r="AZ89" s="663"/>
    </row>
    <row r="90" spans="2:52" ht="13.5" customHeight="1">
      <c r="B90" s="670"/>
      <c r="C90" s="685"/>
      <c r="D90" s="670"/>
      <c r="E90" s="462"/>
      <c r="F90" s="12"/>
      <c r="G90" s="454"/>
      <c r="H90" s="454"/>
      <c r="I90" s="454"/>
      <c r="J90" s="454"/>
      <c r="K90" s="454"/>
      <c r="L90" s="454"/>
      <c r="M90" s="454"/>
      <c r="N90" s="454"/>
      <c r="O90" s="454"/>
      <c r="P90" s="454"/>
      <c r="Q90" s="454"/>
      <c r="R90" s="454"/>
      <c r="S90" s="454"/>
      <c r="T90" s="454"/>
      <c r="U90" s="454"/>
      <c r="V90" s="454"/>
      <c r="W90" s="454"/>
      <c r="X90" s="454"/>
      <c r="Y90" s="454"/>
      <c r="Z90" s="454"/>
      <c r="AA90" s="454"/>
      <c r="AB90" s="454"/>
      <c r="AC90" s="454"/>
      <c r="AD90" s="454"/>
      <c r="AE90" s="454"/>
      <c r="AF90" s="454"/>
      <c r="AG90" s="454"/>
      <c r="AH90" s="454"/>
      <c r="AI90" s="454"/>
      <c r="AJ90" s="454"/>
      <c r="AK90" s="454"/>
      <c r="AL90" s="454"/>
      <c r="AM90" s="454"/>
      <c r="AN90" s="454"/>
      <c r="AO90" s="454"/>
      <c r="AP90" s="454"/>
      <c r="AQ90" s="454"/>
      <c r="AR90" s="454"/>
      <c r="AS90" s="454"/>
      <c r="AT90" s="454"/>
      <c r="AU90" s="454"/>
      <c r="AV90" s="454"/>
      <c r="AW90" s="454"/>
      <c r="AX90" s="454"/>
      <c r="AY90" s="460"/>
      <c r="AZ90" s="663"/>
    </row>
    <row r="91" spans="2:52" ht="13.5" customHeight="1">
      <c r="B91" s="670"/>
      <c r="C91" s="685"/>
      <c r="D91" s="670"/>
      <c r="E91" s="462" t="s">
        <v>83</v>
      </c>
      <c r="F91" s="12"/>
      <c r="G91" s="454"/>
      <c r="H91" s="454"/>
      <c r="I91" s="454"/>
      <c r="J91" s="454"/>
      <c r="K91" s="454"/>
      <c r="L91" s="454"/>
      <c r="M91" s="454"/>
      <c r="N91" s="454"/>
      <c r="O91" s="454"/>
      <c r="P91" s="665">
        <f>ROUNDDOWN(AK21*100/110,0)</f>
        <v>18881545399</v>
      </c>
      <c r="Q91" s="665"/>
      <c r="R91" s="665"/>
      <c r="S91" s="665"/>
      <c r="T91" s="665"/>
      <c r="U91" s="665"/>
      <c r="V91" s="482"/>
      <c r="W91" s="483" t="s">
        <v>812</v>
      </c>
      <c r="X91" s="454"/>
      <c r="Y91" s="454"/>
      <c r="Z91" s="454"/>
      <c r="AA91" s="454"/>
      <c r="AB91" s="454"/>
      <c r="AC91" s="454"/>
      <c r="AD91" s="454"/>
      <c r="AE91" s="454"/>
      <c r="AF91" s="454"/>
      <c r="AG91" s="454"/>
      <c r="AH91" s="454"/>
      <c r="AI91" s="454"/>
      <c r="AJ91" s="454"/>
      <c r="AK91" s="454"/>
      <c r="AL91" s="454"/>
      <c r="AM91" s="454"/>
      <c r="AN91" s="454"/>
      <c r="AO91" s="454"/>
      <c r="AP91" s="454"/>
      <c r="AQ91" s="454"/>
      <c r="AR91" s="454"/>
      <c r="AS91" s="454"/>
      <c r="AT91" s="454"/>
      <c r="AU91" s="454"/>
      <c r="AV91" s="454"/>
      <c r="AW91" s="454"/>
      <c r="AX91" s="454"/>
      <c r="AY91" s="460"/>
      <c r="AZ91" s="663"/>
    </row>
    <row r="92" spans="2:52" ht="13.5" customHeight="1">
      <c r="B92" s="670"/>
      <c r="C92" s="685"/>
      <c r="D92" s="670"/>
      <c r="E92" s="462" t="s">
        <v>133</v>
      </c>
      <c r="F92" s="12"/>
      <c r="G92" s="454"/>
      <c r="H92" s="454"/>
      <c r="I92" s="454"/>
      <c r="J92" s="454"/>
      <c r="K92" s="454"/>
      <c r="L92" s="454"/>
      <c r="M92" s="454"/>
      <c r="N92" s="454"/>
      <c r="O92" s="454"/>
      <c r="P92" s="665"/>
      <c r="Q92" s="665"/>
      <c r="R92" s="665"/>
      <c r="S92" s="665"/>
      <c r="T92" s="665"/>
      <c r="U92" s="665"/>
      <c r="V92" s="454"/>
      <c r="W92" s="455"/>
      <c r="X92" s="454"/>
      <c r="Y92" s="454"/>
      <c r="Z92" s="454"/>
      <c r="AA92" s="454"/>
      <c r="AB92" s="454"/>
      <c r="AC92" s="454"/>
      <c r="AD92" s="454"/>
      <c r="AE92" s="665"/>
      <c r="AF92" s="665"/>
      <c r="AG92" s="665"/>
      <c r="AH92" s="665"/>
      <c r="AI92" s="665"/>
      <c r="AJ92" s="665"/>
      <c r="AK92" s="455"/>
      <c r="AL92" s="454"/>
      <c r="AM92" s="454"/>
      <c r="AN92" s="454"/>
      <c r="AO92" s="454"/>
      <c r="AP92" s="454"/>
      <c r="AQ92" s="454"/>
      <c r="AR92" s="454"/>
      <c r="AS92" s="454"/>
      <c r="AT92" s="454"/>
      <c r="AU92" s="454"/>
      <c r="AV92" s="454"/>
      <c r="AW92" s="454"/>
      <c r="AX92" s="454"/>
      <c r="AY92" s="460"/>
      <c r="AZ92" s="663"/>
    </row>
    <row r="93" spans="2:52" ht="13.5" customHeight="1">
      <c r="B93" s="670"/>
      <c r="C93" s="685"/>
      <c r="D93" s="670"/>
      <c r="E93" s="462" t="s">
        <v>80</v>
      </c>
      <c r="F93" s="12"/>
      <c r="G93" s="454"/>
      <c r="H93" s="454"/>
      <c r="I93" s="454"/>
      <c r="J93" s="454"/>
      <c r="K93" s="454"/>
      <c r="L93" s="454"/>
      <c r="M93" s="454"/>
      <c r="N93" s="454"/>
      <c r="O93" s="454"/>
      <c r="P93" s="665"/>
      <c r="Q93" s="665"/>
      <c r="R93" s="665"/>
      <c r="S93" s="665"/>
      <c r="T93" s="665"/>
      <c r="U93" s="665"/>
      <c r="V93" s="454"/>
      <c r="W93" s="455"/>
      <c r="X93" s="454"/>
      <c r="Y93" s="454"/>
      <c r="Z93" s="454"/>
      <c r="AA93" s="454"/>
      <c r="AB93" s="454"/>
      <c r="AC93" s="454"/>
      <c r="AD93" s="454"/>
      <c r="AE93" s="454"/>
      <c r="AF93" s="454"/>
      <c r="AG93" s="454"/>
      <c r="AH93" s="454"/>
      <c r="AI93" s="454"/>
      <c r="AJ93" s="454"/>
      <c r="AK93" s="454"/>
      <c r="AL93" s="454"/>
      <c r="AM93" s="454"/>
      <c r="AN93" s="454"/>
      <c r="AO93" s="454"/>
      <c r="AP93" s="454"/>
      <c r="AQ93" s="454"/>
      <c r="AR93" s="454"/>
      <c r="AS93" s="454"/>
      <c r="AT93" s="454"/>
      <c r="AU93" s="454"/>
      <c r="AV93" s="454"/>
      <c r="AW93" s="454"/>
      <c r="AX93" s="454"/>
      <c r="AY93" s="460"/>
      <c r="AZ93" s="663"/>
    </row>
    <row r="94" spans="2:52" ht="13.5" customHeight="1" thickBot="1">
      <c r="B94" s="670"/>
      <c r="C94" s="685"/>
      <c r="D94" s="670"/>
      <c r="E94" s="462"/>
      <c r="F94" s="12"/>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454"/>
      <c r="AF94" s="454"/>
      <c r="AG94" s="454"/>
      <c r="AH94" s="454"/>
      <c r="AI94" s="454"/>
      <c r="AJ94" s="454"/>
      <c r="AK94" s="454"/>
      <c r="AL94" s="454"/>
      <c r="AM94" s="454"/>
      <c r="AN94" s="454"/>
      <c r="AO94" s="454"/>
      <c r="AP94" s="454"/>
      <c r="AQ94" s="454"/>
      <c r="AR94" s="454"/>
      <c r="AS94" s="454"/>
      <c r="AT94" s="454"/>
      <c r="AU94" s="454"/>
      <c r="AV94" s="454"/>
      <c r="AW94" s="454"/>
      <c r="AX94" s="454"/>
      <c r="AY94" s="460"/>
      <c r="AZ94" s="663"/>
    </row>
    <row r="95" spans="2:52" ht="13.5" customHeight="1" thickTop="1" thickBot="1">
      <c r="B95" s="670"/>
      <c r="C95" s="685"/>
      <c r="D95" s="670"/>
      <c r="E95" s="462" t="s">
        <v>79</v>
      </c>
      <c r="F95" s="12"/>
      <c r="G95" s="454"/>
      <c r="H95" s="454"/>
      <c r="I95" s="454"/>
      <c r="J95" s="454"/>
      <c r="K95" s="454"/>
      <c r="L95" s="454"/>
      <c r="M95" s="454"/>
      <c r="N95" s="454"/>
      <c r="O95" s="454"/>
      <c r="P95" s="672"/>
      <c r="Q95" s="673"/>
      <c r="R95" s="673"/>
      <c r="S95" s="673"/>
      <c r="T95" s="673"/>
      <c r="U95" s="674"/>
      <c r="V95" s="454"/>
      <c r="W95" s="455"/>
      <c r="X95" s="454"/>
      <c r="Y95" s="454"/>
      <c r="Z95" s="454"/>
      <c r="AA95" s="454"/>
      <c r="AB95" s="454"/>
      <c r="AC95" s="454"/>
      <c r="AD95" s="454"/>
      <c r="AE95" s="454"/>
      <c r="AF95" s="454"/>
      <c r="AG95" s="454"/>
      <c r="AH95" s="454"/>
      <c r="AI95" s="454"/>
      <c r="AJ95" s="454"/>
      <c r="AK95" s="454"/>
      <c r="AL95" s="454"/>
      <c r="AM95" s="454"/>
      <c r="AN95" s="454"/>
      <c r="AO95" s="454"/>
      <c r="AP95" s="454"/>
      <c r="AQ95" s="454"/>
      <c r="AR95" s="454"/>
      <c r="AS95" s="454"/>
      <c r="AT95" s="454"/>
      <c r="AU95" s="454"/>
      <c r="AV95" s="454"/>
      <c r="AW95" s="454"/>
      <c r="AX95" s="454"/>
      <c r="AY95" s="460"/>
      <c r="AZ95" s="663"/>
    </row>
    <row r="96" spans="2:52" ht="13.5" customHeight="1" thickTop="1">
      <c r="B96" s="670"/>
      <c r="C96" s="686"/>
      <c r="D96" s="681"/>
      <c r="E96" s="465"/>
      <c r="F96" s="7"/>
      <c r="G96" s="466"/>
      <c r="H96" s="466"/>
      <c r="I96" s="466"/>
      <c r="J96" s="466"/>
      <c r="K96" s="466"/>
      <c r="L96" s="466"/>
      <c r="M96" s="466"/>
      <c r="N96" s="466"/>
      <c r="O96" s="466"/>
      <c r="P96" s="466"/>
      <c r="Q96" s="466"/>
      <c r="R96" s="466"/>
      <c r="S96" s="466"/>
      <c r="T96" s="466"/>
      <c r="U96" s="466"/>
      <c r="V96" s="466"/>
      <c r="W96" s="466"/>
      <c r="X96" s="27"/>
      <c r="Y96" s="466"/>
      <c r="Z96" s="466"/>
      <c r="AA96" s="466"/>
      <c r="AB96" s="466"/>
      <c r="AC96" s="466"/>
      <c r="AD96" s="466"/>
      <c r="AE96" s="466"/>
      <c r="AF96" s="466"/>
      <c r="AG96" s="466"/>
      <c r="AH96" s="466"/>
      <c r="AI96" s="466"/>
      <c r="AJ96" s="466"/>
      <c r="AK96" s="466"/>
      <c r="AL96" s="466"/>
      <c r="AM96" s="466"/>
      <c r="AN96" s="466"/>
      <c r="AO96" s="466"/>
      <c r="AP96" s="466"/>
      <c r="AQ96" s="466"/>
      <c r="AR96" s="466"/>
      <c r="AS96" s="466"/>
      <c r="AT96" s="466"/>
      <c r="AU96" s="466"/>
      <c r="AV96" s="466"/>
      <c r="AW96" s="466"/>
      <c r="AX96" s="466"/>
      <c r="AY96" s="461"/>
      <c r="AZ96" s="664"/>
    </row>
    <row r="97" spans="2:52" ht="13.5" customHeight="1" thickBot="1">
      <c r="B97" s="670"/>
      <c r="C97" s="684">
        <v>2</v>
      </c>
      <c r="D97" s="680" t="s">
        <v>78</v>
      </c>
      <c r="E97" s="463"/>
      <c r="F97" s="17"/>
      <c r="G97" s="464"/>
      <c r="H97" s="464"/>
      <c r="I97" s="464"/>
      <c r="J97" s="464"/>
      <c r="K97" s="464"/>
      <c r="L97" s="464"/>
      <c r="M97" s="464"/>
      <c r="N97" s="464"/>
      <c r="O97" s="464"/>
      <c r="P97" s="464"/>
      <c r="Q97" s="464"/>
      <c r="R97" s="464"/>
      <c r="S97" s="464"/>
      <c r="T97" s="464"/>
      <c r="U97" s="464"/>
      <c r="V97" s="464"/>
      <c r="W97" s="464"/>
      <c r="X97" s="464"/>
      <c r="Y97" s="464"/>
      <c r="Z97" s="464"/>
      <c r="AA97" s="464"/>
      <c r="AB97" s="464"/>
      <c r="AC97" s="464"/>
      <c r="AD97" s="464"/>
      <c r="AE97" s="464"/>
      <c r="AF97" s="464"/>
      <c r="AG97" s="464"/>
      <c r="AH97" s="464"/>
      <c r="AI97" s="464"/>
      <c r="AJ97" s="464"/>
      <c r="AK97" s="464"/>
      <c r="AL97" s="464"/>
      <c r="AM97" s="464"/>
      <c r="AN97" s="464"/>
      <c r="AO97" s="464"/>
      <c r="AP97" s="464"/>
      <c r="AQ97" s="464"/>
      <c r="AR97" s="464"/>
      <c r="AS97" s="464"/>
      <c r="AT97" s="464"/>
      <c r="AU97" s="464"/>
      <c r="AV97" s="464"/>
      <c r="AW97" s="464"/>
      <c r="AX97" s="464"/>
      <c r="AY97" s="459"/>
      <c r="AZ97" s="489" t="s">
        <v>829</v>
      </c>
    </row>
    <row r="98" spans="2:52" ht="13.5" customHeight="1" thickTop="1" thickBot="1">
      <c r="B98" s="670"/>
      <c r="C98" s="685"/>
      <c r="D98" s="670"/>
      <c r="E98" s="462" t="s">
        <v>76</v>
      </c>
      <c r="F98" s="12"/>
      <c r="G98" s="454"/>
      <c r="H98" s="454"/>
      <c r="I98" s="454"/>
      <c r="J98" s="454"/>
      <c r="K98" s="454"/>
      <c r="L98" s="454"/>
      <c r="M98" s="454"/>
      <c r="N98" s="454"/>
      <c r="O98" s="454"/>
      <c r="P98" s="454"/>
      <c r="Q98" s="454"/>
      <c r="R98" s="454"/>
      <c r="S98" s="454"/>
      <c r="T98" s="454"/>
      <c r="U98" s="454"/>
      <c r="V98" s="454"/>
      <c r="W98" s="454"/>
      <c r="X98" s="454"/>
      <c r="Y98" s="454"/>
      <c r="Z98" s="667">
        <f>ROUNDDOWN(T70*'(申)計'!R36/'(申)計'!R40,0)</f>
        <v>1792796242</v>
      </c>
      <c r="AA98" s="668"/>
      <c r="AB98" s="668"/>
      <c r="AC98" s="668"/>
      <c r="AD98" s="668"/>
      <c r="AE98" s="669"/>
      <c r="AF98" s="454" t="s">
        <v>75</v>
      </c>
      <c r="AG98" s="455" t="s">
        <v>74</v>
      </c>
      <c r="AH98" s="454"/>
      <c r="AI98" s="454"/>
      <c r="AJ98" s="454"/>
      <c r="AK98" s="454"/>
      <c r="AL98" s="454"/>
      <c r="AM98" s="454"/>
      <c r="AN98" s="454"/>
      <c r="AO98" s="454"/>
      <c r="AP98" s="454"/>
      <c r="AQ98" s="454"/>
      <c r="AR98" s="454"/>
      <c r="AS98" s="454"/>
      <c r="AT98" s="454"/>
      <c r="AU98" s="454"/>
      <c r="AV98" s="454"/>
      <c r="AW98" s="454"/>
      <c r="AX98" s="454"/>
      <c r="AY98" s="460"/>
      <c r="AZ98" s="209" t="s">
        <v>845</v>
      </c>
    </row>
    <row r="99" spans="2:52" ht="13.5" customHeight="1" thickTop="1" thickBot="1">
      <c r="B99" s="670"/>
      <c r="C99" s="685"/>
      <c r="D99" s="670"/>
      <c r="E99" s="462"/>
      <c r="F99" s="12"/>
      <c r="G99" s="454"/>
      <c r="H99" s="454"/>
      <c r="I99" s="454"/>
      <c r="J99" s="454"/>
      <c r="K99" s="454"/>
      <c r="L99" s="454"/>
      <c r="M99" s="454"/>
      <c r="N99" s="454"/>
      <c r="O99" s="454"/>
      <c r="P99" s="454"/>
      <c r="Q99" s="454"/>
      <c r="R99" s="454"/>
      <c r="S99" s="454"/>
      <c r="T99" s="454"/>
      <c r="U99" s="26" t="s">
        <v>73</v>
      </c>
      <c r="V99" s="454"/>
      <c r="W99" s="454"/>
      <c r="X99" s="454"/>
      <c r="Y99" s="454"/>
      <c r="Z99" s="454"/>
      <c r="AA99" s="454"/>
      <c r="AB99" s="454"/>
      <c r="AC99" s="454"/>
      <c r="AD99" s="454"/>
      <c r="AE99" s="454"/>
      <c r="AF99" s="454"/>
      <c r="AG99" s="454"/>
      <c r="AH99" s="454"/>
      <c r="AI99" s="454"/>
      <c r="AJ99" s="454"/>
      <c r="AK99" s="454"/>
      <c r="AL99" s="454"/>
      <c r="AM99" s="454"/>
      <c r="AN99" s="454"/>
      <c r="AO99" s="454"/>
      <c r="AP99" s="454"/>
      <c r="AQ99" s="454"/>
      <c r="AR99" s="454"/>
      <c r="AS99" s="454"/>
      <c r="AT99" s="454"/>
      <c r="AU99" s="454"/>
      <c r="AV99" s="454"/>
      <c r="AW99" s="454"/>
      <c r="AX99" s="454"/>
      <c r="AY99" s="460"/>
      <c r="AZ99" s="487"/>
    </row>
    <row r="100" spans="2:52" ht="13.5" customHeight="1" thickTop="1" thickBot="1">
      <c r="B100" s="670"/>
      <c r="C100" s="685"/>
      <c r="D100" s="670"/>
      <c r="E100" s="462" t="s">
        <v>72</v>
      </c>
      <c r="F100" s="12"/>
      <c r="G100" s="454"/>
      <c r="H100" s="454"/>
      <c r="I100" s="454"/>
      <c r="J100" s="454"/>
      <c r="K100" s="454"/>
      <c r="L100" s="454"/>
      <c r="M100" s="454"/>
      <c r="N100" s="454"/>
      <c r="O100" s="454"/>
      <c r="P100" s="454"/>
      <c r="Q100" s="454"/>
      <c r="R100" s="454"/>
      <c r="S100" s="454"/>
      <c r="T100" s="454"/>
      <c r="U100" s="454"/>
      <c r="V100" s="454"/>
      <c r="W100" s="454"/>
      <c r="X100" s="454"/>
      <c r="Y100" s="454"/>
      <c r="Z100" s="667">
        <f>AS89</f>
        <v>8284711722</v>
      </c>
      <c r="AA100" s="668"/>
      <c r="AB100" s="668"/>
      <c r="AC100" s="668"/>
      <c r="AD100" s="668"/>
      <c r="AE100" s="669"/>
      <c r="AF100" s="454"/>
      <c r="AG100" s="455" t="s">
        <v>71</v>
      </c>
      <c r="AH100" s="454"/>
      <c r="AI100" s="454"/>
      <c r="AJ100" s="454"/>
      <c r="AK100" s="454"/>
      <c r="AL100" s="454"/>
      <c r="AM100" s="454"/>
      <c r="AN100" s="454"/>
      <c r="AO100" s="454"/>
      <c r="AP100" s="454"/>
      <c r="AQ100" s="454"/>
      <c r="AR100" s="454"/>
      <c r="AS100" s="454"/>
      <c r="AT100" s="454"/>
      <c r="AU100" s="454"/>
      <c r="AV100" s="454"/>
      <c r="AW100" s="454"/>
      <c r="AX100" s="454"/>
      <c r="AY100" s="460"/>
      <c r="AZ100" s="487" t="s">
        <v>52</v>
      </c>
    </row>
    <row r="101" spans="2:52" ht="13.5" customHeight="1" thickTop="1" thickBot="1">
      <c r="B101" s="670"/>
      <c r="C101" s="685"/>
      <c r="D101" s="670"/>
      <c r="E101" s="462" t="s">
        <v>210</v>
      </c>
      <c r="F101" s="12"/>
      <c r="G101" s="454"/>
      <c r="H101" s="454"/>
      <c r="I101" s="454"/>
      <c r="J101" s="454"/>
      <c r="K101" s="454"/>
      <c r="L101" s="454"/>
      <c r="M101" s="454"/>
      <c r="N101" s="454"/>
      <c r="O101" s="454"/>
      <c r="P101" s="454"/>
      <c r="Q101" s="454"/>
      <c r="R101" s="454"/>
      <c r="S101" s="454"/>
      <c r="T101" s="454"/>
      <c r="U101" s="454"/>
      <c r="V101" s="454"/>
      <c r="W101" s="454"/>
      <c r="X101" s="454"/>
      <c r="Y101" s="454"/>
      <c r="Z101" s="667">
        <f>ROUNDDOWN(Z100*78/1100,0)</f>
        <v>587461376</v>
      </c>
      <c r="AA101" s="668"/>
      <c r="AB101" s="668"/>
      <c r="AC101" s="668"/>
      <c r="AD101" s="668"/>
      <c r="AE101" s="669"/>
      <c r="AF101" s="482" t="s">
        <v>813</v>
      </c>
      <c r="AG101" s="483" t="s">
        <v>814</v>
      </c>
      <c r="AH101" s="454"/>
      <c r="AI101" s="454"/>
      <c r="AJ101" s="454"/>
      <c r="AK101" s="454"/>
      <c r="AL101" s="454"/>
      <c r="AM101" s="454"/>
      <c r="AN101" s="454"/>
      <c r="AO101" s="454"/>
      <c r="AP101" s="454"/>
      <c r="AQ101" s="454"/>
      <c r="AR101" s="454"/>
      <c r="AS101" s="454"/>
      <c r="AT101" s="454"/>
      <c r="AU101" s="454"/>
      <c r="AV101" s="454"/>
      <c r="AW101" s="454"/>
      <c r="AX101" s="454"/>
      <c r="AY101" s="460"/>
      <c r="AZ101" s="487" t="s">
        <v>190</v>
      </c>
    </row>
    <row r="102" spans="2:52" ht="13.5" customHeight="1" thickTop="1" thickBot="1">
      <c r="B102" s="670"/>
      <c r="C102" s="685"/>
      <c r="D102" s="670"/>
      <c r="E102" s="462"/>
      <c r="F102" s="12"/>
      <c r="G102" s="454"/>
      <c r="H102" s="454"/>
      <c r="I102" s="454"/>
      <c r="J102" s="454"/>
      <c r="K102" s="454"/>
      <c r="L102" s="454"/>
      <c r="M102" s="454"/>
      <c r="N102" s="454"/>
      <c r="O102" s="454"/>
      <c r="P102" s="454"/>
      <c r="Q102" s="454"/>
      <c r="R102" s="454"/>
      <c r="S102" s="454"/>
      <c r="T102" s="454"/>
      <c r="U102" s="454"/>
      <c r="V102" s="454"/>
      <c r="W102" s="454"/>
      <c r="X102" s="454"/>
      <c r="Y102" s="454"/>
      <c r="Z102" s="454"/>
      <c r="AA102" s="454"/>
      <c r="AB102" s="454"/>
      <c r="AC102" s="454"/>
      <c r="AD102" s="454"/>
      <c r="AE102" s="454"/>
      <c r="AF102" s="454"/>
      <c r="AG102" s="454"/>
      <c r="AH102" s="454"/>
      <c r="AI102" s="454"/>
      <c r="AJ102" s="454"/>
      <c r="AK102" s="454"/>
      <c r="AL102" s="454"/>
      <c r="AM102" s="454"/>
      <c r="AN102" s="454"/>
      <c r="AO102" s="454"/>
      <c r="AP102" s="454"/>
      <c r="AQ102" s="454"/>
      <c r="AR102" s="454"/>
      <c r="AS102" s="454"/>
      <c r="AT102" s="454"/>
      <c r="AU102" s="454"/>
      <c r="AV102" s="454"/>
      <c r="AW102" s="454"/>
      <c r="AX102" s="454"/>
      <c r="AY102" s="460"/>
      <c r="AZ102" s="487"/>
    </row>
    <row r="103" spans="2:52" ht="13.5" customHeight="1" thickTop="1" thickBot="1">
      <c r="B103" s="670"/>
      <c r="C103" s="685"/>
      <c r="D103" s="670"/>
      <c r="E103" s="689" t="s">
        <v>65</v>
      </c>
      <c r="F103" s="678"/>
      <c r="G103" s="678"/>
      <c r="H103" s="678"/>
      <c r="I103" s="678"/>
      <c r="J103" s="678"/>
      <c r="K103" s="678"/>
      <c r="L103" s="678"/>
      <c r="M103" s="678"/>
      <c r="N103" s="678"/>
      <c r="O103" s="678"/>
      <c r="P103" s="678"/>
      <c r="Q103" s="678"/>
      <c r="R103" s="678"/>
      <c r="S103" s="454"/>
      <c r="T103" s="454"/>
      <c r="U103" s="454"/>
      <c r="V103" s="454"/>
      <c r="W103" s="454"/>
      <c r="X103" s="454"/>
      <c r="Y103" s="454"/>
      <c r="Z103" s="667">
        <f>'(申)計'!R36</f>
        <v>18871966907</v>
      </c>
      <c r="AA103" s="668"/>
      <c r="AB103" s="668"/>
      <c r="AC103" s="668"/>
      <c r="AD103" s="668"/>
      <c r="AE103" s="669"/>
      <c r="AF103" s="454"/>
      <c r="AG103" s="678" t="s">
        <v>64</v>
      </c>
      <c r="AH103" s="455" t="s">
        <v>63</v>
      </c>
      <c r="AI103" s="454"/>
      <c r="AJ103" s="454"/>
      <c r="AK103" s="454"/>
      <c r="AL103" s="454"/>
      <c r="AM103" s="454"/>
      <c r="AN103" s="454"/>
      <c r="AO103" s="454"/>
      <c r="AP103" s="454"/>
      <c r="AQ103" s="454"/>
      <c r="AR103" s="454"/>
      <c r="AS103" s="454"/>
      <c r="AT103" s="454"/>
      <c r="AU103" s="454"/>
      <c r="AV103" s="454"/>
      <c r="AW103" s="454"/>
      <c r="AX103" s="454"/>
      <c r="AY103" s="460"/>
      <c r="AZ103" s="666" t="s">
        <v>44</v>
      </c>
    </row>
    <row r="104" spans="2:52" ht="3" customHeight="1" thickTop="1">
      <c r="B104" s="670"/>
      <c r="C104" s="685"/>
      <c r="D104" s="670"/>
      <c r="E104" s="689"/>
      <c r="F104" s="678"/>
      <c r="G104" s="678"/>
      <c r="H104" s="678"/>
      <c r="I104" s="678"/>
      <c r="J104" s="678"/>
      <c r="K104" s="678"/>
      <c r="L104" s="678"/>
      <c r="M104" s="678"/>
      <c r="N104" s="678"/>
      <c r="O104" s="678"/>
      <c r="P104" s="678"/>
      <c r="Q104" s="678"/>
      <c r="R104" s="678"/>
      <c r="S104" s="454"/>
      <c r="T104" s="454"/>
      <c r="U104" s="454"/>
      <c r="V104" s="454"/>
      <c r="W104" s="454"/>
      <c r="X104" s="454"/>
      <c r="Y104" s="466"/>
      <c r="Z104" s="466"/>
      <c r="AA104" s="466"/>
      <c r="AB104" s="466"/>
      <c r="AC104" s="466"/>
      <c r="AD104" s="466"/>
      <c r="AE104" s="466"/>
      <c r="AF104" s="466"/>
      <c r="AG104" s="678"/>
      <c r="AH104" s="454"/>
      <c r="AI104" s="454"/>
      <c r="AJ104" s="454"/>
      <c r="AK104" s="454"/>
      <c r="AL104" s="454"/>
      <c r="AM104" s="454"/>
      <c r="AN104" s="454"/>
      <c r="AO104" s="454"/>
      <c r="AP104" s="454"/>
      <c r="AQ104" s="454"/>
      <c r="AR104" s="454"/>
      <c r="AS104" s="454"/>
      <c r="AT104" s="454"/>
      <c r="AU104" s="454"/>
      <c r="AV104" s="454"/>
      <c r="AW104" s="454"/>
      <c r="AX104" s="454"/>
      <c r="AY104" s="460"/>
      <c r="AZ104" s="666"/>
    </row>
    <row r="105" spans="2:52" ht="3" customHeight="1" thickBot="1">
      <c r="B105" s="670"/>
      <c r="C105" s="685"/>
      <c r="D105" s="670"/>
      <c r="E105" s="689"/>
      <c r="F105" s="678"/>
      <c r="G105" s="678"/>
      <c r="H105" s="678"/>
      <c r="I105" s="678"/>
      <c r="J105" s="678"/>
      <c r="K105" s="678"/>
      <c r="L105" s="678"/>
      <c r="M105" s="678"/>
      <c r="N105" s="678"/>
      <c r="O105" s="678"/>
      <c r="P105" s="678"/>
      <c r="Q105" s="678"/>
      <c r="R105" s="678"/>
      <c r="S105" s="454"/>
      <c r="T105" s="454"/>
      <c r="U105" s="454"/>
      <c r="V105" s="454"/>
      <c r="W105" s="454"/>
      <c r="X105" s="454"/>
      <c r="Y105" s="454"/>
      <c r="Z105" s="454"/>
      <c r="AA105" s="454"/>
      <c r="AB105" s="454"/>
      <c r="AC105" s="454"/>
      <c r="AD105" s="454"/>
      <c r="AE105" s="454"/>
      <c r="AF105" s="454"/>
      <c r="AG105" s="678"/>
      <c r="AH105" s="454"/>
      <c r="AI105" s="454"/>
      <c r="AJ105" s="454"/>
      <c r="AK105" s="454"/>
      <c r="AL105" s="454"/>
      <c r="AM105" s="454"/>
      <c r="AN105" s="454"/>
      <c r="AO105" s="454"/>
      <c r="AP105" s="454"/>
      <c r="AQ105" s="454"/>
      <c r="AR105" s="454"/>
      <c r="AS105" s="454"/>
      <c r="AT105" s="454"/>
      <c r="AU105" s="454"/>
      <c r="AV105" s="454"/>
      <c r="AW105" s="454"/>
      <c r="AX105" s="454"/>
      <c r="AY105" s="460"/>
      <c r="AZ105" s="666"/>
    </row>
    <row r="106" spans="2:52" ht="13.5" customHeight="1" thickTop="1" thickBot="1">
      <c r="B106" s="670"/>
      <c r="C106" s="685"/>
      <c r="D106" s="670"/>
      <c r="E106" s="689"/>
      <c r="F106" s="678"/>
      <c r="G106" s="678"/>
      <c r="H106" s="678"/>
      <c r="I106" s="678"/>
      <c r="J106" s="678"/>
      <c r="K106" s="678"/>
      <c r="L106" s="678"/>
      <c r="M106" s="678"/>
      <c r="N106" s="678"/>
      <c r="O106" s="678"/>
      <c r="P106" s="678"/>
      <c r="Q106" s="678"/>
      <c r="R106" s="678"/>
      <c r="S106" s="454"/>
      <c r="T106" s="454"/>
      <c r="U106" s="454"/>
      <c r="V106" s="454"/>
      <c r="W106" s="454"/>
      <c r="X106" s="454"/>
      <c r="Y106" s="454"/>
      <c r="Z106" s="667">
        <f>'(申)計'!R40</f>
        <v>18940559860</v>
      </c>
      <c r="AA106" s="668"/>
      <c r="AB106" s="668"/>
      <c r="AC106" s="668"/>
      <c r="AD106" s="668"/>
      <c r="AE106" s="669"/>
      <c r="AF106" s="454"/>
      <c r="AG106" s="678"/>
      <c r="AH106" s="455" t="s">
        <v>61</v>
      </c>
      <c r="AI106" s="454"/>
      <c r="AJ106" s="454"/>
      <c r="AK106" s="454"/>
      <c r="AL106" s="454"/>
      <c r="AM106" s="454"/>
      <c r="AN106" s="454"/>
      <c r="AO106" s="454"/>
      <c r="AP106" s="454"/>
      <c r="AQ106" s="454"/>
      <c r="AR106" s="454"/>
      <c r="AS106" s="454"/>
      <c r="AT106" s="454"/>
      <c r="AU106" s="454"/>
      <c r="AV106" s="454"/>
      <c r="AW106" s="454"/>
      <c r="AX106" s="454"/>
      <c r="AY106" s="460"/>
      <c r="AZ106" s="666"/>
    </row>
    <row r="107" spans="2:52" ht="13.5" customHeight="1" thickTop="1" thickBot="1">
      <c r="B107" s="670"/>
      <c r="C107" s="685"/>
      <c r="D107" s="670"/>
      <c r="E107" s="462"/>
      <c r="F107" s="12"/>
      <c r="G107" s="454"/>
      <c r="H107" s="454"/>
      <c r="I107" s="454"/>
      <c r="J107" s="454"/>
      <c r="K107" s="454"/>
      <c r="L107" s="454"/>
      <c r="M107" s="454"/>
      <c r="N107" s="454"/>
      <c r="O107" s="454"/>
      <c r="P107" s="454"/>
      <c r="Q107" s="454"/>
      <c r="R107" s="454"/>
      <c r="S107" s="454"/>
      <c r="T107" s="454"/>
      <c r="U107" s="454"/>
      <c r="V107" s="454"/>
      <c r="W107" s="454"/>
      <c r="X107" s="454"/>
      <c r="Y107" s="454"/>
      <c r="Z107" s="454"/>
      <c r="AA107" s="454"/>
      <c r="AB107" s="454"/>
      <c r="AC107" s="454"/>
      <c r="AD107" s="454"/>
      <c r="AE107" s="454"/>
      <c r="AF107" s="454"/>
      <c r="AG107" s="454"/>
      <c r="AH107" s="454"/>
      <c r="AI107" s="454"/>
      <c r="AJ107" s="454"/>
      <c r="AK107" s="454"/>
      <c r="AL107" s="454"/>
      <c r="AM107" s="454"/>
      <c r="AN107" s="454"/>
      <c r="AO107" s="454"/>
      <c r="AP107" s="454"/>
      <c r="AQ107" s="454"/>
      <c r="AR107" s="454"/>
      <c r="AS107" s="454"/>
      <c r="AT107" s="454"/>
      <c r="AU107" s="454"/>
      <c r="AV107" s="454"/>
      <c r="AW107" s="454"/>
      <c r="AX107" s="454"/>
      <c r="AY107" s="460"/>
      <c r="AZ107" s="487"/>
    </row>
    <row r="108" spans="2:52" ht="13.5" customHeight="1" thickTop="1" thickBot="1">
      <c r="B108" s="670"/>
      <c r="C108" s="685"/>
      <c r="D108" s="670"/>
      <c r="E108" s="462" t="s">
        <v>60</v>
      </c>
      <c r="F108" s="12"/>
      <c r="G108" s="454"/>
      <c r="H108" s="454"/>
      <c r="I108" s="454"/>
      <c r="J108" s="454"/>
      <c r="K108" s="454"/>
      <c r="L108" s="454"/>
      <c r="M108" s="454"/>
      <c r="N108" s="454"/>
      <c r="O108" s="454"/>
      <c r="P108" s="454"/>
      <c r="Q108" s="454"/>
      <c r="R108" s="454"/>
      <c r="S108" s="454"/>
      <c r="T108" s="454"/>
      <c r="U108" s="454"/>
      <c r="V108" s="454"/>
      <c r="W108" s="454"/>
      <c r="X108" s="454"/>
      <c r="Y108" s="454"/>
      <c r="Z108" s="667">
        <f>ROUNDDOWN(Z101*Z103/Z106,0)</f>
        <v>585333893</v>
      </c>
      <c r="AA108" s="668"/>
      <c r="AB108" s="668"/>
      <c r="AC108" s="668"/>
      <c r="AD108" s="668"/>
      <c r="AE108" s="669"/>
      <c r="AF108" s="454" t="s">
        <v>59</v>
      </c>
      <c r="AG108" s="455" t="s">
        <v>58</v>
      </c>
      <c r="AH108" s="454"/>
      <c r="AI108" s="454"/>
      <c r="AJ108" s="454"/>
      <c r="AK108" s="454"/>
      <c r="AL108" s="454"/>
      <c r="AM108" s="454"/>
      <c r="AN108" s="454"/>
      <c r="AO108" s="454"/>
      <c r="AP108" s="454"/>
      <c r="AQ108" s="454"/>
      <c r="AR108" s="454"/>
      <c r="AS108" s="454"/>
      <c r="AT108" s="454"/>
      <c r="AU108" s="454"/>
      <c r="AV108" s="454"/>
      <c r="AW108" s="454"/>
      <c r="AX108" s="454"/>
      <c r="AY108" s="460"/>
      <c r="AZ108" s="487" t="s">
        <v>846</v>
      </c>
    </row>
    <row r="109" spans="2:52" ht="13.5" customHeight="1" thickTop="1">
      <c r="B109" s="670"/>
      <c r="C109" s="685"/>
      <c r="D109" s="670"/>
      <c r="E109" s="462"/>
      <c r="F109" s="12"/>
      <c r="G109" s="454"/>
      <c r="H109" s="454"/>
      <c r="I109" s="454"/>
      <c r="J109" s="454"/>
      <c r="K109" s="454"/>
      <c r="L109" s="454"/>
      <c r="M109" s="454"/>
      <c r="N109" s="454"/>
      <c r="O109" s="454"/>
      <c r="P109" s="454"/>
      <c r="Q109" s="454"/>
      <c r="R109" s="454"/>
      <c r="S109" s="454"/>
      <c r="T109" s="454"/>
      <c r="U109" s="454"/>
      <c r="V109" s="454"/>
      <c r="W109" s="454"/>
      <c r="X109" s="454"/>
      <c r="Y109" s="454"/>
      <c r="Z109" s="454"/>
      <c r="AA109" s="454"/>
      <c r="AB109" s="454"/>
      <c r="AC109" s="454"/>
      <c r="AD109" s="454"/>
      <c r="AE109" s="454"/>
      <c r="AF109" s="454"/>
      <c r="AG109" s="454"/>
      <c r="AH109" s="454"/>
      <c r="AI109" s="454"/>
      <c r="AJ109" s="454"/>
      <c r="AK109" s="454"/>
      <c r="AL109" s="454"/>
      <c r="AM109" s="454"/>
      <c r="AN109" s="454"/>
      <c r="AO109" s="454"/>
      <c r="AP109" s="454"/>
      <c r="AQ109" s="454"/>
      <c r="AR109" s="454"/>
      <c r="AS109" s="454"/>
      <c r="AT109" s="454"/>
      <c r="AU109" s="454"/>
      <c r="AV109" s="454"/>
      <c r="AW109" s="454"/>
      <c r="AX109" s="454"/>
      <c r="AY109" s="460"/>
      <c r="AZ109" s="487"/>
    </row>
    <row r="110" spans="2:52" ht="13.5" customHeight="1" thickBot="1">
      <c r="B110" s="670"/>
      <c r="C110" s="685"/>
      <c r="D110" s="670"/>
      <c r="E110" s="462" t="s">
        <v>56</v>
      </c>
      <c r="F110" s="12"/>
      <c r="G110" s="454"/>
      <c r="H110" s="454"/>
      <c r="I110" s="454"/>
      <c r="J110" s="454"/>
      <c r="K110" s="454"/>
      <c r="L110" s="454"/>
      <c r="M110" s="454"/>
      <c r="N110" s="454"/>
      <c r="O110" s="454"/>
      <c r="P110" s="454"/>
      <c r="Q110" s="454"/>
      <c r="R110" s="454"/>
      <c r="S110" s="454"/>
      <c r="T110" s="454"/>
      <c r="U110" s="454"/>
      <c r="V110" s="454"/>
      <c r="W110" s="454"/>
      <c r="X110" s="454"/>
      <c r="Y110" s="454"/>
      <c r="Z110" s="454"/>
      <c r="AA110" s="454"/>
      <c r="AB110" s="454"/>
      <c r="AC110" s="454"/>
      <c r="AD110" s="454"/>
      <c r="AE110" s="454"/>
      <c r="AF110" s="454"/>
      <c r="AG110" s="454"/>
      <c r="AH110" s="454"/>
      <c r="AI110" s="454"/>
      <c r="AJ110" s="454"/>
      <c r="AK110" s="454"/>
      <c r="AL110" s="454"/>
      <c r="AM110" s="454"/>
      <c r="AN110" s="454"/>
      <c r="AO110" s="454"/>
      <c r="AP110" s="454"/>
      <c r="AQ110" s="454"/>
      <c r="AR110" s="454"/>
      <c r="AS110" s="454"/>
      <c r="AT110" s="454"/>
      <c r="AU110" s="454"/>
      <c r="AV110" s="454"/>
      <c r="AW110" s="454"/>
      <c r="AX110" s="454"/>
      <c r="AY110" s="460"/>
      <c r="AZ110" s="487"/>
    </row>
    <row r="111" spans="2:52" ht="13.5" customHeight="1" thickTop="1" thickBot="1">
      <c r="B111" s="670"/>
      <c r="C111" s="685"/>
      <c r="D111" s="670"/>
      <c r="E111" s="462"/>
      <c r="F111" s="12" t="s">
        <v>194</v>
      </c>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667">
        <f>Z98-Z108</f>
        <v>1207462349</v>
      </c>
      <c r="AD111" s="668"/>
      <c r="AE111" s="668"/>
      <c r="AF111" s="668"/>
      <c r="AG111" s="668"/>
      <c r="AH111" s="669"/>
      <c r="AI111" s="454" t="s">
        <v>54</v>
      </c>
      <c r="AJ111" s="455" t="s">
        <v>53</v>
      </c>
      <c r="AK111" s="454"/>
      <c r="AL111" s="454"/>
      <c r="AM111" s="454"/>
      <c r="AN111" s="454"/>
      <c r="AO111" s="454"/>
      <c r="AP111" s="454"/>
      <c r="AQ111" s="454"/>
      <c r="AR111" s="454"/>
      <c r="AS111" s="454"/>
      <c r="AT111" s="454"/>
      <c r="AU111" s="454"/>
      <c r="AV111" s="454"/>
      <c r="AW111" s="454"/>
      <c r="AX111" s="454"/>
      <c r="AY111" s="460"/>
      <c r="AZ111" s="487" t="s">
        <v>847</v>
      </c>
    </row>
    <row r="112" spans="2:52" ht="13.5" customHeight="1" thickTop="1" thickBot="1">
      <c r="B112" s="670"/>
      <c r="C112" s="685"/>
      <c r="D112" s="670"/>
      <c r="E112" s="462"/>
      <c r="F112" s="12"/>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454"/>
      <c r="AD112" s="454"/>
      <c r="AE112" s="454"/>
      <c r="AF112" s="454"/>
      <c r="AG112" s="454"/>
      <c r="AH112" s="454"/>
      <c r="AI112" s="454"/>
      <c r="AJ112" s="454"/>
      <c r="AK112" s="454"/>
      <c r="AL112" s="454"/>
      <c r="AM112" s="454"/>
      <c r="AN112" s="454"/>
      <c r="AO112" s="454"/>
      <c r="AP112" s="454"/>
      <c r="AQ112" s="454"/>
      <c r="AR112" s="454"/>
      <c r="AS112" s="454"/>
      <c r="AT112" s="454"/>
      <c r="AU112" s="454"/>
      <c r="AV112" s="454"/>
      <c r="AW112" s="454"/>
      <c r="AX112" s="454"/>
      <c r="AY112" s="460"/>
      <c r="AZ112" s="487"/>
    </row>
    <row r="113" spans="2:52" ht="13.5" customHeight="1" thickTop="1" thickBot="1">
      <c r="B113" s="670"/>
      <c r="C113" s="685"/>
      <c r="D113" s="670"/>
      <c r="E113" s="462"/>
      <c r="F113" s="678" t="s">
        <v>51</v>
      </c>
      <c r="G113" s="678"/>
      <c r="H113" s="678"/>
      <c r="I113" s="678"/>
      <c r="J113" s="678"/>
      <c r="K113" s="678"/>
      <c r="L113" s="678"/>
      <c r="M113" s="678"/>
      <c r="N113" s="678"/>
      <c r="O113" s="678"/>
      <c r="P113" s="678"/>
      <c r="Q113" s="678"/>
      <c r="R113" s="678"/>
      <c r="S113" s="678"/>
      <c r="T113" s="454"/>
      <c r="U113" s="454"/>
      <c r="V113" s="454"/>
      <c r="W113" s="454"/>
      <c r="X113" s="454"/>
      <c r="Y113" s="454"/>
      <c r="Z113" s="454"/>
      <c r="AA113" s="675">
        <f>'(申)計'!AA113</f>
        <v>0</v>
      </c>
      <c r="AB113" s="676"/>
      <c r="AC113" s="676"/>
      <c r="AD113" s="676"/>
      <c r="AE113" s="676"/>
      <c r="AF113" s="677"/>
      <c r="AG113" s="454"/>
      <c r="AH113" s="678" t="s">
        <v>50</v>
      </c>
      <c r="AI113" s="679" t="s">
        <v>49</v>
      </c>
      <c r="AJ113" s="679"/>
      <c r="AK113" s="679"/>
      <c r="AL113" s="679"/>
      <c r="AM113" s="679"/>
      <c r="AN113" s="679"/>
      <c r="AO113" s="679"/>
      <c r="AP113" s="679"/>
      <c r="AQ113" s="679"/>
      <c r="AR113" s="454"/>
      <c r="AS113" s="454"/>
      <c r="AT113" s="454"/>
      <c r="AU113" s="454"/>
      <c r="AV113" s="454"/>
      <c r="AW113" s="454"/>
      <c r="AX113" s="454"/>
      <c r="AY113" s="460"/>
      <c r="AZ113" s="666" t="s">
        <v>848</v>
      </c>
    </row>
    <row r="114" spans="2:52" ht="3" customHeight="1" thickTop="1">
      <c r="B114" s="670"/>
      <c r="C114" s="685"/>
      <c r="D114" s="670"/>
      <c r="E114" s="462"/>
      <c r="F114" s="678"/>
      <c r="G114" s="678"/>
      <c r="H114" s="678"/>
      <c r="I114" s="678"/>
      <c r="J114" s="678"/>
      <c r="K114" s="678"/>
      <c r="L114" s="678"/>
      <c r="M114" s="678"/>
      <c r="N114" s="678"/>
      <c r="O114" s="678"/>
      <c r="P114" s="678"/>
      <c r="Q114" s="678"/>
      <c r="R114" s="678"/>
      <c r="S114" s="678"/>
      <c r="T114" s="454"/>
      <c r="U114" s="454"/>
      <c r="V114" s="454"/>
      <c r="W114" s="454"/>
      <c r="X114" s="454"/>
      <c r="Y114" s="454"/>
      <c r="Z114" s="466"/>
      <c r="AA114" s="466"/>
      <c r="AB114" s="466"/>
      <c r="AC114" s="466"/>
      <c r="AD114" s="466"/>
      <c r="AE114" s="466"/>
      <c r="AF114" s="466"/>
      <c r="AG114" s="466"/>
      <c r="AH114" s="678"/>
      <c r="AI114" s="679"/>
      <c r="AJ114" s="679"/>
      <c r="AK114" s="679"/>
      <c r="AL114" s="679"/>
      <c r="AM114" s="679"/>
      <c r="AN114" s="679"/>
      <c r="AO114" s="679"/>
      <c r="AP114" s="679"/>
      <c r="AQ114" s="679"/>
      <c r="AR114" s="454"/>
      <c r="AS114" s="454"/>
      <c r="AT114" s="454"/>
      <c r="AU114" s="454"/>
      <c r="AV114" s="454"/>
      <c r="AW114" s="454"/>
      <c r="AX114" s="454"/>
      <c r="AY114" s="460"/>
      <c r="AZ114" s="666"/>
    </row>
    <row r="115" spans="2:52" ht="3" customHeight="1" thickBot="1">
      <c r="B115" s="670"/>
      <c r="C115" s="685"/>
      <c r="D115" s="670"/>
      <c r="E115" s="462"/>
      <c r="F115" s="678"/>
      <c r="G115" s="678"/>
      <c r="H115" s="678"/>
      <c r="I115" s="678"/>
      <c r="J115" s="678"/>
      <c r="K115" s="678"/>
      <c r="L115" s="678"/>
      <c r="M115" s="678"/>
      <c r="N115" s="678"/>
      <c r="O115" s="678"/>
      <c r="P115" s="678"/>
      <c r="Q115" s="678"/>
      <c r="R115" s="678"/>
      <c r="S115" s="678"/>
      <c r="T115" s="454"/>
      <c r="U115" s="454"/>
      <c r="V115" s="454"/>
      <c r="W115" s="454"/>
      <c r="X115" s="454"/>
      <c r="Y115" s="454"/>
      <c r="Z115" s="454"/>
      <c r="AA115" s="454"/>
      <c r="AB115" s="454"/>
      <c r="AC115" s="454"/>
      <c r="AD115" s="454"/>
      <c r="AE115" s="454"/>
      <c r="AF115" s="454"/>
      <c r="AG115" s="454"/>
      <c r="AH115" s="678"/>
      <c r="AI115" s="679"/>
      <c r="AJ115" s="679"/>
      <c r="AK115" s="679"/>
      <c r="AL115" s="679"/>
      <c r="AM115" s="679"/>
      <c r="AN115" s="679"/>
      <c r="AO115" s="679"/>
      <c r="AP115" s="679"/>
      <c r="AQ115" s="679"/>
      <c r="AR115" s="454"/>
      <c r="AS115" s="454"/>
      <c r="AT115" s="454"/>
      <c r="AU115" s="454"/>
      <c r="AV115" s="454"/>
      <c r="AW115" s="454"/>
      <c r="AX115" s="454"/>
      <c r="AY115" s="460"/>
      <c r="AZ115" s="666"/>
    </row>
    <row r="116" spans="2:52" ht="13.5" customHeight="1" thickTop="1" thickBot="1">
      <c r="B116" s="670"/>
      <c r="C116" s="685"/>
      <c r="D116" s="670"/>
      <c r="E116" s="462"/>
      <c r="F116" s="678"/>
      <c r="G116" s="678"/>
      <c r="H116" s="678"/>
      <c r="I116" s="678"/>
      <c r="J116" s="678"/>
      <c r="K116" s="678"/>
      <c r="L116" s="678"/>
      <c r="M116" s="678"/>
      <c r="N116" s="678"/>
      <c r="O116" s="678"/>
      <c r="P116" s="678"/>
      <c r="Q116" s="678"/>
      <c r="R116" s="678"/>
      <c r="S116" s="678"/>
      <c r="T116" s="454"/>
      <c r="U116" s="454"/>
      <c r="V116" s="454"/>
      <c r="W116" s="454"/>
      <c r="X116" s="454"/>
      <c r="Y116" s="454"/>
      <c r="Z116" s="454"/>
      <c r="AA116" s="667">
        <f>'(申)計'!AA116</f>
        <v>18950268779</v>
      </c>
      <c r="AB116" s="668"/>
      <c r="AC116" s="668"/>
      <c r="AD116" s="668"/>
      <c r="AE116" s="668"/>
      <c r="AF116" s="669"/>
      <c r="AG116" s="454"/>
      <c r="AH116" s="678"/>
      <c r="AI116" s="679"/>
      <c r="AJ116" s="679"/>
      <c r="AK116" s="679"/>
      <c r="AL116" s="679"/>
      <c r="AM116" s="679"/>
      <c r="AN116" s="679"/>
      <c r="AO116" s="679"/>
      <c r="AP116" s="679"/>
      <c r="AQ116" s="679"/>
      <c r="AR116" s="454"/>
      <c r="AS116" s="454"/>
      <c r="AT116" s="454"/>
      <c r="AU116" s="454"/>
      <c r="AV116" s="454"/>
      <c r="AW116" s="454"/>
      <c r="AX116" s="454"/>
      <c r="AY116" s="460"/>
      <c r="AZ116" s="666"/>
    </row>
    <row r="117" spans="2:52" ht="13.5" customHeight="1" thickTop="1" thickBot="1">
      <c r="B117" s="670"/>
      <c r="C117" s="685"/>
      <c r="D117" s="670"/>
      <c r="E117" s="462"/>
      <c r="F117" s="12"/>
      <c r="G117" s="454"/>
      <c r="H117" s="454"/>
      <c r="I117" s="454"/>
      <c r="J117" s="454"/>
      <c r="K117" s="454"/>
      <c r="L117" s="454"/>
      <c r="M117" s="454"/>
      <c r="N117" s="454"/>
      <c r="O117" s="454"/>
      <c r="P117" s="454"/>
      <c r="Q117" s="454"/>
      <c r="R117" s="454"/>
      <c r="S117" s="454"/>
      <c r="T117" s="454"/>
      <c r="U117" s="454"/>
      <c r="V117" s="454"/>
      <c r="W117" s="454"/>
      <c r="X117" s="454"/>
      <c r="Y117" s="454"/>
      <c r="Z117" s="454"/>
      <c r="AA117" s="454"/>
      <c r="AB117" s="454"/>
      <c r="AC117" s="454"/>
      <c r="AD117" s="454"/>
      <c r="AE117" s="454"/>
      <c r="AF117" s="454"/>
      <c r="AG117" s="454"/>
      <c r="AH117" s="454"/>
      <c r="AI117" s="454"/>
      <c r="AJ117" s="454"/>
      <c r="AK117" s="454"/>
      <c r="AL117" s="454"/>
      <c r="AM117" s="454"/>
      <c r="AN117" s="454"/>
      <c r="AO117" s="454"/>
      <c r="AP117" s="454"/>
      <c r="AQ117" s="454"/>
      <c r="AR117" s="454"/>
      <c r="AS117" s="454"/>
      <c r="AT117" s="454"/>
      <c r="AU117" s="454"/>
      <c r="AV117" s="454"/>
      <c r="AW117" s="454"/>
      <c r="AX117" s="454"/>
      <c r="AY117" s="460"/>
      <c r="AZ117" s="487"/>
    </row>
    <row r="118" spans="2:52" ht="13.5" customHeight="1" thickTop="1" thickBot="1">
      <c r="B118" s="670"/>
      <c r="C118" s="685"/>
      <c r="D118" s="670"/>
      <c r="E118" s="462"/>
      <c r="F118" s="454" t="s">
        <v>47</v>
      </c>
      <c r="G118" s="454"/>
      <c r="H118" s="454"/>
      <c r="I118" s="454"/>
      <c r="J118" s="454"/>
      <c r="K118" s="454"/>
      <c r="L118" s="454"/>
      <c r="M118" s="454"/>
      <c r="N118" s="454"/>
      <c r="O118" s="454"/>
      <c r="P118" s="454"/>
      <c r="Q118" s="454"/>
      <c r="R118" s="454"/>
      <c r="S118" s="454"/>
      <c r="T118" s="454"/>
      <c r="U118" s="454"/>
      <c r="V118" s="454"/>
      <c r="W118" s="454"/>
      <c r="X118" s="454"/>
      <c r="Y118" s="454"/>
      <c r="Z118" s="454"/>
      <c r="AA118" s="667">
        <f>ROUNDDOWN(AC111*AA113/AA116,0)</f>
        <v>0</v>
      </c>
      <c r="AB118" s="668"/>
      <c r="AC118" s="668"/>
      <c r="AD118" s="668"/>
      <c r="AE118" s="668"/>
      <c r="AF118" s="669"/>
      <c r="AG118" s="454" t="s">
        <v>46</v>
      </c>
      <c r="AH118" s="455" t="s">
        <v>45</v>
      </c>
      <c r="AI118" s="454"/>
      <c r="AJ118" s="454"/>
      <c r="AK118" s="454"/>
      <c r="AL118" s="454"/>
      <c r="AM118" s="454"/>
      <c r="AN118" s="454"/>
      <c r="AO118" s="454"/>
      <c r="AP118" s="454"/>
      <c r="AQ118" s="454"/>
      <c r="AR118" s="454"/>
      <c r="AS118" s="454"/>
      <c r="AT118" s="454"/>
      <c r="AU118" s="454"/>
      <c r="AV118" s="454"/>
      <c r="AW118" s="454"/>
      <c r="AX118" s="454"/>
      <c r="AY118" s="460"/>
      <c r="AZ118" s="487" t="s">
        <v>849</v>
      </c>
    </row>
    <row r="119" spans="2:52" ht="13.5" customHeight="1" thickTop="1" thickBot="1">
      <c r="B119" s="670"/>
      <c r="C119" s="685"/>
      <c r="D119" s="670"/>
      <c r="E119" s="462"/>
      <c r="F119" s="12"/>
      <c r="G119" s="454"/>
      <c r="H119" s="454"/>
      <c r="I119" s="454"/>
      <c r="J119" s="454"/>
      <c r="K119" s="454"/>
      <c r="L119" s="454"/>
      <c r="M119" s="454"/>
      <c r="N119" s="454"/>
      <c r="O119" s="454"/>
      <c r="P119" s="454"/>
      <c r="Q119" s="454"/>
      <c r="R119" s="454"/>
      <c r="S119" s="454"/>
      <c r="T119" s="454"/>
      <c r="U119" s="454"/>
      <c r="V119" s="454"/>
      <c r="W119" s="454"/>
      <c r="X119" s="454"/>
      <c r="Y119" s="454"/>
      <c r="Z119" s="454"/>
      <c r="AA119" s="454"/>
      <c r="AB119" s="454"/>
      <c r="AC119" s="454"/>
      <c r="AD119" s="454"/>
      <c r="AE119" s="454"/>
      <c r="AF119" s="454"/>
      <c r="AG119" s="454"/>
      <c r="AH119" s="454"/>
      <c r="AI119" s="454"/>
      <c r="AJ119" s="454"/>
      <c r="AK119" s="454"/>
      <c r="AL119" s="454"/>
      <c r="AM119" s="454"/>
      <c r="AN119" s="454"/>
      <c r="AO119" s="454"/>
      <c r="AP119" s="454"/>
      <c r="AQ119" s="454"/>
      <c r="AR119" s="454"/>
      <c r="AS119" s="454"/>
      <c r="AT119" s="454"/>
      <c r="AU119" s="454"/>
      <c r="AV119" s="454"/>
      <c r="AW119" s="454"/>
      <c r="AX119" s="454"/>
      <c r="AY119" s="460"/>
      <c r="AZ119" s="487" t="s">
        <v>838</v>
      </c>
    </row>
    <row r="120" spans="2:52" ht="13.5" customHeight="1" thickTop="1" thickBot="1">
      <c r="B120" s="670"/>
      <c r="C120" s="685"/>
      <c r="D120" s="670"/>
      <c r="E120" s="462" t="s">
        <v>43</v>
      </c>
      <c r="F120" s="12"/>
      <c r="G120" s="454"/>
      <c r="H120" s="454"/>
      <c r="I120" s="454"/>
      <c r="J120" s="454"/>
      <c r="K120" s="454"/>
      <c r="L120" s="454"/>
      <c r="M120" s="454"/>
      <c r="N120" s="454"/>
      <c r="O120" s="454"/>
      <c r="P120" s="454"/>
      <c r="Q120" s="454"/>
      <c r="R120" s="454"/>
      <c r="S120" s="454"/>
      <c r="T120" s="454"/>
      <c r="U120" s="454"/>
      <c r="V120" s="454"/>
      <c r="W120" s="454"/>
      <c r="X120" s="454"/>
      <c r="Y120" s="454"/>
      <c r="Z120" s="667">
        <f>Z108+AA118</f>
        <v>585333893</v>
      </c>
      <c r="AA120" s="668"/>
      <c r="AB120" s="668"/>
      <c r="AC120" s="668"/>
      <c r="AD120" s="668"/>
      <c r="AE120" s="669"/>
      <c r="AF120" s="454" t="s">
        <v>42</v>
      </c>
      <c r="AG120" s="455" t="s">
        <v>41</v>
      </c>
      <c r="AH120" s="454"/>
      <c r="AI120" s="454"/>
      <c r="AJ120" s="454"/>
      <c r="AK120" s="454"/>
      <c r="AL120" s="454"/>
      <c r="AM120" s="454"/>
      <c r="AN120" s="454"/>
      <c r="AO120" s="454"/>
      <c r="AP120" s="454"/>
      <c r="AQ120" s="454"/>
      <c r="AR120" s="454"/>
      <c r="AS120" s="454"/>
      <c r="AT120" s="454"/>
      <c r="AU120" s="454"/>
      <c r="AV120" s="454"/>
      <c r="AW120" s="454"/>
      <c r="AX120" s="454"/>
      <c r="AY120" s="460"/>
      <c r="AZ120" s="487" t="s">
        <v>846</v>
      </c>
    </row>
    <row r="121" spans="2:52" ht="13.5" customHeight="1" thickTop="1" thickBot="1">
      <c r="B121" s="670"/>
      <c r="C121" s="685"/>
      <c r="D121" s="670"/>
      <c r="E121" s="462"/>
      <c r="F121" s="12"/>
      <c r="G121" s="454"/>
      <c r="H121" s="454"/>
      <c r="I121" s="454"/>
      <c r="J121" s="454"/>
      <c r="K121" s="454"/>
      <c r="L121" s="454"/>
      <c r="M121" s="454"/>
      <c r="N121" s="454"/>
      <c r="O121" s="454"/>
      <c r="P121" s="454"/>
      <c r="Q121" s="454"/>
      <c r="R121" s="454"/>
      <c r="S121" s="454"/>
      <c r="T121" s="454"/>
      <c r="U121" s="454"/>
      <c r="V121" s="454"/>
      <c r="W121" s="454"/>
      <c r="X121" s="454"/>
      <c r="Y121" s="454"/>
      <c r="Z121" s="454"/>
      <c r="AA121" s="454"/>
      <c r="AB121" s="454"/>
      <c r="AC121" s="454"/>
      <c r="AD121" s="454"/>
      <c r="AE121" s="454"/>
      <c r="AF121" s="454"/>
      <c r="AG121" s="454"/>
      <c r="AH121" s="454"/>
      <c r="AI121" s="454"/>
      <c r="AJ121" s="454"/>
      <c r="AK121" s="454"/>
      <c r="AL121" s="454"/>
      <c r="AM121" s="454"/>
      <c r="AN121" s="454"/>
      <c r="AO121" s="454"/>
      <c r="AP121" s="454"/>
      <c r="AQ121" s="454"/>
      <c r="AR121" s="454"/>
      <c r="AS121" s="454"/>
      <c r="AT121" s="454"/>
      <c r="AU121" s="454"/>
      <c r="AV121" s="454"/>
      <c r="AW121" s="454"/>
      <c r="AX121" s="454"/>
      <c r="AY121" s="460"/>
      <c r="AZ121" s="488" t="s">
        <v>840</v>
      </c>
    </row>
    <row r="122" spans="2:52" ht="13.5" customHeight="1" thickTop="1" thickBot="1">
      <c r="B122" s="670"/>
      <c r="C122" s="685"/>
      <c r="D122" s="670"/>
      <c r="E122" s="462" t="s">
        <v>38</v>
      </c>
      <c r="F122" s="12"/>
      <c r="G122" s="454"/>
      <c r="H122" s="454"/>
      <c r="I122" s="454"/>
      <c r="J122" s="454"/>
      <c r="K122" s="454"/>
      <c r="L122" s="454"/>
      <c r="M122" s="454"/>
      <c r="N122" s="454"/>
      <c r="O122" s="454"/>
      <c r="P122" s="454"/>
      <c r="Q122" s="454"/>
      <c r="R122" s="454"/>
      <c r="S122" s="454"/>
      <c r="T122" s="454"/>
      <c r="U122" s="454"/>
      <c r="V122" s="454"/>
      <c r="W122" s="454"/>
      <c r="X122" s="454"/>
      <c r="Y122" s="454"/>
      <c r="Z122" s="667">
        <f>Z98-Z120</f>
        <v>1207462349</v>
      </c>
      <c r="AA122" s="668"/>
      <c r="AB122" s="668"/>
      <c r="AC122" s="668"/>
      <c r="AD122" s="668"/>
      <c r="AE122" s="669"/>
      <c r="AF122" s="454" t="s">
        <v>37</v>
      </c>
      <c r="AG122" s="455" t="s">
        <v>36</v>
      </c>
      <c r="AH122" s="454"/>
      <c r="AI122" s="454"/>
      <c r="AJ122" s="454"/>
      <c r="AK122" s="454"/>
      <c r="AL122" s="454"/>
      <c r="AM122" s="454"/>
      <c r="AN122" s="454"/>
      <c r="AO122" s="454"/>
      <c r="AP122" s="454"/>
      <c r="AQ122" s="454"/>
      <c r="AR122" s="454"/>
      <c r="AS122" s="454"/>
      <c r="AT122" s="454"/>
      <c r="AU122" s="454"/>
      <c r="AV122" s="454"/>
      <c r="AW122" s="454"/>
      <c r="AX122" s="454"/>
      <c r="AY122" s="460"/>
      <c r="AZ122" s="209" t="s">
        <v>842</v>
      </c>
    </row>
    <row r="123" spans="2:52" ht="13.5" customHeight="1" thickTop="1">
      <c r="B123" s="670"/>
      <c r="C123" s="686"/>
      <c r="D123" s="681"/>
      <c r="E123" s="465"/>
      <c r="F123" s="7"/>
      <c r="G123" s="466"/>
      <c r="H123" s="466"/>
      <c r="I123" s="466"/>
      <c r="J123" s="466"/>
      <c r="K123" s="466"/>
      <c r="L123" s="466"/>
      <c r="M123" s="466"/>
      <c r="N123" s="466"/>
      <c r="O123" s="466"/>
      <c r="P123" s="466"/>
      <c r="Q123" s="466"/>
      <c r="R123" s="466"/>
      <c r="S123" s="466"/>
      <c r="T123" s="466"/>
      <c r="U123" s="466"/>
      <c r="V123" s="466"/>
      <c r="W123" s="466"/>
      <c r="X123" s="466"/>
      <c r="Y123" s="466"/>
      <c r="Z123" s="466"/>
      <c r="AA123" s="466"/>
      <c r="AB123" s="466"/>
      <c r="AC123" s="466"/>
      <c r="AD123" s="466"/>
      <c r="AE123" s="466"/>
      <c r="AF123" s="466"/>
      <c r="AG123" s="466"/>
      <c r="AH123" s="466"/>
      <c r="AI123" s="466"/>
      <c r="AJ123" s="466"/>
      <c r="AK123" s="466"/>
      <c r="AL123" s="466"/>
      <c r="AM123" s="466"/>
      <c r="AN123" s="466"/>
      <c r="AO123" s="466"/>
      <c r="AP123" s="466"/>
      <c r="AQ123" s="466"/>
      <c r="AR123" s="466"/>
      <c r="AS123" s="466"/>
      <c r="AT123" s="466"/>
      <c r="AU123" s="466"/>
      <c r="AV123" s="466"/>
      <c r="AW123" s="466"/>
      <c r="AX123" s="466"/>
      <c r="AY123" s="461"/>
      <c r="AZ123" s="215" t="s">
        <v>843</v>
      </c>
    </row>
    <row r="124" spans="2:52" ht="13.5" customHeight="1">
      <c r="B124" s="670"/>
      <c r="C124" s="458"/>
      <c r="D124" s="456"/>
      <c r="E124" s="463"/>
      <c r="F124" s="17"/>
      <c r="G124" s="464"/>
      <c r="H124" s="464"/>
      <c r="I124" s="464"/>
      <c r="J124" s="464"/>
      <c r="K124" s="464"/>
      <c r="L124" s="464"/>
      <c r="M124" s="464"/>
      <c r="N124" s="464"/>
      <c r="O124" s="464"/>
      <c r="P124" s="464"/>
      <c r="Q124" s="464"/>
      <c r="R124" s="464"/>
      <c r="S124" s="464"/>
      <c r="T124" s="464"/>
      <c r="U124" s="464"/>
      <c r="V124" s="464"/>
      <c r="W124" s="464"/>
      <c r="X124" s="464"/>
      <c r="Y124" s="464"/>
      <c r="Z124" s="464"/>
      <c r="AA124" s="464"/>
      <c r="AB124" s="464"/>
      <c r="AC124" s="464"/>
      <c r="AD124" s="464"/>
      <c r="AE124" s="464"/>
      <c r="AF124" s="464"/>
      <c r="AG124" s="464"/>
      <c r="AH124" s="464"/>
      <c r="AI124" s="464"/>
      <c r="AJ124" s="464"/>
      <c r="AK124" s="464"/>
      <c r="AL124" s="464"/>
      <c r="AM124" s="464"/>
      <c r="AN124" s="464"/>
      <c r="AO124" s="464"/>
      <c r="AP124" s="464"/>
      <c r="AQ124" s="464"/>
      <c r="AR124" s="464"/>
      <c r="AS124" s="464"/>
      <c r="AT124" s="464"/>
      <c r="AU124" s="464"/>
      <c r="AV124" s="464"/>
      <c r="AW124" s="464"/>
      <c r="AX124" s="464"/>
      <c r="AY124" s="459"/>
      <c r="AZ124" s="458"/>
    </row>
    <row r="125" spans="2:52" ht="13.5" customHeight="1">
      <c r="B125" s="670"/>
      <c r="C125" s="451"/>
      <c r="D125" s="452"/>
      <c r="E125" s="462"/>
      <c r="F125" s="12"/>
      <c r="G125" s="454"/>
      <c r="H125" s="454"/>
      <c r="I125" s="454"/>
      <c r="J125" s="454"/>
      <c r="K125" s="454"/>
      <c r="L125" s="454"/>
      <c r="M125" s="454"/>
      <c r="N125" s="454"/>
      <c r="O125" s="454"/>
      <c r="P125" s="454"/>
      <c r="Q125" s="454"/>
      <c r="R125" s="454"/>
      <c r="S125" s="454"/>
      <c r="T125" s="454"/>
      <c r="U125" s="454"/>
      <c r="V125" s="454"/>
      <c r="W125" s="454"/>
      <c r="X125" s="454"/>
      <c r="Y125" s="454"/>
      <c r="Z125" s="454"/>
      <c r="AA125" s="454"/>
      <c r="AB125" s="454"/>
      <c r="AC125" s="454"/>
      <c r="AD125" s="454"/>
      <c r="AE125" s="454"/>
      <c r="AF125" s="454"/>
      <c r="AG125" s="454"/>
      <c r="AH125" s="454"/>
      <c r="AI125" s="454"/>
      <c r="AJ125" s="454"/>
      <c r="AK125" s="454"/>
      <c r="AL125" s="454"/>
      <c r="AM125" s="454"/>
      <c r="AN125" s="454"/>
      <c r="AO125" s="454"/>
      <c r="AP125" s="454"/>
      <c r="AQ125" s="454"/>
      <c r="AR125" s="454"/>
      <c r="AS125" s="454"/>
      <c r="AT125" s="454"/>
      <c r="AU125" s="454"/>
      <c r="AV125" s="454"/>
      <c r="AW125" s="454"/>
      <c r="AX125" s="454"/>
      <c r="AY125" s="460"/>
      <c r="AZ125" s="451"/>
    </row>
    <row r="126" spans="2:52" ht="13.5" customHeight="1">
      <c r="B126" s="670"/>
      <c r="C126" s="451"/>
      <c r="D126" s="452"/>
      <c r="E126" s="462"/>
      <c r="F126" s="12"/>
      <c r="G126" s="454"/>
      <c r="H126" s="454"/>
      <c r="I126" s="454"/>
      <c r="J126" s="454"/>
      <c r="K126" s="454"/>
      <c r="L126" s="454"/>
      <c r="M126" s="454"/>
      <c r="N126" s="454"/>
      <c r="O126" s="454"/>
      <c r="P126" s="454"/>
      <c r="Q126" s="454"/>
      <c r="R126" s="454"/>
      <c r="S126" s="454"/>
      <c r="T126" s="454"/>
      <c r="U126" s="454"/>
      <c r="V126" s="454"/>
      <c r="W126" s="454"/>
      <c r="X126" s="454"/>
      <c r="Y126" s="454"/>
      <c r="Z126" s="454"/>
      <c r="AA126" s="454"/>
      <c r="AB126" s="454"/>
      <c r="AC126" s="454"/>
      <c r="AD126" s="454"/>
      <c r="AE126" s="454"/>
      <c r="AF126" s="454"/>
      <c r="AG126" s="454"/>
      <c r="AH126" s="454"/>
      <c r="AI126" s="454"/>
      <c r="AJ126" s="454"/>
      <c r="AK126" s="454"/>
      <c r="AL126" s="454"/>
      <c r="AM126" s="454"/>
      <c r="AN126" s="454"/>
      <c r="AO126" s="454"/>
      <c r="AP126" s="454"/>
      <c r="AQ126" s="454"/>
      <c r="AR126" s="454"/>
      <c r="AS126" s="454"/>
      <c r="AT126" s="454"/>
      <c r="AU126" s="454"/>
      <c r="AV126" s="454"/>
      <c r="AW126" s="454"/>
      <c r="AX126" s="454"/>
      <c r="AY126" s="460"/>
      <c r="AZ126" s="451"/>
    </row>
    <row r="127" spans="2:52" ht="13.5" customHeight="1">
      <c r="B127" s="670"/>
      <c r="C127" s="451"/>
      <c r="D127" s="452"/>
      <c r="E127" s="462"/>
      <c r="F127" s="12"/>
      <c r="G127" s="454"/>
      <c r="H127" s="454"/>
      <c r="I127" s="454"/>
      <c r="J127" s="454"/>
      <c r="K127" s="454"/>
      <c r="L127" s="454"/>
      <c r="M127" s="454"/>
      <c r="N127" s="454"/>
      <c r="O127" s="454"/>
      <c r="P127" s="454"/>
      <c r="Q127" s="454"/>
      <c r="R127" s="454"/>
      <c r="S127" s="454"/>
      <c r="T127" s="454"/>
      <c r="U127" s="454"/>
      <c r="V127" s="454"/>
      <c r="W127" s="454"/>
      <c r="X127" s="454"/>
      <c r="Y127" s="454"/>
      <c r="Z127" s="454"/>
      <c r="AA127" s="454"/>
      <c r="AB127" s="454"/>
      <c r="AC127" s="454"/>
      <c r="AD127" s="454"/>
      <c r="AE127" s="454"/>
      <c r="AF127" s="454"/>
      <c r="AG127" s="454"/>
      <c r="AH127" s="454"/>
      <c r="AI127" s="454"/>
      <c r="AJ127" s="454"/>
      <c r="AK127" s="454"/>
      <c r="AL127" s="454"/>
      <c r="AM127" s="454"/>
      <c r="AN127" s="454"/>
      <c r="AO127" s="454"/>
      <c r="AP127" s="454"/>
      <c r="AQ127" s="454"/>
      <c r="AR127" s="454"/>
      <c r="AS127" s="454"/>
      <c r="AT127" s="454"/>
      <c r="AU127" s="454"/>
      <c r="AV127" s="454"/>
      <c r="AW127" s="454"/>
      <c r="AX127" s="454"/>
      <c r="AY127" s="460"/>
      <c r="AZ127" s="451"/>
    </row>
    <row r="128" spans="2:52" ht="13.5" customHeight="1">
      <c r="B128" s="670"/>
      <c r="C128" s="451"/>
      <c r="D128" s="452"/>
      <c r="E128" s="462"/>
      <c r="F128" s="12"/>
      <c r="G128" s="454"/>
      <c r="H128" s="454"/>
      <c r="I128" s="454"/>
      <c r="J128" s="454"/>
      <c r="K128" s="454"/>
      <c r="L128" s="454"/>
      <c r="M128" s="454"/>
      <c r="N128" s="454"/>
      <c r="O128" s="454"/>
      <c r="P128" s="454"/>
      <c r="Q128" s="454"/>
      <c r="R128" s="454"/>
      <c r="S128" s="454"/>
      <c r="T128" s="454"/>
      <c r="U128" s="454"/>
      <c r="V128" s="454"/>
      <c r="W128" s="454"/>
      <c r="X128" s="454"/>
      <c r="Y128" s="454"/>
      <c r="Z128" s="454"/>
      <c r="AA128" s="454"/>
      <c r="AB128" s="454"/>
      <c r="AC128" s="454"/>
      <c r="AD128" s="454"/>
      <c r="AE128" s="454"/>
      <c r="AF128" s="454"/>
      <c r="AG128" s="454"/>
      <c r="AH128" s="454"/>
      <c r="AI128" s="454"/>
      <c r="AJ128" s="454"/>
      <c r="AK128" s="454"/>
      <c r="AL128" s="454"/>
      <c r="AM128" s="454"/>
      <c r="AN128" s="454"/>
      <c r="AO128" s="454"/>
      <c r="AP128" s="454"/>
      <c r="AQ128" s="454"/>
      <c r="AR128" s="454"/>
      <c r="AS128" s="454"/>
      <c r="AT128" s="454"/>
      <c r="AU128" s="454"/>
      <c r="AV128" s="454"/>
      <c r="AW128" s="454"/>
      <c r="AX128" s="454"/>
      <c r="AY128" s="460"/>
      <c r="AZ128" s="451"/>
    </row>
    <row r="129" spans="2:52" ht="13.5" customHeight="1">
      <c r="B129" s="670"/>
      <c r="C129" s="451"/>
      <c r="D129" s="452"/>
      <c r="E129" s="462"/>
      <c r="F129" s="12"/>
      <c r="G129" s="454"/>
      <c r="H129" s="454"/>
      <c r="I129" s="454"/>
      <c r="J129" s="454"/>
      <c r="K129" s="454"/>
      <c r="L129" s="454"/>
      <c r="M129" s="454"/>
      <c r="N129" s="454"/>
      <c r="O129" s="454"/>
      <c r="P129" s="454"/>
      <c r="Q129" s="454"/>
      <c r="R129" s="454"/>
      <c r="S129" s="454"/>
      <c r="T129" s="454"/>
      <c r="U129" s="454"/>
      <c r="V129" s="454"/>
      <c r="W129" s="454"/>
      <c r="X129" s="454"/>
      <c r="Y129" s="454"/>
      <c r="Z129" s="454"/>
      <c r="AA129" s="454"/>
      <c r="AB129" s="454"/>
      <c r="AC129" s="454"/>
      <c r="AD129" s="454"/>
      <c r="AE129" s="454"/>
      <c r="AF129" s="454"/>
      <c r="AG129" s="454"/>
      <c r="AH129" s="454"/>
      <c r="AI129" s="454"/>
      <c r="AJ129" s="454"/>
      <c r="AK129" s="454"/>
      <c r="AL129" s="454"/>
      <c r="AM129" s="454"/>
      <c r="AN129" s="454"/>
      <c r="AO129" s="454"/>
      <c r="AP129" s="454"/>
      <c r="AQ129" s="454"/>
      <c r="AR129" s="454"/>
      <c r="AS129" s="454"/>
      <c r="AT129" s="454"/>
      <c r="AU129" s="454"/>
      <c r="AV129" s="454"/>
      <c r="AW129" s="454"/>
      <c r="AX129" s="454"/>
      <c r="AY129" s="460"/>
      <c r="AZ129" s="451"/>
    </row>
    <row r="130" spans="2:52" ht="13.5" customHeight="1">
      <c r="B130" s="681"/>
      <c r="C130" s="453"/>
      <c r="D130" s="457"/>
      <c r="E130" s="465"/>
      <c r="F130" s="7"/>
      <c r="G130" s="466"/>
      <c r="H130" s="466"/>
      <c r="I130" s="466"/>
      <c r="J130" s="466"/>
      <c r="K130" s="466"/>
      <c r="L130" s="466"/>
      <c r="M130" s="466"/>
      <c r="N130" s="466"/>
      <c r="O130" s="466"/>
      <c r="P130" s="466"/>
      <c r="Q130" s="466"/>
      <c r="R130" s="466"/>
      <c r="S130" s="466"/>
      <c r="T130" s="466"/>
      <c r="U130" s="466"/>
      <c r="V130" s="466"/>
      <c r="W130" s="466"/>
      <c r="X130" s="466"/>
      <c r="Y130" s="466"/>
      <c r="Z130" s="466"/>
      <c r="AA130" s="466"/>
      <c r="AB130" s="466"/>
      <c r="AC130" s="466"/>
      <c r="AD130" s="466"/>
      <c r="AE130" s="466"/>
      <c r="AF130" s="466"/>
      <c r="AG130" s="466"/>
      <c r="AH130" s="466"/>
      <c r="AI130" s="466"/>
      <c r="AJ130" s="466"/>
      <c r="AK130" s="466"/>
      <c r="AL130" s="466"/>
      <c r="AM130" s="466"/>
      <c r="AN130" s="466"/>
      <c r="AO130" s="466"/>
      <c r="AP130" s="466"/>
      <c r="AQ130" s="466"/>
      <c r="AR130" s="466"/>
      <c r="AS130" s="466"/>
      <c r="AT130" s="466"/>
      <c r="AU130" s="466"/>
      <c r="AV130" s="466"/>
      <c r="AW130" s="466"/>
      <c r="AX130" s="466"/>
      <c r="AY130" s="461"/>
      <c r="AZ130" s="453"/>
    </row>
    <row r="131" spans="2:52" ht="13.5" customHeight="1">
      <c r="B131" s="680" t="s">
        <v>35</v>
      </c>
      <c r="C131" s="682">
        <v>1</v>
      </c>
      <c r="D131" s="682" t="s">
        <v>34</v>
      </c>
      <c r="E131" s="463"/>
      <c r="F131" s="17"/>
      <c r="G131" s="464"/>
      <c r="H131" s="464"/>
      <c r="I131" s="464"/>
      <c r="J131" s="464"/>
      <c r="K131" s="464"/>
      <c r="L131" s="464"/>
      <c r="M131" s="464"/>
      <c r="N131" s="464"/>
      <c r="O131" s="464"/>
      <c r="P131" s="464"/>
      <c r="Q131" s="464"/>
      <c r="R131" s="464"/>
      <c r="S131" s="464"/>
      <c r="T131" s="20"/>
      <c r="U131" s="20"/>
      <c r="V131" s="20"/>
      <c r="W131" s="20"/>
      <c r="X131" s="20"/>
      <c r="Y131" s="20"/>
      <c r="Z131" s="464"/>
      <c r="AA131" s="464"/>
      <c r="AB131" s="464"/>
      <c r="AC131" s="464"/>
      <c r="AD131" s="464"/>
      <c r="AE131" s="464"/>
      <c r="AF131" s="464"/>
      <c r="AG131" s="464"/>
      <c r="AH131" s="464"/>
      <c r="AI131" s="464"/>
      <c r="AJ131" s="464"/>
      <c r="AK131" s="464"/>
      <c r="AL131" s="464"/>
      <c r="AM131" s="464"/>
      <c r="AN131" s="464"/>
      <c r="AO131" s="464"/>
      <c r="AP131" s="464"/>
      <c r="AQ131" s="464"/>
      <c r="AR131" s="464"/>
      <c r="AS131" s="464"/>
      <c r="AT131" s="464"/>
      <c r="AU131" s="464"/>
      <c r="AV131" s="464"/>
      <c r="AW131" s="464"/>
      <c r="AX131" s="464"/>
      <c r="AY131" s="459"/>
      <c r="AZ131" s="458"/>
    </row>
    <row r="132" spans="2:52" ht="13.5" customHeight="1">
      <c r="B132" s="670"/>
      <c r="C132" s="666"/>
      <c r="D132" s="666"/>
      <c r="E132" s="462" t="s">
        <v>13</v>
      </c>
      <c r="F132" s="12"/>
      <c r="G132" s="454"/>
      <c r="H132" s="454"/>
      <c r="I132" s="454"/>
      <c r="J132" s="454" t="s">
        <v>33</v>
      </c>
      <c r="K132" s="454"/>
      <c r="L132" s="454"/>
      <c r="M132" s="454"/>
      <c r="N132" s="454"/>
      <c r="O132" s="454"/>
      <c r="P132" s="454"/>
      <c r="Q132" s="454"/>
      <c r="R132" s="454"/>
      <c r="S132" s="454"/>
      <c r="T132" s="665">
        <f>IF(0&gt;Z122,0,Z122)</f>
        <v>1207462349</v>
      </c>
      <c r="U132" s="665"/>
      <c r="V132" s="665"/>
      <c r="W132" s="665"/>
      <c r="X132" s="665"/>
      <c r="Y132" s="665"/>
      <c r="Z132" s="454"/>
      <c r="AA132" s="455" t="s">
        <v>32</v>
      </c>
      <c r="AB132" s="454"/>
      <c r="AC132" s="454"/>
      <c r="AD132" s="454"/>
      <c r="AE132" s="454"/>
      <c r="AF132" s="454"/>
      <c r="AG132" s="454"/>
      <c r="AH132" s="454"/>
      <c r="AI132" s="454"/>
      <c r="AJ132" s="454"/>
      <c r="AK132" s="454"/>
      <c r="AL132" s="454"/>
      <c r="AM132" s="454"/>
      <c r="AN132" s="454"/>
      <c r="AO132" s="454"/>
      <c r="AP132" s="454"/>
      <c r="AQ132" s="454"/>
      <c r="AR132" s="454"/>
      <c r="AS132" s="454"/>
      <c r="AT132" s="454"/>
      <c r="AU132" s="454"/>
      <c r="AV132" s="454"/>
      <c r="AW132" s="454"/>
      <c r="AX132" s="454"/>
      <c r="AY132" s="460"/>
      <c r="AZ132" s="451" t="s">
        <v>868</v>
      </c>
    </row>
    <row r="133" spans="2:52" ht="13.5" customHeight="1" thickBot="1">
      <c r="B133" s="670"/>
      <c r="C133" s="666"/>
      <c r="D133" s="666"/>
      <c r="E133" s="462"/>
      <c r="F133" s="12"/>
      <c r="G133" s="454"/>
      <c r="H133" s="454"/>
      <c r="I133" s="454"/>
      <c r="J133" s="454"/>
      <c r="K133" s="454"/>
      <c r="L133" s="454"/>
      <c r="M133" s="454"/>
      <c r="N133" s="454"/>
      <c r="O133" s="454"/>
      <c r="P133" s="454"/>
      <c r="Q133" s="454"/>
      <c r="R133" s="454"/>
      <c r="S133" s="454"/>
      <c r="T133" s="454"/>
      <c r="U133" s="454"/>
      <c r="V133" s="454"/>
      <c r="W133" s="454"/>
      <c r="X133" s="454"/>
      <c r="Y133" s="454"/>
      <c r="Z133" s="454"/>
      <c r="AA133" s="454"/>
      <c r="AB133" s="454"/>
      <c r="AC133" s="454"/>
      <c r="AD133" s="454"/>
      <c r="AE133" s="454"/>
      <c r="AF133" s="454"/>
      <c r="AG133" s="454"/>
      <c r="AH133" s="454"/>
      <c r="AI133" s="454"/>
      <c r="AJ133" s="454"/>
      <c r="AK133" s="454"/>
      <c r="AL133" s="454"/>
      <c r="AM133" s="454"/>
      <c r="AN133" s="454"/>
      <c r="AO133" s="454"/>
      <c r="AP133" s="454"/>
      <c r="AQ133" s="454"/>
      <c r="AR133" s="454"/>
      <c r="AS133" s="454"/>
      <c r="AT133" s="454"/>
      <c r="AU133" s="454"/>
      <c r="AV133" s="454"/>
      <c r="AW133" s="454"/>
      <c r="AX133" s="454"/>
      <c r="AY133" s="460"/>
      <c r="AZ133" s="451">
        <v>0</v>
      </c>
    </row>
    <row r="134" spans="2:52" ht="13.5" customHeight="1" thickTop="1" thickBot="1">
      <c r="B134" s="670"/>
      <c r="C134" s="666"/>
      <c r="D134" s="666"/>
      <c r="E134" s="462"/>
      <c r="F134" s="12"/>
      <c r="G134" s="454"/>
      <c r="H134" s="454"/>
      <c r="I134" s="454"/>
      <c r="J134" s="454" t="s">
        <v>31</v>
      </c>
      <c r="K134" s="454"/>
      <c r="L134" s="454"/>
      <c r="M134" s="454"/>
      <c r="N134" s="454"/>
      <c r="O134" s="454"/>
      <c r="P134" s="454"/>
      <c r="Q134" s="454"/>
      <c r="R134" s="454"/>
      <c r="S134" s="454"/>
      <c r="T134" s="667">
        <f>ROUNDDOWN(R25*78/1100,0)</f>
        <v>754454</v>
      </c>
      <c r="U134" s="668"/>
      <c r="V134" s="668"/>
      <c r="W134" s="668"/>
      <c r="X134" s="668"/>
      <c r="Y134" s="669"/>
      <c r="Z134" s="482" t="s">
        <v>817</v>
      </c>
      <c r="AA134" s="483" t="s">
        <v>818</v>
      </c>
      <c r="AB134" s="482"/>
      <c r="AC134" s="454"/>
      <c r="AD134" s="454"/>
      <c r="AE134" s="454"/>
      <c r="AF134" s="454"/>
      <c r="AG134" s="454"/>
      <c r="AH134" s="454"/>
      <c r="AI134" s="454"/>
      <c r="AJ134" s="454"/>
      <c r="AK134" s="454"/>
      <c r="AL134" s="454"/>
      <c r="AM134" s="454"/>
      <c r="AN134" s="454"/>
      <c r="AO134" s="454"/>
      <c r="AP134" s="454"/>
      <c r="AQ134" s="454"/>
      <c r="AR134" s="454"/>
      <c r="AS134" s="454"/>
      <c r="AT134" s="454"/>
      <c r="AU134" s="454"/>
      <c r="AV134" s="454"/>
      <c r="AW134" s="454"/>
      <c r="AX134" s="454"/>
      <c r="AY134" s="460"/>
      <c r="AZ134" s="451" t="s">
        <v>28</v>
      </c>
    </row>
    <row r="135" spans="2:52" ht="13.5" customHeight="1" thickTop="1">
      <c r="B135" s="670"/>
      <c r="C135" s="666"/>
      <c r="D135" s="666"/>
      <c r="E135" s="462"/>
      <c r="F135" s="12"/>
      <c r="G135" s="454"/>
      <c r="H135" s="454"/>
      <c r="I135" s="454"/>
      <c r="J135" s="454"/>
      <c r="K135" s="454"/>
      <c r="L135" s="454"/>
      <c r="M135" s="454"/>
      <c r="N135" s="454"/>
      <c r="O135" s="454"/>
      <c r="P135" s="454"/>
      <c r="Q135" s="454"/>
      <c r="R135" s="454"/>
      <c r="S135" s="454"/>
      <c r="T135" s="482"/>
      <c r="U135" s="482"/>
      <c r="V135" s="482"/>
      <c r="W135" s="482"/>
      <c r="X135" s="482"/>
      <c r="Y135" s="482"/>
      <c r="Z135" s="482"/>
      <c r="AA135" s="482"/>
      <c r="AB135" s="482"/>
      <c r="AC135" s="454"/>
      <c r="AD135" s="454"/>
      <c r="AE135" s="454"/>
      <c r="AF135" s="454"/>
      <c r="AG135" s="454"/>
      <c r="AH135" s="454"/>
      <c r="AI135" s="454"/>
      <c r="AJ135" s="454"/>
      <c r="AK135" s="454"/>
      <c r="AL135" s="454"/>
      <c r="AM135" s="454"/>
      <c r="AN135" s="454"/>
      <c r="AO135" s="454"/>
      <c r="AP135" s="454"/>
      <c r="AQ135" s="454"/>
      <c r="AR135" s="454"/>
      <c r="AS135" s="454"/>
      <c r="AT135" s="454"/>
      <c r="AU135" s="454"/>
      <c r="AV135" s="454"/>
      <c r="AW135" s="454"/>
      <c r="AX135" s="454"/>
      <c r="AY135" s="460"/>
      <c r="AZ135" s="451"/>
    </row>
    <row r="136" spans="2:52" ht="13.5" customHeight="1" thickBot="1">
      <c r="B136" s="670"/>
      <c r="C136" s="666"/>
      <c r="D136" s="666"/>
      <c r="E136" s="462"/>
      <c r="F136" s="12"/>
      <c r="G136" s="454"/>
      <c r="H136" s="454"/>
      <c r="I136" s="454"/>
      <c r="J136" s="454" t="s">
        <v>27</v>
      </c>
      <c r="K136" s="454"/>
      <c r="L136" s="454"/>
      <c r="M136" s="454"/>
      <c r="N136" s="454"/>
      <c r="O136" s="454"/>
      <c r="P136" s="454"/>
      <c r="Q136" s="454"/>
      <c r="R136" s="454"/>
      <c r="S136" s="454"/>
      <c r="T136" s="687">
        <f>基礎数値!H17</f>
        <v>0</v>
      </c>
      <c r="U136" s="687"/>
      <c r="V136" s="687"/>
      <c r="W136" s="687"/>
      <c r="X136" s="687"/>
      <c r="Y136" s="687"/>
      <c r="Z136" s="482" t="s">
        <v>26</v>
      </c>
      <c r="AA136" s="483" t="s">
        <v>25</v>
      </c>
      <c r="AB136" s="482"/>
      <c r="AC136" s="454"/>
      <c r="AD136" s="454"/>
      <c r="AE136" s="454"/>
      <c r="AF136" s="454"/>
      <c r="AG136" s="454"/>
      <c r="AH136" s="454"/>
      <c r="AI136" s="454"/>
      <c r="AJ136" s="454"/>
      <c r="AK136" s="454"/>
      <c r="AL136" s="454"/>
      <c r="AM136" s="454"/>
      <c r="AN136" s="454"/>
      <c r="AO136" s="454"/>
      <c r="AP136" s="454"/>
      <c r="AQ136" s="454"/>
      <c r="AR136" s="454"/>
      <c r="AS136" s="454"/>
      <c r="AT136" s="454"/>
      <c r="AU136" s="454"/>
      <c r="AV136" s="454"/>
      <c r="AW136" s="454"/>
      <c r="AX136" s="454"/>
      <c r="AY136" s="460"/>
      <c r="AZ136" s="451"/>
    </row>
    <row r="137" spans="2:52" ht="13.5" customHeight="1" thickTop="1" thickBot="1">
      <c r="B137" s="670"/>
      <c r="C137" s="666"/>
      <c r="D137" s="666"/>
      <c r="E137" s="462"/>
      <c r="F137" s="12"/>
      <c r="G137" s="454"/>
      <c r="H137" s="454"/>
      <c r="I137" s="454"/>
      <c r="J137" s="454" t="s">
        <v>24</v>
      </c>
      <c r="K137" s="454"/>
      <c r="L137" s="454"/>
      <c r="M137" s="454"/>
      <c r="N137" s="454"/>
      <c r="O137" s="454"/>
      <c r="P137" s="454"/>
      <c r="Q137" s="454"/>
      <c r="R137" s="454"/>
      <c r="S137" s="454"/>
      <c r="T137" s="667">
        <f>ROUNDDOWN(T136*78/1100,0)</f>
        <v>0</v>
      </c>
      <c r="U137" s="668"/>
      <c r="V137" s="668"/>
      <c r="W137" s="668"/>
      <c r="X137" s="668"/>
      <c r="Y137" s="669"/>
      <c r="Z137" s="482" t="s">
        <v>819</v>
      </c>
      <c r="AA137" s="483" t="s">
        <v>820</v>
      </c>
      <c r="AB137" s="482"/>
      <c r="AC137" s="454"/>
      <c r="AD137" s="454"/>
      <c r="AE137" s="454"/>
      <c r="AF137" s="454"/>
      <c r="AG137" s="454"/>
      <c r="AH137" s="454"/>
      <c r="AI137" s="454"/>
      <c r="AJ137" s="454"/>
      <c r="AK137" s="454"/>
      <c r="AL137" s="454"/>
      <c r="AM137" s="454"/>
      <c r="AN137" s="454"/>
      <c r="AO137" s="454"/>
      <c r="AP137" s="454"/>
      <c r="AQ137" s="454"/>
      <c r="AR137" s="454"/>
      <c r="AS137" s="454"/>
      <c r="AT137" s="454"/>
      <c r="AU137" s="454"/>
      <c r="AV137" s="454"/>
      <c r="AW137" s="454"/>
      <c r="AX137" s="454"/>
      <c r="AY137" s="460"/>
      <c r="AZ137" s="451" t="s">
        <v>21</v>
      </c>
    </row>
    <row r="138" spans="2:52" ht="13.5" customHeight="1" thickTop="1" thickBot="1">
      <c r="B138" s="670"/>
      <c r="C138" s="666"/>
      <c r="D138" s="666"/>
      <c r="E138" s="462"/>
      <c r="F138" s="12"/>
      <c r="G138" s="454"/>
      <c r="H138" s="454"/>
      <c r="I138" s="454"/>
      <c r="J138" s="454"/>
      <c r="K138" s="454"/>
      <c r="L138" s="454"/>
      <c r="M138" s="454"/>
      <c r="N138" s="454"/>
      <c r="O138" s="454"/>
      <c r="P138" s="454"/>
      <c r="Q138" s="454"/>
      <c r="R138" s="454"/>
      <c r="S138" s="454"/>
      <c r="T138" s="454"/>
      <c r="U138" s="454"/>
      <c r="V138" s="454"/>
      <c r="W138" s="454"/>
      <c r="X138" s="454"/>
      <c r="Y138" s="454"/>
      <c r="Z138" s="454"/>
      <c r="AA138" s="454"/>
      <c r="AB138" s="454"/>
      <c r="AC138" s="454"/>
      <c r="AD138" s="454"/>
      <c r="AE138" s="454"/>
      <c r="AF138" s="454"/>
      <c r="AG138" s="454"/>
      <c r="AH138" s="454"/>
      <c r="AI138" s="454"/>
      <c r="AJ138" s="454"/>
      <c r="AK138" s="454"/>
      <c r="AL138" s="454"/>
      <c r="AM138" s="454"/>
      <c r="AN138" s="454"/>
      <c r="AO138" s="454"/>
      <c r="AP138" s="454"/>
      <c r="AQ138" s="454"/>
      <c r="AR138" s="454"/>
      <c r="AS138" s="454"/>
      <c r="AT138" s="454"/>
      <c r="AU138" s="454"/>
      <c r="AV138" s="454"/>
      <c r="AW138" s="454"/>
      <c r="AX138" s="454"/>
      <c r="AY138" s="460"/>
      <c r="AZ138" s="451"/>
    </row>
    <row r="139" spans="2:52" ht="13.5" customHeight="1" thickTop="1" thickBot="1">
      <c r="B139" s="670"/>
      <c r="C139" s="666"/>
      <c r="D139" s="666"/>
      <c r="E139" s="462"/>
      <c r="F139" s="12"/>
      <c r="G139" s="454"/>
      <c r="H139" s="454"/>
      <c r="I139" s="454"/>
      <c r="J139" s="454" t="s">
        <v>20</v>
      </c>
      <c r="K139" s="454"/>
      <c r="L139" s="454"/>
      <c r="M139" s="454"/>
      <c r="N139" s="454"/>
      <c r="O139" s="454"/>
      <c r="P139" s="454"/>
      <c r="Q139" s="454"/>
      <c r="R139" s="454"/>
      <c r="S139" s="454"/>
      <c r="T139" s="667">
        <f>T132+T134+T137</f>
        <v>1208216803</v>
      </c>
      <c r="U139" s="668"/>
      <c r="V139" s="668"/>
      <c r="W139" s="668"/>
      <c r="X139" s="668"/>
      <c r="Y139" s="669"/>
      <c r="Z139" s="454" t="s">
        <v>177</v>
      </c>
      <c r="AB139" s="455" t="s">
        <v>18</v>
      </c>
      <c r="AC139" s="454"/>
      <c r="AD139" s="454"/>
      <c r="AE139" s="454"/>
      <c r="AF139" s="454"/>
      <c r="AG139" s="454"/>
      <c r="AH139" s="454"/>
      <c r="AI139" s="454"/>
      <c r="AJ139" s="454"/>
      <c r="AK139" s="454"/>
      <c r="AL139" s="454"/>
      <c r="AM139" s="454"/>
      <c r="AN139" s="454"/>
      <c r="AO139" s="454"/>
      <c r="AP139" s="454"/>
      <c r="AQ139" s="454"/>
      <c r="AR139" s="454"/>
      <c r="AS139" s="454"/>
      <c r="AT139" s="454"/>
      <c r="AU139" s="454"/>
      <c r="AV139" s="454"/>
      <c r="AW139" s="454"/>
      <c r="AX139" s="454"/>
      <c r="AY139" s="460"/>
      <c r="AZ139" s="451" t="s">
        <v>17</v>
      </c>
    </row>
    <row r="140" spans="2:52" ht="13.5" customHeight="1" thickTop="1">
      <c r="B140" s="670"/>
      <c r="C140" s="671"/>
      <c r="D140" s="671"/>
      <c r="E140" s="465"/>
      <c r="F140" s="7"/>
      <c r="G140" s="466"/>
      <c r="H140" s="466"/>
      <c r="I140" s="466"/>
      <c r="J140" s="466"/>
      <c r="K140" s="466"/>
      <c r="L140" s="466"/>
      <c r="M140" s="466"/>
      <c r="N140" s="466"/>
      <c r="O140" s="466"/>
      <c r="P140" s="466"/>
      <c r="Q140" s="466"/>
      <c r="R140" s="466"/>
      <c r="S140" s="466"/>
      <c r="T140" s="466"/>
      <c r="U140" s="466"/>
      <c r="V140" s="466"/>
      <c r="W140" s="466"/>
      <c r="X140" s="466"/>
      <c r="Y140" s="466"/>
      <c r="Z140" s="466"/>
      <c r="AA140" s="466"/>
      <c r="AB140" s="466"/>
      <c r="AC140" s="466"/>
      <c r="AD140" s="466"/>
      <c r="AE140" s="466"/>
      <c r="AF140" s="466"/>
      <c r="AG140" s="466"/>
      <c r="AH140" s="466"/>
      <c r="AI140" s="466"/>
      <c r="AJ140" s="466"/>
      <c r="AK140" s="466"/>
      <c r="AL140" s="466"/>
      <c r="AM140" s="466"/>
      <c r="AN140" s="466"/>
      <c r="AO140" s="466"/>
      <c r="AP140" s="466"/>
      <c r="AQ140" s="466"/>
      <c r="AR140" s="466"/>
      <c r="AS140" s="466"/>
      <c r="AT140" s="466"/>
      <c r="AU140" s="466"/>
      <c r="AV140" s="466"/>
      <c r="AW140" s="466"/>
      <c r="AX140" s="466"/>
      <c r="AY140" s="461"/>
      <c r="AZ140" s="453"/>
    </row>
    <row r="141" spans="2:52" ht="13.5" customHeight="1">
      <c r="B141" s="670"/>
      <c r="C141" s="682">
        <v>2</v>
      </c>
      <c r="D141" s="680" t="s">
        <v>16</v>
      </c>
      <c r="E141" s="463"/>
      <c r="F141" s="17"/>
      <c r="G141" s="464"/>
      <c r="H141" s="464"/>
      <c r="I141" s="464"/>
      <c r="J141" s="464"/>
      <c r="K141" s="464"/>
      <c r="L141" s="464"/>
      <c r="M141" s="464"/>
      <c r="N141" s="464"/>
      <c r="O141" s="464"/>
      <c r="P141" s="464"/>
      <c r="Q141" s="464"/>
      <c r="R141" s="464"/>
      <c r="S141" s="464"/>
      <c r="T141" s="464"/>
      <c r="U141" s="464"/>
      <c r="V141" s="464"/>
      <c r="W141" s="464"/>
      <c r="X141" s="464"/>
      <c r="Y141" s="464"/>
      <c r="Z141" s="464"/>
      <c r="AA141" s="464"/>
      <c r="AB141" s="464"/>
      <c r="AC141" s="464"/>
      <c r="AD141" s="464"/>
      <c r="AE141" s="464"/>
      <c r="AF141" s="464"/>
      <c r="AG141" s="464"/>
      <c r="AH141" s="464"/>
      <c r="AI141" s="464"/>
      <c r="AJ141" s="464"/>
      <c r="AK141" s="464"/>
      <c r="AL141" s="464"/>
      <c r="AM141" s="464"/>
      <c r="AN141" s="464"/>
      <c r="AO141" s="464"/>
      <c r="AP141" s="464"/>
      <c r="AQ141" s="464"/>
      <c r="AR141" s="464"/>
      <c r="AS141" s="464"/>
      <c r="AT141" s="464"/>
      <c r="AU141" s="464"/>
      <c r="AV141" s="464"/>
      <c r="AW141" s="464"/>
      <c r="AX141" s="464"/>
      <c r="AY141" s="459"/>
      <c r="AZ141" s="458"/>
    </row>
    <row r="142" spans="2:52" ht="13.5" customHeight="1">
      <c r="B142" s="670"/>
      <c r="C142" s="666"/>
      <c r="D142" s="670"/>
      <c r="E142" s="462" t="s">
        <v>15</v>
      </c>
      <c r="F142" s="12"/>
      <c r="G142" s="454"/>
      <c r="H142" s="454"/>
      <c r="I142" s="454"/>
      <c r="J142" s="454"/>
      <c r="K142" s="454"/>
      <c r="L142" s="454"/>
      <c r="M142" s="454"/>
      <c r="N142" s="454"/>
      <c r="O142" s="454"/>
      <c r="P142" s="454"/>
      <c r="Q142" s="454"/>
      <c r="R142" s="454"/>
      <c r="S142" s="454"/>
      <c r="T142" s="665">
        <f>R31</f>
        <v>1472760510</v>
      </c>
      <c r="U142" s="665"/>
      <c r="V142" s="665"/>
      <c r="W142" s="665"/>
      <c r="X142" s="665"/>
      <c r="Y142" s="665"/>
      <c r="Z142" s="454"/>
      <c r="AA142" s="454"/>
      <c r="AB142" s="455" t="s">
        <v>14</v>
      </c>
      <c r="AC142" s="454"/>
      <c r="AD142" s="454"/>
      <c r="AE142" s="454"/>
      <c r="AF142" s="454"/>
      <c r="AG142" s="454"/>
      <c r="AH142" s="454"/>
      <c r="AI142" s="454"/>
      <c r="AJ142" s="454"/>
      <c r="AK142" s="454"/>
      <c r="AL142" s="454"/>
      <c r="AM142" s="454"/>
      <c r="AN142" s="454"/>
      <c r="AO142" s="454"/>
      <c r="AP142" s="454"/>
      <c r="AQ142" s="454"/>
      <c r="AR142" s="454"/>
      <c r="AS142" s="454"/>
      <c r="AT142" s="454"/>
      <c r="AU142" s="454"/>
      <c r="AV142" s="454"/>
      <c r="AW142" s="454"/>
      <c r="AX142" s="454"/>
      <c r="AY142" s="460"/>
      <c r="AZ142" s="451"/>
    </row>
    <row r="143" spans="2:52" ht="13.5" customHeight="1" thickBot="1">
      <c r="B143" s="670"/>
      <c r="C143" s="666"/>
      <c r="D143" s="670"/>
      <c r="E143" s="462" t="s">
        <v>13</v>
      </c>
      <c r="F143" s="12"/>
      <c r="G143" s="454"/>
      <c r="H143" s="454"/>
      <c r="I143" s="454"/>
      <c r="J143" s="454"/>
      <c r="K143" s="454"/>
      <c r="L143" s="454"/>
      <c r="M143" s="454"/>
      <c r="N143" s="454"/>
      <c r="O143" s="454"/>
      <c r="P143" s="454"/>
      <c r="Q143" s="454"/>
      <c r="R143" s="454"/>
      <c r="S143" s="454"/>
      <c r="T143" s="665">
        <f>T139</f>
        <v>1208216803</v>
      </c>
      <c r="U143" s="665"/>
      <c r="V143" s="665"/>
      <c r="W143" s="665"/>
      <c r="X143" s="665"/>
      <c r="Y143" s="665"/>
      <c r="Z143" s="454"/>
      <c r="AA143" s="454"/>
      <c r="AB143" s="455" t="s">
        <v>12</v>
      </c>
      <c r="AC143" s="454"/>
      <c r="AD143" s="454"/>
      <c r="AE143" s="454"/>
      <c r="AF143" s="454"/>
      <c r="AG143" s="454"/>
      <c r="AH143" s="454"/>
      <c r="AI143" s="454"/>
      <c r="AJ143" s="454"/>
      <c r="AK143" s="454"/>
      <c r="AL143" s="454"/>
      <c r="AM143" s="454"/>
      <c r="AN143" s="454"/>
      <c r="AO143" s="454"/>
      <c r="AP143" s="454"/>
      <c r="AQ143" s="454"/>
      <c r="AR143" s="454"/>
      <c r="AS143" s="454"/>
      <c r="AT143" s="454"/>
      <c r="AU143" s="454"/>
      <c r="AV143" s="454"/>
      <c r="AW143" s="454"/>
      <c r="AX143" s="454"/>
      <c r="AY143" s="460"/>
      <c r="AZ143" s="451"/>
    </row>
    <row r="144" spans="2:52" ht="13.5" customHeight="1" thickTop="1" thickBot="1">
      <c r="B144" s="670"/>
      <c r="C144" s="666"/>
      <c r="D144" s="670"/>
      <c r="E144" s="462" t="s">
        <v>11</v>
      </c>
      <c r="F144" s="12"/>
      <c r="G144" s="454"/>
      <c r="H144" s="454"/>
      <c r="I144" s="454"/>
      <c r="J144" s="454"/>
      <c r="K144" s="454"/>
      <c r="L144" s="454"/>
      <c r="M144" s="454"/>
      <c r="N144" s="454"/>
      <c r="O144" s="454"/>
      <c r="P144" s="454"/>
      <c r="Q144" s="454"/>
      <c r="R144" s="454"/>
      <c r="S144" s="454"/>
      <c r="T144" s="667">
        <f>T142-T143</f>
        <v>264543707</v>
      </c>
      <c r="U144" s="668"/>
      <c r="V144" s="668"/>
      <c r="W144" s="668"/>
      <c r="X144" s="668"/>
      <c r="Y144" s="669"/>
      <c r="Z144" s="454" t="s">
        <v>10</v>
      </c>
      <c r="AA144" s="454"/>
      <c r="AB144" s="455" t="s">
        <v>870</v>
      </c>
      <c r="AC144" s="454"/>
      <c r="AD144" s="454"/>
      <c r="AE144" s="454"/>
      <c r="AF144" s="454"/>
      <c r="AG144" s="454"/>
      <c r="AH144" s="454"/>
      <c r="AI144" s="454"/>
      <c r="AJ144" s="454"/>
      <c r="AK144" s="454"/>
      <c r="AL144" s="454"/>
      <c r="AM144" s="454"/>
      <c r="AN144" s="454"/>
      <c r="AO144" s="454"/>
      <c r="AP144" s="454"/>
      <c r="AQ144" s="454"/>
      <c r="AR144" s="454"/>
      <c r="AS144" s="454"/>
      <c r="AT144" s="454"/>
      <c r="AU144" s="454"/>
      <c r="AV144" s="454"/>
      <c r="AW144" s="454"/>
      <c r="AX144" s="454"/>
      <c r="AY144" s="460"/>
      <c r="AZ144" s="487" t="s">
        <v>855</v>
      </c>
    </row>
    <row r="145" spans="2:52" ht="13.5" customHeight="1" thickTop="1">
      <c r="B145" s="670"/>
      <c r="C145" s="666"/>
      <c r="D145" s="670"/>
      <c r="E145" s="462"/>
      <c r="F145" s="12"/>
      <c r="G145" s="454"/>
      <c r="H145" s="454"/>
      <c r="I145" s="454"/>
      <c r="J145" s="454"/>
      <c r="K145" s="454"/>
      <c r="L145" s="454"/>
      <c r="M145" s="454"/>
      <c r="N145" s="454"/>
      <c r="O145" s="454"/>
      <c r="P145" s="454"/>
      <c r="Q145" s="454"/>
      <c r="R145" s="454"/>
      <c r="S145" s="454"/>
      <c r="T145" s="454"/>
      <c r="U145" s="454"/>
      <c r="V145" s="454"/>
      <c r="W145" s="454"/>
      <c r="X145" s="454"/>
      <c r="Y145" s="454"/>
      <c r="Z145" s="454"/>
      <c r="AA145" s="454"/>
      <c r="AB145" s="454"/>
      <c r="AC145" s="454"/>
      <c r="AD145" s="454"/>
      <c r="AE145" s="454"/>
      <c r="AF145" s="454"/>
      <c r="AG145" s="454"/>
      <c r="AH145" s="454"/>
      <c r="AI145" s="454"/>
      <c r="AJ145" s="454"/>
      <c r="AK145" s="454"/>
      <c r="AL145" s="454"/>
      <c r="AM145" s="454"/>
      <c r="AN145" s="454"/>
      <c r="AO145" s="454"/>
      <c r="AP145" s="454"/>
      <c r="AQ145" s="454"/>
      <c r="AR145" s="454"/>
      <c r="AS145" s="454"/>
      <c r="AT145" s="454"/>
      <c r="AU145" s="454"/>
      <c r="AV145" s="454"/>
      <c r="AW145" s="454"/>
      <c r="AX145" s="454"/>
      <c r="AY145" s="460"/>
      <c r="AZ145" s="451"/>
    </row>
    <row r="146" spans="2:52" ht="13.5" customHeight="1">
      <c r="B146" s="670"/>
      <c r="C146" s="666"/>
      <c r="D146" s="670"/>
      <c r="E146" s="462"/>
      <c r="F146" s="12"/>
      <c r="G146" s="454"/>
      <c r="H146" s="454"/>
      <c r="I146" s="454"/>
      <c r="J146" s="454"/>
      <c r="K146" s="454"/>
      <c r="L146" s="454"/>
      <c r="M146" s="454"/>
      <c r="N146" s="454"/>
      <c r="O146" s="454"/>
      <c r="P146" s="454"/>
      <c r="Q146" s="454"/>
      <c r="R146" s="454"/>
      <c r="S146" s="454"/>
      <c r="T146" s="454"/>
      <c r="U146" s="454"/>
      <c r="V146" s="454"/>
      <c r="W146" s="454"/>
      <c r="X146" s="454"/>
      <c r="Y146" s="454"/>
      <c r="Z146" s="454"/>
      <c r="AA146" s="454"/>
      <c r="AB146" s="454"/>
      <c r="AC146" s="454"/>
      <c r="AD146" s="454"/>
      <c r="AE146" s="454"/>
      <c r="AF146" s="454"/>
      <c r="AG146" s="454"/>
      <c r="AH146" s="454"/>
      <c r="AI146" s="454"/>
      <c r="AJ146" s="454"/>
      <c r="AK146" s="454"/>
      <c r="AL146" s="454"/>
      <c r="AM146" s="454"/>
      <c r="AN146" s="454"/>
      <c r="AO146" s="454"/>
      <c r="AP146" s="454"/>
      <c r="AQ146" s="454"/>
      <c r="AR146" s="454"/>
      <c r="AS146" s="454"/>
      <c r="AT146" s="454"/>
      <c r="AU146" s="454"/>
      <c r="AV146" s="454"/>
      <c r="AW146" s="454"/>
      <c r="AX146" s="454"/>
      <c r="AY146" s="460"/>
      <c r="AZ146" s="451"/>
    </row>
    <row r="147" spans="2:52" ht="13.5" customHeight="1">
      <c r="B147" s="670"/>
      <c r="C147" s="666"/>
      <c r="D147" s="670"/>
      <c r="E147" s="462"/>
      <c r="F147" s="12"/>
      <c r="G147" s="454"/>
      <c r="H147" s="454"/>
      <c r="I147" s="454"/>
      <c r="J147" s="454"/>
      <c r="K147" s="454"/>
      <c r="L147" s="454"/>
      <c r="M147" s="454"/>
      <c r="N147" s="454"/>
      <c r="O147" s="454"/>
      <c r="P147" s="454"/>
      <c r="Q147" s="454"/>
      <c r="R147" s="454"/>
      <c r="S147" s="454"/>
      <c r="T147" s="454"/>
      <c r="U147" s="454"/>
      <c r="V147" s="454"/>
      <c r="W147" s="454"/>
      <c r="X147" s="454"/>
      <c r="Y147" s="454"/>
      <c r="Z147" s="454"/>
      <c r="AA147" s="454"/>
      <c r="AB147" s="454"/>
      <c r="AC147" s="454"/>
      <c r="AD147" s="454"/>
      <c r="AE147" s="454"/>
      <c r="AF147" s="454"/>
      <c r="AG147" s="454"/>
      <c r="AH147" s="454"/>
      <c r="AI147" s="454"/>
      <c r="AJ147" s="454"/>
      <c r="AK147" s="454"/>
      <c r="AL147" s="454"/>
      <c r="AM147" s="454"/>
      <c r="AN147" s="454"/>
      <c r="AO147" s="454"/>
      <c r="AP147" s="454"/>
      <c r="AQ147" s="454"/>
      <c r="AR147" s="454"/>
      <c r="AS147" s="454"/>
      <c r="AT147" s="454"/>
      <c r="AU147" s="454"/>
      <c r="AV147" s="454"/>
      <c r="AW147" s="454"/>
      <c r="AX147" s="454"/>
      <c r="AY147" s="460"/>
      <c r="AZ147" s="451"/>
    </row>
    <row r="148" spans="2:52" ht="13.5" customHeight="1">
      <c r="B148" s="670"/>
      <c r="C148" s="666"/>
      <c r="D148" s="670"/>
      <c r="E148" s="462"/>
      <c r="F148" s="12"/>
      <c r="G148" s="454"/>
      <c r="H148" s="454"/>
      <c r="I148" s="454"/>
      <c r="J148" s="454"/>
      <c r="K148" s="454"/>
      <c r="L148" s="454"/>
      <c r="M148" s="454"/>
      <c r="N148" s="454"/>
      <c r="O148" s="454"/>
      <c r="P148" s="454"/>
      <c r="Q148" s="454"/>
      <c r="R148" s="454"/>
      <c r="S148" s="454"/>
      <c r="T148" s="454"/>
      <c r="U148" s="454"/>
      <c r="V148" s="454"/>
      <c r="W148" s="454"/>
      <c r="X148" s="454"/>
      <c r="Y148" s="454"/>
      <c r="Z148" s="454"/>
      <c r="AA148" s="454"/>
      <c r="AB148" s="454"/>
      <c r="AC148" s="454"/>
      <c r="AD148" s="454"/>
      <c r="AE148" s="454"/>
      <c r="AF148" s="454"/>
      <c r="AG148" s="454"/>
      <c r="AH148" s="455"/>
      <c r="AI148" s="454"/>
      <c r="AJ148" s="454"/>
      <c r="AK148" s="454"/>
      <c r="AL148" s="454"/>
      <c r="AM148" s="454"/>
      <c r="AN148" s="454"/>
      <c r="AO148" s="454"/>
      <c r="AP148" s="454"/>
      <c r="AQ148" s="454"/>
      <c r="AR148" s="454"/>
      <c r="AS148" s="454"/>
      <c r="AT148" s="454"/>
      <c r="AU148" s="454"/>
      <c r="AV148" s="454"/>
      <c r="AW148" s="454"/>
      <c r="AX148" s="454"/>
      <c r="AY148" s="460"/>
      <c r="AZ148" s="451"/>
    </row>
    <row r="149" spans="2:52" ht="13.5" customHeight="1">
      <c r="B149" s="670"/>
      <c r="C149" s="671"/>
      <c r="D149" s="681"/>
      <c r="E149" s="465"/>
      <c r="F149" s="7"/>
      <c r="G149" s="466"/>
      <c r="H149" s="466"/>
      <c r="I149" s="466"/>
      <c r="J149" s="466"/>
      <c r="K149" s="466"/>
      <c r="L149" s="466"/>
      <c r="M149" s="466"/>
      <c r="N149" s="466"/>
      <c r="O149" s="466"/>
      <c r="P149" s="466"/>
      <c r="Q149" s="466"/>
      <c r="R149" s="466"/>
      <c r="S149" s="466"/>
      <c r="T149" s="466"/>
      <c r="U149" s="466"/>
      <c r="V149" s="466"/>
      <c r="W149" s="466"/>
      <c r="X149" s="466"/>
      <c r="Y149" s="466"/>
      <c r="Z149" s="466"/>
      <c r="AA149" s="466"/>
      <c r="AB149" s="466"/>
      <c r="AC149" s="466"/>
      <c r="AD149" s="466"/>
      <c r="AE149" s="466"/>
      <c r="AF149" s="466"/>
      <c r="AG149" s="466"/>
      <c r="AH149" s="466"/>
      <c r="AI149" s="466"/>
      <c r="AJ149" s="466"/>
      <c r="AK149" s="466"/>
      <c r="AL149" s="466"/>
      <c r="AM149" s="466"/>
      <c r="AN149" s="466"/>
      <c r="AO149" s="466"/>
      <c r="AP149" s="466"/>
      <c r="AQ149" s="466"/>
      <c r="AR149" s="466"/>
      <c r="AS149" s="466"/>
      <c r="AT149" s="466"/>
      <c r="AU149" s="466"/>
      <c r="AV149" s="466"/>
      <c r="AW149" s="466"/>
      <c r="AX149" s="466"/>
      <c r="AY149" s="461"/>
      <c r="AZ149" s="453"/>
    </row>
    <row r="150" spans="2:52" ht="13.5" customHeight="1" thickBot="1">
      <c r="B150" s="670"/>
      <c r="C150" s="682">
        <v>3</v>
      </c>
      <c r="D150" s="680" t="s">
        <v>7</v>
      </c>
      <c r="E150" s="463"/>
      <c r="F150" s="17"/>
      <c r="G150" s="464"/>
      <c r="H150" s="464"/>
      <c r="I150" s="464"/>
      <c r="J150" s="464"/>
      <c r="K150" s="464"/>
      <c r="L150" s="464"/>
      <c r="M150" s="464"/>
      <c r="N150" s="464"/>
      <c r="O150" s="464"/>
      <c r="P150" s="464"/>
      <c r="Q150" s="464"/>
      <c r="R150" s="464"/>
      <c r="S150" s="464"/>
      <c r="T150" s="464"/>
      <c r="U150" s="464"/>
      <c r="V150" s="464"/>
      <c r="W150" s="464"/>
      <c r="X150" s="464"/>
      <c r="Y150" s="464"/>
      <c r="Z150" s="464"/>
      <c r="AA150" s="464"/>
      <c r="AB150" s="464"/>
      <c r="AC150" s="464"/>
      <c r="AD150" s="464"/>
      <c r="AE150" s="464"/>
      <c r="AF150" s="464"/>
      <c r="AG150" s="464"/>
      <c r="AH150" s="464"/>
      <c r="AI150" s="464"/>
      <c r="AJ150" s="464"/>
      <c r="AK150" s="464"/>
      <c r="AL150" s="464"/>
      <c r="AM150" s="464"/>
      <c r="AN150" s="464"/>
      <c r="AO150" s="464"/>
      <c r="AP150" s="464"/>
      <c r="AQ150" s="464"/>
      <c r="AR150" s="464"/>
      <c r="AS150" s="464"/>
      <c r="AT150" s="464"/>
      <c r="AU150" s="464"/>
      <c r="AV150" s="464"/>
      <c r="AW150" s="464"/>
      <c r="AX150" s="464"/>
      <c r="AY150" s="459"/>
      <c r="AZ150" s="458"/>
    </row>
    <row r="151" spans="2:52" ht="13.5" customHeight="1" thickTop="1" thickBot="1">
      <c r="B151" s="670"/>
      <c r="C151" s="666"/>
      <c r="D151" s="670"/>
      <c r="E151" s="462" t="s">
        <v>6</v>
      </c>
      <c r="F151" s="12"/>
      <c r="G151" s="454"/>
      <c r="H151" s="454"/>
      <c r="I151" s="454"/>
      <c r="J151" s="454"/>
      <c r="K151" s="454"/>
      <c r="L151" s="454"/>
      <c r="M151" s="454"/>
      <c r="N151" s="454"/>
      <c r="O151" s="454"/>
      <c r="P151" s="454"/>
      <c r="Q151" s="454"/>
      <c r="R151" s="454"/>
      <c r="S151" s="454"/>
      <c r="T151" s="667">
        <f>T144</f>
        <v>264543707</v>
      </c>
      <c r="U151" s="668"/>
      <c r="V151" s="668"/>
      <c r="W151" s="668"/>
      <c r="X151" s="668"/>
      <c r="Y151" s="669"/>
      <c r="Z151" s="454"/>
      <c r="AA151" s="454"/>
      <c r="AB151" s="455" t="s">
        <v>5</v>
      </c>
      <c r="AC151" s="454"/>
      <c r="AD151" s="454"/>
      <c r="AE151" s="454"/>
      <c r="AF151" s="454"/>
      <c r="AG151" s="454"/>
      <c r="AH151" s="454"/>
      <c r="AI151" s="454"/>
      <c r="AJ151" s="454"/>
      <c r="AK151" s="454"/>
      <c r="AL151" s="454"/>
      <c r="AM151" s="454"/>
      <c r="AN151" s="454"/>
      <c r="AO151" s="454"/>
      <c r="AP151" s="454"/>
      <c r="AQ151" s="454"/>
      <c r="AR151" s="454"/>
      <c r="AS151" s="454"/>
      <c r="AT151" s="454"/>
      <c r="AU151" s="454"/>
      <c r="AV151" s="454"/>
      <c r="AW151" s="454"/>
      <c r="AX151" s="454"/>
      <c r="AY151" s="460"/>
      <c r="AZ151" s="451"/>
    </row>
    <row r="152" spans="2:52" ht="13.5" customHeight="1" thickTop="1" thickBot="1">
      <c r="B152" s="670"/>
      <c r="C152" s="666"/>
      <c r="D152" s="670"/>
      <c r="E152" s="462" t="s">
        <v>4</v>
      </c>
      <c r="F152" s="12"/>
      <c r="G152" s="454"/>
      <c r="H152" s="454"/>
      <c r="I152" s="454"/>
      <c r="J152" s="454"/>
      <c r="K152" s="454"/>
      <c r="L152" s="454"/>
      <c r="M152" s="454"/>
      <c r="N152" s="454"/>
      <c r="O152" s="454"/>
      <c r="P152" s="454"/>
      <c r="Q152" s="454"/>
      <c r="R152" s="454"/>
      <c r="S152" s="454"/>
      <c r="T152" s="667">
        <f>ROUNDDOWN(T151*22/78,0)</f>
        <v>74614891</v>
      </c>
      <c r="U152" s="668"/>
      <c r="V152" s="668"/>
      <c r="W152" s="668"/>
      <c r="X152" s="668"/>
      <c r="Y152" s="669"/>
      <c r="Z152" s="482" t="s">
        <v>821</v>
      </c>
      <c r="AA152" s="482"/>
      <c r="AB152" s="483" t="s">
        <v>874</v>
      </c>
      <c r="AC152" s="454"/>
      <c r="AD152" s="454"/>
      <c r="AE152" s="454"/>
      <c r="AF152" s="454"/>
      <c r="AG152" s="491"/>
      <c r="AH152" s="454"/>
      <c r="AI152" s="454"/>
      <c r="AJ152" s="454"/>
      <c r="AK152" s="454"/>
      <c r="AL152" s="454"/>
      <c r="AM152" s="454"/>
      <c r="AN152" s="454"/>
      <c r="AO152" s="454"/>
      <c r="AP152" s="454"/>
      <c r="AQ152" s="454"/>
      <c r="AR152" s="454"/>
      <c r="AS152" s="454"/>
      <c r="AT152" s="454"/>
      <c r="AU152" s="454"/>
      <c r="AV152" s="454"/>
      <c r="AW152" s="454"/>
      <c r="AX152" s="454"/>
      <c r="AY152" s="460"/>
      <c r="AZ152" s="487" t="s">
        <v>857</v>
      </c>
    </row>
    <row r="153" spans="2:52" ht="13.5" customHeight="1" thickTop="1">
      <c r="B153" s="670"/>
      <c r="C153" s="666"/>
      <c r="D153" s="670"/>
      <c r="E153" s="462"/>
      <c r="F153" s="12"/>
      <c r="G153" s="454"/>
      <c r="H153" s="454"/>
      <c r="I153" s="454"/>
      <c r="J153" s="454"/>
      <c r="K153" s="454"/>
      <c r="L153" s="454"/>
      <c r="M153" s="454"/>
      <c r="N153" s="454"/>
      <c r="O153" s="454"/>
      <c r="P153" s="454"/>
      <c r="Q153" s="454"/>
      <c r="R153" s="454"/>
      <c r="S153" s="454"/>
      <c r="T153" s="454"/>
      <c r="U153" s="454"/>
      <c r="V153" s="454"/>
      <c r="W153" s="454"/>
      <c r="X153" s="454"/>
      <c r="Y153" s="454"/>
      <c r="Z153" s="454"/>
      <c r="AA153" s="454"/>
      <c r="AB153" s="454"/>
      <c r="AC153" s="454"/>
      <c r="AD153" s="454"/>
      <c r="AE153" s="454"/>
      <c r="AF153" s="454"/>
      <c r="AG153" s="454"/>
      <c r="AH153" s="454"/>
      <c r="AI153" s="454"/>
      <c r="AJ153" s="454"/>
      <c r="AK153" s="454"/>
      <c r="AL153" s="454"/>
      <c r="AM153" s="454"/>
      <c r="AN153" s="454"/>
      <c r="AO153" s="454"/>
      <c r="AP153" s="454"/>
      <c r="AQ153" s="454"/>
      <c r="AR153" s="454"/>
      <c r="AS153" s="454"/>
      <c r="AT153" s="454"/>
      <c r="AU153" s="454"/>
      <c r="AV153" s="454"/>
      <c r="AW153" s="454"/>
      <c r="AX153" s="454"/>
      <c r="AY153" s="460"/>
      <c r="AZ153" s="451"/>
    </row>
    <row r="154" spans="2:52" ht="13.5" customHeight="1">
      <c r="B154" s="670"/>
      <c r="C154" s="666"/>
      <c r="D154" s="670"/>
      <c r="E154" s="462"/>
      <c r="F154" s="12"/>
      <c r="G154" s="454"/>
      <c r="H154" s="454"/>
      <c r="I154" s="454"/>
      <c r="J154" s="454"/>
      <c r="K154" s="454"/>
      <c r="L154" s="454"/>
      <c r="M154" s="454"/>
      <c r="N154" s="454"/>
      <c r="O154" s="454"/>
      <c r="P154" s="454"/>
      <c r="Q154" s="454"/>
      <c r="R154" s="454"/>
      <c r="S154" s="454"/>
      <c r="T154" s="454"/>
      <c r="U154" s="454"/>
      <c r="V154" s="454"/>
      <c r="W154" s="454"/>
      <c r="X154" s="454"/>
      <c r="Y154" s="454"/>
      <c r="Z154" s="454"/>
      <c r="AA154" s="454"/>
      <c r="AB154" s="454"/>
      <c r="AC154" s="454"/>
      <c r="AD154" s="454"/>
      <c r="AE154" s="454"/>
      <c r="AF154" s="454"/>
      <c r="AG154" s="454"/>
      <c r="AH154" s="454"/>
      <c r="AI154" s="454"/>
      <c r="AJ154" s="454"/>
      <c r="AK154" s="454"/>
      <c r="AL154" s="454"/>
      <c r="AM154" s="454"/>
      <c r="AN154" s="454"/>
      <c r="AO154" s="454"/>
      <c r="AP154" s="454"/>
      <c r="AQ154" s="454"/>
      <c r="AR154" s="454"/>
      <c r="AS154" s="454"/>
      <c r="AT154" s="454"/>
      <c r="AU154" s="454"/>
      <c r="AV154" s="454"/>
      <c r="AW154" s="454"/>
      <c r="AX154" s="454"/>
      <c r="AY154" s="460"/>
      <c r="AZ154" s="451"/>
    </row>
    <row r="155" spans="2:52" ht="13.5" customHeight="1">
      <c r="B155" s="670"/>
      <c r="C155" s="666"/>
      <c r="D155" s="670"/>
      <c r="E155" s="462"/>
      <c r="F155" s="12"/>
      <c r="G155" s="454"/>
      <c r="H155" s="454"/>
      <c r="I155" s="454"/>
      <c r="J155" s="454"/>
      <c r="K155" s="454"/>
      <c r="L155" s="454"/>
      <c r="M155" s="454"/>
      <c r="N155" s="454"/>
      <c r="O155" s="454"/>
      <c r="P155" s="454"/>
      <c r="Q155" s="454"/>
      <c r="R155" s="454"/>
      <c r="S155" s="454"/>
      <c r="T155" s="454"/>
      <c r="U155" s="454"/>
      <c r="V155" s="454"/>
      <c r="W155" s="454"/>
      <c r="X155" s="454"/>
      <c r="Y155" s="454"/>
      <c r="Z155" s="454"/>
      <c r="AA155" s="454"/>
      <c r="AB155" s="454"/>
      <c r="AC155" s="454"/>
      <c r="AD155" s="454"/>
      <c r="AE155" s="454"/>
      <c r="AF155" s="454"/>
      <c r="AG155" s="454"/>
      <c r="AH155" s="454"/>
      <c r="AI155" s="454"/>
      <c r="AJ155" s="454"/>
      <c r="AK155" s="454"/>
      <c r="AL155" s="454"/>
      <c r="AM155" s="454"/>
      <c r="AN155" s="454"/>
      <c r="AO155" s="454"/>
      <c r="AP155" s="454"/>
      <c r="AQ155" s="454"/>
      <c r="AR155" s="454"/>
      <c r="AS155" s="454"/>
      <c r="AT155" s="454"/>
      <c r="AU155" s="454"/>
      <c r="AV155" s="454"/>
      <c r="AW155" s="454"/>
      <c r="AX155" s="454"/>
      <c r="AY155" s="460"/>
      <c r="AZ155" s="451"/>
    </row>
    <row r="156" spans="2:52" ht="13.5" customHeight="1">
      <c r="B156" s="670"/>
      <c r="C156" s="666"/>
      <c r="D156" s="670"/>
      <c r="E156" s="462"/>
      <c r="F156" s="12"/>
      <c r="G156" s="454"/>
      <c r="H156" s="454"/>
      <c r="I156" s="454"/>
      <c r="J156" s="454"/>
      <c r="K156" s="454"/>
      <c r="L156" s="454"/>
      <c r="M156" s="454"/>
      <c r="N156" s="454"/>
      <c r="O156" s="454"/>
      <c r="P156" s="454"/>
      <c r="Q156" s="454"/>
      <c r="R156" s="454"/>
      <c r="S156" s="454"/>
      <c r="T156" s="454"/>
      <c r="U156" s="454"/>
      <c r="V156" s="454"/>
      <c r="W156" s="454"/>
      <c r="X156" s="454"/>
      <c r="Y156" s="454"/>
      <c r="Z156" s="454"/>
      <c r="AA156" s="454"/>
      <c r="AB156" s="454"/>
      <c r="AC156" s="454"/>
      <c r="AD156" s="454"/>
      <c r="AE156" s="454"/>
      <c r="AF156" s="454"/>
      <c r="AG156" s="454"/>
      <c r="AH156" s="455"/>
      <c r="AI156" s="454"/>
      <c r="AJ156" s="454"/>
      <c r="AK156" s="454"/>
      <c r="AL156" s="454"/>
      <c r="AM156" s="454"/>
      <c r="AN156" s="454"/>
      <c r="AO156" s="454"/>
      <c r="AP156" s="454"/>
      <c r="AQ156" s="454"/>
      <c r="AR156" s="454"/>
      <c r="AS156" s="454"/>
      <c r="AT156" s="454"/>
      <c r="AU156" s="454"/>
      <c r="AV156" s="454"/>
      <c r="AW156" s="454"/>
      <c r="AX156" s="454"/>
      <c r="AY156" s="460"/>
      <c r="AZ156" s="451"/>
    </row>
    <row r="157" spans="2:52" ht="13.5" customHeight="1">
      <c r="B157" s="670"/>
      <c r="C157" s="671"/>
      <c r="D157" s="681"/>
      <c r="E157" s="465"/>
      <c r="F157" s="7"/>
      <c r="G157" s="466"/>
      <c r="H157" s="466"/>
      <c r="I157" s="466"/>
      <c r="J157" s="466"/>
      <c r="K157" s="466"/>
      <c r="L157" s="466"/>
      <c r="M157" s="466"/>
      <c r="N157" s="466"/>
      <c r="O157" s="466"/>
      <c r="P157" s="466"/>
      <c r="Q157" s="466"/>
      <c r="R157" s="466"/>
      <c r="S157" s="466"/>
      <c r="T157" s="466"/>
      <c r="U157" s="466"/>
      <c r="V157" s="466"/>
      <c r="W157" s="466"/>
      <c r="X157" s="466"/>
      <c r="Y157" s="466"/>
      <c r="Z157" s="466"/>
      <c r="AA157" s="466"/>
      <c r="AB157" s="466"/>
      <c r="AC157" s="466"/>
      <c r="AD157" s="466"/>
      <c r="AE157" s="466"/>
      <c r="AF157" s="466"/>
      <c r="AG157" s="466"/>
      <c r="AH157" s="466"/>
      <c r="AI157" s="466"/>
      <c r="AJ157" s="466"/>
      <c r="AK157" s="466"/>
      <c r="AL157" s="466"/>
      <c r="AM157" s="466"/>
      <c r="AN157" s="466"/>
      <c r="AO157" s="466"/>
      <c r="AP157" s="466"/>
      <c r="AQ157" s="466"/>
      <c r="AR157" s="466"/>
      <c r="AS157" s="466"/>
      <c r="AT157" s="466"/>
      <c r="AU157" s="466"/>
      <c r="AV157" s="466"/>
      <c r="AW157" s="466"/>
      <c r="AX157" s="466"/>
      <c r="AY157" s="461"/>
      <c r="AZ157" s="453"/>
    </row>
    <row r="158" spans="2:52" ht="13.5" customHeight="1">
      <c r="B158" s="670"/>
      <c r="C158" s="682">
        <v>4</v>
      </c>
      <c r="D158" s="680" t="s">
        <v>0</v>
      </c>
      <c r="E158" s="463"/>
      <c r="F158" s="17"/>
      <c r="G158" s="464"/>
      <c r="H158" s="464"/>
      <c r="I158" s="464"/>
      <c r="J158" s="464"/>
      <c r="K158" s="464"/>
      <c r="L158" s="464"/>
      <c r="M158" s="464"/>
      <c r="N158" s="464"/>
      <c r="O158" s="464"/>
      <c r="P158" s="464"/>
      <c r="Q158" s="464"/>
      <c r="R158" s="464"/>
      <c r="S158" s="464"/>
      <c r="T158" s="464"/>
      <c r="U158" s="464"/>
      <c r="V158" s="464"/>
      <c r="W158" s="464"/>
      <c r="X158" s="464"/>
      <c r="Y158" s="464"/>
      <c r="Z158" s="464"/>
      <c r="AA158" s="464"/>
      <c r="AB158" s="464"/>
      <c r="AC158" s="464"/>
      <c r="AD158" s="464"/>
      <c r="AE158" s="464"/>
      <c r="AF158" s="464"/>
      <c r="AG158" s="464"/>
      <c r="AH158" s="464"/>
      <c r="AI158" s="464"/>
      <c r="AJ158" s="464"/>
      <c r="AK158" s="464"/>
      <c r="AL158" s="464"/>
      <c r="AM158" s="464"/>
      <c r="AN158" s="464"/>
      <c r="AO158" s="464"/>
      <c r="AP158" s="464"/>
      <c r="AQ158" s="464"/>
      <c r="AR158" s="464"/>
      <c r="AS158" s="464"/>
      <c r="AT158" s="464"/>
      <c r="AU158" s="464"/>
      <c r="AV158" s="464"/>
      <c r="AW158" s="464"/>
      <c r="AX158" s="464"/>
      <c r="AY158" s="459"/>
      <c r="AZ158" s="458"/>
    </row>
    <row r="159" spans="2:52" ht="13.5" customHeight="1">
      <c r="B159" s="670"/>
      <c r="C159" s="666"/>
      <c r="D159" s="670"/>
      <c r="E159" s="462"/>
      <c r="F159" s="12"/>
      <c r="G159" s="454"/>
      <c r="H159" s="454"/>
      <c r="I159" s="454"/>
      <c r="J159" s="454"/>
      <c r="K159" s="454"/>
      <c r="L159" s="454"/>
      <c r="M159" s="454"/>
      <c r="N159" s="454"/>
      <c r="O159" s="454"/>
      <c r="P159" s="454"/>
      <c r="Q159" s="454"/>
      <c r="R159" s="454"/>
      <c r="S159" s="454"/>
      <c r="T159" s="454"/>
      <c r="U159" s="454"/>
      <c r="V159" s="454"/>
      <c r="W159" s="454"/>
      <c r="X159" s="454"/>
      <c r="Y159" s="454"/>
      <c r="Z159" s="454"/>
      <c r="AA159" s="454"/>
      <c r="AB159" s="454"/>
      <c r="AC159" s="454"/>
      <c r="AD159" s="454"/>
      <c r="AE159" s="454"/>
      <c r="AF159" s="454"/>
      <c r="AG159" s="454"/>
      <c r="AH159" s="454"/>
      <c r="AI159" s="454"/>
      <c r="AJ159" s="454"/>
      <c r="AK159" s="454"/>
      <c r="AL159" s="454"/>
      <c r="AM159" s="454"/>
      <c r="AN159" s="454"/>
      <c r="AO159" s="454"/>
      <c r="AP159" s="454"/>
      <c r="AQ159" s="454"/>
      <c r="AR159" s="454"/>
      <c r="AS159" s="454"/>
      <c r="AT159" s="454"/>
      <c r="AU159" s="454"/>
      <c r="AV159" s="454"/>
      <c r="AW159" s="454"/>
      <c r="AX159" s="454"/>
      <c r="AY159" s="460"/>
      <c r="AZ159" s="451"/>
    </row>
    <row r="160" spans="2:52" ht="13.5" customHeight="1">
      <c r="B160" s="681"/>
      <c r="C160" s="671"/>
      <c r="D160" s="681"/>
      <c r="E160" s="465"/>
      <c r="F160" s="7"/>
      <c r="G160" s="466"/>
      <c r="H160" s="466"/>
      <c r="I160" s="466"/>
      <c r="J160" s="466"/>
      <c r="K160" s="466"/>
      <c r="L160" s="466"/>
      <c r="M160" s="466"/>
      <c r="N160" s="466"/>
      <c r="O160" s="466"/>
      <c r="P160" s="466"/>
      <c r="Q160" s="466"/>
      <c r="R160" s="466"/>
      <c r="S160" s="466"/>
      <c r="T160" s="466"/>
      <c r="U160" s="466"/>
      <c r="V160" s="466"/>
      <c r="W160" s="466"/>
      <c r="X160" s="466"/>
      <c r="Y160" s="466"/>
      <c r="Z160" s="466"/>
      <c r="AA160" s="466"/>
      <c r="AB160" s="466"/>
      <c r="AC160" s="466"/>
      <c r="AD160" s="466"/>
      <c r="AE160" s="466"/>
      <c r="AF160" s="466"/>
      <c r="AG160" s="466"/>
      <c r="AH160" s="466"/>
      <c r="AI160" s="466"/>
      <c r="AJ160" s="466"/>
      <c r="AK160" s="466"/>
      <c r="AL160" s="466"/>
      <c r="AM160" s="466"/>
      <c r="AN160" s="466"/>
      <c r="AO160" s="466"/>
      <c r="AP160" s="466"/>
      <c r="AQ160" s="466"/>
      <c r="AR160" s="466"/>
      <c r="AS160" s="466"/>
      <c r="AT160" s="466"/>
      <c r="AU160" s="466"/>
      <c r="AV160" s="466"/>
      <c r="AW160" s="466"/>
      <c r="AX160" s="466"/>
      <c r="AY160" s="461"/>
      <c r="AZ160" s="453"/>
    </row>
  </sheetData>
  <mergeCells count="135">
    <mergeCell ref="B2:D2"/>
    <mergeCell ref="E2:AY2"/>
    <mergeCell ref="B3:B32"/>
    <mergeCell ref="C3:C4"/>
    <mergeCell ref="D3:D4"/>
    <mergeCell ref="E3:AY4"/>
    <mergeCell ref="C5:C7"/>
    <mergeCell ref="D5:D7"/>
    <mergeCell ref="E5:AY12"/>
    <mergeCell ref="C8:C10"/>
    <mergeCell ref="D8:D10"/>
    <mergeCell ref="C11:C12"/>
    <mergeCell ref="D11:D12"/>
    <mergeCell ref="C13:C14"/>
    <mergeCell ref="D13:D14"/>
    <mergeCell ref="E13:AY18"/>
    <mergeCell ref="C15:C16"/>
    <mergeCell ref="D15:D16"/>
    <mergeCell ref="C17:C18"/>
    <mergeCell ref="D17:D18"/>
    <mergeCell ref="C19:C32"/>
    <mergeCell ref="D19:D32"/>
    <mergeCell ref="R20:W20"/>
    <mergeCell ref="R21:W21"/>
    <mergeCell ref="AK21:AP21"/>
    <mergeCell ref="R24:W24"/>
    <mergeCell ref="R25:W25"/>
    <mergeCell ref="R27:W27"/>
    <mergeCell ref="R29:W29"/>
    <mergeCell ref="R31:W31"/>
    <mergeCell ref="B33:B43"/>
    <mergeCell ref="C33:C43"/>
    <mergeCell ref="D33:D43"/>
    <mergeCell ref="AZ36:AZ37"/>
    <mergeCell ref="AZ40:AZ41"/>
    <mergeCell ref="B44:B71"/>
    <mergeCell ref="C44:C46"/>
    <mergeCell ref="D44:D46"/>
    <mergeCell ref="E44:AY46"/>
    <mergeCell ref="C47:C49"/>
    <mergeCell ref="C54:C55"/>
    <mergeCell ref="D54:D55"/>
    <mergeCell ref="E54:AY55"/>
    <mergeCell ref="C56:C57"/>
    <mergeCell ref="D56:D57"/>
    <mergeCell ref="E56:AY57"/>
    <mergeCell ref="D47:D49"/>
    <mergeCell ref="E47:AY51"/>
    <mergeCell ref="C50:C51"/>
    <mergeCell ref="D50:D51"/>
    <mergeCell ref="C52:C53"/>
    <mergeCell ref="D52:D53"/>
    <mergeCell ref="E52:AY53"/>
    <mergeCell ref="C58:C71"/>
    <mergeCell ref="D58:D71"/>
    <mergeCell ref="R59:W59"/>
    <mergeCell ref="R60:W60"/>
    <mergeCell ref="AK60:AP60"/>
    <mergeCell ref="R65:W65"/>
    <mergeCell ref="R66:W66"/>
    <mergeCell ref="T68:Y68"/>
    <mergeCell ref="T70:Y70"/>
    <mergeCell ref="C81:C83"/>
    <mergeCell ref="D81:D83"/>
    <mergeCell ref="E81:AY83"/>
    <mergeCell ref="C84:C86"/>
    <mergeCell ref="D84:D86"/>
    <mergeCell ref="E84:AY86"/>
    <mergeCell ref="R61:W61"/>
    <mergeCell ref="R62:W62"/>
    <mergeCell ref="AI61:AN61"/>
    <mergeCell ref="R63:W63"/>
    <mergeCell ref="AI62:AN62"/>
    <mergeCell ref="AC111:AH111"/>
    <mergeCell ref="AA113:AF113"/>
    <mergeCell ref="AH113:AH116"/>
    <mergeCell ref="AI113:AQ116"/>
    <mergeCell ref="B72:B86"/>
    <mergeCell ref="C72:C73"/>
    <mergeCell ref="D72:D73"/>
    <mergeCell ref="E72:AY73"/>
    <mergeCell ref="C74:C76"/>
    <mergeCell ref="D74:D76"/>
    <mergeCell ref="E74:AY76"/>
    <mergeCell ref="C77:C80"/>
    <mergeCell ref="D77:D80"/>
    <mergeCell ref="E77:AY80"/>
    <mergeCell ref="B131:B160"/>
    <mergeCell ref="C131:C140"/>
    <mergeCell ref="D131:D140"/>
    <mergeCell ref="T132:Y132"/>
    <mergeCell ref="T134:Y134"/>
    <mergeCell ref="B87:B130"/>
    <mergeCell ref="C150:C157"/>
    <mergeCell ref="D150:D157"/>
    <mergeCell ref="T151:Y151"/>
    <mergeCell ref="T152:Y152"/>
    <mergeCell ref="C158:C160"/>
    <mergeCell ref="D158:D160"/>
    <mergeCell ref="T136:Y136"/>
    <mergeCell ref="T137:Y137"/>
    <mergeCell ref="T139:Y139"/>
    <mergeCell ref="C141:C149"/>
    <mergeCell ref="D141:D149"/>
    <mergeCell ref="T142:Y142"/>
    <mergeCell ref="D97:D123"/>
    <mergeCell ref="E103:R106"/>
    <mergeCell ref="C87:C96"/>
    <mergeCell ref="D87:D96"/>
    <mergeCell ref="P88:U88"/>
    <mergeCell ref="P89:U89"/>
    <mergeCell ref="T143:Y143"/>
    <mergeCell ref="T144:Y144"/>
    <mergeCell ref="F113:S116"/>
    <mergeCell ref="P93:U93"/>
    <mergeCell ref="P95:U95"/>
    <mergeCell ref="C97:C123"/>
    <mergeCell ref="AZ113:AZ116"/>
    <mergeCell ref="AA116:AF116"/>
    <mergeCell ref="AA118:AF118"/>
    <mergeCell ref="Z120:AE120"/>
    <mergeCell ref="Z122:AE122"/>
    <mergeCell ref="Z98:AE98"/>
    <mergeCell ref="Z100:AE100"/>
    <mergeCell ref="Z101:AE101"/>
    <mergeCell ref="Z103:AE103"/>
    <mergeCell ref="AZ87:AZ96"/>
    <mergeCell ref="AS89:AX89"/>
    <mergeCell ref="P91:U91"/>
    <mergeCell ref="P92:U92"/>
    <mergeCell ref="AE92:AJ92"/>
    <mergeCell ref="AG103:AG106"/>
    <mergeCell ref="AZ103:AZ106"/>
    <mergeCell ref="Z106:AE106"/>
    <mergeCell ref="Z108:AE108"/>
  </mergeCells>
  <phoneticPr fontId="4"/>
  <pageMargins left="0.39370078740157483" right="0.39370078740157483" top="0.74803149606299213" bottom="0.55118110236220474" header="0.31496062992125984" footer="0.15748031496062992"/>
  <pageSetup paperSize="9" scale="95" orientation="landscape" cellComments="asDisplayed" r:id="rId1"/>
  <headerFooter>
    <oddFooter>&amp;C&amp;P/&amp;N&amp;R&amp;A</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B1:BC160"/>
  <sheetViews>
    <sheetView view="pageBreakPreview" topLeftCell="A134" zoomScale="115" zoomScaleNormal="80" zoomScaleSheetLayoutView="115" workbookViewId="0">
      <selection activeCell="T154" activeCellId="1" sqref="T146:Y148 T154:Y156"/>
    </sheetView>
  </sheetViews>
  <sheetFormatPr defaultColWidth="9" defaultRowHeight="13.5" customHeight="1" outlineLevelRow="1"/>
  <cols>
    <col min="1" max="1" width="0.375" style="1" customWidth="1"/>
    <col min="2" max="2" width="10.625" style="1" customWidth="1"/>
    <col min="3" max="3" width="2.375" style="1" customWidth="1"/>
    <col min="4" max="4" width="35.25" style="3" customWidth="1"/>
    <col min="5" max="5" width="1.875" style="1" customWidth="1"/>
    <col min="6" max="6" width="1.875" style="2" customWidth="1"/>
    <col min="7" max="51" width="1.875" style="1" customWidth="1"/>
    <col min="52" max="52" width="9.375" style="1" customWidth="1"/>
    <col min="53" max="53" width="0.625" style="1" customWidth="1"/>
    <col min="54" max="54" width="9.875" style="1" bestFit="1" customWidth="1"/>
    <col min="55" max="55" width="10.75" style="1" bestFit="1" customWidth="1"/>
    <col min="56" max="16384" width="9" style="1"/>
  </cols>
  <sheetData>
    <row r="1" spans="2:52" ht="17.25" customHeight="1">
      <c r="B1" s="35" t="s">
        <v>172</v>
      </c>
      <c r="AZ1" s="34" t="s">
        <v>171</v>
      </c>
    </row>
    <row r="2" spans="2:52" ht="13.5" customHeight="1">
      <c r="B2" s="696" t="s">
        <v>170</v>
      </c>
      <c r="C2" s="696"/>
      <c r="D2" s="696"/>
      <c r="E2" s="696" t="s">
        <v>169</v>
      </c>
      <c r="F2" s="696"/>
      <c r="G2" s="696"/>
      <c r="H2" s="696"/>
      <c r="I2" s="696"/>
      <c r="J2" s="696"/>
      <c r="K2" s="696"/>
      <c r="L2" s="696"/>
      <c r="M2" s="696"/>
      <c r="N2" s="696"/>
      <c r="O2" s="696"/>
      <c r="P2" s="696"/>
      <c r="Q2" s="696"/>
      <c r="R2" s="696"/>
      <c r="S2" s="696"/>
      <c r="T2" s="696"/>
      <c r="U2" s="696"/>
      <c r="V2" s="696"/>
      <c r="W2" s="696"/>
      <c r="X2" s="696"/>
      <c r="Y2" s="696"/>
      <c r="Z2" s="696"/>
      <c r="AA2" s="696"/>
      <c r="AB2" s="696"/>
      <c r="AC2" s="696"/>
      <c r="AD2" s="696"/>
      <c r="AE2" s="696"/>
      <c r="AF2" s="696"/>
      <c r="AG2" s="696"/>
      <c r="AH2" s="696"/>
      <c r="AI2" s="696"/>
      <c r="AJ2" s="696"/>
      <c r="AK2" s="696"/>
      <c r="AL2" s="696"/>
      <c r="AM2" s="696"/>
      <c r="AN2" s="696"/>
      <c r="AO2" s="696"/>
      <c r="AP2" s="696"/>
      <c r="AQ2" s="696"/>
      <c r="AR2" s="696"/>
      <c r="AS2" s="696"/>
      <c r="AT2" s="696"/>
      <c r="AU2" s="696"/>
      <c r="AV2" s="696"/>
      <c r="AW2" s="696"/>
      <c r="AX2" s="696"/>
      <c r="AY2" s="696"/>
      <c r="AZ2" s="33" t="s">
        <v>168</v>
      </c>
    </row>
    <row r="3" spans="2:52" ht="13.5" customHeight="1">
      <c r="B3" s="682" t="s">
        <v>167</v>
      </c>
      <c r="C3" s="688">
        <v>1</v>
      </c>
      <c r="D3" s="690" t="s">
        <v>166</v>
      </c>
      <c r="E3" s="688" t="s">
        <v>165</v>
      </c>
      <c r="F3" s="688"/>
      <c r="G3" s="688"/>
      <c r="H3" s="688"/>
      <c r="I3" s="688"/>
      <c r="J3" s="688"/>
      <c r="K3" s="688"/>
      <c r="L3" s="688"/>
      <c r="M3" s="688"/>
      <c r="N3" s="688"/>
      <c r="O3" s="688"/>
      <c r="P3" s="688"/>
      <c r="Q3" s="688"/>
      <c r="R3" s="688"/>
      <c r="S3" s="688"/>
      <c r="T3" s="688"/>
      <c r="U3" s="688"/>
      <c r="V3" s="688"/>
      <c r="W3" s="688"/>
      <c r="X3" s="688"/>
      <c r="Y3" s="688"/>
      <c r="Z3" s="688"/>
      <c r="AA3" s="688"/>
      <c r="AB3" s="688"/>
      <c r="AC3" s="688"/>
      <c r="AD3" s="688"/>
      <c r="AE3" s="688"/>
      <c r="AF3" s="688"/>
      <c r="AG3" s="688"/>
      <c r="AH3" s="688"/>
      <c r="AI3" s="688"/>
      <c r="AJ3" s="688"/>
      <c r="AK3" s="688"/>
      <c r="AL3" s="688"/>
      <c r="AM3" s="688"/>
      <c r="AN3" s="688"/>
      <c r="AO3" s="688"/>
      <c r="AP3" s="688"/>
      <c r="AQ3" s="688"/>
      <c r="AR3" s="688"/>
      <c r="AS3" s="688"/>
      <c r="AT3" s="688"/>
      <c r="AU3" s="688"/>
      <c r="AV3" s="688"/>
      <c r="AW3" s="688"/>
      <c r="AX3" s="688"/>
      <c r="AY3" s="688"/>
      <c r="AZ3" s="14"/>
    </row>
    <row r="4" spans="2:52" ht="13.5" customHeight="1">
      <c r="B4" s="666"/>
      <c r="C4" s="688"/>
      <c r="D4" s="690"/>
      <c r="E4" s="688"/>
      <c r="F4" s="688"/>
      <c r="G4" s="688"/>
      <c r="H4" s="688"/>
      <c r="I4" s="688"/>
      <c r="J4" s="688"/>
      <c r="K4" s="688"/>
      <c r="L4" s="688"/>
      <c r="M4" s="688"/>
      <c r="N4" s="688"/>
      <c r="O4" s="688"/>
      <c r="P4" s="688"/>
      <c r="Q4" s="688"/>
      <c r="R4" s="688"/>
      <c r="S4" s="688"/>
      <c r="T4" s="688"/>
      <c r="U4" s="688"/>
      <c r="V4" s="688"/>
      <c r="W4" s="688"/>
      <c r="X4" s="688"/>
      <c r="Y4" s="688"/>
      <c r="Z4" s="688"/>
      <c r="AA4" s="688"/>
      <c r="AB4" s="688"/>
      <c r="AC4" s="688"/>
      <c r="AD4" s="688"/>
      <c r="AE4" s="688"/>
      <c r="AF4" s="688"/>
      <c r="AG4" s="688"/>
      <c r="AH4" s="688"/>
      <c r="AI4" s="688"/>
      <c r="AJ4" s="688"/>
      <c r="AK4" s="688"/>
      <c r="AL4" s="688"/>
      <c r="AM4" s="688"/>
      <c r="AN4" s="688"/>
      <c r="AO4" s="688"/>
      <c r="AP4" s="688"/>
      <c r="AQ4" s="688"/>
      <c r="AR4" s="688"/>
      <c r="AS4" s="688"/>
      <c r="AT4" s="688"/>
      <c r="AU4" s="688"/>
      <c r="AV4" s="688"/>
      <c r="AW4" s="688"/>
      <c r="AX4" s="688"/>
      <c r="AY4" s="688"/>
      <c r="AZ4" s="4"/>
    </row>
    <row r="5" spans="2:52" ht="13.5" customHeight="1">
      <c r="B5" s="666"/>
      <c r="C5" s="688">
        <v>2</v>
      </c>
      <c r="D5" s="690" t="s">
        <v>164</v>
      </c>
      <c r="E5" s="688" t="s">
        <v>163</v>
      </c>
      <c r="F5" s="688"/>
      <c r="G5" s="688"/>
      <c r="H5" s="688"/>
      <c r="I5" s="688"/>
      <c r="J5" s="688"/>
      <c r="K5" s="688"/>
      <c r="L5" s="688"/>
      <c r="M5" s="688"/>
      <c r="N5" s="688"/>
      <c r="O5" s="688"/>
      <c r="P5" s="688"/>
      <c r="Q5" s="688"/>
      <c r="R5" s="688"/>
      <c r="S5" s="688"/>
      <c r="T5" s="688"/>
      <c r="U5" s="688"/>
      <c r="V5" s="688"/>
      <c r="W5" s="688"/>
      <c r="X5" s="688"/>
      <c r="Y5" s="688"/>
      <c r="Z5" s="688"/>
      <c r="AA5" s="688"/>
      <c r="AB5" s="688"/>
      <c r="AC5" s="688"/>
      <c r="AD5" s="688"/>
      <c r="AE5" s="688"/>
      <c r="AF5" s="688"/>
      <c r="AG5" s="688"/>
      <c r="AH5" s="688"/>
      <c r="AI5" s="688"/>
      <c r="AJ5" s="688"/>
      <c r="AK5" s="688"/>
      <c r="AL5" s="688"/>
      <c r="AM5" s="688"/>
      <c r="AN5" s="688"/>
      <c r="AO5" s="688"/>
      <c r="AP5" s="688"/>
      <c r="AQ5" s="688"/>
      <c r="AR5" s="688"/>
      <c r="AS5" s="688"/>
      <c r="AT5" s="688"/>
      <c r="AU5" s="688"/>
      <c r="AV5" s="688"/>
      <c r="AW5" s="688"/>
      <c r="AX5" s="688"/>
      <c r="AY5" s="688"/>
      <c r="AZ5" s="14"/>
    </row>
    <row r="6" spans="2:52" ht="13.5" customHeight="1">
      <c r="B6" s="666"/>
      <c r="C6" s="688"/>
      <c r="D6" s="690"/>
      <c r="E6" s="688"/>
      <c r="F6" s="688"/>
      <c r="G6" s="688"/>
      <c r="H6" s="688"/>
      <c r="I6" s="688"/>
      <c r="J6" s="688"/>
      <c r="K6" s="688"/>
      <c r="L6" s="688"/>
      <c r="M6" s="688"/>
      <c r="N6" s="688"/>
      <c r="O6" s="688"/>
      <c r="P6" s="688"/>
      <c r="Q6" s="688"/>
      <c r="R6" s="688"/>
      <c r="S6" s="688"/>
      <c r="T6" s="688"/>
      <c r="U6" s="688"/>
      <c r="V6" s="688"/>
      <c r="W6" s="688"/>
      <c r="X6" s="688"/>
      <c r="Y6" s="688"/>
      <c r="Z6" s="688"/>
      <c r="AA6" s="688"/>
      <c r="AB6" s="688"/>
      <c r="AC6" s="688"/>
      <c r="AD6" s="688"/>
      <c r="AE6" s="688"/>
      <c r="AF6" s="688"/>
      <c r="AG6" s="688"/>
      <c r="AH6" s="688"/>
      <c r="AI6" s="688"/>
      <c r="AJ6" s="688"/>
      <c r="AK6" s="688"/>
      <c r="AL6" s="688"/>
      <c r="AM6" s="688"/>
      <c r="AN6" s="688"/>
      <c r="AO6" s="688"/>
      <c r="AP6" s="688"/>
      <c r="AQ6" s="688"/>
      <c r="AR6" s="688"/>
      <c r="AS6" s="688"/>
      <c r="AT6" s="688"/>
      <c r="AU6" s="688"/>
      <c r="AV6" s="688"/>
      <c r="AW6" s="688"/>
      <c r="AX6" s="688"/>
      <c r="AY6" s="688"/>
      <c r="AZ6" s="9"/>
    </row>
    <row r="7" spans="2:52" ht="13.5" customHeight="1">
      <c r="B7" s="666"/>
      <c r="C7" s="688"/>
      <c r="D7" s="690"/>
      <c r="E7" s="688"/>
      <c r="F7" s="688"/>
      <c r="G7" s="688"/>
      <c r="H7" s="688"/>
      <c r="I7" s="688"/>
      <c r="J7" s="688"/>
      <c r="K7" s="688"/>
      <c r="L7" s="688"/>
      <c r="M7" s="688"/>
      <c r="N7" s="688"/>
      <c r="O7" s="688"/>
      <c r="P7" s="688"/>
      <c r="Q7" s="688"/>
      <c r="R7" s="688"/>
      <c r="S7" s="688"/>
      <c r="T7" s="688"/>
      <c r="U7" s="688"/>
      <c r="V7" s="688"/>
      <c r="W7" s="688"/>
      <c r="X7" s="688"/>
      <c r="Y7" s="688"/>
      <c r="Z7" s="688"/>
      <c r="AA7" s="688"/>
      <c r="AB7" s="688"/>
      <c r="AC7" s="688"/>
      <c r="AD7" s="688"/>
      <c r="AE7" s="688"/>
      <c r="AF7" s="688"/>
      <c r="AG7" s="688"/>
      <c r="AH7" s="688"/>
      <c r="AI7" s="688"/>
      <c r="AJ7" s="688"/>
      <c r="AK7" s="688"/>
      <c r="AL7" s="688"/>
      <c r="AM7" s="688"/>
      <c r="AN7" s="688"/>
      <c r="AO7" s="688"/>
      <c r="AP7" s="688"/>
      <c r="AQ7" s="688"/>
      <c r="AR7" s="688"/>
      <c r="AS7" s="688"/>
      <c r="AT7" s="688"/>
      <c r="AU7" s="688"/>
      <c r="AV7" s="688"/>
      <c r="AW7" s="688"/>
      <c r="AX7" s="688"/>
      <c r="AY7" s="688"/>
      <c r="AZ7" s="9"/>
    </row>
    <row r="8" spans="2:52" ht="13.5" customHeight="1">
      <c r="B8" s="666"/>
      <c r="C8" s="688">
        <v>3</v>
      </c>
      <c r="D8" s="690" t="s">
        <v>162</v>
      </c>
      <c r="E8" s="688"/>
      <c r="F8" s="688"/>
      <c r="G8" s="688"/>
      <c r="H8" s="688"/>
      <c r="I8" s="688"/>
      <c r="J8" s="688"/>
      <c r="K8" s="688"/>
      <c r="L8" s="688"/>
      <c r="M8" s="688"/>
      <c r="N8" s="688"/>
      <c r="O8" s="688"/>
      <c r="P8" s="688"/>
      <c r="Q8" s="688"/>
      <c r="R8" s="688"/>
      <c r="S8" s="688"/>
      <c r="T8" s="688"/>
      <c r="U8" s="688"/>
      <c r="V8" s="688"/>
      <c r="W8" s="688"/>
      <c r="X8" s="688"/>
      <c r="Y8" s="688"/>
      <c r="Z8" s="688"/>
      <c r="AA8" s="688"/>
      <c r="AB8" s="688"/>
      <c r="AC8" s="688"/>
      <c r="AD8" s="688"/>
      <c r="AE8" s="688"/>
      <c r="AF8" s="688"/>
      <c r="AG8" s="688"/>
      <c r="AH8" s="688"/>
      <c r="AI8" s="688"/>
      <c r="AJ8" s="688"/>
      <c r="AK8" s="688"/>
      <c r="AL8" s="688"/>
      <c r="AM8" s="688"/>
      <c r="AN8" s="688"/>
      <c r="AO8" s="688"/>
      <c r="AP8" s="688"/>
      <c r="AQ8" s="688"/>
      <c r="AR8" s="688"/>
      <c r="AS8" s="688"/>
      <c r="AT8" s="688"/>
      <c r="AU8" s="688"/>
      <c r="AV8" s="688"/>
      <c r="AW8" s="688"/>
      <c r="AX8" s="688"/>
      <c r="AY8" s="688"/>
      <c r="AZ8" s="9"/>
    </row>
    <row r="9" spans="2:52" ht="13.5" customHeight="1">
      <c r="B9" s="666"/>
      <c r="C9" s="688"/>
      <c r="D9" s="690"/>
      <c r="E9" s="688"/>
      <c r="F9" s="688"/>
      <c r="G9" s="688"/>
      <c r="H9" s="688"/>
      <c r="I9" s="688"/>
      <c r="J9" s="688"/>
      <c r="K9" s="688"/>
      <c r="L9" s="688"/>
      <c r="M9" s="688"/>
      <c r="N9" s="688"/>
      <c r="O9" s="688"/>
      <c r="P9" s="688"/>
      <c r="Q9" s="688"/>
      <c r="R9" s="688"/>
      <c r="S9" s="688"/>
      <c r="T9" s="688"/>
      <c r="U9" s="688"/>
      <c r="V9" s="688"/>
      <c r="W9" s="688"/>
      <c r="X9" s="688"/>
      <c r="Y9" s="688"/>
      <c r="Z9" s="688"/>
      <c r="AA9" s="688"/>
      <c r="AB9" s="688"/>
      <c r="AC9" s="688"/>
      <c r="AD9" s="688"/>
      <c r="AE9" s="688"/>
      <c r="AF9" s="688"/>
      <c r="AG9" s="688"/>
      <c r="AH9" s="688"/>
      <c r="AI9" s="688"/>
      <c r="AJ9" s="688"/>
      <c r="AK9" s="688"/>
      <c r="AL9" s="688"/>
      <c r="AM9" s="688"/>
      <c r="AN9" s="688"/>
      <c r="AO9" s="688"/>
      <c r="AP9" s="688"/>
      <c r="AQ9" s="688"/>
      <c r="AR9" s="688"/>
      <c r="AS9" s="688"/>
      <c r="AT9" s="688"/>
      <c r="AU9" s="688"/>
      <c r="AV9" s="688"/>
      <c r="AW9" s="688"/>
      <c r="AX9" s="688"/>
      <c r="AY9" s="688"/>
      <c r="AZ9" s="9"/>
    </row>
    <row r="10" spans="2:52" ht="13.5" customHeight="1">
      <c r="B10" s="666"/>
      <c r="C10" s="688"/>
      <c r="D10" s="690"/>
      <c r="E10" s="688"/>
      <c r="F10" s="688"/>
      <c r="G10" s="688"/>
      <c r="H10" s="688"/>
      <c r="I10" s="688"/>
      <c r="J10" s="688"/>
      <c r="K10" s="688"/>
      <c r="L10" s="688"/>
      <c r="M10" s="688"/>
      <c r="N10" s="688"/>
      <c r="O10" s="688"/>
      <c r="P10" s="688"/>
      <c r="Q10" s="688"/>
      <c r="R10" s="688"/>
      <c r="S10" s="688"/>
      <c r="T10" s="688"/>
      <c r="U10" s="688"/>
      <c r="V10" s="688"/>
      <c r="W10" s="688"/>
      <c r="X10" s="688"/>
      <c r="Y10" s="688"/>
      <c r="Z10" s="688"/>
      <c r="AA10" s="688"/>
      <c r="AB10" s="688"/>
      <c r="AC10" s="688"/>
      <c r="AD10" s="688"/>
      <c r="AE10" s="688"/>
      <c r="AF10" s="688"/>
      <c r="AG10" s="688"/>
      <c r="AH10" s="688"/>
      <c r="AI10" s="688"/>
      <c r="AJ10" s="688"/>
      <c r="AK10" s="688"/>
      <c r="AL10" s="688"/>
      <c r="AM10" s="688"/>
      <c r="AN10" s="688"/>
      <c r="AO10" s="688"/>
      <c r="AP10" s="688"/>
      <c r="AQ10" s="688"/>
      <c r="AR10" s="688"/>
      <c r="AS10" s="688"/>
      <c r="AT10" s="688"/>
      <c r="AU10" s="688"/>
      <c r="AV10" s="688"/>
      <c r="AW10" s="688"/>
      <c r="AX10" s="688"/>
      <c r="AY10" s="688"/>
      <c r="AZ10" s="9"/>
    </row>
    <row r="11" spans="2:52" ht="13.5" customHeight="1">
      <c r="B11" s="666"/>
      <c r="C11" s="682">
        <v>4</v>
      </c>
      <c r="D11" s="690" t="s">
        <v>161</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88"/>
      <c r="AU11" s="688"/>
      <c r="AV11" s="688"/>
      <c r="AW11" s="688"/>
      <c r="AX11" s="688"/>
      <c r="AY11" s="688"/>
      <c r="AZ11" s="9"/>
    </row>
    <row r="12" spans="2:52" ht="13.5" customHeight="1">
      <c r="B12" s="666"/>
      <c r="C12" s="671"/>
      <c r="D12" s="690"/>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88"/>
      <c r="AU12" s="688"/>
      <c r="AV12" s="688"/>
      <c r="AW12" s="688"/>
      <c r="AX12" s="688"/>
      <c r="AY12" s="688"/>
      <c r="AZ12" s="4"/>
    </row>
    <row r="13" spans="2:52" ht="13.5" customHeight="1">
      <c r="B13" s="666"/>
      <c r="C13" s="682">
        <v>5</v>
      </c>
      <c r="D13" s="690" t="s">
        <v>160</v>
      </c>
      <c r="E13" s="688" t="s">
        <v>159</v>
      </c>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14"/>
    </row>
    <row r="14" spans="2:52" ht="13.5" customHeight="1">
      <c r="B14" s="666"/>
      <c r="C14" s="671"/>
      <c r="D14" s="690"/>
      <c r="E14" s="688"/>
      <c r="F14" s="688"/>
      <c r="G14" s="688"/>
      <c r="H14" s="688"/>
      <c r="I14" s="688"/>
      <c r="J14" s="688"/>
      <c r="K14" s="688"/>
      <c r="L14" s="688"/>
      <c r="M14" s="688"/>
      <c r="N14" s="688"/>
      <c r="O14" s="688"/>
      <c r="P14" s="688"/>
      <c r="Q14" s="688"/>
      <c r="R14" s="688"/>
      <c r="S14" s="688"/>
      <c r="T14" s="688"/>
      <c r="U14" s="688"/>
      <c r="V14" s="688"/>
      <c r="W14" s="688"/>
      <c r="X14" s="688"/>
      <c r="Y14" s="688"/>
      <c r="Z14" s="688"/>
      <c r="AA14" s="688"/>
      <c r="AB14" s="688"/>
      <c r="AC14" s="688"/>
      <c r="AD14" s="688"/>
      <c r="AE14" s="688"/>
      <c r="AF14" s="688"/>
      <c r="AG14" s="688"/>
      <c r="AH14" s="688"/>
      <c r="AI14" s="688"/>
      <c r="AJ14" s="688"/>
      <c r="AK14" s="688"/>
      <c r="AL14" s="688"/>
      <c r="AM14" s="688"/>
      <c r="AN14" s="688"/>
      <c r="AO14" s="688"/>
      <c r="AP14" s="688"/>
      <c r="AQ14" s="688"/>
      <c r="AR14" s="688"/>
      <c r="AS14" s="688"/>
      <c r="AT14" s="688"/>
      <c r="AU14" s="688"/>
      <c r="AV14" s="688"/>
      <c r="AW14" s="688"/>
      <c r="AX14" s="688"/>
      <c r="AY14" s="688"/>
      <c r="AZ14" s="9"/>
    </row>
    <row r="15" spans="2:52" ht="13.5" customHeight="1">
      <c r="B15" s="666"/>
      <c r="C15" s="682">
        <v>6</v>
      </c>
      <c r="D15" s="690" t="s">
        <v>158</v>
      </c>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8"/>
      <c r="AJ15" s="688"/>
      <c r="AK15" s="688"/>
      <c r="AL15" s="688"/>
      <c r="AM15" s="688"/>
      <c r="AN15" s="688"/>
      <c r="AO15" s="688"/>
      <c r="AP15" s="688"/>
      <c r="AQ15" s="688"/>
      <c r="AR15" s="688"/>
      <c r="AS15" s="688"/>
      <c r="AT15" s="688"/>
      <c r="AU15" s="688"/>
      <c r="AV15" s="688"/>
      <c r="AW15" s="688"/>
      <c r="AX15" s="688"/>
      <c r="AY15" s="688"/>
      <c r="AZ15" s="9"/>
    </row>
    <row r="16" spans="2:52" ht="13.5" customHeight="1">
      <c r="B16" s="666"/>
      <c r="C16" s="671"/>
      <c r="D16" s="690"/>
      <c r="E16" s="688"/>
      <c r="F16" s="688"/>
      <c r="G16" s="688"/>
      <c r="H16" s="688"/>
      <c r="I16" s="688"/>
      <c r="J16" s="688"/>
      <c r="K16" s="688"/>
      <c r="L16" s="688"/>
      <c r="M16" s="688"/>
      <c r="N16" s="688"/>
      <c r="O16" s="688"/>
      <c r="P16" s="688"/>
      <c r="Q16" s="688"/>
      <c r="R16" s="688"/>
      <c r="S16" s="688"/>
      <c r="T16" s="688"/>
      <c r="U16" s="688"/>
      <c r="V16" s="688"/>
      <c r="W16" s="688"/>
      <c r="X16" s="688"/>
      <c r="Y16" s="688"/>
      <c r="Z16" s="688"/>
      <c r="AA16" s="688"/>
      <c r="AB16" s="688"/>
      <c r="AC16" s="688"/>
      <c r="AD16" s="688"/>
      <c r="AE16" s="688"/>
      <c r="AF16" s="688"/>
      <c r="AG16" s="688"/>
      <c r="AH16" s="688"/>
      <c r="AI16" s="688"/>
      <c r="AJ16" s="688"/>
      <c r="AK16" s="688"/>
      <c r="AL16" s="688"/>
      <c r="AM16" s="688"/>
      <c r="AN16" s="688"/>
      <c r="AO16" s="688"/>
      <c r="AP16" s="688"/>
      <c r="AQ16" s="688"/>
      <c r="AR16" s="688"/>
      <c r="AS16" s="688"/>
      <c r="AT16" s="688"/>
      <c r="AU16" s="688"/>
      <c r="AV16" s="688"/>
      <c r="AW16" s="688"/>
      <c r="AX16" s="688"/>
      <c r="AY16" s="688"/>
      <c r="AZ16" s="9"/>
    </row>
    <row r="17" spans="2:52" ht="13.5" customHeight="1">
      <c r="B17" s="666"/>
      <c r="C17" s="682">
        <v>7</v>
      </c>
      <c r="D17" s="690" t="s">
        <v>157</v>
      </c>
      <c r="E17" s="688"/>
      <c r="F17" s="688"/>
      <c r="G17" s="688"/>
      <c r="H17" s="688"/>
      <c r="I17" s="688"/>
      <c r="J17" s="688"/>
      <c r="K17" s="688"/>
      <c r="L17" s="688"/>
      <c r="M17" s="688"/>
      <c r="N17" s="688"/>
      <c r="O17" s="688"/>
      <c r="P17" s="688"/>
      <c r="Q17" s="688"/>
      <c r="R17" s="688"/>
      <c r="S17" s="688"/>
      <c r="T17" s="688"/>
      <c r="U17" s="688"/>
      <c r="V17" s="688"/>
      <c r="W17" s="688"/>
      <c r="X17" s="688"/>
      <c r="Y17" s="688"/>
      <c r="Z17" s="688"/>
      <c r="AA17" s="688"/>
      <c r="AB17" s="688"/>
      <c r="AC17" s="688"/>
      <c r="AD17" s="688"/>
      <c r="AE17" s="688"/>
      <c r="AF17" s="688"/>
      <c r="AG17" s="688"/>
      <c r="AH17" s="688"/>
      <c r="AI17" s="688"/>
      <c r="AJ17" s="688"/>
      <c r="AK17" s="688"/>
      <c r="AL17" s="688"/>
      <c r="AM17" s="688"/>
      <c r="AN17" s="688"/>
      <c r="AO17" s="688"/>
      <c r="AP17" s="688"/>
      <c r="AQ17" s="688"/>
      <c r="AR17" s="688"/>
      <c r="AS17" s="688"/>
      <c r="AT17" s="688"/>
      <c r="AU17" s="688"/>
      <c r="AV17" s="688"/>
      <c r="AW17" s="688"/>
      <c r="AX17" s="688"/>
      <c r="AY17" s="688"/>
      <c r="AZ17" s="9"/>
    </row>
    <row r="18" spans="2:52" ht="13.5" customHeight="1">
      <c r="B18" s="666"/>
      <c r="C18" s="671"/>
      <c r="D18" s="690"/>
      <c r="E18" s="688"/>
      <c r="F18" s="688"/>
      <c r="G18" s="688"/>
      <c r="H18" s="688"/>
      <c r="I18" s="688"/>
      <c r="J18" s="688"/>
      <c r="K18" s="688"/>
      <c r="L18" s="688"/>
      <c r="M18" s="688"/>
      <c r="N18" s="688"/>
      <c r="O18" s="688"/>
      <c r="P18" s="688"/>
      <c r="Q18" s="688"/>
      <c r="R18" s="688"/>
      <c r="S18" s="688"/>
      <c r="T18" s="688"/>
      <c r="U18" s="688"/>
      <c r="V18" s="688"/>
      <c r="W18" s="688"/>
      <c r="X18" s="688"/>
      <c r="Y18" s="688"/>
      <c r="Z18" s="688"/>
      <c r="AA18" s="688"/>
      <c r="AB18" s="688"/>
      <c r="AC18" s="688"/>
      <c r="AD18" s="688"/>
      <c r="AE18" s="688"/>
      <c r="AF18" s="688"/>
      <c r="AG18" s="688"/>
      <c r="AH18" s="688"/>
      <c r="AI18" s="688"/>
      <c r="AJ18" s="688"/>
      <c r="AK18" s="688"/>
      <c r="AL18" s="688"/>
      <c r="AM18" s="688"/>
      <c r="AN18" s="688"/>
      <c r="AO18" s="688"/>
      <c r="AP18" s="688"/>
      <c r="AQ18" s="688"/>
      <c r="AR18" s="688"/>
      <c r="AS18" s="688"/>
      <c r="AT18" s="688"/>
      <c r="AU18" s="688"/>
      <c r="AV18" s="688"/>
      <c r="AW18" s="688"/>
      <c r="AX18" s="688"/>
      <c r="AY18" s="688"/>
      <c r="AZ18" s="4"/>
    </row>
    <row r="19" spans="2:52" ht="13.5" customHeight="1">
      <c r="B19" s="666"/>
      <c r="C19" s="682">
        <v>8</v>
      </c>
      <c r="D19" s="680" t="s">
        <v>156</v>
      </c>
      <c r="E19" s="18"/>
      <c r="F19" s="17"/>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5"/>
      <c r="AZ19" s="14"/>
    </row>
    <row r="20" spans="2:52" ht="13.5" customHeight="1">
      <c r="B20" s="666"/>
      <c r="C20" s="666"/>
      <c r="D20" s="670"/>
      <c r="E20" s="28" t="s">
        <v>155</v>
      </c>
      <c r="F20" s="12"/>
      <c r="G20" s="12"/>
      <c r="H20" s="12"/>
      <c r="I20" s="12"/>
      <c r="J20" s="12"/>
      <c r="K20" s="12"/>
      <c r="L20" s="12"/>
      <c r="M20" s="12"/>
      <c r="N20" s="12"/>
      <c r="O20" s="12"/>
      <c r="P20" s="12"/>
      <c r="Q20" s="11"/>
      <c r="R20" s="695">
        <f>'(申)3%'!R20:W20+'(申)5%'!R20:W20+'(申)8%'!R20:W20+'(申)軽8%'!R20:W20+'(申)10%'!R20:W20</f>
        <v>20730055582</v>
      </c>
      <c r="S20" s="695"/>
      <c r="T20" s="695"/>
      <c r="U20" s="695"/>
      <c r="V20" s="695"/>
      <c r="W20" s="695"/>
      <c r="X20" s="11"/>
      <c r="Y20" s="19"/>
      <c r="Z20" s="11"/>
      <c r="AA20" s="11"/>
      <c r="AB20" s="11"/>
      <c r="AC20" s="11"/>
      <c r="AD20" s="11"/>
      <c r="AE20" s="11"/>
      <c r="AF20" s="11"/>
      <c r="AG20" s="11"/>
      <c r="AH20" s="11"/>
      <c r="AI20" s="12"/>
      <c r="AJ20" s="11"/>
      <c r="AK20" s="11"/>
      <c r="AL20" s="11"/>
      <c r="AM20" s="11"/>
      <c r="AN20" s="11"/>
      <c r="AO20" s="11"/>
      <c r="AP20" s="11"/>
      <c r="AQ20" s="11"/>
      <c r="AR20" s="11"/>
      <c r="AS20" s="11"/>
      <c r="AT20" s="11"/>
      <c r="AU20" s="11"/>
      <c r="AV20" s="11"/>
      <c r="AW20" s="11"/>
      <c r="AX20" s="11"/>
      <c r="AY20" s="10"/>
      <c r="AZ20" s="9"/>
    </row>
    <row r="21" spans="2:52" ht="13.5" customHeight="1">
      <c r="B21" s="666"/>
      <c r="C21" s="666"/>
      <c r="D21" s="670"/>
      <c r="E21" s="28" t="s">
        <v>154</v>
      </c>
      <c r="F21" s="11"/>
      <c r="G21" s="11"/>
      <c r="H21" s="11"/>
      <c r="I21" s="11"/>
      <c r="J21" s="11"/>
      <c r="K21" s="11"/>
      <c r="L21" s="11"/>
      <c r="M21" s="11"/>
      <c r="N21" s="11"/>
      <c r="O21" s="11"/>
      <c r="P21" s="11"/>
      <c r="Q21" s="11"/>
      <c r="R21" s="695">
        <f>'(申)3%'!R21:W21+'(申)5%'!R21:W21+'(申)8%'!R21:W21+'(申)軽8%'!R21:W21+'(申)10%'!R21:W21</f>
        <v>39691410</v>
      </c>
      <c r="S21" s="695"/>
      <c r="T21" s="695"/>
      <c r="U21" s="695"/>
      <c r="V21" s="695"/>
      <c r="W21" s="695"/>
      <c r="X21" s="11"/>
      <c r="Y21" s="19"/>
      <c r="Z21" s="11"/>
      <c r="AA21" s="11"/>
      <c r="AB21" s="11"/>
      <c r="AC21" s="11"/>
      <c r="AD21" s="11"/>
      <c r="AE21" s="11"/>
      <c r="AF21" s="11"/>
      <c r="AG21" s="11"/>
      <c r="AH21" s="11"/>
      <c r="AI21" s="11"/>
      <c r="AJ21" s="11" t="s">
        <v>85</v>
      </c>
      <c r="AK21" s="665">
        <f>R20+R21</f>
        <v>20769746992</v>
      </c>
      <c r="AL21" s="665"/>
      <c r="AM21" s="665"/>
      <c r="AN21" s="665"/>
      <c r="AO21" s="665"/>
      <c r="AP21" s="665"/>
      <c r="AQ21" s="11" t="s">
        <v>299</v>
      </c>
      <c r="AR21" s="11"/>
      <c r="AS21" s="11"/>
      <c r="AT21" s="11"/>
      <c r="AU21" s="11"/>
      <c r="AV21" s="11"/>
      <c r="AW21" s="11"/>
      <c r="AX21" s="11"/>
      <c r="AY21" s="10"/>
      <c r="AZ21" s="9"/>
    </row>
    <row r="22" spans="2:52" ht="13.5" customHeight="1">
      <c r="B22" s="666"/>
      <c r="C22" s="666"/>
      <c r="D22" s="670"/>
      <c r="E22" s="28"/>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0"/>
      <c r="AZ22" s="9"/>
    </row>
    <row r="23" spans="2:52" ht="13.5" customHeight="1">
      <c r="B23" s="666"/>
      <c r="C23" s="666"/>
      <c r="D23" s="670"/>
      <c r="E23" s="28" t="s">
        <v>152</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0"/>
      <c r="AZ23" s="9"/>
    </row>
    <row r="24" spans="2:52" ht="13.5" customHeight="1">
      <c r="B24" s="666"/>
      <c r="C24" s="666"/>
      <c r="D24" s="670"/>
      <c r="E24" s="28"/>
      <c r="F24" s="11"/>
      <c r="G24" s="11"/>
      <c r="H24" s="12" t="s">
        <v>108</v>
      </c>
      <c r="I24" s="11"/>
      <c r="J24" s="11"/>
      <c r="K24" s="11"/>
      <c r="L24" s="11"/>
      <c r="M24" s="11"/>
      <c r="N24" s="11"/>
      <c r="O24" s="11"/>
      <c r="P24" s="11"/>
      <c r="Q24" s="11"/>
      <c r="R24" s="695">
        <f>'(申)3%'!R24:W24+'(申)5%'!R24:W24+'(申)8%'!R24:W24+'(申)軽8%'!R24:W24+'(申)10%'!R24:W24</f>
        <v>0</v>
      </c>
      <c r="S24" s="695"/>
      <c r="T24" s="695"/>
      <c r="U24" s="695"/>
      <c r="V24" s="695"/>
      <c r="W24" s="695"/>
      <c r="X24" s="11" t="s">
        <v>298</v>
      </c>
      <c r="Y24" s="19"/>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0"/>
      <c r="AZ24" s="9"/>
    </row>
    <row r="25" spans="2:52" ht="13.5" customHeight="1">
      <c r="B25" s="666"/>
      <c r="C25" s="666"/>
      <c r="D25" s="670"/>
      <c r="E25" s="13"/>
      <c r="F25" s="12"/>
      <c r="G25" s="11"/>
      <c r="H25" s="12" t="s">
        <v>149</v>
      </c>
      <c r="I25" s="11"/>
      <c r="J25" s="11"/>
      <c r="K25" s="11"/>
      <c r="L25" s="11"/>
      <c r="M25" s="11"/>
      <c r="N25" s="11"/>
      <c r="O25" s="11"/>
      <c r="P25" s="11"/>
      <c r="Q25" s="11"/>
      <c r="R25" s="695">
        <f>'(申)3%'!R25:W25+'(申)5%'!R25:W25+'(申)8%'!R25:W25+'(申)軽8%'!R25:W25+'(申)10%'!R25:W25</f>
        <v>10679082</v>
      </c>
      <c r="S25" s="695"/>
      <c r="T25" s="695"/>
      <c r="U25" s="695"/>
      <c r="V25" s="695"/>
      <c r="W25" s="695"/>
      <c r="X25" s="11" t="s">
        <v>297</v>
      </c>
      <c r="Y25" s="19"/>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0"/>
      <c r="AZ25" s="9"/>
    </row>
    <row r="26" spans="2:52" ht="13.5" customHeight="1" thickBot="1">
      <c r="B26" s="666"/>
      <c r="C26" s="666"/>
      <c r="D26" s="670"/>
      <c r="E26" s="13"/>
      <c r="F26" s="12"/>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0"/>
      <c r="AZ26" s="9"/>
    </row>
    <row r="27" spans="2:52" ht="13.5" customHeight="1" thickTop="1" thickBot="1">
      <c r="B27" s="666"/>
      <c r="C27" s="666"/>
      <c r="D27" s="670"/>
      <c r="E27" s="13" t="s">
        <v>83</v>
      </c>
      <c r="F27" s="12"/>
      <c r="G27" s="11"/>
      <c r="H27" s="11"/>
      <c r="I27" s="11"/>
      <c r="J27" s="11"/>
      <c r="K27" s="11"/>
      <c r="L27" s="11"/>
      <c r="M27" s="11"/>
      <c r="N27" s="11"/>
      <c r="O27" s="11"/>
      <c r="P27" s="11"/>
      <c r="Q27" s="11"/>
      <c r="R27" s="667">
        <f>'(申)3%'!R27:W27+'(申)5%'!R27:W27+'(申)8%'!R27:W27+'(申)軽8%'!R27:W27+'(申)10%'!R27:W27</f>
        <v>18871880047</v>
      </c>
      <c r="S27" s="668"/>
      <c r="T27" s="668"/>
      <c r="U27" s="668"/>
      <c r="V27" s="668"/>
      <c r="W27" s="669"/>
      <c r="X27" s="11" t="s">
        <v>296</v>
      </c>
      <c r="Y27" s="19"/>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0"/>
      <c r="AZ27" s="9" t="s">
        <v>144</v>
      </c>
    </row>
    <row r="28" spans="2:52" ht="13.5" customHeight="1" thickTop="1" thickBot="1">
      <c r="B28" s="666"/>
      <c r="C28" s="666"/>
      <c r="D28" s="670"/>
      <c r="E28" s="13"/>
      <c r="F28" s="12"/>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0"/>
      <c r="AZ28" s="9"/>
    </row>
    <row r="29" spans="2:52" ht="13.5" customHeight="1" thickTop="1" thickBot="1">
      <c r="B29" s="666"/>
      <c r="C29" s="666"/>
      <c r="D29" s="670"/>
      <c r="E29" s="13" t="s">
        <v>143</v>
      </c>
      <c r="F29" s="12"/>
      <c r="G29" s="11"/>
      <c r="H29" s="11"/>
      <c r="I29" s="11"/>
      <c r="J29" s="11"/>
      <c r="K29" s="11"/>
      <c r="L29" s="11"/>
      <c r="M29" s="11"/>
      <c r="N29" s="11"/>
      <c r="O29" s="11"/>
      <c r="P29" s="11"/>
      <c r="Q29" s="11"/>
      <c r="R29" s="667">
        <f>'(申)3%'!R29:W29+'(申)5%'!R29:W29+'(申)8%'!R29:W29+'(申)軽8%'!R29:W29+'(申)10%'!R29:W29</f>
        <v>18881588000</v>
      </c>
      <c r="S29" s="668"/>
      <c r="T29" s="668"/>
      <c r="U29" s="668"/>
      <c r="V29" s="668"/>
      <c r="W29" s="669"/>
      <c r="X29" s="11" t="s">
        <v>295</v>
      </c>
      <c r="Y29" s="19"/>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0"/>
      <c r="AZ29" s="487" t="s">
        <v>140</v>
      </c>
    </row>
    <row r="30" spans="2:52" ht="13.5" customHeight="1" thickTop="1" thickBot="1">
      <c r="B30" s="666"/>
      <c r="C30" s="666"/>
      <c r="D30" s="670"/>
      <c r="E30" s="13"/>
      <c r="F30" s="12"/>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0"/>
      <c r="AZ30" s="487" t="s">
        <v>294</v>
      </c>
    </row>
    <row r="31" spans="2:52" ht="13.5" customHeight="1" thickTop="1" thickBot="1">
      <c r="B31" s="666"/>
      <c r="C31" s="666"/>
      <c r="D31" s="670"/>
      <c r="E31" s="13" t="s">
        <v>139</v>
      </c>
      <c r="F31" s="12"/>
      <c r="G31" s="11"/>
      <c r="H31" s="11"/>
      <c r="I31" s="11"/>
      <c r="J31" s="11"/>
      <c r="K31" s="11"/>
      <c r="L31" s="11"/>
      <c r="M31" s="11"/>
      <c r="N31" s="11"/>
      <c r="O31" s="11"/>
      <c r="P31" s="11"/>
      <c r="Q31" s="11"/>
      <c r="R31" s="667">
        <f>'(申)3%'!R31:W31+'(申)5%'!R31:W31+'(申)8%'!R31:W31+'(申)軽8%'!R31:W31+'(申)10%'!R31:W31</f>
        <v>1472763219</v>
      </c>
      <c r="S31" s="668"/>
      <c r="T31" s="668"/>
      <c r="U31" s="668"/>
      <c r="V31" s="668"/>
      <c r="W31" s="669"/>
      <c r="X31" s="11" t="s">
        <v>293</v>
      </c>
      <c r="Y31" s="19"/>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0"/>
      <c r="AZ31" s="487" t="s">
        <v>861</v>
      </c>
    </row>
    <row r="32" spans="2:52" ht="13.5" customHeight="1" thickTop="1">
      <c r="B32" s="671"/>
      <c r="C32" s="671"/>
      <c r="D32" s="681"/>
      <c r="E32" s="8"/>
      <c r="F32" s="7"/>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5"/>
      <c r="AZ32" s="486" t="s">
        <v>862</v>
      </c>
    </row>
    <row r="33" spans="2:52" ht="13.5" customHeight="1">
      <c r="B33" s="682" t="s">
        <v>65</v>
      </c>
      <c r="C33" s="682">
        <v>1</v>
      </c>
      <c r="D33" s="682" t="s">
        <v>135</v>
      </c>
      <c r="E33" s="18"/>
      <c r="F33" s="17"/>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5"/>
      <c r="AZ33" s="14"/>
    </row>
    <row r="34" spans="2:52" ht="13.5" customHeight="1" thickBot="1">
      <c r="B34" s="666"/>
      <c r="C34" s="666"/>
      <c r="D34" s="666"/>
      <c r="E34" s="13" t="s">
        <v>134</v>
      </c>
      <c r="F34" s="12"/>
      <c r="G34" s="11"/>
      <c r="H34" s="11"/>
      <c r="I34" s="11"/>
      <c r="J34" s="11"/>
      <c r="K34" s="11"/>
      <c r="L34" s="11"/>
      <c r="M34" s="11"/>
      <c r="N34" s="11"/>
      <c r="O34" s="11"/>
      <c r="P34" s="11"/>
      <c r="Q34" s="11"/>
      <c r="R34" s="711">
        <f>R27</f>
        <v>18871880047</v>
      </c>
      <c r="S34" s="711"/>
      <c r="T34" s="711"/>
      <c r="U34" s="711"/>
      <c r="V34" s="711"/>
      <c r="W34" s="711"/>
      <c r="X34" s="11"/>
      <c r="Y34" s="19" t="s">
        <v>291</v>
      </c>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0"/>
      <c r="AZ34" s="9"/>
    </row>
    <row r="35" spans="2:52" ht="13.5" customHeight="1" thickTop="1" thickBot="1">
      <c r="B35" s="666"/>
      <c r="C35" s="666"/>
      <c r="D35" s="666"/>
      <c r="E35" s="13" t="s">
        <v>290</v>
      </c>
      <c r="F35" s="12"/>
      <c r="G35" s="11"/>
      <c r="H35" s="11"/>
      <c r="I35" s="11"/>
      <c r="J35" s="11"/>
      <c r="K35" s="11"/>
      <c r="L35" s="11"/>
      <c r="M35" s="11"/>
      <c r="N35" s="11"/>
      <c r="O35" s="11"/>
      <c r="P35" s="11"/>
      <c r="Q35" s="11"/>
      <c r="R35" s="712">
        <f>基礎数値!I8</f>
        <v>86860</v>
      </c>
      <c r="S35" s="713"/>
      <c r="T35" s="713"/>
      <c r="U35" s="713"/>
      <c r="V35" s="713"/>
      <c r="W35" s="714"/>
      <c r="X35" s="11" t="s">
        <v>289</v>
      </c>
      <c r="Y35" s="19" t="s">
        <v>288</v>
      </c>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0"/>
      <c r="AZ35" s="9" t="s">
        <v>287</v>
      </c>
    </row>
    <row r="36" spans="2:52" ht="13.5" customHeight="1" thickTop="1" thickBot="1">
      <c r="B36" s="666"/>
      <c r="C36" s="666"/>
      <c r="D36" s="666"/>
      <c r="E36" s="13" t="s">
        <v>132</v>
      </c>
      <c r="F36" s="12"/>
      <c r="G36" s="11"/>
      <c r="H36" s="11"/>
      <c r="I36" s="11"/>
      <c r="J36" s="11"/>
      <c r="K36" s="11"/>
      <c r="L36" s="11"/>
      <c r="M36" s="11"/>
      <c r="N36" s="11"/>
      <c r="O36" s="11"/>
      <c r="P36" s="11"/>
      <c r="Q36" s="11"/>
      <c r="R36" s="667">
        <f>R34+R35</f>
        <v>18871966907</v>
      </c>
      <c r="S36" s="668"/>
      <c r="T36" s="668"/>
      <c r="U36" s="668"/>
      <c r="V36" s="668"/>
      <c r="W36" s="669"/>
      <c r="X36" s="11" t="s">
        <v>286</v>
      </c>
      <c r="Y36" s="19" t="s">
        <v>285</v>
      </c>
      <c r="Z36" s="11"/>
      <c r="AA36" s="11"/>
      <c r="AB36" s="11"/>
      <c r="AC36" s="11" t="s">
        <v>284</v>
      </c>
      <c r="AD36" s="11"/>
      <c r="AE36" s="11"/>
      <c r="AF36" s="11"/>
      <c r="AG36" s="11"/>
      <c r="AH36" s="11"/>
      <c r="AI36" s="11"/>
      <c r="AJ36" s="11"/>
      <c r="AK36" s="11"/>
      <c r="AL36" s="11"/>
      <c r="AM36" s="11"/>
      <c r="AN36" s="11"/>
      <c r="AO36" s="11"/>
      <c r="AP36" s="11"/>
      <c r="AQ36" s="11"/>
      <c r="AR36" s="11"/>
      <c r="AS36" s="11"/>
      <c r="AT36" s="11"/>
      <c r="AU36" s="11"/>
      <c r="AV36" s="11"/>
      <c r="AW36" s="11"/>
      <c r="AX36" s="11"/>
      <c r="AY36" s="10"/>
      <c r="AZ36" s="670" t="s">
        <v>283</v>
      </c>
    </row>
    <row r="37" spans="2:52" ht="13.5" customHeight="1" thickTop="1">
      <c r="B37" s="666"/>
      <c r="C37" s="666"/>
      <c r="D37" s="666"/>
      <c r="E37" s="13"/>
      <c r="F37" s="12"/>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0"/>
      <c r="AZ37" s="670"/>
    </row>
    <row r="38" spans="2:52" ht="13.5" customHeight="1" thickBot="1">
      <c r="B38" s="666"/>
      <c r="C38" s="666"/>
      <c r="D38" s="666"/>
      <c r="E38" s="28" t="s">
        <v>131</v>
      </c>
      <c r="F38" s="12"/>
      <c r="G38" s="11"/>
      <c r="H38" s="11"/>
      <c r="I38" s="11"/>
      <c r="J38" s="11"/>
      <c r="K38" s="11"/>
      <c r="L38" s="11"/>
      <c r="M38" s="11"/>
      <c r="N38" s="11"/>
      <c r="O38" s="11"/>
      <c r="P38" s="11"/>
      <c r="Q38" s="11"/>
      <c r="R38" s="687">
        <f>基礎数値!I9</f>
        <v>22644840</v>
      </c>
      <c r="S38" s="687"/>
      <c r="T38" s="687"/>
      <c r="U38" s="687"/>
      <c r="V38" s="687"/>
      <c r="W38" s="687"/>
      <c r="X38" s="11"/>
      <c r="Y38" s="19" t="s">
        <v>114</v>
      </c>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0"/>
      <c r="AZ38" s="9"/>
    </row>
    <row r="39" spans="2:52" ht="13.5" customHeight="1" thickTop="1" thickBot="1">
      <c r="B39" s="666"/>
      <c r="C39" s="666"/>
      <c r="D39" s="666"/>
      <c r="E39" s="28" t="s">
        <v>130</v>
      </c>
      <c r="F39" s="12"/>
      <c r="G39" s="11"/>
      <c r="H39" s="11"/>
      <c r="I39" s="11"/>
      <c r="J39" s="11"/>
      <c r="K39" s="11"/>
      <c r="L39" s="11"/>
      <c r="M39" s="11"/>
      <c r="N39" s="11"/>
      <c r="O39" s="11"/>
      <c r="P39" s="11"/>
      <c r="Q39" s="11"/>
      <c r="R39" s="687">
        <f>基礎数値!I10</f>
        <v>45948113</v>
      </c>
      <c r="S39" s="687"/>
      <c r="T39" s="687"/>
      <c r="U39" s="687"/>
      <c r="V39" s="687"/>
      <c r="W39" s="687"/>
      <c r="X39" s="11"/>
      <c r="Y39" s="19" t="s">
        <v>114</v>
      </c>
      <c r="Z39" s="11"/>
      <c r="AA39" s="11"/>
      <c r="AB39" s="11"/>
      <c r="AC39" s="11"/>
      <c r="AD39" s="11"/>
      <c r="AE39" s="11"/>
      <c r="AF39" s="11"/>
      <c r="AG39" s="11"/>
      <c r="AH39" s="11"/>
      <c r="AI39" s="11"/>
      <c r="AJ39" s="11" t="s">
        <v>85</v>
      </c>
      <c r="AK39" s="667">
        <f>R38+R39</f>
        <v>68592953</v>
      </c>
      <c r="AL39" s="668"/>
      <c r="AM39" s="668"/>
      <c r="AN39" s="668"/>
      <c r="AO39" s="668"/>
      <c r="AP39" s="669"/>
      <c r="AQ39" s="11" t="s">
        <v>282</v>
      </c>
      <c r="AR39" s="11"/>
      <c r="AS39" s="11"/>
      <c r="AT39" s="11"/>
      <c r="AU39" s="11"/>
      <c r="AV39" s="11"/>
      <c r="AW39" s="11"/>
      <c r="AX39" s="11"/>
      <c r="AY39" s="10"/>
      <c r="AZ39" s="487" t="s">
        <v>281</v>
      </c>
    </row>
    <row r="40" spans="2:52" ht="13.5" customHeight="1" thickTop="1" thickBot="1">
      <c r="B40" s="666"/>
      <c r="C40" s="666"/>
      <c r="D40" s="666"/>
      <c r="E40" s="13" t="s">
        <v>129</v>
      </c>
      <c r="F40" s="12"/>
      <c r="G40" s="11"/>
      <c r="H40" s="11"/>
      <c r="I40" s="11"/>
      <c r="J40" s="11"/>
      <c r="K40" s="11"/>
      <c r="L40" s="11"/>
      <c r="M40" s="11"/>
      <c r="N40" s="11"/>
      <c r="O40" s="11"/>
      <c r="P40" s="11"/>
      <c r="Q40" s="11"/>
      <c r="R40" s="667">
        <f>R36+AK39</f>
        <v>18940559860</v>
      </c>
      <c r="S40" s="668"/>
      <c r="T40" s="668"/>
      <c r="U40" s="668"/>
      <c r="V40" s="668"/>
      <c r="W40" s="669"/>
      <c r="X40" s="11" t="s">
        <v>280</v>
      </c>
      <c r="Y40" s="19" t="s">
        <v>279</v>
      </c>
      <c r="Z40" s="11"/>
      <c r="AA40" s="11"/>
      <c r="AB40" s="11"/>
      <c r="AC40" s="11" t="s">
        <v>278</v>
      </c>
      <c r="AD40" s="11"/>
      <c r="AE40" s="11"/>
      <c r="AF40" s="11"/>
      <c r="AG40" s="11"/>
      <c r="AH40" s="11"/>
      <c r="AI40" s="11"/>
      <c r="AJ40" s="11"/>
      <c r="AK40" s="11"/>
      <c r="AL40" s="11"/>
      <c r="AM40" s="11"/>
      <c r="AN40" s="11"/>
      <c r="AO40" s="11"/>
      <c r="AP40" s="11"/>
      <c r="AQ40" s="11"/>
      <c r="AR40" s="11"/>
      <c r="AS40" s="11"/>
      <c r="AT40" s="11"/>
      <c r="AU40" s="11"/>
      <c r="AV40" s="11"/>
      <c r="AW40" s="11"/>
      <c r="AX40" s="11"/>
      <c r="AY40" s="10"/>
      <c r="AZ40" s="490" t="s">
        <v>864</v>
      </c>
    </row>
    <row r="41" spans="2:52" ht="13.5" customHeight="1" thickTop="1" thickBot="1">
      <c r="B41" s="666"/>
      <c r="C41" s="666"/>
      <c r="D41" s="666"/>
      <c r="E41" s="13"/>
      <c r="F41" s="12"/>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0"/>
      <c r="AZ41" s="209" t="s">
        <v>863</v>
      </c>
    </row>
    <row r="42" spans="2:52" ht="13.5" customHeight="1" thickTop="1" thickBot="1">
      <c r="B42" s="666"/>
      <c r="C42" s="666"/>
      <c r="D42" s="666"/>
      <c r="E42" s="13" t="s">
        <v>65</v>
      </c>
      <c r="F42" s="12"/>
      <c r="G42" s="11"/>
      <c r="H42" s="11"/>
      <c r="I42" s="11"/>
      <c r="J42" s="11"/>
      <c r="K42" s="11"/>
      <c r="L42" s="11"/>
      <c r="M42" s="11"/>
      <c r="N42" s="11"/>
      <c r="O42" s="11"/>
      <c r="P42" s="11"/>
      <c r="Q42" s="11"/>
      <c r="R42" s="715">
        <f>ROUNDDOWN(R36/R40,4)</f>
        <v>0.99629999999999996</v>
      </c>
      <c r="S42" s="716"/>
      <c r="T42" s="716"/>
      <c r="U42" s="716"/>
      <c r="V42" s="716"/>
      <c r="W42" s="717"/>
      <c r="X42" s="11"/>
      <c r="Y42" s="19" t="s">
        <v>277</v>
      </c>
      <c r="Z42" s="11"/>
      <c r="AA42" s="11"/>
      <c r="AB42" s="11"/>
      <c r="AC42" s="11"/>
      <c r="AD42" s="11"/>
      <c r="AE42" s="11"/>
      <c r="AF42" s="11"/>
      <c r="AG42" s="11" t="s">
        <v>276</v>
      </c>
      <c r="AH42" s="11"/>
      <c r="AI42" s="11"/>
      <c r="AJ42" s="11"/>
      <c r="AK42" s="11"/>
      <c r="AL42" s="11"/>
      <c r="AM42" s="11"/>
      <c r="AN42" s="11"/>
      <c r="AO42" s="11"/>
      <c r="AP42" s="11"/>
      <c r="AQ42" s="11"/>
      <c r="AR42" s="11"/>
      <c r="AS42" s="11"/>
      <c r="AT42" s="11"/>
      <c r="AU42" s="11"/>
      <c r="AV42" s="11"/>
      <c r="AW42" s="11"/>
      <c r="AX42" s="11"/>
      <c r="AY42" s="10"/>
      <c r="AZ42" s="487" t="s">
        <v>104</v>
      </c>
    </row>
    <row r="43" spans="2:52" ht="13.5" customHeight="1" thickTop="1">
      <c r="B43" s="671"/>
      <c r="C43" s="671"/>
      <c r="D43" s="671"/>
      <c r="E43" s="8"/>
      <c r="F43" s="7"/>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5"/>
      <c r="AZ43" s="486"/>
    </row>
    <row r="44" spans="2:52" ht="13.5" customHeight="1">
      <c r="B44" s="682" t="s">
        <v>128</v>
      </c>
      <c r="C44" s="682">
        <v>1</v>
      </c>
      <c r="D44" s="680" t="s">
        <v>127</v>
      </c>
      <c r="E44" s="691" t="s">
        <v>126</v>
      </c>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92"/>
      <c r="AM44" s="692"/>
      <c r="AN44" s="692"/>
      <c r="AO44" s="692"/>
      <c r="AP44" s="692"/>
      <c r="AQ44" s="692"/>
      <c r="AR44" s="692"/>
      <c r="AS44" s="692"/>
      <c r="AT44" s="692"/>
      <c r="AU44" s="692"/>
      <c r="AV44" s="692"/>
      <c r="AW44" s="692"/>
      <c r="AX44" s="692"/>
      <c r="AY44" s="684"/>
      <c r="AZ44" s="14"/>
    </row>
    <row r="45" spans="2:52" ht="13.5" customHeight="1">
      <c r="B45" s="666"/>
      <c r="C45" s="666"/>
      <c r="D45" s="670"/>
      <c r="E45" s="689"/>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c r="AM45" s="678"/>
      <c r="AN45" s="678"/>
      <c r="AO45" s="678"/>
      <c r="AP45" s="678"/>
      <c r="AQ45" s="678"/>
      <c r="AR45" s="678"/>
      <c r="AS45" s="678"/>
      <c r="AT45" s="678"/>
      <c r="AU45" s="678"/>
      <c r="AV45" s="678"/>
      <c r="AW45" s="678"/>
      <c r="AX45" s="678"/>
      <c r="AY45" s="685"/>
      <c r="AZ45" s="9"/>
    </row>
    <row r="46" spans="2:52" ht="13.5" customHeight="1">
      <c r="B46" s="666"/>
      <c r="C46" s="671"/>
      <c r="D46" s="681"/>
      <c r="E46" s="693"/>
      <c r="F46" s="694"/>
      <c r="G46" s="694"/>
      <c r="H46" s="694"/>
      <c r="I46" s="694"/>
      <c r="J46" s="694"/>
      <c r="K46" s="694"/>
      <c r="L46" s="694"/>
      <c r="M46" s="694"/>
      <c r="N46" s="694"/>
      <c r="O46" s="694"/>
      <c r="P46" s="694"/>
      <c r="Q46" s="694"/>
      <c r="R46" s="694"/>
      <c r="S46" s="694"/>
      <c r="T46" s="694"/>
      <c r="U46" s="694"/>
      <c r="V46" s="694"/>
      <c r="W46" s="694"/>
      <c r="X46" s="694"/>
      <c r="Y46" s="694"/>
      <c r="Z46" s="694"/>
      <c r="AA46" s="694"/>
      <c r="AB46" s="694"/>
      <c r="AC46" s="694"/>
      <c r="AD46" s="694"/>
      <c r="AE46" s="694"/>
      <c r="AF46" s="694"/>
      <c r="AG46" s="694"/>
      <c r="AH46" s="694"/>
      <c r="AI46" s="694"/>
      <c r="AJ46" s="694"/>
      <c r="AK46" s="694"/>
      <c r="AL46" s="694"/>
      <c r="AM46" s="694"/>
      <c r="AN46" s="694"/>
      <c r="AO46" s="694"/>
      <c r="AP46" s="694"/>
      <c r="AQ46" s="694"/>
      <c r="AR46" s="694"/>
      <c r="AS46" s="694"/>
      <c r="AT46" s="694"/>
      <c r="AU46" s="694"/>
      <c r="AV46" s="694"/>
      <c r="AW46" s="694"/>
      <c r="AX46" s="694"/>
      <c r="AY46" s="686"/>
      <c r="AZ46" s="4"/>
    </row>
    <row r="47" spans="2:52" ht="13.5" customHeight="1">
      <c r="B47" s="666"/>
      <c r="C47" s="682">
        <v>2</v>
      </c>
      <c r="D47" s="680" t="s">
        <v>125</v>
      </c>
      <c r="E47" s="691" t="s">
        <v>124</v>
      </c>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92"/>
      <c r="AM47" s="692"/>
      <c r="AN47" s="692"/>
      <c r="AO47" s="692"/>
      <c r="AP47" s="692"/>
      <c r="AQ47" s="692"/>
      <c r="AR47" s="692"/>
      <c r="AS47" s="692"/>
      <c r="AT47" s="692"/>
      <c r="AU47" s="692"/>
      <c r="AV47" s="692"/>
      <c r="AW47" s="692"/>
      <c r="AX47" s="692"/>
      <c r="AY47" s="684"/>
      <c r="AZ47" s="14"/>
    </row>
    <row r="48" spans="2:52" ht="13.5" customHeight="1">
      <c r="B48" s="666"/>
      <c r="C48" s="666"/>
      <c r="D48" s="670"/>
      <c r="E48" s="689"/>
      <c r="F48" s="678"/>
      <c r="G48" s="678"/>
      <c r="H48" s="678"/>
      <c r="I48" s="678"/>
      <c r="J48" s="678"/>
      <c r="K48" s="678"/>
      <c r="L48" s="678"/>
      <c r="M48" s="678"/>
      <c r="N48" s="678"/>
      <c r="O48" s="678"/>
      <c r="P48" s="678"/>
      <c r="Q48" s="678"/>
      <c r="R48" s="678"/>
      <c r="S48" s="678"/>
      <c r="T48" s="678"/>
      <c r="U48" s="678"/>
      <c r="V48" s="678"/>
      <c r="W48" s="678"/>
      <c r="X48" s="678"/>
      <c r="Y48" s="678"/>
      <c r="Z48" s="678"/>
      <c r="AA48" s="678"/>
      <c r="AB48" s="678"/>
      <c r="AC48" s="678"/>
      <c r="AD48" s="678"/>
      <c r="AE48" s="678"/>
      <c r="AF48" s="678"/>
      <c r="AG48" s="678"/>
      <c r="AH48" s="678"/>
      <c r="AI48" s="678"/>
      <c r="AJ48" s="678"/>
      <c r="AK48" s="678"/>
      <c r="AL48" s="678"/>
      <c r="AM48" s="678"/>
      <c r="AN48" s="678"/>
      <c r="AO48" s="678"/>
      <c r="AP48" s="678"/>
      <c r="AQ48" s="678"/>
      <c r="AR48" s="678"/>
      <c r="AS48" s="678"/>
      <c r="AT48" s="678"/>
      <c r="AU48" s="678"/>
      <c r="AV48" s="678"/>
      <c r="AW48" s="678"/>
      <c r="AX48" s="678"/>
      <c r="AY48" s="685"/>
      <c r="AZ48" s="9"/>
    </row>
    <row r="49" spans="2:52" ht="13.5" customHeight="1">
      <c r="B49" s="666"/>
      <c r="C49" s="671"/>
      <c r="D49" s="681"/>
      <c r="E49" s="689"/>
      <c r="F49" s="678"/>
      <c r="G49" s="678"/>
      <c r="H49" s="678"/>
      <c r="I49" s="678"/>
      <c r="J49" s="678"/>
      <c r="K49" s="678"/>
      <c r="L49" s="678"/>
      <c r="M49" s="678"/>
      <c r="N49" s="678"/>
      <c r="O49" s="678"/>
      <c r="P49" s="678"/>
      <c r="Q49" s="678"/>
      <c r="R49" s="678"/>
      <c r="S49" s="678"/>
      <c r="T49" s="678"/>
      <c r="U49" s="678"/>
      <c r="V49" s="678"/>
      <c r="W49" s="678"/>
      <c r="X49" s="678"/>
      <c r="Y49" s="678"/>
      <c r="Z49" s="678"/>
      <c r="AA49" s="678"/>
      <c r="AB49" s="678"/>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c r="AY49" s="685"/>
      <c r="AZ49" s="9"/>
    </row>
    <row r="50" spans="2:52" ht="13.5" customHeight="1">
      <c r="B50" s="666"/>
      <c r="C50" s="682">
        <v>3</v>
      </c>
      <c r="D50" s="690" t="s">
        <v>123</v>
      </c>
      <c r="E50" s="689"/>
      <c r="F50" s="678"/>
      <c r="G50" s="678"/>
      <c r="H50" s="678"/>
      <c r="I50" s="678"/>
      <c r="J50" s="678"/>
      <c r="K50" s="678"/>
      <c r="L50" s="678"/>
      <c r="M50" s="678"/>
      <c r="N50" s="678"/>
      <c r="O50" s="678"/>
      <c r="P50" s="678"/>
      <c r="Q50" s="678"/>
      <c r="R50" s="678"/>
      <c r="S50" s="678"/>
      <c r="T50" s="678"/>
      <c r="U50" s="678"/>
      <c r="V50" s="678"/>
      <c r="W50" s="678"/>
      <c r="X50" s="678"/>
      <c r="Y50" s="678"/>
      <c r="Z50" s="678"/>
      <c r="AA50" s="678"/>
      <c r="AB50" s="678"/>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c r="AY50" s="685"/>
      <c r="AZ50" s="9"/>
    </row>
    <row r="51" spans="2:52" ht="13.5" customHeight="1">
      <c r="B51" s="666"/>
      <c r="C51" s="671"/>
      <c r="D51" s="690"/>
      <c r="E51" s="693"/>
      <c r="F51" s="694"/>
      <c r="G51" s="694"/>
      <c r="H51" s="694"/>
      <c r="I51" s="694"/>
      <c r="J51" s="694"/>
      <c r="K51" s="694"/>
      <c r="L51" s="694"/>
      <c r="M51" s="694"/>
      <c r="N51" s="694"/>
      <c r="O51" s="694"/>
      <c r="P51" s="694"/>
      <c r="Q51" s="694"/>
      <c r="R51" s="694"/>
      <c r="S51" s="694"/>
      <c r="T51" s="694"/>
      <c r="U51" s="694"/>
      <c r="V51" s="694"/>
      <c r="W51" s="694"/>
      <c r="X51" s="694"/>
      <c r="Y51" s="694"/>
      <c r="Z51" s="694"/>
      <c r="AA51" s="694"/>
      <c r="AB51" s="694"/>
      <c r="AC51" s="694"/>
      <c r="AD51" s="694"/>
      <c r="AE51" s="694"/>
      <c r="AF51" s="694"/>
      <c r="AG51" s="694"/>
      <c r="AH51" s="694"/>
      <c r="AI51" s="694"/>
      <c r="AJ51" s="694"/>
      <c r="AK51" s="694"/>
      <c r="AL51" s="694"/>
      <c r="AM51" s="694"/>
      <c r="AN51" s="694"/>
      <c r="AO51" s="694"/>
      <c r="AP51" s="694"/>
      <c r="AQ51" s="694"/>
      <c r="AR51" s="694"/>
      <c r="AS51" s="694"/>
      <c r="AT51" s="694"/>
      <c r="AU51" s="694"/>
      <c r="AV51" s="694"/>
      <c r="AW51" s="694"/>
      <c r="AX51" s="694"/>
      <c r="AY51" s="686"/>
      <c r="AZ51" s="4"/>
    </row>
    <row r="52" spans="2:52" ht="13.5" customHeight="1">
      <c r="B52" s="666"/>
      <c r="C52" s="682">
        <v>4</v>
      </c>
      <c r="D52" s="690" t="s">
        <v>122</v>
      </c>
      <c r="E52" s="688" t="s">
        <v>121</v>
      </c>
      <c r="F52" s="688"/>
      <c r="G52" s="688"/>
      <c r="H52" s="688"/>
      <c r="I52" s="688"/>
      <c r="J52" s="688"/>
      <c r="K52" s="688"/>
      <c r="L52" s="688"/>
      <c r="M52" s="688"/>
      <c r="N52" s="688"/>
      <c r="O52" s="688"/>
      <c r="P52" s="688"/>
      <c r="Q52" s="688"/>
      <c r="R52" s="688"/>
      <c r="S52" s="688"/>
      <c r="T52" s="688"/>
      <c r="U52" s="688"/>
      <c r="V52" s="688"/>
      <c r="W52" s="688"/>
      <c r="X52" s="688"/>
      <c r="Y52" s="688"/>
      <c r="Z52" s="688"/>
      <c r="AA52" s="688"/>
      <c r="AB52" s="688"/>
      <c r="AC52" s="688"/>
      <c r="AD52" s="688"/>
      <c r="AE52" s="688"/>
      <c r="AF52" s="688"/>
      <c r="AG52" s="688"/>
      <c r="AH52" s="688"/>
      <c r="AI52" s="688"/>
      <c r="AJ52" s="688"/>
      <c r="AK52" s="688"/>
      <c r="AL52" s="688"/>
      <c r="AM52" s="688"/>
      <c r="AN52" s="688"/>
      <c r="AO52" s="688"/>
      <c r="AP52" s="688"/>
      <c r="AQ52" s="688"/>
      <c r="AR52" s="688"/>
      <c r="AS52" s="688"/>
      <c r="AT52" s="688"/>
      <c r="AU52" s="688"/>
      <c r="AV52" s="688"/>
      <c r="AW52" s="688"/>
      <c r="AX52" s="688"/>
      <c r="AY52" s="688"/>
      <c r="AZ52" s="9"/>
    </row>
    <row r="53" spans="2:52" ht="13.5" customHeight="1">
      <c r="B53" s="666"/>
      <c r="C53" s="671"/>
      <c r="D53" s="690"/>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688"/>
      <c r="AC53" s="688"/>
      <c r="AD53" s="688"/>
      <c r="AE53" s="688"/>
      <c r="AF53" s="688"/>
      <c r="AG53" s="688"/>
      <c r="AH53" s="688"/>
      <c r="AI53" s="688"/>
      <c r="AJ53" s="688"/>
      <c r="AK53" s="688"/>
      <c r="AL53" s="688"/>
      <c r="AM53" s="688"/>
      <c r="AN53" s="688"/>
      <c r="AO53" s="688"/>
      <c r="AP53" s="688"/>
      <c r="AQ53" s="688"/>
      <c r="AR53" s="688"/>
      <c r="AS53" s="688"/>
      <c r="AT53" s="688"/>
      <c r="AU53" s="688"/>
      <c r="AV53" s="688"/>
      <c r="AW53" s="688"/>
      <c r="AX53" s="688"/>
      <c r="AY53" s="688"/>
      <c r="AZ53" s="9"/>
    </row>
    <row r="54" spans="2:52" ht="13.5" customHeight="1">
      <c r="B54" s="666"/>
      <c r="C54" s="682">
        <v>5</v>
      </c>
      <c r="D54" s="690" t="s">
        <v>120</v>
      </c>
      <c r="E54" s="688" t="s">
        <v>119</v>
      </c>
      <c r="F54" s="688"/>
      <c r="G54" s="688"/>
      <c r="H54" s="688"/>
      <c r="I54" s="688"/>
      <c r="J54" s="688"/>
      <c r="K54" s="688"/>
      <c r="L54" s="688"/>
      <c r="M54" s="688"/>
      <c r="N54" s="688"/>
      <c r="O54" s="688"/>
      <c r="P54" s="688"/>
      <c r="Q54" s="688"/>
      <c r="R54" s="688"/>
      <c r="S54" s="688"/>
      <c r="T54" s="688"/>
      <c r="U54" s="688"/>
      <c r="V54" s="688"/>
      <c r="W54" s="688"/>
      <c r="X54" s="688"/>
      <c r="Y54" s="688"/>
      <c r="Z54" s="688"/>
      <c r="AA54" s="688"/>
      <c r="AB54" s="688"/>
      <c r="AC54" s="688"/>
      <c r="AD54" s="688"/>
      <c r="AE54" s="688"/>
      <c r="AF54" s="688"/>
      <c r="AG54" s="688"/>
      <c r="AH54" s="688"/>
      <c r="AI54" s="688"/>
      <c r="AJ54" s="688"/>
      <c r="AK54" s="688"/>
      <c r="AL54" s="688"/>
      <c r="AM54" s="688"/>
      <c r="AN54" s="688"/>
      <c r="AO54" s="688"/>
      <c r="AP54" s="688"/>
      <c r="AQ54" s="688"/>
      <c r="AR54" s="688"/>
      <c r="AS54" s="688"/>
      <c r="AT54" s="688"/>
      <c r="AU54" s="688"/>
      <c r="AV54" s="688"/>
      <c r="AW54" s="688"/>
      <c r="AX54" s="688"/>
      <c r="AY54" s="688"/>
      <c r="AZ54" s="14"/>
    </row>
    <row r="55" spans="2:52" ht="13.5" customHeight="1">
      <c r="B55" s="666"/>
      <c r="C55" s="671"/>
      <c r="D55" s="690"/>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688"/>
      <c r="AC55" s="688"/>
      <c r="AD55" s="688"/>
      <c r="AE55" s="688"/>
      <c r="AF55" s="688"/>
      <c r="AG55" s="688"/>
      <c r="AH55" s="688"/>
      <c r="AI55" s="688"/>
      <c r="AJ55" s="688"/>
      <c r="AK55" s="688"/>
      <c r="AL55" s="688"/>
      <c r="AM55" s="688"/>
      <c r="AN55" s="688"/>
      <c r="AO55" s="688"/>
      <c r="AP55" s="688"/>
      <c r="AQ55" s="688"/>
      <c r="AR55" s="688"/>
      <c r="AS55" s="688"/>
      <c r="AT55" s="688"/>
      <c r="AU55" s="688"/>
      <c r="AV55" s="688"/>
      <c r="AW55" s="688"/>
      <c r="AX55" s="688"/>
      <c r="AY55" s="688"/>
      <c r="AZ55" s="4"/>
    </row>
    <row r="56" spans="2:52" ht="13.5" customHeight="1">
      <c r="B56" s="666"/>
      <c r="C56" s="682">
        <v>6</v>
      </c>
      <c r="D56" s="690" t="s">
        <v>118</v>
      </c>
      <c r="E56" s="688" t="s">
        <v>94</v>
      </c>
      <c r="F56" s="688"/>
      <c r="G56" s="688"/>
      <c r="H56" s="688"/>
      <c r="I56" s="688"/>
      <c r="J56" s="688"/>
      <c r="K56" s="688"/>
      <c r="L56" s="688"/>
      <c r="M56" s="688"/>
      <c r="N56" s="688"/>
      <c r="O56" s="688"/>
      <c r="P56" s="688"/>
      <c r="Q56" s="688"/>
      <c r="R56" s="688"/>
      <c r="S56" s="688"/>
      <c r="T56" s="688"/>
      <c r="U56" s="688"/>
      <c r="V56" s="688"/>
      <c r="W56" s="688"/>
      <c r="X56" s="688"/>
      <c r="Y56" s="688"/>
      <c r="Z56" s="688"/>
      <c r="AA56" s="688"/>
      <c r="AB56" s="688"/>
      <c r="AC56" s="688"/>
      <c r="AD56" s="688"/>
      <c r="AE56" s="688"/>
      <c r="AF56" s="688"/>
      <c r="AG56" s="688"/>
      <c r="AH56" s="688"/>
      <c r="AI56" s="688"/>
      <c r="AJ56" s="688"/>
      <c r="AK56" s="688"/>
      <c r="AL56" s="688"/>
      <c r="AM56" s="688"/>
      <c r="AN56" s="688"/>
      <c r="AO56" s="688"/>
      <c r="AP56" s="688"/>
      <c r="AQ56" s="688"/>
      <c r="AR56" s="688"/>
      <c r="AS56" s="688"/>
      <c r="AT56" s="688"/>
      <c r="AU56" s="688"/>
      <c r="AV56" s="688"/>
      <c r="AW56" s="688"/>
      <c r="AX56" s="688"/>
      <c r="AY56" s="688"/>
      <c r="AZ56" s="9"/>
    </row>
    <row r="57" spans="2:52" ht="13.5" customHeight="1">
      <c r="B57" s="666"/>
      <c r="C57" s="671"/>
      <c r="D57" s="690"/>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688"/>
      <c r="AC57" s="688"/>
      <c r="AD57" s="688"/>
      <c r="AE57" s="688"/>
      <c r="AF57" s="688"/>
      <c r="AG57" s="688"/>
      <c r="AH57" s="688"/>
      <c r="AI57" s="688"/>
      <c r="AJ57" s="688"/>
      <c r="AK57" s="688"/>
      <c r="AL57" s="688"/>
      <c r="AM57" s="688"/>
      <c r="AN57" s="688"/>
      <c r="AO57" s="688"/>
      <c r="AP57" s="688"/>
      <c r="AQ57" s="688"/>
      <c r="AR57" s="688"/>
      <c r="AS57" s="688"/>
      <c r="AT57" s="688"/>
      <c r="AU57" s="688"/>
      <c r="AV57" s="688"/>
      <c r="AW57" s="688"/>
      <c r="AX57" s="688"/>
      <c r="AY57" s="688"/>
      <c r="AZ57" s="9"/>
    </row>
    <row r="58" spans="2:52" ht="13.5" customHeight="1">
      <c r="B58" s="666"/>
      <c r="C58" s="682">
        <v>7</v>
      </c>
      <c r="D58" s="680" t="s">
        <v>117</v>
      </c>
      <c r="E58" s="18"/>
      <c r="F58" s="17"/>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5"/>
      <c r="AZ58" s="14"/>
    </row>
    <row r="59" spans="2:52" ht="13.5" customHeight="1">
      <c r="B59" s="666"/>
      <c r="C59" s="666"/>
      <c r="D59" s="670"/>
      <c r="E59" s="28" t="s">
        <v>116</v>
      </c>
      <c r="F59" s="12"/>
      <c r="G59" s="12"/>
      <c r="H59" s="12"/>
      <c r="I59" s="12"/>
      <c r="J59" s="12"/>
      <c r="K59" s="12"/>
      <c r="L59" s="12"/>
      <c r="M59" s="12"/>
      <c r="N59" s="12"/>
      <c r="O59" s="12"/>
      <c r="P59" s="12"/>
      <c r="Q59" s="11"/>
      <c r="R59" s="695">
        <f>'(申)3%'!R59:W59+'(申)5%'!R59:W59+'(申)8%'!R59:W59+'(申)軽8%'!R59:W59+'(申)10%'!R59:W59</f>
        <v>9134353866</v>
      </c>
      <c r="S59" s="695"/>
      <c r="T59" s="695"/>
      <c r="U59" s="695"/>
      <c r="V59" s="695"/>
      <c r="W59" s="695"/>
      <c r="X59" s="11"/>
      <c r="Y59" s="19"/>
      <c r="Z59" s="11"/>
      <c r="AA59" s="11"/>
      <c r="AB59" s="11"/>
      <c r="AC59" s="11"/>
      <c r="AD59" s="11"/>
      <c r="AE59" s="11"/>
      <c r="AF59" s="11"/>
      <c r="AG59" s="11"/>
      <c r="AH59" s="11"/>
      <c r="AI59" s="12"/>
      <c r="AJ59" s="11"/>
      <c r="AK59" s="11"/>
      <c r="AL59" s="11"/>
      <c r="AM59" s="11"/>
      <c r="AN59" s="11"/>
      <c r="AO59" s="11"/>
      <c r="AP59" s="11"/>
      <c r="AQ59" s="11"/>
      <c r="AR59" s="11"/>
      <c r="AS59" s="11"/>
      <c r="AT59" s="11"/>
      <c r="AU59" s="11"/>
      <c r="AV59" s="11"/>
      <c r="AW59" s="11"/>
      <c r="AX59" s="11"/>
      <c r="AY59" s="10"/>
      <c r="AZ59" s="9"/>
    </row>
    <row r="60" spans="2:52" ht="13.5" customHeight="1">
      <c r="B60" s="666"/>
      <c r="C60" s="666"/>
      <c r="D60" s="670"/>
      <c r="E60" s="28" t="s">
        <v>115</v>
      </c>
      <c r="F60" s="11"/>
      <c r="G60" s="11"/>
      <c r="H60" s="11"/>
      <c r="I60" s="11"/>
      <c r="J60" s="11"/>
      <c r="K60" s="11"/>
      <c r="L60" s="11"/>
      <c r="M60" s="11"/>
      <c r="N60" s="11"/>
      <c r="O60" s="11"/>
      <c r="P60" s="11"/>
      <c r="Q60" s="11"/>
      <c r="R60" s="695">
        <f>'(申)3%'!R60:W60+'(申)5%'!R60:W60+'(申)8%'!R60:W60+'(申)軽8%'!R60:W60+'(申)10%'!R60:W60</f>
        <v>16278899176</v>
      </c>
      <c r="S60" s="695"/>
      <c r="T60" s="695"/>
      <c r="U60" s="695"/>
      <c r="V60" s="695"/>
      <c r="W60" s="695"/>
      <c r="X60" s="11"/>
      <c r="Y60" s="19"/>
      <c r="Z60" s="11"/>
      <c r="AA60" s="11"/>
      <c r="AB60" s="11"/>
      <c r="AC60" s="11"/>
      <c r="AD60" s="11"/>
      <c r="AE60" s="11"/>
      <c r="AF60" s="11"/>
      <c r="AG60" s="11"/>
      <c r="AH60" s="11"/>
      <c r="AI60" s="11"/>
      <c r="AJ60" s="11" t="s">
        <v>85</v>
      </c>
      <c r="AK60" s="695">
        <f>'(申)3%'!AK60:AP60+'(申)5%'!AK60:AP60+'(申)8%'!AK60:AP60+'(申)軽8%'!AK60:AP60+'(申)10%'!AK60:AP60</f>
        <v>25413253042</v>
      </c>
      <c r="AL60" s="695"/>
      <c r="AM60" s="695"/>
      <c r="AN60" s="695"/>
      <c r="AO60" s="695"/>
      <c r="AP60" s="695"/>
      <c r="AQ60" s="11" t="s">
        <v>113</v>
      </c>
      <c r="AR60" s="11"/>
      <c r="AS60" s="11"/>
      <c r="AT60" s="11"/>
      <c r="AU60" s="11"/>
      <c r="AV60" s="11"/>
      <c r="AW60" s="11"/>
      <c r="AX60" s="11"/>
      <c r="AY60" s="10"/>
      <c r="AZ60" s="9"/>
    </row>
    <row r="61" spans="2:52" ht="13.5" customHeight="1">
      <c r="B61" s="666"/>
      <c r="C61" s="666"/>
      <c r="D61" s="670"/>
      <c r="E61" s="28"/>
      <c r="F61" s="510"/>
      <c r="G61" s="510"/>
      <c r="H61" s="510"/>
      <c r="I61" s="510"/>
      <c r="J61" s="510"/>
      <c r="K61" s="510"/>
      <c r="L61" s="510"/>
      <c r="M61" s="510"/>
      <c r="N61" s="510"/>
      <c r="O61" s="510"/>
      <c r="P61" s="510"/>
      <c r="Q61" s="510"/>
      <c r="R61" s="32"/>
      <c r="S61" s="32"/>
      <c r="T61" s="32"/>
      <c r="U61" s="32"/>
      <c r="V61" s="32"/>
      <c r="W61" s="32"/>
      <c r="X61" s="510"/>
      <c r="Y61" s="511"/>
      <c r="Z61" s="510"/>
      <c r="AA61" s="510"/>
      <c r="AB61" s="510"/>
      <c r="AC61" s="510"/>
      <c r="AD61" s="510"/>
      <c r="AE61" s="510"/>
      <c r="AF61" s="510"/>
      <c r="AG61" s="510"/>
      <c r="AH61" s="510"/>
      <c r="AI61" s="510"/>
      <c r="AJ61" s="510"/>
      <c r="AK61" s="32"/>
      <c r="AL61" s="32"/>
      <c r="AM61" s="32"/>
      <c r="AN61" s="32"/>
      <c r="AO61" s="32"/>
      <c r="AP61" s="32"/>
      <c r="AQ61" s="510"/>
      <c r="AR61" s="510"/>
      <c r="AS61" s="510"/>
      <c r="AT61" s="510"/>
      <c r="AU61" s="510"/>
      <c r="AV61" s="510"/>
      <c r="AW61" s="510"/>
      <c r="AX61" s="510"/>
      <c r="AY61" s="512"/>
      <c r="AZ61" s="509"/>
    </row>
    <row r="62" spans="2:52" ht="13.5" customHeight="1">
      <c r="B62" s="666"/>
      <c r="C62" s="666"/>
      <c r="D62" s="670"/>
      <c r="E62" s="28"/>
      <c r="F62" s="510"/>
      <c r="G62" s="510"/>
      <c r="H62" s="510"/>
      <c r="I62" s="510"/>
      <c r="J62" s="510"/>
      <c r="K62" s="510"/>
      <c r="L62" s="510"/>
      <c r="M62" s="510"/>
      <c r="N62" s="510"/>
      <c r="O62" s="510"/>
      <c r="P62" s="510"/>
      <c r="Q62" s="510"/>
      <c r="R62" s="32"/>
      <c r="S62" s="32"/>
      <c r="T62" s="32"/>
      <c r="U62" s="32"/>
      <c r="V62" s="32"/>
      <c r="W62" s="32"/>
      <c r="X62" s="510"/>
      <c r="Y62" s="511"/>
      <c r="Z62" s="510"/>
      <c r="AA62" s="510"/>
      <c r="AB62" s="510"/>
      <c r="AC62" s="510"/>
      <c r="AD62" s="510"/>
      <c r="AE62" s="510"/>
      <c r="AF62" s="510"/>
      <c r="AG62" s="510"/>
      <c r="AH62" s="510"/>
      <c r="AI62" s="510"/>
      <c r="AJ62" s="510"/>
      <c r="AK62" s="32"/>
      <c r="AL62" s="32"/>
      <c r="AM62" s="32"/>
      <c r="AN62" s="32"/>
      <c r="AO62" s="32"/>
      <c r="AP62" s="32"/>
      <c r="AQ62" s="510"/>
      <c r="AR62" s="510"/>
      <c r="AS62" s="510"/>
      <c r="AT62" s="510"/>
      <c r="AU62" s="510"/>
      <c r="AV62" s="510"/>
      <c r="AW62" s="510"/>
      <c r="AX62" s="510"/>
      <c r="AY62" s="512"/>
      <c r="AZ62" s="509"/>
    </row>
    <row r="63" spans="2:52" ht="13.5" customHeight="1">
      <c r="B63" s="666"/>
      <c r="C63" s="666"/>
      <c r="D63" s="670"/>
      <c r="E63" s="13"/>
      <c r="F63" s="12"/>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0"/>
      <c r="AZ63" s="9"/>
    </row>
    <row r="64" spans="2:52" ht="13.5" customHeight="1">
      <c r="B64" s="666"/>
      <c r="C64" s="666"/>
      <c r="D64" s="670"/>
      <c r="E64" s="28" t="s">
        <v>112</v>
      </c>
      <c r="F64" s="12"/>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0"/>
      <c r="AZ64" s="9"/>
    </row>
    <row r="65" spans="2:55" ht="13.5" customHeight="1">
      <c r="B65" s="666"/>
      <c r="C65" s="666"/>
      <c r="D65" s="670"/>
      <c r="E65" s="13"/>
      <c r="F65" s="12"/>
      <c r="G65" s="11"/>
      <c r="H65" s="12" t="s">
        <v>111</v>
      </c>
      <c r="I65" s="11"/>
      <c r="J65" s="11"/>
      <c r="K65" s="11"/>
      <c r="L65" s="11"/>
      <c r="M65" s="11"/>
      <c r="N65" s="11"/>
      <c r="O65" s="11"/>
      <c r="P65" s="11"/>
      <c r="Q65" s="11"/>
      <c r="R65" s="695">
        <f>'(申)3%'!R65:W65+'(申)5%'!R65:W65+'(申)8%'!R65:W65+'(申)軽8%'!R65:W65+'(申)10%'!R65:W65</f>
        <v>36467079</v>
      </c>
      <c r="S65" s="695"/>
      <c r="T65" s="695"/>
      <c r="U65" s="695"/>
      <c r="V65" s="695"/>
      <c r="W65" s="695"/>
      <c r="X65" s="11" t="s">
        <v>110</v>
      </c>
      <c r="Y65" s="19"/>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0"/>
      <c r="AZ65" s="9"/>
    </row>
    <row r="66" spans="2:55" ht="13.5" customHeight="1">
      <c r="B66" s="666"/>
      <c r="C66" s="666"/>
      <c r="D66" s="670"/>
      <c r="E66" s="13"/>
      <c r="F66" s="12"/>
      <c r="G66" s="11"/>
      <c r="H66" s="12" t="s">
        <v>108</v>
      </c>
      <c r="I66" s="11"/>
      <c r="J66" s="11"/>
      <c r="K66" s="11"/>
      <c r="L66" s="11"/>
      <c r="M66" s="11"/>
      <c r="N66" s="11"/>
      <c r="O66" s="11"/>
      <c r="P66" s="11"/>
      <c r="Q66" s="11"/>
      <c r="R66" s="695">
        <f>'(申)3%'!R66:W66+'(申)5%'!R66:W66+'(申)8%'!R66:W66+'(申)軽8%'!R66:W66+'(申)10%'!R66:W66</f>
        <v>0</v>
      </c>
      <c r="S66" s="695"/>
      <c r="T66" s="695"/>
      <c r="U66" s="695"/>
      <c r="V66" s="695"/>
      <c r="W66" s="695"/>
      <c r="X66" s="11"/>
      <c r="Y66" s="19" t="s">
        <v>107</v>
      </c>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0"/>
      <c r="AZ66" s="9"/>
    </row>
    <row r="67" spans="2:55" ht="13.5" customHeight="1" thickBot="1">
      <c r="B67" s="666"/>
      <c r="C67" s="666"/>
      <c r="D67" s="670"/>
      <c r="E67" s="13"/>
      <c r="F67" s="12"/>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0"/>
      <c r="AZ67" s="9"/>
    </row>
    <row r="68" spans="2:55" ht="13.5" customHeight="1" thickTop="1" thickBot="1">
      <c r="B68" s="666"/>
      <c r="C68" s="666"/>
      <c r="D68" s="670"/>
      <c r="E68" s="28" t="s">
        <v>106</v>
      </c>
      <c r="F68" s="12"/>
      <c r="G68" s="11"/>
      <c r="H68" s="11"/>
      <c r="I68" s="11"/>
      <c r="J68" s="11"/>
      <c r="K68" s="11"/>
      <c r="L68" s="11"/>
      <c r="M68" s="11"/>
      <c r="N68" s="11"/>
      <c r="O68" s="11"/>
      <c r="P68" s="11"/>
      <c r="Q68" s="11"/>
      <c r="R68" s="11"/>
      <c r="S68" s="11"/>
      <c r="T68" s="675">
        <f>'(申)3%'!T68:Y68+'(申)5%'!T68:Y68+'(申)8%'!T68:Y68+'(申)軽8%'!T68:Y68+'(申)10%'!T68:Y68</f>
        <v>25376785963</v>
      </c>
      <c r="U68" s="676"/>
      <c r="V68" s="676"/>
      <c r="W68" s="676"/>
      <c r="X68" s="676"/>
      <c r="Y68" s="677"/>
      <c r="Z68" s="11"/>
      <c r="AA68" s="19" t="s">
        <v>105</v>
      </c>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0"/>
      <c r="AZ68" s="487" t="s">
        <v>827</v>
      </c>
      <c r="BC68" s="2">
        <f>AK60-R65</f>
        <v>25376785963</v>
      </c>
    </row>
    <row r="69" spans="2:55" ht="13.5" customHeight="1" thickTop="1" thickBot="1">
      <c r="B69" s="666"/>
      <c r="C69" s="666"/>
      <c r="D69" s="670"/>
      <c r="E69" s="13"/>
      <c r="F69" s="12"/>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0"/>
      <c r="AZ69" s="487"/>
    </row>
    <row r="70" spans="2:55" ht="13.5" customHeight="1" thickTop="1" thickBot="1">
      <c r="B70" s="666"/>
      <c r="C70" s="666"/>
      <c r="D70" s="670"/>
      <c r="E70" s="28" t="s">
        <v>103</v>
      </c>
      <c r="F70" s="12"/>
      <c r="G70" s="11"/>
      <c r="H70" s="11"/>
      <c r="I70" s="11"/>
      <c r="J70" s="11"/>
      <c r="K70" s="11"/>
      <c r="L70" s="11"/>
      <c r="M70" s="11"/>
      <c r="N70" s="11"/>
      <c r="O70" s="11"/>
      <c r="P70" s="11"/>
      <c r="Q70" s="11"/>
      <c r="R70" s="11"/>
      <c r="S70" s="11"/>
      <c r="T70" s="675">
        <f>'(申)3%'!T70:Y70+'(申)5%'!T70:Y70+'(申)8%'!T70:Y70+'(申)軽8%'!T70:Y70+'(申)10%'!T70:Y70</f>
        <v>1799420639</v>
      </c>
      <c r="U70" s="676"/>
      <c r="V70" s="676"/>
      <c r="W70" s="676"/>
      <c r="X70" s="676"/>
      <c r="Y70" s="677"/>
      <c r="Z70" s="11" t="s">
        <v>102</v>
      </c>
      <c r="AA70" s="19"/>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0"/>
      <c r="AZ70" s="487" t="s">
        <v>828</v>
      </c>
    </row>
    <row r="71" spans="2:55" ht="13.5" customHeight="1" thickTop="1">
      <c r="B71" s="671"/>
      <c r="C71" s="671"/>
      <c r="D71" s="681"/>
      <c r="E71" s="8"/>
      <c r="F71" s="7"/>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5"/>
      <c r="AZ71" s="4"/>
    </row>
    <row r="72" spans="2:55" ht="13.5" customHeight="1">
      <c r="B72" s="680" t="s">
        <v>100</v>
      </c>
      <c r="C72" s="682">
        <v>1</v>
      </c>
      <c r="D72" s="690" t="s">
        <v>99</v>
      </c>
      <c r="E72" s="688" t="s">
        <v>98</v>
      </c>
      <c r="F72" s="688"/>
      <c r="G72" s="688"/>
      <c r="H72" s="688"/>
      <c r="I72" s="688"/>
      <c r="J72" s="688"/>
      <c r="K72" s="688"/>
      <c r="L72" s="688"/>
      <c r="M72" s="688"/>
      <c r="N72" s="688"/>
      <c r="O72" s="688"/>
      <c r="P72" s="688"/>
      <c r="Q72" s="688"/>
      <c r="R72" s="688"/>
      <c r="S72" s="688"/>
      <c r="T72" s="688"/>
      <c r="U72" s="688"/>
      <c r="V72" s="688"/>
      <c r="W72" s="688"/>
      <c r="X72" s="688"/>
      <c r="Y72" s="688"/>
      <c r="Z72" s="688"/>
      <c r="AA72" s="688"/>
      <c r="AB72" s="688"/>
      <c r="AC72" s="688"/>
      <c r="AD72" s="688"/>
      <c r="AE72" s="688"/>
      <c r="AF72" s="688"/>
      <c r="AG72" s="688"/>
      <c r="AH72" s="688"/>
      <c r="AI72" s="688"/>
      <c r="AJ72" s="688"/>
      <c r="AK72" s="688"/>
      <c r="AL72" s="688"/>
      <c r="AM72" s="688"/>
      <c r="AN72" s="688"/>
      <c r="AO72" s="688"/>
      <c r="AP72" s="688"/>
      <c r="AQ72" s="688"/>
      <c r="AR72" s="688"/>
      <c r="AS72" s="688"/>
      <c r="AT72" s="688"/>
      <c r="AU72" s="688"/>
      <c r="AV72" s="688"/>
      <c r="AW72" s="688"/>
      <c r="AX72" s="688"/>
      <c r="AY72" s="688"/>
      <c r="AZ72" s="14"/>
    </row>
    <row r="73" spans="2:55" ht="13.5" customHeight="1">
      <c r="B73" s="670"/>
      <c r="C73" s="671"/>
      <c r="D73" s="690"/>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688"/>
      <c r="AC73" s="688"/>
      <c r="AD73" s="688"/>
      <c r="AE73" s="688"/>
      <c r="AF73" s="688"/>
      <c r="AG73" s="688"/>
      <c r="AH73" s="688"/>
      <c r="AI73" s="688"/>
      <c r="AJ73" s="688"/>
      <c r="AK73" s="688"/>
      <c r="AL73" s="688"/>
      <c r="AM73" s="688"/>
      <c r="AN73" s="688"/>
      <c r="AO73" s="688"/>
      <c r="AP73" s="688"/>
      <c r="AQ73" s="688"/>
      <c r="AR73" s="688"/>
      <c r="AS73" s="688"/>
      <c r="AT73" s="688"/>
      <c r="AU73" s="688"/>
      <c r="AV73" s="688"/>
      <c r="AW73" s="688"/>
      <c r="AX73" s="688"/>
      <c r="AY73" s="688"/>
      <c r="AZ73" s="9"/>
    </row>
    <row r="74" spans="2:55" ht="13.5" customHeight="1">
      <c r="B74" s="670"/>
      <c r="C74" s="682">
        <v>2</v>
      </c>
      <c r="D74" s="690" t="s">
        <v>97</v>
      </c>
      <c r="E74" s="688" t="s">
        <v>96</v>
      </c>
      <c r="F74" s="688"/>
      <c r="G74" s="688"/>
      <c r="H74" s="688"/>
      <c r="I74" s="688"/>
      <c r="J74" s="688"/>
      <c r="K74" s="688"/>
      <c r="L74" s="688"/>
      <c r="M74" s="688"/>
      <c r="N74" s="688"/>
      <c r="O74" s="688"/>
      <c r="P74" s="688"/>
      <c r="Q74" s="688"/>
      <c r="R74" s="688"/>
      <c r="S74" s="688"/>
      <c r="T74" s="688"/>
      <c r="U74" s="688"/>
      <c r="V74" s="688"/>
      <c r="W74" s="688"/>
      <c r="X74" s="688"/>
      <c r="Y74" s="688"/>
      <c r="Z74" s="688"/>
      <c r="AA74" s="688"/>
      <c r="AB74" s="688"/>
      <c r="AC74" s="688"/>
      <c r="AD74" s="688"/>
      <c r="AE74" s="688"/>
      <c r="AF74" s="688"/>
      <c r="AG74" s="688"/>
      <c r="AH74" s="688"/>
      <c r="AI74" s="688"/>
      <c r="AJ74" s="688"/>
      <c r="AK74" s="688"/>
      <c r="AL74" s="688"/>
      <c r="AM74" s="688"/>
      <c r="AN74" s="688"/>
      <c r="AO74" s="688"/>
      <c r="AP74" s="688"/>
      <c r="AQ74" s="688"/>
      <c r="AR74" s="688"/>
      <c r="AS74" s="688"/>
      <c r="AT74" s="688"/>
      <c r="AU74" s="688"/>
      <c r="AV74" s="688"/>
      <c r="AW74" s="688"/>
      <c r="AX74" s="688"/>
      <c r="AY74" s="688"/>
      <c r="AZ74" s="9"/>
    </row>
    <row r="75" spans="2:55" ht="13.5" customHeight="1">
      <c r="B75" s="670"/>
      <c r="C75" s="666"/>
      <c r="D75" s="690"/>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688"/>
      <c r="AC75" s="688"/>
      <c r="AD75" s="688"/>
      <c r="AE75" s="688"/>
      <c r="AF75" s="688"/>
      <c r="AG75" s="688"/>
      <c r="AH75" s="688"/>
      <c r="AI75" s="688"/>
      <c r="AJ75" s="688"/>
      <c r="AK75" s="688"/>
      <c r="AL75" s="688"/>
      <c r="AM75" s="688"/>
      <c r="AN75" s="688"/>
      <c r="AO75" s="688"/>
      <c r="AP75" s="688"/>
      <c r="AQ75" s="688"/>
      <c r="AR75" s="688"/>
      <c r="AS75" s="688"/>
      <c r="AT75" s="688"/>
      <c r="AU75" s="688"/>
      <c r="AV75" s="688"/>
      <c r="AW75" s="688"/>
      <c r="AX75" s="688"/>
      <c r="AY75" s="688"/>
      <c r="AZ75" s="9"/>
    </row>
    <row r="76" spans="2:55" ht="13.5" customHeight="1">
      <c r="B76" s="670"/>
      <c r="C76" s="671"/>
      <c r="D76" s="690"/>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688"/>
      <c r="AC76" s="688"/>
      <c r="AD76" s="688"/>
      <c r="AE76" s="688"/>
      <c r="AF76" s="688"/>
      <c r="AG76" s="688"/>
      <c r="AH76" s="688"/>
      <c r="AI76" s="688"/>
      <c r="AJ76" s="688"/>
      <c r="AK76" s="688"/>
      <c r="AL76" s="688"/>
      <c r="AM76" s="688"/>
      <c r="AN76" s="688"/>
      <c r="AO76" s="688"/>
      <c r="AP76" s="688"/>
      <c r="AQ76" s="688"/>
      <c r="AR76" s="688"/>
      <c r="AS76" s="688"/>
      <c r="AT76" s="688"/>
      <c r="AU76" s="688"/>
      <c r="AV76" s="688"/>
      <c r="AW76" s="688"/>
      <c r="AX76" s="688"/>
      <c r="AY76" s="688"/>
      <c r="AZ76" s="9"/>
    </row>
    <row r="77" spans="2:55" ht="13.5" customHeight="1">
      <c r="B77" s="670"/>
      <c r="C77" s="682">
        <v>3</v>
      </c>
      <c r="D77" s="690" t="s">
        <v>95</v>
      </c>
      <c r="E77" s="688" t="s">
        <v>94</v>
      </c>
      <c r="F77" s="688"/>
      <c r="G77" s="688"/>
      <c r="H77" s="688"/>
      <c r="I77" s="688"/>
      <c r="J77" s="688"/>
      <c r="K77" s="688"/>
      <c r="L77" s="688"/>
      <c r="M77" s="688"/>
      <c r="N77" s="688"/>
      <c r="O77" s="688"/>
      <c r="P77" s="688"/>
      <c r="Q77" s="688"/>
      <c r="R77" s="688"/>
      <c r="S77" s="688"/>
      <c r="T77" s="688"/>
      <c r="U77" s="688"/>
      <c r="V77" s="688"/>
      <c r="W77" s="688"/>
      <c r="X77" s="688"/>
      <c r="Y77" s="688"/>
      <c r="Z77" s="688"/>
      <c r="AA77" s="688"/>
      <c r="AB77" s="688"/>
      <c r="AC77" s="688"/>
      <c r="AD77" s="688"/>
      <c r="AE77" s="688"/>
      <c r="AF77" s="688"/>
      <c r="AG77" s="688"/>
      <c r="AH77" s="688"/>
      <c r="AI77" s="688"/>
      <c r="AJ77" s="688"/>
      <c r="AK77" s="688"/>
      <c r="AL77" s="688"/>
      <c r="AM77" s="688"/>
      <c r="AN77" s="688"/>
      <c r="AO77" s="688"/>
      <c r="AP77" s="688"/>
      <c r="AQ77" s="688"/>
      <c r="AR77" s="688"/>
      <c r="AS77" s="688"/>
      <c r="AT77" s="688"/>
      <c r="AU77" s="688"/>
      <c r="AV77" s="688"/>
      <c r="AW77" s="688"/>
      <c r="AX77" s="688"/>
      <c r="AY77" s="688"/>
      <c r="AZ77" s="9"/>
    </row>
    <row r="78" spans="2:55" ht="13.5" customHeight="1">
      <c r="B78" s="670"/>
      <c r="C78" s="666"/>
      <c r="D78" s="690"/>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688"/>
      <c r="AC78" s="688"/>
      <c r="AD78" s="688"/>
      <c r="AE78" s="688"/>
      <c r="AF78" s="688"/>
      <c r="AG78" s="688"/>
      <c r="AH78" s="688"/>
      <c r="AI78" s="688"/>
      <c r="AJ78" s="688"/>
      <c r="AK78" s="688"/>
      <c r="AL78" s="688"/>
      <c r="AM78" s="688"/>
      <c r="AN78" s="688"/>
      <c r="AO78" s="688"/>
      <c r="AP78" s="688"/>
      <c r="AQ78" s="688"/>
      <c r="AR78" s="688"/>
      <c r="AS78" s="688"/>
      <c r="AT78" s="688"/>
      <c r="AU78" s="688"/>
      <c r="AV78" s="688"/>
      <c r="AW78" s="688"/>
      <c r="AX78" s="688"/>
      <c r="AY78" s="688"/>
      <c r="AZ78" s="9"/>
    </row>
    <row r="79" spans="2:55" ht="13.5" customHeight="1">
      <c r="B79" s="670"/>
      <c r="C79" s="666"/>
      <c r="D79" s="690"/>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688"/>
      <c r="AC79" s="688"/>
      <c r="AD79" s="688"/>
      <c r="AE79" s="688"/>
      <c r="AF79" s="688"/>
      <c r="AG79" s="688"/>
      <c r="AH79" s="688"/>
      <c r="AI79" s="688"/>
      <c r="AJ79" s="688"/>
      <c r="AK79" s="688"/>
      <c r="AL79" s="688"/>
      <c r="AM79" s="688"/>
      <c r="AN79" s="688"/>
      <c r="AO79" s="688"/>
      <c r="AP79" s="688"/>
      <c r="AQ79" s="688"/>
      <c r="AR79" s="688"/>
      <c r="AS79" s="688"/>
      <c r="AT79" s="688"/>
      <c r="AU79" s="688"/>
      <c r="AV79" s="688"/>
      <c r="AW79" s="688"/>
      <c r="AX79" s="688"/>
      <c r="AY79" s="688"/>
      <c r="AZ79" s="9"/>
    </row>
    <row r="80" spans="2:55" ht="13.5" customHeight="1">
      <c r="B80" s="670"/>
      <c r="C80" s="671"/>
      <c r="D80" s="690"/>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688"/>
      <c r="AC80" s="688"/>
      <c r="AD80" s="688"/>
      <c r="AE80" s="688"/>
      <c r="AF80" s="688"/>
      <c r="AG80" s="688"/>
      <c r="AH80" s="688"/>
      <c r="AI80" s="688"/>
      <c r="AJ80" s="688"/>
      <c r="AK80" s="688"/>
      <c r="AL80" s="688"/>
      <c r="AM80" s="688"/>
      <c r="AN80" s="688"/>
      <c r="AO80" s="688"/>
      <c r="AP80" s="688"/>
      <c r="AQ80" s="688"/>
      <c r="AR80" s="688"/>
      <c r="AS80" s="688"/>
      <c r="AT80" s="688"/>
      <c r="AU80" s="688"/>
      <c r="AV80" s="688"/>
      <c r="AW80" s="688"/>
      <c r="AX80" s="688"/>
      <c r="AY80" s="688"/>
      <c r="AZ80" s="9"/>
    </row>
    <row r="81" spans="2:52" ht="13.5" customHeight="1">
      <c r="B81" s="670"/>
      <c r="C81" s="682">
        <v>4</v>
      </c>
      <c r="D81" s="690" t="s">
        <v>93</v>
      </c>
      <c r="E81" s="688" t="s">
        <v>92</v>
      </c>
      <c r="F81" s="688"/>
      <c r="G81" s="688"/>
      <c r="H81" s="688"/>
      <c r="I81" s="688"/>
      <c r="J81" s="688"/>
      <c r="K81" s="688"/>
      <c r="L81" s="688"/>
      <c r="M81" s="688"/>
      <c r="N81" s="688"/>
      <c r="O81" s="688"/>
      <c r="P81" s="688"/>
      <c r="Q81" s="688"/>
      <c r="R81" s="688"/>
      <c r="S81" s="688"/>
      <c r="T81" s="688"/>
      <c r="U81" s="688"/>
      <c r="V81" s="688"/>
      <c r="W81" s="688"/>
      <c r="X81" s="688"/>
      <c r="Y81" s="688"/>
      <c r="Z81" s="688"/>
      <c r="AA81" s="688"/>
      <c r="AB81" s="688"/>
      <c r="AC81" s="688"/>
      <c r="AD81" s="688"/>
      <c r="AE81" s="688"/>
      <c r="AF81" s="688"/>
      <c r="AG81" s="688"/>
      <c r="AH81" s="688"/>
      <c r="AI81" s="688"/>
      <c r="AJ81" s="688"/>
      <c r="AK81" s="688"/>
      <c r="AL81" s="688"/>
      <c r="AM81" s="688"/>
      <c r="AN81" s="688"/>
      <c r="AO81" s="688"/>
      <c r="AP81" s="688"/>
      <c r="AQ81" s="688"/>
      <c r="AR81" s="688"/>
      <c r="AS81" s="688"/>
      <c r="AT81" s="688"/>
      <c r="AU81" s="688"/>
      <c r="AV81" s="688"/>
      <c r="AW81" s="688"/>
      <c r="AX81" s="688"/>
      <c r="AY81" s="688"/>
      <c r="AZ81" s="9"/>
    </row>
    <row r="82" spans="2:52" ht="13.5" customHeight="1">
      <c r="B82" s="670"/>
      <c r="C82" s="666"/>
      <c r="D82" s="690"/>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88"/>
      <c r="AM82" s="688"/>
      <c r="AN82" s="688"/>
      <c r="AO82" s="688"/>
      <c r="AP82" s="688"/>
      <c r="AQ82" s="688"/>
      <c r="AR82" s="688"/>
      <c r="AS82" s="688"/>
      <c r="AT82" s="688"/>
      <c r="AU82" s="688"/>
      <c r="AV82" s="688"/>
      <c r="AW82" s="688"/>
      <c r="AX82" s="688"/>
      <c r="AY82" s="688"/>
      <c r="AZ82" s="9"/>
    </row>
    <row r="83" spans="2:52" ht="13.5" customHeight="1">
      <c r="B83" s="670"/>
      <c r="C83" s="671"/>
      <c r="D83" s="690"/>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88"/>
      <c r="AM83" s="688"/>
      <c r="AN83" s="688"/>
      <c r="AO83" s="688"/>
      <c r="AP83" s="688"/>
      <c r="AQ83" s="688"/>
      <c r="AR83" s="688"/>
      <c r="AS83" s="688"/>
      <c r="AT83" s="688"/>
      <c r="AU83" s="688"/>
      <c r="AV83" s="688"/>
      <c r="AW83" s="688"/>
      <c r="AX83" s="688"/>
      <c r="AY83" s="688"/>
      <c r="AZ83" s="9"/>
    </row>
    <row r="84" spans="2:52" ht="13.5" customHeight="1">
      <c r="B84" s="670"/>
      <c r="C84" s="682">
        <v>5</v>
      </c>
      <c r="D84" s="690" t="s">
        <v>91</v>
      </c>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688"/>
      <c r="AC84" s="688"/>
      <c r="AD84" s="688"/>
      <c r="AE84" s="688"/>
      <c r="AF84" s="688"/>
      <c r="AG84" s="688"/>
      <c r="AH84" s="688"/>
      <c r="AI84" s="688"/>
      <c r="AJ84" s="688"/>
      <c r="AK84" s="688"/>
      <c r="AL84" s="688"/>
      <c r="AM84" s="688"/>
      <c r="AN84" s="688"/>
      <c r="AO84" s="688"/>
      <c r="AP84" s="688"/>
      <c r="AQ84" s="688"/>
      <c r="AR84" s="688"/>
      <c r="AS84" s="688"/>
      <c r="AT84" s="688"/>
      <c r="AU84" s="688"/>
      <c r="AV84" s="688"/>
      <c r="AW84" s="688"/>
      <c r="AX84" s="688"/>
      <c r="AY84" s="688"/>
      <c r="AZ84" s="9"/>
    </row>
    <row r="85" spans="2:52" ht="13.5" customHeight="1">
      <c r="B85" s="670"/>
      <c r="C85" s="666"/>
      <c r="D85" s="690"/>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688"/>
      <c r="AC85" s="688"/>
      <c r="AD85" s="688"/>
      <c r="AE85" s="688"/>
      <c r="AF85" s="688"/>
      <c r="AG85" s="688"/>
      <c r="AH85" s="688"/>
      <c r="AI85" s="688"/>
      <c r="AJ85" s="688"/>
      <c r="AK85" s="688"/>
      <c r="AL85" s="688"/>
      <c r="AM85" s="688"/>
      <c r="AN85" s="688"/>
      <c r="AO85" s="688"/>
      <c r="AP85" s="688"/>
      <c r="AQ85" s="688"/>
      <c r="AR85" s="688"/>
      <c r="AS85" s="688"/>
      <c r="AT85" s="688"/>
      <c r="AU85" s="688"/>
      <c r="AV85" s="688"/>
      <c r="AW85" s="688"/>
      <c r="AX85" s="688"/>
      <c r="AY85" s="688"/>
      <c r="AZ85" s="9"/>
    </row>
    <row r="86" spans="2:52" ht="13.5" customHeight="1">
      <c r="B86" s="681"/>
      <c r="C86" s="671"/>
      <c r="D86" s="690"/>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688"/>
      <c r="AC86" s="688"/>
      <c r="AD86" s="688"/>
      <c r="AE86" s="688"/>
      <c r="AF86" s="688"/>
      <c r="AG86" s="688"/>
      <c r="AH86" s="688"/>
      <c r="AI86" s="688"/>
      <c r="AJ86" s="688"/>
      <c r="AK86" s="688"/>
      <c r="AL86" s="688"/>
      <c r="AM86" s="688"/>
      <c r="AN86" s="688"/>
      <c r="AO86" s="688"/>
      <c r="AP86" s="688"/>
      <c r="AQ86" s="688"/>
      <c r="AR86" s="688"/>
      <c r="AS86" s="688"/>
      <c r="AT86" s="688"/>
      <c r="AU86" s="688"/>
      <c r="AV86" s="688"/>
      <c r="AW86" s="688"/>
      <c r="AX86" s="688"/>
      <c r="AY86" s="688"/>
      <c r="AZ86" s="4"/>
    </row>
    <row r="87" spans="2:52" ht="13.5" customHeight="1">
      <c r="B87" s="680" t="s">
        <v>90</v>
      </c>
      <c r="C87" s="684">
        <v>1</v>
      </c>
      <c r="D87" s="680" t="s">
        <v>89</v>
      </c>
      <c r="E87" s="18"/>
      <c r="F87" s="17"/>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5"/>
      <c r="AZ87" s="662" t="s">
        <v>273</v>
      </c>
    </row>
    <row r="88" spans="2:52" ht="13.5" customHeight="1">
      <c r="B88" s="670"/>
      <c r="C88" s="685"/>
      <c r="D88" s="670"/>
      <c r="E88" s="28" t="s">
        <v>88</v>
      </c>
      <c r="F88" s="12"/>
      <c r="G88" s="12"/>
      <c r="H88" s="12"/>
      <c r="I88" s="12"/>
      <c r="J88" s="12"/>
      <c r="K88" s="12"/>
      <c r="L88" s="12"/>
      <c r="M88" s="12"/>
      <c r="N88" s="12"/>
      <c r="O88" s="12"/>
      <c r="P88" s="703">
        <f>'(申)3%'!P88:U88+'(申)5%'!P88:U88+'(申)8%'!P88:U88+'(申)軽8%'!P88:U88+'(申)10%'!P88:U88</f>
        <v>2312892880</v>
      </c>
      <c r="Q88" s="704"/>
      <c r="R88" s="704"/>
      <c r="S88" s="704"/>
      <c r="T88" s="704"/>
      <c r="U88" s="705"/>
      <c r="V88" s="11"/>
      <c r="W88" s="19" t="s">
        <v>86</v>
      </c>
      <c r="X88" s="11"/>
      <c r="Y88" s="11"/>
      <c r="Z88" s="11"/>
      <c r="AA88" s="11"/>
      <c r="AB88" s="11"/>
      <c r="AC88" s="11"/>
      <c r="AD88" s="11"/>
      <c r="AE88" s="11"/>
      <c r="AF88" s="11"/>
      <c r="AG88" s="11"/>
      <c r="AH88" s="11"/>
      <c r="AI88" s="12"/>
      <c r="AJ88" s="11"/>
      <c r="AK88" s="11"/>
      <c r="AL88" s="11"/>
      <c r="AM88" s="11"/>
      <c r="AN88" s="11"/>
      <c r="AO88" s="11"/>
      <c r="AP88" s="11"/>
      <c r="AQ88" s="11"/>
      <c r="AR88" s="11"/>
      <c r="AS88" s="11"/>
      <c r="AT88" s="11"/>
      <c r="AU88" s="11"/>
      <c r="AV88" s="11"/>
      <c r="AW88" s="11"/>
      <c r="AX88" s="11"/>
      <c r="AY88" s="10"/>
      <c r="AZ88" s="663"/>
    </row>
    <row r="89" spans="2:52" ht="13.5" customHeight="1">
      <c r="B89" s="670"/>
      <c r="C89" s="685"/>
      <c r="D89" s="670"/>
      <c r="E89" s="28" t="s">
        <v>87</v>
      </c>
      <c r="F89" s="11"/>
      <c r="G89" s="11"/>
      <c r="H89" s="11"/>
      <c r="I89" s="11"/>
      <c r="J89" s="11"/>
      <c r="K89" s="11"/>
      <c r="L89" s="11"/>
      <c r="M89" s="11"/>
      <c r="N89" s="11"/>
      <c r="O89" s="11"/>
      <c r="P89" s="703">
        <f>'(申)3%'!P89:U89+'(申)5%'!P89:U89+'(申)8%'!P89:U89+'(申)軽8%'!P89:U89+'(申)10%'!P89:U89</f>
        <v>6105633883</v>
      </c>
      <c r="Q89" s="704"/>
      <c r="R89" s="704"/>
      <c r="S89" s="704"/>
      <c r="T89" s="704"/>
      <c r="U89" s="705"/>
      <c r="V89" s="11"/>
      <c r="W89" s="19" t="s">
        <v>86</v>
      </c>
      <c r="X89" s="11"/>
      <c r="Y89" s="11"/>
      <c r="Z89" s="11"/>
      <c r="AA89" s="11"/>
      <c r="AB89" s="11"/>
      <c r="AC89" s="11"/>
      <c r="AD89" s="11"/>
      <c r="AE89" s="11"/>
      <c r="AF89" s="11"/>
      <c r="AG89" s="11"/>
      <c r="AH89" s="11"/>
      <c r="AI89" s="11"/>
      <c r="AJ89" s="11"/>
      <c r="AK89" s="11"/>
      <c r="AL89" s="11"/>
      <c r="AM89" s="11"/>
      <c r="AN89" s="11"/>
      <c r="AO89" s="11"/>
      <c r="AP89" s="11"/>
      <c r="AQ89" s="11"/>
      <c r="AR89" s="11" t="s">
        <v>85</v>
      </c>
      <c r="AS89" s="665">
        <f>P88+P89</f>
        <v>8418526763</v>
      </c>
      <c r="AT89" s="665"/>
      <c r="AU89" s="665"/>
      <c r="AV89" s="665"/>
      <c r="AW89" s="665"/>
      <c r="AX89" s="665"/>
      <c r="AY89" s="10" t="s">
        <v>272</v>
      </c>
      <c r="AZ89" s="663"/>
    </row>
    <row r="90" spans="2:52" ht="13.5" customHeight="1">
      <c r="B90" s="670"/>
      <c r="C90" s="685"/>
      <c r="D90" s="670"/>
      <c r="E90" s="13"/>
      <c r="F90" s="12"/>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0"/>
      <c r="AZ90" s="663"/>
    </row>
    <row r="91" spans="2:52" ht="13.5" customHeight="1">
      <c r="B91" s="670"/>
      <c r="C91" s="685"/>
      <c r="D91" s="670"/>
      <c r="E91" s="13" t="s">
        <v>83</v>
      </c>
      <c r="F91" s="12"/>
      <c r="G91" s="11"/>
      <c r="H91" s="11"/>
      <c r="I91" s="11"/>
      <c r="J91" s="11"/>
      <c r="K91" s="11"/>
      <c r="L91" s="11"/>
      <c r="M91" s="11"/>
      <c r="N91" s="11"/>
      <c r="O91" s="11"/>
      <c r="P91" s="703">
        <f>'(申)3%'!P91:U91+'(申)5%'!P91:U91+'(申)8%'!P91:U91+'(申)軽8%'!P91:U91+'(申)10%'!P91:U91</f>
        <v>18881588966</v>
      </c>
      <c r="Q91" s="704"/>
      <c r="R91" s="704"/>
      <c r="S91" s="704"/>
      <c r="T91" s="704"/>
      <c r="U91" s="705"/>
      <c r="V91" s="11"/>
      <c r="W91" s="19" t="s">
        <v>271</v>
      </c>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0"/>
      <c r="AZ91" s="663"/>
    </row>
    <row r="92" spans="2:52" ht="13.5" customHeight="1">
      <c r="B92" s="670"/>
      <c r="C92" s="685"/>
      <c r="D92" s="670"/>
      <c r="E92" s="13" t="s">
        <v>133</v>
      </c>
      <c r="F92" s="12"/>
      <c r="G92" s="11"/>
      <c r="H92" s="11"/>
      <c r="I92" s="11"/>
      <c r="J92" s="11"/>
      <c r="K92" s="11"/>
      <c r="L92" s="11"/>
      <c r="M92" s="11"/>
      <c r="N92" s="11"/>
      <c r="O92" s="11"/>
      <c r="P92" s="665">
        <f>R35</f>
        <v>86860</v>
      </c>
      <c r="Q92" s="665"/>
      <c r="R92" s="665"/>
      <c r="S92" s="665"/>
      <c r="T92" s="665"/>
      <c r="U92" s="665"/>
      <c r="V92" s="11"/>
      <c r="W92" s="19" t="s">
        <v>270</v>
      </c>
      <c r="X92" s="11"/>
      <c r="Y92" s="11"/>
      <c r="Z92" s="11"/>
      <c r="AA92" s="11"/>
      <c r="AB92" s="11"/>
      <c r="AC92" s="11"/>
      <c r="AD92" s="11" t="s">
        <v>85</v>
      </c>
      <c r="AE92" s="665">
        <f>SUM(P91:U93)</f>
        <v>18950268779</v>
      </c>
      <c r="AF92" s="665"/>
      <c r="AG92" s="665"/>
      <c r="AH92" s="665"/>
      <c r="AI92" s="665"/>
      <c r="AJ92" s="665"/>
      <c r="AK92" s="19" t="s">
        <v>269</v>
      </c>
      <c r="AL92" s="11"/>
      <c r="AM92" s="11"/>
      <c r="AN92" s="11"/>
      <c r="AO92" s="11"/>
      <c r="AP92" s="11"/>
      <c r="AQ92" s="11"/>
      <c r="AR92" s="11"/>
      <c r="AS92" s="11"/>
      <c r="AT92" s="11"/>
      <c r="AU92" s="11"/>
      <c r="AV92" s="11"/>
      <c r="AW92" s="11"/>
      <c r="AX92" s="11"/>
      <c r="AY92" s="10"/>
      <c r="AZ92" s="663"/>
    </row>
    <row r="93" spans="2:52" ht="13.5" customHeight="1">
      <c r="B93" s="670"/>
      <c r="C93" s="685"/>
      <c r="D93" s="670"/>
      <c r="E93" s="13" t="s">
        <v>80</v>
      </c>
      <c r="F93" s="12"/>
      <c r="G93" s="11"/>
      <c r="H93" s="11"/>
      <c r="I93" s="11"/>
      <c r="J93" s="11"/>
      <c r="K93" s="11"/>
      <c r="L93" s="11"/>
      <c r="M93" s="11"/>
      <c r="N93" s="11"/>
      <c r="O93" s="11"/>
      <c r="P93" s="665">
        <f>AK39</f>
        <v>68592953</v>
      </c>
      <c r="Q93" s="665"/>
      <c r="R93" s="665"/>
      <c r="S93" s="665"/>
      <c r="T93" s="665"/>
      <c r="U93" s="665"/>
      <c r="V93" s="11"/>
      <c r="W93" s="19" t="s">
        <v>268</v>
      </c>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0"/>
      <c r="AZ93" s="663"/>
    </row>
    <row r="94" spans="2:52" ht="13.5" customHeight="1" thickBot="1">
      <c r="B94" s="670"/>
      <c r="C94" s="685"/>
      <c r="D94" s="670"/>
      <c r="E94" s="13"/>
      <c r="F94" s="12"/>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0"/>
      <c r="AZ94" s="663"/>
    </row>
    <row r="95" spans="2:52" ht="13.5" customHeight="1" thickTop="1" thickBot="1">
      <c r="B95" s="670"/>
      <c r="C95" s="685"/>
      <c r="D95" s="670"/>
      <c r="E95" s="13" t="s">
        <v>79</v>
      </c>
      <c r="F95" s="12"/>
      <c r="G95" s="11"/>
      <c r="H95" s="11"/>
      <c r="I95" s="11"/>
      <c r="J95" s="11"/>
      <c r="K95" s="11"/>
      <c r="L95" s="11"/>
      <c r="M95" s="11"/>
      <c r="N95" s="11"/>
      <c r="O95" s="11"/>
      <c r="P95" s="672">
        <f>ROUNDUP(AS89/(AS89+P91+P92+P93),3)</f>
        <v>0.308</v>
      </c>
      <c r="Q95" s="673"/>
      <c r="R95" s="673"/>
      <c r="S95" s="673"/>
      <c r="T95" s="673"/>
      <c r="U95" s="674"/>
      <c r="V95" s="11"/>
      <c r="W95" s="19" t="s">
        <v>267</v>
      </c>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0"/>
      <c r="AZ95" s="663"/>
    </row>
    <row r="96" spans="2:52" ht="13.5" customHeight="1" thickTop="1">
      <c r="B96" s="670"/>
      <c r="C96" s="686"/>
      <c r="D96" s="681"/>
      <c r="E96" s="8"/>
      <c r="F96" s="7"/>
      <c r="G96" s="6"/>
      <c r="H96" s="6"/>
      <c r="I96" s="6"/>
      <c r="J96" s="6"/>
      <c r="K96" s="6"/>
      <c r="L96" s="6"/>
      <c r="M96" s="6"/>
      <c r="N96" s="6"/>
      <c r="O96" s="6"/>
      <c r="P96" s="6"/>
      <c r="Q96" s="6"/>
      <c r="R96" s="6"/>
      <c r="S96" s="6"/>
      <c r="T96" s="6"/>
      <c r="U96" s="6"/>
      <c r="V96" s="6"/>
      <c r="W96" s="6"/>
      <c r="X96" s="27" t="s">
        <v>266</v>
      </c>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5"/>
      <c r="AZ96" s="664"/>
    </row>
    <row r="97" spans="2:54" ht="13.5" customHeight="1" thickBot="1">
      <c r="B97" s="670"/>
      <c r="C97" s="684">
        <v>2</v>
      </c>
      <c r="D97" s="680" t="s">
        <v>78</v>
      </c>
      <c r="E97" s="18"/>
      <c r="F97" s="17"/>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5"/>
      <c r="AZ97" s="662" t="s">
        <v>865</v>
      </c>
    </row>
    <row r="98" spans="2:54" ht="13.5" customHeight="1" thickTop="1" thickBot="1">
      <c r="B98" s="670"/>
      <c r="C98" s="685"/>
      <c r="D98" s="670"/>
      <c r="E98" s="13" t="s">
        <v>76</v>
      </c>
      <c r="F98" s="12"/>
      <c r="G98" s="11"/>
      <c r="H98" s="11"/>
      <c r="I98" s="11"/>
      <c r="J98" s="11"/>
      <c r="K98" s="11"/>
      <c r="L98" s="11"/>
      <c r="M98" s="11"/>
      <c r="N98" s="11"/>
      <c r="O98" s="11"/>
      <c r="P98" s="11"/>
      <c r="Q98" s="11"/>
      <c r="R98" s="11"/>
      <c r="S98" s="11"/>
      <c r="T98" s="11"/>
      <c r="U98" s="11"/>
      <c r="V98" s="11"/>
      <c r="W98" s="11"/>
      <c r="X98" s="11"/>
      <c r="Y98" s="11"/>
      <c r="Z98" s="667">
        <f>'(申)3%'!Z98:AE98+'(申)5%'!Z98:AE98+'(申)8%'!Z98:AE98+'(申)軽8%'!Z98:AE98+'(申)10%'!Z98:AE98</f>
        <v>1792904063</v>
      </c>
      <c r="AA98" s="668"/>
      <c r="AB98" s="668"/>
      <c r="AC98" s="668"/>
      <c r="AD98" s="668"/>
      <c r="AE98" s="669"/>
      <c r="AF98" s="11" t="s">
        <v>265</v>
      </c>
      <c r="AG98" s="19"/>
      <c r="AH98" s="11"/>
      <c r="AI98" s="11"/>
      <c r="AJ98" s="11"/>
      <c r="AK98" s="11"/>
      <c r="AL98" s="11"/>
      <c r="AM98" s="11"/>
      <c r="AN98" s="11"/>
      <c r="AO98" s="11"/>
      <c r="AP98" s="11"/>
      <c r="AQ98" s="11"/>
      <c r="AR98" s="11"/>
      <c r="AS98" s="11"/>
      <c r="AT98" s="11"/>
      <c r="AU98" s="11"/>
      <c r="AV98" s="11"/>
      <c r="AW98" s="11"/>
      <c r="AX98" s="11"/>
      <c r="AY98" s="10"/>
      <c r="AZ98" s="683"/>
    </row>
    <row r="99" spans="2:54" ht="13.5" customHeight="1" thickTop="1" thickBot="1">
      <c r="B99" s="670"/>
      <c r="C99" s="685"/>
      <c r="D99" s="670"/>
      <c r="E99" s="13"/>
      <c r="F99" s="12"/>
      <c r="G99" s="11"/>
      <c r="H99" s="11"/>
      <c r="I99" s="11"/>
      <c r="J99" s="11"/>
      <c r="K99" s="11"/>
      <c r="L99" s="11"/>
      <c r="M99" s="11"/>
      <c r="N99" s="11"/>
      <c r="O99" s="11"/>
      <c r="P99" s="11"/>
      <c r="Q99" s="11"/>
      <c r="R99" s="11"/>
      <c r="S99" s="11"/>
      <c r="T99" s="11"/>
      <c r="U99" s="26" t="s">
        <v>73</v>
      </c>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0"/>
      <c r="AZ99" s="9"/>
    </row>
    <row r="100" spans="2:54" ht="13.5" customHeight="1" thickTop="1" thickBot="1">
      <c r="B100" s="670"/>
      <c r="C100" s="685"/>
      <c r="D100" s="670"/>
      <c r="E100" s="13" t="s">
        <v>72</v>
      </c>
      <c r="F100" s="12"/>
      <c r="G100" s="11"/>
      <c r="H100" s="11"/>
      <c r="I100" s="11"/>
      <c r="J100" s="11"/>
      <c r="K100" s="11"/>
      <c r="L100" s="11"/>
      <c r="M100" s="11"/>
      <c r="N100" s="11"/>
      <c r="O100" s="11"/>
      <c r="P100" s="11"/>
      <c r="Q100" s="11"/>
      <c r="R100" s="11"/>
      <c r="S100" s="11"/>
      <c r="T100" s="11"/>
      <c r="U100" s="11"/>
      <c r="V100" s="11"/>
      <c r="W100" s="11"/>
      <c r="X100" s="11"/>
      <c r="Y100" s="11"/>
      <c r="Z100" s="667">
        <f>'(申)3%'!Z100:AE100+'(申)5%'!Z100:AE100+'(申)8%'!Z100:AE100+'(申)軽8%'!Z100:AE100+'(申)10%'!Z100:AE100</f>
        <v>8418526763</v>
      </c>
      <c r="AA100" s="668"/>
      <c r="AB100" s="668"/>
      <c r="AC100" s="668"/>
      <c r="AD100" s="668"/>
      <c r="AE100" s="669"/>
      <c r="AF100" s="11"/>
      <c r="AG100" s="19" t="s">
        <v>71</v>
      </c>
      <c r="AH100" s="11"/>
      <c r="AI100" s="11"/>
      <c r="AJ100" s="11"/>
      <c r="AK100" s="11"/>
      <c r="AL100" s="11"/>
      <c r="AM100" s="11"/>
      <c r="AN100" s="11"/>
      <c r="AO100" s="11"/>
      <c r="AP100" s="11"/>
      <c r="AQ100" s="11"/>
      <c r="AR100" s="11"/>
      <c r="AS100" s="11"/>
      <c r="AT100" s="11"/>
      <c r="AU100" s="11"/>
      <c r="AV100" s="11"/>
      <c r="AW100" s="11"/>
      <c r="AX100" s="11"/>
      <c r="AY100" s="10"/>
      <c r="AZ100" s="9"/>
    </row>
    <row r="101" spans="2:54" ht="13.5" customHeight="1" thickTop="1" thickBot="1">
      <c r="B101" s="670"/>
      <c r="C101" s="685"/>
      <c r="D101" s="670"/>
      <c r="E101" s="13" t="s">
        <v>69</v>
      </c>
      <c r="F101" s="12"/>
      <c r="G101" s="11"/>
      <c r="H101" s="11"/>
      <c r="I101" s="11"/>
      <c r="J101" s="11"/>
      <c r="K101" s="11"/>
      <c r="L101" s="11"/>
      <c r="M101" s="11"/>
      <c r="N101" s="11"/>
      <c r="O101" s="11"/>
      <c r="P101" s="11"/>
      <c r="Q101" s="11"/>
      <c r="R101" s="11"/>
      <c r="S101" s="11"/>
      <c r="T101" s="11"/>
      <c r="U101" s="11"/>
      <c r="V101" s="11"/>
      <c r="W101" s="11"/>
      <c r="X101" s="11"/>
      <c r="Y101" s="11"/>
      <c r="Z101" s="667">
        <f>'(申)3%'!Z101:AE101+'(申)5%'!Z101:AE101+'(申)8%'!Z101:AE101+'(申)軽8%'!Z101:AE101+'(申)10%'!Z101:AE101</f>
        <v>592596113</v>
      </c>
      <c r="AA101" s="668"/>
      <c r="AB101" s="668"/>
      <c r="AC101" s="668"/>
      <c r="AD101" s="668"/>
      <c r="AE101" s="669"/>
      <c r="AF101" s="11" t="s">
        <v>264</v>
      </c>
      <c r="AG101" s="19"/>
      <c r="AH101" s="11"/>
      <c r="AI101" s="11"/>
      <c r="AJ101" s="11"/>
      <c r="AK101" s="11"/>
      <c r="AL101" s="11"/>
      <c r="AM101" s="11"/>
      <c r="AN101" s="11"/>
      <c r="AO101" s="11"/>
      <c r="AP101" s="11"/>
      <c r="AQ101" s="11"/>
      <c r="AR101" s="11"/>
      <c r="AS101" s="11"/>
      <c r="AT101" s="11"/>
      <c r="AU101" s="11"/>
      <c r="AV101" s="11"/>
      <c r="AW101" s="11"/>
      <c r="AX101" s="11"/>
      <c r="AY101" s="10"/>
      <c r="AZ101" s="9"/>
      <c r="BB101" s="1">
        <f>SUM('(申)3%:(申)10%'!Z101:AE101)</f>
        <v>592596113</v>
      </c>
    </row>
    <row r="102" spans="2:54" ht="13.5" customHeight="1" thickTop="1" thickBot="1">
      <c r="B102" s="670"/>
      <c r="C102" s="685"/>
      <c r="D102" s="670"/>
      <c r="E102" s="13"/>
      <c r="F102" s="12"/>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0"/>
      <c r="AZ102" s="9"/>
    </row>
    <row r="103" spans="2:54" ht="13.5" customHeight="1" thickTop="1" thickBot="1">
      <c r="B103" s="670"/>
      <c r="C103" s="685"/>
      <c r="D103" s="670"/>
      <c r="E103" s="689" t="s">
        <v>65</v>
      </c>
      <c r="F103" s="678"/>
      <c r="G103" s="678"/>
      <c r="H103" s="678"/>
      <c r="I103" s="678"/>
      <c r="J103" s="678"/>
      <c r="K103" s="678"/>
      <c r="L103" s="678"/>
      <c r="M103" s="678"/>
      <c r="N103" s="678"/>
      <c r="O103" s="678"/>
      <c r="P103" s="678"/>
      <c r="Q103" s="678"/>
      <c r="R103" s="678"/>
      <c r="S103" s="11"/>
      <c r="T103" s="11"/>
      <c r="U103" s="11"/>
      <c r="V103" s="11"/>
      <c r="W103" s="11"/>
      <c r="X103" s="11"/>
      <c r="Y103" s="11"/>
      <c r="Z103" s="667">
        <f>R36</f>
        <v>18871966907</v>
      </c>
      <c r="AA103" s="668"/>
      <c r="AB103" s="668"/>
      <c r="AC103" s="668"/>
      <c r="AD103" s="668"/>
      <c r="AE103" s="669"/>
      <c r="AF103" s="11"/>
      <c r="AG103" s="678" t="s">
        <v>263</v>
      </c>
      <c r="AH103" s="19" t="s">
        <v>262</v>
      </c>
      <c r="AI103" s="11"/>
      <c r="AJ103" s="11"/>
      <c r="AK103" s="11"/>
      <c r="AL103" s="11"/>
      <c r="AM103" s="11"/>
      <c r="AN103" s="11"/>
      <c r="AO103" s="11"/>
      <c r="AP103" s="11"/>
      <c r="AQ103" s="11"/>
      <c r="AR103" s="11"/>
      <c r="AS103" s="11"/>
      <c r="AT103" s="11"/>
      <c r="AU103" s="11"/>
      <c r="AV103" s="11"/>
      <c r="AW103" s="11"/>
      <c r="AX103" s="11"/>
      <c r="AY103" s="10"/>
      <c r="AZ103" s="666" t="s">
        <v>261</v>
      </c>
      <c r="BB103" s="1">
        <f>Z103/Z106</f>
        <v>0.99637851502241703</v>
      </c>
    </row>
    <row r="104" spans="2:54" ht="3" customHeight="1" thickTop="1">
      <c r="B104" s="670"/>
      <c r="C104" s="685"/>
      <c r="D104" s="670"/>
      <c r="E104" s="689"/>
      <c r="F104" s="678"/>
      <c r="G104" s="678"/>
      <c r="H104" s="678"/>
      <c r="I104" s="678"/>
      <c r="J104" s="678"/>
      <c r="K104" s="678"/>
      <c r="L104" s="678"/>
      <c r="M104" s="678"/>
      <c r="N104" s="678"/>
      <c r="O104" s="678"/>
      <c r="P104" s="678"/>
      <c r="Q104" s="678"/>
      <c r="R104" s="678"/>
      <c r="S104" s="11"/>
      <c r="T104" s="11"/>
      <c r="U104" s="11"/>
      <c r="V104" s="11"/>
      <c r="W104" s="11"/>
      <c r="X104" s="11"/>
      <c r="Y104" s="6"/>
      <c r="Z104" s="6"/>
      <c r="AA104" s="6"/>
      <c r="AB104" s="6"/>
      <c r="AC104" s="6"/>
      <c r="AD104" s="6"/>
      <c r="AE104" s="6"/>
      <c r="AF104" s="6"/>
      <c r="AG104" s="678"/>
      <c r="AH104" s="11"/>
      <c r="AI104" s="11"/>
      <c r="AJ104" s="11"/>
      <c r="AK104" s="11"/>
      <c r="AL104" s="11"/>
      <c r="AM104" s="11"/>
      <c r="AN104" s="11"/>
      <c r="AO104" s="11"/>
      <c r="AP104" s="11"/>
      <c r="AQ104" s="11"/>
      <c r="AR104" s="11"/>
      <c r="AS104" s="11"/>
      <c r="AT104" s="11"/>
      <c r="AU104" s="11"/>
      <c r="AV104" s="11"/>
      <c r="AW104" s="11"/>
      <c r="AX104" s="11"/>
      <c r="AY104" s="10"/>
      <c r="AZ104" s="666"/>
    </row>
    <row r="105" spans="2:54" ht="3" customHeight="1" thickBot="1">
      <c r="B105" s="670"/>
      <c r="C105" s="685"/>
      <c r="D105" s="670"/>
      <c r="E105" s="689"/>
      <c r="F105" s="678"/>
      <c r="G105" s="678"/>
      <c r="H105" s="678"/>
      <c r="I105" s="678"/>
      <c r="J105" s="678"/>
      <c r="K105" s="678"/>
      <c r="L105" s="678"/>
      <c r="M105" s="678"/>
      <c r="N105" s="678"/>
      <c r="O105" s="678"/>
      <c r="P105" s="678"/>
      <c r="Q105" s="678"/>
      <c r="R105" s="678"/>
      <c r="S105" s="11"/>
      <c r="T105" s="11"/>
      <c r="U105" s="11"/>
      <c r="V105" s="11"/>
      <c r="W105" s="11"/>
      <c r="X105" s="11"/>
      <c r="Y105" s="11"/>
      <c r="Z105" s="11"/>
      <c r="AA105" s="11"/>
      <c r="AB105" s="11"/>
      <c r="AC105" s="11"/>
      <c r="AD105" s="11"/>
      <c r="AE105" s="11"/>
      <c r="AF105" s="11"/>
      <c r="AG105" s="678"/>
      <c r="AH105" s="11"/>
      <c r="AI105" s="11"/>
      <c r="AJ105" s="11"/>
      <c r="AK105" s="11"/>
      <c r="AL105" s="11"/>
      <c r="AM105" s="11"/>
      <c r="AN105" s="11"/>
      <c r="AO105" s="11"/>
      <c r="AP105" s="11"/>
      <c r="AQ105" s="11"/>
      <c r="AR105" s="11"/>
      <c r="AS105" s="11"/>
      <c r="AT105" s="11"/>
      <c r="AU105" s="11"/>
      <c r="AV105" s="11"/>
      <c r="AW105" s="11"/>
      <c r="AX105" s="11"/>
      <c r="AY105" s="10"/>
      <c r="AZ105" s="666"/>
    </row>
    <row r="106" spans="2:54" ht="13.5" customHeight="1" thickTop="1" thickBot="1">
      <c r="B106" s="670"/>
      <c r="C106" s="685"/>
      <c r="D106" s="670"/>
      <c r="E106" s="689"/>
      <c r="F106" s="678"/>
      <c r="G106" s="678"/>
      <c r="H106" s="678"/>
      <c r="I106" s="678"/>
      <c r="J106" s="678"/>
      <c r="K106" s="678"/>
      <c r="L106" s="678"/>
      <c r="M106" s="678"/>
      <c r="N106" s="678"/>
      <c r="O106" s="678"/>
      <c r="P106" s="678"/>
      <c r="Q106" s="678"/>
      <c r="R106" s="678"/>
      <c r="S106" s="11"/>
      <c r="T106" s="11"/>
      <c r="U106" s="11"/>
      <c r="V106" s="11"/>
      <c r="W106" s="11"/>
      <c r="X106" s="11"/>
      <c r="Y106" s="11"/>
      <c r="Z106" s="667">
        <f>R40</f>
        <v>18940559860</v>
      </c>
      <c r="AA106" s="668"/>
      <c r="AB106" s="668"/>
      <c r="AC106" s="668"/>
      <c r="AD106" s="668"/>
      <c r="AE106" s="669"/>
      <c r="AF106" s="11"/>
      <c r="AG106" s="678"/>
      <c r="AH106" s="19" t="s">
        <v>260</v>
      </c>
      <c r="AI106" s="11"/>
      <c r="AJ106" s="11"/>
      <c r="AK106" s="11"/>
      <c r="AL106" s="11"/>
      <c r="AM106" s="11"/>
      <c r="AN106" s="11"/>
      <c r="AO106" s="11"/>
      <c r="AP106" s="11"/>
      <c r="AQ106" s="11"/>
      <c r="AR106" s="11"/>
      <c r="AS106" s="11"/>
      <c r="AT106" s="11"/>
      <c r="AU106" s="11"/>
      <c r="AV106" s="11"/>
      <c r="AW106" s="11"/>
      <c r="AX106" s="11"/>
      <c r="AY106" s="10"/>
      <c r="AZ106" s="666"/>
    </row>
    <row r="107" spans="2:54" ht="13.5" customHeight="1" thickTop="1" thickBot="1">
      <c r="B107" s="670"/>
      <c r="C107" s="685"/>
      <c r="D107" s="670"/>
      <c r="E107" s="13"/>
      <c r="F107" s="12"/>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0"/>
      <c r="AZ107" s="9"/>
    </row>
    <row r="108" spans="2:54" ht="13.5" customHeight="1" thickTop="1" thickBot="1">
      <c r="B108" s="670"/>
      <c r="C108" s="685"/>
      <c r="D108" s="670"/>
      <c r="E108" s="13" t="s">
        <v>60</v>
      </c>
      <c r="F108" s="12"/>
      <c r="G108" s="11"/>
      <c r="H108" s="11"/>
      <c r="I108" s="11"/>
      <c r="J108" s="11"/>
      <c r="K108" s="11"/>
      <c r="L108" s="11"/>
      <c r="M108" s="11"/>
      <c r="N108" s="11"/>
      <c r="O108" s="11"/>
      <c r="P108" s="11"/>
      <c r="Q108" s="11"/>
      <c r="R108" s="11"/>
      <c r="S108" s="11"/>
      <c r="T108" s="11"/>
      <c r="U108" s="11"/>
      <c r="V108" s="11"/>
      <c r="W108" s="11"/>
      <c r="X108" s="11"/>
      <c r="Y108" s="11"/>
      <c r="Z108" s="667">
        <f>'(申)3%'!Z108:AE108+'(申)5%'!Z108:AE108+'(申)8%'!Z108:AE108+'(申)軽8%'!Z108:AE108+'(申)10%'!Z108:AE108</f>
        <v>590450033</v>
      </c>
      <c r="AA108" s="668"/>
      <c r="AB108" s="668"/>
      <c r="AC108" s="668"/>
      <c r="AD108" s="668"/>
      <c r="AE108" s="669"/>
      <c r="AF108" s="11" t="s">
        <v>259</v>
      </c>
      <c r="AG108" s="19"/>
      <c r="AH108" s="11"/>
      <c r="AI108" s="11"/>
      <c r="AJ108" s="11"/>
      <c r="AK108" s="11"/>
      <c r="AL108" s="11"/>
      <c r="AM108" s="11"/>
      <c r="AN108" s="11"/>
      <c r="AO108" s="11"/>
      <c r="AP108" s="11"/>
      <c r="AQ108" s="11"/>
      <c r="AR108" s="11"/>
      <c r="AS108" s="11"/>
      <c r="AT108" s="11"/>
      <c r="AU108" s="11"/>
      <c r="AV108" s="11"/>
      <c r="AW108" s="11"/>
      <c r="AX108" s="11"/>
      <c r="AY108" s="10"/>
      <c r="AZ108" s="9"/>
      <c r="BB108" s="1">
        <f>BB101*BB103</f>
        <v>590450035.07899642</v>
      </c>
    </row>
    <row r="109" spans="2:54" ht="13.5" customHeight="1" thickTop="1">
      <c r="B109" s="670"/>
      <c r="C109" s="685"/>
      <c r="D109" s="670"/>
      <c r="E109" s="13"/>
      <c r="F109" s="12"/>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0"/>
      <c r="AZ109" s="9"/>
    </row>
    <row r="110" spans="2:54" ht="13.5" customHeight="1" thickBot="1">
      <c r="B110" s="670"/>
      <c r="C110" s="685"/>
      <c r="D110" s="670"/>
      <c r="E110" s="13" t="s">
        <v>56</v>
      </c>
      <c r="F110" s="12"/>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0"/>
      <c r="AZ110" s="9"/>
    </row>
    <row r="111" spans="2:54" ht="13.5" customHeight="1" thickTop="1" thickBot="1">
      <c r="B111" s="670"/>
      <c r="C111" s="685"/>
      <c r="D111" s="670"/>
      <c r="E111" s="13"/>
      <c r="F111" s="12" t="s">
        <v>258</v>
      </c>
      <c r="G111" s="11"/>
      <c r="H111" s="11"/>
      <c r="I111" s="11"/>
      <c r="J111" s="11"/>
      <c r="K111" s="11"/>
      <c r="L111" s="11"/>
      <c r="M111" s="11"/>
      <c r="N111" s="11"/>
      <c r="O111" s="11"/>
      <c r="P111" s="11"/>
      <c r="Q111" s="11"/>
      <c r="R111" s="11"/>
      <c r="S111" s="11"/>
      <c r="T111" s="11"/>
      <c r="U111" s="11"/>
      <c r="V111" s="11"/>
      <c r="W111" s="11"/>
      <c r="X111" s="11"/>
      <c r="Y111" s="11"/>
      <c r="Z111" s="11"/>
      <c r="AA111" s="11"/>
      <c r="AB111" s="11"/>
      <c r="AC111" s="667">
        <f>'(申)3%'!AC111:AH111+'(申)5%'!AC111:AH111+'(申)8%'!AC111:AH111+'(申)軽8%'!AC111:AH111+'(申)10%'!AC111:AH111</f>
        <v>1202454030</v>
      </c>
      <c r="AD111" s="668"/>
      <c r="AE111" s="668"/>
      <c r="AF111" s="668"/>
      <c r="AG111" s="668"/>
      <c r="AH111" s="669"/>
      <c r="AI111" s="11" t="s">
        <v>257</v>
      </c>
      <c r="AJ111" s="19" t="s">
        <v>256</v>
      </c>
      <c r="AK111" s="11"/>
      <c r="AL111" s="11"/>
      <c r="AM111" s="11"/>
      <c r="AN111" s="11"/>
      <c r="AO111" s="11"/>
      <c r="AP111" s="11"/>
      <c r="AQ111" s="11"/>
      <c r="AR111" s="11"/>
      <c r="AS111" s="11"/>
      <c r="AT111" s="11"/>
      <c r="AU111" s="11"/>
      <c r="AV111" s="11"/>
      <c r="AW111" s="11"/>
      <c r="AX111" s="11"/>
      <c r="AY111" s="10"/>
      <c r="AZ111" s="9"/>
      <c r="BB111" s="2">
        <f>Z98-BB108</f>
        <v>1202454027.9210036</v>
      </c>
    </row>
    <row r="112" spans="2:54" ht="13.5" customHeight="1" thickTop="1" thickBot="1">
      <c r="B112" s="670"/>
      <c r="C112" s="685"/>
      <c r="D112" s="670"/>
      <c r="E112" s="13"/>
      <c r="F112" s="12"/>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0"/>
      <c r="AZ112" s="9"/>
    </row>
    <row r="113" spans="2:54" ht="13.5" customHeight="1" thickTop="1" thickBot="1">
      <c r="B113" s="670"/>
      <c r="C113" s="685"/>
      <c r="D113" s="670"/>
      <c r="E113" s="13"/>
      <c r="F113" s="678" t="s">
        <v>51</v>
      </c>
      <c r="G113" s="678"/>
      <c r="H113" s="678"/>
      <c r="I113" s="678"/>
      <c r="J113" s="678"/>
      <c r="K113" s="678"/>
      <c r="L113" s="678"/>
      <c r="M113" s="678"/>
      <c r="N113" s="678"/>
      <c r="O113" s="678"/>
      <c r="P113" s="678"/>
      <c r="Q113" s="678"/>
      <c r="R113" s="678"/>
      <c r="S113" s="678"/>
      <c r="T113" s="11"/>
      <c r="U113" s="11"/>
      <c r="V113" s="11"/>
      <c r="W113" s="11"/>
      <c r="X113" s="11"/>
      <c r="Y113" s="11"/>
      <c r="Z113" s="11"/>
      <c r="AA113" s="708">
        <f>基礎数値!I20</f>
        <v>0</v>
      </c>
      <c r="AB113" s="709"/>
      <c r="AC113" s="709"/>
      <c r="AD113" s="709"/>
      <c r="AE113" s="709"/>
      <c r="AF113" s="710"/>
      <c r="AG113" s="11"/>
      <c r="AH113" s="678" t="s">
        <v>255</v>
      </c>
      <c r="AI113" s="19" t="s">
        <v>254</v>
      </c>
      <c r="AJ113" s="11"/>
      <c r="AK113" s="11"/>
      <c r="AL113" s="11"/>
      <c r="AM113" s="11"/>
      <c r="AN113" s="11"/>
      <c r="AO113" s="11"/>
      <c r="AP113" s="11"/>
      <c r="AQ113" s="11"/>
      <c r="AR113" s="11"/>
      <c r="AS113" s="11"/>
      <c r="AT113" s="11"/>
      <c r="AU113" s="11"/>
      <c r="AV113" s="11"/>
      <c r="AW113" s="11"/>
      <c r="AX113" s="11"/>
      <c r="AY113" s="10"/>
      <c r="AZ113" s="666" t="s">
        <v>253</v>
      </c>
    </row>
    <row r="114" spans="2:54" ht="3" customHeight="1" thickTop="1">
      <c r="B114" s="670"/>
      <c r="C114" s="685"/>
      <c r="D114" s="670"/>
      <c r="E114" s="13"/>
      <c r="F114" s="678"/>
      <c r="G114" s="678"/>
      <c r="H114" s="678"/>
      <c r="I114" s="678"/>
      <c r="J114" s="678"/>
      <c r="K114" s="678"/>
      <c r="L114" s="678"/>
      <c r="M114" s="678"/>
      <c r="N114" s="678"/>
      <c r="O114" s="678"/>
      <c r="P114" s="678"/>
      <c r="Q114" s="678"/>
      <c r="R114" s="678"/>
      <c r="S114" s="678"/>
      <c r="T114" s="11"/>
      <c r="U114" s="11"/>
      <c r="V114" s="11"/>
      <c r="W114" s="11"/>
      <c r="X114" s="11"/>
      <c r="Y114" s="11"/>
      <c r="Z114" s="6"/>
      <c r="AA114" s="6"/>
      <c r="AB114" s="6"/>
      <c r="AC114" s="6"/>
      <c r="AD114" s="6"/>
      <c r="AE114" s="6"/>
      <c r="AF114" s="6"/>
      <c r="AG114" s="6"/>
      <c r="AH114" s="678"/>
      <c r="AI114" s="11"/>
      <c r="AJ114" s="11"/>
      <c r="AK114" s="11"/>
      <c r="AL114" s="11"/>
      <c r="AM114" s="11"/>
      <c r="AN114" s="11"/>
      <c r="AO114" s="11"/>
      <c r="AP114" s="11"/>
      <c r="AQ114" s="11"/>
      <c r="AR114" s="11"/>
      <c r="AS114" s="11"/>
      <c r="AT114" s="11"/>
      <c r="AU114" s="11"/>
      <c r="AV114" s="11"/>
      <c r="AW114" s="11"/>
      <c r="AX114" s="11"/>
      <c r="AY114" s="10"/>
      <c r="AZ114" s="666"/>
    </row>
    <row r="115" spans="2:54" ht="3" customHeight="1" thickBot="1">
      <c r="B115" s="670"/>
      <c r="C115" s="685"/>
      <c r="D115" s="670"/>
      <c r="E115" s="13"/>
      <c r="F115" s="678"/>
      <c r="G115" s="678"/>
      <c r="H115" s="678"/>
      <c r="I115" s="678"/>
      <c r="J115" s="678"/>
      <c r="K115" s="678"/>
      <c r="L115" s="678"/>
      <c r="M115" s="678"/>
      <c r="N115" s="678"/>
      <c r="O115" s="678"/>
      <c r="P115" s="678"/>
      <c r="Q115" s="678"/>
      <c r="R115" s="678"/>
      <c r="S115" s="678"/>
      <c r="T115" s="11"/>
      <c r="U115" s="11"/>
      <c r="V115" s="11"/>
      <c r="W115" s="11"/>
      <c r="X115" s="11"/>
      <c r="Y115" s="11"/>
      <c r="Z115" s="11"/>
      <c r="AA115" s="11"/>
      <c r="AB115" s="11"/>
      <c r="AC115" s="11"/>
      <c r="AD115" s="11"/>
      <c r="AE115" s="11"/>
      <c r="AF115" s="11"/>
      <c r="AG115" s="11"/>
      <c r="AH115" s="678"/>
      <c r="AI115" s="11"/>
      <c r="AJ115" s="11"/>
      <c r="AK115" s="11"/>
      <c r="AL115" s="11"/>
      <c r="AM115" s="11"/>
      <c r="AN115" s="11"/>
      <c r="AO115" s="11"/>
      <c r="AP115" s="11"/>
      <c r="AQ115" s="11"/>
      <c r="AR115" s="11"/>
      <c r="AS115" s="11"/>
      <c r="AT115" s="11"/>
      <c r="AU115" s="11"/>
      <c r="AV115" s="11"/>
      <c r="AW115" s="11"/>
      <c r="AX115" s="11"/>
      <c r="AY115" s="10"/>
      <c r="AZ115" s="666"/>
    </row>
    <row r="116" spans="2:54" ht="13.5" customHeight="1" thickTop="1" thickBot="1">
      <c r="B116" s="670"/>
      <c r="C116" s="685"/>
      <c r="D116" s="670"/>
      <c r="E116" s="13"/>
      <c r="F116" s="678"/>
      <c r="G116" s="678"/>
      <c r="H116" s="678"/>
      <c r="I116" s="678"/>
      <c r="J116" s="678"/>
      <c r="K116" s="678"/>
      <c r="L116" s="678"/>
      <c r="M116" s="678"/>
      <c r="N116" s="678"/>
      <c r="O116" s="678"/>
      <c r="P116" s="678"/>
      <c r="Q116" s="678"/>
      <c r="R116" s="678"/>
      <c r="S116" s="678"/>
      <c r="T116" s="11"/>
      <c r="U116" s="11"/>
      <c r="V116" s="11"/>
      <c r="W116" s="11"/>
      <c r="X116" s="11"/>
      <c r="Y116" s="11"/>
      <c r="Z116" s="11"/>
      <c r="AA116" s="667">
        <f>AE92</f>
        <v>18950268779</v>
      </c>
      <c r="AB116" s="668"/>
      <c r="AC116" s="668"/>
      <c r="AD116" s="668"/>
      <c r="AE116" s="668"/>
      <c r="AF116" s="669"/>
      <c r="AG116" s="11"/>
      <c r="AH116" s="678"/>
      <c r="AI116" s="19" t="s">
        <v>252</v>
      </c>
      <c r="AJ116" s="11"/>
      <c r="AK116" s="11"/>
      <c r="AL116" s="11"/>
      <c r="AM116" s="11"/>
      <c r="AN116" s="11"/>
      <c r="AO116" s="11"/>
      <c r="AP116" s="11"/>
      <c r="AQ116" s="11"/>
      <c r="AR116" s="11"/>
      <c r="AS116" s="11"/>
      <c r="AT116" s="11"/>
      <c r="AU116" s="11"/>
      <c r="AV116" s="11"/>
      <c r="AW116" s="11"/>
      <c r="AX116" s="11"/>
      <c r="AY116" s="10"/>
      <c r="AZ116" s="666"/>
    </row>
    <row r="117" spans="2:54" ht="13.5" customHeight="1" thickTop="1" thickBot="1">
      <c r="B117" s="670"/>
      <c r="C117" s="685"/>
      <c r="D117" s="670"/>
      <c r="E117" s="13"/>
      <c r="F117" s="12"/>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0"/>
      <c r="AZ117" s="9"/>
    </row>
    <row r="118" spans="2:54" ht="13.5" customHeight="1" thickTop="1" thickBot="1">
      <c r="B118" s="670"/>
      <c r="C118" s="685"/>
      <c r="D118" s="670"/>
      <c r="E118" s="13"/>
      <c r="F118" s="11" t="s">
        <v>47</v>
      </c>
      <c r="G118" s="11"/>
      <c r="H118" s="11"/>
      <c r="I118" s="11"/>
      <c r="J118" s="11"/>
      <c r="K118" s="11"/>
      <c r="L118" s="11"/>
      <c r="M118" s="11"/>
      <c r="N118" s="11"/>
      <c r="O118" s="11"/>
      <c r="P118" s="11"/>
      <c r="Q118" s="11"/>
      <c r="R118" s="11"/>
      <c r="S118" s="11"/>
      <c r="T118" s="11"/>
      <c r="U118" s="11"/>
      <c r="V118" s="11"/>
      <c r="W118" s="11"/>
      <c r="X118" s="11"/>
      <c r="Y118" s="11"/>
      <c r="Z118" s="11"/>
      <c r="AA118" s="667">
        <f>'(申)3%'!AA118:AF118+'(申)5%'!AA118:AF118+'(申)8%'!AA118:AF118+'(申)軽8%'!AA118:AF118+'(申)10%'!AA118:AF118</f>
        <v>0</v>
      </c>
      <c r="AB118" s="668"/>
      <c r="AC118" s="668"/>
      <c r="AD118" s="668"/>
      <c r="AE118" s="668"/>
      <c r="AF118" s="669"/>
      <c r="AG118" s="11" t="s">
        <v>251</v>
      </c>
      <c r="AH118" s="19" t="s">
        <v>250</v>
      </c>
      <c r="AI118" s="11"/>
      <c r="AJ118" s="11"/>
      <c r="AK118" s="11"/>
      <c r="AL118" s="11"/>
      <c r="AM118" s="11"/>
      <c r="AN118" s="11"/>
      <c r="AO118" s="11"/>
      <c r="AP118" s="11"/>
      <c r="AQ118" s="11"/>
      <c r="AR118" s="11"/>
      <c r="AS118" s="11"/>
      <c r="AT118" s="11"/>
      <c r="AU118" s="11"/>
      <c r="AV118" s="11"/>
      <c r="AW118" s="11"/>
      <c r="AX118" s="11"/>
      <c r="AY118" s="10"/>
      <c r="AZ118" s="9"/>
    </row>
    <row r="119" spans="2:54" ht="13.5" customHeight="1" thickTop="1" thickBot="1">
      <c r="B119" s="670"/>
      <c r="C119" s="685"/>
      <c r="D119" s="670"/>
      <c r="E119" s="13"/>
      <c r="F119" s="12"/>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0"/>
      <c r="AZ119" s="9"/>
    </row>
    <row r="120" spans="2:54" ht="13.5" customHeight="1" thickTop="1" thickBot="1">
      <c r="B120" s="670"/>
      <c r="C120" s="685"/>
      <c r="D120" s="670"/>
      <c r="E120" s="13" t="s">
        <v>43</v>
      </c>
      <c r="F120" s="12"/>
      <c r="G120" s="11"/>
      <c r="H120" s="11"/>
      <c r="I120" s="11"/>
      <c r="J120" s="11"/>
      <c r="K120" s="11"/>
      <c r="L120" s="11"/>
      <c r="M120" s="11"/>
      <c r="N120" s="11"/>
      <c r="O120" s="11"/>
      <c r="P120" s="11"/>
      <c r="Q120" s="11"/>
      <c r="R120" s="11"/>
      <c r="S120" s="11"/>
      <c r="T120" s="11"/>
      <c r="U120" s="11"/>
      <c r="V120" s="11"/>
      <c r="W120" s="11"/>
      <c r="X120" s="11"/>
      <c r="Y120" s="11"/>
      <c r="Z120" s="667">
        <f>'(申)3%'!Z120:AE120+'(申)5%'!Z120:AE120+'(申)8%'!Z120:AE120+'(申)軽8%'!Z120:AE120+'(申)10%'!Z120:AE120</f>
        <v>590450033</v>
      </c>
      <c r="AA120" s="668"/>
      <c r="AB120" s="668"/>
      <c r="AC120" s="668"/>
      <c r="AD120" s="668"/>
      <c r="AE120" s="669"/>
      <c r="AF120" s="11" t="s">
        <v>249</v>
      </c>
      <c r="AG120" s="19" t="s">
        <v>248</v>
      </c>
      <c r="AH120" s="11"/>
      <c r="AI120" s="11"/>
      <c r="AJ120" s="11"/>
      <c r="AK120" s="11"/>
      <c r="AL120" s="11"/>
      <c r="AM120" s="11"/>
      <c r="AN120" s="11"/>
      <c r="AO120" s="11"/>
      <c r="AP120" s="11"/>
      <c r="AQ120" s="11"/>
      <c r="AR120" s="11"/>
      <c r="AS120" s="11"/>
      <c r="AT120" s="11"/>
      <c r="AU120" s="11"/>
      <c r="AV120" s="11"/>
      <c r="AW120" s="11"/>
      <c r="AX120" s="11"/>
      <c r="AY120" s="10"/>
      <c r="AZ120" s="487" t="s">
        <v>866</v>
      </c>
    </row>
    <row r="121" spans="2:54" ht="13.5" customHeight="1" thickTop="1" thickBot="1">
      <c r="B121" s="670"/>
      <c r="C121" s="685"/>
      <c r="D121" s="670"/>
      <c r="E121" s="13"/>
      <c r="F121" s="12"/>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0"/>
      <c r="AZ121" s="670" t="s">
        <v>867</v>
      </c>
    </row>
    <row r="122" spans="2:54" ht="13.5" customHeight="1" thickTop="1" thickBot="1">
      <c r="B122" s="670"/>
      <c r="C122" s="685"/>
      <c r="D122" s="670"/>
      <c r="E122" s="13" t="s">
        <v>38</v>
      </c>
      <c r="F122" s="12"/>
      <c r="G122" s="11"/>
      <c r="H122" s="11"/>
      <c r="I122" s="11"/>
      <c r="J122" s="11"/>
      <c r="K122" s="11"/>
      <c r="L122" s="11"/>
      <c r="M122" s="11"/>
      <c r="N122" s="11"/>
      <c r="O122" s="11"/>
      <c r="P122" s="11"/>
      <c r="Q122" s="11"/>
      <c r="R122" s="11"/>
      <c r="S122" s="11"/>
      <c r="T122" s="11"/>
      <c r="U122" s="11"/>
      <c r="V122" s="11"/>
      <c r="W122" s="11"/>
      <c r="X122" s="11"/>
      <c r="Y122" s="11"/>
      <c r="Z122" s="667">
        <f>'(申)3%'!Z122:AE122+'(申)5%'!Z122:AE122+'(申)8%'!Z122:AE122+'(申)軽8%'!Z122:AE122+'(申)10%'!Z122:AE122</f>
        <v>1202454030</v>
      </c>
      <c r="AA122" s="668"/>
      <c r="AB122" s="668"/>
      <c r="AC122" s="668"/>
      <c r="AD122" s="668"/>
      <c r="AE122" s="669"/>
      <c r="AF122" s="11" t="s">
        <v>247</v>
      </c>
      <c r="AG122" s="19" t="s">
        <v>246</v>
      </c>
      <c r="AH122" s="11"/>
      <c r="AI122" s="11"/>
      <c r="AJ122" s="11"/>
      <c r="AK122" s="11"/>
      <c r="AL122" s="11"/>
      <c r="AM122" s="11"/>
      <c r="AN122" s="11"/>
      <c r="AO122" s="11"/>
      <c r="AP122" s="11"/>
      <c r="AQ122" s="11"/>
      <c r="AR122" s="11"/>
      <c r="AS122" s="11"/>
      <c r="AT122" s="11"/>
      <c r="AU122" s="11"/>
      <c r="AV122" s="11"/>
      <c r="AW122" s="11"/>
      <c r="AX122" s="11"/>
      <c r="AY122" s="10"/>
      <c r="AZ122" s="670"/>
      <c r="BB122" s="2">
        <f>Z98-Z120</f>
        <v>1202454030</v>
      </c>
    </row>
    <row r="123" spans="2:54" ht="13.5" customHeight="1" thickTop="1">
      <c r="B123" s="670"/>
      <c r="C123" s="686"/>
      <c r="D123" s="681"/>
      <c r="E123" s="8"/>
      <c r="F123" s="7"/>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5"/>
      <c r="AZ123" s="681"/>
    </row>
    <row r="124" spans="2:54" ht="13.5" hidden="1" customHeight="1" outlineLevel="1">
      <c r="B124" s="670"/>
      <c r="C124" s="14"/>
      <c r="D124" s="23"/>
      <c r="E124" s="18"/>
      <c r="F124" s="17"/>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5"/>
      <c r="AZ124" s="14"/>
    </row>
    <row r="125" spans="2:54" ht="13.5" hidden="1" customHeight="1" outlineLevel="1">
      <c r="B125" s="670"/>
      <c r="C125" s="9"/>
      <c r="D125" s="22"/>
      <c r="E125" s="13"/>
      <c r="F125" s="12"/>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0"/>
      <c r="AZ125" s="9"/>
    </row>
    <row r="126" spans="2:54" ht="13.5" hidden="1" customHeight="1" outlineLevel="1">
      <c r="B126" s="670"/>
      <c r="C126" s="9"/>
      <c r="D126" s="22"/>
      <c r="E126" s="13"/>
      <c r="F126" s="12"/>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0"/>
      <c r="AZ126" s="9"/>
    </row>
    <row r="127" spans="2:54" ht="13.5" hidden="1" customHeight="1" outlineLevel="1">
      <c r="B127" s="670"/>
      <c r="C127" s="9"/>
      <c r="D127" s="22"/>
      <c r="E127" s="13"/>
      <c r="F127" s="12"/>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0"/>
      <c r="AZ127" s="9"/>
    </row>
    <row r="128" spans="2:54" ht="13.5" hidden="1" customHeight="1" outlineLevel="1">
      <c r="B128" s="670"/>
      <c r="C128" s="9"/>
      <c r="D128" s="22"/>
      <c r="E128" s="13"/>
      <c r="F128" s="12"/>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0"/>
      <c r="AZ128" s="9"/>
    </row>
    <row r="129" spans="2:54" ht="13.5" hidden="1" customHeight="1" outlineLevel="1">
      <c r="B129" s="670"/>
      <c r="C129" s="9"/>
      <c r="D129" s="22"/>
      <c r="E129" s="13"/>
      <c r="F129" s="12"/>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0"/>
      <c r="AZ129" s="9"/>
    </row>
    <row r="130" spans="2:54" ht="13.5" hidden="1" customHeight="1" outlineLevel="1">
      <c r="B130" s="681"/>
      <c r="C130" s="4"/>
      <c r="D130" s="21"/>
      <c r="E130" s="8"/>
      <c r="F130" s="7"/>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5"/>
      <c r="AZ130" s="4"/>
    </row>
    <row r="131" spans="2:54" ht="13.5" customHeight="1" collapsed="1">
      <c r="B131" s="680" t="s">
        <v>35</v>
      </c>
      <c r="C131" s="682">
        <v>1</v>
      </c>
      <c r="D131" s="682" t="s">
        <v>34</v>
      </c>
      <c r="E131" s="18"/>
      <c r="F131" s="17"/>
      <c r="G131" s="16"/>
      <c r="H131" s="16"/>
      <c r="I131" s="16"/>
      <c r="J131" s="16"/>
      <c r="K131" s="16"/>
      <c r="L131" s="16"/>
      <c r="M131" s="16"/>
      <c r="N131" s="16"/>
      <c r="O131" s="16"/>
      <c r="P131" s="16"/>
      <c r="Q131" s="16"/>
      <c r="R131" s="16"/>
      <c r="S131" s="16"/>
      <c r="T131" s="20"/>
      <c r="U131" s="20"/>
      <c r="V131" s="20"/>
      <c r="W131" s="20"/>
      <c r="X131" s="20"/>
      <c r="Y131" s="20"/>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5"/>
      <c r="AZ131" s="14"/>
    </row>
    <row r="132" spans="2:54" ht="13.5" customHeight="1">
      <c r="B132" s="670"/>
      <c r="C132" s="666"/>
      <c r="D132" s="666"/>
      <c r="E132" s="13" t="s">
        <v>13</v>
      </c>
      <c r="F132" s="12"/>
      <c r="G132" s="11"/>
      <c r="H132" s="11"/>
      <c r="I132" s="11"/>
      <c r="J132" s="11" t="s">
        <v>33</v>
      </c>
      <c r="K132" s="11"/>
      <c r="L132" s="11"/>
      <c r="M132" s="11"/>
      <c r="N132" s="11"/>
      <c r="O132" s="11"/>
      <c r="P132" s="11"/>
      <c r="Q132" s="11"/>
      <c r="R132" s="11"/>
      <c r="S132" s="11"/>
      <c r="T132" s="665">
        <f>'(申)3%'!T132:Y132+'(申)5%'!T132:Y132+'(申)8%'!T132:Y132+'(申)軽8%'!T132:Y132+'(申)10%'!T132:Y132</f>
        <v>1207485783</v>
      </c>
      <c r="U132" s="665"/>
      <c r="V132" s="665"/>
      <c r="W132" s="665"/>
      <c r="X132" s="665"/>
      <c r="Y132" s="665"/>
      <c r="Z132" s="11"/>
      <c r="AA132" s="19"/>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0"/>
      <c r="AZ132" s="9"/>
      <c r="BB132" s="1">
        <f>SUM('(申)3%:(申)10%'!T132)</f>
        <v>1207485783</v>
      </c>
    </row>
    <row r="133" spans="2:54" ht="13.5" customHeight="1" thickBot="1">
      <c r="B133" s="670"/>
      <c r="C133" s="666"/>
      <c r="D133" s="666"/>
      <c r="E133" s="13"/>
      <c r="F133" s="12"/>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0"/>
      <c r="AZ133" s="9"/>
    </row>
    <row r="134" spans="2:54" ht="13.5" customHeight="1" thickTop="1" thickBot="1">
      <c r="B134" s="670"/>
      <c r="C134" s="666"/>
      <c r="D134" s="666"/>
      <c r="E134" s="13"/>
      <c r="F134" s="12"/>
      <c r="G134" s="11"/>
      <c r="H134" s="11"/>
      <c r="I134" s="11"/>
      <c r="J134" s="11" t="s">
        <v>31</v>
      </c>
      <c r="K134" s="11"/>
      <c r="L134" s="11"/>
      <c r="M134" s="11"/>
      <c r="N134" s="11"/>
      <c r="O134" s="11"/>
      <c r="P134" s="11"/>
      <c r="Q134" s="11"/>
      <c r="R134" s="11"/>
      <c r="S134" s="11"/>
      <c r="T134" s="667">
        <f>'(申)3%'!T134:Y134+'(申)5%'!T134:Y134+'(申)8%'!T134:Y134+'(申)軽8%'!T134:Y134+'(申)10%'!T134:Y134</f>
        <v>756748</v>
      </c>
      <c r="U134" s="668"/>
      <c r="V134" s="668"/>
      <c r="W134" s="668"/>
      <c r="X134" s="668"/>
      <c r="Y134" s="669"/>
      <c r="Z134" s="11" t="s">
        <v>245</v>
      </c>
      <c r="AA134" s="19"/>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0"/>
      <c r="AZ134" s="9" t="s">
        <v>244</v>
      </c>
      <c r="BB134" s="1">
        <f>SUM('(申)3%:(申)10%'!T134)</f>
        <v>756748</v>
      </c>
    </row>
    <row r="135" spans="2:54" ht="13.5" customHeight="1" thickTop="1">
      <c r="B135" s="670"/>
      <c r="C135" s="666"/>
      <c r="D135" s="666"/>
      <c r="E135" s="13"/>
      <c r="F135" s="12"/>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0"/>
      <c r="AZ135" s="9"/>
    </row>
    <row r="136" spans="2:54" ht="13.5" customHeight="1" thickBot="1">
      <c r="B136" s="670"/>
      <c r="C136" s="666"/>
      <c r="D136" s="666"/>
      <c r="E136" s="13"/>
      <c r="F136" s="12"/>
      <c r="G136" s="11"/>
      <c r="H136" s="11"/>
      <c r="I136" s="11"/>
      <c r="J136" s="11" t="s">
        <v>27</v>
      </c>
      <c r="K136" s="11"/>
      <c r="L136" s="11"/>
      <c r="M136" s="11"/>
      <c r="N136" s="11"/>
      <c r="O136" s="11"/>
      <c r="P136" s="11"/>
      <c r="Q136" s="11"/>
      <c r="R136" s="11"/>
      <c r="S136" s="11"/>
      <c r="T136" s="695">
        <f>'(申)3%'!T136:Y136+'(申)5%'!T136:Y136+'(申)8%'!T136:Y136+'(申)軽8%'!T136:Y136+'(申)10%'!T136:Y136</f>
        <v>25787997</v>
      </c>
      <c r="U136" s="695"/>
      <c r="V136" s="695"/>
      <c r="W136" s="695"/>
      <c r="X136" s="695"/>
      <c r="Y136" s="695"/>
      <c r="Z136" s="11" t="s">
        <v>243</v>
      </c>
      <c r="AA136" s="19"/>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0"/>
      <c r="AZ136" s="9"/>
      <c r="BB136" s="1">
        <f>SUM('(申)3%:(申)10%'!T136)</f>
        <v>25787997</v>
      </c>
    </row>
    <row r="137" spans="2:54" ht="13.5" customHeight="1" thickTop="1" thickBot="1">
      <c r="B137" s="670"/>
      <c r="C137" s="666"/>
      <c r="D137" s="666"/>
      <c r="E137" s="13"/>
      <c r="F137" s="12"/>
      <c r="G137" s="11"/>
      <c r="H137" s="11"/>
      <c r="I137" s="11"/>
      <c r="J137" s="11" t="s">
        <v>24</v>
      </c>
      <c r="K137" s="11"/>
      <c r="L137" s="11"/>
      <c r="M137" s="11"/>
      <c r="N137" s="11"/>
      <c r="O137" s="11"/>
      <c r="P137" s="11"/>
      <c r="Q137" s="11"/>
      <c r="R137" s="11"/>
      <c r="S137" s="11"/>
      <c r="T137" s="667">
        <f>'(申)3%'!T137:Y137+'(申)5%'!T137:Y137+'(申)8%'!T137:Y137+'(申)軽8%'!T137:Y137+'(申)10%'!T137:Y137</f>
        <v>1481612</v>
      </c>
      <c r="U137" s="668"/>
      <c r="V137" s="668"/>
      <c r="W137" s="668"/>
      <c r="X137" s="668"/>
      <c r="Y137" s="669"/>
      <c r="Z137" s="11" t="s">
        <v>242</v>
      </c>
      <c r="AA137" s="19"/>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0"/>
      <c r="AZ137" s="9" t="s">
        <v>241</v>
      </c>
    </row>
    <row r="138" spans="2:54" ht="13.5" customHeight="1" thickTop="1" thickBot="1">
      <c r="B138" s="670"/>
      <c r="C138" s="666"/>
      <c r="D138" s="666"/>
      <c r="E138" s="13"/>
      <c r="F138" s="12"/>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0"/>
      <c r="AZ138" s="9"/>
    </row>
    <row r="139" spans="2:54" ht="13.5" customHeight="1" thickTop="1" thickBot="1">
      <c r="B139" s="670"/>
      <c r="C139" s="666"/>
      <c r="D139" s="666"/>
      <c r="E139" s="13"/>
      <c r="F139" s="12"/>
      <c r="G139" s="11"/>
      <c r="H139" s="11"/>
      <c r="I139" s="11"/>
      <c r="J139" s="11" t="s">
        <v>20</v>
      </c>
      <c r="K139" s="11"/>
      <c r="L139" s="11"/>
      <c r="M139" s="11"/>
      <c r="N139" s="11"/>
      <c r="O139" s="11"/>
      <c r="P139" s="11"/>
      <c r="Q139" s="11"/>
      <c r="R139" s="11"/>
      <c r="S139" s="11"/>
      <c r="T139" s="667">
        <f>'(申)3%'!T139:Y139+'(申)5%'!T139:Y139+'(申)8%'!T139:Y139+'(申)軽8%'!T139:Y139+'(申)10%'!T139:Y139</f>
        <v>1209724143</v>
      </c>
      <c r="U139" s="668"/>
      <c r="V139" s="668"/>
      <c r="W139" s="668"/>
      <c r="X139" s="668"/>
      <c r="Y139" s="669"/>
      <c r="Z139" s="11" t="s">
        <v>240</v>
      </c>
      <c r="AB139" s="19"/>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0"/>
      <c r="AZ139" s="9" t="s">
        <v>239</v>
      </c>
    </row>
    <row r="140" spans="2:54" ht="13.5" customHeight="1" thickTop="1">
      <c r="B140" s="670"/>
      <c r="C140" s="671"/>
      <c r="D140" s="671"/>
      <c r="E140" s="8"/>
      <c r="F140" s="7"/>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5"/>
      <c r="AZ140" s="4"/>
    </row>
    <row r="141" spans="2:54" ht="13.5" customHeight="1">
      <c r="B141" s="670"/>
      <c r="C141" s="682">
        <v>2</v>
      </c>
      <c r="D141" s="680" t="s">
        <v>16</v>
      </c>
      <c r="E141" s="18"/>
      <c r="F141" s="17"/>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5"/>
      <c r="AZ141" s="14"/>
    </row>
    <row r="142" spans="2:54" ht="13.5" customHeight="1">
      <c r="B142" s="670"/>
      <c r="C142" s="666"/>
      <c r="D142" s="670"/>
      <c r="E142" s="13" t="s">
        <v>15</v>
      </c>
      <c r="F142" s="12"/>
      <c r="G142" s="11"/>
      <c r="H142" s="11"/>
      <c r="I142" s="11"/>
      <c r="J142" s="11"/>
      <c r="K142" s="11"/>
      <c r="L142" s="11"/>
      <c r="M142" s="11"/>
      <c r="N142" s="11"/>
      <c r="O142" s="11"/>
      <c r="P142" s="11"/>
      <c r="Q142" s="11"/>
      <c r="R142" s="11"/>
      <c r="S142" s="11"/>
      <c r="T142" s="665">
        <f>'(申)3%'!T142:Y142+'(申)5%'!T142:Y142+'(申)8%'!T142:Y142+'(申)軽8%'!T142:Y142+'(申)10%'!T142:Y142</f>
        <v>1472763219</v>
      </c>
      <c r="U142" s="665"/>
      <c r="V142" s="665"/>
      <c r="W142" s="665"/>
      <c r="X142" s="665"/>
      <c r="Y142" s="665"/>
      <c r="Z142" s="11"/>
      <c r="AA142" s="11"/>
      <c r="AB142" s="19"/>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0"/>
      <c r="AZ142" s="9"/>
    </row>
    <row r="143" spans="2:54" ht="13.5" customHeight="1" thickBot="1">
      <c r="B143" s="670"/>
      <c r="C143" s="666"/>
      <c r="D143" s="670"/>
      <c r="E143" s="13" t="s">
        <v>13</v>
      </c>
      <c r="F143" s="12"/>
      <c r="G143" s="11"/>
      <c r="H143" s="11"/>
      <c r="I143" s="11"/>
      <c r="J143" s="11"/>
      <c r="K143" s="11"/>
      <c r="L143" s="11"/>
      <c r="M143" s="11"/>
      <c r="N143" s="11"/>
      <c r="O143" s="11"/>
      <c r="P143" s="11"/>
      <c r="Q143" s="11"/>
      <c r="R143" s="11"/>
      <c r="S143" s="11"/>
      <c r="T143" s="665">
        <f>'(申)3%'!T143:Y143+'(申)5%'!T143:Y143+'(申)8%'!T143:Y143+'(申)軽8%'!T143:Y143+'(申)10%'!T143:Y143</f>
        <v>1209724143</v>
      </c>
      <c r="U143" s="665"/>
      <c r="V143" s="665"/>
      <c r="W143" s="665"/>
      <c r="X143" s="665"/>
      <c r="Y143" s="665"/>
      <c r="Z143" s="11"/>
      <c r="AA143" s="11"/>
      <c r="AB143" s="19"/>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0"/>
      <c r="AZ143" s="9"/>
    </row>
    <row r="144" spans="2:54" ht="13.5" customHeight="1" thickTop="1" thickBot="1">
      <c r="B144" s="670"/>
      <c r="C144" s="666"/>
      <c r="D144" s="670"/>
      <c r="E144" s="13" t="s">
        <v>11</v>
      </c>
      <c r="F144" s="12"/>
      <c r="G144" s="11"/>
      <c r="H144" s="11"/>
      <c r="I144" s="11"/>
      <c r="J144" s="11"/>
      <c r="K144" s="11"/>
      <c r="L144" s="11"/>
      <c r="M144" s="11"/>
      <c r="N144" s="11"/>
      <c r="O144" s="11"/>
      <c r="P144" s="11"/>
      <c r="Q144" s="11"/>
      <c r="R144" s="11"/>
      <c r="S144" s="11"/>
      <c r="T144" s="667">
        <f>ROUNDDOWN('(申)3%'!T144:Y144+'(申)5%'!T144:Y144+'(申)8%'!T144:Y144+'(申)軽8%'!T144:Y144+'(申)10%'!T144:Y144,-2)</f>
        <v>268070800</v>
      </c>
      <c r="U144" s="668"/>
      <c r="V144" s="668"/>
      <c r="W144" s="668"/>
      <c r="X144" s="668"/>
      <c r="Y144" s="669"/>
      <c r="Z144" s="11" t="s">
        <v>238</v>
      </c>
      <c r="AA144" s="11"/>
      <c r="AB144" s="49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0"/>
      <c r="AZ144" s="9" t="s">
        <v>237</v>
      </c>
    </row>
    <row r="145" spans="2:52" ht="13.5" customHeight="1" thickTop="1" thickBot="1">
      <c r="B145" s="670"/>
      <c r="C145" s="666"/>
      <c r="D145" s="670"/>
      <c r="E145" s="13"/>
      <c r="F145" s="12"/>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0"/>
      <c r="AZ145" s="9"/>
    </row>
    <row r="146" spans="2:52" ht="13.5" customHeight="1" thickTop="1" thickBot="1">
      <c r="B146" s="670"/>
      <c r="C146" s="666"/>
      <c r="D146" s="670"/>
      <c r="E146" s="13" t="s">
        <v>226</v>
      </c>
      <c r="F146" s="12"/>
      <c r="G146" s="11"/>
      <c r="H146" s="11"/>
      <c r="I146" s="11"/>
      <c r="J146" s="11"/>
      <c r="K146" s="11"/>
      <c r="L146" s="11"/>
      <c r="M146" s="11"/>
      <c r="N146" s="11"/>
      <c r="O146" s="11"/>
      <c r="P146" s="11"/>
      <c r="Q146" s="11"/>
      <c r="R146" s="11"/>
      <c r="S146" s="11"/>
      <c r="T146" s="708">
        <f>基礎数値!I22</f>
        <v>365767600</v>
      </c>
      <c r="U146" s="709"/>
      <c r="V146" s="709"/>
      <c r="W146" s="709"/>
      <c r="X146" s="709"/>
      <c r="Y146" s="710"/>
      <c r="Z146" s="11" t="s">
        <v>236</v>
      </c>
      <c r="AA146" s="11"/>
      <c r="AB146" s="19" t="s">
        <v>235</v>
      </c>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0"/>
      <c r="AZ146" s="9" t="s">
        <v>234</v>
      </c>
    </row>
    <row r="147" spans="2:52" ht="13.5" customHeight="1" thickTop="1" thickBot="1">
      <c r="B147" s="670"/>
      <c r="C147" s="666"/>
      <c r="D147" s="670"/>
      <c r="E147" s="13"/>
      <c r="F147" s="12"/>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0"/>
      <c r="AZ147" s="9"/>
    </row>
    <row r="148" spans="2:52" ht="13.5" customHeight="1" thickTop="1" thickBot="1">
      <c r="B148" s="670"/>
      <c r="C148" s="666"/>
      <c r="D148" s="670"/>
      <c r="E148" s="13" t="s">
        <v>222</v>
      </c>
      <c r="F148" s="12"/>
      <c r="G148" s="11"/>
      <c r="H148" s="11"/>
      <c r="I148" s="11"/>
      <c r="J148" s="11"/>
      <c r="K148" s="11"/>
      <c r="L148" s="11"/>
      <c r="M148" s="11"/>
      <c r="N148" s="11"/>
      <c r="O148" s="11"/>
      <c r="P148" s="11"/>
      <c r="Q148" s="11"/>
      <c r="R148" s="11"/>
      <c r="S148" s="11"/>
      <c r="T148" s="667">
        <f>T144-T146</f>
        <v>-97696800</v>
      </c>
      <c r="U148" s="668"/>
      <c r="V148" s="668"/>
      <c r="W148" s="668"/>
      <c r="X148" s="668"/>
      <c r="Y148" s="669"/>
      <c r="Z148" s="11" t="s">
        <v>233</v>
      </c>
      <c r="AA148" s="11"/>
      <c r="AB148" s="19" t="s">
        <v>232</v>
      </c>
      <c r="AC148" s="11"/>
      <c r="AD148" s="11"/>
      <c r="AE148" s="11"/>
      <c r="AF148" s="11"/>
      <c r="AG148" s="11"/>
      <c r="AH148" s="19" t="s">
        <v>231</v>
      </c>
      <c r="AI148" s="11"/>
      <c r="AJ148" s="11"/>
      <c r="AK148" s="11"/>
      <c r="AL148" s="11"/>
      <c r="AM148" s="11"/>
      <c r="AN148" s="11"/>
      <c r="AO148" s="11"/>
      <c r="AP148" s="11"/>
      <c r="AQ148" s="11"/>
      <c r="AR148" s="11"/>
      <c r="AS148" s="11"/>
      <c r="AT148" s="11"/>
      <c r="AU148" s="11"/>
      <c r="AV148" s="11"/>
      <c r="AW148" s="11"/>
      <c r="AX148" s="11"/>
      <c r="AY148" s="10"/>
      <c r="AZ148" s="9" t="s">
        <v>230</v>
      </c>
    </row>
    <row r="149" spans="2:52" ht="13.5" customHeight="1" thickTop="1">
      <c r="B149" s="670"/>
      <c r="C149" s="671"/>
      <c r="D149" s="681"/>
      <c r="E149" s="8"/>
      <c r="F149" s="7"/>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5"/>
      <c r="AZ149" s="4"/>
    </row>
    <row r="150" spans="2:52" ht="13.5" customHeight="1" thickBot="1">
      <c r="B150" s="670"/>
      <c r="C150" s="682">
        <v>3</v>
      </c>
      <c r="D150" s="680" t="s">
        <v>7</v>
      </c>
      <c r="E150" s="18"/>
      <c r="F150" s="17"/>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5"/>
      <c r="AZ150" s="14"/>
    </row>
    <row r="151" spans="2:52" ht="13.5" customHeight="1" thickTop="1" thickBot="1">
      <c r="B151" s="670"/>
      <c r="C151" s="666"/>
      <c r="D151" s="670"/>
      <c r="E151" s="13" t="s">
        <v>6</v>
      </c>
      <c r="F151" s="12"/>
      <c r="G151" s="11"/>
      <c r="H151" s="11"/>
      <c r="I151" s="11"/>
      <c r="J151" s="11"/>
      <c r="K151" s="11"/>
      <c r="L151" s="11"/>
      <c r="M151" s="11"/>
      <c r="N151" s="11"/>
      <c r="O151" s="11"/>
      <c r="P151" s="11"/>
      <c r="Q151" s="11"/>
      <c r="R151" s="11"/>
      <c r="S151" s="11"/>
      <c r="T151" s="667">
        <f>'(申)3%'!T151:Y151+'(申)5%'!T151:Y151+'(申)8%'!T151:Y151+'(申)軽8%'!T151:Y151+'(申)10%'!T151:Y151</f>
        <v>268070829</v>
      </c>
      <c r="U151" s="668"/>
      <c r="V151" s="668"/>
      <c r="W151" s="668"/>
      <c r="X151" s="668"/>
      <c r="Y151" s="669"/>
      <c r="Z151" s="11"/>
      <c r="AA151" s="11"/>
      <c r="AB151" s="19"/>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0"/>
      <c r="AZ151" s="9" t="s">
        <v>229</v>
      </c>
    </row>
    <row r="152" spans="2:52" ht="13.5" customHeight="1" thickTop="1" thickBot="1">
      <c r="B152" s="670"/>
      <c r="C152" s="666"/>
      <c r="D152" s="670"/>
      <c r="E152" s="13" t="s">
        <v>4</v>
      </c>
      <c r="F152" s="12"/>
      <c r="G152" s="11"/>
      <c r="H152" s="11"/>
      <c r="I152" s="11"/>
      <c r="J152" s="11"/>
      <c r="K152" s="11"/>
      <c r="L152" s="11"/>
      <c r="M152" s="11"/>
      <c r="N152" s="11"/>
      <c r="O152" s="11"/>
      <c r="P152" s="11"/>
      <c r="Q152" s="11"/>
      <c r="R152" s="11"/>
      <c r="S152" s="11"/>
      <c r="T152" s="667">
        <f>ROUNDDOWN('(申)3%'!T152:Y152+'(申)5%'!T152:Y152+'(申)8%'!T152:Y152+'(申)軽8%'!T152:Y152+'(申)10%'!T152:Y152,-2)</f>
        <v>75467800</v>
      </c>
      <c r="U152" s="668"/>
      <c r="V152" s="668"/>
      <c r="W152" s="668"/>
      <c r="X152" s="668"/>
      <c r="Y152" s="669"/>
      <c r="Z152" s="11" t="s">
        <v>228</v>
      </c>
      <c r="AA152" s="11"/>
      <c r="AB152" s="49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0"/>
      <c r="AZ152" s="9" t="s">
        <v>227</v>
      </c>
    </row>
    <row r="153" spans="2:52" ht="13.5" customHeight="1" thickTop="1" thickBot="1">
      <c r="B153" s="670"/>
      <c r="C153" s="666"/>
      <c r="D153" s="670"/>
      <c r="E153" s="13"/>
      <c r="F153" s="12"/>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0"/>
      <c r="AZ153" s="9"/>
    </row>
    <row r="154" spans="2:52" ht="13.5" customHeight="1" thickTop="1" thickBot="1">
      <c r="B154" s="670"/>
      <c r="C154" s="666"/>
      <c r="D154" s="670"/>
      <c r="E154" s="13" t="s">
        <v>226</v>
      </c>
      <c r="F154" s="12"/>
      <c r="G154" s="11"/>
      <c r="H154" s="11"/>
      <c r="I154" s="11"/>
      <c r="J154" s="11"/>
      <c r="K154" s="11"/>
      <c r="L154" s="11"/>
      <c r="M154" s="11"/>
      <c r="N154" s="11"/>
      <c r="O154" s="11"/>
      <c r="P154" s="11"/>
      <c r="Q154" s="11"/>
      <c r="R154" s="11"/>
      <c r="S154" s="11"/>
      <c r="T154" s="708">
        <f>基礎数値!I23</f>
        <v>103164600</v>
      </c>
      <c r="U154" s="709"/>
      <c r="V154" s="709"/>
      <c r="W154" s="709"/>
      <c r="X154" s="709"/>
      <c r="Y154" s="710"/>
      <c r="Z154" s="11" t="s">
        <v>225</v>
      </c>
      <c r="AA154" s="11"/>
      <c r="AB154" s="19" t="s">
        <v>224</v>
      </c>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0"/>
      <c r="AZ154" s="9" t="s">
        <v>223</v>
      </c>
    </row>
    <row r="155" spans="2:52" ht="13.5" customHeight="1" thickTop="1" thickBot="1">
      <c r="B155" s="670"/>
      <c r="C155" s="666"/>
      <c r="D155" s="670"/>
      <c r="E155" s="13"/>
      <c r="F155" s="12"/>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0"/>
      <c r="AZ155" s="9"/>
    </row>
    <row r="156" spans="2:52" ht="13.5" customHeight="1" thickTop="1" thickBot="1">
      <c r="B156" s="670"/>
      <c r="C156" s="666"/>
      <c r="D156" s="670"/>
      <c r="E156" s="13" t="s">
        <v>222</v>
      </c>
      <c r="F156" s="12"/>
      <c r="G156" s="11"/>
      <c r="H156" s="11"/>
      <c r="I156" s="11"/>
      <c r="J156" s="11"/>
      <c r="K156" s="11"/>
      <c r="L156" s="11"/>
      <c r="M156" s="11"/>
      <c r="N156" s="11"/>
      <c r="O156" s="11"/>
      <c r="P156" s="11"/>
      <c r="Q156" s="11"/>
      <c r="R156" s="11"/>
      <c r="S156" s="11"/>
      <c r="T156" s="667">
        <f>T152-T154</f>
        <v>-27696800</v>
      </c>
      <c r="U156" s="668"/>
      <c r="V156" s="668"/>
      <c r="W156" s="668"/>
      <c r="X156" s="668"/>
      <c r="Y156" s="669"/>
      <c r="Z156" s="11" t="s">
        <v>221</v>
      </c>
      <c r="AA156" s="11"/>
      <c r="AB156" s="19" t="s">
        <v>220</v>
      </c>
      <c r="AC156" s="11"/>
      <c r="AD156" s="11"/>
      <c r="AE156" s="11"/>
      <c r="AF156" s="11"/>
      <c r="AG156" s="11"/>
      <c r="AH156" s="19" t="s">
        <v>219</v>
      </c>
      <c r="AI156" s="11"/>
      <c r="AJ156" s="11"/>
      <c r="AK156" s="11"/>
      <c r="AL156" s="11"/>
      <c r="AM156" s="11"/>
      <c r="AN156" s="11"/>
      <c r="AO156" s="11"/>
      <c r="AP156" s="11"/>
      <c r="AQ156" s="11"/>
      <c r="AR156" s="11"/>
      <c r="AS156" s="11"/>
      <c r="AT156" s="11"/>
      <c r="AU156" s="11"/>
      <c r="AV156" s="11"/>
      <c r="AW156" s="11"/>
      <c r="AX156" s="11"/>
      <c r="AY156" s="10"/>
      <c r="AZ156" s="9" t="s">
        <v>218</v>
      </c>
    </row>
    <row r="157" spans="2:52" ht="13.5" customHeight="1" thickTop="1">
      <c r="B157" s="670"/>
      <c r="C157" s="671"/>
      <c r="D157" s="681"/>
      <c r="E157" s="8"/>
      <c r="F157" s="7"/>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5"/>
      <c r="AZ157" s="4"/>
    </row>
    <row r="158" spans="2:52" ht="13.5" customHeight="1" thickBot="1">
      <c r="B158" s="670"/>
      <c r="C158" s="682">
        <v>4</v>
      </c>
      <c r="D158" s="680" t="s">
        <v>0</v>
      </c>
      <c r="E158" s="18"/>
      <c r="F158" s="17"/>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5"/>
      <c r="AZ158" s="14"/>
    </row>
    <row r="159" spans="2:52" ht="13.5" customHeight="1" thickTop="1" thickBot="1">
      <c r="B159" s="670"/>
      <c r="C159" s="666"/>
      <c r="D159" s="670"/>
      <c r="E159" s="13" t="s">
        <v>217</v>
      </c>
      <c r="F159" s="12"/>
      <c r="G159" s="11"/>
      <c r="H159" s="11"/>
      <c r="I159" s="11"/>
      <c r="J159" s="11"/>
      <c r="K159" s="11"/>
      <c r="L159" s="11"/>
      <c r="M159" s="11"/>
      <c r="N159" s="11"/>
      <c r="O159" s="11"/>
      <c r="P159" s="11"/>
      <c r="Q159" s="11"/>
      <c r="R159" s="11"/>
      <c r="S159" s="11"/>
      <c r="T159" s="667">
        <f>T148+T156</f>
        <v>-125393600</v>
      </c>
      <c r="U159" s="668"/>
      <c r="V159" s="668"/>
      <c r="W159" s="668"/>
      <c r="X159" s="668"/>
      <c r="Y159" s="669"/>
      <c r="Z159" s="11"/>
      <c r="AA159" s="11"/>
      <c r="AB159" s="19" t="s">
        <v>216</v>
      </c>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0"/>
      <c r="AZ159" s="9" t="s">
        <v>215</v>
      </c>
    </row>
    <row r="160" spans="2:52" ht="13.5" customHeight="1" thickTop="1">
      <c r="B160" s="681"/>
      <c r="C160" s="671"/>
      <c r="D160" s="681"/>
      <c r="E160" s="8"/>
      <c r="F160" s="7"/>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5"/>
      <c r="AZ160" s="4"/>
    </row>
  </sheetData>
  <mergeCells count="143">
    <mergeCell ref="B2:D2"/>
    <mergeCell ref="E2:AY2"/>
    <mergeCell ref="B3:B32"/>
    <mergeCell ref="C3:C4"/>
    <mergeCell ref="D3:D4"/>
    <mergeCell ref="E3:AY4"/>
    <mergeCell ref="C5:C7"/>
    <mergeCell ref="AK21:AP21"/>
    <mergeCell ref="R24:W24"/>
    <mergeCell ref="R25:W25"/>
    <mergeCell ref="R27:W27"/>
    <mergeCell ref="R29:W29"/>
    <mergeCell ref="R31:W31"/>
    <mergeCell ref="D5:D7"/>
    <mergeCell ref="E5:AY12"/>
    <mergeCell ref="C8:C10"/>
    <mergeCell ref="D8:D10"/>
    <mergeCell ref="C11:C12"/>
    <mergeCell ref="D11:D12"/>
    <mergeCell ref="C19:C32"/>
    <mergeCell ref="D19:D32"/>
    <mergeCell ref="R20:W20"/>
    <mergeCell ref="R21:W21"/>
    <mergeCell ref="C13:C14"/>
    <mergeCell ref="B33:B43"/>
    <mergeCell ref="C33:C43"/>
    <mergeCell ref="D33:D43"/>
    <mergeCell ref="R34:W34"/>
    <mergeCell ref="R35:W35"/>
    <mergeCell ref="R36:W36"/>
    <mergeCell ref="R42:W42"/>
    <mergeCell ref="AZ36:AZ37"/>
    <mergeCell ref="R38:W38"/>
    <mergeCell ref="R39:W39"/>
    <mergeCell ref="AK39:AP39"/>
    <mergeCell ref="D13:D14"/>
    <mergeCell ref="E13:AY18"/>
    <mergeCell ref="C15:C16"/>
    <mergeCell ref="D15:D16"/>
    <mergeCell ref="C17:C18"/>
    <mergeCell ref="D17:D18"/>
    <mergeCell ref="D47:D49"/>
    <mergeCell ref="E47:AY51"/>
    <mergeCell ref="C50:C51"/>
    <mergeCell ref="D50:D51"/>
    <mergeCell ref="R40:W40"/>
    <mergeCell ref="C52:C53"/>
    <mergeCell ref="C58:C71"/>
    <mergeCell ref="D58:D71"/>
    <mergeCell ref="R59:W59"/>
    <mergeCell ref="R60:W60"/>
    <mergeCell ref="AK60:AP60"/>
    <mergeCell ref="R65:W65"/>
    <mergeCell ref="E56:AY57"/>
    <mergeCell ref="D52:D53"/>
    <mergeCell ref="E52:AY53"/>
    <mergeCell ref="C54:C55"/>
    <mergeCell ref="D54:D55"/>
    <mergeCell ref="E54:AY55"/>
    <mergeCell ref="C56:C57"/>
    <mergeCell ref="D56:D57"/>
    <mergeCell ref="R66:W66"/>
    <mergeCell ref="T68:Y68"/>
    <mergeCell ref="D77:D80"/>
    <mergeCell ref="E77:AY80"/>
    <mergeCell ref="C84:C86"/>
    <mergeCell ref="D84:D86"/>
    <mergeCell ref="E84:AY86"/>
    <mergeCell ref="C81:C83"/>
    <mergeCell ref="D81:D83"/>
    <mergeCell ref="E81:AY83"/>
    <mergeCell ref="T70:Y70"/>
    <mergeCell ref="AZ87:AZ96"/>
    <mergeCell ref="P88:U88"/>
    <mergeCell ref="P89:U89"/>
    <mergeCell ref="AS89:AX89"/>
    <mergeCell ref="P91:U91"/>
    <mergeCell ref="P92:U92"/>
    <mergeCell ref="P93:U93"/>
    <mergeCell ref="P95:U95"/>
    <mergeCell ref="B44:B71"/>
    <mergeCell ref="C44:C46"/>
    <mergeCell ref="D44:D46"/>
    <mergeCell ref="E44:AY46"/>
    <mergeCell ref="C47:C49"/>
    <mergeCell ref="AE92:AJ92"/>
    <mergeCell ref="C87:C96"/>
    <mergeCell ref="D87:D96"/>
    <mergeCell ref="B72:B86"/>
    <mergeCell ref="C72:C73"/>
    <mergeCell ref="D72:D73"/>
    <mergeCell ref="E72:AY73"/>
    <mergeCell ref="C74:C76"/>
    <mergeCell ref="D74:D76"/>
    <mergeCell ref="E74:AY76"/>
    <mergeCell ref="C77:C80"/>
    <mergeCell ref="Z120:AE120"/>
    <mergeCell ref="T151:Y151"/>
    <mergeCell ref="T152:Y152"/>
    <mergeCell ref="AZ121:AZ123"/>
    <mergeCell ref="Z122:AE122"/>
    <mergeCell ref="C150:C157"/>
    <mergeCell ref="D150:D157"/>
    <mergeCell ref="T156:Y156"/>
    <mergeCell ref="Z108:AE108"/>
    <mergeCell ref="AC111:AH111"/>
    <mergeCell ref="AZ97:AZ98"/>
    <mergeCell ref="Z98:AE98"/>
    <mergeCell ref="Z100:AE100"/>
    <mergeCell ref="Z101:AE101"/>
    <mergeCell ref="AA113:AF113"/>
    <mergeCell ref="AH113:AH116"/>
    <mergeCell ref="AZ113:AZ116"/>
    <mergeCell ref="AA116:AF116"/>
    <mergeCell ref="AA118:AF118"/>
    <mergeCell ref="Z103:AE103"/>
    <mergeCell ref="AG103:AG106"/>
    <mergeCell ref="AZ103:AZ106"/>
    <mergeCell ref="Z106:AE106"/>
    <mergeCell ref="B131:B160"/>
    <mergeCell ref="C131:C140"/>
    <mergeCell ref="D131:D140"/>
    <mergeCell ref="T132:Y132"/>
    <mergeCell ref="T134:Y134"/>
    <mergeCell ref="T154:Y154"/>
    <mergeCell ref="F113:S116"/>
    <mergeCell ref="B87:B130"/>
    <mergeCell ref="T137:Y137"/>
    <mergeCell ref="T139:Y139"/>
    <mergeCell ref="C141:C149"/>
    <mergeCell ref="D141:D149"/>
    <mergeCell ref="T142:Y142"/>
    <mergeCell ref="T143:Y143"/>
    <mergeCell ref="T144:Y144"/>
    <mergeCell ref="T146:Y146"/>
    <mergeCell ref="T148:Y148"/>
    <mergeCell ref="T136:Y136"/>
    <mergeCell ref="C158:C160"/>
    <mergeCell ref="D158:D160"/>
    <mergeCell ref="T159:Y159"/>
    <mergeCell ref="C97:C123"/>
    <mergeCell ref="D97:D123"/>
    <mergeCell ref="E103:R106"/>
  </mergeCells>
  <phoneticPr fontId="4"/>
  <pageMargins left="0.39370078740157483" right="0.39370078740157483" top="0.74803149606299213" bottom="0.55118110236220474" header="0.31496062992125984" footer="0.15748031496062992"/>
  <pageSetup paperSize="9" scale="79" orientation="landscape" cellComments="asDisplayed" r:id="rId1"/>
  <headerFooter>
    <oddFooter>&amp;C&amp;P/&amp;N&amp;R&amp;A</oddFooter>
  </headerFooter>
  <rowBreaks count="3" manualBreakCount="3">
    <brk id="43" max="16383" man="1"/>
    <brk id="71" max="16383" man="1"/>
    <brk id="123"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K78"/>
  <sheetViews>
    <sheetView zoomScale="80" zoomScaleNormal="80" zoomScaleSheetLayoutView="100" workbookViewId="0">
      <pane ySplit="2" topLeftCell="A3" activePane="bottomLeft" state="frozen"/>
      <selection activeCell="R64" sqref="R64"/>
      <selection pane="bottomLeft" activeCell="J13" sqref="J13"/>
    </sheetView>
  </sheetViews>
  <sheetFormatPr defaultRowHeight="13.5"/>
  <cols>
    <col min="1" max="1" width="2.125" style="36" customWidth="1"/>
    <col min="2" max="2" width="41" style="36" customWidth="1"/>
    <col min="3" max="3" width="9.375" style="36" bestFit="1" customWidth="1"/>
    <col min="4" max="4" width="16.375" style="36" bestFit="1" customWidth="1"/>
    <col min="5" max="5" width="8.125" style="36" customWidth="1"/>
    <col min="6" max="6" width="42.875" style="36" customWidth="1"/>
    <col min="7" max="7" width="14" style="36" bestFit="1" customWidth="1"/>
    <col min="8" max="8" width="5.25" style="36" customWidth="1"/>
    <col min="9" max="9" width="31" style="36" customWidth="1"/>
    <col min="10" max="16" width="11.625" style="36" customWidth="1"/>
    <col min="17" max="256" width="9" style="36"/>
    <col min="257" max="257" width="2.125" style="36" customWidth="1"/>
    <col min="258" max="258" width="41" style="36" customWidth="1"/>
    <col min="259" max="259" width="9.375" style="36" bestFit="1" customWidth="1"/>
    <col min="260" max="260" width="16.375" style="36" bestFit="1" customWidth="1"/>
    <col min="261" max="261" width="8.125" style="36" customWidth="1"/>
    <col min="262" max="262" width="42.875" style="36" customWidth="1"/>
    <col min="263" max="263" width="14" style="36" bestFit="1" customWidth="1"/>
    <col min="264" max="264" width="5.25" style="36" customWidth="1"/>
    <col min="265" max="265" width="26" style="36" customWidth="1"/>
    <col min="266" max="267" width="11.875" style="36" bestFit="1" customWidth="1"/>
    <col min="268" max="512" width="9" style="36"/>
    <col min="513" max="513" width="2.125" style="36" customWidth="1"/>
    <col min="514" max="514" width="41" style="36" customWidth="1"/>
    <col min="515" max="515" width="9.375" style="36" bestFit="1" customWidth="1"/>
    <col min="516" max="516" width="16.375" style="36" bestFit="1" customWidth="1"/>
    <col min="517" max="517" width="8.125" style="36" customWidth="1"/>
    <col min="518" max="518" width="42.875" style="36" customWidth="1"/>
    <col min="519" max="519" width="14" style="36" bestFit="1" customWidth="1"/>
    <col min="520" max="520" width="5.25" style="36" customWidth="1"/>
    <col min="521" max="521" width="26" style="36" customWidth="1"/>
    <col min="522" max="523" width="11.875" style="36" bestFit="1" customWidth="1"/>
    <col min="524" max="768" width="9" style="36"/>
    <col min="769" max="769" width="2.125" style="36" customWidth="1"/>
    <col min="770" max="770" width="41" style="36" customWidth="1"/>
    <col min="771" max="771" width="9.375" style="36" bestFit="1" customWidth="1"/>
    <col min="772" max="772" width="16.375" style="36" bestFit="1" customWidth="1"/>
    <col min="773" max="773" width="8.125" style="36" customWidth="1"/>
    <col min="774" max="774" width="42.875" style="36" customWidth="1"/>
    <col min="775" max="775" width="14" style="36" bestFit="1" customWidth="1"/>
    <col min="776" max="776" width="5.25" style="36" customWidth="1"/>
    <col min="777" max="777" width="26" style="36" customWidth="1"/>
    <col min="778" max="779" width="11.875" style="36" bestFit="1" customWidth="1"/>
    <col min="780" max="1024" width="9" style="36"/>
    <col min="1025" max="1025" width="2.125" style="36" customWidth="1"/>
    <col min="1026" max="1026" width="41" style="36" customWidth="1"/>
    <col min="1027" max="1027" width="9.375" style="36" bestFit="1" customWidth="1"/>
    <col min="1028" max="1028" width="16.375" style="36" bestFit="1" customWidth="1"/>
    <col min="1029" max="1029" width="8.125" style="36" customWidth="1"/>
    <col min="1030" max="1030" width="42.875" style="36" customWidth="1"/>
    <col min="1031" max="1031" width="14" style="36" bestFit="1" customWidth="1"/>
    <col min="1032" max="1032" width="5.25" style="36" customWidth="1"/>
    <col min="1033" max="1033" width="26" style="36" customWidth="1"/>
    <col min="1034" max="1035" width="11.875" style="36" bestFit="1" customWidth="1"/>
    <col min="1036" max="1280" width="9" style="36"/>
    <col min="1281" max="1281" width="2.125" style="36" customWidth="1"/>
    <col min="1282" max="1282" width="41" style="36" customWidth="1"/>
    <col min="1283" max="1283" width="9.375" style="36" bestFit="1" customWidth="1"/>
    <col min="1284" max="1284" width="16.375" style="36" bestFit="1" customWidth="1"/>
    <col min="1285" max="1285" width="8.125" style="36" customWidth="1"/>
    <col min="1286" max="1286" width="42.875" style="36" customWidth="1"/>
    <col min="1287" max="1287" width="14" style="36" bestFit="1" customWidth="1"/>
    <col min="1288" max="1288" width="5.25" style="36" customWidth="1"/>
    <col min="1289" max="1289" width="26" style="36" customWidth="1"/>
    <col min="1290" max="1291" width="11.875" style="36" bestFit="1" customWidth="1"/>
    <col min="1292" max="1536" width="9" style="36"/>
    <col min="1537" max="1537" width="2.125" style="36" customWidth="1"/>
    <col min="1538" max="1538" width="41" style="36" customWidth="1"/>
    <col min="1539" max="1539" width="9.375" style="36" bestFit="1" customWidth="1"/>
    <col min="1540" max="1540" width="16.375" style="36" bestFit="1" customWidth="1"/>
    <col min="1541" max="1541" width="8.125" style="36" customWidth="1"/>
    <col min="1542" max="1542" width="42.875" style="36" customWidth="1"/>
    <col min="1543" max="1543" width="14" style="36" bestFit="1" customWidth="1"/>
    <col min="1544" max="1544" width="5.25" style="36" customWidth="1"/>
    <col min="1545" max="1545" width="26" style="36" customWidth="1"/>
    <col min="1546" max="1547" width="11.875" style="36" bestFit="1" customWidth="1"/>
    <col min="1548" max="1792" width="9" style="36"/>
    <col min="1793" max="1793" width="2.125" style="36" customWidth="1"/>
    <col min="1794" max="1794" width="41" style="36" customWidth="1"/>
    <col min="1795" max="1795" width="9.375" style="36" bestFit="1" customWidth="1"/>
    <col min="1796" max="1796" width="16.375" style="36" bestFit="1" customWidth="1"/>
    <col min="1797" max="1797" width="8.125" style="36" customWidth="1"/>
    <col min="1798" max="1798" width="42.875" style="36" customWidth="1"/>
    <col min="1799" max="1799" width="14" style="36" bestFit="1" customWidth="1"/>
    <col min="1800" max="1800" width="5.25" style="36" customWidth="1"/>
    <col min="1801" max="1801" width="26" style="36" customWidth="1"/>
    <col min="1802" max="1803" width="11.875" style="36" bestFit="1" customWidth="1"/>
    <col min="1804" max="2048" width="9" style="36"/>
    <col min="2049" max="2049" width="2.125" style="36" customWidth="1"/>
    <col min="2050" max="2050" width="41" style="36" customWidth="1"/>
    <col min="2051" max="2051" width="9.375" style="36" bestFit="1" customWidth="1"/>
    <col min="2052" max="2052" width="16.375" style="36" bestFit="1" customWidth="1"/>
    <col min="2053" max="2053" width="8.125" style="36" customWidth="1"/>
    <col min="2054" max="2054" width="42.875" style="36" customWidth="1"/>
    <col min="2055" max="2055" width="14" style="36" bestFit="1" customWidth="1"/>
    <col min="2056" max="2056" width="5.25" style="36" customWidth="1"/>
    <col min="2057" max="2057" width="26" style="36" customWidth="1"/>
    <col min="2058" max="2059" width="11.875" style="36" bestFit="1" customWidth="1"/>
    <col min="2060" max="2304" width="9" style="36"/>
    <col min="2305" max="2305" width="2.125" style="36" customWidth="1"/>
    <col min="2306" max="2306" width="41" style="36" customWidth="1"/>
    <col min="2307" max="2307" width="9.375" style="36" bestFit="1" customWidth="1"/>
    <col min="2308" max="2308" width="16.375" style="36" bestFit="1" customWidth="1"/>
    <col min="2309" max="2309" width="8.125" style="36" customWidth="1"/>
    <col min="2310" max="2310" width="42.875" style="36" customWidth="1"/>
    <col min="2311" max="2311" width="14" style="36" bestFit="1" customWidth="1"/>
    <col min="2312" max="2312" width="5.25" style="36" customWidth="1"/>
    <col min="2313" max="2313" width="26" style="36" customWidth="1"/>
    <col min="2314" max="2315" width="11.875" style="36" bestFit="1" customWidth="1"/>
    <col min="2316" max="2560" width="9" style="36"/>
    <col min="2561" max="2561" width="2.125" style="36" customWidth="1"/>
    <col min="2562" max="2562" width="41" style="36" customWidth="1"/>
    <col min="2563" max="2563" width="9.375" style="36" bestFit="1" customWidth="1"/>
    <col min="2564" max="2564" width="16.375" style="36" bestFit="1" customWidth="1"/>
    <col min="2565" max="2565" width="8.125" style="36" customWidth="1"/>
    <col min="2566" max="2566" width="42.875" style="36" customWidth="1"/>
    <col min="2567" max="2567" width="14" style="36" bestFit="1" customWidth="1"/>
    <col min="2568" max="2568" width="5.25" style="36" customWidth="1"/>
    <col min="2569" max="2569" width="26" style="36" customWidth="1"/>
    <col min="2570" max="2571" width="11.875" style="36" bestFit="1" customWidth="1"/>
    <col min="2572" max="2816" width="9" style="36"/>
    <col min="2817" max="2817" width="2.125" style="36" customWidth="1"/>
    <col min="2818" max="2818" width="41" style="36" customWidth="1"/>
    <col min="2819" max="2819" width="9.375" style="36" bestFit="1" customWidth="1"/>
    <col min="2820" max="2820" width="16.375" style="36" bestFit="1" customWidth="1"/>
    <col min="2821" max="2821" width="8.125" style="36" customWidth="1"/>
    <col min="2822" max="2822" width="42.875" style="36" customWidth="1"/>
    <col min="2823" max="2823" width="14" style="36" bestFit="1" customWidth="1"/>
    <col min="2824" max="2824" width="5.25" style="36" customWidth="1"/>
    <col min="2825" max="2825" width="26" style="36" customWidth="1"/>
    <col min="2826" max="2827" width="11.875" style="36" bestFit="1" customWidth="1"/>
    <col min="2828" max="3072" width="9" style="36"/>
    <col min="3073" max="3073" width="2.125" style="36" customWidth="1"/>
    <col min="3074" max="3074" width="41" style="36" customWidth="1"/>
    <col min="3075" max="3075" width="9.375" style="36" bestFit="1" customWidth="1"/>
    <col min="3076" max="3076" width="16.375" style="36" bestFit="1" customWidth="1"/>
    <col min="3077" max="3077" width="8.125" style="36" customWidth="1"/>
    <col min="3078" max="3078" width="42.875" style="36" customWidth="1"/>
    <col min="3079" max="3079" width="14" style="36" bestFit="1" customWidth="1"/>
    <col min="3080" max="3080" width="5.25" style="36" customWidth="1"/>
    <col min="3081" max="3081" width="26" style="36" customWidth="1"/>
    <col min="3082" max="3083" width="11.875" style="36" bestFit="1" customWidth="1"/>
    <col min="3084" max="3328" width="9" style="36"/>
    <col min="3329" max="3329" width="2.125" style="36" customWidth="1"/>
    <col min="3330" max="3330" width="41" style="36" customWidth="1"/>
    <col min="3331" max="3331" width="9.375" style="36" bestFit="1" customWidth="1"/>
    <col min="3332" max="3332" width="16.375" style="36" bestFit="1" customWidth="1"/>
    <col min="3333" max="3333" width="8.125" style="36" customWidth="1"/>
    <col min="3334" max="3334" width="42.875" style="36" customWidth="1"/>
    <col min="3335" max="3335" width="14" style="36" bestFit="1" customWidth="1"/>
    <col min="3336" max="3336" width="5.25" style="36" customWidth="1"/>
    <col min="3337" max="3337" width="26" style="36" customWidth="1"/>
    <col min="3338" max="3339" width="11.875" style="36" bestFit="1" customWidth="1"/>
    <col min="3340" max="3584" width="9" style="36"/>
    <col min="3585" max="3585" width="2.125" style="36" customWidth="1"/>
    <col min="3586" max="3586" width="41" style="36" customWidth="1"/>
    <col min="3587" max="3587" width="9.375" style="36" bestFit="1" customWidth="1"/>
    <col min="3588" max="3588" width="16.375" style="36" bestFit="1" customWidth="1"/>
    <col min="3589" max="3589" width="8.125" style="36" customWidth="1"/>
    <col min="3590" max="3590" width="42.875" style="36" customWidth="1"/>
    <col min="3591" max="3591" width="14" style="36" bestFit="1" customWidth="1"/>
    <col min="3592" max="3592" width="5.25" style="36" customWidth="1"/>
    <col min="3593" max="3593" width="26" style="36" customWidth="1"/>
    <col min="3594" max="3595" width="11.875" style="36" bestFit="1" customWidth="1"/>
    <col min="3596" max="3840" width="9" style="36"/>
    <col min="3841" max="3841" width="2.125" style="36" customWidth="1"/>
    <col min="3842" max="3842" width="41" style="36" customWidth="1"/>
    <col min="3843" max="3843" width="9.375" style="36" bestFit="1" customWidth="1"/>
    <col min="3844" max="3844" width="16.375" style="36" bestFit="1" customWidth="1"/>
    <col min="3845" max="3845" width="8.125" style="36" customWidth="1"/>
    <col min="3846" max="3846" width="42.875" style="36" customWidth="1"/>
    <col min="3847" max="3847" width="14" style="36" bestFit="1" customWidth="1"/>
    <col min="3848" max="3848" width="5.25" style="36" customWidth="1"/>
    <col min="3849" max="3849" width="26" style="36" customWidth="1"/>
    <col min="3850" max="3851" width="11.875" style="36" bestFit="1" customWidth="1"/>
    <col min="3852" max="4096" width="9" style="36"/>
    <col min="4097" max="4097" width="2.125" style="36" customWidth="1"/>
    <col min="4098" max="4098" width="41" style="36" customWidth="1"/>
    <col min="4099" max="4099" width="9.375" style="36" bestFit="1" customWidth="1"/>
    <col min="4100" max="4100" width="16.375" style="36" bestFit="1" customWidth="1"/>
    <col min="4101" max="4101" width="8.125" style="36" customWidth="1"/>
    <col min="4102" max="4102" width="42.875" style="36" customWidth="1"/>
    <col min="4103" max="4103" width="14" style="36" bestFit="1" customWidth="1"/>
    <col min="4104" max="4104" width="5.25" style="36" customWidth="1"/>
    <col min="4105" max="4105" width="26" style="36" customWidth="1"/>
    <col min="4106" max="4107" width="11.875" style="36" bestFit="1" customWidth="1"/>
    <col min="4108" max="4352" width="9" style="36"/>
    <col min="4353" max="4353" width="2.125" style="36" customWidth="1"/>
    <col min="4354" max="4354" width="41" style="36" customWidth="1"/>
    <col min="4355" max="4355" width="9.375" style="36" bestFit="1" customWidth="1"/>
    <col min="4356" max="4356" width="16.375" style="36" bestFit="1" customWidth="1"/>
    <col min="4357" max="4357" width="8.125" style="36" customWidth="1"/>
    <col min="4358" max="4358" width="42.875" style="36" customWidth="1"/>
    <col min="4359" max="4359" width="14" style="36" bestFit="1" customWidth="1"/>
    <col min="4360" max="4360" width="5.25" style="36" customWidth="1"/>
    <col min="4361" max="4361" width="26" style="36" customWidth="1"/>
    <col min="4362" max="4363" width="11.875" style="36" bestFit="1" customWidth="1"/>
    <col min="4364" max="4608" width="9" style="36"/>
    <col min="4609" max="4609" width="2.125" style="36" customWidth="1"/>
    <col min="4610" max="4610" width="41" style="36" customWidth="1"/>
    <col min="4611" max="4611" width="9.375" style="36" bestFit="1" customWidth="1"/>
    <col min="4612" max="4612" width="16.375" style="36" bestFit="1" customWidth="1"/>
    <col min="4613" max="4613" width="8.125" style="36" customWidth="1"/>
    <col min="4614" max="4614" width="42.875" style="36" customWidth="1"/>
    <col min="4615" max="4615" width="14" style="36" bestFit="1" customWidth="1"/>
    <col min="4616" max="4616" width="5.25" style="36" customWidth="1"/>
    <col min="4617" max="4617" width="26" style="36" customWidth="1"/>
    <col min="4618" max="4619" width="11.875" style="36" bestFit="1" customWidth="1"/>
    <col min="4620" max="4864" width="9" style="36"/>
    <col min="4865" max="4865" width="2.125" style="36" customWidth="1"/>
    <col min="4866" max="4866" width="41" style="36" customWidth="1"/>
    <col min="4867" max="4867" width="9.375" style="36" bestFit="1" customWidth="1"/>
    <col min="4868" max="4868" width="16.375" style="36" bestFit="1" customWidth="1"/>
    <col min="4869" max="4869" width="8.125" style="36" customWidth="1"/>
    <col min="4870" max="4870" width="42.875" style="36" customWidth="1"/>
    <col min="4871" max="4871" width="14" style="36" bestFit="1" customWidth="1"/>
    <col min="4872" max="4872" width="5.25" style="36" customWidth="1"/>
    <col min="4873" max="4873" width="26" style="36" customWidth="1"/>
    <col min="4874" max="4875" width="11.875" style="36" bestFit="1" customWidth="1"/>
    <col min="4876" max="5120" width="9" style="36"/>
    <col min="5121" max="5121" width="2.125" style="36" customWidth="1"/>
    <col min="5122" max="5122" width="41" style="36" customWidth="1"/>
    <col min="5123" max="5123" width="9.375" style="36" bestFit="1" customWidth="1"/>
    <col min="5124" max="5124" width="16.375" style="36" bestFit="1" customWidth="1"/>
    <col min="5125" max="5125" width="8.125" style="36" customWidth="1"/>
    <col min="5126" max="5126" width="42.875" style="36" customWidth="1"/>
    <col min="5127" max="5127" width="14" style="36" bestFit="1" customWidth="1"/>
    <col min="5128" max="5128" width="5.25" style="36" customWidth="1"/>
    <col min="5129" max="5129" width="26" style="36" customWidth="1"/>
    <col min="5130" max="5131" width="11.875" style="36" bestFit="1" customWidth="1"/>
    <col min="5132" max="5376" width="9" style="36"/>
    <col min="5377" max="5377" width="2.125" style="36" customWidth="1"/>
    <col min="5378" max="5378" width="41" style="36" customWidth="1"/>
    <col min="5379" max="5379" width="9.375" style="36" bestFit="1" customWidth="1"/>
    <col min="5380" max="5380" width="16.375" style="36" bestFit="1" customWidth="1"/>
    <col min="5381" max="5381" width="8.125" style="36" customWidth="1"/>
    <col min="5382" max="5382" width="42.875" style="36" customWidth="1"/>
    <col min="5383" max="5383" width="14" style="36" bestFit="1" customWidth="1"/>
    <col min="5384" max="5384" width="5.25" style="36" customWidth="1"/>
    <col min="5385" max="5385" width="26" style="36" customWidth="1"/>
    <col min="5386" max="5387" width="11.875" style="36" bestFit="1" customWidth="1"/>
    <col min="5388" max="5632" width="9" style="36"/>
    <col min="5633" max="5633" width="2.125" style="36" customWidth="1"/>
    <col min="5634" max="5634" width="41" style="36" customWidth="1"/>
    <col min="5635" max="5635" width="9.375" style="36" bestFit="1" customWidth="1"/>
    <col min="5636" max="5636" width="16.375" style="36" bestFit="1" customWidth="1"/>
    <col min="5637" max="5637" width="8.125" style="36" customWidth="1"/>
    <col min="5638" max="5638" width="42.875" style="36" customWidth="1"/>
    <col min="5639" max="5639" width="14" style="36" bestFit="1" customWidth="1"/>
    <col min="5640" max="5640" width="5.25" style="36" customWidth="1"/>
    <col min="5641" max="5641" width="26" style="36" customWidth="1"/>
    <col min="5642" max="5643" width="11.875" style="36" bestFit="1" customWidth="1"/>
    <col min="5644" max="5888" width="9" style="36"/>
    <col min="5889" max="5889" width="2.125" style="36" customWidth="1"/>
    <col min="5890" max="5890" width="41" style="36" customWidth="1"/>
    <col min="5891" max="5891" width="9.375" style="36" bestFit="1" customWidth="1"/>
    <col min="5892" max="5892" width="16.375" style="36" bestFit="1" customWidth="1"/>
    <col min="5893" max="5893" width="8.125" style="36" customWidth="1"/>
    <col min="5894" max="5894" width="42.875" style="36" customWidth="1"/>
    <col min="5895" max="5895" width="14" style="36" bestFit="1" customWidth="1"/>
    <col min="5896" max="5896" width="5.25" style="36" customWidth="1"/>
    <col min="5897" max="5897" width="26" style="36" customWidth="1"/>
    <col min="5898" max="5899" width="11.875" style="36" bestFit="1" customWidth="1"/>
    <col min="5900" max="6144" width="9" style="36"/>
    <col min="6145" max="6145" width="2.125" style="36" customWidth="1"/>
    <col min="6146" max="6146" width="41" style="36" customWidth="1"/>
    <col min="6147" max="6147" width="9.375" style="36" bestFit="1" customWidth="1"/>
    <col min="6148" max="6148" width="16.375" style="36" bestFit="1" customWidth="1"/>
    <col min="6149" max="6149" width="8.125" style="36" customWidth="1"/>
    <col min="6150" max="6150" width="42.875" style="36" customWidth="1"/>
    <col min="6151" max="6151" width="14" style="36" bestFit="1" customWidth="1"/>
    <col min="6152" max="6152" width="5.25" style="36" customWidth="1"/>
    <col min="6153" max="6153" width="26" style="36" customWidth="1"/>
    <col min="6154" max="6155" width="11.875" style="36" bestFit="1" customWidth="1"/>
    <col min="6156" max="6400" width="9" style="36"/>
    <col min="6401" max="6401" width="2.125" style="36" customWidth="1"/>
    <col min="6402" max="6402" width="41" style="36" customWidth="1"/>
    <col min="6403" max="6403" width="9.375" style="36" bestFit="1" customWidth="1"/>
    <col min="6404" max="6404" width="16.375" style="36" bestFit="1" customWidth="1"/>
    <col min="6405" max="6405" width="8.125" style="36" customWidth="1"/>
    <col min="6406" max="6406" width="42.875" style="36" customWidth="1"/>
    <col min="6407" max="6407" width="14" style="36" bestFit="1" customWidth="1"/>
    <col min="6408" max="6408" width="5.25" style="36" customWidth="1"/>
    <col min="6409" max="6409" width="26" style="36" customWidth="1"/>
    <col min="6410" max="6411" width="11.875" style="36" bestFit="1" customWidth="1"/>
    <col min="6412" max="6656" width="9" style="36"/>
    <col min="6657" max="6657" width="2.125" style="36" customWidth="1"/>
    <col min="6658" max="6658" width="41" style="36" customWidth="1"/>
    <col min="6659" max="6659" width="9.375" style="36" bestFit="1" customWidth="1"/>
    <col min="6660" max="6660" width="16.375" style="36" bestFit="1" customWidth="1"/>
    <col min="6661" max="6661" width="8.125" style="36" customWidth="1"/>
    <col min="6662" max="6662" width="42.875" style="36" customWidth="1"/>
    <col min="6663" max="6663" width="14" style="36" bestFit="1" customWidth="1"/>
    <col min="6664" max="6664" width="5.25" style="36" customWidth="1"/>
    <col min="6665" max="6665" width="26" style="36" customWidth="1"/>
    <col min="6666" max="6667" width="11.875" style="36" bestFit="1" customWidth="1"/>
    <col min="6668" max="6912" width="9" style="36"/>
    <col min="6913" max="6913" width="2.125" style="36" customWidth="1"/>
    <col min="6914" max="6914" width="41" style="36" customWidth="1"/>
    <col min="6915" max="6915" width="9.375" style="36" bestFit="1" customWidth="1"/>
    <col min="6916" max="6916" width="16.375" style="36" bestFit="1" customWidth="1"/>
    <col min="6917" max="6917" width="8.125" style="36" customWidth="1"/>
    <col min="6918" max="6918" width="42.875" style="36" customWidth="1"/>
    <col min="6919" max="6919" width="14" style="36" bestFit="1" customWidth="1"/>
    <col min="6920" max="6920" width="5.25" style="36" customWidth="1"/>
    <col min="6921" max="6921" width="26" style="36" customWidth="1"/>
    <col min="6922" max="6923" width="11.875" style="36" bestFit="1" customWidth="1"/>
    <col min="6924" max="7168" width="9" style="36"/>
    <col min="7169" max="7169" width="2.125" style="36" customWidth="1"/>
    <col min="7170" max="7170" width="41" style="36" customWidth="1"/>
    <col min="7171" max="7171" width="9.375" style="36" bestFit="1" customWidth="1"/>
    <col min="7172" max="7172" width="16.375" style="36" bestFit="1" customWidth="1"/>
    <col min="7173" max="7173" width="8.125" style="36" customWidth="1"/>
    <col min="7174" max="7174" width="42.875" style="36" customWidth="1"/>
    <col min="7175" max="7175" width="14" style="36" bestFit="1" customWidth="1"/>
    <col min="7176" max="7176" width="5.25" style="36" customWidth="1"/>
    <col min="7177" max="7177" width="26" style="36" customWidth="1"/>
    <col min="7178" max="7179" width="11.875" style="36" bestFit="1" customWidth="1"/>
    <col min="7180" max="7424" width="9" style="36"/>
    <col min="7425" max="7425" width="2.125" style="36" customWidth="1"/>
    <col min="7426" max="7426" width="41" style="36" customWidth="1"/>
    <col min="7427" max="7427" width="9.375" style="36" bestFit="1" customWidth="1"/>
    <col min="7428" max="7428" width="16.375" style="36" bestFit="1" customWidth="1"/>
    <col min="7429" max="7429" width="8.125" style="36" customWidth="1"/>
    <col min="7430" max="7430" width="42.875" style="36" customWidth="1"/>
    <col min="7431" max="7431" width="14" style="36" bestFit="1" customWidth="1"/>
    <col min="7432" max="7432" width="5.25" style="36" customWidth="1"/>
    <col min="7433" max="7433" width="26" style="36" customWidth="1"/>
    <col min="7434" max="7435" width="11.875" style="36" bestFit="1" customWidth="1"/>
    <col min="7436" max="7680" width="9" style="36"/>
    <col min="7681" max="7681" width="2.125" style="36" customWidth="1"/>
    <col min="7682" max="7682" width="41" style="36" customWidth="1"/>
    <col min="7683" max="7683" width="9.375" style="36" bestFit="1" customWidth="1"/>
    <col min="7684" max="7684" width="16.375" style="36" bestFit="1" customWidth="1"/>
    <col min="7685" max="7685" width="8.125" style="36" customWidth="1"/>
    <col min="7686" max="7686" width="42.875" style="36" customWidth="1"/>
    <col min="7687" max="7687" width="14" style="36" bestFit="1" customWidth="1"/>
    <col min="7688" max="7688" width="5.25" style="36" customWidth="1"/>
    <col min="7689" max="7689" width="26" style="36" customWidth="1"/>
    <col min="7690" max="7691" width="11.875" style="36" bestFit="1" customWidth="1"/>
    <col min="7692" max="7936" width="9" style="36"/>
    <col min="7937" max="7937" width="2.125" style="36" customWidth="1"/>
    <col min="7938" max="7938" width="41" style="36" customWidth="1"/>
    <col min="7939" max="7939" width="9.375" style="36" bestFit="1" customWidth="1"/>
    <col min="7940" max="7940" width="16.375" style="36" bestFit="1" customWidth="1"/>
    <col min="7941" max="7941" width="8.125" style="36" customWidth="1"/>
    <col min="7942" max="7942" width="42.875" style="36" customWidth="1"/>
    <col min="7943" max="7943" width="14" style="36" bestFit="1" customWidth="1"/>
    <col min="7944" max="7944" width="5.25" style="36" customWidth="1"/>
    <col min="7945" max="7945" width="26" style="36" customWidth="1"/>
    <col min="7946" max="7947" width="11.875" style="36" bestFit="1" customWidth="1"/>
    <col min="7948" max="8192" width="9" style="36"/>
    <col min="8193" max="8193" width="2.125" style="36" customWidth="1"/>
    <col min="8194" max="8194" width="41" style="36" customWidth="1"/>
    <col min="8195" max="8195" width="9.375" style="36" bestFit="1" customWidth="1"/>
    <col min="8196" max="8196" width="16.375" style="36" bestFit="1" customWidth="1"/>
    <col min="8197" max="8197" width="8.125" style="36" customWidth="1"/>
    <col min="8198" max="8198" width="42.875" style="36" customWidth="1"/>
    <col min="8199" max="8199" width="14" style="36" bestFit="1" customWidth="1"/>
    <col min="8200" max="8200" width="5.25" style="36" customWidth="1"/>
    <col min="8201" max="8201" width="26" style="36" customWidth="1"/>
    <col min="8202" max="8203" width="11.875" style="36" bestFit="1" customWidth="1"/>
    <col min="8204" max="8448" width="9" style="36"/>
    <col min="8449" max="8449" width="2.125" style="36" customWidth="1"/>
    <col min="8450" max="8450" width="41" style="36" customWidth="1"/>
    <col min="8451" max="8451" width="9.375" style="36" bestFit="1" customWidth="1"/>
    <col min="8452" max="8452" width="16.375" style="36" bestFit="1" customWidth="1"/>
    <col min="8453" max="8453" width="8.125" style="36" customWidth="1"/>
    <col min="8454" max="8454" width="42.875" style="36" customWidth="1"/>
    <col min="8455" max="8455" width="14" style="36" bestFit="1" customWidth="1"/>
    <col min="8456" max="8456" width="5.25" style="36" customWidth="1"/>
    <col min="8457" max="8457" width="26" style="36" customWidth="1"/>
    <col min="8458" max="8459" width="11.875" style="36" bestFit="1" customWidth="1"/>
    <col min="8460" max="8704" width="9" style="36"/>
    <col min="8705" max="8705" width="2.125" style="36" customWidth="1"/>
    <col min="8706" max="8706" width="41" style="36" customWidth="1"/>
    <col min="8707" max="8707" width="9.375" style="36" bestFit="1" customWidth="1"/>
    <col min="8708" max="8708" width="16.375" style="36" bestFit="1" customWidth="1"/>
    <col min="8709" max="8709" width="8.125" style="36" customWidth="1"/>
    <col min="8710" max="8710" width="42.875" style="36" customWidth="1"/>
    <col min="8711" max="8711" width="14" style="36" bestFit="1" customWidth="1"/>
    <col min="8712" max="8712" width="5.25" style="36" customWidth="1"/>
    <col min="8713" max="8713" width="26" style="36" customWidth="1"/>
    <col min="8714" max="8715" width="11.875" style="36" bestFit="1" customWidth="1"/>
    <col min="8716" max="8960" width="9" style="36"/>
    <col min="8961" max="8961" width="2.125" style="36" customWidth="1"/>
    <col min="8962" max="8962" width="41" style="36" customWidth="1"/>
    <col min="8963" max="8963" width="9.375" style="36" bestFit="1" customWidth="1"/>
    <col min="8964" max="8964" width="16.375" style="36" bestFit="1" customWidth="1"/>
    <col min="8965" max="8965" width="8.125" style="36" customWidth="1"/>
    <col min="8966" max="8966" width="42.875" style="36" customWidth="1"/>
    <col min="8967" max="8967" width="14" style="36" bestFit="1" customWidth="1"/>
    <col min="8968" max="8968" width="5.25" style="36" customWidth="1"/>
    <col min="8969" max="8969" width="26" style="36" customWidth="1"/>
    <col min="8970" max="8971" width="11.875" style="36" bestFit="1" customWidth="1"/>
    <col min="8972" max="9216" width="9" style="36"/>
    <col min="9217" max="9217" width="2.125" style="36" customWidth="1"/>
    <col min="9218" max="9218" width="41" style="36" customWidth="1"/>
    <col min="9219" max="9219" width="9.375" style="36" bestFit="1" customWidth="1"/>
    <col min="9220" max="9220" width="16.375" style="36" bestFit="1" customWidth="1"/>
    <col min="9221" max="9221" width="8.125" style="36" customWidth="1"/>
    <col min="9222" max="9222" width="42.875" style="36" customWidth="1"/>
    <col min="9223" max="9223" width="14" style="36" bestFit="1" customWidth="1"/>
    <col min="9224" max="9224" width="5.25" style="36" customWidth="1"/>
    <col min="9225" max="9225" width="26" style="36" customWidth="1"/>
    <col min="9226" max="9227" width="11.875" style="36" bestFit="1" customWidth="1"/>
    <col min="9228" max="9472" width="9" style="36"/>
    <col min="9473" max="9473" width="2.125" style="36" customWidth="1"/>
    <col min="9474" max="9474" width="41" style="36" customWidth="1"/>
    <col min="9475" max="9475" width="9.375" style="36" bestFit="1" customWidth="1"/>
    <col min="9476" max="9476" width="16.375" style="36" bestFit="1" customWidth="1"/>
    <col min="9477" max="9477" width="8.125" style="36" customWidth="1"/>
    <col min="9478" max="9478" width="42.875" style="36" customWidth="1"/>
    <col min="9479" max="9479" width="14" style="36" bestFit="1" customWidth="1"/>
    <col min="9480" max="9480" width="5.25" style="36" customWidth="1"/>
    <col min="9481" max="9481" width="26" style="36" customWidth="1"/>
    <col min="9482" max="9483" width="11.875" style="36" bestFit="1" customWidth="1"/>
    <col min="9484" max="9728" width="9" style="36"/>
    <col min="9729" max="9729" width="2.125" style="36" customWidth="1"/>
    <col min="9730" max="9730" width="41" style="36" customWidth="1"/>
    <col min="9731" max="9731" width="9.375" style="36" bestFit="1" customWidth="1"/>
    <col min="9732" max="9732" width="16.375" style="36" bestFit="1" customWidth="1"/>
    <col min="9733" max="9733" width="8.125" style="36" customWidth="1"/>
    <col min="9734" max="9734" width="42.875" style="36" customWidth="1"/>
    <col min="9735" max="9735" width="14" style="36" bestFit="1" customWidth="1"/>
    <col min="9736" max="9736" width="5.25" style="36" customWidth="1"/>
    <col min="9737" max="9737" width="26" style="36" customWidth="1"/>
    <col min="9738" max="9739" width="11.875" style="36" bestFit="1" customWidth="1"/>
    <col min="9740" max="9984" width="9" style="36"/>
    <col min="9985" max="9985" width="2.125" style="36" customWidth="1"/>
    <col min="9986" max="9986" width="41" style="36" customWidth="1"/>
    <col min="9987" max="9987" width="9.375" style="36" bestFit="1" customWidth="1"/>
    <col min="9988" max="9988" width="16.375" style="36" bestFit="1" customWidth="1"/>
    <col min="9989" max="9989" width="8.125" style="36" customWidth="1"/>
    <col min="9990" max="9990" width="42.875" style="36" customWidth="1"/>
    <col min="9991" max="9991" width="14" style="36" bestFit="1" customWidth="1"/>
    <col min="9992" max="9992" width="5.25" style="36" customWidth="1"/>
    <col min="9993" max="9993" width="26" style="36" customWidth="1"/>
    <col min="9994" max="9995" width="11.875" style="36" bestFit="1" customWidth="1"/>
    <col min="9996" max="10240" width="9" style="36"/>
    <col min="10241" max="10241" width="2.125" style="36" customWidth="1"/>
    <col min="10242" max="10242" width="41" style="36" customWidth="1"/>
    <col min="10243" max="10243" width="9.375" style="36" bestFit="1" customWidth="1"/>
    <col min="10244" max="10244" width="16.375" style="36" bestFit="1" customWidth="1"/>
    <col min="10245" max="10245" width="8.125" style="36" customWidth="1"/>
    <col min="10246" max="10246" width="42.875" style="36" customWidth="1"/>
    <col min="10247" max="10247" width="14" style="36" bestFit="1" customWidth="1"/>
    <col min="10248" max="10248" width="5.25" style="36" customWidth="1"/>
    <col min="10249" max="10249" width="26" style="36" customWidth="1"/>
    <col min="10250" max="10251" width="11.875" style="36" bestFit="1" customWidth="1"/>
    <col min="10252" max="10496" width="9" style="36"/>
    <col min="10497" max="10497" width="2.125" style="36" customWidth="1"/>
    <col min="10498" max="10498" width="41" style="36" customWidth="1"/>
    <col min="10499" max="10499" width="9.375" style="36" bestFit="1" customWidth="1"/>
    <col min="10500" max="10500" width="16.375" style="36" bestFit="1" customWidth="1"/>
    <col min="10501" max="10501" width="8.125" style="36" customWidth="1"/>
    <col min="10502" max="10502" width="42.875" style="36" customWidth="1"/>
    <col min="10503" max="10503" width="14" style="36" bestFit="1" customWidth="1"/>
    <col min="10504" max="10504" width="5.25" style="36" customWidth="1"/>
    <col min="10505" max="10505" width="26" style="36" customWidth="1"/>
    <col min="10506" max="10507" width="11.875" style="36" bestFit="1" customWidth="1"/>
    <col min="10508" max="10752" width="9" style="36"/>
    <col min="10753" max="10753" width="2.125" style="36" customWidth="1"/>
    <col min="10754" max="10754" width="41" style="36" customWidth="1"/>
    <col min="10755" max="10755" width="9.375" style="36" bestFit="1" customWidth="1"/>
    <col min="10756" max="10756" width="16.375" style="36" bestFit="1" customWidth="1"/>
    <col min="10757" max="10757" width="8.125" style="36" customWidth="1"/>
    <col min="10758" max="10758" width="42.875" style="36" customWidth="1"/>
    <col min="10759" max="10759" width="14" style="36" bestFit="1" customWidth="1"/>
    <col min="10760" max="10760" width="5.25" style="36" customWidth="1"/>
    <col min="10761" max="10761" width="26" style="36" customWidth="1"/>
    <col min="10762" max="10763" width="11.875" style="36" bestFit="1" customWidth="1"/>
    <col min="10764" max="11008" width="9" style="36"/>
    <col min="11009" max="11009" width="2.125" style="36" customWidth="1"/>
    <col min="11010" max="11010" width="41" style="36" customWidth="1"/>
    <col min="11011" max="11011" width="9.375" style="36" bestFit="1" customWidth="1"/>
    <col min="11012" max="11012" width="16.375" style="36" bestFit="1" customWidth="1"/>
    <col min="11013" max="11013" width="8.125" style="36" customWidth="1"/>
    <col min="11014" max="11014" width="42.875" style="36" customWidth="1"/>
    <col min="11015" max="11015" width="14" style="36" bestFit="1" customWidth="1"/>
    <col min="11016" max="11016" width="5.25" style="36" customWidth="1"/>
    <col min="11017" max="11017" width="26" style="36" customWidth="1"/>
    <col min="11018" max="11019" width="11.875" style="36" bestFit="1" customWidth="1"/>
    <col min="11020" max="11264" width="9" style="36"/>
    <col min="11265" max="11265" width="2.125" style="36" customWidth="1"/>
    <col min="11266" max="11266" width="41" style="36" customWidth="1"/>
    <col min="11267" max="11267" width="9.375" style="36" bestFit="1" customWidth="1"/>
    <col min="11268" max="11268" width="16.375" style="36" bestFit="1" customWidth="1"/>
    <col min="11269" max="11269" width="8.125" style="36" customWidth="1"/>
    <col min="11270" max="11270" width="42.875" style="36" customWidth="1"/>
    <col min="11271" max="11271" width="14" style="36" bestFit="1" customWidth="1"/>
    <col min="11272" max="11272" width="5.25" style="36" customWidth="1"/>
    <col min="11273" max="11273" width="26" style="36" customWidth="1"/>
    <col min="11274" max="11275" width="11.875" style="36" bestFit="1" customWidth="1"/>
    <col min="11276" max="11520" width="9" style="36"/>
    <col min="11521" max="11521" width="2.125" style="36" customWidth="1"/>
    <col min="11522" max="11522" width="41" style="36" customWidth="1"/>
    <col min="11523" max="11523" width="9.375" style="36" bestFit="1" customWidth="1"/>
    <col min="11524" max="11524" width="16.375" style="36" bestFit="1" customWidth="1"/>
    <col min="11525" max="11525" width="8.125" style="36" customWidth="1"/>
    <col min="11526" max="11526" width="42.875" style="36" customWidth="1"/>
    <col min="11527" max="11527" width="14" style="36" bestFit="1" customWidth="1"/>
    <col min="11528" max="11528" width="5.25" style="36" customWidth="1"/>
    <col min="11529" max="11529" width="26" style="36" customWidth="1"/>
    <col min="11530" max="11531" width="11.875" style="36" bestFit="1" customWidth="1"/>
    <col min="11532" max="11776" width="9" style="36"/>
    <col min="11777" max="11777" width="2.125" style="36" customWidth="1"/>
    <col min="11778" max="11778" width="41" style="36" customWidth="1"/>
    <col min="11779" max="11779" width="9.375" style="36" bestFit="1" customWidth="1"/>
    <col min="11780" max="11780" width="16.375" style="36" bestFit="1" customWidth="1"/>
    <col min="11781" max="11781" width="8.125" style="36" customWidth="1"/>
    <col min="11782" max="11782" width="42.875" style="36" customWidth="1"/>
    <col min="11783" max="11783" width="14" style="36" bestFit="1" customWidth="1"/>
    <col min="11784" max="11784" width="5.25" style="36" customWidth="1"/>
    <col min="11785" max="11785" width="26" style="36" customWidth="1"/>
    <col min="11786" max="11787" width="11.875" style="36" bestFit="1" customWidth="1"/>
    <col min="11788" max="12032" width="9" style="36"/>
    <col min="12033" max="12033" width="2.125" style="36" customWidth="1"/>
    <col min="12034" max="12034" width="41" style="36" customWidth="1"/>
    <col min="12035" max="12035" width="9.375" style="36" bestFit="1" customWidth="1"/>
    <col min="12036" max="12036" width="16.375" style="36" bestFit="1" customWidth="1"/>
    <col min="12037" max="12037" width="8.125" style="36" customWidth="1"/>
    <col min="12038" max="12038" width="42.875" style="36" customWidth="1"/>
    <col min="12039" max="12039" width="14" style="36" bestFit="1" customWidth="1"/>
    <col min="12040" max="12040" width="5.25" style="36" customWidth="1"/>
    <col min="12041" max="12041" width="26" style="36" customWidth="1"/>
    <col min="12042" max="12043" width="11.875" style="36" bestFit="1" customWidth="1"/>
    <col min="12044" max="12288" width="9" style="36"/>
    <col min="12289" max="12289" width="2.125" style="36" customWidth="1"/>
    <col min="12290" max="12290" width="41" style="36" customWidth="1"/>
    <col min="12291" max="12291" width="9.375" style="36" bestFit="1" customWidth="1"/>
    <col min="12292" max="12292" width="16.375" style="36" bestFit="1" customWidth="1"/>
    <col min="12293" max="12293" width="8.125" style="36" customWidth="1"/>
    <col min="12294" max="12294" width="42.875" style="36" customWidth="1"/>
    <col min="12295" max="12295" width="14" style="36" bestFit="1" customWidth="1"/>
    <col min="12296" max="12296" width="5.25" style="36" customWidth="1"/>
    <col min="12297" max="12297" width="26" style="36" customWidth="1"/>
    <col min="12298" max="12299" width="11.875" style="36" bestFit="1" customWidth="1"/>
    <col min="12300" max="12544" width="9" style="36"/>
    <col min="12545" max="12545" width="2.125" style="36" customWidth="1"/>
    <col min="12546" max="12546" width="41" style="36" customWidth="1"/>
    <col min="12547" max="12547" width="9.375" style="36" bestFit="1" customWidth="1"/>
    <col min="12548" max="12548" width="16.375" style="36" bestFit="1" customWidth="1"/>
    <col min="12549" max="12549" width="8.125" style="36" customWidth="1"/>
    <col min="12550" max="12550" width="42.875" style="36" customWidth="1"/>
    <col min="12551" max="12551" width="14" style="36" bestFit="1" customWidth="1"/>
    <col min="12552" max="12552" width="5.25" style="36" customWidth="1"/>
    <col min="12553" max="12553" width="26" style="36" customWidth="1"/>
    <col min="12554" max="12555" width="11.875" style="36" bestFit="1" customWidth="1"/>
    <col min="12556" max="12800" width="9" style="36"/>
    <col min="12801" max="12801" width="2.125" style="36" customWidth="1"/>
    <col min="12802" max="12802" width="41" style="36" customWidth="1"/>
    <col min="12803" max="12803" width="9.375" style="36" bestFit="1" customWidth="1"/>
    <col min="12804" max="12804" width="16.375" style="36" bestFit="1" customWidth="1"/>
    <col min="12805" max="12805" width="8.125" style="36" customWidth="1"/>
    <col min="12806" max="12806" width="42.875" style="36" customWidth="1"/>
    <col min="12807" max="12807" width="14" style="36" bestFit="1" customWidth="1"/>
    <col min="12808" max="12808" width="5.25" style="36" customWidth="1"/>
    <col min="12809" max="12809" width="26" style="36" customWidth="1"/>
    <col min="12810" max="12811" width="11.875" style="36" bestFit="1" customWidth="1"/>
    <col min="12812" max="13056" width="9" style="36"/>
    <col min="13057" max="13057" width="2.125" style="36" customWidth="1"/>
    <col min="13058" max="13058" width="41" style="36" customWidth="1"/>
    <col min="13059" max="13059" width="9.375" style="36" bestFit="1" customWidth="1"/>
    <col min="13060" max="13060" width="16.375" style="36" bestFit="1" customWidth="1"/>
    <col min="13061" max="13061" width="8.125" style="36" customWidth="1"/>
    <col min="13062" max="13062" width="42.875" style="36" customWidth="1"/>
    <col min="13063" max="13063" width="14" style="36" bestFit="1" customWidth="1"/>
    <col min="13064" max="13064" width="5.25" style="36" customWidth="1"/>
    <col min="13065" max="13065" width="26" style="36" customWidth="1"/>
    <col min="13066" max="13067" width="11.875" style="36" bestFit="1" customWidth="1"/>
    <col min="13068" max="13312" width="9" style="36"/>
    <col min="13313" max="13313" width="2.125" style="36" customWidth="1"/>
    <col min="13314" max="13314" width="41" style="36" customWidth="1"/>
    <col min="13315" max="13315" width="9.375" style="36" bestFit="1" customWidth="1"/>
    <col min="13316" max="13316" width="16.375" style="36" bestFit="1" customWidth="1"/>
    <col min="13317" max="13317" width="8.125" style="36" customWidth="1"/>
    <col min="13318" max="13318" width="42.875" style="36" customWidth="1"/>
    <col min="13319" max="13319" width="14" style="36" bestFit="1" customWidth="1"/>
    <col min="13320" max="13320" width="5.25" style="36" customWidth="1"/>
    <col min="13321" max="13321" width="26" style="36" customWidth="1"/>
    <col min="13322" max="13323" width="11.875" style="36" bestFit="1" customWidth="1"/>
    <col min="13324" max="13568" width="9" style="36"/>
    <col min="13569" max="13569" width="2.125" style="36" customWidth="1"/>
    <col min="13570" max="13570" width="41" style="36" customWidth="1"/>
    <col min="13571" max="13571" width="9.375" style="36" bestFit="1" customWidth="1"/>
    <col min="13572" max="13572" width="16.375" style="36" bestFit="1" customWidth="1"/>
    <col min="13573" max="13573" width="8.125" style="36" customWidth="1"/>
    <col min="13574" max="13574" width="42.875" style="36" customWidth="1"/>
    <col min="13575" max="13575" width="14" style="36" bestFit="1" customWidth="1"/>
    <col min="13576" max="13576" width="5.25" style="36" customWidth="1"/>
    <col min="13577" max="13577" width="26" style="36" customWidth="1"/>
    <col min="13578" max="13579" width="11.875" style="36" bestFit="1" customWidth="1"/>
    <col min="13580" max="13824" width="9" style="36"/>
    <col min="13825" max="13825" width="2.125" style="36" customWidth="1"/>
    <col min="13826" max="13826" width="41" style="36" customWidth="1"/>
    <col min="13827" max="13827" width="9.375" style="36" bestFit="1" customWidth="1"/>
    <col min="13828" max="13828" width="16.375" style="36" bestFit="1" customWidth="1"/>
    <col min="13829" max="13829" width="8.125" style="36" customWidth="1"/>
    <col min="13830" max="13830" width="42.875" style="36" customWidth="1"/>
    <col min="13831" max="13831" width="14" style="36" bestFit="1" customWidth="1"/>
    <col min="13832" max="13832" width="5.25" style="36" customWidth="1"/>
    <col min="13833" max="13833" width="26" style="36" customWidth="1"/>
    <col min="13834" max="13835" width="11.875" style="36" bestFit="1" customWidth="1"/>
    <col min="13836" max="14080" width="9" style="36"/>
    <col min="14081" max="14081" width="2.125" style="36" customWidth="1"/>
    <col min="14082" max="14082" width="41" style="36" customWidth="1"/>
    <col min="14083" max="14083" width="9.375" style="36" bestFit="1" customWidth="1"/>
    <col min="14084" max="14084" width="16.375" style="36" bestFit="1" customWidth="1"/>
    <col min="14085" max="14085" width="8.125" style="36" customWidth="1"/>
    <col min="14086" max="14086" width="42.875" style="36" customWidth="1"/>
    <col min="14087" max="14087" width="14" style="36" bestFit="1" customWidth="1"/>
    <col min="14088" max="14088" width="5.25" style="36" customWidth="1"/>
    <col min="14089" max="14089" width="26" style="36" customWidth="1"/>
    <col min="14090" max="14091" width="11.875" style="36" bestFit="1" customWidth="1"/>
    <col min="14092" max="14336" width="9" style="36"/>
    <col min="14337" max="14337" width="2.125" style="36" customWidth="1"/>
    <col min="14338" max="14338" width="41" style="36" customWidth="1"/>
    <col min="14339" max="14339" width="9.375" style="36" bestFit="1" customWidth="1"/>
    <col min="14340" max="14340" width="16.375" style="36" bestFit="1" customWidth="1"/>
    <col min="14341" max="14341" width="8.125" style="36" customWidth="1"/>
    <col min="14342" max="14342" width="42.875" style="36" customWidth="1"/>
    <col min="14343" max="14343" width="14" style="36" bestFit="1" customWidth="1"/>
    <col min="14344" max="14344" width="5.25" style="36" customWidth="1"/>
    <col min="14345" max="14345" width="26" style="36" customWidth="1"/>
    <col min="14346" max="14347" width="11.875" style="36" bestFit="1" customWidth="1"/>
    <col min="14348" max="14592" width="9" style="36"/>
    <col min="14593" max="14593" width="2.125" style="36" customWidth="1"/>
    <col min="14594" max="14594" width="41" style="36" customWidth="1"/>
    <col min="14595" max="14595" width="9.375" style="36" bestFit="1" customWidth="1"/>
    <col min="14596" max="14596" width="16.375" style="36" bestFit="1" customWidth="1"/>
    <col min="14597" max="14597" width="8.125" style="36" customWidth="1"/>
    <col min="14598" max="14598" width="42.875" style="36" customWidth="1"/>
    <col min="14599" max="14599" width="14" style="36" bestFit="1" customWidth="1"/>
    <col min="14600" max="14600" width="5.25" style="36" customWidth="1"/>
    <col min="14601" max="14601" width="26" style="36" customWidth="1"/>
    <col min="14602" max="14603" width="11.875" style="36" bestFit="1" customWidth="1"/>
    <col min="14604" max="14848" width="9" style="36"/>
    <col min="14849" max="14849" width="2.125" style="36" customWidth="1"/>
    <col min="14850" max="14850" width="41" style="36" customWidth="1"/>
    <col min="14851" max="14851" width="9.375" style="36" bestFit="1" customWidth="1"/>
    <col min="14852" max="14852" width="16.375" style="36" bestFit="1" customWidth="1"/>
    <col min="14853" max="14853" width="8.125" style="36" customWidth="1"/>
    <col min="14854" max="14854" width="42.875" style="36" customWidth="1"/>
    <col min="14855" max="14855" width="14" style="36" bestFit="1" customWidth="1"/>
    <col min="14856" max="14856" width="5.25" style="36" customWidth="1"/>
    <col min="14857" max="14857" width="26" style="36" customWidth="1"/>
    <col min="14858" max="14859" width="11.875" style="36" bestFit="1" customWidth="1"/>
    <col min="14860" max="15104" width="9" style="36"/>
    <col min="15105" max="15105" width="2.125" style="36" customWidth="1"/>
    <col min="15106" max="15106" width="41" style="36" customWidth="1"/>
    <col min="15107" max="15107" width="9.375" style="36" bestFit="1" customWidth="1"/>
    <col min="15108" max="15108" width="16.375" style="36" bestFit="1" customWidth="1"/>
    <col min="15109" max="15109" width="8.125" style="36" customWidth="1"/>
    <col min="15110" max="15110" width="42.875" style="36" customWidth="1"/>
    <col min="15111" max="15111" width="14" style="36" bestFit="1" customWidth="1"/>
    <col min="15112" max="15112" width="5.25" style="36" customWidth="1"/>
    <col min="15113" max="15113" width="26" style="36" customWidth="1"/>
    <col min="15114" max="15115" width="11.875" style="36" bestFit="1" customWidth="1"/>
    <col min="15116" max="15360" width="9" style="36"/>
    <col min="15361" max="15361" width="2.125" style="36" customWidth="1"/>
    <col min="15362" max="15362" width="41" style="36" customWidth="1"/>
    <col min="15363" max="15363" width="9.375" style="36" bestFit="1" customWidth="1"/>
    <col min="15364" max="15364" width="16.375" style="36" bestFit="1" customWidth="1"/>
    <col min="15365" max="15365" width="8.125" style="36" customWidth="1"/>
    <col min="15366" max="15366" width="42.875" style="36" customWidth="1"/>
    <col min="15367" max="15367" width="14" style="36" bestFit="1" customWidth="1"/>
    <col min="15368" max="15368" width="5.25" style="36" customWidth="1"/>
    <col min="15369" max="15369" width="26" style="36" customWidth="1"/>
    <col min="15370" max="15371" width="11.875" style="36" bestFit="1" customWidth="1"/>
    <col min="15372" max="15616" width="9" style="36"/>
    <col min="15617" max="15617" width="2.125" style="36" customWidth="1"/>
    <col min="15618" max="15618" width="41" style="36" customWidth="1"/>
    <col min="15619" max="15619" width="9.375" style="36" bestFit="1" customWidth="1"/>
    <col min="15620" max="15620" width="16.375" style="36" bestFit="1" customWidth="1"/>
    <col min="15621" max="15621" width="8.125" style="36" customWidth="1"/>
    <col min="15622" max="15622" width="42.875" style="36" customWidth="1"/>
    <col min="15623" max="15623" width="14" style="36" bestFit="1" customWidth="1"/>
    <col min="15624" max="15624" width="5.25" style="36" customWidth="1"/>
    <col min="15625" max="15625" width="26" style="36" customWidth="1"/>
    <col min="15626" max="15627" width="11.875" style="36" bestFit="1" customWidth="1"/>
    <col min="15628" max="15872" width="9" style="36"/>
    <col min="15873" max="15873" width="2.125" style="36" customWidth="1"/>
    <col min="15874" max="15874" width="41" style="36" customWidth="1"/>
    <col min="15875" max="15875" width="9.375" style="36" bestFit="1" customWidth="1"/>
    <col min="15876" max="15876" width="16.375" style="36" bestFit="1" customWidth="1"/>
    <col min="15877" max="15877" width="8.125" style="36" customWidth="1"/>
    <col min="15878" max="15878" width="42.875" style="36" customWidth="1"/>
    <col min="15879" max="15879" width="14" style="36" bestFit="1" customWidth="1"/>
    <col min="15880" max="15880" width="5.25" style="36" customWidth="1"/>
    <col min="15881" max="15881" width="26" style="36" customWidth="1"/>
    <col min="15882" max="15883" width="11.875" style="36" bestFit="1" customWidth="1"/>
    <col min="15884" max="16128" width="9" style="36"/>
    <col min="16129" max="16129" width="2.125" style="36" customWidth="1"/>
    <col min="16130" max="16130" width="41" style="36" customWidth="1"/>
    <col min="16131" max="16131" width="9.375" style="36" bestFit="1" customWidth="1"/>
    <col min="16132" max="16132" width="16.375" style="36" bestFit="1" customWidth="1"/>
    <col min="16133" max="16133" width="8.125" style="36" customWidth="1"/>
    <col min="16134" max="16134" width="42.875" style="36" customWidth="1"/>
    <col min="16135" max="16135" width="14" style="36" bestFit="1" customWidth="1"/>
    <col min="16136" max="16136" width="5.25" style="36" customWidth="1"/>
    <col min="16137" max="16137" width="26" style="36" customWidth="1"/>
    <col min="16138" max="16139" width="11.875" style="36" bestFit="1" customWidth="1"/>
    <col min="16140" max="16384" width="9" style="36"/>
  </cols>
  <sheetData>
    <row r="1" spans="1:11" s="73" customFormat="1" ht="17.25">
      <c r="A1" s="73" t="str">
        <f>+CONCATENATE("令和",MID([1]雨汚水!D1,3,1),"年度決算における消費税額チェック")</f>
        <v>令和５年度決算における消費税額チェック</v>
      </c>
    </row>
    <row r="3" spans="1:11" ht="15" customHeight="1">
      <c r="B3" s="36" t="s">
        <v>384</v>
      </c>
      <c r="D3" s="61">
        <f>+'[2]3条収入'!E69</f>
        <v>44454711283</v>
      </c>
      <c r="H3" s="72" t="s">
        <v>383</v>
      </c>
    </row>
    <row r="4" spans="1:11" ht="15" customHeight="1">
      <c r="B4" s="36" t="s">
        <v>382</v>
      </c>
      <c r="D4" s="61">
        <f>+'[2]3条収入'!AI69-'[2]3条収入'!AI54</f>
        <v>42570161569</v>
      </c>
      <c r="I4" s="71" t="s">
        <v>381</v>
      </c>
      <c r="J4" s="70" t="s">
        <v>380</v>
      </c>
      <c r="K4" s="70" t="s">
        <v>379</v>
      </c>
    </row>
    <row r="5" spans="1:11" ht="15" customHeight="1">
      <c r="B5" s="36" t="s">
        <v>378</v>
      </c>
      <c r="D5" s="36">
        <f>D3-D4</f>
        <v>1884549714</v>
      </c>
      <c r="E5" s="36" t="s">
        <v>377</v>
      </c>
      <c r="I5" s="69" t="s">
        <v>376</v>
      </c>
      <c r="J5" s="68">
        <f>'[2]3条収入'!AH69</f>
        <v>210253123</v>
      </c>
      <c r="K5" s="64"/>
    </row>
    <row r="6" spans="1:11" ht="15" customHeight="1">
      <c r="B6" s="36" t="s">
        <v>375</v>
      </c>
      <c r="D6" s="36">
        <f>SUM(J49:J51)</f>
        <v>0</v>
      </c>
      <c r="E6" s="36" t="s">
        <v>374</v>
      </c>
      <c r="I6" s="62" t="s">
        <v>373</v>
      </c>
      <c r="J6" s="67"/>
      <c r="K6" s="62"/>
    </row>
    <row r="7" spans="1:11" ht="15" customHeight="1">
      <c r="B7" s="36" t="s">
        <v>139</v>
      </c>
      <c r="D7" s="36">
        <f>D3-D4-D6</f>
        <v>1884549714</v>
      </c>
      <c r="E7" s="36" t="s">
        <v>372</v>
      </c>
      <c r="I7" s="62" t="s">
        <v>371</v>
      </c>
      <c r="J7" s="62"/>
      <c r="K7" s="62"/>
    </row>
    <row r="8" spans="1:11" ht="40.5">
      <c r="B8" s="36" t="s">
        <v>370</v>
      </c>
      <c r="D8" s="66">
        <f>+'[3]3条支出'!E41</f>
        <v>42643669657</v>
      </c>
      <c r="I8" s="652" t="s">
        <v>369</v>
      </c>
      <c r="J8" s="62">
        <f>D12-G12-(D13-G13)</f>
        <v>2233728</v>
      </c>
      <c r="K8" s="718"/>
    </row>
    <row r="9" spans="1:11" ht="15" customHeight="1">
      <c r="B9" s="36" t="s">
        <v>368</v>
      </c>
      <c r="D9" s="65">
        <f>+'[3]3条支出'!T41-[3]営外!T17-[3]営外!T18-[3]営外!$T$19</f>
        <v>41815647458</v>
      </c>
      <c r="I9" s="652" t="s">
        <v>1192</v>
      </c>
      <c r="J9" s="62">
        <f>-J77</f>
        <v>629</v>
      </c>
      <c r="K9" s="719"/>
    </row>
    <row r="10" spans="1:11" ht="15" customHeight="1">
      <c r="B10" s="36" t="s">
        <v>367</v>
      </c>
      <c r="D10" s="36">
        <f>D8-D9</f>
        <v>828022199</v>
      </c>
      <c r="E10" s="36" t="s">
        <v>297</v>
      </c>
      <c r="I10" s="652"/>
      <c r="J10" s="62"/>
      <c r="K10" s="720"/>
    </row>
    <row r="11" spans="1:11" ht="15" customHeight="1">
      <c r="B11" s="36" t="s">
        <v>366</v>
      </c>
      <c r="D11" s="36">
        <f>SUM(J63:J72)</f>
        <v>970163</v>
      </c>
      <c r="E11" s="36" t="s">
        <v>296</v>
      </c>
      <c r="I11" s="62" t="s">
        <v>365</v>
      </c>
      <c r="J11" s="64"/>
      <c r="K11" s="62">
        <f>-SUM(J73:J77)</f>
        <v>-1879936</v>
      </c>
    </row>
    <row r="12" spans="1:11" ht="15" customHeight="1">
      <c r="B12" s="36" t="s">
        <v>364</v>
      </c>
      <c r="D12" s="36">
        <f>D8-D9-D11</f>
        <v>827052036</v>
      </c>
      <c r="E12" s="36" t="s">
        <v>363</v>
      </c>
      <c r="F12" s="36" t="s">
        <v>362</v>
      </c>
      <c r="G12" s="36">
        <f>ROUNDDOWN(D12*G43/G44,0)</f>
        <v>824056879</v>
      </c>
      <c r="H12" s="36" t="s">
        <v>361</v>
      </c>
      <c r="I12" s="63" t="s">
        <v>85</v>
      </c>
      <c r="J12" s="62">
        <f>SUM(J5:J11)</f>
        <v>212487480</v>
      </c>
      <c r="K12" s="62">
        <f>SUM(K5:K11)</f>
        <v>-1879936</v>
      </c>
    </row>
    <row r="13" spans="1:11" ht="15" customHeight="1">
      <c r="B13" s="36" t="s">
        <v>360</v>
      </c>
      <c r="D13" s="61">
        <f>+'[2]3条収入'!AH69</f>
        <v>210253123</v>
      </c>
      <c r="E13" s="36" t="s">
        <v>359</v>
      </c>
      <c r="F13" s="36" t="s">
        <v>358</v>
      </c>
      <c r="G13" s="36">
        <f>ROUNDDOWN(D13*G43/G44,0)</f>
        <v>209491694</v>
      </c>
      <c r="H13" s="36" t="s">
        <v>357</v>
      </c>
      <c r="J13" s="60">
        <f>+SUM(J7:J9)</f>
        <v>2234357</v>
      </c>
      <c r="K13" s="59" t="str">
        <f>+IF(J13=[3]営外!T18+[3]営外!T19,"←営外シートR18と一致","←左の値を営外シートR18に直打ち入力すること")</f>
        <v>←左の値を営外シートR18に直打ち入力すること</v>
      </c>
    </row>
    <row r="14" spans="1:11" ht="15" customHeight="1">
      <c r="B14" s="38"/>
      <c r="F14" s="36" t="s">
        <v>356</v>
      </c>
      <c r="G14" s="36">
        <f>SUM(J68:J77)</f>
        <v>2850099</v>
      </c>
      <c r="H14" s="36" t="s">
        <v>355</v>
      </c>
      <c r="K14" s="59" t="s">
        <v>878</v>
      </c>
    </row>
    <row r="15" spans="1:11" ht="15" customHeight="1">
      <c r="F15" s="36" t="s">
        <v>354</v>
      </c>
      <c r="G15" s="36">
        <f>G12-G13+G14</f>
        <v>617415284</v>
      </c>
      <c r="H15" s="36" t="s">
        <v>353</v>
      </c>
    </row>
    <row r="16" spans="1:11" s="52" customFormat="1" ht="15" customHeight="1">
      <c r="B16" s="52" t="s">
        <v>352</v>
      </c>
      <c r="D16" s="52">
        <f>D7-G15</f>
        <v>1267134430</v>
      </c>
      <c r="E16" s="36" t="s">
        <v>351</v>
      </c>
      <c r="G16" s="36"/>
      <c r="H16" s="36"/>
    </row>
    <row r="17" spans="2:9" s="52" customFormat="1" ht="15" customHeight="1">
      <c r="G17" s="36"/>
      <c r="H17" s="36"/>
    </row>
    <row r="18" spans="2:9" s="52" customFormat="1" ht="15" customHeight="1">
      <c r="B18" s="36" t="s">
        <v>350</v>
      </c>
      <c r="C18" s="38"/>
      <c r="D18" s="57">
        <f>+'[4]4条収入'!E91</f>
        <v>42025205141</v>
      </c>
      <c r="E18" s="36"/>
      <c r="G18" s="36"/>
      <c r="H18" s="36"/>
    </row>
    <row r="19" spans="2:9" s="52" customFormat="1" ht="15" customHeight="1">
      <c r="B19" s="36" t="s">
        <v>349</v>
      </c>
      <c r="C19" s="38"/>
      <c r="D19" s="57">
        <f>+'[4]4条収入'!AI91</f>
        <v>42021596831</v>
      </c>
      <c r="E19" s="36"/>
      <c r="G19" s="36"/>
      <c r="H19" s="36"/>
    </row>
    <row r="20" spans="2:9" ht="15" customHeight="1">
      <c r="B20" s="36" t="s">
        <v>348</v>
      </c>
      <c r="D20" s="36">
        <f>D18-D19</f>
        <v>3608310</v>
      </c>
      <c r="E20" s="36" t="s">
        <v>347</v>
      </c>
      <c r="I20" s="36" t="s">
        <v>346</v>
      </c>
    </row>
    <row r="21" spans="2:9" ht="15" customHeight="1">
      <c r="B21" s="36" t="s">
        <v>345</v>
      </c>
      <c r="D21" s="58">
        <f>+'[5]4条支出'!E41</f>
        <v>61875977537</v>
      </c>
      <c r="I21" s="37">
        <f>D23-G23-(D24-G24)</f>
        <v>3370060</v>
      </c>
    </row>
    <row r="22" spans="2:9" ht="15" customHeight="1">
      <c r="B22" s="36" t="s">
        <v>344</v>
      </c>
      <c r="C22" s="38"/>
      <c r="D22" s="58">
        <f>+'[5]4条支出'!T41</f>
        <v>60396080350</v>
      </c>
    </row>
    <row r="23" spans="2:9" ht="15" customHeight="1">
      <c r="B23" s="36" t="s">
        <v>343</v>
      </c>
      <c r="D23" s="36">
        <f>D21-D22</f>
        <v>1479897187</v>
      </c>
      <c r="E23" s="36" t="s">
        <v>342</v>
      </c>
      <c r="F23" s="36" t="s">
        <v>341</v>
      </c>
      <c r="G23" s="36">
        <f>ROUNDDOWN(D23*G43/G44,0)</f>
        <v>1474537761</v>
      </c>
      <c r="H23" s="36" t="s">
        <v>340</v>
      </c>
    </row>
    <row r="24" spans="2:9" ht="15" customHeight="1">
      <c r="B24" s="36" t="s">
        <v>339</v>
      </c>
      <c r="C24" s="38"/>
      <c r="D24" s="57">
        <f>+'[4]4条収入'!AH91</f>
        <v>549323121</v>
      </c>
      <c r="E24" s="36" t="s">
        <v>338</v>
      </c>
      <c r="F24" s="36" t="s">
        <v>337</v>
      </c>
      <c r="G24" s="36">
        <f>ROUNDDOWN(D24*G43/G44,0)</f>
        <v>547333755</v>
      </c>
      <c r="H24" s="36" t="s">
        <v>336</v>
      </c>
    </row>
    <row r="25" spans="2:9" ht="15" customHeight="1">
      <c r="C25" s="38"/>
      <c r="F25" s="36" t="s">
        <v>335</v>
      </c>
      <c r="G25" s="36">
        <f>G23-G24</f>
        <v>927204006</v>
      </c>
      <c r="H25" s="36" t="s">
        <v>334</v>
      </c>
    </row>
    <row r="26" spans="2:9" ht="15" customHeight="1">
      <c r="B26" s="52" t="s">
        <v>333</v>
      </c>
      <c r="C26" s="52"/>
      <c r="D26" s="52">
        <f>D20-G25</f>
        <v>-923595696</v>
      </c>
      <c r="E26" s="36" t="s">
        <v>332</v>
      </c>
    </row>
    <row r="27" spans="2:9" ht="15" customHeight="1"/>
    <row r="28" spans="2:9" s="52" customFormat="1" ht="15" customHeight="1">
      <c r="B28" s="52" t="s">
        <v>331</v>
      </c>
      <c r="D28" s="52">
        <f>D16+D26</f>
        <v>343538734</v>
      </c>
      <c r="E28" s="52" t="s">
        <v>330</v>
      </c>
      <c r="G28" s="36"/>
      <c r="H28" s="36"/>
    </row>
    <row r="29" spans="2:9">
      <c r="B29" s="36" t="s">
        <v>329</v>
      </c>
      <c r="D29" s="56">
        <f>+'[6](繰)3条支出 '!G22</f>
        <v>0</v>
      </c>
    </row>
    <row r="30" spans="2:9" s="52" customFormat="1">
      <c r="B30" s="52" t="s">
        <v>328</v>
      </c>
      <c r="D30" s="52">
        <f>D28-D29</f>
        <v>343538734</v>
      </c>
    </row>
    <row r="31" spans="2:9" ht="14.25" thickBot="1">
      <c r="B31" s="38"/>
      <c r="C31" s="38"/>
    </row>
    <row r="32" spans="2:9">
      <c r="B32" s="38"/>
      <c r="C32" s="38"/>
      <c r="F32" s="55"/>
      <c r="G32" s="54"/>
      <c r="H32" s="40"/>
    </row>
    <row r="33" spans="3:11">
      <c r="D33" s="485"/>
      <c r="E33" s="38"/>
      <c r="F33" s="50" t="s">
        <v>327</v>
      </c>
      <c r="G33" s="49">
        <f>+'[2]3条収入'!K69</f>
        <v>20730055582</v>
      </c>
      <c r="H33" s="40"/>
    </row>
    <row r="34" spans="3:11">
      <c r="F34" s="50" t="s">
        <v>326</v>
      </c>
      <c r="G34" s="45">
        <f>D5</f>
        <v>1884549714</v>
      </c>
      <c r="H34" s="40"/>
    </row>
    <row r="35" spans="3:11">
      <c r="C35" s="38" t="s">
        <v>826</v>
      </c>
      <c r="D35" s="53">
        <f>+'(申)計'!T146+'(申)計'!T154+'(申)計'!T159</f>
        <v>343538600</v>
      </c>
      <c r="F35" s="50" t="s">
        <v>325</v>
      </c>
      <c r="G35" s="45">
        <f>SUM(I49:I58)</f>
        <v>9708919</v>
      </c>
      <c r="H35" s="40"/>
    </row>
    <row r="36" spans="3:11">
      <c r="C36" s="38" t="s">
        <v>324</v>
      </c>
      <c r="D36" s="52">
        <f>D28-D35</f>
        <v>134</v>
      </c>
      <c r="F36" s="50" t="s">
        <v>323</v>
      </c>
      <c r="G36" s="49">
        <f>+'[2]3条収入'!L69</f>
        <v>22644840</v>
      </c>
      <c r="H36" s="40"/>
    </row>
    <row r="37" spans="3:11">
      <c r="F37" s="50" t="s">
        <v>322</v>
      </c>
      <c r="G37" s="51">
        <f>+'[4]4条収入'!K91</f>
        <v>39691410</v>
      </c>
      <c r="H37" s="40"/>
    </row>
    <row r="38" spans="3:11">
      <c r="F38" s="50" t="s">
        <v>321</v>
      </c>
      <c r="G38" s="45">
        <f>D20</f>
        <v>3608310</v>
      </c>
      <c r="H38" s="40"/>
    </row>
    <row r="39" spans="3:11">
      <c r="F39" s="50" t="s">
        <v>320</v>
      </c>
      <c r="G39" s="51">
        <f>+'[4]4条収入'!L91</f>
        <v>45948113</v>
      </c>
      <c r="H39" s="40"/>
    </row>
    <row r="40" spans="3:11">
      <c r="F40" s="50" t="s">
        <v>319</v>
      </c>
      <c r="G40" s="49">
        <f>+'[2]3条収入'!M69</f>
        <v>86860</v>
      </c>
      <c r="H40" s="40"/>
    </row>
    <row r="41" spans="3:11">
      <c r="F41" s="48" t="s">
        <v>318</v>
      </c>
      <c r="G41" s="47">
        <f>ROUNDDOWN((G33-G34-G35+G37-G38)/(G33-G34-G35+G36+G37-G38+G39),4)</f>
        <v>0.99629999999999996</v>
      </c>
      <c r="H41" s="46"/>
    </row>
    <row r="42" spans="3:11">
      <c r="F42" s="40"/>
      <c r="G42" s="45"/>
      <c r="H42" s="40"/>
    </row>
    <row r="43" spans="3:11">
      <c r="F43" s="44" t="s">
        <v>317</v>
      </c>
      <c r="G43" s="43">
        <f>(G33-G34-G35)+(G37-G38)+G40</f>
        <v>18871966909</v>
      </c>
      <c r="H43" s="40"/>
    </row>
    <row r="44" spans="3:11" ht="14.25" thickBot="1">
      <c r="F44" s="42" t="s">
        <v>316</v>
      </c>
      <c r="G44" s="41">
        <f>(G33-G34-G35+G36)+(G37-G38+G39)+G40</f>
        <v>18940559862</v>
      </c>
      <c r="H44" s="40"/>
    </row>
    <row r="48" spans="3:11">
      <c r="F48" s="38" t="s">
        <v>315</v>
      </c>
      <c r="G48" s="37" t="s">
        <v>313</v>
      </c>
      <c r="I48" s="37" t="s">
        <v>312</v>
      </c>
      <c r="J48" s="37" t="s">
        <v>311</v>
      </c>
      <c r="K48" s="37"/>
    </row>
    <row r="49" spans="6:10">
      <c r="F49" s="38" t="s">
        <v>310</v>
      </c>
      <c r="G49" s="39">
        <f>+対価返還!BC3</f>
        <v>0</v>
      </c>
      <c r="H49" s="37" t="s">
        <v>302</v>
      </c>
      <c r="I49" s="39">
        <f>+対価返還!BM3</f>
        <v>0</v>
      </c>
      <c r="J49" s="36">
        <f t="shared" ref="J49:J56" si="0">+G49-I49</f>
        <v>0</v>
      </c>
    </row>
    <row r="50" spans="6:10">
      <c r="F50" s="38" t="s">
        <v>309</v>
      </c>
      <c r="G50" s="39">
        <f>+対価返還!BC4</f>
        <v>0</v>
      </c>
      <c r="H50" s="37" t="s">
        <v>302</v>
      </c>
      <c r="I50" s="39">
        <f>+対価返還!BM4</f>
        <v>0</v>
      </c>
      <c r="J50" s="36">
        <f t="shared" si="0"/>
        <v>0</v>
      </c>
    </row>
    <row r="51" spans="6:10">
      <c r="F51" s="38" t="s">
        <v>308</v>
      </c>
      <c r="G51" s="39">
        <f>+対価返還!BC5</f>
        <v>0</v>
      </c>
      <c r="H51" s="37" t="s">
        <v>302</v>
      </c>
      <c r="I51" s="39">
        <f>+対価返還!BM5</f>
        <v>0</v>
      </c>
      <c r="J51" s="36">
        <f t="shared" si="0"/>
        <v>0</v>
      </c>
    </row>
    <row r="52" spans="6:10">
      <c r="F52" s="38" t="s">
        <v>824</v>
      </c>
      <c r="G52" s="39">
        <f>+対価返還!BC6</f>
        <v>0</v>
      </c>
      <c r="H52" s="37" t="s">
        <v>300</v>
      </c>
      <c r="I52" s="39">
        <f>+対価返還!BM6</f>
        <v>0</v>
      </c>
      <c r="J52" s="36">
        <f t="shared" ref="J52" si="1">+G52-I52</f>
        <v>0</v>
      </c>
    </row>
    <row r="53" spans="6:10">
      <c r="F53" s="38" t="s">
        <v>444</v>
      </c>
      <c r="G53" s="39">
        <f>+対価返還!BC7</f>
        <v>0</v>
      </c>
      <c r="H53" s="37" t="s">
        <v>300</v>
      </c>
      <c r="I53" s="39">
        <f>+対価返還!BM7</f>
        <v>0</v>
      </c>
      <c r="J53" s="36">
        <f t="shared" ref="J53" si="2">+G53-I53</f>
        <v>0</v>
      </c>
    </row>
    <row r="54" spans="6:10">
      <c r="F54" s="38" t="s">
        <v>307</v>
      </c>
      <c r="G54" s="39">
        <f>+対価返還!BC9</f>
        <v>0</v>
      </c>
      <c r="H54" s="37" t="s">
        <v>302</v>
      </c>
      <c r="I54" s="39">
        <f>+対価返還!BM9</f>
        <v>0</v>
      </c>
      <c r="J54" s="36">
        <f t="shared" si="0"/>
        <v>0</v>
      </c>
    </row>
    <row r="55" spans="6:10">
      <c r="F55" s="38" t="s">
        <v>306</v>
      </c>
      <c r="G55" s="39">
        <f>+対価返還!BC10</f>
        <v>0</v>
      </c>
      <c r="H55" s="37" t="s">
        <v>302</v>
      </c>
      <c r="I55" s="39">
        <f>+対価返還!BM10</f>
        <v>0</v>
      </c>
      <c r="J55" s="36">
        <f t="shared" si="0"/>
        <v>0</v>
      </c>
    </row>
    <row r="56" spans="6:10">
      <c r="F56" s="38" t="s">
        <v>305</v>
      </c>
      <c r="G56" s="39">
        <f>+対価返還!BC11</f>
        <v>39339</v>
      </c>
      <c r="H56" s="37" t="s">
        <v>302</v>
      </c>
      <c r="I56" s="39">
        <f>+対価返還!BM11</f>
        <v>36425</v>
      </c>
      <c r="J56" s="36">
        <f t="shared" si="0"/>
        <v>2914</v>
      </c>
    </row>
    <row r="57" spans="6:10">
      <c r="F57" s="38" t="s">
        <v>825</v>
      </c>
      <c r="G57" s="39">
        <f>+対価返還!BC12</f>
        <v>0</v>
      </c>
      <c r="H57" s="37" t="s">
        <v>300</v>
      </c>
      <c r="I57" s="39">
        <f>+対価返還!BM12</f>
        <v>0</v>
      </c>
      <c r="J57" s="36">
        <f t="shared" ref="J57" si="3">+G57-I57</f>
        <v>0</v>
      </c>
    </row>
    <row r="58" spans="6:10">
      <c r="F58" s="38" t="s">
        <v>822</v>
      </c>
      <c r="G58" s="39">
        <f>+対価返還!BC13</f>
        <v>10639743</v>
      </c>
      <c r="H58" s="37" t="s">
        <v>300</v>
      </c>
      <c r="I58" s="39">
        <f>+対価返還!BM13</f>
        <v>9672494</v>
      </c>
      <c r="J58" s="36">
        <f t="shared" ref="J58" si="4">+G58-I58</f>
        <v>967249</v>
      </c>
    </row>
    <row r="59" spans="6:10">
      <c r="J59" s="36">
        <f>SUM(J49:J58)</f>
        <v>970163</v>
      </c>
    </row>
    <row r="62" spans="6:10">
      <c r="F62" s="38" t="s">
        <v>314</v>
      </c>
      <c r="G62" s="37" t="s">
        <v>313</v>
      </c>
      <c r="I62" s="37" t="s">
        <v>312</v>
      </c>
      <c r="J62" s="37" t="s">
        <v>311</v>
      </c>
    </row>
    <row r="63" spans="6:10">
      <c r="F63" s="38" t="s">
        <v>310</v>
      </c>
      <c r="G63" s="36">
        <f t="shared" ref="G63:G72" si="5">G49</f>
        <v>0</v>
      </c>
      <c r="H63" s="37" t="s">
        <v>302</v>
      </c>
      <c r="J63" s="36">
        <f t="shared" ref="J63:J72" si="6">J49</f>
        <v>0</v>
      </c>
    </row>
    <row r="64" spans="6:10">
      <c r="F64" s="38" t="s">
        <v>309</v>
      </c>
      <c r="G64" s="36">
        <f t="shared" si="5"/>
        <v>0</v>
      </c>
      <c r="H64" s="37" t="s">
        <v>302</v>
      </c>
      <c r="J64" s="36">
        <f t="shared" si="6"/>
        <v>0</v>
      </c>
    </row>
    <row r="65" spans="6:10">
      <c r="F65" s="38" t="s">
        <v>308</v>
      </c>
      <c r="G65" s="36">
        <f t="shared" si="5"/>
        <v>0</v>
      </c>
      <c r="H65" s="37" t="s">
        <v>302</v>
      </c>
      <c r="J65" s="36">
        <f t="shared" si="6"/>
        <v>0</v>
      </c>
    </row>
    <row r="66" spans="6:10">
      <c r="F66" s="38" t="s">
        <v>824</v>
      </c>
      <c r="G66" s="36">
        <f t="shared" si="5"/>
        <v>0</v>
      </c>
      <c r="H66" s="37" t="s">
        <v>300</v>
      </c>
      <c r="J66" s="36">
        <f t="shared" si="6"/>
        <v>0</v>
      </c>
    </row>
    <row r="67" spans="6:10">
      <c r="F67" s="38" t="s">
        <v>444</v>
      </c>
      <c r="G67" s="36">
        <f t="shared" si="5"/>
        <v>0</v>
      </c>
      <c r="H67" s="37" t="s">
        <v>300</v>
      </c>
      <c r="J67" s="36">
        <f t="shared" si="6"/>
        <v>0</v>
      </c>
    </row>
    <row r="68" spans="6:10">
      <c r="F68" s="38" t="s">
        <v>307</v>
      </c>
      <c r="G68" s="36">
        <f t="shared" si="5"/>
        <v>0</v>
      </c>
      <c r="H68" s="37" t="s">
        <v>302</v>
      </c>
      <c r="J68" s="36">
        <f t="shared" si="6"/>
        <v>0</v>
      </c>
    </row>
    <row r="69" spans="6:10">
      <c r="F69" s="38" t="s">
        <v>306</v>
      </c>
      <c r="G69" s="36">
        <f t="shared" si="5"/>
        <v>0</v>
      </c>
      <c r="H69" s="37" t="s">
        <v>302</v>
      </c>
      <c r="J69" s="36">
        <f t="shared" si="6"/>
        <v>0</v>
      </c>
    </row>
    <row r="70" spans="6:10">
      <c r="F70" s="38" t="s">
        <v>305</v>
      </c>
      <c r="G70" s="36">
        <f t="shared" si="5"/>
        <v>39339</v>
      </c>
      <c r="H70" s="37" t="s">
        <v>302</v>
      </c>
      <c r="J70" s="36">
        <f t="shared" si="6"/>
        <v>2914</v>
      </c>
    </row>
    <row r="71" spans="6:10">
      <c r="F71" s="38" t="s">
        <v>825</v>
      </c>
      <c r="G71" s="36">
        <f t="shared" si="5"/>
        <v>0</v>
      </c>
      <c r="H71" s="37" t="s">
        <v>300</v>
      </c>
      <c r="J71" s="36">
        <f t="shared" si="6"/>
        <v>0</v>
      </c>
    </row>
    <row r="72" spans="6:10">
      <c r="F72" s="38" t="s">
        <v>822</v>
      </c>
      <c r="G72" s="36">
        <f t="shared" si="5"/>
        <v>10639743</v>
      </c>
      <c r="H72" s="37" t="s">
        <v>300</v>
      </c>
      <c r="J72" s="36">
        <f t="shared" si="6"/>
        <v>967249</v>
      </c>
    </row>
    <row r="73" spans="6:10">
      <c r="F73" s="38" t="s">
        <v>304</v>
      </c>
      <c r="G73" s="39">
        <f>基礎数値!D17</f>
        <v>0</v>
      </c>
      <c r="H73" s="37" t="s">
        <v>302</v>
      </c>
      <c r="J73" s="36">
        <f>ROUNDDOWN(G73*3/103,0)</f>
        <v>0</v>
      </c>
    </row>
    <row r="74" spans="6:10">
      <c r="F74" s="38" t="s">
        <v>303</v>
      </c>
      <c r="G74" s="39">
        <f>基礎数値!E17</f>
        <v>1120996</v>
      </c>
      <c r="H74" s="37" t="s">
        <v>302</v>
      </c>
      <c r="J74" s="36">
        <f>ROUNDDOWN(G74*5/105,0)</f>
        <v>53380</v>
      </c>
    </row>
    <row r="75" spans="6:10">
      <c r="F75" s="38" t="s">
        <v>301</v>
      </c>
      <c r="G75" s="39">
        <f>基礎数値!F17</f>
        <v>24667001</v>
      </c>
      <c r="H75" s="37" t="s">
        <v>300</v>
      </c>
      <c r="J75" s="36">
        <f>ROUNDDOWN(G75*8/108,0)</f>
        <v>1827185</v>
      </c>
    </row>
    <row r="76" spans="6:10">
      <c r="F76" s="38" t="s">
        <v>823</v>
      </c>
      <c r="G76" s="39">
        <f>基礎数値!H17</f>
        <v>0</v>
      </c>
      <c r="H76" s="37" t="s">
        <v>300</v>
      </c>
      <c r="J76" s="36">
        <f>ROUNDDOWN(G76*10/110,0)</f>
        <v>0</v>
      </c>
    </row>
    <row r="77" spans="6:10">
      <c r="F77" s="38" t="s">
        <v>1190</v>
      </c>
      <c r="G77" s="39">
        <f>基礎数値!H16*-1</f>
        <v>-34600</v>
      </c>
      <c r="H77" s="37" t="s">
        <v>300</v>
      </c>
      <c r="J77" s="36">
        <f>ROUNDDOWN(G77*0.2*10/110,0)</f>
        <v>-629</v>
      </c>
    </row>
    <row r="78" spans="6:10">
      <c r="H78" s="37" t="s">
        <v>85</v>
      </c>
      <c r="J78" s="36">
        <f>SUM(J63:J77)</f>
        <v>2850099</v>
      </c>
    </row>
  </sheetData>
  <mergeCells count="1">
    <mergeCell ref="K8:K10"/>
  </mergeCells>
  <phoneticPr fontId="4"/>
  <pageMargins left="0.98425196850393704" right="0.39370078740157483" top="0.78740157480314965" bottom="0.59055118110236227" header="0.51181102362204722" footer="0.51181102362204722"/>
  <pageSetup paperSize="8" scale="73" orientation="landscape"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BT341"/>
  <sheetViews>
    <sheetView topLeftCell="A5" zoomScale="70" zoomScaleNormal="70" zoomScaleSheetLayoutView="85" workbookViewId="0">
      <selection activeCell="BC13" activeCellId="1" sqref="BC11 BC13"/>
    </sheetView>
  </sheetViews>
  <sheetFormatPr defaultColWidth="9" defaultRowHeight="13.5" outlineLevelCol="1"/>
  <cols>
    <col min="1" max="1" width="3.375" style="74" customWidth="1"/>
    <col min="2" max="4" width="9" style="74" hidden="1" customWidth="1" outlineLevel="1"/>
    <col min="5" max="5" width="4.375" style="74" customWidth="1" collapsed="1"/>
    <col min="6" max="7" width="9" style="74" hidden="1" customWidth="1" outlineLevel="1"/>
    <col min="8" max="8" width="45.125" style="74" customWidth="1" collapsed="1"/>
    <col min="9" max="13" width="9" style="74" hidden="1" customWidth="1" outlineLevel="1"/>
    <col min="14" max="15" width="4.125" style="74" hidden="1" customWidth="1" outlineLevel="1"/>
    <col min="16" max="16" width="4.125" style="74" customWidth="1" collapsed="1"/>
    <col min="17" max="17" width="9" style="74"/>
    <col min="18" max="18" width="16.625" style="74" customWidth="1"/>
    <col min="19" max="19" width="9" style="74"/>
    <col min="20" max="24" width="9" style="74" hidden="1" customWidth="1" outlineLevel="1"/>
    <col min="25" max="25" width="13.75" style="74" customWidth="1" collapsed="1"/>
    <col min="26" max="26" width="9" style="74" hidden="1" customWidth="1" outlineLevel="1"/>
    <col min="27" max="27" width="15.125" style="74" hidden="1" customWidth="1" outlineLevel="1"/>
    <col min="28" max="29" width="9" style="74" hidden="1" customWidth="1" outlineLevel="1"/>
    <col min="30" max="30" width="20.875" style="74" hidden="1" customWidth="1" outlineLevel="1"/>
    <col min="31" max="44" width="9" style="74" hidden="1" customWidth="1" outlineLevel="1"/>
    <col min="45" max="45" width="9" style="74" collapsed="1"/>
    <col min="46" max="46" width="9" style="74"/>
    <col min="47" max="47" width="2.125" style="74" customWidth="1"/>
    <col min="48" max="56" width="10.625" style="504" customWidth="1"/>
    <col min="57" max="57" width="4" style="504" customWidth="1"/>
    <col min="58" max="66" width="10.625" style="504" customWidth="1"/>
    <col min="67" max="67" width="10.25" style="505" bestFit="1" customWidth="1"/>
    <col min="68" max="16384" width="9" style="74"/>
  </cols>
  <sheetData>
    <row r="1" spans="1:67">
      <c r="AV1" s="721" t="s">
        <v>767</v>
      </c>
      <c r="AW1" s="721"/>
      <c r="AX1" s="721"/>
      <c r="AY1" s="721"/>
      <c r="AZ1" s="721" t="s">
        <v>436</v>
      </c>
      <c r="BA1" s="721"/>
      <c r="BB1" s="721"/>
      <c r="BC1" s="721" t="s">
        <v>435</v>
      </c>
      <c r="BD1" s="721" t="s">
        <v>437</v>
      </c>
      <c r="BE1" s="502"/>
      <c r="BF1" s="721" t="s">
        <v>785</v>
      </c>
      <c r="BG1" s="721"/>
      <c r="BH1" s="721"/>
      <c r="BI1" s="721"/>
      <c r="BJ1" s="721" t="s">
        <v>786</v>
      </c>
      <c r="BK1" s="721"/>
      <c r="BL1" s="721"/>
      <c r="BM1" s="721" t="s">
        <v>435</v>
      </c>
      <c r="BN1" s="721" t="s">
        <v>434</v>
      </c>
      <c r="BO1" s="75"/>
    </row>
    <row r="2" spans="1:67">
      <c r="AV2" s="502" t="s">
        <v>389</v>
      </c>
      <c r="AW2" s="502" t="s">
        <v>388</v>
      </c>
      <c r="AX2" s="502" t="s">
        <v>768</v>
      </c>
      <c r="AY2" s="502" t="s">
        <v>385</v>
      </c>
      <c r="AZ2" s="502" t="s">
        <v>387</v>
      </c>
      <c r="BA2" s="502" t="s">
        <v>386</v>
      </c>
      <c r="BB2" s="502" t="s">
        <v>385</v>
      </c>
      <c r="BC2" s="721"/>
      <c r="BD2" s="721"/>
      <c r="BE2" s="502"/>
      <c r="BF2" s="502" t="s">
        <v>389</v>
      </c>
      <c r="BG2" s="502" t="s">
        <v>388</v>
      </c>
      <c r="BH2" s="502" t="s">
        <v>1189</v>
      </c>
      <c r="BI2" s="502" t="s">
        <v>385</v>
      </c>
      <c r="BJ2" s="502" t="s">
        <v>387</v>
      </c>
      <c r="BK2" s="502" t="s">
        <v>386</v>
      </c>
      <c r="BL2" s="502" t="s">
        <v>385</v>
      </c>
      <c r="BM2" s="721"/>
      <c r="BN2" s="721"/>
      <c r="BO2" s="75"/>
    </row>
    <row r="3" spans="1:67">
      <c r="AS3" s="88" t="s">
        <v>310</v>
      </c>
      <c r="AT3" s="74">
        <v>3</v>
      </c>
      <c r="AV3" s="87">
        <f t="shared" ref="AV3:BD5" si="0">+SUMIFS(AV$18:AV$296,$P$18:$P$296,"営業外収益",$AT$18:$AT$296,$AT3)+SUMIFS(AV$18:AV$296,$P$18:$P$296,"特別利益",$AT$18:$AT$296,$AT3)</f>
        <v>0</v>
      </c>
      <c r="AW3" s="87">
        <f t="shared" si="0"/>
        <v>0</v>
      </c>
      <c r="AX3" s="87">
        <f t="shared" si="0"/>
        <v>0</v>
      </c>
      <c r="AY3" s="87">
        <f t="shared" si="0"/>
        <v>0</v>
      </c>
      <c r="AZ3" s="87">
        <f t="shared" si="0"/>
        <v>0</v>
      </c>
      <c r="BA3" s="87">
        <f t="shared" si="0"/>
        <v>0</v>
      </c>
      <c r="BB3" s="87">
        <f t="shared" si="0"/>
        <v>0</v>
      </c>
      <c r="BC3" s="87">
        <f t="shared" si="0"/>
        <v>0</v>
      </c>
      <c r="BD3" s="87">
        <f t="shared" si="0"/>
        <v>0</v>
      </c>
      <c r="BE3" s="87"/>
      <c r="BF3" s="75">
        <f t="shared" ref="BF3:BH7" si="1">+IFERROR(ROUNDUP(AV3*100/(100+$AT3),0),AV3)</f>
        <v>0</v>
      </c>
      <c r="BG3" s="75">
        <f t="shared" si="1"/>
        <v>0</v>
      </c>
      <c r="BH3" s="75">
        <f t="shared" si="1"/>
        <v>0</v>
      </c>
      <c r="BI3" s="75">
        <f>SUM(BF3:BH3)</f>
        <v>0</v>
      </c>
      <c r="BJ3" s="75">
        <f t="shared" ref="BJ3:BK7" si="2">+IFERROR(ROUNDUP(AZ3*100/(100+$AT3),0),AZ3)</f>
        <v>0</v>
      </c>
      <c r="BK3" s="75">
        <f t="shared" si="2"/>
        <v>0</v>
      </c>
      <c r="BL3" s="75">
        <f>SUM(BJ3:BK3)</f>
        <v>0</v>
      </c>
      <c r="BM3" s="75">
        <f>+BI3+BL3</f>
        <v>0</v>
      </c>
      <c r="BN3" s="75"/>
      <c r="BO3" s="75">
        <f t="shared" ref="BO3:BO14" si="3">+BC3-BM3</f>
        <v>0</v>
      </c>
    </row>
    <row r="4" spans="1:67">
      <c r="AS4" s="88" t="s">
        <v>309</v>
      </c>
      <c r="AT4" s="74">
        <v>5</v>
      </c>
      <c r="AV4" s="87">
        <f t="shared" si="0"/>
        <v>0</v>
      </c>
      <c r="AW4" s="87">
        <f t="shared" si="0"/>
        <v>0</v>
      </c>
      <c r="AX4" s="87">
        <f t="shared" si="0"/>
        <v>0</v>
      </c>
      <c r="AY4" s="87">
        <f t="shared" si="0"/>
        <v>0</v>
      </c>
      <c r="AZ4" s="87">
        <f t="shared" si="0"/>
        <v>0</v>
      </c>
      <c r="BA4" s="87">
        <f t="shared" si="0"/>
        <v>0</v>
      </c>
      <c r="BB4" s="87">
        <f t="shared" si="0"/>
        <v>0</v>
      </c>
      <c r="BC4" s="87">
        <f t="shared" si="0"/>
        <v>0</v>
      </c>
      <c r="BD4" s="87">
        <f t="shared" si="0"/>
        <v>0</v>
      </c>
      <c r="BE4" s="87"/>
      <c r="BF4" s="75">
        <f t="shared" si="1"/>
        <v>0</v>
      </c>
      <c r="BG4" s="75">
        <f t="shared" si="1"/>
        <v>0</v>
      </c>
      <c r="BH4" s="75">
        <f t="shared" si="1"/>
        <v>0</v>
      </c>
      <c r="BI4" s="75">
        <f>SUM(BF4:BH4)</f>
        <v>0</v>
      </c>
      <c r="BJ4" s="75">
        <f t="shared" si="2"/>
        <v>0</v>
      </c>
      <c r="BK4" s="75">
        <f t="shared" si="2"/>
        <v>0</v>
      </c>
      <c r="BL4" s="75">
        <f>SUM(BJ4:BK4)</f>
        <v>0</v>
      </c>
      <c r="BM4" s="75">
        <f t="shared" ref="BM4:BM7" si="4">+BI4+BL4</f>
        <v>0</v>
      </c>
      <c r="BN4" s="75"/>
      <c r="BO4" s="75">
        <f t="shared" si="3"/>
        <v>0</v>
      </c>
    </row>
    <row r="5" spans="1:67">
      <c r="AS5" s="88" t="s">
        <v>308</v>
      </c>
      <c r="AT5" s="74">
        <v>8</v>
      </c>
      <c r="AV5" s="87">
        <f t="shared" si="0"/>
        <v>0</v>
      </c>
      <c r="AW5" s="87">
        <f t="shared" si="0"/>
        <v>0</v>
      </c>
      <c r="AX5" s="87">
        <f t="shared" si="0"/>
        <v>0</v>
      </c>
      <c r="AY5" s="87">
        <f t="shared" si="0"/>
        <v>0</v>
      </c>
      <c r="AZ5" s="87">
        <f t="shared" si="0"/>
        <v>0</v>
      </c>
      <c r="BA5" s="87">
        <f t="shared" si="0"/>
        <v>0</v>
      </c>
      <c r="BB5" s="87">
        <f t="shared" si="0"/>
        <v>0</v>
      </c>
      <c r="BC5" s="87">
        <f t="shared" si="0"/>
        <v>0</v>
      </c>
      <c r="BD5" s="87">
        <f t="shared" si="0"/>
        <v>0</v>
      </c>
      <c r="BE5" s="87"/>
      <c r="BF5" s="75">
        <f t="shared" si="1"/>
        <v>0</v>
      </c>
      <c r="BG5" s="75">
        <f t="shared" si="1"/>
        <v>0</v>
      </c>
      <c r="BH5" s="75">
        <f t="shared" si="1"/>
        <v>0</v>
      </c>
      <c r="BI5" s="75">
        <f>SUM(BF5:BH5)</f>
        <v>0</v>
      </c>
      <c r="BJ5" s="75">
        <f t="shared" si="2"/>
        <v>0</v>
      </c>
      <c r="BK5" s="75">
        <f t="shared" si="2"/>
        <v>0</v>
      </c>
      <c r="BL5" s="75">
        <f>SUM(BJ5:BK5)</f>
        <v>0</v>
      </c>
      <c r="BM5" s="75">
        <f t="shared" si="4"/>
        <v>0</v>
      </c>
      <c r="BN5" s="75"/>
      <c r="BO5" s="75">
        <f t="shared" si="3"/>
        <v>0</v>
      </c>
    </row>
    <row r="6" spans="1:67">
      <c r="AQ6" s="477"/>
      <c r="AR6" s="477"/>
      <c r="AS6" s="478" t="s">
        <v>796</v>
      </c>
      <c r="AT6" s="479">
        <v>8</v>
      </c>
      <c r="AV6" s="480">
        <f t="shared" ref="AV6:BD6" si="5">+SUMIFS(AV$18:AV$296,$P$18:$P$296,"営業外収益",$AS$18:$AS$296,81)+SUMIFS(AV$18:AV$296,$P$18:$P$296,"特別利益",$AS$18:$AS$296,81)</f>
        <v>0</v>
      </c>
      <c r="AW6" s="480">
        <f t="shared" si="5"/>
        <v>0</v>
      </c>
      <c r="AX6" s="480">
        <f t="shared" si="5"/>
        <v>0</v>
      </c>
      <c r="AY6" s="480">
        <f t="shared" si="5"/>
        <v>0</v>
      </c>
      <c r="AZ6" s="480">
        <f t="shared" si="5"/>
        <v>0</v>
      </c>
      <c r="BA6" s="480">
        <f t="shared" si="5"/>
        <v>0</v>
      </c>
      <c r="BB6" s="480">
        <f t="shared" si="5"/>
        <v>0</v>
      </c>
      <c r="BC6" s="480">
        <f t="shared" si="5"/>
        <v>0</v>
      </c>
      <c r="BD6" s="480">
        <f t="shared" si="5"/>
        <v>0</v>
      </c>
      <c r="BE6" s="87"/>
      <c r="BF6" s="481">
        <f>+IFERROR(ROUNDUP(AV6*100/(100+$AT6),0),AV6)</f>
        <v>0</v>
      </c>
      <c r="BG6" s="481">
        <f t="shared" si="1"/>
        <v>0</v>
      </c>
      <c r="BH6" s="481">
        <f t="shared" si="1"/>
        <v>0</v>
      </c>
      <c r="BI6" s="481">
        <f>SUM(BF6:BH6)</f>
        <v>0</v>
      </c>
      <c r="BJ6" s="481">
        <f t="shared" si="2"/>
        <v>0</v>
      </c>
      <c r="BK6" s="481">
        <f t="shared" si="2"/>
        <v>0</v>
      </c>
      <c r="BL6" s="481">
        <f>SUM(BJ6:BK6)</f>
        <v>0</v>
      </c>
      <c r="BM6" s="481">
        <f t="shared" si="4"/>
        <v>0</v>
      </c>
      <c r="BN6" s="481"/>
      <c r="BO6" s="481">
        <f t="shared" si="3"/>
        <v>0</v>
      </c>
    </row>
    <row r="7" spans="1:67">
      <c r="AS7" s="88" t="s">
        <v>444</v>
      </c>
      <c r="AT7" s="74">
        <v>10</v>
      </c>
      <c r="AV7" s="87">
        <f t="shared" ref="AV7:BD7" si="6">+SUMIFS(AV$18:AV$296,$P$18:$P$296,"営業外収益",$AT$18:$AT$296,$AT7)+SUMIFS(AV$18:AV$296,$P$18:$P$296,"特別利益",$AT$18:$AT$296,$AT7)</f>
        <v>0</v>
      </c>
      <c r="AW7" s="87">
        <f t="shared" si="6"/>
        <v>0</v>
      </c>
      <c r="AX7" s="87">
        <f t="shared" si="6"/>
        <v>0</v>
      </c>
      <c r="AY7" s="87">
        <f t="shared" si="6"/>
        <v>0</v>
      </c>
      <c r="AZ7" s="87">
        <f t="shared" si="6"/>
        <v>0</v>
      </c>
      <c r="BA7" s="87">
        <f t="shared" si="6"/>
        <v>0</v>
      </c>
      <c r="BB7" s="87">
        <f t="shared" si="6"/>
        <v>0</v>
      </c>
      <c r="BC7" s="87">
        <f t="shared" si="6"/>
        <v>0</v>
      </c>
      <c r="BD7" s="87">
        <f t="shared" si="6"/>
        <v>0</v>
      </c>
      <c r="BE7" s="87"/>
      <c r="BF7" s="75">
        <f t="shared" si="1"/>
        <v>0</v>
      </c>
      <c r="BG7" s="75">
        <f t="shared" si="1"/>
        <v>0</v>
      </c>
      <c r="BH7" s="75">
        <f t="shared" si="1"/>
        <v>0</v>
      </c>
      <c r="BI7" s="75">
        <f>SUM(BF7:BH7)</f>
        <v>0</v>
      </c>
      <c r="BJ7" s="75">
        <f t="shared" si="2"/>
        <v>0</v>
      </c>
      <c r="BK7" s="75">
        <f t="shared" si="2"/>
        <v>0</v>
      </c>
      <c r="BL7" s="75">
        <f>SUM(BJ7:BK7)</f>
        <v>0</v>
      </c>
      <c r="BM7" s="75">
        <f t="shared" si="4"/>
        <v>0</v>
      </c>
      <c r="BN7" s="75"/>
      <c r="BO7" s="75">
        <f t="shared" si="3"/>
        <v>0</v>
      </c>
    </row>
    <row r="8" spans="1:67">
      <c r="AS8" s="84" t="s">
        <v>443</v>
      </c>
      <c r="AV8" s="86">
        <f t="shared" ref="AV8:BM8" si="7">+SUM(AV3:AV7)</f>
        <v>0</v>
      </c>
      <c r="AW8" s="86">
        <f t="shared" si="7"/>
        <v>0</v>
      </c>
      <c r="AX8" s="86">
        <f>+SUM(AX3:AX7)</f>
        <v>0</v>
      </c>
      <c r="AY8" s="86">
        <f t="shared" si="7"/>
        <v>0</v>
      </c>
      <c r="AZ8" s="86">
        <f t="shared" si="7"/>
        <v>0</v>
      </c>
      <c r="BA8" s="86">
        <f t="shared" si="7"/>
        <v>0</v>
      </c>
      <c r="BB8" s="86">
        <f t="shared" si="7"/>
        <v>0</v>
      </c>
      <c r="BC8" s="86">
        <f t="shared" si="7"/>
        <v>0</v>
      </c>
      <c r="BD8" s="86">
        <f t="shared" si="7"/>
        <v>0</v>
      </c>
      <c r="BE8" s="86">
        <f t="shared" si="7"/>
        <v>0</v>
      </c>
      <c r="BF8" s="86">
        <f t="shared" si="7"/>
        <v>0</v>
      </c>
      <c r="BG8" s="86">
        <f t="shared" si="7"/>
        <v>0</v>
      </c>
      <c r="BH8" s="86">
        <f>+SUM(BH3:BH7)</f>
        <v>0</v>
      </c>
      <c r="BI8" s="86">
        <f t="shared" si="7"/>
        <v>0</v>
      </c>
      <c r="BJ8" s="86">
        <f t="shared" si="7"/>
        <v>0</v>
      </c>
      <c r="BK8" s="86">
        <f t="shared" si="7"/>
        <v>0</v>
      </c>
      <c r="BL8" s="86">
        <f t="shared" si="7"/>
        <v>0</v>
      </c>
      <c r="BM8" s="86">
        <f t="shared" si="7"/>
        <v>0</v>
      </c>
      <c r="BN8" s="75"/>
      <c r="BO8" s="75">
        <f t="shared" si="3"/>
        <v>0</v>
      </c>
    </row>
    <row r="9" spans="1:67">
      <c r="AS9" s="88" t="s">
        <v>307</v>
      </c>
      <c r="AT9" s="74">
        <v>3</v>
      </c>
      <c r="AV9" s="87">
        <f t="shared" ref="AV9:BD11" si="8">+SUMIFS(AV$18:AV$296,$P$18:$P$296,"営業外費用",$AT$18:$AT$296,$AT9)+SUMIFS(AV$18:AV$296,$P$18:$P$296,"特別損失",$AT$18:$AT$296,$AT9)</f>
        <v>0</v>
      </c>
      <c r="AW9" s="87">
        <f t="shared" si="8"/>
        <v>0</v>
      </c>
      <c r="AX9" s="87">
        <f t="shared" si="8"/>
        <v>0</v>
      </c>
      <c r="AY9" s="87">
        <f t="shared" si="8"/>
        <v>0</v>
      </c>
      <c r="AZ9" s="87">
        <f t="shared" si="8"/>
        <v>0</v>
      </c>
      <c r="BA9" s="87">
        <f t="shared" si="8"/>
        <v>0</v>
      </c>
      <c r="BB9" s="87">
        <f t="shared" si="8"/>
        <v>0</v>
      </c>
      <c r="BC9" s="87">
        <f t="shared" si="8"/>
        <v>0</v>
      </c>
      <c r="BD9" s="87">
        <f t="shared" si="8"/>
        <v>0</v>
      </c>
      <c r="BE9" s="87"/>
      <c r="BF9" s="75">
        <f t="shared" ref="BF9:BH13" si="9">+IFERROR(ROUNDUP(AV9*100/(100+$AT9),0),AV9)</f>
        <v>0</v>
      </c>
      <c r="BG9" s="75">
        <f t="shared" si="9"/>
        <v>0</v>
      </c>
      <c r="BH9" s="75">
        <f t="shared" si="9"/>
        <v>0</v>
      </c>
      <c r="BI9" s="75">
        <f t="shared" ref="BI9:BI13" si="10">SUM(BF9:BH9)</f>
        <v>0</v>
      </c>
      <c r="BJ9" s="75">
        <f t="shared" ref="BJ9:BK13" si="11">+IFERROR(ROUNDUP(AZ9*100/(100+$AT9),0),AZ9)</f>
        <v>0</v>
      </c>
      <c r="BK9" s="75">
        <f t="shared" si="11"/>
        <v>0</v>
      </c>
      <c r="BL9" s="75">
        <f>SUM(BJ9:BK9)</f>
        <v>0</v>
      </c>
      <c r="BM9" s="75">
        <f t="shared" ref="BM9:BM13" si="12">+BI9+BL9</f>
        <v>0</v>
      </c>
      <c r="BN9" s="75"/>
      <c r="BO9" s="75">
        <f t="shared" si="3"/>
        <v>0</v>
      </c>
    </row>
    <row r="10" spans="1:67">
      <c r="AS10" s="88" t="s">
        <v>306</v>
      </c>
      <c r="AT10" s="74">
        <v>5</v>
      </c>
      <c r="AV10" s="87">
        <f t="shared" si="8"/>
        <v>0</v>
      </c>
      <c r="AW10" s="87">
        <f t="shared" si="8"/>
        <v>0</v>
      </c>
      <c r="AX10" s="87">
        <f t="shared" si="8"/>
        <v>0</v>
      </c>
      <c r="AY10" s="87">
        <f t="shared" si="8"/>
        <v>0</v>
      </c>
      <c r="AZ10" s="87">
        <f t="shared" si="8"/>
        <v>0</v>
      </c>
      <c r="BA10" s="87">
        <f t="shared" si="8"/>
        <v>0</v>
      </c>
      <c r="BB10" s="87">
        <f t="shared" si="8"/>
        <v>0</v>
      </c>
      <c r="BC10" s="87">
        <f t="shared" si="8"/>
        <v>0</v>
      </c>
      <c r="BD10" s="87">
        <f t="shared" si="8"/>
        <v>0</v>
      </c>
      <c r="BE10" s="87"/>
      <c r="BF10" s="75">
        <f t="shared" si="9"/>
        <v>0</v>
      </c>
      <c r="BG10" s="75">
        <f t="shared" si="9"/>
        <v>0</v>
      </c>
      <c r="BH10" s="75">
        <f t="shared" si="9"/>
        <v>0</v>
      </c>
      <c r="BI10" s="75">
        <f t="shared" si="10"/>
        <v>0</v>
      </c>
      <c r="BJ10" s="75">
        <f t="shared" si="11"/>
        <v>0</v>
      </c>
      <c r="BK10" s="75">
        <f t="shared" si="11"/>
        <v>0</v>
      </c>
      <c r="BL10" s="75">
        <f>SUM(BJ10:BK10)</f>
        <v>0</v>
      </c>
      <c r="BM10" s="75">
        <f t="shared" si="12"/>
        <v>0</v>
      </c>
      <c r="BN10" s="75"/>
      <c r="BO10" s="75">
        <f t="shared" si="3"/>
        <v>0</v>
      </c>
    </row>
    <row r="11" spans="1:67">
      <c r="AS11" s="88" t="s">
        <v>305</v>
      </c>
      <c r="AT11" s="74">
        <v>8</v>
      </c>
      <c r="AV11" s="87">
        <f t="shared" si="8"/>
        <v>0</v>
      </c>
      <c r="AW11" s="87">
        <f t="shared" si="8"/>
        <v>0</v>
      </c>
      <c r="AX11" s="87">
        <f t="shared" si="8"/>
        <v>0</v>
      </c>
      <c r="AY11" s="87">
        <f t="shared" si="8"/>
        <v>0</v>
      </c>
      <c r="AZ11" s="87">
        <f t="shared" si="8"/>
        <v>0</v>
      </c>
      <c r="BA11" s="87">
        <f t="shared" si="8"/>
        <v>39339</v>
      </c>
      <c r="BB11" s="87">
        <f t="shared" si="8"/>
        <v>39339</v>
      </c>
      <c r="BC11" s="87">
        <f t="shared" si="8"/>
        <v>39339</v>
      </c>
      <c r="BD11" s="87">
        <f t="shared" si="8"/>
        <v>0</v>
      </c>
      <c r="BE11" s="87"/>
      <c r="BF11" s="75">
        <f t="shared" si="9"/>
        <v>0</v>
      </c>
      <c r="BG11" s="75">
        <f t="shared" si="9"/>
        <v>0</v>
      </c>
      <c r="BH11" s="75">
        <f t="shared" si="9"/>
        <v>0</v>
      </c>
      <c r="BI11" s="75">
        <f t="shared" si="10"/>
        <v>0</v>
      </c>
      <c r="BJ11" s="75">
        <f t="shared" si="11"/>
        <v>0</v>
      </c>
      <c r="BK11" s="75">
        <f t="shared" si="11"/>
        <v>36425</v>
      </c>
      <c r="BL11" s="75">
        <f>SUM(BJ11:BK11)</f>
        <v>36425</v>
      </c>
      <c r="BM11" s="75">
        <f t="shared" si="12"/>
        <v>36425</v>
      </c>
      <c r="BN11" s="75"/>
      <c r="BO11" s="75">
        <f t="shared" si="3"/>
        <v>2914</v>
      </c>
    </row>
    <row r="12" spans="1:67">
      <c r="AQ12" s="477"/>
      <c r="AR12" s="477"/>
      <c r="AS12" s="478" t="s">
        <v>798</v>
      </c>
      <c r="AT12" s="479">
        <v>8</v>
      </c>
      <c r="AV12" s="480">
        <f t="shared" ref="AV12:BD12" si="13">+SUMIFS(AV$18:AV$296,$P$18:$P$296,"営業外費用",$AS$18:$AS$296,82)+SUMIFS(AV$18:AV$296,$P$18:$P$296,"特別損失",$AS$18:$AS$296,82)</f>
        <v>0</v>
      </c>
      <c r="AW12" s="480">
        <f t="shared" si="13"/>
        <v>0</v>
      </c>
      <c r="AX12" s="480">
        <f t="shared" si="13"/>
        <v>0</v>
      </c>
      <c r="AY12" s="480">
        <f t="shared" si="13"/>
        <v>0</v>
      </c>
      <c r="AZ12" s="480">
        <f t="shared" si="13"/>
        <v>0</v>
      </c>
      <c r="BA12" s="480">
        <f t="shared" si="13"/>
        <v>0</v>
      </c>
      <c r="BB12" s="480">
        <f t="shared" si="13"/>
        <v>0</v>
      </c>
      <c r="BC12" s="480">
        <f t="shared" si="13"/>
        <v>0</v>
      </c>
      <c r="BD12" s="480">
        <f t="shared" si="13"/>
        <v>0</v>
      </c>
      <c r="BE12" s="87"/>
      <c r="BF12" s="481">
        <f t="shared" si="9"/>
        <v>0</v>
      </c>
      <c r="BG12" s="481">
        <f t="shared" si="9"/>
        <v>0</v>
      </c>
      <c r="BH12" s="481">
        <f t="shared" si="9"/>
        <v>0</v>
      </c>
      <c r="BI12" s="481">
        <f t="shared" si="10"/>
        <v>0</v>
      </c>
      <c r="BJ12" s="481">
        <f t="shared" si="11"/>
        <v>0</v>
      </c>
      <c r="BK12" s="481">
        <f t="shared" si="11"/>
        <v>0</v>
      </c>
      <c r="BL12" s="481">
        <f>SUM(BJ12:BK12)</f>
        <v>0</v>
      </c>
      <c r="BM12" s="481">
        <f t="shared" si="12"/>
        <v>0</v>
      </c>
      <c r="BN12" s="481"/>
      <c r="BO12" s="481">
        <f t="shared" si="3"/>
        <v>0</v>
      </c>
    </row>
    <row r="13" spans="1:67">
      <c r="AS13" s="88" t="s">
        <v>442</v>
      </c>
      <c r="AT13" s="74">
        <v>10</v>
      </c>
      <c r="AV13" s="87">
        <f t="shared" ref="AV13:BD13" si="14">+SUMIFS(AV$18:AV$296,$P$18:$P$296,"営業外費用",$AT$18:$AT$296,$AT13)+SUMIFS(AV$18:AV$296,$P$18:$P$296,"特別損失",$AT$18:$AT$296,$AT13)</f>
        <v>0</v>
      </c>
      <c r="AW13" s="87">
        <f t="shared" si="14"/>
        <v>0</v>
      </c>
      <c r="AX13" s="87">
        <f t="shared" si="14"/>
        <v>0</v>
      </c>
      <c r="AY13" s="87">
        <f t="shared" si="14"/>
        <v>0</v>
      </c>
      <c r="AZ13" s="87">
        <f t="shared" si="14"/>
        <v>0</v>
      </c>
      <c r="BA13" s="87">
        <f t="shared" si="14"/>
        <v>10639743</v>
      </c>
      <c r="BB13" s="87">
        <f t="shared" si="14"/>
        <v>10639743</v>
      </c>
      <c r="BC13" s="87">
        <f t="shared" si="14"/>
        <v>10639743</v>
      </c>
      <c r="BD13" s="87">
        <f t="shared" si="14"/>
        <v>0</v>
      </c>
      <c r="BE13" s="87"/>
      <c r="BF13" s="75">
        <f t="shared" si="9"/>
        <v>0</v>
      </c>
      <c r="BG13" s="75">
        <f t="shared" si="9"/>
        <v>0</v>
      </c>
      <c r="BH13" s="75">
        <f t="shared" si="9"/>
        <v>0</v>
      </c>
      <c r="BI13" s="75">
        <f t="shared" si="10"/>
        <v>0</v>
      </c>
      <c r="BJ13" s="75">
        <f t="shared" si="11"/>
        <v>0</v>
      </c>
      <c r="BK13" s="75">
        <f t="shared" si="11"/>
        <v>9672494</v>
      </c>
      <c r="BL13" s="75">
        <f>SUM(BJ13:BK13)</f>
        <v>9672494</v>
      </c>
      <c r="BM13" s="75">
        <f t="shared" si="12"/>
        <v>9672494</v>
      </c>
      <c r="BN13" s="75"/>
      <c r="BO13" s="75">
        <f t="shared" si="3"/>
        <v>967249</v>
      </c>
    </row>
    <row r="14" spans="1:67" s="82" customFormat="1">
      <c r="AS14" s="84" t="s">
        <v>441</v>
      </c>
      <c r="AV14" s="86">
        <f t="shared" ref="AV14:BM14" si="15">+SUM(AV9:AV13)</f>
        <v>0</v>
      </c>
      <c r="AW14" s="86">
        <f t="shared" si="15"/>
        <v>0</v>
      </c>
      <c r="AX14" s="86">
        <f>+SUM(AX9:AX13)</f>
        <v>0</v>
      </c>
      <c r="AY14" s="86">
        <f t="shared" si="15"/>
        <v>0</v>
      </c>
      <c r="AZ14" s="86">
        <f t="shared" si="15"/>
        <v>0</v>
      </c>
      <c r="BA14" s="86">
        <f t="shared" si="15"/>
        <v>10679082</v>
      </c>
      <c r="BB14" s="86">
        <f t="shared" si="15"/>
        <v>10679082</v>
      </c>
      <c r="BC14" s="86">
        <f t="shared" si="15"/>
        <v>10679082</v>
      </c>
      <c r="BD14" s="86">
        <f t="shared" si="15"/>
        <v>0</v>
      </c>
      <c r="BE14" s="86">
        <f t="shared" si="15"/>
        <v>0</v>
      </c>
      <c r="BF14" s="86">
        <f t="shared" si="15"/>
        <v>0</v>
      </c>
      <c r="BG14" s="86">
        <f t="shared" si="15"/>
        <v>0</v>
      </c>
      <c r="BH14" s="86">
        <f>+SUM(BH9:BH13)</f>
        <v>0</v>
      </c>
      <c r="BI14" s="86">
        <f t="shared" si="15"/>
        <v>0</v>
      </c>
      <c r="BJ14" s="86">
        <f t="shared" si="15"/>
        <v>0</v>
      </c>
      <c r="BK14" s="86">
        <f t="shared" si="15"/>
        <v>9708919</v>
      </c>
      <c r="BL14" s="86">
        <f t="shared" si="15"/>
        <v>9708919</v>
      </c>
      <c r="BM14" s="86">
        <f t="shared" si="15"/>
        <v>9708919</v>
      </c>
      <c r="BN14" s="83"/>
      <c r="BO14" s="75">
        <f t="shared" si="3"/>
        <v>970163</v>
      </c>
    </row>
    <row r="15" spans="1:67" s="82" customFormat="1">
      <c r="A15" s="85" t="s">
        <v>440</v>
      </c>
      <c r="AS15" s="84"/>
      <c r="AV15" s="506"/>
      <c r="AW15" s="506"/>
      <c r="AX15" s="506"/>
      <c r="AY15" s="506"/>
      <c r="AZ15" s="506"/>
      <c r="BA15" s="506"/>
      <c r="BB15" s="506"/>
      <c r="BC15" s="506"/>
      <c r="BD15" s="506"/>
      <c r="BE15" s="506"/>
      <c r="BF15" s="506"/>
      <c r="BG15" s="506"/>
      <c r="BH15" s="506"/>
      <c r="BI15" s="506"/>
      <c r="BJ15" s="506"/>
      <c r="BK15" s="506"/>
      <c r="BL15" s="506"/>
      <c r="BM15" s="506"/>
      <c r="BN15" s="507"/>
      <c r="BO15" s="507"/>
    </row>
    <row r="16" spans="1:67" s="82" customFormat="1">
      <c r="A16" s="85"/>
      <c r="Y16" s="75">
        <f>+SUBTOTAL(109,Y18:Y948)</f>
        <v>10679082</v>
      </c>
      <c r="AS16" s="84"/>
      <c r="AV16" s="504">
        <f t="shared" ref="AV16:BD16" si="16">+SUBTOTAL(109,AV18:AV948)</f>
        <v>0</v>
      </c>
      <c r="AW16" s="504">
        <f t="shared" si="16"/>
        <v>0</v>
      </c>
      <c r="AX16" s="504">
        <f t="shared" si="16"/>
        <v>0</v>
      </c>
      <c r="AY16" s="504">
        <f t="shared" si="16"/>
        <v>0</v>
      </c>
      <c r="AZ16" s="504">
        <f t="shared" si="16"/>
        <v>0</v>
      </c>
      <c r="BA16" s="504">
        <f t="shared" si="16"/>
        <v>10679082</v>
      </c>
      <c r="BB16" s="504">
        <f t="shared" si="16"/>
        <v>10679082</v>
      </c>
      <c r="BC16" s="504">
        <f t="shared" si="16"/>
        <v>10679082</v>
      </c>
      <c r="BD16" s="504">
        <f t="shared" si="16"/>
        <v>0</v>
      </c>
      <c r="BE16" s="504"/>
      <c r="BF16" s="504">
        <f t="shared" ref="BF16:BM16" si="17">+SUBTOTAL(109,BF18:BF948)</f>
        <v>0</v>
      </c>
      <c r="BG16" s="504">
        <f t="shared" si="17"/>
        <v>0</v>
      </c>
      <c r="BH16" s="504">
        <f t="shared" si="17"/>
        <v>0</v>
      </c>
      <c r="BI16" s="504">
        <f t="shared" si="17"/>
        <v>0</v>
      </c>
      <c r="BJ16" s="504">
        <f t="shared" si="17"/>
        <v>0</v>
      </c>
      <c r="BK16" s="504">
        <f t="shared" si="17"/>
        <v>9708919</v>
      </c>
      <c r="BL16" s="504">
        <f t="shared" si="17"/>
        <v>9708919</v>
      </c>
      <c r="BM16" s="504">
        <f t="shared" si="17"/>
        <v>9708919</v>
      </c>
      <c r="BN16" s="507"/>
      <c r="BO16" s="507"/>
    </row>
    <row r="17" spans="1:72">
      <c r="V17" s="79"/>
      <c r="W17" s="79"/>
      <c r="X17" s="79"/>
      <c r="Y17" s="81"/>
      <c r="AB17" s="79"/>
      <c r="AE17" s="79"/>
      <c r="AG17" s="79"/>
      <c r="AH17" s="79"/>
      <c r="AI17" s="79"/>
      <c r="AL17" s="76" t="s">
        <v>439</v>
      </c>
      <c r="AQ17" s="74" t="s">
        <v>438</v>
      </c>
      <c r="AS17" s="76">
        <v>0</v>
      </c>
      <c r="AT17" s="76">
        <v>0</v>
      </c>
      <c r="AV17" s="722" t="s">
        <v>767</v>
      </c>
      <c r="AW17" s="722"/>
      <c r="AX17" s="722"/>
      <c r="AY17" s="722"/>
      <c r="AZ17" s="722" t="s">
        <v>436</v>
      </c>
      <c r="BA17" s="722"/>
      <c r="BB17" s="722"/>
      <c r="BC17" s="722" t="s">
        <v>435</v>
      </c>
      <c r="BD17" s="722" t="s">
        <v>437</v>
      </c>
      <c r="BE17" s="503"/>
      <c r="BF17" s="722" t="s">
        <v>767</v>
      </c>
      <c r="BG17" s="722"/>
      <c r="BH17" s="722"/>
      <c r="BI17" s="722"/>
      <c r="BJ17" s="722" t="s">
        <v>436</v>
      </c>
      <c r="BK17" s="722"/>
      <c r="BL17" s="722"/>
      <c r="BM17" s="722" t="s">
        <v>435</v>
      </c>
      <c r="BN17" s="722" t="s">
        <v>434</v>
      </c>
      <c r="BP17" s="80"/>
      <c r="BQ17" s="80"/>
      <c r="BR17" s="80"/>
      <c r="BS17" s="80"/>
      <c r="BT17" s="80"/>
    </row>
    <row r="18" spans="1:72">
      <c r="A18" s="74" t="s">
        <v>433</v>
      </c>
      <c r="B18" s="74" t="s">
        <v>432</v>
      </c>
      <c r="C18" s="74" t="s">
        <v>431</v>
      </c>
      <c r="D18" s="74" t="s">
        <v>430</v>
      </c>
      <c r="E18" s="74" t="s">
        <v>429</v>
      </c>
      <c r="F18" s="74" t="s">
        <v>428</v>
      </c>
      <c r="G18" s="74" t="s">
        <v>427</v>
      </c>
      <c r="H18" s="74" t="s">
        <v>426</v>
      </c>
      <c r="I18" s="74" t="s">
        <v>425</v>
      </c>
      <c r="J18" s="74" t="s">
        <v>424</v>
      </c>
      <c r="K18" s="74" t="s">
        <v>423</v>
      </c>
      <c r="L18" s="74" t="s">
        <v>422</v>
      </c>
      <c r="M18" s="74" t="s">
        <v>421</v>
      </c>
      <c r="N18" s="74" t="s">
        <v>420</v>
      </c>
      <c r="O18" s="74" t="s">
        <v>419</v>
      </c>
      <c r="P18" s="74" t="s">
        <v>418</v>
      </c>
      <c r="Q18" s="74" t="s">
        <v>417</v>
      </c>
      <c r="R18" s="78" t="s">
        <v>416</v>
      </c>
      <c r="S18" s="74" t="s">
        <v>415</v>
      </c>
      <c r="T18" s="74" t="s">
        <v>414</v>
      </c>
      <c r="U18" s="74" t="s">
        <v>413</v>
      </c>
      <c r="V18" s="79" t="s">
        <v>412</v>
      </c>
      <c r="W18" s="79" t="s">
        <v>411</v>
      </c>
      <c r="X18" s="79" t="s">
        <v>410</v>
      </c>
      <c r="Y18" s="75" t="s">
        <v>409</v>
      </c>
      <c r="Z18" s="74" t="s">
        <v>408</v>
      </c>
      <c r="AA18" s="74" t="s">
        <v>407</v>
      </c>
      <c r="AB18" s="79" t="s">
        <v>406</v>
      </c>
      <c r="AC18" s="74" t="s">
        <v>405</v>
      </c>
      <c r="AD18" s="74" t="s">
        <v>404</v>
      </c>
      <c r="AE18" s="79" t="s">
        <v>403</v>
      </c>
      <c r="AF18" s="74" t="s">
        <v>402</v>
      </c>
      <c r="AG18" s="79" t="s">
        <v>401</v>
      </c>
      <c r="AH18" s="79" t="s">
        <v>400</v>
      </c>
      <c r="AI18" s="79" t="s">
        <v>399</v>
      </c>
      <c r="AJ18" s="74" t="s">
        <v>398</v>
      </c>
      <c r="AL18" s="77" t="s">
        <v>397</v>
      </c>
      <c r="AM18" s="77" t="s">
        <v>396</v>
      </c>
      <c r="AN18" s="78" t="s">
        <v>395</v>
      </c>
      <c r="AO18" s="78" t="s">
        <v>394</v>
      </c>
      <c r="AP18" s="77" t="s">
        <v>393</v>
      </c>
      <c r="AQ18" s="77" t="s">
        <v>392</v>
      </c>
      <c r="AS18" s="74" t="s">
        <v>391</v>
      </c>
      <c r="AT18" s="74" t="s">
        <v>390</v>
      </c>
      <c r="AV18" s="503" t="s">
        <v>389</v>
      </c>
      <c r="AW18" s="503" t="s">
        <v>388</v>
      </c>
      <c r="AX18" s="503" t="s">
        <v>769</v>
      </c>
      <c r="AY18" s="503" t="s">
        <v>385</v>
      </c>
      <c r="AZ18" s="503" t="s">
        <v>387</v>
      </c>
      <c r="BA18" s="503" t="s">
        <v>386</v>
      </c>
      <c r="BB18" s="503" t="s">
        <v>385</v>
      </c>
      <c r="BC18" s="722"/>
      <c r="BD18" s="722"/>
      <c r="BE18" s="503"/>
      <c r="BF18" s="503" t="s">
        <v>389</v>
      </c>
      <c r="BG18" s="503" t="s">
        <v>388</v>
      </c>
      <c r="BH18" s="503" t="s">
        <v>770</v>
      </c>
      <c r="BI18" s="503" t="s">
        <v>385</v>
      </c>
      <c r="BJ18" s="503" t="s">
        <v>387</v>
      </c>
      <c r="BK18" s="503" t="s">
        <v>386</v>
      </c>
      <c r="BL18" s="503" t="s">
        <v>385</v>
      </c>
      <c r="BM18" s="722"/>
      <c r="BN18" s="722"/>
      <c r="BO18" s="505" t="s">
        <v>1187</v>
      </c>
      <c r="BP18" s="74" t="s">
        <v>1187</v>
      </c>
      <c r="BQ18" s="74" t="s">
        <v>1187</v>
      </c>
      <c r="BR18" s="74" t="s">
        <v>1187</v>
      </c>
      <c r="BS18" s="74" t="s">
        <v>1188</v>
      </c>
      <c r="BT18" s="74" t="s">
        <v>1188</v>
      </c>
    </row>
    <row r="19" spans="1:72" s="484" customFormat="1">
      <c r="A19" s="484" t="s">
        <v>890</v>
      </c>
      <c r="B19" s="484" t="s">
        <v>891</v>
      </c>
      <c r="C19" s="484" t="s">
        <v>438</v>
      </c>
      <c r="D19" s="484" t="s">
        <v>892</v>
      </c>
      <c r="E19" s="484" t="s">
        <v>893</v>
      </c>
      <c r="F19" s="484" t="s">
        <v>919</v>
      </c>
      <c r="G19" s="484" t="s">
        <v>919</v>
      </c>
      <c r="H19" s="484" t="s">
        <v>920</v>
      </c>
      <c r="I19" s="484" t="s">
        <v>921</v>
      </c>
      <c r="J19" s="484" t="s">
        <v>922</v>
      </c>
      <c r="K19" s="484" t="s">
        <v>895</v>
      </c>
      <c r="L19" s="484" t="s">
        <v>896</v>
      </c>
      <c r="M19" s="484" t="s">
        <v>890</v>
      </c>
      <c r="N19" s="484" t="s">
        <v>923</v>
      </c>
      <c r="O19" s="484" t="s">
        <v>924</v>
      </c>
      <c r="P19" s="484" t="s">
        <v>925</v>
      </c>
      <c r="Q19" s="484" t="s">
        <v>926</v>
      </c>
      <c r="R19" s="484" t="s">
        <v>927</v>
      </c>
      <c r="S19" s="484" t="s">
        <v>438</v>
      </c>
      <c r="T19" s="484" t="s">
        <v>928</v>
      </c>
      <c r="U19" s="484" t="s">
        <v>929</v>
      </c>
      <c r="V19" s="484">
        <v>0</v>
      </c>
      <c r="W19" s="484">
        <v>0</v>
      </c>
      <c r="X19" s="484">
        <v>0</v>
      </c>
      <c r="Y19" s="484">
        <v>23932</v>
      </c>
      <c r="Z19" s="484" t="s">
        <v>930</v>
      </c>
      <c r="AA19" s="484" t="s">
        <v>927</v>
      </c>
      <c r="AB19" s="484">
        <v>23932</v>
      </c>
      <c r="AC19" s="484" t="s">
        <v>931</v>
      </c>
      <c r="AD19" s="484" t="s">
        <v>932</v>
      </c>
      <c r="AE19" s="484">
        <v>23932</v>
      </c>
      <c r="AF19" s="484" t="s">
        <v>933</v>
      </c>
      <c r="AG19" s="484" t="s">
        <v>899</v>
      </c>
      <c r="AH19" s="484">
        <v>1767</v>
      </c>
      <c r="AI19" s="484">
        <v>22165</v>
      </c>
      <c r="AJ19" s="484" t="s">
        <v>934</v>
      </c>
      <c r="AL19" s="484" t="s">
        <v>935</v>
      </c>
      <c r="AM19" s="484">
        <v>1</v>
      </c>
      <c r="AN19" s="484">
        <v>0</v>
      </c>
      <c r="AO19" s="484">
        <v>0</v>
      </c>
      <c r="AP19" s="484">
        <v>0</v>
      </c>
      <c r="AQ19" s="484" t="s">
        <v>438</v>
      </c>
      <c r="AS19" s="484" t="s">
        <v>933</v>
      </c>
      <c r="AT19" s="484" t="s">
        <v>899</v>
      </c>
      <c r="AV19" s="508">
        <v>0</v>
      </c>
      <c r="AW19" s="508">
        <v>0</v>
      </c>
      <c r="AX19" s="508">
        <v>0</v>
      </c>
      <c r="AY19" s="508">
        <v>0</v>
      </c>
      <c r="AZ19" s="508">
        <v>0</v>
      </c>
      <c r="BA19" s="508">
        <v>23932</v>
      </c>
      <c r="BB19" s="508">
        <v>23932</v>
      </c>
      <c r="BC19" s="508">
        <v>23932</v>
      </c>
      <c r="BD19" s="508">
        <v>0</v>
      </c>
      <c r="BE19" s="508"/>
      <c r="BF19" s="508">
        <v>0</v>
      </c>
      <c r="BG19" s="508">
        <v>0</v>
      </c>
      <c r="BH19" s="508">
        <v>0</v>
      </c>
      <c r="BI19" s="508">
        <v>0</v>
      </c>
      <c r="BJ19" s="508">
        <v>0</v>
      </c>
      <c r="BK19" s="508">
        <v>22159</v>
      </c>
      <c r="BL19" s="508">
        <v>22159</v>
      </c>
      <c r="BM19" s="508">
        <v>22159</v>
      </c>
      <c r="BN19" s="508"/>
      <c r="BO19" s="508"/>
    </row>
    <row r="20" spans="1:72" s="484" customFormat="1">
      <c r="A20" s="484" t="s">
        <v>890</v>
      </c>
      <c r="B20" s="484" t="s">
        <v>891</v>
      </c>
      <c r="C20" s="484" t="s">
        <v>438</v>
      </c>
      <c r="D20" s="484" t="s">
        <v>892</v>
      </c>
      <c r="E20" s="484" t="s">
        <v>893</v>
      </c>
      <c r="F20" s="484" t="s">
        <v>900</v>
      </c>
      <c r="G20" s="484" t="s">
        <v>900</v>
      </c>
      <c r="H20" s="484" t="s">
        <v>936</v>
      </c>
      <c r="I20" s="484" t="s">
        <v>937</v>
      </c>
      <c r="J20" s="484" t="s">
        <v>938</v>
      </c>
      <c r="K20" s="484" t="s">
        <v>895</v>
      </c>
      <c r="L20" s="484" t="s">
        <v>896</v>
      </c>
      <c r="M20" s="484" t="s">
        <v>890</v>
      </c>
      <c r="N20" s="484" t="s">
        <v>939</v>
      </c>
      <c r="O20" s="484" t="s">
        <v>924</v>
      </c>
      <c r="P20" s="484" t="s">
        <v>940</v>
      </c>
      <c r="Q20" s="484" t="s">
        <v>941</v>
      </c>
      <c r="R20" s="484" t="s">
        <v>941</v>
      </c>
      <c r="S20" s="484" t="s">
        <v>438</v>
      </c>
      <c r="T20" s="484" t="s">
        <v>942</v>
      </c>
      <c r="U20" s="484" t="s">
        <v>943</v>
      </c>
      <c r="V20" s="484">
        <v>0</v>
      </c>
      <c r="W20" s="484">
        <v>0</v>
      </c>
      <c r="X20" s="484">
        <v>0</v>
      </c>
      <c r="Y20" s="484">
        <v>7639</v>
      </c>
      <c r="Z20" s="484" t="s">
        <v>944</v>
      </c>
      <c r="AA20" s="484" t="s">
        <v>941</v>
      </c>
      <c r="AB20" s="484">
        <v>7639</v>
      </c>
      <c r="AC20" s="484" t="s">
        <v>945</v>
      </c>
      <c r="AD20" s="484" t="s">
        <v>946</v>
      </c>
      <c r="AE20" s="484">
        <v>7639</v>
      </c>
      <c r="AF20" s="484" t="s">
        <v>947</v>
      </c>
      <c r="AG20" s="484" t="s">
        <v>902</v>
      </c>
      <c r="AH20" s="484">
        <v>694</v>
      </c>
      <c r="AI20" s="484">
        <v>6945</v>
      </c>
      <c r="AJ20" s="484" t="s">
        <v>438</v>
      </c>
      <c r="AL20" s="484" t="s">
        <v>948</v>
      </c>
      <c r="AM20" s="484">
        <v>1</v>
      </c>
      <c r="AN20" s="484">
        <v>0</v>
      </c>
      <c r="AO20" s="484">
        <v>0</v>
      </c>
      <c r="AP20" s="484">
        <v>0</v>
      </c>
      <c r="AQ20" s="484" t="s">
        <v>438</v>
      </c>
      <c r="AS20" s="484" t="s">
        <v>947</v>
      </c>
      <c r="AT20" s="484" t="s">
        <v>902</v>
      </c>
      <c r="AV20" s="508">
        <v>0</v>
      </c>
      <c r="AW20" s="508">
        <v>0</v>
      </c>
      <c r="AX20" s="508">
        <v>0</v>
      </c>
      <c r="AY20" s="508">
        <v>0</v>
      </c>
      <c r="AZ20" s="508">
        <v>0</v>
      </c>
      <c r="BA20" s="508">
        <v>7639</v>
      </c>
      <c r="BB20" s="508">
        <v>7639</v>
      </c>
      <c r="BC20" s="508">
        <v>7639</v>
      </c>
      <c r="BD20" s="508">
        <v>0</v>
      </c>
      <c r="BE20" s="508"/>
      <c r="BF20" s="508">
        <v>0</v>
      </c>
      <c r="BG20" s="508">
        <v>0</v>
      </c>
      <c r="BH20" s="508">
        <v>0</v>
      </c>
      <c r="BI20" s="508">
        <v>0</v>
      </c>
      <c r="BJ20" s="508">
        <v>0</v>
      </c>
      <c r="BK20" s="508">
        <v>6945</v>
      </c>
      <c r="BL20" s="508">
        <v>6945</v>
      </c>
      <c r="BM20" s="508">
        <v>6945</v>
      </c>
      <c r="BN20" s="508"/>
      <c r="BO20" s="508"/>
    </row>
    <row r="21" spans="1:72" s="484" customFormat="1">
      <c r="A21" s="484" t="s">
        <v>890</v>
      </c>
      <c r="B21" s="484" t="s">
        <v>891</v>
      </c>
      <c r="C21" s="484" t="s">
        <v>438</v>
      </c>
      <c r="D21" s="484" t="s">
        <v>892</v>
      </c>
      <c r="E21" s="484" t="s">
        <v>893</v>
      </c>
      <c r="F21" s="484" t="s">
        <v>900</v>
      </c>
      <c r="G21" s="484" t="s">
        <v>900</v>
      </c>
      <c r="H21" s="484" t="s">
        <v>936</v>
      </c>
      <c r="I21" s="484" t="s">
        <v>937</v>
      </c>
      <c r="J21" s="484" t="s">
        <v>949</v>
      </c>
      <c r="K21" s="484" t="s">
        <v>895</v>
      </c>
      <c r="L21" s="484" t="s">
        <v>896</v>
      </c>
      <c r="M21" s="484" t="s">
        <v>890</v>
      </c>
      <c r="N21" s="484" t="s">
        <v>939</v>
      </c>
      <c r="O21" s="484" t="s">
        <v>924</v>
      </c>
      <c r="P21" s="484" t="s">
        <v>940</v>
      </c>
      <c r="Q21" s="484" t="s">
        <v>941</v>
      </c>
      <c r="R21" s="484" t="s">
        <v>941</v>
      </c>
      <c r="S21" s="484" t="s">
        <v>438</v>
      </c>
      <c r="T21" s="484" t="s">
        <v>942</v>
      </c>
      <c r="U21" s="484" t="s">
        <v>943</v>
      </c>
      <c r="V21" s="484">
        <v>0</v>
      </c>
      <c r="W21" s="484">
        <v>0</v>
      </c>
      <c r="X21" s="484">
        <v>0</v>
      </c>
      <c r="Y21" s="484">
        <v>3359</v>
      </c>
      <c r="Z21" s="484" t="s">
        <v>944</v>
      </c>
      <c r="AA21" s="484" t="s">
        <v>941</v>
      </c>
      <c r="AB21" s="484">
        <v>3359</v>
      </c>
      <c r="AC21" s="484" t="s">
        <v>945</v>
      </c>
      <c r="AD21" s="484" t="s">
        <v>946</v>
      </c>
      <c r="AE21" s="484">
        <v>3359</v>
      </c>
      <c r="AF21" s="484" t="s">
        <v>947</v>
      </c>
      <c r="AG21" s="484" t="s">
        <v>902</v>
      </c>
      <c r="AH21" s="484">
        <v>305</v>
      </c>
      <c r="AI21" s="484">
        <v>3054</v>
      </c>
      <c r="AJ21" s="484" t="s">
        <v>438</v>
      </c>
      <c r="AL21" s="484" t="s">
        <v>950</v>
      </c>
      <c r="AM21" s="484">
        <v>1</v>
      </c>
      <c r="AN21" s="484">
        <v>0</v>
      </c>
      <c r="AO21" s="484">
        <v>0</v>
      </c>
      <c r="AP21" s="484">
        <v>0</v>
      </c>
      <c r="AQ21" s="484" t="s">
        <v>438</v>
      </c>
      <c r="AS21" s="484" t="s">
        <v>947</v>
      </c>
      <c r="AT21" s="484" t="s">
        <v>902</v>
      </c>
      <c r="AV21" s="508">
        <v>0</v>
      </c>
      <c r="AW21" s="508">
        <v>0</v>
      </c>
      <c r="AX21" s="508">
        <v>0</v>
      </c>
      <c r="AY21" s="508">
        <v>0</v>
      </c>
      <c r="AZ21" s="508">
        <v>0</v>
      </c>
      <c r="BA21" s="508">
        <v>3359</v>
      </c>
      <c r="BB21" s="508">
        <v>3359</v>
      </c>
      <c r="BC21" s="508">
        <v>3359</v>
      </c>
      <c r="BD21" s="508">
        <v>0</v>
      </c>
      <c r="BE21" s="508"/>
      <c r="BF21" s="508">
        <v>0</v>
      </c>
      <c r="BG21" s="508">
        <v>0</v>
      </c>
      <c r="BH21" s="508">
        <v>0</v>
      </c>
      <c r="BI21" s="508">
        <v>0</v>
      </c>
      <c r="BJ21" s="508">
        <v>0</v>
      </c>
      <c r="BK21" s="508">
        <v>3054</v>
      </c>
      <c r="BL21" s="508">
        <v>3054</v>
      </c>
      <c r="BM21" s="508">
        <v>3054</v>
      </c>
      <c r="BN21" s="508"/>
      <c r="BO21" s="508"/>
    </row>
    <row r="22" spans="1:72" s="484" customFormat="1">
      <c r="A22" s="484" t="s">
        <v>890</v>
      </c>
      <c r="B22" s="484" t="s">
        <v>891</v>
      </c>
      <c r="C22" s="484" t="s">
        <v>438</v>
      </c>
      <c r="D22" s="484" t="s">
        <v>892</v>
      </c>
      <c r="E22" s="484" t="s">
        <v>893</v>
      </c>
      <c r="F22" s="484" t="s">
        <v>900</v>
      </c>
      <c r="G22" s="484" t="s">
        <v>900</v>
      </c>
      <c r="H22" s="484" t="s">
        <v>936</v>
      </c>
      <c r="I22" s="484" t="s">
        <v>937</v>
      </c>
      <c r="J22" s="484" t="s">
        <v>951</v>
      </c>
      <c r="K22" s="484" t="s">
        <v>895</v>
      </c>
      <c r="L22" s="484" t="s">
        <v>896</v>
      </c>
      <c r="M22" s="484" t="s">
        <v>890</v>
      </c>
      <c r="N22" s="484" t="s">
        <v>939</v>
      </c>
      <c r="O22" s="484" t="s">
        <v>924</v>
      </c>
      <c r="P22" s="484" t="s">
        <v>940</v>
      </c>
      <c r="Q22" s="484" t="s">
        <v>941</v>
      </c>
      <c r="R22" s="484" t="s">
        <v>941</v>
      </c>
      <c r="S22" s="484" t="s">
        <v>438</v>
      </c>
      <c r="T22" s="484" t="s">
        <v>942</v>
      </c>
      <c r="U22" s="484" t="s">
        <v>943</v>
      </c>
      <c r="V22" s="484">
        <v>0</v>
      </c>
      <c r="W22" s="484">
        <v>0</v>
      </c>
      <c r="X22" s="484">
        <v>0</v>
      </c>
      <c r="Y22" s="484">
        <v>465</v>
      </c>
      <c r="Z22" s="484" t="s">
        <v>944</v>
      </c>
      <c r="AA22" s="484" t="s">
        <v>941</v>
      </c>
      <c r="AB22" s="484">
        <v>465</v>
      </c>
      <c r="AC22" s="484" t="s">
        <v>945</v>
      </c>
      <c r="AD22" s="484" t="s">
        <v>946</v>
      </c>
      <c r="AE22" s="484">
        <v>465</v>
      </c>
      <c r="AF22" s="484" t="s">
        <v>947</v>
      </c>
      <c r="AG22" s="484" t="s">
        <v>902</v>
      </c>
      <c r="AH22" s="484">
        <v>42</v>
      </c>
      <c r="AI22" s="484">
        <v>423</v>
      </c>
      <c r="AJ22" s="484" t="s">
        <v>438</v>
      </c>
      <c r="AL22" s="484" t="s">
        <v>952</v>
      </c>
      <c r="AM22" s="484">
        <v>1</v>
      </c>
      <c r="AN22" s="484">
        <v>0</v>
      </c>
      <c r="AO22" s="484">
        <v>0</v>
      </c>
      <c r="AP22" s="484">
        <v>0</v>
      </c>
      <c r="AQ22" s="484" t="s">
        <v>438</v>
      </c>
      <c r="AS22" s="484" t="s">
        <v>947</v>
      </c>
      <c r="AT22" s="484" t="s">
        <v>902</v>
      </c>
      <c r="AV22" s="508">
        <v>0</v>
      </c>
      <c r="AW22" s="508">
        <v>0</v>
      </c>
      <c r="AX22" s="508">
        <v>0</v>
      </c>
      <c r="AY22" s="508">
        <v>0</v>
      </c>
      <c r="AZ22" s="508">
        <v>0</v>
      </c>
      <c r="BA22" s="508">
        <v>465</v>
      </c>
      <c r="BB22" s="508">
        <v>465</v>
      </c>
      <c r="BC22" s="508">
        <v>465</v>
      </c>
      <c r="BD22" s="508">
        <v>0</v>
      </c>
      <c r="BE22" s="508"/>
      <c r="BF22" s="508">
        <v>0</v>
      </c>
      <c r="BG22" s="508">
        <v>0</v>
      </c>
      <c r="BH22" s="508">
        <v>0</v>
      </c>
      <c r="BI22" s="508">
        <v>0</v>
      </c>
      <c r="BJ22" s="508">
        <v>0</v>
      </c>
      <c r="BK22" s="508">
        <v>423</v>
      </c>
      <c r="BL22" s="508">
        <v>423</v>
      </c>
      <c r="BM22" s="508">
        <v>423</v>
      </c>
      <c r="BN22" s="508"/>
      <c r="BO22" s="508"/>
    </row>
    <row r="23" spans="1:72" s="484" customFormat="1">
      <c r="A23" s="484" t="s">
        <v>890</v>
      </c>
      <c r="B23" s="484" t="s">
        <v>891</v>
      </c>
      <c r="C23" s="484" t="s">
        <v>438</v>
      </c>
      <c r="D23" s="484" t="s">
        <v>892</v>
      </c>
      <c r="E23" s="484" t="s">
        <v>893</v>
      </c>
      <c r="F23" s="484" t="s">
        <v>913</v>
      </c>
      <c r="G23" s="484" t="s">
        <v>913</v>
      </c>
      <c r="H23" s="484" t="s">
        <v>953</v>
      </c>
      <c r="I23" s="484" t="s">
        <v>937</v>
      </c>
      <c r="J23" s="484" t="s">
        <v>954</v>
      </c>
      <c r="K23" s="484" t="s">
        <v>895</v>
      </c>
      <c r="L23" s="484" t="s">
        <v>896</v>
      </c>
      <c r="M23" s="484" t="s">
        <v>890</v>
      </c>
      <c r="N23" s="484" t="s">
        <v>939</v>
      </c>
      <c r="O23" s="484" t="s">
        <v>924</v>
      </c>
      <c r="P23" s="484" t="s">
        <v>940</v>
      </c>
      <c r="Q23" s="484" t="s">
        <v>941</v>
      </c>
      <c r="R23" s="484" t="s">
        <v>941</v>
      </c>
      <c r="S23" s="484" t="s">
        <v>438</v>
      </c>
      <c r="T23" s="484" t="s">
        <v>942</v>
      </c>
      <c r="U23" s="484" t="s">
        <v>943</v>
      </c>
      <c r="V23" s="484">
        <v>0</v>
      </c>
      <c r="W23" s="484">
        <v>0</v>
      </c>
      <c r="X23" s="484">
        <v>0</v>
      </c>
      <c r="Y23" s="484">
        <v>797</v>
      </c>
      <c r="Z23" s="484" t="s">
        <v>944</v>
      </c>
      <c r="AA23" s="484" t="s">
        <v>941</v>
      </c>
      <c r="AB23" s="484">
        <v>797</v>
      </c>
      <c r="AC23" s="484" t="s">
        <v>945</v>
      </c>
      <c r="AD23" s="484" t="s">
        <v>946</v>
      </c>
      <c r="AE23" s="484">
        <v>797</v>
      </c>
      <c r="AF23" s="484" t="s">
        <v>947</v>
      </c>
      <c r="AG23" s="484" t="s">
        <v>902</v>
      </c>
      <c r="AH23" s="484">
        <v>72</v>
      </c>
      <c r="AI23" s="484">
        <v>725</v>
      </c>
      <c r="AJ23" s="484" t="s">
        <v>438</v>
      </c>
      <c r="AL23" s="484" t="s">
        <v>955</v>
      </c>
      <c r="AM23" s="484">
        <v>1</v>
      </c>
      <c r="AN23" s="484">
        <v>0</v>
      </c>
      <c r="AO23" s="484">
        <v>0</v>
      </c>
      <c r="AP23" s="484">
        <v>0</v>
      </c>
      <c r="AQ23" s="484" t="s">
        <v>438</v>
      </c>
      <c r="AS23" s="484" t="s">
        <v>947</v>
      </c>
      <c r="AT23" s="484" t="s">
        <v>902</v>
      </c>
      <c r="AV23" s="508">
        <v>0</v>
      </c>
      <c r="AW23" s="508">
        <v>0</v>
      </c>
      <c r="AX23" s="508">
        <v>0</v>
      </c>
      <c r="AY23" s="508">
        <v>0</v>
      </c>
      <c r="AZ23" s="508">
        <v>0</v>
      </c>
      <c r="BA23" s="508">
        <v>797</v>
      </c>
      <c r="BB23" s="508">
        <v>797</v>
      </c>
      <c r="BC23" s="508">
        <v>797</v>
      </c>
      <c r="BD23" s="508">
        <v>0</v>
      </c>
      <c r="BE23" s="508"/>
      <c r="BF23" s="508">
        <v>0</v>
      </c>
      <c r="BG23" s="508">
        <v>0</v>
      </c>
      <c r="BH23" s="508">
        <v>0</v>
      </c>
      <c r="BI23" s="508">
        <v>0</v>
      </c>
      <c r="BJ23" s="508">
        <v>0</v>
      </c>
      <c r="BK23" s="508">
        <v>725</v>
      </c>
      <c r="BL23" s="508">
        <v>725</v>
      </c>
      <c r="BM23" s="508">
        <v>725</v>
      </c>
      <c r="BN23" s="508"/>
      <c r="BO23" s="508"/>
    </row>
    <row r="24" spans="1:72" s="484" customFormat="1">
      <c r="A24" s="484" t="s">
        <v>890</v>
      </c>
      <c r="B24" s="484" t="s">
        <v>891</v>
      </c>
      <c r="C24" s="484" t="s">
        <v>438</v>
      </c>
      <c r="D24" s="484" t="s">
        <v>892</v>
      </c>
      <c r="E24" s="484" t="s">
        <v>893</v>
      </c>
      <c r="F24" s="484" t="s">
        <v>913</v>
      </c>
      <c r="G24" s="484" t="s">
        <v>913</v>
      </c>
      <c r="H24" s="484" t="s">
        <v>953</v>
      </c>
      <c r="I24" s="484" t="s">
        <v>937</v>
      </c>
      <c r="J24" s="484" t="s">
        <v>956</v>
      </c>
      <c r="K24" s="484" t="s">
        <v>895</v>
      </c>
      <c r="L24" s="484" t="s">
        <v>896</v>
      </c>
      <c r="M24" s="484" t="s">
        <v>890</v>
      </c>
      <c r="N24" s="484" t="s">
        <v>939</v>
      </c>
      <c r="O24" s="484" t="s">
        <v>924</v>
      </c>
      <c r="P24" s="484" t="s">
        <v>940</v>
      </c>
      <c r="Q24" s="484" t="s">
        <v>941</v>
      </c>
      <c r="R24" s="484" t="s">
        <v>941</v>
      </c>
      <c r="S24" s="484" t="s">
        <v>438</v>
      </c>
      <c r="T24" s="484" t="s">
        <v>942</v>
      </c>
      <c r="U24" s="484" t="s">
        <v>943</v>
      </c>
      <c r="V24" s="484">
        <v>0</v>
      </c>
      <c r="W24" s="484">
        <v>0</v>
      </c>
      <c r="X24" s="484">
        <v>0</v>
      </c>
      <c r="Y24" s="484">
        <v>377</v>
      </c>
      <c r="Z24" s="484" t="s">
        <v>944</v>
      </c>
      <c r="AA24" s="484" t="s">
        <v>941</v>
      </c>
      <c r="AB24" s="484">
        <v>377</v>
      </c>
      <c r="AC24" s="484" t="s">
        <v>945</v>
      </c>
      <c r="AD24" s="484" t="s">
        <v>946</v>
      </c>
      <c r="AE24" s="484">
        <v>377</v>
      </c>
      <c r="AF24" s="484" t="s">
        <v>947</v>
      </c>
      <c r="AG24" s="484" t="s">
        <v>902</v>
      </c>
      <c r="AH24" s="484">
        <v>32</v>
      </c>
      <c r="AI24" s="484">
        <v>345</v>
      </c>
      <c r="AJ24" s="484" t="s">
        <v>438</v>
      </c>
      <c r="AL24" s="484" t="s">
        <v>957</v>
      </c>
      <c r="AM24" s="484">
        <v>1</v>
      </c>
      <c r="AN24" s="484">
        <v>0</v>
      </c>
      <c r="AO24" s="484">
        <v>0</v>
      </c>
      <c r="AP24" s="484">
        <v>0</v>
      </c>
      <c r="AQ24" s="484" t="s">
        <v>438</v>
      </c>
      <c r="AS24" s="484" t="s">
        <v>947</v>
      </c>
      <c r="AT24" s="484" t="s">
        <v>902</v>
      </c>
      <c r="AV24" s="508">
        <v>0</v>
      </c>
      <c r="AW24" s="508">
        <v>0</v>
      </c>
      <c r="AX24" s="508">
        <v>0</v>
      </c>
      <c r="AY24" s="508">
        <v>0</v>
      </c>
      <c r="AZ24" s="508">
        <v>0</v>
      </c>
      <c r="BA24" s="508">
        <v>377</v>
      </c>
      <c r="BB24" s="508">
        <v>377</v>
      </c>
      <c r="BC24" s="508">
        <v>377</v>
      </c>
      <c r="BD24" s="508">
        <v>0</v>
      </c>
      <c r="BE24" s="508"/>
      <c r="BF24" s="508">
        <v>0</v>
      </c>
      <c r="BG24" s="508">
        <v>0</v>
      </c>
      <c r="BH24" s="508">
        <v>0</v>
      </c>
      <c r="BI24" s="508">
        <v>0</v>
      </c>
      <c r="BJ24" s="508">
        <v>0</v>
      </c>
      <c r="BK24" s="508">
        <v>343</v>
      </c>
      <c r="BL24" s="508">
        <v>343</v>
      </c>
      <c r="BM24" s="508">
        <v>343</v>
      </c>
      <c r="BN24" s="508"/>
      <c r="BO24" s="508"/>
    </row>
    <row r="25" spans="1:72" s="484" customFormat="1">
      <c r="A25" s="484" t="s">
        <v>890</v>
      </c>
      <c r="B25" s="484" t="s">
        <v>891</v>
      </c>
      <c r="C25" s="484" t="s">
        <v>438</v>
      </c>
      <c r="D25" s="484" t="s">
        <v>892</v>
      </c>
      <c r="E25" s="484" t="s">
        <v>893</v>
      </c>
      <c r="F25" s="484" t="s">
        <v>913</v>
      </c>
      <c r="G25" s="484" t="s">
        <v>913</v>
      </c>
      <c r="H25" s="484" t="s">
        <v>953</v>
      </c>
      <c r="I25" s="484" t="s">
        <v>937</v>
      </c>
      <c r="J25" s="484" t="s">
        <v>958</v>
      </c>
      <c r="K25" s="484" t="s">
        <v>895</v>
      </c>
      <c r="L25" s="484" t="s">
        <v>896</v>
      </c>
      <c r="M25" s="484" t="s">
        <v>890</v>
      </c>
      <c r="N25" s="484" t="s">
        <v>939</v>
      </c>
      <c r="O25" s="484" t="s">
        <v>924</v>
      </c>
      <c r="P25" s="484" t="s">
        <v>940</v>
      </c>
      <c r="Q25" s="484" t="s">
        <v>941</v>
      </c>
      <c r="R25" s="484" t="s">
        <v>941</v>
      </c>
      <c r="S25" s="484" t="s">
        <v>438</v>
      </c>
      <c r="T25" s="484" t="s">
        <v>942</v>
      </c>
      <c r="U25" s="484" t="s">
        <v>943</v>
      </c>
      <c r="V25" s="484">
        <v>0</v>
      </c>
      <c r="W25" s="484">
        <v>0</v>
      </c>
      <c r="X25" s="484">
        <v>0</v>
      </c>
      <c r="Y25" s="484">
        <v>1117</v>
      </c>
      <c r="Z25" s="484" t="s">
        <v>944</v>
      </c>
      <c r="AA25" s="484" t="s">
        <v>941</v>
      </c>
      <c r="AB25" s="484">
        <v>1117</v>
      </c>
      <c r="AC25" s="484" t="s">
        <v>945</v>
      </c>
      <c r="AD25" s="484" t="s">
        <v>946</v>
      </c>
      <c r="AE25" s="484">
        <v>1117</v>
      </c>
      <c r="AF25" s="484" t="s">
        <v>947</v>
      </c>
      <c r="AG25" s="484" t="s">
        <v>902</v>
      </c>
      <c r="AH25" s="484">
        <v>101</v>
      </c>
      <c r="AI25" s="484">
        <v>1016</v>
      </c>
      <c r="AJ25" s="484" t="s">
        <v>438</v>
      </c>
      <c r="AL25" s="484" t="s">
        <v>959</v>
      </c>
      <c r="AM25" s="484">
        <v>1</v>
      </c>
      <c r="AN25" s="484">
        <v>0</v>
      </c>
      <c r="AO25" s="484">
        <v>0</v>
      </c>
      <c r="AP25" s="484">
        <v>0</v>
      </c>
      <c r="AQ25" s="484" t="s">
        <v>438</v>
      </c>
      <c r="AS25" s="484" t="s">
        <v>947</v>
      </c>
      <c r="AT25" s="484" t="s">
        <v>902</v>
      </c>
      <c r="AV25" s="508">
        <v>0</v>
      </c>
      <c r="AW25" s="508">
        <v>0</v>
      </c>
      <c r="AX25" s="508">
        <v>0</v>
      </c>
      <c r="AY25" s="508">
        <v>0</v>
      </c>
      <c r="AZ25" s="508">
        <v>0</v>
      </c>
      <c r="BA25" s="508">
        <v>1117</v>
      </c>
      <c r="BB25" s="508">
        <v>1117</v>
      </c>
      <c r="BC25" s="508">
        <v>1117</v>
      </c>
      <c r="BD25" s="508">
        <v>0</v>
      </c>
      <c r="BE25" s="508"/>
      <c r="BF25" s="508">
        <v>0</v>
      </c>
      <c r="BG25" s="508">
        <v>0</v>
      </c>
      <c r="BH25" s="508">
        <v>0</v>
      </c>
      <c r="BI25" s="508">
        <v>0</v>
      </c>
      <c r="BJ25" s="508">
        <v>0</v>
      </c>
      <c r="BK25" s="508">
        <v>1015</v>
      </c>
      <c r="BL25" s="508">
        <v>1015</v>
      </c>
      <c r="BM25" s="508">
        <v>1015</v>
      </c>
      <c r="BN25" s="508"/>
      <c r="BO25" s="508"/>
    </row>
    <row r="26" spans="1:72" s="484" customFormat="1">
      <c r="A26" s="484" t="s">
        <v>890</v>
      </c>
      <c r="B26" s="484" t="s">
        <v>891</v>
      </c>
      <c r="C26" s="484" t="s">
        <v>438</v>
      </c>
      <c r="D26" s="484" t="s">
        <v>892</v>
      </c>
      <c r="E26" s="484" t="s">
        <v>893</v>
      </c>
      <c r="F26" s="484" t="s">
        <v>903</v>
      </c>
      <c r="G26" s="484" t="s">
        <v>903</v>
      </c>
      <c r="H26" s="484" t="s">
        <v>960</v>
      </c>
      <c r="I26" s="484" t="s">
        <v>937</v>
      </c>
      <c r="J26" s="484" t="s">
        <v>961</v>
      </c>
      <c r="K26" s="484" t="s">
        <v>895</v>
      </c>
      <c r="L26" s="484" t="s">
        <v>896</v>
      </c>
      <c r="M26" s="484" t="s">
        <v>890</v>
      </c>
      <c r="N26" s="484" t="s">
        <v>939</v>
      </c>
      <c r="O26" s="484" t="s">
        <v>924</v>
      </c>
      <c r="P26" s="484" t="s">
        <v>940</v>
      </c>
      <c r="Q26" s="484" t="s">
        <v>941</v>
      </c>
      <c r="R26" s="484" t="s">
        <v>941</v>
      </c>
      <c r="S26" s="484" t="s">
        <v>438</v>
      </c>
      <c r="T26" s="484" t="s">
        <v>942</v>
      </c>
      <c r="U26" s="484" t="s">
        <v>943</v>
      </c>
      <c r="V26" s="484">
        <v>0</v>
      </c>
      <c r="W26" s="484">
        <v>0</v>
      </c>
      <c r="X26" s="484">
        <v>0</v>
      </c>
      <c r="Y26" s="484">
        <v>455</v>
      </c>
      <c r="Z26" s="484" t="s">
        <v>944</v>
      </c>
      <c r="AA26" s="484" t="s">
        <v>941</v>
      </c>
      <c r="AB26" s="484">
        <v>455</v>
      </c>
      <c r="AC26" s="484" t="s">
        <v>945</v>
      </c>
      <c r="AD26" s="484" t="s">
        <v>946</v>
      </c>
      <c r="AE26" s="484">
        <v>455</v>
      </c>
      <c r="AF26" s="484" t="s">
        <v>947</v>
      </c>
      <c r="AG26" s="484" t="s">
        <v>902</v>
      </c>
      <c r="AH26" s="484">
        <v>41</v>
      </c>
      <c r="AI26" s="484">
        <v>414</v>
      </c>
      <c r="AJ26" s="484" t="s">
        <v>438</v>
      </c>
      <c r="AL26" s="484" t="s">
        <v>962</v>
      </c>
      <c r="AM26" s="484">
        <v>1</v>
      </c>
      <c r="AN26" s="484">
        <v>0</v>
      </c>
      <c r="AO26" s="484">
        <v>0</v>
      </c>
      <c r="AP26" s="484">
        <v>0</v>
      </c>
      <c r="AQ26" s="484" t="s">
        <v>438</v>
      </c>
      <c r="AS26" s="484" t="s">
        <v>947</v>
      </c>
      <c r="AT26" s="484" t="s">
        <v>902</v>
      </c>
      <c r="AV26" s="508">
        <v>0</v>
      </c>
      <c r="AW26" s="508">
        <v>0</v>
      </c>
      <c r="AX26" s="508">
        <v>0</v>
      </c>
      <c r="AY26" s="508">
        <v>0</v>
      </c>
      <c r="AZ26" s="508">
        <v>0</v>
      </c>
      <c r="BA26" s="508">
        <v>455</v>
      </c>
      <c r="BB26" s="508">
        <v>455</v>
      </c>
      <c r="BC26" s="508">
        <v>455</v>
      </c>
      <c r="BD26" s="508">
        <v>0</v>
      </c>
      <c r="BE26" s="508"/>
      <c r="BF26" s="508">
        <v>0</v>
      </c>
      <c r="BG26" s="508">
        <v>0</v>
      </c>
      <c r="BH26" s="508">
        <v>0</v>
      </c>
      <c r="BI26" s="508">
        <v>0</v>
      </c>
      <c r="BJ26" s="508">
        <v>0</v>
      </c>
      <c r="BK26" s="508">
        <v>414</v>
      </c>
      <c r="BL26" s="508">
        <v>414</v>
      </c>
      <c r="BM26" s="508">
        <v>414</v>
      </c>
      <c r="BN26" s="508"/>
      <c r="BO26" s="508"/>
    </row>
    <row r="27" spans="1:72" s="484" customFormat="1">
      <c r="A27" s="484" t="s">
        <v>890</v>
      </c>
      <c r="B27" s="484" t="s">
        <v>891</v>
      </c>
      <c r="C27" s="484" t="s">
        <v>438</v>
      </c>
      <c r="D27" s="484" t="s">
        <v>892</v>
      </c>
      <c r="E27" s="484" t="s">
        <v>893</v>
      </c>
      <c r="F27" s="484" t="s">
        <v>903</v>
      </c>
      <c r="G27" s="484" t="s">
        <v>903</v>
      </c>
      <c r="H27" s="484" t="s">
        <v>960</v>
      </c>
      <c r="I27" s="484" t="s">
        <v>937</v>
      </c>
      <c r="J27" s="484" t="s">
        <v>963</v>
      </c>
      <c r="K27" s="484" t="s">
        <v>895</v>
      </c>
      <c r="L27" s="484" t="s">
        <v>896</v>
      </c>
      <c r="M27" s="484" t="s">
        <v>890</v>
      </c>
      <c r="N27" s="484" t="s">
        <v>939</v>
      </c>
      <c r="O27" s="484" t="s">
        <v>924</v>
      </c>
      <c r="P27" s="484" t="s">
        <v>940</v>
      </c>
      <c r="Q27" s="484" t="s">
        <v>941</v>
      </c>
      <c r="R27" s="484" t="s">
        <v>941</v>
      </c>
      <c r="S27" s="484" t="s">
        <v>438</v>
      </c>
      <c r="T27" s="484" t="s">
        <v>942</v>
      </c>
      <c r="U27" s="484" t="s">
        <v>943</v>
      </c>
      <c r="V27" s="484">
        <v>0</v>
      </c>
      <c r="W27" s="484">
        <v>0</v>
      </c>
      <c r="X27" s="484">
        <v>0</v>
      </c>
      <c r="Y27" s="484">
        <v>119045</v>
      </c>
      <c r="Z27" s="484" t="s">
        <v>944</v>
      </c>
      <c r="AA27" s="484" t="s">
        <v>941</v>
      </c>
      <c r="AB27" s="484">
        <v>119045</v>
      </c>
      <c r="AC27" s="484" t="s">
        <v>945</v>
      </c>
      <c r="AD27" s="484" t="s">
        <v>946</v>
      </c>
      <c r="AE27" s="484">
        <v>119045</v>
      </c>
      <c r="AF27" s="484" t="s">
        <v>947</v>
      </c>
      <c r="AG27" s="484" t="s">
        <v>902</v>
      </c>
      <c r="AH27" s="484">
        <v>10822</v>
      </c>
      <c r="AI27" s="484">
        <v>108223</v>
      </c>
      <c r="AJ27" s="484" t="s">
        <v>438</v>
      </c>
      <c r="AL27" s="484" t="s">
        <v>964</v>
      </c>
      <c r="AM27" s="484">
        <v>1</v>
      </c>
      <c r="AN27" s="484">
        <v>0</v>
      </c>
      <c r="AO27" s="484">
        <v>0</v>
      </c>
      <c r="AP27" s="484">
        <v>0</v>
      </c>
      <c r="AQ27" s="484" t="s">
        <v>438</v>
      </c>
      <c r="AS27" s="484" t="s">
        <v>947</v>
      </c>
      <c r="AT27" s="484" t="s">
        <v>902</v>
      </c>
      <c r="AV27" s="508">
        <v>0</v>
      </c>
      <c r="AW27" s="508">
        <v>0</v>
      </c>
      <c r="AX27" s="508">
        <v>0</v>
      </c>
      <c r="AY27" s="508">
        <v>0</v>
      </c>
      <c r="AZ27" s="508">
        <v>0</v>
      </c>
      <c r="BA27" s="508">
        <v>119045</v>
      </c>
      <c r="BB27" s="508">
        <v>119045</v>
      </c>
      <c r="BC27" s="508">
        <v>119045</v>
      </c>
      <c r="BD27" s="508">
        <v>0</v>
      </c>
      <c r="BE27" s="508"/>
      <c r="BF27" s="508">
        <v>0</v>
      </c>
      <c r="BG27" s="508">
        <v>0</v>
      </c>
      <c r="BH27" s="508">
        <v>0</v>
      </c>
      <c r="BI27" s="508">
        <v>0</v>
      </c>
      <c r="BJ27" s="508">
        <v>0</v>
      </c>
      <c r="BK27" s="508">
        <v>108223</v>
      </c>
      <c r="BL27" s="508">
        <v>108223</v>
      </c>
      <c r="BM27" s="508">
        <v>108223</v>
      </c>
      <c r="BN27" s="508"/>
      <c r="BO27" s="508"/>
    </row>
    <row r="28" spans="1:72" s="484" customFormat="1">
      <c r="A28" s="484" t="s">
        <v>890</v>
      </c>
      <c r="B28" s="484" t="s">
        <v>891</v>
      </c>
      <c r="C28" s="484" t="s">
        <v>438</v>
      </c>
      <c r="D28" s="484" t="s">
        <v>892</v>
      </c>
      <c r="E28" s="484" t="s">
        <v>893</v>
      </c>
      <c r="F28" s="484" t="s">
        <v>908</v>
      </c>
      <c r="G28" s="484" t="s">
        <v>908</v>
      </c>
      <c r="H28" s="484" t="s">
        <v>965</v>
      </c>
      <c r="I28" s="484" t="s">
        <v>937</v>
      </c>
      <c r="J28" s="484" t="s">
        <v>966</v>
      </c>
      <c r="K28" s="484" t="s">
        <v>895</v>
      </c>
      <c r="L28" s="484" t="s">
        <v>896</v>
      </c>
      <c r="M28" s="484" t="s">
        <v>890</v>
      </c>
      <c r="N28" s="484" t="s">
        <v>939</v>
      </c>
      <c r="O28" s="484" t="s">
        <v>924</v>
      </c>
      <c r="P28" s="484" t="s">
        <v>940</v>
      </c>
      <c r="Q28" s="484" t="s">
        <v>941</v>
      </c>
      <c r="R28" s="484" t="s">
        <v>941</v>
      </c>
      <c r="S28" s="484" t="s">
        <v>438</v>
      </c>
      <c r="T28" s="484" t="s">
        <v>942</v>
      </c>
      <c r="U28" s="484" t="s">
        <v>943</v>
      </c>
      <c r="V28" s="484">
        <v>0</v>
      </c>
      <c r="W28" s="484">
        <v>0</v>
      </c>
      <c r="X28" s="484">
        <v>0</v>
      </c>
      <c r="Y28" s="484">
        <v>46834</v>
      </c>
      <c r="Z28" s="484" t="s">
        <v>944</v>
      </c>
      <c r="AA28" s="484" t="s">
        <v>941</v>
      </c>
      <c r="AB28" s="484">
        <v>46834</v>
      </c>
      <c r="AC28" s="484" t="s">
        <v>945</v>
      </c>
      <c r="AD28" s="484" t="s">
        <v>946</v>
      </c>
      <c r="AE28" s="484">
        <v>46834</v>
      </c>
      <c r="AF28" s="484" t="s">
        <v>947</v>
      </c>
      <c r="AG28" s="484" t="s">
        <v>902</v>
      </c>
      <c r="AH28" s="484">
        <v>4257</v>
      </c>
      <c r="AI28" s="484">
        <v>42577</v>
      </c>
      <c r="AJ28" s="484" t="s">
        <v>438</v>
      </c>
      <c r="AL28" s="484" t="s">
        <v>967</v>
      </c>
      <c r="AM28" s="484">
        <v>1</v>
      </c>
      <c r="AN28" s="484">
        <v>0</v>
      </c>
      <c r="AO28" s="484">
        <v>0</v>
      </c>
      <c r="AP28" s="484">
        <v>0</v>
      </c>
      <c r="AQ28" s="484" t="s">
        <v>438</v>
      </c>
      <c r="AS28" s="484" t="s">
        <v>947</v>
      </c>
      <c r="AT28" s="484" t="s">
        <v>902</v>
      </c>
      <c r="AV28" s="508">
        <v>0</v>
      </c>
      <c r="AW28" s="508">
        <v>0</v>
      </c>
      <c r="AX28" s="508">
        <v>0</v>
      </c>
      <c r="AY28" s="508">
        <v>0</v>
      </c>
      <c r="AZ28" s="508">
        <v>0</v>
      </c>
      <c r="BA28" s="508">
        <v>46834</v>
      </c>
      <c r="BB28" s="508">
        <v>46834</v>
      </c>
      <c r="BC28" s="508">
        <v>46834</v>
      </c>
      <c r="BD28" s="508">
        <v>0</v>
      </c>
      <c r="BE28" s="508"/>
      <c r="BF28" s="508">
        <v>0</v>
      </c>
      <c r="BG28" s="508">
        <v>0</v>
      </c>
      <c r="BH28" s="508">
        <v>0</v>
      </c>
      <c r="BI28" s="508">
        <v>0</v>
      </c>
      <c r="BJ28" s="508">
        <v>0</v>
      </c>
      <c r="BK28" s="508">
        <v>42576</v>
      </c>
      <c r="BL28" s="508">
        <v>42576</v>
      </c>
      <c r="BM28" s="508">
        <v>42576</v>
      </c>
      <c r="BN28" s="508"/>
      <c r="BO28" s="508"/>
    </row>
    <row r="29" spans="1:72" s="484" customFormat="1">
      <c r="A29" s="484" t="s">
        <v>890</v>
      </c>
      <c r="B29" s="484" t="s">
        <v>891</v>
      </c>
      <c r="C29" s="484" t="s">
        <v>438</v>
      </c>
      <c r="D29" s="484" t="s">
        <v>892</v>
      </c>
      <c r="E29" s="484" t="s">
        <v>893</v>
      </c>
      <c r="F29" s="484" t="s">
        <v>908</v>
      </c>
      <c r="G29" s="484" t="s">
        <v>908</v>
      </c>
      <c r="H29" s="484" t="s">
        <v>965</v>
      </c>
      <c r="I29" s="484" t="s">
        <v>937</v>
      </c>
      <c r="J29" s="484" t="s">
        <v>968</v>
      </c>
      <c r="K29" s="484" t="s">
        <v>895</v>
      </c>
      <c r="L29" s="484" t="s">
        <v>896</v>
      </c>
      <c r="M29" s="484" t="s">
        <v>890</v>
      </c>
      <c r="N29" s="484" t="s">
        <v>939</v>
      </c>
      <c r="O29" s="484" t="s">
        <v>924</v>
      </c>
      <c r="P29" s="484" t="s">
        <v>940</v>
      </c>
      <c r="Q29" s="484" t="s">
        <v>941</v>
      </c>
      <c r="R29" s="484" t="s">
        <v>941</v>
      </c>
      <c r="S29" s="484" t="s">
        <v>438</v>
      </c>
      <c r="T29" s="484" t="s">
        <v>942</v>
      </c>
      <c r="U29" s="484" t="s">
        <v>943</v>
      </c>
      <c r="V29" s="484">
        <v>0</v>
      </c>
      <c r="W29" s="484">
        <v>0</v>
      </c>
      <c r="X29" s="484">
        <v>0</v>
      </c>
      <c r="Y29" s="484">
        <v>139433</v>
      </c>
      <c r="Z29" s="484" t="s">
        <v>944</v>
      </c>
      <c r="AA29" s="484" t="s">
        <v>941</v>
      </c>
      <c r="AB29" s="484">
        <v>139433</v>
      </c>
      <c r="AC29" s="484" t="s">
        <v>945</v>
      </c>
      <c r="AD29" s="484" t="s">
        <v>946</v>
      </c>
      <c r="AE29" s="484">
        <v>139433</v>
      </c>
      <c r="AF29" s="484" t="s">
        <v>947</v>
      </c>
      <c r="AG29" s="484" t="s">
        <v>902</v>
      </c>
      <c r="AH29" s="484">
        <v>12675</v>
      </c>
      <c r="AI29" s="484">
        <v>126758</v>
      </c>
      <c r="AJ29" s="484" t="s">
        <v>438</v>
      </c>
      <c r="AL29" s="484" t="s">
        <v>969</v>
      </c>
      <c r="AM29" s="484">
        <v>1</v>
      </c>
      <c r="AN29" s="484">
        <v>0</v>
      </c>
      <c r="AO29" s="484">
        <v>0</v>
      </c>
      <c r="AP29" s="484">
        <v>0</v>
      </c>
      <c r="AQ29" s="484" t="s">
        <v>438</v>
      </c>
      <c r="AS29" s="484" t="s">
        <v>947</v>
      </c>
      <c r="AT29" s="484" t="s">
        <v>902</v>
      </c>
      <c r="AV29" s="508">
        <v>0</v>
      </c>
      <c r="AW29" s="508">
        <v>0</v>
      </c>
      <c r="AX29" s="508">
        <v>0</v>
      </c>
      <c r="AY29" s="508">
        <v>0</v>
      </c>
      <c r="AZ29" s="508">
        <v>0</v>
      </c>
      <c r="BA29" s="508">
        <v>139433</v>
      </c>
      <c r="BB29" s="508">
        <v>139433</v>
      </c>
      <c r="BC29" s="508">
        <v>139433</v>
      </c>
      <c r="BD29" s="508">
        <v>0</v>
      </c>
      <c r="BE29" s="508"/>
      <c r="BF29" s="508">
        <v>0</v>
      </c>
      <c r="BG29" s="508">
        <v>0</v>
      </c>
      <c r="BH29" s="508">
        <v>0</v>
      </c>
      <c r="BI29" s="508">
        <v>0</v>
      </c>
      <c r="BJ29" s="508">
        <v>0</v>
      </c>
      <c r="BK29" s="508">
        <v>126757</v>
      </c>
      <c r="BL29" s="508">
        <v>126757</v>
      </c>
      <c r="BM29" s="508">
        <v>126757</v>
      </c>
      <c r="BN29" s="508"/>
      <c r="BO29" s="508"/>
    </row>
    <row r="30" spans="1:72" s="484" customFormat="1">
      <c r="A30" s="484" t="s">
        <v>890</v>
      </c>
      <c r="B30" s="484" t="s">
        <v>891</v>
      </c>
      <c r="C30" s="484" t="s">
        <v>438</v>
      </c>
      <c r="D30" s="484" t="s">
        <v>892</v>
      </c>
      <c r="E30" s="484" t="s">
        <v>893</v>
      </c>
      <c r="F30" s="484" t="s">
        <v>914</v>
      </c>
      <c r="G30" s="484" t="s">
        <v>914</v>
      </c>
      <c r="H30" s="484" t="s">
        <v>970</v>
      </c>
      <c r="I30" s="484" t="s">
        <v>937</v>
      </c>
      <c r="J30" s="484" t="s">
        <v>971</v>
      </c>
      <c r="K30" s="484" t="s">
        <v>895</v>
      </c>
      <c r="L30" s="484" t="s">
        <v>896</v>
      </c>
      <c r="M30" s="484" t="s">
        <v>890</v>
      </c>
      <c r="N30" s="484" t="s">
        <v>939</v>
      </c>
      <c r="O30" s="484" t="s">
        <v>924</v>
      </c>
      <c r="P30" s="484" t="s">
        <v>940</v>
      </c>
      <c r="Q30" s="484" t="s">
        <v>941</v>
      </c>
      <c r="R30" s="484" t="s">
        <v>941</v>
      </c>
      <c r="S30" s="484" t="s">
        <v>438</v>
      </c>
      <c r="T30" s="484" t="s">
        <v>942</v>
      </c>
      <c r="U30" s="484" t="s">
        <v>943</v>
      </c>
      <c r="V30" s="484">
        <v>0</v>
      </c>
      <c r="W30" s="484">
        <v>0</v>
      </c>
      <c r="X30" s="484">
        <v>0</v>
      </c>
      <c r="Y30" s="484">
        <v>288</v>
      </c>
      <c r="Z30" s="484" t="s">
        <v>944</v>
      </c>
      <c r="AA30" s="484" t="s">
        <v>941</v>
      </c>
      <c r="AB30" s="484">
        <v>288</v>
      </c>
      <c r="AC30" s="484" t="s">
        <v>945</v>
      </c>
      <c r="AD30" s="484" t="s">
        <v>946</v>
      </c>
      <c r="AE30" s="484">
        <v>288</v>
      </c>
      <c r="AF30" s="484" t="s">
        <v>947</v>
      </c>
      <c r="AG30" s="484" t="s">
        <v>902</v>
      </c>
      <c r="AH30" s="484">
        <v>26</v>
      </c>
      <c r="AI30" s="484">
        <v>262</v>
      </c>
      <c r="AJ30" s="484" t="s">
        <v>438</v>
      </c>
      <c r="AL30" s="484" t="s">
        <v>972</v>
      </c>
      <c r="AM30" s="484">
        <v>1</v>
      </c>
      <c r="AN30" s="484">
        <v>0</v>
      </c>
      <c r="AO30" s="484">
        <v>0</v>
      </c>
      <c r="AP30" s="484">
        <v>0</v>
      </c>
      <c r="AQ30" s="484" t="s">
        <v>438</v>
      </c>
      <c r="AS30" s="484" t="s">
        <v>947</v>
      </c>
      <c r="AT30" s="484" t="s">
        <v>902</v>
      </c>
      <c r="AV30" s="508">
        <v>0</v>
      </c>
      <c r="AW30" s="508">
        <v>0</v>
      </c>
      <c r="AX30" s="508">
        <v>0</v>
      </c>
      <c r="AY30" s="508">
        <v>0</v>
      </c>
      <c r="AZ30" s="508">
        <v>0</v>
      </c>
      <c r="BA30" s="508">
        <v>288</v>
      </c>
      <c r="BB30" s="508">
        <v>288</v>
      </c>
      <c r="BC30" s="508">
        <v>288</v>
      </c>
      <c r="BD30" s="508">
        <v>0</v>
      </c>
      <c r="BE30" s="508"/>
      <c r="BF30" s="508">
        <v>0</v>
      </c>
      <c r="BG30" s="508">
        <v>0</v>
      </c>
      <c r="BH30" s="508">
        <v>0</v>
      </c>
      <c r="BI30" s="508">
        <v>0</v>
      </c>
      <c r="BJ30" s="508">
        <v>0</v>
      </c>
      <c r="BK30" s="508">
        <v>262</v>
      </c>
      <c r="BL30" s="508">
        <v>262</v>
      </c>
      <c r="BM30" s="508">
        <v>262</v>
      </c>
      <c r="BN30" s="508"/>
      <c r="BO30" s="508"/>
    </row>
    <row r="31" spans="1:72" s="484" customFormat="1">
      <c r="A31" s="484" t="s">
        <v>890</v>
      </c>
      <c r="B31" s="484" t="s">
        <v>891</v>
      </c>
      <c r="C31" s="484" t="s">
        <v>438</v>
      </c>
      <c r="D31" s="484" t="s">
        <v>892</v>
      </c>
      <c r="E31" s="484" t="s">
        <v>893</v>
      </c>
      <c r="F31" s="484" t="s">
        <v>914</v>
      </c>
      <c r="G31" s="484" t="s">
        <v>914</v>
      </c>
      <c r="H31" s="484" t="s">
        <v>970</v>
      </c>
      <c r="I31" s="484" t="s">
        <v>937</v>
      </c>
      <c r="J31" s="484" t="s">
        <v>973</v>
      </c>
      <c r="K31" s="484" t="s">
        <v>895</v>
      </c>
      <c r="L31" s="484" t="s">
        <v>896</v>
      </c>
      <c r="M31" s="484" t="s">
        <v>890</v>
      </c>
      <c r="N31" s="484" t="s">
        <v>939</v>
      </c>
      <c r="O31" s="484" t="s">
        <v>924</v>
      </c>
      <c r="P31" s="484" t="s">
        <v>940</v>
      </c>
      <c r="Q31" s="484" t="s">
        <v>941</v>
      </c>
      <c r="R31" s="484" t="s">
        <v>941</v>
      </c>
      <c r="S31" s="484" t="s">
        <v>438</v>
      </c>
      <c r="T31" s="484" t="s">
        <v>942</v>
      </c>
      <c r="U31" s="484" t="s">
        <v>943</v>
      </c>
      <c r="V31" s="484">
        <v>0</v>
      </c>
      <c r="W31" s="484">
        <v>0</v>
      </c>
      <c r="X31" s="484">
        <v>0</v>
      </c>
      <c r="Y31" s="484">
        <v>765</v>
      </c>
      <c r="Z31" s="484" t="s">
        <v>944</v>
      </c>
      <c r="AA31" s="484" t="s">
        <v>941</v>
      </c>
      <c r="AB31" s="484">
        <v>765</v>
      </c>
      <c r="AC31" s="484" t="s">
        <v>945</v>
      </c>
      <c r="AD31" s="484" t="s">
        <v>946</v>
      </c>
      <c r="AE31" s="484">
        <v>765</v>
      </c>
      <c r="AF31" s="484" t="s">
        <v>947</v>
      </c>
      <c r="AG31" s="484" t="s">
        <v>902</v>
      </c>
      <c r="AH31" s="484">
        <v>69</v>
      </c>
      <c r="AI31" s="484">
        <v>696</v>
      </c>
      <c r="AJ31" s="484" t="s">
        <v>438</v>
      </c>
      <c r="AL31" s="484" t="s">
        <v>974</v>
      </c>
      <c r="AM31" s="484">
        <v>1</v>
      </c>
      <c r="AN31" s="484">
        <v>0</v>
      </c>
      <c r="AO31" s="484">
        <v>0</v>
      </c>
      <c r="AP31" s="484">
        <v>0</v>
      </c>
      <c r="AQ31" s="484" t="s">
        <v>438</v>
      </c>
      <c r="AS31" s="484" t="s">
        <v>947</v>
      </c>
      <c r="AT31" s="484" t="s">
        <v>902</v>
      </c>
      <c r="AV31" s="508">
        <v>0</v>
      </c>
      <c r="AW31" s="508">
        <v>0</v>
      </c>
      <c r="AX31" s="508">
        <v>0</v>
      </c>
      <c r="AY31" s="508">
        <v>0</v>
      </c>
      <c r="AZ31" s="508">
        <v>0</v>
      </c>
      <c r="BA31" s="508">
        <v>765</v>
      </c>
      <c r="BB31" s="508">
        <v>765</v>
      </c>
      <c r="BC31" s="508">
        <v>765</v>
      </c>
      <c r="BD31" s="508">
        <v>0</v>
      </c>
      <c r="BE31" s="508"/>
      <c r="BF31" s="508">
        <v>0</v>
      </c>
      <c r="BG31" s="508">
        <v>0</v>
      </c>
      <c r="BH31" s="508">
        <v>0</v>
      </c>
      <c r="BI31" s="508">
        <v>0</v>
      </c>
      <c r="BJ31" s="508">
        <v>0</v>
      </c>
      <c r="BK31" s="508">
        <v>695</v>
      </c>
      <c r="BL31" s="508">
        <v>695</v>
      </c>
      <c r="BM31" s="508">
        <v>695</v>
      </c>
      <c r="BN31" s="508"/>
      <c r="BO31" s="508"/>
    </row>
    <row r="32" spans="1:72" s="484" customFormat="1">
      <c r="A32" s="484" t="s">
        <v>890</v>
      </c>
      <c r="B32" s="484" t="s">
        <v>891</v>
      </c>
      <c r="C32" s="484" t="s">
        <v>438</v>
      </c>
      <c r="D32" s="484" t="s">
        <v>892</v>
      </c>
      <c r="E32" s="484" t="s">
        <v>893</v>
      </c>
      <c r="F32" s="484" t="s">
        <v>975</v>
      </c>
      <c r="G32" s="484" t="s">
        <v>975</v>
      </c>
      <c r="H32" s="484" t="s">
        <v>976</v>
      </c>
      <c r="I32" s="484" t="s">
        <v>937</v>
      </c>
      <c r="J32" s="484" t="s">
        <v>977</v>
      </c>
      <c r="K32" s="484" t="s">
        <v>895</v>
      </c>
      <c r="L32" s="484" t="s">
        <v>896</v>
      </c>
      <c r="M32" s="484" t="s">
        <v>890</v>
      </c>
      <c r="N32" s="484" t="s">
        <v>939</v>
      </c>
      <c r="O32" s="484" t="s">
        <v>924</v>
      </c>
      <c r="P32" s="484" t="s">
        <v>940</v>
      </c>
      <c r="Q32" s="484" t="s">
        <v>941</v>
      </c>
      <c r="R32" s="484" t="s">
        <v>941</v>
      </c>
      <c r="S32" s="484" t="s">
        <v>438</v>
      </c>
      <c r="T32" s="484" t="s">
        <v>942</v>
      </c>
      <c r="U32" s="484" t="s">
        <v>943</v>
      </c>
      <c r="V32" s="484">
        <v>0</v>
      </c>
      <c r="W32" s="484">
        <v>0</v>
      </c>
      <c r="X32" s="484">
        <v>0</v>
      </c>
      <c r="Y32" s="484">
        <v>5363</v>
      </c>
      <c r="Z32" s="484" t="s">
        <v>944</v>
      </c>
      <c r="AA32" s="484" t="s">
        <v>941</v>
      </c>
      <c r="AB32" s="484">
        <v>5363</v>
      </c>
      <c r="AC32" s="484" t="s">
        <v>945</v>
      </c>
      <c r="AD32" s="484" t="s">
        <v>946</v>
      </c>
      <c r="AE32" s="484">
        <v>5363</v>
      </c>
      <c r="AF32" s="484" t="s">
        <v>947</v>
      </c>
      <c r="AG32" s="484" t="s">
        <v>902</v>
      </c>
      <c r="AH32" s="484">
        <v>487</v>
      </c>
      <c r="AI32" s="484">
        <v>4876</v>
      </c>
      <c r="AJ32" s="484" t="s">
        <v>438</v>
      </c>
      <c r="AL32" s="484" t="s">
        <v>978</v>
      </c>
      <c r="AM32" s="484">
        <v>1</v>
      </c>
      <c r="AN32" s="484">
        <v>0</v>
      </c>
      <c r="AO32" s="484">
        <v>0</v>
      </c>
      <c r="AP32" s="484">
        <v>0</v>
      </c>
      <c r="AQ32" s="484" t="s">
        <v>438</v>
      </c>
      <c r="AS32" s="484" t="s">
        <v>947</v>
      </c>
      <c r="AT32" s="484" t="s">
        <v>902</v>
      </c>
      <c r="AV32" s="508">
        <v>0</v>
      </c>
      <c r="AW32" s="508">
        <v>0</v>
      </c>
      <c r="AX32" s="508">
        <v>0</v>
      </c>
      <c r="AY32" s="508">
        <v>0</v>
      </c>
      <c r="AZ32" s="508">
        <v>0</v>
      </c>
      <c r="BA32" s="508">
        <v>5363</v>
      </c>
      <c r="BB32" s="508">
        <v>5363</v>
      </c>
      <c r="BC32" s="508">
        <v>5363</v>
      </c>
      <c r="BD32" s="508">
        <v>0</v>
      </c>
      <c r="BE32" s="508"/>
      <c r="BF32" s="508">
        <v>0</v>
      </c>
      <c r="BG32" s="508">
        <v>0</v>
      </c>
      <c r="BH32" s="508">
        <v>0</v>
      </c>
      <c r="BI32" s="508">
        <v>0</v>
      </c>
      <c r="BJ32" s="508">
        <v>0</v>
      </c>
      <c r="BK32" s="508">
        <v>4875</v>
      </c>
      <c r="BL32" s="508">
        <v>4875</v>
      </c>
      <c r="BM32" s="508">
        <v>4875</v>
      </c>
      <c r="BN32" s="508"/>
      <c r="BO32" s="508"/>
    </row>
    <row r="33" spans="1:67" s="484" customFormat="1">
      <c r="A33" s="484" t="s">
        <v>890</v>
      </c>
      <c r="B33" s="484" t="s">
        <v>891</v>
      </c>
      <c r="C33" s="484" t="s">
        <v>438</v>
      </c>
      <c r="D33" s="484" t="s">
        <v>892</v>
      </c>
      <c r="E33" s="484" t="s">
        <v>893</v>
      </c>
      <c r="F33" s="484" t="s">
        <v>917</v>
      </c>
      <c r="G33" s="484" t="s">
        <v>917</v>
      </c>
      <c r="H33" s="484" t="s">
        <v>979</v>
      </c>
      <c r="I33" s="484" t="s">
        <v>937</v>
      </c>
      <c r="J33" s="484" t="s">
        <v>980</v>
      </c>
      <c r="K33" s="484" t="s">
        <v>895</v>
      </c>
      <c r="L33" s="484" t="s">
        <v>896</v>
      </c>
      <c r="M33" s="484" t="s">
        <v>890</v>
      </c>
      <c r="N33" s="484" t="s">
        <v>939</v>
      </c>
      <c r="O33" s="484" t="s">
        <v>924</v>
      </c>
      <c r="P33" s="484" t="s">
        <v>940</v>
      </c>
      <c r="Q33" s="484" t="s">
        <v>941</v>
      </c>
      <c r="R33" s="484" t="s">
        <v>941</v>
      </c>
      <c r="S33" s="484" t="s">
        <v>438</v>
      </c>
      <c r="T33" s="484" t="s">
        <v>942</v>
      </c>
      <c r="U33" s="484" t="s">
        <v>943</v>
      </c>
      <c r="V33" s="484">
        <v>0</v>
      </c>
      <c r="W33" s="484">
        <v>0</v>
      </c>
      <c r="X33" s="484">
        <v>0</v>
      </c>
      <c r="Y33" s="484">
        <v>932</v>
      </c>
      <c r="Z33" s="484" t="s">
        <v>944</v>
      </c>
      <c r="AA33" s="484" t="s">
        <v>941</v>
      </c>
      <c r="AB33" s="484">
        <v>932</v>
      </c>
      <c r="AC33" s="484" t="s">
        <v>945</v>
      </c>
      <c r="AD33" s="484" t="s">
        <v>946</v>
      </c>
      <c r="AE33" s="484">
        <v>932</v>
      </c>
      <c r="AF33" s="484" t="s">
        <v>947</v>
      </c>
      <c r="AG33" s="484" t="s">
        <v>902</v>
      </c>
      <c r="AH33" s="484">
        <v>84</v>
      </c>
      <c r="AI33" s="484">
        <v>848</v>
      </c>
      <c r="AJ33" s="484" t="s">
        <v>438</v>
      </c>
      <c r="AL33" s="484" t="s">
        <v>981</v>
      </c>
      <c r="AM33" s="484">
        <v>1</v>
      </c>
      <c r="AN33" s="484">
        <v>0</v>
      </c>
      <c r="AO33" s="484">
        <v>0</v>
      </c>
      <c r="AP33" s="484">
        <v>0</v>
      </c>
      <c r="AQ33" s="484" t="s">
        <v>438</v>
      </c>
      <c r="AS33" s="484" t="s">
        <v>947</v>
      </c>
      <c r="AT33" s="484" t="s">
        <v>902</v>
      </c>
      <c r="AV33" s="508">
        <v>0</v>
      </c>
      <c r="AW33" s="508">
        <v>0</v>
      </c>
      <c r="AX33" s="508">
        <v>0</v>
      </c>
      <c r="AY33" s="508">
        <v>0</v>
      </c>
      <c r="AZ33" s="508">
        <v>0</v>
      </c>
      <c r="BA33" s="508">
        <v>932</v>
      </c>
      <c r="BB33" s="508">
        <v>932</v>
      </c>
      <c r="BC33" s="508">
        <v>932</v>
      </c>
      <c r="BD33" s="508">
        <v>0</v>
      </c>
      <c r="BE33" s="508"/>
      <c r="BF33" s="508">
        <v>0</v>
      </c>
      <c r="BG33" s="508">
        <v>0</v>
      </c>
      <c r="BH33" s="508">
        <v>0</v>
      </c>
      <c r="BI33" s="508">
        <v>0</v>
      </c>
      <c r="BJ33" s="508">
        <v>0</v>
      </c>
      <c r="BK33" s="508">
        <v>847</v>
      </c>
      <c r="BL33" s="508">
        <v>847</v>
      </c>
      <c r="BM33" s="508">
        <v>847</v>
      </c>
      <c r="BN33" s="508"/>
      <c r="BO33" s="508"/>
    </row>
    <row r="34" spans="1:67" s="484" customFormat="1">
      <c r="A34" s="484" t="s">
        <v>890</v>
      </c>
      <c r="B34" s="484" t="s">
        <v>891</v>
      </c>
      <c r="C34" s="484" t="s">
        <v>438</v>
      </c>
      <c r="D34" s="484" t="s">
        <v>892</v>
      </c>
      <c r="E34" s="484" t="s">
        <v>893</v>
      </c>
      <c r="F34" s="484" t="s">
        <v>917</v>
      </c>
      <c r="G34" s="484" t="s">
        <v>917</v>
      </c>
      <c r="H34" s="484" t="s">
        <v>979</v>
      </c>
      <c r="I34" s="484" t="s">
        <v>937</v>
      </c>
      <c r="J34" s="484" t="s">
        <v>982</v>
      </c>
      <c r="K34" s="484" t="s">
        <v>895</v>
      </c>
      <c r="L34" s="484" t="s">
        <v>896</v>
      </c>
      <c r="M34" s="484" t="s">
        <v>890</v>
      </c>
      <c r="N34" s="484" t="s">
        <v>939</v>
      </c>
      <c r="O34" s="484" t="s">
        <v>924</v>
      </c>
      <c r="P34" s="484" t="s">
        <v>940</v>
      </c>
      <c r="Q34" s="484" t="s">
        <v>941</v>
      </c>
      <c r="R34" s="484" t="s">
        <v>941</v>
      </c>
      <c r="S34" s="484" t="s">
        <v>438</v>
      </c>
      <c r="T34" s="484" t="s">
        <v>942</v>
      </c>
      <c r="U34" s="484" t="s">
        <v>943</v>
      </c>
      <c r="V34" s="484">
        <v>0</v>
      </c>
      <c r="W34" s="484">
        <v>0</v>
      </c>
      <c r="X34" s="484">
        <v>0</v>
      </c>
      <c r="Y34" s="484">
        <v>2471</v>
      </c>
      <c r="Z34" s="484" t="s">
        <v>944</v>
      </c>
      <c r="AA34" s="484" t="s">
        <v>941</v>
      </c>
      <c r="AB34" s="484">
        <v>2471</v>
      </c>
      <c r="AC34" s="484" t="s">
        <v>945</v>
      </c>
      <c r="AD34" s="484" t="s">
        <v>946</v>
      </c>
      <c r="AE34" s="484">
        <v>2471</v>
      </c>
      <c r="AF34" s="484" t="s">
        <v>947</v>
      </c>
      <c r="AG34" s="484" t="s">
        <v>902</v>
      </c>
      <c r="AH34" s="484">
        <v>224</v>
      </c>
      <c r="AI34" s="484">
        <v>2247</v>
      </c>
      <c r="AJ34" s="484" t="s">
        <v>438</v>
      </c>
      <c r="AL34" s="484" t="s">
        <v>983</v>
      </c>
      <c r="AM34" s="484">
        <v>1</v>
      </c>
      <c r="AN34" s="484">
        <v>0</v>
      </c>
      <c r="AO34" s="484">
        <v>0</v>
      </c>
      <c r="AP34" s="484">
        <v>0</v>
      </c>
      <c r="AQ34" s="484" t="s">
        <v>438</v>
      </c>
      <c r="AS34" s="484" t="s">
        <v>947</v>
      </c>
      <c r="AT34" s="484" t="s">
        <v>902</v>
      </c>
      <c r="AV34" s="508">
        <v>0</v>
      </c>
      <c r="AW34" s="508">
        <v>0</v>
      </c>
      <c r="AX34" s="508">
        <v>0</v>
      </c>
      <c r="AY34" s="508">
        <v>0</v>
      </c>
      <c r="AZ34" s="508">
        <v>0</v>
      </c>
      <c r="BA34" s="508">
        <v>2471</v>
      </c>
      <c r="BB34" s="508">
        <v>2471</v>
      </c>
      <c r="BC34" s="508">
        <v>2471</v>
      </c>
      <c r="BD34" s="508">
        <v>0</v>
      </c>
      <c r="BE34" s="508"/>
      <c r="BF34" s="508">
        <v>0</v>
      </c>
      <c r="BG34" s="508">
        <v>0</v>
      </c>
      <c r="BH34" s="508">
        <v>0</v>
      </c>
      <c r="BI34" s="508">
        <v>0</v>
      </c>
      <c r="BJ34" s="508">
        <v>0</v>
      </c>
      <c r="BK34" s="508">
        <v>2246</v>
      </c>
      <c r="BL34" s="508">
        <v>2246</v>
      </c>
      <c r="BM34" s="508">
        <v>2246</v>
      </c>
      <c r="BN34" s="508"/>
      <c r="BO34" s="508"/>
    </row>
    <row r="35" spans="1:67" s="484" customFormat="1">
      <c r="A35" s="484" t="s">
        <v>890</v>
      </c>
      <c r="B35" s="484" t="s">
        <v>891</v>
      </c>
      <c r="C35" s="484" t="s">
        <v>438</v>
      </c>
      <c r="D35" s="484" t="s">
        <v>892</v>
      </c>
      <c r="E35" s="484" t="s">
        <v>893</v>
      </c>
      <c r="F35" s="484" t="s">
        <v>917</v>
      </c>
      <c r="G35" s="484" t="s">
        <v>917</v>
      </c>
      <c r="H35" s="484" t="s">
        <v>979</v>
      </c>
      <c r="I35" s="484" t="s">
        <v>937</v>
      </c>
      <c r="J35" s="484" t="s">
        <v>984</v>
      </c>
      <c r="K35" s="484" t="s">
        <v>895</v>
      </c>
      <c r="L35" s="484" t="s">
        <v>896</v>
      </c>
      <c r="M35" s="484" t="s">
        <v>890</v>
      </c>
      <c r="N35" s="484" t="s">
        <v>939</v>
      </c>
      <c r="O35" s="484" t="s">
        <v>924</v>
      </c>
      <c r="P35" s="484" t="s">
        <v>940</v>
      </c>
      <c r="Q35" s="484" t="s">
        <v>941</v>
      </c>
      <c r="R35" s="484" t="s">
        <v>941</v>
      </c>
      <c r="S35" s="484" t="s">
        <v>438</v>
      </c>
      <c r="T35" s="484" t="s">
        <v>942</v>
      </c>
      <c r="U35" s="484" t="s">
        <v>943</v>
      </c>
      <c r="V35" s="484">
        <v>0</v>
      </c>
      <c r="W35" s="484">
        <v>0</v>
      </c>
      <c r="X35" s="484">
        <v>0</v>
      </c>
      <c r="Y35" s="484">
        <v>41272</v>
      </c>
      <c r="Z35" s="484" t="s">
        <v>944</v>
      </c>
      <c r="AA35" s="484" t="s">
        <v>941</v>
      </c>
      <c r="AB35" s="484">
        <v>41272</v>
      </c>
      <c r="AC35" s="484" t="s">
        <v>945</v>
      </c>
      <c r="AD35" s="484" t="s">
        <v>946</v>
      </c>
      <c r="AE35" s="484">
        <v>41272</v>
      </c>
      <c r="AF35" s="484" t="s">
        <v>947</v>
      </c>
      <c r="AG35" s="484" t="s">
        <v>902</v>
      </c>
      <c r="AH35" s="484">
        <v>3752</v>
      </c>
      <c r="AI35" s="484">
        <v>37520</v>
      </c>
      <c r="AJ35" s="484" t="s">
        <v>438</v>
      </c>
      <c r="AL35" s="484" t="s">
        <v>985</v>
      </c>
      <c r="AM35" s="484">
        <v>1</v>
      </c>
      <c r="AN35" s="484">
        <v>0</v>
      </c>
      <c r="AO35" s="484">
        <v>0</v>
      </c>
      <c r="AP35" s="484">
        <v>0</v>
      </c>
      <c r="AQ35" s="484" t="s">
        <v>438</v>
      </c>
      <c r="AS35" s="484" t="s">
        <v>947</v>
      </c>
      <c r="AT35" s="484" t="s">
        <v>902</v>
      </c>
      <c r="AV35" s="508">
        <v>0</v>
      </c>
      <c r="AW35" s="508">
        <v>0</v>
      </c>
      <c r="AX35" s="508">
        <v>0</v>
      </c>
      <c r="AY35" s="508">
        <v>0</v>
      </c>
      <c r="AZ35" s="508">
        <v>0</v>
      </c>
      <c r="BA35" s="508">
        <v>41272</v>
      </c>
      <c r="BB35" s="508">
        <v>41272</v>
      </c>
      <c r="BC35" s="508">
        <v>41272</v>
      </c>
      <c r="BD35" s="508">
        <v>0</v>
      </c>
      <c r="BE35" s="508"/>
      <c r="BF35" s="508">
        <v>0</v>
      </c>
      <c r="BG35" s="508">
        <v>0</v>
      </c>
      <c r="BH35" s="508">
        <v>0</v>
      </c>
      <c r="BI35" s="508">
        <v>0</v>
      </c>
      <c r="BJ35" s="508">
        <v>0</v>
      </c>
      <c r="BK35" s="508">
        <v>37520</v>
      </c>
      <c r="BL35" s="508">
        <v>37520</v>
      </c>
      <c r="BM35" s="508">
        <v>37520</v>
      </c>
      <c r="BN35" s="508"/>
      <c r="BO35" s="508"/>
    </row>
    <row r="36" spans="1:67" s="484" customFormat="1">
      <c r="A36" s="484" t="s">
        <v>890</v>
      </c>
      <c r="B36" s="484" t="s">
        <v>891</v>
      </c>
      <c r="C36" s="484" t="s">
        <v>438</v>
      </c>
      <c r="D36" s="484" t="s">
        <v>892</v>
      </c>
      <c r="E36" s="484" t="s">
        <v>893</v>
      </c>
      <c r="F36" s="484" t="s">
        <v>917</v>
      </c>
      <c r="G36" s="484" t="s">
        <v>917</v>
      </c>
      <c r="H36" s="484" t="s">
        <v>979</v>
      </c>
      <c r="I36" s="484" t="s">
        <v>937</v>
      </c>
      <c r="J36" s="484" t="s">
        <v>986</v>
      </c>
      <c r="K36" s="484" t="s">
        <v>895</v>
      </c>
      <c r="L36" s="484" t="s">
        <v>896</v>
      </c>
      <c r="M36" s="484" t="s">
        <v>890</v>
      </c>
      <c r="N36" s="484" t="s">
        <v>939</v>
      </c>
      <c r="O36" s="484" t="s">
        <v>924</v>
      </c>
      <c r="P36" s="484" t="s">
        <v>940</v>
      </c>
      <c r="Q36" s="484" t="s">
        <v>941</v>
      </c>
      <c r="R36" s="484" t="s">
        <v>941</v>
      </c>
      <c r="S36" s="484" t="s">
        <v>438</v>
      </c>
      <c r="T36" s="484" t="s">
        <v>942</v>
      </c>
      <c r="U36" s="484" t="s">
        <v>943</v>
      </c>
      <c r="V36" s="484">
        <v>0</v>
      </c>
      <c r="W36" s="484">
        <v>0</v>
      </c>
      <c r="X36" s="484">
        <v>0</v>
      </c>
      <c r="Y36" s="484">
        <v>764</v>
      </c>
      <c r="Z36" s="484" t="s">
        <v>944</v>
      </c>
      <c r="AA36" s="484" t="s">
        <v>941</v>
      </c>
      <c r="AB36" s="484">
        <v>764</v>
      </c>
      <c r="AC36" s="484" t="s">
        <v>945</v>
      </c>
      <c r="AD36" s="484" t="s">
        <v>946</v>
      </c>
      <c r="AE36" s="484">
        <v>764</v>
      </c>
      <c r="AF36" s="484" t="s">
        <v>947</v>
      </c>
      <c r="AG36" s="484" t="s">
        <v>902</v>
      </c>
      <c r="AH36" s="484">
        <v>69</v>
      </c>
      <c r="AI36" s="484">
        <v>695</v>
      </c>
      <c r="AJ36" s="484" t="s">
        <v>438</v>
      </c>
      <c r="AL36" s="484" t="s">
        <v>987</v>
      </c>
      <c r="AM36" s="484">
        <v>1</v>
      </c>
      <c r="AN36" s="484">
        <v>0</v>
      </c>
      <c r="AO36" s="484">
        <v>0</v>
      </c>
      <c r="AP36" s="484">
        <v>0</v>
      </c>
      <c r="AQ36" s="484" t="s">
        <v>438</v>
      </c>
      <c r="AS36" s="484" t="s">
        <v>947</v>
      </c>
      <c r="AT36" s="484" t="s">
        <v>902</v>
      </c>
      <c r="AV36" s="508">
        <v>0</v>
      </c>
      <c r="AW36" s="508">
        <v>0</v>
      </c>
      <c r="AX36" s="508">
        <v>0</v>
      </c>
      <c r="AY36" s="508">
        <v>0</v>
      </c>
      <c r="AZ36" s="508">
        <v>0</v>
      </c>
      <c r="BA36" s="508">
        <v>764</v>
      </c>
      <c r="BB36" s="508">
        <v>764</v>
      </c>
      <c r="BC36" s="508">
        <v>764</v>
      </c>
      <c r="BD36" s="508">
        <v>0</v>
      </c>
      <c r="BE36" s="508"/>
      <c r="BF36" s="508">
        <v>0</v>
      </c>
      <c r="BG36" s="508">
        <v>0</v>
      </c>
      <c r="BH36" s="508">
        <v>0</v>
      </c>
      <c r="BI36" s="508">
        <v>0</v>
      </c>
      <c r="BJ36" s="508">
        <v>0</v>
      </c>
      <c r="BK36" s="508">
        <v>695</v>
      </c>
      <c r="BL36" s="508">
        <v>695</v>
      </c>
      <c r="BM36" s="508">
        <v>695</v>
      </c>
      <c r="BN36" s="508"/>
      <c r="BO36" s="508"/>
    </row>
    <row r="37" spans="1:67" s="484" customFormat="1">
      <c r="A37" s="484" t="s">
        <v>890</v>
      </c>
      <c r="B37" s="484" t="s">
        <v>891</v>
      </c>
      <c r="C37" s="484" t="s">
        <v>438</v>
      </c>
      <c r="D37" s="484" t="s">
        <v>892</v>
      </c>
      <c r="E37" s="484" t="s">
        <v>893</v>
      </c>
      <c r="F37" s="484" t="s">
        <v>988</v>
      </c>
      <c r="G37" s="484" t="s">
        <v>988</v>
      </c>
      <c r="H37" s="484" t="s">
        <v>989</v>
      </c>
      <c r="I37" s="484" t="s">
        <v>937</v>
      </c>
      <c r="J37" s="484" t="s">
        <v>990</v>
      </c>
      <c r="K37" s="484" t="s">
        <v>895</v>
      </c>
      <c r="L37" s="484" t="s">
        <v>896</v>
      </c>
      <c r="M37" s="484" t="s">
        <v>890</v>
      </c>
      <c r="N37" s="484" t="s">
        <v>939</v>
      </c>
      <c r="O37" s="484" t="s">
        <v>924</v>
      </c>
      <c r="P37" s="484" t="s">
        <v>940</v>
      </c>
      <c r="Q37" s="484" t="s">
        <v>941</v>
      </c>
      <c r="R37" s="484" t="s">
        <v>941</v>
      </c>
      <c r="S37" s="484" t="s">
        <v>438</v>
      </c>
      <c r="T37" s="484" t="s">
        <v>942</v>
      </c>
      <c r="U37" s="484" t="s">
        <v>943</v>
      </c>
      <c r="V37" s="484">
        <v>0</v>
      </c>
      <c r="W37" s="484">
        <v>0</v>
      </c>
      <c r="X37" s="484">
        <v>0</v>
      </c>
      <c r="Y37" s="484">
        <v>49628</v>
      </c>
      <c r="Z37" s="484" t="s">
        <v>944</v>
      </c>
      <c r="AA37" s="484" t="s">
        <v>941</v>
      </c>
      <c r="AB37" s="484">
        <v>49628</v>
      </c>
      <c r="AC37" s="484" t="s">
        <v>945</v>
      </c>
      <c r="AD37" s="484" t="s">
        <v>946</v>
      </c>
      <c r="AE37" s="484">
        <v>49628</v>
      </c>
      <c r="AF37" s="484" t="s">
        <v>947</v>
      </c>
      <c r="AG37" s="484" t="s">
        <v>902</v>
      </c>
      <c r="AH37" s="484">
        <v>4511</v>
      </c>
      <c r="AI37" s="484">
        <v>45117</v>
      </c>
      <c r="AJ37" s="484" t="s">
        <v>438</v>
      </c>
      <c r="AL37" s="484" t="s">
        <v>991</v>
      </c>
      <c r="AM37" s="484">
        <v>1</v>
      </c>
      <c r="AN37" s="484">
        <v>0</v>
      </c>
      <c r="AO37" s="484">
        <v>0</v>
      </c>
      <c r="AP37" s="484">
        <v>0</v>
      </c>
      <c r="AQ37" s="484" t="s">
        <v>438</v>
      </c>
      <c r="AS37" s="484" t="s">
        <v>947</v>
      </c>
      <c r="AT37" s="484" t="s">
        <v>902</v>
      </c>
      <c r="AV37" s="508">
        <v>0</v>
      </c>
      <c r="AW37" s="508">
        <v>0</v>
      </c>
      <c r="AX37" s="508">
        <v>0</v>
      </c>
      <c r="AY37" s="508">
        <v>0</v>
      </c>
      <c r="AZ37" s="508">
        <v>0</v>
      </c>
      <c r="BA37" s="508">
        <v>49628</v>
      </c>
      <c r="BB37" s="508">
        <v>49628</v>
      </c>
      <c r="BC37" s="508">
        <v>49628</v>
      </c>
      <c r="BD37" s="508">
        <v>0</v>
      </c>
      <c r="BE37" s="508"/>
      <c r="BF37" s="508">
        <v>0</v>
      </c>
      <c r="BG37" s="508">
        <v>0</v>
      </c>
      <c r="BH37" s="508">
        <v>0</v>
      </c>
      <c r="BI37" s="508">
        <v>0</v>
      </c>
      <c r="BJ37" s="508">
        <v>0</v>
      </c>
      <c r="BK37" s="508">
        <v>45116</v>
      </c>
      <c r="BL37" s="508">
        <v>45116</v>
      </c>
      <c r="BM37" s="508">
        <v>45116</v>
      </c>
      <c r="BN37" s="508"/>
      <c r="BO37" s="508"/>
    </row>
    <row r="38" spans="1:67" s="484" customFormat="1">
      <c r="A38" s="484" t="s">
        <v>890</v>
      </c>
      <c r="B38" s="484" t="s">
        <v>891</v>
      </c>
      <c r="C38" s="484" t="s">
        <v>438</v>
      </c>
      <c r="D38" s="484" t="s">
        <v>892</v>
      </c>
      <c r="E38" s="484" t="s">
        <v>893</v>
      </c>
      <c r="F38" s="484" t="s">
        <v>988</v>
      </c>
      <c r="G38" s="484" t="s">
        <v>988</v>
      </c>
      <c r="H38" s="484" t="s">
        <v>989</v>
      </c>
      <c r="I38" s="484" t="s">
        <v>937</v>
      </c>
      <c r="J38" s="484" t="s">
        <v>992</v>
      </c>
      <c r="K38" s="484" t="s">
        <v>895</v>
      </c>
      <c r="L38" s="484" t="s">
        <v>896</v>
      </c>
      <c r="M38" s="484" t="s">
        <v>890</v>
      </c>
      <c r="N38" s="484" t="s">
        <v>939</v>
      </c>
      <c r="O38" s="484" t="s">
        <v>924</v>
      </c>
      <c r="P38" s="484" t="s">
        <v>940</v>
      </c>
      <c r="Q38" s="484" t="s">
        <v>941</v>
      </c>
      <c r="R38" s="484" t="s">
        <v>941</v>
      </c>
      <c r="S38" s="484" t="s">
        <v>438</v>
      </c>
      <c r="T38" s="484" t="s">
        <v>942</v>
      </c>
      <c r="U38" s="484" t="s">
        <v>943</v>
      </c>
      <c r="V38" s="484">
        <v>0</v>
      </c>
      <c r="W38" s="484">
        <v>0</v>
      </c>
      <c r="X38" s="484">
        <v>0</v>
      </c>
      <c r="Y38" s="484">
        <v>85050</v>
      </c>
      <c r="Z38" s="484" t="s">
        <v>944</v>
      </c>
      <c r="AA38" s="484" t="s">
        <v>941</v>
      </c>
      <c r="AB38" s="484">
        <v>85050</v>
      </c>
      <c r="AC38" s="484" t="s">
        <v>945</v>
      </c>
      <c r="AD38" s="484" t="s">
        <v>946</v>
      </c>
      <c r="AE38" s="484">
        <v>85050</v>
      </c>
      <c r="AF38" s="484" t="s">
        <v>947</v>
      </c>
      <c r="AG38" s="484" t="s">
        <v>902</v>
      </c>
      <c r="AH38" s="484">
        <v>7731</v>
      </c>
      <c r="AI38" s="484">
        <v>77319</v>
      </c>
      <c r="AJ38" s="484" t="s">
        <v>438</v>
      </c>
      <c r="AL38" s="484" t="s">
        <v>993</v>
      </c>
      <c r="AM38" s="484">
        <v>1</v>
      </c>
      <c r="AN38" s="484">
        <v>0</v>
      </c>
      <c r="AO38" s="484">
        <v>0</v>
      </c>
      <c r="AP38" s="484">
        <v>0</v>
      </c>
      <c r="AQ38" s="484" t="s">
        <v>438</v>
      </c>
      <c r="AS38" s="484" t="s">
        <v>947</v>
      </c>
      <c r="AT38" s="484" t="s">
        <v>902</v>
      </c>
      <c r="AV38" s="508">
        <v>0</v>
      </c>
      <c r="AW38" s="508">
        <v>0</v>
      </c>
      <c r="AX38" s="508">
        <v>0</v>
      </c>
      <c r="AY38" s="508">
        <v>0</v>
      </c>
      <c r="AZ38" s="508">
        <v>0</v>
      </c>
      <c r="BA38" s="508">
        <v>85050</v>
      </c>
      <c r="BB38" s="508">
        <v>85050</v>
      </c>
      <c r="BC38" s="508">
        <v>85050</v>
      </c>
      <c r="BD38" s="508">
        <v>0</v>
      </c>
      <c r="BE38" s="508"/>
      <c r="BF38" s="508">
        <v>0</v>
      </c>
      <c r="BG38" s="508">
        <v>0</v>
      </c>
      <c r="BH38" s="508">
        <v>0</v>
      </c>
      <c r="BI38" s="508">
        <v>0</v>
      </c>
      <c r="BJ38" s="508">
        <v>0</v>
      </c>
      <c r="BK38" s="508">
        <v>77318</v>
      </c>
      <c r="BL38" s="508">
        <v>77318</v>
      </c>
      <c r="BM38" s="508">
        <v>77318</v>
      </c>
      <c r="BN38" s="508"/>
      <c r="BO38" s="508"/>
    </row>
    <row r="39" spans="1:67" s="484" customFormat="1">
      <c r="A39" s="484" t="s">
        <v>890</v>
      </c>
      <c r="B39" s="484" t="s">
        <v>891</v>
      </c>
      <c r="C39" s="484" t="s">
        <v>438</v>
      </c>
      <c r="D39" s="484" t="s">
        <v>892</v>
      </c>
      <c r="E39" s="484" t="s">
        <v>893</v>
      </c>
      <c r="F39" s="484" t="s">
        <v>988</v>
      </c>
      <c r="G39" s="484" t="s">
        <v>988</v>
      </c>
      <c r="H39" s="484" t="s">
        <v>989</v>
      </c>
      <c r="I39" s="484" t="s">
        <v>937</v>
      </c>
      <c r="J39" s="484" t="s">
        <v>994</v>
      </c>
      <c r="K39" s="484" t="s">
        <v>895</v>
      </c>
      <c r="L39" s="484" t="s">
        <v>896</v>
      </c>
      <c r="M39" s="484" t="s">
        <v>890</v>
      </c>
      <c r="N39" s="484" t="s">
        <v>939</v>
      </c>
      <c r="O39" s="484" t="s">
        <v>924</v>
      </c>
      <c r="P39" s="484" t="s">
        <v>940</v>
      </c>
      <c r="Q39" s="484" t="s">
        <v>941</v>
      </c>
      <c r="R39" s="484" t="s">
        <v>941</v>
      </c>
      <c r="S39" s="484" t="s">
        <v>438</v>
      </c>
      <c r="T39" s="484" t="s">
        <v>942</v>
      </c>
      <c r="U39" s="484" t="s">
        <v>943</v>
      </c>
      <c r="V39" s="484">
        <v>0</v>
      </c>
      <c r="W39" s="484">
        <v>0</v>
      </c>
      <c r="X39" s="484">
        <v>0</v>
      </c>
      <c r="Y39" s="484">
        <v>13580</v>
      </c>
      <c r="Z39" s="484" t="s">
        <v>944</v>
      </c>
      <c r="AA39" s="484" t="s">
        <v>941</v>
      </c>
      <c r="AB39" s="484">
        <v>13580</v>
      </c>
      <c r="AC39" s="484" t="s">
        <v>945</v>
      </c>
      <c r="AD39" s="484" t="s">
        <v>946</v>
      </c>
      <c r="AE39" s="484">
        <v>13580</v>
      </c>
      <c r="AF39" s="484" t="s">
        <v>947</v>
      </c>
      <c r="AG39" s="484" t="s">
        <v>902</v>
      </c>
      <c r="AH39" s="484">
        <v>1234</v>
      </c>
      <c r="AI39" s="484">
        <v>12346</v>
      </c>
      <c r="AJ39" s="484" t="s">
        <v>438</v>
      </c>
      <c r="AL39" s="484" t="s">
        <v>995</v>
      </c>
      <c r="AM39" s="484">
        <v>1</v>
      </c>
      <c r="AN39" s="484">
        <v>0</v>
      </c>
      <c r="AO39" s="484">
        <v>0</v>
      </c>
      <c r="AP39" s="484">
        <v>0</v>
      </c>
      <c r="AQ39" s="484" t="s">
        <v>438</v>
      </c>
      <c r="AS39" s="484" t="s">
        <v>947</v>
      </c>
      <c r="AT39" s="484" t="s">
        <v>902</v>
      </c>
      <c r="AV39" s="508">
        <v>0</v>
      </c>
      <c r="AW39" s="508">
        <v>0</v>
      </c>
      <c r="AX39" s="508">
        <v>0</v>
      </c>
      <c r="AY39" s="508">
        <v>0</v>
      </c>
      <c r="AZ39" s="508">
        <v>0</v>
      </c>
      <c r="BA39" s="508">
        <v>13580</v>
      </c>
      <c r="BB39" s="508">
        <v>13580</v>
      </c>
      <c r="BC39" s="508">
        <v>13580</v>
      </c>
      <c r="BD39" s="508">
        <v>0</v>
      </c>
      <c r="BE39" s="508"/>
      <c r="BF39" s="508">
        <v>0</v>
      </c>
      <c r="BG39" s="508">
        <v>0</v>
      </c>
      <c r="BH39" s="508">
        <v>0</v>
      </c>
      <c r="BI39" s="508">
        <v>0</v>
      </c>
      <c r="BJ39" s="508">
        <v>0</v>
      </c>
      <c r="BK39" s="508">
        <v>12345</v>
      </c>
      <c r="BL39" s="508">
        <v>12345</v>
      </c>
      <c r="BM39" s="508">
        <v>12345</v>
      </c>
      <c r="BN39" s="508"/>
      <c r="BO39" s="508"/>
    </row>
    <row r="40" spans="1:67" s="484" customFormat="1">
      <c r="A40" s="484" t="s">
        <v>890</v>
      </c>
      <c r="B40" s="484" t="s">
        <v>891</v>
      </c>
      <c r="C40" s="484" t="s">
        <v>438</v>
      </c>
      <c r="D40" s="484" t="s">
        <v>892</v>
      </c>
      <c r="E40" s="484" t="s">
        <v>893</v>
      </c>
      <c r="F40" s="484" t="s">
        <v>988</v>
      </c>
      <c r="G40" s="484" t="s">
        <v>988</v>
      </c>
      <c r="H40" s="484" t="s">
        <v>989</v>
      </c>
      <c r="I40" s="484" t="s">
        <v>937</v>
      </c>
      <c r="J40" s="484" t="s">
        <v>996</v>
      </c>
      <c r="K40" s="484" t="s">
        <v>895</v>
      </c>
      <c r="L40" s="484" t="s">
        <v>896</v>
      </c>
      <c r="M40" s="484" t="s">
        <v>890</v>
      </c>
      <c r="N40" s="484" t="s">
        <v>939</v>
      </c>
      <c r="O40" s="484" t="s">
        <v>924</v>
      </c>
      <c r="P40" s="484" t="s">
        <v>940</v>
      </c>
      <c r="Q40" s="484" t="s">
        <v>941</v>
      </c>
      <c r="R40" s="484" t="s">
        <v>941</v>
      </c>
      <c r="S40" s="484" t="s">
        <v>438</v>
      </c>
      <c r="T40" s="484" t="s">
        <v>942</v>
      </c>
      <c r="U40" s="484" t="s">
        <v>943</v>
      </c>
      <c r="V40" s="484">
        <v>0</v>
      </c>
      <c r="W40" s="484">
        <v>0</v>
      </c>
      <c r="X40" s="484">
        <v>0</v>
      </c>
      <c r="Y40" s="484">
        <v>23592</v>
      </c>
      <c r="Z40" s="484" t="s">
        <v>944</v>
      </c>
      <c r="AA40" s="484" t="s">
        <v>941</v>
      </c>
      <c r="AB40" s="484">
        <v>23592</v>
      </c>
      <c r="AC40" s="484" t="s">
        <v>945</v>
      </c>
      <c r="AD40" s="484" t="s">
        <v>946</v>
      </c>
      <c r="AE40" s="484">
        <v>23592</v>
      </c>
      <c r="AF40" s="484" t="s">
        <v>947</v>
      </c>
      <c r="AG40" s="484" t="s">
        <v>902</v>
      </c>
      <c r="AH40" s="484">
        <v>2144</v>
      </c>
      <c r="AI40" s="484">
        <v>21448</v>
      </c>
      <c r="AJ40" s="484" t="s">
        <v>438</v>
      </c>
      <c r="AL40" s="484" t="s">
        <v>997</v>
      </c>
      <c r="AM40" s="484">
        <v>1</v>
      </c>
      <c r="AN40" s="484">
        <v>0</v>
      </c>
      <c r="AO40" s="484">
        <v>0</v>
      </c>
      <c r="AP40" s="484">
        <v>0</v>
      </c>
      <c r="AQ40" s="484" t="s">
        <v>438</v>
      </c>
      <c r="AS40" s="484" t="s">
        <v>947</v>
      </c>
      <c r="AT40" s="484" t="s">
        <v>902</v>
      </c>
      <c r="AV40" s="508">
        <v>0</v>
      </c>
      <c r="AW40" s="508">
        <v>0</v>
      </c>
      <c r="AX40" s="508">
        <v>0</v>
      </c>
      <c r="AY40" s="508">
        <v>0</v>
      </c>
      <c r="AZ40" s="508">
        <v>0</v>
      </c>
      <c r="BA40" s="508">
        <v>23592</v>
      </c>
      <c r="BB40" s="508">
        <v>23592</v>
      </c>
      <c r="BC40" s="508">
        <v>23592</v>
      </c>
      <c r="BD40" s="508">
        <v>0</v>
      </c>
      <c r="BE40" s="508"/>
      <c r="BF40" s="508">
        <v>0</v>
      </c>
      <c r="BG40" s="508">
        <v>0</v>
      </c>
      <c r="BH40" s="508">
        <v>0</v>
      </c>
      <c r="BI40" s="508">
        <v>0</v>
      </c>
      <c r="BJ40" s="508">
        <v>0</v>
      </c>
      <c r="BK40" s="508">
        <v>21447</v>
      </c>
      <c r="BL40" s="508">
        <v>21447</v>
      </c>
      <c r="BM40" s="508">
        <v>21447</v>
      </c>
      <c r="BN40" s="508"/>
      <c r="BO40" s="508"/>
    </row>
    <row r="41" spans="1:67" s="484" customFormat="1">
      <c r="A41" s="484" t="s">
        <v>890</v>
      </c>
      <c r="B41" s="484" t="s">
        <v>891</v>
      </c>
      <c r="C41" s="484" t="s">
        <v>438</v>
      </c>
      <c r="D41" s="484" t="s">
        <v>892</v>
      </c>
      <c r="E41" s="484" t="s">
        <v>893</v>
      </c>
      <c r="F41" s="484" t="s">
        <v>998</v>
      </c>
      <c r="G41" s="484" t="s">
        <v>998</v>
      </c>
      <c r="H41" s="484" t="s">
        <v>999</v>
      </c>
      <c r="I41" s="484" t="s">
        <v>937</v>
      </c>
      <c r="J41" s="484" t="s">
        <v>1000</v>
      </c>
      <c r="K41" s="484" t="s">
        <v>895</v>
      </c>
      <c r="L41" s="484" t="s">
        <v>896</v>
      </c>
      <c r="M41" s="484" t="s">
        <v>890</v>
      </c>
      <c r="N41" s="484" t="s">
        <v>939</v>
      </c>
      <c r="O41" s="484" t="s">
        <v>924</v>
      </c>
      <c r="P41" s="484" t="s">
        <v>940</v>
      </c>
      <c r="Q41" s="484" t="s">
        <v>941</v>
      </c>
      <c r="R41" s="484" t="s">
        <v>941</v>
      </c>
      <c r="S41" s="484" t="s">
        <v>438</v>
      </c>
      <c r="T41" s="484" t="s">
        <v>942</v>
      </c>
      <c r="U41" s="484" t="s">
        <v>943</v>
      </c>
      <c r="V41" s="484">
        <v>0</v>
      </c>
      <c r="W41" s="484">
        <v>0</v>
      </c>
      <c r="X41" s="484">
        <v>0</v>
      </c>
      <c r="Y41" s="484">
        <v>66041</v>
      </c>
      <c r="Z41" s="484" t="s">
        <v>944</v>
      </c>
      <c r="AA41" s="484" t="s">
        <v>941</v>
      </c>
      <c r="AB41" s="484">
        <v>66041</v>
      </c>
      <c r="AC41" s="484" t="s">
        <v>945</v>
      </c>
      <c r="AD41" s="484" t="s">
        <v>946</v>
      </c>
      <c r="AE41" s="484">
        <v>66041</v>
      </c>
      <c r="AF41" s="484" t="s">
        <v>947</v>
      </c>
      <c r="AG41" s="484" t="s">
        <v>902</v>
      </c>
      <c r="AH41" s="484">
        <v>6003</v>
      </c>
      <c r="AI41" s="484">
        <v>60038</v>
      </c>
      <c r="AJ41" s="484" t="s">
        <v>438</v>
      </c>
      <c r="AL41" s="484" t="s">
        <v>1001</v>
      </c>
      <c r="AM41" s="484">
        <v>1</v>
      </c>
      <c r="AN41" s="484">
        <v>0</v>
      </c>
      <c r="AO41" s="484">
        <v>0</v>
      </c>
      <c r="AP41" s="484">
        <v>0</v>
      </c>
      <c r="AQ41" s="484" t="s">
        <v>438</v>
      </c>
      <c r="AS41" s="484" t="s">
        <v>947</v>
      </c>
      <c r="AT41" s="484" t="s">
        <v>902</v>
      </c>
      <c r="AV41" s="508">
        <v>0</v>
      </c>
      <c r="AW41" s="508">
        <v>0</v>
      </c>
      <c r="AX41" s="508">
        <v>0</v>
      </c>
      <c r="AY41" s="508">
        <v>0</v>
      </c>
      <c r="AZ41" s="508">
        <v>0</v>
      </c>
      <c r="BA41" s="508">
        <v>66041</v>
      </c>
      <c r="BB41" s="508">
        <v>66041</v>
      </c>
      <c r="BC41" s="508">
        <v>66041</v>
      </c>
      <c r="BD41" s="508">
        <v>0</v>
      </c>
      <c r="BE41" s="508"/>
      <c r="BF41" s="508">
        <v>0</v>
      </c>
      <c r="BG41" s="508">
        <v>0</v>
      </c>
      <c r="BH41" s="508">
        <v>0</v>
      </c>
      <c r="BI41" s="508">
        <v>0</v>
      </c>
      <c r="BJ41" s="508">
        <v>0</v>
      </c>
      <c r="BK41" s="508">
        <v>60037</v>
      </c>
      <c r="BL41" s="508">
        <v>60037</v>
      </c>
      <c r="BM41" s="508">
        <v>60037</v>
      </c>
      <c r="BN41" s="508"/>
      <c r="BO41" s="508"/>
    </row>
    <row r="42" spans="1:67" s="484" customFormat="1">
      <c r="A42" s="484" t="s">
        <v>890</v>
      </c>
      <c r="B42" s="484" t="s">
        <v>891</v>
      </c>
      <c r="C42" s="484" t="s">
        <v>438</v>
      </c>
      <c r="D42" s="484" t="s">
        <v>892</v>
      </c>
      <c r="E42" s="484" t="s">
        <v>893</v>
      </c>
      <c r="F42" s="484" t="s">
        <v>998</v>
      </c>
      <c r="G42" s="484" t="s">
        <v>998</v>
      </c>
      <c r="H42" s="484" t="s">
        <v>999</v>
      </c>
      <c r="I42" s="484" t="s">
        <v>937</v>
      </c>
      <c r="J42" s="484" t="s">
        <v>1002</v>
      </c>
      <c r="K42" s="484" t="s">
        <v>895</v>
      </c>
      <c r="L42" s="484" t="s">
        <v>896</v>
      </c>
      <c r="M42" s="484" t="s">
        <v>890</v>
      </c>
      <c r="N42" s="484" t="s">
        <v>939</v>
      </c>
      <c r="O42" s="484" t="s">
        <v>924</v>
      </c>
      <c r="P42" s="484" t="s">
        <v>940</v>
      </c>
      <c r="Q42" s="484" t="s">
        <v>941</v>
      </c>
      <c r="R42" s="484" t="s">
        <v>941</v>
      </c>
      <c r="S42" s="484" t="s">
        <v>438</v>
      </c>
      <c r="T42" s="484" t="s">
        <v>942</v>
      </c>
      <c r="U42" s="484" t="s">
        <v>943</v>
      </c>
      <c r="V42" s="484">
        <v>0</v>
      </c>
      <c r="W42" s="484">
        <v>0</v>
      </c>
      <c r="X42" s="484">
        <v>0</v>
      </c>
      <c r="Y42" s="484">
        <v>11556</v>
      </c>
      <c r="Z42" s="484" t="s">
        <v>944</v>
      </c>
      <c r="AA42" s="484" t="s">
        <v>941</v>
      </c>
      <c r="AB42" s="484">
        <v>11556</v>
      </c>
      <c r="AC42" s="484" t="s">
        <v>945</v>
      </c>
      <c r="AD42" s="484" t="s">
        <v>946</v>
      </c>
      <c r="AE42" s="484">
        <v>11556</v>
      </c>
      <c r="AF42" s="484" t="s">
        <v>947</v>
      </c>
      <c r="AG42" s="484" t="s">
        <v>902</v>
      </c>
      <c r="AH42" s="484">
        <v>1050</v>
      </c>
      <c r="AI42" s="484">
        <v>10506</v>
      </c>
      <c r="AJ42" s="484" t="s">
        <v>438</v>
      </c>
      <c r="AL42" s="484" t="s">
        <v>1003</v>
      </c>
      <c r="AM42" s="484">
        <v>1</v>
      </c>
      <c r="AN42" s="484">
        <v>0</v>
      </c>
      <c r="AO42" s="484">
        <v>0</v>
      </c>
      <c r="AP42" s="484">
        <v>0</v>
      </c>
      <c r="AQ42" s="484" t="s">
        <v>438</v>
      </c>
      <c r="AS42" s="484" t="s">
        <v>947</v>
      </c>
      <c r="AT42" s="484" t="s">
        <v>902</v>
      </c>
      <c r="AV42" s="508">
        <v>0</v>
      </c>
      <c r="AW42" s="508">
        <v>0</v>
      </c>
      <c r="AX42" s="508">
        <v>0</v>
      </c>
      <c r="AY42" s="508">
        <v>0</v>
      </c>
      <c r="AZ42" s="508">
        <v>0</v>
      </c>
      <c r="BA42" s="508">
        <v>11556</v>
      </c>
      <c r="BB42" s="508">
        <v>11556</v>
      </c>
      <c r="BC42" s="508">
        <v>11556</v>
      </c>
      <c r="BD42" s="508">
        <v>0</v>
      </c>
      <c r="BE42" s="508"/>
      <c r="BF42" s="508">
        <v>0</v>
      </c>
      <c r="BG42" s="508">
        <v>0</v>
      </c>
      <c r="BH42" s="508">
        <v>0</v>
      </c>
      <c r="BI42" s="508">
        <v>0</v>
      </c>
      <c r="BJ42" s="508">
        <v>0</v>
      </c>
      <c r="BK42" s="508">
        <v>10505</v>
      </c>
      <c r="BL42" s="508">
        <v>10505</v>
      </c>
      <c r="BM42" s="508">
        <v>10505</v>
      </c>
      <c r="BN42" s="508"/>
      <c r="BO42" s="508"/>
    </row>
    <row r="43" spans="1:67" s="484" customFormat="1">
      <c r="A43" s="484" t="s">
        <v>890</v>
      </c>
      <c r="B43" s="484" t="s">
        <v>891</v>
      </c>
      <c r="C43" s="484" t="s">
        <v>438</v>
      </c>
      <c r="D43" s="484" t="s">
        <v>892</v>
      </c>
      <c r="E43" s="484" t="s">
        <v>893</v>
      </c>
      <c r="F43" s="484" t="s">
        <v>998</v>
      </c>
      <c r="G43" s="484" t="s">
        <v>998</v>
      </c>
      <c r="H43" s="484" t="s">
        <v>999</v>
      </c>
      <c r="I43" s="484" t="s">
        <v>937</v>
      </c>
      <c r="J43" s="484" t="s">
        <v>1004</v>
      </c>
      <c r="K43" s="484" t="s">
        <v>895</v>
      </c>
      <c r="L43" s="484" t="s">
        <v>896</v>
      </c>
      <c r="M43" s="484" t="s">
        <v>890</v>
      </c>
      <c r="N43" s="484" t="s">
        <v>939</v>
      </c>
      <c r="O43" s="484" t="s">
        <v>924</v>
      </c>
      <c r="P43" s="484" t="s">
        <v>940</v>
      </c>
      <c r="Q43" s="484" t="s">
        <v>941</v>
      </c>
      <c r="R43" s="484" t="s">
        <v>941</v>
      </c>
      <c r="S43" s="484" t="s">
        <v>438</v>
      </c>
      <c r="T43" s="484" t="s">
        <v>942</v>
      </c>
      <c r="U43" s="484" t="s">
        <v>943</v>
      </c>
      <c r="V43" s="484">
        <v>0</v>
      </c>
      <c r="W43" s="484">
        <v>0</v>
      </c>
      <c r="X43" s="484">
        <v>0</v>
      </c>
      <c r="Y43" s="484">
        <v>10706</v>
      </c>
      <c r="Z43" s="484" t="s">
        <v>944</v>
      </c>
      <c r="AA43" s="484" t="s">
        <v>941</v>
      </c>
      <c r="AB43" s="484">
        <v>10706</v>
      </c>
      <c r="AC43" s="484" t="s">
        <v>945</v>
      </c>
      <c r="AD43" s="484" t="s">
        <v>946</v>
      </c>
      <c r="AE43" s="484">
        <v>10706</v>
      </c>
      <c r="AF43" s="484" t="s">
        <v>947</v>
      </c>
      <c r="AG43" s="484" t="s">
        <v>902</v>
      </c>
      <c r="AH43" s="484">
        <v>973</v>
      </c>
      <c r="AI43" s="484">
        <v>9733</v>
      </c>
      <c r="AJ43" s="484" t="s">
        <v>438</v>
      </c>
      <c r="AL43" s="484" t="s">
        <v>1005</v>
      </c>
      <c r="AM43" s="484">
        <v>1</v>
      </c>
      <c r="AN43" s="484">
        <v>0</v>
      </c>
      <c r="AO43" s="484">
        <v>0</v>
      </c>
      <c r="AP43" s="484">
        <v>0</v>
      </c>
      <c r="AQ43" s="484" t="s">
        <v>438</v>
      </c>
      <c r="AS43" s="484" t="s">
        <v>947</v>
      </c>
      <c r="AT43" s="484" t="s">
        <v>902</v>
      </c>
      <c r="AV43" s="508">
        <v>0</v>
      </c>
      <c r="AW43" s="508">
        <v>0</v>
      </c>
      <c r="AX43" s="508">
        <v>0</v>
      </c>
      <c r="AY43" s="508">
        <v>0</v>
      </c>
      <c r="AZ43" s="508">
        <v>0</v>
      </c>
      <c r="BA43" s="508">
        <v>10706</v>
      </c>
      <c r="BB43" s="508">
        <v>10706</v>
      </c>
      <c r="BC43" s="508">
        <v>10706</v>
      </c>
      <c r="BD43" s="508">
        <v>0</v>
      </c>
      <c r="BE43" s="508"/>
      <c r="BF43" s="508">
        <v>0</v>
      </c>
      <c r="BG43" s="508">
        <v>0</v>
      </c>
      <c r="BH43" s="508">
        <v>0</v>
      </c>
      <c r="BI43" s="508">
        <v>0</v>
      </c>
      <c r="BJ43" s="508">
        <v>0</v>
      </c>
      <c r="BK43" s="508">
        <v>9733</v>
      </c>
      <c r="BL43" s="508">
        <v>9733</v>
      </c>
      <c r="BM43" s="508">
        <v>9733</v>
      </c>
      <c r="BN43" s="508"/>
      <c r="BO43" s="508"/>
    </row>
    <row r="44" spans="1:67" s="484" customFormat="1">
      <c r="A44" s="484" t="s">
        <v>890</v>
      </c>
      <c r="B44" s="484" t="s">
        <v>891</v>
      </c>
      <c r="C44" s="484" t="s">
        <v>438</v>
      </c>
      <c r="D44" s="484" t="s">
        <v>892</v>
      </c>
      <c r="E44" s="484" t="s">
        <v>893</v>
      </c>
      <c r="F44" s="484" t="s">
        <v>998</v>
      </c>
      <c r="G44" s="484" t="s">
        <v>998</v>
      </c>
      <c r="H44" s="484" t="s">
        <v>999</v>
      </c>
      <c r="I44" s="484" t="s">
        <v>937</v>
      </c>
      <c r="J44" s="484" t="s">
        <v>1006</v>
      </c>
      <c r="K44" s="484" t="s">
        <v>895</v>
      </c>
      <c r="L44" s="484" t="s">
        <v>896</v>
      </c>
      <c r="M44" s="484" t="s">
        <v>890</v>
      </c>
      <c r="N44" s="484" t="s">
        <v>939</v>
      </c>
      <c r="O44" s="484" t="s">
        <v>924</v>
      </c>
      <c r="P44" s="484" t="s">
        <v>940</v>
      </c>
      <c r="Q44" s="484" t="s">
        <v>941</v>
      </c>
      <c r="R44" s="484" t="s">
        <v>941</v>
      </c>
      <c r="S44" s="484" t="s">
        <v>438</v>
      </c>
      <c r="T44" s="484" t="s">
        <v>942</v>
      </c>
      <c r="U44" s="484" t="s">
        <v>943</v>
      </c>
      <c r="V44" s="484">
        <v>0</v>
      </c>
      <c r="W44" s="484">
        <v>0</v>
      </c>
      <c r="X44" s="484">
        <v>0</v>
      </c>
      <c r="Y44" s="484">
        <v>37</v>
      </c>
      <c r="Z44" s="484" t="s">
        <v>944</v>
      </c>
      <c r="AA44" s="484" t="s">
        <v>941</v>
      </c>
      <c r="AB44" s="484">
        <v>37</v>
      </c>
      <c r="AC44" s="484" t="s">
        <v>945</v>
      </c>
      <c r="AD44" s="484" t="s">
        <v>946</v>
      </c>
      <c r="AE44" s="484">
        <v>37</v>
      </c>
      <c r="AF44" s="484" t="s">
        <v>947</v>
      </c>
      <c r="AG44" s="484" t="s">
        <v>902</v>
      </c>
      <c r="AH44" s="484">
        <v>3</v>
      </c>
      <c r="AI44" s="484">
        <v>34</v>
      </c>
      <c r="AJ44" s="484" t="s">
        <v>438</v>
      </c>
      <c r="AL44" s="484" t="s">
        <v>1007</v>
      </c>
      <c r="AM44" s="484">
        <v>1</v>
      </c>
      <c r="AN44" s="484">
        <v>0</v>
      </c>
      <c r="AO44" s="484">
        <v>0</v>
      </c>
      <c r="AP44" s="484">
        <v>0</v>
      </c>
      <c r="AQ44" s="484" t="s">
        <v>438</v>
      </c>
      <c r="AS44" s="484" t="s">
        <v>947</v>
      </c>
      <c r="AT44" s="484" t="s">
        <v>902</v>
      </c>
      <c r="AV44" s="508">
        <v>0</v>
      </c>
      <c r="AW44" s="508">
        <v>0</v>
      </c>
      <c r="AX44" s="508">
        <v>0</v>
      </c>
      <c r="AY44" s="508">
        <v>0</v>
      </c>
      <c r="AZ44" s="508">
        <v>0</v>
      </c>
      <c r="BA44" s="508">
        <v>37</v>
      </c>
      <c r="BB44" s="508">
        <v>37</v>
      </c>
      <c r="BC44" s="508">
        <v>37</v>
      </c>
      <c r="BD44" s="508">
        <v>0</v>
      </c>
      <c r="BE44" s="508"/>
      <c r="BF44" s="508">
        <v>0</v>
      </c>
      <c r="BG44" s="508">
        <v>0</v>
      </c>
      <c r="BH44" s="508">
        <v>0</v>
      </c>
      <c r="BI44" s="508">
        <v>0</v>
      </c>
      <c r="BJ44" s="508">
        <v>0</v>
      </c>
      <c r="BK44" s="508">
        <v>34</v>
      </c>
      <c r="BL44" s="508">
        <v>34</v>
      </c>
      <c r="BM44" s="508">
        <v>34</v>
      </c>
      <c r="BN44" s="508"/>
      <c r="BO44" s="508"/>
    </row>
    <row r="45" spans="1:67" s="484" customFormat="1">
      <c r="A45" s="484" t="s">
        <v>890</v>
      </c>
      <c r="B45" s="484" t="s">
        <v>891</v>
      </c>
      <c r="C45" s="484" t="s">
        <v>438</v>
      </c>
      <c r="D45" s="484" t="s">
        <v>892</v>
      </c>
      <c r="E45" s="484" t="s">
        <v>893</v>
      </c>
      <c r="F45" s="484" t="s">
        <v>998</v>
      </c>
      <c r="G45" s="484" t="s">
        <v>998</v>
      </c>
      <c r="H45" s="484" t="s">
        <v>999</v>
      </c>
      <c r="I45" s="484" t="s">
        <v>937</v>
      </c>
      <c r="J45" s="484" t="s">
        <v>1008</v>
      </c>
      <c r="K45" s="484" t="s">
        <v>895</v>
      </c>
      <c r="L45" s="484" t="s">
        <v>896</v>
      </c>
      <c r="M45" s="484" t="s">
        <v>890</v>
      </c>
      <c r="N45" s="484" t="s">
        <v>939</v>
      </c>
      <c r="O45" s="484" t="s">
        <v>924</v>
      </c>
      <c r="P45" s="484" t="s">
        <v>940</v>
      </c>
      <c r="Q45" s="484" t="s">
        <v>941</v>
      </c>
      <c r="R45" s="484" t="s">
        <v>941</v>
      </c>
      <c r="S45" s="484" t="s">
        <v>438</v>
      </c>
      <c r="T45" s="484" t="s">
        <v>942</v>
      </c>
      <c r="U45" s="484" t="s">
        <v>943</v>
      </c>
      <c r="V45" s="484">
        <v>0</v>
      </c>
      <c r="W45" s="484">
        <v>0</v>
      </c>
      <c r="X45" s="484">
        <v>0</v>
      </c>
      <c r="Y45" s="484">
        <v>21887</v>
      </c>
      <c r="Z45" s="484" t="s">
        <v>944</v>
      </c>
      <c r="AA45" s="484" t="s">
        <v>941</v>
      </c>
      <c r="AB45" s="484">
        <v>21887</v>
      </c>
      <c r="AC45" s="484" t="s">
        <v>945</v>
      </c>
      <c r="AD45" s="484" t="s">
        <v>946</v>
      </c>
      <c r="AE45" s="484">
        <v>21887</v>
      </c>
      <c r="AF45" s="484" t="s">
        <v>947</v>
      </c>
      <c r="AG45" s="484" t="s">
        <v>902</v>
      </c>
      <c r="AH45" s="484">
        <v>1989</v>
      </c>
      <c r="AI45" s="484">
        <v>19898</v>
      </c>
      <c r="AJ45" s="484" t="s">
        <v>438</v>
      </c>
      <c r="AL45" s="484" t="s">
        <v>1009</v>
      </c>
      <c r="AM45" s="484">
        <v>1</v>
      </c>
      <c r="AN45" s="484">
        <v>0</v>
      </c>
      <c r="AO45" s="484">
        <v>0</v>
      </c>
      <c r="AP45" s="484">
        <v>0</v>
      </c>
      <c r="AQ45" s="484" t="s">
        <v>438</v>
      </c>
      <c r="AS45" s="484" t="s">
        <v>947</v>
      </c>
      <c r="AT45" s="484" t="s">
        <v>902</v>
      </c>
      <c r="AV45" s="508">
        <v>0</v>
      </c>
      <c r="AW45" s="508">
        <v>0</v>
      </c>
      <c r="AX45" s="508">
        <v>0</v>
      </c>
      <c r="AY45" s="508">
        <v>0</v>
      </c>
      <c r="AZ45" s="508">
        <v>0</v>
      </c>
      <c r="BA45" s="508">
        <v>21887</v>
      </c>
      <c r="BB45" s="508">
        <v>21887</v>
      </c>
      <c r="BC45" s="508">
        <v>21887</v>
      </c>
      <c r="BD45" s="508">
        <v>0</v>
      </c>
      <c r="BE45" s="508"/>
      <c r="BF45" s="508">
        <v>0</v>
      </c>
      <c r="BG45" s="508">
        <v>0</v>
      </c>
      <c r="BH45" s="508">
        <v>0</v>
      </c>
      <c r="BI45" s="508">
        <v>0</v>
      </c>
      <c r="BJ45" s="508">
        <v>0</v>
      </c>
      <c r="BK45" s="508">
        <v>19897</v>
      </c>
      <c r="BL45" s="508">
        <v>19897</v>
      </c>
      <c r="BM45" s="508">
        <v>19897</v>
      </c>
      <c r="BN45" s="508"/>
      <c r="BO45" s="508"/>
    </row>
    <row r="46" spans="1:67" s="484" customFormat="1">
      <c r="A46" s="484" t="s">
        <v>890</v>
      </c>
      <c r="B46" s="484" t="s">
        <v>891</v>
      </c>
      <c r="C46" s="484" t="s">
        <v>438</v>
      </c>
      <c r="D46" s="484" t="s">
        <v>892</v>
      </c>
      <c r="E46" s="484" t="s">
        <v>893</v>
      </c>
      <c r="F46" s="484" t="s">
        <v>906</v>
      </c>
      <c r="G46" s="484" t="s">
        <v>906</v>
      </c>
      <c r="H46" s="484" t="s">
        <v>1010</v>
      </c>
      <c r="I46" s="484" t="s">
        <v>937</v>
      </c>
      <c r="J46" s="484" t="s">
        <v>1011</v>
      </c>
      <c r="K46" s="484" t="s">
        <v>895</v>
      </c>
      <c r="L46" s="484" t="s">
        <v>896</v>
      </c>
      <c r="M46" s="484" t="s">
        <v>890</v>
      </c>
      <c r="N46" s="484" t="s">
        <v>939</v>
      </c>
      <c r="O46" s="484" t="s">
        <v>924</v>
      </c>
      <c r="P46" s="484" t="s">
        <v>940</v>
      </c>
      <c r="Q46" s="484" t="s">
        <v>941</v>
      </c>
      <c r="R46" s="484" t="s">
        <v>941</v>
      </c>
      <c r="S46" s="484" t="s">
        <v>438</v>
      </c>
      <c r="T46" s="484" t="s">
        <v>942</v>
      </c>
      <c r="U46" s="484" t="s">
        <v>943</v>
      </c>
      <c r="V46" s="484">
        <v>0</v>
      </c>
      <c r="W46" s="484">
        <v>0</v>
      </c>
      <c r="X46" s="484">
        <v>0</v>
      </c>
      <c r="Y46" s="484">
        <v>878987</v>
      </c>
      <c r="Z46" s="484" t="s">
        <v>944</v>
      </c>
      <c r="AA46" s="484" t="s">
        <v>941</v>
      </c>
      <c r="AB46" s="484">
        <v>878987</v>
      </c>
      <c r="AC46" s="484" t="s">
        <v>945</v>
      </c>
      <c r="AD46" s="484" t="s">
        <v>946</v>
      </c>
      <c r="AE46" s="484">
        <v>878987</v>
      </c>
      <c r="AF46" s="484" t="s">
        <v>947</v>
      </c>
      <c r="AG46" s="484" t="s">
        <v>902</v>
      </c>
      <c r="AH46" s="484">
        <v>79907</v>
      </c>
      <c r="AI46" s="484">
        <v>799080</v>
      </c>
      <c r="AJ46" s="484" t="s">
        <v>438</v>
      </c>
      <c r="AL46" s="484" t="s">
        <v>1012</v>
      </c>
      <c r="AM46" s="484">
        <v>1</v>
      </c>
      <c r="AN46" s="484">
        <v>0</v>
      </c>
      <c r="AO46" s="484">
        <v>0</v>
      </c>
      <c r="AP46" s="484">
        <v>0</v>
      </c>
      <c r="AQ46" s="484" t="s">
        <v>438</v>
      </c>
      <c r="AS46" s="484" t="s">
        <v>947</v>
      </c>
      <c r="AT46" s="484" t="s">
        <v>902</v>
      </c>
      <c r="AV46" s="508">
        <v>0</v>
      </c>
      <c r="AW46" s="508">
        <v>0</v>
      </c>
      <c r="AX46" s="508">
        <v>0</v>
      </c>
      <c r="AY46" s="508">
        <v>0</v>
      </c>
      <c r="AZ46" s="508">
        <v>0</v>
      </c>
      <c r="BA46" s="508">
        <v>878987</v>
      </c>
      <c r="BB46" s="508">
        <v>878987</v>
      </c>
      <c r="BC46" s="508">
        <v>878987</v>
      </c>
      <c r="BD46" s="508">
        <v>0</v>
      </c>
      <c r="BE46" s="508"/>
      <c r="BF46" s="508">
        <v>0</v>
      </c>
      <c r="BG46" s="508">
        <v>0</v>
      </c>
      <c r="BH46" s="508">
        <v>0</v>
      </c>
      <c r="BI46" s="508">
        <v>0</v>
      </c>
      <c r="BJ46" s="508">
        <v>0</v>
      </c>
      <c r="BK46" s="508">
        <v>799079</v>
      </c>
      <c r="BL46" s="508">
        <v>799079</v>
      </c>
      <c r="BM46" s="508">
        <v>799079</v>
      </c>
      <c r="BN46" s="508"/>
      <c r="BO46" s="508"/>
    </row>
    <row r="47" spans="1:67" s="484" customFormat="1">
      <c r="A47" s="484" t="s">
        <v>890</v>
      </c>
      <c r="B47" s="484" t="s">
        <v>891</v>
      </c>
      <c r="C47" s="484" t="s">
        <v>438</v>
      </c>
      <c r="D47" s="484" t="s">
        <v>892</v>
      </c>
      <c r="E47" s="484" t="s">
        <v>893</v>
      </c>
      <c r="F47" s="484" t="s">
        <v>906</v>
      </c>
      <c r="G47" s="484" t="s">
        <v>906</v>
      </c>
      <c r="H47" s="484" t="s">
        <v>1010</v>
      </c>
      <c r="I47" s="484" t="s">
        <v>937</v>
      </c>
      <c r="J47" s="484" t="s">
        <v>1013</v>
      </c>
      <c r="K47" s="484" t="s">
        <v>895</v>
      </c>
      <c r="L47" s="484" t="s">
        <v>896</v>
      </c>
      <c r="M47" s="484" t="s">
        <v>890</v>
      </c>
      <c r="N47" s="484" t="s">
        <v>939</v>
      </c>
      <c r="O47" s="484" t="s">
        <v>924</v>
      </c>
      <c r="P47" s="484" t="s">
        <v>940</v>
      </c>
      <c r="Q47" s="484" t="s">
        <v>941</v>
      </c>
      <c r="R47" s="484" t="s">
        <v>941</v>
      </c>
      <c r="S47" s="484" t="s">
        <v>438</v>
      </c>
      <c r="T47" s="484" t="s">
        <v>942</v>
      </c>
      <c r="U47" s="484" t="s">
        <v>943</v>
      </c>
      <c r="V47" s="484">
        <v>0</v>
      </c>
      <c r="W47" s="484">
        <v>0</v>
      </c>
      <c r="X47" s="484">
        <v>0</v>
      </c>
      <c r="Y47" s="484">
        <v>14357</v>
      </c>
      <c r="Z47" s="484" t="s">
        <v>944</v>
      </c>
      <c r="AA47" s="484" t="s">
        <v>941</v>
      </c>
      <c r="AB47" s="484">
        <v>14357</v>
      </c>
      <c r="AC47" s="484" t="s">
        <v>945</v>
      </c>
      <c r="AD47" s="484" t="s">
        <v>946</v>
      </c>
      <c r="AE47" s="484">
        <v>14357</v>
      </c>
      <c r="AF47" s="484" t="s">
        <v>947</v>
      </c>
      <c r="AG47" s="484" t="s">
        <v>902</v>
      </c>
      <c r="AH47" s="484">
        <v>1305</v>
      </c>
      <c r="AI47" s="484">
        <v>13052</v>
      </c>
      <c r="AJ47" s="484" t="s">
        <v>438</v>
      </c>
      <c r="AL47" s="484" t="s">
        <v>1014</v>
      </c>
      <c r="AM47" s="484">
        <v>1</v>
      </c>
      <c r="AN47" s="484">
        <v>0</v>
      </c>
      <c r="AO47" s="484">
        <v>0</v>
      </c>
      <c r="AP47" s="484">
        <v>0</v>
      </c>
      <c r="AQ47" s="484" t="s">
        <v>438</v>
      </c>
      <c r="AS47" s="484" t="s">
        <v>947</v>
      </c>
      <c r="AT47" s="484" t="s">
        <v>902</v>
      </c>
      <c r="AV47" s="508">
        <v>0</v>
      </c>
      <c r="AW47" s="508">
        <v>0</v>
      </c>
      <c r="AX47" s="508">
        <v>0</v>
      </c>
      <c r="AY47" s="508">
        <v>0</v>
      </c>
      <c r="AZ47" s="508">
        <v>0</v>
      </c>
      <c r="BA47" s="508">
        <v>14357</v>
      </c>
      <c r="BB47" s="508">
        <v>14357</v>
      </c>
      <c r="BC47" s="508">
        <v>14357</v>
      </c>
      <c r="BD47" s="508">
        <v>0</v>
      </c>
      <c r="BE47" s="508"/>
      <c r="BF47" s="508">
        <v>0</v>
      </c>
      <c r="BG47" s="508">
        <v>0</v>
      </c>
      <c r="BH47" s="508">
        <v>0</v>
      </c>
      <c r="BI47" s="508">
        <v>0</v>
      </c>
      <c r="BJ47" s="508">
        <v>0</v>
      </c>
      <c r="BK47" s="508">
        <v>13052</v>
      </c>
      <c r="BL47" s="508">
        <v>13052</v>
      </c>
      <c r="BM47" s="508">
        <v>13052</v>
      </c>
      <c r="BN47" s="508"/>
      <c r="BO47" s="508"/>
    </row>
    <row r="48" spans="1:67" s="484" customFormat="1">
      <c r="A48" s="484" t="s">
        <v>890</v>
      </c>
      <c r="B48" s="484" t="s">
        <v>891</v>
      </c>
      <c r="C48" s="484" t="s">
        <v>438</v>
      </c>
      <c r="D48" s="484" t="s">
        <v>892</v>
      </c>
      <c r="E48" s="484" t="s">
        <v>893</v>
      </c>
      <c r="F48" s="484" t="s">
        <v>906</v>
      </c>
      <c r="G48" s="484" t="s">
        <v>906</v>
      </c>
      <c r="H48" s="484" t="s">
        <v>1010</v>
      </c>
      <c r="I48" s="484" t="s">
        <v>937</v>
      </c>
      <c r="J48" s="484" t="s">
        <v>1015</v>
      </c>
      <c r="K48" s="484" t="s">
        <v>895</v>
      </c>
      <c r="L48" s="484" t="s">
        <v>896</v>
      </c>
      <c r="M48" s="484" t="s">
        <v>890</v>
      </c>
      <c r="N48" s="484" t="s">
        <v>939</v>
      </c>
      <c r="O48" s="484" t="s">
        <v>924</v>
      </c>
      <c r="P48" s="484" t="s">
        <v>940</v>
      </c>
      <c r="Q48" s="484" t="s">
        <v>941</v>
      </c>
      <c r="R48" s="484" t="s">
        <v>941</v>
      </c>
      <c r="S48" s="484" t="s">
        <v>438</v>
      </c>
      <c r="T48" s="484" t="s">
        <v>942</v>
      </c>
      <c r="U48" s="484" t="s">
        <v>943</v>
      </c>
      <c r="V48" s="484">
        <v>0</v>
      </c>
      <c r="W48" s="484">
        <v>0</v>
      </c>
      <c r="X48" s="484">
        <v>0</v>
      </c>
      <c r="Y48" s="484">
        <v>72017</v>
      </c>
      <c r="Z48" s="484" t="s">
        <v>944</v>
      </c>
      <c r="AA48" s="484" t="s">
        <v>941</v>
      </c>
      <c r="AB48" s="484">
        <v>72017</v>
      </c>
      <c r="AC48" s="484" t="s">
        <v>945</v>
      </c>
      <c r="AD48" s="484" t="s">
        <v>946</v>
      </c>
      <c r="AE48" s="484">
        <v>72017</v>
      </c>
      <c r="AF48" s="484" t="s">
        <v>947</v>
      </c>
      <c r="AG48" s="484" t="s">
        <v>902</v>
      </c>
      <c r="AH48" s="484">
        <v>6547</v>
      </c>
      <c r="AI48" s="484">
        <v>65470</v>
      </c>
      <c r="AJ48" s="484" t="s">
        <v>438</v>
      </c>
      <c r="AL48" s="484" t="s">
        <v>1016</v>
      </c>
      <c r="AM48" s="484">
        <v>1</v>
      </c>
      <c r="AN48" s="484">
        <v>0</v>
      </c>
      <c r="AO48" s="484">
        <v>0</v>
      </c>
      <c r="AP48" s="484">
        <v>0</v>
      </c>
      <c r="AQ48" s="484" t="s">
        <v>438</v>
      </c>
      <c r="AS48" s="484" t="s">
        <v>947</v>
      </c>
      <c r="AT48" s="484" t="s">
        <v>902</v>
      </c>
      <c r="AV48" s="508">
        <v>0</v>
      </c>
      <c r="AW48" s="508">
        <v>0</v>
      </c>
      <c r="AX48" s="508">
        <v>0</v>
      </c>
      <c r="AY48" s="508">
        <v>0</v>
      </c>
      <c r="AZ48" s="508">
        <v>0</v>
      </c>
      <c r="BA48" s="508">
        <v>72017</v>
      </c>
      <c r="BB48" s="508">
        <v>72017</v>
      </c>
      <c r="BC48" s="508">
        <v>72017</v>
      </c>
      <c r="BD48" s="508">
        <v>0</v>
      </c>
      <c r="BE48" s="508"/>
      <c r="BF48" s="508">
        <v>0</v>
      </c>
      <c r="BG48" s="508">
        <v>0</v>
      </c>
      <c r="BH48" s="508">
        <v>0</v>
      </c>
      <c r="BI48" s="508">
        <v>0</v>
      </c>
      <c r="BJ48" s="508">
        <v>0</v>
      </c>
      <c r="BK48" s="508">
        <v>65470</v>
      </c>
      <c r="BL48" s="508">
        <v>65470</v>
      </c>
      <c r="BM48" s="508">
        <v>65470</v>
      </c>
      <c r="BN48" s="508"/>
      <c r="BO48" s="508"/>
    </row>
    <row r="49" spans="1:67" s="484" customFormat="1">
      <c r="A49" s="484" t="s">
        <v>890</v>
      </c>
      <c r="B49" s="484" t="s">
        <v>891</v>
      </c>
      <c r="C49" s="484" t="s">
        <v>438</v>
      </c>
      <c r="D49" s="484" t="s">
        <v>892</v>
      </c>
      <c r="E49" s="484" t="s">
        <v>893</v>
      </c>
      <c r="F49" s="484" t="s">
        <v>906</v>
      </c>
      <c r="G49" s="484" t="s">
        <v>906</v>
      </c>
      <c r="H49" s="484" t="s">
        <v>1010</v>
      </c>
      <c r="I49" s="484" t="s">
        <v>937</v>
      </c>
      <c r="J49" s="484" t="s">
        <v>1017</v>
      </c>
      <c r="K49" s="484" t="s">
        <v>895</v>
      </c>
      <c r="L49" s="484" t="s">
        <v>896</v>
      </c>
      <c r="M49" s="484" t="s">
        <v>890</v>
      </c>
      <c r="N49" s="484" t="s">
        <v>939</v>
      </c>
      <c r="O49" s="484" t="s">
        <v>924</v>
      </c>
      <c r="P49" s="484" t="s">
        <v>940</v>
      </c>
      <c r="Q49" s="484" t="s">
        <v>941</v>
      </c>
      <c r="R49" s="484" t="s">
        <v>941</v>
      </c>
      <c r="S49" s="484" t="s">
        <v>438</v>
      </c>
      <c r="T49" s="484" t="s">
        <v>942</v>
      </c>
      <c r="U49" s="484" t="s">
        <v>943</v>
      </c>
      <c r="V49" s="484">
        <v>0</v>
      </c>
      <c r="W49" s="484">
        <v>0</v>
      </c>
      <c r="X49" s="484">
        <v>0</v>
      </c>
      <c r="Y49" s="484">
        <v>47795</v>
      </c>
      <c r="Z49" s="484" t="s">
        <v>944</v>
      </c>
      <c r="AA49" s="484" t="s">
        <v>941</v>
      </c>
      <c r="AB49" s="484">
        <v>47795</v>
      </c>
      <c r="AC49" s="484" t="s">
        <v>945</v>
      </c>
      <c r="AD49" s="484" t="s">
        <v>946</v>
      </c>
      <c r="AE49" s="484">
        <v>47795</v>
      </c>
      <c r="AF49" s="484" t="s">
        <v>947</v>
      </c>
      <c r="AG49" s="484" t="s">
        <v>902</v>
      </c>
      <c r="AH49" s="484">
        <v>4345</v>
      </c>
      <c r="AI49" s="484">
        <v>43450</v>
      </c>
      <c r="AJ49" s="484" t="s">
        <v>438</v>
      </c>
      <c r="AL49" s="484" t="s">
        <v>1018</v>
      </c>
      <c r="AM49" s="484">
        <v>1</v>
      </c>
      <c r="AN49" s="484">
        <v>0</v>
      </c>
      <c r="AO49" s="484">
        <v>0</v>
      </c>
      <c r="AP49" s="484">
        <v>0</v>
      </c>
      <c r="AQ49" s="484" t="s">
        <v>438</v>
      </c>
      <c r="AS49" s="484" t="s">
        <v>947</v>
      </c>
      <c r="AT49" s="484" t="s">
        <v>902</v>
      </c>
      <c r="AV49" s="508">
        <v>0</v>
      </c>
      <c r="AW49" s="508">
        <v>0</v>
      </c>
      <c r="AX49" s="508">
        <v>0</v>
      </c>
      <c r="AY49" s="508">
        <v>0</v>
      </c>
      <c r="AZ49" s="508">
        <v>0</v>
      </c>
      <c r="BA49" s="508">
        <v>47795</v>
      </c>
      <c r="BB49" s="508">
        <v>47795</v>
      </c>
      <c r="BC49" s="508">
        <v>47795</v>
      </c>
      <c r="BD49" s="508">
        <v>0</v>
      </c>
      <c r="BE49" s="508"/>
      <c r="BF49" s="508">
        <v>0</v>
      </c>
      <c r="BG49" s="508">
        <v>0</v>
      </c>
      <c r="BH49" s="508">
        <v>0</v>
      </c>
      <c r="BI49" s="508">
        <v>0</v>
      </c>
      <c r="BJ49" s="508">
        <v>0</v>
      </c>
      <c r="BK49" s="508">
        <v>43450</v>
      </c>
      <c r="BL49" s="508">
        <v>43450</v>
      </c>
      <c r="BM49" s="508">
        <v>43450</v>
      </c>
      <c r="BN49" s="508"/>
      <c r="BO49" s="508"/>
    </row>
    <row r="50" spans="1:67" s="484" customFormat="1">
      <c r="A50" s="484" t="s">
        <v>890</v>
      </c>
      <c r="B50" s="484" t="s">
        <v>891</v>
      </c>
      <c r="C50" s="484" t="s">
        <v>438</v>
      </c>
      <c r="D50" s="484" t="s">
        <v>892</v>
      </c>
      <c r="E50" s="484" t="s">
        <v>893</v>
      </c>
      <c r="F50" s="484" t="s">
        <v>906</v>
      </c>
      <c r="G50" s="484" t="s">
        <v>906</v>
      </c>
      <c r="H50" s="484" t="s">
        <v>1010</v>
      </c>
      <c r="I50" s="484" t="s">
        <v>937</v>
      </c>
      <c r="J50" s="484" t="s">
        <v>1019</v>
      </c>
      <c r="K50" s="484" t="s">
        <v>895</v>
      </c>
      <c r="L50" s="484" t="s">
        <v>896</v>
      </c>
      <c r="M50" s="484" t="s">
        <v>890</v>
      </c>
      <c r="N50" s="484" t="s">
        <v>939</v>
      </c>
      <c r="O50" s="484" t="s">
        <v>924</v>
      </c>
      <c r="P50" s="484" t="s">
        <v>940</v>
      </c>
      <c r="Q50" s="484" t="s">
        <v>941</v>
      </c>
      <c r="R50" s="484" t="s">
        <v>941</v>
      </c>
      <c r="S50" s="484" t="s">
        <v>438</v>
      </c>
      <c r="T50" s="484" t="s">
        <v>942</v>
      </c>
      <c r="U50" s="484" t="s">
        <v>943</v>
      </c>
      <c r="V50" s="484">
        <v>0</v>
      </c>
      <c r="W50" s="484">
        <v>0</v>
      </c>
      <c r="X50" s="484">
        <v>0</v>
      </c>
      <c r="Y50" s="484">
        <v>5553</v>
      </c>
      <c r="Z50" s="484" t="s">
        <v>944</v>
      </c>
      <c r="AA50" s="484" t="s">
        <v>941</v>
      </c>
      <c r="AB50" s="484">
        <v>5553</v>
      </c>
      <c r="AC50" s="484" t="s">
        <v>945</v>
      </c>
      <c r="AD50" s="484" t="s">
        <v>946</v>
      </c>
      <c r="AE50" s="484">
        <v>5553</v>
      </c>
      <c r="AF50" s="484" t="s">
        <v>947</v>
      </c>
      <c r="AG50" s="484" t="s">
        <v>902</v>
      </c>
      <c r="AH50" s="484">
        <v>504</v>
      </c>
      <c r="AI50" s="484">
        <v>5049</v>
      </c>
      <c r="AJ50" s="484" t="s">
        <v>438</v>
      </c>
      <c r="AL50" s="484" t="s">
        <v>1020</v>
      </c>
      <c r="AM50" s="484">
        <v>1</v>
      </c>
      <c r="AN50" s="484">
        <v>0</v>
      </c>
      <c r="AO50" s="484">
        <v>0</v>
      </c>
      <c r="AP50" s="484">
        <v>0</v>
      </c>
      <c r="AQ50" s="484" t="s">
        <v>438</v>
      </c>
      <c r="AS50" s="484" t="s">
        <v>947</v>
      </c>
      <c r="AT50" s="484" t="s">
        <v>902</v>
      </c>
      <c r="AV50" s="508">
        <v>0</v>
      </c>
      <c r="AW50" s="508">
        <v>0</v>
      </c>
      <c r="AX50" s="508">
        <v>0</v>
      </c>
      <c r="AY50" s="508">
        <v>0</v>
      </c>
      <c r="AZ50" s="508">
        <v>0</v>
      </c>
      <c r="BA50" s="508">
        <v>5553</v>
      </c>
      <c r="BB50" s="508">
        <v>5553</v>
      </c>
      <c r="BC50" s="508">
        <v>5553</v>
      </c>
      <c r="BD50" s="508">
        <v>0</v>
      </c>
      <c r="BE50" s="508"/>
      <c r="BF50" s="508">
        <v>0</v>
      </c>
      <c r="BG50" s="508">
        <v>0</v>
      </c>
      <c r="BH50" s="508">
        <v>0</v>
      </c>
      <c r="BI50" s="508">
        <v>0</v>
      </c>
      <c r="BJ50" s="508">
        <v>0</v>
      </c>
      <c r="BK50" s="508">
        <v>5048</v>
      </c>
      <c r="BL50" s="508">
        <v>5048</v>
      </c>
      <c r="BM50" s="508">
        <v>5048</v>
      </c>
      <c r="BN50" s="508"/>
      <c r="BO50" s="508"/>
    </row>
    <row r="51" spans="1:67" s="484" customFormat="1">
      <c r="A51" s="484" t="s">
        <v>890</v>
      </c>
      <c r="B51" s="484" t="s">
        <v>891</v>
      </c>
      <c r="C51" s="484" t="s">
        <v>438</v>
      </c>
      <c r="D51" s="484" t="s">
        <v>892</v>
      </c>
      <c r="E51" s="484" t="s">
        <v>893</v>
      </c>
      <c r="F51" s="484" t="s">
        <v>894</v>
      </c>
      <c r="G51" s="484" t="s">
        <v>894</v>
      </c>
      <c r="H51" s="484" t="s">
        <v>1021</v>
      </c>
      <c r="I51" s="484" t="s">
        <v>937</v>
      </c>
      <c r="J51" s="484" t="s">
        <v>1022</v>
      </c>
      <c r="K51" s="484" t="s">
        <v>895</v>
      </c>
      <c r="L51" s="484" t="s">
        <v>896</v>
      </c>
      <c r="M51" s="484" t="s">
        <v>890</v>
      </c>
      <c r="N51" s="484" t="s">
        <v>939</v>
      </c>
      <c r="O51" s="484" t="s">
        <v>924</v>
      </c>
      <c r="P51" s="484" t="s">
        <v>940</v>
      </c>
      <c r="Q51" s="484" t="s">
        <v>941</v>
      </c>
      <c r="R51" s="484" t="s">
        <v>941</v>
      </c>
      <c r="S51" s="484" t="s">
        <v>438</v>
      </c>
      <c r="T51" s="484" t="s">
        <v>942</v>
      </c>
      <c r="U51" s="484" t="s">
        <v>943</v>
      </c>
      <c r="V51" s="484">
        <v>0</v>
      </c>
      <c r="W51" s="484">
        <v>0</v>
      </c>
      <c r="X51" s="484">
        <v>0</v>
      </c>
      <c r="Y51" s="484">
        <v>33450</v>
      </c>
      <c r="Z51" s="484" t="s">
        <v>944</v>
      </c>
      <c r="AA51" s="484" t="s">
        <v>941</v>
      </c>
      <c r="AB51" s="484">
        <v>33450</v>
      </c>
      <c r="AC51" s="484" t="s">
        <v>945</v>
      </c>
      <c r="AD51" s="484" t="s">
        <v>946</v>
      </c>
      <c r="AE51" s="484">
        <v>33450</v>
      </c>
      <c r="AF51" s="484" t="s">
        <v>947</v>
      </c>
      <c r="AG51" s="484" t="s">
        <v>902</v>
      </c>
      <c r="AH51" s="484">
        <v>3040</v>
      </c>
      <c r="AI51" s="484">
        <v>30410</v>
      </c>
      <c r="AJ51" s="484" t="s">
        <v>438</v>
      </c>
      <c r="AL51" s="484" t="s">
        <v>1023</v>
      </c>
      <c r="AM51" s="484">
        <v>1</v>
      </c>
      <c r="AN51" s="484">
        <v>0</v>
      </c>
      <c r="AO51" s="484">
        <v>0</v>
      </c>
      <c r="AP51" s="484">
        <v>0</v>
      </c>
      <c r="AQ51" s="484" t="s">
        <v>438</v>
      </c>
      <c r="AS51" s="484" t="s">
        <v>947</v>
      </c>
      <c r="AT51" s="484" t="s">
        <v>902</v>
      </c>
      <c r="AV51" s="508">
        <v>0</v>
      </c>
      <c r="AW51" s="508">
        <v>0</v>
      </c>
      <c r="AX51" s="508">
        <v>0</v>
      </c>
      <c r="AY51" s="508">
        <v>0</v>
      </c>
      <c r="AZ51" s="508">
        <v>0</v>
      </c>
      <c r="BA51" s="508">
        <v>33450</v>
      </c>
      <c r="BB51" s="508">
        <v>33450</v>
      </c>
      <c r="BC51" s="508">
        <v>33450</v>
      </c>
      <c r="BD51" s="508">
        <v>0</v>
      </c>
      <c r="BE51" s="508"/>
      <c r="BF51" s="508">
        <v>0</v>
      </c>
      <c r="BG51" s="508">
        <v>0</v>
      </c>
      <c r="BH51" s="508">
        <v>0</v>
      </c>
      <c r="BI51" s="508">
        <v>0</v>
      </c>
      <c r="BJ51" s="508">
        <v>0</v>
      </c>
      <c r="BK51" s="508">
        <v>30409</v>
      </c>
      <c r="BL51" s="508">
        <v>30409</v>
      </c>
      <c r="BM51" s="508">
        <v>30409</v>
      </c>
      <c r="BN51" s="508"/>
      <c r="BO51" s="508"/>
    </row>
    <row r="52" spans="1:67" s="484" customFormat="1">
      <c r="A52" s="484" t="s">
        <v>890</v>
      </c>
      <c r="B52" s="484" t="s">
        <v>891</v>
      </c>
      <c r="C52" s="484" t="s">
        <v>438</v>
      </c>
      <c r="D52" s="484" t="s">
        <v>892</v>
      </c>
      <c r="E52" s="484" t="s">
        <v>893</v>
      </c>
      <c r="F52" s="484" t="s">
        <v>894</v>
      </c>
      <c r="G52" s="484" t="s">
        <v>894</v>
      </c>
      <c r="H52" s="484" t="s">
        <v>1021</v>
      </c>
      <c r="I52" s="484" t="s">
        <v>937</v>
      </c>
      <c r="J52" s="484" t="s">
        <v>1024</v>
      </c>
      <c r="K52" s="484" t="s">
        <v>895</v>
      </c>
      <c r="L52" s="484" t="s">
        <v>896</v>
      </c>
      <c r="M52" s="484" t="s">
        <v>890</v>
      </c>
      <c r="N52" s="484" t="s">
        <v>939</v>
      </c>
      <c r="O52" s="484" t="s">
        <v>924</v>
      </c>
      <c r="P52" s="484" t="s">
        <v>940</v>
      </c>
      <c r="Q52" s="484" t="s">
        <v>941</v>
      </c>
      <c r="R52" s="484" t="s">
        <v>941</v>
      </c>
      <c r="S52" s="484" t="s">
        <v>438</v>
      </c>
      <c r="T52" s="484" t="s">
        <v>942</v>
      </c>
      <c r="U52" s="484" t="s">
        <v>943</v>
      </c>
      <c r="V52" s="484">
        <v>0</v>
      </c>
      <c r="W52" s="484">
        <v>0</v>
      </c>
      <c r="X52" s="484">
        <v>0</v>
      </c>
      <c r="Y52" s="484">
        <v>3784</v>
      </c>
      <c r="Z52" s="484" t="s">
        <v>944</v>
      </c>
      <c r="AA52" s="484" t="s">
        <v>941</v>
      </c>
      <c r="AB52" s="484">
        <v>3784</v>
      </c>
      <c r="AC52" s="484" t="s">
        <v>945</v>
      </c>
      <c r="AD52" s="484" t="s">
        <v>946</v>
      </c>
      <c r="AE52" s="484">
        <v>3784</v>
      </c>
      <c r="AF52" s="484" t="s">
        <v>947</v>
      </c>
      <c r="AG52" s="484" t="s">
        <v>902</v>
      </c>
      <c r="AH52" s="484">
        <v>344</v>
      </c>
      <c r="AI52" s="484">
        <v>3440</v>
      </c>
      <c r="AJ52" s="484" t="s">
        <v>438</v>
      </c>
      <c r="AL52" s="484" t="s">
        <v>1025</v>
      </c>
      <c r="AM52" s="484">
        <v>1</v>
      </c>
      <c r="AN52" s="484">
        <v>0</v>
      </c>
      <c r="AO52" s="484">
        <v>0</v>
      </c>
      <c r="AP52" s="484">
        <v>0</v>
      </c>
      <c r="AQ52" s="484" t="s">
        <v>438</v>
      </c>
      <c r="AS52" s="484" t="s">
        <v>947</v>
      </c>
      <c r="AT52" s="484" t="s">
        <v>902</v>
      </c>
      <c r="AV52" s="508">
        <v>0</v>
      </c>
      <c r="AW52" s="508">
        <v>0</v>
      </c>
      <c r="AX52" s="508">
        <v>0</v>
      </c>
      <c r="AY52" s="508">
        <v>0</v>
      </c>
      <c r="AZ52" s="508">
        <v>0</v>
      </c>
      <c r="BA52" s="508">
        <v>3784</v>
      </c>
      <c r="BB52" s="508">
        <v>3784</v>
      </c>
      <c r="BC52" s="508">
        <v>3784</v>
      </c>
      <c r="BD52" s="508">
        <v>0</v>
      </c>
      <c r="BE52" s="508"/>
      <c r="BF52" s="508">
        <v>0</v>
      </c>
      <c r="BG52" s="508">
        <v>0</v>
      </c>
      <c r="BH52" s="508">
        <v>0</v>
      </c>
      <c r="BI52" s="508">
        <v>0</v>
      </c>
      <c r="BJ52" s="508">
        <v>0</v>
      </c>
      <c r="BK52" s="508">
        <v>3440</v>
      </c>
      <c r="BL52" s="508">
        <v>3440</v>
      </c>
      <c r="BM52" s="508">
        <v>3440</v>
      </c>
      <c r="BN52" s="508"/>
      <c r="BO52" s="508"/>
    </row>
    <row r="53" spans="1:67" s="484" customFormat="1">
      <c r="A53" s="484" t="s">
        <v>890</v>
      </c>
      <c r="B53" s="484" t="s">
        <v>891</v>
      </c>
      <c r="C53" s="484" t="s">
        <v>438</v>
      </c>
      <c r="D53" s="484" t="s">
        <v>892</v>
      </c>
      <c r="E53" s="484" t="s">
        <v>893</v>
      </c>
      <c r="F53" s="484" t="s">
        <v>894</v>
      </c>
      <c r="G53" s="484" t="s">
        <v>894</v>
      </c>
      <c r="H53" s="484" t="s">
        <v>1021</v>
      </c>
      <c r="I53" s="484" t="s">
        <v>937</v>
      </c>
      <c r="J53" s="484" t="s">
        <v>1026</v>
      </c>
      <c r="K53" s="484" t="s">
        <v>895</v>
      </c>
      <c r="L53" s="484" t="s">
        <v>896</v>
      </c>
      <c r="M53" s="484" t="s">
        <v>890</v>
      </c>
      <c r="N53" s="484" t="s">
        <v>939</v>
      </c>
      <c r="O53" s="484" t="s">
        <v>924</v>
      </c>
      <c r="P53" s="484" t="s">
        <v>940</v>
      </c>
      <c r="Q53" s="484" t="s">
        <v>941</v>
      </c>
      <c r="R53" s="484" t="s">
        <v>941</v>
      </c>
      <c r="S53" s="484" t="s">
        <v>438</v>
      </c>
      <c r="T53" s="484" t="s">
        <v>942</v>
      </c>
      <c r="U53" s="484" t="s">
        <v>943</v>
      </c>
      <c r="V53" s="484">
        <v>0</v>
      </c>
      <c r="W53" s="484">
        <v>0</v>
      </c>
      <c r="X53" s="484">
        <v>0</v>
      </c>
      <c r="Y53" s="484">
        <v>8492</v>
      </c>
      <c r="Z53" s="484" t="s">
        <v>944</v>
      </c>
      <c r="AA53" s="484" t="s">
        <v>941</v>
      </c>
      <c r="AB53" s="484">
        <v>8492</v>
      </c>
      <c r="AC53" s="484" t="s">
        <v>945</v>
      </c>
      <c r="AD53" s="484" t="s">
        <v>946</v>
      </c>
      <c r="AE53" s="484">
        <v>8492</v>
      </c>
      <c r="AF53" s="484" t="s">
        <v>947</v>
      </c>
      <c r="AG53" s="484" t="s">
        <v>902</v>
      </c>
      <c r="AH53" s="484">
        <v>772</v>
      </c>
      <c r="AI53" s="484">
        <v>7720</v>
      </c>
      <c r="AJ53" s="484" t="s">
        <v>438</v>
      </c>
      <c r="AL53" s="484" t="s">
        <v>1027</v>
      </c>
      <c r="AM53" s="484">
        <v>1</v>
      </c>
      <c r="AN53" s="484">
        <v>0</v>
      </c>
      <c r="AO53" s="484">
        <v>0</v>
      </c>
      <c r="AP53" s="484">
        <v>0</v>
      </c>
      <c r="AQ53" s="484" t="s">
        <v>438</v>
      </c>
      <c r="AS53" s="484" t="s">
        <v>947</v>
      </c>
      <c r="AT53" s="484" t="s">
        <v>902</v>
      </c>
      <c r="AV53" s="508">
        <v>0</v>
      </c>
      <c r="AW53" s="508">
        <v>0</v>
      </c>
      <c r="AX53" s="508">
        <v>0</v>
      </c>
      <c r="AY53" s="508">
        <v>0</v>
      </c>
      <c r="AZ53" s="508">
        <v>0</v>
      </c>
      <c r="BA53" s="508">
        <v>8492</v>
      </c>
      <c r="BB53" s="508">
        <v>8492</v>
      </c>
      <c r="BC53" s="508">
        <v>8492</v>
      </c>
      <c r="BD53" s="508">
        <v>0</v>
      </c>
      <c r="BE53" s="508"/>
      <c r="BF53" s="508">
        <v>0</v>
      </c>
      <c r="BG53" s="508">
        <v>0</v>
      </c>
      <c r="BH53" s="508">
        <v>0</v>
      </c>
      <c r="BI53" s="508">
        <v>0</v>
      </c>
      <c r="BJ53" s="508">
        <v>0</v>
      </c>
      <c r="BK53" s="508">
        <v>7720</v>
      </c>
      <c r="BL53" s="508">
        <v>7720</v>
      </c>
      <c r="BM53" s="508">
        <v>7720</v>
      </c>
      <c r="BN53" s="508"/>
      <c r="BO53" s="508"/>
    </row>
    <row r="54" spans="1:67" s="484" customFormat="1">
      <c r="A54" s="484" t="s">
        <v>890</v>
      </c>
      <c r="B54" s="484" t="s">
        <v>891</v>
      </c>
      <c r="C54" s="484" t="s">
        <v>438</v>
      </c>
      <c r="D54" s="484" t="s">
        <v>892</v>
      </c>
      <c r="E54" s="484" t="s">
        <v>893</v>
      </c>
      <c r="F54" s="484" t="s">
        <v>894</v>
      </c>
      <c r="G54" s="484" t="s">
        <v>894</v>
      </c>
      <c r="H54" s="484" t="s">
        <v>1021</v>
      </c>
      <c r="I54" s="484" t="s">
        <v>937</v>
      </c>
      <c r="J54" s="484" t="s">
        <v>1028</v>
      </c>
      <c r="K54" s="484" t="s">
        <v>895</v>
      </c>
      <c r="L54" s="484" t="s">
        <v>896</v>
      </c>
      <c r="M54" s="484" t="s">
        <v>890</v>
      </c>
      <c r="N54" s="484" t="s">
        <v>939</v>
      </c>
      <c r="O54" s="484" t="s">
        <v>924</v>
      </c>
      <c r="P54" s="484" t="s">
        <v>940</v>
      </c>
      <c r="Q54" s="484" t="s">
        <v>941</v>
      </c>
      <c r="R54" s="484" t="s">
        <v>941</v>
      </c>
      <c r="S54" s="484" t="s">
        <v>438</v>
      </c>
      <c r="T54" s="484" t="s">
        <v>942</v>
      </c>
      <c r="U54" s="484" t="s">
        <v>943</v>
      </c>
      <c r="V54" s="484">
        <v>0</v>
      </c>
      <c r="W54" s="484">
        <v>0</v>
      </c>
      <c r="X54" s="484">
        <v>0</v>
      </c>
      <c r="Y54" s="484">
        <v>393</v>
      </c>
      <c r="Z54" s="484" t="s">
        <v>944</v>
      </c>
      <c r="AA54" s="484" t="s">
        <v>941</v>
      </c>
      <c r="AB54" s="484">
        <v>393</v>
      </c>
      <c r="AC54" s="484" t="s">
        <v>945</v>
      </c>
      <c r="AD54" s="484" t="s">
        <v>946</v>
      </c>
      <c r="AE54" s="484">
        <v>393</v>
      </c>
      <c r="AF54" s="484" t="s">
        <v>947</v>
      </c>
      <c r="AG54" s="484" t="s">
        <v>902</v>
      </c>
      <c r="AH54" s="484">
        <v>35</v>
      </c>
      <c r="AI54" s="484">
        <v>358</v>
      </c>
      <c r="AJ54" s="484" t="s">
        <v>438</v>
      </c>
      <c r="AL54" s="484" t="s">
        <v>1029</v>
      </c>
      <c r="AM54" s="484">
        <v>1</v>
      </c>
      <c r="AN54" s="484">
        <v>0</v>
      </c>
      <c r="AO54" s="484">
        <v>0</v>
      </c>
      <c r="AP54" s="484">
        <v>0</v>
      </c>
      <c r="AQ54" s="484" t="s">
        <v>438</v>
      </c>
      <c r="AS54" s="484" t="s">
        <v>947</v>
      </c>
      <c r="AT54" s="484" t="s">
        <v>902</v>
      </c>
      <c r="AV54" s="508">
        <v>0</v>
      </c>
      <c r="AW54" s="508">
        <v>0</v>
      </c>
      <c r="AX54" s="508">
        <v>0</v>
      </c>
      <c r="AY54" s="508">
        <v>0</v>
      </c>
      <c r="AZ54" s="508">
        <v>0</v>
      </c>
      <c r="BA54" s="508">
        <v>393</v>
      </c>
      <c r="BB54" s="508">
        <v>393</v>
      </c>
      <c r="BC54" s="508">
        <v>393</v>
      </c>
      <c r="BD54" s="508">
        <v>0</v>
      </c>
      <c r="BE54" s="508"/>
      <c r="BF54" s="508">
        <v>0</v>
      </c>
      <c r="BG54" s="508">
        <v>0</v>
      </c>
      <c r="BH54" s="508">
        <v>0</v>
      </c>
      <c r="BI54" s="508">
        <v>0</v>
      </c>
      <c r="BJ54" s="508">
        <v>0</v>
      </c>
      <c r="BK54" s="508">
        <v>357</v>
      </c>
      <c r="BL54" s="508">
        <v>357</v>
      </c>
      <c r="BM54" s="508">
        <v>357</v>
      </c>
      <c r="BN54" s="508"/>
      <c r="BO54" s="508"/>
    </row>
    <row r="55" spans="1:67" s="484" customFormat="1">
      <c r="A55" s="484" t="s">
        <v>890</v>
      </c>
      <c r="B55" s="484" t="s">
        <v>891</v>
      </c>
      <c r="C55" s="484" t="s">
        <v>438</v>
      </c>
      <c r="D55" s="484" t="s">
        <v>892</v>
      </c>
      <c r="E55" s="484" t="s">
        <v>893</v>
      </c>
      <c r="F55" s="484" t="s">
        <v>1030</v>
      </c>
      <c r="G55" s="484" t="s">
        <v>1030</v>
      </c>
      <c r="H55" s="484" t="s">
        <v>1031</v>
      </c>
      <c r="I55" s="484" t="s">
        <v>937</v>
      </c>
      <c r="J55" s="484" t="s">
        <v>1032</v>
      </c>
      <c r="K55" s="484" t="s">
        <v>895</v>
      </c>
      <c r="L55" s="484" t="s">
        <v>896</v>
      </c>
      <c r="M55" s="484" t="s">
        <v>890</v>
      </c>
      <c r="N55" s="484" t="s">
        <v>939</v>
      </c>
      <c r="O55" s="484" t="s">
        <v>924</v>
      </c>
      <c r="P55" s="484" t="s">
        <v>940</v>
      </c>
      <c r="Q55" s="484" t="s">
        <v>941</v>
      </c>
      <c r="R55" s="484" t="s">
        <v>941</v>
      </c>
      <c r="S55" s="484" t="s">
        <v>438</v>
      </c>
      <c r="T55" s="484" t="s">
        <v>942</v>
      </c>
      <c r="U55" s="484" t="s">
        <v>943</v>
      </c>
      <c r="V55" s="484">
        <v>0</v>
      </c>
      <c r="W55" s="484">
        <v>0</v>
      </c>
      <c r="X55" s="484">
        <v>0</v>
      </c>
      <c r="Y55" s="484">
        <v>51970</v>
      </c>
      <c r="Z55" s="484" t="s">
        <v>944</v>
      </c>
      <c r="AA55" s="484" t="s">
        <v>941</v>
      </c>
      <c r="AB55" s="484">
        <v>51970</v>
      </c>
      <c r="AC55" s="484" t="s">
        <v>945</v>
      </c>
      <c r="AD55" s="484" t="s">
        <v>946</v>
      </c>
      <c r="AE55" s="484">
        <v>51970</v>
      </c>
      <c r="AF55" s="484" t="s">
        <v>947</v>
      </c>
      <c r="AG55" s="484" t="s">
        <v>902</v>
      </c>
      <c r="AH55" s="484">
        <v>4724</v>
      </c>
      <c r="AI55" s="484">
        <v>47246</v>
      </c>
      <c r="AJ55" s="484" t="s">
        <v>438</v>
      </c>
      <c r="AL55" s="484" t="s">
        <v>1033</v>
      </c>
      <c r="AM55" s="484">
        <v>1</v>
      </c>
      <c r="AN55" s="484">
        <v>0</v>
      </c>
      <c r="AO55" s="484">
        <v>0</v>
      </c>
      <c r="AP55" s="484">
        <v>0</v>
      </c>
      <c r="AQ55" s="484" t="s">
        <v>438</v>
      </c>
      <c r="AS55" s="484" t="s">
        <v>947</v>
      </c>
      <c r="AT55" s="484" t="s">
        <v>902</v>
      </c>
      <c r="AV55" s="508">
        <v>0</v>
      </c>
      <c r="AW55" s="508">
        <v>0</v>
      </c>
      <c r="AX55" s="508">
        <v>0</v>
      </c>
      <c r="AY55" s="508">
        <v>0</v>
      </c>
      <c r="AZ55" s="508">
        <v>0</v>
      </c>
      <c r="BA55" s="508">
        <v>51970</v>
      </c>
      <c r="BB55" s="508">
        <v>51970</v>
      </c>
      <c r="BC55" s="508">
        <v>51970</v>
      </c>
      <c r="BD55" s="508">
        <v>0</v>
      </c>
      <c r="BE55" s="508"/>
      <c r="BF55" s="508">
        <v>0</v>
      </c>
      <c r="BG55" s="508">
        <v>0</v>
      </c>
      <c r="BH55" s="508">
        <v>0</v>
      </c>
      <c r="BI55" s="508">
        <v>0</v>
      </c>
      <c r="BJ55" s="508">
        <v>0</v>
      </c>
      <c r="BK55" s="508">
        <v>47246</v>
      </c>
      <c r="BL55" s="508">
        <v>47246</v>
      </c>
      <c r="BM55" s="508">
        <v>47246</v>
      </c>
      <c r="BN55" s="508"/>
      <c r="BO55" s="508"/>
    </row>
    <row r="56" spans="1:67" s="484" customFormat="1">
      <c r="A56" s="484" t="s">
        <v>890</v>
      </c>
      <c r="B56" s="484" t="s">
        <v>891</v>
      </c>
      <c r="C56" s="484" t="s">
        <v>438</v>
      </c>
      <c r="D56" s="484" t="s">
        <v>892</v>
      </c>
      <c r="E56" s="484" t="s">
        <v>893</v>
      </c>
      <c r="F56" s="484" t="s">
        <v>1030</v>
      </c>
      <c r="G56" s="484" t="s">
        <v>1030</v>
      </c>
      <c r="H56" s="484" t="s">
        <v>1031</v>
      </c>
      <c r="I56" s="484" t="s">
        <v>937</v>
      </c>
      <c r="J56" s="484" t="s">
        <v>1034</v>
      </c>
      <c r="K56" s="484" t="s">
        <v>895</v>
      </c>
      <c r="L56" s="484" t="s">
        <v>896</v>
      </c>
      <c r="M56" s="484" t="s">
        <v>890</v>
      </c>
      <c r="N56" s="484" t="s">
        <v>939</v>
      </c>
      <c r="O56" s="484" t="s">
        <v>924</v>
      </c>
      <c r="P56" s="484" t="s">
        <v>940</v>
      </c>
      <c r="Q56" s="484" t="s">
        <v>941</v>
      </c>
      <c r="R56" s="484" t="s">
        <v>941</v>
      </c>
      <c r="S56" s="484" t="s">
        <v>438</v>
      </c>
      <c r="T56" s="484" t="s">
        <v>942</v>
      </c>
      <c r="U56" s="484" t="s">
        <v>943</v>
      </c>
      <c r="V56" s="484">
        <v>0</v>
      </c>
      <c r="W56" s="484">
        <v>0</v>
      </c>
      <c r="X56" s="484">
        <v>0</v>
      </c>
      <c r="Y56" s="484">
        <v>1689</v>
      </c>
      <c r="Z56" s="484" t="s">
        <v>944</v>
      </c>
      <c r="AA56" s="484" t="s">
        <v>941</v>
      </c>
      <c r="AB56" s="484">
        <v>1689</v>
      </c>
      <c r="AC56" s="484" t="s">
        <v>945</v>
      </c>
      <c r="AD56" s="484" t="s">
        <v>946</v>
      </c>
      <c r="AE56" s="484">
        <v>1689</v>
      </c>
      <c r="AF56" s="484" t="s">
        <v>947</v>
      </c>
      <c r="AG56" s="484" t="s">
        <v>902</v>
      </c>
      <c r="AH56" s="484">
        <v>153</v>
      </c>
      <c r="AI56" s="484">
        <v>1536</v>
      </c>
      <c r="AJ56" s="484" t="s">
        <v>438</v>
      </c>
      <c r="AL56" s="484" t="s">
        <v>1035</v>
      </c>
      <c r="AM56" s="484">
        <v>1</v>
      </c>
      <c r="AN56" s="484">
        <v>0</v>
      </c>
      <c r="AO56" s="484">
        <v>0</v>
      </c>
      <c r="AP56" s="484">
        <v>0</v>
      </c>
      <c r="AQ56" s="484" t="s">
        <v>438</v>
      </c>
      <c r="AS56" s="484" t="s">
        <v>947</v>
      </c>
      <c r="AT56" s="484" t="s">
        <v>902</v>
      </c>
      <c r="AV56" s="508">
        <v>0</v>
      </c>
      <c r="AW56" s="508">
        <v>0</v>
      </c>
      <c r="AX56" s="508">
        <v>0</v>
      </c>
      <c r="AY56" s="508">
        <v>0</v>
      </c>
      <c r="AZ56" s="508">
        <v>0</v>
      </c>
      <c r="BA56" s="508">
        <v>1689</v>
      </c>
      <c r="BB56" s="508">
        <v>1689</v>
      </c>
      <c r="BC56" s="508">
        <v>1689</v>
      </c>
      <c r="BD56" s="508">
        <v>0</v>
      </c>
      <c r="BE56" s="508"/>
      <c r="BF56" s="508">
        <v>0</v>
      </c>
      <c r="BG56" s="508">
        <v>0</v>
      </c>
      <c r="BH56" s="508">
        <v>0</v>
      </c>
      <c r="BI56" s="508">
        <v>0</v>
      </c>
      <c r="BJ56" s="508">
        <v>0</v>
      </c>
      <c r="BK56" s="508">
        <v>1535</v>
      </c>
      <c r="BL56" s="508">
        <v>1535</v>
      </c>
      <c r="BM56" s="508">
        <v>1535</v>
      </c>
      <c r="BN56" s="508"/>
      <c r="BO56" s="508"/>
    </row>
    <row r="57" spans="1:67" s="484" customFormat="1">
      <c r="A57" s="484" t="s">
        <v>890</v>
      </c>
      <c r="B57" s="484" t="s">
        <v>891</v>
      </c>
      <c r="C57" s="484" t="s">
        <v>438</v>
      </c>
      <c r="D57" s="484" t="s">
        <v>892</v>
      </c>
      <c r="E57" s="484" t="s">
        <v>893</v>
      </c>
      <c r="F57" s="484" t="s">
        <v>1030</v>
      </c>
      <c r="G57" s="484" t="s">
        <v>1030</v>
      </c>
      <c r="H57" s="484" t="s">
        <v>1031</v>
      </c>
      <c r="I57" s="484" t="s">
        <v>937</v>
      </c>
      <c r="J57" s="484" t="s">
        <v>1036</v>
      </c>
      <c r="K57" s="484" t="s">
        <v>895</v>
      </c>
      <c r="L57" s="484" t="s">
        <v>896</v>
      </c>
      <c r="M57" s="484" t="s">
        <v>890</v>
      </c>
      <c r="N57" s="484" t="s">
        <v>939</v>
      </c>
      <c r="O57" s="484" t="s">
        <v>924</v>
      </c>
      <c r="P57" s="484" t="s">
        <v>940</v>
      </c>
      <c r="Q57" s="484" t="s">
        <v>941</v>
      </c>
      <c r="R57" s="484" t="s">
        <v>941</v>
      </c>
      <c r="S57" s="484" t="s">
        <v>438</v>
      </c>
      <c r="T57" s="484" t="s">
        <v>942</v>
      </c>
      <c r="U57" s="484" t="s">
        <v>943</v>
      </c>
      <c r="V57" s="484">
        <v>0</v>
      </c>
      <c r="W57" s="484">
        <v>0</v>
      </c>
      <c r="X57" s="484">
        <v>0</v>
      </c>
      <c r="Y57" s="484">
        <v>1162</v>
      </c>
      <c r="Z57" s="484" t="s">
        <v>944</v>
      </c>
      <c r="AA57" s="484" t="s">
        <v>941</v>
      </c>
      <c r="AB57" s="484">
        <v>1162</v>
      </c>
      <c r="AC57" s="484" t="s">
        <v>945</v>
      </c>
      <c r="AD57" s="484" t="s">
        <v>946</v>
      </c>
      <c r="AE57" s="484">
        <v>1162</v>
      </c>
      <c r="AF57" s="484" t="s">
        <v>947</v>
      </c>
      <c r="AG57" s="484" t="s">
        <v>902</v>
      </c>
      <c r="AH57" s="484">
        <v>105</v>
      </c>
      <c r="AI57" s="484">
        <v>1057</v>
      </c>
      <c r="AJ57" s="484" t="s">
        <v>438</v>
      </c>
      <c r="AL57" s="484" t="s">
        <v>1037</v>
      </c>
      <c r="AM57" s="484">
        <v>1</v>
      </c>
      <c r="AN57" s="484">
        <v>0</v>
      </c>
      <c r="AO57" s="484">
        <v>0</v>
      </c>
      <c r="AP57" s="484">
        <v>0</v>
      </c>
      <c r="AQ57" s="484" t="s">
        <v>438</v>
      </c>
      <c r="AS57" s="484" t="s">
        <v>947</v>
      </c>
      <c r="AT57" s="484" t="s">
        <v>902</v>
      </c>
      <c r="AV57" s="508">
        <v>0</v>
      </c>
      <c r="AW57" s="508">
        <v>0</v>
      </c>
      <c r="AX57" s="508">
        <v>0</v>
      </c>
      <c r="AY57" s="508">
        <v>0</v>
      </c>
      <c r="AZ57" s="508">
        <v>0</v>
      </c>
      <c r="BA57" s="508">
        <v>1162</v>
      </c>
      <c r="BB57" s="508">
        <v>1162</v>
      </c>
      <c r="BC57" s="508">
        <v>1162</v>
      </c>
      <c r="BD57" s="508">
        <v>0</v>
      </c>
      <c r="BE57" s="508"/>
      <c r="BF57" s="508">
        <v>0</v>
      </c>
      <c r="BG57" s="508">
        <v>0</v>
      </c>
      <c r="BH57" s="508">
        <v>0</v>
      </c>
      <c r="BI57" s="508">
        <v>0</v>
      </c>
      <c r="BJ57" s="508">
        <v>0</v>
      </c>
      <c r="BK57" s="508">
        <v>1056</v>
      </c>
      <c r="BL57" s="508">
        <v>1056</v>
      </c>
      <c r="BM57" s="508">
        <v>1056</v>
      </c>
      <c r="BN57" s="508"/>
      <c r="BO57" s="508"/>
    </row>
    <row r="58" spans="1:67" s="484" customFormat="1">
      <c r="A58" s="484" t="s">
        <v>890</v>
      </c>
      <c r="B58" s="484" t="s">
        <v>891</v>
      </c>
      <c r="C58" s="484" t="s">
        <v>438</v>
      </c>
      <c r="D58" s="484" t="s">
        <v>892</v>
      </c>
      <c r="E58" s="484" t="s">
        <v>893</v>
      </c>
      <c r="F58" s="484" t="s">
        <v>1030</v>
      </c>
      <c r="G58" s="484" t="s">
        <v>1030</v>
      </c>
      <c r="H58" s="484" t="s">
        <v>1031</v>
      </c>
      <c r="I58" s="484" t="s">
        <v>937</v>
      </c>
      <c r="J58" s="484" t="s">
        <v>1038</v>
      </c>
      <c r="K58" s="484" t="s">
        <v>895</v>
      </c>
      <c r="L58" s="484" t="s">
        <v>896</v>
      </c>
      <c r="M58" s="484" t="s">
        <v>890</v>
      </c>
      <c r="N58" s="484" t="s">
        <v>939</v>
      </c>
      <c r="O58" s="484" t="s">
        <v>924</v>
      </c>
      <c r="P58" s="484" t="s">
        <v>940</v>
      </c>
      <c r="Q58" s="484" t="s">
        <v>941</v>
      </c>
      <c r="R58" s="484" t="s">
        <v>941</v>
      </c>
      <c r="S58" s="484" t="s">
        <v>438</v>
      </c>
      <c r="T58" s="484" t="s">
        <v>942</v>
      </c>
      <c r="U58" s="484" t="s">
        <v>943</v>
      </c>
      <c r="V58" s="484">
        <v>0</v>
      </c>
      <c r="W58" s="484">
        <v>0</v>
      </c>
      <c r="X58" s="484">
        <v>0</v>
      </c>
      <c r="Y58" s="484">
        <v>869</v>
      </c>
      <c r="Z58" s="484" t="s">
        <v>944</v>
      </c>
      <c r="AA58" s="484" t="s">
        <v>941</v>
      </c>
      <c r="AB58" s="484">
        <v>869</v>
      </c>
      <c r="AC58" s="484" t="s">
        <v>945</v>
      </c>
      <c r="AD58" s="484" t="s">
        <v>946</v>
      </c>
      <c r="AE58" s="484">
        <v>869</v>
      </c>
      <c r="AF58" s="484" t="s">
        <v>947</v>
      </c>
      <c r="AG58" s="484" t="s">
        <v>902</v>
      </c>
      <c r="AH58" s="484">
        <v>79</v>
      </c>
      <c r="AI58" s="484">
        <v>790</v>
      </c>
      <c r="AJ58" s="484" t="s">
        <v>438</v>
      </c>
      <c r="AL58" s="484" t="s">
        <v>1039</v>
      </c>
      <c r="AM58" s="484">
        <v>1</v>
      </c>
      <c r="AN58" s="484">
        <v>0</v>
      </c>
      <c r="AO58" s="484">
        <v>0</v>
      </c>
      <c r="AP58" s="484">
        <v>0</v>
      </c>
      <c r="AQ58" s="484" t="s">
        <v>438</v>
      </c>
      <c r="AS58" s="484" t="s">
        <v>947</v>
      </c>
      <c r="AT58" s="484" t="s">
        <v>902</v>
      </c>
      <c r="AV58" s="508">
        <v>0</v>
      </c>
      <c r="AW58" s="508">
        <v>0</v>
      </c>
      <c r="AX58" s="508">
        <v>0</v>
      </c>
      <c r="AY58" s="508">
        <v>0</v>
      </c>
      <c r="AZ58" s="508">
        <v>0</v>
      </c>
      <c r="BA58" s="508">
        <v>869</v>
      </c>
      <c r="BB58" s="508">
        <v>869</v>
      </c>
      <c r="BC58" s="508">
        <v>869</v>
      </c>
      <c r="BD58" s="508">
        <v>0</v>
      </c>
      <c r="BE58" s="508"/>
      <c r="BF58" s="508">
        <v>0</v>
      </c>
      <c r="BG58" s="508">
        <v>0</v>
      </c>
      <c r="BH58" s="508">
        <v>0</v>
      </c>
      <c r="BI58" s="508">
        <v>0</v>
      </c>
      <c r="BJ58" s="508">
        <v>0</v>
      </c>
      <c r="BK58" s="508">
        <v>790</v>
      </c>
      <c r="BL58" s="508">
        <v>790</v>
      </c>
      <c r="BM58" s="508">
        <v>790</v>
      </c>
      <c r="BN58" s="508"/>
      <c r="BO58" s="508"/>
    </row>
    <row r="59" spans="1:67" s="484" customFormat="1">
      <c r="A59" s="484" t="s">
        <v>890</v>
      </c>
      <c r="B59" s="484" t="s">
        <v>891</v>
      </c>
      <c r="C59" s="484" t="s">
        <v>438</v>
      </c>
      <c r="D59" s="484" t="s">
        <v>892</v>
      </c>
      <c r="E59" s="484" t="s">
        <v>893</v>
      </c>
      <c r="F59" s="484" t="s">
        <v>1040</v>
      </c>
      <c r="G59" s="484" t="s">
        <v>1040</v>
      </c>
      <c r="H59" s="484" t="s">
        <v>1041</v>
      </c>
      <c r="I59" s="484" t="s">
        <v>937</v>
      </c>
      <c r="J59" s="484" t="s">
        <v>1042</v>
      </c>
      <c r="K59" s="484" t="s">
        <v>895</v>
      </c>
      <c r="L59" s="484" t="s">
        <v>896</v>
      </c>
      <c r="M59" s="484" t="s">
        <v>890</v>
      </c>
      <c r="N59" s="484" t="s">
        <v>939</v>
      </c>
      <c r="O59" s="484" t="s">
        <v>924</v>
      </c>
      <c r="P59" s="484" t="s">
        <v>940</v>
      </c>
      <c r="Q59" s="484" t="s">
        <v>941</v>
      </c>
      <c r="R59" s="484" t="s">
        <v>941</v>
      </c>
      <c r="S59" s="484" t="s">
        <v>438</v>
      </c>
      <c r="T59" s="484" t="s">
        <v>942</v>
      </c>
      <c r="U59" s="484" t="s">
        <v>943</v>
      </c>
      <c r="V59" s="484">
        <v>0</v>
      </c>
      <c r="W59" s="484">
        <v>0</v>
      </c>
      <c r="X59" s="484">
        <v>0</v>
      </c>
      <c r="Y59" s="484">
        <v>83432</v>
      </c>
      <c r="Z59" s="484" t="s">
        <v>944</v>
      </c>
      <c r="AA59" s="484" t="s">
        <v>941</v>
      </c>
      <c r="AB59" s="484">
        <v>83432</v>
      </c>
      <c r="AC59" s="484" t="s">
        <v>1043</v>
      </c>
      <c r="AD59" s="484" t="s">
        <v>1044</v>
      </c>
      <c r="AE59" s="484">
        <v>83432</v>
      </c>
      <c r="AF59" s="484" t="s">
        <v>947</v>
      </c>
      <c r="AG59" s="484" t="s">
        <v>902</v>
      </c>
      <c r="AH59" s="484">
        <v>7584</v>
      </c>
      <c r="AI59" s="484">
        <v>75848</v>
      </c>
      <c r="AJ59" s="484" t="s">
        <v>438</v>
      </c>
      <c r="AL59" s="484" t="s">
        <v>1045</v>
      </c>
      <c r="AM59" s="484">
        <v>1</v>
      </c>
      <c r="AN59" s="484">
        <v>0</v>
      </c>
      <c r="AO59" s="484">
        <v>0</v>
      </c>
      <c r="AP59" s="484">
        <v>0</v>
      </c>
      <c r="AQ59" s="484" t="s">
        <v>438</v>
      </c>
      <c r="AS59" s="484" t="s">
        <v>947</v>
      </c>
      <c r="AT59" s="484" t="s">
        <v>902</v>
      </c>
      <c r="AV59" s="508">
        <v>0</v>
      </c>
      <c r="AW59" s="508">
        <v>0</v>
      </c>
      <c r="AX59" s="508">
        <v>0</v>
      </c>
      <c r="AY59" s="508">
        <v>0</v>
      </c>
      <c r="AZ59" s="508">
        <v>0</v>
      </c>
      <c r="BA59" s="508">
        <v>83432</v>
      </c>
      <c r="BB59" s="508">
        <v>83432</v>
      </c>
      <c r="BC59" s="508">
        <v>83432</v>
      </c>
      <c r="BD59" s="508">
        <v>0</v>
      </c>
      <c r="BE59" s="508"/>
      <c r="BF59" s="508">
        <v>0</v>
      </c>
      <c r="BG59" s="508">
        <v>0</v>
      </c>
      <c r="BH59" s="508">
        <v>0</v>
      </c>
      <c r="BI59" s="508">
        <v>0</v>
      </c>
      <c r="BJ59" s="508">
        <v>0</v>
      </c>
      <c r="BK59" s="508">
        <v>75847</v>
      </c>
      <c r="BL59" s="508">
        <v>75847</v>
      </c>
      <c r="BM59" s="508">
        <v>75847</v>
      </c>
      <c r="BN59" s="508"/>
      <c r="BO59" s="508"/>
    </row>
    <row r="60" spans="1:67" s="484" customFormat="1">
      <c r="A60" s="484" t="s">
        <v>890</v>
      </c>
      <c r="B60" s="484" t="s">
        <v>891</v>
      </c>
      <c r="C60" s="484" t="s">
        <v>438</v>
      </c>
      <c r="D60" s="484" t="s">
        <v>892</v>
      </c>
      <c r="E60" s="484" t="s">
        <v>893</v>
      </c>
      <c r="F60" s="484" t="s">
        <v>1046</v>
      </c>
      <c r="G60" s="484" t="s">
        <v>1046</v>
      </c>
      <c r="H60" s="484" t="s">
        <v>1041</v>
      </c>
      <c r="I60" s="484" t="s">
        <v>937</v>
      </c>
      <c r="J60" s="484" t="s">
        <v>1047</v>
      </c>
      <c r="K60" s="484" t="s">
        <v>895</v>
      </c>
      <c r="L60" s="484" t="s">
        <v>896</v>
      </c>
      <c r="M60" s="484" t="s">
        <v>890</v>
      </c>
      <c r="N60" s="484" t="s">
        <v>939</v>
      </c>
      <c r="O60" s="484" t="s">
        <v>924</v>
      </c>
      <c r="P60" s="484" t="s">
        <v>940</v>
      </c>
      <c r="Q60" s="484" t="s">
        <v>941</v>
      </c>
      <c r="R60" s="484" t="s">
        <v>941</v>
      </c>
      <c r="S60" s="484" t="s">
        <v>438</v>
      </c>
      <c r="T60" s="484" t="s">
        <v>942</v>
      </c>
      <c r="U60" s="484" t="s">
        <v>943</v>
      </c>
      <c r="V60" s="484">
        <v>0</v>
      </c>
      <c r="W60" s="484">
        <v>0</v>
      </c>
      <c r="X60" s="484">
        <v>0</v>
      </c>
      <c r="Y60" s="484">
        <v>5402</v>
      </c>
      <c r="Z60" s="484" t="s">
        <v>944</v>
      </c>
      <c r="AA60" s="484" t="s">
        <v>941</v>
      </c>
      <c r="AB60" s="484">
        <v>5402</v>
      </c>
      <c r="AC60" s="484" t="s">
        <v>1043</v>
      </c>
      <c r="AD60" s="484" t="s">
        <v>1044</v>
      </c>
      <c r="AE60" s="484">
        <v>5402</v>
      </c>
      <c r="AF60" s="484" t="s">
        <v>933</v>
      </c>
      <c r="AG60" s="484" t="s">
        <v>902</v>
      </c>
      <c r="AH60" s="484">
        <v>491</v>
      </c>
      <c r="AI60" s="484">
        <v>4911</v>
      </c>
      <c r="AJ60" s="484" t="s">
        <v>438</v>
      </c>
      <c r="AL60" s="484" t="s">
        <v>1048</v>
      </c>
      <c r="AM60" s="484">
        <v>2</v>
      </c>
      <c r="AN60" s="484">
        <v>18</v>
      </c>
      <c r="AO60" s="484">
        <v>10</v>
      </c>
      <c r="AP60" s="484">
        <v>0</v>
      </c>
      <c r="AQ60" s="484" t="s">
        <v>438</v>
      </c>
      <c r="AS60" s="484">
        <v>18</v>
      </c>
      <c r="AT60" s="484">
        <v>10</v>
      </c>
      <c r="AV60" s="508">
        <v>0</v>
      </c>
      <c r="AW60" s="508">
        <v>0</v>
      </c>
      <c r="AX60" s="508">
        <v>0</v>
      </c>
      <c r="AY60" s="508">
        <v>0</v>
      </c>
      <c r="AZ60" s="508">
        <v>0</v>
      </c>
      <c r="BA60" s="508">
        <v>5402</v>
      </c>
      <c r="BB60" s="508">
        <v>5402</v>
      </c>
      <c r="BC60" s="508">
        <v>5402</v>
      </c>
      <c r="BD60" s="508">
        <v>0</v>
      </c>
      <c r="BE60" s="508"/>
      <c r="BF60" s="508">
        <v>0</v>
      </c>
      <c r="BG60" s="508">
        <v>0</v>
      </c>
      <c r="BH60" s="508">
        <v>0</v>
      </c>
      <c r="BI60" s="508">
        <v>0</v>
      </c>
      <c r="BJ60" s="508">
        <v>0</v>
      </c>
      <c r="BK60" s="508">
        <v>4911</v>
      </c>
      <c r="BL60" s="508">
        <v>4911</v>
      </c>
      <c r="BM60" s="508">
        <v>4911</v>
      </c>
      <c r="BN60" s="508"/>
      <c r="BO60" s="508"/>
    </row>
    <row r="61" spans="1:67" s="484" customFormat="1">
      <c r="A61" s="484" t="s">
        <v>890</v>
      </c>
      <c r="B61" s="484" t="s">
        <v>891</v>
      </c>
      <c r="C61" s="484" t="s">
        <v>438</v>
      </c>
      <c r="D61" s="484" t="s">
        <v>892</v>
      </c>
      <c r="E61" s="484" t="s">
        <v>893</v>
      </c>
      <c r="F61" s="484" t="s">
        <v>1049</v>
      </c>
      <c r="G61" s="484" t="s">
        <v>1049</v>
      </c>
      <c r="H61" s="484" t="s">
        <v>1041</v>
      </c>
      <c r="I61" s="484" t="s">
        <v>937</v>
      </c>
      <c r="J61" s="484" t="s">
        <v>1050</v>
      </c>
      <c r="K61" s="484" t="s">
        <v>895</v>
      </c>
      <c r="L61" s="484" t="s">
        <v>896</v>
      </c>
      <c r="M61" s="484" t="s">
        <v>890</v>
      </c>
      <c r="N61" s="484" t="s">
        <v>939</v>
      </c>
      <c r="O61" s="484" t="s">
        <v>924</v>
      </c>
      <c r="P61" s="484" t="s">
        <v>940</v>
      </c>
      <c r="Q61" s="484" t="s">
        <v>941</v>
      </c>
      <c r="R61" s="484" t="s">
        <v>941</v>
      </c>
      <c r="S61" s="484" t="s">
        <v>438</v>
      </c>
      <c r="T61" s="484" t="s">
        <v>942</v>
      </c>
      <c r="U61" s="484" t="s">
        <v>943</v>
      </c>
      <c r="V61" s="484">
        <v>0</v>
      </c>
      <c r="W61" s="484">
        <v>0</v>
      </c>
      <c r="X61" s="484">
        <v>0</v>
      </c>
      <c r="Y61" s="484">
        <v>5696</v>
      </c>
      <c r="Z61" s="484" t="s">
        <v>944</v>
      </c>
      <c r="AA61" s="484" t="s">
        <v>941</v>
      </c>
      <c r="AB61" s="484">
        <v>5696</v>
      </c>
      <c r="AC61" s="484" t="s">
        <v>1043</v>
      </c>
      <c r="AD61" s="484" t="s">
        <v>1044</v>
      </c>
      <c r="AE61" s="484">
        <v>5696</v>
      </c>
      <c r="AF61" s="484" t="s">
        <v>933</v>
      </c>
      <c r="AG61" s="484" t="s">
        <v>902</v>
      </c>
      <c r="AH61" s="484">
        <v>518</v>
      </c>
      <c r="AI61" s="484">
        <v>5178</v>
      </c>
      <c r="AJ61" s="484" t="s">
        <v>438</v>
      </c>
      <c r="AL61" s="484" t="s">
        <v>1051</v>
      </c>
      <c r="AM61" s="484">
        <v>2</v>
      </c>
      <c r="AN61" s="484">
        <v>18</v>
      </c>
      <c r="AO61" s="484">
        <v>10</v>
      </c>
      <c r="AP61" s="484">
        <v>0</v>
      </c>
      <c r="AQ61" s="484" t="s">
        <v>438</v>
      </c>
      <c r="AS61" s="484">
        <v>18</v>
      </c>
      <c r="AT61" s="484">
        <v>10</v>
      </c>
      <c r="AV61" s="508">
        <v>0</v>
      </c>
      <c r="AW61" s="508">
        <v>0</v>
      </c>
      <c r="AX61" s="508">
        <v>0</v>
      </c>
      <c r="AY61" s="508">
        <v>0</v>
      </c>
      <c r="AZ61" s="508">
        <v>0</v>
      </c>
      <c r="BA61" s="508">
        <v>5696</v>
      </c>
      <c r="BB61" s="508">
        <v>5696</v>
      </c>
      <c r="BC61" s="508">
        <v>5696</v>
      </c>
      <c r="BD61" s="508">
        <v>0</v>
      </c>
      <c r="BE61" s="508"/>
      <c r="BF61" s="508">
        <v>0</v>
      </c>
      <c r="BG61" s="508">
        <v>0</v>
      </c>
      <c r="BH61" s="508">
        <v>0</v>
      </c>
      <c r="BI61" s="508">
        <v>0</v>
      </c>
      <c r="BJ61" s="508">
        <v>0</v>
      </c>
      <c r="BK61" s="508">
        <v>5178</v>
      </c>
      <c r="BL61" s="508">
        <v>5178</v>
      </c>
      <c r="BM61" s="508">
        <v>5178</v>
      </c>
      <c r="BN61" s="508"/>
      <c r="BO61" s="508"/>
    </row>
    <row r="62" spans="1:67" s="484" customFormat="1">
      <c r="A62" s="484" t="s">
        <v>890</v>
      </c>
      <c r="B62" s="484" t="s">
        <v>891</v>
      </c>
      <c r="C62" s="484" t="s">
        <v>438</v>
      </c>
      <c r="D62" s="484" t="s">
        <v>892</v>
      </c>
      <c r="E62" s="484" t="s">
        <v>893</v>
      </c>
      <c r="F62" s="484" t="s">
        <v>1052</v>
      </c>
      <c r="G62" s="484" t="s">
        <v>1052</v>
      </c>
      <c r="H62" s="484" t="s">
        <v>1053</v>
      </c>
      <c r="I62" s="484" t="s">
        <v>937</v>
      </c>
      <c r="J62" s="484" t="s">
        <v>1054</v>
      </c>
      <c r="K62" s="484" t="s">
        <v>895</v>
      </c>
      <c r="L62" s="484" t="s">
        <v>896</v>
      </c>
      <c r="M62" s="484" t="s">
        <v>890</v>
      </c>
      <c r="N62" s="484" t="s">
        <v>939</v>
      </c>
      <c r="O62" s="484" t="s">
        <v>924</v>
      </c>
      <c r="P62" s="484" t="s">
        <v>940</v>
      </c>
      <c r="Q62" s="484" t="s">
        <v>941</v>
      </c>
      <c r="R62" s="484" t="s">
        <v>941</v>
      </c>
      <c r="S62" s="484" t="s">
        <v>438</v>
      </c>
      <c r="T62" s="484" t="s">
        <v>942</v>
      </c>
      <c r="U62" s="484" t="s">
        <v>943</v>
      </c>
      <c r="V62" s="484">
        <v>0</v>
      </c>
      <c r="W62" s="484">
        <v>0</v>
      </c>
      <c r="X62" s="484">
        <v>0</v>
      </c>
      <c r="Y62" s="484">
        <v>33818</v>
      </c>
      <c r="Z62" s="484" t="s">
        <v>944</v>
      </c>
      <c r="AA62" s="484" t="s">
        <v>941</v>
      </c>
      <c r="AB62" s="484">
        <v>33818</v>
      </c>
      <c r="AC62" s="484" t="s">
        <v>1043</v>
      </c>
      <c r="AD62" s="484" t="s">
        <v>1044</v>
      </c>
      <c r="AE62" s="484">
        <v>33818</v>
      </c>
      <c r="AF62" s="484" t="s">
        <v>947</v>
      </c>
      <c r="AG62" s="484" t="s">
        <v>902</v>
      </c>
      <c r="AH62" s="484">
        <v>3073</v>
      </c>
      <c r="AI62" s="484">
        <v>30745</v>
      </c>
      <c r="AJ62" s="484" t="s">
        <v>438</v>
      </c>
      <c r="AL62" s="484" t="s">
        <v>1055</v>
      </c>
      <c r="AM62" s="484">
        <v>1</v>
      </c>
      <c r="AN62" s="484">
        <v>0</v>
      </c>
      <c r="AO62" s="484">
        <v>0</v>
      </c>
      <c r="AP62" s="484">
        <v>0</v>
      </c>
      <c r="AQ62" s="484" t="s">
        <v>438</v>
      </c>
      <c r="AS62" s="484" t="s">
        <v>947</v>
      </c>
      <c r="AT62" s="484" t="s">
        <v>902</v>
      </c>
      <c r="AV62" s="508">
        <v>0</v>
      </c>
      <c r="AW62" s="508">
        <v>0</v>
      </c>
      <c r="AX62" s="508">
        <v>0</v>
      </c>
      <c r="AY62" s="508">
        <v>0</v>
      </c>
      <c r="AZ62" s="508">
        <v>0</v>
      </c>
      <c r="BA62" s="508">
        <v>33818</v>
      </c>
      <c r="BB62" s="508">
        <v>33818</v>
      </c>
      <c r="BC62" s="508">
        <v>33818</v>
      </c>
      <c r="BD62" s="508">
        <v>0</v>
      </c>
      <c r="BE62" s="508"/>
      <c r="BF62" s="508">
        <v>0</v>
      </c>
      <c r="BG62" s="508">
        <v>0</v>
      </c>
      <c r="BH62" s="508">
        <v>0</v>
      </c>
      <c r="BI62" s="508">
        <v>0</v>
      </c>
      <c r="BJ62" s="508">
        <v>0</v>
      </c>
      <c r="BK62" s="508">
        <v>30744</v>
      </c>
      <c r="BL62" s="508">
        <v>30744</v>
      </c>
      <c r="BM62" s="508">
        <v>30744</v>
      </c>
      <c r="BN62" s="508"/>
      <c r="BO62" s="508"/>
    </row>
    <row r="63" spans="1:67" s="484" customFormat="1">
      <c r="A63" s="484" t="s">
        <v>890</v>
      </c>
      <c r="B63" s="484" t="s">
        <v>891</v>
      </c>
      <c r="C63" s="484" t="s">
        <v>438</v>
      </c>
      <c r="D63" s="484" t="s">
        <v>892</v>
      </c>
      <c r="E63" s="484" t="s">
        <v>893</v>
      </c>
      <c r="F63" s="484" t="s">
        <v>1056</v>
      </c>
      <c r="G63" s="484" t="s">
        <v>1056</v>
      </c>
      <c r="H63" s="484" t="s">
        <v>1053</v>
      </c>
      <c r="I63" s="484" t="s">
        <v>937</v>
      </c>
      <c r="J63" s="484" t="s">
        <v>1057</v>
      </c>
      <c r="K63" s="484" t="s">
        <v>895</v>
      </c>
      <c r="L63" s="484" t="s">
        <v>896</v>
      </c>
      <c r="M63" s="484" t="s">
        <v>890</v>
      </c>
      <c r="N63" s="484" t="s">
        <v>939</v>
      </c>
      <c r="O63" s="484" t="s">
        <v>924</v>
      </c>
      <c r="P63" s="484" t="s">
        <v>940</v>
      </c>
      <c r="Q63" s="484" t="s">
        <v>941</v>
      </c>
      <c r="R63" s="484" t="s">
        <v>941</v>
      </c>
      <c r="S63" s="484" t="s">
        <v>438</v>
      </c>
      <c r="T63" s="484" t="s">
        <v>942</v>
      </c>
      <c r="U63" s="484" t="s">
        <v>943</v>
      </c>
      <c r="V63" s="484">
        <v>0</v>
      </c>
      <c r="W63" s="484">
        <v>0</v>
      </c>
      <c r="X63" s="484">
        <v>0</v>
      </c>
      <c r="Y63" s="484">
        <v>764</v>
      </c>
      <c r="Z63" s="484" t="s">
        <v>944</v>
      </c>
      <c r="AA63" s="484" t="s">
        <v>941</v>
      </c>
      <c r="AB63" s="484">
        <v>764</v>
      </c>
      <c r="AC63" s="484" t="s">
        <v>1043</v>
      </c>
      <c r="AD63" s="484" t="s">
        <v>1044</v>
      </c>
      <c r="AE63" s="484">
        <v>764</v>
      </c>
      <c r="AF63" s="484" t="s">
        <v>947</v>
      </c>
      <c r="AG63" s="484" t="s">
        <v>902</v>
      </c>
      <c r="AH63" s="484">
        <v>69</v>
      </c>
      <c r="AI63" s="484">
        <v>695</v>
      </c>
      <c r="AJ63" s="484" t="s">
        <v>438</v>
      </c>
      <c r="AL63" s="484" t="s">
        <v>1058</v>
      </c>
      <c r="AM63" s="484">
        <v>1</v>
      </c>
      <c r="AN63" s="484">
        <v>0</v>
      </c>
      <c r="AO63" s="484">
        <v>0</v>
      </c>
      <c r="AP63" s="484">
        <v>0</v>
      </c>
      <c r="AQ63" s="484" t="s">
        <v>438</v>
      </c>
      <c r="AS63" s="484" t="s">
        <v>947</v>
      </c>
      <c r="AT63" s="484" t="s">
        <v>902</v>
      </c>
      <c r="AV63" s="508">
        <v>0</v>
      </c>
      <c r="AW63" s="508">
        <v>0</v>
      </c>
      <c r="AX63" s="508">
        <v>0</v>
      </c>
      <c r="AY63" s="508">
        <v>0</v>
      </c>
      <c r="AZ63" s="508">
        <v>0</v>
      </c>
      <c r="BA63" s="508">
        <v>764</v>
      </c>
      <c r="BB63" s="508">
        <v>764</v>
      </c>
      <c r="BC63" s="508">
        <v>764</v>
      </c>
      <c r="BD63" s="508">
        <v>0</v>
      </c>
      <c r="BE63" s="508"/>
      <c r="BF63" s="508">
        <v>0</v>
      </c>
      <c r="BG63" s="508">
        <v>0</v>
      </c>
      <c r="BH63" s="508">
        <v>0</v>
      </c>
      <c r="BI63" s="508">
        <v>0</v>
      </c>
      <c r="BJ63" s="508">
        <v>0</v>
      </c>
      <c r="BK63" s="508">
        <v>695</v>
      </c>
      <c r="BL63" s="508">
        <v>695</v>
      </c>
      <c r="BM63" s="508">
        <v>695</v>
      </c>
      <c r="BN63" s="508"/>
      <c r="BO63" s="508"/>
    </row>
    <row r="64" spans="1:67" s="484" customFormat="1">
      <c r="A64" s="484" t="s">
        <v>890</v>
      </c>
      <c r="B64" s="484" t="s">
        <v>891</v>
      </c>
      <c r="C64" s="484" t="s">
        <v>438</v>
      </c>
      <c r="D64" s="484" t="s">
        <v>892</v>
      </c>
      <c r="E64" s="484" t="s">
        <v>893</v>
      </c>
      <c r="F64" s="484" t="s">
        <v>1065</v>
      </c>
      <c r="G64" s="484" t="s">
        <v>1065</v>
      </c>
      <c r="H64" s="484" t="s">
        <v>1041</v>
      </c>
      <c r="I64" s="484" t="s">
        <v>937</v>
      </c>
      <c r="J64" s="484" t="s">
        <v>1066</v>
      </c>
      <c r="K64" s="484" t="s">
        <v>895</v>
      </c>
      <c r="L64" s="484" t="s">
        <v>896</v>
      </c>
      <c r="M64" s="484" t="s">
        <v>890</v>
      </c>
      <c r="N64" s="484" t="s">
        <v>939</v>
      </c>
      <c r="O64" s="484" t="s">
        <v>924</v>
      </c>
      <c r="P64" s="484" t="s">
        <v>940</v>
      </c>
      <c r="Q64" s="484" t="s">
        <v>941</v>
      </c>
      <c r="R64" s="484" t="s">
        <v>941</v>
      </c>
      <c r="S64" s="484" t="s">
        <v>438</v>
      </c>
      <c r="T64" s="484" t="s">
        <v>942</v>
      </c>
      <c r="U64" s="484" t="s">
        <v>943</v>
      </c>
      <c r="V64" s="484">
        <v>0</v>
      </c>
      <c r="W64" s="484">
        <v>0</v>
      </c>
      <c r="X64" s="484">
        <v>0</v>
      </c>
      <c r="Y64" s="484">
        <v>31460</v>
      </c>
      <c r="Z64" s="484" t="s">
        <v>944</v>
      </c>
      <c r="AA64" s="484" t="s">
        <v>941</v>
      </c>
      <c r="AB64" s="484">
        <v>31460</v>
      </c>
      <c r="AC64" s="484" t="s">
        <v>1043</v>
      </c>
      <c r="AD64" s="484" t="s">
        <v>1044</v>
      </c>
      <c r="AE64" s="484">
        <v>31460</v>
      </c>
      <c r="AF64" s="484" t="s">
        <v>947</v>
      </c>
      <c r="AG64" s="484" t="s">
        <v>902</v>
      </c>
      <c r="AH64" s="484">
        <v>2860</v>
      </c>
      <c r="AI64" s="484">
        <v>28600</v>
      </c>
      <c r="AJ64" s="484" t="s">
        <v>438</v>
      </c>
      <c r="AL64" s="484" t="s">
        <v>1067</v>
      </c>
      <c r="AM64" s="484">
        <v>1</v>
      </c>
      <c r="AN64" s="484">
        <v>0</v>
      </c>
      <c r="AO64" s="484">
        <v>0</v>
      </c>
      <c r="AP64" s="484">
        <v>0</v>
      </c>
      <c r="AQ64" s="484" t="s">
        <v>438</v>
      </c>
      <c r="AS64" s="484" t="s">
        <v>947</v>
      </c>
      <c r="AT64" s="484" t="s">
        <v>902</v>
      </c>
      <c r="AV64" s="508">
        <v>0</v>
      </c>
      <c r="AW64" s="508">
        <v>0</v>
      </c>
      <c r="AX64" s="508">
        <v>0</v>
      </c>
      <c r="AY64" s="508">
        <v>0</v>
      </c>
      <c r="AZ64" s="508">
        <v>0</v>
      </c>
      <c r="BA64" s="508">
        <v>31460</v>
      </c>
      <c r="BB64" s="508">
        <v>31460</v>
      </c>
      <c r="BC64" s="508">
        <v>31460</v>
      </c>
      <c r="BD64" s="508">
        <v>0</v>
      </c>
      <c r="BE64" s="508"/>
      <c r="BF64" s="508">
        <v>0</v>
      </c>
      <c r="BG64" s="508">
        <v>0</v>
      </c>
      <c r="BH64" s="508">
        <v>0</v>
      </c>
      <c r="BI64" s="508">
        <v>0</v>
      </c>
      <c r="BJ64" s="508">
        <v>0</v>
      </c>
      <c r="BK64" s="508">
        <v>28600</v>
      </c>
      <c r="BL64" s="508">
        <v>28600</v>
      </c>
      <c r="BM64" s="508">
        <v>28600</v>
      </c>
      <c r="BN64" s="508"/>
      <c r="BO64" s="508"/>
    </row>
    <row r="65" spans="1:67" s="484" customFormat="1">
      <c r="A65" s="484" t="s">
        <v>890</v>
      </c>
      <c r="B65" s="484" t="s">
        <v>891</v>
      </c>
      <c r="C65" s="484" t="s">
        <v>438</v>
      </c>
      <c r="D65" s="484" t="s">
        <v>892</v>
      </c>
      <c r="E65" s="484" t="s">
        <v>893</v>
      </c>
      <c r="F65" s="484" t="s">
        <v>1065</v>
      </c>
      <c r="G65" s="484" t="s">
        <v>1065</v>
      </c>
      <c r="H65" s="484" t="s">
        <v>1041</v>
      </c>
      <c r="I65" s="484" t="s">
        <v>937</v>
      </c>
      <c r="J65" s="484" t="s">
        <v>1068</v>
      </c>
      <c r="K65" s="484" t="s">
        <v>895</v>
      </c>
      <c r="L65" s="484" t="s">
        <v>896</v>
      </c>
      <c r="M65" s="484" t="s">
        <v>890</v>
      </c>
      <c r="N65" s="484" t="s">
        <v>939</v>
      </c>
      <c r="O65" s="484" t="s">
        <v>924</v>
      </c>
      <c r="P65" s="484" t="s">
        <v>940</v>
      </c>
      <c r="Q65" s="484" t="s">
        <v>941</v>
      </c>
      <c r="R65" s="484" t="s">
        <v>941</v>
      </c>
      <c r="S65" s="484" t="s">
        <v>438</v>
      </c>
      <c r="T65" s="484" t="s">
        <v>942</v>
      </c>
      <c r="U65" s="484" t="s">
        <v>943</v>
      </c>
      <c r="V65" s="484">
        <v>0</v>
      </c>
      <c r="W65" s="484">
        <v>0</v>
      </c>
      <c r="X65" s="484">
        <v>0</v>
      </c>
      <c r="Y65" s="484">
        <v>9264</v>
      </c>
      <c r="Z65" s="484" t="s">
        <v>944</v>
      </c>
      <c r="AA65" s="484" t="s">
        <v>941</v>
      </c>
      <c r="AB65" s="484">
        <v>9264</v>
      </c>
      <c r="AC65" s="484" t="s">
        <v>1043</v>
      </c>
      <c r="AD65" s="484" t="s">
        <v>1044</v>
      </c>
      <c r="AE65" s="484">
        <v>9264</v>
      </c>
      <c r="AF65" s="484" t="s">
        <v>933</v>
      </c>
      <c r="AG65" s="484" t="s">
        <v>899</v>
      </c>
      <c r="AH65" s="484">
        <v>684</v>
      </c>
      <c r="AI65" s="484">
        <v>8580</v>
      </c>
      <c r="AJ65" s="484" t="s">
        <v>438</v>
      </c>
      <c r="AL65" s="484" t="s">
        <v>1069</v>
      </c>
      <c r="AM65" s="484">
        <v>1</v>
      </c>
      <c r="AN65" s="484">
        <v>0</v>
      </c>
      <c r="AO65" s="484">
        <v>0</v>
      </c>
      <c r="AP65" s="484">
        <v>0</v>
      </c>
      <c r="AQ65" s="484" t="s">
        <v>438</v>
      </c>
      <c r="AS65" s="484" t="s">
        <v>933</v>
      </c>
      <c r="AT65" s="484" t="s">
        <v>899</v>
      </c>
      <c r="AV65" s="508">
        <v>0</v>
      </c>
      <c r="AW65" s="508">
        <v>0</v>
      </c>
      <c r="AX65" s="508">
        <v>0</v>
      </c>
      <c r="AY65" s="508">
        <v>0</v>
      </c>
      <c r="AZ65" s="508">
        <v>0</v>
      </c>
      <c r="BA65" s="508">
        <v>9264</v>
      </c>
      <c r="BB65" s="508">
        <v>9264</v>
      </c>
      <c r="BC65" s="508">
        <v>9264</v>
      </c>
      <c r="BD65" s="508">
        <v>0</v>
      </c>
      <c r="BE65" s="508"/>
      <c r="BF65" s="508">
        <v>0</v>
      </c>
      <c r="BG65" s="508">
        <v>0</v>
      </c>
      <c r="BH65" s="508">
        <v>0</v>
      </c>
      <c r="BI65" s="508">
        <v>0</v>
      </c>
      <c r="BJ65" s="508">
        <v>0</v>
      </c>
      <c r="BK65" s="508">
        <v>8578</v>
      </c>
      <c r="BL65" s="508">
        <v>8578</v>
      </c>
      <c r="BM65" s="508">
        <v>8578</v>
      </c>
      <c r="BN65" s="508"/>
      <c r="BO65" s="508"/>
    </row>
    <row r="66" spans="1:67" s="484" customFormat="1">
      <c r="A66" s="484" t="s">
        <v>890</v>
      </c>
      <c r="B66" s="484" t="s">
        <v>891</v>
      </c>
      <c r="C66" s="484" t="s">
        <v>438</v>
      </c>
      <c r="D66" s="484" t="s">
        <v>892</v>
      </c>
      <c r="E66" s="484" t="s">
        <v>893</v>
      </c>
      <c r="F66" s="484" t="s">
        <v>1070</v>
      </c>
      <c r="G66" s="484" t="s">
        <v>1070</v>
      </c>
      <c r="H66" s="484" t="s">
        <v>1041</v>
      </c>
      <c r="I66" s="484" t="s">
        <v>937</v>
      </c>
      <c r="J66" s="484" t="s">
        <v>1071</v>
      </c>
      <c r="K66" s="484" t="s">
        <v>895</v>
      </c>
      <c r="L66" s="484" t="s">
        <v>896</v>
      </c>
      <c r="M66" s="484" t="s">
        <v>890</v>
      </c>
      <c r="N66" s="484" t="s">
        <v>939</v>
      </c>
      <c r="O66" s="484" t="s">
        <v>924</v>
      </c>
      <c r="P66" s="484" t="s">
        <v>940</v>
      </c>
      <c r="Q66" s="484" t="s">
        <v>941</v>
      </c>
      <c r="R66" s="484" t="s">
        <v>941</v>
      </c>
      <c r="S66" s="484" t="s">
        <v>438</v>
      </c>
      <c r="T66" s="484" t="s">
        <v>942</v>
      </c>
      <c r="U66" s="484" t="s">
        <v>943</v>
      </c>
      <c r="V66" s="484">
        <v>0</v>
      </c>
      <c r="W66" s="484">
        <v>0</v>
      </c>
      <c r="X66" s="484">
        <v>0</v>
      </c>
      <c r="Y66" s="484">
        <v>7770</v>
      </c>
      <c r="Z66" s="484" t="s">
        <v>944</v>
      </c>
      <c r="AA66" s="484" t="s">
        <v>941</v>
      </c>
      <c r="AB66" s="484">
        <v>7770</v>
      </c>
      <c r="AC66" s="484" t="s">
        <v>1043</v>
      </c>
      <c r="AD66" s="484" t="s">
        <v>1044</v>
      </c>
      <c r="AE66" s="484">
        <v>7770</v>
      </c>
      <c r="AF66" s="484" t="s">
        <v>947</v>
      </c>
      <c r="AG66" s="484" t="s">
        <v>902</v>
      </c>
      <c r="AH66" s="484">
        <v>706</v>
      </c>
      <c r="AI66" s="484">
        <v>7064</v>
      </c>
      <c r="AJ66" s="484" t="s">
        <v>438</v>
      </c>
      <c r="AL66" s="484" t="s">
        <v>1072</v>
      </c>
      <c r="AM66" s="484">
        <v>1</v>
      </c>
      <c r="AN66" s="484">
        <v>0</v>
      </c>
      <c r="AO66" s="484">
        <v>0</v>
      </c>
      <c r="AP66" s="484">
        <v>0</v>
      </c>
      <c r="AQ66" s="484" t="s">
        <v>438</v>
      </c>
      <c r="AS66" s="484" t="s">
        <v>947</v>
      </c>
      <c r="AT66" s="484" t="s">
        <v>902</v>
      </c>
      <c r="AV66" s="508">
        <v>0</v>
      </c>
      <c r="AW66" s="508">
        <v>0</v>
      </c>
      <c r="AX66" s="508">
        <v>0</v>
      </c>
      <c r="AY66" s="508">
        <v>0</v>
      </c>
      <c r="AZ66" s="508">
        <v>0</v>
      </c>
      <c r="BA66" s="508">
        <v>7770</v>
      </c>
      <c r="BB66" s="508">
        <v>7770</v>
      </c>
      <c r="BC66" s="508">
        <v>7770</v>
      </c>
      <c r="BD66" s="508">
        <v>0</v>
      </c>
      <c r="BE66" s="508"/>
      <c r="BF66" s="508">
        <v>0</v>
      </c>
      <c r="BG66" s="508">
        <v>0</v>
      </c>
      <c r="BH66" s="508">
        <v>0</v>
      </c>
      <c r="BI66" s="508">
        <v>0</v>
      </c>
      <c r="BJ66" s="508">
        <v>0</v>
      </c>
      <c r="BK66" s="508">
        <v>7064</v>
      </c>
      <c r="BL66" s="508">
        <v>7064</v>
      </c>
      <c r="BM66" s="508">
        <v>7064</v>
      </c>
      <c r="BN66" s="508"/>
      <c r="BO66" s="508"/>
    </row>
    <row r="67" spans="1:67" s="484" customFormat="1">
      <c r="A67" s="484" t="s">
        <v>890</v>
      </c>
      <c r="B67" s="484" t="s">
        <v>891</v>
      </c>
      <c r="C67" s="484" t="s">
        <v>438</v>
      </c>
      <c r="D67" s="484" t="s">
        <v>892</v>
      </c>
      <c r="E67" s="484" t="s">
        <v>893</v>
      </c>
      <c r="F67" s="484" t="s">
        <v>1059</v>
      </c>
      <c r="G67" s="484" t="s">
        <v>1059</v>
      </c>
      <c r="H67" s="484" t="s">
        <v>1053</v>
      </c>
      <c r="I67" s="484" t="s">
        <v>937</v>
      </c>
      <c r="J67" s="484" t="s">
        <v>1060</v>
      </c>
      <c r="K67" s="484" t="s">
        <v>895</v>
      </c>
      <c r="L67" s="484" t="s">
        <v>896</v>
      </c>
      <c r="M67" s="484" t="s">
        <v>890</v>
      </c>
      <c r="N67" s="484" t="s">
        <v>939</v>
      </c>
      <c r="O67" s="484" t="s">
        <v>924</v>
      </c>
      <c r="P67" s="484" t="s">
        <v>940</v>
      </c>
      <c r="Q67" s="484" t="s">
        <v>941</v>
      </c>
      <c r="R67" s="484" t="s">
        <v>941</v>
      </c>
      <c r="S67" s="484" t="s">
        <v>438</v>
      </c>
      <c r="T67" s="484" t="s">
        <v>942</v>
      </c>
      <c r="U67" s="484" t="s">
        <v>943</v>
      </c>
      <c r="V67" s="484">
        <v>0</v>
      </c>
      <c r="W67" s="484">
        <v>0</v>
      </c>
      <c r="X67" s="484">
        <v>0</v>
      </c>
      <c r="Y67" s="484">
        <v>4587</v>
      </c>
      <c r="Z67" s="484" t="s">
        <v>944</v>
      </c>
      <c r="AA67" s="484" t="s">
        <v>941</v>
      </c>
      <c r="AB67" s="484">
        <v>4587</v>
      </c>
      <c r="AC67" s="484" t="s">
        <v>1043</v>
      </c>
      <c r="AD67" s="484" t="s">
        <v>1044</v>
      </c>
      <c r="AE67" s="484">
        <v>4587</v>
      </c>
      <c r="AF67" s="484" t="s">
        <v>947</v>
      </c>
      <c r="AG67" s="484" t="s">
        <v>902</v>
      </c>
      <c r="AH67" s="484">
        <v>417</v>
      </c>
      <c r="AI67" s="484">
        <v>4170</v>
      </c>
      <c r="AJ67" s="484" t="s">
        <v>438</v>
      </c>
      <c r="AL67" s="484" t="s">
        <v>1061</v>
      </c>
      <c r="AM67" s="484">
        <v>1</v>
      </c>
      <c r="AN67" s="484">
        <v>0</v>
      </c>
      <c r="AO67" s="484">
        <v>0</v>
      </c>
      <c r="AP67" s="484">
        <v>0</v>
      </c>
      <c r="AQ67" s="484" t="s">
        <v>438</v>
      </c>
      <c r="AS67" s="484" t="s">
        <v>947</v>
      </c>
      <c r="AT67" s="484" t="s">
        <v>902</v>
      </c>
      <c r="AV67" s="508">
        <v>0</v>
      </c>
      <c r="AW67" s="508">
        <v>0</v>
      </c>
      <c r="AX67" s="508">
        <v>0</v>
      </c>
      <c r="AY67" s="508">
        <v>0</v>
      </c>
      <c r="AZ67" s="508">
        <v>0</v>
      </c>
      <c r="BA67" s="508">
        <v>4587</v>
      </c>
      <c r="BB67" s="508">
        <v>4587</v>
      </c>
      <c r="BC67" s="508">
        <v>4587</v>
      </c>
      <c r="BD67" s="508">
        <v>0</v>
      </c>
      <c r="BE67" s="508"/>
      <c r="BF67" s="508">
        <v>0</v>
      </c>
      <c r="BG67" s="508">
        <v>0</v>
      </c>
      <c r="BH67" s="508">
        <v>0</v>
      </c>
      <c r="BI67" s="508">
        <v>0</v>
      </c>
      <c r="BJ67" s="508">
        <v>0</v>
      </c>
      <c r="BK67" s="508">
        <v>4170</v>
      </c>
      <c r="BL67" s="508">
        <v>4170</v>
      </c>
      <c r="BM67" s="508">
        <v>4170</v>
      </c>
      <c r="BN67" s="508"/>
      <c r="BO67" s="508"/>
    </row>
    <row r="68" spans="1:67" s="484" customFormat="1">
      <c r="A68" s="484" t="s">
        <v>890</v>
      </c>
      <c r="B68" s="484" t="s">
        <v>891</v>
      </c>
      <c r="C68" s="484" t="s">
        <v>438</v>
      </c>
      <c r="D68" s="484" t="s">
        <v>892</v>
      </c>
      <c r="E68" s="484" t="s">
        <v>893</v>
      </c>
      <c r="F68" s="484" t="s">
        <v>1062</v>
      </c>
      <c r="G68" s="484" t="s">
        <v>1062</v>
      </c>
      <c r="H68" s="484" t="s">
        <v>1041</v>
      </c>
      <c r="I68" s="484" t="s">
        <v>937</v>
      </c>
      <c r="J68" s="484" t="s">
        <v>1063</v>
      </c>
      <c r="K68" s="484" t="s">
        <v>895</v>
      </c>
      <c r="L68" s="484" t="s">
        <v>896</v>
      </c>
      <c r="M68" s="484" t="s">
        <v>890</v>
      </c>
      <c r="N68" s="484" t="s">
        <v>939</v>
      </c>
      <c r="O68" s="484" t="s">
        <v>924</v>
      </c>
      <c r="P68" s="484" t="s">
        <v>940</v>
      </c>
      <c r="Q68" s="484" t="s">
        <v>941</v>
      </c>
      <c r="R68" s="484" t="s">
        <v>941</v>
      </c>
      <c r="S68" s="484" t="s">
        <v>438</v>
      </c>
      <c r="T68" s="484" t="s">
        <v>942</v>
      </c>
      <c r="U68" s="484" t="s">
        <v>943</v>
      </c>
      <c r="V68" s="484">
        <v>0</v>
      </c>
      <c r="W68" s="484">
        <v>0</v>
      </c>
      <c r="X68" s="484">
        <v>0</v>
      </c>
      <c r="Y68" s="484">
        <v>20972</v>
      </c>
      <c r="Z68" s="484" t="s">
        <v>944</v>
      </c>
      <c r="AA68" s="484" t="s">
        <v>941</v>
      </c>
      <c r="AB68" s="484">
        <v>20972</v>
      </c>
      <c r="AC68" s="484" t="s">
        <v>1043</v>
      </c>
      <c r="AD68" s="484" t="s">
        <v>1044</v>
      </c>
      <c r="AE68" s="484">
        <v>20972</v>
      </c>
      <c r="AF68" s="484" t="s">
        <v>947</v>
      </c>
      <c r="AG68" s="484" t="s">
        <v>902</v>
      </c>
      <c r="AH68" s="484">
        <v>1907</v>
      </c>
      <c r="AI68" s="484">
        <v>19065</v>
      </c>
      <c r="AJ68" s="484" t="s">
        <v>438</v>
      </c>
      <c r="AL68" s="484" t="s">
        <v>1064</v>
      </c>
      <c r="AM68" s="484">
        <v>1</v>
      </c>
      <c r="AN68" s="484">
        <v>0</v>
      </c>
      <c r="AO68" s="484">
        <v>0</v>
      </c>
      <c r="AP68" s="484">
        <v>0</v>
      </c>
      <c r="AQ68" s="484" t="s">
        <v>438</v>
      </c>
      <c r="AS68" s="484" t="s">
        <v>947</v>
      </c>
      <c r="AT68" s="484" t="s">
        <v>902</v>
      </c>
      <c r="AV68" s="508">
        <v>0</v>
      </c>
      <c r="AW68" s="508">
        <v>0</v>
      </c>
      <c r="AX68" s="508">
        <v>0</v>
      </c>
      <c r="AY68" s="508">
        <v>0</v>
      </c>
      <c r="AZ68" s="508">
        <v>0</v>
      </c>
      <c r="BA68" s="508">
        <v>20972</v>
      </c>
      <c r="BB68" s="508">
        <v>20972</v>
      </c>
      <c r="BC68" s="508">
        <v>20972</v>
      </c>
      <c r="BD68" s="508">
        <v>0</v>
      </c>
      <c r="BE68" s="508"/>
      <c r="BF68" s="508">
        <v>0</v>
      </c>
      <c r="BG68" s="508">
        <v>0</v>
      </c>
      <c r="BH68" s="508">
        <v>0</v>
      </c>
      <c r="BI68" s="508">
        <v>0</v>
      </c>
      <c r="BJ68" s="508">
        <v>0</v>
      </c>
      <c r="BK68" s="508">
        <v>19066</v>
      </c>
      <c r="BL68" s="508">
        <v>19066</v>
      </c>
      <c r="BM68" s="508">
        <v>19066</v>
      </c>
      <c r="BN68" s="508"/>
      <c r="BO68" s="508"/>
    </row>
    <row r="69" spans="1:67" s="484" customFormat="1">
      <c r="A69" s="484" t="s">
        <v>890</v>
      </c>
      <c r="B69" s="484" t="s">
        <v>891</v>
      </c>
      <c r="C69" s="484" t="s">
        <v>438</v>
      </c>
      <c r="D69" s="484" t="s">
        <v>892</v>
      </c>
      <c r="E69" s="484" t="s">
        <v>893</v>
      </c>
      <c r="F69" s="484" t="s">
        <v>1073</v>
      </c>
      <c r="G69" s="484" t="s">
        <v>1073</v>
      </c>
      <c r="H69" s="484" t="s">
        <v>1041</v>
      </c>
      <c r="I69" s="484" t="s">
        <v>937</v>
      </c>
      <c r="J69" s="484" t="s">
        <v>1074</v>
      </c>
      <c r="K69" s="484" t="s">
        <v>895</v>
      </c>
      <c r="L69" s="484" t="s">
        <v>896</v>
      </c>
      <c r="M69" s="484" t="s">
        <v>890</v>
      </c>
      <c r="N69" s="484" t="s">
        <v>939</v>
      </c>
      <c r="O69" s="484" t="s">
        <v>924</v>
      </c>
      <c r="P69" s="484" t="s">
        <v>940</v>
      </c>
      <c r="Q69" s="484" t="s">
        <v>941</v>
      </c>
      <c r="R69" s="484" t="s">
        <v>941</v>
      </c>
      <c r="S69" s="484" t="s">
        <v>438</v>
      </c>
      <c r="T69" s="484" t="s">
        <v>942</v>
      </c>
      <c r="U69" s="484" t="s">
        <v>943</v>
      </c>
      <c r="V69" s="484">
        <v>0</v>
      </c>
      <c r="W69" s="484">
        <v>0</v>
      </c>
      <c r="X69" s="484">
        <v>0</v>
      </c>
      <c r="Y69" s="484">
        <v>136155</v>
      </c>
      <c r="Z69" s="484" t="s">
        <v>944</v>
      </c>
      <c r="AA69" s="484" t="s">
        <v>941</v>
      </c>
      <c r="AB69" s="484">
        <v>136155</v>
      </c>
      <c r="AC69" s="484" t="s">
        <v>1043</v>
      </c>
      <c r="AD69" s="484" t="s">
        <v>1044</v>
      </c>
      <c r="AE69" s="484">
        <v>136155</v>
      </c>
      <c r="AF69" s="484" t="s">
        <v>947</v>
      </c>
      <c r="AG69" s="484" t="s">
        <v>902</v>
      </c>
      <c r="AH69" s="484">
        <v>12377</v>
      </c>
      <c r="AI69" s="484">
        <v>123778</v>
      </c>
      <c r="AJ69" s="484" t="s">
        <v>438</v>
      </c>
      <c r="AL69" s="484" t="s">
        <v>1075</v>
      </c>
      <c r="AM69" s="484">
        <v>1</v>
      </c>
      <c r="AN69" s="484">
        <v>0</v>
      </c>
      <c r="AO69" s="484">
        <v>0</v>
      </c>
      <c r="AP69" s="484">
        <v>0</v>
      </c>
      <c r="AQ69" s="484" t="s">
        <v>438</v>
      </c>
      <c r="AS69" s="484" t="s">
        <v>947</v>
      </c>
      <c r="AT69" s="484" t="s">
        <v>902</v>
      </c>
      <c r="AV69" s="508">
        <v>0</v>
      </c>
      <c r="AW69" s="508">
        <v>0</v>
      </c>
      <c r="AX69" s="508">
        <v>0</v>
      </c>
      <c r="AY69" s="508">
        <v>0</v>
      </c>
      <c r="AZ69" s="508">
        <v>0</v>
      </c>
      <c r="BA69" s="508">
        <v>136155</v>
      </c>
      <c r="BB69" s="508">
        <v>136155</v>
      </c>
      <c r="BC69" s="508">
        <v>136155</v>
      </c>
      <c r="BD69" s="508">
        <v>0</v>
      </c>
      <c r="BE69" s="508"/>
      <c r="BF69" s="508">
        <v>0</v>
      </c>
      <c r="BG69" s="508">
        <v>0</v>
      </c>
      <c r="BH69" s="508">
        <v>0</v>
      </c>
      <c r="BI69" s="508">
        <v>0</v>
      </c>
      <c r="BJ69" s="508">
        <v>0</v>
      </c>
      <c r="BK69" s="508">
        <v>123777</v>
      </c>
      <c r="BL69" s="508">
        <v>123777</v>
      </c>
      <c r="BM69" s="508">
        <v>123777</v>
      </c>
      <c r="BN69" s="508"/>
      <c r="BO69" s="508"/>
    </row>
    <row r="70" spans="1:67" s="484" customFormat="1">
      <c r="A70" s="484" t="s">
        <v>890</v>
      </c>
      <c r="B70" s="484" t="s">
        <v>891</v>
      </c>
      <c r="C70" s="484" t="s">
        <v>438</v>
      </c>
      <c r="D70" s="484" t="s">
        <v>892</v>
      </c>
      <c r="E70" s="484" t="s">
        <v>893</v>
      </c>
      <c r="F70" s="484" t="s">
        <v>1076</v>
      </c>
      <c r="G70" s="484" t="s">
        <v>1076</v>
      </c>
      <c r="H70" s="484" t="s">
        <v>1041</v>
      </c>
      <c r="I70" s="484" t="s">
        <v>937</v>
      </c>
      <c r="J70" s="484" t="s">
        <v>1077</v>
      </c>
      <c r="K70" s="484" t="s">
        <v>895</v>
      </c>
      <c r="L70" s="484" t="s">
        <v>896</v>
      </c>
      <c r="M70" s="484" t="s">
        <v>890</v>
      </c>
      <c r="N70" s="484" t="s">
        <v>939</v>
      </c>
      <c r="O70" s="484" t="s">
        <v>924</v>
      </c>
      <c r="P70" s="484" t="s">
        <v>940</v>
      </c>
      <c r="Q70" s="484" t="s">
        <v>941</v>
      </c>
      <c r="R70" s="484" t="s">
        <v>941</v>
      </c>
      <c r="S70" s="484" t="s">
        <v>438</v>
      </c>
      <c r="T70" s="484" t="s">
        <v>942</v>
      </c>
      <c r="U70" s="484" t="s">
        <v>943</v>
      </c>
      <c r="V70" s="484">
        <v>0</v>
      </c>
      <c r="W70" s="484">
        <v>0</v>
      </c>
      <c r="X70" s="484">
        <v>0</v>
      </c>
      <c r="Y70" s="484">
        <v>789522</v>
      </c>
      <c r="Z70" s="484" t="s">
        <v>944</v>
      </c>
      <c r="AA70" s="484" t="s">
        <v>941</v>
      </c>
      <c r="AB70" s="484">
        <v>789522</v>
      </c>
      <c r="AC70" s="484" t="s">
        <v>1043</v>
      </c>
      <c r="AD70" s="484" t="s">
        <v>1044</v>
      </c>
      <c r="AE70" s="484">
        <v>789522</v>
      </c>
      <c r="AF70" s="484" t="s">
        <v>933</v>
      </c>
      <c r="AG70" s="484" t="s">
        <v>902</v>
      </c>
      <c r="AH70" s="484">
        <v>71771</v>
      </c>
      <c r="AI70" s="484">
        <v>717751</v>
      </c>
      <c r="AJ70" s="484" t="s">
        <v>438</v>
      </c>
      <c r="AL70" s="484" t="s">
        <v>1078</v>
      </c>
      <c r="AM70" s="484">
        <v>2</v>
      </c>
      <c r="AN70" s="484">
        <v>18</v>
      </c>
      <c r="AO70" s="484">
        <v>10</v>
      </c>
      <c r="AP70" s="484">
        <v>0</v>
      </c>
      <c r="AQ70" s="484" t="s">
        <v>438</v>
      </c>
      <c r="AS70" s="484">
        <v>18</v>
      </c>
      <c r="AT70" s="484">
        <v>10</v>
      </c>
      <c r="AV70" s="508">
        <v>0</v>
      </c>
      <c r="AW70" s="508">
        <v>0</v>
      </c>
      <c r="AX70" s="508">
        <v>0</v>
      </c>
      <c r="AY70" s="508">
        <v>0</v>
      </c>
      <c r="AZ70" s="508">
        <v>0</v>
      </c>
      <c r="BA70" s="508">
        <v>789522</v>
      </c>
      <c r="BB70" s="508">
        <v>789522</v>
      </c>
      <c r="BC70" s="508">
        <v>789522</v>
      </c>
      <c r="BD70" s="508">
        <v>0</v>
      </c>
      <c r="BE70" s="508"/>
      <c r="BF70" s="508">
        <v>0</v>
      </c>
      <c r="BG70" s="508">
        <v>0</v>
      </c>
      <c r="BH70" s="508">
        <v>0</v>
      </c>
      <c r="BI70" s="508">
        <v>0</v>
      </c>
      <c r="BJ70" s="508">
        <v>0</v>
      </c>
      <c r="BK70" s="508">
        <v>717747</v>
      </c>
      <c r="BL70" s="508">
        <v>717747</v>
      </c>
      <c r="BM70" s="508">
        <v>717747</v>
      </c>
      <c r="BN70" s="508"/>
      <c r="BO70" s="508"/>
    </row>
    <row r="71" spans="1:67" s="484" customFormat="1">
      <c r="A71" s="484" t="s">
        <v>890</v>
      </c>
      <c r="B71" s="484" t="s">
        <v>891</v>
      </c>
      <c r="C71" s="484" t="s">
        <v>438</v>
      </c>
      <c r="D71" s="484" t="s">
        <v>892</v>
      </c>
      <c r="E71" s="484" t="s">
        <v>893</v>
      </c>
      <c r="F71" s="484" t="s">
        <v>998</v>
      </c>
      <c r="G71" s="484" t="s">
        <v>998</v>
      </c>
      <c r="H71" s="484" t="s">
        <v>1041</v>
      </c>
      <c r="I71" s="484" t="s">
        <v>937</v>
      </c>
      <c r="J71" s="484" t="s">
        <v>1079</v>
      </c>
      <c r="K71" s="484" t="s">
        <v>895</v>
      </c>
      <c r="L71" s="484" t="s">
        <v>896</v>
      </c>
      <c r="M71" s="484" t="s">
        <v>890</v>
      </c>
      <c r="N71" s="484" t="s">
        <v>939</v>
      </c>
      <c r="O71" s="484" t="s">
        <v>924</v>
      </c>
      <c r="P71" s="484" t="s">
        <v>940</v>
      </c>
      <c r="Q71" s="484" t="s">
        <v>941</v>
      </c>
      <c r="R71" s="484" t="s">
        <v>941</v>
      </c>
      <c r="S71" s="484" t="s">
        <v>438</v>
      </c>
      <c r="T71" s="484" t="s">
        <v>942</v>
      </c>
      <c r="U71" s="484" t="s">
        <v>943</v>
      </c>
      <c r="V71" s="484">
        <v>0</v>
      </c>
      <c r="W71" s="484">
        <v>0</v>
      </c>
      <c r="X71" s="484">
        <v>0</v>
      </c>
      <c r="Y71" s="484">
        <v>38149</v>
      </c>
      <c r="Z71" s="484" t="s">
        <v>944</v>
      </c>
      <c r="AA71" s="484" t="s">
        <v>941</v>
      </c>
      <c r="AB71" s="484">
        <v>38149</v>
      </c>
      <c r="AC71" s="484" t="s">
        <v>1043</v>
      </c>
      <c r="AD71" s="484" t="s">
        <v>1044</v>
      </c>
      <c r="AE71" s="484">
        <v>38149</v>
      </c>
      <c r="AF71" s="484" t="s">
        <v>947</v>
      </c>
      <c r="AG71" s="484" t="s">
        <v>902</v>
      </c>
      <c r="AH71" s="484">
        <v>3466</v>
      </c>
      <c r="AI71" s="484">
        <v>34683</v>
      </c>
      <c r="AJ71" s="484" t="s">
        <v>438</v>
      </c>
      <c r="AL71" s="484" t="s">
        <v>1080</v>
      </c>
      <c r="AM71" s="484">
        <v>1</v>
      </c>
      <c r="AN71" s="484">
        <v>0</v>
      </c>
      <c r="AO71" s="484">
        <v>0</v>
      </c>
      <c r="AP71" s="484">
        <v>0</v>
      </c>
      <c r="AQ71" s="484" t="s">
        <v>438</v>
      </c>
      <c r="AS71" s="484" t="s">
        <v>947</v>
      </c>
      <c r="AT71" s="484" t="s">
        <v>902</v>
      </c>
      <c r="AV71" s="508">
        <v>0</v>
      </c>
      <c r="AW71" s="508">
        <v>0</v>
      </c>
      <c r="AX71" s="508">
        <v>0</v>
      </c>
      <c r="AY71" s="508">
        <v>0</v>
      </c>
      <c r="AZ71" s="508">
        <v>0</v>
      </c>
      <c r="BA71" s="508">
        <v>38149</v>
      </c>
      <c r="BB71" s="508">
        <v>38149</v>
      </c>
      <c r="BC71" s="508">
        <v>38149</v>
      </c>
      <c r="BD71" s="508">
        <v>0</v>
      </c>
      <c r="BE71" s="508"/>
      <c r="BF71" s="508">
        <v>0</v>
      </c>
      <c r="BG71" s="508">
        <v>0</v>
      </c>
      <c r="BH71" s="508">
        <v>0</v>
      </c>
      <c r="BI71" s="508">
        <v>0</v>
      </c>
      <c r="BJ71" s="508">
        <v>0</v>
      </c>
      <c r="BK71" s="508">
        <v>34681</v>
      </c>
      <c r="BL71" s="508">
        <v>34681</v>
      </c>
      <c r="BM71" s="508">
        <v>34681</v>
      </c>
      <c r="BN71" s="508"/>
      <c r="BO71" s="508"/>
    </row>
    <row r="72" spans="1:67" s="484" customFormat="1">
      <c r="A72" s="484" t="s">
        <v>890</v>
      </c>
      <c r="B72" s="484" t="s">
        <v>891</v>
      </c>
      <c r="C72" s="484" t="s">
        <v>438</v>
      </c>
      <c r="D72" s="484" t="s">
        <v>892</v>
      </c>
      <c r="E72" s="484" t="s">
        <v>893</v>
      </c>
      <c r="F72" s="484" t="s">
        <v>998</v>
      </c>
      <c r="G72" s="484" t="s">
        <v>998</v>
      </c>
      <c r="H72" s="484" t="s">
        <v>1041</v>
      </c>
      <c r="I72" s="484" t="s">
        <v>937</v>
      </c>
      <c r="J72" s="484" t="s">
        <v>1081</v>
      </c>
      <c r="K72" s="484" t="s">
        <v>895</v>
      </c>
      <c r="L72" s="484" t="s">
        <v>896</v>
      </c>
      <c r="M72" s="484" t="s">
        <v>890</v>
      </c>
      <c r="N72" s="484" t="s">
        <v>939</v>
      </c>
      <c r="O72" s="484" t="s">
        <v>924</v>
      </c>
      <c r="P72" s="484" t="s">
        <v>940</v>
      </c>
      <c r="Q72" s="484" t="s">
        <v>941</v>
      </c>
      <c r="R72" s="484" t="s">
        <v>941</v>
      </c>
      <c r="S72" s="484" t="s">
        <v>438</v>
      </c>
      <c r="T72" s="484" t="s">
        <v>942</v>
      </c>
      <c r="U72" s="484" t="s">
        <v>943</v>
      </c>
      <c r="V72" s="484">
        <v>0</v>
      </c>
      <c r="W72" s="484">
        <v>0</v>
      </c>
      <c r="X72" s="484">
        <v>0</v>
      </c>
      <c r="Y72" s="484">
        <v>55357</v>
      </c>
      <c r="Z72" s="484" t="s">
        <v>944</v>
      </c>
      <c r="AA72" s="484" t="s">
        <v>941</v>
      </c>
      <c r="AB72" s="484">
        <v>55357</v>
      </c>
      <c r="AC72" s="484" t="s">
        <v>1043</v>
      </c>
      <c r="AD72" s="484" t="s">
        <v>1044</v>
      </c>
      <c r="AE72" s="484">
        <v>55357</v>
      </c>
      <c r="AF72" s="484" t="s">
        <v>947</v>
      </c>
      <c r="AG72" s="484" t="s">
        <v>902</v>
      </c>
      <c r="AH72" s="484">
        <v>5032</v>
      </c>
      <c r="AI72" s="484">
        <v>50325</v>
      </c>
      <c r="AJ72" s="484" t="s">
        <v>438</v>
      </c>
      <c r="AL72" s="484" t="s">
        <v>1082</v>
      </c>
      <c r="AM72" s="484">
        <v>1</v>
      </c>
      <c r="AN72" s="484">
        <v>0</v>
      </c>
      <c r="AO72" s="484">
        <v>0</v>
      </c>
      <c r="AP72" s="484">
        <v>0</v>
      </c>
      <c r="AQ72" s="484" t="s">
        <v>438</v>
      </c>
      <c r="AS72" s="484" t="s">
        <v>947</v>
      </c>
      <c r="AT72" s="484" t="s">
        <v>902</v>
      </c>
      <c r="AV72" s="508">
        <v>0</v>
      </c>
      <c r="AW72" s="508">
        <v>0</v>
      </c>
      <c r="AX72" s="508">
        <v>0</v>
      </c>
      <c r="AY72" s="508">
        <v>0</v>
      </c>
      <c r="AZ72" s="508">
        <v>0</v>
      </c>
      <c r="BA72" s="508">
        <v>55357</v>
      </c>
      <c r="BB72" s="508">
        <v>55357</v>
      </c>
      <c r="BC72" s="508">
        <v>55357</v>
      </c>
      <c r="BD72" s="508">
        <v>0</v>
      </c>
      <c r="BE72" s="508"/>
      <c r="BF72" s="508">
        <v>0</v>
      </c>
      <c r="BG72" s="508">
        <v>0</v>
      </c>
      <c r="BH72" s="508">
        <v>0</v>
      </c>
      <c r="BI72" s="508">
        <v>0</v>
      </c>
      <c r="BJ72" s="508">
        <v>0</v>
      </c>
      <c r="BK72" s="508">
        <v>50325</v>
      </c>
      <c r="BL72" s="508">
        <v>50325</v>
      </c>
      <c r="BM72" s="508">
        <v>50325</v>
      </c>
      <c r="BN72" s="508"/>
      <c r="BO72" s="508"/>
    </row>
    <row r="73" spans="1:67" s="484" customFormat="1">
      <c r="A73" s="484" t="s">
        <v>890</v>
      </c>
      <c r="B73" s="484" t="s">
        <v>891</v>
      </c>
      <c r="C73" s="484" t="s">
        <v>438</v>
      </c>
      <c r="D73" s="484" t="s">
        <v>892</v>
      </c>
      <c r="E73" s="484" t="s">
        <v>893</v>
      </c>
      <c r="F73" s="484" t="s">
        <v>998</v>
      </c>
      <c r="G73" s="484" t="s">
        <v>998</v>
      </c>
      <c r="H73" s="484" t="s">
        <v>1041</v>
      </c>
      <c r="I73" s="484" t="s">
        <v>937</v>
      </c>
      <c r="J73" s="484" t="s">
        <v>1083</v>
      </c>
      <c r="K73" s="484" t="s">
        <v>895</v>
      </c>
      <c r="L73" s="484" t="s">
        <v>896</v>
      </c>
      <c r="M73" s="484" t="s">
        <v>890</v>
      </c>
      <c r="N73" s="484" t="s">
        <v>939</v>
      </c>
      <c r="O73" s="484" t="s">
        <v>924</v>
      </c>
      <c r="P73" s="484" t="s">
        <v>940</v>
      </c>
      <c r="Q73" s="484" t="s">
        <v>941</v>
      </c>
      <c r="R73" s="484" t="s">
        <v>941</v>
      </c>
      <c r="S73" s="484" t="s">
        <v>438</v>
      </c>
      <c r="T73" s="484" t="s">
        <v>942</v>
      </c>
      <c r="U73" s="484" t="s">
        <v>943</v>
      </c>
      <c r="V73" s="484">
        <v>0</v>
      </c>
      <c r="W73" s="484">
        <v>0</v>
      </c>
      <c r="X73" s="484">
        <v>0</v>
      </c>
      <c r="Y73" s="484">
        <v>1453</v>
      </c>
      <c r="Z73" s="484" t="s">
        <v>944</v>
      </c>
      <c r="AA73" s="484" t="s">
        <v>941</v>
      </c>
      <c r="AB73" s="484">
        <v>1453</v>
      </c>
      <c r="AC73" s="484" t="s">
        <v>1043</v>
      </c>
      <c r="AD73" s="484" t="s">
        <v>1044</v>
      </c>
      <c r="AE73" s="484">
        <v>1453</v>
      </c>
      <c r="AF73" s="484" t="s">
        <v>933</v>
      </c>
      <c r="AG73" s="484" t="s">
        <v>899</v>
      </c>
      <c r="AH73" s="484">
        <v>103</v>
      </c>
      <c r="AI73" s="484">
        <v>1350</v>
      </c>
      <c r="AJ73" s="484" t="s">
        <v>438</v>
      </c>
      <c r="AL73" s="484" t="s">
        <v>1084</v>
      </c>
      <c r="AM73" s="484">
        <v>1</v>
      </c>
      <c r="AN73" s="484">
        <v>0</v>
      </c>
      <c r="AO73" s="484">
        <v>0</v>
      </c>
      <c r="AP73" s="484">
        <v>0</v>
      </c>
      <c r="AQ73" s="484" t="s">
        <v>438</v>
      </c>
      <c r="AS73" s="484" t="s">
        <v>933</v>
      </c>
      <c r="AT73" s="484" t="s">
        <v>899</v>
      </c>
      <c r="AV73" s="508">
        <v>0</v>
      </c>
      <c r="AW73" s="508">
        <v>0</v>
      </c>
      <c r="AX73" s="508">
        <v>0</v>
      </c>
      <c r="AY73" s="508">
        <v>0</v>
      </c>
      <c r="AZ73" s="508">
        <v>0</v>
      </c>
      <c r="BA73" s="508">
        <v>1453</v>
      </c>
      <c r="BB73" s="508">
        <v>1453</v>
      </c>
      <c r="BC73" s="508">
        <v>1453</v>
      </c>
      <c r="BD73" s="508">
        <v>0</v>
      </c>
      <c r="BE73" s="508"/>
      <c r="BF73" s="508">
        <v>0</v>
      </c>
      <c r="BG73" s="508">
        <v>0</v>
      </c>
      <c r="BH73" s="508">
        <v>0</v>
      </c>
      <c r="BI73" s="508">
        <v>0</v>
      </c>
      <c r="BJ73" s="508">
        <v>0</v>
      </c>
      <c r="BK73" s="508">
        <v>1345</v>
      </c>
      <c r="BL73" s="508">
        <v>1345</v>
      </c>
      <c r="BM73" s="508">
        <v>1345</v>
      </c>
      <c r="BN73" s="508"/>
      <c r="BO73" s="508"/>
    </row>
    <row r="74" spans="1:67" s="484" customFormat="1">
      <c r="A74" s="484" t="s">
        <v>890</v>
      </c>
      <c r="B74" s="484" t="s">
        <v>891</v>
      </c>
      <c r="C74" s="484" t="s">
        <v>438</v>
      </c>
      <c r="D74" s="484" t="s">
        <v>892</v>
      </c>
      <c r="E74" s="484" t="s">
        <v>893</v>
      </c>
      <c r="F74" s="484" t="s">
        <v>998</v>
      </c>
      <c r="G74" s="484" t="s">
        <v>998</v>
      </c>
      <c r="H74" s="484" t="s">
        <v>1041</v>
      </c>
      <c r="I74" s="484" t="s">
        <v>937</v>
      </c>
      <c r="J74" s="484" t="s">
        <v>1085</v>
      </c>
      <c r="K74" s="484" t="s">
        <v>895</v>
      </c>
      <c r="L74" s="484" t="s">
        <v>896</v>
      </c>
      <c r="M74" s="484" t="s">
        <v>890</v>
      </c>
      <c r="N74" s="484" t="s">
        <v>939</v>
      </c>
      <c r="O74" s="484" t="s">
        <v>924</v>
      </c>
      <c r="P74" s="484" t="s">
        <v>940</v>
      </c>
      <c r="Q74" s="484" t="s">
        <v>941</v>
      </c>
      <c r="R74" s="484" t="s">
        <v>941</v>
      </c>
      <c r="S74" s="484" t="s">
        <v>438</v>
      </c>
      <c r="T74" s="484" t="s">
        <v>942</v>
      </c>
      <c r="U74" s="484" t="s">
        <v>943</v>
      </c>
      <c r="V74" s="484">
        <v>0</v>
      </c>
      <c r="W74" s="484">
        <v>0</v>
      </c>
      <c r="X74" s="484">
        <v>0</v>
      </c>
      <c r="Y74" s="484">
        <v>138909</v>
      </c>
      <c r="Z74" s="484" t="s">
        <v>944</v>
      </c>
      <c r="AA74" s="484" t="s">
        <v>941</v>
      </c>
      <c r="AB74" s="484">
        <v>138909</v>
      </c>
      <c r="AC74" s="484" t="s">
        <v>1043</v>
      </c>
      <c r="AD74" s="484" t="s">
        <v>1044</v>
      </c>
      <c r="AE74" s="484">
        <v>138909</v>
      </c>
      <c r="AF74" s="484" t="s">
        <v>947</v>
      </c>
      <c r="AG74" s="484" t="s">
        <v>902</v>
      </c>
      <c r="AH74" s="484">
        <v>12621</v>
      </c>
      <c r="AI74" s="484">
        <v>126288</v>
      </c>
      <c r="AJ74" s="484" t="s">
        <v>438</v>
      </c>
      <c r="AL74" s="484" t="s">
        <v>1086</v>
      </c>
      <c r="AM74" s="484">
        <v>1</v>
      </c>
      <c r="AN74" s="484">
        <v>0</v>
      </c>
      <c r="AO74" s="484">
        <v>0</v>
      </c>
      <c r="AP74" s="484">
        <v>0</v>
      </c>
      <c r="AQ74" s="484" t="s">
        <v>438</v>
      </c>
      <c r="AS74" s="484" t="s">
        <v>947</v>
      </c>
      <c r="AT74" s="484" t="s">
        <v>902</v>
      </c>
      <c r="AV74" s="508">
        <v>0</v>
      </c>
      <c r="AW74" s="508">
        <v>0</v>
      </c>
      <c r="AX74" s="508">
        <v>0</v>
      </c>
      <c r="AY74" s="508">
        <v>0</v>
      </c>
      <c r="AZ74" s="508">
        <v>0</v>
      </c>
      <c r="BA74" s="508">
        <v>138909</v>
      </c>
      <c r="BB74" s="508">
        <v>138909</v>
      </c>
      <c r="BC74" s="508">
        <v>138909</v>
      </c>
      <c r="BD74" s="508">
        <v>0</v>
      </c>
      <c r="BE74" s="508"/>
      <c r="BF74" s="508">
        <v>0</v>
      </c>
      <c r="BG74" s="508">
        <v>0</v>
      </c>
      <c r="BH74" s="508">
        <v>0</v>
      </c>
      <c r="BI74" s="508">
        <v>0</v>
      </c>
      <c r="BJ74" s="508">
        <v>0</v>
      </c>
      <c r="BK74" s="508">
        <v>126281</v>
      </c>
      <c r="BL74" s="508">
        <v>126281</v>
      </c>
      <c r="BM74" s="508">
        <v>126281</v>
      </c>
      <c r="BN74" s="508"/>
      <c r="BO74" s="508"/>
    </row>
    <row r="75" spans="1:67" s="484" customFormat="1">
      <c r="A75" s="484" t="s">
        <v>890</v>
      </c>
      <c r="B75" s="484" t="s">
        <v>891</v>
      </c>
      <c r="C75" s="484" t="s">
        <v>438</v>
      </c>
      <c r="D75" s="484" t="s">
        <v>892</v>
      </c>
      <c r="E75" s="484" t="s">
        <v>893</v>
      </c>
      <c r="F75" s="484" t="s">
        <v>998</v>
      </c>
      <c r="G75" s="484" t="s">
        <v>998</v>
      </c>
      <c r="H75" s="484" t="s">
        <v>1041</v>
      </c>
      <c r="I75" s="484" t="s">
        <v>937</v>
      </c>
      <c r="J75" s="484" t="s">
        <v>1087</v>
      </c>
      <c r="K75" s="484" t="s">
        <v>895</v>
      </c>
      <c r="L75" s="484" t="s">
        <v>896</v>
      </c>
      <c r="M75" s="484" t="s">
        <v>890</v>
      </c>
      <c r="N75" s="484" t="s">
        <v>939</v>
      </c>
      <c r="O75" s="484" t="s">
        <v>924</v>
      </c>
      <c r="P75" s="484" t="s">
        <v>940</v>
      </c>
      <c r="Q75" s="484" t="s">
        <v>941</v>
      </c>
      <c r="R75" s="484" t="s">
        <v>941</v>
      </c>
      <c r="S75" s="484" t="s">
        <v>438</v>
      </c>
      <c r="T75" s="484" t="s">
        <v>942</v>
      </c>
      <c r="U75" s="484" t="s">
        <v>943</v>
      </c>
      <c r="V75" s="484">
        <v>0</v>
      </c>
      <c r="W75" s="484">
        <v>0</v>
      </c>
      <c r="X75" s="484">
        <v>0</v>
      </c>
      <c r="Y75" s="484">
        <v>104861</v>
      </c>
      <c r="Z75" s="484" t="s">
        <v>944</v>
      </c>
      <c r="AA75" s="484" t="s">
        <v>941</v>
      </c>
      <c r="AB75" s="484">
        <v>104861</v>
      </c>
      <c r="AC75" s="484" t="s">
        <v>1043</v>
      </c>
      <c r="AD75" s="484" t="s">
        <v>1044</v>
      </c>
      <c r="AE75" s="484">
        <v>104861</v>
      </c>
      <c r="AF75" s="484" t="s">
        <v>947</v>
      </c>
      <c r="AG75" s="484" t="s">
        <v>902</v>
      </c>
      <c r="AH75" s="484">
        <v>9532</v>
      </c>
      <c r="AI75" s="484">
        <v>95329</v>
      </c>
      <c r="AJ75" s="484" t="s">
        <v>438</v>
      </c>
      <c r="AL75" s="484" t="s">
        <v>1088</v>
      </c>
      <c r="AM75" s="484">
        <v>1</v>
      </c>
      <c r="AN75" s="484">
        <v>0</v>
      </c>
      <c r="AO75" s="484">
        <v>0</v>
      </c>
      <c r="AP75" s="484">
        <v>0</v>
      </c>
      <c r="AQ75" s="484" t="s">
        <v>438</v>
      </c>
      <c r="AS75" s="484" t="s">
        <v>947</v>
      </c>
      <c r="AT75" s="484" t="s">
        <v>902</v>
      </c>
      <c r="AV75" s="508">
        <v>0</v>
      </c>
      <c r="AW75" s="508">
        <v>0</v>
      </c>
      <c r="AX75" s="508">
        <v>0</v>
      </c>
      <c r="AY75" s="508">
        <v>0</v>
      </c>
      <c r="AZ75" s="508">
        <v>0</v>
      </c>
      <c r="BA75" s="508">
        <v>104861</v>
      </c>
      <c r="BB75" s="508">
        <v>104861</v>
      </c>
      <c r="BC75" s="508">
        <v>104861</v>
      </c>
      <c r="BD75" s="508">
        <v>0</v>
      </c>
      <c r="BE75" s="508"/>
      <c r="BF75" s="508">
        <v>0</v>
      </c>
      <c r="BG75" s="508">
        <v>0</v>
      </c>
      <c r="BH75" s="508">
        <v>0</v>
      </c>
      <c r="BI75" s="508">
        <v>0</v>
      </c>
      <c r="BJ75" s="508">
        <v>0</v>
      </c>
      <c r="BK75" s="508">
        <v>95328</v>
      </c>
      <c r="BL75" s="508">
        <v>95328</v>
      </c>
      <c r="BM75" s="508">
        <v>95328</v>
      </c>
      <c r="BN75" s="508"/>
      <c r="BO75" s="508"/>
    </row>
    <row r="76" spans="1:67" s="484" customFormat="1">
      <c r="A76" s="484" t="s">
        <v>890</v>
      </c>
      <c r="B76" s="484" t="s">
        <v>891</v>
      </c>
      <c r="C76" s="484" t="s">
        <v>438</v>
      </c>
      <c r="D76" s="484" t="s">
        <v>892</v>
      </c>
      <c r="E76" s="484" t="s">
        <v>893</v>
      </c>
      <c r="F76" s="484" t="s">
        <v>998</v>
      </c>
      <c r="G76" s="484" t="s">
        <v>998</v>
      </c>
      <c r="H76" s="484" t="s">
        <v>1041</v>
      </c>
      <c r="I76" s="484" t="s">
        <v>937</v>
      </c>
      <c r="J76" s="484" t="s">
        <v>1089</v>
      </c>
      <c r="K76" s="484" t="s">
        <v>895</v>
      </c>
      <c r="L76" s="484" t="s">
        <v>896</v>
      </c>
      <c r="M76" s="484" t="s">
        <v>890</v>
      </c>
      <c r="N76" s="484" t="s">
        <v>939</v>
      </c>
      <c r="O76" s="484" t="s">
        <v>924</v>
      </c>
      <c r="P76" s="484" t="s">
        <v>940</v>
      </c>
      <c r="Q76" s="484" t="s">
        <v>941</v>
      </c>
      <c r="R76" s="484" t="s">
        <v>941</v>
      </c>
      <c r="S76" s="484" t="s">
        <v>438</v>
      </c>
      <c r="T76" s="484" t="s">
        <v>942</v>
      </c>
      <c r="U76" s="484" t="s">
        <v>943</v>
      </c>
      <c r="V76" s="484">
        <v>0</v>
      </c>
      <c r="W76" s="484">
        <v>0</v>
      </c>
      <c r="X76" s="484">
        <v>0</v>
      </c>
      <c r="Y76" s="484">
        <v>1108227</v>
      </c>
      <c r="Z76" s="484" t="s">
        <v>944</v>
      </c>
      <c r="AA76" s="484" t="s">
        <v>941</v>
      </c>
      <c r="AB76" s="484">
        <v>1108227</v>
      </c>
      <c r="AC76" s="484" t="s">
        <v>1043</v>
      </c>
      <c r="AD76" s="484" t="s">
        <v>1044</v>
      </c>
      <c r="AE76" s="484">
        <v>1108227</v>
      </c>
      <c r="AF76" s="484" t="s">
        <v>947</v>
      </c>
      <c r="AG76" s="484" t="s">
        <v>902</v>
      </c>
      <c r="AH76" s="484">
        <v>100747</v>
      </c>
      <c r="AI76" s="484">
        <v>1007480</v>
      </c>
      <c r="AJ76" s="484" t="s">
        <v>438</v>
      </c>
      <c r="AL76" s="484" t="s">
        <v>1090</v>
      </c>
      <c r="AM76" s="484">
        <v>1</v>
      </c>
      <c r="AN76" s="484">
        <v>0</v>
      </c>
      <c r="AO76" s="484">
        <v>0</v>
      </c>
      <c r="AP76" s="484">
        <v>0</v>
      </c>
      <c r="AQ76" s="484" t="s">
        <v>438</v>
      </c>
      <c r="AS76" s="484" t="s">
        <v>947</v>
      </c>
      <c r="AT76" s="484" t="s">
        <v>902</v>
      </c>
      <c r="AV76" s="508">
        <v>0</v>
      </c>
      <c r="AW76" s="508">
        <v>0</v>
      </c>
      <c r="AX76" s="508">
        <v>0</v>
      </c>
      <c r="AY76" s="508">
        <v>0</v>
      </c>
      <c r="AZ76" s="508">
        <v>0</v>
      </c>
      <c r="BA76" s="508">
        <v>1108227</v>
      </c>
      <c r="BB76" s="508">
        <v>1108227</v>
      </c>
      <c r="BC76" s="508">
        <v>1108227</v>
      </c>
      <c r="BD76" s="508">
        <v>0</v>
      </c>
      <c r="BE76" s="508"/>
      <c r="BF76" s="508">
        <v>0</v>
      </c>
      <c r="BG76" s="508">
        <v>0</v>
      </c>
      <c r="BH76" s="508">
        <v>0</v>
      </c>
      <c r="BI76" s="508">
        <v>0</v>
      </c>
      <c r="BJ76" s="508">
        <v>0</v>
      </c>
      <c r="BK76" s="508">
        <v>1007479</v>
      </c>
      <c r="BL76" s="508">
        <v>1007479</v>
      </c>
      <c r="BM76" s="508">
        <v>1007479</v>
      </c>
      <c r="BN76" s="508"/>
      <c r="BO76" s="508"/>
    </row>
    <row r="77" spans="1:67" s="484" customFormat="1">
      <c r="A77" s="484" t="s">
        <v>890</v>
      </c>
      <c r="B77" s="484" t="s">
        <v>891</v>
      </c>
      <c r="C77" s="484" t="s">
        <v>438</v>
      </c>
      <c r="D77" s="484" t="s">
        <v>892</v>
      </c>
      <c r="E77" s="484" t="s">
        <v>893</v>
      </c>
      <c r="F77" s="484" t="s">
        <v>1091</v>
      </c>
      <c r="G77" s="484" t="s">
        <v>1091</v>
      </c>
      <c r="H77" s="484" t="s">
        <v>1041</v>
      </c>
      <c r="I77" s="484" t="s">
        <v>937</v>
      </c>
      <c r="J77" s="484" t="s">
        <v>1092</v>
      </c>
      <c r="K77" s="484" t="s">
        <v>895</v>
      </c>
      <c r="L77" s="484" t="s">
        <v>896</v>
      </c>
      <c r="M77" s="484" t="s">
        <v>890</v>
      </c>
      <c r="N77" s="484" t="s">
        <v>939</v>
      </c>
      <c r="O77" s="484" t="s">
        <v>924</v>
      </c>
      <c r="P77" s="484" t="s">
        <v>940</v>
      </c>
      <c r="Q77" s="484" t="s">
        <v>941</v>
      </c>
      <c r="R77" s="484" t="s">
        <v>941</v>
      </c>
      <c r="S77" s="484" t="s">
        <v>438</v>
      </c>
      <c r="T77" s="484" t="s">
        <v>942</v>
      </c>
      <c r="U77" s="484" t="s">
        <v>943</v>
      </c>
      <c r="V77" s="484">
        <v>0</v>
      </c>
      <c r="W77" s="484">
        <v>0</v>
      </c>
      <c r="X77" s="484">
        <v>0</v>
      </c>
      <c r="Y77" s="484">
        <v>453753</v>
      </c>
      <c r="Z77" s="484" t="s">
        <v>944</v>
      </c>
      <c r="AA77" s="484" t="s">
        <v>941</v>
      </c>
      <c r="AB77" s="484">
        <v>453753</v>
      </c>
      <c r="AC77" s="484" t="s">
        <v>1043</v>
      </c>
      <c r="AD77" s="484" t="s">
        <v>1044</v>
      </c>
      <c r="AE77" s="484">
        <v>453753</v>
      </c>
      <c r="AF77" s="484" t="s">
        <v>947</v>
      </c>
      <c r="AG77" s="484" t="s">
        <v>902</v>
      </c>
      <c r="AH77" s="484">
        <v>41243</v>
      </c>
      <c r="AI77" s="484">
        <v>412510</v>
      </c>
      <c r="AJ77" s="484" t="s">
        <v>438</v>
      </c>
      <c r="AL77" s="484" t="s">
        <v>1093</v>
      </c>
      <c r="AM77" s="484">
        <v>1</v>
      </c>
      <c r="AN77" s="484">
        <v>0</v>
      </c>
      <c r="AO77" s="484">
        <v>0</v>
      </c>
      <c r="AP77" s="484">
        <v>0</v>
      </c>
      <c r="AQ77" s="484" t="s">
        <v>438</v>
      </c>
      <c r="AS77" s="484" t="s">
        <v>947</v>
      </c>
      <c r="AT77" s="484" t="s">
        <v>902</v>
      </c>
      <c r="AV77" s="508">
        <v>0</v>
      </c>
      <c r="AW77" s="508">
        <v>0</v>
      </c>
      <c r="AX77" s="508">
        <v>0</v>
      </c>
      <c r="AY77" s="508">
        <v>0</v>
      </c>
      <c r="AZ77" s="508">
        <v>0</v>
      </c>
      <c r="BA77" s="508">
        <v>453753</v>
      </c>
      <c r="BB77" s="508">
        <v>453753</v>
      </c>
      <c r="BC77" s="508">
        <v>453753</v>
      </c>
      <c r="BD77" s="508">
        <v>0</v>
      </c>
      <c r="BE77" s="508"/>
      <c r="BF77" s="508">
        <v>0</v>
      </c>
      <c r="BG77" s="508">
        <v>0</v>
      </c>
      <c r="BH77" s="508">
        <v>0</v>
      </c>
      <c r="BI77" s="508">
        <v>0</v>
      </c>
      <c r="BJ77" s="508">
        <v>0</v>
      </c>
      <c r="BK77" s="508">
        <v>412503</v>
      </c>
      <c r="BL77" s="508">
        <v>412503</v>
      </c>
      <c r="BM77" s="508">
        <v>412503</v>
      </c>
      <c r="BN77" s="508"/>
      <c r="BO77" s="508"/>
    </row>
    <row r="78" spans="1:67" s="484" customFormat="1">
      <c r="A78" s="484" t="s">
        <v>890</v>
      </c>
      <c r="B78" s="484" t="s">
        <v>891</v>
      </c>
      <c r="C78" s="484" t="s">
        <v>438</v>
      </c>
      <c r="D78" s="484" t="s">
        <v>892</v>
      </c>
      <c r="E78" s="484" t="s">
        <v>893</v>
      </c>
      <c r="F78" s="484" t="s">
        <v>1094</v>
      </c>
      <c r="G78" s="484" t="s">
        <v>1094</v>
      </c>
      <c r="H78" s="484" t="s">
        <v>1041</v>
      </c>
      <c r="I78" s="484" t="s">
        <v>937</v>
      </c>
      <c r="J78" s="484" t="s">
        <v>1095</v>
      </c>
      <c r="K78" s="484" t="s">
        <v>895</v>
      </c>
      <c r="L78" s="484" t="s">
        <v>896</v>
      </c>
      <c r="M78" s="484" t="s">
        <v>890</v>
      </c>
      <c r="N78" s="484" t="s">
        <v>939</v>
      </c>
      <c r="O78" s="484" t="s">
        <v>924</v>
      </c>
      <c r="P78" s="484" t="s">
        <v>940</v>
      </c>
      <c r="Q78" s="484" t="s">
        <v>941</v>
      </c>
      <c r="R78" s="484" t="s">
        <v>941</v>
      </c>
      <c r="S78" s="484" t="s">
        <v>438</v>
      </c>
      <c r="T78" s="484" t="s">
        <v>942</v>
      </c>
      <c r="U78" s="484" t="s">
        <v>943</v>
      </c>
      <c r="V78" s="484">
        <v>0</v>
      </c>
      <c r="W78" s="484">
        <v>0</v>
      </c>
      <c r="X78" s="484">
        <v>0</v>
      </c>
      <c r="Y78" s="484">
        <v>18717</v>
      </c>
      <c r="Z78" s="484" t="s">
        <v>944</v>
      </c>
      <c r="AA78" s="484" t="s">
        <v>941</v>
      </c>
      <c r="AB78" s="484">
        <v>18717</v>
      </c>
      <c r="AC78" s="484" t="s">
        <v>1043</v>
      </c>
      <c r="AD78" s="484" t="s">
        <v>1044</v>
      </c>
      <c r="AE78" s="484">
        <v>18717</v>
      </c>
      <c r="AF78" s="484" t="s">
        <v>947</v>
      </c>
      <c r="AG78" s="484" t="s">
        <v>902</v>
      </c>
      <c r="AH78" s="484">
        <v>1701</v>
      </c>
      <c r="AI78" s="484">
        <v>17016</v>
      </c>
      <c r="AJ78" s="484" t="s">
        <v>438</v>
      </c>
      <c r="AL78" s="484" t="s">
        <v>1096</v>
      </c>
      <c r="AM78" s="484">
        <v>1</v>
      </c>
      <c r="AN78" s="484">
        <v>0</v>
      </c>
      <c r="AO78" s="484">
        <v>0</v>
      </c>
      <c r="AP78" s="484">
        <v>0</v>
      </c>
      <c r="AQ78" s="484" t="s">
        <v>438</v>
      </c>
      <c r="AS78" s="484" t="s">
        <v>947</v>
      </c>
      <c r="AT78" s="484" t="s">
        <v>902</v>
      </c>
      <c r="AV78" s="508">
        <v>0</v>
      </c>
      <c r="AW78" s="508">
        <v>0</v>
      </c>
      <c r="AX78" s="508">
        <v>0</v>
      </c>
      <c r="AY78" s="508">
        <v>0</v>
      </c>
      <c r="AZ78" s="508">
        <v>0</v>
      </c>
      <c r="BA78" s="508">
        <v>18717</v>
      </c>
      <c r="BB78" s="508">
        <v>18717</v>
      </c>
      <c r="BC78" s="508">
        <v>18717</v>
      </c>
      <c r="BD78" s="508">
        <v>0</v>
      </c>
      <c r="BE78" s="508"/>
      <c r="BF78" s="508">
        <v>0</v>
      </c>
      <c r="BG78" s="508">
        <v>0</v>
      </c>
      <c r="BH78" s="508">
        <v>0</v>
      </c>
      <c r="BI78" s="508">
        <v>0</v>
      </c>
      <c r="BJ78" s="508">
        <v>0</v>
      </c>
      <c r="BK78" s="508">
        <v>17015</v>
      </c>
      <c r="BL78" s="508">
        <v>17015</v>
      </c>
      <c r="BM78" s="508">
        <v>17015</v>
      </c>
      <c r="BN78" s="508"/>
      <c r="BO78" s="508"/>
    </row>
    <row r="79" spans="1:67" s="484" customFormat="1">
      <c r="A79" s="484" t="s">
        <v>890</v>
      </c>
      <c r="B79" s="484" t="s">
        <v>891</v>
      </c>
      <c r="C79" s="484" t="s">
        <v>438</v>
      </c>
      <c r="D79" s="484" t="s">
        <v>892</v>
      </c>
      <c r="E79" s="484" t="s">
        <v>893</v>
      </c>
      <c r="F79" s="484" t="s">
        <v>1110</v>
      </c>
      <c r="G79" s="484" t="s">
        <v>1110</v>
      </c>
      <c r="H79" s="484" t="s">
        <v>1041</v>
      </c>
      <c r="I79" s="484" t="s">
        <v>937</v>
      </c>
      <c r="J79" s="484" t="s">
        <v>1111</v>
      </c>
      <c r="K79" s="484" t="s">
        <v>895</v>
      </c>
      <c r="L79" s="484" t="s">
        <v>896</v>
      </c>
      <c r="M79" s="484" t="s">
        <v>890</v>
      </c>
      <c r="N79" s="484" t="s">
        <v>939</v>
      </c>
      <c r="O79" s="484" t="s">
        <v>924</v>
      </c>
      <c r="P79" s="484" t="s">
        <v>940</v>
      </c>
      <c r="Q79" s="484" t="s">
        <v>941</v>
      </c>
      <c r="R79" s="484" t="s">
        <v>941</v>
      </c>
      <c r="S79" s="484" t="s">
        <v>438</v>
      </c>
      <c r="T79" s="484" t="s">
        <v>942</v>
      </c>
      <c r="U79" s="484" t="s">
        <v>943</v>
      </c>
      <c r="V79" s="484">
        <v>0</v>
      </c>
      <c r="W79" s="484">
        <v>0</v>
      </c>
      <c r="X79" s="484">
        <v>0</v>
      </c>
      <c r="Y79" s="484">
        <v>17704</v>
      </c>
      <c r="Z79" s="484" t="s">
        <v>944</v>
      </c>
      <c r="AA79" s="484" t="s">
        <v>941</v>
      </c>
      <c r="AB79" s="484">
        <v>17704</v>
      </c>
      <c r="AC79" s="484" t="s">
        <v>1043</v>
      </c>
      <c r="AD79" s="484" t="s">
        <v>1044</v>
      </c>
      <c r="AE79" s="484">
        <v>17704</v>
      </c>
      <c r="AF79" s="484" t="s">
        <v>947</v>
      </c>
      <c r="AG79" s="484" t="s">
        <v>902</v>
      </c>
      <c r="AH79" s="484">
        <v>1608</v>
      </c>
      <c r="AI79" s="484">
        <v>16096</v>
      </c>
      <c r="AJ79" s="484" t="s">
        <v>438</v>
      </c>
      <c r="AL79" s="484" t="s">
        <v>1112</v>
      </c>
      <c r="AM79" s="484">
        <v>1</v>
      </c>
      <c r="AN79" s="484">
        <v>0</v>
      </c>
      <c r="AO79" s="484">
        <v>0</v>
      </c>
      <c r="AP79" s="484">
        <v>0</v>
      </c>
      <c r="AQ79" s="484" t="s">
        <v>438</v>
      </c>
      <c r="AS79" s="484" t="s">
        <v>947</v>
      </c>
      <c r="AT79" s="484" t="s">
        <v>902</v>
      </c>
      <c r="AV79" s="508">
        <v>0</v>
      </c>
      <c r="AW79" s="508">
        <v>0</v>
      </c>
      <c r="AX79" s="508">
        <v>0</v>
      </c>
      <c r="AY79" s="508">
        <v>0</v>
      </c>
      <c r="AZ79" s="508">
        <v>0</v>
      </c>
      <c r="BA79" s="508">
        <v>17704</v>
      </c>
      <c r="BB79" s="508">
        <v>17704</v>
      </c>
      <c r="BC79" s="508">
        <v>17704</v>
      </c>
      <c r="BD79" s="508">
        <v>0</v>
      </c>
      <c r="BE79" s="508"/>
      <c r="BF79" s="508">
        <v>0</v>
      </c>
      <c r="BG79" s="508">
        <v>0</v>
      </c>
      <c r="BH79" s="508">
        <v>0</v>
      </c>
      <c r="BI79" s="508">
        <v>0</v>
      </c>
      <c r="BJ79" s="508">
        <v>0</v>
      </c>
      <c r="BK79" s="508">
        <v>16095</v>
      </c>
      <c r="BL79" s="508">
        <v>16095</v>
      </c>
      <c r="BM79" s="508">
        <v>16095</v>
      </c>
      <c r="BN79" s="508"/>
      <c r="BO79" s="508"/>
    </row>
    <row r="80" spans="1:67" s="484" customFormat="1">
      <c r="A80" s="484" t="s">
        <v>890</v>
      </c>
      <c r="B80" s="484" t="s">
        <v>891</v>
      </c>
      <c r="C80" s="484" t="s">
        <v>438</v>
      </c>
      <c r="D80" s="484" t="s">
        <v>892</v>
      </c>
      <c r="E80" s="484" t="s">
        <v>893</v>
      </c>
      <c r="F80" s="484" t="s">
        <v>906</v>
      </c>
      <c r="G80" s="484" t="s">
        <v>906</v>
      </c>
      <c r="H80" s="484" t="s">
        <v>1041</v>
      </c>
      <c r="I80" s="484" t="s">
        <v>937</v>
      </c>
      <c r="J80" s="484" t="s">
        <v>1097</v>
      </c>
      <c r="K80" s="484" t="s">
        <v>895</v>
      </c>
      <c r="L80" s="484" t="s">
        <v>896</v>
      </c>
      <c r="M80" s="484" t="s">
        <v>890</v>
      </c>
      <c r="N80" s="484" t="s">
        <v>939</v>
      </c>
      <c r="O80" s="484" t="s">
        <v>924</v>
      </c>
      <c r="P80" s="484" t="s">
        <v>940</v>
      </c>
      <c r="Q80" s="484" t="s">
        <v>941</v>
      </c>
      <c r="R80" s="484" t="s">
        <v>941</v>
      </c>
      <c r="S80" s="484" t="s">
        <v>438</v>
      </c>
      <c r="T80" s="484" t="s">
        <v>942</v>
      </c>
      <c r="U80" s="484" t="s">
        <v>943</v>
      </c>
      <c r="V80" s="484">
        <v>0</v>
      </c>
      <c r="W80" s="484">
        <v>0</v>
      </c>
      <c r="X80" s="484">
        <v>0</v>
      </c>
      <c r="Y80" s="484">
        <v>46382</v>
      </c>
      <c r="Z80" s="484" t="s">
        <v>944</v>
      </c>
      <c r="AA80" s="484" t="s">
        <v>941</v>
      </c>
      <c r="AB80" s="484">
        <v>46382</v>
      </c>
      <c r="AC80" s="484" t="s">
        <v>1043</v>
      </c>
      <c r="AD80" s="484" t="s">
        <v>1044</v>
      </c>
      <c r="AE80" s="484">
        <v>46382</v>
      </c>
      <c r="AF80" s="484" t="s">
        <v>947</v>
      </c>
      <c r="AG80" s="484" t="s">
        <v>902</v>
      </c>
      <c r="AH80" s="484">
        <v>4217</v>
      </c>
      <c r="AI80" s="484">
        <v>42165</v>
      </c>
      <c r="AJ80" s="484" t="s">
        <v>438</v>
      </c>
      <c r="AL80" s="484" t="s">
        <v>1098</v>
      </c>
      <c r="AM80" s="484">
        <v>1</v>
      </c>
      <c r="AN80" s="484">
        <v>0</v>
      </c>
      <c r="AO80" s="484">
        <v>0</v>
      </c>
      <c r="AP80" s="484">
        <v>0</v>
      </c>
      <c r="AQ80" s="484" t="s">
        <v>438</v>
      </c>
      <c r="AS80" s="484" t="s">
        <v>947</v>
      </c>
      <c r="AT80" s="484" t="s">
        <v>902</v>
      </c>
      <c r="AV80" s="508">
        <v>0</v>
      </c>
      <c r="AW80" s="508">
        <v>0</v>
      </c>
      <c r="AX80" s="508">
        <v>0</v>
      </c>
      <c r="AY80" s="508">
        <v>0</v>
      </c>
      <c r="AZ80" s="508">
        <v>0</v>
      </c>
      <c r="BA80" s="508">
        <v>46382</v>
      </c>
      <c r="BB80" s="508">
        <v>46382</v>
      </c>
      <c r="BC80" s="508">
        <v>46382</v>
      </c>
      <c r="BD80" s="508">
        <v>0</v>
      </c>
      <c r="BE80" s="508"/>
      <c r="BF80" s="508">
        <v>0</v>
      </c>
      <c r="BG80" s="508">
        <v>0</v>
      </c>
      <c r="BH80" s="508">
        <v>0</v>
      </c>
      <c r="BI80" s="508">
        <v>0</v>
      </c>
      <c r="BJ80" s="508">
        <v>0</v>
      </c>
      <c r="BK80" s="508">
        <v>42166</v>
      </c>
      <c r="BL80" s="508">
        <v>42166</v>
      </c>
      <c r="BM80" s="508">
        <v>42166</v>
      </c>
      <c r="BN80" s="508"/>
      <c r="BO80" s="508"/>
    </row>
    <row r="81" spans="1:67" s="484" customFormat="1">
      <c r="A81" s="484" t="s">
        <v>890</v>
      </c>
      <c r="B81" s="484" t="s">
        <v>891</v>
      </c>
      <c r="C81" s="484" t="s">
        <v>438</v>
      </c>
      <c r="D81" s="484" t="s">
        <v>892</v>
      </c>
      <c r="E81" s="484" t="s">
        <v>893</v>
      </c>
      <c r="F81" s="484" t="s">
        <v>906</v>
      </c>
      <c r="G81" s="484" t="s">
        <v>906</v>
      </c>
      <c r="H81" s="484" t="s">
        <v>1041</v>
      </c>
      <c r="I81" s="484" t="s">
        <v>937</v>
      </c>
      <c r="J81" s="484" t="s">
        <v>1099</v>
      </c>
      <c r="K81" s="484" t="s">
        <v>895</v>
      </c>
      <c r="L81" s="484" t="s">
        <v>896</v>
      </c>
      <c r="M81" s="484" t="s">
        <v>890</v>
      </c>
      <c r="N81" s="484" t="s">
        <v>939</v>
      </c>
      <c r="O81" s="484" t="s">
        <v>924</v>
      </c>
      <c r="P81" s="484" t="s">
        <v>940</v>
      </c>
      <c r="Q81" s="484" t="s">
        <v>941</v>
      </c>
      <c r="R81" s="484" t="s">
        <v>941</v>
      </c>
      <c r="S81" s="484" t="s">
        <v>438</v>
      </c>
      <c r="T81" s="484" t="s">
        <v>942</v>
      </c>
      <c r="U81" s="484" t="s">
        <v>943</v>
      </c>
      <c r="V81" s="484">
        <v>0</v>
      </c>
      <c r="W81" s="484">
        <v>0</v>
      </c>
      <c r="X81" s="484">
        <v>0</v>
      </c>
      <c r="Y81" s="484">
        <v>146344</v>
      </c>
      <c r="Z81" s="484" t="s">
        <v>944</v>
      </c>
      <c r="AA81" s="484" t="s">
        <v>941</v>
      </c>
      <c r="AB81" s="484">
        <v>146344</v>
      </c>
      <c r="AC81" s="484" t="s">
        <v>1043</v>
      </c>
      <c r="AD81" s="484" t="s">
        <v>1044</v>
      </c>
      <c r="AE81" s="484">
        <v>146344</v>
      </c>
      <c r="AF81" s="484" t="s">
        <v>947</v>
      </c>
      <c r="AG81" s="484" t="s">
        <v>902</v>
      </c>
      <c r="AH81" s="484">
        <v>13300</v>
      </c>
      <c r="AI81" s="484">
        <v>133044</v>
      </c>
      <c r="AJ81" s="484" t="s">
        <v>438</v>
      </c>
      <c r="AL81" s="484" t="s">
        <v>1100</v>
      </c>
      <c r="AM81" s="484">
        <v>1</v>
      </c>
      <c r="AN81" s="484">
        <v>0</v>
      </c>
      <c r="AO81" s="484">
        <v>0</v>
      </c>
      <c r="AP81" s="484">
        <v>0</v>
      </c>
      <c r="AQ81" s="484" t="s">
        <v>438</v>
      </c>
      <c r="AS81" s="484" t="s">
        <v>947</v>
      </c>
      <c r="AT81" s="484" t="s">
        <v>902</v>
      </c>
      <c r="AV81" s="508">
        <v>0</v>
      </c>
      <c r="AW81" s="508">
        <v>0</v>
      </c>
      <c r="AX81" s="508">
        <v>0</v>
      </c>
      <c r="AY81" s="508">
        <v>0</v>
      </c>
      <c r="AZ81" s="508">
        <v>0</v>
      </c>
      <c r="BA81" s="508">
        <v>146344</v>
      </c>
      <c r="BB81" s="508">
        <v>146344</v>
      </c>
      <c r="BC81" s="508">
        <v>146344</v>
      </c>
      <c r="BD81" s="508">
        <v>0</v>
      </c>
      <c r="BE81" s="508"/>
      <c r="BF81" s="508">
        <v>0</v>
      </c>
      <c r="BG81" s="508">
        <v>0</v>
      </c>
      <c r="BH81" s="508">
        <v>0</v>
      </c>
      <c r="BI81" s="508">
        <v>0</v>
      </c>
      <c r="BJ81" s="508">
        <v>0</v>
      </c>
      <c r="BK81" s="508">
        <v>133040</v>
      </c>
      <c r="BL81" s="508">
        <v>133040</v>
      </c>
      <c r="BM81" s="508">
        <v>133040</v>
      </c>
      <c r="BN81" s="508"/>
      <c r="BO81" s="508"/>
    </row>
    <row r="82" spans="1:67" s="484" customFormat="1">
      <c r="A82" s="484" t="s">
        <v>890</v>
      </c>
      <c r="B82" s="484" t="s">
        <v>891</v>
      </c>
      <c r="C82" s="484" t="s">
        <v>438</v>
      </c>
      <c r="D82" s="484" t="s">
        <v>892</v>
      </c>
      <c r="E82" s="484" t="s">
        <v>893</v>
      </c>
      <c r="F82" s="484" t="s">
        <v>1101</v>
      </c>
      <c r="G82" s="484" t="s">
        <v>1101</v>
      </c>
      <c r="H82" s="484" t="s">
        <v>1041</v>
      </c>
      <c r="I82" s="484" t="s">
        <v>937</v>
      </c>
      <c r="J82" s="484" t="s">
        <v>1102</v>
      </c>
      <c r="K82" s="484" t="s">
        <v>895</v>
      </c>
      <c r="L82" s="484" t="s">
        <v>896</v>
      </c>
      <c r="M82" s="484" t="s">
        <v>890</v>
      </c>
      <c r="N82" s="484" t="s">
        <v>939</v>
      </c>
      <c r="O82" s="484" t="s">
        <v>924</v>
      </c>
      <c r="P82" s="484" t="s">
        <v>940</v>
      </c>
      <c r="Q82" s="484" t="s">
        <v>941</v>
      </c>
      <c r="R82" s="484" t="s">
        <v>941</v>
      </c>
      <c r="S82" s="484" t="s">
        <v>438</v>
      </c>
      <c r="T82" s="484" t="s">
        <v>942</v>
      </c>
      <c r="U82" s="484" t="s">
        <v>943</v>
      </c>
      <c r="V82" s="484">
        <v>0</v>
      </c>
      <c r="W82" s="484">
        <v>0</v>
      </c>
      <c r="X82" s="484">
        <v>0</v>
      </c>
      <c r="Y82" s="484">
        <v>44284</v>
      </c>
      <c r="Z82" s="484" t="s">
        <v>944</v>
      </c>
      <c r="AA82" s="484" t="s">
        <v>941</v>
      </c>
      <c r="AB82" s="484">
        <v>44284</v>
      </c>
      <c r="AC82" s="484" t="s">
        <v>1043</v>
      </c>
      <c r="AD82" s="484" t="s">
        <v>1044</v>
      </c>
      <c r="AE82" s="484">
        <v>44284</v>
      </c>
      <c r="AF82" s="484" t="s">
        <v>947</v>
      </c>
      <c r="AG82" s="484" t="s">
        <v>902</v>
      </c>
      <c r="AH82" s="484">
        <v>4026</v>
      </c>
      <c r="AI82" s="484">
        <v>40258</v>
      </c>
      <c r="AJ82" s="484" t="s">
        <v>438</v>
      </c>
      <c r="AL82" s="484" t="s">
        <v>1103</v>
      </c>
      <c r="AM82" s="484">
        <v>1</v>
      </c>
      <c r="AN82" s="484">
        <v>0</v>
      </c>
      <c r="AO82" s="484">
        <v>0</v>
      </c>
      <c r="AP82" s="484">
        <v>0</v>
      </c>
      <c r="AQ82" s="484" t="s">
        <v>438</v>
      </c>
      <c r="AS82" s="484" t="s">
        <v>947</v>
      </c>
      <c r="AT82" s="484" t="s">
        <v>902</v>
      </c>
      <c r="AV82" s="508">
        <v>0</v>
      </c>
      <c r="AW82" s="508">
        <v>0</v>
      </c>
      <c r="AX82" s="508">
        <v>0</v>
      </c>
      <c r="AY82" s="508">
        <v>0</v>
      </c>
      <c r="AZ82" s="508">
        <v>0</v>
      </c>
      <c r="BA82" s="508">
        <v>44284</v>
      </c>
      <c r="BB82" s="508">
        <v>44284</v>
      </c>
      <c r="BC82" s="508">
        <v>44284</v>
      </c>
      <c r="BD82" s="508">
        <v>0</v>
      </c>
      <c r="BE82" s="508"/>
      <c r="BF82" s="508">
        <v>0</v>
      </c>
      <c r="BG82" s="508">
        <v>0</v>
      </c>
      <c r="BH82" s="508">
        <v>0</v>
      </c>
      <c r="BI82" s="508">
        <v>0</v>
      </c>
      <c r="BJ82" s="508">
        <v>0</v>
      </c>
      <c r="BK82" s="508">
        <v>40258</v>
      </c>
      <c r="BL82" s="508">
        <v>40258</v>
      </c>
      <c r="BM82" s="508">
        <v>40258</v>
      </c>
      <c r="BN82" s="508"/>
      <c r="BO82" s="508"/>
    </row>
    <row r="83" spans="1:67" s="484" customFormat="1">
      <c r="A83" s="484" t="s">
        <v>890</v>
      </c>
      <c r="B83" s="484" t="s">
        <v>891</v>
      </c>
      <c r="C83" s="484" t="s">
        <v>438</v>
      </c>
      <c r="D83" s="484" t="s">
        <v>892</v>
      </c>
      <c r="E83" s="484" t="s">
        <v>893</v>
      </c>
      <c r="F83" s="484" t="s">
        <v>1104</v>
      </c>
      <c r="G83" s="484" t="s">
        <v>1104</v>
      </c>
      <c r="H83" s="484" t="s">
        <v>1041</v>
      </c>
      <c r="I83" s="484" t="s">
        <v>937</v>
      </c>
      <c r="J83" s="484" t="s">
        <v>1105</v>
      </c>
      <c r="K83" s="484" t="s">
        <v>895</v>
      </c>
      <c r="L83" s="484" t="s">
        <v>896</v>
      </c>
      <c r="M83" s="484" t="s">
        <v>890</v>
      </c>
      <c r="N83" s="484" t="s">
        <v>939</v>
      </c>
      <c r="O83" s="484" t="s">
        <v>924</v>
      </c>
      <c r="P83" s="484" t="s">
        <v>940</v>
      </c>
      <c r="Q83" s="484" t="s">
        <v>941</v>
      </c>
      <c r="R83" s="484" t="s">
        <v>941</v>
      </c>
      <c r="S83" s="484" t="s">
        <v>438</v>
      </c>
      <c r="T83" s="484" t="s">
        <v>942</v>
      </c>
      <c r="U83" s="484" t="s">
        <v>943</v>
      </c>
      <c r="V83" s="484">
        <v>0</v>
      </c>
      <c r="W83" s="484">
        <v>0</v>
      </c>
      <c r="X83" s="484">
        <v>0</v>
      </c>
      <c r="Y83" s="484">
        <v>10000</v>
      </c>
      <c r="Z83" s="484" t="s">
        <v>944</v>
      </c>
      <c r="AA83" s="484" t="s">
        <v>941</v>
      </c>
      <c r="AB83" s="484">
        <v>10000</v>
      </c>
      <c r="AC83" s="484" t="s">
        <v>1043</v>
      </c>
      <c r="AD83" s="484" t="s">
        <v>1044</v>
      </c>
      <c r="AE83" s="484">
        <v>10000</v>
      </c>
      <c r="AF83" s="484" t="s">
        <v>947</v>
      </c>
      <c r="AG83" s="484" t="s">
        <v>902</v>
      </c>
      <c r="AH83" s="484">
        <v>909</v>
      </c>
      <c r="AI83" s="484">
        <v>9091</v>
      </c>
      <c r="AJ83" s="484" t="s">
        <v>438</v>
      </c>
      <c r="AL83" s="484" t="s">
        <v>1106</v>
      </c>
      <c r="AM83" s="484">
        <v>1</v>
      </c>
      <c r="AN83" s="484">
        <v>0</v>
      </c>
      <c r="AO83" s="484">
        <v>0</v>
      </c>
      <c r="AP83" s="484">
        <v>0</v>
      </c>
      <c r="AQ83" s="484" t="s">
        <v>438</v>
      </c>
      <c r="AS83" s="484" t="s">
        <v>947</v>
      </c>
      <c r="AT83" s="484" t="s">
        <v>902</v>
      </c>
      <c r="AV83" s="508">
        <v>0</v>
      </c>
      <c r="AW83" s="508">
        <v>0</v>
      </c>
      <c r="AX83" s="508">
        <v>0</v>
      </c>
      <c r="AY83" s="508">
        <v>0</v>
      </c>
      <c r="AZ83" s="508">
        <v>0</v>
      </c>
      <c r="BA83" s="508">
        <v>10000</v>
      </c>
      <c r="BB83" s="508">
        <v>10000</v>
      </c>
      <c r="BC83" s="508">
        <v>10000</v>
      </c>
      <c r="BD83" s="508">
        <v>0</v>
      </c>
      <c r="BE83" s="508"/>
      <c r="BF83" s="508">
        <v>0</v>
      </c>
      <c r="BG83" s="508">
        <v>0</v>
      </c>
      <c r="BH83" s="508">
        <v>0</v>
      </c>
      <c r="BI83" s="508">
        <v>0</v>
      </c>
      <c r="BJ83" s="508">
        <v>0</v>
      </c>
      <c r="BK83" s="508">
        <v>9091</v>
      </c>
      <c r="BL83" s="508">
        <v>9091</v>
      </c>
      <c r="BM83" s="508">
        <v>9091</v>
      </c>
      <c r="BN83" s="508"/>
      <c r="BO83" s="508"/>
    </row>
    <row r="84" spans="1:67" s="484" customFormat="1">
      <c r="A84" s="484" t="s">
        <v>890</v>
      </c>
      <c r="B84" s="484" t="s">
        <v>891</v>
      </c>
      <c r="C84" s="484" t="s">
        <v>438</v>
      </c>
      <c r="D84" s="484" t="s">
        <v>892</v>
      </c>
      <c r="E84" s="484" t="s">
        <v>893</v>
      </c>
      <c r="F84" s="484" t="s">
        <v>1107</v>
      </c>
      <c r="G84" s="484" t="s">
        <v>1107</v>
      </c>
      <c r="H84" s="484" t="s">
        <v>1041</v>
      </c>
      <c r="I84" s="484" t="s">
        <v>937</v>
      </c>
      <c r="J84" s="484" t="s">
        <v>1108</v>
      </c>
      <c r="K84" s="484" t="s">
        <v>895</v>
      </c>
      <c r="L84" s="484" t="s">
        <v>896</v>
      </c>
      <c r="M84" s="484" t="s">
        <v>890</v>
      </c>
      <c r="N84" s="484" t="s">
        <v>939</v>
      </c>
      <c r="O84" s="484" t="s">
        <v>924</v>
      </c>
      <c r="P84" s="484" t="s">
        <v>940</v>
      </c>
      <c r="Q84" s="484" t="s">
        <v>941</v>
      </c>
      <c r="R84" s="484" t="s">
        <v>941</v>
      </c>
      <c r="S84" s="484" t="s">
        <v>438</v>
      </c>
      <c r="T84" s="484" t="s">
        <v>942</v>
      </c>
      <c r="U84" s="484" t="s">
        <v>943</v>
      </c>
      <c r="V84" s="484">
        <v>0</v>
      </c>
      <c r="W84" s="484">
        <v>0</v>
      </c>
      <c r="X84" s="484">
        <v>0</v>
      </c>
      <c r="Y84" s="484">
        <v>9421</v>
      </c>
      <c r="Z84" s="484" t="s">
        <v>944</v>
      </c>
      <c r="AA84" s="484" t="s">
        <v>941</v>
      </c>
      <c r="AB84" s="484">
        <v>9421</v>
      </c>
      <c r="AC84" s="484" t="s">
        <v>1043</v>
      </c>
      <c r="AD84" s="484" t="s">
        <v>1044</v>
      </c>
      <c r="AE84" s="484">
        <v>9421</v>
      </c>
      <c r="AF84" s="484" t="s">
        <v>947</v>
      </c>
      <c r="AG84" s="484" t="s">
        <v>902</v>
      </c>
      <c r="AH84" s="484">
        <v>857</v>
      </c>
      <c r="AI84" s="484">
        <v>8564</v>
      </c>
      <c r="AJ84" s="484" t="s">
        <v>438</v>
      </c>
      <c r="AL84" s="484" t="s">
        <v>1109</v>
      </c>
      <c r="AM84" s="484">
        <v>1</v>
      </c>
      <c r="AN84" s="484">
        <v>0</v>
      </c>
      <c r="AO84" s="484">
        <v>0</v>
      </c>
      <c r="AP84" s="484">
        <v>0</v>
      </c>
      <c r="AQ84" s="484" t="s">
        <v>438</v>
      </c>
      <c r="AS84" s="484" t="s">
        <v>947</v>
      </c>
      <c r="AT84" s="484" t="s">
        <v>902</v>
      </c>
      <c r="AV84" s="508">
        <v>0</v>
      </c>
      <c r="AW84" s="508">
        <v>0</v>
      </c>
      <c r="AX84" s="508">
        <v>0</v>
      </c>
      <c r="AY84" s="508">
        <v>0</v>
      </c>
      <c r="AZ84" s="508">
        <v>0</v>
      </c>
      <c r="BA84" s="508">
        <v>9421</v>
      </c>
      <c r="BB84" s="508">
        <v>9421</v>
      </c>
      <c r="BC84" s="508">
        <v>9421</v>
      </c>
      <c r="BD84" s="508">
        <v>0</v>
      </c>
      <c r="BE84" s="508"/>
      <c r="BF84" s="508">
        <v>0</v>
      </c>
      <c r="BG84" s="508">
        <v>0</v>
      </c>
      <c r="BH84" s="508">
        <v>0</v>
      </c>
      <c r="BI84" s="508">
        <v>0</v>
      </c>
      <c r="BJ84" s="508">
        <v>0</v>
      </c>
      <c r="BK84" s="508">
        <v>8565</v>
      </c>
      <c r="BL84" s="508">
        <v>8565</v>
      </c>
      <c r="BM84" s="508">
        <v>8565</v>
      </c>
      <c r="BN84" s="508"/>
      <c r="BO84" s="508"/>
    </row>
    <row r="85" spans="1:67" s="484" customFormat="1">
      <c r="A85" s="484" t="s">
        <v>890</v>
      </c>
      <c r="B85" s="484" t="s">
        <v>891</v>
      </c>
      <c r="C85" s="484" t="s">
        <v>438</v>
      </c>
      <c r="D85" s="484" t="s">
        <v>892</v>
      </c>
      <c r="E85" s="484" t="s">
        <v>893</v>
      </c>
      <c r="F85" s="484" t="s">
        <v>1113</v>
      </c>
      <c r="G85" s="484" t="s">
        <v>1113</v>
      </c>
      <c r="H85" s="484" t="s">
        <v>1041</v>
      </c>
      <c r="I85" s="484" t="s">
        <v>937</v>
      </c>
      <c r="J85" s="484" t="s">
        <v>1114</v>
      </c>
      <c r="K85" s="484" t="s">
        <v>895</v>
      </c>
      <c r="L85" s="484" t="s">
        <v>896</v>
      </c>
      <c r="M85" s="484" t="s">
        <v>890</v>
      </c>
      <c r="N85" s="484" t="s">
        <v>939</v>
      </c>
      <c r="O85" s="484" t="s">
        <v>924</v>
      </c>
      <c r="P85" s="484" t="s">
        <v>940</v>
      </c>
      <c r="Q85" s="484" t="s">
        <v>941</v>
      </c>
      <c r="R85" s="484" t="s">
        <v>941</v>
      </c>
      <c r="S85" s="484" t="s">
        <v>438</v>
      </c>
      <c r="T85" s="484" t="s">
        <v>942</v>
      </c>
      <c r="U85" s="484" t="s">
        <v>943</v>
      </c>
      <c r="V85" s="484">
        <v>0</v>
      </c>
      <c r="W85" s="484">
        <v>0</v>
      </c>
      <c r="X85" s="484">
        <v>0</v>
      </c>
      <c r="Y85" s="484">
        <v>1529</v>
      </c>
      <c r="Z85" s="484" t="s">
        <v>944</v>
      </c>
      <c r="AA85" s="484" t="s">
        <v>941</v>
      </c>
      <c r="AB85" s="484">
        <v>1529</v>
      </c>
      <c r="AC85" s="484" t="s">
        <v>1043</v>
      </c>
      <c r="AD85" s="484" t="s">
        <v>1044</v>
      </c>
      <c r="AE85" s="484">
        <v>1529</v>
      </c>
      <c r="AF85" s="484" t="s">
        <v>933</v>
      </c>
      <c r="AG85" s="484" t="s">
        <v>902</v>
      </c>
      <c r="AH85" s="484">
        <v>139</v>
      </c>
      <c r="AI85" s="484">
        <v>1390</v>
      </c>
      <c r="AJ85" s="484" t="s">
        <v>438</v>
      </c>
      <c r="AL85" s="484" t="s">
        <v>1115</v>
      </c>
      <c r="AM85" s="484">
        <v>2</v>
      </c>
      <c r="AN85" s="484">
        <v>18</v>
      </c>
      <c r="AO85" s="484">
        <v>10</v>
      </c>
      <c r="AP85" s="484">
        <v>0</v>
      </c>
      <c r="AQ85" s="484" t="s">
        <v>438</v>
      </c>
      <c r="AS85" s="484">
        <v>18</v>
      </c>
      <c r="AT85" s="484">
        <v>10</v>
      </c>
      <c r="AV85" s="508">
        <v>0</v>
      </c>
      <c r="AW85" s="508">
        <v>0</v>
      </c>
      <c r="AX85" s="508">
        <v>0</v>
      </c>
      <c r="AY85" s="508">
        <v>0</v>
      </c>
      <c r="AZ85" s="508">
        <v>0</v>
      </c>
      <c r="BA85" s="508">
        <v>1529</v>
      </c>
      <c r="BB85" s="508">
        <v>1529</v>
      </c>
      <c r="BC85" s="508">
        <v>1529</v>
      </c>
      <c r="BD85" s="508">
        <v>0</v>
      </c>
      <c r="BE85" s="508"/>
      <c r="BF85" s="508">
        <v>0</v>
      </c>
      <c r="BG85" s="508">
        <v>0</v>
      </c>
      <c r="BH85" s="508">
        <v>0</v>
      </c>
      <c r="BI85" s="508">
        <v>0</v>
      </c>
      <c r="BJ85" s="508">
        <v>0</v>
      </c>
      <c r="BK85" s="508">
        <v>1390</v>
      </c>
      <c r="BL85" s="508">
        <v>1390</v>
      </c>
      <c r="BM85" s="508">
        <v>1390</v>
      </c>
      <c r="BN85" s="508"/>
      <c r="BO85" s="508"/>
    </row>
    <row r="86" spans="1:67" s="484" customFormat="1">
      <c r="A86" s="484" t="s">
        <v>890</v>
      </c>
      <c r="B86" s="484" t="s">
        <v>891</v>
      </c>
      <c r="C86" s="484" t="s">
        <v>438</v>
      </c>
      <c r="D86" s="484" t="s">
        <v>892</v>
      </c>
      <c r="E86" s="484" t="s">
        <v>893</v>
      </c>
      <c r="F86" s="484" t="s">
        <v>894</v>
      </c>
      <c r="G86" s="484" t="s">
        <v>894</v>
      </c>
      <c r="H86" s="484" t="s">
        <v>1116</v>
      </c>
      <c r="I86" s="484" t="s">
        <v>937</v>
      </c>
      <c r="J86" s="484" t="s">
        <v>1117</v>
      </c>
      <c r="K86" s="484" t="s">
        <v>895</v>
      </c>
      <c r="L86" s="484" t="s">
        <v>896</v>
      </c>
      <c r="M86" s="484" t="s">
        <v>890</v>
      </c>
      <c r="N86" s="484" t="s">
        <v>939</v>
      </c>
      <c r="O86" s="484" t="s">
        <v>924</v>
      </c>
      <c r="P86" s="484" t="s">
        <v>940</v>
      </c>
      <c r="Q86" s="484" t="s">
        <v>941</v>
      </c>
      <c r="R86" s="484" t="s">
        <v>941</v>
      </c>
      <c r="S86" s="484" t="s">
        <v>438</v>
      </c>
      <c r="T86" s="484" t="s">
        <v>942</v>
      </c>
      <c r="U86" s="484" t="s">
        <v>943</v>
      </c>
      <c r="V86" s="484">
        <v>0</v>
      </c>
      <c r="W86" s="484">
        <v>0</v>
      </c>
      <c r="X86" s="484">
        <v>0</v>
      </c>
      <c r="Y86" s="484">
        <v>4690</v>
      </c>
      <c r="Z86" s="484" t="s">
        <v>944</v>
      </c>
      <c r="AA86" s="484" t="s">
        <v>941</v>
      </c>
      <c r="AB86" s="484">
        <v>4690</v>
      </c>
      <c r="AC86" s="484" t="s">
        <v>897</v>
      </c>
      <c r="AD86" s="484" t="s">
        <v>898</v>
      </c>
      <c r="AE86" s="484">
        <v>4690</v>
      </c>
      <c r="AF86" s="484" t="s">
        <v>933</v>
      </c>
      <c r="AG86" s="484" t="s">
        <v>899</v>
      </c>
      <c r="AH86" s="484">
        <v>347</v>
      </c>
      <c r="AI86" s="484">
        <v>4343</v>
      </c>
      <c r="AJ86" s="484" t="s">
        <v>438</v>
      </c>
      <c r="AL86" s="484" t="s">
        <v>1118</v>
      </c>
      <c r="AM86" s="484">
        <v>1</v>
      </c>
      <c r="AN86" s="484">
        <v>0</v>
      </c>
      <c r="AO86" s="484">
        <v>0</v>
      </c>
      <c r="AP86" s="484">
        <v>0</v>
      </c>
      <c r="AQ86" s="484" t="s">
        <v>438</v>
      </c>
      <c r="AS86" s="484" t="s">
        <v>933</v>
      </c>
      <c r="AT86" s="484" t="s">
        <v>899</v>
      </c>
      <c r="AV86" s="508">
        <v>0</v>
      </c>
      <c r="AW86" s="508">
        <v>0</v>
      </c>
      <c r="AX86" s="508">
        <v>0</v>
      </c>
      <c r="AY86" s="508">
        <v>0</v>
      </c>
      <c r="AZ86" s="508">
        <v>0</v>
      </c>
      <c r="BA86" s="508">
        <v>4690</v>
      </c>
      <c r="BB86" s="508">
        <v>4690</v>
      </c>
      <c r="BC86" s="508">
        <v>4690</v>
      </c>
      <c r="BD86" s="508">
        <v>0</v>
      </c>
      <c r="BE86" s="508"/>
      <c r="BF86" s="508">
        <v>0</v>
      </c>
      <c r="BG86" s="508">
        <v>0</v>
      </c>
      <c r="BH86" s="508">
        <v>0</v>
      </c>
      <c r="BI86" s="508">
        <v>0</v>
      </c>
      <c r="BJ86" s="508">
        <v>0</v>
      </c>
      <c r="BK86" s="508">
        <v>4343</v>
      </c>
      <c r="BL86" s="508">
        <v>4343</v>
      </c>
      <c r="BM86" s="508">
        <v>4343</v>
      </c>
      <c r="BN86" s="508"/>
      <c r="BO86" s="508"/>
    </row>
    <row r="87" spans="1:67" s="484" customFormat="1">
      <c r="A87" s="484" t="s">
        <v>890</v>
      </c>
      <c r="B87" s="484" t="s">
        <v>891</v>
      </c>
      <c r="C87" s="484" t="s">
        <v>438</v>
      </c>
      <c r="D87" s="484" t="s">
        <v>892</v>
      </c>
      <c r="E87" s="484" t="s">
        <v>893</v>
      </c>
      <c r="F87" s="484" t="s">
        <v>907</v>
      </c>
      <c r="G87" s="484" t="s">
        <v>907</v>
      </c>
      <c r="H87" s="484" t="s">
        <v>1119</v>
      </c>
      <c r="I87" s="484" t="s">
        <v>937</v>
      </c>
      <c r="J87" s="484" t="s">
        <v>1120</v>
      </c>
      <c r="K87" s="484" t="s">
        <v>895</v>
      </c>
      <c r="L87" s="484" t="s">
        <v>896</v>
      </c>
      <c r="M87" s="484" t="s">
        <v>890</v>
      </c>
      <c r="N87" s="484" t="s">
        <v>939</v>
      </c>
      <c r="O87" s="484" t="s">
        <v>924</v>
      </c>
      <c r="P87" s="484" t="s">
        <v>940</v>
      </c>
      <c r="Q87" s="484" t="s">
        <v>941</v>
      </c>
      <c r="R87" s="484" t="s">
        <v>941</v>
      </c>
      <c r="S87" s="484" t="s">
        <v>438</v>
      </c>
      <c r="T87" s="484" t="s">
        <v>942</v>
      </c>
      <c r="U87" s="484" t="s">
        <v>943</v>
      </c>
      <c r="V87" s="484">
        <v>0</v>
      </c>
      <c r="W87" s="484">
        <v>0</v>
      </c>
      <c r="X87" s="484">
        <v>0</v>
      </c>
      <c r="Y87" s="484">
        <v>1</v>
      </c>
      <c r="Z87" s="484" t="s">
        <v>944</v>
      </c>
      <c r="AA87" s="484" t="s">
        <v>941</v>
      </c>
      <c r="AB87" s="484">
        <v>1</v>
      </c>
      <c r="AC87" s="484" t="s">
        <v>904</v>
      </c>
      <c r="AD87" s="484" t="s">
        <v>905</v>
      </c>
      <c r="AE87" s="484">
        <v>1</v>
      </c>
      <c r="AF87" s="484" t="s">
        <v>947</v>
      </c>
      <c r="AG87" s="484" t="s">
        <v>902</v>
      </c>
      <c r="AH87" s="484">
        <v>0</v>
      </c>
      <c r="AI87" s="484">
        <v>1</v>
      </c>
      <c r="AJ87" s="484" t="s">
        <v>438</v>
      </c>
      <c r="AL87" s="484" t="s">
        <v>1121</v>
      </c>
      <c r="AM87" s="484">
        <v>1</v>
      </c>
      <c r="AN87" s="484">
        <v>0</v>
      </c>
      <c r="AO87" s="484">
        <v>0</v>
      </c>
      <c r="AP87" s="484">
        <v>0</v>
      </c>
      <c r="AQ87" s="484" t="s">
        <v>438</v>
      </c>
      <c r="AS87" s="484" t="s">
        <v>947</v>
      </c>
      <c r="AT87" s="484" t="s">
        <v>902</v>
      </c>
      <c r="AV87" s="508">
        <v>0</v>
      </c>
      <c r="AW87" s="508">
        <v>0</v>
      </c>
      <c r="AX87" s="508">
        <v>0</v>
      </c>
      <c r="AY87" s="508">
        <v>0</v>
      </c>
      <c r="AZ87" s="508">
        <v>0</v>
      </c>
      <c r="BA87" s="508">
        <v>1</v>
      </c>
      <c r="BB87" s="508">
        <v>1</v>
      </c>
      <c r="BC87" s="508">
        <v>1</v>
      </c>
      <c r="BD87" s="508">
        <v>0</v>
      </c>
      <c r="BE87" s="508"/>
      <c r="BF87" s="508">
        <v>0</v>
      </c>
      <c r="BG87" s="508">
        <v>0</v>
      </c>
      <c r="BH87" s="508">
        <v>0</v>
      </c>
      <c r="BI87" s="508">
        <v>0</v>
      </c>
      <c r="BJ87" s="508">
        <v>0</v>
      </c>
      <c r="BK87" s="508">
        <v>1</v>
      </c>
      <c r="BL87" s="508">
        <v>1</v>
      </c>
      <c r="BM87" s="508">
        <v>1</v>
      </c>
      <c r="BN87" s="508"/>
      <c r="BO87" s="508"/>
    </row>
    <row r="88" spans="1:67" s="484" customFormat="1">
      <c r="A88" s="484" t="s">
        <v>890</v>
      </c>
      <c r="B88" s="484" t="s">
        <v>891</v>
      </c>
      <c r="C88" s="484" t="s">
        <v>438</v>
      </c>
      <c r="D88" s="484" t="s">
        <v>892</v>
      </c>
      <c r="E88" s="484" t="s">
        <v>893</v>
      </c>
      <c r="F88" s="484" t="s">
        <v>900</v>
      </c>
      <c r="G88" s="484" t="s">
        <v>900</v>
      </c>
      <c r="H88" s="484" t="s">
        <v>1122</v>
      </c>
      <c r="I88" s="484" t="s">
        <v>937</v>
      </c>
      <c r="J88" s="484" t="s">
        <v>1123</v>
      </c>
      <c r="K88" s="484" t="s">
        <v>895</v>
      </c>
      <c r="L88" s="484" t="s">
        <v>896</v>
      </c>
      <c r="M88" s="484" t="s">
        <v>890</v>
      </c>
      <c r="N88" s="484" t="s">
        <v>939</v>
      </c>
      <c r="O88" s="484" t="s">
        <v>924</v>
      </c>
      <c r="P88" s="484" t="s">
        <v>940</v>
      </c>
      <c r="Q88" s="484" t="s">
        <v>941</v>
      </c>
      <c r="R88" s="484" t="s">
        <v>941</v>
      </c>
      <c r="S88" s="484" t="s">
        <v>438</v>
      </c>
      <c r="T88" s="484" t="s">
        <v>942</v>
      </c>
      <c r="U88" s="484" t="s">
        <v>943</v>
      </c>
      <c r="V88" s="484">
        <v>0</v>
      </c>
      <c r="W88" s="484">
        <v>0</v>
      </c>
      <c r="X88" s="484">
        <v>0</v>
      </c>
      <c r="Y88" s="484">
        <v>10672</v>
      </c>
      <c r="Z88" s="484" t="s">
        <v>944</v>
      </c>
      <c r="AA88" s="484" t="s">
        <v>941</v>
      </c>
      <c r="AB88" s="484">
        <v>10672</v>
      </c>
      <c r="AC88" s="484" t="s">
        <v>904</v>
      </c>
      <c r="AD88" s="484" t="s">
        <v>905</v>
      </c>
      <c r="AE88" s="484">
        <v>10672</v>
      </c>
      <c r="AF88" s="484" t="s">
        <v>933</v>
      </c>
      <c r="AG88" s="484" t="s">
        <v>902</v>
      </c>
      <c r="AH88" s="484">
        <v>970</v>
      </c>
      <c r="AI88" s="484">
        <v>9702</v>
      </c>
      <c r="AJ88" s="484" t="s">
        <v>438</v>
      </c>
      <c r="AL88" s="484" t="s">
        <v>1124</v>
      </c>
      <c r="AM88" s="484">
        <v>2</v>
      </c>
      <c r="AN88" s="484">
        <v>18</v>
      </c>
      <c r="AO88" s="484">
        <v>10</v>
      </c>
      <c r="AP88" s="484">
        <v>0</v>
      </c>
      <c r="AQ88" s="484" t="s">
        <v>438</v>
      </c>
      <c r="AS88" s="484">
        <v>18</v>
      </c>
      <c r="AT88" s="484">
        <v>10</v>
      </c>
      <c r="AV88" s="508">
        <v>0</v>
      </c>
      <c r="AW88" s="508">
        <v>0</v>
      </c>
      <c r="AX88" s="508">
        <v>0</v>
      </c>
      <c r="AY88" s="508">
        <v>0</v>
      </c>
      <c r="AZ88" s="508">
        <v>0</v>
      </c>
      <c r="BA88" s="508">
        <v>10672</v>
      </c>
      <c r="BB88" s="508">
        <v>10672</v>
      </c>
      <c r="BC88" s="508">
        <v>10672</v>
      </c>
      <c r="BD88" s="508">
        <v>0</v>
      </c>
      <c r="BE88" s="508"/>
      <c r="BF88" s="508">
        <v>0</v>
      </c>
      <c r="BG88" s="508">
        <v>0</v>
      </c>
      <c r="BH88" s="508">
        <v>0</v>
      </c>
      <c r="BI88" s="508">
        <v>0</v>
      </c>
      <c r="BJ88" s="508">
        <v>0</v>
      </c>
      <c r="BK88" s="508">
        <v>9702</v>
      </c>
      <c r="BL88" s="508">
        <v>9702</v>
      </c>
      <c r="BM88" s="508">
        <v>9702</v>
      </c>
      <c r="BN88" s="508"/>
      <c r="BO88" s="508"/>
    </row>
    <row r="89" spans="1:67" s="484" customFormat="1">
      <c r="A89" s="484" t="s">
        <v>890</v>
      </c>
      <c r="B89" s="484" t="s">
        <v>891</v>
      </c>
      <c r="C89" s="484" t="s">
        <v>438</v>
      </c>
      <c r="D89" s="484" t="s">
        <v>892</v>
      </c>
      <c r="E89" s="484" t="s">
        <v>893</v>
      </c>
      <c r="F89" s="484" t="s">
        <v>913</v>
      </c>
      <c r="G89" s="484" t="s">
        <v>913</v>
      </c>
      <c r="H89" s="484" t="s">
        <v>1122</v>
      </c>
      <c r="I89" s="484" t="s">
        <v>937</v>
      </c>
      <c r="J89" s="484" t="s">
        <v>1125</v>
      </c>
      <c r="K89" s="484" t="s">
        <v>895</v>
      </c>
      <c r="L89" s="484" t="s">
        <v>896</v>
      </c>
      <c r="M89" s="484" t="s">
        <v>890</v>
      </c>
      <c r="N89" s="484" t="s">
        <v>939</v>
      </c>
      <c r="O89" s="484" t="s">
        <v>924</v>
      </c>
      <c r="P89" s="484" t="s">
        <v>940</v>
      </c>
      <c r="Q89" s="484" t="s">
        <v>941</v>
      </c>
      <c r="R89" s="484" t="s">
        <v>941</v>
      </c>
      <c r="S89" s="484" t="s">
        <v>438</v>
      </c>
      <c r="T89" s="484" t="s">
        <v>942</v>
      </c>
      <c r="U89" s="484" t="s">
        <v>943</v>
      </c>
      <c r="V89" s="484">
        <v>0</v>
      </c>
      <c r="W89" s="484">
        <v>0</v>
      </c>
      <c r="X89" s="484">
        <v>0</v>
      </c>
      <c r="Y89" s="484">
        <v>2057</v>
      </c>
      <c r="Z89" s="484" t="s">
        <v>944</v>
      </c>
      <c r="AA89" s="484" t="s">
        <v>941</v>
      </c>
      <c r="AB89" s="484">
        <v>2057</v>
      </c>
      <c r="AC89" s="484" t="s">
        <v>904</v>
      </c>
      <c r="AD89" s="484" t="s">
        <v>905</v>
      </c>
      <c r="AE89" s="484">
        <v>2057</v>
      </c>
      <c r="AF89" s="484" t="s">
        <v>947</v>
      </c>
      <c r="AG89" s="484" t="s">
        <v>902</v>
      </c>
      <c r="AH89" s="484">
        <v>187</v>
      </c>
      <c r="AI89" s="484">
        <v>1870</v>
      </c>
      <c r="AJ89" s="484" t="s">
        <v>438</v>
      </c>
      <c r="AL89" s="484" t="s">
        <v>1126</v>
      </c>
      <c r="AM89" s="484">
        <v>1</v>
      </c>
      <c r="AN89" s="484">
        <v>0</v>
      </c>
      <c r="AO89" s="484">
        <v>0</v>
      </c>
      <c r="AP89" s="484">
        <v>0</v>
      </c>
      <c r="AQ89" s="484" t="s">
        <v>438</v>
      </c>
      <c r="AS89" s="484" t="s">
        <v>947</v>
      </c>
      <c r="AT89" s="484" t="s">
        <v>902</v>
      </c>
      <c r="AV89" s="508">
        <v>0</v>
      </c>
      <c r="AW89" s="508">
        <v>0</v>
      </c>
      <c r="AX89" s="508">
        <v>0</v>
      </c>
      <c r="AY89" s="508">
        <v>0</v>
      </c>
      <c r="AZ89" s="508">
        <v>0</v>
      </c>
      <c r="BA89" s="508">
        <v>2057</v>
      </c>
      <c r="BB89" s="508">
        <v>2057</v>
      </c>
      <c r="BC89" s="508">
        <v>2057</v>
      </c>
      <c r="BD89" s="508">
        <v>0</v>
      </c>
      <c r="BE89" s="508"/>
      <c r="BF89" s="508">
        <v>0</v>
      </c>
      <c r="BG89" s="508">
        <v>0</v>
      </c>
      <c r="BH89" s="508">
        <v>0</v>
      </c>
      <c r="BI89" s="508">
        <v>0</v>
      </c>
      <c r="BJ89" s="508">
        <v>0</v>
      </c>
      <c r="BK89" s="508">
        <v>1870</v>
      </c>
      <c r="BL89" s="508">
        <v>1870</v>
      </c>
      <c r="BM89" s="508">
        <v>1870</v>
      </c>
      <c r="BN89" s="508"/>
      <c r="BO89" s="508"/>
    </row>
    <row r="90" spans="1:67" s="484" customFormat="1">
      <c r="A90" s="484" t="s">
        <v>890</v>
      </c>
      <c r="B90" s="484" t="s">
        <v>891</v>
      </c>
      <c r="C90" s="484" t="s">
        <v>438</v>
      </c>
      <c r="D90" s="484" t="s">
        <v>892</v>
      </c>
      <c r="E90" s="484" t="s">
        <v>893</v>
      </c>
      <c r="F90" s="484" t="s">
        <v>906</v>
      </c>
      <c r="G90" s="484" t="s">
        <v>906</v>
      </c>
      <c r="H90" s="484" t="s">
        <v>1122</v>
      </c>
      <c r="I90" s="484" t="s">
        <v>937</v>
      </c>
      <c r="J90" s="484" t="s">
        <v>1127</v>
      </c>
      <c r="K90" s="484" t="s">
        <v>895</v>
      </c>
      <c r="L90" s="484" t="s">
        <v>896</v>
      </c>
      <c r="M90" s="484" t="s">
        <v>890</v>
      </c>
      <c r="N90" s="484" t="s">
        <v>939</v>
      </c>
      <c r="O90" s="484" t="s">
        <v>924</v>
      </c>
      <c r="P90" s="484" t="s">
        <v>940</v>
      </c>
      <c r="Q90" s="484" t="s">
        <v>941</v>
      </c>
      <c r="R90" s="484" t="s">
        <v>941</v>
      </c>
      <c r="S90" s="484" t="s">
        <v>438</v>
      </c>
      <c r="T90" s="484" t="s">
        <v>942</v>
      </c>
      <c r="U90" s="484" t="s">
        <v>943</v>
      </c>
      <c r="V90" s="484">
        <v>0</v>
      </c>
      <c r="W90" s="484">
        <v>0</v>
      </c>
      <c r="X90" s="484">
        <v>0</v>
      </c>
      <c r="Y90" s="484">
        <v>1529</v>
      </c>
      <c r="Z90" s="484" t="s">
        <v>944</v>
      </c>
      <c r="AA90" s="484" t="s">
        <v>941</v>
      </c>
      <c r="AB90" s="484">
        <v>1529</v>
      </c>
      <c r="AC90" s="484" t="s">
        <v>904</v>
      </c>
      <c r="AD90" s="484" t="s">
        <v>905</v>
      </c>
      <c r="AE90" s="484">
        <v>1529</v>
      </c>
      <c r="AF90" s="484" t="s">
        <v>947</v>
      </c>
      <c r="AG90" s="484" t="s">
        <v>902</v>
      </c>
      <c r="AH90" s="484">
        <v>139</v>
      </c>
      <c r="AI90" s="484">
        <v>1390</v>
      </c>
      <c r="AJ90" s="484" t="s">
        <v>438</v>
      </c>
      <c r="AL90" s="484" t="s">
        <v>1128</v>
      </c>
      <c r="AM90" s="484">
        <v>1</v>
      </c>
      <c r="AN90" s="484">
        <v>0</v>
      </c>
      <c r="AO90" s="484">
        <v>0</v>
      </c>
      <c r="AP90" s="484">
        <v>0</v>
      </c>
      <c r="AQ90" s="484" t="s">
        <v>438</v>
      </c>
      <c r="AS90" s="484" t="s">
        <v>947</v>
      </c>
      <c r="AT90" s="484" t="s">
        <v>902</v>
      </c>
      <c r="AV90" s="508">
        <v>0</v>
      </c>
      <c r="AW90" s="508">
        <v>0</v>
      </c>
      <c r="AX90" s="508">
        <v>0</v>
      </c>
      <c r="AY90" s="508">
        <v>0</v>
      </c>
      <c r="AZ90" s="508">
        <v>0</v>
      </c>
      <c r="BA90" s="508">
        <v>1529</v>
      </c>
      <c r="BB90" s="508">
        <v>1529</v>
      </c>
      <c r="BC90" s="508">
        <v>1529</v>
      </c>
      <c r="BD90" s="508">
        <v>0</v>
      </c>
      <c r="BE90" s="508"/>
      <c r="BF90" s="508">
        <v>0</v>
      </c>
      <c r="BG90" s="508">
        <v>0</v>
      </c>
      <c r="BH90" s="508">
        <v>0</v>
      </c>
      <c r="BI90" s="508">
        <v>0</v>
      </c>
      <c r="BJ90" s="508">
        <v>0</v>
      </c>
      <c r="BK90" s="508">
        <v>1390</v>
      </c>
      <c r="BL90" s="508">
        <v>1390</v>
      </c>
      <c r="BM90" s="508">
        <v>1390</v>
      </c>
      <c r="BN90" s="508"/>
      <c r="BO90" s="508"/>
    </row>
    <row r="91" spans="1:67" s="484" customFormat="1">
      <c r="A91" s="484" t="s">
        <v>890</v>
      </c>
      <c r="B91" s="484" t="s">
        <v>891</v>
      </c>
      <c r="C91" s="484" t="s">
        <v>438</v>
      </c>
      <c r="D91" s="484" t="s">
        <v>892</v>
      </c>
      <c r="E91" s="484" t="s">
        <v>893</v>
      </c>
      <c r="F91" s="484" t="s">
        <v>903</v>
      </c>
      <c r="G91" s="484" t="s">
        <v>903</v>
      </c>
      <c r="H91" s="484" t="s">
        <v>1129</v>
      </c>
      <c r="I91" s="484" t="s">
        <v>937</v>
      </c>
      <c r="J91" s="484" t="s">
        <v>1130</v>
      </c>
      <c r="K91" s="484" t="s">
        <v>895</v>
      </c>
      <c r="L91" s="484" t="s">
        <v>896</v>
      </c>
      <c r="M91" s="484" t="s">
        <v>890</v>
      </c>
      <c r="N91" s="484" t="s">
        <v>939</v>
      </c>
      <c r="O91" s="484" t="s">
        <v>924</v>
      </c>
      <c r="P91" s="484" t="s">
        <v>940</v>
      </c>
      <c r="Q91" s="484" t="s">
        <v>941</v>
      </c>
      <c r="R91" s="484" t="s">
        <v>941</v>
      </c>
      <c r="S91" s="484" t="s">
        <v>438</v>
      </c>
      <c r="T91" s="484" t="s">
        <v>942</v>
      </c>
      <c r="U91" s="484" t="s">
        <v>943</v>
      </c>
      <c r="V91" s="484">
        <v>0</v>
      </c>
      <c r="W91" s="484">
        <v>0</v>
      </c>
      <c r="X91" s="484">
        <v>0</v>
      </c>
      <c r="Y91" s="484">
        <v>3822</v>
      </c>
      <c r="Z91" s="484" t="s">
        <v>944</v>
      </c>
      <c r="AA91" s="484" t="s">
        <v>941</v>
      </c>
      <c r="AB91" s="484">
        <v>3822</v>
      </c>
      <c r="AC91" s="484" t="s">
        <v>904</v>
      </c>
      <c r="AD91" s="484" t="s">
        <v>905</v>
      </c>
      <c r="AE91" s="484">
        <v>3822</v>
      </c>
      <c r="AF91" s="484" t="s">
        <v>947</v>
      </c>
      <c r="AG91" s="484" t="s">
        <v>902</v>
      </c>
      <c r="AH91" s="484">
        <v>347</v>
      </c>
      <c r="AI91" s="484">
        <v>3475</v>
      </c>
      <c r="AJ91" s="484" t="s">
        <v>438</v>
      </c>
      <c r="AL91" s="484" t="s">
        <v>1131</v>
      </c>
      <c r="AM91" s="484">
        <v>1</v>
      </c>
      <c r="AN91" s="484">
        <v>0</v>
      </c>
      <c r="AO91" s="484">
        <v>0</v>
      </c>
      <c r="AP91" s="484">
        <v>0</v>
      </c>
      <c r="AQ91" s="484" t="s">
        <v>438</v>
      </c>
      <c r="AS91" s="484" t="s">
        <v>947</v>
      </c>
      <c r="AT91" s="484" t="s">
        <v>902</v>
      </c>
      <c r="AV91" s="508">
        <v>0</v>
      </c>
      <c r="AW91" s="508">
        <v>0</v>
      </c>
      <c r="AX91" s="508">
        <v>0</v>
      </c>
      <c r="AY91" s="508">
        <v>0</v>
      </c>
      <c r="AZ91" s="508">
        <v>0</v>
      </c>
      <c r="BA91" s="508">
        <v>3822</v>
      </c>
      <c r="BB91" s="508">
        <v>3822</v>
      </c>
      <c r="BC91" s="508">
        <v>3822</v>
      </c>
      <c r="BD91" s="508">
        <v>0</v>
      </c>
      <c r="BE91" s="508"/>
      <c r="BF91" s="508">
        <v>0</v>
      </c>
      <c r="BG91" s="508">
        <v>0</v>
      </c>
      <c r="BH91" s="508">
        <v>0</v>
      </c>
      <c r="BI91" s="508">
        <v>0</v>
      </c>
      <c r="BJ91" s="508">
        <v>0</v>
      </c>
      <c r="BK91" s="508">
        <v>3475</v>
      </c>
      <c r="BL91" s="508">
        <v>3475</v>
      </c>
      <c r="BM91" s="508">
        <v>3475</v>
      </c>
      <c r="BN91" s="508"/>
      <c r="BO91" s="508"/>
    </row>
    <row r="92" spans="1:67" s="484" customFormat="1">
      <c r="A92" s="484" t="s">
        <v>890</v>
      </c>
      <c r="B92" s="484" t="s">
        <v>891</v>
      </c>
      <c r="C92" s="484" t="s">
        <v>438</v>
      </c>
      <c r="D92" s="484" t="s">
        <v>892</v>
      </c>
      <c r="E92" s="484" t="s">
        <v>893</v>
      </c>
      <c r="F92" s="484" t="s">
        <v>894</v>
      </c>
      <c r="G92" s="484" t="s">
        <v>894</v>
      </c>
      <c r="H92" s="484" t="s">
        <v>1132</v>
      </c>
      <c r="I92" s="484" t="s">
        <v>937</v>
      </c>
      <c r="J92" s="484" t="s">
        <v>1133</v>
      </c>
      <c r="K92" s="484" t="s">
        <v>895</v>
      </c>
      <c r="L92" s="484" t="s">
        <v>896</v>
      </c>
      <c r="M92" s="484" t="s">
        <v>890</v>
      </c>
      <c r="N92" s="484" t="s">
        <v>939</v>
      </c>
      <c r="O92" s="484" t="s">
        <v>924</v>
      </c>
      <c r="P92" s="484" t="s">
        <v>940</v>
      </c>
      <c r="Q92" s="484" t="s">
        <v>941</v>
      </c>
      <c r="R92" s="484" t="s">
        <v>941</v>
      </c>
      <c r="S92" s="484" t="s">
        <v>438</v>
      </c>
      <c r="T92" s="484" t="s">
        <v>942</v>
      </c>
      <c r="U92" s="484" t="s">
        <v>943</v>
      </c>
      <c r="V92" s="484">
        <v>0</v>
      </c>
      <c r="W92" s="484">
        <v>0</v>
      </c>
      <c r="X92" s="484">
        <v>0</v>
      </c>
      <c r="Y92" s="484">
        <v>3058</v>
      </c>
      <c r="Z92" s="484" t="s">
        <v>944</v>
      </c>
      <c r="AA92" s="484" t="s">
        <v>941</v>
      </c>
      <c r="AB92" s="484">
        <v>3058</v>
      </c>
      <c r="AC92" s="484" t="s">
        <v>909</v>
      </c>
      <c r="AD92" s="484" t="s">
        <v>910</v>
      </c>
      <c r="AE92" s="484">
        <v>3058</v>
      </c>
      <c r="AF92" s="484" t="s">
        <v>947</v>
      </c>
      <c r="AG92" s="484" t="s">
        <v>902</v>
      </c>
      <c r="AH92" s="484">
        <v>278</v>
      </c>
      <c r="AI92" s="484">
        <v>2780</v>
      </c>
      <c r="AJ92" s="484" t="s">
        <v>438</v>
      </c>
      <c r="AL92" s="484" t="s">
        <v>1134</v>
      </c>
      <c r="AM92" s="484">
        <v>1</v>
      </c>
      <c r="AN92" s="484">
        <v>0</v>
      </c>
      <c r="AO92" s="484">
        <v>0</v>
      </c>
      <c r="AP92" s="484">
        <v>0</v>
      </c>
      <c r="AQ92" s="484" t="s">
        <v>438</v>
      </c>
      <c r="AS92" s="484" t="s">
        <v>947</v>
      </c>
      <c r="AT92" s="484" t="s">
        <v>902</v>
      </c>
      <c r="AV92" s="508">
        <v>0</v>
      </c>
      <c r="AW92" s="508">
        <v>0</v>
      </c>
      <c r="AX92" s="508">
        <v>0</v>
      </c>
      <c r="AY92" s="508">
        <v>0</v>
      </c>
      <c r="AZ92" s="508">
        <v>0</v>
      </c>
      <c r="BA92" s="508">
        <v>3058</v>
      </c>
      <c r="BB92" s="508">
        <v>3058</v>
      </c>
      <c r="BC92" s="508">
        <v>3058</v>
      </c>
      <c r="BD92" s="508">
        <v>0</v>
      </c>
      <c r="BE92" s="508"/>
      <c r="BF92" s="508">
        <v>0</v>
      </c>
      <c r="BG92" s="508">
        <v>0</v>
      </c>
      <c r="BH92" s="508">
        <v>0</v>
      </c>
      <c r="BI92" s="508">
        <v>0</v>
      </c>
      <c r="BJ92" s="508">
        <v>0</v>
      </c>
      <c r="BK92" s="508">
        <v>2780</v>
      </c>
      <c r="BL92" s="508">
        <v>2780</v>
      </c>
      <c r="BM92" s="508">
        <v>2780</v>
      </c>
      <c r="BN92" s="508"/>
      <c r="BO92" s="508"/>
    </row>
    <row r="93" spans="1:67" s="484" customFormat="1">
      <c r="A93" s="484" t="s">
        <v>890</v>
      </c>
      <c r="B93" s="484" t="s">
        <v>891</v>
      </c>
      <c r="C93" s="484" t="s">
        <v>438</v>
      </c>
      <c r="D93" s="484" t="s">
        <v>892</v>
      </c>
      <c r="E93" s="484" t="s">
        <v>893</v>
      </c>
      <c r="F93" s="484" t="s">
        <v>916</v>
      </c>
      <c r="G93" s="484" t="s">
        <v>916</v>
      </c>
      <c r="H93" s="484" t="s">
        <v>1135</v>
      </c>
      <c r="I93" s="484" t="s">
        <v>937</v>
      </c>
      <c r="J93" s="484" t="s">
        <v>1136</v>
      </c>
      <c r="K93" s="484" t="s">
        <v>895</v>
      </c>
      <c r="L93" s="484" t="s">
        <v>896</v>
      </c>
      <c r="M93" s="484" t="s">
        <v>890</v>
      </c>
      <c r="N93" s="484" t="s">
        <v>939</v>
      </c>
      <c r="O93" s="484" t="s">
        <v>924</v>
      </c>
      <c r="P93" s="484" t="s">
        <v>940</v>
      </c>
      <c r="Q93" s="484" t="s">
        <v>941</v>
      </c>
      <c r="R93" s="484" t="s">
        <v>941</v>
      </c>
      <c r="S93" s="484" t="s">
        <v>438</v>
      </c>
      <c r="T93" s="484" t="s">
        <v>942</v>
      </c>
      <c r="U93" s="484" t="s">
        <v>943</v>
      </c>
      <c r="V93" s="484">
        <v>0</v>
      </c>
      <c r="W93" s="484">
        <v>0</v>
      </c>
      <c r="X93" s="484">
        <v>0</v>
      </c>
      <c r="Y93" s="484">
        <v>377391</v>
      </c>
      <c r="Z93" s="484" t="s">
        <v>944</v>
      </c>
      <c r="AA93" s="484" t="s">
        <v>941</v>
      </c>
      <c r="AB93" s="484">
        <v>377391</v>
      </c>
      <c r="AC93" s="484" t="s">
        <v>911</v>
      </c>
      <c r="AD93" s="484" t="s">
        <v>912</v>
      </c>
      <c r="AE93" s="484">
        <v>377391</v>
      </c>
      <c r="AF93" s="484" t="s">
        <v>947</v>
      </c>
      <c r="AG93" s="484" t="s">
        <v>902</v>
      </c>
      <c r="AH93" s="484">
        <v>34302</v>
      </c>
      <c r="AI93" s="484">
        <v>343089</v>
      </c>
      <c r="AJ93" s="484" t="s">
        <v>438</v>
      </c>
      <c r="AL93" s="484" t="s">
        <v>1137</v>
      </c>
      <c r="AM93" s="484">
        <v>1</v>
      </c>
      <c r="AN93" s="484">
        <v>0</v>
      </c>
      <c r="AO93" s="484">
        <v>0</v>
      </c>
      <c r="AP93" s="484">
        <v>0</v>
      </c>
      <c r="AQ93" s="484" t="s">
        <v>438</v>
      </c>
      <c r="AS93" s="484" t="s">
        <v>947</v>
      </c>
      <c r="AT93" s="484" t="s">
        <v>902</v>
      </c>
      <c r="AV93" s="508">
        <v>0</v>
      </c>
      <c r="AW93" s="508">
        <v>0</v>
      </c>
      <c r="AX93" s="508">
        <v>0</v>
      </c>
      <c r="AY93" s="508">
        <v>0</v>
      </c>
      <c r="AZ93" s="508">
        <v>0</v>
      </c>
      <c r="BA93" s="508">
        <v>377391</v>
      </c>
      <c r="BB93" s="508">
        <v>377391</v>
      </c>
      <c r="BC93" s="508">
        <v>377391</v>
      </c>
      <c r="BD93" s="508">
        <v>0</v>
      </c>
      <c r="BE93" s="508"/>
      <c r="BF93" s="508">
        <v>0</v>
      </c>
      <c r="BG93" s="508">
        <v>0</v>
      </c>
      <c r="BH93" s="508">
        <v>0</v>
      </c>
      <c r="BI93" s="508">
        <v>0</v>
      </c>
      <c r="BJ93" s="508">
        <v>0</v>
      </c>
      <c r="BK93" s="508">
        <v>343083</v>
      </c>
      <c r="BL93" s="508">
        <v>343083</v>
      </c>
      <c r="BM93" s="508">
        <v>343083</v>
      </c>
      <c r="BN93" s="508"/>
      <c r="BO93" s="508"/>
    </row>
    <row r="94" spans="1:67" s="484" customFormat="1">
      <c r="A94" s="484" t="s">
        <v>890</v>
      </c>
      <c r="B94" s="484" t="s">
        <v>891</v>
      </c>
      <c r="C94" s="484" t="s">
        <v>438</v>
      </c>
      <c r="D94" s="484" t="s">
        <v>892</v>
      </c>
      <c r="E94" s="484" t="s">
        <v>893</v>
      </c>
      <c r="F94" s="484" t="s">
        <v>915</v>
      </c>
      <c r="G94" s="484" t="s">
        <v>915</v>
      </c>
      <c r="H94" s="484" t="s">
        <v>1138</v>
      </c>
      <c r="I94" s="484" t="s">
        <v>937</v>
      </c>
      <c r="J94" s="484" t="s">
        <v>1139</v>
      </c>
      <c r="K94" s="484" t="s">
        <v>895</v>
      </c>
      <c r="L94" s="484" t="s">
        <v>896</v>
      </c>
      <c r="M94" s="484" t="s">
        <v>890</v>
      </c>
      <c r="N94" s="484" t="s">
        <v>939</v>
      </c>
      <c r="O94" s="484" t="s">
        <v>924</v>
      </c>
      <c r="P94" s="484" t="s">
        <v>940</v>
      </c>
      <c r="Q94" s="484" t="s">
        <v>941</v>
      </c>
      <c r="R94" s="484" t="s">
        <v>941</v>
      </c>
      <c r="S94" s="484" t="s">
        <v>438</v>
      </c>
      <c r="T94" s="484" t="s">
        <v>942</v>
      </c>
      <c r="U94" s="484" t="s">
        <v>943</v>
      </c>
      <c r="V94" s="484">
        <v>0</v>
      </c>
      <c r="W94" s="484">
        <v>0</v>
      </c>
      <c r="X94" s="484">
        <v>0</v>
      </c>
      <c r="Y94" s="484">
        <v>660527</v>
      </c>
      <c r="Z94" s="484" t="s">
        <v>944</v>
      </c>
      <c r="AA94" s="484" t="s">
        <v>941</v>
      </c>
      <c r="AB94" s="484">
        <v>660527</v>
      </c>
      <c r="AC94" s="484" t="s">
        <v>911</v>
      </c>
      <c r="AD94" s="484" t="s">
        <v>912</v>
      </c>
      <c r="AE94" s="484">
        <v>660527</v>
      </c>
      <c r="AF94" s="484" t="s">
        <v>947</v>
      </c>
      <c r="AG94" s="484" t="s">
        <v>902</v>
      </c>
      <c r="AH94" s="484">
        <v>60038</v>
      </c>
      <c r="AI94" s="484">
        <v>600489</v>
      </c>
      <c r="AJ94" s="484" t="s">
        <v>438</v>
      </c>
      <c r="AL94" s="484" t="s">
        <v>1140</v>
      </c>
      <c r="AM94" s="484">
        <v>1</v>
      </c>
      <c r="AN94" s="484">
        <v>0</v>
      </c>
      <c r="AO94" s="484">
        <v>0</v>
      </c>
      <c r="AP94" s="484">
        <v>0</v>
      </c>
      <c r="AQ94" s="484" t="s">
        <v>438</v>
      </c>
      <c r="AS94" s="484" t="s">
        <v>947</v>
      </c>
      <c r="AT94" s="484" t="s">
        <v>902</v>
      </c>
      <c r="AV94" s="508">
        <v>0</v>
      </c>
      <c r="AW94" s="508">
        <v>0</v>
      </c>
      <c r="AX94" s="508">
        <v>0</v>
      </c>
      <c r="AY94" s="508">
        <v>0</v>
      </c>
      <c r="AZ94" s="508">
        <v>0</v>
      </c>
      <c r="BA94" s="508">
        <v>660527</v>
      </c>
      <c r="BB94" s="508">
        <v>660527</v>
      </c>
      <c r="BC94" s="508">
        <v>660527</v>
      </c>
      <c r="BD94" s="508">
        <v>0</v>
      </c>
      <c r="BE94" s="508"/>
      <c r="BF94" s="508">
        <v>0</v>
      </c>
      <c r="BG94" s="508">
        <v>0</v>
      </c>
      <c r="BH94" s="508">
        <v>0</v>
      </c>
      <c r="BI94" s="508">
        <v>0</v>
      </c>
      <c r="BJ94" s="508">
        <v>0</v>
      </c>
      <c r="BK94" s="508">
        <v>600479</v>
      </c>
      <c r="BL94" s="508">
        <v>600479</v>
      </c>
      <c r="BM94" s="508">
        <v>600479</v>
      </c>
      <c r="BN94" s="508"/>
      <c r="BO94" s="508"/>
    </row>
    <row r="95" spans="1:67" s="484" customFormat="1">
      <c r="A95" s="484" t="s">
        <v>890</v>
      </c>
      <c r="B95" s="484" t="s">
        <v>891</v>
      </c>
      <c r="C95" s="484" t="s">
        <v>438</v>
      </c>
      <c r="D95" s="484" t="s">
        <v>892</v>
      </c>
      <c r="E95" s="484" t="s">
        <v>893</v>
      </c>
      <c r="F95" s="484" t="s">
        <v>903</v>
      </c>
      <c r="G95" s="484" t="s">
        <v>903</v>
      </c>
      <c r="H95" s="484" t="s">
        <v>1141</v>
      </c>
      <c r="I95" s="484" t="s">
        <v>937</v>
      </c>
      <c r="J95" s="484" t="s">
        <v>1144</v>
      </c>
      <c r="K95" s="484" t="s">
        <v>895</v>
      </c>
      <c r="L95" s="484" t="s">
        <v>896</v>
      </c>
      <c r="M95" s="484" t="s">
        <v>890</v>
      </c>
      <c r="N95" s="484" t="s">
        <v>939</v>
      </c>
      <c r="O95" s="484" t="s">
        <v>924</v>
      </c>
      <c r="P95" s="484" t="s">
        <v>940</v>
      </c>
      <c r="Q95" s="484" t="s">
        <v>941</v>
      </c>
      <c r="R95" s="484" t="s">
        <v>941</v>
      </c>
      <c r="S95" s="484" t="s">
        <v>438</v>
      </c>
      <c r="T95" s="484" t="s">
        <v>942</v>
      </c>
      <c r="U95" s="484" t="s">
        <v>943</v>
      </c>
      <c r="V95" s="484">
        <v>0</v>
      </c>
      <c r="W95" s="484">
        <v>0</v>
      </c>
      <c r="X95" s="484">
        <v>0</v>
      </c>
      <c r="Y95" s="484">
        <v>1529</v>
      </c>
      <c r="Z95" s="484" t="s">
        <v>944</v>
      </c>
      <c r="AA95" s="484" t="s">
        <v>941</v>
      </c>
      <c r="AB95" s="484">
        <v>1529</v>
      </c>
      <c r="AC95" s="484" t="s">
        <v>911</v>
      </c>
      <c r="AD95" s="484" t="s">
        <v>912</v>
      </c>
      <c r="AE95" s="484">
        <v>1529</v>
      </c>
      <c r="AF95" s="484" t="s">
        <v>947</v>
      </c>
      <c r="AG95" s="484" t="s">
        <v>902</v>
      </c>
      <c r="AH95" s="484">
        <v>139</v>
      </c>
      <c r="AI95" s="484">
        <v>1390</v>
      </c>
      <c r="AJ95" s="484" t="s">
        <v>438</v>
      </c>
      <c r="AL95" s="484" t="s">
        <v>1145</v>
      </c>
      <c r="AM95" s="484">
        <v>1</v>
      </c>
      <c r="AN95" s="484">
        <v>0</v>
      </c>
      <c r="AO95" s="484">
        <v>0</v>
      </c>
      <c r="AP95" s="484">
        <v>0</v>
      </c>
      <c r="AQ95" s="484" t="s">
        <v>438</v>
      </c>
      <c r="AS95" s="484" t="s">
        <v>947</v>
      </c>
      <c r="AT95" s="484" t="s">
        <v>902</v>
      </c>
      <c r="AV95" s="508">
        <v>0</v>
      </c>
      <c r="AW95" s="508">
        <v>0</v>
      </c>
      <c r="AX95" s="508">
        <v>0</v>
      </c>
      <c r="AY95" s="508">
        <v>0</v>
      </c>
      <c r="AZ95" s="508">
        <v>0</v>
      </c>
      <c r="BA95" s="508">
        <v>1529</v>
      </c>
      <c r="BB95" s="508">
        <v>1529</v>
      </c>
      <c r="BC95" s="508">
        <v>1529</v>
      </c>
      <c r="BD95" s="508">
        <v>0</v>
      </c>
      <c r="BE95" s="508"/>
      <c r="BF95" s="508">
        <v>0</v>
      </c>
      <c r="BG95" s="508">
        <v>0</v>
      </c>
      <c r="BH95" s="508">
        <v>0</v>
      </c>
      <c r="BI95" s="508">
        <v>0</v>
      </c>
      <c r="BJ95" s="508">
        <v>0</v>
      </c>
      <c r="BK95" s="508">
        <v>1390</v>
      </c>
      <c r="BL95" s="508">
        <v>1390</v>
      </c>
      <c r="BM95" s="508">
        <v>1390</v>
      </c>
      <c r="BN95" s="508"/>
      <c r="BO95" s="508"/>
    </row>
    <row r="96" spans="1:67" s="484" customFormat="1">
      <c r="A96" s="484" t="s">
        <v>890</v>
      </c>
      <c r="B96" s="484" t="s">
        <v>891</v>
      </c>
      <c r="C96" s="484" t="s">
        <v>438</v>
      </c>
      <c r="D96" s="484" t="s">
        <v>892</v>
      </c>
      <c r="E96" s="484" t="s">
        <v>893</v>
      </c>
      <c r="F96" s="484" t="s">
        <v>903</v>
      </c>
      <c r="G96" s="484" t="s">
        <v>903</v>
      </c>
      <c r="H96" s="484" t="s">
        <v>1141</v>
      </c>
      <c r="I96" s="484" t="s">
        <v>937</v>
      </c>
      <c r="J96" s="484" t="s">
        <v>1142</v>
      </c>
      <c r="K96" s="484" t="s">
        <v>895</v>
      </c>
      <c r="L96" s="484" t="s">
        <v>896</v>
      </c>
      <c r="M96" s="484" t="s">
        <v>890</v>
      </c>
      <c r="N96" s="484" t="s">
        <v>939</v>
      </c>
      <c r="O96" s="484" t="s">
        <v>924</v>
      </c>
      <c r="P96" s="484" t="s">
        <v>940</v>
      </c>
      <c r="Q96" s="484" t="s">
        <v>941</v>
      </c>
      <c r="R96" s="484" t="s">
        <v>941</v>
      </c>
      <c r="S96" s="484" t="s">
        <v>438</v>
      </c>
      <c r="T96" s="484" t="s">
        <v>942</v>
      </c>
      <c r="U96" s="484" t="s">
        <v>943</v>
      </c>
      <c r="V96" s="484">
        <v>0</v>
      </c>
      <c r="W96" s="484">
        <v>0</v>
      </c>
      <c r="X96" s="484">
        <v>0</v>
      </c>
      <c r="Y96" s="484">
        <v>1519</v>
      </c>
      <c r="Z96" s="484" t="s">
        <v>944</v>
      </c>
      <c r="AA96" s="484" t="s">
        <v>941</v>
      </c>
      <c r="AB96" s="484">
        <v>1519</v>
      </c>
      <c r="AC96" s="484" t="s">
        <v>911</v>
      </c>
      <c r="AD96" s="484" t="s">
        <v>912</v>
      </c>
      <c r="AE96" s="484">
        <v>1519</v>
      </c>
      <c r="AF96" s="484" t="s">
        <v>947</v>
      </c>
      <c r="AG96" s="484" t="s">
        <v>902</v>
      </c>
      <c r="AH96" s="484">
        <v>149</v>
      </c>
      <c r="AI96" s="484">
        <v>1370</v>
      </c>
      <c r="AJ96" s="484" t="s">
        <v>438</v>
      </c>
      <c r="AL96" s="484" t="s">
        <v>1143</v>
      </c>
      <c r="AM96" s="484">
        <v>1</v>
      </c>
      <c r="AN96" s="484">
        <v>0</v>
      </c>
      <c r="AO96" s="484">
        <v>0</v>
      </c>
      <c r="AP96" s="484">
        <v>0</v>
      </c>
      <c r="AQ96" s="484" t="s">
        <v>438</v>
      </c>
      <c r="AS96" s="484" t="s">
        <v>947</v>
      </c>
      <c r="AT96" s="484" t="s">
        <v>902</v>
      </c>
      <c r="AV96" s="508">
        <v>0</v>
      </c>
      <c r="AW96" s="508">
        <v>0</v>
      </c>
      <c r="AX96" s="508">
        <v>0</v>
      </c>
      <c r="AY96" s="508">
        <v>0</v>
      </c>
      <c r="AZ96" s="508">
        <v>0</v>
      </c>
      <c r="BA96" s="508">
        <v>1519</v>
      </c>
      <c r="BB96" s="508">
        <v>1519</v>
      </c>
      <c r="BC96" s="508">
        <v>1519</v>
      </c>
      <c r="BD96" s="508">
        <v>0</v>
      </c>
      <c r="BE96" s="508"/>
      <c r="BF96" s="508">
        <v>0</v>
      </c>
      <c r="BG96" s="508">
        <v>0</v>
      </c>
      <c r="BH96" s="508">
        <v>0</v>
      </c>
      <c r="BI96" s="508">
        <v>0</v>
      </c>
      <c r="BJ96" s="508">
        <v>0</v>
      </c>
      <c r="BK96" s="508">
        <v>1381</v>
      </c>
      <c r="BL96" s="508">
        <v>1381</v>
      </c>
      <c r="BM96" s="508">
        <v>1381</v>
      </c>
      <c r="BN96" s="508"/>
      <c r="BO96" s="508"/>
    </row>
    <row r="97" spans="1:67" s="484" customFormat="1">
      <c r="A97" s="484" t="s">
        <v>890</v>
      </c>
      <c r="B97" s="484" t="s">
        <v>891</v>
      </c>
      <c r="C97" s="484" t="s">
        <v>438</v>
      </c>
      <c r="D97" s="484" t="s">
        <v>892</v>
      </c>
      <c r="E97" s="484" t="s">
        <v>893</v>
      </c>
      <c r="F97" s="484" t="s">
        <v>906</v>
      </c>
      <c r="G97" s="484" t="s">
        <v>906</v>
      </c>
      <c r="H97" s="484" t="s">
        <v>1141</v>
      </c>
      <c r="I97" s="484" t="s">
        <v>937</v>
      </c>
      <c r="J97" s="484" t="s">
        <v>1146</v>
      </c>
      <c r="K97" s="484" t="s">
        <v>895</v>
      </c>
      <c r="L97" s="484" t="s">
        <v>896</v>
      </c>
      <c r="M97" s="484" t="s">
        <v>890</v>
      </c>
      <c r="N97" s="484" t="s">
        <v>939</v>
      </c>
      <c r="O97" s="484" t="s">
        <v>924</v>
      </c>
      <c r="P97" s="484" t="s">
        <v>940</v>
      </c>
      <c r="Q97" s="484" t="s">
        <v>941</v>
      </c>
      <c r="R97" s="484" t="s">
        <v>941</v>
      </c>
      <c r="S97" s="484" t="s">
        <v>438</v>
      </c>
      <c r="T97" s="484" t="s">
        <v>942</v>
      </c>
      <c r="U97" s="484" t="s">
        <v>943</v>
      </c>
      <c r="V97" s="484">
        <v>0</v>
      </c>
      <c r="W97" s="484">
        <v>0</v>
      </c>
      <c r="X97" s="484">
        <v>0</v>
      </c>
      <c r="Y97" s="484">
        <v>1540</v>
      </c>
      <c r="Z97" s="484" t="s">
        <v>944</v>
      </c>
      <c r="AA97" s="484" t="s">
        <v>941</v>
      </c>
      <c r="AB97" s="484">
        <v>1540</v>
      </c>
      <c r="AC97" s="484" t="s">
        <v>911</v>
      </c>
      <c r="AD97" s="484" t="s">
        <v>912</v>
      </c>
      <c r="AE97" s="484">
        <v>1540</v>
      </c>
      <c r="AF97" s="484" t="s">
        <v>947</v>
      </c>
      <c r="AG97" s="484" t="s">
        <v>902</v>
      </c>
      <c r="AH97" s="484">
        <v>140</v>
      </c>
      <c r="AI97" s="484">
        <v>1400</v>
      </c>
      <c r="AJ97" s="484" t="s">
        <v>438</v>
      </c>
      <c r="AL97" s="484" t="s">
        <v>1147</v>
      </c>
      <c r="AM97" s="484">
        <v>1</v>
      </c>
      <c r="AN97" s="484">
        <v>0</v>
      </c>
      <c r="AO97" s="484">
        <v>0</v>
      </c>
      <c r="AP97" s="484">
        <v>0</v>
      </c>
      <c r="AQ97" s="484" t="s">
        <v>438</v>
      </c>
      <c r="AS97" s="484" t="s">
        <v>947</v>
      </c>
      <c r="AT97" s="484" t="s">
        <v>902</v>
      </c>
      <c r="AV97" s="508">
        <v>0</v>
      </c>
      <c r="AW97" s="508">
        <v>0</v>
      </c>
      <c r="AX97" s="508">
        <v>0</v>
      </c>
      <c r="AY97" s="508">
        <v>0</v>
      </c>
      <c r="AZ97" s="508">
        <v>0</v>
      </c>
      <c r="BA97" s="508">
        <v>1540</v>
      </c>
      <c r="BB97" s="508">
        <v>1540</v>
      </c>
      <c r="BC97" s="508">
        <v>1540</v>
      </c>
      <c r="BD97" s="508">
        <v>0</v>
      </c>
      <c r="BE97" s="508"/>
      <c r="BF97" s="508">
        <v>0</v>
      </c>
      <c r="BG97" s="508">
        <v>0</v>
      </c>
      <c r="BH97" s="508">
        <v>0</v>
      </c>
      <c r="BI97" s="508">
        <v>0</v>
      </c>
      <c r="BJ97" s="508">
        <v>0</v>
      </c>
      <c r="BK97" s="508">
        <v>1400</v>
      </c>
      <c r="BL97" s="508">
        <v>1400</v>
      </c>
      <c r="BM97" s="508">
        <v>1400</v>
      </c>
      <c r="BN97" s="508"/>
      <c r="BO97" s="508"/>
    </row>
    <row r="98" spans="1:67" s="484" customFormat="1">
      <c r="A98" s="484" t="s">
        <v>890</v>
      </c>
      <c r="B98" s="484" t="s">
        <v>891</v>
      </c>
      <c r="C98" s="484" t="s">
        <v>438</v>
      </c>
      <c r="D98" s="484" t="s">
        <v>892</v>
      </c>
      <c r="E98" s="484" t="s">
        <v>893</v>
      </c>
      <c r="F98" s="484" t="s">
        <v>906</v>
      </c>
      <c r="G98" s="484" t="s">
        <v>906</v>
      </c>
      <c r="H98" s="484" t="s">
        <v>1141</v>
      </c>
      <c r="I98" s="484" t="s">
        <v>937</v>
      </c>
      <c r="J98" s="484" t="s">
        <v>1148</v>
      </c>
      <c r="K98" s="484" t="s">
        <v>895</v>
      </c>
      <c r="L98" s="484" t="s">
        <v>896</v>
      </c>
      <c r="M98" s="484" t="s">
        <v>890</v>
      </c>
      <c r="N98" s="484" t="s">
        <v>939</v>
      </c>
      <c r="O98" s="484" t="s">
        <v>924</v>
      </c>
      <c r="P98" s="484" t="s">
        <v>940</v>
      </c>
      <c r="Q98" s="484" t="s">
        <v>941</v>
      </c>
      <c r="R98" s="484" t="s">
        <v>941</v>
      </c>
      <c r="S98" s="484" t="s">
        <v>438</v>
      </c>
      <c r="T98" s="484" t="s">
        <v>942</v>
      </c>
      <c r="U98" s="484" t="s">
        <v>943</v>
      </c>
      <c r="V98" s="484">
        <v>0</v>
      </c>
      <c r="W98" s="484">
        <v>0</v>
      </c>
      <c r="X98" s="484">
        <v>0</v>
      </c>
      <c r="Y98" s="484">
        <v>10403</v>
      </c>
      <c r="Z98" s="484" t="s">
        <v>944</v>
      </c>
      <c r="AA98" s="484" t="s">
        <v>941</v>
      </c>
      <c r="AB98" s="484">
        <v>10403</v>
      </c>
      <c r="AC98" s="484" t="s">
        <v>911</v>
      </c>
      <c r="AD98" s="484" t="s">
        <v>912</v>
      </c>
      <c r="AE98" s="484">
        <v>10403</v>
      </c>
      <c r="AF98" s="484" t="s">
        <v>947</v>
      </c>
      <c r="AG98" s="484" t="s">
        <v>902</v>
      </c>
      <c r="AH98" s="484">
        <v>944</v>
      </c>
      <c r="AI98" s="484">
        <v>9459</v>
      </c>
      <c r="AJ98" s="484" t="s">
        <v>438</v>
      </c>
      <c r="AL98" s="484" t="s">
        <v>1149</v>
      </c>
      <c r="AM98" s="484">
        <v>1</v>
      </c>
      <c r="AN98" s="484">
        <v>0</v>
      </c>
      <c r="AO98" s="484">
        <v>0</v>
      </c>
      <c r="AP98" s="484">
        <v>0</v>
      </c>
      <c r="AQ98" s="484" t="s">
        <v>438</v>
      </c>
      <c r="AS98" s="484" t="s">
        <v>947</v>
      </c>
      <c r="AT98" s="484" t="s">
        <v>902</v>
      </c>
      <c r="AV98" s="508">
        <v>0</v>
      </c>
      <c r="AW98" s="508">
        <v>0</v>
      </c>
      <c r="AX98" s="508">
        <v>0</v>
      </c>
      <c r="AY98" s="508">
        <v>0</v>
      </c>
      <c r="AZ98" s="508">
        <v>0</v>
      </c>
      <c r="BA98" s="508">
        <v>10403</v>
      </c>
      <c r="BB98" s="508">
        <v>10403</v>
      </c>
      <c r="BC98" s="508">
        <v>10403</v>
      </c>
      <c r="BD98" s="508">
        <v>0</v>
      </c>
      <c r="BE98" s="508"/>
      <c r="BF98" s="508">
        <v>0</v>
      </c>
      <c r="BG98" s="508">
        <v>0</v>
      </c>
      <c r="BH98" s="508">
        <v>0</v>
      </c>
      <c r="BI98" s="508">
        <v>0</v>
      </c>
      <c r="BJ98" s="508">
        <v>0</v>
      </c>
      <c r="BK98" s="508">
        <v>9457</v>
      </c>
      <c r="BL98" s="508">
        <v>9457</v>
      </c>
      <c r="BM98" s="508">
        <v>9457</v>
      </c>
      <c r="BN98" s="508"/>
      <c r="BO98" s="508"/>
    </row>
    <row r="99" spans="1:67" s="484" customFormat="1">
      <c r="A99" s="484" t="s">
        <v>890</v>
      </c>
      <c r="B99" s="484" t="s">
        <v>891</v>
      </c>
      <c r="C99" s="484" t="s">
        <v>438</v>
      </c>
      <c r="D99" s="484" t="s">
        <v>892</v>
      </c>
      <c r="E99" s="484" t="s">
        <v>893</v>
      </c>
      <c r="F99" s="484" t="s">
        <v>894</v>
      </c>
      <c r="G99" s="484" t="s">
        <v>894</v>
      </c>
      <c r="H99" s="484" t="s">
        <v>1141</v>
      </c>
      <c r="I99" s="484" t="s">
        <v>937</v>
      </c>
      <c r="J99" s="484" t="s">
        <v>1150</v>
      </c>
      <c r="K99" s="484" t="s">
        <v>895</v>
      </c>
      <c r="L99" s="484" t="s">
        <v>896</v>
      </c>
      <c r="M99" s="484" t="s">
        <v>890</v>
      </c>
      <c r="N99" s="484" t="s">
        <v>939</v>
      </c>
      <c r="O99" s="484" t="s">
        <v>924</v>
      </c>
      <c r="P99" s="484" t="s">
        <v>940</v>
      </c>
      <c r="Q99" s="484" t="s">
        <v>941</v>
      </c>
      <c r="R99" s="484" t="s">
        <v>941</v>
      </c>
      <c r="S99" s="484" t="s">
        <v>438</v>
      </c>
      <c r="T99" s="484" t="s">
        <v>942</v>
      </c>
      <c r="U99" s="484" t="s">
        <v>943</v>
      </c>
      <c r="V99" s="484">
        <v>0</v>
      </c>
      <c r="W99" s="484">
        <v>0</v>
      </c>
      <c r="X99" s="484">
        <v>0</v>
      </c>
      <c r="Y99" s="484">
        <v>18931</v>
      </c>
      <c r="Z99" s="484" t="s">
        <v>944</v>
      </c>
      <c r="AA99" s="484" t="s">
        <v>941</v>
      </c>
      <c r="AB99" s="484">
        <v>18931</v>
      </c>
      <c r="AC99" s="484" t="s">
        <v>911</v>
      </c>
      <c r="AD99" s="484" t="s">
        <v>912</v>
      </c>
      <c r="AE99" s="484">
        <v>18931</v>
      </c>
      <c r="AF99" s="484" t="s">
        <v>947</v>
      </c>
      <c r="AG99" s="484" t="s">
        <v>902</v>
      </c>
      <c r="AH99" s="484">
        <v>1720</v>
      </c>
      <c r="AI99" s="484">
        <v>17211</v>
      </c>
      <c r="AJ99" s="484" t="s">
        <v>438</v>
      </c>
      <c r="AL99" s="484" t="s">
        <v>1151</v>
      </c>
      <c r="AM99" s="484">
        <v>1</v>
      </c>
      <c r="AN99" s="484">
        <v>0</v>
      </c>
      <c r="AO99" s="484">
        <v>0</v>
      </c>
      <c r="AP99" s="484">
        <v>0</v>
      </c>
      <c r="AQ99" s="484" t="s">
        <v>438</v>
      </c>
      <c r="AS99" s="484" t="s">
        <v>947</v>
      </c>
      <c r="AT99" s="484" t="s">
        <v>902</v>
      </c>
      <c r="AV99" s="508">
        <v>0</v>
      </c>
      <c r="AW99" s="508">
        <v>0</v>
      </c>
      <c r="AX99" s="508">
        <v>0</v>
      </c>
      <c r="AY99" s="508">
        <v>0</v>
      </c>
      <c r="AZ99" s="508">
        <v>0</v>
      </c>
      <c r="BA99" s="508">
        <v>18931</v>
      </c>
      <c r="BB99" s="508">
        <v>18931</v>
      </c>
      <c r="BC99" s="508">
        <v>18931</v>
      </c>
      <c r="BD99" s="508">
        <v>0</v>
      </c>
      <c r="BE99" s="508"/>
      <c r="BF99" s="508">
        <v>0</v>
      </c>
      <c r="BG99" s="508">
        <v>0</v>
      </c>
      <c r="BH99" s="508">
        <v>0</v>
      </c>
      <c r="BI99" s="508">
        <v>0</v>
      </c>
      <c r="BJ99" s="508">
        <v>0</v>
      </c>
      <c r="BK99" s="508">
        <v>17210</v>
      </c>
      <c r="BL99" s="508">
        <v>17210</v>
      </c>
      <c r="BM99" s="508">
        <v>17210</v>
      </c>
      <c r="BN99" s="508"/>
      <c r="BO99" s="508"/>
    </row>
    <row r="100" spans="1:67" s="484" customFormat="1">
      <c r="A100" s="484" t="s">
        <v>890</v>
      </c>
      <c r="B100" s="484" t="s">
        <v>891</v>
      </c>
      <c r="C100" s="484" t="s">
        <v>438</v>
      </c>
      <c r="D100" s="484" t="s">
        <v>892</v>
      </c>
      <c r="E100" s="484" t="s">
        <v>893</v>
      </c>
      <c r="F100" s="484" t="s">
        <v>906</v>
      </c>
      <c r="G100" s="484" t="s">
        <v>906</v>
      </c>
      <c r="H100" s="484" t="s">
        <v>1152</v>
      </c>
      <c r="I100" s="484" t="s">
        <v>937</v>
      </c>
      <c r="J100" s="484" t="s">
        <v>1153</v>
      </c>
      <c r="K100" s="484" t="s">
        <v>895</v>
      </c>
      <c r="L100" s="484" t="s">
        <v>896</v>
      </c>
      <c r="M100" s="484" t="s">
        <v>890</v>
      </c>
      <c r="N100" s="484" t="s">
        <v>939</v>
      </c>
      <c r="O100" s="484" t="s">
        <v>924</v>
      </c>
      <c r="P100" s="484" t="s">
        <v>940</v>
      </c>
      <c r="Q100" s="484" t="s">
        <v>941</v>
      </c>
      <c r="R100" s="484" t="s">
        <v>941</v>
      </c>
      <c r="S100" s="484" t="s">
        <v>438</v>
      </c>
      <c r="T100" s="484" t="s">
        <v>942</v>
      </c>
      <c r="U100" s="484" t="s">
        <v>943</v>
      </c>
      <c r="V100" s="484">
        <v>0</v>
      </c>
      <c r="W100" s="484">
        <v>0</v>
      </c>
      <c r="X100" s="484">
        <v>0</v>
      </c>
      <c r="Y100" s="484">
        <v>23778</v>
      </c>
      <c r="Z100" s="484" t="s">
        <v>944</v>
      </c>
      <c r="AA100" s="484" t="s">
        <v>941</v>
      </c>
      <c r="AB100" s="484">
        <v>23778</v>
      </c>
      <c r="AC100" s="484" t="s">
        <v>911</v>
      </c>
      <c r="AD100" s="484" t="s">
        <v>912</v>
      </c>
      <c r="AE100" s="484">
        <v>23778</v>
      </c>
      <c r="AF100" s="484" t="s">
        <v>947</v>
      </c>
      <c r="AG100" s="484" t="s">
        <v>902</v>
      </c>
      <c r="AH100" s="484">
        <v>2162</v>
      </c>
      <c r="AI100" s="484">
        <v>21616</v>
      </c>
      <c r="AJ100" s="484" t="s">
        <v>438</v>
      </c>
      <c r="AL100" s="484" t="s">
        <v>1154</v>
      </c>
      <c r="AM100" s="484">
        <v>1</v>
      </c>
      <c r="AN100" s="484">
        <v>0</v>
      </c>
      <c r="AO100" s="484">
        <v>0</v>
      </c>
      <c r="AP100" s="484">
        <v>0</v>
      </c>
      <c r="AQ100" s="484" t="s">
        <v>438</v>
      </c>
      <c r="AS100" s="484" t="s">
        <v>947</v>
      </c>
      <c r="AT100" s="484" t="s">
        <v>902</v>
      </c>
      <c r="AV100" s="508">
        <v>0</v>
      </c>
      <c r="AW100" s="508">
        <v>0</v>
      </c>
      <c r="AX100" s="508">
        <v>0</v>
      </c>
      <c r="AY100" s="508">
        <v>0</v>
      </c>
      <c r="AZ100" s="508">
        <v>0</v>
      </c>
      <c r="BA100" s="508">
        <v>23778</v>
      </c>
      <c r="BB100" s="508">
        <v>23778</v>
      </c>
      <c r="BC100" s="508">
        <v>23778</v>
      </c>
      <c r="BD100" s="508">
        <v>0</v>
      </c>
      <c r="BE100" s="508"/>
      <c r="BF100" s="508">
        <v>0</v>
      </c>
      <c r="BG100" s="508">
        <v>0</v>
      </c>
      <c r="BH100" s="508">
        <v>0</v>
      </c>
      <c r="BI100" s="508">
        <v>0</v>
      </c>
      <c r="BJ100" s="508">
        <v>0</v>
      </c>
      <c r="BK100" s="508">
        <v>21616</v>
      </c>
      <c r="BL100" s="508">
        <v>21616</v>
      </c>
      <c r="BM100" s="508">
        <v>21616</v>
      </c>
      <c r="BN100" s="508"/>
      <c r="BO100" s="508"/>
    </row>
    <row r="101" spans="1:67" s="484" customFormat="1">
      <c r="A101" s="484" t="s">
        <v>890</v>
      </c>
      <c r="B101" s="484" t="s">
        <v>891</v>
      </c>
      <c r="C101" s="484" t="s">
        <v>438</v>
      </c>
      <c r="D101" s="484" t="s">
        <v>892</v>
      </c>
      <c r="E101" s="484" t="s">
        <v>893</v>
      </c>
      <c r="F101" s="484" t="s">
        <v>906</v>
      </c>
      <c r="G101" s="484" t="s">
        <v>906</v>
      </c>
      <c r="H101" s="484" t="s">
        <v>1155</v>
      </c>
      <c r="I101" s="484" t="s">
        <v>937</v>
      </c>
      <c r="J101" s="484" t="s">
        <v>1156</v>
      </c>
      <c r="K101" s="484" t="s">
        <v>895</v>
      </c>
      <c r="L101" s="484" t="s">
        <v>896</v>
      </c>
      <c r="M101" s="484" t="s">
        <v>890</v>
      </c>
      <c r="N101" s="484" t="s">
        <v>939</v>
      </c>
      <c r="O101" s="484" t="s">
        <v>924</v>
      </c>
      <c r="P101" s="484" t="s">
        <v>940</v>
      </c>
      <c r="Q101" s="484" t="s">
        <v>941</v>
      </c>
      <c r="R101" s="484" t="s">
        <v>941</v>
      </c>
      <c r="S101" s="484" t="s">
        <v>438</v>
      </c>
      <c r="T101" s="484" t="s">
        <v>942</v>
      </c>
      <c r="U101" s="484" t="s">
        <v>943</v>
      </c>
      <c r="V101" s="484">
        <v>0</v>
      </c>
      <c r="W101" s="484">
        <v>0</v>
      </c>
      <c r="X101" s="484">
        <v>0</v>
      </c>
      <c r="Y101" s="484">
        <v>3822</v>
      </c>
      <c r="Z101" s="484" t="s">
        <v>944</v>
      </c>
      <c r="AA101" s="484" t="s">
        <v>941</v>
      </c>
      <c r="AB101" s="484">
        <v>3822</v>
      </c>
      <c r="AC101" s="484" t="s">
        <v>911</v>
      </c>
      <c r="AD101" s="484" t="s">
        <v>912</v>
      </c>
      <c r="AE101" s="484">
        <v>3822</v>
      </c>
      <c r="AF101" s="484" t="s">
        <v>947</v>
      </c>
      <c r="AG101" s="484" t="s">
        <v>902</v>
      </c>
      <c r="AH101" s="484">
        <v>347</v>
      </c>
      <c r="AI101" s="484">
        <v>3475</v>
      </c>
      <c r="AJ101" s="484" t="s">
        <v>438</v>
      </c>
      <c r="AL101" s="484" t="s">
        <v>1157</v>
      </c>
      <c r="AM101" s="484">
        <v>1</v>
      </c>
      <c r="AN101" s="484">
        <v>0</v>
      </c>
      <c r="AO101" s="484">
        <v>0</v>
      </c>
      <c r="AP101" s="484">
        <v>0</v>
      </c>
      <c r="AQ101" s="484" t="s">
        <v>438</v>
      </c>
      <c r="AS101" s="484" t="s">
        <v>947</v>
      </c>
      <c r="AT101" s="484" t="s">
        <v>902</v>
      </c>
      <c r="AV101" s="508">
        <v>0</v>
      </c>
      <c r="AW101" s="508">
        <v>0</v>
      </c>
      <c r="AX101" s="508">
        <v>0</v>
      </c>
      <c r="AY101" s="508">
        <v>0</v>
      </c>
      <c r="AZ101" s="508">
        <v>0</v>
      </c>
      <c r="BA101" s="508">
        <v>3822</v>
      </c>
      <c r="BB101" s="508">
        <v>3822</v>
      </c>
      <c r="BC101" s="508">
        <v>3822</v>
      </c>
      <c r="BD101" s="508">
        <v>0</v>
      </c>
      <c r="BE101" s="508"/>
      <c r="BF101" s="508">
        <v>0</v>
      </c>
      <c r="BG101" s="508">
        <v>0</v>
      </c>
      <c r="BH101" s="508">
        <v>0</v>
      </c>
      <c r="BI101" s="508">
        <v>0</v>
      </c>
      <c r="BJ101" s="508">
        <v>0</v>
      </c>
      <c r="BK101" s="508">
        <v>3475</v>
      </c>
      <c r="BL101" s="508">
        <v>3475</v>
      </c>
      <c r="BM101" s="508">
        <v>3475</v>
      </c>
      <c r="BN101" s="508"/>
      <c r="BO101" s="508"/>
    </row>
    <row r="102" spans="1:67" s="484" customFormat="1">
      <c r="A102" s="484" t="s">
        <v>890</v>
      </c>
      <c r="B102" s="484" t="s">
        <v>891</v>
      </c>
      <c r="C102" s="484" t="s">
        <v>438</v>
      </c>
      <c r="D102" s="484" t="s">
        <v>892</v>
      </c>
      <c r="E102" s="484" t="s">
        <v>893</v>
      </c>
      <c r="F102" s="484" t="s">
        <v>906</v>
      </c>
      <c r="G102" s="484" t="s">
        <v>906</v>
      </c>
      <c r="H102" s="484" t="s">
        <v>1158</v>
      </c>
      <c r="I102" s="484" t="s">
        <v>937</v>
      </c>
      <c r="J102" s="484" t="s">
        <v>1159</v>
      </c>
      <c r="K102" s="484" t="s">
        <v>895</v>
      </c>
      <c r="L102" s="484" t="s">
        <v>896</v>
      </c>
      <c r="M102" s="484" t="s">
        <v>890</v>
      </c>
      <c r="N102" s="484" t="s">
        <v>939</v>
      </c>
      <c r="O102" s="484" t="s">
        <v>924</v>
      </c>
      <c r="P102" s="484" t="s">
        <v>940</v>
      </c>
      <c r="Q102" s="484" t="s">
        <v>941</v>
      </c>
      <c r="R102" s="484" t="s">
        <v>941</v>
      </c>
      <c r="S102" s="484" t="s">
        <v>438</v>
      </c>
      <c r="T102" s="484" t="s">
        <v>942</v>
      </c>
      <c r="U102" s="484" t="s">
        <v>943</v>
      </c>
      <c r="V102" s="484">
        <v>0</v>
      </c>
      <c r="W102" s="484">
        <v>0</v>
      </c>
      <c r="X102" s="484">
        <v>0</v>
      </c>
      <c r="Y102" s="484">
        <v>286529</v>
      </c>
      <c r="Z102" s="484" t="s">
        <v>944</v>
      </c>
      <c r="AA102" s="484" t="s">
        <v>941</v>
      </c>
      <c r="AB102" s="484">
        <v>286529</v>
      </c>
      <c r="AC102" s="484" t="s">
        <v>911</v>
      </c>
      <c r="AD102" s="484" t="s">
        <v>912</v>
      </c>
      <c r="AE102" s="484">
        <v>286529</v>
      </c>
      <c r="AF102" s="484" t="s">
        <v>947</v>
      </c>
      <c r="AG102" s="484" t="s">
        <v>902</v>
      </c>
      <c r="AH102" s="484">
        <v>26048</v>
      </c>
      <c r="AI102" s="484">
        <v>260481</v>
      </c>
      <c r="AJ102" s="484" t="s">
        <v>438</v>
      </c>
      <c r="AL102" s="484" t="s">
        <v>1160</v>
      </c>
      <c r="AM102" s="484">
        <v>1</v>
      </c>
      <c r="AN102" s="484">
        <v>0</v>
      </c>
      <c r="AO102" s="484">
        <v>0</v>
      </c>
      <c r="AP102" s="484">
        <v>0</v>
      </c>
      <c r="AQ102" s="484" t="s">
        <v>438</v>
      </c>
      <c r="AS102" s="484" t="s">
        <v>947</v>
      </c>
      <c r="AT102" s="484" t="s">
        <v>902</v>
      </c>
      <c r="AV102" s="508">
        <v>0</v>
      </c>
      <c r="AW102" s="508">
        <v>0</v>
      </c>
      <c r="AX102" s="508">
        <v>0</v>
      </c>
      <c r="AY102" s="508">
        <v>0</v>
      </c>
      <c r="AZ102" s="508">
        <v>0</v>
      </c>
      <c r="BA102" s="508">
        <v>286529</v>
      </c>
      <c r="BB102" s="508">
        <v>286529</v>
      </c>
      <c r="BC102" s="508">
        <v>286529</v>
      </c>
      <c r="BD102" s="508">
        <v>0</v>
      </c>
      <c r="BE102" s="508"/>
      <c r="BF102" s="508">
        <v>0</v>
      </c>
      <c r="BG102" s="508">
        <v>0</v>
      </c>
      <c r="BH102" s="508">
        <v>0</v>
      </c>
      <c r="BI102" s="508">
        <v>0</v>
      </c>
      <c r="BJ102" s="508">
        <v>0</v>
      </c>
      <c r="BK102" s="508">
        <v>260481</v>
      </c>
      <c r="BL102" s="508">
        <v>260481</v>
      </c>
      <c r="BM102" s="508">
        <v>260481</v>
      </c>
      <c r="BN102" s="508"/>
      <c r="BO102" s="508"/>
    </row>
    <row r="103" spans="1:67" s="484" customFormat="1">
      <c r="A103" s="484" t="s">
        <v>890</v>
      </c>
      <c r="B103" s="484" t="s">
        <v>891</v>
      </c>
      <c r="C103" s="484" t="s">
        <v>438</v>
      </c>
      <c r="D103" s="484" t="s">
        <v>892</v>
      </c>
      <c r="E103" s="484" t="s">
        <v>893</v>
      </c>
      <c r="F103" s="484" t="s">
        <v>906</v>
      </c>
      <c r="G103" s="484" t="s">
        <v>906</v>
      </c>
      <c r="H103" s="484" t="s">
        <v>1158</v>
      </c>
      <c r="I103" s="484" t="s">
        <v>937</v>
      </c>
      <c r="J103" s="484" t="s">
        <v>1161</v>
      </c>
      <c r="K103" s="484" t="s">
        <v>895</v>
      </c>
      <c r="L103" s="484" t="s">
        <v>896</v>
      </c>
      <c r="M103" s="484" t="s">
        <v>890</v>
      </c>
      <c r="N103" s="484" t="s">
        <v>939</v>
      </c>
      <c r="O103" s="484" t="s">
        <v>924</v>
      </c>
      <c r="P103" s="484" t="s">
        <v>940</v>
      </c>
      <c r="Q103" s="484" t="s">
        <v>941</v>
      </c>
      <c r="R103" s="484" t="s">
        <v>941</v>
      </c>
      <c r="S103" s="484" t="s">
        <v>438</v>
      </c>
      <c r="T103" s="484" t="s">
        <v>942</v>
      </c>
      <c r="U103" s="484" t="s">
        <v>943</v>
      </c>
      <c r="V103" s="484">
        <v>0</v>
      </c>
      <c r="W103" s="484">
        <v>0</v>
      </c>
      <c r="X103" s="484">
        <v>0</v>
      </c>
      <c r="Y103" s="484">
        <v>647067</v>
      </c>
      <c r="Z103" s="484" t="s">
        <v>944</v>
      </c>
      <c r="AA103" s="484" t="s">
        <v>941</v>
      </c>
      <c r="AB103" s="484">
        <v>647067</v>
      </c>
      <c r="AC103" s="484" t="s">
        <v>911</v>
      </c>
      <c r="AD103" s="484" t="s">
        <v>912</v>
      </c>
      <c r="AE103" s="484">
        <v>647067</v>
      </c>
      <c r="AF103" s="484" t="s">
        <v>947</v>
      </c>
      <c r="AG103" s="484" t="s">
        <v>902</v>
      </c>
      <c r="AH103" s="484">
        <v>58850</v>
      </c>
      <c r="AI103" s="484">
        <v>588217</v>
      </c>
      <c r="AJ103" s="484" t="s">
        <v>438</v>
      </c>
      <c r="AL103" s="484" t="s">
        <v>1162</v>
      </c>
      <c r="AM103" s="484">
        <v>1</v>
      </c>
      <c r="AN103" s="484">
        <v>0</v>
      </c>
      <c r="AO103" s="484">
        <v>0</v>
      </c>
      <c r="AP103" s="484">
        <v>0</v>
      </c>
      <c r="AQ103" s="484" t="s">
        <v>438</v>
      </c>
      <c r="AS103" s="484" t="s">
        <v>947</v>
      </c>
      <c r="AT103" s="484" t="s">
        <v>902</v>
      </c>
      <c r="AV103" s="508">
        <v>0</v>
      </c>
      <c r="AW103" s="508">
        <v>0</v>
      </c>
      <c r="AX103" s="508">
        <v>0</v>
      </c>
      <c r="AY103" s="508">
        <v>0</v>
      </c>
      <c r="AZ103" s="508">
        <v>0</v>
      </c>
      <c r="BA103" s="508">
        <v>647067</v>
      </c>
      <c r="BB103" s="508">
        <v>647067</v>
      </c>
      <c r="BC103" s="508">
        <v>647067</v>
      </c>
      <c r="BD103" s="508">
        <v>0</v>
      </c>
      <c r="BE103" s="508"/>
      <c r="BF103" s="508">
        <v>0</v>
      </c>
      <c r="BG103" s="508">
        <v>0</v>
      </c>
      <c r="BH103" s="508">
        <v>0</v>
      </c>
      <c r="BI103" s="508">
        <v>0</v>
      </c>
      <c r="BJ103" s="508">
        <v>0</v>
      </c>
      <c r="BK103" s="508">
        <v>588243</v>
      </c>
      <c r="BL103" s="508">
        <v>588243</v>
      </c>
      <c r="BM103" s="508">
        <v>588243</v>
      </c>
      <c r="BN103" s="508"/>
      <c r="BO103" s="508"/>
    </row>
    <row r="104" spans="1:67" s="484" customFormat="1">
      <c r="A104" s="484" t="s">
        <v>890</v>
      </c>
      <c r="B104" s="484" t="s">
        <v>891</v>
      </c>
      <c r="C104" s="484" t="s">
        <v>438</v>
      </c>
      <c r="D104" s="484" t="s">
        <v>892</v>
      </c>
      <c r="E104" s="484" t="s">
        <v>893</v>
      </c>
      <c r="F104" s="484" t="s">
        <v>906</v>
      </c>
      <c r="G104" s="484" t="s">
        <v>906</v>
      </c>
      <c r="H104" s="484" t="s">
        <v>1163</v>
      </c>
      <c r="I104" s="484" t="s">
        <v>937</v>
      </c>
      <c r="J104" s="484" t="s">
        <v>1164</v>
      </c>
      <c r="K104" s="484" t="s">
        <v>895</v>
      </c>
      <c r="L104" s="484" t="s">
        <v>896</v>
      </c>
      <c r="M104" s="484" t="s">
        <v>890</v>
      </c>
      <c r="N104" s="484" t="s">
        <v>939</v>
      </c>
      <c r="O104" s="484" t="s">
        <v>924</v>
      </c>
      <c r="P104" s="484" t="s">
        <v>940</v>
      </c>
      <c r="Q104" s="484" t="s">
        <v>941</v>
      </c>
      <c r="R104" s="484" t="s">
        <v>941</v>
      </c>
      <c r="S104" s="484" t="s">
        <v>438</v>
      </c>
      <c r="T104" s="484" t="s">
        <v>942</v>
      </c>
      <c r="U104" s="484" t="s">
        <v>943</v>
      </c>
      <c r="V104" s="484">
        <v>0</v>
      </c>
      <c r="W104" s="484">
        <v>0</v>
      </c>
      <c r="X104" s="484">
        <v>0</v>
      </c>
      <c r="Y104" s="484">
        <v>27024</v>
      </c>
      <c r="Z104" s="484" t="s">
        <v>944</v>
      </c>
      <c r="AA104" s="484" t="s">
        <v>941</v>
      </c>
      <c r="AB104" s="484">
        <v>27024</v>
      </c>
      <c r="AC104" s="484" t="s">
        <v>911</v>
      </c>
      <c r="AD104" s="484" t="s">
        <v>912</v>
      </c>
      <c r="AE104" s="484">
        <v>27024</v>
      </c>
      <c r="AF104" s="484" t="s">
        <v>947</v>
      </c>
      <c r="AG104" s="484" t="s">
        <v>902</v>
      </c>
      <c r="AH104" s="484">
        <v>2456</v>
      </c>
      <c r="AI104" s="484">
        <v>24568</v>
      </c>
      <c r="AJ104" s="484" t="s">
        <v>438</v>
      </c>
      <c r="AL104" s="484" t="s">
        <v>1165</v>
      </c>
      <c r="AM104" s="484">
        <v>1</v>
      </c>
      <c r="AN104" s="484">
        <v>0</v>
      </c>
      <c r="AO104" s="484">
        <v>0</v>
      </c>
      <c r="AP104" s="484">
        <v>0</v>
      </c>
      <c r="AQ104" s="484" t="s">
        <v>438</v>
      </c>
      <c r="AS104" s="484" t="s">
        <v>947</v>
      </c>
      <c r="AT104" s="484" t="s">
        <v>902</v>
      </c>
      <c r="AV104" s="508">
        <v>0</v>
      </c>
      <c r="AW104" s="508">
        <v>0</v>
      </c>
      <c r="AX104" s="508">
        <v>0</v>
      </c>
      <c r="AY104" s="508">
        <v>0</v>
      </c>
      <c r="AZ104" s="508">
        <v>0</v>
      </c>
      <c r="BA104" s="508">
        <v>27024</v>
      </c>
      <c r="BB104" s="508">
        <v>27024</v>
      </c>
      <c r="BC104" s="508">
        <v>27024</v>
      </c>
      <c r="BD104" s="508">
        <v>0</v>
      </c>
      <c r="BE104" s="508"/>
      <c r="BF104" s="508">
        <v>0</v>
      </c>
      <c r="BG104" s="508">
        <v>0</v>
      </c>
      <c r="BH104" s="508">
        <v>0</v>
      </c>
      <c r="BI104" s="508">
        <v>0</v>
      </c>
      <c r="BJ104" s="508">
        <v>0</v>
      </c>
      <c r="BK104" s="508">
        <v>24567</v>
      </c>
      <c r="BL104" s="508">
        <v>24567</v>
      </c>
      <c r="BM104" s="508">
        <v>24567</v>
      </c>
      <c r="BN104" s="508"/>
      <c r="BO104" s="508"/>
    </row>
    <row r="105" spans="1:67" s="484" customFormat="1">
      <c r="A105" s="484" t="s">
        <v>890</v>
      </c>
      <c r="B105" s="484" t="s">
        <v>891</v>
      </c>
      <c r="C105" s="484" t="s">
        <v>438</v>
      </c>
      <c r="D105" s="484" t="s">
        <v>892</v>
      </c>
      <c r="E105" s="484" t="s">
        <v>893</v>
      </c>
      <c r="F105" s="484" t="s">
        <v>917</v>
      </c>
      <c r="G105" s="484" t="s">
        <v>917</v>
      </c>
      <c r="H105" s="484" t="s">
        <v>1166</v>
      </c>
      <c r="I105" s="484" t="s">
        <v>937</v>
      </c>
      <c r="J105" s="484" t="s">
        <v>1167</v>
      </c>
      <c r="K105" s="484" t="s">
        <v>895</v>
      </c>
      <c r="L105" s="484" t="s">
        <v>896</v>
      </c>
      <c r="M105" s="484" t="s">
        <v>890</v>
      </c>
      <c r="N105" s="484" t="s">
        <v>939</v>
      </c>
      <c r="O105" s="484" t="s">
        <v>924</v>
      </c>
      <c r="P105" s="484" t="s">
        <v>940</v>
      </c>
      <c r="Q105" s="484" t="s">
        <v>941</v>
      </c>
      <c r="R105" s="484" t="s">
        <v>941</v>
      </c>
      <c r="S105" s="484" t="s">
        <v>438</v>
      </c>
      <c r="T105" s="484" t="s">
        <v>942</v>
      </c>
      <c r="U105" s="484" t="s">
        <v>943</v>
      </c>
      <c r="V105" s="484">
        <v>0</v>
      </c>
      <c r="W105" s="484">
        <v>0</v>
      </c>
      <c r="X105" s="484">
        <v>0</v>
      </c>
      <c r="Y105" s="484">
        <v>268951</v>
      </c>
      <c r="Z105" s="484" t="s">
        <v>944</v>
      </c>
      <c r="AA105" s="484" t="s">
        <v>941</v>
      </c>
      <c r="AB105" s="484">
        <v>268951</v>
      </c>
      <c r="AC105" s="484" t="s">
        <v>911</v>
      </c>
      <c r="AD105" s="484" t="s">
        <v>912</v>
      </c>
      <c r="AE105" s="484">
        <v>268951</v>
      </c>
      <c r="AF105" s="484" t="s">
        <v>947</v>
      </c>
      <c r="AG105" s="484" t="s">
        <v>902</v>
      </c>
      <c r="AH105" s="484">
        <v>24446</v>
      </c>
      <c r="AI105" s="484">
        <v>244505</v>
      </c>
      <c r="AJ105" s="484" t="s">
        <v>438</v>
      </c>
      <c r="AL105" s="484" t="s">
        <v>1168</v>
      </c>
      <c r="AM105" s="484">
        <v>1</v>
      </c>
      <c r="AN105" s="484">
        <v>0</v>
      </c>
      <c r="AO105" s="484">
        <v>0</v>
      </c>
      <c r="AP105" s="484">
        <v>0</v>
      </c>
      <c r="AQ105" s="484" t="s">
        <v>438</v>
      </c>
      <c r="AS105" s="484" t="s">
        <v>947</v>
      </c>
      <c r="AT105" s="484" t="s">
        <v>902</v>
      </c>
      <c r="AV105" s="508">
        <v>0</v>
      </c>
      <c r="AW105" s="508">
        <v>0</v>
      </c>
      <c r="AX105" s="508">
        <v>0</v>
      </c>
      <c r="AY105" s="508">
        <v>0</v>
      </c>
      <c r="AZ105" s="508">
        <v>0</v>
      </c>
      <c r="BA105" s="508">
        <v>268951</v>
      </c>
      <c r="BB105" s="508">
        <v>268951</v>
      </c>
      <c r="BC105" s="508">
        <v>268951</v>
      </c>
      <c r="BD105" s="508">
        <v>0</v>
      </c>
      <c r="BE105" s="508"/>
      <c r="BF105" s="508">
        <v>0</v>
      </c>
      <c r="BG105" s="508">
        <v>0</v>
      </c>
      <c r="BH105" s="508">
        <v>0</v>
      </c>
      <c r="BI105" s="508">
        <v>0</v>
      </c>
      <c r="BJ105" s="508">
        <v>0</v>
      </c>
      <c r="BK105" s="508">
        <v>244501</v>
      </c>
      <c r="BL105" s="508">
        <v>244501</v>
      </c>
      <c r="BM105" s="508">
        <v>244501</v>
      </c>
      <c r="BN105" s="508"/>
      <c r="BO105" s="508"/>
    </row>
    <row r="106" spans="1:67" s="484" customFormat="1">
      <c r="A106" s="484" t="s">
        <v>890</v>
      </c>
      <c r="B106" s="484" t="s">
        <v>891</v>
      </c>
      <c r="C106" s="484" t="s">
        <v>438</v>
      </c>
      <c r="D106" s="484" t="s">
        <v>892</v>
      </c>
      <c r="E106" s="484" t="s">
        <v>893</v>
      </c>
      <c r="F106" s="484" t="s">
        <v>906</v>
      </c>
      <c r="G106" s="484" t="s">
        <v>906</v>
      </c>
      <c r="H106" s="484" t="s">
        <v>1169</v>
      </c>
      <c r="I106" s="484" t="s">
        <v>937</v>
      </c>
      <c r="J106" s="484" t="s">
        <v>1170</v>
      </c>
      <c r="K106" s="484" t="s">
        <v>895</v>
      </c>
      <c r="L106" s="484" t="s">
        <v>896</v>
      </c>
      <c r="M106" s="484" t="s">
        <v>890</v>
      </c>
      <c r="N106" s="484" t="s">
        <v>939</v>
      </c>
      <c r="O106" s="484" t="s">
        <v>924</v>
      </c>
      <c r="P106" s="484" t="s">
        <v>940</v>
      </c>
      <c r="Q106" s="484" t="s">
        <v>941</v>
      </c>
      <c r="R106" s="484" t="s">
        <v>941</v>
      </c>
      <c r="S106" s="484" t="s">
        <v>438</v>
      </c>
      <c r="T106" s="484" t="s">
        <v>942</v>
      </c>
      <c r="U106" s="484" t="s">
        <v>943</v>
      </c>
      <c r="V106" s="484">
        <v>0</v>
      </c>
      <c r="W106" s="484">
        <v>0</v>
      </c>
      <c r="X106" s="484">
        <v>0</v>
      </c>
      <c r="Y106" s="484">
        <v>41653</v>
      </c>
      <c r="Z106" s="484" t="s">
        <v>944</v>
      </c>
      <c r="AA106" s="484" t="s">
        <v>941</v>
      </c>
      <c r="AB106" s="484">
        <v>41653</v>
      </c>
      <c r="AC106" s="484" t="s">
        <v>911</v>
      </c>
      <c r="AD106" s="484" t="s">
        <v>912</v>
      </c>
      <c r="AE106" s="484">
        <v>41653</v>
      </c>
      <c r="AF106" s="484" t="s">
        <v>947</v>
      </c>
      <c r="AG106" s="484" t="s">
        <v>902</v>
      </c>
      <c r="AH106" s="484">
        <v>3785</v>
      </c>
      <c r="AI106" s="484">
        <v>37868</v>
      </c>
      <c r="AJ106" s="484" t="s">
        <v>438</v>
      </c>
      <c r="AL106" s="484" t="s">
        <v>1171</v>
      </c>
      <c r="AM106" s="484">
        <v>1</v>
      </c>
      <c r="AN106" s="484">
        <v>0</v>
      </c>
      <c r="AO106" s="484">
        <v>0</v>
      </c>
      <c r="AP106" s="484">
        <v>0</v>
      </c>
      <c r="AQ106" s="484" t="s">
        <v>438</v>
      </c>
      <c r="AS106" s="484" t="s">
        <v>947</v>
      </c>
      <c r="AT106" s="484" t="s">
        <v>902</v>
      </c>
      <c r="AV106" s="508">
        <v>0</v>
      </c>
      <c r="AW106" s="508">
        <v>0</v>
      </c>
      <c r="AX106" s="508">
        <v>0</v>
      </c>
      <c r="AY106" s="508">
        <v>0</v>
      </c>
      <c r="AZ106" s="508">
        <v>0</v>
      </c>
      <c r="BA106" s="508">
        <v>41653</v>
      </c>
      <c r="BB106" s="508">
        <v>41653</v>
      </c>
      <c r="BC106" s="508">
        <v>41653</v>
      </c>
      <c r="BD106" s="508">
        <v>0</v>
      </c>
      <c r="BE106" s="508"/>
      <c r="BF106" s="508">
        <v>0</v>
      </c>
      <c r="BG106" s="508">
        <v>0</v>
      </c>
      <c r="BH106" s="508">
        <v>0</v>
      </c>
      <c r="BI106" s="508">
        <v>0</v>
      </c>
      <c r="BJ106" s="508">
        <v>0</v>
      </c>
      <c r="BK106" s="508">
        <v>37866</v>
      </c>
      <c r="BL106" s="508">
        <v>37866</v>
      </c>
      <c r="BM106" s="508">
        <v>37866</v>
      </c>
      <c r="BN106" s="508"/>
      <c r="BO106" s="508"/>
    </row>
    <row r="107" spans="1:67" s="484" customFormat="1">
      <c r="A107" s="484" t="s">
        <v>890</v>
      </c>
      <c r="B107" s="484" t="s">
        <v>891</v>
      </c>
      <c r="C107" s="484" t="s">
        <v>438</v>
      </c>
      <c r="D107" s="484" t="s">
        <v>892</v>
      </c>
      <c r="E107" s="484" t="s">
        <v>893</v>
      </c>
      <c r="F107" s="484" t="s">
        <v>906</v>
      </c>
      <c r="G107" s="484" t="s">
        <v>906</v>
      </c>
      <c r="H107" s="484" t="s">
        <v>1169</v>
      </c>
      <c r="I107" s="484" t="s">
        <v>937</v>
      </c>
      <c r="J107" s="484" t="s">
        <v>1172</v>
      </c>
      <c r="K107" s="484" t="s">
        <v>895</v>
      </c>
      <c r="L107" s="484" t="s">
        <v>896</v>
      </c>
      <c r="M107" s="484" t="s">
        <v>890</v>
      </c>
      <c r="N107" s="484" t="s">
        <v>939</v>
      </c>
      <c r="O107" s="484" t="s">
        <v>924</v>
      </c>
      <c r="P107" s="484" t="s">
        <v>940</v>
      </c>
      <c r="Q107" s="484" t="s">
        <v>941</v>
      </c>
      <c r="R107" s="484" t="s">
        <v>941</v>
      </c>
      <c r="S107" s="484" t="s">
        <v>438</v>
      </c>
      <c r="T107" s="484" t="s">
        <v>942</v>
      </c>
      <c r="U107" s="484" t="s">
        <v>943</v>
      </c>
      <c r="V107" s="484">
        <v>0</v>
      </c>
      <c r="W107" s="484">
        <v>0</v>
      </c>
      <c r="X107" s="484">
        <v>0</v>
      </c>
      <c r="Y107" s="484">
        <v>2940580</v>
      </c>
      <c r="Z107" s="484" t="s">
        <v>944</v>
      </c>
      <c r="AA107" s="484" t="s">
        <v>941</v>
      </c>
      <c r="AB107" s="484">
        <v>2940580</v>
      </c>
      <c r="AC107" s="484" t="s">
        <v>911</v>
      </c>
      <c r="AD107" s="484" t="s">
        <v>912</v>
      </c>
      <c r="AE107" s="484">
        <v>2940580</v>
      </c>
      <c r="AF107" s="484" t="s">
        <v>947</v>
      </c>
      <c r="AG107" s="484" t="s">
        <v>902</v>
      </c>
      <c r="AH107" s="484">
        <v>267323</v>
      </c>
      <c r="AI107" s="484">
        <v>2673257</v>
      </c>
      <c r="AJ107" s="484" t="s">
        <v>438</v>
      </c>
      <c r="AL107" s="484" t="s">
        <v>1173</v>
      </c>
      <c r="AM107" s="484">
        <v>1</v>
      </c>
      <c r="AN107" s="484">
        <v>0</v>
      </c>
      <c r="AO107" s="484">
        <v>0</v>
      </c>
      <c r="AP107" s="484">
        <v>0</v>
      </c>
      <c r="AQ107" s="484" t="s">
        <v>438</v>
      </c>
      <c r="AS107" s="484" t="s">
        <v>947</v>
      </c>
      <c r="AT107" s="484" t="s">
        <v>902</v>
      </c>
      <c r="AV107" s="508">
        <v>0</v>
      </c>
      <c r="AW107" s="508">
        <v>0</v>
      </c>
      <c r="AX107" s="508">
        <v>0</v>
      </c>
      <c r="AY107" s="508">
        <v>0</v>
      </c>
      <c r="AZ107" s="508">
        <v>0</v>
      </c>
      <c r="BA107" s="508">
        <v>2940580</v>
      </c>
      <c r="BB107" s="508">
        <v>2940580</v>
      </c>
      <c r="BC107" s="508">
        <v>2940580</v>
      </c>
      <c r="BD107" s="508">
        <v>0</v>
      </c>
      <c r="BE107" s="508"/>
      <c r="BF107" s="508">
        <v>0</v>
      </c>
      <c r="BG107" s="508">
        <v>0</v>
      </c>
      <c r="BH107" s="508">
        <v>0</v>
      </c>
      <c r="BI107" s="508">
        <v>0</v>
      </c>
      <c r="BJ107" s="508">
        <v>0</v>
      </c>
      <c r="BK107" s="508">
        <v>2673254</v>
      </c>
      <c r="BL107" s="508">
        <v>2673254</v>
      </c>
      <c r="BM107" s="508">
        <v>2673254</v>
      </c>
      <c r="BN107" s="508"/>
      <c r="BO107" s="508"/>
    </row>
    <row r="108" spans="1:67" s="484" customFormat="1">
      <c r="A108" s="484" t="s">
        <v>890</v>
      </c>
      <c r="B108" s="484" t="s">
        <v>891</v>
      </c>
      <c r="C108" s="484" t="s">
        <v>438</v>
      </c>
      <c r="D108" s="484" t="s">
        <v>892</v>
      </c>
      <c r="E108" s="484" t="s">
        <v>893</v>
      </c>
      <c r="F108" s="484" t="s">
        <v>894</v>
      </c>
      <c r="G108" s="484" t="s">
        <v>894</v>
      </c>
      <c r="H108" s="484" t="s">
        <v>1174</v>
      </c>
      <c r="I108" s="484" t="s">
        <v>937</v>
      </c>
      <c r="J108" s="484" t="s">
        <v>1175</v>
      </c>
      <c r="K108" s="484" t="s">
        <v>895</v>
      </c>
      <c r="L108" s="484" t="s">
        <v>896</v>
      </c>
      <c r="M108" s="484" t="s">
        <v>890</v>
      </c>
      <c r="N108" s="484" t="s">
        <v>939</v>
      </c>
      <c r="O108" s="484" t="s">
        <v>924</v>
      </c>
      <c r="P108" s="484" t="s">
        <v>940</v>
      </c>
      <c r="Q108" s="484" t="s">
        <v>941</v>
      </c>
      <c r="R108" s="484" t="s">
        <v>941</v>
      </c>
      <c r="S108" s="484" t="s">
        <v>438</v>
      </c>
      <c r="T108" s="484" t="s">
        <v>942</v>
      </c>
      <c r="U108" s="484" t="s">
        <v>943</v>
      </c>
      <c r="V108" s="484">
        <v>0</v>
      </c>
      <c r="W108" s="484">
        <v>0</v>
      </c>
      <c r="X108" s="484">
        <v>0</v>
      </c>
      <c r="Y108" s="484">
        <v>24551</v>
      </c>
      <c r="Z108" s="484" t="s">
        <v>944</v>
      </c>
      <c r="AA108" s="484" t="s">
        <v>941</v>
      </c>
      <c r="AB108" s="484">
        <v>24551</v>
      </c>
      <c r="AC108" s="484" t="s">
        <v>911</v>
      </c>
      <c r="AD108" s="484" t="s">
        <v>912</v>
      </c>
      <c r="AE108" s="484">
        <v>24551</v>
      </c>
      <c r="AF108" s="484" t="s">
        <v>947</v>
      </c>
      <c r="AG108" s="484" t="s">
        <v>902</v>
      </c>
      <c r="AH108" s="484">
        <v>2231</v>
      </c>
      <c r="AI108" s="484">
        <v>22320</v>
      </c>
      <c r="AJ108" s="484" t="s">
        <v>438</v>
      </c>
      <c r="AL108" s="484" t="s">
        <v>1176</v>
      </c>
      <c r="AM108" s="484">
        <v>1</v>
      </c>
      <c r="AN108" s="484">
        <v>0</v>
      </c>
      <c r="AO108" s="484">
        <v>0</v>
      </c>
      <c r="AP108" s="484">
        <v>0</v>
      </c>
      <c r="AQ108" s="484" t="s">
        <v>438</v>
      </c>
      <c r="AS108" s="484" t="s">
        <v>947</v>
      </c>
      <c r="AT108" s="484" t="s">
        <v>902</v>
      </c>
      <c r="AV108" s="508">
        <v>0</v>
      </c>
      <c r="AW108" s="508">
        <v>0</v>
      </c>
      <c r="AX108" s="508">
        <v>0</v>
      </c>
      <c r="AY108" s="508">
        <v>0</v>
      </c>
      <c r="AZ108" s="508">
        <v>0</v>
      </c>
      <c r="BA108" s="508">
        <v>24551</v>
      </c>
      <c r="BB108" s="508">
        <v>24551</v>
      </c>
      <c r="BC108" s="508">
        <v>24551</v>
      </c>
      <c r="BD108" s="508">
        <v>0</v>
      </c>
      <c r="BE108" s="508"/>
      <c r="BF108" s="508">
        <v>0</v>
      </c>
      <c r="BG108" s="508">
        <v>0</v>
      </c>
      <c r="BH108" s="508">
        <v>0</v>
      </c>
      <c r="BI108" s="508">
        <v>0</v>
      </c>
      <c r="BJ108" s="508">
        <v>0</v>
      </c>
      <c r="BK108" s="508">
        <v>22319</v>
      </c>
      <c r="BL108" s="508">
        <v>22319</v>
      </c>
      <c r="BM108" s="508">
        <v>22319</v>
      </c>
      <c r="BN108" s="508"/>
      <c r="BO108" s="508"/>
    </row>
    <row r="109" spans="1:67" s="484" customFormat="1">
      <c r="A109" s="484" t="s">
        <v>918</v>
      </c>
      <c r="B109" s="484" t="s">
        <v>891</v>
      </c>
      <c r="C109" s="484" t="s">
        <v>438</v>
      </c>
      <c r="D109" s="484" t="s">
        <v>892</v>
      </c>
      <c r="E109" s="484" t="s">
        <v>893</v>
      </c>
      <c r="F109" s="484" t="s">
        <v>916</v>
      </c>
      <c r="G109" s="484" t="s">
        <v>916</v>
      </c>
      <c r="H109" s="484" t="s">
        <v>1177</v>
      </c>
      <c r="I109" s="484" t="s">
        <v>937</v>
      </c>
      <c r="J109" s="484" t="s">
        <v>1178</v>
      </c>
      <c r="K109" s="484" t="s">
        <v>895</v>
      </c>
      <c r="L109" s="484" t="s">
        <v>896</v>
      </c>
      <c r="M109" s="484" t="s">
        <v>890</v>
      </c>
      <c r="N109" s="484" t="s">
        <v>939</v>
      </c>
      <c r="O109" s="484" t="s">
        <v>924</v>
      </c>
      <c r="P109" s="484" t="s">
        <v>940</v>
      </c>
      <c r="Q109" s="484" t="s">
        <v>941</v>
      </c>
      <c r="R109" s="484" t="s">
        <v>941</v>
      </c>
      <c r="S109" s="484" t="s">
        <v>438</v>
      </c>
      <c r="T109" s="484" t="s">
        <v>1179</v>
      </c>
      <c r="U109" s="484" t="s">
        <v>1180</v>
      </c>
      <c r="V109" s="484">
        <v>0</v>
      </c>
      <c r="W109" s="484">
        <v>0</v>
      </c>
      <c r="X109" s="484">
        <v>0</v>
      </c>
      <c r="Y109" s="484">
        <v>160124</v>
      </c>
      <c r="Z109" s="484" t="s">
        <v>944</v>
      </c>
      <c r="AA109" s="484" t="s">
        <v>941</v>
      </c>
      <c r="AB109" s="484">
        <v>160124</v>
      </c>
      <c r="AC109" s="484" t="s">
        <v>911</v>
      </c>
      <c r="AD109" s="484" t="s">
        <v>912</v>
      </c>
      <c r="AE109" s="484">
        <v>160124</v>
      </c>
      <c r="AF109" s="484" t="s">
        <v>947</v>
      </c>
      <c r="AG109" s="484" t="s">
        <v>902</v>
      </c>
      <c r="AH109" s="484">
        <v>14556</v>
      </c>
      <c r="AI109" s="484">
        <v>145568</v>
      </c>
      <c r="AJ109" s="484" t="s">
        <v>438</v>
      </c>
      <c r="AL109" s="484" t="s">
        <v>1181</v>
      </c>
      <c r="AM109" s="484">
        <v>1</v>
      </c>
      <c r="AN109" s="484">
        <v>0</v>
      </c>
      <c r="AO109" s="484">
        <v>0</v>
      </c>
      <c r="AP109" s="484">
        <v>0</v>
      </c>
      <c r="AQ109" s="484" t="s">
        <v>438</v>
      </c>
      <c r="AS109" s="484" t="s">
        <v>947</v>
      </c>
      <c r="AT109" s="484" t="s">
        <v>902</v>
      </c>
      <c r="AV109" s="508">
        <v>0</v>
      </c>
      <c r="AW109" s="508">
        <v>0</v>
      </c>
      <c r="AX109" s="508">
        <v>0</v>
      </c>
      <c r="AY109" s="508">
        <v>0</v>
      </c>
      <c r="AZ109" s="508">
        <v>0</v>
      </c>
      <c r="BA109" s="508">
        <v>160124</v>
      </c>
      <c r="BB109" s="508">
        <v>160124</v>
      </c>
      <c r="BC109" s="508">
        <v>160124</v>
      </c>
      <c r="BD109" s="508">
        <v>0</v>
      </c>
      <c r="BE109" s="508"/>
      <c r="BF109" s="508">
        <v>0</v>
      </c>
      <c r="BG109" s="508">
        <v>0</v>
      </c>
      <c r="BH109" s="508">
        <v>0</v>
      </c>
      <c r="BI109" s="508">
        <v>0</v>
      </c>
      <c r="BJ109" s="508">
        <v>0</v>
      </c>
      <c r="BK109" s="508">
        <v>145567</v>
      </c>
      <c r="BL109" s="508">
        <v>145567</v>
      </c>
      <c r="BM109" s="508">
        <v>145567</v>
      </c>
      <c r="BN109" s="508"/>
      <c r="BO109" s="508"/>
    </row>
    <row r="110" spans="1:67" s="484" customFormat="1">
      <c r="A110" s="484" t="s">
        <v>901</v>
      </c>
      <c r="B110" s="484" t="s">
        <v>891</v>
      </c>
      <c r="C110" s="484" t="s">
        <v>438</v>
      </c>
      <c r="D110" s="484" t="s">
        <v>892</v>
      </c>
      <c r="E110" s="484" t="s">
        <v>893</v>
      </c>
      <c r="F110" s="484" t="s">
        <v>916</v>
      </c>
      <c r="G110" s="484" t="s">
        <v>916</v>
      </c>
      <c r="H110" s="484" t="s">
        <v>1182</v>
      </c>
      <c r="I110" s="484" t="s">
        <v>937</v>
      </c>
      <c r="J110" s="484" t="s">
        <v>1183</v>
      </c>
      <c r="K110" s="484" t="s">
        <v>895</v>
      </c>
      <c r="L110" s="484" t="s">
        <v>896</v>
      </c>
      <c r="M110" s="484" t="s">
        <v>890</v>
      </c>
      <c r="N110" s="484" t="s">
        <v>939</v>
      </c>
      <c r="O110" s="484" t="s">
        <v>924</v>
      </c>
      <c r="P110" s="484" t="s">
        <v>940</v>
      </c>
      <c r="Q110" s="484" t="s">
        <v>941</v>
      </c>
      <c r="R110" s="484" t="s">
        <v>941</v>
      </c>
      <c r="S110" s="484" t="s">
        <v>438</v>
      </c>
      <c r="T110" s="484" t="s">
        <v>1184</v>
      </c>
      <c r="U110" s="484" t="s">
        <v>1185</v>
      </c>
      <c r="V110" s="484">
        <v>0</v>
      </c>
      <c r="W110" s="484">
        <v>0</v>
      </c>
      <c r="X110" s="484">
        <v>0</v>
      </c>
      <c r="Y110" s="484">
        <v>35499</v>
      </c>
      <c r="Z110" s="484" t="s">
        <v>944</v>
      </c>
      <c r="AA110" s="484" t="s">
        <v>941</v>
      </c>
      <c r="AB110" s="484">
        <v>35499</v>
      </c>
      <c r="AC110" s="484" t="s">
        <v>911</v>
      </c>
      <c r="AD110" s="484" t="s">
        <v>912</v>
      </c>
      <c r="AE110" s="484">
        <v>35499</v>
      </c>
      <c r="AF110" s="484" t="s">
        <v>947</v>
      </c>
      <c r="AG110" s="484" t="s">
        <v>902</v>
      </c>
      <c r="AH110" s="484">
        <v>3227</v>
      </c>
      <c r="AI110" s="484">
        <v>32272</v>
      </c>
      <c r="AJ110" s="484" t="s">
        <v>438</v>
      </c>
      <c r="AL110" s="484" t="s">
        <v>1186</v>
      </c>
      <c r="AM110" s="484">
        <v>1</v>
      </c>
      <c r="AN110" s="484">
        <v>0</v>
      </c>
      <c r="AO110" s="484">
        <v>0</v>
      </c>
      <c r="AP110" s="484">
        <v>0</v>
      </c>
      <c r="AQ110" s="484" t="s">
        <v>438</v>
      </c>
      <c r="AS110" s="484" t="s">
        <v>947</v>
      </c>
      <c r="AT110" s="484" t="s">
        <v>902</v>
      </c>
      <c r="AV110" s="508">
        <v>0</v>
      </c>
      <c r="AW110" s="508">
        <v>0</v>
      </c>
      <c r="AX110" s="508">
        <v>0</v>
      </c>
      <c r="AY110" s="508">
        <v>0</v>
      </c>
      <c r="AZ110" s="508">
        <v>0</v>
      </c>
      <c r="BA110" s="508">
        <v>35499</v>
      </c>
      <c r="BB110" s="508">
        <v>35499</v>
      </c>
      <c r="BC110" s="508">
        <v>35499</v>
      </c>
      <c r="BD110" s="508">
        <v>0</v>
      </c>
      <c r="BE110" s="508"/>
      <c r="BF110" s="508">
        <v>0</v>
      </c>
      <c r="BG110" s="508">
        <v>0</v>
      </c>
      <c r="BH110" s="508">
        <v>0</v>
      </c>
      <c r="BI110" s="508">
        <v>0</v>
      </c>
      <c r="BJ110" s="508">
        <v>0</v>
      </c>
      <c r="BK110" s="508">
        <v>32272</v>
      </c>
      <c r="BL110" s="508">
        <v>32272</v>
      </c>
      <c r="BM110" s="508">
        <v>32272</v>
      </c>
      <c r="BN110" s="508"/>
      <c r="BO110" s="508"/>
    </row>
    <row r="111" spans="1:67" s="484" customFormat="1">
      <c r="AV111" s="508"/>
      <c r="AW111" s="508"/>
      <c r="AX111" s="508"/>
      <c r="AY111" s="508"/>
      <c r="AZ111" s="508"/>
      <c r="BA111" s="508"/>
      <c r="BB111" s="508"/>
      <c r="BC111" s="508"/>
      <c r="BD111" s="508"/>
      <c r="BE111" s="508"/>
      <c r="BF111" s="508"/>
      <c r="BG111" s="508"/>
      <c r="BH111" s="508"/>
      <c r="BI111" s="508"/>
      <c r="BJ111" s="508"/>
      <c r="BK111" s="508"/>
      <c r="BL111" s="508"/>
      <c r="BM111" s="508"/>
      <c r="BN111" s="508"/>
      <c r="BO111" s="508"/>
    </row>
    <row r="112" spans="1:67" s="484" customFormat="1">
      <c r="AV112" s="508"/>
      <c r="AW112" s="508"/>
      <c r="AX112" s="508"/>
      <c r="AY112" s="508"/>
      <c r="AZ112" s="508"/>
      <c r="BA112" s="508"/>
      <c r="BB112" s="508"/>
      <c r="BC112" s="508"/>
      <c r="BD112" s="508"/>
      <c r="BE112" s="508"/>
      <c r="BF112" s="508"/>
      <c r="BG112" s="508"/>
      <c r="BH112" s="508"/>
      <c r="BI112" s="508"/>
      <c r="BJ112" s="508"/>
      <c r="BK112" s="508"/>
      <c r="BL112" s="508"/>
      <c r="BM112" s="508"/>
      <c r="BN112" s="508"/>
      <c r="BO112" s="508"/>
    </row>
    <row r="113" spans="48:67" s="484" customFormat="1">
      <c r="AV113" s="508"/>
      <c r="AW113" s="508"/>
      <c r="AX113" s="508"/>
      <c r="AY113" s="508"/>
      <c r="AZ113" s="508"/>
      <c r="BA113" s="508"/>
      <c r="BB113" s="508"/>
      <c r="BC113" s="508"/>
      <c r="BD113" s="508"/>
      <c r="BE113" s="508"/>
      <c r="BF113" s="508"/>
      <c r="BG113" s="508"/>
      <c r="BH113" s="508"/>
      <c r="BI113" s="508"/>
      <c r="BJ113" s="508"/>
      <c r="BK113" s="508"/>
      <c r="BL113" s="508"/>
      <c r="BM113" s="508"/>
      <c r="BN113" s="508"/>
      <c r="BO113" s="508"/>
    </row>
    <row r="114" spans="48:67" s="484" customFormat="1">
      <c r="AV114" s="508"/>
      <c r="AW114" s="508"/>
      <c r="AX114" s="508"/>
      <c r="AY114" s="508"/>
      <c r="AZ114" s="508"/>
      <c r="BA114" s="508"/>
      <c r="BB114" s="508"/>
      <c r="BC114" s="508"/>
      <c r="BD114" s="508"/>
      <c r="BE114" s="508"/>
      <c r="BF114" s="508"/>
      <c r="BG114" s="508"/>
      <c r="BH114" s="508"/>
      <c r="BI114" s="508"/>
      <c r="BJ114" s="508"/>
      <c r="BK114" s="508"/>
      <c r="BL114" s="508"/>
      <c r="BM114" s="508"/>
      <c r="BN114" s="508"/>
      <c r="BO114" s="508"/>
    </row>
    <row r="115" spans="48:67" s="484" customFormat="1">
      <c r="AV115" s="508"/>
      <c r="AW115" s="508"/>
      <c r="AX115" s="508"/>
      <c r="AY115" s="508"/>
      <c r="AZ115" s="508"/>
      <c r="BA115" s="508"/>
      <c r="BB115" s="508"/>
      <c r="BC115" s="508"/>
      <c r="BD115" s="508"/>
      <c r="BE115" s="508"/>
      <c r="BF115" s="508"/>
      <c r="BG115" s="508"/>
      <c r="BH115" s="508"/>
      <c r="BI115" s="508"/>
      <c r="BJ115" s="508"/>
      <c r="BK115" s="508"/>
      <c r="BL115" s="508"/>
      <c r="BM115" s="508"/>
      <c r="BN115" s="508"/>
      <c r="BO115" s="508"/>
    </row>
    <row r="116" spans="48:67" s="484" customFormat="1">
      <c r="AV116" s="508"/>
      <c r="AW116" s="508"/>
      <c r="AX116" s="508"/>
      <c r="AY116" s="508"/>
      <c r="AZ116" s="508"/>
      <c r="BA116" s="508"/>
      <c r="BB116" s="508"/>
      <c r="BC116" s="508"/>
      <c r="BD116" s="508"/>
      <c r="BE116" s="508"/>
      <c r="BF116" s="508"/>
      <c r="BG116" s="508"/>
      <c r="BH116" s="508"/>
      <c r="BI116" s="508"/>
      <c r="BJ116" s="508"/>
      <c r="BK116" s="508"/>
      <c r="BL116" s="508"/>
      <c r="BM116" s="508"/>
      <c r="BN116" s="508"/>
      <c r="BO116" s="508"/>
    </row>
    <row r="117" spans="48:67" s="484" customFormat="1">
      <c r="AV117" s="508"/>
      <c r="AW117" s="508"/>
      <c r="AX117" s="508"/>
      <c r="AY117" s="508"/>
      <c r="AZ117" s="508"/>
      <c r="BA117" s="508"/>
      <c r="BB117" s="508"/>
      <c r="BC117" s="508"/>
      <c r="BD117" s="508"/>
      <c r="BE117" s="508"/>
      <c r="BF117" s="508"/>
      <c r="BG117" s="508"/>
      <c r="BH117" s="508"/>
      <c r="BI117" s="508"/>
      <c r="BJ117" s="508"/>
      <c r="BK117" s="508"/>
      <c r="BL117" s="508"/>
      <c r="BM117" s="508"/>
      <c r="BN117" s="508"/>
      <c r="BO117" s="508"/>
    </row>
    <row r="118" spans="48:67" s="484" customFormat="1">
      <c r="AV118" s="508"/>
      <c r="AW118" s="508"/>
      <c r="AX118" s="508"/>
      <c r="AY118" s="508"/>
      <c r="AZ118" s="508"/>
      <c r="BA118" s="508"/>
      <c r="BB118" s="508"/>
      <c r="BC118" s="508"/>
      <c r="BD118" s="508"/>
      <c r="BE118" s="508"/>
      <c r="BF118" s="508"/>
      <c r="BG118" s="508"/>
      <c r="BH118" s="508"/>
      <c r="BI118" s="508"/>
      <c r="BJ118" s="508"/>
      <c r="BK118" s="508"/>
      <c r="BL118" s="508"/>
      <c r="BM118" s="508"/>
      <c r="BN118" s="508"/>
      <c r="BO118" s="508"/>
    </row>
    <row r="119" spans="48:67" s="484" customFormat="1">
      <c r="AV119" s="508"/>
      <c r="AW119" s="508"/>
      <c r="AX119" s="508"/>
      <c r="AY119" s="508"/>
      <c r="AZ119" s="508"/>
      <c r="BA119" s="508"/>
      <c r="BB119" s="508"/>
      <c r="BC119" s="508"/>
      <c r="BD119" s="508"/>
      <c r="BE119" s="508"/>
      <c r="BF119" s="508"/>
      <c r="BG119" s="508"/>
      <c r="BH119" s="508"/>
      <c r="BI119" s="508"/>
      <c r="BJ119" s="508"/>
      <c r="BK119" s="508"/>
      <c r="BL119" s="508"/>
      <c r="BM119" s="508"/>
      <c r="BN119" s="508"/>
      <c r="BO119" s="508"/>
    </row>
    <row r="120" spans="48:67" s="484" customFormat="1">
      <c r="AV120" s="508"/>
      <c r="AW120" s="508"/>
      <c r="AX120" s="508"/>
      <c r="AY120" s="508"/>
      <c r="AZ120" s="508"/>
      <c r="BA120" s="508"/>
      <c r="BB120" s="508"/>
      <c r="BC120" s="508"/>
      <c r="BD120" s="508"/>
      <c r="BE120" s="508"/>
      <c r="BF120" s="508"/>
      <c r="BG120" s="508"/>
      <c r="BH120" s="508"/>
      <c r="BI120" s="508"/>
      <c r="BJ120" s="508"/>
      <c r="BK120" s="508"/>
      <c r="BL120" s="508"/>
      <c r="BM120" s="508"/>
      <c r="BN120" s="508"/>
      <c r="BO120" s="508"/>
    </row>
    <row r="121" spans="48:67" s="484" customFormat="1">
      <c r="AV121" s="508"/>
      <c r="AW121" s="508"/>
      <c r="AX121" s="508"/>
      <c r="AY121" s="508"/>
      <c r="AZ121" s="508"/>
      <c r="BA121" s="508"/>
      <c r="BB121" s="508"/>
      <c r="BC121" s="508"/>
      <c r="BD121" s="508"/>
      <c r="BE121" s="508"/>
      <c r="BF121" s="508"/>
      <c r="BG121" s="508"/>
      <c r="BH121" s="508"/>
      <c r="BI121" s="508"/>
      <c r="BJ121" s="508"/>
      <c r="BK121" s="508"/>
      <c r="BL121" s="508"/>
      <c r="BM121" s="508"/>
      <c r="BN121" s="508"/>
      <c r="BO121" s="508"/>
    </row>
    <row r="122" spans="48:67" s="484" customFormat="1">
      <c r="AV122" s="508"/>
      <c r="AW122" s="508"/>
      <c r="AX122" s="508"/>
      <c r="AY122" s="508"/>
      <c r="AZ122" s="508"/>
      <c r="BA122" s="508"/>
      <c r="BB122" s="508"/>
      <c r="BC122" s="508"/>
      <c r="BD122" s="508"/>
      <c r="BE122" s="508"/>
      <c r="BF122" s="508"/>
      <c r="BG122" s="508"/>
      <c r="BH122" s="508"/>
      <c r="BI122" s="508"/>
      <c r="BJ122" s="508"/>
      <c r="BK122" s="508"/>
      <c r="BL122" s="508"/>
      <c r="BM122" s="508"/>
      <c r="BN122" s="508"/>
      <c r="BO122" s="508"/>
    </row>
    <row r="123" spans="48:67" s="484" customFormat="1">
      <c r="AV123" s="508"/>
      <c r="AW123" s="508"/>
      <c r="AX123" s="508"/>
      <c r="AY123" s="508"/>
      <c r="AZ123" s="508"/>
      <c r="BA123" s="508"/>
      <c r="BB123" s="508"/>
      <c r="BC123" s="508"/>
      <c r="BD123" s="508"/>
      <c r="BE123" s="508"/>
      <c r="BF123" s="508"/>
      <c r="BG123" s="508"/>
      <c r="BH123" s="508"/>
      <c r="BI123" s="508"/>
      <c r="BJ123" s="508"/>
      <c r="BK123" s="508"/>
      <c r="BL123" s="508"/>
      <c r="BM123" s="508"/>
      <c r="BN123" s="508"/>
      <c r="BO123" s="508"/>
    </row>
    <row r="124" spans="48:67" s="484" customFormat="1">
      <c r="AV124" s="508"/>
      <c r="AW124" s="508"/>
      <c r="AX124" s="508"/>
      <c r="AY124" s="508"/>
      <c r="AZ124" s="508"/>
      <c r="BA124" s="508"/>
      <c r="BB124" s="508"/>
      <c r="BC124" s="508"/>
      <c r="BD124" s="508"/>
      <c r="BE124" s="508"/>
      <c r="BF124" s="508"/>
      <c r="BG124" s="508"/>
      <c r="BH124" s="508"/>
      <c r="BI124" s="508"/>
      <c r="BJ124" s="508"/>
      <c r="BK124" s="508"/>
      <c r="BL124" s="508"/>
      <c r="BM124" s="508"/>
      <c r="BN124" s="508"/>
      <c r="BO124" s="508"/>
    </row>
    <row r="125" spans="48:67" s="484" customFormat="1">
      <c r="AV125" s="508"/>
      <c r="AW125" s="508"/>
      <c r="AX125" s="508"/>
      <c r="AY125" s="508"/>
      <c r="AZ125" s="508"/>
      <c r="BA125" s="508"/>
      <c r="BB125" s="508"/>
      <c r="BC125" s="508"/>
      <c r="BD125" s="508"/>
      <c r="BE125" s="508"/>
      <c r="BF125" s="508"/>
      <c r="BG125" s="508"/>
      <c r="BH125" s="508"/>
      <c r="BI125" s="508"/>
      <c r="BJ125" s="508"/>
      <c r="BK125" s="508"/>
      <c r="BL125" s="508"/>
      <c r="BM125" s="508"/>
      <c r="BN125" s="508"/>
      <c r="BO125" s="508"/>
    </row>
    <row r="126" spans="48:67" s="484" customFormat="1">
      <c r="AV126" s="508"/>
      <c r="AW126" s="508"/>
      <c r="AX126" s="508"/>
      <c r="AY126" s="508"/>
      <c r="AZ126" s="508"/>
      <c r="BA126" s="508"/>
      <c r="BB126" s="508"/>
      <c r="BC126" s="508"/>
      <c r="BD126" s="508"/>
      <c r="BE126" s="508"/>
      <c r="BF126" s="508"/>
      <c r="BG126" s="508"/>
      <c r="BH126" s="508"/>
      <c r="BI126" s="508"/>
      <c r="BJ126" s="508"/>
      <c r="BK126" s="508"/>
      <c r="BL126" s="508"/>
      <c r="BM126" s="508"/>
      <c r="BN126" s="508"/>
      <c r="BO126" s="508"/>
    </row>
    <row r="127" spans="48:67" s="484" customFormat="1">
      <c r="AV127" s="508"/>
      <c r="AW127" s="508"/>
      <c r="AX127" s="508"/>
      <c r="AY127" s="508"/>
      <c r="AZ127" s="508"/>
      <c r="BA127" s="508"/>
      <c r="BB127" s="508"/>
      <c r="BC127" s="508"/>
      <c r="BD127" s="508"/>
      <c r="BE127" s="508"/>
      <c r="BF127" s="508"/>
      <c r="BG127" s="508"/>
      <c r="BH127" s="508"/>
      <c r="BI127" s="508"/>
      <c r="BJ127" s="508"/>
      <c r="BK127" s="508"/>
      <c r="BL127" s="508"/>
      <c r="BM127" s="508"/>
      <c r="BN127" s="508"/>
      <c r="BO127" s="508"/>
    </row>
    <row r="128" spans="48:67" s="484" customFormat="1">
      <c r="AV128" s="508"/>
      <c r="AW128" s="508"/>
      <c r="AX128" s="508"/>
      <c r="AY128" s="508"/>
      <c r="AZ128" s="508"/>
      <c r="BA128" s="508"/>
      <c r="BB128" s="508"/>
      <c r="BC128" s="508"/>
      <c r="BD128" s="508"/>
      <c r="BE128" s="508"/>
      <c r="BF128" s="508"/>
      <c r="BG128" s="508"/>
      <c r="BH128" s="508"/>
      <c r="BI128" s="508"/>
      <c r="BJ128" s="508"/>
      <c r="BK128" s="508"/>
      <c r="BL128" s="508"/>
      <c r="BM128" s="508"/>
      <c r="BN128" s="508"/>
      <c r="BO128" s="508"/>
    </row>
    <row r="129" spans="48:67" s="484" customFormat="1">
      <c r="AV129" s="508"/>
      <c r="AW129" s="508"/>
      <c r="AX129" s="508"/>
      <c r="AY129" s="508"/>
      <c r="AZ129" s="508"/>
      <c r="BA129" s="508"/>
      <c r="BB129" s="508"/>
      <c r="BC129" s="508"/>
      <c r="BD129" s="508"/>
      <c r="BE129" s="508"/>
      <c r="BF129" s="508"/>
      <c r="BG129" s="508"/>
      <c r="BH129" s="508"/>
      <c r="BI129" s="508"/>
      <c r="BJ129" s="508"/>
      <c r="BK129" s="508"/>
      <c r="BL129" s="508"/>
      <c r="BM129" s="508"/>
      <c r="BN129" s="508"/>
      <c r="BO129" s="508"/>
    </row>
    <row r="130" spans="48:67" s="484" customFormat="1">
      <c r="AV130" s="508"/>
      <c r="AW130" s="508"/>
      <c r="AX130" s="508"/>
      <c r="AY130" s="508"/>
      <c r="AZ130" s="508"/>
      <c r="BA130" s="508"/>
      <c r="BB130" s="508"/>
      <c r="BC130" s="508"/>
      <c r="BD130" s="508"/>
      <c r="BE130" s="508"/>
      <c r="BF130" s="508"/>
      <c r="BG130" s="508"/>
      <c r="BH130" s="508"/>
      <c r="BI130" s="508"/>
      <c r="BJ130" s="508"/>
      <c r="BK130" s="508"/>
      <c r="BL130" s="508"/>
      <c r="BM130" s="508"/>
      <c r="BN130" s="508"/>
      <c r="BO130" s="508"/>
    </row>
    <row r="131" spans="48:67" s="484" customFormat="1">
      <c r="AV131" s="508"/>
      <c r="AW131" s="508"/>
      <c r="AX131" s="508"/>
      <c r="AY131" s="508"/>
      <c r="AZ131" s="508"/>
      <c r="BA131" s="508"/>
      <c r="BB131" s="508"/>
      <c r="BC131" s="508"/>
      <c r="BD131" s="508"/>
      <c r="BE131" s="508"/>
      <c r="BF131" s="508"/>
      <c r="BG131" s="508"/>
      <c r="BH131" s="508"/>
      <c r="BI131" s="508"/>
      <c r="BJ131" s="508"/>
      <c r="BK131" s="508"/>
      <c r="BL131" s="508"/>
      <c r="BM131" s="508"/>
      <c r="BN131" s="508"/>
      <c r="BO131" s="508"/>
    </row>
    <row r="132" spans="48:67" s="484" customFormat="1">
      <c r="AV132" s="508"/>
      <c r="AW132" s="508"/>
      <c r="AX132" s="508"/>
      <c r="AY132" s="508"/>
      <c r="AZ132" s="508"/>
      <c r="BA132" s="508"/>
      <c r="BB132" s="508"/>
      <c r="BC132" s="508"/>
      <c r="BD132" s="508"/>
      <c r="BE132" s="508"/>
      <c r="BF132" s="508"/>
      <c r="BG132" s="508"/>
      <c r="BH132" s="508"/>
      <c r="BI132" s="508"/>
      <c r="BJ132" s="508"/>
      <c r="BK132" s="508"/>
      <c r="BL132" s="508"/>
      <c r="BM132" s="508"/>
      <c r="BN132" s="508"/>
      <c r="BO132" s="508"/>
    </row>
    <row r="133" spans="48:67" s="484" customFormat="1">
      <c r="AV133" s="508"/>
      <c r="AW133" s="508"/>
      <c r="AX133" s="508"/>
      <c r="AY133" s="508"/>
      <c r="AZ133" s="508"/>
      <c r="BA133" s="508"/>
      <c r="BB133" s="508"/>
      <c r="BC133" s="508"/>
      <c r="BD133" s="508"/>
      <c r="BE133" s="508"/>
      <c r="BF133" s="508"/>
      <c r="BG133" s="508"/>
      <c r="BH133" s="508"/>
      <c r="BI133" s="508"/>
      <c r="BJ133" s="508"/>
      <c r="BK133" s="508"/>
      <c r="BL133" s="508"/>
      <c r="BM133" s="508"/>
      <c r="BN133" s="508"/>
      <c r="BO133" s="508"/>
    </row>
    <row r="134" spans="48:67" s="484" customFormat="1">
      <c r="AV134" s="508"/>
      <c r="AW134" s="508"/>
      <c r="AX134" s="508"/>
      <c r="AY134" s="508"/>
      <c r="AZ134" s="508"/>
      <c r="BA134" s="508"/>
      <c r="BB134" s="508"/>
      <c r="BC134" s="508"/>
      <c r="BD134" s="508"/>
      <c r="BE134" s="508"/>
      <c r="BF134" s="508"/>
      <c r="BG134" s="508"/>
      <c r="BH134" s="508"/>
      <c r="BI134" s="508"/>
      <c r="BJ134" s="508"/>
      <c r="BK134" s="508"/>
      <c r="BL134" s="508"/>
      <c r="BM134" s="508"/>
      <c r="BN134" s="508"/>
      <c r="BO134" s="508"/>
    </row>
    <row r="135" spans="48:67" s="484" customFormat="1">
      <c r="AV135" s="508"/>
      <c r="AW135" s="508"/>
      <c r="AX135" s="508"/>
      <c r="AY135" s="508"/>
      <c r="AZ135" s="508"/>
      <c r="BA135" s="508"/>
      <c r="BB135" s="508"/>
      <c r="BC135" s="508"/>
      <c r="BD135" s="508"/>
      <c r="BE135" s="508"/>
      <c r="BF135" s="508"/>
      <c r="BG135" s="508"/>
      <c r="BH135" s="508"/>
      <c r="BI135" s="508"/>
      <c r="BJ135" s="508"/>
      <c r="BK135" s="508"/>
      <c r="BL135" s="508"/>
      <c r="BM135" s="508"/>
      <c r="BN135" s="508"/>
      <c r="BO135" s="508"/>
    </row>
    <row r="136" spans="48:67" s="484" customFormat="1">
      <c r="AV136" s="508"/>
      <c r="AW136" s="508"/>
      <c r="AX136" s="508"/>
      <c r="AY136" s="508"/>
      <c r="AZ136" s="508"/>
      <c r="BA136" s="508"/>
      <c r="BB136" s="508"/>
      <c r="BC136" s="508"/>
      <c r="BD136" s="508"/>
      <c r="BE136" s="508"/>
      <c r="BF136" s="508"/>
      <c r="BG136" s="508"/>
      <c r="BH136" s="508"/>
      <c r="BI136" s="508"/>
      <c r="BJ136" s="508"/>
      <c r="BK136" s="508"/>
      <c r="BL136" s="508"/>
      <c r="BM136" s="508"/>
      <c r="BN136" s="508"/>
      <c r="BO136" s="508"/>
    </row>
    <row r="137" spans="48:67" s="484" customFormat="1">
      <c r="AV137" s="508"/>
      <c r="AW137" s="508"/>
      <c r="AX137" s="508"/>
      <c r="AY137" s="508"/>
      <c r="AZ137" s="508"/>
      <c r="BA137" s="508"/>
      <c r="BB137" s="508"/>
      <c r="BC137" s="508"/>
      <c r="BD137" s="508"/>
      <c r="BE137" s="508"/>
      <c r="BF137" s="508"/>
      <c r="BG137" s="508"/>
      <c r="BH137" s="508"/>
      <c r="BI137" s="508"/>
      <c r="BJ137" s="508"/>
      <c r="BK137" s="508"/>
      <c r="BL137" s="508"/>
      <c r="BM137" s="508"/>
      <c r="BN137" s="508"/>
      <c r="BO137" s="508"/>
    </row>
    <row r="138" spans="48:67" s="484" customFormat="1">
      <c r="AV138" s="508"/>
      <c r="AW138" s="508"/>
      <c r="AX138" s="508"/>
      <c r="AY138" s="508"/>
      <c r="AZ138" s="508"/>
      <c r="BA138" s="508"/>
      <c r="BB138" s="508"/>
      <c r="BC138" s="508"/>
      <c r="BD138" s="508"/>
      <c r="BE138" s="508"/>
      <c r="BF138" s="508"/>
      <c r="BG138" s="508"/>
      <c r="BH138" s="508"/>
      <c r="BI138" s="508"/>
      <c r="BJ138" s="508"/>
      <c r="BK138" s="508"/>
      <c r="BL138" s="508"/>
      <c r="BM138" s="508"/>
      <c r="BN138" s="508"/>
      <c r="BO138" s="508"/>
    </row>
    <row r="139" spans="48:67" s="484" customFormat="1">
      <c r="AV139" s="508"/>
      <c r="AW139" s="508"/>
      <c r="AX139" s="508"/>
      <c r="AY139" s="508"/>
      <c r="AZ139" s="508"/>
      <c r="BA139" s="508"/>
      <c r="BB139" s="508"/>
      <c r="BC139" s="508"/>
      <c r="BD139" s="508"/>
      <c r="BE139" s="508"/>
      <c r="BF139" s="508"/>
      <c r="BG139" s="508"/>
      <c r="BH139" s="508"/>
      <c r="BI139" s="508"/>
      <c r="BJ139" s="508"/>
      <c r="BK139" s="508"/>
      <c r="BL139" s="508"/>
      <c r="BM139" s="508"/>
      <c r="BN139" s="508"/>
      <c r="BO139" s="508"/>
    </row>
    <row r="140" spans="48:67" s="484" customFormat="1">
      <c r="AV140" s="508"/>
      <c r="AW140" s="508"/>
      <c r="AX140" s="508"/>
      <c r="AY140" s="508"/>
      <c r="AZ140" s="508"/>
      <c r="BA140" s="508"/>
      <c r="BB140" s="508"/>
      <c r="BC140" s="508"/>
      <c r="BD140" s="508"/>
      <c r="BE140" s="508"/>
      <c r="BF140" s="508"/>
      <c r="BG140" s="508"/>
      <c r="BH140" s="508"/>
      <c r="BI140" s="508"/>
      <c r="BJ140" s="508"/>
      <c r="BK140" s="508"/>
      <c r="BL140" s="508"/>
      <c r="BM140" s="508"/>
      <c r="BN140" s="508"/>
      <c r="BO140" s="508"/>
    </row>
    <row r="141" spans="48:67" s="484" customFormat="1">
      <c r="AV141" s="508"/>
      <c r="AW141" s="508"/>
      <c r="AX141" s="508"/>
      <c r="AY141" s="508"/>
      <c r="AZ141" s="508"/>
      <c r="BA141" s="508"/>
      <c r="BB141" s="508"/>
      <c r="BC141" s="508"/>
      <c r="BD141" s="508"/>
      <c r="BE141" s="508"/>
      <c r="BF141" s="508"/>
      <c r="BG141" s="508"/>
      <c r="BH141" s="508"/>
      <c r="BI141" s="508"/>
      <c r="BJ141" s="508"/>
      <c r="BK141" s="508"/>
      <c r="BL141" s="508"/>
      <c r="BM141" s="508"/>
      <c r="BN141" s="508"/>
      <c r="BO141" s="508"/>
    </row>
    <row r="142" spans="48:67" s="484" customFormat="1">
      <c r="AV142" s="508"/>
      <c r="AW142" s="508"/>
      <c r="AX142" s="508"/>
      <c r="AY142" s="508"/>
      <c r="AZ142" s="508"/>
      <c r="BA142" s="508"/>
      <c r="BB142" s="508"/>
      <c r="BC142" s="508"/>
      <c r="BD142" s="508"/>
      <c r="BE142" s="508"/>
      <c r="BF142" s="508"/>
      <c r="BG142" s="508"/>
      <c r="BH142" s="508"/>
      <c r="BI142" s="508"/>
      <c r="BJ142" s="508"/>
      <c r="BK142" s="508"/>
      <c r="BL142" s="508"/>
      <c r="BM142" s="508"/>
      <c r="BN142" s="508"/>
      <c r="BO142" s="508"/>
    </row>
    <row r="143" spans="48:67" s="484" customFormat="1">
      <c r="AV143" s="508"/>
      <c r="AW143" s="508"/>
      <c r="AX143" s="508"/>
      <c r="AY143" s="508"/>
      <c r="AZ143" s="508"/>
      <c r="BA143" s="508"/>
      <c r="BB143" s="508"/>
      <c r="BC143" s="508"/>
      <c r="BD143" s="508"/>
      <c r="BE143" s="508"/>
      <c r="BF143" s="508"/>
      <c r="BG143" s="508"/>
      <c r="BH143" s="508"/>
      <c r="BI143" s="508"/>
      <c r="BJ143" s="508"/>
      <c r="BK143" s="508"/>
      <c r="BL143" s="508"/>
      <c r="BM143" s="508"/>
      <c r="BN143" s="508"/>
      <c r="BO143" s="508"/>
    </row>
    <row r="144" spans="48:67" s="484" customFormat="1">
      <c r="AV144" s="508"/>
      <c r="AW144" s="508"/>
      <c r="AX144" s="508"/>
      <c r="AY144" s="508"/>
      <c r="AZ144" s="508"/>
      <c r="BA144" s="508"/>
      <c r="BB144" s="508"/>
      <c r="BC144" s="508"/>
      <c r="BD144" s="508"/>
      <c r="BE144" s="508"/>
      <c r="BF144" s="508"/>
      <c r="BG144" s="508"/>
      <c r="BH144" s="508"/>
      <c r="BI144" s="508"/>
      <c r="BJ144" s="508"/>
      <c r="BK144" s="508"/>
      <c r="BL144" s="508"/>
      <c r="BM144" s="508"/>
      <c r="BN144" s="508"/>
      <c r="BO144" s="508"/>
    </row>
    <row r="145" spans="48:67" s="484" customFormat="1">
      <c r="AV145" s="508"/>
      <c r="AW145" s="508"/>
      <c r="AX145" s="508"/>
      <c r="AY145" s="508"/>
      <c r="AZ145" s="508"/>
      <c r="BA145" s="508"/>
      <c r="BB145" s="508"/>
      <c r="BC145" s="508"/>
      <c r="BD145" s="508"/>
      <c r="BE145" s="508"/>
      <c r="BF145" s="508"/>
      <c r="BG145" s="508"/>
      <c r="BH145" s="508"/>
      <c r="BI145" s="508"/>
      <c r="BJ145" s="508"/>
      <c r="BK145" s="508"/>
      <c r="BL145" s="508"/>
      <c r="BM145" s="508"/>
      <c r="BN145" s="508"/>
      <c r="BO145" s="508"/>
    </row>
    <row r="146" spans="48:67" s="484" customFormat="1">
      <c r="AV146" s="508"/>
      <c r="AW146" s="508"/>
      <c r="AX146" s="508"/>
      <c r="AY146" s="508"/>
      <c r="AZ146" s="508"/>
      <c r="BA146" s="508"/>
      <c r="BB146" s="508"/>
      <c r="BC146" s="508"/>
      <c r="BD146" s="508"/>
      <c r="BE146" s="508"/>
      <c r="BF146" s="508"/>
      <c r="BG146" s="508"/>
      <c r="BH146" s="508"/>
      <c r="BI146" s="508"/>
      <c r="BJ146" s="508"/>
      <c r="BK146" s="508"/>
      <c r="BL146" s="508"/>
      <c r="BM146" s="508"/>
      <c r="BN146" s="508"/>
      <c r="BO146" s="508"/>
    </row>
    <row r="147" spans="48:67" s="484" customFormat="1">
      <c r="AV147" s="508"/>
      <c r="AW147" s="508"/>
      <c r="AX147" s="508"/>
      <c r="AY147" s="508"/>
      <c r="AZ147" s="508"/>
      <c r="BA147" s="508"/>
      <c r="BB147" s="508"/>
      <c r="BC147" s="508"/>
      <c r="BD147" s="508"/>
      <c r="BE147" s="508"/>
      <c r="BF147" s="508"/>
      <c r="BG147" s="508"/>
      <c r="BH147" s="508"/>
      <c r="BI147" s="508"/>
      <c r="BJ147" s="508"/>
      <c r="BK147" s="508"/>
      <c r="BL147" s="508"/>
      <c r="BM147" s="508"/>
      <c r="BN147" s="508"/>
      <c r="BO147" s="508"/>
    </row>
    <row r="148" spans="48:67" s="484" customFormat="1">
      <c r="AV148" s="508"/>
      <c r="AW148" s="508"/>
      <c r="AX148" s="508"/>
      <c r="AY148" s="508"/>
      <c r="AZ148" s="508"/>
      <c r="BA148" s="508"/>
      <c r="BB148" s="508"/>
      <c r="BC148" s="508"/>
      <c r="BD148" s="508"/>
      <c r="BE148" s="508"/>
      <c r="BF148" s="508"/>
      <c r="BG148" s="508"/>
      <c r="BH148" s="508"/>
      <c r="BI148" s="508"/>
      <c r="BJ148" s="508"/>
      <c r="BK148" s="508"/>
      <c r="BL148" s="508"/>
      <c r="BM148" s="508"/>
      <c r="BN148" s="508"/>
      <c r="BO148" s="508"/>
    </row>
    <row r="149" spans="48:67" s="484" customFormat="1">
      <c r="AV149" s="508"/>
      <c r="AW149" s="508"/>
      <c r="AX149" s="508"/>
      <c r="AY149" s="508"/>
      <c r="AZ149" s="508"/>
      <c r="BA149" s="508"/>
      <c r="BB149" s="508"/>
      <c r="BC149" s="508"/>
      <c r="BD149" s="508"/>
      <c r="BE149" s="508"/>
      <c r="BF149" s="508"/>
      <c r="BG149" s="508"/>
      <c r="BH149" s="508"/>
      <c r="BI149" s="508"/>
      <c r="BJ149" s="508"/>
      <c r="BK149" s="508"/>
      <c r="BL149" s="508"/>
      <c r="BM149" s="508"/>
      <c r="BN149" s="508"/>
      <c r="BO149" s="508"/>
    </row>
    <row r="150" spans="48:67" s="484" customFormat="1">
      <c r="AV150" s="508"/>
      <c r="AW150" s="508"/>
      <c r="AX150" s="508"/>
      <c r="AY150" s="508"/>
      <c r="AZ150" s="508"/>
      <c r="BA150" s="508"/>
      <c r="BB150" s="508"/>
      <c r="BC150" s="508"/>
      <c r="BD150" s="508"/>
      <c r="BE150" s="508"/>
      <c r="BF150" s="508"/>
      <c r="BG150" s="508"/>
      <c r="BH150" s="508"/>
      <c r="BI150" s="508"/>
      <c r="BJ150" s="508"/>
      <c r="BK150" s="508"/>
      <c r="BL150" s="508"/>
      <c r="BM150" s="508"/>
      <c r="BN150" s="508"/>
      <c r="BO150" s="508"/>
    </row>
    <row r="151" spans="48:67" s="484" customFormat="1">
      <c r="AV151" s="508"/>
      <c r="AW151" s="508"/>
      <c r="AX151" s="508"/>
      <c r="AY151" s="508"/>
      <c r="AZ151" s="508"/>
      <c r="BA151" s="508"/>
      <c r="BB151" s="508"/>
      <c r="BC151" s="508"/>
      <c r="BD151" s="508"/>
      <c r="BE151" s="508"/>
      <c r="BF151" s="508"/>
      <c r="BG151" s="508"/>
      <c r="BH151" s="508"/>
      <c r="BI151" s="508"/>
      <c r="BJ151" s="508"/>
      <c r="BK151" s="508"/>
      <c r="BL151" s="508"/>
      <c r="BM151" s="508"/>
      <c r="BN151" s="508"/>
      <c r="BO151" s="508"/>
    </row>
    <row r="152" spans="48:67" s="484" customFormat="1">
      <c r="AV152" s="508"/>
      <c r="AW152" s="508"/>
      <c r="AX152" s="508"/>
      <c r="AY152" s="508"/>
      <c r="AZ152" s="508"/>
      <c r="BA152" s="508"/>
      <c r="BB152" s="508"/>
      <c r="BC152" s="508"/>
      <c r="BD152" s="508"/>
      <c r="BE152" s="508"/>
      <c r="BF152" s="508"/>
      <c r="BG152" s="508"/>
      <c r="BH152" s="508"/>
      <c r="BI152" s="508"/>
      <c r="BJ152" s="508"/>
      <c r="BK152" s="508"/>
      <c r="BL152" s="508"/>
      <c r="BM152" s="508"/>
      <c r="BN152" s="508"/>
      <c r="BO152" s="508"/>
    </row>
    <row r="153" spans="48:67" s="484" customFormat="1">
      <c r="AV153" s="508"/>
      <c r="AW153" s="508"/>
      <c r="AX153" s="508"/>
      <c r="AY153" s="508"/>
      <c r="AZ153" s="508"/>
      <c r="BA153" s="508"/>
      <c r="BB153" s="508"/>
      <c r="BC153" s="508"/>
      <c r="BD153" s="508"/>
      <c r="BE153" s="508"/>
      <c r="BF153" s="508"/>
      <c r="BG153" s="508"/>
      <c r="BH153" s="508"/>
      <c r="BI153" s="508"/>
      <c r="BJ153" s="508"/>
      <c r="BK153" s="508"/>
      <c r="BL153" s="508"/>
      <c r="BM153" s="508"/>
      <c r="BN153" s="508"/>
      <c r="BO153" s="508"/>
    </row>
    <row r="154" spans="48:67" s="484" customFormat="1">
      <c r="AV154" s="508"/>
      <c r="AW154" s="508"/>
      <c r="AX154" s="508"/>
      <c r="AY154" s="508"/>
      <c r="AZ154" s="508"/>
      <c r="BA154" s="508"/>
      <c r="BB154" s="508"/>
      <c r="BC154" s="508"/>
      <c r="BD154" s="508"/>
      <c r="BE154" s="508"/>
      <c r="BF154" s="508"/>
      <c r="BG154" s="508"/>
      <c r="BH154" s="508"/>
      <c r="BI154" s="508"/>
      <c r="BJ154" s="508"/>
      <c r="BK154" s="508"/>
      <c r="BL154" s="508"/>
      <c r="BM154" s="508"/>
      <c r="BN154" s="508"/>
      <c r="BO154" s="508"/>
    </row>
    <row r="155" spans="48:67" s="484" customFormat="1">
      <c r="AV155" s="508"/>
      <c r="AW155" s="508"/>
      <c r="AX155" s="508"/>
      <c r="AY155" s="508"/>
      <c r="AZ155" s="508"/>
      <c r="BA155" s="508"/>
      <c r="BB155" s="508"/>
      <c r="BC155" s="508"/>
      <c r="BD155" s="508"/>
      <c r="BE155" s="508"/>
      <c r="BF155" s="508"/>
      <c r="BG155" s="508"/>
      <c r="BH155" s="508"/>
      <c r="BI155" s="508"/>
      <c r="BJ155" s="508"/>
      <c r="BK155" s="508"/>
      <c r="BL155" s="508"/>
      <c r="BM155" s="508"/>
      <c r="BN155" s="508"/>
      <c r="BO155" s="508"/>
    </row>
    <row r="156" spans="48:67" s="484" customFormat="1">
      <c r="AV156" s="508"/>
      <c r="AW156" s="508"/>
      <c r="AX156" s="508"/>
      <c r="AY156" s="508"/>
      <c r="AZ156" s="508"/>
      <c r="BA156" s="508"/>
      <c r="BB156" s="508"/>
      <c r="BC156" s="508"/>
      <c r="BD156" s="508"/>
      <c r="BE156" s="508"/>
      <c r="BF156" s="508"/>
      <c r="BG156" s="508"/>
      <c r="BH156" s="508"/>
      <c r="BI156" s="508"/>
      <c r="BJ156" s="508"/>
      <c r="BK156" s="508"/>
      <c r="BL156" s="508"/>
      <c r="BM156" s="508"/>
      <c r="BN156" s="508"/>
      <c r="BO156" s="508"/>
    </row>
    <row r="157" spans="48:67" s="484" customFormat="1">
      <c r="AV157" s="508"/>
      <c r="AW157" s="508"/>
      <c r="AX157" s="508"/>
      <c r="AY157" s="508"/>
      <c r="AZ157" s="508"/>
      <c r="BA157" s="508"/>
      <c r="BB157" s="508"/>
      <c r="BC157" s="508"/>
      <c r="BD157" s="508"/>
      <c r="BE157" s="508"/>
      <c r="BF157" s="508"/>
      <c r="BG157" s="508"/>
      <c r="BH157" s="508"/>
      <c r="BI157" s="508"/>
      <c r="BJ157" s="508"/>
      <c r="BK157" s="508"/>
      <c r="BL157" s="508"/>
      <c r="BM157" s="508"/>
      <c r="BN157" s="508"/>
      <c r="BO157" s="508"/>
    </row>
    <row r="158" spans="48:67" s="484" customFormat="1">
      <c r="AV158" s="508"/>
      <c r="AW158" s="508"/>
      <c r="AX158" s="508"/>
      <c r="AY158" s="508"/>
      <c r="AZ158" s="508"/>
      <c r="BA158" s="508"/>
      <c r="BB158" s="508"/>
      <c r="BC158" s="508"/>
      <c r="BD158" s="508"/>
      <c r="BE158" s="508"/>
      <c r="BF158" s="508"/>
      <c r="BG158" s="508"/>
      <c r="BH158" s="508"/>
      <c r="BI158" s="508"/>
      <c r="BJ158" s="508"/>
      <c r="BK158" s="508"/>
      <c r="BL158" s="508"/>
      <c r="BM158" s="508"/>
      <c r="BN158" s="508"/>
      <c r="BO158" s="508"/>
    </row>
    <row r="159" spans="48:67" s="484" customFormat="1">
      <c r="AV159" s="508"/>
      <c r="AW159" s="508"/>
      <c r="AX159" s="508"/>
      <c r="AY159" s="508"/>
      <c r="AZ159" s="508"/>
      <c r="BA159" s="508"/>
      <c r="BB159" s="508"/>
      <c r="BC159" s="508"/>
      <c r="BD159" s="508"/>
      <c r="BE159" s="508"/>
      <c r="BF159" s="508"/>
      <c r="BG159" s="508"/>
      <c r="BH159" s="508"/>
      <c r="BI159" s="508"/>
      <c r="BJ159" s="508"/>
      <c r="BK159" s="508"/>
      <c r="BL159" s="508"/>
      <c r="BM159" s="508"/>
      <c r="BN159" s="508"/>
      <c r="BO159" s="508"/>
    </row>
    <row r="160" spans="48:67" s="484" customFormat="1">
      <c r="AV160" s="508"/>
      <c r="AW160" s="508"/>
      <c r="AX160" s="508"/>
      <c r="AY160" s="508"/>
      <c r="AZ160" s="508"/>
      <c r="BA160" s="508"/>
      <c r="BB160" s="508"/>
      <c r="BC160" s="508"/>
      <c r="BD160" s="508"/>
      <c r="BE160" s="508"/>
      <c r="BF160" s="508"/>
      <c r="BG160" s="508"/>
      <c r="BH160" s="508"/>
      <c r="BI160" s="508"/>
      <c r="BJ160" s="508"/>
      <c r="BK160" s="508"/>
      <c r="BL160" s="508"/>
      <c r="BM160" s="508"/>
      <c r="BN160" s="508"/>
      <c r="BO160" s="508"/>
    </row>
    <row r="161" spans="48:67" s="484" customFormat="1">
      <c r="AV161" s="508"/>
      <c r="AW161" s="508"/>
      <c r="AX161" s="508"/>
      <c r="AY161" s="508"/>
      <c r="AZ161" s="508"/>
      <c r="BA161" s="508"/>
      <c r="BB161" s="508"/>
      <c r="BC161" s="508"/>
      <c r="BD161" s="508"/>
      <c r="BE161" s="508"/>
      <c r="BF161" s="508"/>
      <c r="BG161" s="508"/>
      <c r="BH161" s="508"/>
      <c r="BI161" s="508"/>
      <c r="BJ161" s="508"/>
      <c r="BK161" s="508"/>
      <c r="BL161" s="508"/>
      <c r="BM161" s="508"/>
      <c r="BN161" s="508"/>
      <c r="BO161" s="508"/>
    </row>
    <row r="162" spans="48:67" s="484" customFormat="1">
      <c r="AV162" s="508"/>
      <c r="AW162" s="508"/>
      <c r="AX162" s="508"/>
      <c r="AY162" s="508"/>
      <c r="AZ162" s="508"/>
      <c r="BA162" s="508"/>
      <c r="BB162" s="508"/>
      <c r="BC162" s="508"/>
      <c r="BD162" s="508"/>
      <c r="BE162" s="508"/>
      <c r="BF162" s="508"/>
      <c r="BG162" s="508"/>
      <c r="BH162" s="508"/>
      <c r="BI162" s="508"/>
      <c r="BJ162" s="508"/>
      <c r="BK162" s="508"/>
      <c r="BL162" s="508"/>
      <c r="BM162" s="508"/>
      <c r="BN162" s="508"/>
      <c r="BO162" s="508"/>
    </row>
    <row r="163" spans="48:67" s="484" customFormat="1">
      <c r="AV163" s="508"/>
      <c r="AW163" s="508"/>
      <c r="AX163" s="508"/>
      <c r="AY163" s="508"/>
      <c r="AZ163" s="508"/>
      <c r="BA163" s="508"/>
      <c r="BB163" s="508"/>
      <c r="BC163" s="508"/>
      <c r="BD163" s="508"/>
      <c r="BE163" s="508"/>
      <c r="BF163" s="508"/>
      <c r="BG163" s="508"/>
      <c r="BH163" s="508"/>
      <c r="BI163" s="508"/>
      <c r="BJ163" s="508"/>
      <c r="BK163" s="508"/>
      <c r="BL163" s="508"/>
      <c r="BM163" s="508"/>
      <c r="BN163" s="508"/>
      <c r="BO163" s="508"/>
    </row>
    <row r="164" spans="48:67" s="484" customFormat="1">
      <c r="AV164" s="508"/>
      <c r="AW164" s="508"/>
      <c r="AX164" s="508"/>
      <c r="AY164" s="508"/>
      <c r="AZ164" s="508"/>
      <c r="BA164" s="508"/>
      <c r="BB164" s="508"/>
      <c r="BC164" s="508"/>
      <c r="BD164" s="508"/>
      <c r="BE164" s="508"/>
      <c r="BF164" s="508"/>
      <c r="BG164" s="508"/>
      <c r="BH164" s="508"/>
      <c r="BI164" s="508"/>
      <c r="BJ164" s="508"/>
      <c r="BK164" s="508"/>
      <c r="BL164" s="508"/>
      <c r="BM164" s="508"/>
      <c r="BN164" s="508"/>
      <c r="BO164" s="508"/>
    </row>
    <row r="165" spans="48:67" s="484" customFormat="1">
      <c r="AV165" s="508"/>
      <c r="AW165" s="508"/>
      <c r="AX165" s="508"/>
      <c r="AY165" s="508"/>
      <c r="AZ165" s="508"/>
      <c r="BA165" s="508"/>
      <c r="BB165" s="508"/>
      <c r="BC165" s="508"/>
      <c r="BD165" s="508"/>
      <c r="BE165" s="508"/>
      <c r="BF165" s="508"/>
      <c r="BG165" s="508"/>
      <c r="BH165" s="508"/>
      <c r="BI165" s="508"/>
      <c r="BJ165" s="508"/>
      <c r="BK165" s="508"/>
      <c r="BL165" s="508"/>
      <c r="BM165" s="508"/>
      <c r="BN165" s="508"/>
      <c r="BO165" s="508"/>
    </row>
    <row r="166" spans="48:67" s="484" customFormat="1">
      <c r="AV166" s="508"/>
      <c r="AW166" s="508"/>
      <c r="AX166" s="508"/>
      <c r="AY166" s="508"/>
      <c r="AZ166" s="508"/>
      <c r="BA166" s="508"/>
      <c r="BB166" s="508"/>
      <c r="BC166" s="508"/>
      <c r="BD166" s="508"/>
      <c r="BE166" s="508"/>
      <c r="BF166" s="508"/>
      <c r="BG166" s="508"/>
      <c r="BH166" s="508"/>
      <c r="BI166" s="508"/>
      <c r="BJ166" s="508"/>
      <c r="BK166" s="508"/>
      <c r="BL166" s="508"/>
      <c r="BM166" s="508"/>
      <c r="BN166" s="508"/>
      <c r="BO166" s="508"/>
    </row>
    <row r="167" spans="48:67" s="484" customFormat="1">
      <c r="AV167" s="508"/>
      <c r="AW167" s="508"/>
      <c r="AX167" s="508"/>
      <c r="AY167" s="508"/>
      <c r="AZ167" s="508"/>
      <c r="BA167" s="508"/>
      <c r="BB167" s="508"/>
      <c r="BC167" s="508"/>
      <c r="BD167" s="508"/>
      <c r="BE167" s="508"/>
      <c r="BF167" s="508"/>
      <c r="BG167" s="508"/>
      <c r="BH167" s="508"/>
      <c r="BI167" s="508"/>
      <c r="BJ167" s="508"/>
      <c r="BK167" s="508"/>
      <c r="BL167" s="508"/>
      <c r="BM167" s="508"/>
      <c r="BN167" s="508"/>
      <c r="BO167" s="508"/>
    </row>
    <row r="168" spans="48:67" s="484" customFormat="1">
      <c r="AV168" s="508"/>
      <c r="AW168" s="508"/>
      <c r="AX168" s="508"/>
      <c r="AY168" s="508"/>
      <c r="AZ168" s="508"/>
      <c r="BA168" s="508"/>
      <c r="BB168" s="508"/>
      <c r="BC168" s="508"/>
      <c r="BD168" s="508"/>
      <c r="BE168" s="508"/>
      <c r="BF168" s="508"/>
      <c r="BG168" s="508"/>
      <c r="BH168" s="508"/>
      <c r="BI168" s="508"/>
      <c r="BJ168" s="508"/>
      <c r="BK168" s="508"/>
      <c r="BL168" s="508"/>
      <c r="BM168" s="508"/>
      <c r="BN168" s="508"/>
      <c r="BO168" s="508"/>
    </row>
    <row r="169" spans="48:67" s="484" customFormat="1">
      <c r="AV169" s="508"/>
      <c r="AW169" s="508"/>
      <c r="AX169" s="508"/>
      <c r="AY169" s="508"/>
      <c r="AZ169" s="508"/>
      <c r="BA169" s="508"/>
      <c r="BB169" s="508"/>
      <c r="BC169" s="508"/>
      <c r="BD169" s="508"/>
      <c r="BE169" s="508"/>
      <c r="BF169" s="508"/>
      <c r="BG169" s="508"/>
      <c r="BH169" s="508"/>
      <c r="BI169" s="508"/>
      <c r="BJ169" s="508"/>
      <c r="BK169" s="508"/>
      <c r="BL169" s="508"/>
      <c r="BM169" s="508"/>
      <c r="BN169" s="508"/>
      <c r="BO169" s="508"/>
    </row>
    <row r="170" spans="48:67" s="484" customFormat="1">
      <c r="AV170" s="508"/>
      <c r="AW170" s="508"/>
      <c r="AX170" s="508"/>
      <c r="AY170" s="508"/>
      <c r="AZ170" s="508"/>
      <c r="BA170" s="508"/>
      <c r="BB170" s="508"/>
      <c r="BC170" s="508"/>
      <c r="BD170" s="508"/>
      <c r="BE170" s="508"/>
      <c r="BF170" s="508"/>
      <c r="BG170" s="508"/>
      <c r="BH170" s="508"/>
      <c r="BI170" s="508"/>
      <c r="BJ170" s="508"/>
      <c r="BK170" s="508"/>
      <c r="BL170" s="508"/>
      <c r="BM170" s="508"/>
      <c r="BN170" s="508"/>
      <c r="BO170" s="508"/>
    </row>
    <row r="171" spans="48:67" s="484" customFormat="1">
      <c r="AV171" s="508"/>
      <c r="AW171" s="508"/>
      <c r="AX171" s="508"/>
      <c r="AY171" s="508"/>
      <c r="AZ171" s="508"/>
      <c r="BA171" s="508"/>
      <c r="BB171" s="508"/>
      <c r="BC171" s="508"/>
      <c r="BD171" s="508"/>
      <c r="BE171" s="508"/>
      <c r="BF171" s="508"/>
      <c r="BG171" s="508"/>
      <c r="BH171" s="508"/>
      <c r="BI171" s="508"/>
      <c r="BJ171" s="508"/>
      <c r="BK171" s="508"/>
      <c r="BL171" s="508"/>
      <c r="BM171" s="508"/>
      <c r="BN171" s="508"/>
      <c r="BO171" s="508"/>
    </row>
    <row r="172" spans="48:67" s="484" customFormat="1">
      <c r="AV172" s="508"/>
      <c r="AW172" s="508"/>
      <c r="AX172" s="508"/>
      <c r="AY172" s="508"/>
      <c r="AZ172" s="508"/>
      <c r="BA172" s="508"/>
      <c r="BB172" s="508"/>
      <c r="BC172" s="508"/>
      <c r="BD172" s="508"/>
      <c r="BE172" s="508"/>
      <c r="BF172" s="508"/>
      <c r="BG172" s="508"/>
      <c r="BH172" s="508"/>
      <c r="BI172" s="508"/>
      <c r="BJ172" s="508"/>
      <c r="BK172" s="508"/>
      <c r="BL172" s="508"/>
      <c r="BM172" s="508"/>
      <c r="BN172" s="508"/>
      <c r="BO172" s="508"/>
    </row>
    <row r="173" spans="48:67" s="484" customFormat="1">
      <c r="AV173" s="508"/>
      <c r="AW173" s="508"/>
      <c r="AX173" s="508"/>
      <c r="AY173" s="508"/>
      <c r="AZ173" s="508"/>
      <c r="BA173" s="508"/>
      <c r="BB173" s="508"/>
      <c r="BC173" s="508"/>
      <c r="BD173" s="508"/>
      <c r="BE173" s="508"/>
      <c r="BF173" s="508"/>
      <c r="BG173" s="508"/>
      <c r="BH173" s="508"/>
      <c r="BI173" s="508"/>
      <c r="BJ173" s="508"/>
      <c r="BK173" s="508"/>
      <c r="BL173" s="508"/>
      <c r="BM173" s="508"/>
      <c r="BN173" s="508"/>
      <c r="BO173" s="508"/>
    </row>
    <row r="174" spans="48:67" s="484" customFormat="1">
      <c r="AV174" s="508"/>
      <c r="AW174" s="508"/>
      <c r="AX174" s="508"/>
      <c r="AY174" s="508"/>
      <c r="AZ174" s="508"/>
      <c r="BA174" s="508"/>
      <c r="BB174" s="508"/>
      <c r="BC174" s="508"/>
      <c r="BD174" s="508"/>
      <c r="BE174" s="508"/>
      <c r="BF174" s="508"/>
      <c r="BG174" s="508"/>
      <c r="BH174" s="508"/>
      <c r="BI174" s="508"/>
      <c r="BJ174" s="508"/>
      <c r="BK174" s="508"/>
      <c r="BL174" s="508"/>
      <c r="BM174" s="508"/>
      <c r="BN174" s="508"/>
      <c r="BO174" s="508"/>
    </row>
    <row r="175" spans="48:67" s="484" customFormat="1">
      <c r="AV175" s="508"/>
      <c r="AW175" s="508"/>
      <c r="AX175" s="508"/>
      <c r="AY175" s="508"/>
      <c r="AZ175" s="508"/>
      <c r="BA175" s="508"/>
      <c r="BB175" s="508"/>
      <c r="BC175" s="508"/>
      <c r="BD175" s="508"/>
      <c r="BE175" s="508"/>
      <c r="BF175" s="508"/>
      <c r="BG175" s="508"/>
      <c r="BH175" s="508"/>
      <c r="BI175" s="508"/>
      <c r="BJ175" s="508"/>
      <c r="BK175" s="508"/>
      <c r="BL175" s="508"/>
      <c r="BM175" s="508"/>
      <c r="BN175" s="508"/>
      <c r="BO175" s="508"/>
    </row>
    <row r="176" spans="48:67" s="484" customFormat="1">
      <c r="AV176" s="508"/>
      <c r="AW176" s="508"/>
      <c r="AX176" s="508"/>
      <c r="AY176" s="508"/>
      <c r="AZ176" s="508"/>
      <c r="BA176" s="508"/>
      <c r="BB176" s="508"/>
      <c r="BC176" s="508"/>
      <c r="BD176" s="508"/>
      <c r="BE176" s="508"/>
      <c r="BF176" s="508"/>
      <c r="BG176" s="508"/>
      <c r="BH176" s="508"/>
      <c r="BI176" s="508"/>
      <c r="BJ176" s="508"/>
      <c r="BK176" s="508"/>
      <c r="BL176" s="508"/>
      <c r="BM176" s="508"/>
      <c r="BN176" s="508"/>
      <c r="BO176" s="508"/>
    </row>
    <row r="177" spans="48:67" s="484" customFormat="1">
      <c r="AV177" s="508"/>
      <c r="AW177" s="508"/>
      <c r="AX177" s="508"/>
      <c r="AY177" s="508"/>
      <c r="AZ177" s="508"/>
      <c r="BA177" s="508"/>
      <c r="BB177" s="508"/>
      <c r="BC177" s="508"/>
      <c r="BD177" s="508"/>
      <c r="BE177" s="508"/>
      <c r="BF177" s="508"/>
      <c r="BG177" s="508"/>
      <c r="BH177" s="508"/>
      <c r="BI177" s="508"/>
      <c r="BJ177" s="508"/>
      <c r="BK177" s="508"/>
      <c r="BL177" s="508"/>
      <c r="BM177" s="508"/>
      <c r="BN177" s="508"/>
      <c r="BO177" s="508"/>
    </row>
    <row r="178" spans="48:67" s="484" customFormat="1">
      <c r="AV178" s="508"/>
      <c r="AW178" s="508"/>
      <c r="AX178" s="508"/>
      <c r="AY178" s="508"/>
      <c r="AZ178" s="508"/>
      <c r="BA178" s="508"/>
      <c r="BB178" s="508"/>
      <c r="BC178" s="508"/>
      <c r="BD178" s="508"/>
      <c r="BE178" s="508"/>
      <c r="BF178" s="508"/>
      <c r="BG178" s="508"/>
      <c r="BH178" s="508"/>
      <c r="BI178" s="508"/>
      <c r="BJ178" s="508"/>
      <c r="BK178" s="508"/>
      <c r="BL178" s="508"/>
      <c r="BM178" s="508"/>
      <c r="BN178" s="508"/>
      <c r="BO178" s="508"/>
    </row>
    <row r="179" spans="48:67" s="484" customFormat="1">
      <c r="AV179" s="508"/>
      <c r="AW179" s="508"/>
      <c r="AX179" s="508"/>
      <c r="AY179" s="508"/>
      <c r="AZ179" s="508"/>
      <c r="BA179" s="508"/>
      <c r="BB179" s="508"/>
      <c r="BC179" s="508"/>
      <c r="BD179" s="508"/>
      <c r="BE179" s="508"/>
      <c r="BF179" s="508"/>
      <c r="BG179" s="508"/>
      <c r="BH179" s="508"/>
      <c r="BI179" s="508"/>
      <c r="BJ179" s="508"/>
      <c r="BK179" s="508"/>
      <c r="BL179" s="508"/>
      <c r="BM179" s="508"/>
      <c r="BN179" s="508"/>
      <c r="BO179" s="508"/>
    </row>
    <row r="180" spans="48:67" s="484" customFormat="1">
      <c r="AV180" s="508"/>
      <c r="AW180" s="508"/>
      <c r="AX180" s="508"/>
      <c r="AY180" s="508"/>
      <c r="AZ180" s="508"/>
      <c r="BA180" s="508"/>
      <c r="BB180" s="508"/>
      <c r="BC180" s="508"/>
      <c r="BD180" s="508"/>
      <c r="BE180" s="508"/>
      <c r="BF180" s="508"/>
      <c r="BG180" s="508"/>
      <c r="BH180" s="508"/>
      <c r="BI180" s="508"/>
      <c r="BJ180" s="508"/>
      <c r="BK180" s="508"/>
      <c r="BL180" s="508"/>
      <c r="BM180" s="508"/>
      <c r="BN180" s="508"/>
      <c r="BO180" s="508"/>
    </row>
    <row r="181" spans="48:67" s="484" customFormat="1">
      <c r="AV181" s="508"/>
      <c r="AW181" s="508"/>
      <c r="AX181" s="508"/>
      <c r="AY181" s="508"/>
      <c r="AZ181" s="508"/>
      <c r="BA181" s="508"/>
      <c r="BB181" s="508"/>
      <c r="BC181" s="508"/>
      <c r="BD181" s="508"/>
      <c r="BE181" s="508"/>
      <c r="BF181" s="508"/>
      <c r="BG181" s="508"/>
      <c r="BH181" s="508"/>
      <c r="BI181" s="508"/>
      <c r="BJ181" s="508"/>
      <c r="BK181" s="508"/>
      <c r="BL181" s="508"/>
      <c r="BM181" s="508"/>
      <c r="BN181" s="508"/>
      <c r="BO181" s="508"/>
    </row>
    <row r="182" spans="48:67" s="484" customFormat="1">
      <c r="AV182" s="508"/>
      <c r="AW182" s="508"/>
      <c r="AX182" s="508"/>
      <c r="AY182" s="508"/>
      <c r="AZ182" s="508"/>
      <c r="BA182" s="508"/>
      <c r="BB182" s="508"/>
      <c r="BC182" s="508"/>
      <c r="BD182" s="508"/>
      <c r="BE182" s="508"/>
      <c r="BF182" s="508"/>
      <c r="BG182" s="508"/>
      <c r="BH182" s="508"/>
      <c r="BI182" s="508"/>
      <c r="BJ182" s="508"/>
      <c r="BK182" s="508"/>
      <c r="BL182" s="508"/>
      <c r="BM182" s="508"/>
      <c r="BN182" s="508"/>
      <c r="BO182" s="508"/>
    </row>
    <row r="183" spans="48:67" s="484" customFormat="1">
      <c r="AV183" s="508"/>
      <c r="AW183" s="508"/>
      <c r="AX183" s="508"/>
      <c r="AY183" s="508"/>
      <c r="AZ183" s="508"/>
      <c r="BA183" s="508"/>
      <c r="BB183" s="508"/>
      <c r="BC183" s="508"/>
      <c r="BD183" s="508"/>
      <c r="BE183" s="508"/>
      <c r="BF183" s="508"/>
      <c r="BG183" s="508"/>
      <c r="BH183" s="508"/>
      <c r="BI183" s="508"/>
      <c r="BJ183" s="508"/>
      <c r="BK183" s="508"/>
      <c r="BL183" s="508"/>
      <c r="BM183" s="508"/>
      <c r="BN183" s="508"/>
      <c r="BO183" s="508"/>
    </row>
    <row r="184" spans="48:67" s="484" customFormat="1">
      <c r="AV184" s="508"/>
      <c r="AW184" s="508"/>
      <c r="AX184" s="508"/>
      <c r="AY184" s="508"/>
      <c r="AZ184" s="508"/>
      <c r="BA184" s="508"/>
      <c r="BB184" s="508"/>
      <c r="BC184" s="508"/>
      <c r="BD184" s="508"/>
      <c r="BE184" s="508"/>
      <c r="BF184" s="508"/>
      <c r="BG184" s="508"/>
      <c r="BH184" s="508"/>
      <c r="BI184" s="508"/>
      <c r="BJ184" s="508"/>
      <c r="BK184" s="508"/>
      <c r="BL184" s="508"/>
      <c r="BM184" s="508"/>
      <c r="BN184" s="508"/>
      <c r="BO184" s="508"/>
    </row>
    <row r="185" spans="48:67" s="484" customFormat="1">
      <c r="AV185" s="508"/>
      <c r="AW185" s="508"/>
      <c r="AX185" s="508"/>
      <c r="AY185" s="508"/>
      <c r="AZ185" s="508"/>
      <c r="BA185" s="508"/>
      <c r="BB185" s="508"/>
      <c r="BC185" s="508"/>
      <c r="BD185" s="508"/>
      <c r="BE185" s="508"/>
      <c r="BF185" s="508"/>
      <c r="BG185" s="508"/>
      <c r="BH185" s="508"/>
      <c r="BI185" s="508"/>
      <c r="BJ185" s="508"/>
      <c r="BK185" s="508"/>
      <c r="BL185" s="508"/>
      <c r="BM185" s="508"/>
      <c r="BN185" s="508"/>
      <c r="BO185" s="508"/>
    </row>
    <row r="186" spans="48:67" s="484" customFormat="1">
      <c r="AV186" s="508"/>
      <c r="AW186" s="508"/>
      <c r="AX186" s="508"/>
      <c r="AY186" s="508"/>
      <c r="AZ186" s="508"/>
      <c r="BA186" s="508"/>
      <c r="BB186" s="508"/>
      <c r="BC186" s="508"/>
      <c r="BD186" s="508"/>
      <c r="BE186" s="508"/>
      <c r="BF186" s="508"/>
      <c r="BG186" s="508"/>
      <c r="BH186" s="508"/>
      <c r="BI186" s="508"/>
      <c r="BJ186" s="508"/>
      <c r="BK186" s="508"/>
      <c r="BL186" s="508"/>
      <c r="BM186" s="508"/>
      <c r="BN186" s="508"/>
      <c r="BO186" s="508"/>
    </row>
    <row r="187" spans="48:67" s="484" customFormat="1">
      <c r="AV187" s="508"/>
      <c r="AW187" s="508"/>
      <c r="AX187" s="508"/>
      <c r="AY187" s="508"/>
      <c r="AZ187" s="508"/>
      <c r="BA187" s="508"/>
      <c r="BB187" s="508"/>
      <c r="BC187" s="508"/>
      <c r="BD187" s="508"/>
      <c r="BE187" s="508"/>
      <c r="BF187" s="508"/>
      <c r="BG187" s="508"/>
      <c r="BH187" s="508"/>
      <c r="BI187" s="508"/>
      <c r="BJ187" s="508"/>
      <c r="BK187" s="508"/>
      <c r="BL187" s="508"/>
      <c r="BM187" s="508"/>
      <c r="BN187" s="508"/>
      <c r="BO187" s="508"/>
    </row>
    <row r="188" spans="48:67" s="484" customFormat="1">
      <c r="AV188" s="508"/>
      <c r="AW188" s="508"/>
      <c r="AX188" s="508"/>
      <c r="AY188" s="508"/>
      <c r="AZ188" s="508"/>
      <c r="BA188" s="508"/>
      <c r="BB188" s="508"/>
      <c r="BC188" s="508"/>
      <c r="BD188" s="508"/>
      <c r="BE188" s="508"/>
      <c r="BF188" s="508"/>
      <c r="BG188" s="508"/>
      <c r="BH188" s="508"/>
      <c r="BI188" s="508"/>
      <c r="BJ188" s="508"/>
      <c r="BK188" s="508"/>
      <c r="BL188" s="508"/>
      <c r="BM188" s="508"/>
      <c r="BN188" s="508"/>
      <c r="BO188" s="508"/>
    </row>
    <row r="189" spans="48:67" s="484" customFormat="1">
      <c r="AV189" s="508"/>
      <c r="AW189" s="508"/>
      <c r="AX189" s="508"/>
      <c r="AY189" s="508"/>
      <c r="AZ189" s="508"/>
      <c r="BA189" s="508"/>
      <c r="BB189" s="508"/>
      <c r="BC189" s="508"/>
      <c r="BD189" s="508"/>
      <c r="BE189" s="508"/>
      <c r="BF189" s="508"/>
      <c r="BG189" s="508"/>
      <c r="BH189" s="508"/>
      <c r="BI189" s="508"/>
      <c r="BJ189" s="508"/>
      <c r="BK189" s="508"/>
      <c r="BL189" s="508"/>
      <c r="BM189" s="508"/>
      <c r="BN189" s="508"/>
      <c r="BO189" s="508"/>
    </row>
    <row r="190" spans="48:67" s="484" customFormat="1">
      <c r="AV190" s="508"/>
      <c r="AW190" s="508"/>
      <c r="AX190" s="508"/>
      <c r="AY190" s="508"/>
      <c r="AZ190" s="508"/>
      <c r="BA190" s="508"/>
      <c r="BB190" s="508"/>
      <c r="BC190" s="508"/>
      <c r="BD190" s="508"/>
      <c r="BE190" s="508"/>
      <c r="BF190" s="508"/>
      <c r="BG190" s="508"/>
      <c r="BH190" s="508"/>
      <c r="BI190" s="508"/>
      <c r="BJ190" s="508"/>
      <c r="BK190" s="508"/>
      <c r="BL190" s="508"/>
      <c r="BM190" s="508"/>
      <c r="BN190" s="508"/>
      <c r="BO190" s="508"/>
    </row>
    <row r="191" spans="48:67" s="484" customFormat="1">
      <c r="AV191" s="508"/>
      <c r="AW191" s="508"/>
      <c r="AX191" s="508"/>
      <c r="AY191" s="508"/>
      <c r="AZ191" s="508"/>
      <c r="BA191" s="508"/>
      <c r="BB191" s="508"/>
      <c r="BC191" s="508"/>
      <c r="BD191" s="508"/>
      <c r="BE191" s="508"/>
      <c r="BF191" s="508"/>
      <c r="BG191" s="508"/>
      <c r="BH191" s="508"/>
      <c r="BI191" s="508"/>
      <c r="BJ191" s="508"/>
      <c r="BK191" s="508"/>
      <c r="BL191" s="508"/>
      <c r="BM191" s="508"/>
      <c r="BN191" s="508"/>
      <c r="BO191" s="508"/>
    </row>
    <row r="192" spans="48:67" s="484" customFormat="1">
      <c r="AV192" s="508"/>
      <c r="AW192" s="508"/>
      <c r="AX192" s="508"/>
      <c r="AY192" s="508"/>
      <c r="AZ192" s="508"/>
      <c r="BA192" s="508"/>
      <c r="BB192" s="508"/>
      <c r="BC192" s="508"/>
      <c r="BD192" s="508"/>
      <c r="BE192" s="508"/>
      <c r="BF192" s="508"/>
      <c r="BG192" s="508"/>
      <c r="BH192" s="508"/>
      <c r="BI192" s="508"/>
      <c r="BJ192" s="508"/>
      <c r="BK192" s="508"/>
      <c r="BL192" s="508"/>
      <c r="BM192" s="508"/>
      <c r="BN192" s="508"/>
      <c r="BO192" s="508"/>
    </row>
    <row r="193" spans="48:67" s="484" customFormat="1">
      <c r="AV193" s="508"/>
      <c r="AW193" s="508"/>
      <c r="AX193" s="508"/>
      <c r="AY193" s="508"/>
      <c r="AZ193" s="508"/>
      <c r="BA193" s="508"/>
      <c r="BB193" s="508"/>
      <c r="BC193" s="508"/>
      <c r="BD193" s="508"/>
      <c r="BE193" s="508"/>
      <c r="BF193" s="508"/>
      <c r="BG193" s="508"/>
      <c r="BH193" s="508"/>
      <c r="BI193" s="508"/>
      <c r="BJ193" s="508"/>
      <c r="BK193" s="508"/>
      <c r="BL193" s="508"/>
      <c r="BM193" s="508"/>
      <c r="BN193" s="508"/>
      <c r="BO193" s="508"/>
    </row>
    <row r="194" spans="48:67" s="484" customFormat="1">
      <c r="AV194" s="508"/>
      <c r="AW194" s="508"/>
      <c r="AX194" s="508"/>
      <c r="AY194" s="508"/>
      <c r="AZ194" s="508"/>
      <c r="BA194" s="508"/>
      <c r="BB194" s="508"/>
      <c r="BC194" s="508"/>
      <c r="BD194" s="508"/>
      <c r="BE194" s="508"/>
      <c r="BF194" s="508"/>
      <c r="BG194" s="508"/>
      <c r="BH194" s="508"/>
      <c r="BI194" s="508"/>
      <c r="BJ194" s="508"/>
      <c r="BK194" s="508"/>
      <c r="BL194" s="508"/>
      <c r="BM194" s="508"/>
      <c r="BN194" s="508"/>
      <c r="BO194" s="508"/>
    </row>
    <row r="195" spans="48:67" s="484" customFormat="1">
      <c r="AV195" s="508"/>
      <c r="AW195" s="508"/>
      <c r="AX195" s="508"/>
      <c r="AY195" s="508"/>
      <c r="AZ195" s="508"/>
      <c r="BA195" s="508"/>
      <c r="BB195" s="508"/>
      <c r="BC195" s="508"/>
      <c r="BD195" s="508"/>
      <c r="BE195" s="508"/>
      <c r="BF195" s="508"/>
      <c r="BG195" s="508"/>
      <c r="BH195" s="508"/>
      <c r="BI195" s="508"/>
      <c r="BJ195" s="508"/>
      <c r="BK195" s="508"/>
      <c r="BL195" s="508"/>
      <c r="BM195" s="508"/>
      <c r="BN195" s="508"/>
      <c r="BO195" s="508"/>
    </row>
    <row r="196" spans="48:67" s="484" customFormat="1">
      <c r="AV196" s="508"/>
      <c r="AW196" s="508"/>
      <c r="AX196" s="508"/>
      <c r="AY196" s="508"/>
      <c r="AZ196" s="508"/>
      <c r="BA196" s="508"/>
      <c r="BB196" s="508"/>
      <c r="BC196" s="508"/>
      <c r="BD196" s="508"/>
      <c r="BE196" s="508"/>
      <c r="BF196" s="508"/>
      <c r="BG196" s="508"/>
      <c r="BH196" s="508"/>
      <c r="BI196" s="508"/>
      <c r="BJ196" s="508"/>
      <c r="BK196" s="508"/>
      <c r="BL196" s="508"/>
      <c r="BM196" s="508"/>
      <c r="BN196" s="508"/>
      <c r="BO196" s="508"/>
    </row>
    <row r="197" spans="48:67" s="484" customFormat="1">
      <c r="AV197" s="508"/>
      <c r="AW197" s="508"/>
      <c r="AX197" s="508"/>
      <c r="AY197" s="508"/>
      <c r="AZ197" s="508"/>
      <c r="BA197" s="508"/>
      <c r="BB197" s="508"/>
      <c r="BC197" s="508"/>
      <c r="BD197" s="508"/>
      <c r="BE197" s="508"/>
      <c r="BF197" s="508"/>
      <c r="BG197" s="508"/>
      <c r="BH197" s="508"/>
      <c r="BI197" s="508"/>
      <c r="BJ197" s="508"/>
      <c r="BK197" s="508"/>
      <c r="BL197" s="508"/>
      <c r="BM197" s="508"/>
      <c r="BN197" s="508"/>
      <c r="BO197" s="508"/>
    </row>
    <row r="198" spans="48:67" s="484" customFormat="1">
      <c r="AV198" s="508"/>
      <c r="AW198" s="508"/>
      <c r="AX198" s="508"/>
      <c r="AY198" s="508"/>
      <c r="AZ198" s="508"/>
      <c r="BA198" s="508"/>
      <c r="BB198" s="508"/>
      <c r="BC198" s="508"/>
      <c r="BD198" s="508"/>
      <c r="BE198" s="508"/>
      <c r="BF198" s="508"/>
      <c r="BG198" s="508"/>
      <c r="BH198" s="508"/>
      <c r="BI198" s="508"/>
      <c r="BJ198" s="508"/>
      <c r="BK198" s="508"/>
      <c r="BL198" s="508"/>
      <c r="BM198" s="508"/>
      <c r="BN198" s="508"/>
      <c r="BO198" s="508"/>
    </row>
    <row r="199" spans="48:67" s="484" customFormat="1">
      <c r="AV199" s="508"/>
      <c r="AW199" s="508"/>
      <c r="AX199" s="508"/>
      <c r="AY199" s="508"/>
      <c r="AZ199" s="508"/>
      <c r="BA199" s="508"/>
      <c r="BB199" s="508"/>
      <c r="BC199" s="508"/>
      <c r="BD199" s="508"/>
      <c r="BE199" s="508"/>
      <c r="BF199" s="508"/>
      <c r="BG199" s="508"/>
      <c r="BH199" s="508"/>
      <c r="BI199" s="508"/>
      <c r="BJ199" s="508"/>
      <c r="BK199" s="508"/>
      <c r="BL199" s="508"/>
      <c r="BM199" s="508"/>
      <c r="BN199" s="508"/>
      <c r="BO199" s="508"/>
    </row>
    <row r="200" spans="48:67" s="484" customFormat="1">
      <c r="AV200" s="508"/>
      <c r="AW200" s="508"/>
      <c r="AX200" s="508"/>
      <c r="AY200" s="508"/>
      <c r="AZ200" s="508"/>
      <c r="BA200" s="508"/>
      <c r="BB200" s="508"/>
      <c r="BC200" s="508"/>
      <c r="BD200" s="508"/>
      <c r="BE200" s="508"/>
      <c r="BF200" s="508"/>
      <c r="BG200" s="508"/>
      <c r="BH200" s="508"/>
      <c r="BI200" s="508"/>
      <c r="BJ200" s="508"/>
      <c r="BK200" s="508"/>
      <c r="BL200" s="508"/>
      <c r="BM200" s="508"/>
      <c r="BN200" s="508"/>
      <c r="BO200" s="508"/>
    </row>
    <row r="201" spans="48:67" s="484" customFormat="1">
      <c r="AV201" s="508"/>
      <c r="AW201" s="508"/>
      <c r="AX201" s="508"/>
      <c r="AY201" s="508"/>
      <c r="AZ201" s="508"/>
      <c r="BA201" s="508"/>
      <c r="BB201" s="508"/>
      <c r="BC201" s="508"/>
      <c r="BD201" s="508"/>
      <c r="BE201" s="508"/>
      <c r="BF201" s="508"/>
      <c r="BG201" s="508"/>
      <c r="BH201" s="508"/>
      <c r="BI201" s="508"/>
      <c r="BJ201" s="508"/>
      <c r="BK201" s="508"/>
      <c r="BL201" s="508"/>
      <c r="BM201" s="508"/>
      <c r="BN201" s="508"/>
      <c r="BO201" s="508"/>
    </row>
    <row r="202" spans="48:67" s="484" customFormat="1">
      <c r="AV202" s="508"/>
      <c r="AW202" s="508"/>
      <c r="AX202" s="508"/>
      <c r="AY202" s="508"/>
      <c r="AZ202" s="508"/>
      <c r="BA202" s="508"/>
      <c r="BB202" s="508"/>
      <c r="BC202" s="508"/>
      <c r="BD202" s="508"/>
      <c r="BE202" s="508"/>
      <c r="BF202" s="508"/>
      <c r="BG202" s="508"/>
      <c r="BH202" s="508"/>
      <c r="BI202" s="508"/>
      <c r="BJ202" s="508"/>
      <c r="BK202" s="508"/>
      <c r="BL202" s="508"/>
      <c r="BM202" s="508"/>
      <c r="BN202" s="508"/>
      <c r="BO202" s="508"/>
    </row>
    <row r="203" spans="48:67" s="484" customFormat="1">
      <c r="AV203" s="508"/>
      <c r="AW203" s="508"/>
      <c r="AX203" s="508"/>
      <c r="AY203" s="508"/>
      <c r="AZ203" s="508"/>
      <c r="BA203" s="508"/>
      <c r="BB203" s="508"/>
      <c r="BC203" s="508"/>
      <c r="BD203" s="508"/>
      <c r="BE203" s="508"/>
      <c r="BF203" s="508"/>
      <c r="BG203" s="508"/>
      <c r="BH203" s="508"/>
      <c r="BI203" s="508"/>
      <c r="BJ203" s="508"/>
      <c r="BK203" s="508"/>
      <c r="BL203" s="508"/>
      <c r="BM203" s="508"/>
      <c r="BN203" s="508"/>
      <c r="BO203" s="508"/>
    </row>
    <row r="204" spans="48:67" s="484" customFormat="1">
      <c r="AV204" s="508"/>
      <c r="AW204" s="508"/>
      <c r="AX204" s="508"/>
      <c r="AY204" s="508"/>
      <c r="AZ204" s="508"/>
      <c r="BA204" s="508"/>
      <c r="BB204" s="508"/>
      <c r="BC204" s="508"/>
      <c r="BD204" s="508"/>
      <c r="BE204" s="508"/>
      <c r="BF204" s="508"/>
      <c r="BG204" s="508"/>
      <c r="BH204" s="508"/>
      <c r="BI204" s="508"/>
      <c r="BJ204" s="508"/>
      <c r="BK204" s="508"/>
      <c r="BL204" s="508"/>
      <c r="BM204" s="508"/>
      <c r="BN204" s="508"/>
      <c r="BO204" s="508"/>
    </row>
    <row r="205" spans="48:67" s="484" customFormat="1">
      <c r="AV205" s="508"/>
      <c r="AW205" s="508"/>
      <c r="AX205" s="508"/>
      <c r="AY205" s="508"/>
      <c r="AZ205" s="508"/>
      <c r="BA205" s="508"/>
      <c r="BB205" s="508"/>
      <c r="BC205" s="508"/>
      <c r="BD205" s="508"/>
      <c r="BE205" s="508"/>
      <c r="BF205" s="508"/>
      <c r="BG205" s="508"/>
      <c r="BH205" s="508"/>
      <c r="BI205" s="508"/>
      <c r="BJ205" s="508"/>
      <c r="BK205" s="508"/>
      <c r="BL205" s="508"/>
      <c r="BM205" s="508"/>
      <c r="BN205" s="508"/>
      <c r="BO205" s="508"/>
    </row>
    <row r="206" spans="48:67" s="484" customFormat="1">
      <c r="AV206" s="508"/>
      <c r="AW206" s="508"/>
      <c r="AX206" s="508"/>
      <c r="AY206" s="508"/>
      <c r="AZ206" s="508"/>
      <c r="BA206" s="508"/>
      <c r="BB206" s="508"/>
      <c r="BC206" s="508"/>
      <c r="BD206" s="508"/>
      <c r="BE206" s="508"/>
      <c r="BF206" s="508"/>
      <c r="BG206" s="508"/>
      <c r="BH206" s="508"/>
      <c r="BI206" s="508"/>
      <c r="BJ206" s="508"/>
      <c r="BK206" s="508"/>
      <c r="BL206" s="508"/>
      <c r="BM206" s="508"/>
      <c r="BN206" s="508"/>
      <c r="BO206" s="508"/>
    </row>
    <row r="207" spans="48:67" s="484" customFormat="1">
      <c r="AV207" s="508"/>
      <c r="AW207" s="508"/>
      <c r="AX207" s="508"/>
      <c r="AY207" s="508"/>
      <c r="AZ207" s="508"/>
      <c r="BA207" s="508"/>
      <c r="BB207" s="508"/>
      <c r="BC207" s="508"/>
      <c r="BD207" s="508"/>
      <c r="BE207" s="508"/>
      <c r="BF207" s="508"/>
      <c r="BG207" s="508"/>
      <c r="BH207" s="508"/>
      <c r="BI207" s="508"/>
      <c r="BJ207" s="508"/>
      <c r="BK207" s="508"/>
      <c r="BL207" s="508"/>
      <c r="BM207" s="508"/>
      <c r="BN207" s="508"/>
      <c r="BO207" s="508"/>
    </row>
    <row r="208" spans="48:67" s="484" customFormat="1">
      <c r="AV208" s="508"/>
      <c r="AW208" s="508"/>
      <c r="AX208" s="508"/>
      <c r="AY208" s="508"/>
      <c r="AZ208" s="508"/>
      <c r="BA208" s="508"/>
      <c r="BB208" s="508"/>
      <c r="BC208" s="508"/>
      <c r="BD208" s="508"/>
      <c r="BE208" s="508"/>
      <c r="BF208" s="508"/>
      <c r="BG208" s="508"/>
      <c r="BH208" s="508"/>
      <c r="BI208" s="508"/>
      <c r="BJ208" s="508"/>
      <c r="BK208" s="508"/>
      <c r="BL208" s="508"/>
      <c r="BM208" s="508"/>
      <c r="BN208" s="508"/>
      <c r="BO208" s="508"/>
    </row>
    <row r="209" spans="48:67" s="484" customFormat="1">
      <c r="AV209" s="508"/>
      <c r="AW209" s="508"/>
      <c r="AX209" s="508"/>
      <c r="AY209" s="508"/>
      <c r="AZ209" s="508"/>
      <c r="BA209" s="508"/>
      <c r="BB209" s="508"/>
      <c r="BC209" s="508"/>
      <c r="BD209" s="508"/>
      <c r="BE209" s="508"/>
      <c r="BF209" s="508"/>
      <c r="BG209" s="508"/>
      <c r="BH209" s="508"/>
      <c r="BI209" s="508"/>
      <c r="BJ209" s="508"/>
      <c r="BK209" s="508"/>
      <c r="BL209" s="508"/>
      <c r="BM209" s="508"/>
      <c r="BN209" s="508"/>
      <c r="BO209" s="508"/>
    </row>
    <row r="210" spans="48:67" s="484" customFormat="1">
      <c r="AV210" s="508"/>
      <c r="AW210" s="508"/>
      <c r="AX210" s="508"/>
      <c r="AY210" s="508"/>
      <c r="AZ210" s="508"/>
      <c r="BA210" s="508"/>
      <c r="BB210" s="508"/>
      <c r="BC210" s="508"/>
      <c r="BD210" s="508"/>
      <c r="BE210" s="508"/>
      <c r="BF210" s="508"/>
      <c r="BG210" s="508"/>
      <c r="BH210" s="508"/>
      <c r="BI210" s="508"/>
      <c r="BJ210" s="508"/>
      <c r="BK210" s="508"/>
      <c r="BL210" s="508"/>
      <c r="BM210" s="508"/>
      <c r="BN210" s="508"/>
      <c r="BO210" s="508"/>
    </row>
    <row r="211" spans="48:67" s="484" customFormat="1">
      <c r="AV211" s="508"/>
      <c r="AW211" s="508"/>
      <c r="AX211" s="508"/>
      <c r="AY211" s="508"/>
      <c r="AZ211" s="508"/>
      <c r="BA211" s="508"/>
      <c r="BB211" s="508"/>
      <c r="BC211" s="508"/>
      <c r="BD211" s="508"/>
      <c r="BE211" s="508"/>
      <c r="BF211" s="508"/>
      <c r="BG211" s="508"/>
      <c r="BH211" s="508"/>
      <c r="BI211" s="508"/>
      <c r="BJ211" s="508"/>
      <c r="BK211" s="508"/>
      <c r="BL211" s="508"/>
      <c r="BM211" s="508"/>
      <c r="BN211" s="508"/>
      <c r="BO211" s="508"/>
    </row>
    <row r="212" spans="48:67" s="484" customFormat="1">
      <c r="AV212" s="508"/>
      <c r="AW212" s="508"/>
      <c r="AX212" s="508"/>
      <c r="AY212" s="508"/>
      <c r="AZ212" s="508"/>
      <c r="BA212" s="508"/>
      <c r="BB212" s="508"/>
      <c r="BC212" s="508"/>
      <c r="BD212" s="508"/>
      <c r="BE212" s="508"/>
      <c r="BF212" s="508"/>
      <c r="BG212" s="508"/>
      <c r="BH212" s="508"/>
      <c r="BI212" s="508"/>
      <c r="BJ212" s="508"/>
      <c r="BK212" s="508"/>
      <c r="BL212" s="508"/>
      <c r="BM212" s="508"/>
      <c r="BN212" s="508"/>
      <c r="BO212" s="508"/>
    </row>
    <row r="213" spans="48:67" s="484" customFormat="1">
      <c r="AV213" s="508"/>
      <c r="AW213" s="508"/>
      <c r="AX213" s="508"/>
      <c r="AY213" s="508"/>
      <c r="AZ213" s="508"/>
      <c r="BA213" s="508"/>
      <c r="BB213" s="508"/>
      <c r="BC213" s="508"/>
      <c r="BD213" s="508"/>
      <c r="BE213" s="508"/>
      <c r="BF213" s="508"/>
      <c r="BG213" s="508"/>
      <c r="BH213" s="508"/>
      <c r="BI213" s="508"/>
      <c r="BJ213" s="508"/>
      <c r="BK213" s="508"/>
      <c r="BL213" s="508"/>
      <c r="BM213" s="508"/>
      <c r="BN213" s="508"/>
      <c r="BO213" s="508"/>
    </row>
    <row r="214" spans="48:67" s="484" customFormat="1">
      <c r="AV214" s="508"/>
      <c r="AW214" s="508"/>
      <c r="AX214" s="508"/>
      <c r="AY214" s="508"/>
      <c r="AZ214" s="508"/>
      <c r="BA214" s="508"/>
      <c r="BB214" s="508"/>
      <c r="BC214" s="508"/>
      <c r="BD214" s="508"/>
      <c r="BE214" s="508"/>
      <c r="BF214" s="508"/>
      <c r="BG214" s="508"/>
      <c r="BH214" s="508"/>
      <c r="BI214" s="508"/>
      <c r="BJ214" s="508"/>
      <c r="BK214" s="508"/>
      <c r="BL214" s="508"/>
      <c r="BM214" s="508"/>
      <c r="BN214" s="508"/>
      <c r="BO214" s="508"/>
    </row>
    <row r="215" spans="48:67" s="484" customFormat="1">
      <c r="AV215" s="508"/>
      <c r="AW215" s="508"/>
      <c r="AX215" s="508"/>
      <c r="AY215" s="508"/>
      <c r="AZ215" s="508"/>
      <c r="BA215" s="508"/>
      <c r="BB215" s="508"/>
      <c r="BC215" s="508"/>
      <c r="BD215" s="508"/>
      <c r="BE215" s="508"/>
      <c r="BF215" s="508"/>
      <c r="BG215" s="508"/>
      <c r="BH215" s="508"/>
      <c r="BI215" s="508"/>
      <c r="BJ215" s="508"/>
      <c r="BK215" s="508"/>
      <c r="BL215" s="508"/>
      <c r="BM215" s="508"/>
      <c r="BN215" s="508"/>
      <c r="BO215" s="508"/>
    </row>
    <row r="216" spans="48:67" s="484" customFormat="1">
      <c r="AV216" s="508"/>
      <c r="AW216" s="508"/>
      <c r="AX216" s="508"/>
      <c r="AY216" s="508"/>
      <c r="AZ216" s="508"/>
      <c r="BA216" s="508"/>
      <c r="BB216" s="508"/>
      <c r="BC216" s="508"/>
      <c r="BD216" s="508"/>
      <c r="BE216" s="508"/>
      <c r="BF216" s="508"/>
      <c r="BG216" s="508"/>
      <c r="BH216" s="508"/>
      <c r="BI216" s="508"/>
      <c r="BJ216" s="508"/>
      <c r="BK216" s="508"/>
      <c r="BL216" s="508"/>
      <c r="BM216" s="508"/>
      <c r="BN216" s="508"/>
      <c r="BO216" s="508"/>
    </row>
    <row r="217" spans="48:67" s="484" customFormat="1">
      <c r="AV217" s="508"/>
      <c r="AW217" s="508"/>
      <c r="AX217" s="508"/>
      <c r="AY217" s="508"/>
      <c r="AZ217" s="508"/>
      <c r="BA217" s="508"/>
      <c r="BB217" s="508"/>
      <c r="BC217" s="508"/>
      <c r="BD217" s="508"/>
      <c r="BE217" s="508"/>
      <c r="BF217" s="508"/>
      <c r="BG217" s="508"/>
      <c r="BH217" s="508"/>
      <c r="BI217" s="508"/>
      <c r="BJ217" s="508"/>
      <c r="BK217" s="508"/>
      <c r="BL217" s="508"/>
      <c r="BM217" s="508"/>
      <c r="BN217" s="508"/>
      <c r="BO217" s="508"/>
    </row>
    <row r="218" spans="48:67" s="484" customFormat="1">
      <c r="AV218" s="508"/>
      <c r="AW218" s="508"/>
      <c r="AX218" s="508"/>
      <c r="AY218" s="508"/>
      <c r="AZ218" s="508"/>
      <c r="BA218" s="508"/>
      <c r="BB218" s="508"/>
      <c r="BC218" s="508"/>
      <c r="BD218" s="508"/>
      <c r="BE218" s="508"/>
      <c r="BF218" s="508"/>
      <c r="BG218" s="508"/>
      <c r="BH218" s="508"/>
      <c r="BI218" s="508"/>
      <c r="BJ218" s="508"/>
      <c r="BK218" s="508"/>
      <c r="BL218" s="508"/>
      <c r="BM218" s="508"/>
      <c r="BN218" s="508"/>
      <c r="BO218" s="508"/>
    </row>
    <row r="219" spans="48:67" s="484" customFormat="1">
      <c r="AV219" s="508"/>
      <c r="AW219" s="508"/>
      <c r="AX219" s="508"/>
      <c r="AY219" s="508"/>
      <c r="AZ219" s="508"/>
      <c r="BA219" s="508"/>
      <c r="BB219" s="508"/>
      <c r="BC219" s="508"/>
      <c r="BD219" s="508"/>
      <c r="BE219" s="508"/>
      <c r="BF219" s="508"/>
      <c r="BG219" s="508"/>
      <c r="BH219" s="508"/>
      <c r="BI219" s="508"/>
      <c r="BJ219" s="508"/>
      <c r="BK219" s="508"/>
      <c r="BL219" s="508"/>
      <c r="BM219" s="508"/>
      <c r="BN219" s="508"/>
      <c r="BO219" s="508"/>
    </row>
    <row r="220" spans="48:67" s="484" customFormat="1">
      <c r="AV220" s="508"/>
      <c r="AW220" s="508"/>
      <c r="AX220" s="508"/>
      <c r="AY220" s="508"/>
      <c r="AZ220" s="508"/>
      <c r="BA220" s="508"/>
      <c r="BB220" s="508"/>
      <c r="BC220" s="508"/>
      <c r="BD220" s="508"/>
      <c r="BE220" s="508"/>
      <c r="BF220" s="508"/>
      <c r="BG220" s="508"/>
      <c r="BH220" s="508"/>
      <c r="BI220" s="508"/>
      <c r="BJ220" s="508"/>
      <c r="BK220" s="508"/>
      <c r="BL220" s="508"/>
      <c r="BM220" s="508"/>
      <c r="BN220" s="508"/>
      <c r="BO220" s="508"/>
    </row>
    <row r="221" spans="48:67" s="484" customFormat="1">
      <c r="AV221" s="508"/>
      <c r="AW221" s="508"/>
      <c r="AX221" s="508"/>
      <c r="AY221" s="508"/>
      <c r="AZ221" s="508"/>
      <c r="BA221" s="508"/>
      <c r="BB221" s="508"/>
      <c r="BC221" s="508"/>
      <c r="BD221" s="508"/>
      <c r="BE221" s="508"/>
      <c r="BF221" s="508"/>
      <c r="BG221" s="508"/>
      <c r="BH221" s="508"/>
      <c r="BI221" s="508"/>
      <c r="BJ221" s="508"/>
      <c r="BK221" s="508"/>
      <c r="BL221" s="508"/>
      <c r="BM221" s="508"/>
      <c r="BN221" s="508"/>
      <c r="BO221" s="508"/>
    </row>
    <row r="222" spans="48:67" s="484" customFormat="1">
      <c r="AV222" s="508"/>
      <c r="AW222" s="508"/>
      <c r="AX222" s="508"/>
      <c r="AY222" s="508"/>
      <c r="AZ222" s="508"/>
      <c r="BA222" s="508"/>
      <c r="BB222" s="508"/>
      <c r="BC222" s="508"/>
      <c r="BD222" s="508"/>
      <c r="BE222" s="508"/>
      <c r="BF222" s="508"/>
      <c r="BG222" s="508"/>
      <c r="BH222" s="508"/>
      <c r="BI222" s="508"/>
      <c r="BJ222" s="508"/>
      <c r="BK222" s="508"/>
      <c r="BL222" s="508"/>
      <c r="BM222" s="508"/>
      <c r="BN222" s="508"/>
      <c r="BO222" s="508"/>
    </row>
    <row r="223" spans="48:67" s="484" customFormat="1">
      <c r="AV223" s="508"/>
      <c r="AW223" s="508"/>
      <c r="AX223" s="508"/>
      <c r="AY223" s="508"/>
      <c r="AZ223" s="508"/>
      <c r="BA223" s="508"/>
      <c r="BB223" s="508"/>
      <c r="BC223" s="508"/>
      <c r="BD223" s="508"/>
      <c r="BE223" s="508"/>
      <c r="BF223" s="508"/>
      <c r="BG223" s="508"/>
      <c r="BH223" s="508"/>
      <c r="BI223" s="508"/>
      <c r="BJ223" s="508"/>
      <c r="BK223" s="508"/>
      <c r="BL223" s="508"/>
      <c r="BM223" s="508"/>
      <c r="BN223" s="508"/>
      <c r="BO223" s="508"/>
    </row>
    <row r="224" spans="48:67" s="484" customFormat="1">
      <c r="AV224" s="508"/>
      <c r="AW224" s="508"/>
      <c r="AX224" s="508"/>
      <c r="AY224" s="508"/>
      <c r="AZ224" s="508"/>
      <c r="BA224" s="508"/>
      <c r="BB224" s="508"/>
      <c r="BC224" s="508"/>
      <c r="BD224" s="508"/>
      <c r="BE224" s="508"/>
      <c r="BF224" s="508"/>
      <c r="BG224" s="508"/>
      <c r="BH224" s="508"/>
      <c r="BI224" s="508"/>
      <c r="BJ224" s="508"/>
      <c r="BK224" s="508"/>
      <c r="BL224" s="508"/>
      <c r="BM224" s="508"/>
      <c r="BN224" s="508"/>
      <c r="BO224" s="508"/>
    </row>
    <row r="225" spans="48:67" s="484" customFormat="1">
      <c r="AV225" s="508"/>
      <c r="AW225" s="508"/>
      <c r="AX225" s="508"/>
      <c r="AY225" s="508"/>
      <c r="AZ225" s="508"/>
      <c r="BA225" s="508"/>
      <c r="BB225" s="508"/>
      <c r="BC225" s="508"/>
      <c r="BD225" s="508"/>
      <c r="BE225" s="508"/>
      <c r="BF225" s="508"/>
      <c r="BG225" s="508"/>
      <c r="BH225" s="508"/>
      <c r="BI225" s="508"/>
      <c r="BJ225" s="508"/>
      <c r="BK225" s="508"/>
      <c r="BL225" s="508"/>
      <c r="BM225" s="508"/>
      <c r="BN225" s="508"/>
      <c r="BO225" s="508"/>
    </row>
    <row r="226" spans="48:67" s="484" customFormat="1">
      <c r="AV226" s="508"/>
      <c r="AW226" s="508"/>
      <c r="AX226" s="508"/>
      <c r="AY226" s="508"/>
      <c r="AZ226" s="508"/>
      <c r="BA226" s="508"/>
      <c r="BB226" s="508"/>
      <c r="BC226" s="508"/>
      <c r="BD226" s="508"/>
      <c r="BE226" s="508"/>
      <c r="BF226" s="508"/>
      <c r="BG226" s="508"/>
      <c r="BH226" s="508"/>
      <c r="BI226" s="508"/>
      <c r="BJ226" s="508"/>
      <c r="BK226" s="508"/>
      <c r="BL226" s="508"/>
      <c r="BM226" s="508"/>
      <c r="BN226" s="508"/>
      <c r="BO226" s="508"/>
    </row>
    <row r="227" spans="48:67" s="484" customFormat="1">
      <c r="AV227" s="508"/>
      <c r="AW227" s="508"/>
      <c r="AX227" s="508"/>
      <c r="AY227" s="508"/>
      <c r="AZ227" s="508"/>
      <c r="BA227" s="508"/>
      <c r="BB227" s="508"/>
      <c r="BC227" s="508"/>
      <c r="BD227" s="508"/>
      <c r="BE227" s="508"/>
      <c r="BF227" s="508"/>
      <c r="BG227" s="508"/>
      <c r="BH227" s="508"/>
      <c r="BI227" s="508"/>
      <c r="BJ227" s="508"/>
      <c r="BK227" s="508"/>
      <c r="BL227" s="508"/>
      <c r="BM227" s="508"/>
      <c r="BN227" s="508"/>
      <c r="BO227" s="508"/>
    </row>
    <row r="228" spans="48:67" s="484" customFormat="1">
      <c r="AV228" s="508"/>
      <c r="AW228" s="508"/>
      <c r="AX228" s="508"/>
      <c r="AY228" s="508"/>
      <c r="AZ228" s="508"/>
      <c r="BA228" s="508"/>
      <c r="BB228" s="508"/>
      <c r="BC228" s="508"/>
      <c r="BD228" s="508"/>
      <c r="BE228" s="508"/>
      <c r="BF228" s="508"/>
      <c r="BG228" s="508"/>
      <c r="BH228" s="508"/>
      <c r="BI228" s="508"/>
      <c r="BJ228" s="508"/>
      <c r="BK228" s="508"/>
      <c r="BL228" s="508"/>
      <c r="BM228" s="508"/>
      <c r="BN228" s="508"/>
      <c r="BO228" s="508"/>
    </row>
    <row r="229" spans="48:67" s="484" customFormat="1">
      <c r="AV229" s="508"/>
      <c r="AW229" s="508"/>
      <c r="AX229" s="508"/>
      <c r="AY229" s="508"/>
      <c r="AZ229" s="508"/>
      <c r="BA229" s="508"/>
      <c r="BB229" s="508"/>
      <c r="BC229" s="508"/>
      <c r="BD229" s="508"/>
      <c r="BE229" s="508"/>
      <c r="BF229" s="508"/>
      <c r="BG229" s="508"/>
      <c r="BH229" s="508"/>
      <c r="BI229" s="508"/>
      <c r="BJ229" s="508"/>
      <c r="BK229" s="508"/>
      <c r="BL229" s="508"/>
      <c r="BM229" s="508"/>
      <c r="BN229" s="508"/>
      <c r="BO229" s="508"/>
    </row>
    <row r="230" spans="48:67" s="484" customFormat="1">
      <c r="AV230" s="508"/>
      <c r="AW230" s="508"/>
      <c r="AX230" s="508"/>
      <c r="AY230" s="508"/>
      <c r="AZ230" s="508"/>
      <c r="BA230" s="508"/>
      <c r="BB230" s="508"/>
      <c r="BC230" s="508"/>
      <c r="BD230" s="508"/>
      <c r="BE230" s="508"/>
      <c r="BF230" s="508"/>
      <c r="BG230" s="508"/>
      <c r="BH230" s="508"/>
      <c r="BI230" s="508"/>
      <c r="BJ230" s="508"/>
      <c r="BK230" s="508"/>
      <c r="BL230" s="508"/>
      <c r="BM230" s="508"/>
      <c r="BN230" s="508"/>
      <c r="BO230" s="508"/>
    </row>
    <row r="231" spans="48:67" s="484" customFormat="1">
      <c r="AV231" s="508"/>
      <c r="AW231" s="508"/>
      <c r="AX231" s="508"/>
      <c r="AY231" s="508"/>
      <c r="AZ231" s="508"/>
      <c r="BA231" s="508"/>
      <c r="BB231" s="508"/>
      <c r="BC231" s="508"/>
      <c r="BD231" s="508"/>
      <c r="BE231" s="508"/>
      <c r="BF231" s="508"/>
      <c r="BG231" s="508"/>
      <c r="BH231" s="508"/>
      <c r="BI231" s="508"/>
      <c r="BJ231" s="508"/>
      <c r="BK231" s="508"/>
      <c r="BL231" s="508"/>
      <c r="BM231" s="508"/>
      <c r="BN231" s="508"/>
      <c r="BO231" s="508"/>
    </row>
    <row r="232" spans="48:67" s="484" customFormat="1">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row>
    <row r="233" spans="48:67" s="484" customFormat="1">
      <c r="AV233" s="508"/>
      <c r="AW233" s="508"/>
      <c r="AX233" s="508"/>
      <c r="AY233" s="508"/>
      <c r="AZ233" s="508"/>
      <c r="BA233" s="508"/>
      <c r="BB233" s="508"/>
      <c r="BC233" s="508"/>
      <c r="BD233" s="508"/>
      <c r="BE233" s="508"/>
      <c r="BF233" s="508"/>
      <c r="BG233" s="508"/>
      <c r="BH233" s="508"/>
      <c r="BI233" s="508"/>
      <c r="BJ233" s="508"/>
      <c r="BK233" s="508"/>
      <c r="BL233" s="508"/>
      <c r="BM233" s="508"/>
      <c r="BN233" s="508"/>
      <c r="BO233" s="508"/>
    </row>
    <row r="234" spans="48:67" s="484" customFormat="1">
      <c r="AV234" s="508"/>
      <c r="AW234" s="508"/>
      <c r="AX234" s="508"/>
      <c r="AY234" s="508"/>
      <c r="AZ234" s="508"/>
      <c r="BA234" s="508"/>
      <c r="BB234" s="508"/>
      <c r="BC234" s="508"/>
      <c r="BD234" s="508"/>
      <c r="BE234" s="508"/>
      <c r="BF234" s="508"/>
      <c r="BG234" s="508"/>
      <c r="BH234" s="508"/>
      <c r="BI234" s="508"/>
      <c r="BJ234" s="508"/>
      <c r="BK234" s="508"/>
      <c r="BL234" s="508"/>
      <c r="BM234" s="508"/>
      <c r="BN234" s="508"/>
      <c r="BO234" s="508"/>
    </row>
    <row r="235" spans="48:67" s="484" customFormat="1">
      <c r="AV235" s="508"/>
      <c r="AW235" s="508"/>
      <c r="AX235" s="508"/>
      <c r="AY235" s="508"/>
      <c r="AZ235" s="508"/>
      <c r="BA235" s="508"/>
      <c r="BB235" s="508"/>
      <c r="BC235" s="508"/>
      <c r="BD235" s="508"/>
      <c r="BE235" s="508"/>
      <c r="BF235" s="508"/>
      <c r="BG235" s="508"/>
      <c r="BH235" s="508"/>
      <c r="BI235" s="508"/>
      <c r="BJ235" s="508"/>
      <c r="BK235" s="508"/>
      <c r="BL235" s="508"/>
      <c r="BM235" s="508"/>
      <c r="BN235" s="508"/>
      <c r="BO235" s="508"/>
    </row>
    <row r="236" spans="48:67" s="484" customFormat="1">
      <c r="AV236" s="508"/>
      <c r="AW236" s="508"/>
      <c r="AX236" s="508"/>
      <c r="AY236" s="508"/>
      <c r="AZ236" s="508"/>
      <c r="BA236" s="508"/>
      <c r="BB236" s="508"/>
      <c r="BC236" s="508"/>
      <c r="BD236" s="508"/>
      <c r="BE236" s="508"/>
      <c r="BF236" s="508"/>
      <c r="BG236" s="508"/>
      <c r="BH236" s="508"/>
      <c r="BI236" s="508"/>
      <c r="BJ236" s="508"/>
      <c r="BK236" s="508"/>
      <c r="BL236" s="508"/>
      <c r="BM236" s="508"/>
      <c r="BN236" s="508"/>
      <c r="BO236" s="508"/>
    </row>
    <row r="237" spans="48:67" s="484" customFormat="1">
      <c r="AV237" s="508"/>
      <c r="AW237" s="508"/>
      <c r="AX237" s="508"/>
      <c r="AY237" s="508"/>
      <c r="AZ237" s="508"/>
      <c r="BA237" s="508"/>
      <c r="BB237" s="508"/>
      <c r="BC237" s="508"/>
      <c r="BD237" s="508"/>
      <c r="BE237" s="508"/>
      <c r="BF237" s="508"/>
      <c r="BG237" s="508"/>
      <c r="BH237" s="508"/>
      <c r="BI237" s="508"/>
      <c r="BJ237" s="508"/>
      <c r="BK237" s="508"/>
      <c r="BL237" s="508"/>
      <c r="BM237" s="508"/>
      <c r="BN237" s="508"/>
      <c r="BO237" s="508"/>
    </row>
    <row r="238" spans="48:67" s="484" customFormat="1">
      <c r="AV238" s="508"/>
      <c r="AW238" s="508"/>
      <c r="AX238" s="508"/>
      <c r="AY238" s="508"/>
      <c r="AZ238" s="508"/>
      <c r="BA238" s="508"/>
      <c r="BB238" s="508"/>
      <c r="BC238" s="508"/>
      <c r="BD238" s="508"/>
      <c r="BE238" s="508"/>
      <c r="BF238" s="508"/>
      <c r="BG238" s="508"/>
      <c r="BH238" s="508"/>
      <c r="BI238" s="508"/>
      <c r="BJ238" s="508"/>
      <c r="BK238" s="508"/>
      <c r="BL238" s="508"/>
      <c r="BM238" s="508"/>
      <c r="BN238" s="508"/>
      <c r="BO238" s="508"/>
    </row>
    <row r="239" spans="48:67" s="484" customFormat="1">
      <c r="AV239" s="508"/>
      <c r="AW239" s="508"/>
      <c r="AX239" s="508"/>
      <c r="AY239" s="508"/>
      <c r="AZ239" s="508"/>
      <c r="BA239" s="508"/>
      <c r="BB239" s="508"/>
      <c r="BC239" s="508"/>
      <c r="BD239" s="508"/>
      <c r="BE239" s="508"/>
      <c r="BF239" s="508"/>
      <c r="BG239" s="508"/>
      <c r="BH239" s="508"/>
      <c r="BI239" s="508"/>
      <c r="BJ239" s="508"/>
      <c r="BK239" s="508"/>
      <c r="BL239" s="508"/>
      <c r="BM239" s="508"/>
      <c r="BN239" s="508"/>
      <c r="BO239" s="508"/>
    </row>
    <row r="240" spans="48:67" s="484" customFormat="1">
      <c r="AV240" s="508"/>
      <c r="AW240" s="508"/>
      <c r="AX240" s="508"/>
      <c r="AY240" s="508"/>
      <c r="AZ240" s="508"/>
      <c r="BA240" s="508"/>
      <c r="BB240" s="508"/>
      <c r="BC240" s="508"/>
      <c r="BD240" s="508"/>
      <c r="BE240" s="508"/>
      <c r="BF240" s="508"/>
      <c r="BG240" s="508"/>
      <c r="BH240" s="508"/>
      <c r="BI240" s="508"/>
      <c r="BJ240" s="508"/>
      <c r="BK240" s="508"/>
      <c r="BL240" s="508"/>
      <c r="BM240" s="508"/>
      <c r="BN240" s="508"/>
      <c r="BO240" s="508"/>
    </row>
    <row r="241" spans="48:67" s="484" customFormat="1">
      <c r="AV241" s="508"/>
      <c r="AW241" s="508"/>
      <c r="AX241" s="508"/>
      <c r="AY241" s="508"/>
      <c r="AZ241" s="508"/>
      <c r="BA241" s="508"/>
      <c r="BB241" s="508"/>
      <c r="BC241" s="508"/>
      <c r="BD241" s="508"/>
      <c r="BE241" s="508"/>
      <c r="BF241" s="508"/>
      <c r="BG241" s="508"/>
      <c r="BH241" s="508"/>
      <c r="BI241" s="508"/>
      <c r="BJ241" s="508"/>
      <c r="BK241" s="508"/>
      <c r="BL241" s="508"/>
      <c r="BM241" s="508"/>
      <c r="BN241" s="508"/>
      <c r="BO241" s="508"/>
    </row>
    <row r="242" spans="48:67" s="484" customFormat="1">
      <c r="AV242" s="508"/>
      <c r="AW242" s="508"/>
      <c r="AX242" s="508"/>
      <c r="AY242" s="508"/>
      <c r="AZ242" s="508"/>
      <c r="BA242" s="508"/>
      <c r="BB242" s="508"/>
      <c r="BC242" s="508"/>
      <c r="BD242" s="508"/>
      <c r="BE242" s="508"/>
      <c r="BF242" s="508"/>
      <c r="BG242" s="508"/>
      <c r="BH242" s="508"/>
      <c r="BI242" s="508"/>
      <c r="BJ242" s="508"/>
      <c r="BK242" s="508"/>
      <c r="BL242" s="508"/>
      <c r="BM242" s="508"/>
      <c r="BN242" s="508"/>
      <c r="BO242" s="508"/>
    </row>
    <row r="243" spans="48:67" s="484" customFormat="1">
      <c r="AV243" s="508"/>
      <c r="AW243" s="508"/>
      <c r="AX243" s="508"/>
      <c r="AY243" s="508"/>
      <c r="AZ243" s="508"/>
      <c r="BA243" s="508"/>
      <c r="BB243" s="508"/>
      <c r="BC243" s="508"/>
      <c r="BD243" s="508"/>
      <c r="BE243" s="508"/>
      <c r="BF243" s="508"/>
      <c r="BG243" s="508"/>
      <c r="BH243" s="508"/>
      <c r="BI243" s="508"/>
      <c r="BJ243" s="508"/>
      <c r="BK243" s="508"/>
      <c r="BL243" s="508"/>
      <c r="BM243" s="508"/>
      <c r="BN243" s="508"/>
      <c r="BO243" s="508"/>
    </row>
    <row r="244" spans="48:67" s="484" customFormat="1">
      <c r="AV244" s="508"/>
      <c r="AW244" s="508"/>
      <c r="AX244" s="508"/>
      <c r="AY244" s="508"/>
      <c r="AZ244" s="508"/>
      <c r="BA244" s="508"/>
      <c r="BB244" s="508"/>
      <c r="BC244" s="508"/>
      <c r="BD244" s="508"/>
      <c r="BE244" s="508"/>
      <c r="BF244" s="508"/>
      <c r="BG244" s="508"/>
      <c r="BH244" s="508"/>
      <c r="BI244" s="508"/>
      <c r="BJ244" s="508"/>
      <c r="BK244" s="508"/>
      <c r="BL244" s="508"/>
      <c r="BM244" s="508"/>
      <c r="BN244" s="508"/>
      <c r="BO244" s="508"/>
    </row>
    <row r="245" spans="48:67" s="484" customFormat="1">
      <c r="AV245" s="508"/>
      <c r="AW245" s="508"/>
      <c r="AX245" s="508"/>
      <c r="AY245" s="508"/>
      <c r="AZ245" s="508"/>
      <c r="BA245" s="508"/>
      <c r="BB245" s="508"/>
      <c r="BC245" s="508"/>
      <c r="BD245" s="508"/>
      <c r="BE245" s="508"/>
      <c r="BF245" s="508"/>
      <c r="BG245" s="508"/>
      <c r="BH245" s="508"/>
      <c r="BI245" s="508"/>
      <c r="BJ245" s="508"/>
      <c r="BK245" s="508"/>
      <c r="BL245" s="508"/>
      <c r="BM245" s="508"/>
      <c r="BN245" s="508"/>
      <c r="BO245" s="508"/>
    </row>
    <row r="246" spans="48:67" s="484" customFormat="1">
      <c r="AV246" s="508"/>
      <c r="AW246" s="508"/>
      <c r="AX246" s="508"/>
      <c r="AY246" s="508"/>
      <c r="AZ246" s="508"/>
      <c r="BA246" s="508"/>
      <c r="BB246" s="508"/>
      <c r="BC246" s="508"/>
      <c r="BD246" s="508"/>
      <c r="BE246" s="508"/>
      <c r="BF246" s="508"/>
      <c r="BG246" s="508"/>
      <c r="BH246" s="508"/>
      <c r="BI246" s="508"/>
      <c r="BJ246" s="508"/>
      <c r="BK246" s="508"/>
      <c r="BL246" s="508"/>
      <c r="BM246" s="508"/>
      <c r="BN246" s="508"/>
      <c r="BO246" s="508"/>
    </row>
    <row r="247" spans="48:67" s="484" customFormat="1">
      <c r="AV247" s="508"/>
      <c r="AW247" s="508"/>
      <c r="AX247" s="508"/>
      <c r="AY247" s="508"/>
      <c r="AZ247" s="508"/>
      <c r="BA247" s="508"/>
      <c r="BB247" s="508"/>
      <c r="BC247" s="508"/>
      <c r="BD247" s="508"/>
      <c r="BE247" s="508"/>
      <c r="BF247" s="508"/>
      <c r="BG247" s="508"/>
      <c r="BH247" s="508"/>
      <c r="BI247" s="508"/>
      <c r="BJ247" s="508"/>
      <c r="BK247" s="508"/>
      <c r="BL247" s="508"/>
      <c r="BM247" s="508"/>
      <c r="BN247" s="508"/>
      <c r="BO247" s="508"/>
    </row>
    <row r="248" spans="48:67" s="484" customFormat="1">
      <c r="AV248" s="508"/>
      <c r="AW248" s="508"/>
      <c r="AX248" s="508"/>
      <c r="AY248" s="508"/>
      <c r="AZ248" s="508"/>
      <c r="BA248" s="508"/>
      <c r="BB248" s="508"/>
      <c r="BC248" s="508"/>
      <c r="BD248" s="508"/>
      <c r="BE248" s="508"/>
      <c r="BF248" s="508"/>
      <c r="BG248" s="508"/>
      <c r="BH248" s="508"/>
      <c r="BI248" s="508"/>
      <c r="BJ248" s="508"/>
      <c r="BK248" s="508"/>
      <c r="BL248" s="508"/>
      <c r="BM248" s="508"/>
      <c r="BN248" s="508"/>
      <c r="BO248" s="508"/>
    </row>
    <row r="249" spans="48:67" s="484" customFormat="1">
      <c r="AV249" s="508"/>
      <c r="AW249" s="508"/>
      <c r="AX249" s="508"/>
      <c r="AY249" s="508"/>
      <c r="AZ249" s="508"/>
      <c r="BA249" s="508"/>
      <c r="BB249" s="508"/>
      <c r="BC249" s="508"/>
      <c r="BD249" s="508"/>
      <c r="BE249" s="508"/>
      <c r="BF249" s="508"/>
      <c r="BG249" s="508"/>
      <c r="BH249" s="508"/>
      <c r="BI249" s="508"/>
      <c r="BJ249" s="508"/>
      <c r="BK249" s="508"/>
      <c r="BL249" s="508"/>
      <c r="BM249" s="508"/>
      <c r="BN249" s="508"/>
      <c r="BO249" s="508"/>
    </row>
    <row r="250" spans="48:67" s="484" customFormat="1">
      <c r="AV250" s="508"/>
      <c r="AW250" s="508"/>
      <c r="AX250" s="508"/>
      <c r="AY250" s="508"/>
      <c r="AZ250" s="508"/>
      <c r="BA250" s="508"/>
      <c r="BB250" s="508"/>
      <c r="BC250" s="508"/>
      <c r="BD250" s="508"/>
      <c r="BE250" s="508"/>
      <c r="BF250" s="508"/>
      <c r="BG250" s="508"/>
      <c r="BH250" s="508"/>
      <c r="BI250" s="508"/>
      <c r="BJ250" s="508"/>
      <c r="BK250" s="508"/>
      <c r="BL250" s="508"/>
      <c r="BM250" s="508"/>
      <c r="BN250" s="508"/>
      <c r="BO250" s="508"/>
    </row>
    <row r="251" spans="48:67" s="484" customFormat="1">
      <c r="AV251" s="508"/>
      <c r="AW251" s="508"/>
      <c r="AX251" s="508"/>
      <c r="AY251" s="508"/>
      <c r="AZ251" s="508"/>
      <c r="BA251" s="508"/>
      <c r="BB251" s="508"/>
      <c r="BC251" s="508"/>
      <c r="BD251" s="508"/>
      <c r="BE251" s="508"/>
      <c r="BF251" s="508"/>
      <c r="BG251" s="508"/>
      <c r="BH251" s="508"/>
      <c r="BI251" s="508"/>
      <c r="BJ251" s="508"/>
      <c r="BK251" s="508"/>
      <c r="BL251" s="508"/>
      <c r="BM251" s="508"/>
      <c r="BN251" s="508"/>
      <c r="BO251" s="508"/>
    </row>
    <row r="252" spans="48:67" s="484" customFormat="1">
      <c r="AV252" s="508"/>
      <c r="AW252" s="508"/>
      <c r="AX252" s="508"/>
      <c r="AY252" s="508"/>
      <c r="AZ252" s="508"/>
      <c r="BA252" s="508"/>
      <c r="BB252" s="508"/>
      <c r="BC252" s="508"/>
      <c r="BD252" s="508"/>
      <c r="BE252" s="508"/>
      <c r="BF252" s="508"/>
      <c r="BG252" s="508"/>
      <c r="BH252" s="508"/>
      <c r="BI252" s="508"/>
      <c r="BJ252" s="508"/>
      <c r="BK252" s="508"/>
      <c r="BL252" s="508"/>
      <c r="BM252" s="508"/>
      <c r="BN252" s="508"/>
      <c r="BO252" s="508"/>
    </row>
    <row r="253" spans="48:67" s="484" customFormat="1">
      <c r="AV253" s="508"/>
      <c r="AW253" s="508"/>
      <c r="AX253" s="508"/>
      <c r="AY253" s="508"/>
      <c r="AZ253" s="508"/>
      <c r="BA253" s="508"/>
      <c r="BB253" s="508"/>
      <c r="BC253" s="508"/>
      <c r="BD253" s="508"/>
      <c r="BE253" s="508"/>
      <c r="BF253" s="508"/>
      <c r="BG253" s="508"/>
      <c r="BH253" s="508"/>
      <c r="BI253" s="508"/>
      <c r="BJ253" s="508"/>
      <c r="BK253" s="508"/>
      <c r="BL253" s="508"/>
      <c r="BM253" s="508"/>
      <c r="BN253" s="508"/>
      <c r="BO253" s="508"/>
    </row>
    <row r="254" spans="48:67" s="484" customFormat="1">
      <c r="AV254" s="508"/>
      <c r="AW254" s="508"/>
      <c r="AX254" s="508"/>
      <c r="AY254" s="508"/>
      <c r="AZ254" s="508"/>
      <c r="BA254" s="508"/>
      <c r="BB254" s="508"/>
      <c r="BC254" s="508"/>
      <c r="BD254" s="508"/>
      <c r="BE254" s="508"/>
      <c r="BF254" s="508"/>
      <c r="BG254" s="508"/>
      <c r="BH254" s="508"/>
      <c r="BI254" s="508"/>
      <c r="BJ254" s="508"/>
      <c r="BK254" s="508"/>
      <c r="BL254" s="508"/>
      <c r="BM254" s="508"/>
      <c r="BN254" s="508"/>
      <c r="BO254" s="508"/>
    </row>
    <row r="255" spans="48:67" s="484" customFormat="1">
      <c r="AV255" s="508"/>
      <c r="AW255" s="508"/>
      <c r="AX255" s="508"/>
      <c r="AY255" s="508"/>
      <c r="AZ255" s="508"/>
      <c r="BA255" s="508"/>
      <c r="BB255" s="508"/>
      <c r="BC255" s="508"/>
      <c r="BD255" s="508"/>
      <c r="BE255" s="508"/>
      <c r="BF255" s="508"/>
      <c r="BG255" s="508"/>
      <c r="BH255" s="508"/>
      <c r="BI255" s="508"/>
      <c r="BJ255" s="508"/>
      <c r="BK255" s="508"/>
      <c r="BL255" s="508"/>
      <c r="BM255" s="508"/>
      <c r="BN255" s="508"/>
      <c r="BO255" s="508"/>
    </row>
    <row r="256" spans="48:67" s="484" customFormat="1">
      <c r="AV256" s="508"/>
      <c r="AW256" s="508"/>
      <c r="AX256" s="508"/>
      <c r="AY256" s="508"/>
      <c r="AZ256" s="508"/>
      <c r="BA256" s="508"/>
      <c r="BB256" s="508"/>
      <c r="BC256" s="508"/>
      <c r="BD256" s="508"/>
      <c r="BE256" s="508"/>
      <c r="BF256" s="508"/>
      <c r="BG256" s="508"/>
      <c r="BH256" s="508"/>
      <c r="BI256" s="508"/>
      <c r="BJ256" s="508"/>
      <c r="BK256" s="508"/>
      <c r="BL256" s="508"/>
      <c r="BM256" s="508"/>
      <c r="BN256" s="508"/>
      <c r="BO256" s="508"/>
    </row>
    <row r="257" spans="48:67" s="484" customFormat="1">
      <c r="AV257" s="508"/>
      <c r="AW257" s="508"/>
      <c r="AX257" s="508"/>
      <c r="AY257" s="508"/>
      <c r="AZ257" s="508"/>
      <c r="BA257" s="508"/>
      <c r="BB257" s="508"/>
      <c r="BC257" s="508"/>
      <c r="BD257" s="508"/>
      <c r="BE257" s="508"/>
      <c r="BF257" s="508"/>
      <c r="BG257" s="508"/>
      <c r="BH257" s="508"/>
      <c r="BI257" s="508"/>
      <c r="BJ257" s="508"/>
      <c r="BK257" s="508"/>
      <c r="BL257" s="508"/>
      <c r="BM257" s="508"/>
      <c r="BN257" s="508"/>
      <c r="BO257" s="508"/>
    </row>
    <row r="258" spans="48:67" s="484" customFormat="1">
      <c r="AV258" s="508"/>
      <c r="AW258" s="508"/>
      <c r="AX258" s="508"/>
      <c r="AY258" s="508"/>
      <c r="AZ258" s="508"/>
      <c r="BA258" s="508"/>
      <c r="BB258" s="508"/>
      <c r="BC258" s="508"/>
      <c r="BD258" s="508"/>
      <c r="BE258" s="508"/>
      <c r="BF258" s="508"/>
      <c r="BG258" s="508"/>
      <c r="BH258" s="508"/>
      <c r="BI258" s="508"/>
      <c r="BJ258" s="508"/>
      <c r="BK258" s="508"/>
      <c r="BL258" s="508"/>
      <c r="BM258" s="508"/>
      <c r="BN258" s="508"/>
      <c r="BO258" s="508"/>
    </row>
    <row r="259" spans="48:67" s="484" customFormat="1">
      <c r="AV259" s="508"/>
      <c r="AW259" s="508"/>
      <c r="AX259" s="508"/>
      <c r="AY259" s="508"/>
      <c r="AZ259" s="508"/>
      <c r="BA259" s="508"/>
      <c r="BB259" s="508"/>
      <c r="BC259" s="508"/>
      <c r="BD259" s="508"/>
      <c r="BE259" s="508"/>
      <c r="BF259" s="508"/>
      <c r="BG259" s="508"/>
      <c r="BH259" s="508"/>
      <c r="BI259" s="508"/>
      <c r="BJ259" s="508"/>
      <c r="BK259" s="508"/>
      <c r="BL259" s="508"/>
      <c r="BM259" s="508"/>
      <c r="BN259" s="508"/>
      <c r="BO259" s="508"/>
    </row>
    <row r="260" spans="48:67" s="484" customFormat="1">
      <c r="AV260" s="508"/>
      <c r="AW260" s="508"/>
      <c r="AX260" s="508"/>
      <c r="AY260" s="508"/>
      <c r="AZ260" s="508"/>
      <c r="BA260" s="508"/>
      <c r="BB260" s="508"/>
      <c r="BC260" s="508"/>
      <c r="BD260" s="508"/>
      <c r="BE260" s="508"/>
      <c r="BF260" s="508"/>
      <c r="BG260" s="508"/>
      <c r="BH260" s="508"/>
      <c r="BI260" s="508"/>
      <c r="BJ260" s="508"/>
      <c r="BK260" s="508"/>
      <c r="BL260" s="508"/>
      <c r="BM260" s="508"/>
      <c r="BN260" s="508"/>
      <c r="BO260" s="508"/>
    </row>
    <row r="261" spans="48:67" s="484" customFormat="1">
      <c r="AV261" s="508"/>
      <c r="AW261" s="508"/>
      <c r="AX261" s="508"/>
      <c r="AY261" s="508"/>
      <c r="AZ261" s="508"/>
      <c r="BA261" s="508"/>
      <c r="BB261" s="508"/>
      <c r="BC261" s="508"/>
      <c r="BD261" s="508"/>
      <c r="BE261" s="508"/>
      <c r="BF261" s="508"/>
      <c r="BG261" s="508"/>
      <c r="BH261" s="508"/>
      <c r="BI261" s="508"/>
      <c r="BJ261" s="508"/>
      <c r="BK261" s="508"/>
      <c r="BL261" s="508"/>
      <c r="BM261" s="508"/>
      <c r="BN261" s="508"/>
      <c r="BO261" s="508"/>
    </row>
    <row r="262" spans="48:67" s="484" customFormat="1">
      <c r="AV262" s="508"/>
      <c r="AW262" s="508"/>
      <c r="AX262" s="508"/>
      <c r="AY262" s="508"/>
      <c r="AZ262" s="508"/>
      <c r="BA262" s="508"/>
      <c r="BB262" s="508"/>
      <c r="BC262" s="508"/>
      <c r="BD262" s="508"/>
      <c r="BE262" s="508"/>
      <c r="BF262" s="508"/>
      <c r="BG262" s="508"/>
      <c r="BH262" s="508"/>
      <c r="BI262" s="508"/>
      <c r="BJ262" s="508"/>
      <c r="BK262" s="508"/>
      <c r="BL262" s="508"/>
      <c r="BM262" s="508"/>
      <c r="BN262" s="508"/>
      <c r="BO262" s="508"/>
    </row>
    <row r="263" spans="48:67" s="484" customFormat="1">
      <c r="AV263" s="508"/>
      <c r="AW263" s="508"/>
      <c r="AX263" s="508"/>
      <c r="AY263" s="508"/>
      <c r="AZ263" s="508"/>
      <c r="BA263" s="508"/>
      <c r="BB263" s="508"/>
      <c r="BC263" s="508"/>
      <c r="BD263" s="508"/>
      <c r="BE263" s="508"/>
      <c r="BF263" s="508"/>
      <c r="BG263" s="508"/>
      <c r="BH263" s="508"/>
      <c r="BI263" s="508"/>
      <c r="BJ263" s="508"/>
      <c r="BK263" s="508"/>
      <c r="BL263" s="508"/>
      <c r="BM263" s="508"/>
      <c r="BN263" s="508"/>
      <c r="BO263" s="508"/>
    </row>
    <row r="264" spans="48:67" s="484" customFormat="1">
      <c r="AV264" s="508"/>
      <c r="AW264" s="508"/>
      <c r="AX264" s="508"/>
      <c r="AY264" s="508"/>
      <c r="AZ264" s="508"/>
      <c r="BA264" s="508"/>
      <c r="BB264" s="508"/>
      <c r="BC264" s="508"/>
      <c r="BD264" s="508"/>
      <c r="BE264" s="508"/>
      <c r="BF264" s="508"/>
      <c r="BG264" s="508"/>
      <c r="BH264" s="508"/>
      <c r="BI264" s="508"/>
      <c r="BJ264" s="508"/>
      <c r="BK264" s="508"/>
      <c r="BL264" s="508"/>
      <c r="BM264" s="508"/>
      <c r="BN264" s="508"/>
      <c r="BO264" s="508"/>
    </row>
    <row r="265" spans="48:67" s="484" customFormat="1">
      <c r="AV265" s="508"/>
      <c r="AW265" s="508"/>
      <c r="AX265" s="508"/>
      <c r="AY265" s="508"/>
      <c r="AZ265" s="508"/>
      <c r="BA265" s="508"/>
      <c r="BB265" s="508"/>
      <c r="BC265" s="508"/>
      <c r="BD265" s="508"/>
      <c r="BE265" s="508"/>
      <c r="BF265" s="508"/>
      <c r="BG265" s="508"/>
      <c r="BH265" s="508"/>
      <c r="BI265" s="508"/>
      <c r="BJ265" s="508"/>
      <c r="BK265" s="508"/>
      <c r="BL265" s="508"/>
      <c r="BM265" s="508"/>
      <c r="BN265" s="508"/>
      <c r="BO265" s="508"/>
    </row>
    <row r="266" spans="48:67" s="484" customFormat="1">
      <c r="AV266" s="508"/>
      <c r="AW266" s="508"/>
      <c r="AX266" s="508"/>
      <c r="AY266" s="508"/>
      <c r="AZ266" s="508"/>
      <c r="BA266" s="508"/>
      <c r="BB266" s="508"/>
      <c r="BC266" s="508"/>
      <c r="BD266" s="508"/>
      <c r="BE266" s="508"/>
      <c r="BF266" s="508"/>
      <c r="BG266" s="508"/>
      <c r="BH266" s="508"/>
      <c r="BI266" s="508"/>
      <c r="BJ266" s="508"/>
      <c r="BK266" s="508"/>
      <c r="BL266" s="508"/>
      <c r="BM266" s="508"/>
      <c r="BN266" s="508"/>
      <c r="BO266" s="508"/>
    </row>
    <row r="267" spans="48:67" s="484" customFormat="1">
      <c r="AV267" s="508"/>
      <c r="AW267" s="508"/>
      <c r="AX267" s="508"/>
      <c r="AY267" s="508"/>
      <c r="AZ267" s="508"/>
      <c r="BA267" s="508"/>
      <c r="BB267" s="508"/>
      <c r="BC267" s="508"/>
      <c r="BD267" s="508"/>
      <c r="BE267" s="508"/>
      <c r="BF267" s="508"/>
      <c r="BG267" s="508"/>
      <c r="BH267" s="508"/>
      <c r="BI267" s="508"/>
      <c r="BJ267" s="508"/>
      <c r="BK267" s="508"/>
      <c r="BL267" s="508"/>
      <c r="BM267" s="508"/>
      <c r="BN267" s="508"/>
      <c r="BO267" s="508"/>
    </row>
    <row r="268" spans="48:67" s="484" customFormat="1">
      <c r="AV268" s="508"/>
      <c r="AW268" s="508"/>
      <c r="AX268" s="508"/>
      <c r="AY268" s="508"/>
      <c r="AZ268" s="508"/>
      <c r="BA268" s="508"/>
      <c r="BB268" s="508"/>
      <c r="BC268" s="508"/>
      <c r="BD268" s="508"/>
      <c r="BE268" s="508"/>
      <c r="BF268" s="508"/>
      <c r="BG268" s="508"/>
      <c r="BH268" s="508"/>
      <c r="BI268" s="508"/>
      <c r="BJ268" s="508"/>
      <c r="BK268" s="508"/>
      <c r="BL268" s="508"/>
      <c r="BM268" s="508"/>
      <c r="BN268" s="508"/>
      <c r="BO268" s="508"/>
    </row>
    <row r="269" spans="48:67" s="484" customFormat="1">
      <c r="AV269" s="508"/>
      <c r="AW269" s="508"/>
      <c r="AX269" s="508"/>
      <c r="AY269" s="508"/>
      <c r="AZ269" s="508"/>
      <c r="BA269" s="508"/>
      <c r="BB269" s="508"/>
      <c r="BC269" s="508"/>
      <c r="BD269" s="508"/>
      <c r="BE269" s="508"/>
      <c r="BF269" s="508"/>
      <c r="BG269" s="508"/>
      <c r="BH269" s="508"/>
      <c r="BI269" s="508"/>
      <c r="BJ269" s="508"/>
      <c r="BK269" s="508"/>
      <c r="BL269" s="508"/>
      <c r="BM269" s="508"/>
      <c r="BN269" s="508"/>
      <c r="BO269" s="508"/>
    </row>
    <row r="270" spans="48:67" s="484" customFormat="1">
      <c r="AV270" s="508"/>
      <c r="AW270" s="508"/>
      <c r="AX270" s="508"/>
      <c r="AY270" s="508"/>
      <c r="AZ270" s="508"/>
      <c r="BA270" s="508"/>
      <c r="BB270" s="508"/>
      <c r="BC270" s="508"/>
      <c r="BD270" s="508"/>
      <c r="BE270" s="508"/>
      <c r="BF270" s="508"/>
      <c r="BG270" s="508"/>
      <c r="BH270" s="508"/>
      <c r="BI270" s="508"/>
      <c r="BJ270" s="508"/>
      <c r="BK270" s="508"/>
      <c r="BL270" s="508"/>
      <c r="BM270" s="508"/>
      <c r="BN270" s="508"/>
      <c r="BO270" s="508"/>
    </row>
    <row r="271" spans="48:67" s="484" customFormat="1">
      <c r="AV271" s="508"/>
      <c r="AW271" s="508"/>
      <c r="AX271" s="508"/>
      <c r="AY271" s="508"/>
      <c r="AZ271" s="508"/>
      <c r="BA271" s="508"/>
      <c r="BB271" s="508"/>
      <c r="BC271" s="508"/>
      <c r="BD271" s="508"/>
      <c r="BE271" s="508"/>
      <c r="BF271" s="508"/>
      <c r="BG271" s="508"/>
      <c r="BH271" s="508"/>
      <c r="BI271" s="508"/>
      <c r="BJ271" s="508"/>
      <c r="BK271" s="508"/>
      <c r="BL271" s="508"/>
      <c r="BM271" s="508"/>
      <c r="BN271" s="508"/>
      <c r="BO271" s="508"/>
    </row>
    <row r="272" spans="48:67" s="484" customFormat="1">
      <c r="AV272" s="508"/>
      <c r="AW272" s="508"/>
      <c r="AX272" s="508"/>
      <c r="AY272" s="508"/>
      <c r="AZ272" s="508"/>
      <c r="BA272" s="508"/>
      <c r="BB272" s="508"/>
      <c r="BC272" s="508"/>
      <c r="BD272" s="508"/>
      <c r="BE272" s="508"/>
      <c r="BF272" s="508"/>
      <c r="BG272" s="508"/>
      <c r="BH272" s="508"/>
      <c r="BI272" s="508"/>
      <c r="BJ272" s="508"/>
      <c r="BK272" s="508"/>
      <c r="BL272" s="508"/>
      <c r="BM272" s="508"/>
      <c r="BN272" s="508"/>
      <c r="BO272" s="508"/>
    </row>
    <row r="273" spans="48:67" s="484" customFormat="1">
      <c r="AV273" s="508"/>
      <c r="AW273" s="508"/>
      <c r="AX273" s="508"/>
      <c r="AY273" s="508"/>
      <c r="AZ273" s="508"/>
      <c r="BA273" s="508"/>
      <c r="BB273" s="508"/>
      <c r="BC273" s="508"/>
      <c r="BD273" s="508"/>
      <c r="BE273" s="508"/>
      <c r="BF273" s="508"/>
      <c r="BG273" s="508"/>
      <c r="BH273" s="508"/>
      <c r="BI273" s="508"/>
      <c r="BJ273" s="508"/>
      <c r="BK273" s="508"/>
      <c r="BL273" s="508"/>
      <c r="BM273" s="508"/>
      <c r="BN273" s="508"/>
      <c r="BO273" s="508"/>
    </row>
    <row r="274" spans="48:67" s="484" customFormat="1">
      <c r="AV274" s="508"/>
      <c r="AW274" s="508"/>
      <c r="AX274" s="508"/>
      <c r="AY274" s="508"/>
      <c r="AZ274" s="508"/>
      <c r="BA274" s="508"/>
      <c r="BB274" s="508"/>
      <c r="BC274" s="508"/>
      <c r="BD274" s="508"/>
      <c r="BE274" s="508"/>
      <c r="BF274" s="508"/>
      <c r="BG274" s="508"/>
      <c r="BH274" s="508"/>
      <c r="BI274" s="508"/>
      <c r="BJ274" s="508"/>
      <c r="BK274" s="508"/>
      <c r="BL274" s="508"/>
      <c r="BM274" s="508"/>
      <c r="BN274" s="508"/>
      <c r="BO274" s="508"/>
    </row>
    <row r="275" spans="48:67" s="484" customFormat="1">
      <c r="AV275" s="508"/>
      <c r="AW275" s="508"/>
      <c r="AX275" s="508"/>
      <c r="AY275" s="508"/>
      <c r="AZ275" s="508"/>
      <c r="BA275" s="508"/>
      <c r="BB275" s="508"/>
      <c r="BC275" s="508"/>
      <c r="BD275" s="508"/>
      <c r="BE275" s="508"/>
      <c r="BF275" s="508"/>
      <c r="BG275" s="508"/>
      <c r="BH275" s="508"/>
      <c r="BI275" s="508"/>
      <c r="BJ275" s="508"/>
      <c r="BK275" s="508"/>
      <c r="BL275" s="508"/>
      <c r="BM275" s="508"/>
      <c r="BN275" s="508"/>
      <c r="BO275" s="508"/>
    </row>
    <row r="276" spans="48:67" s="484" customFormat="1">
      <c r="AV276" s="508"/>
      <c r="AW276" s="508"/>
      <c r="AX276" s="508"/>
      <c r="AY276" s="508"/>
      <c r="AZ276" s="508"/>
      <c r="BA276" s="508"/>
      <c r="BB276" s="508"/>
      <c r="BC276" s="508"/>
      <c r="BD276" s="508"/>
      <c r="BE276" s="508"/>
      <c r="BF276" s="508"/>
      <c r="BG276" s="508"/>
      <c r="BH276" s="508"/>
      <c r="BI276" s="508"/>
      <c r="BJ276" s="508"/>
      <c r="BK276" s="508"/>
      <c r="BL276" s="508"/>
      <c r="BM276" s="508"/>
      <c r="BN276" s="508"/>
      <c r="BO276" s="508"/>
    </row>
    <row r="277" spans="48:67" s="484" customFormat="1">
      <c r="AV277" s="508"/>
      <c r="AW277" s="508"/>
      <c r="AX277" s="508"/>
      <c r="AY277" s="508"/>
      <c r="AZ277" s="508"/>
      <c r="BA277" s="508"/>
      <c r="BB277" s="508"/>
      <c r="BC277" s="508"/>
      <c r="BD277" s="508"/>
      <c r="BE277" s="508"/>
      <c r="BF277" s="508"/>
      <c r="BG277" s="508"/>
      <c r="BH277" s="508"/>
      <c r="BI277" s="508"/>
      <c r="BJ277" s="508"/>
      <c r="BK277" s="508"/>
      <c r="BL277" s="508"/>
      <c r="BM277" s="508"/>
      <c r="BN277" s="508"/>
      <c r="BO277" s="508"/>
    </row>
    <row r="278" spans="48:67" s="484" customFormat="1">
      <c r="AV278" s="508"/>
      <c r="AW278" s="508"/>
      <c r="AX278" s="508"/>
      <c r="AY278" s="508"/>
      <c r="AZ278" s="508"/>
      <c r="BA278" s="508"/>
      <c r="BB278" s="508"/>
      <c r="BC278" s="508"/>
      <c r="BD278" s="508"/>
      <c r="BE278" s="508"/>
      <c r="BF278" s="508"/>
      <c r="BG278" s="508"/>
      <c r="BH278" s="508"/>
      <c r="BI278" s="508"/>
      <c r="BJ278" s="508"/>
      <c r="BK278" s="508"/>
      <c r="BL278" s="508"/>
      <c r="BM278" s="508"/>
      <c r="BN278" s="508"/>
      <c r="BO278" s="508"/>
    </row>
    <row r="279" spans="48:67" s="484" customFormat="1">
      <c r="AV279" s="508"/>
      <c r="AW279" s="508"/>
      <c r="AX279" s="508"/>
      <c r="AY279" s="508"/>
      <c r="AZ279" s="508"/>
      <c r="BA279" s="508"/>
      <c r="BB279" s="508"/>
      <c r="BC279" s="508"/>
      <c r="BD279" s="508"/>
      <c r="BE279" s="508"/>
      <c r="BF279" s="508"/>
      <c r="BG279" s="508"/>
      <c r="BH279" s="508"/>
      <c r="BI279" s="508"/>
      <c r="BJ279" s="508"/>
      <c r="BK279" s="508"/>
      <c r="BL279" s="508"/>
      <c r="BM279" s="508"/>
      <c r="BN279" s="508"/>
      <c r="BO279" s="508"/>
    </row>
    <row r="280" spans="48:67" s="484" customFormat="1">
      <c r="AV280" s="508"/>
      <c r="AW280" s="508"/>
      <c r="AX280" s="508"/>
      <c r="AY280" s="508"/>
      <c r="AZ280" s="508"/>
      <c r="BA280" s="508"/>
      <c r="BB280" s="508"/>
      <c r="BC280" s="508"/>
      <c r="BD280" s="508"/>
      <c r="BE280" s="508"/>
      <c r="BF280" s="508"/>
      <c r="BG280" s="508"/>
      <c r="BH280" s="508"/>
      <c r="BI280" s="508"/>
      <c r="BJ280" s="508"/>
      <c r="BK280" s="508"/>
      <c r="BL280" s="508"/>
      <c r="BM280" s="508"/>
      <c r="BN280" s="508"/>
      <c r="BO280" s="508"/>
    </row>
    <row r="281" spans="48:67" s="484" customFormat="1">
      <c r="AV281" s="508"/>
      <c r="AW281" s="508"/>
      <c r="AX281" s="508"/>
      <c r="AY281" s="508"/>
      <c r="AZ281" s="508"/>
      <c r="BA281" s="508"/>
      <c r="BB281" s="508"/>
      <c r="BC281" s="508"/>
      <c r="BD281" s="508"/>
      <c r="BE281" s="508"/>
      <c r="BF281" s="508"/>
      <c r="BG281" s="508"/>
      <c r="BH281" s="508"/>
      <c r="BI281" s="508"/>
      <c r="BJ281" s="508"/>
      <c r="BK281" s="508"/>
      <c r="BL281" s="508"/>
      <c r="BM281" s="508"/>
      <c r="BN281" s="508"/>
      <c r="BO281" s="508"/>
    </row>
    <row r="282" spans="48:67" s="484" customFormat="1">
      <c r="AV282" s="508"/>
      <c r="AW282" s="508"/>
      <c r="AX282" s="508"/>
      <c r="AY282" s="508"/>
      <c r="AZ282" s="508"/>
      <c r="BA282" s="508"/>
      <c r="BB282" s="508"/>
      <c r="BC282" s="508"/>
      <c r="BD282" s="508"/>
      <c r="BE282" s="508"/>
      <c r="BF282" s="508"/>
      <c r="BG282" s="508"/>
      <c r="BH282" s="508"/>
      <c r="BI282" s="508"/>
      <c r="BJ282" s="508"/>
      <c r="BK282" s="508"/>
      <c r="BL282" s="508"/>
      <c r="BM282" s="508"/>
      <c r="BN282" s="508"/>
      <c r="BO282" s="508"/>
    </row>
    <row r="283" spans="48:67" s="484" customFormat="1">
      <c r="AV283" s="508"/>
      <c r="AW283" s="508"/>
      <c r="AX283" s="508"/>
      <c r="AY283" s="508"/>
      <c r="AZ283" s="508"/>
      <c r="BA283" s="508"/>
      <c r="BB283" s="508"/>
      <c r="BC283" s="508"/>
      <c r="BD283" s="508"/>
      <c r="BE283" s="508"/>
      <c r="BF283" s="508"/>
      <c r="BG283" s="508"/>
      <c r="BH283" s="508"/>
      <c r="BI283" s="508"/>
      <c r="BJ283" s="508"/>
      <c r="BK283" s="508"/>
      <c r="BL283" s="508"/>
      <c r="BM283" s="508"/>
      <c r="BN283" s="508"/>
      <c r="BO283" s="508"/>
    </row>
    <row r="284" spans="48:67" s="484" customFormat="1">
      <c r="AV284" s="508"/>
      <c r="AW284" s="508"/>
      <c r="AX284" s="508"/>
      <c r="AY284" s="508"/>
      <c r="AZ284" s="508"/>
      <c r="BA284" s="508"/>
      <c r="BB284" s="508"/>
      <c r="BC284" s="508"/>
      <c r="BD284" s="508"/>
      <c r="BE284" s="508"/>
      <c r="BF284" s="508"/>
      <c r="BG284" s="508"/>
      <c r="BH284" s="508"/>
      <c r="BI284" s="508"/>
      <c r="BJ284" s="508"/>
      <c r="BK284" s="508"/>
      <c r="BL284" s="508"/>
      <c r="BM284" s="508"/>
      <c r="BN284" s="508"/>
      <c r="BO284" s="508"/>
    </row>
    <row r="285" spans="48:67" s="484" customFormat="1">
      <c r="AV285" s="508"/>
      <c r="AW285" s="508"/>
      <c r="AX285" s="508"/>
      <c r="AY285" s="508"/>
      <c r="AZ285" s="508"/>
      <c r="BA285" s="508"/>
      <c r="BB285" s="508"/>
      <c r="BC285" s="508"/>
      <c r="BD285" s="508"/>
      <c r="BE285" s="508"/>
      <c r="BF285" s="508"/>
      <c r="BG285" s="508"/>
      <c r="BH285" s="508"/>
      <c r="BI285" s="508"/>
      <c r="BJ285" s="508"/>
      <c r="BK285" s="508"/>
      <c r="BL285" s="508"/>
      <c r="BM285" s="508"/>
      <c r="BN285" s="508"/>
      <c r="BO285" s="508"/>
    </row>
    <row r="286" spans="48:67" s="484" customFormat="1">
      <c r="AV286" s="508"/>
      <c r="AW286" s="508"/>
      <c r="AX286" s="508"/>
      <c r="AY286" s="508"/>
      <c r="AZ286" s="508"/>
      <c r="BA286" s="508"/>
      <c r="BB286" s="508"/>
      <c r="BC286" s="508"/>
      <c r="BD286" s="508"/>
      <c r="BE286" s="508"/>
      <c r="BF286" s="508"/>
      <c r="BG286" s="508"/>
      <c r="BH286" s="508"/>
      <c r="BI286" s="508"/>
      <c r="BJ286" s="508"/>
      <c r="BK286" s="508"/>
      <c r="BL286" s="508"/>
      <c r="BM286" s="508"/>
      <c r="BN286" s="508"/>
      <c r="BO286" s="508"/>
    </row>
    <row r="287" spans="48:67" s="484" customFormat="1">
      <c r="AV287" s="508"/>
      <c r="AW287" s="508"/>
      <c r="AX287" s="508"/>
      <c r="AY287" s="508"/>
      <c r="AZ287" s="508"/>
      <c r="BA287" s="508"/>
      <c r="BB287" s="508"/>
      <c r="BC287" s="508"/>
      <c r="BD287" s="508"/>
      <c r="BE287" s="508"/>
      <c r="BF287" s="508"/>
      <c r="BG287" s="508"/>
      <c r="BH287" s="508"/>
      <c r="BI287" s="508"/>
      <c r="BJ287" s="508"/>
      <c r="BK287" s="508"/>
      <c r="BL287" s="508"/>
      <c r="BM287" s="508"/>
      <c r="BN287" s="508"/>
      <c r="BO287" s="508"/>
    </row>
    <row r="288" spans="48:67" s="484" customFormat="1">
      <c r="AV288" s="508"/>
      <c r="AW288" s="508"/>
      <c r="AX288" s="508"/>
      <c r="AY288" s="508"/>
      <c r="AZ288" s="508"/>
      <c r="BA288" s="508"/>
      <c r="BB288" s="508"/>
      <c r="BC288" s="508"/>
      <c r="BD288" s="508"/>
      <c r="BE288" s="508"/>
      <c r="BF288" s="508"/>
      <c r="BG288" s="508"/>
      <c r="BH288" s="508"/>
      <c r="BI288" s="508"/>
      <c r="BJ288" s="508"/>
      <c r="BK288" s="508"/>
      <c r="BL288" s="508"/>
      <c r="BM288" s="508"/>
      <c r="BN288" s="508"/>
      <c r="BO288" s="508"/>
    </row>
    <row r="289" spans="48:67" s="484" customFormat="1">
      <c r="AV289" s="508"/>
      <c r="AW289" s="508"/>
      <c r="AX289" s="508"/>
      <c r="AY289" s="508"/>
      <c r="AZ289" s="508"/>
      <c r="BA289" s="508"/>
      <c r="BB289" s="508"/>
      <c r="BC289" s="508"/>
      <c r="BD289" s="508"/>
      <c r="BE289" s="508"/>
      <c r="BF289" s="508"/>
      <c r="BG289" s="508"/>
      <c r="BH289" s="508"/>
      <c r="BI289" s="508"/>
      <c r="BJ289" s="508"/>
      <c r="BK289" s="508"/>
      <c r="BL289" s="508"/>
      <c r="BM289" s="508"/>
      <c r="BN289" s="508"/>
      <c r="BO289" s="508"/>
    </row>
    <row r="290" spans="48:67" s="428" customFormat="1">
      <c r="AV290" s="504"/>
      <c r="AW290" s="504"/>
      <c r="AX290" s="504"/>
      <c r="AY290" s="504"/>
      <c r="AZ290" s="504"/>
      <c r="BA290" s="504"/>
      <c r="BB290" s="504"/>
      <c r="BC290" s="504"/>
      <c r="BD290" s="504"/>
      <c r="BE290" s="504"/>
      <c r="BF290" s="504"/>
      <c r="BG290" s="504"/>
      <c r="BH290" s="504"/>
      <c r="BI290" s="504"/>
      <c r="BJ290" s="504"/>
      <c r="BK290" s="504"/>
      <c r="BL290" s="504"/>
      <c r="BM290" s="504"/>
      <c r="BN290" s="504"/>
      <c r="BO290" s="504"/>
    </row>
    <row r="291" spans="48:67" s="428" customFormat="1">
      <c r="AV291" s="504"/>
      <c r="AW291" s="504"/>
      <c r="AX291" s="504"/>
      <c r="AY291" s="504"/>
      <c r="AZ291" s="504"/>
      <c r="BA291" s="504"/>
      <c r="BB291" s="504"/>
      <c r="BC291" s="504"/>
      <c r="BD291" s="504"/>
      <c r="BE291" s="504"/>
      <c r="BF291" s="504"/>
      <c r="BG291" s="504"/>
      <c r="BH291" s="504"/>
      <c r="BI291" s="504"/>
      <c r="BJ291" s="504"/>
      <c r="BK291" s="504"/>
      <c r="BL291" s="504"/>
      <c r="BM291" s="504"/>
      <c r="BN291" s="504"/>
      <c r="BO291" s="504"/>
    </row>
    <row r="292" spans="48:67" s="428" customFormat="1">
      <c r="AV292" s="504"/>
      <c r="AW292" s="504"/>
      <c r="AX292" s="504"/>
      <c r="AY292" s="504"/>
      <c r="AZ292" s="504"/>
      <c r="BA292" s="504"/>
      <c r="BB292" s="504"/>
      <c r="BC292" s="504"/>
      <c r="BD292" s="504"/>
      <c r="BE292" s="504"/>
      <c r="BF292" s="504"/>
      <c r="BG292" s="504"/>
      <c r="BH292" s="504"/>
      <c r="BI292" s="504"/>
      <c r="BJ292" s="504"/>
      <c r="BK292" s="504"/>
      <c r="BL292" s="504"/>
      <c r="BM292" s="504"/>
      <c r="BN292" s="504"/>
      <c r="BO292" s="504"/>
    </row>
    <row r="293" spans="48:67" s="428" customFormat="1">
      <c r="AV293" s="504"/>
      <c r="AW293" s="504"/>
      <c r="AX293" s="504"/>
      <c r="AY293" s="504"/>
      <c r="AZ293" s="504"/>
      <c r="BA293" s="504"/>
      <c r="BB293" s="504"/>
      <c r="BC293" s="504"/>
      <c r="BD293" s="504"/>
      <c r="BE293" s="504"/>
      <c r="BF293" s="504"/>
      <c r="BG293" s="504"/>
      <c r="BH293" s="504"/>
      <c r="BI293" s="504"/>
      <c r="BJ293" s="504"/>
      <c r="BK293" s="504"/>
      <c r="BL293" s="504"/>
      <c r="BM293" s="504"/>
      <c r="BN293" s="504"/>
      <c r="BO293" s="504"/>
    </row>
    <row r="294" spans="48:67" s="428" customFormat="1">
      <c r="AV294" s="504"/>
      <c r="AW294" s="504"/>
      <c r="AX294" s="504"/>
      <c r="AY294" s="504"/>
      <c r="AZ294" s="504"/>
      <c r="BA294" s="504"/>
      <c r="BB294" s="504"/>
      <c r="BC294" s="504"/>
      <c r="BD294" s="504"/>
      <c r="BE294" s="504"/>
      <c r="BF294" s="504"/>
      <c r="BG294" s="504"/>
      <c r="BH294" s="504"/>
      <c r="BI294" s="504"/>
      <c r="BJ294" s="504"/>
      <c r="BK294" s="504"/>
      <c r="BL294" s="504"/>
      <c r="BM294" s="504"/>
      <c r="BN294" s="504"/>
      <c r="BO294" s="504"/>
    </row>
    <row r="295" spans="48:67" s="428" customFormat="1">
      <c r="AV295" s="504"/>
      <c r="AW295" s="504"/>
      <c r="AX295" s="504"/>
      <c r="AY295" s="504"/>
      <c r="AZ295" s="504"/>
      <c r="BA295" s="504"/>
      <c r="BB295" s="504"/>
      <c r="BC295" s="504"/>
      <c r="BD295" s="504"/>
      <c r="BE295" s="504"/>
      <c r="BF295" s="504"/>
      <c r="BG295" s="504"/>
      <c r="BH295" s="504"/>
      <c r="BI295" s="504"/>
      <c r="BJ295" s="504"/>
      <c r="BK295" s="504"/>
      <c r="BL295" s="504"/>
      <c r="BM295" s="504"/>
      <c r="BN295" s="504"/>
      <c r="BO295" s="504"/>
    </row>
    <row r="296" spans="48:67" s="428" customFormat="1" ht="12.75" customHeight="1">
      <c r="AV296" s="504"/>
      <c r="AW296" s="504"/>
      <c r="AX296" s="504"/>
      <c r="AY296" s="504"/>
      <c r="AZ296" s="504"/>
      <c r="BA296" s="504"/>
      <c r="BB296" s="504"/>
      <c r="BC296" s="504"/>
      <c r="BD296" s="504"/>
      <c r="BE296" s="504"/>
      <c r="BF296" s="504"/>
      <c r="BG296" s="504"/>
      <c r="BH296" s="504"/>
      <c r="BI296" s="504"/>
      <c r="BJ296" s="504"/>
      <c r="BK296" s="504"/>
      <c r="BL296" s="504"/>
      <c r="BM296" s="504"/>
      <c r="BN296" s="504"/>
      <c r="BO296" s="504"/>
    </row>
    <row r="319" spans="48:67" s="484" customFormat="1">
      <c r="AV319" s="508"/>
      <c r="AW319" s="508"/>
      <c r="AX319" s="508"/>
      <c r="AY319" s="508"/>
      <c r="AZ319" s="508"/>
      <c r="BA319" s="508"/>
      <c r="BB319" s="508"/>
      <c r="BC319" s="508"/>
      <c r="BD319" s="508"/>
      <c r="BE319" s="508"/>
      <c r="BF319" s="508"/>
      <c r="BG319" s="508"/>
      <c r="BH319" s="508"/>
      <c r="BI319" s="508"/>
      <c r="BJ319" s="508"/>
      <c r="BK319" s="508"/>
      <c r="BL319" s="508"/>
      <c r="BM319" s="508"/>
      <c r="BN319" s="508"/>
      <c r="BO319" s="508"/>
    </row>
    <row r="320" spans="48:67" s="484" customFormat="1">
      <c r="AV320" s="508"/>
      <c r="AW320" s="508"/>
      <c r="AX320" s="508"/>
      <c r="AY320" s="508"/>
      <c r="AZ320" s="508"/>
      <c r="BA320" s="508"/>
      <c r="BB320" s="508"/>
      <c r="BC320" s="508"/>
      <c r="BD320" s="508"/>
      <c r="BE320" s="508"/>
      <c r="BF320" s="508"/>
      <c r="BG320" s="508"/>
      <c r="BH320" s="508"/>
      <c r="BI320" s="508"/>
      <c r="BJ320" s="508"/>
      <c r="BK320" s="508"/>
      <c r="BL320" s="508"/>
      <c r="BM320" s="508"/>
      <c r="BN320" s="508"/>
      <c r="BO320" s="508"/>
    </row>
    <row r="321" spans="48:67" s="484" customFormat="1">
      <c r="AV321" s="508"/>
      <c r="AW321" s="508"/>
      <c r="AX321" s="508"/>
      <c r="AY321" s="508"/>
      <c r="AZ321" s="508"/>
      <c r="BA321" s="508"/>
      <c r="BB321" s="508"/>
      <c r="BC321" s="508"/>
      <c r="BD321" s="508"/>
      <c r="BE321" s="508"/>
      <c r="BF321" s="508"/>
      <c r="BG321" s="508"/>
      <c r="BH321" s="508"/>
      <c r="BI321" s="508"/>
      <c r="BJ321" s="508"/>
      <c r="BK321" s="508"/>
      <c r="BL321" s="508"/>
      <c r="BM321" s="508"/>
      <c r="BN321" s="508"/>
      <c r="BO321" s="508"/>
    </row>
    <row r="322" spans="48:67" s="484" customFormat="1">
      <c r="AV322" s="508"/>
      <c r="AW322" s="508"/>
      <c r="AX322" s="508"/>
      <c r="AY322" s="508"/>
      <c r="AZ322" s="508"/>
      <c r="BA322" s="508"/>
      <c r="BB322" s="508"/>
      <c r="BC322" s="508"/>
      <c r="BD322" s="508"/>
      <c r="BE322" s="508"/>
      <c r="BF322" s="508"/>
      <c r="BG322" s="508"/>
      <c r="BH322" s="508"/>
      <c r="BI322" s="508"/>
      <c r="BJ322" s="508"/>
      <c r="BK322" s="508"/>
      <c r="BL322" s="508"/>
      <c r="BM322" s="508"/>
      <c r="BN322" s="508"/>
      <c r="BO322" s="508"/>
    </row>
    <row r="323" spans="48:67" s="484" customFormat="1">
      <c r="AV323" s="508"/>
      <c r="AW323" s="508"/>
      <c r="AX323" s="508"/>
      <c r="AY323" s="508"/>
      <c r="AZ323" s="508"/>
      <c r="BA323" s="508"/>
      <c r="BB323" s="508"/>
      <c r="BC323" s="508"/>
      <c r="BD323" s="508"/>
      <c r="BE323" s="508"/>
      <c r="BF323" s="508"/>
      <c r="BG323" s="508"/>
      <c r="BH323" s="508"/>
      <c r="BI323" s="508"/>
      <c r="BJ323" s="508"/>
      <c r="BK323" s="508"/>
      <c r="BL323" s="508"/>
      <c r="BM323" s="508"/>
      <c r="BN323" s="508"/>
      <c r="BO323" s="508"/>
    </row>
    <row r="324" spans="48:67" s="484" customFormat="1">
      <c r="AV324" s="508"/>
      <c r="AW324" s="508"/>
      <c r="AX324" s="508"/>
      <c r="AY324" s="508"/>
      <c r="AZ324" s="508"/>
      <c r="BA324" s="508"/>
      <c r="BB324" s="508"/>
      <c r="BC324" s="508"/>
      <c r="BD324" s="508"/>
      <c r="BE324" s="508"/>
      <c r="BF324" s="508"/>
      <c r="BG324" s="508"/>
      <c r="BH324" s="508"/>
      <c r="BI324" s="508"/>
      <c r="BJ324" s="508"/>
      <c r="BK324" s="508"/>
      <c r="BL324" s="508"/>
      <c r="BM324" s="508"/>
      <c r="BN324" s="508"/>
      <c r="BO324" s="508"/>
    </row>
    <row r="325" spans="48:67" s="484" customFormat="1">
      <c r="AV325" s="508"/>
      <c r="AW325" s="508"/>
      <c r="AX325" s="508"/>
      <c r="AY325" s="508"/>
      <c r="AZ325" s="508"/>
      <c r="BA325" s="508"/>
      <c r="BB325" s="508"/>
      <c r="BC325" s="508"/>
      <c r="BD325" s="508"/>
      <c r="BE325" s="508"/>
      <c r="BF325" s="508"/>
      <c r="BG325" s="508"/>
      <c r="BH325" s="508"/>
      <c r="BI325" s="508"/>
      <c r="BJ325" s="508"/>
      <c r="BK325" s="508"/>
      <c r="BL325" s="508"/>
      <c r="BM325" s="508"/>
      <c r="BN325" s="508"/>
      <c r="BO325" s="508"/>
    </row>
    <row r="326" spans="48:67" s="484" customFormat="1">
      <c r="AV326" s="508"/>
      <c r="AW326" s="508"/>
      <c r="AX326" s="508"/>
      <c r="AY326" s="508"/>
      <c r="AZ326" s="508"/>
      <c r="BA326" s="508"/>
      <c r="BB326" s="508"/>
      <c r="BC326" s="508"/>
      <c r="BD326" s="508"/>
      <c r="BE326" s="508"/>
      <c r="BF326" s="508"/>
      <c r="BG326" s="508"/>
      <c r="BH326" s="508"/>
      <c r="BI326" s="508"/>
      <c r="BJ326" s="508"/>
      <c r="BK326" s="508"/>
      <c r="BL326" s="508"/>
      <c r="BM326" s="508"/>
      <c r="BN326" s="508"/>
      <c r="BO326" s="508"/>
    </row>
    <row r="327" spans="48:67" s="484" customFormat="1">
      <c r="AV327" s="508"/>
      <c r="AW327" s="508"/>
      <c r="AX327" s="508"/>
      <c r="AY327" s="508"/>
      <c r="AZ327" s="508"/>
      <c r="BA327" s="508"/>
      <c r="BB327" s="508"/>
      <c r="BC327" s="508"/>
      <c r="BD327" s="508"/>
      <c r="BE327" s="508"/>
      <c r="BF327" s="508"/>
      <c r="BG327" s="508"/>
      <c r="BH327" s="508"/>
      <c r="BI327" s="508"/>
      <c r="BJ327" s="508"/>
      <c r="BK327" s="508"/>
      <c r="BL327" s="508"/>
      <c r="BM327" s="508"/>
      <c r="BN327" s="508"/>
      <c r="BO327" s="508"/>
    </row>
    <row r="328" spans="48:67" s="484" customFormat="1">
      <c r="AV328" s="508"/>
      <c r="AW328" s="508"/>
      <c r="AX328" s="508"/>
      <c r="AY328" s="508"/>
      <c r="AZ328" s="508"/>
      <c r="BA328" s="508"/>
      <c r="BB328" s="508"/>
      <c r="BC328" s="508"/>
      <c r="BD328" s="508"/>
      <c r="BE328" s="508"/>
      <c r="BF328" s="508"/>
      <c r="BG328" s="508"/>
      <c r="BH328" s="508"/>
      <c r="BI328" s="508"/>
      <c r="BJ328" s="508"/>
      <c r="BK328" s="508"/>
      <c r="BL328" s="508"/>
      <c r="BM328" s="508"/>
      <c r="BN328" s="508"/>
      <c r="BO328" s="508"/>
    </row>
    <row r="329" spans="48:67" s="484" customFormat="1">
      <c r="AV329" s="508"/>
      <c r="AW329" s="508"/>
      <c r="AX329" s="508"/>
      <c r="AY329" s="508"/>
      <c r="AZ329" s="508"/>
      <c r="BA329" s="508"/>
      <c r="BB329" s="508"/>
      <c r="BC329" s="508"/>
      <c r="BD329" s="508"/>
      <c r="BE329" s="508"/>
      <c r="BF329" s="508"/>
      <c r="BG329" s="508"/>
      <c r="BH329" s="508"/>
      <c r="BI329" s="508"/>
      <c r="BJ329" s="508"/>
      <c r="BK329" s="508"/>
      <c r="BL329" s="508"/>
      <c r="BM329" s="508"/>
      <c r="BN329" s="508"/>
      <c r="BO329" s="508"/>
    </row>
    <row r="330" spans="48:67" s="484" customFormat="1">
      <c r="AV330" s="508"/>
      <c r="AW330" s="508"/>
      <c r="AX330" s="508"/>
      <c r="AY330" s="508"/>
      <c r="AZ330" s="508"/>
      <c r="BA330" s="508"/>
      <c r="BB330" s="508"/>
      <c r="BC330" s="508"/>
      <c r="BD330" s="508"/>
      <c r="BE330" s="508"/>
      <c r="BF330" s="508"/>
      <c r="BG330" s="508"/>
      <c r="BH330" s="508"/>
      <c r="BI330" s="508"/>
      <c r="BJ330" s="508"/>
      <c r="BK330" s="508"/>
      <c r="BL330" s="508"/>
      <c r="BM330" s="508"/>
      <c r="BN330" s="508"/>
      <c r="BO330" s="508"/>
    </row>
    <row r="331" spans="48:67" s="484" customFormat="1">
      <c r="AV331" s="508"/>
      <c r="AW331" s="508"/>
      <c r="AX331" s="508"/>
      <c r="AY331" s="508"/>
      <c r="AZ331" s="508"/>
      <c r="BA331" s="508"/>
      <c r="BB331" s="508"/>
      <c r="BC331" s="508"/>
      <c r="BD331" s="508"/>
      <c r="BE331" s="508"/>
      <c r="BF331" s="508"/>
      <c r="BG331" s="508"/>
      <c r="BH331" s="508"/>
      <c r="BI331" s="508"/>
      <c r="BJ331" s="508"/>
      <c r="BK331" s="508"/>
      <c r="BL331" s="508"/>
      <c r="BM331" s="508"/>
      <c r="BN331" s="508"/>
      <c r="BO331" s="508"/>
    </row>
    <row r="332" spans="48:67" s="484" customFormat="1">
      <c r="AV332" s="508"/>
      <c r="AW332" s="508"/>
      <c r="AX332" s="508"/>
      <c r="AY332" s="508"/>
      <c r="AZ332" s="508"/>
      <c r="BA332" s="508"/>
      <c r="BB332" s="508"/>
      <c r="BC332" s="508"/>
      <c r="BD332" s="508"/>
      <c r="BE332" s="508"/>
      <c r="BF332" s="508"/>
      <c r="BG332" s="508"/>
      <c r="BH332" s="508"/>
      <c r="BI332" s="508"/>
      <c r="BJ332" s="508"/>
      <c r="BK332" s="508"/>
      <c r="BL332" s="508"/>
      <c r="BM332" s="508"/>
      <c r="BN332" s="508"/>
      <c r="BO332" s="508"/>
    </row>
    <row r="333" spans="48:67" s="484" customFormat="1">
      <c r="AV333" s="508"/>
      <c r="AW333" s="508"/>
      <c r="AX333" s="508"/>
      <c r="AY333" s="508"/>
      <c r="AZ333" s="508"/>
      <c r="BA333" s="508"/>
      <c r="BB333" s="508"/>
      <c r="BC333" s="508"/>
      <c r="BD333" s="508"/>
      <c r="BE333" s="508"/>
      <c r="BF333" s="508"/>
      <c r="BG333" s="508"/>
      <c r="BH333" s="508"/>
      <c r="BI333" s="508"/>
      <c r="BJ333" s="508"/>
      <c r="BK333" s="508"/>
      <c r="BL333" s="508"/>
      <c r="BM333" s="508"/>
      <c r="BN333" s="508"/>
      <c r="BO333" s="508"/>
    </row>
    <row r="334" spans="48:67" s="484" customFormat="1">
      <c r="AV334" s="508"/>
      <c r="AW334" s="508"/>
      <c r="AX334" s="508"/>
      <c r="AY334" s="508"/>
      <c r="AZ334" s="508"/>
      <c r="BA334" s="508"/>
      <c r="BB334" s="508"/>
      <c r="BC334" s="508"/>
      <c r="BD334" s="508"/>
      <c r="BE334" s="508"/>
      <c r="BF334" s="508"/>
      <c r="BG334" s="508"/>
      <c r="BH334" s="508"/>
      <c r="BI334" s="508"/>
      <c r="BJ334" s="508"/>
      <c r="BK334" s="508"/>
      <c r="BL334" s="508"/>
      <c r="BM334" s="508"/>
      <c r="BN334" s="508"/>
      <c r="BO334" s="508"/>
    </row>
    <row r="335" spans="48:67" s="428" customFormat="1">
      <c r="AV335" s="504"/>
      <c r="AW335" s="504"/>
      <c r="AX335" s="504"/>
      <c r="AY335" s="504"/>
      <c r="AZ335" s="504"/>
      <c r="BA335" s="504"/>
      <c r="BB335" s="504"/>
      <c r="BC335" s="504"/>
      <c r="BD335" s="504"/>
      <c r="BE335" s="504"/>
      <c r="BF335" s="504"/>
      <c r="BG335" s="504"/>
      <c r="BH335" s="504"/>
      <c r="BI335" s="504"/>
      <c r="BJ335" s="504"/>
      <c r="BK335" s="504"/>
      <c r="BL335" s="504"/>
      <c r="BM335" s="504"/>
      <c r="BN335" s="504"/>
      <c r="BO335" s="504"/>
    </row>
    <row r="336" spans="48:67" s="428" customFormat="1">
      <c r="AV336" s="504"/>
      <c r="AW336" s="504"/>
      <c r="AX336" s="504"/>
      <c r="AY336" s="504"/>
      <c r="AZ336" s="504"/>
      <c r="BA336" s="504"/>
      <c r="BB336" s="504"/>
      <c r="BC336" s="504"/>
      <c r="BD336" s="504"/>
      <c r="BE336" s="504"/>
      <c r="BF336" s="504"/>
      <c r="BG336" s="504"/>
      <c r="BH336" s="504"/>
      <c r="BI336" s="504"/>
      <c r="BJ336" s="504"/>
      <c r="BK336" s="504"/>
      <c r="BL336" s="504"/>
      <c r="BM336" s="504"/>
      <c r="BN336" s="504"/>
      <c r="BO336" s="504"/>
    </row>
    <row r="337" spans="48:67" s="428" customFormat="1">
      <c r="AV337" s="504"/>
      <c r="AW337" s="504"/>
      <c r="AX337" s="504"/>
      <c r="AY337" s="504"/>
      <c r="AZ337" s="504"/>
      <c r="BA337" s="504"/>
      <c r="BB337" s="504"/>
      <c r="BC337" s="504"/>
      <c r="BD337" s="504"/>
      <c r="BE337" s="504"/>
      <c r="BF337" s="504"/>
      <c r="BG337" s="504"/>
      <c r="BH337" s="504"/>
      <c r="BI337" s="504"/>
      <c r="BJ337" s="504"/>
      <c r="BK337" s="504"/>
      <c r="BL337" s="504"/>
      <c r="BM337" s="504"/>
      <c r="BN337" s="504"/>
      <c r="BO337" s="504"/>
    </row>
    <row r="338" spans="48:67" s="428" customFormat="1">
      <c r="AV338" s="504"/>
      <c r="AW338" s="504"/>
      <c r="AX338" s="504"/>
      <c r="AY338" s="504"/>
      <c r="AZ338" s="504"/>
      <c r="BA338" s="504"/>
      <c r="BB338" s="504"/>
      <c r="BC338" s="504"/>
      <c r="BD338" s="504"/>
      <c r="BE338" s="504"/>
      <c r="BF338" s="504"/>
      <c r="BG338" s="504"/>
      <c r="BH338" s="504"/>
      <c r="BI338" s="504"/>
      <c r="BJ338" s="504"/>
      <c r="BK338" s="504"/>
      <c r="BL338" s="504"/>
      <c r="BM338" s="504"/>
      <c r="BN338" s="504"/>
      <c r="BO338" s="504"/>
    </row>
    <row r="339" spans="48:67" s="428" customFormat="1">
      <c r="AV339" s="504"/>
      <c r="AW339" s="504"/>
      <c r="AX339" s="504"/>
      <c r="AY339" s="504"/>
      <c r="AZ339" s="504"/>
      <c r="BA339" s="504"/>
      <c r="BB339" s="504"/>
      <c r="BC339" s="504"/>
      <c r="BD339" s="504"/>
      <c r="BE339" s="504"/>
      <c r="BF339" s="504"/>
      <c r="BG339" s="504"/>
      <c r="BH339" s="504"/>
      <c r="BI339" s="504"/>
      <c r="BJ339" s="504"/>
      <c r="BK339" s="504"/>
      <c r="BL339" s="504"/>
      <c r="BM339" s="504"/>
      <c r="BN339" s="504"/>
      <c r="BO339" s="504"/>
    </row>
    <row r="340" spans="48:67" s="428" customFormat="1">
      <c r="AV340" s="504"/>
      <c r="AW340" s="504"/>
      <c r="AX340" s="504"/>
      <c r="AY340" s="504"/>
      <c r="AZ340" s="504"/>
      <c r="BA340" s="504"/>
      <c r="BB340" s="504"/>
      <c r="BC340" s="504"/>
      <c r="BD340" s="504"/>
      <c r="BE340" s="504"/>
      <c r="BF340" s="504"/>
      <c r="BG340" s="504"/>
      <c r="BH340" s="504"/>
      <c r="BI340" s="504"/>
      <c r="BJ340" s="504"/>
      <c r="BK340" s="504"/>
      <c r="BL340" s="504"/>
      <c r="BM340" s="504"/>
      <c r="BN340" s="504"/>
      <c r="BO340" s="504"/>
    </row>
    <row r="341" spans="48:67" s="428" customFormat="1" ht="12.75" customHeight="1">
      <c r="AV341" s="504"/>
      <c r="AW341" s="504"/>
      <c r="AX341" s="504"/>
      <c r="AY341" s="504"/>
      <c r="AZ341" s="504"/>
      <c r="BA341" s="504"/>
      <c r="BB341" s="504"/>
      <c r="BC341" s="504"/>
      <c r="BD341" s="504"/>
      <c r="BE341" s="504"/>
      <c r="BF341" s="504"/>
      <c r="BG341" s="504"/>
      <c r="BH341" s="504"/>
      <c r="BI341" s="504"/>
      <c r="BJ341" s="504"/>
      <c r="BK341" s="504"/>
      <c r="BL341" s="504"/>
      <c r="BM341" s="504"/>
      <c r="BN341" s="504"/>
      <c r="BO341" s="504"/>
    </row>
  </sheetData>
  <autoFilter ref="A18:BT363"/>
  <mergeCells count="16">
    <mergeCell ref="BN1:BN2"/>
    <mergeCell ref="BM17:BM18"/>
    <mergeCell ref="BN17:BN18"/>
    <mergeCell ref="AZ17:BB17"/>
    <mergeCell ref="BC17:BC18"/>
    <mergeCell ref="BD17:BD18"/>
    <mergeCell ref="BM1:BM2"/>
    <mergeCell ref="BF17:BI17"/>
    <mergeCell ref="AV1:AY1"/>
    <mergeCell ref="AZ1:BB1"/>
    <mergeCell ref="BF1:BI1"/>
    <mergeCell ref="BJ1:BL1"/>
    <mergeCell ref="BJ17:BL17"/>
    <mergeCell ref="BC1:BC2"/>
    <mergeCell ref="BD1:BD2"/>
    <mergeCell ref="AV17:AY17"/>
  </mergeCells>
  <phoneticPr fontId="4"/>
  <pageMargins left="0.7" right="0.7" top="0.75" bottom="0.75" header="0.3" footer="0.3"/>
  <pageSetup paperSize="9" scale="53" fitToHeight="0"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B1:J25"/>
  <sheetViews>
    <sheetView topLeftCell="A10" zoomScale="80" zoomScaleNormal="80" workbookViewId="0">
      <selection activeCell="F17" sqref="F17"/>
    </sheetView>
  </sheetViews>
  <sheetFormatPr defaultColWidth="9" defaultRowHeight="24" customHeight="1"/>
  <cols>
    <col min="1" max="1" width="0.625" style="89" customWidth="1"/>
    <col min="2" max="2" width="3.75" style="89" customWidth="1"/>
    <col min="3" max="3" width="34" style="89" bestFit="1" customWidth="1"/>
    <col min="4" max="9" width="15.25" style="91" customWidth="1"/>
    <col min="10" max="10" width="63.875" style="90" customWidth="1"/>
    <col min="11" max="11" width="1.625" style="89" customWidth="1"/>
    <col min="12" max="16384" width="9" style="89"/>
  </cols>
  <sheetData>
    <row r="1" spans="2:10" ht="24" customHeight="1" thickBot="1">
      <c r="B1" s="134" t="str">
        <f>+CONCATENATE(LEFT('[3]3条支出'!$D$1,8),"　消費税計算に係る基礎数値")</f>
        <v>令和５年度決算　　消費税計算に係る基礎数値</v>
      </c>
    </row>
    <row r="2" spans="2:10" ht="24" customHeight="1" thickBot="1">
      <c r="B2" s="726"/>
      <c r="C2" s="727"/>
      <c r="D2" s="133" t="s">
        <v>468</v>
      </c>
      <c r="E2" s="132" t="s">
        <v>467</v>
      </c>
      <c r="F2" s="131" t="s">
        <v>466</v>
      </c>
      <c r="G2" s="476" t="s">
        <v>797</v>
      </c>
      <c r="H2" s="130" t="s">
        <v>465</v>
      </c>
      <c r="I2" s="129" t="s">
        <v>85</v>
      </c>
      <c r="J2" s="128" t="s">
        <v>434</v>
      </c>
    </row>
    <row r="3" spans="2:10" ht="24" customHeight="1">
      <c r="B3" s="728" t="s">
        <v>155</v>
      </c>
      <c r="C3" s="729"/>
      <c r="D3" s="438">
        <f>+'[2]3条収入'!F69</f>
        <v>0</v>
      </c>
      <c r="E3" s="439">
        <f>+'[2]3条収入'!G69</f>
        <v>0</v>
      </c>
      <c r="F3" s="440">
        <f>+'[2]3条収入'!H69</f>
        <v>47053</v>
      </c>
      <c r="G3" s="440">
        <f>+'[2]3条収入'!I69</f>
        <v>0</v>
      </c>
      <c r="H3" s="441">
        <f>+'[2]3条収入'!J69</f>
        <v>20730008529</v>
      </c>
      <c r="I3" s="105">
        <f>SUM(D3:H3)</f>
        <v>20730055582</v>
      </c>
      <c r="J3" s="104" t="s">
        <v>459</v>
      </c>
    </row>
    <row r="4" spans="2:10" ht="24" customHeight="1" thickBot="1">
      <c r="B4" s="732" t="s">
        <v>154</v>
      </c>
      <c r="C4" s="733"/>
      <c r="D4" s="442">
        <f>+'[4]4条収入'!F91</f>
        <v>0</v>
      </c>
      <c r="E4" s="443">
        <f>+'[4]4条収入'!G91</f>
        <v>0</v>
      </c>
      <c r="F4" s="444">
        <f>+'[4]4条収入'!H91</f>
        <v>0</v>
      </c>
      <c r="G4" s="444">
        <f>+'[4]4条収入'!I91</f>
        <v>0</v>
      </c>
      <c r="H4" s="445">
        <f>+'[4]4条収入'!J91</f>
        <v>39691410</v>
      </c>
      <c r="I4" s="94">
        <f>SUM(D4:H4)</f>
        <v>39691410</v>
      </c>
      <c r="J4" s="93" t="s">
        <v>459</v>
      </c>
    </row>
    <row r="5" spans="2:10" ht="24" customHeight="1">
      <c r="B5" s="728" t="s">
        <v>152</v>
      </c>
      <c r="C5" s="729"/>
      <c r="D5" s="438"/>
      <c r="E5" s="439"/>
      <c r="F5" s="440"/>
      <c r="G5" s="440"/>
      <c r="H5" s="441"/>
      <c r="I5" s="105"/>
      <c r="J5" s="104"/>
    </row>
    <row r="6" spans="2:10" ht="24" customHeight="1">
      <c r="B6" s="723"/>
      <c r="C6" s="103" t="s">
        <v>453</v>
      </c>
      <c r="D6" s="446">
        <f>+対価返還!BC3</f>
        <v>0</v>
      </c>
      <c r="E6" s="447">
        <f>+対価返還!BC4</f>
        <v>0</v>
      </c>
      <c r="F6" s="448">
        <f>+対価返還!BC5</f>
        <v>0</v>
      </c>
      <c r="G6" s="447">
        <f>+対価返還!BC6</f>
        <v>0</v>
      </c>
      <c r="H6" s="449">
        <f>+対価返還!BC7</f>
        <v>0</v>
      </c>
      <c r="I6" s="121">
        <f>SUM(D6:H6)</f>
        <v>0</v>
      </c>
      <c r="J6" s="99" t="s">
        <v>464</v>
      </c>
    </row>
    <row r="7" spans="2:10" ht="24" customHeight="1" thickBot="1">
      <c r="B7" s="725"/>
      <c r="C7" s="98" t="s">
        <v>463</v>
      </c>
      <c r="D7" s="442">
        <f>+対価返還!BC9</f>
        <v>0</v>
      </c>
      <c r="E7" s="443">
        <f>+対価返還!BC10</f>
        <v>0</v>
      </c>
      <c r="F7" s="444">
        <f>+対価返還!BC11</f>
        <v>39339</v>
      </c>
      <c r="G7" s="447">
        <f>+対価返還!BC12</f>
        <v>0</v>
      </c>
      <c r="H7" s="445">
        <f>+対価返還!BC13</f>
        <v>10639743</v>
      </c>
      <c r="I7" s="94">
        <f>SUM(D7:H7)</f>
        <v>10679082</v>
      </c>
      <c r="J7" s="93" t="s">
        <v>462</v>
      </c>
    </row>
    <row r="8" spans="2:10" ht="24" customHeight="1" thickBot="1">
      <c r="B8" s="726" t="s">
        <v>461</v>
      </c>
      <c r="C8" s="727"/>
      <c r="D8" s="115"/>
      <c r="E8" s="114"/>
      <c r="F8" s="113"/>
      <c r="G8" s="113"/>
      <c r="H8" s="113"/>
      <c r="I8" s="111">
        <f>+'[2]3条収入'!M69</f>
        <v>86860</v>
      </c>
      <c r="J8" s="110" t="s">
        <v>460</v>
      </c>
    </row>
    <row r="9" spans="2:10" ht="24" customHeight="1">
      <c r="B9" s="728" t="s">
        <v>131</v>
      </c>
      <c r="C9" s="729"/>
      <c r="D9" s="127"/>
      <c r="E9" s="126"/>
      <c r="F9" s="125"/>
      <c r="G9" s="125"/>
      <c r="H9" s="125"/>
      <c r="I9" s="105">
        <f>+'[2]3条収入'!L69</f>
        <v>22644840</v>
      </c>
      <c r="J9" s="104" t="s">
        <v>459</v>
      </c>
    </row>
    <row r="10" spans="2:10" ht="24" customHeight="1" thickBot="1">
      <c r="B10" s="732" t="s">
        <v>130</v>
      </c>
      <c r="C10" s="733"/>
      <c r="D10" s="124"/>
      <c r="E10" s="123"/>
      <c r="F10" s="122"/>
      <c r="G10" s="122"/>
      <c r="H10" s="122"/>
      <c r="I10" s="94">
        <f>+'[4]4条収入'!L91</f>
        <v>45948113</v>
      </c>
      <c r="J10" s="93" t="s">
        <v>458</v>
      </c>
    </row>
    <row r="11" spans="2:10" ht="24" customHeight="1">
      <c r="B11" s="728" t="s">
        <v>116</v>
      </c>
      <c r="C11" s="729"/>
      <c r="D11" s="438">
        <f>+'[3]3条支出'!F41+D17</f>
        <v>0</v>
      </c>
      <c r="E11" s="439">
        <f>+'[3]3条支出'!G41+E17</f>
        <v>1120996</v>
      </c>
      <c r="F11" s="440">
        <f>+'[3]3条支出'!H41+F17</f>
        <v>25903142</v>
      </c>
      <c r="G11" s="440">
        <f>+'[3]3条支出'!I41+G17</f>
        <v>500878</v>
      </c>
      <c r="H11" s="441">
        <f>+'[3]3条支出'!J41+H17</f>
        <v>9106828850</v>
      </c>
      <c r="I11" s="105">
        <f>SUM(D11:H11)</f>
        <v>9134353866</v>
      </c>
      <c r="J11" s="104" t="s">
        <v>457</v>
      </c>
    </row>
    <row r="12" spans="2:10" ht="24" customHeight="1" thickBot="1">
      <c r="B12" s="732" t="s">
        <v>115</v>
      </c>
      <c r="C12" s="733"/>
      <c r="D12" s="442">
        <f>+'[5]4条支出'!F41</f>
        <v>0</v>
      </c>
      <c r="E12" s="443">
        <f>+'[5]4条支出'!G41</f>
        <v>0</v>
      </c>
      <c r="F12" s="444">
        <f>+'[5]4条支出'!H41</f>
        <v>125712</v>
      </c>
      <c r="G12" s="444">
        <f>+'[5]4条支出'!I41</f>
        <v>36840</v>
      </c>
      <c r="H12" s="445">
        <f>+'[5]4条支出'!J41</f>
        <v>16278736624</v>
      </c>
      <c r="I12" s="94">
        <f>SUM(D12:H12)</f>
        <v>16278899176</v>
      </c>
      <c r="J12" s="93" t="s">
        <v>456</v>
      </c>
    </row>
    <row r="13" spans="2:10" s="120" customFormat="1" ht="24" customHeight="1">
      <c r="B13" s="728" t="s">
        <v>112</v>
      </c>
      <c r="C13" s="729"/>
      <c r="D13" s="438"/>
      <c r="E13" s="439"/>
      <c r="F13" s="440"/>
      <c r="G13" s="440"/>
      <c r="H13" s="441"/>
      <c r="I13" s="105"/>
      <c r="J13" s="104"/>
    </row>
    <row r="14" spans="2:10" s="120" customFormat="1" ht="24" customHeight="1">
      <c r="B14" s="734"/>
      <c r="C14" s="103" t="s">
        <v>455</v>
      </c>
      <c r="D14" s="446">
        <f>+D7+D17</f>
        <v>0</v>
      </c>
      <c r="E14" s="447">
        <f>+E7+E17</f>
        <v>1120996</v>
      </c>
      <c r="F14" s="448">
        <f>+F7+F17</f>
        <v>24706340</v>
      </c>
      <c r="G14" s="448">
        <f>+G7+G17</f>
        <v>0</v>
      </c>
      <c r="H14" s="449">
        <f>+H7+H17</f>
        <v>10639743</v>
      </c>
      <c r="I14" s="121">
        <f t="shared" ref="I14:I19" si="0">SUM(D14:H14)</f>
        <v>36467079</v>
      </c>
      <c r="J14" s="99" t="s">
        <v>454</v>
      </c>
    </row>
    <row r="15" spans="2:10" s="120" customFormat="1" ht="24" customHeight="1" thickBot="1">
      <c r="B15" s="735"/>
      <c r="C15" s="98" t="s">
        <v>453</v>
      </c>
      <c r="D15" s="442">
        <f>+D6</f>
        <v>0</v>
      </c>
      <c r="E15" s="443">
        <f>+E6</f>
        <v>0</v>
      </c>
      <c r="F15" s="444">
        <f>+F6</f>
        <v>0</v>
      </c>
      <c r="G15" s="444">
        <f>+G6</f>
        <v>0</v>
      </c>
      <c r="H15" s="445">
        <f>+H6</f>
        <v>0</v>
      </c>
      <c r="I15" s="94">
        <f t="shared" si="0"/>
        <v>0</v>
      </c>
      <c r="J15" s="93"/>
    </row>
    <row r="16" spans="2:10" ht="24" customHeight="1" thickBot="1">
      <c r="B16" s="726" t="s">
        <v>881</v>
      </c>
      <c r="C16" s="727"/>
      <c r="D16" s="119">
        <v>0</v>
      </c>
      <c r="E16" s="118"/>
      <c r="F16" s="117"/>
      <c r="G16" s="117">
        <v>0</v>
      </c>
      <c r="H16" s="116">
        <v>34600</v>
      </c>
      <c r="I16" s="111">
        <f t="shared" si="0"/>
        <v>34600</v>
      </c>
      <c r="J16" s="110" t="s">
        <v>889</v>
      </c>
    </row>
    <row r="17" spans="2:10" ht="24" customHeight="1" thickBot="1">
      <c r="B17" s="726" t="s">
        <v>452</v>
      </c>
      <c r="C17" s="727"/>
      <c r="D17" s="119">
        <v>0</v>
      </c>
      <c r="E17" s="118">
        <v>1120996</v>
      </c>
      <c r="F17" s="117">
        <v>24667001</v>
      </c>
      <c r="G17" s="117">
        <v>0</v>
      </c>
      <c r="H17" s="116">
        <v>0</v>
      </c>
      <c r="I17" s="111">
        <f t="shared" si="0"/>
        <v>25787997</v>
      </c>
      <c r="J17" s="110" t="s">
        <v>451</v>
      </c>
    </row>
    <row r="18" spans="2:10" ht="24" customHeight="1">
      <c r="B18" s="728" t="s">
        <v>88</v>
      </c>
      <c r="C18" s="729"/>
      <c r="D18" s="438">
        <f>+[7]総括表!K62</f>
        <v>0</v>
      </c>
      <c r="E18" s="439">
        <f>+[7]総括表!L62</f>
        <v>0</v>
      </c>
      <c r="F18" s="440">
        <f>+[7]総括表!M62</f>
        <v>455392</v>
      </c>
      <c r="G18" s="440">
        <f>+[7]総括表!N62</f>
        <v>130568</v>
      </c>
      <c r="H18" s="441">
        <f>+[7]総括表!O62</f>
        <v>2312306920</v>
      </c>
      <c r="I18" s="105">
        <f t="shared" si="0"/>
        <v>2312892880</v>
      </c>
      <c r="J18" s="730" t="s">
        <v>450</v>
      </c>
    </row>
    <row r="19" spans="2:10" ht="24" customHeight="1" thickBot="1">
      <c r="B19" s="732" t="s">
        <v>87</v>
      </c>
      <c r="C19" s="733"/>
      <c r="D19" s="442">
        <f>+[7]総括表!K172</f>
        <v>0</v>
      </c>
      <c r="E19" s="443">
        <f>+[7]総括表!L172</f>
        <v>131982078</v>
      </c>
      <c r="F19" s="444">
        <f>+[7]総括表!M172</f>
        <v>1246904</v>
      </c>
      <c r="G19" s="444">
        <f>+[7]総括表!N172</f>
        <v>99</v>
      </c>
      <c r="H19" s="445">
        <f>+[7]総括表!O172</f>
        <v>5972404802</v>
      </c>
      <c r="I19" s="94">
        <f t="shared" si="0"/>
        <v>6105633883</v>
      </c>
      <c r="J19" s="731"/>
    </row>
    <row r="20" spans="2:10" ht="24" customHeight="1" thickBot="1">
      <c r="B20" s="726" t="s">
        <v>449</v>
      </c>
      <c r="C20" s="727"/>
      <c r="D20" s="115"/>
      <c r="E20" s="114"/>
      <c r="F20" s="113"/>
      <c r="G20" s="468"/>
      <c r="H20" s="112"/>
      <c r="I20" s="111">
        <v>0</v>
      </c>
      <c r="J20" s="110"/>
    </row>
    <row r="21" spans="2:10" ht="24" customHeight="1">
      <c r="B21" s="728" t="s">
        <v>226</v>
      </c>
      <c r="C21" s="729"/>
      <c r="D21" s="109"/>
      <c r="E21" s="108"/>
      <c r="F21" s="107"/>
      <c r="G21" s="107"/>
      <c r="H21" s="106"/>
      <c r="I21" s="105"/>
      <c r="J21" s="104"/>
    </row>
    <row r="22" spans="2:10" ht="24" customHeight="1">
      <c r="B22" s="723"/>
      <c r="C22" s="103" t="s">
        <v>448</v>
      </c>
      <c r="D22" s="102"/>
      <c r="E22" s="101"/>
      <c r="F22" s="100"/>
      <c r="G22" s="100"/>
      <c r="H22" s="100"/>
      <c r="I22" s="450">
        <v>365767600</v>
      </c>
      <c r="J22" s="99"/>
    </row>
    <row r="23" spans="2:10" ht="24" customHeight="1">
      <c r="B23" s="724"/>
      <c r="C23" s="103" t="s">
        <v>447</v>
      </c>
      <c r="D23" s="102"/>
      <c r="E23" s="101"/>
      <c r="F23" s="100"/>
      <c r="G23" s="100"/>
      <c r="H23" s="100"/>
      <c r="I23" s="450">
        <v>103164600</v>
      </c>
      <c r="J23" s="99"/>
    </row>
    <row r="24" spans="2:10" ht="24" customHeight="1" thickBot="1">
      <c r="B24" s="725"/>
      <c r="C24" s="98" t="s">
        <v>446</v>
      </c>
      <c r="D24" s="97"/>
      <c r="E24" s="96"/>
      <c r="F24" s="95"/>
      <c r="G24" s="95"/>
      <c r="H24" s="95"/>
      <c r="I24" s="94">
        <f>SUM(I22:I23)</f>
        <v>468932200</v>
      </c>
      <c r="J24" s="93"/>
    </row>
    <row r="25" spans="2:10" ht="24" customHeight="1">
      <c r="J25" s="92" t="s">
        <v>445</v>
      </c>
    </row>
  </sheetData>
  <mergeCells count="20">
    <mergeCell ref="B16:C16"/>
    <mergeCell ref="B12:C12"/>
    <mergeCell ref="B13:C13"/>
    <mergeCell ref="B14:B15"/>
    <mergeCell ref="B2:C2"/>
    <mergeCell ref="B3:C3"/>
    <mergeCell ref="B4:C4"/>
    <mergeCell ref="B5:C5"/>
    <mergeCell ref="B6:B7"/>
    <mergeCell ref="B8:C8"/>
    <mergeCell ref="B9:C9"/>
    <mergeCell ref="B10:C10"/>
    <mergeCell ref="B11:C11"/>
    <mergeCell ref="B22:B24"/>
    <mergeCell ref="B17:C17"/>
    <mergeCell ref="B18:C18"/>
    <mergeCell ref="J18:J19"/>
    <mergeCell ref="B19:C19"/>
    <mergeCell ref="B20:C20"/>
    <mergeCell ref="B21:C21"/>
  </mergeCells>
  <phoneticPr fontId="4"/>
  <printOptions horizontalCentered="1"/>
  <pageMargins left="0.31496062992125984" right="0.31496062992125984" top="0.74803149606299213" bottom="0.55118110236220474" header="0.31496062992125984" footer="0.31496062992125984"/>
  <pageSetup paperSize="9" scale="74"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B1:AJ150"/>
  <sheetViews>
    <sheetView tabSelected="1" view="pageBreakPreview" zoomScaleNormal="80" zoomScaleSheetLayoutView="100" workbookViewId="0">
      <pane xSplit="5" ySplit="23" topLeftCell="N24" activePane="bottomRight" state="frozen"/>
      <selection activeCell="R64" sqref="R64"/>
      <selection pane="topRight" activeCell="R64" sqref="R64"/>
      <selection pane="bottomLeft" activeCell="R64" sqref="R64"/>
      <selection pane="bottomRight" activeCell="N24" sqref="N24"/>
    </sheetView>
  </sheetViews>
  <sheetFormatPr defaultColWidth="9" defaultRowHeight="13.5" customHeight="1" outlineLevelCol="2"/>
  <cols>
    <col min="1" max="1" width="0.375" style="1" customWidth="1"/>
    <col min="2" max="2" width="2.625" style="138" customWidth="1"/>
    <col min="3" max="3" width="2.625" style="34" hidden="1" customWidth="1"/>
    <col min="4" max="4" width="21.375" style="137" customWidth="1"/>
    <col min="5" max="5" width="37.625" style="1" customWidth="1"/>
    <col min="6" max="6" width="22.375" style="1" hidden="1" customWidth="1" outlineLevel="1"/>
    <col min="7" max="7" width="11.125" style="1" hidden="1" customWidth="1" outlineLevel="2"/>
    <col min="8" max="12" width="11.125" style="1" hidden="1" customWidth="1" outlineLevel="1"/>
    <col min="13" max="13" width="14.75" style="136" hidden="1" customWidth="1" outlineLevel="1"/>
    <col min="14" max="14" width="30.375" style="1" customWidth="1" collapsed="1"/>
    <col min="15" max="15" width="11.125" style="1" customWidth="1" outlineLevel="1"/>
    <col min="16" max="20" width="11.125" style="1" customWidth="1"/>
    <col min="21" max="21" width="11.125" style="1" customWidth="1" outlineLevel="1"/>
    <col min="22" max="26" width="11.125" style="1" customWidth="1"/>
    <col min="27" max="27" width="11.125" style="1" customWidth="1" outlineLevel="1"/>
    <col min="28" max="32" width="11.125" style="1" customWidth="1"/>
    <col min="33" max="33" width="25.75" style="136" customWidth="1"/>
    <col min="34" max="34" width="3.25" style="1" customWidth="1"/>
    <col min="35" max="35" width="9" style="1"/>
    <col min="36" max="36" width="12.625" style="135" customWidth="1"/>
    <col min="37" max="16384" width="9" style="1"/>
  </cols>
  <sheetData>
    <row r="1" spans="2:33" ht="13.5" customHeight="1">
      <c r="F1" s="34" t="s">
        <v>602</v>
      </c>
      <c r="G1" s="257">
        <v>0.03</v>
      </c>
      <c r="H1" s="256">
        <v>0.04</v>
      </c>
      <c r="I1" s="256">
        <v>6.3E-2</v>
      </c>
      <c r="J1" s="472">
        <v>6.2399999999999997E-2</v>
      </c>
      <c r="K1" s="255">
        <v>7.8E-2</v>
      </c>
      <c r="N1" s="34" t="s">
        <v>602</v>
      </c>
      <c r="O1" s="254">
        <f>+G1</f>
        <v>0.03</v>
      </c>
      <c r="P1" s="253">
        <f>+H1</f>
        <v>0.04</v>
      </c>
      <c r="Q1" s="253">
        <f>+I1</f>
        <v>6.3E-2</v>
      </c>
      <c r="R1" s="474">
        <f>+J1</f>
        <v>6.2399999999999997E-2</v>
      </c>
      <c r="S1" s="252">
        <f>+K1</f>
        <v>7.8E-2</v>
      </c>
      <c r="T1" s="136"/>
      <c r="U1" s="254">
        <f>+G1</f>
        <v>0.03</v>
      </c>
      <c r="V1" s="253">
        <f>+H1</f>
        <v>0.04</v>
      </c>
      <c r="W1" s="253">
        <f>+I1</f>
        <v>6.3E-2</v>
      </c>
      <c r="X1" s="474">
        <f>+R1</f>
        <v>6.2399999999999997E-2</v>
      </c>
      <c r="Y1" s="252">
        <f>+K1</f>
        <v>7.8E-2</v>
      </c>
      <c r="Z1" s="136"/>
      <c r="AA1" s="254">
        <f>+G1</f>
        <v>0.03</v>
      </c>
      <c r="AB1" s="253">
        <f>+H1</f>
        <v>0.04</v>
      </c>
      <c r="AC1" s="253">
        <f>+I1</f>
        <v>6.3E-2</v>
      </c>
      <c r="AD1" s="474">
        <f>+X1</f>
        <v>6.2399999999999997E-2</v>
      </c>
      <c r="AE1" s="252">
        <f>+K1</f>
        <v>7.8E-2</v>
      </c>
    </row>
    <row r="2" spans="2:33" ht="13.5" customHeight="1">
      <c r="F2" s="34" t="s">
        <v>601</v>
      </c>
      <c r="G2" s="218">
        <f>+G7-G1</f>
        <v>0</v>
      </c>
      <c r="H2" s="217">
        <f>+H7-H1</f>
        <v>1.0000000000000002E-2</v>
      </c>
      <c r="I2" s="217">
        <f>+I7-I1</f>
        <v>1.7000000000000001E-2</v>
      </c>
      <c r="J2" s="471">
        <f>+J7-J1</f>
        <v>1.7600000000000005E-2</v>
      </c>
      <c r="K2" s="216">
        <f>+K7-K1</f>
        <v>2.2000000000000006E-2</v>
      </c>
      <c r="N2" s="34" t="s">
        <v>601</v>
      </c>
      <c r="O2" s="251">
        <f>+O7-O1</f>
        <v>0</v>
      </c>
      <c r="P2" s="250">
        <f>+P7-P1</f>
        <v>1.0000000000000002E-2</v>
      </c>
      <c r="Q2" s="250">
        <f>+Q7-Q1</f>
        <v>1.7000000000000001E-2</v>
      </c>
      <c r="R2" s="475">
        <f>+R7-R1</f>
        <v>1.7600000000000005E-2</v>
      </c>
      <c r="S2" s="249">
        <f>+S7-S1</f>
        <v>2.2000000000000006E-2</v>
      </c>
      <c r="T2" s="136"/>
      <c r="U2" s="251">
        <f>+U7-U1</f>
        <v>0</v>
      </c>
      <c r="V2" s="250">
        <f>+V7-V1</f>
        <v>1.0000000000000002E-2</v>
      </c>
      <c r="W2" s="250">
        <f>+W7-W1</f>
        <v>1.7000000000000001E-2</v>
      </c>
      <c r="X2" s="475">
        <f>+X7-X1</f>
        <v>1.7600000000000005E-2</v>
      </c>
      <c r="Y2" s="249">
        <f>+Y7-Y1</f>
        <v>2.2000000000000006E-2</v>
      </c>
      <c r="Z2" s="136"/>
      <c r="AA2" s="251">
        <f>+AA7-AA1</f>
        <v>0</v>
      </c>
      <c r="AB2" s="250">
        <f>+AB7-AB1</f>
        <v>1.0000000000000002E-2</v>
      </c>
      <c r="AC2" s="250">
        <f>+AC7-AC1</f>
        <v>1.7000000000000001E-2</v>
      </c>
      <c r="AD2" s="475">
        <f>+AD7-AD1</f>
        <v>1.7600000000000005E-2</v>
      </c>
      <c r="AE2" s="249">
        <f>+AE7-AE1</f>
        <v>2.2000000000000006E-2</v>
      </c>
    </row>
    <row r="3" spans="2:33" ht="17.25" customHeight="1">
      <c r="B3" s="248" t="str">
        <f>+CONCATENATE(LEFT('[3]3条支出'!$D$1,8),"　消費税等計算チェックシート")</f>
        <v>令和５年度決算　　消費税等計算チェックシート</v>
      </c>
      <c r="L3" s="136" t="s">
        <v>171</v>
      </c>
      <c r="T3" s="136"/>
      <c r="AF3" s="136" t="s">
        <v>171</v>
      </c>
    </row>
    <row r="4" spans="2:33" ht="12.75" customHeight="1">
      <c r="B4" s="758" t="s">
        <v>170</v>
      </c>
      <c r="C4" s="759"/>
      <c r="D4" s="760"/>
      <c r="E4" s="18"/>
      <c r="F4" s="247" t="s">
        <v>599</v>
      </c>
      <c r="G4" s="246" t="s">
        <v>600</v>
      </c>
      <c r="H4" s="245"/>
      <c r="I4" s="245"/>
      <c r="J4" s="245"/>
      <c r="K4" s="245"/>
      <c r="L4" s="244"/>
      <c r="M4" s="243"/>
      <c r="N4" s="247" t="s">
        <v>599</v>
      </c>
      <c r="O4" s="246" t="s">
        <v>771</v>
      </c>
      <c r="P4" s="245"/>
      <c r="Q4" s="245"/>
      <c r="R4" s="245"/>
      <c r="S4" s="245"/>
      <c r="T4" s="244"/>
      <c r="U4" s="246" t="s">
        <v>772</v>
      </c>
      <c r="V4" s="245"/>
      <c r="W4" s="245"/>
      <c r="X4" s="245"/>
      <c r="Y4" s="245"/>
      <c r="Z4" s="244"/>
      <c r="AA4" s="246" t="s">
        <v>598</v>
      </c>
      <c r="AB4" s="245"/>
      <c r="AC4" s="245"/>
      <c r="AD4" s="245"/>
      <c r="AE4" s="245"/>
      <c r="AF4" s="244"/>
      <c r="AG4" s="243"/>
    </row>
    <row r="5" spans="2:33" ht="12.75" customHeight="1">
      <c r="B5" s="761"/>
      <c r="C5" s="762"/>
      <c r="D5" s="763"/>
      <c r="E5" s="242" t="s">
        <v>597</v>
      </c>
      <c r="F5" s="241" t="s">
        <v>595</v>
      </c>
      <c r="G5" s="240" t="s">
        <v>596</v>
      </c>
      <c r="H5" s="239"/>
      <c r="I5" s="239"/>
      <c r="J5" s="239"/>
      <c r="K5" s="239"/>
      <c r="L5" s="238"/>
      <c r="M5" s="149"/>
      <c r="N5" s="241" t="s">
        <v>595</v>
      </c>
      <c r="O5" s="240" t="s">
        <v>594</v>
      </c>
      <c r="P5" s="239"/>
      <c r="Q5" s="239"/>
      <c r="R5" s="239"/>
      <c r="S5" s="239"/>
      <c r="T5" s="238"/>
      <c r="U5" s="240" t="s">
        <v>594</v>
      </c>
      <c r="V5" s="239"/>
      <c r="W5" s="239"/>
      <c r="X5" s="239"/>
      <c r="Y5" s="239"/>
      <c r="Z5" s="238"/>
      <c r="AA5" s="240" t="s">
        <v>594</v>
      </c>
      <c r="AB5" s="239"/>
      <c r="AC5" s="239"/>
      <c r="AD5" s="239"/>
      <c r="AE5" s="239"/>
      <c r="AF5" s="238"/>
      <c r="AG5" s="149"/>
    </row>
    <row r="6" spans="2:33" ht="12.75" customHeight="1">
      <c r="B6" s="761"/>
      <c r="C6" s="762"/>
      <c r="D6" s="763"/>
      <c r="E6" s="8"/>
      <c r="F6" s="237" t="s">
        <v>592</v>
      </c>
      <c r="G6" s="236" t="s">
        <v>593</v>
      </c>
      <c r="H6" s="235"/>
      <c r="I6" s="235"/>
      <c r="J6" s="235"/>
      <c r="K6" s="235"/>
      <c r="L6" s="234"/>
      <c r="M6" s="145"/>
      <c r="N6" s="237" t="s">
        <v>592</v>
      </c>
      <c r="O6" s="236" t="s">
        <v>591</v>
      </c>
      <c r="P6" s="235"/>
      <c r="Q6" s="235"/>
      <c r="R6" s="235"/>
      <c r="S6" s="235"/>
      <c r="T6" s="234"/>
      <c r="U6" s="236" t="s">
        <v>591</v>
      </c>
      <c r="V6" s="235"/>
      <c r="W6" s="235"/>
      <c r="X6" s="235"/>
      <c r="Y6" s="235"/>
      <c r="Z6" s="234"/>
      <c r="AA6" s="236" t="s">
        <v>591</v>
      </c>
      <c r="AB6" s="235"/>
      <c r="AC6" s="235"/>
      <c r="AD6" s="235"/>
      <c r="AE6" s="235"/>
      <c r="AF6" s="234"/>
      <c r="AG6" s="145"/>
    </row>
    <row r="7" spans="2:33" ht="13.5" customHeight="1">
      <c r="B7" s="764"/>
      <c r="C7" s="765"/>
      <c r="D7" s="766"/>
      <c r="E7" s="233" t="s">
        <v>169</v>
      </c>
      <c r="F7" s="231" t="s">
        <v>590</v>
      </c>
      <c r="G7" s="230">
        <v>0.03</v>
      </c>
      <c r="H7" s="229">
        <v>0.05</v>
      </c>
      <c r="I7" s="229">
        <v>0.08</v>
      </c>
      <c r="J7" s="473">
        <v>0.08</v>
      </c>
      <c r="K7" s="228">
        <v>0.1</v>
      </c>
      <c r="L7" s="227" t="s">
        <v>435</v>
      </c>
      <c r="M7" s="232" t="s">
        <v>168</v>
      </c>
      <c r="N7" s="231" t="s">
        <v>590</v>
      </c>
      <c r="O7" s="230">
        <v>0.03</v>
      </c>
      <c r="P7" s="229">
        <v>0.05</v>
      </c>
      <c r="Q7" s="229">
        <v>0.08</v>
      </c>
      <c r="R7" s="473">
        <v>0.08</v>
      </c>
      <c r="S7" s="228">
        <v>0.1</v>
      </c>
      <c r="T7" s="227" t="s">
        <v>435</v>
      </c>
      <c r="U7" s="230">
        <v>0.03</v>
      </c>
      <c r="V7" s="229">
        <v>0.05</v>
      </c>
      <c r="W7" s="229">
        <v>0.08</v>
      </c>
      <c r="X7" s="473">
        <v>0.08</v>
      </c>
      <c r="Y7" s="228">
        <v>0.1</v>
      </c>
      <c r="Z7" s="227" t="s">
        <v>435</v>
      </c>
      <c r="AA7" s="230">
        <v>0.03</v>
      </c>
      <c r="AB7" s="229">
        <v>0.05</v>
      </c>
      <c r="AC7" s="229">
        <v>0.08</v>
      </c>
      <c r="AD7" s="473">
        <v>0.08</v>
      </c>
      <c r="AE7" s="228">
        <v>0.1</v>
      </c>
      <c r="AF7" s="227" t="s">
        <v>435</v>
      </c>
      <c r="AG7" s="226"/>
    </row>
    <row r="8" spans="2:33" ht="13.5" hidden="1" customHeight="1">
      <c r="B8" s="751" t="s">
        <v>167</v>
      </c>
      <c r="C8" s="757">
        <v>1</v>
      </c>
      <c r="D8" s="741" t="s">
        <v>166</v>
      </c>
      <c r="E8" s="187" t="s">
        <v>165</v>
      </c>
      <c r="F8" s="185"/>
      <c r="G8" s="224"/>
      <c r="H8" s="223"/>
      <c r="I8" s="223"/>
      <c r="J8" s="469"/>
      <c r="K8" s="222"/>
      <c r="L8" s="221"/>
      <c r="M8" s="225"/>
      <c r="N8" s="185"/>
      <c r="O8" s="224"/>
      <c r="P8" s="223"/>
      <c r="Q8" s="223"/>
      <c r="R8" s="469"/>
      <c r="S8" s="222"/>
      <c r="T8" s="221"/>
      <c r="U8" s="224"/>
      <c r="V8" s="223"/>
      <c r="W8" s="223"/>
      <c r="X8" s="469"/>
      <c r="Y8" s="222"/>
      <c r="Z8" s="221"/>
      <c r="AA8" s="224"/>
      <c r="AB8" s="223"/>
      <c r="AC8" s="223"/>
      <c r="AD8" s="469"/>
      <c r="AE8" s="222"/>
      <c r="AF8" s="221"/>
      <c r="AG8" s="220"/>
    </row>
    <row r="9" spans="2:33" ht="13.5" hidden="1" customHeight="1">
      <c r="B9" s="752"/>
      <c r="C9" s="757"/>
      <c r="D9" s="741"/>
      <c r="E9" s="194"/>
      <c r="F9" s="193"/>
      <c r="G9" s="218"/>
      <c r="H9" s="217"/>
      <c r="I9" s="217"/>
      <c r="J9" s="470"/>
      <c r="K9" s="216"/>
      <c r="L9" s="215"/>
      <c r="M9" s="219"/>
      <c r="N9" s="193"/>
      <c r="O9" s="218"/>
      <c r="P9" s="217"/>
      <c r="Q9" s="217"/>
      <c r="R9" s="470"/>
      <c r="S9" s="216"/>
      <c r="T9" s="215"/>
      <c r="U9" s="218"/>
      <c r="V9" s="217"/>
      <c r="W9" s="217"/>
      <c r="X9" s="470"/>
      <c r="Y9" s="216"/>
      <c r="Z9" s="215"/>
      <c r="AA9" s="218"/>
      <c r="AB9" s="217"/>
      <c r="AC9" s="217"/>
      <c r="AD9" s="470"/>
      <c r="AE9" s="216"/>
      <c r="AF9" s="215"/>
      <c r="AG9" s="214"/>
    </row>
    <row r="10" spans="2:33" ht="13.5" hidden="1" customHeight="1">
      <c r="B10" s="752"/>
      <c r="C10" s="757">
        <v>2</v>
      </c>
      <c r="D10" s="741" t="s">
        <v>164</v>
      </c>
      <c r="E10" s="187" t="s">
        <v>163</v>
      </c>
      <c r="F10" s="185"/>
      <c r="G10" s="212"/>
      <c r="H10" s="211"/>
      <c r="I10" s="211"/>
      <c r="J10" s="210"/>
      <c r="K10" s="210"/>
      <c r="L10" s="209"/>
      <c r="M10" s="213"/>
      <c r="N10" s="185"/>
      <c r="O10" s="212"/>
      <c r="P10" s="211"/>
      <c r="Q10" s="211"/>
      <c r="R10" s="210"/>
      <c r="S10" s="210"/>
      <c r="T10" s="209"/>
      <c r="U10" s="212"/>
      <c r="V10" s="211"/>
      <c r="W10" s="211"/>
      <c r="X10" s="210"/>
      <c r="Y10" s="210"/>
      <c r="Z10" s="209"/>
      <c r="AA10" s="212"/>
      <c r="AB10" s="211"/>
      <c r="AC10" s="211"/>
      <c r="AD10" s="210"/>
      <c r="AE10" s="210"/>
      <c r="AF10" s="209"/>
      <c r="AG10" s="208"/>
    </row>
    <row r="11" spans="2:33" ht="13.5" hidden="1" customHeight="1">
      <c r="B11" s="752"/>
      <c r="C11" s="757"/>
      <c r="D11" s="741"/>
      <c r="E11" s="201"/>
      <c r="F11" s="200"/>
      <c r="G11" s="199"/>
      <c r="H11" s="198"/>
      <c r="I11" s="198"/>
      <c r="J11" s="197"/>
      <c r="K11" s="197"/>
      <c r="L11" s="196"/>
      <c r="M11" s="195"/>
      <c r="N11" s="200"/>
      <c r="O11" s="199"/>
      <c r="P11" s="198"/>
      <c r="Q11" s="198"/>
      <c r="R11" s="197"/>
      <c r="S11" s="197"/>
      <c r="T11" s="196"/>
      <c r="U11" s="199"/>
      <c r="V11" s="198"/>
      <c r="W11" s="198"/>
      <c r="X11" s="197"/>
      <c r="Y11" s="197"/>
      <c r="Z11" s="196"/>
      <c r="AA11" s="199"/>
      <c r="AB11" s="198"/>
      <c r="AC11" s="198"/>
      <c r="AD11" s="197"/>
      <c r="AE11" s="197"/>
      <c r="AF11" s="196"/>
      <c r="AG11" s="195"/>
    </row>
    <row r="12" spans="2:33" ht="13.5" hidden="1" customHeight="1">
      <c r="B12" s="752"/>
      <c r="C12" s="757"/>
      <c r="D12" s="741"/>
      <c r="E12" s="201"/>
      <c r="F12" s="200"/>
      <c r="G12" s="199"/>
      <c r="H12" s="198"/>
      <c r="I12" s="198"/>
      <c r="J12" s="197"/>
      <c r="K12" s="197"/>
      <c r="L12" s="196"/>
      <c r="M12" s="195"/>
      <c r="N12" s="200"/>
      <c r="O12" s="199"/>
      <c r="P12" s="198"/>
      <c r="Q12" s="198"/>
      <c r="R12" s="197"/>
      <c r="S12" s="197"/>
      <c r="T12" s="196"/>
      <c r="U12" s="199"/>
      <c r="V12" s="198"/>
      <c r="W12" s="198"/>
      <c r="X12" s="197"/>
      <c r="Y12" s="197"/>
      <c r="Z12" s="196"/>
      <c r="AA12" s="199"/>
      <c r="AB12" s="198"/>
      <c r="AC12" s="198"/>
      <c r="AD12" s="197"/>
      <c r="AE12" s="197"/>
      <c r="AF12" s="196"/>
      <c r="AG12" s="195"/>
    </row>
    <row r="13" spans="2:33" ht="13.5" hidden="1" customHeight="1">
      <c r="B13" s="752"/>
      <c r="C13" s="757">
        <v>3</v>
      </c>
      <c r="D13" s="741" t="s">
        <v>162</v>
      </c>
      <c r="E13" s="201"/>
      <c r="F13" s="200"/>
      <c r="G13" s="199"/>
      <c r="H13" s="198"/>
      <c r="I13" s="198"/>
      <c r="J13" s="197"/>
      <c r="K13" s="197"/>
      <c r="L13" s="196"/>
      <c r="M13" s="195"/>
      <c r="N13" s="200"/>
      <c r="O13" s="199"/>
      <c r="P13" s="198"/>
      <c r="Q13" s="198"/>
      <c r="R13" s="197"/>
      <c r="S13" s="197"/>
      <c r="T13" s="196"/>
      <c r="U13" s="199"/>
      <c r="V13" s="198"/>
      <c r="W13" s="198"/>
      <c r="X13" s="197"/>
      <c r="Y13" s="197"/>
      <c r="Z13" s="196"/>
      <c r="AA13" s="199"/>
      <c r="AB13" s="198"/>
      <c r="AC13" s="198"/>
      <c r="AD13" s="197"/>
      <c r="AE13" s="197"/>
      <c r="AF13" s="196"/>
      <c r="AG13" s="195"/>
    </row>
    <row r="14" spans="2:33" ht="13.5" hidden="1" customHeight="1">
      <c r="B14" s="752"/>
      <c r="C14" s="757"/>
      <c r="D14" s="741"/>
      <c r="E14" s="201"/>
      <c r="F14" s="200"/>
      <c r="G14" s="199"/>
      <c r="H14" s="198"/>
      <c r="I14" s="198"/>
      <c r="J14" s="197"/>
      <c r="K14" s="197"/>
      <c r="L14" s="196"/>
      <c r="M14" s="195"/>
      <c r="N14" s="200"/>
      <c r="O14" s="199"/>
      <c r="P14" s="198"/>
      <c r="Q14" s="198"/>
      <c r="R14" s="197"/>
      <c r="S14" s="197"/>
      <c r="T14" s="196"/>
      <c r="U14" s="199"/>
      <c r="V14" s="198"/>
      <c r="W14" s="198"/>
      <c r="X14" s="197"/>
      <c r="Y14" s="197"/>
      <c r="Z14" s="196"/>
      <c r="AA14" s="199"/>
      <c r="AB14" s="198"/>
      <c r="AC14" s="198"/>
      <c r="AD14" s="197"/>
      <c r="AE14" s="197"/>
      <c r="AF14" s="196"/>
      <c r="AG14" s="195"/>
    </row>
    <row r="15" spans="2:33" ht="13.5" hidden="1" customHeight="1">
      <c r="B15" s="752"/>
      <c r="C15" s="757"/>
      <c r="D15" s="741"/>
      <c r="E15" s="201"/>
      <c r="F15" s="200"/>
      <c r="G15" s="199"/>
      <c r="H15" s="198"/>
      <c r="I15" s="198"/>
      <c r="J15" s="197"/>
      <c r="K15" s="197"/>
      <c r="L15" s="196"/>
      <c r="M15" s="195"/>
      <c r="N15" s="200"/>
      <c r="O15" s="199"/>
      <c r="P15" s="198"/>
      <c r="Q15" s="198"/>
      <c r="R15" s="197"/>
      <c r="S15" s="197"/>
      <c r="T15" s="196"/>
      <c r="U15" s="199"/>
      <c r="V15" s="198"/>
      <c r="W15" s="198"/>
      <c r="X15" s="197"/>
      <c r="Y15" s="197"/>
      <c r="Z15" s="196"/>
      <c r="AA15" s="199"/>
      <c r="AB15" s="198"/>
      <c r="AC15" s="198"/>
      <c r="AD15" s="197"/>
      <c r="AE15" s="197"/>
      <c r="AF15" s="196"/>
      <c r="AG15" s="195"/>
    </row>
    <row r="16" spans="2:33" ht="13.5" hidden="1" customHeight="1">
      <c r="B16" s="752"/>
      <c r="C16" s="739">
        <v>4</v>
      </c>
      <c r="D16" s="741" t="s">
        <v>161</v>
      </c>
      <c r="E16" s="201"/>
      <c r="F16" s="200"/>
      <c r="G16" s="199"/>
      <c r="H16" s="198"/>
      <c r="I16" s="198"/>
      <c r="J16" s="197"/>
      <c r="K16" s="197"/>
      <c r="L16" s="196"/>
      <c r="M16" s="195"/>
      <c r="N16" s="200"/>
      <c r="O16" s="199"/>
      <c r="P16" s="198"/>
      <c r="Q16" s="198"/>
      <c r="R16" s="197"/>
      <c r="S16" s="197"/>
      <c r="T16" s="196"/>
      <c r="U16" s="199"/>
      <c r="V16" s="198"/>
      <c r="W16" s="198"/>
      <c r="X16" s="197"/>
      <c r="Y16" s="197"/>
      <c r="Z16" s="196"/>
      <c r="AA16" s="199"/>
      <c r="AB16" s="198"/>
      <c r="AC16" s="198"/>
      <c r="AD16" s="197"/>
      <c r="AE16" s="197"/>
      <c r="AF16" s="196"/>
      <c r="AG16" s="195"/>
    </row>
    <row r="17" spans="2:33" ht="13.5" hidden="1" customHeight="1">
      <c r="B17" s="752"/>
      <c r="C17" s="740"/>
      <c r="D17" s="741"/>
      <c r="E17" s="194"/>
      <c r="F17" s="193"/>
      <c r="G17" s="192"/>
      <c r="H17" s="191"/>
      <c r="I17" s="191"/>
      <c r="J17" s="190"/>
      <c r="K17" s="190"/>
      <c r="L17" s="189"/>
      <c r="M17" s="188"/>
      <c r="N17" s="193"/>
      <c r="O17" s="192"/>
      <c r="P17" s="191"/>
      <c r="Q17" s="191"/>
      <c r="R17" s="190"/>
      <c r="S17" s="190"/>
      <c r="T17" s="189"/>
      <c r="U17" s="192"/>
      <c r="V17" s="191"/>
      <c r="W17" s="191"/>
      <c r="X17" s="190"/>
      <c r="Y17" s="190"/>
      <c r="Z17" s="189"/>
      <c r="AA17" s="192"/>
      <c r="AB17" s="191"/>
      <c r="AC17" s="191"/>
      <c r="AD17" s="190"/>
      <c r="AE17" s="190"/>
      <c r="AF17" s="189"/>
      <c r="AG17" s="188"/>
    </row>
    <row r="18" spans="2:33" ht="13.5" hidden="1" customHeight="1">
      <c r="B18" s="752"/>
      <c r="C18" s="739">
        <v>5</v>
      </c>
      <c r="D18" s="741" t="s">
        <v>160</v>
      </c>
      <c r="E18" s="187" t="s">
        <v>159</v>
      </c>
      <c r="F18" s="185"/>
      <c r="G18" s="186"/>
      <c r="H18" s="184"/>
      <c r="I18" s="184"/>
      <c r="J18" s="183"/>
      <c r="K18" s="183"/>
      <c r="L18" s="182"/>
      <c r="M18" s="181"/>
      <c r="N18" s="185"/>
      <c r="O18" s="186"/>
      <c r="P18" s="184"/>
      <c r="Q18" s="184"/>
      <c r="R18" s="183"/>
      <c r="S18" s="183"/>
      <c r="T18" s="182"/>
      <c r="U18" s="186"/>
      <c r="V18" s="184"/>
      <c r="W18" s="184"/>
      <c r="X18" s="183"/>
      <c r="Y18" s="183"/>
      <c r="Z18" s="182"/>
      <c r="AA18" s="186"/>
      <c r="AB18" s="184"/>
      <c r="AC18" s="184"/>
      <c r="AD18" s="183"/>
      <c r="AE18" s="183"/>
      <c r="AF18" s="182"/>
      <c r="AG18" s="181"/>
    </row>
    <row r="19" spans="2:33" ht="13.5" hidden="1" customHeight="1">
      <c r="B19" s="752"/>
      <c r="C19" s="740"/>
      <c r="D19" s="741"/>
      <c r="E19" s="201"/>
      <c r="F19" s="200"/>
      <c r="G19" s="199"/>
      <c r="H19" s="198"/>
      <c r="I19" s="198"/>
      <c r="J19" s="197"/>
      <c r="K19" s="197"/>
      <c r="L19" s="196"/>
      <c r="M19" s="195"/>
      <c r="N19" s="200"/>
      <c r="O19" s="199"/>
      <c r="P19" s="198"/>
      <c r="Q19" s="198"/>
      <c r="R19" s="197"/>
      <c r="S19" s="197"/>
      <c r="T19" s="196"/>
      <c r="U19" s="199"/>
      <c r="V19" s="198"/>
      <c r="W19" s="198"/>
      <c r="X19" s="197"/>
      <c r="Y19" s="197"/>
      <c r="Z19" s="196"/>
      <c r="AA19" s="199"/>
      <c r="AB19" s="198"/>
      <c r="AC19" s="198"/>
      <c r="AD19" s="197"/>
      <c r="AE19" s="197"/>
      <c r="AF19" s="196"/>
      <c r="AG19" s="195"/>
    </row>
    <row r="20" spans="2:33" ht="13.5" hidden="1" customHeight="1">
      <c r="B20" s="752"/>
      <c r="C20" s="739">
        <v>6</v>
      </c>
      <c r="D20" s="741" t="s">
        <v>158</v>
      </c>
      <c r="E20" s="201"/>
      <c r="F20" s="200"/>
      <c r="G20" s="199"/>
      <c r="H20" s="198"/>
      <c r="I20" s="198"/>
      <c r="J20" s="197"/>
      <c r="K20" s="197"/>
      <c r="L20" s="196"/>
      <c r="M20" s="195"/>
      <c r="N20" s="200"/>
      <c r="O20" s="199"/>
      <c r="P20" s="198"/>
      <c r="Q20" s="198"/>
      <c r="R20" s="197"/>
      <c r="S20" s="197"/>
      <c r="T20" s="196"/>
      <c r="U20" s="199"/>
      <c r="V20" s="198"/>
      <c r="W20" s="198"/>
      <c r="X20" s="197"/>
      <c r="Y20" s="197"/>
      <c r="Z20" s="196"/>
      <c r="AA20" s="199"/>
      <c r="AB20" s="198"/>
      <c r="AC20" s="198"/>
      <c r="AD20" s="197"/>
      <c r="AE20" s="197"/>
      <c r="AF20" s="196"/>
      <c r="AG20" s="195"/>
    </row>
    <row r="21" spans="2:33" ht="13.5" hidden="1" customHeight="1">
      <c r="B21" s="752"/>
      <c r="C21" s="740"/>
      <c r="D21" s="741"/>
      <c r="E21" s="201"/>
      <c r="F21" s="200"/>
      <c r="G21" s="199"/>
      <c r="H21" s="198"/>
      <c r="I21" s="198"/>
      <c r="J21" s="197"/>
      <c r="K21" s="197"/>
      <c r="L21" s="196"/>
      <c r="M21" s="195"/>
      <c r="N21" s="200"/>
      <c r="O21" s="199"/>
      <c r="P21" s="198"/>
      <c r="Q21" s="198"/>
      <c r="R21" s="197"/>
      <c r="S21" s="197"/>
      <c r="T21" s="196"/>
      <c r="U21" s="199"/>
      <c r="V21" s="198"/>
      <c r="W21" s="198"/>
      <c r="X21" s="197"/>
      <c r="Y21" s="197"/>
      <c r="Z21" s="196"/>
      <c r="AA21" s="199"/>
      <c r="AB21" s="198"/>
      <c r="AC21" s="198"/>
      <c r="AD21" s="197"/>
      <c r="AE21" s="197"/>
      <c r="AF21" s="196"/>
      <c r="AG21" s="195"/>
    </row>
    <row r="22" spans="2:33" ht="13.5" hidden="1" customHeight="1">
      <c r="B22" s="752"/>
      <c r="C22" s="739">
        <v>7</v>
      </c>
      <c r="D22" s="741" t="s">
        <v>157</v>
      </c>
      <c r="E22" s="201"/>
      <c r="F22" s="200"/>
      <c r="G22" s="199"/>
      <c r="H22" s="198"/>
      <c r="I22" s="198"/>
      <c r="J22" s="197"/>
      <c r="K22" s="197"/>
      <c r="L22" s="196"/>
      <c r="M22" s="195"/>
      <c r="N22" s="200"/>
      <c r="O22" s="199"/>
      <c r="P22" s="198"/>
      <c r="Q22" s="198"/>
      <c r="R22" s="197"/>
      <c r="S22" s="197"/>
      <c r="T22" s="196"/>
      <c r="U22" s="199"/>
      <c r="V22" s="198"/>
      <c r="W22" s="198"/>
      <c r="X22" s="197"/>
      <c r="Y22" s="197"/>
      <c r="Z22" s="196"/>
      <c r="AA22" s="199"/>
      <c r="AB22" s="198"/>
      <c r="AC22" s="198"/>
      <c r="AD22" s="197"/>
      <c r="AE22" s="197"/>
      <c r="AF22" s="196"/>
      <c r="AG22" s="195"/>
    </row>
    <row r="23" spans="2:33" ht="13.5" hidden="1" customHeight="1">
      <c r="B23" s="752"/>
      <c r="C23" s="740"/>
      <c r="D23" s="741"/>
      <c r="E23" s="201"/>
      <c r="F23" s="200"/>
      <c r="G23" s="199"/>
      <c r="H23" s="198"/>
      <c r="I23" s="198"/>
      <c r="J23" s="197"/>
      <c r="K23" s="197"/>
      <c r="L23" s="196"/>
      <c r="M23" s="195"/>
      <c r="N23" s="200"/>
      <c r="O23" s="199"/>
      <c r="P23" s="198"/>
      <c r="Q23" s="198"/>
      <c r="R23" s="197"/>
      <c r="S23" s="197"/>
      <c r="T23" s="196"/>
      <c r="U23" s="199"/>
      <c r="V23" s="198"/>
      <c r="W23" s="198"/>
      <c r="X23" s="197"/>
      <c r="Y23" s="197"/>
      <c r="Z23" s="196"/>
      <c r="AA23" s="199"/>
      <c r="AB23" s="198"/>
      <c r="AC23" s="198"/>
      <c r="AD23" s="197"/>
      <c r="AE23" s="197"/>
      <c r="AF23" s="196"/>
      <c r="AG23" s="195"/>
    </row>
    <row r="24" spans="2:33" ht="13.5" customHeight="1">
      <c r="B24" s="752"/>
      <c r="C24" s="739">
        <v>8</v>
      </c>
      <c r="D24" s="746" t="s">
        <v>156</v>
      </c>
      <c r="E24" s="180" t="s">
        <v>155</v>
      </c>
      <c r="F24" s="179"/>
      <c r="G24" s="514">
        <f>+基礎数値!$D3</f>
        <v>0</v>
      </c>
      <c r="H24" s="515">
        <f>+基礎数値!$E3</f>
        <v>0</v>
      </c>
      <c r="I24" s="515">
        <f>+基礎数値!$F3</f>
        <v>47053</v>
      </c>
      <c r="J24" s="515">
        <f>+基礎数値!$G3</f>
        <v>0</v>
      </c>
      <c r="K24" s="516">
        <f>+基礎数値!$H3</f>
        <v>20730008529</v>
      </c>
      <c r="L24" s="517">
        <f>+SUM(G24:K24)</f>
        <v>20730055582</v>
      </c>
      <c r="M24" s="158"/>
      <c r="N24" s="179"/>
      <c r="O24" s="518">
        <f t="shared" ref="O24:R26" si="0">+U24+AA24</f>
        <v>0</v>
      </c>
      <c r="P24" s="519">
        <f t="shared" si="0"/>
        <v>0</v>
      </c>
      <c r="Q24" s="519">
        <f>+W24+AC24</f>
        <v>47053</v>
      </c>
      <c r="R24" s="519">
        <f>+X24+AD24</f>
        <v>0</v>
      </c>
      <c r="S24" s="520">
        <f t="shared" ref="S24:T26" si="1">+Y24+AE24</f>
        <v>20730008529</v>
      </c>
      <c r="T24" s="517">
        <f t="shared" si="1"/>
        <v>20730055582</v>
      </c>
      <c r="U24" s="514">
        <f>+基礎数値!$D3</f>
        <v>0</v>
      </c>
      <c r="V24" s="515">
        <f>+基礎数値!$E3</f>
        <v>0</v>
      </c>
      <c r="W24" s="515">
        <f>+基礎数値!$F3</f>
        <v>47053</v>
      </c>
      <c r="X24" s="515">
        <f>+基礎数値!$G3</f>
        <v>0</v>
      </c>
      <c r="Y24" s="516">
        <f>+基礎数値!$H3</f>
        <v>20730008529</v>
      </c>
      <c r="Z24" s="517">
        <f>+SUM(U24:Y24)</f>
        <v>20730055582</v>
      </c>
      <c r="AA24" s="518"/>
      <c r="AB24" s="519"/>
      <c r="AC24" s="519"/>
      <c r="AD24" s="519"/>
      <c r="AE24" s="520"/>
      <c r="AF24" s="517">
        <f>+SUM(AA24:AE24)</f>
        <v>0</v>
      </c>
      <c r="AG24" s="158"/>
    </row>
    <row r="25" spans="2:33" ht="13.5" customHeight="1">
      <c r="B25" s="752"/>
      <c r="C25" s="742"/>
      <c r="D25" s="747"/>
      <c r="E25" s="178" t="s">
        <v>154</v>
      </c>
      <c r="F25" s="150"/>
      <c r="G25" s="521">
        <f>+基礎数値!$D4</f>
        <v>0</v>
      </c>
      <c r="H25" s="522">
        <f>+基礎数値!$E4</f>
        <v>0</v>
      </c>
      <c r="I25" s="522">
        <f>+基礎数値!$F4</f>
        <v>0</v>
      </c>
      <c r="J25" s="522">
        <f>+基礎数値!$G4</f>
        <v>0</v>
      </c>
      <c r="K25" s="523">
        <f>+基礎数値!$H4</f>
        <v>39691410</v>
      </c>
      <c r="L25" s="524">
        <f>+SUM(G25:K25)</f>
        <v>39691410</v>
      </c>
      <c r="M25" s="163"/>
      <c r="N25" s="150"/>
      <c r="O25" s="527">
        <f t="shared" si="0"/>
        <v>0</v>
      </c>
      <c r="P25" s="528">
        <f t="shared" si="0"/>
        <v>0</v>
      </c>
      <c r="Q25" s="528">
        <f t="shared" si="0"/>
        <v>0</v>
      </c>
      <c r="R25" s="528">
        <f t="shared" si="0"/>
        <v>0</v>
      </c>
      <c r="S25" s="529">
        <f t="shared" si="1"/>
        <v>39691410</v>
      </c>
      <c r="T25" s="524">
        <f t="shared" si="1"/>
        <v>39691410</v>
      </c>
      <c r="U25" s="527"/>
      <c r="V25" s="528"/>
      <c r="W25" s="528"/>
      <c r="X25" s="528"/>
      <c r="Y25" s="529"/>
      <c r="Z25" s="524">
        <f>+SUM(U25:Y25)</f>
        <v>0</v>
      </c>
      <c r="AA25" s="521">
        <f>+基礎数値!$D4</f>
        <v>0</v>
      </c>
      <c r="AB25" s="522">
        <f>+基礎数値!$E4</f>
        <v>0</v>
      </c>
      <c r="AC25" s="522">
        <f>+基礎数値!$F4</f>
        <v>0</v>
      </c>
      <c r="AD25" s="522">
        <f>+基礎数値!$G4</f>
        <v>0</v>
      </c>
      <c r="AE25" s="523">
        <f>+基礎数値!$H4</f>
        <v>39691410</v>
      </c>
      <c r="AF25" s="524">
        <f>+SUM(AA25:AE25)</f>
        <v>39691410</v>
      </c>
      <c r="AG25" s="163"/>
    </row>
    <row r="26" spans="2:33" ht="13.5" customHeight="1">
      <c r="B26" s="752"/>
      <c r="C26" s="742"/>
      <c r="D26" s="747"/>
      <c r="E26" s="178" t="s">
        <v>589</v>
      </c>
      <c r="F26" s="150" t="s">
        <v>588</v>
      </c>
      <c r="G26" s="530">
        <f>+SUM(G24:G25)</f>
        <v>0</v>
      </c>
      <c r="H26" s="531">
        <f>+SUM(H24:H25)</f>
        <v>0</v>
      </c>
      <c r="I26" s="531">
        <f>+SUM(I24:I25)</f>
        <v>47053</v>
      </c>
      <c r="J26" s="531">
        <f>+SUM(J24:J25)</f>
        <v>0</v>
      </c>
      <c r="K26" s="532">
        <f>+SUM(K24:K25)</f>
        <v>20769699939</v>
      </c>
      <c r="L26" s="524">
        <f>+SUM(G26:K26)</f>
        <v>20769746992</v>
      </c>
      <c r="M26" s="163"/>
      <c r="N26" s="150" t="s">
        <v>588</v>
      </c>
      <c r="O26" s="527">
        <f t="shared" si="0"/>
        <v>0</v>
      </c>
      <c r="P26" s="528">
        <f t="shared" si="0"/>
        <v>0</v>
      </c>
      <c r="Q26" s="528">
        <f t="shared" si="0"/>
        <v>47053</v>
      </c>
      <c r="R26" s="528">
        <f t="shared" si="0"/>
        <v>0</v>
      </c>
      <c r="S26" s="529">
        <f t="shared" si="1"/>
        <v>20769699939</v>
      </c>
      <c r="T26" s="524">
        <f t="shared" si="1"/>
        <v>20769746992</v>
      </c>
      <c r="U26" s="530">
        <f>+SUM(U24:U25)</f>
        <v>0</v>
      </c>
      <c r="V26" s="531">
        <f>+SUM(V24:V25)</f>
        <v>0</v>
      </c>
      <c r="W26" s="531">
        <f>+SUM(W24:W25)</f>
        <v>47053</v>
      </c>
      <c r="X26" s="531">
        <f>+SUM(X24:X25)</f>
        <v>0</v>
      </c>
      <c r="Y26" s="532">
        <f>+SUM(Y24:Y25)</f>
        <v>20730008529</v>
      </c>
      <c r="Z26" s="524">
        <f>+SUM(U26:Y26)</f>
        <v>20730055582</v>
      </c>
      <c r="AA26" s="530">
        <f>+SUM(AA24:AA25)</f>
        <v>0</v>
      </c>
      <c r="AB26" s="531">
        <f>+SUM(AB24:AB25)</f>
        <v>0</v>
      </c>
      <c r="AC26" s="531">
        <f>+SUM(AC24:AC25)</f>
        <v>0</v>
      </c>
      <c r="AD26" s="531">
        <f>+SUM(AD24:AD25)</f>
        <v>0</v>
      </c>
      <c r="AE26" s="532">
        <f>+SUM(AE24:AE25)</f>
        <v>39691410</v>
      </c>
      <c r="AF26" s="524">
        <f>+SUM(AA26:AE26)</f>
        <v>39691410</v>
      </c>
      <c r="AG26" s="163"/>
    </row>
    <row r="27" spans="2:33" ht="13.5" customHeight="1">
      <c r="B27" s="752"/>
      <c r="C27" s="742"/>
      <c r="D27" s="747"/>
      <c r="E27" s="178" t="s">
        <v>152</v>
      </c>
      <c r="F27" s="150"/>
      <c r="G27" s="530"/>
      <c r="H27" s="531"/>
      <c r="I27" s="531"/>
      <c r="J27" s="531"/>
      <c r="K27" s="532"/>
      <c r="L27" s="524"/>
      <c r="M27" s="163"/>
      <c r="N27" s="150"/>
      <c r="O27" s="527"/>
      <c r="P27" s="528"/>
      <c r="Q27" s="528"/>
      <c r="R27" s="528"/>
      <c r="S27" s="529"/>
      <c r="T27" s="524"/>
      <c r="U27" s="530"/>
      <c r="V27" s="531"/>
      <c r="W27" s="531"/>
      <c r="X27" s="531"/>
      <c r="Y27" s="532"/>
      <c r="Z27" s="524"/>
      <c r="AA27" s="530"/>
      <c r="AB27" s="531"/>
      <c r="AC27" s="531"/>
      <c r="AD27" s="531"/>
      <c r="AE27" s="532"/>
      <c r="AF27" s="524"/>
      <c r="AG27" s="163"/>
    </row>
    <row r="28" spans="2:33" ht="13.5" customHeight="1">
      <c r="B28" s="752"/>
      <c r="C28" s="742"/>
      <c r="D28" s="747"/>
      <c r="E28" s="178" t="s">
        <v>560</v>
      </c>
      <c r="F28" s="150" t="s">
        <v>587</v>
      </c>
      <c r="G28" s="521">
        <f>+基礎数値!$D6</f>
        <v>0</v>
      </c>
      <c r="H28" s="522">
        <f>+基礎数値!$E6</f>
        <v>0</v>
      </c>
      <c r="I28" s="522">
        <f>+基礎数値!$F6</f>
        <v>0</v>
      </c>
      <c r="J28" s="522">
        <f>+基礎数値!$G6</f>
        <v>0</v>
      </c>
      <c r="K28" s="523">
        <f>+基礎数値!$H6</f>
        <v>0</v>
      </c>
      <c r="L28" s="524">
        <f>+SUM(G28:K28)</f>
        <v>0</v>
      </c>
      <c r="M28" s="163"/>
      <c r="N28" s="150" t="s">
        <v>587</v>
      </c>
      <c r="O28" s="527">
        <f t="shared" ref="O28:R32" si="2">+U28+AA28</f>
        <v>0</v>
      </c>
      <c r="P28" s="528">
        <f t="shared" si="2"/>
        <v>0</v>
      </c>
      <c r="Q28" s="528">
        <f t="shared" si="2"/>
        <v>0</v>
      </c>
      <c r="R28" s="528">
        <f t="shared" si="2"/>
        <v>0</v>
      </c>
      <c r="S28" s="529">
        <f t="shared" ref="S28:T32" si="3">+Y28+AE28</f>
        <v>0</v>
      </c>
      <c r="T28" s="524">
        <f t="shared" si="3"/>
        <v>0</v>
      </c>
      <c r="U28" s="521">
        <f>+基礎数値!$D6</f>
        <v>0</v>
      </c>
      <c r="V28" s="522">
        <f>+基礎数値!$E6</f>
        <v>0</v>
      </c>
      <c r="W28" s="522">
        <f>+基礎数値!$F6</f>
        <v>0</v>
      </c>
      <c r="X28" s="522">
        <f>+基礎数値!$G6</f>
        <v>0</v>
      </c>
      <c r="Y28" s="523">
        <f>+基礎数値!$H6</f>
        <v>0</v>
      </c>
      <c r="Z28" s="524">
        <f>+SUM(U28:Y28)</f>
        <v>0</v>
      </c>
      <c r="AA28" s="527"/>
      <c r="AB28" s="528"/>
      <c r="AC28" s="528"/>
      <c r="AD28" s="528"/>
      <c r="AE28" s="529"/>
      <c r="AF28" s="524">
        <f>+SUM(AA28:AE28)</f>
        <v>0</v>
      </c>
      <c r="AG28" s="163"/>
    </row>
    <row r="29" spans="2:33" ht="13.5" customHeight="1">
      <c r="B29" s="752"/>
      <c r="C29" s="742"/>
      <c r="D29" s="747"/>
      <c r="E29" s="164" t="s">
        <v>562</v>
      </c>
      <c r="F29" s="150" t="s">
        <v>586</v>
      </c>
      <c r="G29" s="521">
        <f>+基礎数値!$D7</f>
        <v>0</v>
      </c>
      <c r="H29" s="522">
        <f>+基礎数値!$E7</f>
        <v>0</v>
      </c>
      <c r="I29" s="522">
        <f>+基礎数値!$F7</f>
        <v>39339</v>
      </c>
      <c r="J29" s="522">
        <f>+基礎数値!$G7</f>
        <v>0</v>
      </c>
      <c r="K29" s="523">
        <f>+基礎数値!$H7</f>
        <v>10639743</v>
      </c>
      <c r="L29" s="524">
        <f>+SUM(G29:K29)</f>
        <v>10679082</v>
      </c>
      <c r="M29" s="163"/>
      <c r="N29" s="150" t="s">
        <v>586</v>
      </c>
      <c r="O29" s="527">
        <f t="shared" si="2"/>
        <v>0</v>
      </c>
      <c r="P29" s="528">
        <f t="shared" si="2"/>
        <v>0</v>
      </c>
      <c r="Q29" s="528">
        <f t="shared" si="2"/>
        <v>39339</v>
      </c>
      <c r="R29" s="528">
        <f t="shared" si="2"/>
        <v>0</v>
      </c>
      <c r="S29" s="529">
        <f t="shared" si="3"/>
        <v>10639743</v>
      </c>
      <c r="T29" s="524">
        <f t="shared" si="3"/>
        <v>10679082</v>
      </c>
      <c r="U29" s="521">
        <f>+基礎数値!$D7</f>
        <v>0</v>
      </c>
      <c r="V29" s="522">
        <f>+基礎数値!$E7</f>
        <v>0</v>
      </c>
      <c r="W29" s="522">
        <f>+基礎数値!$F7</f>
        <v>39339</v>
      </c>
      <c r="X29" s="522">
        <f>+基礎数値!$G7</f>
        <v>0</v>
      </c>
      <c r="Y29" s="523">
        <f>+基礎数値!$H7</f>
        <v>10639743</v>
      </c>
      <c r="Z29" s="524">
        <f>+SUM(U29:Y29)</f>
        <v>10679082</v>
      </c>
      <c r="AA29" s="527"/>
      <c r="AB29" s="528"/>
      <c r="AC29" s="528"/>
      <c r="AD29" s="528"/>
      <c r="AE29" s="529"/>
      <c r="AF29" s="524">
        <f>+SUM(AA29:AE29)</f>
        <v>0</v>
      </c>
      <c r="AG29" s="163"/>
    </row>
    <row r="30" spans="2:33" ht="21.75" customHeight="1">
      <c r="B30" s="752"/>
      <c r="C30" s="742"/>
      <c r="D30" s="747"/>
      <c r="E30" s="164" t="s">
        <v>83</v>
      </c>
      <c r="F30" s="150" t="s">
        <v>585</v>
      </c>
      <c r="G30" s="530">
        <f>+ROUNDDOWN((G26-G28-G29)*1/(1+G$7),0)</f>
        <v>0</v>
      </c>
      <c r="H30" s="531">
        <f>+ROUNDDOWN((H26-H28-H29)*1/(1+H$7),0)</f>
        <v>0</v>
      </c>
      <c r="I30" s="531">
        <f>+ROUNDDOWN((I26-I28-I29)*1/(1+I$7),0)</f>
        <v>7142</v>
      </c>
      <c r="J30" s="531">
        <f>+ROUNDDOWN((J26-J28-J29)*1/(1+J$7),0)</f>
        <v>0</v>
      </c>
      <c r="K30" s="532">
        <f>+ROUNDDOWN((K26-K28-K29)*1/(1+K$7),0)</f>
        <v>18871872905</v>
      </c>
      <c r="L30" s="524">
        <f>+SUM(G30:K30)</f>
        <v>18871880047</v>
      </c>
      <c r="M30" s="163" t="s">
        <v>144</v>
      </c>
      <c r="N30" s="167" t="s">
        <v>584</v>
      </c>
      <c r="O30" s="527">
        <f t="shared" si="2"/>
        <v>0</v>
      </c>
      <c r="P30" s="528">
        <f t="shared" si="2"/>
        <v>0</v>
      </c>
      <c r="Q30" s="528">
        <f t="shared" si="2"/>
        <v>7142</v>
      </c>
      <c r="R30" s="528">
        <f t="shared" si="2"/>
        <v>0</v>
      </c>
      <c r="S30" s="529">
        <f t="shared" si="3"/>
        <v>18871872905</v>
      </c>
      <c r="T30" s="524">
        <f t="shared" si="3"/>
        <v>18871880047</v>
      </c>
      <c r="U30" s="530">
        <f>+ROUNDDOWN((U26-U28-U29)*1/(1+U$7),0)</f>
        <v>0</v>
      </c>
      <c r="V30" s="531">
        <f>+ROUNDDOWN((V26-V28-V29)*1/(1+V$7),0)</f>
        <v>0</v>
      </c>
      <c r="W30" s="531">
        <f>+ROUNDDOWN((W26-W28-W29)*1/(1+W$7),0)</f>
        <v>7142</v>
      </c>
      <c r="X30" s="531">
        <f>+ROUNDDOWN((X26-X28-X29)*1/(1+X$7),0)</f>
        <v>0</v>
      </c>
      <c r="Y30" s="532">
        <f>+ROUNDDOWN((Y26-Y28-Y29)*1/(1+Y$7),0)</f>
        <v>18835789805</v>
      </c>
      <c r="Z30" s="524">
        <f>+SUM(U30:Y30)</f>
        <v>18835796947</v>
      </c>
      <c r="AA30" s="530">
        <f>+ROUNDDOWN((AA26-AA28-AA29)*1/(1+AA$7),0)</f>
        <v>0</v>
      </c>
      <c r="AB30" s="531">
        <f>+ROUNDDOWN((AB26-AB28-AB29)*1/(1+AB$7),0)</f>
        <v>0</v>
      </c>
      <c r="AC30" s="531">
        <f>+ROUNDDOWN((AC26-AC28-AC29)*1/(1+AC$7),0)</f>
        <v>0</v>
      </c>
      <c r="AD30" s="531">
        <f>+ROUNDDOWN((AD26-AD28-AD29)*1/(1+AD$7),0)</f>
        <v>0</v>
      </c>
      <c r="AE30" s="532">
        <f>+ROUNDDOWN((AE26-AE28-AE29)*1/(1+AE$7),0)</f>
        <v>36083100</v>
      </c>
      <c r="AF30" s="524">
        <f>+SUM(AA30:AE30)</f>
        <v>36083100</v>
      </c>
      <c r="AG30" s="163"/>
    </row>
    <row r="31" spans="2:33" ht="13.5" customHeight="1">
      <c r="B31" s="752"/>
      <c r="C31" s="742"/>
      <c r="D31" s="747"/>
      <c r="E31" s="166" t="s">
        <v>143</v>
      </c>
      <c r="F31" s="150" t="s">
        <v>583</v>
      </c>
      <c r="G31" s="530">
        <f>+ROUNDDOWN((G26-G28)*1/(1+G$7),-3)</f>
        <v>0</v>
      </c>
      <c r="H31" s="531">
        <f>+ROUNDDOWN((H26-H28)*1/(1+H$7),-3)</f>
        <v>0</v>
      </c>
      <c r="I31" s="531">
        <f>+ROUNDDOWN((I26-I28)*1/(1+I$7),-3)</f>
        <v>43000</v>
      </c>
      <c r="J31" s="531">
        <f>+ROUNDDOWN((J26-J28)*1/(1+J$7),-3)</f>
        <v>0</v>
      </c>
      <c r="K31" s="532">
        <f>+ROUNDDOWN((K26-K28)*1/(1+K$7),-3)</f>
        <v>18881545000</v>
      </c>
      <c r="L31" s="524">
        <f>+SUM(G31:K31)</f>
        <v>18881588000</v>
      </c>
      <c r="M31" s="163" t="s">
        <v>294</v>
      </c>
      <c r="N31" s="150" t="s">
        <v>583</v>
      </c>
      <c r="O31" s="527">
        <f t="shared" si="2"/>
        <v>0</v>
      </c>
      <c r="P31" s="528">
        <f t="shared" si="2"/>
        <v>0</v>
      </c>
      <c r="Q31" s="528">
        <f t="shared" si="2"/>
        <v>43567</v>
      </c>
      <c r="R31" s="528">
        <f t="shared" si="2"/>
        <v>0</v>
      </c>
      <c r="S31" s="529">
        <f t="shared" si="3"/>
        <v>18881545399</v>
      </c>
      <c r="T31" s="524">
        <f t="shared" si="3"/>
        <v>18881588966</v>
      </c>
      <c r="U31" s="530">
        <f>+ROUNDDOWN((U26-U28)*1/(1+U$7),0)</f>
        <v>0</v>
      </c>
      <c r="V31" s="531">
        <f>+ROUNDDOWN((V26-V28)*1/(1+V$7),0)</f>
        <v>0</v>
      </c>
      <c r="W31" s="531">
        <f>+ROUNDDOWN((W26-W28)*1/(1+W$7),0)</f>
        <v>43567</v>
      </c>
      <c r="X31" s="531">
        <f>+ROUNDDOWN((X26-X28)*1/(1+X$7),0)</f>
        <v>0</v>
      </c>
      <c r="Y31" s="532">
        <f>+ROUNDDOWN((Y26-Y28)*1/(1+Y$7),0)</f>
        <v>18845462299</v>
      </c>
      <c r="Z31" s="524">
        <f>+SUM(U31:Y31)</f>
        <v>18845505866</v>
      </c>
      <c r="AA31" s="530">
        <f>+ROUNDDOWN((AA26-AA28)*1/(1+AA$7),0)</f>
        <v>0</v>
      </c>
      <c r="AB31" s="531">
        <f>+ROUNDDOWN((AB26-AB28)*1/(1+AB$7),0)</f>
        <v>0</v>
      </c>
      <c r="AC31" s="531">
        <f>+ROUNDDOWN((AC26-AC28)*1/(1+AC$7),0)</f>
        <v>0</v>
      </c>
      <c r="AD31" s="531">
        <f>+ROUNDDOWN((AD26-AD28)*1/(1+AD$7),0)</f>
        <v>0</v>
      </c>
      <c r="AE31" s="532">
        <f>+ROUNDDOWN((AE26-AE28)*1/(1+AE$7),0)</f>
        <v>36083100</v>
      </c>
      <c r="AF31" s="524">
        <f>+SUM(AA31:AE31)</f>
        <v>36083100</v>
      </c>
      <c r="AG31" s="163"/>
    </row>
    <row r="32" spans="2:33" ht="13.5" customHeight="1">
      <c r="B32" s="752"/>
      <c r="C32" s="740"/>
      <c r="D32" s="748"/>
      <c r="E32" s="148" t="s">
        <v>139</v>
      </c>
      <c r="F32" s="146" t="s">
        <v>582</v>
      </c>
      <c r="G32" s="533">
        <f>+ROUNDDOWN(G31*G$1,0)</f>
        <v>0</v>
      </c>
      <c r="H32" s="534">
        <f>+ROUNDDOWN(H31*H$1,0)</f>
        <v>0</v>
      </c>
      <c r="I32" s="534">
        <f>+ROUNDDOWN(I31*I$1,0)</f>
        <v>2709</v>
      </c>
      <c r="J32" s="534">
        <f>+ROUNDDOWN(J31*J$1,0)</f>
        <v>0</v>
      </c>
      <c r="K32" s="535">
        <f>+ROUNDDOWN(K31*K$1,0)</f>
        <v>1472760510</v>
      </c>
      <c r="L32" s="536">
        <f>+SUM(G32:K32)</f>
        <v>1472763219</v>
      </c>
      <c r="M32" s="161" t="s">
        <v>292</v>
      </c>
      <c r="N32" s="146" t="s">
        <v>581</v>
      </c>
      <c r="O32" s="538">
        <f t="shared" si="2"/>
        <v>0</v>
      </c>
      <c r="P32" s="539">
        <f t="shared" si="2"/>
        <v>0</v>
      </c>
      <c r="Q32" s="539">
        <f t="shared" si="2"/>
        <v>3485</v>
      </c>
      <c r="R32" s="539">
        <f t="shared" si="2"/>
        <v>0</v>
      </c>
      <c r="S32" s="540">
        <f t="shared" si="3"/>
        <v>1888154539</v>
      </c>
      <c r="T32" s="536">
        <f t="shared" si="3"/>
        <v>1888158024</v>
      </c>
      <c r="U32" s="533">
        <f>+ROUNDDOWN(U31*U$7,0)+U135</f>
        <v>0</v>
      </c>
      <c r="V32" s="534">
        <f t="shared" ref="V32" si="4">+ROUNDDOWN(V31*V$7,0)+V135</f>
        <v>0</v>
      </c>
      <c r="W32" s="534">
        <f t="shared" ref="W32:X32" si="5">+ROUNDDOWN(W31*W$7,0)+W135</f>
        <v>3485</v>
      </c>
      <c r="X32" s="534">
        <f t="shared" si="5"/>
        <v>0</v>
      </c>
      <c r="Y32" s="535">
        <f t="shared" ref="Y32" si="6">+ROUNDDOWN(Y31*Y$7,0)+Y135</f>
        <v>1884546229</v>
      </c>
      <c r="Z32" s="536">
        <f>+SUM(U32:Y32)</f>
        <v>1884549714</v>
      </c>
      <c r="AA32" s="533">
        <f>+ROUNDDOWN(AA31*AA$7,0)+AA135</f>
        <v>0</v>
      </c>
      <c r="AB32" s="534">
        <f t="shared" ref="AB32:AE32" si="7">+ROUNDDOWN(AB31*AB$7,0)+AB135</f>
        <v>0</v>
      </c>
      <c r="AC32" s="534">
        <f t="shared" si="7"/>
        <v>0</v>
      </c>
      <c r="AD32" s="534">
        <f t="shared" ref="AD32" si="8">+ROUNDDOWN(AD31*AD$7,0)+AD135</f>
        <v>0</v>
      </c>
      <c r="AE32" s="535">
        <f t="shared" si="7"/>
        <v>3608310</v>
      </c>
      <c r="AF32" s="536">
        <f>+SUM(AA32:AE32)</f>
        <v>3608310</v>
      </c>
      <c r="AG32" s="161"/>
    </row>
    <row r="33" spans="2:33" ht="13.5" customHeight="1">
      <c r="B33" s="751" t="s">
        <v>65</v>
      </c>
      <c r="C33" s="739">
        <v>1</v>
      </c>
      <c r="D33" s="743" t="s">
        <v>135</v>
      </c>
      <c r="E33" s="207" t="s">
        <v>134</v>
      </c>
      <c r="F33" s="156" t="s">
        <v>580</v>
      </c>
      <c r="G33" s="541"/>
      <c r="H33" s="542"/>
      <c r="I33" s="542"/>
      <c r="J33" s="542"/>
      <c r="K33" s="543"/>
      <c r="L33" s="544">
        <f>+L30</f>
        <v>18871880047</v>
      </c>
      <c r="M33" s="206"/>
      <c r="N33" s="156" t="s">
        <v>580</v>
      </c>
      <c r="O33" s="546"/>
      <c r="P33" s="547"/>
      <c r="Q33" s="547"/>
      <c r="R33" s="547"/>
      <c r="S33" s="548"/>
      <c r="T33" s="544">
        <f>+L33</f>
        <v>18871880047</v>
      </c>
      <c r="U33" s="546"/>
      <c r="V33" s="547"/>
      <c r="W33" s="547"/>
      <c r="X33" s="547"/>
      <c r="Y33" s="548"/>
      <c r="Z33" s="549"/>
      <c r="AA33" s="546"/>
      <c r="AB33" s="547"/>
      <c r="AC33" s="547"/>
      <c r="AD33" s="547"/>
      <c r="AE33" s="548"/>
      <c r="AF33" s="549"/>
      <c r="AG33" s="206"/>
    </row>
    <row r="34" spans="2:33" ht="13.5" customHeight="1">
      <c r="B34" s="752"/>
      <c r="C34" s="742"/>
      <c r="D34" s="744"/>
      <c r="E34" s="164" t="s">
        <v>546</v>
      </c>
      <c r="F34" s="150" t="s">
        <v>579</v>
      </c>
      <c r="G34" s="530"/>
      <c r="H34" s="531"/>
      <c r="I34" s="531"/>
      <c r="J34" s="531"/>
      <c r="K34" s="532"/>
      <c r="L34" s="550">
        <f>+基礎数値!$I8</f>
        <v>86860</v>
      </c>
      <c r="M34" s="163" t="s">
        <v>287</v>
      </c>
      <c r="N34" s="150" t="s">
        <v>579</v>
      </c>
      <c r="O34" s="551"/>
      <c r="P34" s="552"/>
      <c r="Q34" s="552"/>
      <c r="R34" s="552"/>
      <c r="S34" s="553"/>
      <c r="T34" s="550">
        <f>+基礎数値!$I8</f>
        <v>86860</v>
      </c>
      <c r="U34" s="551"/>
      <c r="V34" s="552"/>
      <c r="W34" s="552"/>
      <c r="X34" s="552"/>
      <c r="Y34" s="553"/>
      <c r="Z34" s="554"/>
      <c r="AA34" s="551"/>
      <c r="AB34" s="552"/>
      <c r="AC34" s="552"/>
      <c r="AD34" s="552"/>
      <c r="AE34" s="553"/>
      <c r="AF34" s="554"/>
      <c r="AG34" s="163" t="s">
        <v>578</v>
      </c>
    </row>
    <row r="35" spans="2:33" ht="13.5" customHeight="1">
      <c r="B35" s="752"/>
      <c r="C35" s="742"/>
      <c r="D35" s="744"/>
      <c r="E35" s="164" t="s">
        <v>132</v>
      </c>
      <c r="F35" s="150" t="s">
        <v>576</v>
      </c>
      <c r="G35" s="530"/>
      <c r="H35" s="531"/>
      <c r="I35" s="531"/>
      <c r="J35" s="531"/>
      <c r="K35" s="532"/>
      <c r="L35" s="524">
        <f>SUM(L33:L34)</f>
        <v>18871966907</v>
      </c>
      <c r="M35" s="163" t="s">
        <v>577</v>
      </c>
      <c r="N35" s="150" t="s">
        <v>576</v>
      </c>
      <c r="O35" s="551"/>
      <c r="P35" s="552"/>
      <c r="Q35" s="552"/>
      <c r="R35" s="552"/>
      <c r="S35" s="553"/>
      <c r="T35" s="544">
        <f>+L35</f>
        <v>18871966907</v>
      </c>
      <c r="U35" s="551"/>
      <c r="V35" s="552"/>
      <c r="W35" s="552"/>
      <c r="X35" s="552"/>
      <c r="Y35" s="553"/>
      <c r="Z35" s="554"/>
      <c r="AA35" s="551"/>
      <c r="AB35" s="552"/>
      <c r="AC35" s="552"/>
      <c r="AD35" s="552"/>
      <c r="AE35" s="553"/>
      <c r="AF35" s="554"/>
      <c r="AG35" s="163" t="s">
        <v>575</v>
      </c>
    </row>
    <row r="36" spans="2:33" ht="13.5" customHeight="1">
      <c r="B36" s="752"/>
      <c r="C36" s="742"/>
      <c r="D36" s="744"/>
      <c r="E36" s="178" t="s">
        <v>131</v>
      </c>
      <c r="F36" s="150"/>
      <c r="G36" s="530"/>
      <c r="H36" s="531"/>
      <c r="I36" s="531"/>
      <c r="J36" s="531"/>
      <c r="K36" s="532"/>
      <c r="L36" s="550">
        <f>+基礎数値!$I9</f>
        <v>22644840</v>
      </c>
      <c r="M36" s="163"/>
      <c r="N36" s="150"/>
      <c r="O36" s="551"/>
      <c r="P36" s="552"/>
      <c r="Q36" s="552"/>
      <c r="R36" s="552"/>
      <c r="S36" s="553"/>
      <c r="T36" s="550">
        <f>+基礎数値!$I9</f>
        <v>22644840</v>
      </c>
      <c r="U36" s="551"/>
      <c r="V36" s="552"/>
      <c r="W36" s="552"/>
      <c r="X36" s="552"/>
      <c r="Y36" s="553"/>
      <c r="Z36" s="554"/>
      <c r="AA36" s="551"/>
      <c r="AB36" s="552"/>
      <c r="AC36" s="552"/>
      <c r="AD36" s="552"/>
      <c r="AE36" s="553"/>
      <c r="AF36" s="554"/>
      <c r="AG36" s="163" t="s">
        <v>574</v>
      </c>
    </row>
    <row r="37" spans="2:33" ht="13.5" customHeight="1">
      <c r="B37" s="752"/>
      <c r="C37" s="742"/>
      <c r="D37" s="744"/>
      <c r="E37" s="178" t="s">
        <v>130</v>
      </c>
      <c r="F37" s="150"/>
      <c r="G37" s="530"/>
      <c r="H37" s="531"/>
      <c r="I37" s="531"/>
      <c r="J37" s="531"/>
      <c r="K37" s="532"/>
      <c r="L37" s="550">
        <f>+基礎数値!$I10</f>
        <v>45948113</v>
      </c>
      <c r="M37" s="163" t="s">
        <v>281</v>
      </c>
      <c r="N37" s="150"/>
      <c r="O37" s="551"/>
      <c r="P37" s="552"/>
      <c r="Q37" s="552"/>
      <c r="R37" s="552"/>
      <c r="S37" s="553"/>
      <c r="T37" s="550">
        <f>+基礎数値!$I10</f>
        <v>45948113</v>
      </c>
      <c r="U37" s="551"/>
      <c r="V37" s="552"/>
      <c r="W37" s="552"/>
      <c r="X37" s="552"/>
      <c r="Y37" s="553"/>
      <c r="Z37" s="554"/>
      <c r="AA37" s="551"/>
      <c r="AB37" s="552"/>
      <c r="AC37" s="552"/>
      <c r="AD37" s="552"/>
      <c r="AE37" s="553"/>
      <c r="AF37" s="554"/>
      <c r="AG37" s="163" t="s">
        <v>574</v>
      </c>
    </row>
    <row r="38" spans="2:33" ht="13.5" customHeight="1">
      <c r="B38" s="752"/>
      <c r="C38" s="742"/>
      <c r="D38" s="744"/>
      <c r="E38" s="178" t="s">
        <v>573</v>
      </c>
      <c r="F38" s="205" t="s">
        <v>572</v>
      </c>
      <c r="G38" s="530"/>
      <c r="H38" s="531"/>
      <c r="I38" s="531"/>
      <c r="J38" s="531"/>
      <c r="K38" s="532"/>
      <c r="L38" s="524">
        <f>+SUM(L36:L37)</f>
        <v>68592953</v>
      </c>
      <c r="M38" s="163"/>
      <c r="N38" s="205" t="s">
        <v>572</v>
      </c>
      <c r="O38" s="551"/>
      <c r="P38" s="552"/>
      <c r="Q38" s="552"/>
      <c r="R38" s="552"/>
      <c r="S38" s="553"/>
      <c r="T38" s="544">
        <f>+L38</f>
        <v>68592953</v>
      </c>
      <c r="U38" s="551"/>
      <c r="V38" s="552"/>
      <c r="W38" s="552"/>
      <c r="X38" s="552"/>
      <c r="Y38" s="553"/>
      <c r="Z38" s="554"/>
      <c r="AA38" s="551"/>
      <c r="AB38" s="552"/>
      <c r="AC38" s="552"/>
      <c r="AD38" s="552"/>
      <c r="AE38" s="553"/>
      <c r="AF38" s="554"/>
      <c r="AG38" s="163"/>
    </row>
    <row r="39" spans="2:33" ht="13.5" customHeight="1">
      <c r="B39" s="752"/>
      <c r="C39" s="742"/>
      <c r="D39" s="744"/>
      <c r="E39" s="164" t="s">
        <v>129</v>
      </c>
      <c r="F39" s="150" t="s">
        <v>570</v>
      </c>
      <c r="G39" s="530"/>
      <c r="H39" s="531"/>
      <c r="I39" s="531"/>
      <c r="J39" s="531"/>
      <c r="K39" s="532"/>
      <c r="L39" s="524">
        <f>+SUM(L35,L38)</f>
        <v>18940559860</v>
      </c>
      <c r="M39" s="163" t="s">
        <v>571</v>
      </c>
      <c r="N39" s="150" t="s">
        <v>570</v>
      </c>
      <c r="O39" s="551"/>
      <c r="P39" s="552"/>
      <c r="Q39" s="552"/>
      <c r="R39" s="552"/>
      <c r="S39" s="553"/>
      <c r="T39" s="544">
        <f>+L39</f>
        <v>18940559860</v>
      </c>
      <c r="U39" s="551"/>
      <c r="V39" s="552"/>
      <c r="W39" s="552"/>
      <c r="X39" s="552"/>
      <c r="Y39" s="553"/>
      <c r="Z39" s="554"/>
      <c r="AA39" s="551"/>
      <c r="AB39" s="552"/>
      <c r="AC39" s="552"/>
      <c r="AD39" s="552"/>
      <c r="AE39" s="553"/>
      <c r="AF39" s="554"/>
      <c r="AG39" s="163" t="s">
        <v>569</v>
      </c>
    </row>
    <row r="40" spans="2:33" ht="13.5" customHeight="1">
      <c r="B40" s="753"/>
      <c r="C40" s="740"/>
      <c r="D40" s="745"/>
      <c r="E40" s="162" t="s">
        <v>568</v>
      </c>
      <c r="F40" s="204" t="s">
        <v>567</v>
      </c>
      <c r="G40" s="533"/>
      <c r="H40" s="534"/>
      <c r="I40" s="534"/>
      <c r="J40" s="534"/>
      <c r="K40" s="535"/>
      <c r="L40" s="555">
        <f>+ROUND(L35/L39,4)</f>
        <v>0.99639999999999995</v>
      </c>
      <c r="M40" s="161" t="s">
        <v>275</v>
      </c>
      <c r="N40" s="204" t="s">
        <v>567</v>
      </c>
      <c r="O40" s="556"/>
      <c r="P40" s="557"/>
      <c r="Q40" s="557"/>
      <c r="R40" s="557"/>
      <c r="S40" s="558"/>
      <c r="T40" s="555">
        <f>+L40</f>
        <v>0.99639999999999995</v>
      </c>
      <c r="U40" s="556"/>
      <c r="V40" s="557"/>
      <c r="W40" s="557"/>
      <c r="X40" s="557"/>
      <c r="Y40" s="558"/>
      <c r="Z40" s="559"/>
      <c r="AA40" s="556"/>
      <c r="AB40" s="557"/>
      <c r="AC40" s="557"/>
      <c r="AD40" s="557"/>
      <c r="AE40" s="558"/>
      <c r="AF40" s="559"/>
      <c r="AG40" s="175" t="s">
        <v>566</v>
      </c>
    </row>
    <row r="41" spans="2:33" ht="13.5" hidden="1" customHeight="1">
      <c r="B41" s="751" t="s">
        <v>128</v>
      </c>
      <c r="C41" s="739">
        <v>1</v>
      </c>
      <c r="D41" s="746" t="s">
        <v>127</v>
      </c>
      <c r="E41" s="201" t="s">
        <v>126</v>
      </c>
      <c r="F41" s="200"/>
      <c r="G41" s="560"/>
      <c r="H41" s="561"/>
      <c r="I41" s="561"/>
      <c r="J41" s="561"/>
      <c r="K41" s="562"/>
      <c r="L41" s="563"/>
      <c r="M41" s="195"/>
      <c r="N41" s="200"/>
      <c r="O41" s="564">
        <f t="shared" ref="O41:O57" si="9">+U41+AA41</f>
        <v>0</v>
      </c>
      <c r="P41" s="565">
        <f t="shared" ref="P41:P57" si="10">+V41+AB41</f>
        <v>0</v>
      </c>
      <c r="Q41" s="565">
        <f t="shared" ref="Q41:R57" si="11">+W41+AC41</f>
        <v>0</v>
      </c>
      <c r="R41" s="565">
        <f t="shared" si="11"/>
        <v>0</v>
      </c>
      <c r="S41" s="566">
        <f t="shared" ref="S41:S57" si="12">+Y41+AE41</f>
        <v>0</v>
      </c>
      <c r="T41" s="563">
        <f t="shared" ref="T41:T61" si="13">+Z41+AF41</f>
        <v>0</v>
      </c>
      <c r="U41" s="560"/>
      <c r="V41" s="561"/>
      <c r="W41" s="561"/>
      <c r="X41" s="561"/>
      <c r="Y41" s="562"/>
      <c r="Z41" s="563"/>
      <c r="AA41" s="560"/>
      <c r="AB41" s="561"/>
      <c r="AC41" s="561"/>
      <c r="AD41" s="561"/>
      <c r="AE41" s="562"/>
      <c r="AF41" s="563"/>
      <c r="AG41" s="195"/>
    </row>
    <row r="42" spans="2:33" ht="13.5" hidden="1" customHeight="1">
      <c r="B42" s="752"/>
      <c r="C42" s="742"/>
      <c r="D42" s="747"/>
      <c r="E42" s="201"/>
      <c r="F42" s="200"/>
      <c r="G42" s="560"/>
      <c r="H42" s="561"/>
      <c r="I42" s="561"/>
      <c r="J42" s="561"/>
      <c r="K42" s="562"/>
      <c r="L42" s="563"/>
      <c r="M42" s="195"/>
      <c r="N42" s="200"/>
      <c r="O42" s="564">
        <f t="shared" si="9"/>
        <v>0</v>
      </c>
      <c r="P42" s="565">
        <f t="shared" si="10"/>
        <v>0</v>
      </c>
      <c r="Q42" s="565">
        <f t="shared" si="11"/>
        <v>0</v>
      </c>
      <c r="R42" s="565">
        <f t="shared" si="11"/>
        <v>0</v>
      </c>
      <c r="S42" s="566">
        <f t="shared" si="12"/>
        <v>0</v>
      </c>
      <c r="T42" s="563">
        <f t="shared" si="13"/>
        <v>0</v>
      </c>
      <c r="U42" s="560"/>
      <c r="V42" s="561"/>
      <c r="W42" s="561"/>
      <c r="X42" s="561"/>
      <c r="Y42" s="562"/>
      <c r="Z42" s="563"/>
      <c r="AA42" s="560"/>
      <c r="AB42" s="561"/>
      <c r="AC42" s="561"/>
      <c r="AD42" s="561"/>
      <c r="AE42" s="562"/>
      <c r="AF42" s="563"/>
      <c r="AG42" s="195"/>
    </row>
    <row r="43" spans="2:33" ht="13.5" hidden="1" customHeight="1">
      <c r="B43" s="752"/>
      <c r="C43" s="740"/>
      <c r="D43" s="748"/>
      <c r="E43" s="194"/>
      <c r="F43" s="193"/>
      <c r="G43" s="567"/>
      <c r="H43" s="568"/>
      <c r="I43" s="568"/>
      <c r="J43" s="568"/>
      <c r="K43" s="569"/>
      <c r="L43" s="570"/>
      <c r="M43" s="188"/>
      <c r="N43" s="193"/>
      <c r="O43" s="571">
        <f t="shared" si="9"/>
        <v>0</v>
      </c>
      <c r="P43" s="572">
        <f t="shared" si="10"/>
        <v>0</v>
      </c>
      <c r="Q43" s="572">
        <f t="shared" si="11"/>
        <v>0</v>
      </c>
      <c r="R43" s="572">
        <f t="shared" si="11"/>
        <v>0</v>
      </c>
      <c r="S43" s="573">
        <f t="shared" si="12"/>
        <v>0</v>
      </c>
      <c r="T43" s="570">
        <f t="shared" si="13"/>
        <v>0</v>
      </c>
      <c r="U43" s="567"/>
      <c r="V43" s="568"/>
      <c r="W43" s="568"/>
      <c r="X43" s="568"/>
      <c r="Y43" s="569"/>
      <c r="Z43" s="570"/>
      <c r="AA43" s="567"/>
      <c r="AB43" s="568"/>
      <c r="AC43" s="568"/>
      <c r="AD43" s="568"/>
      <c r="AE43" s="569"/>
      <c r="AF43" s="570"/>
      <c r="AG43" s="188"/>
    </row>
    <row r="44" spans="2:33" ht="13.5" hidden="1" customHeight="1">
      <c r="B44" s="752"/>
      <c r="C44" s="739">
        <v>2</v>
      </c>
      <c r="D44" s="746" t="s">
        <v>125</v>
      </c>
      <c r="E44" s="187" t="s">
        <v>124</v>
      </c>
      <c r="F44" s="185"/>
      <c r="G44" s="574"/>
      <c r="H44" s="575"/>
      <c r="I44" s="575"/>
      <c r="J44" s="575"/>
      <c r="K44" s="576"/>
      <c r="L44" s="577"/>
      <c r="M44" s="181"/>
      <c r="N44" s="185"/>
      <c r="O44" s="578">
        <f t="shared" si="9"/>
        <v>0</v>
      </c>
      <c r="P44" s="579">
        <f t="shared" si="10"/>
        <v>0</v>
      </c>
      <c r="Q44" s="579">
        <f t="shared" si="11"/>
        <v>0</v>
      </c>
      <c r="R44" s="579">
        <f t="shared" si="11"/>
        <v>0</v>
      </c>
      <c r="S44" s="580">
        <f t="shared" si="12"/>
        <v>0</v>
      </c>
      <c r="T44" s="577">
        <f t="shared" si="13"/>
        <v>0</v>
      </c>
      <c r="U44" s="574"/>
      <c r="V44" s="575"/>
      <c r="W44" s="575"/>
      <c r="X44" s="575"/>
      <c r="Y44" s="576"/>
      <c r="Z44" s="577"/>
      <c r="AA44" s="574"/>
      <c r="AB44" s="575"/>
      <c r="AC44" s="575"/>
      <c r="AD44" s="575"/>
      <c r="AE44" s="576"/>
      <c r="AF44" s="577"/>
      <c r="AG44" s="181"/>
    </row>
    <row r="45" spans="2:33" ht="13.5" hidden="1" customHeight="1">
      <c r="B45" s="752"/>
      <c r="C45" s="742"/>
      <c r="D45" s="747"/>
      <c r="E45" s="201"/>
      <c r="F45" s="200"/>
      <c r="G45" s="560"/>
      <c r="H45" s="561"/>
      <c r="I45" s="561"/>
      <c r="J45" s="561"/>
      <c r="K45" s="562"/>
      <c r="L45" s="563"/>
      <c r="M45" s="195"/>
      <c r="N45" s="200"/>
      <c r="O45" s="564">
        <f t="shared" si="9"/>
        <v>0</v>
      </c>
      <c r="P45" s="565">
        <f t="shared" si="10"/>
        <v>0</v>
      </c>
      <c r="Q45" s="565">
        <f t="shared" si="11"/>
        <v>0</v>
      </c>
      <c r="R45" s="565">
        <f t="shared" si="11"/>
        <v>0</v>
      </c>
      <c r="S45" s="566">
        <f t="shared" si="12"/>
        <v>0</v>
      </c>
      <c r="T45" s="563">
        <f t="shared" si="13"/>
        <v>0</v>
      </c>
      <c r="U45" s="560"/>
      <c r="V45" s="561"/>
      <c r="W45" s="561"/>
      <c r="X45" s="561"/>
      <c r="Y45" s="562"/>
      <c r="Z45" s="563"/>
      <c r="AA45" s="560"/>
      <c r="AB45" s="561"/>
      <c r="AC45" s="561"/>
      <c r="AD45" s="561"/>
      <c r="AE45" s="562"/>
      <c r="AF45" s="563"/>
      <c r="AG45" s="195"/>
    </row>
    <row r="46" spans="2:33" ht="13.5" hidden="1" customHeight="1">
      <c r="B46" s="752"/>
      <c r="C46" s="740"/>
      <c r="D46" s="748"/>
      <c r="E46" s="201"/>
      <c r="F46" s="200"/>
      <c r="G46" s="560"/>
      <c r="H46" s="561"/>
      <c r="I46" s="561"/>
      <c r="J46" s="561"/>
      <c r="K46" s="562"/>
      <c r="L46" s="563"/>
      <c r="M46" s="195"/>
      <c r="N46" s="200"/>
      <c r="O46" s="564">
        <f t="shared" si="9"/>
        <v>0</v>
      </c>
      <c r="P46" s="565">
        <f t="shared" si="10"/>
        <v>0</v>
      </c>
      <c r="Q46" s="565">
        <f t="shared" si="11"/>
        <v>0</v>
      </c>
      <c r="R46" s="565">
        <f t="shared" si="11"/>
        <v>0</v>
      </c>
      <c r="S46" s="566">
        <f t="shared" si="12"/>
        <v>0</v>
      </c>
      <c r="T46" s="563">
        <f t="shared" si="13"/>
        <v>0</v>
      </c>
      <c r="U46" s="560"/>
      <c r="V46" s="561"/>
      <c r="W46" s="561"/>
      <c r="X46" s="561"/>
      <c r="Y46" s="562"/>
      <c r="Z46" s="563"/>
      <c r="AA46" s="560"/>
      <c r="AB46" s="561"/>
      <c r="AC46" s="561"/>
      <c r="AD46" s="561"/>
      <c r="AE46" s="562"/>
      <c r="AF46" s="563"/>
      <c r="AG46" s="195"/>
    </row>
    <row r="47" spans="2:33" ht="13.5" hidden="1" customHeight="1">
      <c r="B47" s="752"/>
      <c r="C47" s="739">
        <v>3</v>
      </c>
      <c r="D47" s="741" t="s">
        <v>123</v>
      </c>
      <c r="E47" s="201"/>
      <c r="F47" s="200"/>
      <c r="G47" s="560"/>
      <c r="H47" s="561"/>
      <c r="I47" s="561"/>
      <c r="J47" s="561"/>
      <c r="K47" s="562"/>
      <c r="L47" s="563"/>
      <c r="M47" s="195"/>
      <c r="N47" s="200"/>
      <c r="O47" s="564">
        <f t="shared" si="9"/>
        <v>0</v>
      </c>
      <c r="P47" s="565">
        <f t="shared" si="10"/>
        <v>0</v>
      </c>
      <c r="Q47" s="565">
        <f t="shared" si="11"/>
        <v>0</v>
      </c>
      <c r="R47" s="565">
        <f t="shared" si="11"/>
        <v>0</v>
      </c>
      <c r="S47" s="566">
        <f t="shared" si="12"/>
        <v>0</v>
      </c>
      <c r="T47" s="563">
        <f t="shared" si="13"/>
        <v>0</v>
      </c>
      <c r="U47" s="560"/>
      <c r="V47" s="561"/>
      <c r="W47" s="561"/>
      <c r="X47" s="561"/>
      <c r="Y47" s="562"/>
      <c r="Z47" s="563"/>
      <c r="AA47" s="560"/>
      <c r="AB47" s="561"/>
      <c r="AC47" s="561"/>
      <c r="AD47" s="561"/>
      <c r="AE47" s="562"/>
      <c r="AF47" s="563"/>
      <c r="AG47" s="195"/>
    </row>
    <row r="48" spans="2:33" ht="13.5" hidden="1" customHeight="1">
      <c r="B48" s="752"/>
      <c r="C48" s="740"/>
      <c r="D48" s="741"/>
      <c r="E48" s="194"/>
      <c r="F48" s="193"/>
      <c r="G48" s="567"/>
      <c r="H48" s="568"/>
      <c r="I48" s="568"/>
      <c r="J48" s="568"/>
      <c r="K48" s="569"/>
      <c r="L48" s="570"/>
      <c r="M48" s="188"/>
      <c r="N48" s="193"/>
      <c r="O48" s="571">
        <f t="shared" si="9"/>
        <v>0</v>
      </c>
      <c r="P48" s="572">
        <f t="shared" si="10"/>
        <v>0</v>
      </c>
      <c r="Q48" s="572">
        <f t="shared" si="11"/>
        <v>0</v>
      </c>
      <c r="R48" s="572">
        <f t="shared" si="11"/>
        <v>0</v>
      </c>
      <c r="S48" s="573">
        <f t="shared" si="12"/>
        <v>0</v>
      </c>
      <c r="T48" s="570">
        <f t="shared" si="13"/>
        <v>0</v>
      </c>
      <c r="U48" s="567"/>
      <c r="V48" s="568"/>
      <c r="W48" s="568"/>
      <c r="X48" s="568"/>
      <c r="Y48" s="569"/>
      <c r="Z48" s="570"/>
      <c r="AA48" s="567"/>
      <c r="AB48" s="568"/>
      <c r="AC48" s="568"/>
      <c r="AD48" s="568"/>
      <c r="AE48" s="569"/>
      <c r="AF48" s="570"/>
      <c r="AG48" s="188"/>
    </row>
    <row r="49" spans="2:36" ht="13.5" hidden="1" customHeight="1">
      <c r="B49" s="752"/>
      <c r="C49" s="739">
        <v>4</v>
      </c>
      <c r="D49" s="741" t="s">
        <v>122</v>
      </c>
      <c r="E49" s="187" t="s">
        <v>121</v>
      </c>
      <c r="F49" s="185"/>
      <c r="G49" s="574"/>
      <c r="H49" s="575"/>
      <c r="I49" s="575"/>
      <c r="J49" s="575"/>
      <c r="K49" s="576"/>
      <c r="L49" s="577"/>
      <c r="M49" s="181"/>
      <c r="N49" s="185"/>
      <c r="O49" s="578">
        <f t="shared" si="9"/>
        <v>0</v>
      </c>
      <c r="P49" s="579">
        <f t="shared" si="10"/>
        <v>0</v>
      </c>
      <c r="Q49" s="579">
        <f t="shared" si="11"/>
        <v>0</v>
      </c>
      <c r="R49" s="579">
        <f t="shared" si="11"/>
        <v>0</v>
      </c>
      <c r="S49" s="580">
        <f t="shared" si="12"/>
        <v>0</v>
      </c>
      <c r="T49" s="577">
        <f t="shared" si="13"/>
        <v>0</v>
      </c>
      <c r="U49" s="574"/>
      <c r="V49" s="575"/>
      <c r="W49" s="575"/>
      <c r="X49" s="575"/>
      <c r="Y49" s="576"/>
      <c r="Z49" s="577"/>
      <c r="AA49" s="574"/>
      <c r="AB49" s="575"/>
      <c r="AC49" s="575"/>
      <c r="AD49" s="575"/>
      <c r="AE49" s="576"/>
      <c r="AF49" s="577"/>
      <c r="AG49" s="181"/>
    </row>
    <row r="50" spans="2:36" ht="13.5" hidden="1" customHeight="1">
      <c r="B50" s="752"/>
      <c r="C50" s="740"/>
      <c r="D50" s="741"/>
      <c r="E50" s="194"/>
      <c r="F50" s="193"/>
      <c r="G50" s="567"/>
      <c r="H50" s="568"/>
      <c r="I50" s="568"/>
      <c r="J50" s="568"/>
      <c r="K50" s="569"/>
      <c r="L50" s="570"/>
      <c r="M50" s="188"/>
      <c r="N50" s="193"/>
      <c r="O50" s="571">
        <f t="shared" si="9"/>
        <v>0</v>
      </c>
      <c r="P50" s="572">
        <f t="shared" si="10"/>
        <v>0</v>
      </c>
      <c r="Q50" s="572">
        <f t="shared" si="11"/>
        <v>0</v>
      </c>
      <c r="R50" s="572">
        <f t="shared" si="11"/>
        <v>0</v>
      </c>
      <c r="S50" s="573">
        <f t="shared" si="12"/>
        <v>0</v>
      </c>
      <c r="T50" s="570">
        <f t="shared" si="13"/>
        <v>0</v>
      </c>
      <c r="U50" s="567"/>
      <c r="V50" s="568"/>
      <c r="W50" s="568"/>
      <c r="X50" s="568"/>
      <c r="Y50" s="569"/>
      <c r="Z50" s="570"/>
      <c r="AA50" s="567"/>
      <c r="AB50" s="568"/>
      <c r="AC50" s="568"/>
      <c r="AD50" s="568"/>
      <c r="AE50" s="569"/>
      <c r="AF50" s="570"/>
      <c r="AG50" s="188"/>
    </row>
    <row r="51" spans="2:36" ht="13.5" hidden="1" customHeight="1">
      <c r="B51" s="752"/>
      <c r="C51" s="739">
        <v>5</v>
      </c>
      <c r="D51" s="741" t="s">
        <v>120</v>
      </c>
      <c r="E51" s="187" t="s">
        <v>119</v>
      </c>
      <c r="F51" s="185"/>
      <c r="G51" s="574"/>
      <c r="H51" s="575"/>
      <c r="I51" s="575"/>
      <c r="J51" s="575"/>
      <c r="K51" s="576"/>
      <c r="L51" s="577"/>
      <c r="M51" s="181"/>
      <c r="N51" s="185"/>
      <c r="O51" s="578">
        <f t="shared" si="9"/>
        <v>0</v>
      </c>
      <c r="P51" s="579">
        <f t="shared" si="10"/>
        <v>0</v>
      </c>
      <c r="Q51" s="579">
        <f t="shared" si="11"/>
        <v>0</v>
      </c>
      <c r="R51" s="579">
        <f t="shared" si="11"/>
        <v>0</v>
      </c>
      <c r="S51" s="580">
        <f t="shared" si="12"/>
        <v>0</v>
      </c>
      <c r="T51" s="577">
        <f t="shared" si="13"/>
        <v>0</v>
      </c>
      <c r="U51" s="574"/>
      <c r="V51" s="575"/>
      <c r="W51" s="575"/>
      <c r="X51" s="575"/>
      <c r="Y51" s="576"/>
      <c r="Z51" s="577"/>
      <c r="AA51" s="574"/>
      <c r="AB51" s="575"/>
      <c r="AC51" s="575"/>
      <c r="AD51" s="575"/>
      <c r="AE51" s="576"/>
      <c r="AF51" s="577"/>
      <c r="AG51" s="181"/>
    </row>
    <row r="52" spans="2:36" ht="13.5" hidden="1" customHeight="1">
      <c r="B52" s="752"/>
      <c r="C52" s="740"/>
      <c r="D52" s="741"/>
      <c r="E52" s="194"/>
      <c r="F52" s="193"/>
      <c r="G52" s="567"/>
      <c r="H52" s="568"/>
      <c r="I52" s="568"/>
      <c r="J52" s="568"/>
      <c r="K52" s="569"/>
      <c r="L52" s="570"/>
      <c r="M52" s="188"/>
      <c r="N52" s="193"/>
      <c r="O52" s="571">
        <f t="shared" si="9"/>
        <v>0</v>
      </c>
      <c r="P52" s="572">
        <f t="shared" si="10"/>
        <v>0</v>
      </c>
      <c r="Q52" s="572">
        <f t="shared" si="11"/>
        <v>0</v>
      </c>
      <c r="R52" s="572">
        <f t="shared" si="11"/>
        <v>0</v>
      </c>
      <c r="S52" s="573">
        <f t="shared" si="12"/>
        <v>0</v>
      </c>
      <c r="T52" s="570">
        <f t="shared" si="13"/>
        <v>0</v>
      </c>
      <c r="U52" s="567"/>
      <c r="V52" s="568"/>
      <c r="W52" s="568"/>
      <c r="X52" s="568"/>
      <c r="Y52" s="569"/>
      <c r="Z52" s="570"/>
      <c r="AA52" s="567"/>
      <c r="AB52" s="568"/>
      <c r="AC52" s="568"/>
      <c r="AD52" s="568"/>
      <c r="AE52" s="569"/>
      <c r="AF52" s="570"/>
      <c r="AG52" s="188"/>
    </row>
    <row r="53" spans="2:36" ht="13.5" hidden="1" customHeight="1">
      <c r="B53" s="752"/>
      <c r="C53" s="739">
        <v>6</v>
      </c>
      <c r="D53" s="741" t="s">
        <v>118</v>
      </c>
      <c r="E53" s="187" t="s">
        <v>94</v>
      </c>
      <c r="F53" s="185"/>
      <c r="G53" s="574"/>
      <c r="H53" s="575"/>
      <c r="I53" s="575"/>
      <c r="J53" s="575"/>
      <c r="K53" s="576"/>
      <c r="L53" s="577"/>
      <c r="M53" s="181"/>
      <c r="N53" s="185"/>
      <c r="O53" s="578">
        <f t="shared" si="9"/>
        <v>0</v>
      </c>
      <c r="P53" s="579">
        <f t="shared" si="10"/>
        <v>0</v>
      </c>
      <c r="Q53" s="579">
        <f t="shared" si="11"/>
        <v>0</v>
      </c>
      <c r="R53" s="579">
        <f t="shared" si="11"/>
        <v>0</v>
      </c>
      <c r="S53" s="580">
        <f t="shared" si="12"/>
        <v>0</v>
      </c>
      <c r="T53" s="577">
        <f t="shared" si="13"/>
        <v>0</v>
      </c>
      <c r="U53" s="574"/>
      <c r="V53" s="575"/>
      <c r="W53" s="575"/>
      <c r="X53" s="575"/>
      <c r="Y53" s="576"/>
      <c r="Z53" s="577"/>
      <c r="AA53" s="574"/>
      <c r="AB53" s="575"/>
      <c r="AC53" s="575"/>
      <c r="AD53" s="575"/>
      <c r="AE53" s="576"/>
      <c r="AF53" s="577"/>
      <c r="AG53" s="181"/>
    </row>
    <row r="54" spans="2:36" ht="13.5" hidden="1" customHeight="1">
      <c r="B54" s="752"/>
      <c r="C54" s="740"/>
      <c r="D54" s="741"/>
      <c r="E54" s="201"/>
      <c r="F54" s="200"/>
      <c r="G54" s="560"/>
      <c r="H54" s="561"/>
      <c r="I54" s="561"/>
      <c r="J54" s="561"/>
      <c r="K54" s="562"/>
      <c r="L54" s="563"/>
      <c r="M54" s="195"/>
      <c r="N54" s="200"/>
      <c r="O54" s="564">
        <f t="shared" si="9"/>
        <v>0</v>
      </c>
      <c r="P54" s="565">
        <f t="shared" si="10"/>
        <v>0</v>
      </c>
      <c r="Q54" s="565">
        <f t="shared" si="11"/>
        <v>0</v>
      </c>
      <c r="R54" s="565">
        <f t="shared" si="11"/>
        <v>0</v>
      </c>
      <c r="S54" s="566">
        <f t="shared" si="12"/>
        <v>0</v>
      </c>
      <c r="T54" s="563">
        <f t="shared" si="13"/>
        <v>0</v>
      </c>
      <c r="U54" s="560"/>
      <c r="V54" s="561"/>
      <c r="W54" s="561"/>
      <c r="X54" s="561"/>
      <c r="Y54" s="562"/>
      <c r="Z54" s="563"/>
      <c r="AA54" s="560"/>
      <c r="AB54" s="561"/>
      <c r="AC54" s="561"/>
      <c r="AD54" s="561"/>
      <c r="AE54" s="562"/>
      <c r="AF54" s="563"/>
      <c r="AG54" s="195"/>
    </row>
    <row r="55" spans="2:36" ht="13.5" customHeight="1">
      <c r="B55" s="752"/>
      <c r="C55" s="742">
        <v>7</v>
      </c>
      <c r="D55" s="747" t="s">
        <v>565</v>
      </c>
      <c r="E55" s="180" t="s">
        <v>116</v>
      </c>
      <c r="F55" s="179"/>
      <c r="G55" s="514">
        <f>+基礎数値!$D11</f>
        <v>0</v>
      </c>
      <c r="H55" s="515">
        <f>+基礎数値!$E11</f>
        <v>1120996</v>
      </c>
      <c r="I55" s="515">
        <f>+基礎数値!$F11</f>
        <v>25903142</v>
      </c>
      <c r="J55" s="515">
        <f>+基礎数値!$G11</f>
        <v>500878</v>
      </c>
      <c r="K55" s="516">
        <f>+基礎数値!$H11</f>
        <v>9106828850</v>
      </c>
      <c r="L55" s="517">
        <f>+SUM(G55:K55)</f>
        <v>9134353866</v>
      </c>
      <c r="M55" s="158"/>
      <c r="N55" s="179"/>
      <c r="O55" s="518">
        <f t="shared" si="9"/>
        <v>0</v>
      </c>
      <c r="P55" s="519">
        <f t="shared" si="10"/>
        <v>1120996</v>
      </c>
      <c r="Q55" s="519">
        <f t="shared" si="11"/>
        <v>25903142</v>
      </c>
      <c r="R55" s="519">
        <f t="shared" si="11"/>
        <v>500878</v>
      </c>
      <c r="S55" s="520">
        <f t="shared" si="12"/>
        <v>9106828850</v>
      </c>
      <c r="T55" s="517">
        <f t="shared" si="13"/>
        <v>9134353866</v>
      </c>
      <c r="U55" s="514">
        <f>+基礎数値!$D11</f>
        <v>0</v>
      </c>
      <c r="V55" s="515">
        <f>+基礎数値!$E11</f>
        <v>1120996</v>
      </c>
      <c r="W55" s="515">
        <f>+基礎数値!$F11</f>
        <v>25903142</v>
      </c>
      <c r="X55" s="515">
        <f>+基礎数値!$G11</f>
        <v>500878</v>
      </c>
      <c r="Y55" s="516">
        <f>+基礎数値!$H11</f>
        <v>9106828850</v>
      </c>
      <c r="Z55" s="517">
        <f>+SUM(U55:Y55)</f>
        <v>9134353866</v>
      </c>
      <c r="AA55" s="518"/>
      <c r="AB55" s="519"/>
      <c r="AC55" s="519"/>
      <c r="AD55" s="519"/>
      <c r="AE55" s="520"/>
      <c r="AF55" s="517">
        <f>+SUM(AA55:AE55)</f>
        <v>0</v>
      </c>
      <c r="AG55" s="158"/>
    </row>
    <row r="56" spans="2:36" ht="13.5" customHeight="1">
      <c r="B56" s="752"/>
      <c r="C56" s="742"/>
      <c r="D56" s="747"/>
      <c r="E56" s="178" t="s">
        <v>115</v>
      </c>
      <c r="F56" s="150"/>
      <c r="G56" s="521">
        <f>+基礎数値!$D12</f>
        <v>0</v>
      </c>
      <c r="H56" s="522">
        <f>+基礎数値!$E12</f>
        <v>0</v>
      </c>
      <c r="I56" s="522">
        <f>+基礎数値!$F12</f>
        <v>125712</v>
      </c>
      <c r="J56" s="522">
        <f>+基礎数値!$G12</f>
        <v>36840</v>
      </c>
      <c r="K56" s="523">
        <f>+基礎数値!$H12</f>
        <v>16278736624</v>
      </c>
      <c r="L56" s="524">
        <f>+SUM(G56:K56)</f>
        <v>16278899176</v>
      </c>
      <c r="M56" s="163"/>
      <c r="N56" s="150"/>
      <c r="O56" s="527">
        <f t="shared" si="9"/>
        <v>0</v>
      </c>
      <c r="P56" s="528">
        <f t="shared" si="10"/>
        <v>0</v>
      </c>
      <c r="Q56" s="528">
        <f t="shared" si="11"/>
        <v>125712</v>
      </c>
      <c r="R56" s="528">
        <f t="shared" si="11"/>
        <v>36840</v>
      </c>
      <c r="S56" s="529">
        <f t="shared" si="12"/>
        <v>16278736624</v>
      </c>
      <c r="T56" s="524">
        <f t="shared" si="13"/>
        <v>16278899176</v>
      </c>
      <c r="U56" s="527"/>
      <c r="V56" s="528"/>
      <c r="W56" s="528"/>
      <c r="X56" s="528"/>
      <c r="Y56" s="529"/>
      <c r="Z56" s="524">
        <f>+SUM(U56:Y56)</f>
        <v>0</v>
      </c>
      <c r="AA56" s="521">
        <f>+基礎数値!$D12</f>
        <v>0</v>
      </c>
      <c r="AB56" s="522">
        <f>+基礎数値!$E12</f>
        <v>0</v>
      </c>
      <c r="AC56" s="522">
        <f>+基礎数値!$F12</f>
        <v>125712</v>
      </c>
      <c r="AD56" s="522">
        <f>+基礎数値!$G12</f>
        <v>36840</v>
      </c>
      <c r="AE56" s="523">
        <f>+基礎数値!$H12</f>
        <v>16278736624</v>
      </c>
      <c r="AF56" s="524">
        <f>+SUM(AA56:AE56)</f>
        <v>16278899176</v>
      </c>
      <c r="AG56" s="163"/>
    </row>
    <row r="57" spans="2:36" ht="13.5" customHeight="1">
      <c r="B57" s="752"/>
      <c r="C57" s="742"/>
      <c r="D57" s="747"/>
      <c r="E57" s="178" t="s">
        <v>564</v>
      </c>
      <c r="F57" s="150" t="s">
        <v>563</v>
      </c>
      <c r="G57" s="530">
        <f>SUM(G55:G56)</f>
        <v>0</v>
      </c>
      <c r="H57" s="531">
        <f>SUM(H55:H56)</f>
        <v>1120996</v>
      </c>
      <c r="I57" s="531">
        <f>SUM(I55:I56)</f>
        <v>26028854</v>
      </c>
      <c r="J57" s="531">
        <f>SUM(J55:J56)</f>
        <v>537718</v>
      </c>
      <c r="K57" s="532">
        <f>SUM(K55:K56)</f>
        <v>25385565474</v>
      </c>
      <c r="L57" s="524">
        <f>+SUM(G57:K57)</f>
        <v>25413253042</v>
      </c>
      <c r="M57" s="163"/>
      <c r="N57" s="150" t="s">
        <v>563</v>
      </c>
      <c r="O57" s="527">
        <f t="shared" si="9"/>
        <v>0</v>
      </c>
      <c r="P57" s="528">
        <f t="shared" si="10"/>
        <v>1120996</v>
      </c>
      <c r="Q57" s="528">
        <f t="shared" si="11"/>
        <v>26028854</v>
      </c>
      <c r="R57" s="528">
        <f t="shared" si="11"/>
        <v>537718</v>
      </c>
      <c r="S57" s="529">
        <f t="shared" si="12"/>
        <v>25385565474</v>
      </c>
      <c r="T57" s="524">
        <f t="shared" si="13"/>
        <v>25413253042</v>
      </c>
      <c r="U57" s="530">
        <f>SUM(U55:U56)</f>
        <v>0</v>
      </c>
      <c r="V57" s="531">
        <f>SUM(V55:V56)</f>
        <v>1120996</v>
      </c>
      <c r="W57" s="531">
        <f>SUM(W55:W56)</f>
        <v>25903142</v>
      </c>
      <c r="X57" s="531">
        <f>SUM(X55:X56)</f>
        <v>500878</v>
      </c>
      <c r="Y57" s="532">
        <f>SUM(Y55:Y56)</f>
        <v>9106828850</v>
      </c>
      <c r="Z57" s="524">
        <f>+SUM(U57:Y57)</f>
        <v>9134353866</v>
      </c>
      <c r="AA57" s="530">
        <f>SUM(AA55:AA56)</f>
        <v>0</v>
      </c>
      <c r="AB57" s="531">
        <f>SUM(AB55:AB56)</f>
        <v>0</v>
      </c>
      <c r="AC57" s="531">
        <f>SUM(AC55:AC56)</f>
        <v>125712</v>
      </c>
      <c r="AD57" s="531">
        <f>SUM(AD55:AD56)</f>
        <v>36840</v>
      </c>
      <c r="AE57" s="532">
        <f>SUM(AE55:AE56)</f>
        <v>16278736624</v>
      </c>
      <c r="AF57" s="524">
        <f>+SUM(AA57:AE57)</f>
        <v>16278899176</v>
      </c>
      <c r="AG57" s="163"/>
    </row>
    <row r="58" spans="2:36" ht="13.5" customHeight="1">
      <c r="B58" s="752"/>
      <c r="C58" s="742"/>
      <c r="D58" s="747"/>
      <c r="E58" s="178" t="s">
        <v>112</v>
      </c>
      <c r="F58" s="150"/>
      <c r="G58" s="530"/>
      <c r="H58" s="531"/>
      <c r="I58" s="531"/>
      <c r="J58" s="531"/>
      <c r="K58" s="532"/>
      <c r="L58" s="524"/>
      <c r="M58" s="163"/>
      <c r="N58" s="150"/>
      <c r="O58" s="527"/>
      <c r="P58" s="528"/>
      <c r="Q58" s="528"/>
      <c r="R58" s="528"/>
      <c r="S58" s="529"/>
      <c r="T58" s="524"/>
      <c r="U58" s="530"/>
      <c r="V58" s="531"/>
      <c r="W58" s="531"/>
      <c r="X58" s="531"/>
      <c r="Y58" s="532"/>
      <c r="Z58" s="524"/>
      <c r="AA58" s="530"/>
      <c r="AB58" s="531"/>
      <c r="AC58" s="531"/>
      <c r="AD58" s="531"/>
      <c r="AE58" s="532"/>
      <c r="AF58" s="524"/>
      <c r="AG58" s="163"/>
    </row>
    <row r="59" spans="2:36" s="497" customFormat="1" ht="13.5" customHeight="1">
      <c r="B59" s="752"/>
      <c r="C59" s="742"/>
      <c r="D59" s="747"/>
      <c r="E59" s="498" t="s">
        <v>879</v>
      </c>
      <c r="F59" s="499"/>
      <c r="G59" s="581"/>
      <c r="H59" s="582"/>
      <c r="I59" s="582"/>
      <c r="J59" s="582"/>
      <c r="K59" s="583">
        <f>基礎数値!H16</f>
        <v>34600</v>
      </c>
      <c r="L59" s="584">
        <f t="shared" ref="L59" si="14">+SUM(G59:K59)</f>
        <v>34600</v>
      </c>
      <c r="M59" s="500"/>
      <c r="N59" s="499"/>
      <c r="O59" s="581"/>
      <c r="P59" s="582"/>
      <c r="Q59" s="582"/>
      <c r="R59" s="582"/>
      <c r="S59" s="583">
        <f>+Y59+AE59</f>
        <v>34600</v>
      </c>
      <c r="T59" s="584">
        <f t="shared" si="13"/>
        <v>34600</v>
      </c>
      <c r="U59" s="581"/>
      <c r="V59" s="582"/>
      <c r="W59" s="582"/>
      <c r="X59" s="582"/>
      <c r="Y59" s="583">
        <f>基礎数値!H16</f>
        <v>34600</v>
      </c>
      <c r="Z59" s="524">
        <f t="shared" ref="Z59" si="15">+SUM(U59:Y59)</f>
        <v>34600</v>
      </c>
      <c r="AA59" s="581"/>
      <c r="AB59" s="582"/>
      <c r="AC59" s="582"/>
      <c r="AD59" s="582"/>
      <c r="AE59" s="583"/>
      <c r="AF59" s="584">
        <f t="shared" ref="AF59:AF63" si="16">+SUM(AA59:AE59)</f>
        <v>0</v>
      </c>
      <c r="AG59" s="500"/>
      <c r="AJ59" s="501"/>
    </row>
    <row r="60" spans="2:36" s="497" customFormat="1" ht="13.5" customHeight="1">
      <c r="B60" s="752"/>
      <c r="C60" s="742"/>
      <c r="D60" s="747"/>
      <c r="E60" s="498" t="s">
        <v>880</v>
      </c>
      <c r="F60" s="499"/>
      <c r="G60" s="581"/>
      <c r="H60" s="582"/>
      <c r="I60" s="582"/>
      <c r="J60" s="582"/>
      <c r="K60" s="583">
        <f>ROUNDDOWN(K59*0.2*K$1/(1+K$7),0)</f>
        <v>490</v>
      </c>
      <c r="L60" s="584">
        <f>+SUM(G60:K60)</f>
        <v>490</v>
      </c>
      <c r="M60" s="500"/>
      <c r="N60" s="499"/>
      <c r="O60" s="581"/>
      <c r="P60" s="582"/>
      <c r="Q60" s="582"/>
      <c r="R60" s="582"/>
      <c r="S60" s="583">
        <f t="shared" ref="S60:S80" si="17">+Y60+AE60</f>
        <v>629</v>
      </c>
      <c r="T60" s="584">
        <f t="shared" si="13"/>
        <v>629</v>
      </c>
      <c r="U60" s="581"/>
      <c r="V60" s="582"/>
      <c r="W60" s="582"/>
      <c r="X60" s="582"/>
      <c r="Y60" s="583">
        <f>ROUNDDOWN(Y59*0.2*Y$7/(1+Y$7),0)</f>
        <v>629</v>
      </c>
      <c r="Z60" s="524">
        <f t="shared" ref="Z60:Z63" si="18">+SUM(U60:Y60)</f>
        <v>629</v>
      </c>
      <c r="AA60" s="581"/>
      <c r="AB60" s="582"/>
      <c r="AC60" s="582"/>
      <c r="AD60" s="582"/>
      <c r="AE60" s="583"/>
      <c r="AF60" s="584">
        <f t="shared" si="16"/>
        <v>0</v>
      </c>
      <c r="AG60" s="500"/>
      <c r="AJ60" s="501"/>
    </row>
    <row r="61" spans="2:36" s="497" customFormat="1" ht="13.5" customHeight="1">
      <c r="B61" s="752"/>
      <c r="C61" s="742"/>
      <c r="D61" s="747"/>
      <c r="E61" s="498" t="s">
        <v>886</v>
      </c>
      <c r="F61" s="499"/>
      <c r="G61" s="581"/>
      <c r="H61" s="582"/>
      <c r="I61" s="582"/>
      <c r="J61" s="582"/>
      <c r="K61" s="583">
        <f>ROUNDDOWN(K59*K$1/(1+K$7),0)-K60</f>
        <v>1963</v>
      </c>
      <c r="L61" s="584">
        <f t="shared" ref="L61:L63" si="19">+SUM(G61:K61)</f>
        <v>1963</v>
      </c>
      <c r="M61" s="500"/>
      <c r="N61" s="499"/>
      <c r="O61" s="581"/>
      <c r="P61" s="582"/>
      <c r="Q61" s="582"/>
      <c r="R61" s="582"/>
      <c r="S61" s="583">
        <f t="shared" si="17"/>
        <v>2516</v>
      </c>
      <c r="T61" s="584">
        <f t="shared" si="13"/>
        <v>2516</v>
      </c>
      <c r="U61" s="581"/>
      <c r="V61" s="582"/>
      <c r="W61" s="582"/>
      <c r="X61" s="582"/>
      <c r="Y61" s="583">
        <f>ROUNDDOWN(Y59*Y$7/(1+Y$7),0)-Y60</f>
        <v>2516</v>
      </c>
      <c r="Z61" s="524">
        <f t="shared" si="18"/>
        <v>2516</v>
      </c>
      <c r="AA61" s="581"/>
      <c r="AB61" s="582"/>
      <c r="AC61" s="582"/>
      <c r="AD61" s="582"/>
      <c r="AE61" s="583"/>
      <c r="AF61" s="584">
        <f t="shared" si="16"/>
        <v>0</v>
      </c>
      <c r="AG61" s="500"/>
      <c r="AJ61" s="501"/>
    </row>
    <row r="62" spans="2:36" s="497" customFormat="1" ht="13.5" customHeight="1">
      <c r="B62" s="752"/>
      <c r="C62" s="742"/>
      <c r="D62" s="747"/>
      <c r="E62" s="498" t="s">
        <v>887</v>
      </c>
      <c r="F62" s="499"/>
      <c r="G62" s="581"/>
      <c r="H62" s="582"/>
      <c r="I62" s="582"/>
      <c r="J62" s="582"/>
      <c r="K62" s="583">
        <f>K66-K59</f>
        <v>25374891131</v>
      </c>
      <c r="L62" s="584">
        <f t="shared" si="19"/>
        <v>25374891131</v>
      </c>
      <c r="M62" s="500"/>
      <c r="N62" s="499"/>
      <c r="O62" s="581"/>
      <c r="P62" s="582"/>
      <c r="Q62" s="582"/>
      <c r="R62" s="582"/>
      <c r="S62" s="583">
        <f t="shared" si="17"/>
        <v>25374891131</v>
      </c>
      <c r="T62" s="584">
        <f t="shared" ref="T62:T63" si="20">+Z62+AF62</f>
        <v>25374891131</v>
      </c>
      <c r="U62" s="581"/>
      <c r="V62" s="582"/>
      <c r="W62" s="582"/>
      <c r="X62" s="582"/>
      <c r="Y62" s="583">
        <f>Y66-Y59</f>
        <v>9096154507</v>
      </c>
      <c r="Z62" s="524">
        <f t="shared" si="18"/>
        <v>9096154507</v>
      </c>
      <c r="AA62" s="581"/>
      <c r="AB62" s="582"/>
      <c r="AC62" s="582"/>
      <c r="AD62" s="582"/>
      <c r="AE62" s="583">
        <f>AE66-AE59</f>
        <v>16278736624</v>
      </c>
      <c r="AF62" s="584">
        <f t="shared" si="16"/>
        <v>16278736624</v>
      </c>
      <c r="AG62" s="500"/>
      <c r="AJ62" s="501"/>
    </row>
    <row r="63" spans="2:36" s="497" customFormat="1" ht="13.5" customHeight="1">
      <c r="B63" s="752"/>
      <c r="C63" s="742"/>
      <c r="D63" s="747"/>
      <c r="E63" s="498" t="s">
        <v>888</v>
      </c>
      <c r="F63" s="499"/>
      <c r="G63" s="581"/>
      <c r="H63" s="582"/>
      <c r="I63" s="582"/>
      <c r="J63" s="582"/>
      <c r="K63" s="583">
        <f>K67-K61</f>
        <v>1799310462</v>
      </c>
      <c r="L63" s="584">
        <f t="shared" si="19"/>
        <v>1799310462</v>
      </c>
      <c r="M63" s="500"/>
      <c r="N63" s="499"/>
      <c r="O63" s="581"/>
      <c r="P63" s="582"/>
      <c r="Q63" s="582"/>
      <c r="R63" s="582"/>
      <c r="S63" s="583">
        <f t="shared" si="17"/>
        <v>2306808284</v>
      </c>
      <c r="T63" s="584">
        <f t="shared" si="20"/>
        <v>2306808284</v>
      </c>
      <c r="U63" s="581"/>
      <c r="V63" s="582"/>
      <c r="W63" s="582"/>
      <c r="X63" s="582"/>
      <c r="Y63" s="583">
        <f>Y67-Y61</f>
        <v>826923137</v>
      </c>
      <c r="Z63" s="524">
        <f t="shared" si="18"/>
        <v>826923137</v>
      </c>
      <c r="AA63" s="581"/>
      <c r="AB63" s="582"/>
      <c r="AC63" s="582"/>
      <c r="AD63" s="582"/>
      <c r="AE63" s="583">
        <f>AE67-AE61</f>
        <v>1479885147</v>
      </c>
      <c r="AF63" s="584">
        <f t="shared" si="16"/>
        <v>1479885147</v>
      </c>
      <c r="AG63" s="500"/>
      <c r="AJ63" s="501"/>
    </row>
    <row r="64" spans="2:36" ht="13.5" customHeight="1">
      <c r="B64" s="752"/>
      <c r="C64" s="742"/>
      <c r="D64" s="747"/>
      <c r="E64" s="164" t="s">
        <v>562</v>
      </c>
      <c r="F64" s="150" t="s">
        <v>561</v>
      </c>
      <c r="G64" s="521">
        <f>+基礎数値!$D14</f>
        <v>0</v>
      </c>
      <c r="H64" s="522">
        <f>+基礎数値!$E14</f>
        <v>1120996</v>
      </c>
      <c r="I64" s="522">
        <f>+基礎数値!$F14</f>
        <v>24706340</v>
      </c>
      <c r="J64" s="522">
        <f>+基礎数値!$G14</f>
        <v>0</v>
      </c>
      <c r="K64" s="523">
        <f>+基礎数値!$H14</f>
        <v>10639743</v>
      </c>
      <c r="L64" s="524">
        <f>+SUM(G64:K64)</f>
        <v>36467079</v>
      </c>
      <c r="M64" s="163"/>
      <c r="N64" s="150" t="s">
        <v>561</v>
      </c>
      <c r="O64" s="527">
        <f t="shared" ref="O64:O84" si="21">+U64+AA64</f>
        <v>0</v>
      </c>
      <c r="P64" s="528">
        <f t="shared" ref="P64:P84" si="22">+V64+AB64</f>
        <v>1120996</v>
      </c>
      <c r="Q64" s="528">
        <f t="shared" ref="Q64:R84" si="23">+W64+AC64</f>
        <v>24706340</v>
      </c>
      <c r="R64" s="528">
        <f t="shared" si="23"/>
        <v>0</v>
      </c>
      <c r="S64" s="529">
        <f t="shared" si="17"/>
        <v>10639743</v>
      </c>
      <c r="T64" s="524">
        <f t="shared" ref="T64:T80" si="24">+Z64+AF64</f>
        <v>36467079</v>
      </c>
      <c r="U64" s="521">
        <f>+基礎数値!$D14</f>
        <v>0</v>
      </c>
      <c r="V64" s="522">
        <f>+基礎数値!$E14</f>
        <v>1120996</v>
      </c>
      <c r="W64" s="522">
        <f>+基礎数値!$F14</f>
        <v>24706340</v>
      </c>
      <c r="X64" s="522">
        <f>+基礎数値!$G14</f>
        <v>0</v>
      </c>
      <c r="Y64" s="523">
        <f>+基礎数値!$H14</f>
        <v>10639743</v>
      </c>
      <c r="Z64" s="524">
        <f>+SUM(U64:Y64)</f>
        <v>36467079</v>
      </c>
      <c r="AA64" s="527"/>
      <c r="AB64" s="528"/>
      <c r="AC64" s="528"/>
      <c r="AD64" s="528"/>
      <c r="AE64" s="529"/>
      <c r="AF64" s="524">
        <f>+SUM(AA64:AE64)</f>
        <v>0</v>
      </c>
      <c r="AG64" s="163"/>
    </row>
    <row r="65" spans="2:33" ht="13.5" customHeight="1">
      <c r="B65" s="752"/>
      <c r="C65" s="742"/>
      <c r="D65" s="747"/>
      <c r="E65" s="164" t="s">
        <v>560</v>
      </c>
      <c r="F65" s="150" t="s">
        <v>559</v>
      </c>
      <c r="G65" s="521">
        <f>+基礎数値!$D15</f>
        <v>0</v>
      </c>
      <c r="H65" s="522">
        <f>+基礎数値!$E15</f>
        <v>0</v>
      </c>
      <c r="I65" s="522">
        <f>+基礎数値!$F15</f>
        <v>0</v>
      </c>
      <c r="J65" s="522">
        <f>+基礎数値!$G15</f>
        <v>0</v>
      </c>
      <c r="K65" s="523">
        <f>+基礎数値!$H15</f>
        <v>0</v>
      </c>
      <c r="L65" s="524">
        <f>+SUM(G65:K65)</f>
        <v>0</v>
      </c>
      <c r="M65" s="163"/>
      <c r="N65" s="150" t="s">
        <v>559</v>
      </c>
      <c r="O65" s="527">
        <f t="shared" si="21"/>
        <v>0</v>
      </c>
      <c r="P65" s="528">
        <f t="shared" si="22"/>
        <v>0</v>
      </c>
      <c r="Q65" s="528">
        <f t="shared" si="23"/>
        <v>0</v>
      </c>
      <c r="R65" s="528">
        <f t="shared" si="23"/>
        <v>0</v>
      </c>
      <c r="S65" s="529">
        <f t="shared" si="17"/>
        <v>0</v>
      </c>
      <c r="T65" s="524">
        <f t="shared" si="24"/>
        <v>0</v>
      </c>
      <c r="U65" s="521">
        <f>+基礎数値!$D15</f>
        <v>0</v>
      </c>
      <c r="V65" s="522">
        <f>+基礎数値!$E15</f>
        <v>0</v>
      </c>
      <c r="W65" s="522">
        <f>+基礎数値!$F15</f>
        <v>0</v>
      </c>
      <c r="X65" s="522">
        <f>+基礎数値!$G15</f>
        <v>0</v>
      </c>
      <c r="Y65" s="523">
        <f>+基礎数値!$H15</f>
        <v>0</v>
      </c>
      <c r="Z65" s="524">
        <f>+SUM(U65:Y65)</f>
        <v>0</v>
      </c>
      <c r="AA65" s="527"/>
      <c r="AB65" s="528"/>
      <c r="AC65" s="528"/>
      <c r="AD65" s="528"/>
      <c r="AE65" s="529"/>
      <c r="AF65" s="524">
        <f>+SUM(AA65:AE65)</f>
        <v>0</v>
      </c>
      <c r="AG65" s="163"/>
    </row>
    <row r="66" spans="2:33" ht="13.5" customHeight="1">
      <c r="B66" s="752"/>
      <c r="C66" s="742"/>
      <c r="D66" s="747"/>
      <c r="E66" s="178" t="s">
        <v>106</v>
      </c>
      <c r="F66" s="177" t="s">
        <v>558</v>
      </c>
      <c r="G66" s="530">
        <f>+G57-G64-G65</f>
        <v>0</v>
      </c>
      <c r="H66" s="531">
        <f>+H57-H64-H65</f>
        <v>0</v>
      </c>
      <c r="I66" s="531">
        <f>+I57-I64-I65</f>
        <v>1322514</v>
      </c>
      <c r="J66" s="531">
        <f>+J57-J64-J65</f>
        <v>537718</v>
      </c>
      <c r="K66" s="532">
        <f>+K57-K64-K65</f>
        <v>25374925731</v>
      </c>
      <c r="L66" s="524">
        <f>+SUM(G66:K66)</f>
        <v>25376785963</v>
      </c>
      <c r="M66" s="163" t="s">
        <v>104</v>
      </c>
      <c r="N66" s="177" t="s">
        <v>558</v>
      </c>
      <c r="O66" s="527">
        <f t="shared" si="21"/>
        <v>0</v>
      </c>
      <c r="P66" s="528">
        <f t="shared" si="22"/>
        <v>0</v>
      </c>
      <c r="Q66" s="528">
        <f t="shared" si="23"/>
        <v>1322514</v>
      </c>
      <c r="R66" s="528">
        <f t="shared" si="23"/>
        <v>537718</v>
      </c>
      <c r="S66" s="529">
        <f t="shared" si="17"/>
        <v>25374925731</v>
      </c>
      <c r="T66" s="524">
        <f t="shared" si="24"/>
        <v>25376785963</v>
      </c>
      <c r="U66" s="530">
        <f>+U57-U64-U65</f>
        <v>0</v>
      </c>
      <c r="V66" s="531">
        <f>+V57-V64-V65</f>
        <v>0</v>
      </c>
      <c r="W66" s="531">
        <f>+W57-W64-W65</f>
        <v>1196802</v>
      </c>
      <c r="X66" s="531">
        <f>+X57-X64-X65</f>
        <v>500878</v>
      </c>
      <c r="Y66" s="532">
        <f>+Y57-Y64-Y65</f>
        <v>9096189107</v>
      </c>
      <c r="Z66" s="524">
        <f>+SUM(U66:Y66)</f>
        <v>9097886787</v>
      </c>
      <c r="AA66" s="530">
        <f>+AA57-AA64-AA65</f>
        <v>0</v>
      </c>
      <c r="AB66" s="531">
        <f>+AB57-AB64-AB65</f>
        <v>0</v>
      </c>
      <c r="AC66" s="531">
        <f>+AC57-AC64-AC65</f>
        <v>125712</v>
      </c>
      <c r="AD66" s="531">
        <f>+AD57-AD64-AD65</f>
        <v>36840</v>
      </c>
      <c r="AE66" s="532">
        <f>+AE57-AE64-AE65</f>
        <v>16278736624</v>
      </c>
      <c r="AF66" s="524">
        <f>+SUM(AA66:AE66)</f>
        <v>16278899176</v>
      </c>
      <c r="AG66" s="163"/>
    </row>
    <row r="67" spans="2:33" ht="21" customHeight="1">
      <c r="B67" s="752"/>
      <c r="C67" s="742"/>
      <c r="D67" s="747"/>
      <c r="E67" s="203" t="s">
        <v>103</v>
      </c>
      <c r="F67" s="146" t="s">
        <v>557</v>
      </c>
      <c r="G67" s="533">
        <f>ROUNDDOWN((G57-G64)*G$1/(1+G$7),0)-ROUNDDOWN(G65*G$1/(1+G$7),0)</f>
        <v>0</v>
      </c>
      <c r="H67" s="534">
        <f>ROUNDDOWN((H57-H64)*H$1/(1+H$7),0)-ROUNDDOWN(H65*H$1/(1+H$7),0)</f>
        <v>0</v>
      </c>
      <c r="I67" s="534">
        <f>ROUNDDOWN((I57-I64)*I$1/(1+I$7),0)-ROUNDDOWN(I65*I$1/(1+I$7),0)</f>
        <v>77146</v>
      </c>
      <c r="J67" s="534">
        <f>ROUNDDOWN((J57-J64)*J$1/(1+J$7),0)-ROUNDDOWN(J65*J$1/(1+J$7),0)</f>
        <v>31068</v>
      </c>
      <c r="K67" s="535">
        <f>ROUNDDOWN((K57-K64)*K$1/(1+K$7),0)-ROUNDDOWN(K65*K$1/(1+K$7),0)-K60</f>
        <v>1799312425</v>
      </c>
      <c r="L67" s="536">
        <f>+SUM(G67:K67)</f>
        <v>1799420639</v>
      </c>
      <c r="M67" s="161" t="s">
        <v>274</v>
      </c>
      <c r="N67" s="202" t="s">
        <v>556</v>
      </c>
      <c r="O67" s="538">
        <f t="shared" si="21"/>
        <v>0</v>
      </c>
      <c r="P67" s="539">
        <f t="shared" si="22"/>
        <v>0</v>
      </c>
      <c r="Q67" s="539">
        <f t="shared" si="23"/>
        <v>97964</v>
      </c>
      <c r="R67" s="539">
        <f t="shared" si="23"/>
        <v>39830</v>
      </c>
      <c r="S67" s="540">
        <f t="shared" si="17"/>
        <v>2306810800</v>
      </c>
      <c r="T67" s="585">
        <f t="shared" si="24"/>
        <v>2306948594</v>
      </c>
      <c r="U67" s="533">
        <f t="shared" ref="U67:V67" si="25">ROUNDDOWN((U57-U64)*U$7/(1+U$7),0)-ROUNDDOWN(U65*U$7/(1+U$7),0)+U130</f>
        <v>0</v>
      </c>
      <c r="V67" s="586">
        <f t="shared" si="25"/>
        <v>0</v>
      </c>
      <c r="W67" s="586">
        <f>ROUNDDOWN((W57-W64)*W$7/(1+W$7),0)-ROUNDDOWN(W65*W$7/(1+W$7),0)+W130</f>
        <v>88652</v>
      </c>
      <c r="X67" s="586">
        <f>ROUNDDOWN((X57-X64)*X$7/(1+X$7),0)-ROUNDDOWN(X65*X$7/(1+X$7),0)+X130</f>
        <v>37102</v>
      </c>
      <c r="Y67" s="587">
        <f>ROUNDDOWN((Y57-Y64)*Y$7/(1+Y$7),0)-ROUNDDOWN(Y65*Y$7/(1+Y$7),0)+Y130-Y60</f>
        <v>826925653</v>
      </c>
      <c r="Z67" s="536">
        <f>+SUM(U67:Y67)</f>
        <v>827051407</v>
      </c>
      <c r="AA67" s="533">
        <f t="shared" ref="AA67:AE67" si="26">ROUNDDOWN((AA57-AA64)*AA$7/(1+AA$7),0)-ROUNDDOWN(AA65*AA$7/(1+AA$7),0)+AA130</f>
        <v>0</v>
      </c>
      <c r="AB67" s="534">
        <f t="shared" si="26"/>
        <v>0</v>
      </c>
      <c r="AC67" s="586">
        <f t="shared" si="26"/>
        <v>9312</v>
      </c>
      <c r="AD67" s="586">
        <f t="shared" ref="AD67" si="27">ROUNDDOWN((AD57-AD64)*AD$7/(1+AD$7),0)-ROUNDDOWN(AD65*AD$7/(1+AD$7),0)+AD130</f>
        <v>2728</v>
      </c>
      <c r="AE67" s="587">
        <f t="shared" si="26"/>
        <v>1479885147</v>
      </c>
      <c r="AF67" s="536">
        <f>+SUM(AA67:AE67)</f>
        <v>1479897187</v>
      </c>
      <c r="AG67" s="161"/>
    </row>
    <row r="68" spans="2:33" ht="13.5" hidden="1" customHeight="1">
      <c r="B68" s="736" t="s">
        <v>555</v>
      </c>
      <c r="C68" s="739">
        <v>1</v>
      </c>
      <c r="D68" s="741" t="s">
        <v>99</v>
      </c>
      <c r="E68" s="201" t="s">
        <v>98</v>
      </c>
      <c r="F68" s="200"/>
      <c r="G68" s="560"/>
      <c r="H68" s="561"/>
      <c r="I68" s="561"/>
      <c r="J68" s="561"/>
      <c r="K68" s="562"/>
      <c r="L68" s="563"/>
      <c r="M68" s="195"/>
      <c r="N68" s="200"/>
      <c r="O68" s="564">
        <f t="shared" si="21"/>
        <v>0</v>
      </c>
      <c r="P68" s="565">
        <f t="shared" si="22"/>
        <v>0</v>
      </c>
      <c r="Q68" s="565">
        <f t="shared" si="23"/>
        <v>0</v>
      </c>
      <c r="R68" s="565">
        <f t="shared" si="23"/>
        <v>0</v>
      </c>
      <c r="S68" s="566">
        <f t="shared" si="17"/>
        <v>0</v>
      </c>
      <c r="T68" s="563">
        <f t="shared" si="24"/>
        <v>0</v>
      </c>
      <c r="U68" s="560"/>
      <c r="V68" s="561"/>
      <c r="W68" s="561"/>
      <c r="X68" s="561"/>
      <c r="Y68" s="562"/>
      <c r="Z68" s="563"/>
      <c r="AA68" s="560"/>
      <c r="AB68" s="561"/>
      <c r="AC68" s="561"/>
      <c r="AD68" s="561"/>
      <c r="AE68" s="562"/>
      <c r="AF68" s="563"/>
      <c r="AG68" s="195"/>
    </row>
    <row r="69" spans="2:33" ht="13.5" hidden="1" customHeight="1">
      <c r="B69" s="737"/>
      <c r="C69" s="740"/>
      <c r="D69" s="741"/>
      <c r="E69" s="194"/>
      <c r="F69" s="193"/>
      <c r="G69" s="567"/>
      <c r="H69" s="568"/>
      <c r="I69" s="568"/>
      <c r="J69" s="568"/>
      <c r="K69" s="569"/>
      <c r="L69" s="570"/>
      <c r="M69" s="188"/>
      <c r="N69" s="193"/>
      <c r="O69" s="571">
        <f t="shared" si="21"/>
        <v>0</v>
      </c>
      <c r="P69" s="572">
        <f t="shared" si="22"/>
        <v>0</v>
      </c>
      <c r="Q69" s="572">
        <f t="shared" si="23"/>
        <v>0</v>
      </c>
      <c r="R69" s="572">
        <f t="shared" si="23"/>
        <v>0</v>
      </c>
      <c r="S69" s="573">
        <f t="shared" si="17"/>
        <v>0</v>
      </c>
      <c r="T69" s="570">
        <f t="shared" si="24"/>
        <v>0</v>
      </c>
      <c r="U69" s="567"/>
      <c r="V69" s="568"/>
      <c r="W69" s="568"/>
      <c r="X69" s="568"/>
      <c r="Y69" s="569"/>
      <c r="Z69" s="570"/>
      <c r="AA69" s="567"/>
      <c r="AB69" s="568"/>
      <c r="AC69" s="568"/>
      <c r="AD69" s="568"/>
      <c r="AE69" s="569"/>
      <c r="AF69" s="570"/>
      <c r="AG69" s="188"/>
    </row>
    <row r="70" spans="2:33" ht="13.5" hidden="1" customHeight="1">
      <c r="B70" s="737"/>
      <c r="C70" s="739">
        <v>2</v>
      </c>
      <c r="D70" s="741" t="s">
        <v>97</v>
      </c>
      <c r="E70" s="187" t="s">
        <v>96</v>
      </c>
      <c r="F70" s="185"/>
      <c r="G70" s="574"/>
      <c r="H70" s="575"/>
      <c r="I70" s="575"/>
      <c r="J70" s="575"/>
      <c r="K70" s="576"/>
      <c r="L70" s="577"/>
      <c r="M70" s="181"/>
      <c r="N70" s="185"/>
      <c r="O70" s="578">
        <f t="shared" si="21"/>
        <v>0</v>
      </c>
      <c r="P70" s="579">
        <f t="shared" si="22"/>
        <v>0</v>
      </c>
      <c r="Q70" s="579">
        <f t="shared" si="23"/>
        <v>0</v>
      </c>
      <c r="R70" s="579">
        <f t="shared" si="23"/>
        <v>0</v>
      </c>
      <c r="S70" s="580">
        <f t="shared" si="17"/>
        <v>0</v>
      </c>
      <c r="T70" s="577">
        <f t="shared" si="24"/>
        <v>0</v>
      </c>
      <c r="U70" s="574"/>
      <c r="V70" s="575"/>
      <c r="W70" s="575"/>
      <c r="X70" s="575"/>
      <c r="Y70" s="576"/>
      <c r="Z70" s="577"/>
      <c r="AA70" s="574"/>
      <c r="AB70" s="575"/>
      <c r="AC70" s="575"/>
      <c r="AD70" s="575"/>
      <c r="AE70" s="576"/>
      <c r="AF70" s="577"/>
      <c r="AG70" s="181"/>
    </row>
    <row r="71" spans="2:33" ht="13.5" hidden="1" customHeight="1">
      <c r="B71" s="737"/>
      <c r="C71" s="742"/>
      <c r="D71" s="741"/>
      <c r="E71" s="201"/>
      <c r="F71" s="200"/>
      <c r="G71" s="560"/>
      <c r="H71" s="561"/>
      <c r="I71" s="561"/>
      <c r="J71" s="561"/>
      <c r="K71" s="562"/>
      <c r="L71" s="563"/>
      <c r="M71" s="195"/>
      <c r="N71" s="200"/>
      <c r="O71" s="564">
        <f t="shared" si="21"/>
        <v>0</v>
      </c>
      <c r="P71" s="565">
        <f t="shared" si="22"/>
        <v>0</v>
      </c>
      <c r="Q71" s="565">
        <f t="shared" si="23"/>
        <v>0</v>
      </c>
      <c r="R71" s="565">
        <f t="shared" si="23"/>
        <v>0</v>
      </c>
      <c r="S71" s="566">
        <f t="shared" si="17"/>
        <v>0</v>
      </c>
      <c r="T71" s="563">
        <f t="shared" si="24"/>
        <v>0</v>
      </c>
      <c r="U71" s="560"/>
      <c r="V71" s="561"/>
      <c r="W71" s="561"/>
      <c r="X71" s="561"/>
      <c r="Y71" s="562"/>
      <c r="Z71" s="563"/>
      <c r="AA71" s="560"/>
      <c r="AB71" s="561"/>
      <c r="AC71" s="561"/>
      <c r="AD71" s="561"/>
      <c r="AE71" s="562"/>
      <c r="AF71" s="563"/>
      <c r="AG71" s="195"/>
    </row>
    <row r="72" spans="2:33" ht="13.5" hidden="1" customHeight="1">
      <c r="B72" s="737"/>
      <c r="C72" s="740"/>
      <c r="D72" s="741"/>
      <c r="E72" s="194"/>
      <c r="F72" s="193"/>
      <c r="G72" s="567"/>
      <c r="H72" s="568"/>
      <c r="I72" s="568"/>
      <c r="J72" s="568"/>
      <c r="K72" s="569"/>
      <c r="L72" s="570"/>
      <c r="M72" s="188"/>
      <c r="N72" s="193"/>
      <c r="O72" s="571">
        <f t="shared" si="21"/>
        <v>0</v>
      </c>
      <c r="P72" s="572">
        <f t="shared" si="22"/>
        <v>0</v>
      </c>
      <c r="Q72" s="572">
        <f t="shared" si="23"/>
        <v>0</v>
      </c>
      <c r="R72" s="572">
        <f t="shared" si="23"/>
        <v>0</v>
      </c>
      <c r="S72" s="573">
        <f t="shared" si="17"/>
        <v>0</v>
      </c>
      <c r="T72" s="570">
        <f t="shared" si="24"/>
        <v>0</v>
      </c>
      <c r="U72" s="567"/>
      <c r="V72" s="568"/>
      <c r="W72" s="568"/>
      <c r="X72" s="568"/>
      <c r="Y72" s="569"/>
      <c r="Z72" s="570"/>
      <c r="AA72" s="567"/>
      <c r="AB72" s="568"/>
      <c r="AC72" s="568"/>
      <c r="AD72" s="568"/>
      <c r="AE72" s="569"/>
      <c r="AF72" s="570"/>
      <c r="AG72" s="188"/>
    </row>
    <row r="73" spans="2:33" ht="13.5" hidden="1" customHeight="1">
      <c r="B73" s="737"/>
      <c r="C73" s="739">
        <v>3</v>
      </c>
      <c r="D73" s="741" t="s">
        <v>95</v>
      </c>
      <c r="E73" s="187" t="s">
        <v>94</v>
      </c>
      <c r="F73" s="185"/>
      <c r="G73" s="574"/>
      <c r="H73" s="575"/>
      <c r="I73" s="575"/>
      <c r="J73" s="575"/>
      <c r="K73" s="576"/>
      <c r="L73" s="577"/>
      <c r="M73" s="181"/>
      <c r="N73" s="185"/>
      <c r="O73" s="578">
        <f t="shared" si="21"/>
        <v>0</v>
      </c>
      <c r="P73" s="579">
        <f t="shared" si="22"/>
        <v>0</v>
      </c>
      <c r="Q73" s="579">
        <f t="shared" si="23"/>
        <v>0</v>
      </c>
      <c r="R73" s="579">
        <f t="shared" si="23"/>
        <v>0</v>
      </c>
      <c r="S73" s="580">
        <f t="shared" si="17"/>
        <v>0</v>
      </c>
      <c r="T73" s="577">
        <f t="shared" si="24"/>
        <v>0</v>
      </c>
      <c r="U73" s="574"/>
      <c r="V73" s="575"/>
      <c r="W73" s="575"/>
      <c r="X73" s="575"/>
      <c r="Y73" s="576"/>
      <c r="Z73" s="577"/>
      <c r="AA73" s="574"/>
      <c r="AB73" s="575"/>
      <c r="AC73" s="575"/>
      <c r="AD73" s="575"/>
      <c r="AE73" s="576"/>
      <c r="AF73" s="577"/>
      <c r="AG73" s="181"/>
    </row>
    <row r="74" spans="2:33" ht="13.5" hidden="1" customHeight="1">
      <c r="B74" s="737"/>
      <c r="C74" s="742"/>
      <c r="D74" s="741"/>
      <c r="E74" s="201"/>
      <c r="F74" s="200"/>
      <c r="G74" s="560"/>
      <c r="H74" s="561"/>
      <c r="I74" s="561"/>
      <c r="J74" s="561"/>
      <c r="K74" s="562"/>
      <c r="L74" s="563"/>
      <c r="M74" s="195"/>
      <c r="N74" s="200"/>
      <c r="O74" s="564">
        <f t="shared" si="21"/>
        <v>0</v>
      </c>
      <c r="P74" s="565">
        <f t="shared" si="22"/>
        <v>0</v>
      </c>
      <c r="Q74" s="565">
        <f t="shared" si="23"/>
        <v>0</v>
      </c>
      <c r="R74" s="565">
        <f t="shared" si="23"/>
        <v>0</v>
      </c>
      <c r="S74" s="566">
        <f t="shared" si="17"/>
        <v>0</v>
      </c>
      <c r="T74" s="563">
        <f t="shared" si="24"/>
        <v>0</v>
      </c>
      <c r="U74" s="560"/>
      <c r="V74" s="561"/>
      <c r="W74" s="561"/>
      <c r="X74" s="561"/>
      <c r="Y74" s="562"/>
      <c r="Z74" s="563"/>
      <c r="AA74" s="560"/>
      <c r="AB74" s="561"/>
      <c r="AC74" s="561"/>
      <c r="AD74" s="561"/>
      <c r="AE74" s="562"/>
      <c r="AF74" s="563"/>
      <c r="AG74" s="195"/>
    </row>
    <row r="75" spans="2:33" ht="13.5" hidden="1" customHeight="1">
      <c r="B75" s="737"/>
      <c r="C75" s="742"/>
      <c r="D75" s="741"/>
      <c r="E75" s="201"/>
      <c r="F75" s="200"/>
      <c r="G75" s="560"/>
      <c r="H75" s="561"/>
      <c r="I75" s="561"/>
      <c r="J75" s="561"/>
      <c r="K75" s="562"/>
      <c r="L75" s="563"/>
      <c r="M75" s="195"/>
      <c r="N75" s="200"/>
      <c r="O75" s="564">
        <f t="shared" si="21"/>
        <v>0</v>
      </c>
      <c r="P75" s="565">
        <f t="shared" si="22"/>
        <v>0</v>
      </c>
      <c r="Q75" s="565">
        <f t="shared" si="23"/>
        <v>0</v>
      </c>
      <c r="R75" s="565">
        <f t="shared" si="23"/>
        <v>0</v>
      </c>
      <c r="S75" s="566">
        <f t="shared" si="17"/>
        <v>0</v>
      </c>
      <c r="T75" s="563">
        <f t="shared" si="24"/>
        <v>0</v>
      </c>
      <c r="U75" s="560"/>
      <c r="V75" s="561"/>
      <c r="W75" s="561"/>
      <c r="X75" s="561"/>
      <c r="Y75" s="562"/>
      <c r="Z75" s="563"/>
      <c r="AA75" s="560"/>
      <c r="AB75" s="561"/>
      <c r="AC75" s="561"/>
      <c r="AD75" s="561"/>
      <c r="AE75" s="562"/>
      <c r="AF75" s="563"/>
      <c r="AG75" s="195"/>
    </row>
    <row r="76" spans="2:33" ht="13.5" hidden="1" customHeight="1">
      <c r="B76" s="737"/>
      <c r="C76" s="740"/>
      <c r="D76" s="741"/>
      <c r="E76" s="194"/>
      <c r="F76" s="193"/>
      <c r="G76" s="567"/>
      <c r="H76" s="568"/>
      <c r="I76" s="568"/>
      <c r="J76" s="568"/>
      <c r="K76" s="569"/>
      <c r="L76" s="570"/>
      <c r="M76" s="188"/>
      <c r="N76" s="193"/>
      <c r="O76" s="571">
        <f t="shared" si="21"/>
        <v>0</v>
      </c>
      <c r="P76" s="572">
        <f t="shared" si="22"/>
        <v>0</v>
      </c>
      <c r="Q76" s="572">
        <f t="shared" si="23"/>
        <v>0</v>
      </c>
      <c r="R76" s="572">
        <f t="shared" si="23"/>
        <v>0</v>
      </c>
      <c r="S76" s="573">
        <f t="shared" si="17"/>
        <v>0</v>
      </c>
      <c r="T76" s="570">
        <f t="shared" si="24"/>
        <v>0</v>
      </c>
      <c r="U76" s="567"/>
      <c r="V76" s="568"/>
      <c r="W76" s="568"/>
      <c r="X76" s="568"/>
      <c r="Y76" s="569"/>
      <c r="Z76" s="570"/>
      <c r="AA76" s="567"/>
      <c r="AB76" s="568"/>
      <c r="AC76" s="568"/>
      <c r="AD76" s="568"/>
      <c r="AE76" s="569"/>
      <c r="AF76" s="570"/>
      <c r="AG76" s="188"/>
    </row>
    <row r="77" spans="2:33" ht="13.5" hidden="1" customHeight="1">
      <c r="B77" s="737"/>
      <c r="C77" s="739">
        <v>4</v>
      </c>
      <c r="D77" s="741" t="s">
        <v>93</v>
      </c>
      <c r="E77" s="187" t="s">
        <v>92</v>
      </c>
      <c r="F77" s="185"/>
      <c r="G77" s="574"/>
      <c r="H77" s="575"/>
      <c r="I77" s="575"/>
      <c r="J77" s="575"/>
      <c r="K77" s="576"/>
      <c r="L77" s="577"/>
      <c r="M77" s="181"/>
      <c r="N77" s="185"/>
      <c r="O77" s="578">
        <f t="shared" si="21"/>
        <v>0</v>
      </c>
      <c r="P77" s="579">
        <f t="shared" si="22"/>
        <v>0</v>
      </c>
      <c r="Q77" s="579">
        <f t="shared" si="23"/>
        <v>0</v>
      </c>
      <c r="R77" s="579">
        <f t="shared" si="23"/>
        <v>0</v>
      </c>
      <c r="S77" s="580">
        <f t="shared" si="17"/>
        <v>0</v>
      </c>
      <c r="T77" s="577">
        <f t="shared" si="24"/>
        <v>0</v>
      </c>
      <c r="U77" s="574"/>
      <c r="V77" s="575"/>
      <c r="W77" s="575"/>
      <c r="X77" s="575"/>
      <c r="Y77" s="576"/>
      <c r="Z77" s="577"/>
      <c r="AA77" s="574"/>
      <c r="AB77" s="575"/>
      <c r="AC77" s="575"/>
      <c r="AD77" s="575"/>
      <c r="AE77" s="576"/>
      <c r="AF77" s="577"/>
      <c r="AG77" s="181"/>
    </row>
    <row r="78" spans="2:33" ht="13.5" hidden="1" customHeight="1">
      <c r="B78" s="737"/>
      <c r="C78" s="742"/>
      <c r="D78" s="741"/>
      <c r="E78" s="201"/>
      <c r="F78" s="200"/>
      <c r="G78" s="560"/>
      <c r="H78" s="561"/>
      <c r="I78" s="561"/>
      <c r="J78" s="561"/>
      <c r="K78" s="562"/>
      <c r="L78" s="563"/>
      <c r="M78" s="195"/>
      <c r="N78" s="200"/>
      <c r="O78" s="564">
        <f t="shared" si="21"/>
        <v>0</v>
      </c>
      <c r="P78" s="565">
        <f t="shared" si="22"/>
        <v>0</v>
      </c>
      <c r="Q78" s="565">
        <f t="shared" si="23"/>
        <v>0</v>
      </c>
      <c r="R78" s="565">
        <f t="shared" si="23"/>
        <v>0</v>
      </c>
      <c r="S78" s="566">
        <f t="shared" si="17"/>
        <v>0</v>
      </c>
      <c r="T78" s="563">
        <f t="shared" si="24"/>
        <v>0</v>
      </c>
      <c r="U78" s="560"/>
      <c r="V78" s="561"/>
      <c r="W78" s="561"/>
      <c r="X78" s="561"/>
      <c r="Y78" s="562"/>
      <c r="Z78" s="563"/>
      <c r="AA78" s="560"/>
      <c r="AB78" s="561"/>
      <c r="AC78" s="561"/>
      <c r="AD78" s="561"/>
      <c r="AE78" s="562"/>
      <c r="AF78" s="563"/>
      <c r="AG78" s="195"/>
    </row>
    <row r="79" spans="2:33" ht="13.5" hidden="1" customHeight="1">
      <c r="B79" s="737"/>
      <c r="C79" s="740"/>
      <c r="D79" s="741"/>
      <c r="E79" s="194"/>
      <c r="F79" s="193"/>
      <c r="G79" s="567"/>
      <c r="H79" s="568"/>
      <c r="I79" s="568"/>
      <c r="J79" s="568"/>
      <c r="K79" s="569"/>
      <c r="L79" s="570"/>
      <c r="M79" s="188"/>
      <c r="N79" s="193"/>
      <c r="O79" s="571">
        <f t="shared" si="21"/>
        <v>0</v>
      </c>
      <c r="P79" s="572">
        <f t="shared" si="22"/>
        <v>0</v>
      </c>
      <c r="Q79" s="572">
        <f t="shared" si="23"/>
        <v>0</v>
      </c>
      <c r="R79" s="572">
        <f t="shared" si="23"/>
        <v>0</v>
      </c>
      <c r="S79" s="573">
        <f t="shared" si="17"/>
        <v>0</v>
      </c>
      <c r="T79" s="570">
        <f t="shared" si="24"/>
        <v>0</v>
      </c>
      <c r="U79" s="567"/>
      <c r="V79" s="568"/>
      <c r="W79" s="568"/>
      <c r="X79" s="568"/>
      <c r="Y79" s="569"/>
      <c r="Z79" s="570"/>
      <c r="AA79" s="567"/>
      <c r="AB79" s="568"/>
      <c r="AC79" s="568"/>
      <c r="AD79" s="568"/>
      <c r="AE79" s="569"/>
      <c r="AF79" s="570"/>
      <c r="AG79" s="188"/>
    </row>
    <row r="80" spans="2:33" ht="13.5" hidden="1" customHeight="1">
      <c r="B80" s="738"/>
      <c r="C80" s="144">
        <v>5</v>
      </c>
      <c r="D80" s="143" t="s">
        <v>91</v>
      </c>
      <c r="E80" s="187"/>
      <c r="F80" s="185"/>
      <c r="G80" s="574"/>
      <c r="H80" s="575"/>
      <c r="I80" s="575"/>
      <c r="J80" s="575"/>
      <c r="K80" s="576"/>
      <c r="L80" s="577"/>
      <c r="M80" s="181"/>
      <c r="N80" s="185"/>
      <c r="O80" s="579">
        <f t="shared" si="21"/>
        <v>0</v>
      </c>
      <c r="P80" s="579">
        <f t="shared" si="22"/>
        <v>0</v>
      </c>
      <c r="Q80" s="579">
        <f t="shared" si="23"/>
        <v>0</v>
      </c>
      <c r="R80" s="579">
        <f t="shared" si="23"/>
        <v>0</v>
      </c>
      <c r="S80" s="580">
        <f t="shared" si="17"/>
        <v>0</v>
      </c>
      <c r="T80" s="577">
        <f t="shared" si="24"/>
        <v>0</v>
      </c>
      <c r="U80" s="575"/>
      <c r="V80" s="575"/>
      <c r="W80" s="575"/>
      <c r="X80" s="575"/>
      <c r="Y80" s="576"/>
      <c r="Z80" s="577"/>
      <c r="AA80" s="575"/>
      <c r="AB80" s="575"/>
      <c r="AC80" s="575"/>
      <c r="AD80" s="575"/>
      <c r="AE80" s="576"/>
      <c r="AF80" s="577"/>
      <c r="AG80" s="181"/>
    </row>
    <row r="81" spans="2:33" ht="13.5" customHeight="1">
      <c r="B81" s="736" t="s">
        <v>554</v>
      </c>
      <c r="C81" s="749">
        <v>1</v>
      </c>
      <c r="D81" s="746" t="s">
        <v>553</v>
      </c>
      <c r="E81" s="180" t="s">
        <v>552</v>
      </c>
      <c r="F81" s="179"/>
      <c r="G81" s="514">
        <f>+基礎数値!$D18</f>
        <v>0</v>
      </c>
      <c r="H81" s="515">
        <f>+基礎数値!$E18</f>
        <v>0</v>
      </c>
      <c r="I81" s="515">
        <f>+基礎数値!$F18</f>
        <v>455392</v>
      </c>
      <c r="J81" s="515">
        <f>+基礎数値!$G18</f>
        <v>130568</v>
      </c>
      <c r="K81" s="516">
        <f>+基礎数値!$H18</f>
        <v>2312306920</v>
      </c>
      <c r="L81" s="517">
        <f>+SUM(G81:K81)</f>
        <v>2312892880</v>
      </c>
      <c r="M81" s="158"/>
      <c r="N81" s="179"/>
      <c r="O81" s="518">
        <f t="shared" si="21"/>
        <v>0</v>
      </c>
      <c r="P81" s="519">
        <f t="shared" si="22"/>
        <v>0</v>
      </c>
      <c r="Q81" s="519">
        <f t="shared" si="23"/>
        <v>455392</v>
      </c>
      <c r="R81" s="519">
        <f t="shared" si="23"/>
        <v>130568</v>
      </c>
      <c r="S81" s="520">
        <f>+Y81+AE81</f>
        <v>2312306920</v>
      </c>
      <c r="T81" s="517">
        <f>+SUM(O81:S81)</f>
        <v>2312892880</v>
      </c>
      <c r="U81" s="514">
        <f>+基礎数値!$D18</f>
        <v>0</v>
      </c>
      <c r="V81" s="515">
        <f>+基礎数値!$E18</f>
        <v>0</v>
      </c>
      <c r="W81" s="515">
        <f>+基礎数値!$F18</f>
        <v>455392</v>
      </c>
      <c r="X81" s="515">
        <f>+基礎数値!$G18</f>
        <v>130568</v>
      </c>
      <c r="Y81" s="516">
        <f>+基礎数値!$H18</f>
        <v>2312306920</v>
      </c>
      <c r="Z81" s="517">
        <f>+SUM(U81:Y81)</f>
        <v>2312892880</v>
      </c>
      <c r="AA81" s="518"/>
      <c r="AB81" s="519"/>
      <c r="AC81" s="519"/>
      <c r="AD81" s="519"/>
      <c r="AE81" s="520"/>
      <c r="AF81" s="517">
        <f>+SUM(AA81:AE81)</f>
        <v>0</v>
      </c>
      <c r="AG81" s="158" t="s">
        <v>550</v>
      </c>
    </row>
    <row r="82" spans="2:33" ht="13.5" customHeight="1">
      <c r="B82" s="737"/>
      <c r="C82" s="750"/>
      <c r="D82" s="747"/>
      <c r="E82" s="178" t="s">
        <v>551</v>
      </c>
      <c r="F82" s="150"/>
      <c r="G82" s="521">
        <f>+基礎数値!$D19</f>
        <v>0</v>
      </c>
      <c r="H82" s="522">
        <f>+基礎数値!$E19</f>
        <v>131982078</v>
      </c>
      <c r="I82" s="522">
        <f>+基礎数値!$F19</f>
        <v>1246904</v>
      </c>
      <c r="J82" s="522">
        <f>+基礎数値!$G19</f>
        <v>99</v>
      </c>
      <c r="K82" s="523">
        <f>+基礎数値!$H19</f>
        <v>5972404802</v>
      </c>
      <c r="L82" s="524">
        <f>+SUM(G82:K82)</f>
        <v>6105633883</v>
      </c>
      <c r="M82" s="163"/>
      <c r="N82" s="150"/>
      <c r="O82" s="527">
        <f t="shared" si="21"/>
        <v>0</v>
      </c>
      <c r="P82" s="528">
        <f t="shared" si="22"/>
        <v>131982078</v>
      </c>
      <c r="Q82" s="528">
        <f t="shared" si="23"/>
        <v>1246904</v>
      </c>
      <c r="R82" s="528">
        <f t="shared" si="23"/>
        <v>99</v>
      </c>
      <c r="S82" s="529">
        <f>+Y82+AE82</f>
        <v>5972404802</v>
      </c>
      <c r="T82" s="524">
        <f>+SUM(O82:S82)</f>
        <v>6105633883</v>
      </c>
      <c r="U82" s="527"/>
      <c r="V82" s="528"/>
      <c r="W82" s="528"/>
      <c r="X82" s="528"/>
      <c r="Y82" s="529"/>
      <c r="Z82" s="524">
        <f>+SUM(U82:Y82)</f>
        <v>0</v>
      </c>
      <c r="AA82" s="521">
        <f>+基礎数値!$D19</f>
        <v>0</v>
      </c>
      <c r="AB82" s="522">
        <f>+基礎数値!$E19</f>
        <v>131982078</v>
      </c>
      <c r="AC82" s="522">
        <f>+基礎数値!$F19</f>
        <v>1246904</v>
      </c>
      <c r="AD82" s="522">
        <f>+基礎数値!$G19</f>
        <v>99</v>
      </c>
      <c r="AE82" s="523">
        <f>+基礎数値!$H19</f>
        <v>5972404802</v>
      </c>
      <c r="AF82" s="524">
        <f>+SUM(AA82:AE82)</f>
        <v>6105633883</v>
      </c>
      <c r="AG82" s="163" t="s">
        <v>550</v>
      </c>
    </row>
    <row r="83" spans="2:33" ht="13.5" customHeight="1">
      <c r="B83" s="737"/>
      <c r="C83" s="750"/>
      <c r="D83" s="747"/>
      <c r="E83" s="178" t="s">
        <v>549</v>
      </c>
      <c r="F83" s="150" t="s">
        <v>548</v>
      </c>
      <c r="G83" s="530">
        <f t="shared" ref="G83:L83" si="28">SUM(G81:G82)</f>
        <v>0</v>
      </c>
      <c r="H83" s="531">
        <f t="shared" si="28"/>
        <v>131982078</v>
      </c>
      <c r="I83" s="531">
        <f t="shared" si="28"/>
        <v>1702296</v>
      </c>
      <c r="J83" s="531">
        <f t="shared" si="28"/>
        <v>130667</v>
      </c>
      <c r="K83" s="532">
        <f t="shared" si="28"/>
        <v>8284711722</v>
      </c>
      <c r="L83" s="525">
        <f t="shared" si="28"/>
        <v>8418526763</v>
      </c>
      <c r="M83" s="163"/>
      <c r="N83" s="150" t="s">
        <v>548</v>
      </c>
      <c r="O83" s="527">
        <f t="shared" si="21"/>
        <v>0</v>
      </c>
      <c r="P83" s="528">
        <f t="shared" si="22"/>
        <v>131982078</v>
      </c>
      <c r="Q83" s="528">
        <f t="shared" si="23"/>
        <v>1702296</v>
      </c>
      <c r="R83" s="528">
        <f t="shared" si="23"/>
        <v>130667</v>
      </c>
      <c r="S83" s="529">
        <f>+Y83+AE83</f>
        <v>8284711722</v>
      </c>
      <c r="T83" s="525">
        <f t="shared" ref="T83:AF83" si="29">SUM(T81:T82)</f>
        <v>8418526763</v>
      </c>
      <c r="U83" s="530">
        <f t="shared" si="29"/>
        <v>0</v>
      </c>
      <c r="V83" s="531">
        <f t="shared" si="29"/>
        <v>0</v>
      </c>
      <c r="W83" s="531">
        <f t="shared" si="29"/>
        <v>455392</v>
      </c>
      <c r="X83" s="531">
        <f t="shared" ref="X83" si="30">SUM(X81:X82)</f>
        <v>130568</v>
      </c>
      <c r="Y83" s="532">
        <f t="shared" si="29"/>
        <v>2312306920</v>
      </c>
      <c r="Z83" s="525">
        <f t="shared" si="29"/>
        <v>2312892880</v>
      </c>
      <c r="AA83" s="530">
        <f t="shared" si="29"/>
        <v>0</v>
      </c>
      <c r="AB83" s="531">
        <f t="shared" si="29"/>
        <v>131982078</v>
      </c>
      <c r="AC83" s="531">
        <f t="shared" si="29"/>
        <v>1246904</v>
      </c>
      <c r="AD83" s="531">
        <f t="shared" ref="AD83" si="31">SUM(AD81:AD82)</f>
        <v>99</v>
      </c>
      <c r="AE83" s="532">
        <f t="shared" si="29"/>
        <v>5972404802</v>
      </c>
      <c r="AF83" s="525">
        <f t="shared" si="29"/>
        <v>6105633883</v>
      </c>
      <c r="AG83" s="163"/>
    </row>
    <row r="84" spans="2:33" ht="13.5" customHeight="1">
      <c r="B84" s="737"/>
      <c r="C84" s="750"/>
      <c r="D84" s="747"/>
      <c r="E84" s="164" t="s">
        <v>83</v>
      </c>
      <c r="F84" s="177" t="s">
        <v>547</v>
      </c>
      <c r="G84" s="530">
        <f>ROUNDDOWN(G26*1/(1+G$7),0)</f>
        <v>0</v>
      </c>
      <c r="H84" s="531">
        <f>ROUNDDOWN(H26*1/(1+H$7),0)</f>
        <v>0</v>
      </c>
      <c r="I84" s="531">
        <f>ROUNDDOWN(I26*1/(1+I$7),0)</f>
        <v>43567</v>
      </c>
      <c r="J84" s="531">
        <f>ROUNDDOWN(J26*1/(1+J$7),0)</f>
        <v>0</v>
      </c>
      <c r="K84" s="532">
        <f>ROUNDDOWN(K26*1/(1+K$7),0)</f>
        <v>18881545399</v>
      </c>
      <c r="L84" s="524">
        <f>+SUM(G84:K84)</f>
        <v>18881588966</v>
      </c>
      <c r="M84" s="163"/>
      <c r="N84" s="177" t="s">
        <v>547</v>
      </c>
      <c r="O84" s="527">
        <f t="shared" si="21"/>
        <v>0</v>
      </c>
      <c r="P84" s="528">
        <f t="shared" si="22"/>
        <v>0</v>
      </c>
      <c r="Q84" s="528">
        <f t="shared" si="23"/>
        <v>43567</v>
      </c>
      <c r="R84" s="528">
        <f t="shared" si="23"/>
        <v>0</v>
      </c>
      <c r="S84" s="529">
        <f>+Y84+AE84</f>
        <v>18881545399</v>
      </c>
      <c r="T84" s="524">
        <f>+SUM(O84:S84)</f>
        <v>18881588966</v>
      </c>
      <c r="U84" s="530">
        <f>ROUNDDOWN(U26*1/(1+U$7),0)</f>
        <v>0</v>
      </c>
      <c r="V84" s="531">
        <f>ROUNDDOWN(V26*1/(1+V$7),0)</f>
        <v>0</v>
      </c>
      <c r="W84" s="531">
        <f>ROUNDDOWN(W26*1/(1+W$7),0)</f>
        <v>43567</v>
      </c>
      <c r="X84" s="531">
        <f>ROUNDDOWN(X26*1/(1+X$7),0)</f>
        <v>0</v>
      </c>
      <c r="Y84" s="532">
        <f>ROUNDDOWN(Y26*1/(1+Y$7),0)</f>
        <v>18845462299</v>
      </c>
      <c r="Z84" s="524">
        <f>+SUM(U84:Y84)</f>
        <v>18845505866</v>
      </c>
      <c r="AA84" s="530">
        <f>ROUNDDOWN(AA26*1/(1+AA$7),0)</f>
        <v>0</v>
      </c>
      <c r="AB84" s="531">
        <f>ROUNDDOWN(AB26*1/(1+AB$7),0)</f>
        <v>0</v>
      </c>
      <c r="AC84" s="531">
        <f>ROUNDDOWN(AC26*1/(1+AC$7),0)</f>
        <v>0</v>
      </c>
      <c r="AD84" s="531">
        <f>ROUNDDOWN(AD26*1/(1+AD$7),0)</f>
        <v>0</v>
      </c>
      <c r="AE84" s="532">
        <f>ROUNDDOWN(AE26*1/(1+AE$7),0)</f>
        <v>36083100</v>
      </c>
      <c r="AF84" s="524">
        <f>+SUM(AA84:AE84)</f>
        <v>36083100</v>
      </c>
      <c r="AG84" s="163"/>
    </row>
    <row r="85" spans="2:33" ht="13.5" customHeight="1">
      <c r="B85" s="737"/>
      <c r="C85" s="750"/>
      <c r="D85" s="747"/>
      <c r="E85" s="164" t="s">
        <v>546</v>
      </c>
      <c r="F85" s="150" t="s">
        <v>545</v>
      </c>
      <c r="G85" s="530"/>
      <c r="H85" s="531"/>
      <c r="I85" s="531"/>
      <c r="J85" s="531"/>
      <c r="K85" s="532"/>
      <c r="L85" s="524">
        <f>+L34</f>
        <v>86860</v>
      </c>
      <c r="M85" s="163"/>
      <c r="N85" s="150" t="s">
        <v>545</v>
      </c>
      <c r="O85" s="551"/>
      <c r="P85" s="552"/>
      <c r="Q85" s="552"/>
      <c r="R85" s="552"/>
      <c r="S85" s="553"/>
      <c r="T85" s="524">
        <f>+T34</f>
        <v>86860</v>
      </c>
      <c r="U85" s="551"/>
      <c r="V85" s="552"/>
      <c r="W85" s="552"/>
      <c r="X85" s="552"/>
      <c r="Y85" s="553"/>
      <c r="Z85" s="554"/>
      <c r="AA85" s="551"/>
      <c r="AB85" s="552"/>
      <c r="AC85" s="552"/>
      <c r="AD85" s="552"/>
      <c r="AE85" s="553"/>
      <c r="AF85" s="554"/>
      <c r="AG85" s="163"/>
    </row>
    <row r="86" spans="2:33" ht="13.5" customHeight="1">
      <c r="B86" s="737"/>
      <c r="C86" s="750"/>
      <c r="D86" s="747"/>
      <c r="E86" s="164" t="s">
        <v>80</v>
      </c>
      <c r="F86" s="150" t="s">
        <v>544</v>
      </c>
      <c r="G86" s="530"/>
      <c r="H86" s="531"/>
      <c r="I86" s="531"/>
      <c r="J86" s="531"/>
      <c r="K86" s="532"/>
      <c r="L86" s="524">
        <f>+L38</f>
        <v>68592953</v>
      </c>
      <c r="M86" s="163"/>
      <c r="N86" s="150" t="s">
        <v>544</v>
      </c>
      <c r="O86" s="551"/>
      <c r="P86" s="552"/>
      <c r="Q86" s="552"/>
      <c r="R86" s="552"/>
      <c r="S86" s="553"/>
      <c r="T86" s="524">
        <f>+T38</f>
        <v>68592953</v>
      </c>
      <c r="U86" s="551"/>
      <c r="V86" s="552"/>
      <c r="W86" s="552"/>
      <c r="X86" s="552"/>
      <c r="Y86" s="553"/>
      <c r="Z86" s="554"/>
      <c r="AA86" s="551"/>
      <c r="AB86" s="552"/>
      <c r="AC86" s="552"/>
      <c r="AD86" s="552"/>
      <c r="AE86" s="553"/>
      <c r="AF86" s="554"/>
      <c r="AG86" s="163"/>
    </row>
    <row r="87" spans="2:33" ht="13.5" customHeight="1">
      <c r="B87" s="737"/>
      <c r="C87" s="750"/>
      <c r="D87" s="747"/>
      <c r="E87" s="176" t="s">
        <v>543</v>
      </c>
      <c r="F87" s="150"/>
      <c r="G87" s="530"/>
      <c r="H87" s="531"/>
      <c r="I87" s="531"/>
      <c r="J87" s="531"/>
      <c r="K87" s="532"/>
      <c r="L87" s="524">
        <f>SUM(L84:L86)</f>
        <v>18950268779</v>
      </c>
      <c r="M87" s="163"/>
      <c r="N87" s="150"/>
      <c r="O87" s="551"/>
      <c r="P87" s="552"/>
      <c r="Q87" s="552"/>
      <c r="R87" s="552"/>
      <c r="S87" s="553"/>
      <c r="T87" s="524">
        <f>SUM(T84:T86)</f>
        <v>18950268779</v>
      </c>
      <c r="U87" s="551"/>
      <c r="V87" s="552"/>
      <c r="W87" s="552"/>
      <c r="X87" s="552"/>
      <c r="Y87" s="553"/>
      <c r="Z87" s="554"/>
      <c r="AA87" s="551"/>
      <c r="AB87" s="552"/>
      <c r="AC87" s="552"/>
      <c r="AD87" s="552"/>
      <c r="AE87" s="553"/>
      <c r="AF87" s="554"/>
      <c r="AG87" s="163"/>
    </row>
    <row r="88" spans="2:33" ht="13.5" customHeight="1">
      <c r="B88" s="737"/>
      <c r="C88" s="750"/>
      <c r="D88" s="747"/>
      <c r="E88" s="162" t="s">
        <v>79</v>
      </c>
      <c r="F88" s="146" t="s">
        <v>542</v>
      </c>
      <c r="G88" s="533"/>
      <c r="H88" s="534"/>
      <c r="I88" s="534"/>
      <c r="J88" s="534"/>
      <c r="K88" s="535"/>
      <c r="L88" s="555">
        <f>+ROUNDUP(L83/SUM(L83,L87),3)</f>
        <v>0.308</v>
      </c>
      <c r="M88" s="161"/>
      <c r="N88" s="146" t="s">
        <v>542</v>
      </c>
      <c r="O88" s="556"/>
      <c r="P88" s="557"/>
      <c r="Q88" s="557"/>
      <c r="R88" s="557"/>
      <c r="S88" s="558"/>
      <c r="T88" s="555">
        <f>+ROUNDUP(T83/SUM(T83,T87),3)</f>
        <v>0.308</v>
      </c>
      <c r="U88" s="556"/>
      <c r="V88" s="557"/>
      <c r="W88" s="557"/>
      <c r="X88" s="557"/>
      <c r="Y88" s="558"/>
      <c r="Z88" s="559"/>
      <c r="AA88" s="556"/>
      <c r="AB88" s="557"/>
      <c r="AC88" s="557"/>
      <c r="AD88" s="557"/>
      <c r="AE88" s="558"/>
      <c r="AF88" s="559"/>
      <c r="AG88" s="175"/>
    </row>
    <row r="89" spans="2:33" ht="13.5" customHeight="1">
      <c r="B89" s="737"/>
      <c r="C89" s="739">
        <v>2</v>
      </c>
      <c r="D89" s="746" t="s">
        <v>78</v>
      </c>
      <c r="E89" s="160" t="s">
        <v>76</v>
      </c>
      <c r="F89" s="165" t="s">
        <v>541</v>
      </c>
      <c r="G89" s="588">
        <f>ROUNDDOWN(G67*$L$35/$L$39,0)</f>
        <v>0</v>
      </c>
      <c r="H89" s="589">
        <f>ROUNDDOWN(H67*$L$35/$L$39,0)</f>
        <v>0</v>
      </c>
      <c r="I89" s="589">
        <f>ROUNDDOWN(I67*$L$35/$L$39,0)</f>
        <v>76866</v>
      </c>
      <c r="J89" s="589">
        <f>ROUNDDOWN(J67*$L$35/$L$39,0)</f>
        <v>30955</v>
      </c>
      <c r="K89" s="590">
        <f>ROUNDDOWN(K67*$L$35/$L$39,0)</f>
        <v>1792796242</v>
      </c>
      <c r="L89" s="517">
        <f>+SUM(G89:K89)</f>
        <v>1792904063</v>
      </c>
      <c r="M89" s="158"/>
      <c r="N89" s="165" t="s">
        <v>541</v>
      </c>
      <c r="O89" s="518">
        <f t="shared" ref="O89:R96" si="32">+U89+AA89</f>
        <v>0</v>
      </c>
      <c r="P89" s="519">
        <f t="shared" si="32"/>
        <v>0</v>
      </c>
      <c r="Q89" s="519">
        <f t="shared" si="32"/>
        <v>97608</v>
      </c>
      <c r="R89" s="519">
        <f t="shared" si="32"/>
        <v>39685</v>
      </c>
      <c r="S89" s="520">
        <f t="shared" ref="S89:S96" si="33">+Y89+AE89</f>
        <v>2298456719</v>
      </c>
      <c r="T89" s="517">
        <f>+SUM(O89:S89)</f>
        <v>2298594012</v>
      </c>
      <c r="U89" s="588">
        <f t="shared" ref="U89:Y89" si="34">ROUNDDOWN(U67*$L$35/$L$39,0)+U145</f>
        <v>0</v>
      </c>
      <c r="V89" s="589">
        <f t="shared" si="34"/>
        <v>0</v>
      </c>
      <c r="W89" s="589">
        <f>ROUNDDOWN(W67*$L$35/$L$39,0)+W145</f>
        <v>88330</v>
      </c>
      <c r="X89" s="589">
        <f t="shared" ref="X89" si="35">ROUNDDOWN(X67*$L$35/$L$39,0)+X145</f>
        <v>36967</v>
      </c>
      <c r="Y89" s="590">
        <f t="shared" si="34"/>
        <v>823930954</v>
      </c>
      <c r="Z89" s="517">
        <f>+SUM(U89:Y89)</f>
        <v>824056251</v>
      </c>
      <c r="AA89" s="588">
        <f t="shared" ref="AA89:AB89" si="36">ROUNDDOWN(AA67*$L$35/$L$39,0)+AA145</f>
        <v>0</v>
      </c>
      <c r="AB89" s="589">
        <f t="shared" si="36"/>
        <v>0</v>
      </c>
      <c r="AC89" s="589">
        <f>ROUNDDOWN(AC67*$L$35/$L$39,0)+AC145</f>
        <v>9278</v>
      </c>
      <c r="AD89" s="589">
        <f>ROUNDDOWN(AD67*$L$35/$L$39,0)+AD145</f>
        <v>2718</v>
      </c>
      <c r="AE89" s="590">
        <f t="shared" ref="AE89" si="37">ROUNDDOWN(AE67*$L$35/$L$39,0)+AE145</f>
        <v>1474525765</v>
      </c>
      <c r="AF89" s="517">
        <f>+SUM(AA89:AE89)</f>
        <v>1474537761</v>
      </c>
      <c r="AG89" s="158"/>
    </row>
    <row r="90" spans="2:33" ht="13.5" customHeight="1">
      <c r="B90" s="737"/>
      <c r="C90" s="742"/>
      <c r="D90" s="747"/>
      <c r="E90" s="164" t="s">
        <v>540</v>
      </c>
      <c r="F90" s="150" t="s">
        <v>539</v>
      </c>
      <c r="G90" s="530">
        <f>+G83</f>
        <v>0</v>
      </c>
      <c r="H90" s="531">
        <f>+H83</f>
        <v>131982078</v>
      </c>
      <c r="I90" s="531">
        <f>+I83</f>
        <v>1702296</v>
      </c>
      <c r="J90" s="531">
        <f>+J83</f>
        <v>130667</v>
      </c>
      <c r="K90" s="532">
        <f>+K83</f>
        <v>8284711722</v>
      </c>
      <c r="L90" s="524">
        <f>+SUM(G90:K90)</f>
        <v>8418526763</v>
      </c>
      <c r="M90" s="163"/>
      <c r="N90" s="150" t="s">
        <v>539</v>
      </c>
      <c r="O90" s="527">
        <f t="shared" si="32"/>
        <v>0</v>
      </c>
      <c r="P90" s="528">
        <f t="shared" si="32"/>
        <v>131982078</v>
      </c>
      <c r="Q90" s="528">
        <f t="shared" si="32"/>
        <v>1702296</v>
      </c>
      <c r="R90" s="528">
        <f t="shared" si="32"/>
        <v>130667</v>
      </c>
      <c r="S90" s="529">
        <f t="shared" si="33"/>
        <v>8284711722</v>
      </c>
      <c r="T90" s="524">
        <f>+SUM(O90:S90)</f>
        <v>8418526763</v>
      </c>
      <c r="U90" s="530">
        <f>+U83</f>
        <v>0</v>
      </c>
      <c r="V90" s="531">
        <f>+V83</f>
        <v>0</v>
      </c>
      <c r="W90" s="531">
        <f>+W83</f>
        <v>455392</v>
      </c>
      <c r="X90" s="531">
        <f>+X83</f>
        <v>130568</v>
      </c>
      <c r="Y90" s="532">
        <f>+Y83</f>
        <v>2312306920</v>
      </c>
      <c r="Z90" s="524">
        <f>+SUM(U90:Y90)</f>
        <v>2312892880</v>
      </c>
      <c r="AA90" s="530">
        <f>+AA83</f>
        <v>0</v>
      </c>
      <c r="AB90" s="531">
        <f>+AB83</f>
        <v>131982078</v>
      </c>
      <c r="AC90" s="531">
        <f>+AC83</f>
        <v>1246904</v>
      </c>
      <c r="AD90" s="531">
        <f>+AD83</f>
        <v>99</v>
      </c>
      <c r="AE90" s="532">
        <f>+AE83</f>
        <v>5972404802</v>
      </c>
      <c r="AF90" s="524">
        <f>+SUM(AA90:AE90)</f>
        <v>6105633883</v>
      </c>
      <c r="AG90" s="163"/>
    </row>
    <row r="91" spans="2:33" ht="21.75" customHeight="1">
      <c r="B91" s="737"/>
      <c r="C91" s="742"/>
      <c r="D91" s="747"/>
      <c r="E91" s="166" t="s">
        <v>478</v>
      </c>
      <c r="F91" s="150" t="s">
        <v>538</v>
      </c>
      <c r="G91" s="530">
        <f>ROUNDDOWN(G90*G$1/(1+G$7),0)</f>
        <v>0</v>
      </c>
      <c r="H91" s="531">
        <f>ROUNDDOWN(H90*H$1/(1+H$7),0)</f>
        <v>5027888</v>
      </c>
      <c r="I91" s="531">
        <f>ROUNDDOWN(I90*I$1/(1+I$7),0)</f>
        <v>99300</v>
      </c>
      <c r="J91" s="531">
        <f>ROUNDDOWN(J90*J$1/(1+J$7),0)</f>
        <v>7549</v>
      </c>
      <c r="K91" s="532">
        <f>ROUNDDOWN(K90*K$1/(1+K$7),0)</f>
        <v>587461376</v>
      </c>
      <c r="L91" s="524">
        <f>+SUM(G91:K91)</f>
        <v>592596113</v>
      </c>
      <c r="M91" s="163"/>
      <c r="N91" s="167" t="s">
        <v>537</v>
      </c>
      <c r="O91" s="527">
        <f t="shared" si="32"/>
        <v>0</v>
      </c>
      <c r="P91" s="528">
        <f t="shared" si="32"/>
        <v>6284860</v>
      </c>
      <c r="Q91" s="528">
        <f t="shared" si="32"/>
        <v>126095</v>
      </c>
      <c r="R91" s="528">
        <f t="shared" si="32"/>
        <v>9678</v>
      </c>
      <c r="S91" s="529">
        <f t="shared" si="33"/>
        <v>753155611</v>
      </c>
      <c r="T91" s="524">
        <f>+SUM(O91:S91)</f>
        <v>759576244</v>
      </c>
      <c r="U91" s="530">
        <f t="shared" ref="U91:Y91" si="38">ROUNDDOWN(U90*U$7/(1+U$7),0)+U140</f>
        <v>0</v>
      </c>
      <c r="V91" s="531">
        <f t="shared" si="38"/>
        <v>0</v>
      </c>
      <c r="W91" s="531">
        <f t="shared" si="38"/>
        <v>33732</v>
      </c>
      <c r="X91" s="531">
        <f t="shared" ref="X91" si="39">ROUNDDOWN(X90*X$7/(1+X$7),0)+X140</f>
        <v>9671</v>
      </c>
      <c r="Y91" s="532">
        <f t="shared" si="38"/>
        <v>210209720</v>
      </c>
      <c r="Z91" s="524">
        <f>+SUM(U91:Y91)</f>
        <v>210253123</v>
      </c>
      <c r="AA91" s="530">
        <f t="shared" ref="AA91:AB91" si="40">ROUNDDOWN(AA90*AA$7/(1+AA$7),0)+AA140</f>
        <v>0</v>
      </c>
      <c r="AB91" s="531">
        <f t="shared" si="40"/>
        <v>6284860</v>
      </c>
      <c r="AC91" s="531">
        <f>ROUNDDOWN(AC90*AC$7/(1+AC$7),0)+AC140</f>
        <v>92363</v>
      </c>
      <c r="AD91" s="531">
        <f>ROUNDDOWN(AD90*AD$7/(1+AD$7),0)+AD140</f>
        <v>7</v>
      </c>
      <c r="AE91" s="532">
        <f t="shared" ref="AE91" si="41">ROUNDDOWN(AE90*AE$7/(1+AE$7),0)+AE140</f>
        <v>542945891</v>
      </c>
      <c r="AF91" s="524">
        <f>+SUM(AA91:AE91)</f>
        <v>549323121</v>
      </c>
      <c r="AG91" s="163"/>
    </row>
    <row r="92" spans="2:33" ht="13.5" customHeight="1">
      <c r="B92" s="737"/>
      <c r="C92" s="742"/>
      <c r="D92" s="747"/>
      <c r="E92" s="173" t="s">
        <v>65</v>
      </c>
      <c r="F92" s="171" t="s">
        <v>535</v>
      </c>
      <c r="G92" s="591"/>
      <c r="H92" s="592"/>
      <c r="I92" s="592"/>
      <c r="J92" s="592"/>
      <c r="K92" s="593"/>
      <c r="L92" s="594">
        <f>+L35</f>
        <v>18871966907</v>
      </c>
      <c r="M92" s="172" t="s">
        <v>536</v>
      </c>
      <c r="N92" s="171" t="s">
        <v>535</v>
      </c>
      <c r="O92" s="596">
        <f t="shared" si="32"/>
        <v>0</v>
      </c>
      <c r="P92" s="597">
        <f t="shared" si="32"/>
        <v>0</v>
      </c>
      <c r="Q92" s="597">
        <f t="shared" si="32"/>
        <v>0</v>
      </c>
      <c r="R92" s="597">
        <f t="shared" si="32"/>
        <v>0</v>
      </c>
      <c r="S92" s="598">
        <f t="shared" si="33"/>
        <v>0</v>
      </c>
      <c r="T92" s="594">
        <f>+T35</f>
        <v>18871966907</v>
      </c>
      <c r="U92" s="591"/>
      <c r="V92" s="592"/>
      <c r="W92" s="592"/>
      <c r="X92" s="592"/>
      <c r="Y92" s="593"/>
      <c r="Z92" s="594">
        <f>+Z35</f>
        <v>0</v>
      </c>
      <c r="AA92" s="591"/>
      <c r="AB92" s="592"/>
      <c r="AC92" s="592"/>
      <c r="AD92" s="592"/>
      <c r="AE92" s="593"/>
      <c r="AF92" s="594">
        <f>+AF35</f>
        <v>0</v>
      </c>
      <c r="AG92" s="163"/>
    </row>
    <row r="93" spans="2:33" ht="13.5" customHeight="1">
      <c r="B93" s="737"/>
      <c r="C93" s="742"/>
      <c r="D93" s="747"/>
      <c r="E93" s="174"/>
      <c r="F93" s="168"/>
      <c r="G93" s="541"/>
      <c r="H93" s="542"/>
      <c r="I93" s="542"/>
      <c r="J93" s="542"/>
      <c r="K93" s="543"/>
      <c r="L93" s="524">
        <f>+L39</f>
        <v>18940559860</v>
      </c>
      <c r="M93" s="169"/>
      <c r="N93" s="168"/>
      <c r="O93" s="599">
        <f t="shared" si="32"/>
        <v>0</v>
      </c>
      <c r="P93" s="600">
        <f t="shared" si="32"/>
        <v>0</v>
      </c>
      <c r="Q93" s="600">
        <f t="shared" si="32"/>
        <v>0</v>
      </c>
      <c r="R93" s="600">
        <f t="shared" si="32"/>
        <v>0</v>
      </c>
      <c r="S93" s="601">
        <f t="shared" si="33"/>
        <v>0</v>
      </c>
      <c r="T93" s="524">
        <f>+T39</f>
        <v>18940559860</v>
      </c>
      <c r="U93" s="541"/>
      <c r="V93" s="542"/>
      <c r="W93" s="542"/>
      <c r="X93" s="542"/>
      <c r="Y93" s="543"/>
      <c r="Z93" s="524">
        <f>+Z39</f>
        <v>0</v>
      </c>
      <c r="AA93" s="541"/>
      <c r="AB93" s="542"/>
      <c r="AC93" s="542"/>
      <c r="AD93" s="542"/>
      <c r="AE93" s="543"/>
      <c r="AF93" s="524">
        <f>+AF39</f>
        <v>0</v>
      </c>
      <c r="AG93" s="163"/>
    </row>
    <row r="94" spans="2:33" ht="13.5" customHeight="1">
      <c r="B94" s="737"/>
      <c r="C94" s="742"/>
      <c r="D94" s="747"/>
      <c r="E94" s="164" t="s">
        <v>534</v>
      </c>
      <c r="F94" s="150" t="s">
        <v>533</v>
      </c>
      <c r="G94" s="530">
        <f>ROUNDDOWN(G91*$L$92/$L$93,0)</f>
        <v>0</v>
      </c>
      <c r="H94" s="531">
        <f>ROUNDDOWN(H91*$L$92/$L$93,0)</f>
        <v>5009679</v>
      </c>
      <c r="I94" s="531">
        <f>ROUNDDOWN(I91*$L$92/$L$93,0)</f>
        <v>98940</v>
      </c>
      <c r="J94" s="531">
        <f>ROUNDDOWN(J91*$L$92/$L$93,0)</f>
        <v>7521</v>
      </c>
      <c r="K94" s="532">
        <f>ROUNDDOWN(K91*$L$92/$L$93,0)</f>
        <v>585333893</v>
      </c>
      <c r="L94" s="524">
        <f>+SUM(G94:K94)</f>
        <v>590450033</v>
      </c>
      <c r="M94" s="163"/>
      <c r="N94" s="150" t="s">
        <v>533</v>
      </c>
      <c r="O94" s="527">
        <f t="shared" si="32"/>
        <v>0</v>
      </c>
      <c r="P94" s="528">
        <f t="shared" si="32"/>
        <v>6262099</v>
      </c>
      <c r="Q94" s="528">
        <f t="shared" si="32"/>
        <v>125637</v>
      </c>
      <c r="R94" s="528">
        <f t="shared" si="32"/>
        <v>9641</v>
      </c>
      <c r="S94" s="529">
        <f t="shared" si="33"/>
        <v>750428068</v>
      </c>
      <c r="T94" s="524">
        <f>+SUM(O94:S94)</f>
        <v>756825445</v>
      </c>
      <c r="U94" s="530">
        <f>ROUNDDOWN(U91*$L$92/$L$93,0)</f>
        <v>0</v>
      </c>
      <c r="V94" s="531">
        <f>ROUNDDOWN(V91*$L$92/$L$93,0)</f>
        <v>0</v>
      </c>
      <c r="W94" s="531">
        <f>ROUNDDOWN(W91*$L$92/$L$93,0)</f>
        <v>33609</v>
      </c>
      <c r="X94" s="531">
        <f>ROUNDDOWN(X91*$L$92/$L$93,0)</f>
        <v>9635</v>
      </c>
      <c r="Y94" s="532">
        <f>ROUNDDOWN(Y91*$L$92/$L$93,0)</f>
        <v>209448448</v>
      </c>
      <c r="Z94" s="524">
        <f>+SUM(U94:Y94)</f>
        <v>209491692</v>
      </c>
      <c r="AA94" s="530">
        <f>ROUNDDOWN(AA91*$L$92/$L$93,0)+AA150</f>
        <v>0</v>
      </c>
      <c r="AB94" s="531">
        <f>ROUNDDOWN(AB91*$L$92/$L$93,0)+AB150</f>
        <v>6262099</v>
      </c>
      <c r="AC94" s="531">
        <f>ROUNDDOWN(AC91*$L$92/$L$93,0)+AC150</f>
        <v>92028</v>
      </c>
      <c r="AD94" s="531">
        <f>ROUNDDOWN(AD91*$L$92/$L$93,0)+AD150</f>
        <v>6</v>
      </c>
      <c r="AE94" s="532">
        <f>ROUNDDOWN(AE91*$L$92/$L$93,0)+AE150</f>
        <v>540979620</v>
      </c>
      <c r="AF94" s="524">
        <f>+SUM(AA94:AE94)</f>
        <v>547333753</v>
      </c>
      <c r="AG94" s="163"/>
    </row>
    <row r="95" spans="2:33" ht="13.5" customHeight="1">
      <c r="B95" s="737"/>
      <c r="C95" s="742"/>
      <c r="D95" s="747"/>
      <c r="E95" s="164" t="s">
        <v>532</v>
      </c>
      <c r="F95" s="150"/>
      <c r="G95" s="530"/>
      <c r="H95" s="531"/>
      <c r="I95" s="531"/>
      <c r="J95" s="531"/>
      <c r="K95" s="532"/>
      <c r="L95" s="524"/>
      <c r="M95" s="163"/>
      <c r="N95" s="150"/>
      <c r="O95" s="527">
        <f t="shared" si="32"/>
        <v>0</v>
      </c>
      <c r="P95" s="528">
        <f t="shared" si="32"/>
        <v>0</v>
      </c>
      <c r="Q95" s="528">
        <f t="shared" si="32"/>
        <v>0</v>
      </c>
      <c r="R95" s="528">
        <f t="shared" si="32"/>
        <v>0</v>
      </c>
      <c r="S95" s="529">
        <f t="shared" si="33"/>
        <v>0</v>
      </c>
      <c r="T95" s="524"/>
      <c r="U95" s="530"/>
      <c r="V95" s="531"/>
      <c r="W95" s="531"/>
      <c r="X95" s="531"/>
      <c r="Y95" s="532"/>
      <c r="Z95" s="524"/>
      <c r="AA95" s="530"/>
      <c r="AB95" s="531"/>
      <c r="AC95" s="531"/>
      <c r="AD95" s="531"/>
      <c r="AE95" s="532"/>
      <c r="AF95" s="524"/>
      <c r="AG95" s="163"/>
    </row>
    <row r="96" spans="2:33" ht="13.5" customHeight="1">
      <c r="B96" s="737"/>
      <c r="C96" s="742"/>
      <c r="D96" s="747"/>
      <c r="E96" s="164" t="s">
        <v>531</v>
      </c>
      <c r="F96" s="150" t="s">
        <v>530</v>
      </c>
      <c r="G96" s="530">
        <f>G89-G94</f>
        <v>0</v>
      </c>
      <c r="H96" s="531">
        <f>H89-H94</f>
        <v>-5009679</v>
      </c>
      <c r="I96" s="531">
        <f>I89-I94</f>
        <v>-22074</v>
      </c>
      <c r="J96" s="531">
        <f>J89-J94</f>
        <v>23434</v>
      </c>
      <c r="K96" s="532">
        <f>K89-K94</f>
        <v>1207462349</v>
      </c>
      <c r="L96" s="524">
        <f>+SUM(G96:K96)</f>
        <v>1202454030</v>
      </c>
      <c r="M96" s="163"/>
      <c r="N96" s="150" t="s">
        <v>530</v>
      </c>
      <c r="O96" s="527">
        <f t="shared" si="32"/>
        <v>0</v>
      </c>
      <c r="P96" s="528">
        <f t="shared" si="32"/>
        <v>-6262099</v>
      </c>
      <c r="Q96" s="528">
        <f t="shared" si="32"/>
        <v>-28029</v>
      </c>
      <c r="R96" s="528">
        <f t="shared" si="32"/>
        <v>30044</v>
      </c>
      <c r="S96" s="529">
        <f t="shared" si="33"/>
        <v>1548028651</v>
      </c>
      <c r="T96" s="524">
        <f>+SUM(O96:S96)</f>
        <v>1541768567</v>
      </c>
      <c r="U96" s="530">
        <f>U89-U94</f>
        <v>0</v>
      </c>
      <c r="V96" s="531">
        <f>V89-V94</f>
        <v>0</v>
      </c>
      <c r="W96" s="531">
        <f>W89-W94</f>
        <v>54721</v>
      </c>
      <c r="X96" s="531">
        <f>X89-X94</f>
        <v>27332</v>
      </c>
      <c r="Y96" s="532">
        <f>Y89-Y94</f>
        <v>614482506</v>
      </c>
      <c r="Z96" s="524">
        <f>+SUM(U96:Y96)</f>
        <v>614564559</v>
      </c>
      <c r="AA96" s="530">
        <f>AA89-AA94</f>
        <v>0</v>
      </c>
      <c r="AB96" s="531">
        <f>AB89-AB94</f>
        <v>-6262099</v>
      </c>
      <c r="AC96" s="531">
        <f>AC89-AC94</f>
        <v>-82750</v>
      </c>
      <c r="AD96" s="531">
        <f>AD89-AD94</f>
        <v>2712</v>
      </c>
      <c r="AE96" s="532">
        <f>AE89-AE94</f>
        <v>933546145</v>
      </c>
      <c r="AF96" s="524">
        <f>+SUM(AA96:AE96)</f>
        <v>927204008</v>
      </c>
      <c r="AG96" s="163"/>
    </row>
    <row r="97" spans="2:33" ht="13.5" customHeight="1">
      <c r="B97" s="737"/>
      <c r="C97" s="742"/>
      <c r="D97" s="747"/>
      <c r="E97" s="173" t="s">
        <v>529</v>
      </c>
      <c r="F97" s="171" t="s">
        <v>527</v>
      </c>
      <c r="G97" s="591"/>
      <c r="H97" s="592"/>
      <c r="I97" s="592"/>
      <c r="J97" s="592"/>
      <c r="K97" s="593"/>
      <c r="L97" s="602">
        <f>+基礎数値!$I20</f>
        <v>0</v>
      </c>
      <c r="M97" s="172" t="s">
        <v>528</v>
      </c>
      <c r="N97" s="171" t="s">
        <v>527</v>
      </c>
      <c r="O97" s="596"/>
      <c r="P97" s="597"/>
      <c r="Q97" s="597"/>
      <c r="R97" s="597"/>
      <c r="S97" s="598"/>
      <c r="T97" s="602">
        <f>+基礎数値!$I20</f>
        <v>0</v>
      </c>
      <c r="U97" s="591"/>
      <c r="V97" s="592"/>
      <c r="W97" s="592"/>
      <c r="X97" s="592"/>
      <c r="Y97" s="593"/>
      <c r="Z97" s="602">
        <f>+基礎数値!$I20</f>
        <v>0</v>
      </c>
      <c r="AA97" s="591"/>
      <c r="AB97" s="592"/>
      <c r="AC97" s="592"/>
      <c r="AD97" s="592"/>
      <c r="AE97" s="593"/>
      <c r="AF97" s="602">
        <f>+基礎数値!$I20</f>
        <v>0</v>
      </c>
      <c r="AG97" s="163" t="s">
        <v>526</v>
      </c>
    </row>
    <row r="98" spans="2:33" ht="13.5" customHeight="1">
      <c r="B98" s="737"/>
      <c r="C98" s="742"/>
      <c r="D98" s="747"/>
      <c r="E98" s="170" t="s">
        <v>525</v>
      </c>
      <c r="F98" s="168"/>
      <c r="G98" s="541"/>
      <c r="H98" s="542"/>
      <c r="I98" s="542"/>
      <c r="J98" s="542"/>
      <c r="K98" s="543"/>
      <c r="L98" s="524">
        <f>+L87</f>
        <v>18950268779</v>
      </c>
      <c r="M98" s="169"/>
      <c r="N98" s="168"/>
      <c r="O98" s="599"/>
      <c r="P98" s="600"/>
      <c r="Q98" s="600"/>
      <c r="R98" s="600"/>
      <c r="S98" s="601"/>
      <c r="T98" s="524">
        <f>+T87</f>
        <v>18950268779</v>
      </c>
      <c r="U98" s="541"/>
      <c r="V98" s="542"/>
      <c r="W98" s="542"/>
      <c r="X98" s="542"/>
      <c r="Y98" s="543"/>
      <c r="Z98" s="524">
        <f>+T87</f>
        <v>18950268779</v>
      </c>
      <c r="AA98" s="541"/>
      <c r="AB98" s="542"/>
      <c r="AC98" s="542"/>
      <c r="AD98" s="542"/>
      <c r="AE98" s="543"/>
      <c r="AF98" s="524">
        <f>+T87</f>
        <v>18950268779</v>
      </c>
      <c r="AG98" s="163" t="s">
        <v>524</v>
      </c>
    </row>
    <row r="99" spans="2:33" ht="13.5" customHeight="1">
      <c r="B99" s="737"/>
      <c r="C99" s="742"/>
      <c r="D99" s="747"/>
      <c r="E99" s="164" t="s">
        <v>523</v>
      </c>
      <c r="F99" s="150" t="s">
        <v>522</v>
      </c>
      <c r="G99" s="530">
        <f>ROUNDDOWN(G96*$L$97/$L$98,0)</f>
        <v>0</v>
      </c>
      <c r="H99" s="531">
        <f>ROUNDDOWN(H96*$L$97/$L$98,0)</f>
        <v>0</v>
      </c>
      <c r="I99" s="531">
        <f>ROUNDDOWN(I96*$L$97/$L$98,0)</f>
        <v>0</v>
      </c>
      <c r="J99" s="531">
        <f>ROUNDDOWN(J96*$L$97/$L$98,0)</f>
        <v>0</v>
      </c>
      <c r="K99" s="532">
        <f>ROUNDDOWN(K96*$L$97/$L$98,0)</f>
        <v>0</v>
      </c>
      <c r="L99" s="524">
        <f>+SUM(G99:K99)</f>
        <v>0</v>
      </c>
      <c r="M99" s="163"/>
      <c r="N99" s="150" t="s">
        <v>522</v>
      </c>
      <c r="O99" s="527">
        <f t="shared" ref="O99:R101" si="42">+U99+AA99</f>
        <v>0</v>
      </c>
      <c r="P99" s="528">
        <f t="shared" si="42"/>
        <v>0</v>
      </c>
      <c r="Q99" s="528">
        <f t="shared" si="42"/>
        <v>0</v>
      </c>
      <c r="R99" s="528">
        <f t="shared" si="42"/>
        <v>0</v>
      </c>
      <c r="S99" s="529">
        <f>+Y99+AE99</f>
        <v>0</v>
      </c>
      <c r="T99" s="524">
        <f>+SUM(O99:S99)</f>
        <v>0</v>
      </c>
      <c r="U99" s="530">
        <f>ROUNDDOWN(U96*$Z$97/$Z$98,0)</f>
        <v>0</v>
      </c>
      <c r="V99" s="531">
        <f>ROUNDDOWN(V96*$Z$97/$Z$98,0)</f>
        <v>0</v>
      </c>
      <c r="W99" s="531">
        <f>ROUNDDOWN(W96*$Z$97/$Z$98,0)</f>
        <v>0</v>
      </c>
      <c r="X99" s="531">
        <f>ROUNDDOWN(X96*$Z$97/$Z$98,0)</f>
        <v>0</v>
      </c>
      <c r="Y99" s="532">
        <f>ROUNDDOWN(Y96*$Z$97/$Z$98,0)</f>
        <v>0</v>
      </c>
      <c r="Z99" s="524">
        <f>+SUM(U99:Y99)</f>
        <v>0</v>
      </c>
      <c r="AA99" s="530">
        <f>ROUNDDOWN(AA96*$AF$97/$AF$98,0)</f>
        <v>0</v>
      </c>
      <c r="AB99" s="531">
        <f>ROUNDDOWN(AB96*$AF$97/$AF$98,0)</f>
        <v>0</v>
      </c>
      <c r="AC99" s="531">
        <f>ROUNDDOWN(AC96*$AF$97/$AF$98,0)</f>
        <v>0</v>
      </c>
      <c r="AD99" s="531">
        <f>ROUNDDOWN(AD96*$AF$97/$AF$98,0)</f>
        <v>0</v>
      </c>
      <c r="AE99" s="532">
        <f>ROUNDDOWN(AE96*$AF$97/$AF$98,0)</f>
        <v>0</v>
      </c>
      <c r="AF99" s="524">
        <f>+SUM(AA99:AE99)</f>
        <v>0</v>
      </c>
      <c r="AG99" s="163"/>
    </row>
    <row r="100" spans="2:33" ht="13.5" customHeight="1">
      <c r="B100" s="737"/>
      <c r="C100" s="742"/>
      <c r="D100" s="747"/>
      <c r="E100" s="164" t="s">
        <v>43</v>
      </c>
      <c r="F100" s="150" t="s">
        <v>521</v>
      </c>
      <c r="G100" s="530">
        <f>G94+G99</f>
        <v>0</v>
      </c>
      <c r="H100" s="531">
        <f>H94+H99</f>
        <v>5009679</v>
      </c>
      <c r="I100" s="531">
        <f>I94+I99</f>
        <v>98940</v>
      </c>
      <c r="J100" s="531">
        <f>J94+J99</f>
        <v>7521</v>
      </c>
      <c r="K100" s="532">
        <f>K94+K99</f>
        <v>585333893</v>
      </c>
      <c r="L100" s="524">
        <f>+SUM(G100:K100)</f>
        <v>590450033</v>
      </c>
      <c r="M100" s="163"/>
      <c r="N100" s="150" t="s">
        <v>521</v>
      </c>
      <c r="O100" s="527">
        <f t="shared" si="42"/>
        <v>0</v>
      </c>
      <c r="P100" s="528">
        <f t="shared" si="42"/>
        <v>6262099</v>
      </c>
      <c r="Q100" s="528">
        <f t="shared" si="42"/>
        <v>125637</v>
      </c>
      <c r="R100" s="528">
        <f t="shared" si="42"/>
        <v>9641</v>
      </c>
      <c r="S100" s="529">
        <f>+Y100+AE100</f>
        <v>750428068</v>
      </c>
      <c r="T100" s="524">
        <f>+SUM(O100:S100)</f>
        <v>756825445</v>
      </c>
      <c r="U100" s="530">
        <f>U94+U99</f>
        <v>0</v>
      </c>
      <c r="V100" s="531">
        <f>V94+V99</f>
        <v>0</v>
      </c>
      <c r="W100" s="531">
        <f>W94+W99</f>
        <v>33609</v>
      </c>
      <c r="X100" s="531">
        <f>X94+X99</f>
        <v>9635</v>
      </c>
      <c r="Y100" s="532">
        <f>Y94+Y99</f>
        <v>209448448</v>
      </c>
      <c r="Z100" s="524">
        <f>+SUM(U100:Y100)</f>
        <v>209491692</v>
      </c>
      <c r="AA100" s="530">
        <f>AA94+AA99</f>
        <v>0</v>
      </c>
      <c r="AB100" s="531">
        <f>AB94+AB99</f>
        <v>6262099</v>
      </c>
      <c r="AC100" s="531">
        <f>AC94+AC99</f>
        <v>92028</v>
      </c>
      <c r="AD100" s="531">
        <f>AD94+AD99</f>
        <v>6</v>
      </c>
      <c r="AE100" s="532">
        <f>AE94+AE99</f>
        <v>540979620</v>
      </c>
      <c r="AF100" s="524">
        <f>+SUM(AA100:AE100)</f>
        <v>547333753</v>
      </c>
      <c r="AG100" s="163"/>
    </row>
    <row r="101" spans="2:33" ht="13.5" customHeight="1">
      <c r="B101" s="738"/>
      <c r="C101" s="740"/>
      <c r="D101" s="748"/>
      <c r="E101" s="162" t="s">
        <v>38</v>
      </c>
      <c r="F101" s="146" t="s">
        <v>520</v>
      </c>
      <c r="G101" s="533">
        <f>G89-G100</f>
        <v>0</v>
      </c>
      <c r="H101" s="534">
        <f>H89-H100</f>
        <v>-5009679</v>
      </c>
      <c r="I101" s="534">
        <f>I89-I100</f>
        <v>-22074</v>
      </c>
      <c r="J101" s="534">
        <f>J89-J100</f>
        <v>23434</v>
      </c>
      <c r="K101" s="535">
        <f>K89-K100</f>
        <v>1207462349</v>
      </c>
      <c r="L101" s="536">
        <f>+SUM(G101:K101)</f>
        <v>1202454030</v>
      </c>
      <c r="M101" s="161"/>
      <c r="N101" s="146" t="s">
        <v>520</v>
      </c>
      <c r="O101" s="538">
        <f t="shared" si="42"/>
        <v>0</v>
      </c>
      <c r="P101" s="539">
        <f t="shared" si="42"/>
        <v>-6262099</v>
      </c>
      <c r="Q101" s="539">
        <f t="shared" si="42"/>
        <v>-28029</v>
      </c>
      <c r="R101" s="539">
        <f t="shared" si="42"/>
        <v>30044</v>
      </c>
      <c r="S101" s="540">
        <f>+Y101+AE101</f>
        <v>1548028651</v>
      </c>
      <c r="T101" s="536">
        <f>+SUM(O101:S101)</f>
        <v>1541768567</v>
      </c>
      <c r="U101" s="533">
        <f>U89-U100</f>
        <v>0</v>
      </c>
      <c r="V101" s="534">
        <f>V89-V100</f>
        <v>0</v>
      </c>
      <c r="W101" s="534">
        <f>W89-W100</f>
        <v>54721</v>
      </c>
      <c r="X101" s="534">
        <f>X89-X100</f>
        <v>27332</v>
      </c>
      <c r="Y101" s="535">
        <f>Y89-Y100</f>
        <v>614482506</v>
      </c>
      <c r="Z101" s="536">
        <f>+SUM(U101:Y101)</f>
        <v>614564559</v>
      </c>
      <c r="AA101" s="533">
        <f>AA89-AA100</f>
        <v>0</v>
      </c>
      <c r="AB101" s="534">
        <f>AB89-AB100</f>
        <v>-6262099</v>
      </c>
      <c r="AC101" s="534">
        <f>AC89-AC100</f>
        <v>-82750</v>
      </c>
      <c r="AD101" s="534">
        <f>AD89-AD100</f>
        <v>2712</v>
      </c>
      <c r="AE101" s="535">
        <f>AE89-AE100</f>
        <v>933546145</v>
      </c>
      <c r="AF101" s="536">
        <f>+SUM(AA101:AE101)</f>
        <v>927204008</v>
      </c>
      <c r="AG101" s="161"/>
    </row>
    <row r="102" spans="2:33" ht="13.5" customHeight="1">
      <c r="B102" s="736" t="s">
        <v>519</v>
      </c>
      <c r="C102" s="739">
        <v>1</v>
      </c>
      <c r="D102" s="743" t="s">
        <v>34</v>
      </c>
      <c r="E102" s="160" t="s">
        <v>13</v>
      </c>
      <c r="F102" s="165"/>
      <c r="G102" s="588"/>
      <c r="H102" s="589"/>
      <c r="I102" s="589"/>
      <c r="J102" s="589"/>
      <c r="K102" s="590"/>
      <c r="L102" s="517"/>
      <c r="M102" s="158"/>
      <c r="N102" s="165"/>
      <c r="O102" s="518"/>
      <c r="P102" s="519"/>
      <c r="Q102" s="519"/>
      <c r="R102" s="519"/>
      <c r="S102" s="520"/>
      <c r="T102" s="517"/>
      <c r="U102" s="588"/>
      <c r="V102" s="589"/>
      <c r="W102" s="589"/>
      <c r="X102" s="589"/>
      <c r="Y102" s="590"/>
      <c r="Z102" s="517"/>
      <c r="AA102" s="588"/>
      <c r="AB102" s="589"/>
      <c r="AC102" s="589"/>
      <c r="AD102" s="589"/>
      <c r="AE102" s="590"/>
      <c r="AF102" s="517"/>
      <c r="AG102" s="158"/>
    </row>
    <row r="103" spans="2:33" ht="13.5" customHeight="1">
      <c r="B103" s="737"/>
      <c r="C103" s="742"/>
      <c r="D103" s="744"/>
      <c r="E103" s="164" t="s">
        <v>518</v>
      </c>
      <c r="F103" s="150" t="s">
        <v>517</v>
      </c>
      <c r="G103" s="530">
        <f>+G101</f>
        <v>0</v>
      </c>
      <c r="H103" s="531">
        <f>+H101</f>
        <v>-5009679</v>
      </c>
      <c r="I103" s="531">
        <f>+I101</f>
        <v>-22074</v>
      </c>
      <c r="J103" s="531">
        <f>+J101</f>
        <v>23434</v>
      </c>
      <c r="K103" s="532">
        <f>+K101</f>
        <v>1207462349</v>
      </c>
      <c r="L103" s="524">
        <f t="shared" ref="L103:L110" si="43">+SUM(G103:K103)</f>
        <v>1202454030</v>
      </c>
      <c r="M103" s="163"/>
      <c r="N103" s="150" t="s">
        <v>517</v>
      </c>
      <c r="O103" s="527">
        <f t="shared" ref="O103:R110" si="44">+U103+AA103</f>
        <v>0</v>
      </c>
      <c r="P103" s="528">
        <f t="shared" si="44"/>
        <v>-6262099</v>
      </c>
      <c r="Q103" s="528">
        <f t="shared" si="44"/>
        <v>-28029</v>
      </c>
      <c r="R103" s="528">
        <f t="shared" si="44"/>
        <v>30044</v>
      </c>
      <c r="S103" s="529">
        <f t="shared" ref="S103:T110" si="45">+Y103+AE103</f>
        <v>1548028651</v>
      </c>
      <c r="T103" s="524">
        <f t="shared" si="45"/>
        <v>1541768567</v>
      </c>
      <c r="U103" s="530">
        <f>+U101</f>
        <v>0</v>
      </c>
      <c r="V103" s="531">
        <f>+V101</f>
        <v>0</v>
      </c>
      <c r="W103" s="531">
        <f>+W101</f>
        <v>54721</v>
      </c>
      <c r="X103" s="531">
        <f>+X101</f>
        <v>27332</v>
      </c>
      <c r="Y103" s="532">
        <f>+Y101</f>
        <v>614482506</v>
      </c>
      <c r="Z103" s="524">
        <f t="shared" ref="Z103:Z110" si="46">+SUM(U103:Y103)</f>
        <v>614564559</v>
      </c>
      <c r="AA103" s="530">
        <f>+AA101</f>
        <v>0</v>
      </c>
      <c r="AB103" s="531">
        <f>+AB101</f>
        <v>-6262099</v>
      </c>
      <c r="AC103" s="531">
        <f>+AC101</f>
        <v>-82750</v>
      </c>
      <c r="AD103" s="531">
        <f>+AD101</f>
        <v>2712</v>
      </c>
      <c r="AE103" s="532">
        <f>+AE101</f>
        <v>933546145</v>
      </c>
      <c r="AF103" s="524">
        <f t="shared" ref="AF103:AF110" si="47">+SUM(AA103:AE103)</f>
        <v>927204008</v>
      </c>
      <c r="AG103" s="163"/>
    </row>
    <row r="104" spans="2:33" ht="21.75" customHeight="1">
      <c r="B104" s="737"/>
      <c r="C104" s="742"/>
      <c r="D104" s="744"/>
      <c r="E104" s="166" t="s">
        <v>516</v>
      </c>
      <c r="F104" s="150" t="s">
        <v>515</v>
      </c>
      <c r="G104" s="530">
        <f>ROUNDDOWN(G29*G$1/(1+G$7),0)</f>
        <v>0</v>
      </c>
      <c r="H104" s="531">
        <f>ROUNDDOWN(H29*H$1/(1+H$7),0)</f>
        <v>0</v>
      </c>
      <c r="I104" s="531">
        <f>ROUNDDOWN(I29*I$1/(1+I$7),0)</f>
        <v>2294</v>
      </c>
      <c r="J104" s="531">
        <f>ROUNDDOWN(J29*J$1/(1+J$7),0)</f>
        <v>0</v>
      </c>
      <c r="K104" s="532">
        <f>ROUNDDOWN(K29*K$1/(1+K$7),0)</f>
        <v>754454</v>
      </c>
      <c r="L104" s="524">
        <f t="shared" si="43"/>
        <v>756748</v>
      </c>
      <c r="M104" s="163" t="s">
        <v>244</v>
      </c>
      <c r="N104" s="167" t="s">
        <v>514</v>
      </c>
      <c r="O104" s="527">
        <f t="shared" si="44"/>
        <v>0</v>
      </c>
      <c r="P104" s="528">
        <f t="shared" si="44"/>
        <v>0</v>
      </c>
      <c r="Q104" s="528">
        <f t="shared" si="44"/>
        <v>2914</v>
      </c>
      <c r="R104" s="528">
        <f t="shared" si="44"/>
        <v>0</v>
      </c>
      <c r="S104" s="529">
        <f t="shared" si="45"/>
        <v>967249</v>
      </c>
      <c r="T104" s="603">
        <f t="shared" si="45"/>
        <v>970163</v>
      </c>
      <c r="U104" s="604">
        <f>ROUNDDOWN(U29*U$7/(1+U$7),0)</f>
        <v>0</v>
      </c>
      <c r="V104" s="605">
        <f>ROUNDDOWN(V29*V$7/(1+V$7),0)</f>
        <v>0</v>
      </c>
      <c r="W104" s="605">
        <f>ROUNDDOWN(W29*W$7/(1+W$7),0)</f>
        <v>2914</v>
      </c>
      <c r="X104" s="605">
        <f>ROUNDDOWN(X29*X$7/(1+X$7),0)</f>
        <v>0</v>
      </c>
      <c r="Y104" s="606">
        <f>ROUNDDOWN(Y29*Y$7/(1+Y$7),0)</f>
        <v>967249</v>
      </c>
      <c r="Z104" s="524">
        <f t="shared" si="46"/>
        <v>970163</v>
      </c>
      <c r="AA104" s="530">
        <f>ROUNDDOWN(AA29*AA$7/(1+AA$7),0)</f>
        <v>0</v>
      </c>
      <c r="AB104" s="531">
        <f>ROUNDDOWN(AB29*AB$7/(1+AB$7),0)</f>
        <v>0</v>
      </c>
      <c r="AC104" s="531">
        <f>ROUNDDOWN(AC29*AC$7/(1+AC$7),0)</f>
        <v>0</v>
      </c>
      <c r="AD104" s="531">
        <f>ROUNDDOWN(AD29*AD$7/(1+AD$7),0)</f>
        <v>0</v>
      </c>
      <c r="AE104" s="532">
        <f>ROUNDDOWN(AE29*AE$7/(1+AE$7),0)</f>
        <v>0</v>
      </c>
      <c r="AF104" s="524">
        <f t="shared" si="47"/>
        <v>0</v>
      </c>
      <c r="AG104" s="163"/>
    </row>
    <row r="105" spans="2:33" ht="13.5" customHeight="1">
      <c r="B105" s="737"/>
      <c r="C105" s="742"/>
      <c r="D105" s="744"/>
      <c r="E105" s="164" t="s">
        <v>513</v>
      </c>
      <c r="F105" s="150" t="s">
        <v>512</v>
      </c>
      <c r="G105" s="521">
        <f>+基礎数値!$D17</f>
        <v>0</v>
      </c>
      <c r="H105" s="522">
        <f>+基礎数値!$E17</f>
        <v>1120996</v>
      </c>
      <c r="I105" s="522">
        <f>+基礎数値!$F17</f>
        <v>24667001</v>
      </c>
      <c r="J105" s="522">
        <f>+基礎数値!$G17</f>
        <v>0</v>
      </c>
      <c r="K105" s="523">
        <f>+基礎数値!$H17</f>
        <v>0</v>
      </c>
      <c r="L105" s="524">
        <f t="shared" si="43"/>
        <v>25787997</v>
      </c>
      <c r="M105" s="163"/>
      <c r="N105" s="150" t="s">
        <v>512</v>
      </c>
      <c r="O105" s="527">
        <f t="shared" si="44"/>
        <v>0</v>
      </c>
      <c r="P105" s="528">
        <f t="shared" si="44"/>
        <v>1120996</v>
      </c>
      <c r="Q105" s="528">
        <f t="shared" si="44"/>
        <v>24667001</v>
      </c>
      <c r="R105" s="528">
        <f t="shared" si="44"/>
        <v>0</v>
      </c>
      <c r="S105" s="529">
        <f t="shared" si="45"/>
        <v>0</v>
      </c>
      <c r="T105" s="524">
        <f t="shared" si="45"/>
        <v>25787997</v>
      </c>
      <c r="U105" s="521">
        <f>+基礎数値!$D17</f>
        <v>0</v>
      </c>
      <c r="V105" s="522">
        <f>+基礎数値!$E17</f>
        <v>1120996</v>
      </c>
      <c r="W105" s="522">
        <f>+基礎数値!$F17</f>
        <v>24667001</v>
      </c>
      <c r="X105" s="522">
        <f>+基礎数値!$G17</f>
        <v>0</v>
      </c>
      <c r="Y105" s="523">
        <f>+基礎数値!$H17</f>
        <v>0</v>
      </c>
      <c r="Z105" s="524">
        <f t="shared" si="46"/>
        <v>25787997</v>
      </c>
      <c r="AA105" s="527"/>
      <c r="AB105" s="528"/>
      <c r="AC105" s="528"/>
      <c r="AD105" s="528"/>
      <c r="AE105" s="529"/>
      <c r="AF105" s="524">
        <f t="shared" si="47"/>
        <v>0</v>
      </c>
      <c r="AG105" s="163"/>
    </row>
    <row r="106" spans="2:33" ht="21.75" customHeight="1">
      <c r="B106" s="737"/>
      <c r="C106" s="742"/>
      <c r="D106" s="744"/>
      <c r="E106" s="166" t="s">
        <v>511</v>
      </c>
      <c r="F106" s="150" t="s">
        <v>510</v>
      </c>
      <c r="G106" s="530">
        <f>ROUNDDOWN(G105*G$1/(1+G$7),0)</f>
        <v>0</v>
      </c>
      <c r="H106" s="531">
        <f>ROUNDDOWN(H105*H$1/(1+H$7),0)</f>
        <v>42704</v>
      </c>
      <c r="I106" s="531">
        <f>ROUNDDOWN(I105*I$1/(1+I$7),0)</f>
        <v>1438908</v>
      </c>
      <c r="J106" s="531">
        <f>ROUNDDOWN(J105*J$1/(1+J$7),0)</f>
        <v>0</v>
      </c>
      <c r="K106" s="532">
        <f>ROUNDDOWN(K105*K$1/(1+K$7),0)</f>
        <v>0</v>
      </c>
      <c r="L106" s="524">
        <f t="shared" si="43"/>
        <v>1481612</v>
      </c>
      <c r="M106" s="163" t="s">
        <v>241</v>
      </c>
      <c r="N106" s="167" t="s">
        <v>509</v>
      </c>
      <c r="O106" s="527">
        <f t="shared" si="44"/>
        <v>0</v>
      </c>
      <c r="P106" s="528">
        <f t="shared" si="44"/>
        <v>53380</v>
      </c>
      <c r="Q106" s="528">
        <f t="shared" si="44"/>
        <v>1827185</v>
      </c>
      <c r="R106" s="528">
        <f t="shared" si="44"/>
        <v>0</v>
      </c>
      <c r="S106" s="529">
        <f t="shared" si="45"/>
        <v>0</v>
      </c>
      <c r="T106" s="603">
        <f t="shared" si="45"/>
        <v>1880565</v>
      </c>
      <c r="U106" s="530">
        <f>ROUNDDOWN(U105*U$7/(1+U$7),0)</f>
        <v>0</v>
      </c>
      <c r="V106" s="531">
        <f>ROUNDDOWN(V105*V$7/(1+V$7),0)</f>
        <v>53380</v>
      </c>
      <c r="W106" s="531">
        <f>ROUNDDOWN(W105*W$7/(1+W$7),0)</f>
        <v>1827185</v>
      </c>
      <c r="X106" s="531">
        <f>ROUNDDOWN(X105*X$7/(1+X$7),0)</f>
        <v>0</v>
      </c>
      <c r="Y106" s="532">
        <f>ROUNDDOWN(Y105*Y$7/(1+Y$7),0)</f>
        <v>0</v>
      </c>
      <c r="Z106" s="524">
        <f t="shared" si="46"/>
        <v>1880565</v>
      </c>
      <c r="AA106" s="530">
        <f>ROUNDDOWN(AA105*AA$7/(1+AA$7),0)</f>
        <v>0</v>
      </c>
      <c r="AB106" s="531">
        <f>ROUNDDOWN(AB105*AB$7/(1+AB$7),0)</f>
        <v>0</v>
      </c>
      <c r="AC106" s="531">
        <f>ROUNDDOWN(AC105*AC$7/(1+AC$7),0)</f>
        <v>0</v>
      </c>
      <c r="AD106" s="531">
        <f>ROUNDDOWN(AD105*AD$7/(1+AD$7),0)</f>
        <v>0</v>
      </c>
      <c r="AE106" s="532">
        <f>ROUNDDOWN(AE105*AE$7/(1+AE$7),0)</f>
        <v>0</v>
      </c>
      <c r="AF106" s="524">
        <f t="shared" si="47"/>
        <v>0</v>
      </c>
      <c r="AG106" s="163"/>
    </row>
    <row r="107" spans="2:33" ht="13.5" customHeight="1">
      <c r="B107" s="737"/>
      <c r="C107" s="740"/>
      <c r="D107" s="745"/>
      <c r="E107" s="162" t="s">
        <v>508</v>
      </c>
      <c r="F107" s="146" t="s">
        <v>506</v>
      </c>
      <c r="G107" s="533">
        <f>G103+G104+G106</f>
        <v>0</v>
      </c>
      <c r="H107" s="534">
        <f>H103+H104+H106</f>
        <v>-4966975</v>
      </c>
      <c r="I107" s="534">
        <f>I103+I104+I106</f>
        <v>1419128</v>
      </c>
      <c r="J107" s="534">
        <f>J103+J104+J106</f>
        <v>23434</v>
      </c>
      <c r="K107" s="535">
        <f>K103+K104+K106</f>
        <v>1208216803</v>
      </c>
      <c r="L107" s="536">
        <f t="shared" si="43"/>
        <v>1204692390</v>
      </c>
      <c r="M107" s="161" t="s">
        <v>507</v>
      </c>
      <c r="N107" s="146" t="s">
        <v>506</v>
      </c>
      <c r="O107" s="538">
        <f t="shared" si="44"/>
        <v>0</v>
      </c>
      <c r="P107" s="539">
        <f t="shared" si="44"/>
        <v>-6208719</v>
      </c>
      <c r="Q107" s="539">
        <f t="shared" si="44"/>
        <v>1802070</v>
      </c>
      <c r="R107" s="539">
        <f t="shared" si="44"/>
        <v>30044</v>
      </c>
      <c r="S107" s="540">
        <f t="shared" si="45"/>
        <v>1548995900</v>
      </c>
      <c r="T107" s="536">
        <f t="shared" si="45"/>
        <v>1544619295</v>
      </c>
      <c r="U107" s="533">
        <f>U103+U104+U106</f>
        <v>0</v>
      </c>
      <c r="V107" s="534">
        <f>V103+V104+V106</f>
        <v>53380</v>
      </c>
      <c r="W107" s="534">
        <f>W103+W104+W106</f>
        <v>1884820</v>
      </c>
      <c r="X107" s="534">
        <f>X103+X104+X106</f>
        <v>27332</v>
      </c>
      <c r="Y107" s="535">
        <f>Y103+Y104+Y106</f>
        <v>615449755</v>
      </c>
      <c r="Z107" s="536">
        <f t="shared" si="46"/>
        <v>617415287</v>
      </c>
      <c r="AA107" s="533">
        <f>AA103+AA104+AA106</f>
        <v>0</v>
      </c>
      <c r="AB107" s="534">
        <f>AB103+AB104+AB106</f>
        <v>-6262099</v>
      </c>
      <c r="AC107" s="534">
        <f>AC103+AC104+AC106</f>
        <v>-82750</v>
      </c>
      <c r="AD107" s="534">
        <f>AD103+AD104+AD106</f>
        <v>2712</v>
      </c>
      <c r="AE107" s="535">
        <f>AE103+AE104+AE106</f>
        <v>933546145</v>
      </c>
      <c r="AF107" s="536">
        <f t="shared" si="47"/>
        <v>927204008</v>
      </c>
      <c r="AG107" s="161"/>
    </row>
    <row r="108" spans="2:33" ht="13.5" customHeight="1">
      <c r="B108" s="737"/>
      <c r="C108" s="739">
        <v>2</v>
      </c>
      <c r="D108" s="746" t="s">
        <v>16</v>
      </c>
      <c r="E108" s="160" t="s">
        <v>15</v>
      </c>
      <c r="F108" s="165" t="s">
        <v>505</v>
      </c>
      <c r="G108" s="588">
        <f>G32</f>
        <v>0</v>
      </c>
      <c r="H108" s="589">
        <f>H32</f>
        <v>0</v>
      </c>
      <c r="I108" s="589">
        <f>I32</f>
        <v>2709</v>
      </c>
      <c r="J108" s="589">
        <f>J32</f>
        <v>0</v>
      </c>
      <c r="K108" s="590">
        <f>K32</f>
        <v>1472760510</v>
      </c>
      <c r="L108" s="517">
        <f t="shared" si="43"/>
        <v>1472763219</v>
      </c>
      <c r="M108" s="158"/>
      <c r="N108" s="165" t="s">
        <v>505</v>
      </c>
      <c r="O108" s="518">
        <f t="shared" si="44"/>
        <v>0</v>
      </c>
      <c r="P108" s="519">
        <f t="shared" si="44"/>
        <v>0</v>
      </c>
      <c r="Q108" s="519">
        <f t="shared" si="44"/>
        <v>3485</v>
      </c>
      <c r="R108" s="519">
        <f t="shared" si="44"/>
        <v>0</v>
      </c>
      <c r="S108" s="520">
        <f t="shared" si="45"/>
        <v>1888154539</v>
      </c>
      <c r="T108" s="517">
        <f t="shared" si="45"/>
        <v>1888158024</v>
      </c>
      <c r="U108" s="588">
        <f>U32</f>
        <v>0</v>
      </c>
      <c r="V108" s="589">
        <f>V32</f>
        <v>0</v>
      </c>
      <c r="W108" s="589">
        <f>W32</f>
        <v>3485</v>
      </c>
      <c r="X108" s="589">
        <f>X32</f>
        <v>0</v>
      </c>
      <c r="Y108" s="590">
        <f>Y32</f>
        <v>1884546229</v>
      </c>
      <c r="Z108" s="517">
        <f t="shared" si="46"/>
        <v>1884549714</v>
      </c>
      <c r="AA108" s="588">
        <f>AA32</f>
        <v>0</v>
      </c>
      <c r="AB108" s="589">
        <f>AB32</f>
        <v>0</v>
      </c>
      <c r="AC108" s="589">
        <f>AC32</f>
        <v>0</v>
      </c>
      <c r="AD108" s="589">
        <f>AD32</f>
        <v>0</v>
      </c>
      <c r="AE108" s="590">
        <f>AE32</f>
        <v>3608310</v>
      </c>
      <c r="AF108" s="517">
        <f t="shared" si="47"/>
        <v>3608310</v>
      </c>
      <c r="AG108" s="158"/>
    </row>
    <row r="109" spans="2:33" ht="13.5" customHeight="1">
      <c r="B109" s="737"/>
      <c r="C109" s="742"/>
      <c r="D109" s="747"/>
      <c r="E109" s="164" t="s">
        <v>13</v>
      </c>
      <c r="F109" s="150" t="s">
        <v>504</v>
      </c>
      <c r="G109" s="530">
        <f>G107</f>
        <v>0</v>
      </c>
      <c r="H109" s="531">
        <f>H107</f>
        <v>-4966975</v>
      </c>
      <c r="I109" s="531">
        <f>I107</f>
        <v>1419128</v>
      </c>
      <c r="J109" s="531">
        <f>J107</f>
        <v>23434</v>
      </c>
      <c r="K109" s="532">
        <f>K107</f>
        <v>1208216803</v>
      </c>
      <c r="L109" s="524">
        <f t="shared" si="43"/>
        <v>1204692390</v>
      </c>
      <c r="M109" s="163"/>
      <c r="N109" s="150" t="s">
        <v>504</v>
      </c>
      <c r="O109" s="527">
        <f t="shared" si="44"/>
        <v>0</v>
      </c>
      <c r="P109" s="528">
        <f t="shared" si="44"/>
        <v>-6208719</v>
      </c>
      <c r="Q109" s="528">
        <f t="shared" si="44"/>
        <v>1802070</v>
      </c>
      <c r="R109" s="528">
        <f t="shared" si="44"/>
        <v>30044</v>
      </c>
      <c r="S109" s="529">
        <f t="shared" si="45"/>
        <v>1548995900</v>
      </c>
      <c r="T109" s="524">
        <f t="shared" si="45"/>
        <v>1544619295</v>
      </c>
      <c r="U109" s="530">
        <f>U107</f>
        <v>0</v>
      </c>
      <c r="V109" s="531">
        <f>V107</f>
        <v>53380</v>
      </c>
      <c r="W109" s="531">
        <f>W107</f>
        <v>1884820</v>
      </c>
      <c r="X109" s="531">
        <f>X107</f>
        <v>27332</v>
      </c>
      <c r="Y109" s="532">
        <f>Y107</f>
        <v>615449755</v>
      </c>
      <c r="Z109" s="524">
        <f t="shared" si="46"/>
        <v>617415287</v>
      </c>
      <c r="AA109" s="530">
        <f>AA107</f>
        <v>0</v>
      </c>
      <c r="AB109" s="531">
        <f>AB107</f>
        <v>-6262099</v>
      </c>
      <c r="AC109" s="531">
        <f>AC107</f>
        <v>-82750</v>
      </c>
      <c r="AD109" s="531">
        <f>AD107</f>
        <v>2712</v>
      </c>
      <c r="AE109" s="532">
        <f>AE107</f>
        <v>933546145</v>
      </c>
      <c r="AF109" s="524">
        <f t="shared" si="47"/>
        <v>927204008</v>
      </c>
      <c r="AG109" s="163"/>
    </row>
    <row r="110" spans="2:33" ht="13.5" customHeight="1">
      <c r="B110" s="737"/>
      <c r="C110" s="742"/>
      <c r="D110" s="747"/>
      <c r="E110" s="166" t="s">
        <v>11</v>
      </c>
      <c r="F110" s="150" t="s">
        <v>502</v>
      </c>
      <c r="G110" s="530">
        <f>ROUNDDOWN(G108-G109,-2)</f>
        <v>0</v>
      </c>
      <c r="H110" s="531">
        <f>ROUNDDOWN(H108-H109,-2)</f>
        <v>4966900</v>
      </c>
      <c r="I110" s="531">
        <f>ROUNDDOWN(I108-I109,-2)</f>
        <v>-1416400</v>
      </c>
      <c r="J110" s="531">
        <f>ROUNDDOWN(J108-J109,-2)</f>
        <v>-23400</v>
      </c>
      <c r="K110" s="532">
        <f>ROUNDDOWN(K108-K109,-2)</f>
        <v>264543700</v>
      </c>
      <c r="L110" s="524">
        <f t="shared" si="43"/>
        <v>268070800</v>
      </c>
      <c r="M110" s="163" t="s">
        <v>503</v>
      </c>
      <c r="N110" s="150" t="s">
        <v>502</v>
      </c>
      <c r="O110" s="527">
        <f t="shared" si="44"/>
        <v>0</v>
      </c>
      <c r="P110" s="528">
        <f t="shared" si="44"/>
        <v>6208719</v>
      </c>
      <c r="Q110" s="528">
        <f t="shared" si="44"/>
        <v>-1798585</v>
      </c>
      <c r="R110" s="528">
        <f t="shared" si="44"/>
        <v>-30044</v>
      </c>
      <c r="S110" s="529">
        <f t="shared" si="45"/>
        <v>339158639</v>
      </c>
      <c r="T110" s="524">
        <f t="shared" si="45"/>
        <v>343538729</v>
      </c>
      <c r="U110" s="530">
        <f>ROUNDDOWN(U108-U109,0)</f>
        <v>0</v>
      </c>
      <c r="V110" s="531">
        <f>ROUNDDOWN(V108-V109,0)</f>
        <v>-53380</v>
      </c>
      <c r="W110" s="531">
        <f>ROUNDDOWN(W108-W109,0)</f>
        <v>-1881335</v>
      </c>
      <c r="X110" s="531">
        <f>ROUNDDOWN(X108-X109,0)</f>
        <v>-27332</v>
      </c>
      <c r="Y110" s="532">
        <f>ROUNDDOWN(Y108-Y109,0)</f>
        <v>1269096474</v>
      </c>
      <c r="Z110" s="524">
        <f t="shared" si="46"/>
        <v>1267134427</v>
      </c>
      <c r="AA110" s="530">
        <f>ROUNDDOWN(AA108-AA109,0)</f>
        <v>0</v>
      </c>
      <c r="AB110" s="531">
        <f>ROUNDDOWN(AB108-AB109,0)</f>
        <v>6262099</v>
      </c>
      <c r="AC110" s="531">
        <f>ROUNDDOWN(AC108-AC109,0)</f>
        <v>82750</v>
      </c>
      <c r="AD110" s="531">
        <f>ROUNDDOWN(AD108-AD109,0)</f>
        <v>-2712</v>
      </c>
      <c r="AE110" s="532">
        <f>ROUNDDOWN(AE108-AE109,0)</f>
        <v>-929937835</v>
      </c>
      <c r="AF110" s="524">
        <f t="shared" si="47"/>
        <v>-923595698</v>
      </c>
      <c r="AG110" s="163"/>
    </row>
    <row r="111" spans="2:33" ht="13.5" customHeight="1">
      <c r="B111" s="737"/>
      <c r="C111" s="742"/>
      <c r="D111" s="747"/>
      <c r="E111" s="166" t="s">
        <v>226</v>
      </c>
      <c r="F111" s="150" t="s">
        <v>500</v>
      </c>
      <c r="G111" s="530"/>
      <c r="H111" s="531"/>
      <c r="I111" s="531"/>
      <c r="J111" s="531"/>
      <c r="K111" s="532"/>
      <c r="L111" s="550">
        <f>+基礎数値!$I22</f>
        <v>365767600</v>
      </c>
      <c r="M111" s="163" t="s">
        <v>501</v>
      </c>
      <c r="N111" s="150" t="s">
        <v>500</v>
      </c>
      <c r="O111" s="527"/>
      <c r="P111" s="528"/>
      <c r="Q111" s="528"/>
      <c r="R111" s="528"/>
      <c r="S111" s="529"/>
      <c r="T111" s="550">
        <f>+基礎数値!$I22+基礎数値!$I23</f>
        <v>468932200</v>
      </c>
      <c r="U111" s="530"/>
      <c r="V111" s="531"/>
      <c r="W111" s="531"/>
      <c r="X111" s="531"/>
      <c r="Y111" s="532"/>
      <c r="Z111" s="784">
        <f>T111</f>
        <v>468932200</v>
      </c>
      <c r="AA111" s="530"/>
      <c r="AB111" s="531"/>
      <c r="AC111" s="531"/>
      <c r="AD111" s="531"/>
      <c r="AE111" s="532"/>
      <c r="AF111" s="525"/>
      <c r="AG111" s="163"/>
    </row>
    <row r="112" spans="2:33" ht="13.5" customHeight="1">
      <c r="B112" s="737"/>
      <c r="C112" s="740"/>
      <c r="D112" s="748"/>
      <c r="E112" s="162" t="s">
        <v>499</v>
      </c>
      <c r="F112" s="146" t="s">
        <v>497</v>
      </c>
      <c r="G112" s="533"/>
      <c r="H112" s="534"/>
      <c r="I112" s="534"/>
      <c r="J112" s="534"/>
      <c r="K112" s="535"/>
      <c r="L112" s="536">
        <f>+L110-L111</f>
        <v>-97696800</v>
      </c>
      <c r="M112" s="161" t="s">
        <v>498</v>
      </c>
      <c r="N112" s="146" t="s">
        <v>497</v>
      </c>
      <c r="O112" s="538"/>
      <c r="P112" s="539"/>
      <c r="Q112" s="539"/>
      <c r="R112" s="539"/>
      <c r="S112" s="540"/>
      <c r="T112" s="536">
        <f>+Z112+AF112</f>
        <v>-125393471</v>
      </c>
      <c r="U112" s="533"/>
      <c r="V112" s="534"/>
      <c r="W112" s="534"/>
      <c r="X112" s="534"/>
      <c r="Y112" s="535"/>
      <c r="Z112" s="536">
        <f>+Z110-Z111</f>
        <v>798202227</v>
      </c>
      <c r="AA112" s="533"/>
      <c r="AB112" s="534"/>
      <c r="AC112" s="534"/>
      <c r="AD112" s="534"/>
      <c r="AE112" s="535"/>
      <c r="AF112" s="536">
        <f>+AF110-AF111</f>
        <v>-923595698</v>
      </c>
      <c r="AG112" s="161"/>
    </row>
    <row r="113" spans="2:36" ht="13.5" customHeight="1">
      <c r="B113" s="737"/>
      <c r="C113" s="739">
        <v>3</v>
      </c>
      <c r="D113" s="746" t="s">
        <v>7</v>
      </c>
      <c r="E113" s="160" t="s">
        <v>6</v>
      </c>
      <c r="F113" s="165" t="s">
        <v>495</v>
      </c>
      <c r="G113" s="588">
        <f>G110</f>
        <v>0</v>
      </c>
      <c r="H113" s="589">
        <f>H110</f>
        <v>4966900</v>
      </c>
      <c r="I113" s="589">
        <f>I110</f>
        <v>-1416400</v>
      </c>
      <c r="J113" s="589">
        <f>J110</f>
        <v>-23400</v>
      </c>
      <c r="K113" s="590">
        <f>K110</f>
        <v>264543700</v>
      </c>
      <c r="L113" s="517">
        <f>+SUM(G113:K113)</f>
        <v>268070800</v>
      </c>
      <c r="M113" s="158" t="s">
        <v>496</v>
      </c>
      <c r="N113" s="165" t="s">
        <v>495</v>
      </c>
      <c r="O113" s="607"/>
      <c r="P113" s="608"/>
      <c r="Q113" s="608"/>
      <c r="R113" s="608"/>
      <c r="S113" s="609"/>
      <c r="T113" s="610">
        <f>+Z113+AF113</f>
        <v>0</v>
      </c>
      <c r="U113" s="607"/>
      <c r="V113" s="608"/>
      <c r="W113" s="608"/>
      <c r="X113" s="608"/>
      <c r="Y113" s="609"/>
      <c r="Z113" s="610">
        <f>+SUM(U113:Y113)</f>
        <v>0</v>
      </c>
      <c r="AA113" s="607"/>
      <c r="AB113" s="608"/>
      <c r="AC113" s="608"/>
      <c r="AD113" s="608"/>
      <c r="AE113" s="609"/>
      <c r="AF113" s="610">
        <f>+SUM(AA113:AE113)</f>
        <v>0</v>
      </c>
      <c r="AG113" s="158"/>
    </row>
    <row r="114" spans="2:36" ht="13.5" customHeight="1">
      <c r="B114" s="737"/>
      <c r="C114" s="742"/>
      <c r="D114" s="747"/>
      <c r="E114" s="164" t="s">
        <v>4</v>
      </c>
      <c r="F114" s="150" t="s">
        <v>493</v>
      </c>
      <c r="G114" s="530">
        <f>ROUNDDOWN(G113*G$2/G$1,-2)</f>
        <v>0</v>
      </c>
      <c r="H114" s="531">
        <f>ROUNDDOWN(H113*H$2/H$1,-2)</f>
        <v>1241700</v>
      </c>
      <c r="I114" s="531">
        <f>ROUNDDOWN(I113*I$2/I$1,-2)</f>
        <v>-382200</v>
      </c>
      <c r="J114" s="531">
        <f>ROUNDDOWN(J113*J$2/J$1,-2)</f>
        <v>-6600</v>
      </c>
      <c r="K114" s="532">
        <f>ROUNDDOWN(K113*K$2/K$1,-2)</f>
        <v>74614800</v>
      </c>
      <c r="L114" s="524">
        <f>+SUM(G114:K114)</f>
        <v>75467700</v>
      </c>
      <c r="M114" s="163" t="s">
        <v>494</v>
      </c>
      <c r="N114" s="150" t="s">
        <v>493</v>
      </c>
      <c r="O114" s="551"/>
      <c r="P114" s="552"/>
      <c r="Q114" s="552"/>
      <c r="R114" s="552"/>
      <c r="S114" s="553"/>
      <c r="T114" s="554">
        <f>+Z114+AF114</f>
        <v>0</v>
      </c>
      <c r="U114" s="551"/>
      <c r="V114" s="552"/>
      <c r="W114" s="552"/>
      <c r="X114" s="552"/>
      <c r="Y114" s="553"/>
      <c r="Z114" s="554">
        <f>+SUM(U114:Y114)</f>
        <v>0</v>
      </c>
      <c r="AA114" s="551"/>
      <c r="AB114" s="552"/>
      <c r="AC114" s="552"/>
      <c r="AD114" s="552"/>
      <c r="AE114" s="553"/>
      <c r="AF114" s="554">
        <f>+SUM(AA114:AE114)</f>
        <v>0</v>
      </c>
      <c r="AG114" s="163"/>
    </row>
    <row r="115" spans="2:36" ht="13.5" customHeight="1">
      <c r="B115" s="737"/>
      <c r="C115" s="742"/>
      <c r="D115" s="747"/>
      <c r="E115" s="164" t="s">
        <v>226</v>
      </c>
      <c r="F115" s="150" t="s">
        <v>491</v>
      </c>
      <c r="G115" s="530"/>
      <c r="H115" s="531"/>
      <c r="I115" s="531"/>
      <c r="J115" s="531"/>
      <c r="K115" s="532"/>
      <c r="L115" s="550">
        <f>+基礎数値!$I23</f>
        <v>103164600</v>
      </c>
      <c r="M115" s="163" t="s">
        <v>492</v>
      </c>
      <c r="N115" s="150" t="s">
        <v>491</v>
      </c>
      <c r="O115" s="551"/>
      <c r="P115" s="552"/>
      <c r="Q115" s="552"/>
      <c r="R115" s="552"/>
      <c r="S115" s="553"/>
      <c r="T115" s="554"/>
      <c r="U115" s="551"/>
      <c r="V115" s="552"/>
      <c r="W115" s="552"/>
      <c r="X115" s="552"/>
      <c r="Y115" s="553"/>
      <c r="Z115" s="554"/>
      <c r="AA115" s="551"/>
      <c r="AB115" s="552"/>
      <c r="AC115" s="552"/>
      <c r="AD115" s="552"/>
      <c r="AE115" s="553"/>
      <c r="AF115" s="554"/>
      <c r="AG115" s="163"/>
    </row>
    <row r="116" spans="2:36" ht="13.5" customHeight="1">
      <c r="B116" s="737"/>
      <c r="C116" s="740"/>
      <c r="D116" s="748"/>
      <c r="E116" s="162" t="s">
        <v>490</v>
      </c>
      <c r="F116" s="146" t="s">
        <v>488</v>
      </c>
      <c r="G116" s="533"/>
      <c r="H116" s="534"/>
      <c r="I116" s="534"/>
      <c r="J116" s="534"/>
      <c r="K116" s="535"/>
      <c r="L116" s="536">
        <f>+L114-L115</f>
        <v>-27696900</v>
      </c>
      <c r="M116" s="161" t="s">
        <v>489</v>
      </c>
      <c r="N116" s="146" t="s">
        <v>488</v>
      </c>
      <c r="O116" s="556"/>
      <c r="P116" s="557"/>
      <c r="Q116" s="557"/>
      <c r="R116" s="557"/>
      <c r="S116" s="558"/>
      <c r="T116" s="611">
        <f t="shared" ref="T116:T122" si="48">+Z116+AF116</f>
        <v>0</v>
      </c>
      <c r="U116" s="556"/>
      <c r="V116" s="557"/>
      <c r="W116" s="557"/>
      <c r="X116" s="557"/>
      <c r="Y116" s="558"/>
      <c r="Z116" s="611">
        <f>+Z114-Z115</f>
        <v>0</v>
      </c>
      <c r="AA116" s="556"/>
      <c r="AB116" s="557"/>
      <c r="AC116" s="557"/>
      <c r="AD116" s="557"/>
      <c r="AE116" s="558"/>
      <c r="AF116" s="611">
        <f>+AF114-AF115</f>
        <v>0</v>
      </c>
      <c r="AG116" s="161"/>
    </row>
    <row r="117" spans="2:36" ht="24" customHeight="1">
      <c r="B117" s="737"/>
      <c r="C117" s="144">
        <v>4</v>
      </c>
      <c r="D117" s="143" t="s">
        <v>487</v>
      </c>
      <c r="E117" s="142" t="s">
        <v>486</v>
      </c>
      <c r="F117" s="141" t="s">
        <v>484</v>
      </c>
      <c r="G117" s="612"/>
      <c r="H117" s="613"/>
      <c r="I117" s="613"/>
      <c r="J117" s="613"/>
      <c r="K117" s="614"/>
      <c r="L117" s="615">
        <f>+L112+L116</f>
        <v>-125393700</v>
      </c>
      <c r="M117" s="140" t="s">
        <v>485</v>
      </c>
      <c r="N117" s="141" t="s">
        <v>484</v>
      </c>
      <c r="O117" s="616"/>
      <c r="P117" s="617"/>
      <c r="Q117" s="617"/>
      <c r="R117" s="617"/>
      <c r="S117" s="618"/>
      <c r="T117" s="615">
        <f t="shared" si="48"/>
        <v>-125393471</v>
      </c>
      <c r="U117" s="612"/>
      <c r="V117" s="613"/>
      <c r="W117" s="613"/>
      <c r="X117" s="613"/>
      <c r="Y117" s="614"/>
      <c r="Z117" s="615">
        <f>+Z112+Z116</f>
        <v>798202227</v>
      </c>
      <c r="AA117" s="612"/>
      <c r="AB117" s="613"/>
      <c r="AC117" s="613"/>
      <c r="AD117" s="613"/>
      <c r="AE117" s="614"/>
      <c r="AF117" s="615">
        <f>+AF112+AF116</f>
        <v>-923595698</v>
      </c>
      <c r="AG117" s="140"/>
    </row>
    <row r="118" spans="2:36" ht="24" customHeight="1">
      <c r="B118" s="738"/>
      <c r="C118" s="144">
        <v>5</v>
      </c>
      <c r="D118" s="143" t="s">
        <v>483</v>
      </c>
      <c r="E118" s="142" t="s">
        <v>482</v>
      </c>
      <c r="F118" s="141" t="s">
        <v>481</v>
      </c>
      <c r="G118" s="612"/>
      <c r="H118" s="613"/>
      <c r="I118" s="613"/>
      <c r="J118" s="613"/>
      <c r="K118" s="614"/>
      <c r="L118" s="615">
        <f>+L110+L114</f>
        <v>343538500</v>
      </c>
      <c r="M118" s="140"/>
      <c r="N118" s="141" t="s">
        <v>481</v>
      </c>
      <c r="O118" s="616"/>
      <c r="P118" s="617"/>
      <c r="Q118" s="617"/>
      <c r="R118" s="617"/>
      <c r="S118" s="618"/>
      <c r="T118" s="615">
        <f t="shared" si="48"/>
        <v>343538729</v>
      </c>
      <c r="U118" s="612"/>
      <c r="V118" s="613"/>
      <c r="W118" s="613"/>
      <c r="X118" s="613"/>
      <c r="Y118" s="614"/>
      <c r="Z118" s="615">
        <f>+Z110+Z114</f>
        <v>1267134427</v>
      </c>
      <c r="AA118" s="612"/>
      <c r="AB118" s="613"/>
      <c r="AC118" s="613"/>
      <c r="AD118" s="613"/>
      <c r="AE118" s="614"/>
      <c r="AF118" s="615">
        <f>+AF110+AF114</f>
        <v>-923595698</v>
      </c>
      <c r="AG118" s="140"/>
    </row>
    <row r="119" spans="2:36" ht="13.5" customHeight="1">
      <c r="B119" s="751" t="s">
        <v>480</v>
      </c>
      <c r="C119" s="754">
        <v>1</v>
      </c>
      <c r="D119" s="746" t="s">
        <v>479</v>
      </c>
      <c r="E119" s="160" t="s">
        <v>478</v>
      </c>
      <c r="F119" s="159" t="s">
        <v>477</v>
      </c>
      <c r="G119" s="588"/>
      <c r="H119" s="589"/>
      <c r="I119" s="589"/>
      <c r="J119" s="589"/>
      <c r="K119" s="590"/>
      <c r="L119" s="517"/>
      <c r="M119" s="158"/>
      <c r="N119" s="159" t="s">
        <v>477</v>
      </c>
      <c r="O119" s="518"/>
      <c r="P119" s="519"/>
      <c r="Q119" s="519"/>
      <c r="R119" s="519"/>
      <c r="S119" s="520"/>
      <c r="T119" s="517">
        <f t="shared" si="48"/>
        <v>759576244</v>
      </c>
      <c r="U119" s="588"/>
      <c r="V119" s="589"/>
      <c r="W119" s="589"/>
      <c r="X119" s="589"/>
      <c r="Y119" s="590"/>
      <c r="Z119" s="517">
        <f>+Z91</f>
        <v>210253123</v>
      </c>
      <c r="AA119" s="588"/>
      <c r="AB119" s="589"/>
      <c r="AC119" s="589"/>
      <c r="AD119" s="589"/>
      <c r="AE119" s="590"/>
      <c r="AF119" s="517">
        <f>+AF91</f>
        <v>549323121</v>
      </c>
      <c r="AG119" s="158"/>
    </row>
    <row r="120" spans="2:36" ht="24" customHeight="1">
      <c r="B120" s="752"/>
      <c r="C120" s="755"/>
      <c r="D120" s="747"/>
      <c r="E120" s="157" t="s">
        <v>763</v>
      </c>
      <c r="F120" s="156" t="s">
        <v>476</v>
      </c>
      <c r="G120" s="619"/>
      <c r="H120" s="620"/>
      <c r="I120" s="620"/>
      <c r="J120" s="620"/>
      <c r="K120" s="545"/>
      <c r="L120" s="621"/>
      <c r="M120" s="155"/>
      <c r="N120" s="156" t="s">
        <v>476</v>
      </c>
      <c r="O120" s="622"/>
      <c r="P120" s="623"/>
      <c r="Q120" s="623"/>
      <c r="R120" s="623"/>
      <c r="S120" s="624"/>
      <c r="T120" s="621">
        <f t="shared" si="48"/>
        <v>8354582</v>
      </c>
      <c r="U120" s="625"/>
      <c r="V120" s="620"/>
      <c r="W120" s="620"/>
      <c r="X120" s="620"/>
      <c r="Y120" s="545"/>
      <c r="Z120" s="621">
        <f>+Z67-Z89</f>
        <v>2995156</v>
      </c>
      <c r="AA120" s="619"/>
      <c r="AB120" s="620"/>
      <c r="AC120" s="620"/>
      <c r="AD120" s="620"/>
      <c r="AE120" s="545"/>
      <c r="AF120" s="621">
        <f>+AF67-AF89</f>
        <v>5359426</v>
      </c>
      <c r="AG120" s="154"/>
    </row>
    <row r="121" spans="2:36" ht="21" customHeight="1">
      <c r="B121" s="752"/>
      <c r="C121" s="755"/>
      <c r="D121" s="747"/>
      <c r="E121" s="153" t="s">
        <v>475</v>
      </c>
      <c r="F121" s="150" t="s">
        <v>474</v>
      </c>
      <c r="G121" s="626"/>
      <c r="H121" s="627"/>
      <c r="I121" s="627"/>
      <c r="J121" s="627"/>
      <c r="K121" s="526"/>
      <c r="L121" s="628"/>
      <c r="M121" s="152"/>
      <c r="N121" s="150" t="s">
        <v>474</v>
      </c>
      <c r="O121" s="629"/>
      <c r="P121" s="630"/>
      <c r="Q121" s="630"/>
      <c r="R121" s="630"/>
      <c r="S121" s="631"/>
      <c r="T121" s="628">
        <f t="shared" si="48"/>
        <v>2750799</v>
      </c>
      <c r="U121" s="626"/>
      <c r="V121" s="627"/>
      <c r="W121" s="627"/>
      <c r="X121" s="627"/>
      <c r="Y121" s="526"/>
      <c r="Z121" s="628">
        <f>+Z91-Z100</f>
        <v>761431</v>
      </c>
      <c r="AA121" s="626"/>
      <c r="AB121" s="627"/>
      <c r="AC121" s="627"/>
      <c r="AD121" s="627"/>
      <c r="AE121" s="526"/>
      <c r="AF121" s="628">
        <f>+AF91-AF100</f>
        <v>1989368</v>
      </c>
      <c r="AG121" s="149"/>
    </row>
    <row r="122" spans="2:36" ht="12.75" customHeight="1">
      <c r="B122" s="752"/>
      <c r="C122" s="755"/>
      <c r="D122" s="747"/>
      <c r="E122" s="417" t="s">
        <v>764</v>
      </c>
      <c r="F122" s="418" t="s">
        <v>473</v>
      </c>
      <c r="G122" s="632"/>
      <c r="H122" s="633"/>
      <c r="I122" s="633"/>
      <c r="J122" s="633"/>
      <c r="K122" s="595"/>
      <c r="L122" s="634"/>
      <c r="M122" s="420"/>
      <c r="N122" s="418" t="s">
        <v>472</v>
      </c>
      <c r="O122" s="635"/>
      <c r="P122" s="636"/>
      <c r="Q122" s="636"/>
      <c r="R122" s="636"/>
      <c r="S122" s="637"/>
      <c r="T122" s="634">
        <f t="shared" si="48"/>
        <v>5603783</v>
      </c>
      <c r="U122" s="632"/>
      <c r="V122" s="633"/>
      <c r="W122" s="633"/>
      <c r="X122" s="633"/>
      <c r="Y122" s="595"/>
      <c r="Z122" s="634">
        <f>+Z120-Z121</f>
        <v>2233725</v>
      </c>
      <c r="AA122" s="632"/>
      <c r="AB122" s="633"/>
      <c r="AC122" s="633"/>
      <c r="AD122" s="633"/>
      <c r="AE122" s="595"/>
      <c r="AF122" s="634">
        <f>+AF120-AF121</f>
        <v>3370058</v>
      </c>
      <c r="AG122" s="421"/>
    </row>
    <row r="123" spans="2:36" s="660" customFormat="1" ht="12.75" customHeight="1">
      <c r="B123" s="752"/>
      <c r="C123" s="755"/>
      <c r="D123" s="747"/>
      <c r="E123" s="653" t="s">
        <v>1191</v>
      </c>
      <c r="F123" s="654"/>
      <c r="G123" s="655"/>
      <c r="H123" s="656"/>
      <c r="I123" s="656"/>
      <c r="J123" s="656"/>
      <c r="K123" s="657"/>
      <c r="L123" s="658"/>
      <c r="M123" s="659"/>
      <c r="N123" s="654"/>
      <c r="O123" s="655"/>
      <c r="P123" s="656"/>
      <c r="Q123" s="656"/>
      <c r="R123" s="656"/>
      <c r="S123" s="657"/>
      <c r="T123" s="658">
        <f>T60</f>
        <v>629</v>
      </c>
      <c r="U123" s="655"/>
      <c r="V123" s="656"/>
      <c r="W123" s="656"/>
      <c r="X123" s="656"/>
      <c r="Y123" s="657"/>
      <c r="Z123" s="658">
        <f>Z60</f>
        <v>629</v>
      </c>
      <c r="AA123" s="655"/>
      <c r="AB123" s="656"/>
      <c r="AC123" s="656"/>
      <c r="AD123" s="656"/>
      <c r="AE123" s="657"/>
      <c r="AF123" s="658">
        <f>AF60</f>
        <v>0</v>
      </c>
      <c r="AG123" s="659"/>
      <c r="AJ123" s="661"/>
    </row>
    <row r="124" spans="2:36" ht="12" customHeight="1">
      <c r="B124" s="752"/>
      <c r="C124" s="756"/>
      <c r="D124" s="748"/>
      <c r="E124" s="162" t="s">
        <v>469</v>
      </c>
      <c r="F124" s="204" t="s">
        <v>766</v>
      </c>
      <c r="G124" s="533"/>
      <c r="H124" s="534"/>
      <c r="I124" s="534"/>
      <c r="J124" s="534"/>
      <c r="K124" s="535"/>
      <c r="L124" s="536"/>
      <c r="M124" s="161"/>
      <c r="N124" s="204" t="s">
        <v>766</v>
      </c>
      <c r="O124" s="538"/>
      <c r="P124" s="539"/>
      <c r="Q124" s="539"/>
      <c r="R124" s="539"/>
      <c r="S124" s="540"/>
      <c r="T124" s="536">
        <f>+T119+T122+T123</f>
        <v>765180656</v>
      </c>
      <c r="U124" s="533"/>
      <c r="V124" s="534"/>
      <c r="W124" s="534"/>
      <c r="X124" s="534"/>
      <c r="Y124" s="535"/>
      <c r="Z124" s="536">
        <f>+Z119+Z122+Z123</f>
        <v>212487477</v>
      </c>
      <c r="AA124" s="533"/>
      <c r="AB124" s="534"/>
      <c r="AC124" s="534"/>
      <c r="AD124" s="534"/>
      <c r="AE124" s="535"/>
      <c r="AF124" s="536">
        <f>+AF119+AF122+AF123</f>
        <v>552693179</v>
      </c>
      <c r="AG124" s="161"/>
    </row>
    <row r="125" spans="2:36" ht="12" customHeight="1">
      <c r="B125" s="753"/>
      <c r="C125" s="215">
        <v>2</v>
      </c>
      <c r="D125" s="416" t="s">
        <v>765</v>
      </c>
      <c r="E125" s="148" t="s">
        <v>471</v>
      </c>
      <c r="F125" s="146" t="s">
        <v>470</v>
      </c>
      <c r="G125" s="638"/>
      <c r="H125" s="639"/>
      <c r="I125" s="639"/>
      <c r="J125" s="639"/>
      <c r="K125" s="537"/>
      <c r="L125" s="640"/>
      <c r="M125" s="147"/>
      <c r="N125" s="146" t="s">
        <v>470</v>
      </c>
      <c r="O125" s="641"/>
      <c r="P125" s="642"/>
      <c r="Q125" s="642"/>
      <c r="R125" s="642"/>
      <c r="S125" s="643"/>
      <c r="T125" s="640">
        <f>+Z125+AF125</f>
        <v>1880565</v>
      </c>
      <c r="U125" s="638"/>
      <c r="V125" s="639"/>
      <c r="W125" s="639"/>
      <c r="X125" s="639"/>
      <c r="Y125" s="537"/>
      <c r="Z125" s="640">
        <f>+Z106</f>
        <v>1880565</v>
      </c>
      <c r="AA125" s="638"/>
      <c r="AB125" s="639"/>
      <c r="AC125" s="639"/>
      <c r="AD125" s="639"/>
      <c r="AE125" s="537"/>
      <c r="AF125" s="640">
        <f>+AF106</f>
        <v>0</v>
      </c>
      <c r="AG125" s="145"/>
    </row>
    <row r="126" spans="2:36" ht="24" customHeight="1">
      <c r="E126" s="139"/>
      <c r="G126" s="34"/>
      <c r="H126" s="34"/>
      <c r="I126" s="34"/>
      <c r="J126" s="34"/>
      <c r="K126" s="34"/>
      <c r="L126" s="644"/>
      <c r="M126" s="1"/>
      <c r="O126" s="34"/>
      <c r="P126" s="34"/>
      <c r="Q126" s="34"/>
      <c r="R126" s="34"/>
      <c r="S126" s="34"/>
      <c r="T126" s="644"/>
      <c r="U126" s="34"/>
      <c r="V126" s="34"/>
      <c r="W126" s="34"/>
      <c r="X126" s="34"/>
      <c r="Y126" s="34"/>
      <c r="Z126" s="644"/>
      <c r="AA126" s="34"/>
      <c r="AB126" s="34"/>
      <c r="AC126" s="34"/>
      <c r="AD126" s="34"/>
      <c r="AE126" s="34"/>
      <c r="AF126" s="644"/>
    </row>
    <row r="127" spans="2:36" ht="13.5" customHeight="1">
      <c r="D127" s="424" t="s">
        <v>773</v>
      </c>
      <c r="E127" s="422" t="s">
        <v>787</v>
      </c>
      <c r="F127" s="151"/>
      <c r="G127" s="627"/>
      <c r="H127" s="627"/>
      <c r="I127" s="627"/>
      <c r="J127" s="627"/>
      <c r="K127" s="627"/>
      <c r="L127" s="645"/>
      <c r="M127" s="429"/>
      <c r="N127" s="429"/>
      <c r="O127" s="627"/>
      <c r="P127" s="645"/>
      <c r="Q127" s="645"/>
      <c r="R127" s="645"/>
      <c r="S127" s="627"/>
      <c r="T127" s="645"/>
      <c r="U127" s="645">
        <f>+'[3]3条支出'!N$41</f>
        <v>0</v>
      </c>
      <c r="V127" s="645">
        <f>+'[3]3条支出'!O$41</f>
        <v>0</v>
      </c>
      <c r="W127" s="645">
        <f>+'[3]3条支出'!P$41</f>
        <v>91566</v>
      </c>
      <c r="X127" s="645">
        <f>+'[3]3条支出'!Q$41</f>
        <v>37102</v>
      </c>
      <c r="Y127" s="645">
        <f>+'[3]3条支出'!R$41-Y60</f>
        <v>827892902</v>
      </c>
      <c r="Z127" s="645">
        <f>+SUM(U127:Y127)</f>
        <v>828021570</v>
      </c>
      <c r="AA127" s="645">
        <f>+'[5]4条支出'!N41</f>
        <v>0</v>
      </c>
      <c r="AB127" s="645">
        <f>+'[5]4条支出'!O41</f>
        <v>0</v>
      </c>
      <c r="AC127" s="645">
        <f>+'[5]4条支出'!P41</f>
        <v>9312</v>
      </c>
      <c r="AD127" s="645">
        <f>+'[5]4条支出'!Q41</f>
        <v>2728</v>
      </c>
      <c r="AE127" s="645">
        <f>+'[5]4条支出'!R41</f>
        <v>1479885147</v>
      </c>
      <c r="AF127" s="645">
        <f>+SUM(AA127:AE127)</f>
        <v>1479897187</v>
      </c>
      <c r="AG127" s="422"/>
    </row>
    <row r="128" spans="2:36" ht="13.5" customHeight="1">
      <c r="D128" s="424"/>
      <c r="E128" s="422" t="s">
        <v>774</v>
      </c>
      <c r="F128" s="151"/>
      <c r="G128" s="627"/>
      <c r="H128" s="627"/>
      <c r="I128" s="627"/>
      <c r="J128" s="627"/>
      <c r="K128" s="627"/>
      <c r="L128" s="645"/>
      <c r="M128" s="429"/>
      <c r="N128" s="429"/>
      <c r="O128" s="627"/>
      <c r="P128" s="645"/>
      <c r="Q128" s="645"/>
      <c r="R128" s="645"/>
      <c r="S128" s="627"/>
      <c r="T128" s="645"/>
      <c r="U128" s="645">
        <f t="shared" ref="U128" si="49">+U67+U104</f>
        <v>0</v>
      </c>
      <c r="V128" s="645">
        <f>+V67+V104</f>
        <v>0</v>
      </c>
      <c r="W128" s="645">
        <f>+W67+W104+ROUNDDOWN(W28*W$7/(1+W$7),0)</f>
        <v>91566</v>
      </c>
      <c r="X128" s="645">
        <f>+X67+X104+ROUNDDOWN(X28*X$7/(1+X$7),0)</f>
        <v>37102</v>
      </c>
      <c r="Y128" s="645">
        <f>+Y67+Y104</f>
        <v>827892902</v>
      </c>
      <c r="Z128" s="645">
        <f t="shared" ref="Z128:Z129" si="50">+SUM(U128:Y128)</f>
        <v>828021570</v>
      </c>
      <c r="AA128" s="645">
        <f t="shared" ref="AA128" si="51">+AA67+AA104</f>
        <v>0</v>
      </c>
      <c r="AB128" s="645">
        <f>+AB67+AB104</f>
        <v>0</v>
      </c>
      <c r="AC128" s="645">
        <f t="shared" ref="AC128:AE128" si="52">+AC67+AC104</f>
        <v>9312</v>
      </c>
      <c r="AD128" s="645">
        <f t="shared" ref="AD128" si="53">+AD67+AD104</f>
        <v>2728</v>
      </c>
      <c r="AE128" s="645">
        <f t="shared" si="52"/>
        <v>1479885147</v>
      </c>
      <c r="AF128" s="645">
        <f t="shared" ref="AF128:AF129" si="54">+SUM(AA128:AE128)</f>
        <v>1479897187</v>
      </c>
      <c r="AG128" s="422"/>
    </row>
    <row r="129" spans="4:33" ht="13.5" customHeight="1" thickBot="1">
      <c r="E129" s="419" t="s">
        <v>775</v>
      </c>
      <c r="F129" s="419"/>
      <c r="G129" s="633"/>
      <c r="H129" s="633"/>
      <c r="I129" s="633"/>
      <c r="J129" s="633"/>
      <c r="K129" s="633"/>
      <c r="L129" s="646"/>
      <c r="M129" s="432"/>
      <c r="N129" s="430"/>
      <c r="O129" s="646"/>
      <c r="P129" s="646"/>
      <c r="Q129" s="646"/>
      <c r="R129" s="646"/>
      <c r="S129" s="633"/>
      <c r="T129" s="646"/>
      <c r="U129" s="646">
        <f>+U127-U128</f>
        <v>0</v>
      </c>
      <c r="V129" s="646">
        <f>+V127-V128</f>
        <v>0</v>
      </c>
      <c r="W129" s="646">
        <f>+W127-W128</f>
        <v>0</v>
      </c>
      <c r="X129" s="646">
        <f>+X127-X128</f>
        <v>0</v>
      </c>
      <c r="Y129" s="646">
        <f>+Y127-Y128</f>
        <v>0</v>
      </c>
      <c r="Z129" s="646">
        <f t="shared" si="50"/>
        <v>0</v>
      </c>
      <c r="AA129" s="646">
        <f>+AA127-AA128</f>
        <v>0</v>
      </c>
      <c r="AB129" s="646">
        <f>+AB127-AB128</f>
        <v>0</v>
      </c>
      <c r="AC129" s="646">
        <f>+AC127-AC128</f>
        <v>0</v>
      </c>
      <c r="AD129" s="646">
        <f>+AD127-AD128</f>
        <v>0</v>
      </c>
      <c r="AE129" s="646">
        <f>+AE127-AE128</f>
        <v>0</v>
      </c>
      <c r="AF129" s="646">
        <f t="shared" si="54"/>
        <v>0</v>
      </c>
      <c r="AG129" s="423"/>
    </row>
    <row r="130" spans="4:33" ht="13.5" customHeight="1" thickBot="1">
      <c r="E130" s="425" t="s">
        <v>782</v>
      </c>
      <c r="F130" s="426"/>
      <c r="G130" s="647"/>
      <c r="H130" s="647"/>
      <c r="I130" s="647"/>
      <c r="J130" s="647"/>
      <c r="K130" s="647"/>
      <c r="L130" s="648"/>
      <c r="M130" s="436"/>
      <c r="N130" s="435"/>
      <c r="O130" s="647"/>
      <c r="P130" s="648"/>
      <c r="Q130" s="648"/>
      <c r="R130" s="648"/>
      <c r="S130" s="647"/>
      <c r="T130" s="648"/>
      <c r="U130" s="649"/>
      <c r="V130" s="649"/>
      <c r="W130" s="649"/>
      <c r="X130" s="649"/>
      <c r="Y130" s="649"/>
      <c r="Z130" s="648"/>
      <c r="AA130" s="649"/>
      <c r="AB130" s="649"/>
      <c r="AC130" s="649"/>
      <c r="AD130" s="649"/>
      <c r="AE130" s="649"/>
      <c r="AF130" s="648"/>
      <c r="AG130" s="427"/>
    </row>
    <row r="131" spans="4:33" ht="13.5" customHeight="1">
      <c r="G131" s="34"/>
      <c r="H131" s="34"/>
      <c r="I131" s="34"/>
      <c r="J131" s="34"/>
      <c r="K131" s="34"/>
      <c r="L131" s="34"/>
      <c r="O131" s="34"/>
      <c r="P131" s="644"/>
      <c r="Q131" s="644"/>
      <c r="R131" s="644"/>
      <c r="S131" s="34"/>
      <c r="T131" s="644"/>
      <c r="U131" s="644"/>
      <c r="V131" s="644"/>
      <c r="W131" s="644"/>
      <c r="X131" s="644"/>
      <c r="Y131" s="644"/>
      <c r="Z131" s="644"/>
      <c r="AA131" s="644"/>
      <c r="AB131" s="644"/>
      <c r="AC131" s="644"/>
      <c r="AD131" s="644"/>
      <c r="AE131" s="644"/>
      <c r="AF131" s="644"/>
    </row>
    <row r="132" spans="4:33" ht="13.5" customHeight="1">
      <c r="D132" s="424" t="s">
        <v>773</v>
      </c>
      <c r="E132" s="422" t="s">
        <v>780</v>
      </c>
      <c r="F132" s="151"/>
      <c r="G132" s="627"/>
      <c r="H132" s="627"/>
      <c r="I132" s="627"/>
      <c r="J132" s="627"/>
      <c r="K132" s="627"/>
      <c r="L132" s="645"/>
      <c r="M132" s="429"/>
      <c r="N132" s="429"/>
      <c r="O132" s="627"/>
      <c r="P132" s="645"/>
      <c r="Q132" s="645"/>
      <c r="R132" s="645"/>
      <c r="S132" s="627"/>
      <c r="T132" s="645"/>
      <c r="U132" s="650"/>
      <c r="V132" s="650"/>
      <c r="W132" s="650"/>
      <c r="X132" s="650"/>
      <c r="Y132" s="650"/>
      <c r="Z132" s="650"/>
      <c r="AA132" s="645">
        <f>+'[4]4条収入'!W$91</f>
        <v>0</v>
      </c>
      <c r="AB132" s="645">
        <f>+'[4]4条収入'!X$91</f>
        <v>0</v>
      </c>
      <c r="AC132" s="645">
        <f>+'[4]4条収入'!Y$91</f>
        <v>0</v>
      </c>
      <c r="AD132" s="645">
        <f>+'[4]4条収入'!Z$91</f>
        <v>0</v>
      </c>
      <c r="AE132" s="645">
        <f>+'[4]4条収入'!AA$91</f>
        <v>3608310</v>
      </c>
      <c r="AF132" s="645">
        <f>+SUM(AA132:AE132)</f>
        <v>3608310</v>
      </c>
      <c r="AG132" s="422"/>
    </row>
    <row r="133" spans="4:33" ht="13.5" customHeight="1">
      <c r="D133" s="424"/>
      <c r="E133" s="422" t="s">
        <v>777</v>
      </c>
      <c r="F133" s="151"/>
      <c r="G133" s="627"/>
      <c r="H133" s="627"/>
      <c r="I133" s="627"/>
      <c r="J133" s="627"/>
      <c r="K133" s="627"/>
      <c r="L133" s="645"/>
      <c r="M133" s="429"/>
      <c r="N133" s="429"/>
      <c r="O133" s="627"/>
      <c r="P133" s="645"/>
      <c r="Q133" s="645"/>
      <c r="R133" s="645"/>
      <c r="S133" s="627"/>
      <c r="T133" s="645"/>
      <c r="U133" s="650"/>
      <c r="V133" s="650"/>
      <c r="W133" s="650"/>
      <c r="X133" s="650"/>
      <c r="Y133" s="650"/>
      <c r="Z133" s="650"/>
      <c r="AA133" s="645">
        <f t="shared" ref="AA133:AE133" si="55">+AA32</f>
        <v>0</v>
      </c>
      <c r="AB133" s="645">
        <f t="shared" si="55"/>
        <v>0</v>
      </c>
      <c r="AC133" s="645">
        <f t="shared" si="55"/>
        <v>0</v>
      </c>
      <c r="AD133" s="645">
        <f t="shared" ref="AD133" si="56">+AD32</f>
        <v>0</v>
      </c>
      <c r="AE133" s="645">
        <f t="shared" si="55"/>
        <v>3608310</v>
      </c>
      <c r="AF133" s="645">
        <f t="shared" ref="AF133:AF134" si="57">+SUM(AA133:AE133)</f>
        <v>3608310</v>
      </c>
      <c r="AG133" s="422"/>
    </row>
    <row r="134" spans="4:33" ht="13.5" customHeight="1" thickBot="1">
      <c r="E134" s="419" t="s">
        <v>776</v>
      </c>
      <c r="F134" s="419"/>
      <c r="G134" s="633"/>
      <c r="H134" s="633"/>
      <c r="I134" s="633"/>
      <c r="J134" s="633"/>
      <c r="K134" s="633"/>
      <c r="L134" s="646"/>
      <c r="M134" s="432"/>
      <c r="N134" s="430"/>
      <c r="O134" s="646"/>
      <c r="P134" s="646"/>
      <c r="Q134" s="646"/>
      <c r="R134" s="646"/>
      <c r="S134" s="633"/>
      <c r="T134" s="646"/>
      <c r="U134" s="651"/>
      <c r="V134" s="651"/>
      <c r="W134" s="651"/>
      <c r="X134" s="651"/>
      <c r="Y134" s="651"/>
      <c r="Z134" s="651"/>
      <c r="AA134" s="646">
        <f>+AA132-AA133</f>
        <v>0</v>
      </c>
      <c r="AB134" s="646">
        <f>+AB132-AB133</f>
        <v>0</v>
      </c>
      <c r="AC134" s="646">
        <f>+AC132-AC133</f>
        <v>0</v>
      </c>
      <c r="AD134" s="646">
        <f>+AD132-AD133</f>
        <v>0</v>
      </c>
      <c r="AE134" s="646">
        <f>+AE132-AE133</f>
        <v>0</v>
      </c>
      <c r="AF134" s="646">
        <f t="shared" si="57"/>
        <v>0</v>
      </c>
      <c r="AG134" s="423"/>
    </row>
    <row r="135" spans="4:33" ht="13.5" customHeight="1" thickBot="1">
      <c r="E135" s="425" t="s">
        <v>784</v>
      </c>
      <c r="F135" s="426"/>
      <c r="G135" s="647"/>
      <c r="H135" s="647"/>
      <c r="I135" s="647"/>
      <c r="J135" s="647"/>
      <c r="K135" s="647"/>
      <c r="L135" s="648"/>
      <c r="M135" s="436"/>
      <c r="N135" s="435"/>
      <c r="O135" s="647"/>
      <c r="P135" s="648"/>
      <c r="Q135" s="648"/>
      <c r="R135" s="648"/>
      <c r="S135" s="647"/>
      <c r="T135" s="648"/>
      <c r="U135" s="649"/>
      <c r="V135" s="649"/>
      <c r="W135" s="649"/>
      <c r="X135" s="649"/>
      <c r="Y135" s="649"/>
      <c r="Z135" s="648"/>
      <c r="AA135" s="649"/>
      <c r="AB135" s="649"/>
      <c r="AC135" s="649"/>
      <c r="AD135" s="649"/>
      <c r="AE135" s="649"/>
      <c r="AF135" s="648"/>
      <c r="AG135" s="427"/>
    </row>
    <row r="136" spans="4:33" ht="13.5" customHeight="1">
      <c r="G136" s="34"/>
      <c r="H136" s="34"/>
      <c r="I136" s="34"/>
      <c r="J136" s="34"/>
      <c r="K136" s="34"/>
      <c r="L136" s="34"/>
      <c r="O136" s="34"/>
      <c r="P136" s="34"/>
      <c r="Q136" s="34"/>
      <c r="R136" s="34"/>
      <c r="S136" s="34"/>
      <c r="T136" s="34"/>
      <c r="U136" s="34"/>
      <c r="V136" s="34"/>
      <c r="W136" s="34"/>
      <c r="X136" s="34"/>
      <c r="Y136" s="34"/>
      <c r="Z136" s="34"/>
      <c r="AA136" s="34"/>
      <c r="AB136" s="34"/>
      <c r="AC136" s="34"/>
      <c r="AD136" s="34"/>
      <c r="AE136" s="34"/>
      <c r="AF136" s="34"/>
    </row>
    <row r="137" spans="4:33" ht="13.5" customHeight="1">
      <c r="D137" s="424" t="s">
        <v>773</v>
      </c>
      <c r="E137" s="422" t="s">
        <v>781</v>
      </c>
      <c r="F137" s="151"/>
      <c r="G137" s="627"/>
      <c r="H137" s="627"/>
      <c r="I137" s="627"/>
      <c r="J137" s="627"/>
      <c r="K137" s="627"/>
      <c r="L137" s="645"/>
      <c r="M137" s="429"/>
      <c r="N137" s="429"/>
      <c r="O137" s="627"/>
      <c r="P137" s="645"/>
      <c r="Q137" s="645"/>
      <c r="R137" s="645"/>
      <c r="S137" s="627"/>
      <c r="T137" s="645"/>
      <c r="U137" s="645">
        <f>+'[2]3条収入'!AC$69</f>
        <v>0</v>
      </c>
      <c r="V137" s="645">
        <f>+'[2]3条収入'!AD$69</f>
        <v>0</v>
      </c>
      <c r="W137" s="645">
        <f>+'[2]3条収入'!AE$69</f>
        <v>33732</v>
      </c>
      <c r="X137" s="645">
        <f>+'[2]3条収入'!AF$69</f>
        <v>9671</v>
      </c>
      <c r="Y137" s="645">
        <f>+'[2]3条収入'!AG$69</f>
        <v>210209720</v>
      </c>
      <c r="Z137" s="645">
        <f>+SUM(U137:Y137)</f>
        <v>210253123</v>
      </c>
      <c r="AA137" s="645">
        <f>+'[4]4条収入'!AC$91</f>
        <v>0</v>
      </c>
      <c r="AB137" s="645">
        <f>+'[4]4条収入'!AD$91</f>
        <v>6284860</v>
      </c>
      <c r="AC137" s="645">
        <f>+'[4]4条収入'!AE$91</f>
        <v>92363</v>
      </c>
      <c r="AD137" s="645">
        <f>+'[4]4条収入'!AF$91</f>
        <v>7</v>
      </c>
      <c r="AE137" s="645">
        <f>+'[4]4条収入'!AG$91</f>
        <v>542945891</v>
      </c>
      <c r="AF137" s="645">
        <f>+SUM(AA137:AE137)</f>
        <v>549323121</v>
      </c>
      <c r="AG137" s="422"/>
    </row>
    <row r="138" spans="4:33" ht="13.5" customHeight="1">
      <c r="D138" s="424"/>
      <c r="E138" s="422" t="s">
        <v>778</v>
      </c>
      <c r="F138" s="151"/>
      <c r="G138" s="627"/>
      <c r="H138" s="627"/>
      <c r="I138" s="627"/>
      <c r="J138" s="627"/>
      <c r="K138" s="627"/>
      <c r="L138" s="645"/>
      <c r="M138" s="429"/>
      <c r="N138" s="429"/>
      <c r="O138" s="627"/>
      <c r="P138" s="645"/>
      <c r="Q138" s="645"/>
      <c r="R138" s="645"/>
      <c r="S138" s="627"/>
      <c r="T138" s="645"/>
      <c r="U138" s="645">
        <f>+U91</f>
        <v>0</v>
      </c>
      <c r="V138" s="645">
        <f t="shared" ref="V138:Y138" si="58">+V91</f>
        <v>0</v>
      </c>
      <c r="W138" s="645">
        <f t="shared" si="58"/>
        <v>33732</v>
      </c>
      <c r="X138" s="645">
        <f t="shared" ref="X138" si="59">+X91</f>
        <v>9671</v>
      </c>
      <c r="Y138" s="645">
        <f t="shared" si="58"/>
        <v>210209720</v>
      </c>
      <c r="Z138" s="645">
        <f>+SUM(U138:Y138)</f>
        <v>210253123</v>
      </c>
      <c r="AA138" s="645">
        <f t="shared" ref="AA138:AE138" si="60">+AA91</f>
        <v>0</v>
      </c>
      <c r="AB138" s="645">
        <f t="shared" si="60"/>
        <v>6284860</v>
      </c>
      <c r="AC138" s="645">
        <f t="shared" si="60"/>
        <v>92363</v>
      </c>
      <c r="AD138" s="645">
        <f t="shared" ref="AD138" si="61">+AD91</f>
        <v>7</v>
      </c>
      <c r="AE138" s="645">
        <f t="shared" si="60"/>
        <v>542945891</v>
      </c>
      <c r="AF138" s="645">
        <f t="shared" ref="AF138:AF139" si="62">+SUM(AA138:AE138)</f>
        <v>549323121</v>
      </c>
      <c r="AG138" s="422"/>
    </row>
    <row r="139" spans="4:33" ht="13.5" customHeight="1" thickBot="1">
      <c r="E139" s="419" t="s">
        <v>779</v>
      </c>
      <c r="F139" s="419"/>
      <c r="G139" s="633"/>
      <c r="H139" s="633"/>
      <c r="I139" s="633"/>
      <c r="J139" s="633"/>
      <c r="K139" s="633"/>
      <c r="L139" s="646"/>
      <c r="M139" s="432"/>
      <c r="N139" s="430"/>
      <c r="O139" s="646"/>
      <c r="P139" s="646"/>
      <c r="Q139" s="646"/>
      <c r="R139" s="646"/>
      <c r="S139" s="633"/>
      <c r="T139" s="646"/>
      <c r="U139" s="646">
        <f>+U137-U138</f>
        <v>0</v>
      </c>
      <c r="V139" s="646">
        <f>+V137-V138</f>
        <v>0</v>
      </c>
      <c r="W139" s="646">
        <f>+W137-W138</f>
        <v>0</v>
      </c>
      <c r="X139" s="646">
        <f>+X137-X138</f>
        <v>0</v>
      </c>
      <c r="Y139" s="646">
        <f>+Y137-Y138</f>
        <v>0</v>
      </c>
      <c r="Z139" s="646">
        <f t="shared" ref="Z139" si="63">+SUM(U139:Y139)</f>
        <v>0</v>
      </c>
      <c r="AA139" s="646">
        <f>+AA137-AA138</f>
        <v>0</v>
      </c>
      <c r="AB139" s="646">
        <f>+AB137-AB138</f>
        <v>0</v>
      </c>
      <c r="AC139" s="646">
        <f>+AC137-AC138</f>
        <v>0</v>
      </c>
      <c r="AD139" s="646">
        <f>+AD137-AD138</f>
        <v>0</v>
      </c>
      <c r="AE139" s="646">
        <f>+AE137-AE138</f>
        <v>0</v>
      </c>
      <c r="AF139" s="646">
        <f t="shared" si="62"/>
        <v>0</v>
      </c>
      <c r="AG139" s="423"/>
    </row>
    <row r="140" spans="4:33" ht="13.5" customHeight="1" thickBot="1">
      <c r="E140" s="425" t="s">
        <v>783</v>
      </c>
      <c r="F140" s="426"/>
      <c r="G140" s="647"/>
      <c r="H140" s="647"/>
      <c r="I140" s="647"/>
      <c r="J140" s="647"/>
      <c r="K140" s="647"/>
      <c r="L140" s="648"/>
      <c r="M140" s="436"/>
      <c r="N140" s="435"/>
      <c r="O140" s="647"/>
      <c r="P140" s="648"/>
      <c r="Q140" s="648"/>
      <c r="R140" s="648"/>
      <c r="S140" s="647"/>
      <c r="T140" s="648"/>
      <c r="U140" s="649"/>
      <c r="V140" s="649"/>
      <c r="W140" s="649"/>
      <c r="X140" s="649"/>
      <c r="Y140" s="649"/>
      <c r="Z140" s="648"/>
      <c r="AA140" s="649"/>
      <c r="AB140" s="649"/>
      <c r="AC140" s="649"/>
      <c r="AD140" s="649"/>
      <c r="AE140" s="649"/>
      <c r="AF140" s="648"/>
      <c r="AG140" s="427"/>
    </row>
    <row r="141" spans="4:33" ht="13.5" customHeight="1">
      <c r="G141" s="34"/>
      <c r="H141" s="34"/>
      <c r="I141" s="34"/>
      <c r="J141" s="34"/>
      <c r="K141" s="34"/>
      <c r="L141" s="34"/>
      <c r="O141" s="34"/>
      <c r="P141" s="34"/>
      <c r="Q141" s="34"/>
      <c r="R141" s="34"/>
      <c r="S141" s="34"/>
      <c r="T141" s="34"/>
      <c r="U141" s="34"/>
      <c r="V141" s="34"/>
      <c r="W141" s="34"/>
      <c r="X141" s="34"/>
      <c r="Y141" s="34"/>
      <c r="Z141" s="34"/>
      <c r="AA141" s="34"/>
      <c r="AB141" s="34"/>
      <c r="AC141" s="34"/>
      <c r="AD141" s="34"/>
      <c r="AE141" s="34"/>
      <c r="AF141" s="34"/>
    </row>
    <row r="142" spans="4:33" ht="13.5" customHeight="1">
      <c r="D142" s="424" t="s">
        <v>773</v>
      </c>
      <c r="E142" s="422" t="s">
        <v>788</v>
      </c>
      <c r="F142" s="151"/>
      <c r="G142" s="627"/>
      <c r="H142" s="627"/>
      <c r="I142" s="627"/>
      <c r="J142" s="627"/>
      <c r="K142" s="627"/>
      <c r="L142" s="645"/>
      <c r="M142" s="429"/>
      <c r="N142" s="429"/>
      <c r="O142" s="627"/>
      <c r="P142" s="645"/>
      <c r="Q142" s="645"/>
      <c r="R142" s="645"/>
      <c r="S142" s="627"/>
      <c r="T142" s="645"/>
      <c r="U142" s="645"/>
      <c r="V142" s="645"/>
      <c r="W142" s="645"/>
      <c r="X142" s="645"/>
      <c r="Y142" s="645"/>
      <c r="Z142" s="645"/>
      <c r="AA142" s="645"/>
      <c r="AB142" s="645"/>
      <c r="AC142" s="645"/>
      <c r="AD142" s="645"/>
      <c r="AE142" s="645"/>
      <c r="AF142" s="645">
        <f>+'4条圧縮'!C23</f>
        <v>1474537761</v>
      </c>
      <c r="AG142" s="422"/>
    </row>
    <row r="143" spans="4:33" ht="13.5" customHeight="1">
      <c r="D143" s="424"/>
      <c r="E143" s="422" t="s">
        <v>789</v>
      </c>
      <c r="F143" s="151"/>
      <c r="G143" s="627"/>
      <c r="H143" s="627"/>
      <c r="I143" s="627"/>
      <c r="J143" s="627"/>
      <c r="K143" s="627"/>
      <c r="L143" s="645"/>
      <c r="M143" s="429"/>
      <c r="N143" s="429"/>
      <c r="O143" s="627"/>
      <c r="P143" s="645"/>
      <c r="Q143" s="645"/>
      <c r="R143" s="645"/>
      <c r="S143" s="627"/>
      <c r="T143" s="645"/>
      <c r="U143" s="645"/>
      <c r="V143" s="645"/>
      <c r="W143" s="645"/>
      <c r="X143" s="645"/>
      <c r="Y143" s="645"/>
      <c r="Z143" s="645"/>
      <c r="AA143" s="645"/>
      <c r="AB143" s="645"/>
      <c r="AC143" s="645"/>
      <c r="AD143" s="645"/>
      <c r="AE143" s="645"/>
      <c r="AF143" s="645">
        <f>+AF89</f>
        <v>1474537761</v>
      </c>
      <c r="AG143" s="422"/>
    </row>
    <row r="144" spans="4:33" ht="13.5" customHeight="1" thickBot="1">
      <c r="E144" s="419" t="s">
        <v>790</v>
      </c>
      <c r="F144" s="419"/>
      <c r="G144" s="633"/>
      <c r="H144" s="633"/>
      <c r="I144" s="633"/>
      <c r="J144" s="633"/>
      <c r="K144" s="633"/>
      <c r="L144" s="646"/>
      <c r="M144" s="432"/>
      <c r="N144" s="430"/>
      <c r="O144" s="646"/>
      <c r="P144" s="646"/>
      <c r="Q144" s="646"/>
      <c r="R144" s="646"/>
      <c r="S144" s="633"/>
      <c r="T144" s="646"/>
      <c r="U144" s="646">
        <f>+U142-U143</f>
        <v>0</v>
      </c>
      <c r="V144" s="646">
        <f>+V142-V143</f>
        <v>0</v>
      </c>
      <c r="W144" s="646">
        <f>+W142-W143</f>
        <v>0</v>
      </c>
      <c r="X144" s="646">
        <f>+X142-X143</f>
        <v>0</v>
      </c>
      <c r="Y144" s="646">
        <f>+Y142-Y143</f>
        <v>0</v>
      </c>
      <c r="Z144" s="646">
        <f t="shared" ref="Z144" si="64">+SUM(U144:Y144)</f>
        <v>0</v>
      </c>
      <c r="AA144" s="646">
        <f t="shared" ref="AA144:AF144" si="65">+AA142-AA143</f>
        <v>0</v>
      </c>
      <c r="AB144" s="646">
        <f t="shared" si="65"/>
        <v>0</v>
      </c>
      <c r="AC144" s="646">
        <f t="shared" si="65"/>
        <v>0</v>
      </c>
      <c r="AD144" s="646">
        <f t="shared" si="65"/>
        <v>0</v>
      </c>
      <c r="AE144" s="646">
        <f t="shared" si="65"/>
        <v>0</v>
      </c>
      <c r="AF144" s="646">
        <f t="shared" si="65"/>
        <v>0</v>
      </c>
      <c r="AG144" s="423"/>
    </row>
    <row r="145" spans="4:33" ht="13.5" customHeight="1" thickBot="1">
      <c r="E145" s="425" t="s">
        <v>791</v>
      </c>
      <c r="F145" s="426"/>
      <c r="G145" s="647"/>
      <c r="H145" s="647"/>
      <c r="I145" s="647"/>
      <c r="J145" s="647"/>
      <c r="K145" s="647"/>
      <c r="L145" s="648"/>
      <c r="M145" s="436"/>
      <c r="N145" s="435"/>
      <c r="O145" s="647"/>
      <c r="P145" s="648"/>
      <c r="Q145" s="648"/>
      <c r="R145" s="648"/>
      <c r="S145" s="647"/>
      <c r="T145" s="648"/>
      <c r="U145" s="649"/>
      <c r="V145" s="649"/>
      <c r="W145" s="649"/>
      <c r="X145" s="649"/>
      <c r="Y145" s="649"/>
      <c r="Z145" s="648"/>
      <c r="AA145" s="649"/>
      <c r="AB145" s="649"/>
      <c r="AC145" s="649"/>
      <c r="AD145" s="649"/>
      <c r="AE145" s="649"/>
      <c r="AF145" s="648"/>
      <c r="AG145" s="427"/>
    </row>
    <row r="146" spans="4:33" ht="13.5" customHeight="1">
      <c r="G146" s="34"/>
      <c r="H146" s="34"/>
      <c r="I146" s="34"/>
      <c r="J146" s="34"/>
      <c r="K146" s="34"/>
      <c r="L146" s="34"/>
      <c r="O146" s="34"/>
      <c r="P146" s="34"/>
      <c r="Q146" s="34"/>
      <c r="R146" s="34"/>
      <c r="S146" s="34"/>
      <c r="T146" s="34"/>
      <c r="U146" s="34"/>
      <c r="V146" s="34"/>
      <c r="W146" s="34"/>
      <c r="X146" s="34"/>
      <c r="Y146" s="34"/>
      <c r="Z146" s="34"/>
      <c r="AA146" s="34"/>
      <c r="AB146" s="34"/>
      <c r="AC146" s="34"/>
      <c r="AD146" s="34"/>
      <c r="AE146" s="34"/>
      <c r="AF146" s="34"/>
    </row>
    <row r="147" spans="4:33" ht="13.5" customHeight="1">
      <c r="D147" s="433" t="s">
        <v>773</v>
      </c>
      <c r="E147" s="431" t="s">
        <v>792</v>
      </c>
      <c r="F147" s="429"/>
      <c r="G147" s="627"/>
      <c r="H147" s="627"/>
      <c r="I147" s="627"/>
      <c r="J147" s="627"/>
      <c r="K147" s="627"/>
      <c r="L147" s="645"/>
      <c r="M147" s="429"/>
      <c r="N147" s="429"/>
      <c r="O147" s="627"/>
      <c r="P147" s="645"/>
      <c r="Q147" s="645"/>
      <c r="R147" s="645"/>
      <c r="S147" s="627"/>
      <c r="T147" s="645"/>
      <c r="U147" s="645"/>
      <c r="V147" s="645"/>
      <c r="W147" s="645"/>
      <c r="X147" s="645"/>
      <c r="Y147" s="645"/>
      <c r="Z147" s="645"/>
      <c r="AA147" s="645"/>
      <c r="AB147" s="645"/>
      <c r="AC147" s="645"/>
      <c r="AD147" s="645"/>
      <c r="AE147" s="645"/>
      <c r="AF147" s="645">
        <f>+'4条圧縮'!E23</f>
        <v>547333753</v>
      </c>
      <c r="AG147" s="431"/>
    </row>
    <row r="148" spans="4:33" ht="13.5" customHeight="1">
      <c r="D148" s="433"/>
      <c r="E148" s="431" t="s">
        <v>793</v>
      </c>
      <c r="F148" s="429"/>
      <c r="G148" s="627"/>
      <c r="H148" s="627"/>
      <c r="I148" s="627"/>
      <c r="J148" s="627"/>
      <c r="K148" s="627"/>
      <c r="L148" s="645"/>
      <c r="M148" s="429"/>
      <c r="N148" s="429"/>
      <c r="O148" s="627"/>
      <c r="P148" s="645"/>
      <c r="Q148" s="645"/>
      <c r="R148" s="645"/>
      <c r="S148" s="627"/>
      <c r="T148" s="645"/>
      <c r="U148" s="645"/>
      <c r="V148" s="645"/>
      <c r="W148" s="645"/>
      <c r="X148" s="645"/>
      <c r="Y148" s="645"/>
      <c r="Z148" s="645"/>
      <c r="AA148" s="645"/>
      <c r="AB148" s="645"/>
      <c r="AC148" s="645"/>
      <c r="AD148" s="645"/>
      <c r="AE148" s="645"/>
      <c r="AF148" s="645">
        <f>+AF94</f>
        <v>547333753</v>
      </c>
      <c r="AG148" s="431"/>
    </row>
    <row r="149" spans="4:33" ht="13.5" customHeight="1" thickBot="1">
      <c r="D149" s="428"/>
      <c r="E149" s="430" t="s">
        <v>794</v>
      </c>
      <c r="F149" s="430"/>
      <c r="G149" s="633"/>
      <c r="H149" s="633"/>
      <c r="I149" s="633"/>
      <c r="J149" s="633"/>
      <c r="K149" s="633"/>
      <c r="L149" s="646"/>
      <c r="M149" s="432"/>
      <c r="N149" s="430"/>
      <c r="O149" s="646"/>
      <c r="P149" s="646"/>
      <c r="Q149" s="646"/>
      <c r="R149" s="646"/>
      <c r="S149" s="633"/>
      <c r="T149" s="646"/>
      <c r="U149" s="646"/>
      <c r="V149" s="646"/>
      <c r="W149" s="646"/>
      <c r="X149" s="646"/>
      <c r="Y149" s="646"/>
      <c r="Z149" s="646"/>
      <c r="AA149" s="646">
        <f t="shared" ref="AA149:AF149" si="66">+AA147-AA148</f>
        <v>0</v>
      </c>
      <c r="AB149" s="646">
        <f t="shared" si="66"/>
        <v>0</v>
      </c>
      <c r="AC149" s="646">
        <f t="shared" si="66"/>
        <v>0</v>
      </c>
      <c r="AD149" s="646">
        <f t="shared" si="66"/>
        <v>0</v>
      </c>
      <c r="AE149" s="646">
        <f t="shared" si="66"/>
        <v>0</v>
      </c>
      <c r="AF149" s="646">
        <f t="shared" si="66"/>
        <v>0</v>
      </c>
      <c r="AG149" s="432"/>
    </row>
    <row r="150" spans="4:33" ht="13.5" customHeight="1" thickBot="1">
      <c r="D150" s="428"/>
      <c r="E150" s="434" t="s">
        <v>795</v>
      </c>
      <c r="F150" s="435"/>
      <c r="G150" s="647"/>
      <c r="H150" s="647"/>
      <c r="I150" s="647"/>
      <c r="J150" s="647"/>
      <c r="K150" s="647"/>
      <c r="L150" s="648"/>
      <c r="M150" s="436"/>
      <c r="N150" s="435"/>
      <c r="O150" s="647"/>
      <c r="P150" s="648"/>
      <c r="Q150" s="648"/>
      <c r="R150" s="648"/>
      <c r="S150" s="647"/>
      <c r="T150" s="648"/>
      <c r="U150" s="649"/>
      <c r="V150" s="649"/>
      <c r="W150" s="649"/>
      <c r="X150" s="649"/>
      <c r="Y150" s="649"/>
      <c r="Z150" s="648"/>
      <c r="AA150" s="649"/>
      <c r="AB150" s="649"/>
      <c r="AC150" s="649"/>
      <c r="AD150" s="649"/>
      <c r="AE150" s="649"/>
      <c r="AF150" s="648"/>
      <c r="AG150" s="437"/>
    </row>
  </sheetData>
  <mergeCells count="60">
    <mergeCell ref="C16:C17"/>
    <mergeCell ref="D16:D17"/>
    <mergeCell ref="C18:C19"/>
    <mergeCell ref="D18:D19"/>
    <mergeCell ref="B4:D7"/>
    <mergeCell ref="B119:B125"/>
    <mergeCell ref="C119:C124"/>
    <mergeCell ref="D119:D124"/>
    <mergeCell ref="B8:B32"/>
    <mergeCell ref="C8:C9"/>
    <mergeCell ref="D8:D9"/>
    <mergeCell ref="C10:C12"/>
    <mergeCell ref="D10:D12"/>
    <mergeCell ref="C13:C15"/>
    <mergeCell ref="B33:B40"/>
    <mergeCell ref="C33:C40"/>
    <mergeCell ref="D33:D40"/>
    <mergeCell ref="C47:C48"/>
    <mergeCell ref="D47:D48"/>
    <mergeCell ref="D13:D15"/>
    <mergeCell ref="D20:D21"/>
    <mergeCell ref="C22:C23"/>
    <mergeCell ref="D22:D23"/>
    <mergeCell ref="C24:C32"/>
    <mergeCell ref="D24:D32"/>
    <mergeCell ref="C20:C21"/>
    <mergeCell ref="D77:D79"/>
    <mergeCell ref="C49:C50"/>
    <mergeCell ref="D49:D50"/>
    <mergeCell ref="C51:C52"/>
    <mergeCell ref="D51:D52"/>
    <mergeCell ref="C53:C54"/>
    <mergeCell ref="D53:D54"/>
    <mergeCell ref="C70:C72"/>
    <mergeCell ref="D70:D72"/>
    <mergeCell ref="C73:C76"/>
    <mergeCell ref="D73:D76"/>
    <mergeCell ref="B41:B67"/>
    <mergeCell ref="C41:C43"/>
    <mergeCell ref="D41:D43"/>
    <mergeCell ref="C44:C46"/>
    <mergeCell ref="D44:D46"/>
    <mergeCell ref="C55:C67"/>
    <mergeCell ref="D55:D67"/>
    <mergeCell ref="B68:B80"/>
    <mergeCell ref="C68:C69"/>
    <mergeCell ref="D68:D69"/>
    <mergeCell ref="B102:B118"/>
    <mergeCell ref="C102:C107"/>
    <mergeCell ref="D102:D107"/>
    <mergeCell ref="C108:C112"/>
    <mergeCell ref="D108:D112"/>
    <mergeCell ref="C113:C116"/>
    <mergeCell ref="D113:D116"/>
    <mergeCell ref="B81:B101"/>
    <mergeCell ref="C81:C88"/>
    <mergeCell ref="D81:D88"/>
    <mergeCell ref="C89:C101"/>
    <mergeCell ref="D89:D101"/>
    <mergeCell ref="C77:C79"/>
  </mergeCells>
  <phoneticPr fontId="4"/>
  <conditionalFormatting sqref="AA130:AE130">
    <cfRule type="notContainsBlanks" dxfId="12" priority="13" stopIfTrue="1">
      <formula>LEN(TRIM(AA130))&gt;0</formula>
    </cfRule>
  </conditionalFormatting>
  <conditionalFormatting sqref="U140:Y140">
    <cfRule type="notContainsBlanks" dxfId="11" priority="12" stopIfTrue="1">
      <formula>LEN(TRIM(U140))&gt;0</formula>
    </cfRule>
  </conditionalFormatting>
  <conditionalFormatting sqref="AA140:AE140">
    <cfRule type="notContainsBlanks" dxfId="10" priority="11" stopIfTrue="1">
      <formula>LEN(TRIM(AA140))&gt;0</formula>
    </cfRule>
  </conditionalFormatting>
  <conditionalFormatting sqref="U135:Y135">
    <cfRule type="notContainsBlanks" dxfId="9" priority="10" stopIfTrue="1">
      <formula>LEN(TRIM(U135))&gt;0</formula>
    </cfRule>
  </conditionalFormatting>
  <conditionalFormatting sqref="AA135:AE135">
    <cfRule type="notContainsBlanks" dxfId="8" priority="9" stopIfTrue="1">
      <formula>LEN(TRIM(AA135))&gt;0</formula>
    </cfRule>
  </conditionalFormatting>
  <conditionalFormatting sqref="AA129:AF129 AA134:AF134 U139:AF139">
    <cfRule type="cellIs" dxfId="7" priority="8" operator="notEqual">
      <formula>0</formula>
    </cfRule>
  </conditionalFormatting>
  <conditionalFormatting sqref="U130:Y130">
    <cfRule type="notContainsBlanks" dxfId="6" priority="7" stopIfTrue="1">
      <formula>LEN(TRIM(U130))&gt;0</formula>
    </cfRule>
  </conditionalFormatting>
  <conditionalFormatting sqref="U129:Z129">
    <cfRule type="cellIs" dxfId="5" priority="6" operator="notEqual">
      <formula>0</formula>
    </cfRule>
  </conditionalFormatting>
  <conditionalFormatting sqref="U145:Y145">
    <cfRule type="notContainsBlanks" dxfId="4" priority="5" stopIfTrue="1">
      <formula>LEN(TRIM(U145))&gt;0</formula>
    </cfRule>
  </conditionalFormatting>
  <conditionalFormatting sqref="AA145:AE145">
    <cfRule type="notContainsBlanks" dxfId="3" priority="4" stopIfTrue="1">
      <formula>LEN(TRIM(AA145))&gt;0</formula>
    </cfRule>
  </conditionalFormatting>
  <conditionalFormatting sqref="U144:AF144">
    <cfRule type="cellIs" dxfId="2" priority="3" operator="notEqual">
      <formula>0</formula>
    </cfRule>
  </conditionalFormatting>
  <conditionalFormatting sqref="AA150:AE150">
    <cfRule type="notContainsBlanks" dxfId="1" priority="2" stopIfTrue="1">
      <formula>LEN(TRIM(AA150))&gt;0</formula>
    </cfRule>
  </conditionalFormatting>
  <conditionalFormatting sqref="AA149:AF149">
    <cfRule type="cellIs" dxfId="0" priority="1" operator="notEqual">
      <formula>0</formula>
    </cfRule>
  </conditionalFormatting>
  <printOptions horizontalCentered="1"/>
  <pageMargins left="0.39370078740157483" right="0" top="0.47244094488188981" bottom="0" header="0.31496062992125984" footer="0.15748031496062992"/>
  <pageSetup paperSize="8" scale="71" orientation="landscape" blackAndWhite="1" cellComments="asDisplayed" r:id="rId1"/>
  <headerFooter>
    <oddFooter>&amp;C&amp;P/&amp;N&amp;R&amp;A</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H28"/>
  <sheetViews>
    <sheetView zoomScale="80" zoomScaleNormal="80" workbookViewId="0">
      <selection activeCell="R64" sqref="R64"/>
    </sheetView>
  </sheetViews>
  <sheetFormatPr defaultRowHeight="13.5"/>
  <cols>
    <col min="1" max="1" width="16.625" customWidth="1"/>
    <col min="2" max="8" width="13.625" customWidth="1"/>
  </cols>
  <sheetData>
    <row r="1" spans="1:8" ht="18" customHeight="1">
      <c r="A1" s="270" t="str">
        <f>+CONCATENATE(LEFT('[3]3条支出'!$D$1,8),"　資本的収支に関する特定収入に係る仕入控除できない消費税額の事業・収入科目別按分表")</f>
        <v>令和５年度決算　　資本的収支に関する特定収入に係る仕入控除できない消費税額の事業・収入科目別按分表</v>
      </c>
    </row>
    <row r="2" spans="1:8" s="268" customFormat="1" ht="81" customHeight="1">
      <c r="A2" s="269"/>
      <c r="B2" s="269" t="s">
        <v>628</v>
      </c>
      <c r="C2" s="269" t="s">
        <v>627</v>
      </c>
      <c r="D2" s="269" t="s">
        <v>626</v>
      </c>
      <c r="E2" s="269" t="s">
        <v>625</v>
      </c>
      <c r="F2" s="269" t="s">
        <v>624</v>
      </c>
      <c r="G2" s="269" t="s">
        <v>623</v>
      </c>
      <c r="H2" s="269" t="s">
        <v>622</v>
      </c>
    </row>
    <row r="3" spans="1:8" ht="18" customHeight="1">
      <c r="A3" s="264" t="s">
        <v>621</v>
      </c>
      <c r="B3" s="264"/>
      <c r="C3" s="264"/>
      <c r="D3" s="267">
        <f>+'[4]4条収入'!$AH25+'[4]4条収入'!$AH27</f>
        <v>516208819</v>
      </c>
      <c r="E3" s="264">
        <f>+E6-E4-E5</f>
        <v>514339374</v>
      </c>
      <c r="F3" s="264"/>
      <c r="G3" s="264">
        <f>+G6-G4-G5</f>
        <v>3018302</v>
      </c>
      <c r="H3" s="264">
        <f>+D3+G3</f>
        <v>519227121</v>
      </c>
    </row>
    <row r="4" spans="1:8" ht="18" customHeight="1">
      <c r="A4" s="263" t="s">
        <v>620</v>
      </c>
      <c r="B4" s="263"/>
      <c r="C4" s="263"/>
      <c r="D4" s="266">
        <f>+'[4]4条収入'!AH43</f>
        <v>775000</v>
      </c>
      <c r="E4" s="263">
        <f>+IFERROR(ROUND(D4/$D$24*$E$24,0),0)</f>
        <v>772193</v>
      </c>
      <c r="F4" s="263"/>
      <c r="G4" s="263">
        <f>+IFERROR(ROUND($G$6*D4/$D$6,0),0)</f>
        <v>4531</v>
      </c>
      <c r="H4" s="263">
        <f>+D4+G4</f>
        <v>779531</v>
      </c>
    </row>
    <row r="5" spans="1:8" ht="18" customHeight="1">
      <c r="A5" s="263" t="s">
        <v>619</v>
      </c>
      <c r="B5" s="263"/>
      <c r="C5" s="263"/>
      <c r="D5" s="266">
        <f>+'[4]4条収入'!AH51</f>
        <v>26207717</v>
      </c>
      <c r="E5" s="263">
        <f>+IFERROR(ROUND(D5/$D$24*$E$24,0),0)</f>
        <v>26112806</v>
      </c>
      <c r="F5" s="263"/>
      <c r="G5" s="263">
        <f>+IFERROR(ROUND($G$6*D5/$D$6,0),0)</f>
        <v>153238</v>
      </c>
      <c r="H5" s="263">
        <f>+D5+G5</f>
        <v>26360955</v>
      </c>
    </row>
    <row r="6" spans="1:8" ht="18" customHeight="1">
      <c r="A6" s="260" t="s">
        <v>618</v>
      </c>
      <c r="B6" s="265">
        <f>+'[5]4条支出'!S6+'[5]4条支出'!S7+'[5]4条支出'!S8+'[5]4条支出'!S10+[5]諸公!S41</f>
        <v>1420200328</v>
      </c>
      <c r="C6" s="260">
        <f>+C24-C10-C14-C18</f>
        <v>1415057094</v>
      </c>
      <c r="D6" s="260">
        <f>+SUM(D3:D5)</f>
        <v>543191536</v>
      </c>
      <c r="E6" s="260">
        <f>+E24-E10-E14-E18</f>
        <v>541224373</v>
      </c>
      <c r="F6" s="260">
        <f>+C6-E6</f>
        <v>873832721</v>
      </c>
      <c r="G6" s="260">
        <f>+B6-C6-(D6-E6)</f>
        <v>3176071</v>
      </c>
      <c r="H6" s="260">
        <f>+SUM(H3:H5)</f>
        <v>546367607</v>
      </c>
    </row>
    <row r="7" spans="1:8" ht="18" customHeight="1">
      <c r="A7" s="264" t="s">
        <v>617</v>
      </c>
      <c r="B7" s="264"/>
      <c r="C7" s="264"/>
      <c r="D7" s="267">
        <f>+'[4]4条収入'!AH32+'[4]4条収入'!AH28</f>
        <v>2772727</v>
      </c>
      <c r="E7" s="264">
        <f>+E10-E8-E9</f>
        <v>2762685</v>
      </c>
      <c r="F7" s="264"/>
      <c r="G7" s="264">
        <f>+G10-G8-G9</f>
        <v>85655</v>
      </c>
      <c r="H7" s="264">
        <f>+D7+G7</f>
        <v>2858382</v>
      </c>
    </row>
    <row r="8" spans="1:8" ht="18" customHeight="1">
      <c r="A8" s="263" t="s">
        <v>616</v>
      </c>
      <c r="B8" s="263"/>
      <c r="C8" s="263"/>
      <c r="D8" s="266">
        <f>+'[4]4条収入'!AH47</f>
        <v>1431014</v>
      </c>
      <c r="E8" s="263">
        <f>+IFERROR(ROUND(D8/$D$24*$E$24,0),0)</f>
        <v>1425832</v>
      </c>
      <c r="F8" s="263"/>
      <c r="G8" s="263">
        <f>IFERROR(ROUND(G10*D8/D10,0),0)</f>
        <v>44207</v>
      </c>
      <c r="H8" s="263">
        <f>+D8+G8</f>
        <v>1475221</v>
      </c>
    </row>
    <row r="9" spans="1:8" s="428" customFormat="1" ht="18" customHeight="1">
      <c r="A9" s="263" t="s">
        <v>875</v>
      </c>
      <c r="B9" s="263"/>
      <c r="C9" s="263"/>
      <c r="D9" s="266">
        <f>+'[4]4条収入'!AH52</f>
        <v>0</v>
      </c>
      <c r="E9" s="263">
        <f>+IFERROR(ROUND(D9/$D$24*$E$24,0),0)</f>
        <v>0</v>
      </c>
      <c r="F9" s="263"/>
      <c r="G9" s="263">
        <f>+IFERROR(ROUND($G$10*D9/$D$10,0),0)</f>
        <v>0</v>
      </c>
      <c r="H9" s="263">
        <f>+D9+G9</f>
        <v>0</v>
      </c>
    </row>
    <row r="10" spans="1:8" ht="18" customHeight="1">
      <c r="A10" s="260" t="s">
        <v>615</v>
      </c>
      <c r="B10" s="265">
        <f>+[5]諸特!S41+[5]特整!S41</f>
        <v>40062545</v>
      </c>
      <c r="C10" s="260">
        <f>+IFERROR(ROUND(B10/$B$24*$C$24,0),0)</f>
        <v>39917459</v>
      </c>
      <c r="D10" s="260">
        <f>+SUM(D7:D9)</f>
        <v>4203741</v>
      </c>
      <c r="E10" s="260">
        <f>+IFERROR(ROUND(D10/$D$24*$E$24,0),0)</f>
        <v>4188517</v>
      </c>
      <c r="F10" s="260">
        <f>+C10-E10</f>
        <v>35728942</v>
      </c>
      <c r="G10" s="260">
        <f>+B10-C10-(D10-E10)</f>
        <v>129862</v>
      </c>
      <c r="H10" s="260">
        <f>+SUM(H7:H9)</f>
        <v>4333603</v>
      </c>
    </row>
    <row r="11" spans="1:8" ht="18" customHeight="1">
      <c r="A11" s="264" t="s">
        <v>614</v>
      </c>
      <c r="B11" s="264"/>
      <c r="C11" s="264"/>
      <c r="D11" s="267">
        <f>+'[4]4条収入'!AH33+'[4]4条収入'!AH29</f>
        <v>0</v>
      </c>
      <c r="E11" s="264">
        <f>+E14-E12-E13</f>
        <v>0</v>
      </c>
      <c r="F11" s="264"/>
      <c r="G11" s="264">
        <f>+G14-G12-G13</f>
        <v>0</v>
      </c>
      <c r="H11" s="264">
        <f>+D11+G11</f>
        <v>0</v>
      </c>
    </row>
    <row r="12" spans="1:8" ht="18" customHeight="1">
      <c r="A12" s="263" t="s">
        <v>613</v>
      </c>
      <c r="B12" s="263"/>
      <c r="C12" s="263"/>
      <c r="D12" s="266">
        <f>+'[4]4条収入'!AH48</f>
        <v>1253458</v>
      </c>
      <c r="E12" s="263">
        <f>+IFERROR(ROUND(D12/$D$24*$E$24,0),0)</f>
        <v>1248919</v>
      </c>
      <c r="F12" s="263"/>
      <c r="G12" s="263">
        <f>IFERROR(ROUND(G14*D12/D14,0),0)</f>
        <v>40427</v>
      </c>
      <c r="H12" s="263">
        <f>+D12+G12</f>
        <v>1293885</v>
      </c>
    </row>
    <row r="13" spans="1:8" s="428" customFormat="1" ht="18" customHeight="1">
      <c r="A13" s="263" t="s">
        <v>876</v>
      </c>
      <c r="B13" s="263"/>
      <c r="C13" s="263"/>
      <c r="D13" s="266">
        <f>+'[4]4条収入'!AH53</f>
        <v>0</v>
      </c>
      <c r="E13" s="263">
        <f>+IFERROR(ROUND(D13/$D$24*$E$24,0),0)</f>
        <v>0</v>
      </c>
      <c r="F13" s="263"/>
      <c r="G13" s="263">
        <f>+IFERROR(ROUND($G$14*D13/$D$14,0),0)</f>
        <v>0</v>
      </c>
      <c r="H13" s="263">
        <f>+D13+G13</f>
        <v>0</v>
      </c>
    </row>
    <row r="14" spans="1:8" ht="18" customHeight="1">
      <c r="A14" s="260" t="s">
        <v>612</v>
      </c>
      <c r="B14" s="265">
        <f>+[5]諸農!S41+[5]農整!S41</f>
        <v>12416364</v>
      </c>
      <c r="C14" s="260">
        <f>+IFERROR(ROUND(B14/$B$24*$C$24,0),0)</f>
        <v>12371398</v>
      </c>
      <c r="D14" s="260">
        <f>+SUM(D11:D13)</f>
        <v>1253458</v>
      </c>
      <c r="E14" s="260">
        <f>+IFERROR(ROUND(D14/$D$24*$E$24,0),0)</f>
        <v>1248919</v>
      </c>
      <c r="F14" s="260">
        <f>+C14-E14</f>
        <v>11122479</v>
      </c>
      <c r="G14" s="260">
        <f>+B14-C14-(D14-E14)</f>
        <v>40427</v>
      </c>
      <c r="H14" s="260">
        <f>+SUM(H11:H13)</f>
        <v>1293885</v>
      </c>
    </row>
    <row r="15" spans="1:8" ht="18" customHeight="1">
      <c r="A15" s="264" t="s">
        <v>611</v>
      </c>
      <c r="B15" s="264"/>
      <c r="C15" s="264"/>
      <c r="D15" s="267">
        <f>+'[4]4条収入'!AH34+'[4]4条収入'!AH30</f>
        <v>317091</v>
      </c>
      <c r="E15" s="264">
        <f>+E18-E16-E17</f>
        <v>315943</v>
      </c>
      <c r="F15" s="264"/>
      <c r="G15" s="264">
        <f>+G18-G16-G17</f>
        <v>11143</v>
      </c>
      <c r="H15" s="264">
        <f>+D15+G15</f>
        <v>328234</v>
      </c>
    </row>
    <row r="16" spans="1:8" ht="18" customHeight="1">
      <c r="A16" s="263" t="s">
        <v>610</v>
      </c>
      <c r="B16" s="263"/>
      <c r="C16" s="263"/>
      <c r="D16" s="266">
        <f>+'[4]4条収入'!AH49</f>
        <v>357295</v>
      </c>
      <c r="E16" s="263">
        <f>+IFERROR(ROUND(D16/$D$24*$E$24,0),0)</f>
        <v>356001</v>
      </c>
      <c r="F16" s="263"/>
      <c r="G16" s="263">
        <f>IFERROR(ROUND(G18*D16/D18,0),0)</f>
        <v>12555</v>
      </c>
      <c r="H16" s="263">
        <f>+D16+G16</f>
        <v>369850</v>
      </c>
    </row>
    <row r="17" spans="1:8" s="428" customFormat="1" ht="18" customHeight="1">
      <c r="A17" s="263" t="s">
        <v>877</v>
      </c>
      <c r="B17" s="263"/>
      <c r="C17" s="263"/>
      <c r="D17" s="266">
        <f>+'[4]4条収入'!AH54</f>
        <v>0</v>
      </c>
      <c r="E17" s="263">
        <f>+IFERROR(ROUND(D17/$D$24*$E$24,0),0)</f>
        <v>0</v>
      </c>
      <c r="F17" s="263"/>
      <c r="G17" s="263">
        <f>+IFERROR(ROUND($G$18*D17/$D$18,0),0)</f>
        <v>0</v>
      </c>
      <c r="H17" s="263">
        <f>+D17+G17</f>
        <v>0</v>
      </c>
    </row>
    <row r="18" spans="1:8" ht="18" customHeight="1">
      <c r="A18" s="260" t="s">
        <v>609</v>
      </c>
      <c r="B18" s="265">
        <f>+[5]浄整!S41</f>
        <v>7217950</v>
      </c>
      <c r="C18" s="260">
        <f>+IFERROR(ROUND(B18/$B$24*$C$24,0),0)</f>
        <v>7191810</v>
      </c>
      <c r="D18" s="260">
        <f>+SUM(D15:D17)</f>
        <v>674386</v>
      </c>
      <c r="E18" s="260">
        <f>+IFERROR(ROUND(D18/$D$24*$E$24,0),0)</f>
        <v>671944</v>
      </c>
      <c r="F18" s="260">
        <f>+C18-E18</f>
        <v>6519866</v>
      </c>
      <c r="G18" s="260">
        <f>+B18-C18-(D18-E18)</f>
        <v>23698</v>
      </c>
      <c r="H18" s="260">
        <f>+SUM(H15:H17)</f>
        <v>698084</v>
      </c>
    </row>
    <row r="19" spans="1:8" ht="18" customHeight="1">
      <c r="A19" s="264" t="s">
        <v>608</v>
      </c>
      <c r="B19" s="264">
        <f t="shared" ref="B19:H19" si="0">+B3+B7+B11+B15</f>
        <v>0</v>
      </c>
      <c r="C19" s="264">
        <f t="shared" si="0"/>
        <v>0</v>
      </c>
      <c r="D19" s="264">
        <f t="shared" si="0"/>
        <v>519298637</v>
      </c>
      <c r="E19" s="264">
        <f t="shared" si="0"/>
        <v>517418002</v>
      </c>
      <c r="F19" s="264">
        <f t="shared" si="0"/>
        <v>0</v>
      </c>
      <c r="G19" s="264">
        <f t="shared" si="0"/>
        <v>3115100</v>
      </c>
      <c r="H19" s="264">
        <f t="shared" si="0"/>
        <v>522413737</v>
      </c>
    </row>
    <row r="20" spans="1:8" ht="18" customHeight="1">
      <c r="A20" s="263" t="s">
        <v>607</v>
      </c>
      <c r="B20" s="263">
        <f t="shared" ref="B20:H20" si="1">+B4</f>
        <v>0</v>
      </c>
      <c r="C20" s="263">
        <f t="shared" si="1"/>
        <v>0</v>
      </c>
      <c r="D20" s="263">
        <f t="shared" si="1"/>
        <v>775000</v>
      </c>
      <c r="E20" s="263">
        <f t="shared" si="1"/>
        <v>772193</v>
      </c>
      <c r="F20" s="263">
        <f t="shared" si="1"/>
        <v>0</v>
      </c>
      <c r="G20" s="263">
        <f t="shared" si="1"/>
        <v>4531</v>
      </c>
      <c r="H20" s="263">
        <f t="shared" si="1"/>
        <v>779531</v>
      </c>
    </row>
    <row r="21" spans="1:8" ht="18" customHeight="1">
      <c r="A21" s="263" t="s">
        <v>606</v>
      </c>
      <c r="B21" s="263">
        <f t="shared" ref="B21:H21" si="2">+B8+B12+B16</f>
        <v>0</v>
      </c>
      <c r="C21" s="263">
        <f t="shared" si="2"/>
        <v>0</v>
      </c>
      <c r="D21" s="263">
        <f t="shared" si="2"/>
        <v>3041767</v>
      </c>
      <c r="E21" s="263">
        <f t="shared" si="2"/>
        <v>3030752</v>
      </c>
      <c r="F21" s="263">
        <f t="shared" si="2"/>
        <v>0</v>
      </c>
      <c r="G21" s="263">
        <f t="shared" si="2"/>
        <v>97189</v>
      </c>
      <c r="H21" s="263">
        <f t="shared" si="2"/>
        <v>3138956</v>
      </c>
    </row>
    <row r="22" spans="1:8" ht="18" customHeight="1" thickBot="1">
      <c r="A22" s="262" t="s">
        <v>605</v>
      </c>
      <c r="B22" s="262">
        <f t="shared" ref="B22:C22" si="3">+B5</f>
        <v>0</v>
      </c>
      <c r="C22" s="262">
        <f t="shared" si="3"/>
        <v>0</v>
      </c>
      <c r="D22" s="262">
        <f>+D5+D9+D13+D17</f>
        <v>26207717</v>
      </c>
      <c r="E22" s="262">
        <f>+E5+E9+E13+E17</f>
        <v>26112806</v>
      </c>
      <c r="F22" s="262">
        <f t="shared" ref="F22:H22" si="4">+F5+F9+F13+F17</f>
        <v>0</v>
      </c>
      <c r="G22" s="262">
        <f t="shared" si="4"/>
        <v>153238</v>
      </c>
      <c r="H22" s="262">
        <f t="shared" si="4"/>
        <v>26360955</v>
      </c>
    </row>
    <row r="23" spans="1:8" ht="18" customHeight="1" thickTop="1">
      <c r="A23" s="261" t="s">
        <v>604</v>
      </c>
      <c r="B23" s="261">
        <f t="shared" ref="B23:H23" si="5">+SUM(B6,B10,B14,B18)</f>
        <v>1479897187</v>
      </c>
      <c r="C23" s="261">
        <f t="shared" si="5"/>
        <v>1474537761</v>
      </c>
      <c r="D23" s="261">
        <f>+SUM(D6,D10,D14,D18)</f>
        <v>549323121</v>
      </c>
      <c r="E23" s="261">
        <f t="shared" si="5"/>
        <v>547333753</v>
      </c>
      <c r="F23" s="261">
        <f t="shared" si="5"/>
        <v>927204008</v>
      </c>
      <c r="G23" s="261">
        <f t="shared" si="5"/>
        <v>3370058</v>
      </c>
      <c r="H23" s="261">
        <f t="shared" si="5"/>
        <v>552693179</v>
      </c>
    </row>
    <row r="24" spans="1:8" ht="18" customHeight="1">
      <c r="A24" s="260" t="s">
        <v>603</v>
      </c>
      <c r="B24" s="259">
        <f>+消費税!AF67</f>
        <v>1479897187</v>
      </c>
      <c r="C24" s="259">
        <f>+消費税!AF89</f>
        <v>1474537761</v>
      </c>
      <c r="D24" s="259">
        <f>+消費税!AF91</f>
        <v>549323121</v>
      </c>
      <c r="E24" s="259">
        <f>+消費税!AF94</f>
        <v>547333753</v>
      </c>
      <c r="F24" s="259">
        <f>+消費税!AF101</f>
        <v>927204008</v>
      </c>
      <c r="G24" s="259">
        <f>+消費税!AF122</f>
        <v>3370058</v>
      </c>
      <c r="H24" s="259">
        <f>+消費税!AF124</f>
        <v>552693179</v>
      </c>
    </row>
    <row r="25" spans="1:8">
      <c r="B25" s="258">
        <f t="shared" ref="B25:H25" si="6">+B23-B24</f>
        <v>0</v>
      </c>
      <c r="C25" s="258">
        <f t="shared" si="6"/>
        <v>0</v>
      </c>
      <c r="D25" s="258">
        <f t="shared" si="6"/>
        <v>0</v>
      </c>
      <c r="E25" s="258">
        <f t="shared" si="6"/>
        <v>0</v>
      </c>
      <c r="F25" s="258">
        <f t="shared" si="6"/>
        <v>0</v>
      </c>
      <c r="G25" s="258">
        <f t="shared" si="6"/>
        <v>0</v>
      </c>
      <c r="H25" s="258">
        <f t="shared" si="6"/>
        <v>0</v>
      </c>
    </row>
    <row r="26" spans="1:8">
      <c r="B26" s="258"/>
      <c r="E26" s="258"/>
      <c r="F26" s="258"/>
    </row>
    <row r="27" spans="1:8">
      <c r="D27" s="258"/>
    </row>
    <row r="28" spans="1:8">
      <c r="F28" s="258"/>
    </row>
  </sheetData>
  <phoneticPr fontId="4"/>
  <pageMargins left="0.70866141732283472" right="0.70866141732283472" top="0.74803149606299213" bottom="0.74803149606299213" header="0.31496062992125984" footer="0.31496062992125984"/>
  <pageSetup paperSize="9" scale="7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98"/>
  <sheetViews>
    <sheetView zoomScale="80" zoomScaleNormal="80" zoomScaleSheetLayoutView="100" workbookViewId="0">
      <pane xSplit="3" ySplit="4" topLeftCell="D49" activePane="bottomRight" state="frozen"/>
      <selection activeCell="R64" sqref="R64"/>
      <selection pane="topRight" activeCell="R64" sqref="R64"/>
      <selection pane="bottomLeft" activeCell="R64" sqref="R64"/>
      <selection pane="bottomRight" activeCell="F88" sqref="F88"/>
    </sheetView>
  </sheetViews>
  <sheetFormatPr defaultRowHeight="13.5"/>
  <cols>
    <col min="1" max="2" width="3.125" style="271" customWidth="1"/>
    <col min="3" max="3" width="32" style="271" customWidth="1"/>
    <col min="4" max="6" width="16.375" style="271" customWidth="1"/>
    <col min="7" max="9" width="15.625" style="271" hidden="1" customWidth="1"/>
    <col min="10" max="10" width="13.75" style="271" bestFit="1" customWidth="1"/>
    <col min="11" max="11" width="7.625" style="271" customWidth="1"/>
    <col min="12" max="251" width="9" style="271"/>
    <col min="252" max="253" width="3.125" style="271" customWidth="1"/>
    <col min="254" max="254" width="32" style="271" customWidth="1"/>
    <col min="255" max="257" width="16.375" style="271" customWidth="1"/>
    <col min="258" max="260" width="0" style="271" hidden="1" customWidth="1"/>
    <col min="261" max="261" width="13.75" style="271" bestFit="1" customWidth="1"/>
    <col min="262" max="262" width="7.625" style="271" customWidth="1"/>
    <col min="263" max="263" width="5.75" style="271" bestFit="1" customWidth="1"/>
    <col min="264" max="265" width="20.875" style="271" customWidth="1"/>
    <col min="266" max="266" width="14.875" style="271" customWidth="1"/>
    <col min="267" max="507" width="9" style="271"/>
    <col min="508" max="509" width="3.125" style="271" customWidth="1"/>
    <col min="510" max="510" width="32" style="271" customWidth="1"/>
    <col min="511" max="513" width="16.375" style="271" customWidth="1"/>
    <col min="514" max="516" width="0" style="271" hidden="1" customWidth="1"/>
    <col min="517" max="517" width="13.75" style="271" bestFit="1" customWidth="1"/>
    <col min="518" max="518" width="7.625" style="271" customWidth="1"/>
    <col min="519" max="519" width="5.75" style="271" bestFit="1" customWidth="1"/>
    <col min="520" max="521" width="20.875" style="271" customWidth="1"/>
    <col min="522" max="522" width="14.875" style="271" customWidth="1"/>
    <col min="523" max="763" width="9" style="271"/>
    <col min="764" max="765" width="3.125" style="271" customWidth="1"/>
    <col min="766" max="766" width="32" style="271" customWidth="1"/>
    <col min="767" max="769" width="16.375" style="271" customWidth="1"/>
    <col min="770" max="772" width="0" style="271" hidden="1" customWidth="1"/>
    <col min="773" max="773" width="13.75" style="271" bestFit="1" customWidth="1"/>
    <col min="774" max="774" width="7.625" style="271" customWidth="1"/>
    <col min="775" max="775" width="5.75" style="271" bestFit="1" customWidth="1"/>
    <col min="776" max="777" width="20.875" style="271" customWidth="1"/>
    <col min="778" max="778" width="14.875" style="271" customWidth="1"/>
    <col min="779" max="1019" width="9" style="271"/>
    <col min="1020" max="1021" width="3.125" style="271" customWidth="1"/>
    <col min="1022" max="1022" width="32" style="271" customWidth="1"/>
    <col min="1023" max="1025" width="16.375" style="271" customWidth="1"/>
    <col min="1026" max="1028" width="0" style="271" hidden="1" customWidth="1"/>
    <col min="1029" max="1029" width="13.75" style="271" bestFit="1" customWidth="1"/>
    <col min="1030" max="1030" width="7.625" style="271" customWidth="1"/>
    <col min="1031" max="1031" width="5.75" style="271" bestFit="1" customWidth="1"/>
    <col min="1032" max="1033" width="20.875" style="271" customWidth="1"/>
    <col min="1034" max="1034" width="14.875" style="271" customWidth="1"/>
    <col min="1035" max="1275" width="9" style="271"/>
    <col min="1276" max="1277" width="3.125" style="271" customWidth="1"/>
    <col min="1278" max="1278" width="32" style="271" customWidth="1"/>
    <col min="1279" max="1281" width="16.375" style="271" customWidth="1"/>
    <col min="1282" max="1284" width="0" style="271" hidden="1" customWidth="1"/>
    <col min="1285" max="1285" width="13.75" style="271" bestFit="1" customWidth="1"/>
    <col min="1286" max="1286" width="7.625" style="271" customWidth="1"/>
    <col min="1287" max="1287" width="5.75" style="271" bestFit="1" customWidth="1"/>
    <col min="1288" max="1289" width="20.875" style="271" customWidth="1"/>
    <col min="1290" max="1290" width="14.875" style="271" customWidth="1"/>
    <col min="1291" max="1531" width="9" style="271"/>
    <col min="1532" max="1533" width="3.125" style="271" customWidth="1"/>
    <col min="1534" max="1534" width="32" style="271" customWidth="1"/>
    <col min="1535" max="1537" width="16.375" style="271" customWidth="1"/>
    <col min="1538" max="1540" width="0" style="271" hidden="1" customWidth="1"/>
    <col min="1541" max="1541" width="13.75" style="271" bestFit="1" customWidth="1"/>
    <col min="1542" max="1542" width="7.625" style="271" customWidth="1"/>
    <col min="1543" max="1543" width="5.75" style="271" bestFit="1" customWidth="1"/>
    <col min="1544" max="1545" width="20.875" style="271" customWidth="1"/>
    <col min="1546" max="1546" width="14.875" style="271" customWidth="1"/>
    <col min="1547" max="1787" width="9" style="271"/>
    <col min="1788" max="1789" width="3.125" style="271" customWidth="1"/>
    <col min="1790" max="1790" width="32" style="271" customWidth="1"/>
    <col min="1791" max="1793" width="16.375" style="271" customWidth="1"/>
    <col min="1794" max="1796" width="0" style="271" hidden="1" customWidth="1"/>
    <col min="1797" max="1797" width="13.75" style="271" bestFit="1" customWidth="1"/>
    <col min="1798" max="1798" width="7.625" style="271" customWidth="1"/>
    <col min="1799" max="1799" width="5.75" style="271" bestFit="1" customWidth="1"/>
    <col min="1800" max="1801" width="20.875" style="271" customWidth="1"/>
    <col min="1802" max="1802" width="14.875" style="271" customWidth="1"/>
    <col min="1803" max="2043" width="9" style="271"/>
    <col min="2044" max="2045" width="3.125" style="271" customWidth="1"/>
    <col min="2046" max="2046" width="32" style="271" customWidth="1"/>
    <col min="2047" max="2049" width="16.375" style="271" customWidth="1"/>
    <col min="2050" max="2052" width="0" style="271" hidden="1" customWidth="1"/>
    <col min="2053" max="2053" width="13.75" style="271" bestFit="1" customWidth="1"/>
    <col min="2054" max="2054" width="7.625" style="271" customWidth="1"/>
    <col min="2055" max="2055" width="5.75" style="271" bestFit="1" customWidth="1"/>
    <col min="2056" max="2057" width="20.875" style="271" customWidth="1"/>
    <col min="2058" max="2058" width="14.875" style="271" customWidth="1"/>
    <col min="2059" max="2299" width="9" style="271"/>
    <col min="2300" max="2301" width="3.125" style="271" customWidth="1"/>
    <col min="2302" max="2302" width="32" style="271" customWidth="1"/>
    <col min="2303" max="2305" width="16.375" style="271" customWidth="1"/>
    <col min="2306" max="2308" width="0" style="271" hidden="1" customWidth="1"/>
    <col min="2309" max="2309" width="13.75" style="271" bestFit="1" customWidth="1"/>
    <col min="2310" max="2310" width="7.625" style="271" customWidth="1"/>
    <col min="2311" max="2311" width="5.75" style="271" bestFit="1" customWidth="1"/>
    <col min="2312" max="2313" width="20.875" style="271" customWidth="1"/>
    <col min="2314" max="2314" width="14.875" style="271" customWidth="1"/>
    <col min="2315" max="2555" width="9" style="271"/>
    <col min="2556" max="2557" width="3.125" style="271" customWidth="1"/>
    <col min="2558" max="2558" width="32" style="271" customWidth="1"/>
    <col min="2559" max="2561" width="16.375" style="271" customWidth="1"/>
    <col min="2562" max="2564" width="0" style="271" hidden="1" customWidth="1"/>
    <col min="2565" max="2565" width="13.75" style="271" bestFit="1" customWidth="1"/>
    <col min="2566" max="2566" width="7.625" style="271" customWidth="1"/>
    <col min="2567" max="2567" width="5.75" style="271" bestFit="1" customWidth="1"/>
    <col min="2568" max="2569" width="20.875" style="271" customWidth="1"/>
    <col min="2570" max="2570" width="14.875" style="271" customWidth="1"/>
    <col min="2571" max="2811" width="9" style="271"/>
    <col min="2812" max="2813" width="3.125" style="271" customWidth="1"/>
    <col min="2814" max="2814" width="32" style="271" customWidth="1"/>
    <col min="2815" max="2817" width="16.375" style="271" customWidth="1"/>
    <col min="2818" max="2820" width="0" style="271" hidden="1" customWidth="1"/>
    <col min="2821" max="2821" width="13.75" style="271" bestFit="1" customWidth="1"/>
    <col min="2822" max="2822" width="7.625" style="271" customWidth="1"/>
    <col min="2823" max="2823" width="5.75" style="271" bestFit="1" customWidth="1"/>
    <col min="2824" max="2825" width="20.875" style="271" customWidth="1"/>
    <col min="2826" max="2826" width="14.875" style="271" customWidth="1"/>
    <col min="2827" max="3067" width="9" style="271"/>
    <col min="3068" max="3069" width="3.125" style="271" customWidth="1"/>
    <col min="3070" max="3070" width="32" style="271" customWidth="1"/>
    <col min="3071" max="3073" width="16.375" style="271" customWidth="1"/>
    <col min="3074" max="3076" width="0" style="271" hidden="1" customWidth="1"/>
    <col min="3077" max="3077" width="13.75" style="271" bestFit="1" customWidth="1"/>
    <col min="3078" max="3078" width="7.625" style="271" customWidth="1"/>
    <col min="3079" max="3079" width="5.75" style="271" bestFit="1" customWidth="1"/>
    <col min="3080" max="3081" width="20.875" style="271" customWidth="1"/>
    <col min="3082" max="3082" width="14.875" style="271" customWidth="1"/>
    <col min="3083" max="3323" width="9" style="271"/>
    <col min="3324" max="3325" width="3.125" style="271" customWidth="1"/>
    <col min="3326" max="3326" width="32" style="271" customWidth="1"/>
    <col min="3327" max="3329" width="16.375" style="271" customWidth="1"/>
    <col min="3330" max="3332" width="0" style="271" hidden="1" customWidth="1"/>
    <col min="3333" max="3333" width="13.75" style="271" bestFit="1" customWidth="1"/>
    <col min="3334" max="3334" width="7.625" style="271" customWidth="1"/>
    <col min="3335" max="3335" width="5.75" style="271" bestFit="1" customWidth="1"/>
    <col min="3336" max="3337" width="20.875" style="271" customWidth="1"/>
    <col min="3338" max="3338" width="14.875" style="271" customWidth="1"/>
    <col min="3339" max="3579" width="9" style="271"/>
    <col min="3580" max="3581" width="3.125" style="271" customWidth="1"/>
    <col min="3582" max="3582" width="32" style="271" customWidth="1"/>
    <col min="3583" max="3585" width="16.375" style="271" customWidth="1"/>
    <col min="3586" max="3588" width="0" style="271" hidden="1" customWidth="1"/>
    <col min="3589" max="3589" width="13.75" style="271" bestFit="1" customWidth="1"/>
    <col min="3590" max="3590" width="7.625" style="271" customWidth="1"/>
    <col min="3591" max="3591" width="5.75" style="271" bestFit="1" customWidth="1"/>
    <col min="3592" max="3593" width="20.875" style="271" customWidth="1"/>
    <col min="3594" max="3594" width="14.875" style="271" customWidth="1"/>
    <col min="3595" max="3835" width="9" style="271"/>
    <col min="3836" max="3837" width="3.125" style="271" customWidth="1"/>
    <col min="3838" max="3838" width="32" style="271" customWidth="1"/>
    <col min="3839" max="3841" width="16.375" style="271" customWidth="1"/>
    <col min="3842" max="3844" width="0" style="271" hidden="1" customWidth="1"/>
    <col min="3845" max="3845" width="13.75" style="271" bestFit="1" customWidth="1"/>
    <col min="3846" max="3846" width="7.625" style="271" customWidth="1"/>
    <col min="3847" max="3847" width="5.75" style="271" bestFit="1" customWidth="1"/>
    <col min="3848" max="3849" width="20.875" style="271" customWidth="1"/>
    <col min="3850" max="3850" width="14.875" style="271" customWidth="1"/>
    <col min="3851" max="4091" width="9" style="271"/>
    <col min="4092" max="4093" width="3.125" style="271" customWidth="1"/>
    <col min="4094" max="4094" width="32" style="271" customWidth="1"/>
    <col min="4095" max="4097" width="16.375" style="271" customWidth="1"/>
    <col min="4098" max="4100" width="0" style="271" hidden="1" customWidth="1"/>
    <col min="4101" max="4101" width="13.75" style="271" bestFit="1" customWidth="1"/>
    <col min="4102" max="4102" width="7.625" style="271" customWidth="1"/>
    <col min="4103" max="4103" width="5.75" style="271" bestFit="1" customWidth="1"/>
    <col min="4104" max="4105" width="20.875" style="271" customWidth="1"/>
    <col min="4106" max="4106" width="14.875" style="271" customWidth="1"/>
    <col min="4107" max="4347" width="9" style="271"/>
    <col min="4348" max="4349" width="3.125" style="271" customWidth="1"/>
    <col min="4350" max="4350" width="32" style="271" customWidth="1"/>
    <col min="4351" max="4353" width="16.375" style="271" customWidth="1"/>
    <col min="4354" max="4356" width="0" style="271" hidden="1" customWidth="1"/>
    <col min="4357" max="4357" width="13.75" style="271" bestFit="1" customWidth="1"/>
    <col min="4358" max="4358" width="7.625" style="271" customWidth="1"/>
    <col min="4359" max="4359" width="5.75" style="271" bestFit="1" customWidth="1"/>
    <col min="4360" max="4361" width="20.875" style="271" customWidth="1"/>
    <col min="4362" max="4362" width="14.875" style="271" customWidth="1"/>
    <col min="4363" max="4603" width="9" style="271"/>
    <col min="4604" max="4605" width="3.125" style="271" customWidth="1"/>
    <col min="4606" max="4606" width="32" style="271" customWidth="1"/>
    <col min="4607" max="4609" width="16.375" style="271" customWidth="1"/>
    <col min="4610" max="4612" width="0" style="271" hidden="1" customWidth="1"/>
    <col min="4613" max="4613" width="13.75" style="271" bestFit="1" customWidth="1"/>
    <col min="4614" max="4614" width="7.625" style="271" customWidth="1"/>
    <col min="4615" max="4615" width="5.75" style="271" bestFit="1" customWidth="1"/>
    <col min="4616" max="4617" width="20.875" style="271" customWidth="1"/>
    <col min="4618" max="4618" width="14.875" style="271" customWidth="1"/>
    <col min="4619" max="4859" width="9" style="271"/>
    <col min="4860" max="4861" width="3.125" style="271" customWidth="1"/>
    <col min="4862" max="4862" width="32" style="271" customWidth="1"/>
    <col min="4863" max="4865" width="16.375" style="271" customWidth="1"/>
    <col min="4866" max="4868" width="0" style="271" hidden="1" customWidth="1"/>
    <col min="4869" max="4869" width="13.75" style="271" bestFit="1" customWidth="1"/>
    <col min="4870" max="4870" width="7.625" style="271" customWidth="1"/>
    <col min="4871" max="4871" width="5.75" style="271" bestFit="1" customWidth="1"/>
    <col min="4872" max="4873" width="20.875" style="271" customWidth="1"/>
    <col min="4874" max="4874" width="14.875" style="271" customWidth="1"/>
    <col min="4875" max="5115" width="9" style="271"/>
    <col min="5116" max="5117" width="3.125" style="271" customWidth="1"/>
    <col min="5118" max="5118" width="32" style="271" customWidth="1"/>
    <col min="5119" max="5121" width="16.375" style="271" customWidth="1"/>
    <col min="5122" max="5124" width="0" style="271" hidden="1" customWidth="1"/>
    <col min="5125" max="5125" width="13.75" style="271" bestFit="1" customWidth="1"/>
    <col min="5126" max="5126" width="7.625" style="271" customWidth="1"/>
    <col min="5127" max="5127" width="5.75" style="271" bestFit="1" customWidth="1"/>
    <col min="5128" max="5129" width="20.875" style="271" customWidth="1"/>
    <col min="5130" max="5130" width="14.875" style="271" customWidth="1"/>
    <col min="5131" max="5371" width="9" style="271"/>
    <col min="5372" max="5373" width="3.125" style="271" customWidth="1"/>
    <col min="5374" max="5374" width="32" style="271" customWidth="1"/>
    <col min="5375" max="5377" width="16.375" style="271" customWidth="1"/>
    <col min="5378" max="5380" width="0" style="271" hidden="1" customWidth="1"/>
    <col min="5381" max="5381" width="13.75" style="271" bestFit="1" customWidth="1"/>
    <col min="5382" max="5382" width="7.625" style="271" customWidth="1"/>
    <col min="5383" max="5383" width="5.75" style="271" bestFit="1" customWidth="1"/>
    <col min="5384" max="5385" width="20.875" style="271" customWidth="1"/>
    <col min="5386" max="5386" width="14.875" style="271" customWidth="1"/>
    <col min="5387" max="5627" width="9" style="271"/>
    <col min="5628" max="5629" width="3.125" style="271" customWidth="1"/>
    <col min="5630" max="5630" width="32" style="271" customWidth="1"/>
    <col min="5631" max="5633" width="16.375" style="271" customWidth="1"/>
    <col min="5634" max="5636" width="0" style="271" hidden="1" customWidth="1"/>
    <col min="5637" max="5637" width="13.75" style="271" bestFit="1" customWidth="1"/>
    <col min="5638" max="5638" width="7.625" style="271" customWidth="1"/>
    <col min="5639" max="5639" width="5.75" style="271" bestFit="1" customWidth="1"/>
    <col min="5640" max="5641" width="20.875" style="271" customWidth="1"/>
    <col min="5642" max="5642" width="14.875" style="271" customWidth="1"/>
    <col min="5643" max="5883" width="9" style="271"/>
    <col min="5884" max="5885" width="3.125" style="271" customWidth="1"/>
    <col min="5886" max="5886" width="32" style="271" customWidth="1"/>
    <col min="5887" max="5889" width="16.375" style="271" customWidth="1"/>
    <col min="5890" max="5892" width="0" style="271" hidden="1" customWidth="1"/>
    <col min="5893" max="5893" width="13.75" style="271" bestFit="1" customWidth="1"/>
    <col min="5894" max="5894" width="7.625" style="271" customWidth="1"/>
    <col min="5895" max="5895" width="5.75" style="271" bestFit="1" customWidth="1"/>
    <col min="5896" max="5897" width="20.875" style="271" customWidth="1"/>
    <col min="5898" max="5898" width="14.875" style="271" customWidth="1"/>
    <col min="5899" max="6139" width="9" style="271"/>
    <col min="6140" max="6141" width="3.125" style="271" customWidth="1"/>
    <col min="6142" max="6142" width="32" style="271" customWidth="1"/>
    <col min="6143" max="6145" width="16.375" style="271" customWidth="1"/>
    <col min="6146" max="6148" width="0" style="271" hidden="1" customWidth="1"/>
    <col min="6149" max="6149" width="13.75" style="271" bestFit="1" customWidth="1"/>
    <col min="6150" max="6150" width="7.625" style="271" customWidth="1"/>
    <col min="6151" max="6151" width="5.75" style="271" bestFit="1" customWidth="1"/>
    <col min="6152" max="6153" width="20.875" style="271" customWidth="1"/>
    <col min="6154" max="6154" width="14.875" style="271" customWidth="1"/>
    <col min="6155" max="6395" width="9" style="271"/>
    <col min="6396" max="6397" width="3.125" style="271" customWidth="1"/>
    <col min="6398" max="6398" width="32" style="271" customWidth="1"/>
    <col min="6399" max="6401" width="16.375" style="271" customWidth="1"/>
    <col min="6402" max="6404" width="0" style="271" hidden="1" customWidth="1"/>
    <col min="6405" max="6405" width="13.75" style="271" bestFit="1" customWidth="1"/>
    <col min="6406" max="6406" width="7.625" style="271" customWidth="1"/>
    <col min="6407" max="6407" width="5.75" style="271" bestFit="1" customWidth="1"/>
    <col min="6408" max="6409" width="20.875" style="271" customWidth="1"/>
    <col min="6410" max="6410" width="14.875" style="271" customWidth="1"/>
    <col min="6411" max="6651" width="9" style="271"/>
    <col min="6652" max="6653" width="3.125" style="271" customWidth="1"/>
    <col min="6654" max="6654" width="32" style="271" customWidth="1"/>
    <col min="6655" max="6657" width="16.375" style="271" customWidth="1"/>
    <col min="6658" max="6660" width="0" style="271" hidden="1" customWidth="1"/>
    <col min="6661" max="6661" width="13.75" style="271" bestFit="1" customWidth="1"/>
    <col min="6662" max="6662" width="7.625" style="271" customWidth="1"/>
    <col min="6663" max="6663" width="5.75" style="271" bestFit="1" customWidth="1"/>
    <col min="6664" max="6665" width="20.875" style="271" customWidth="1"/>
    <col min="6666" max="6666" width="14.875" style="271" customWidth="1"/>
    <col min="6667" max="6907" width="9" style="271"/>
    <col min="6908" max="6909" width="3.125" style="271" customWidth="1"/>
    <col min="6910" max="6910" width="32" style="271" customWidth="1"/>
    <col min="6911" max="6913" width="16.375" style="271" customWidth="1"/>
    <col min="6914" max="6916" width="0" style="271" hidden="1" customWidth="1"/>
    <col min="6917" max="6917" width="13.75" style="271" bestFit="1" customWidth="1"/>
    <col min="6918" max="6918" width="7.625" style="271" customWidth="1"/>
    <col min="6919" max="6919" width="5.75" style="271" bestFit="1" customWidth="1"/>
    <col min="6920" max="6921" width="20.875" style="271" customWidth="1"/>
    <col min="6922" max="6922" width="14.875" style="271" customWidth="1"/>
    <col min="6923" max="7163" width="9" style="271"/>
    <col min="7164" max="7165" width="3.125" style="271" customWidth="1"/>
    <col min="7166" max="7166" width="32" style="271" customWidth="1"/>
    <col min="7167" max="7169" width="16.375" style="271" customWidth="1"/>
    <col min="7170" max="7172" width="0" style="271" hidden="1" customWidth="1"/>
    <col min="7173" max="7173" width="13.75" style="271" bestFit="1" customWidth="1"/>
    <col min="7174" max="7174" width="7.625" style="271" customWidth="1"/>
    <col min="7175" max="7175" width="5.75" style="271" bestFit="1" customWidth="1"/>
    <col min="7176" max="7177" width="20.875" style="271" customWidth="1"/>
    <col min="7178" max="7178" width="14.875" style="271" customWidth="1"/>
    <col min="7179" max="7419" width="9" style="271"/>
    <col min="7420" max="7421" width="3.125" style="271" customWidth="1"/>
    <col min="7422" max="7422" width="32" style="271" customWidth="1"/>
    <col min="7423" max="7425" width="16.375" style="271" customWidth="1"/>
    <col min="7426" max="7428" width="0" style="271" hidden="1" customWidth="1"/>
    <col min="7429" max="7429" width="13.75" style="271" bestFit="1" customWidth="1"/>
    <col min="7430" max="7430" width="7.625" style="271" customWidth="1"/>
    <col min="7431" max="7431" width="5.75" style="271" bestFit="1" customWidth="1"/>
    <col min="7432" max="7433" width="20.875" style="271" customWidth="1"/>
    <col min="7434" max="7434" width="14.875" style="271" customWidth="1"/>
    <col min="7435" max="7675" width="9" style="271"/>
    <col min="7676" max="7677" width="3.125" style="271" customWidth="1"/>
    <col min="7678" max="7678" width="32" style="271" customWidth="1"/>
    <col min="7679" max="7681" width="16.375" style="271" customWidth="1"/>
    <col min="7682" max="7684" width="0" style="271" hidden="1" customWidth="1"/>
    <col min="7685" max="7685" width="13.75" style="271" bestFit="1" customWidth="1"/>
    <col min="7686" max="7686" width="7.625" style="271" customWidth="1"/>
    <col min="7687" max="7687" width="5.75" style="271" bestFit="1" customWidth="1"/>
    <col min="7688" max="7689" width="20.875" style="271" customWidth="1"/>
    <col min="7690" max="7690" width="14.875" style="271" customWidth="1"/>
    <col min="7691" max="7931" width="9" style="271"/>
    <col min="7932" max="7933" width="3.125" style="271" customWidth="1"/>
    <col min="7934" max="7934" width="32" style="271" customWidth="1"/>
    <col min="7935" max="7937" width="16.375" style="271" customWidth="1"/>
    <col min="7938" max="7940" width="0" style="271" hidden="1" customWidth="1"/>
    <col min="7941" max="7941" width="13.75" style="271" bestFit="1" customWidth="1"/>
    <col min="7942" max="7942" width="7.625" style="271" customWidth="1"/>
    <col min="7943" max="7943" width="5.75" style="271" bestFit="1" customWidth="1"/>
    <col min="7944" max="7945" width="20.875" style="271" customWidth="1"/>
    <col min="7946" max="7946" width="14.875" style="271" customWidth="1"/>
    <col min="7947" max="8187" width="9" style="271"/>
    <col min="8188" max="8189" width="3.125" style="271" customWidth="1"/>
    <col min="8190" max="8190" width="32" style="271" customWidth="1"/>
    <col min="8191" max="8193" width="16.375" style="271" customWidth="1"/>
    <col min="8194" max="8196" width="0" style="271" hidden="1" customWidth="1"/>
    <col min="8197" max="8197" width="13.75" style="271" bestFit="1" customWidth="1"/>
    <col min="8198" max="8198" width="7.625" style="271" customWidth="1"/>
    <col min="8199" max="8199" width="5.75" style="271" bestFit="1" customWidth="1"/>
    <col min="8200" max="8201" width="20.875" style="271" customWidth="1"/>
    <col min="8202" max="8202" width="14.875" style="271" customWidth="1"/>
    <col min="8203" max="8443" width="9" style="271"/>
    <col min="8444" max="8445" width="3.125" style="271" customWidth="1"/>
    <col min="8446" max="8446" width="32" style="271" customWidth="1"/>
    <col min="8447" max="8449" width="16.375" style="271" customWidth="1"/>
    <col min="8450" max="8452" width="0" style="271" hidden="1" customWidth="1"/>
    <col min="8453" max="8453" width="13.75" style="271" bestFit="1" customWidth="1"/>
    <col min="8454" max="8454" width="7.625" style="271" customWidth="1"/>
    <col min="8455" max="8455" width="5.75" style="271" bestFit="1" customWidth="1"/>
    <col min="8456" max="8457" width="20.875" style="271" customWidth="1"/>
    <col min="8458" max="8458" width="14.875" style="271" customWidth="1"/>
    <col min="8459" max="8699" width="9" style="271"/>
    <col min="8700" max="8701" width="3.125" style="271" customWidth="1"/>
    <col min="8702" max="8702" width="32" style="271" customWidth="1"/>
    <col min="8703" max="8705" width="16.375" style="271" customWidth="1"/>
    <col min="8706" max="8708" width="0" style="271" hidden="1" customWidth="1"/>
    <col min="8709" max="8709" width="13.75" style="271" bestFit="1" customWidth="1"/>
    <col min="8710" max="8710" width="7.625" style="271" customWidth="1"/>
    <col min="8711" max="8711" width="5.75" style="271" bestFit="1" customWidth="1"/>
    <col min="8712" max="8713" width="20.875" style="271" customWidth="1"/>
    <col min="8714" max="8714" width="14.875" style="271" customWidth="1"/>
    <col min="8715" max="8955" width="9" style="271"/>
    <col min="8956" max="8957" width="3.125" style="271" customWidth="1"/>
    <col min="8958" max="8958" width="32" style="271" customWidth="1"/>
    <col min="8959" max="8961" width="16.375" style="271" customWidth="1"/>
    <col min="8962" max="8964" width="0" style="271" hidden="1" customWidth="1"/>
    <col min="8965" max="8965" width="13.75" style="271" bestFit="1" customWidth="1"/>
    <col min="8966" max="8966" width="7.625" style="271" customWidth="1"/>
    <col min="8967" max="8967" width="5.75" style="271" bestFit="1" customWidth="1"/>
    <col min="8968" max="8969" width="20.875" style="271" customWidth="1"/>
    <col min="8970" max="8970" width="14.875" style="271" customWidth="1"/>
    <col min="8971" max="9211" width="9" style="271"/>
    <col min="9212" max="9213" width="3.125" style="271" customWidth="1"/>
    <col min="9214" max="9214" width="32" style="271" customWidth="1"/>
    <col min="9215" max="9217" width="16.375" style="271" customWidth="1"/>
    <col min="9218" max="9220" width="0" style="271" hidden="1" customWidth="1"/>
    <col min="9221" max="9221" width="13.75" style="271" bestFit="1" customWidth="1"/>
    <col min="9222" max="9222" width="7.625" style="271" customWidth="1"/>
    <col min="9223" max="9223" width="5.75" style="271" bestFit="1" customWidth="1"/>
    <col min="9224" max="9225" width="20.875" style="271" customWidth="1"/>
    <col min="9226" max="9226" width="14.875" style="271" customWidth="1"/>
    <col min="9227" max="9467" width="9" style="271"/>
    <col min="9468" max="9469" width="3.125" style="271" customWidth="1"/>
    <col min="9470" max="9470" width="32" style="271" customWidth="1"/>
    <col min="9471" max="9473" width="16.375" style="271" customWidth="1"/>
    <col min="9474" max="9476" width="0" style="271" hidden="1" customWidth="1"/>
    <col min="9477" max="9477" width="13.75" style="271" bestFit="1" customWidth="1"/>
    <col min="9478" max="9478" width="7.625" style="271" customWidth="1"/>
    <col min="9479" max="9479" width="5.75" style="271" bestFit="1" customWidth="1"/>
    <col min="9480" max="9481" width="20.875" style="271" customWidth="1"/>
    <col min="9482" max="9482" width="14.875" style="271" customWidth="1"/>
    <col min="9483" max="9723" width="9" style="271"/>
    <col min="9724" max="9725" width="3.125" style="271" customWidth="1"/>
    <col min="9726" max="9726" width="32" style="271" customWidth="1"/>
    <col min="9727" max="9729" width="16.375" style="271" customWidth="1"/>
    <col min="9730" max="9732" width="0" style="271" hidden="1" customWidth="1"/>
    <col min="9733" max="9733" width="13.75" style="271" bestFit="1" customWidth="1"/>
    <col min="9734" max="9734" width="7.625" style="271" customWidth="1"/>
    <col min="9735" max="9735" width="5.75" style="271" bestFit="1" customWidth="1"/>
    <col min="9736" max="9737" width="20.875" style="271" customWidth="1"/>
    <col min="9738" max="9738" width="14.875" style="271" customWidth="1"/>
    <col min="9739" max="9979" width="9" style="271"/>
    <col min="9980" max="9981" width="3.125" style="271" customWidth="1"/>
    <col min="9982" max="9982" width="32" style="271" customWidth="1"/>
    <col min="9983" max="9985" width="16.375" style="271" customWidth="1"/>
    <col min="9986" max="9988" width="0" style="271" hidden="1" customWidth="1"/>
    <col min="9989" max="9989" width="13.75" style="271" bestFit="1" customWidth="1"/>
    <col min="9990" max="9990" width="7.625" style="271" customWidth="1"/>
    <col min="9991" max="9991" width="5.75" style="271" bestFit="1" customWidth="1"/>
    <col min="9992" max="9993" width="20.875" style="271" customWidth="1"/>
    <col min="9994" max="9994" width="14.875" style="271" customWidth="1"/>
    <col min="9995" max="10235" width="9" style="271"/>
    <col min="10236" max="10237" width="3.125" style="271" customWidth="1"/>
    <col min="10238" max="10238" width="32" style="271" customWidth="1"/>
    <col min="10239" max="10241" width="16.375" style="271" customWidth="1"/>
    <col min="10242" max="10244" width="0" style="271" hidden="1" customWidth="1"/>
    <col min="10245" max="10245" width="13.75" style="271" bestFit="1" customWidth="1"/>
    <col min="10246" max="10246" width="7.625" style="271" customWidth="1"/>
    <col min="10247" max="10247" width="5.75" style="271" bestFit="1" customWidth="1"/>
    <col min="10248" max="10249" width="20.875" style="271" customWidth="1"/>
    <col min="10250" max="10250" width="14.875" style="271" customWidth="1"/>
    <col min="10251" max="10491" width="9" style="271"/>
    <col min="10492" max="10493" width="3.125" style="271" customWidth="1"/>
    <col min="10494" max="10494" width="32" style="271" customWidth="1"/>
    <col min="10495" max="10497" width="16.375" style="271" customWidth="1"/>
    <col min="10498" max="10500" width="0" style="271" hidden="1" customWidth="1"/>
    <col min="10501" max="10501" width="13.75" style="271" bestFit="1" customWidth="1"/>
    <col min="10502" max="10502" width="7.625" style="271" customWidth="1"/>
    <col min="10503" max="10503" width="5.75" style="271" bestFit="1" customWidth="1"/>
    <col min="10504" max="10505" width="20.875" style="271" customWidth="1"/>
    <col min="10506" max="10506" width="14.875" style="271" customWidth="1"/>
    <col min="10507" max="10747" width="9" style="271"/>
    <col min="10748" max="10749" width="3.125" style="271" customWidth="1"/>
    <col min="10750" max="10750" width="32" style="271" customWidth="1"/>
    <col min="10751" max="10753" width="16.375" style="271" customWidth="1"/>
    <col min="10754" max="10756" width="0" style="271" hidden="1" customWidth="1"/>
    <col min="10757" max="10757" width="13.75" style="271" bestFit="1" customWidth="1"/>
    <col min="10758" max="10758" width="7.625" style="271" customWidth="1"/>
    <col min="10759" max="10759" width="5.75" style="271" bestFit="1" customWidth="1"/>
    <col min="10760" max="10761" width="20.875" style="271" customWidth="1"/>
    <col min="10762" max="10762" width="14.875" style="271" customWidth="1"/>
    <col min="10763" max="11003" width="9" style="271"/>
    <col min="11004" max="11005" width="3.125" style="271" customWidth="1"/>
    <col min="11006" max="11006" width="32" style="271" customWidth="1"/>
    <col min="11007" max="11009" width="16.375" style="271" customWidth="1"/>
    <col min="11010" max="11012" width="0" style="271" hidden="1" customWidth="1"/>
    <col min="11013" max="11013" width="13.75" style="271" bestFit="1" customWidth="1"/>
    <col min="11014" max="11014" width="7.625" style="271" customWidth="1"/>
    <col min="11015" max="11015" width="5.75" style="271" bestFit="1" customWidth="1"/>
    <col min="11016" max="11017" width="20.875" style="271" customWidth="1"/>
    <col min="11018" max="11018" width="14.875" style="271" customWidth="1"/>
    <col min="11019" max="11259" width="9" style="271"/>
    <col min="11260" max="11261" width="3.125" style="271" customWidth="1"/>
    <col min="11262" max="11262" width="32" style="271" customWidth="1"/>
    <col min="11263" max="11265" width="16.375" style="271" customWidth="1"/>
    <col min="11266" max="11268" width="0" style="271" hidden="1" customWidth="1"/>
    <col min="11269" max="11269" width="13.75" style="271" bestFit="1" customWidth="1"/>
    <col min="11270" max="11270" width="7.625" style="271" customWidth="1"/>
    <col min="11271" max="11271" width="5.75" style="271" bestFit="1" customWidth="1"/>
    <col min="11272" max="11273" width="20.875" style="271" customWidth="1"/>
    <col min="11274" max="11274" width="14.875" style="271" customWidth="1"/>
    <col min="11275" max="11515" width="9" style="271"/>
    <col min="11516" max="11517" width="3.125" style="271" customWidth="1"/>
    <col min="11518" max="11518" width="32" style="271" customWidth="1"/>
    <col min="11519" max="11521" width="16.375" style="271" customWidth="1"/>
    <col min="11522" max="11524" width="0" style="271" hidden="1" customWidth="1"/>
    <col min="11525" max="11525" width="13.75" style="271" bestFit="1" customWidth="1"/>
    <col min="11526" max="11526" width="7.625" style="271" customWidth="1"/>
    <col min="11527" max="11527" width="5.75" style="271" bestFit="1" customWidth="1"/>
    <col min="11528" max="11529" width="20.875" style="271" customWidth="1"/>
    <col min="11530" max="11530" width="14.875" style="271" customWidth="1"/>
    <col min="11531" max="11771" width="9" style="271"/>
    <col min="11772" max="11773" width="3.125" style="271" customWidth="1"/>
    <col min="11774" max="11774" width="32" style="271" customWidth="1"/>
    <col min="11775" max="11777" width="16.375" style="271" customWidth="1"/>
    <col min="11778" max="11780" width="0" style="271" hidden="1" customWidth="1"/>
    <col min="11781" max="11781" width="13.75" style="271" bestFit="1" customWidth="1"/>
    <col min="11782" max="11782" width="7.625" style="271" customWidth="1"/>
    <col min="11783" max="11783" width="5.75" style="271" bestFit="1" customWidth="1"/>
    <col min="11784" max="11785" width="20.875" style="271" customWidth="1"/>
    <col min="11786" max="11786" width="14.875" style="271" customWidth="1"/>
    <col min="11787" max="12027" width="9" style="271"/>
    <col min="12028" max="12029" width="3.125" style="271" customWidth="1"/>
    <col min="12030" max="12030" width="32" style="271" customWidth="1"/>
    <col min="12031" max="12033" width="16.375" style="271" customWidth="1"/>
    <col min="12034" max="12036" width="0" style="271" hidden="1" customWidth="1"/>
    <col min="12037" max="12037" width="13.75" style="271" bestFit="1" customWidth="1"/>
    <col min="12038" max="12038" width="7.625" style="271" customWidth="1"/>
    <col min="12039" max="12039" width="5.75" style="271" bestFit="1" customWidth="1"/>
    <col min="12040" max="12041" width="20.875" style="271" customWidth="1"/>
    <col min="12042" max="12042" width="14.875" style="271" customWidth="1"/>
    <col min="12043" max="12283" width="9" style="271"/>
    <col min="12284" max="12285" width="3.125" style="271" customWidth="1"/>
    <col min="12286" max="12286" width="32" style="271" customWidth="1"/>
    <col min="12287" max="12289" width="16.375" style="271" customWidth="1"/>
    <col min="12290" max="12292" width="0" style="271" hidden="1" customWidth="1"/>
    <col min="12293" max="12293" width="13.75" style="271" bestFit="1" customWidth="1"/>
    <col min="12294" max="12294" width="7.625" style="271" customWidth="1"/>
    <col min="12295" max="12295" width="5.75" style="271" bestFit="1" customWidth="1"/>
    <col min="12296" max="12297" width="20.875" style="271" customWidth="1"/>
    <col min="12298" max="12298" width="14.875" style="271" customWidth="1"/>
    <col min="12299" max="12539" width="9" style="271"/>
    <col min="12540" max="12541" width="3.125" style="271" customWidth="1"/>
    <col min="12542" max="12542" width="32" style="271" customWidth="1"/>
    <col min="12543" max="12545" width="16.375" style="271" customWidth="1"/>
    <col min="12546" max="12548" width="0" style="271" hidden="1" customWidth="1"/>
    <col min="12549" max="12549" width="13.75" style="271" bestFit="1" customWidth="1"/>
    <col min="12550" max="12550" width="7.625" style="271" customWidth="1"/>
    <col min="12551" max="12551" width="5.75" style="271" bestFit="1" customWidth="1"/>
    <col min="12552" max="12553" width="20.875" style="271" customWidth="1"/>
    <col min="12554" max="12554" width="14.875" style="271" customWidth="1"/>
    <col min="12555" max="12795" width="9" style="271"/>
    <col min="12796" max="12797" width="3.125" style="271" customWidth="1"/>
    <col min="12798" max="12798" width="32" style="271" customWidth="1"/>
    <col min="12799" max="12801" width="16.375" style="271" customWidth="1"/>
    <col min="12802" max="12804" width="0" style="271" hidden="1" customWidth="1"/>
    <col min="12805" max="12805" width="13.75" style="271" bestFit="1" customWidth="1"/>
    <col min="12806" max="12806" width="7.625" style="271" customWidth="1"/>
    <col min="12807" max="12807" width="5.75" style="271" bestFit="1" customWidth="1"/>
    <col min="12808" max="12809" width="20.875" style="271" customWidth="1"/>
    <col min="12810" max="12810" width="14.875" style="271" customWidth="1"/>
    <col min="12811" max="13051" width="9" style="271"/>
    <col min="13052" max="13053" width="3.125" style="271" customWidth="1"/>
    <col min="13054" max="13054" width="32" style="271" customWidth="1"/>
    <col min="13055" max="13057" width="16.375" style="271" customWidth="1"/>
    <col min="13058" max="13060" width="0" style="271" hidden="1" customWidth="1"/>
    <col min="13061" max="13061" width="13.75" style="271" bestFit="1" customWidth="1"/>
    <col min="13062" max="13062" width="7.625" style="271" customWidth="1"/>
    <col min="13063" max="13063" width="5.75" style="271" bestFit="1" customWidth="1"/>
    <col min="13064" max="13065" width="20.875" style="271" customWidth="1"/>
    <col min="13066" max="13066" width="14.875" style="271" customWidth="1"/>
    <col min="13067" max="13307" width="9" style="271"/>
    <col min="13308" max="13309" width="3.125" style="271" customWidth="1"/>
    <col min="13310" max="13310" width="32" style="271" customWidth="1"/>
    <col min="13311" max="13313" width="16.375" style="271" customWidth="1"/>
    <col min="13314" max="13316" width="0" style="271" hidden="1" customWidth="1"/>
    <col min="13317" max="13317" width="13.75" style="271" bestFit="1" customWidth="1"/>
    <col min="13318" max="13318" width="7.625" style="271" customWidth="1"/>
    <col min="13319" max="13319" width="5.75" style="271" bestFit="1" customWidth="1"/>
    <col min="13320" max="13321" width="20.875" style="271" customWidth="1"/>
    <col min="13322" max="13322" width="14.875" style="271" customWidth="1"/>
    <col min="13323" max="13563" width="9" style="271"/>
    <col min="13564" max="13565" width="3.125" style="271" customWidth="1"/>
    <col min="13566" max="13566" width="32" style="271" customWidth="1"/>
    <col min="13567" max="13569" width="16.375" style="271" customWidth="1"/>
    <col min="13570" max="13572" width="0" style="271" hidden="1" customWidth="1"/>
    <col min="13573" max="13573" width="13.75" style="271" bestFit="1" customWidth="1"/>
    <col min="13574" max="13574" width="7.625" style="271" customWidth="1"/>
    <col min="13575" max="13575" width="5.75" style="271" bestFit="1" customWidth="1"/>
    <col min="13576" max="13577" width="20.875" style="271" customWidth="1"/>
    <col min="13578" max="13578" width="14.875" style="271" customWidth="1"/>
    <col min="13579" max="13819" width="9" style="271"/>
    <col min="13820" max="13821" width="3.125" style="271" customWidth="1"/>
    <col min="13822" max="13822" width="32" style="271" customWidth="1"/>
    <col min="13823" max="13825" width="16.375" style="271" customWidth="1"/>
    <col min="13826" max="13828" width="0" style="271" hidden="1" customWidth="1"/>
    <col min="13829" max="13829" width="13.75" style="271" bestFit="1" customWidth="1"/>
    <col min="13830" max="13830" width="7.625" style="271" customWidth="1"/>
    <col min="13831" max="13831" width="5.75" style="271" bestFit="1" customWidth="1"/>
    <col min="13832" max="13833" width="20.875" style="271" customWidth="1"/>
    <col min="13834" max="13834" width="14.875" style="271" customWidth="1"/>
    <col min="13835" max="14075" width="9" style="271"/>
    <col min="14076" max="14077" width="3.125" style="271" customWidth="1"/>
    <col min="14078" max="14078" width="32" style="271" customWidth="1"/>
    <col min="14079" max="14081" width="16.375" style="271" customWidth="1"/>
    <col min="14082" max="14084" width="0" style="271" hidden="1" customWidth="1"/>
    <col min="14085" max="14085" width="13.75" style="271" bestFit="1" customWidth="1"/>
    <col min="14086" max="14086" width="7.625" style="271" customWidth="1"/>
    <col min="14087" max="14087" width="5.75" style="271" bestFit="1" customWidth="1"/>
    <col min="14088" max="14089" width="20.875" style="271" customWidth="1"/>
    <col min="14090" max="14090" width="14.875" style="271" customWidth="1"/>
    <col min="14091" max="14331" width="9" style="271"/>
    <col min="14332" max="14333" width="3.125" style="271" customWidth="1"/>
    <col min="14334" max="14334" width="32" style="271" customWidth="1"/>
    <col min="14335" max="14337" width="16.375" style="271" customWidth="1"/>
    <col min="14338" max="14340" width="0" style="271" hidden="1" customWidth="1"/>
    <col min="14341" max="14341" width="13.75" style="271" bestFit="1" customWidth="1"/>
    <col min="14342" max="14342" width="7.625" style="271" customWidth="1"/>
    <col min="14343" max="14343" width="5.75" style="271" bestFit="1" customWidth="1"/>
    <col min="14344" max="14345" width="20.875" style="271" customWidth="1"/>
    <col min="14346" max="14346" width="14.875" style="271" customWidth="1"/>
    <col min="14347" max="14587" width="9" style="271"/>
    <col min="14588" max="14589" width="3.125" style="271" customWidth="1"/>
    <col min="14590" max="14590" width="32" style="271" customWidth="1"/>
    <col min="14591" max="14593" width="16.375" style="271" customWidth="1"/>
    <col min="14594" max="14596" width="0" style="271" hidden="1" customWidth="1"/>
    <col min="14597" max="14597" width="13.75" style="271" bestFit="1" customWidth="1"/>
    <col min="14598" max="14598" width="7.625" style="271" customWidth="1"/>
    <col min="14599" max="14599" width="5.75" style="271" bestFit="1" customWidth="1"/>
    <col min="14600" max="14601" width="20.875" style="271" customWidth="1"/>
    <col min="14602" max="14602" width="14.875" style="271" customWidth="1"/>
    <col min="14603" max="14843" width="9" style="271"/>
    <col min="14844" max="14845" width="3.125" style="271" customWidth="1"/>
    <col min="14846" max="14846" width="32" style="271" customWidth="1"/>
    <col min="14847" max="14849" width="16.375" style="271" customWidth="1"/>
    <col min="14850" max="14852" width="0" style="271" hidden="1" customWidth="1"/>
    <col min="14853" max="14853" width="13.75" style="271" bestFit="1" customWidth="1"/>
    <col min="14854" max="14854" width="7.625" style="271" customWidth="1"/>
    <col min="14855" max="14855" width="5.75" style="271" bestFit="1" customWidth="1"/>
    <col min="14856" max="14857" width="20.875" style="271" customWidth="1"/>
    <col min="14858" max="14858" width="14.875" style="271" customWidth="1"/>
    <col min="14859" max="15099" width="9" style="271"/>
    <col min="15100" max="15101" width="3.125" style="271" customWidth="1"/>
    <col min="15102" max="15102" width="32" style="271" customWidth="1"/>
    <col min="15103" max="15105" width="16.375" style="271" customWidth="1"/>
    <col min="15106" max="15108" width="0" style="271" hidden="1" customWidth="1"/>
    <col min="15109" max="15109" width="13.75" style="271" bestFit="1" customWidth="1"/>
    <col min="15110" max="15110" width="7.625" style="271" customWidth="1"/>
    <col min="15111" max="15111" width="5.75" style="271" bestFit="1" customWidth="1"/>
    <col min="15112" max="15113" width="20.875" style="271" customWidth="1"/>
    <col min="15114" max="15114" width="14.875" style="271" customWidth="1"/>
    <col min="15115" max="15355" width="9" style="271"/>
    <col min="15356" max="15357" width="3.125" style="271" customWidth="1"/>
    <col min="15358" max="15358" width="32" style="271" customWidth="1"/>
    <col min="15359" max="15361" width="16.375" style="271" customWidth="1"/>
    <col min="15362" max="15364" width="0" style="271" hidden="1" customWidth="1"/>
    <col min="15365" max="15365" width="13.75" style="271" bestFit="1" customWidth="1"/>
    <col min="15366" max="15366" width="7.625" style="271" customWidth="1"/>
    <col min="15367" max="15367" width="5.75" style="271" bestFit="1" customWidth="1"/>
    <col min="15368" max="15369" width="20.875" style="271" customWidth="1"/>
    <col min="15370" max="15370" width="14.875" style="271" customWidth="1"/>
    <col min="15371" max="15611" width="9" style="271"/>
    <col min="15612" max="15613" width="3.125" style="271" customWidth="1"/>
    <col min="15614" max="15614" width="32" style="271" customWidth="1"/>
    <col min="15615" max="15617" width="16.375" style="271" customWidth="1"/>
    <col min="15618" max="15620" width="0" style="271" hidden="1" customWidth="1"/>
    <col min="15621" max="15621" width="13.75" style="271" bestFit="1" customWidth="1"/>
    <col min="15622" max="15622" width="7.625" style="271" customWidth="1"/>
    <col min="15623" max="15623" width="5.75" style="271" bestFit="1" customWidth="1"/>
    <col min="15624" max="15625" width="20.875" style="271" customWidth="1"/>
    <col min="15626" max="15626" width="14.875" style="271" customWidth="1"/>
    <col min="15627" max="15867" width="9" style="271"/>
    <col min="15868" max="15869" width="3.125" style="271" customWidth="1"/>
    <col min="15870" max="15870" width="32" style="271" customWidth="1"/>
    <col min="15871" max="15873" width="16.375" style="271" customWidth="1"/>
    <col min="15874" max="15876" width="0" style="271" hidden="1" customWidth="1"/>
    <col min="15877" max="15877" width="13.75" style="271" bestFit="1" customWidth="1"/>
    <col min="15878" max="15878" width="7.625" style="271" customWidth="1"/>
    <col min="15879" max="15879" width="5.75" style="271" bestFit="1" customWidth="1"/>
    <col min="15880" max="15881" width="20.875" style="271" customWidth="1"/>
    <col min="15882" max="15882" width="14.875" style="271" customWidth="1"/>
    <col min="15883" max="16123" width="9" style="271"/>
    <col min="16124" max="16125" width="3.125" style="271" customWidth="1"/>
    <col min="16126" max="16126" width="32" style="271" customWidth="1"/>
    <col min="16127" max="16129" width="16.375" style="271" customWidth="1"/>
    <col min="16130" max="16132" width="0" style="271" hidden="1" customWidth="1"/>
    <col min="16133" max="16133" width="13.75" style="271" bestFit="1" customWidth="1"/>
    <col min="16134" max="16134" width="7.625" style="271" customWidth="1"/>
    <col min="16135" max="16135" width="5.75" style="271" bestFit="1" customWidth="1"/>
    <col min="16136" max="16137" width="20.875" style="271" customWidth="1"/>
    <col min="16138" max="16138" width="14.875" style="271" customWidth="1"/>
    <col min="16139" max="16384" width="9" style="271"/>
  </cols>
  <sheetData>
    <row r="1" spans="1:9">
      <c r="F1" s="383" t="s">
        <v>723</v>
      </c>
      <c r="I1" s="382" t="s">
        <v>722</v>
      </c>
    </row>
    <row r="2" spans="1:9">
      <c r="A2" s="767" t="s">
        <v>721</v>
      </c>
      <c r="B2" s="768"/>
      <c r="C2" s="769"/>
      <c r="D2" s="767" t="str">
        <f>+LEFT('[3]3条支出'!$D$1,6)</f>
        <v>令和５年度決</v>
      </c>
      <c r="E2" s="768"/>
      <c r="F2" s="769"/>
      <c r="G2" s="768" t="s">
        <v>720</v>
      </c>
      <c r="H2" s="768"/>
      <c r="I2" s="769"/>
    </row>
    <row r="3" spans="1:9">
      <c r="A3" s="770"/>
      <c r="B3" s="771"/>
      <c r="C3" s="772"/>
      <c r="D3" s="381" t="s">
        <v>719</v>
      </c>
      <c r="E3" s="379" t="s">
        <v>718</v>
      </c>
      <c r="F3" s="378" t="s">
        <v>717</v>
      </c>
      <c r="G3" s="380" t="s">
        <v>719</v>
      </c>
      <c r="H3" s="379" t="s">
        <v>718</v>
      </c>
      <c r="I3" s="378" t="s">
        <v>717</v>
      </c>
    </row>
    <row r="4" spans="1:9">
      <c r="A4" s="362" t="s">
        <v>716</v>
      </c>
      <c r="B4" s="361"/>
      <c r="C4" s="360"/>
      <c r="D4" s="359">
        <f t="shared" ref="D4:I4" si="0">D5+D10+D17</f>
        <v>0</v>
      </c>
      <c r="E4" s="357">
        <f t="shared" si="0"/>
        <v>0</v>
      </c>
      <c r="F4" s="308">
        <f t="shared" si="0"/>
        <v>1884549714</v>
      </c>
      <c r="G4" s="358">
        <f t="shared" si="0"/>
        <v>0</v>
      </c>
      <c r="H4" s="357">
        <f t="shared" si="0"/>
        <v>0</v>
      </c>
      <c r="I4" s="308">
        <f t="shared" si="0"/>
        <v>0</v>
      </c>
    </row>
    <row r="5" spans="1:9">
      <c r="A5" s="340"/>
      <c r="B5" s="356" t="s">
        <v>715</v>
      </c>
      <c r="C5" s="355"/>
      <c r="D5" s="354">
        <f t="shared" ref="D5:I5" si="1">SUM(D6:D9)</f>
        <v>0</v>
      </c>
      <c r="E5" s="351">
        <f t="shared" si="1"/>
        <v>0</v>
      </c>
      <c r="F5" s="350">
        <f t="shared" si="1"/>
        <v>1879828324</v>
      </c>
      <c r="G5" s="352">
        <f t="shared" si="1"/>
        <v>0</v>
      </c>
      <c r="H5" s="351">
        <f t="shared" si="1"/>
        <v>0</v>
      </c>
      <c r="I5" s="350">
        <f t="shared" si="1"/>
        <v>0</v>
      </c>
    </row>
    <row r="6" spans="1:9">
      <c r="A6" s="340"/>
      <c r="B6" s="339"/>
      <c r="C6" s="347" t="s">
        <v>714</v>
      </c>
      <c r="D6" s="374"/>
      <c r="E6" s="372"/>
      <c r="F6" s="377">
        <f>+'[2]3条収入'!AB8</f>
        <v>1862625061</v>
      </c>
      <c r="G6" s="373"/>
      <c r="H6" s="372"/>
      <c r="I6" s="299">
        <f>G6-H6</f>
        <v>0</v>
      </c>
    </row>
    <row r="7" spans="1:9">
      <c r="A7" s="340"/>
      <c r="B7" s="339"/>
      <c r="C7" s="338" t="s">
        <v>713</v>
      </c>
      <c r="D7" s="337"/>
      <c r="E7" s="335"/>
      <c r="F7" s="369">
        <f>+'[2]3条収入'!AB9</f>
        <v>0</v>
      </c>
      <c r="G7" s="336"/>
      <c r="H7" s="335"/>
      <c r="I7" s="289">
        <f>G7-H7</f>
        <v>0</v>
      </c>
    </row>
    <row r="8" spans="1:9">
      <c r="A8" s="340"/>
      <c r="B8" s="339"/>
      <c r="C8" s="338" t="s">
        <v>712</v>
      </c>
      <c r="D8" s="374"/>
      <c r="E8" s="372"/>
      <c r="F8" s="377">
        <f>+'[2]3条収入'!AB17</f>
        <v>0</v>
      </c>
      <c r="G8" s="373"/>
      <c r="H8" s="372"/>
      <c r="I8" s="299"/>
    </row>
    <row r="9" spans="1:9">
      <c r="A9" s="340"/>
      <c r="B9" s="339"/>
      <c r="C9" s="376" t="s">
        <v>711</v>
      </c>
      <c r="D9" s="374"/>
      <c r="E9" s="372"/>
      <c r="F9" s="377">
        <f>+'[2]3条収入'!AB19</f>
        <v>17203263</v>
      </c>
      <c r="G9" s="373"/>
      <c r="H9" s="372"/>
      <c r="I9" s="299">
        <f>G9-H9</f>
        <v>0</v>
      </c>
    </row>
    <row r="10" spans="1:9">
      <c r="A10" s="340"/>
      <c r="B10" s="342" t="s">
        <v>710</v>
      </c>
      <c r="C10" s="341"/>
      <c r="D10" s="337">
        <f t="shared" ref="D10:I10" si="2">SUM(D11:D16)</f>
        <v>0</v>
      </c>
      <c r="E10" s="335">
        <f t="shared" si="2"/>
        <v>0</v>
      </c>
      <c r="F10" s="295">
        <f t="shared" si="2"/>
        <v>4575502</v>
      </c>
      <c r="G10" s="336">
        <f t="shared" si="2"/>
        <v>0</v>
      </c>
      <c r="H10" s="335">
        <f t="shared" si="2"/>
        <v>0</v>
      </c>
      <c r="I10" s="289">
        <f t="shared" si="2"/>
        <v>0</v>
      </c>
    </row>
    <row r="11" spans="1:9">
      <c r="A11" s="340"/>
      <c r="B11" s="339"/>
      <c r="C11" s="347" t="s">
        <v>709</v>
      </c>
      <c r="D11" s="374"/>
      <c r="E11" s="372"/>
      <c r="F11" s="369">
        <f>+'[2]3条収入'!AB28</f>
        <v>0</v>
      </c>
      <c r="G11" s="373"/>
      <c r="H11" s="372"/>
      <c r="I11" s="299">
        <f t="shared" ref="I11:I16" si="3">G11-H11</f>
        <v>0</v>
      </c>
    </row>
    <row r="12" spans="1:9">
      <c r="A12" s="340"/>
      <c r="B12" s="339"/>
      <c r="C12" s="338" t="s">
        <v>634</v>
      </c>
      <c r="D12" s="337"/>
      <c r="E12" s="335"/>
      <c r="F12" s="369">
        <f>+'[2]3条収入'!AB32</f>
        <v>0</v>
      </c>
      <c r="G12" s="336"/>
      <c r="H12" s="335"/>
      <c r="I12" s="289">
        <f t="shared" si="3"/>
        <v>0</v>
      </c>
    </row>
    <row r="13" spans="1:9">
      <c r="A13" s="340"/>
      <c r="B13" s="339"/>
      <c r="C13" s="338" t="s">
        <v>670</v>
      </c>
      <c r="D13" s="337"/>
      <c r="E13" s="335"/>
      <c r="F13" s="369">
        <f>+'[2]3条収入'!AB39</f>
        <v>3365145</v>
      </c>
      <c r="G13" s="336"/>
      <c r="H13" s="335"/>
      <c r="I13" s="289">
        <f t="shared" si="3"/>
        <v>0</v>
      </c>
    </row>
    <row r="14" spans="1:9">
      <c r="A14" s="340"/>
      <c r="B14" s="339"/>
      <c r="C14" s="338" t="s">
        <v>708</v>
      </c>
      <c r="D14" s="337"/>
      <c r="E14" s="335"/>
      <c r="F14" s="369">
        <f>+'[2]3条収入'!AB42</f>
        <v>0</v>
      </c>
      <c r="G14" s="336"/>
      <c r="H14" s="335"/>
      <c r="I14" s="289">
        <f t="shared" si="3"/>
        <v>0</v>
      </c>
    </row>
    <row r="15" spans="1:9">
      <c r="A15" s="340"/>
      <c r="B15" s="339"/>
      <c r="C15" s="376" t="s">
        <v>707</v>
      </c>
      <c r="D15" s="375">
        <v>0</v>
      </c>
      <c r="E15" s="372">
        <v>0</v>
      </c>
      <c r="F15" s="369">
        <f>+'[2]3条収入'!AB49</f>
        <v>0</v>
      </c>
      <c r="G15" s="373"/>
      <c r="H15" s="372"/>
      <c r="I15" s="299">
        <f t="shared" si="3"/>
        <v>0</v>
      </c>
    </row>
    <row r="16" spans="1:9">
      <c r="A16" s="340"/>
      <c r="B16" s="339"/>
      <c r="C16" s="338" t="s">
        <v>706</v>
      </c>
      <c r="D16" s="337"/>
      <c r="E16" s="335"/>
      <c r="F16" s="369">
        <f>+'[2]3条収入'!AB51</f>
        <v>1210357</v>
      </c>
      <c r="G16" s="336"/>
      <c r="H16" s="335"/>
      <c r="I16" s="289">
        <f t="shared" si="3"/>
        <v>0</v>
      </c>
    </row>
    <row r="17" spans="1:9">
      <c r="A17" s="340"/>
      <c r="B17" s="342" t="s">
        <v>705</v>
      </c>
      <c r="C17" s="341"/>
      <c r="D17" s="337">
        <f t="shared" ref="D17:I17" si="4">SUM(D18:D20)</f>
        <v>0</v>
      </c>
      <c r="E17" s="335">
        <f t="shared" si="4"/>
        <v>0</v>
      </c>
      <c r="F17" s="295">
        <f t="shared" si="4"/>
        <v>145888</v>
      </c>
      <c r="G17" s="336">
        <f t="shared" si="4"/>
        <v>0</v>
      </c>
      <c r="H17" s="335">
        <f t="shared" si="4"/>
        <v>0</v>
      </c>
      <c r="I17" s="289">
        <f t="shared" si="4"/>
        <v>0</v>
      </c>
    </row>
    <row r="18" spans="1:9">
      <c r="A18" s="340"/>
      <c r="B18" s="339"/>
      <c r="C18" s="347" t="s">
        <v>704</v>
      </c>
      <c r="D18" s="374"/>
      <c r="E18" s="372"/>
      <c r="F18" s="369">
        <f>+'[2]3条収入'!AB58</f>
        <v>0</v>
      </c>
      <c r="G18" s="373"/>
      <c r="H18" s="372"/>
      <c r="I18" s="299">
        <f>G18-H18</f>
        <v>0</v>
      </c>
    </row>
    <row r="19" spans="1:9">
      <c r="A19" s="340"/>
      <c r="B19" s="339"/>
      <c r="C19" s="338" t="s">
        <v>703</v>
      </c>
      <c r="D19" s="337"/>
      <c r="E19" s="335"/>
      <c r="F19" s="369">
        <f>+'[2]3条収入'!AB60</f>
        <v>145888</v>
      </c>
      <c r="G19" s="336"/>
      <c r="H19" s="335"/>
      <c r="I19" s="289">
        <f>G19-H19</f>
        <v>0</v>
      </c>
    </row>
    <row r="20" spans="1:9">
      <c r="A20" s="334"/>
      <c r="B20" s="364"/>
      <c r="C20" s="371" t="s">
        <v>702</v>
      </c>
      <c r="D20" s="331"/>
      <c r="E20" s="328"/>
      <c r="F20" s="370">
        <f>+'[2]3条収入'!AB62</f>
        <v>0</v>
      </c>
      <c r="G20" s="329"/>
      <c r="H20" s="328"/>
      <c r="I20" s="327">
        <f>G20-H20</f>
        <v>0</v>
      </c>
    </row>
    <row r="21" spans="1:9">
      <c r="A21" s="362" t="s">
        <v>701</v>
      </c>
      <c r="B21" s="361"/>
      <c r="C21" s="360"/>
      <c r="D21" s="359">
        <f t="shared" ref="D21:I21" si="5">D22+D38+D43+D46</f>
        <v>0</v>
      </c>
      <c r="E21" s="357">
        <f t="shared" si="5"/>
        <v>0</v>
      </c>
      <c r="F21" s="311">
        <f t="shared" si="5"/>
        <v>828022199</v>
      </c>
      <c r="G21" s="358">
        <f t="shared" si="5"/>
        <v>0</v>
      </c>
      <c r="H21" s="357">
        <f t="shared" si="5"/>
        <v>0</v>
      </c>
      <c r="I21" s="308">
        <f t="shared" si="5"/>
        <v>0</v>
      </c>
    </row>
    <row r="22" spans="1:9">
      <c r="A22" s="340"/>
      <c r="B22" s="356" t="s">
        <v>700</v>
      </c>
      <c r="C22" s="355"/>
      <c r="D22" s="354">
        <f t="shared" ref="D22:I22" si="6">SUM(D23:D37)</f>
        <v>0</v>
      </c>
      <c r="E22" s="351">
        <f t="shared" si="6"/>
        <v>0</v>
      </c>
      <c r="F22" s="353">
        <f t="shared" si="6"/>
        <v>820944501</v>
      </c>
      <c r="G22" s="352">
        <f t="shared" si="6"/>
        <v>0</v>
      </c>
      <c r="H22" s="351">
        <f t="shared" si="6"/>
        <v>0</v>
      </c>
      <c r="I22" s="350">
        <f t="shared" si="6"/>
        <v>0</v>
      </c>
    </row>
    <row r="23" spans="1:9">
      <c r="A23" s="340"/>
      <c r="B23" s="339"/>
      <c r="C23" s="338" t="s">
        <v>699</v>
      </c>
      <c r="D23" s="337"/>
      <c r="E23" s="335"/>
      <c r="F23" s="369">
        <f>+'[3]3条支出'!S6</f>
        <v>47155349</v>
      </c>
      <c r="G23" s="336"/>
      <c r="H23" s="335"/>
      <c r="I23" s="289">
        <f>G23-H23</f>
        <v>0</v>
      </c>
    </row>
    <row r="24" spans="1:9">
      <c r="A24" s="340"/>
      <c r="B24" s="339"/>
      <c r="C24" s="338" t="s">
        <v>698</v>
      </c>
      <c r="D24" s="337"/>
      <c r="E24" s="335"/>
      <c r="F24" s="369">
        <f>+'[3]3条支出'!S7</f>
        <v>1130574</v>
      </c>
      <c r="G24" s="336"/>
      <c r="H24" s="335"/>
      <c r="I24" s="289">
        <f>G24-H24</f>
        <v>0</v>
      </c>
    </row>
    <row r="25" spans="1:9">
      <c r="A25" s="340"/>
      <c r="B25" s="339"/>
      <c r="C25" s="338" t="s">
        <v>697</v>
      </c>
      <c r="D25" s="337"/>
      <c r="E25" s="335"/>
      <c r="F25" s="369">
        <f>+'[3]3条支出'!S8</f>
        <v>104382258</v>
      </c>
      <c r="G25" s="336"/>
      <c r="H25" s="335"/>
      <c r="I25" s="289">
        <f>G25-H25</f>
        <v>0</v>
      </c>
    </row>
    <row r="26" spans="1:9">
      <c r="A26" s="340"/>
      <c r="B26" s="339"/>
      <c r="C26" s="338" t="s">
        <v>696</v>
      </c>
      <c r="D26" s="337"/>
      <c r="E26" s="335"/>
      <c r="F26" s="369">
        <f>+'[3]3条支出'!S9</f>
        <v>519893786</v>
      </c>
      <c r="G26" s="336"/>
      <c r="H26" s="335"/>
      <c r="I26" s="289">
        <f>G26-H26</f>
        <v>0</v>
      </c>
    </row>
    <row r="27" spans="1:9">
      <c r="A27" s="340"/>
      <c r="B27" s="339"/>
      <c r="C27" s="271" t="s">
        <v>695</v>
      </c>
      <c r="D27" s="337"/>
      <c r="E27" s="335"/>
      <c r="F27" s="369">
        <f>+'[3]3条支出'!S10</f>
        <v>0</v>
      </c>
      <c r="G27" s="336"/>
      <c r="H27" s="335"/>
      <c r="I27" s="289">
        <f>G27-H27</f>
        <v>0</v>
      </c>
    </row>
    <row r="28" spans="1:9">
      <c r="A28" s="340"/>
      <c r="B28" s="339"/>
      <c r="C28" s="338" t="s">
        <v>694</v>
      </c>
      <c r="D28" s="337"/>
      <c r="E28" s="335"/>
      <c r="F28" s="369">
        <f>+'[3]3条支出'!S11</f>
        <v>1715497</v>
      </c>
      <c r="G28" s="336"/>
      <c r="H28" s="335"/>
      <c r="I28" s="289"/>
    </row>
    <row r="29" spans="1:9">
      <c r="A29" s="340"/>
      <c r="B29" s="339"/>
      <c r="C29" s="338" t="s">
        <v>647</v>
      </c>
      <c r="D29" s="337"/>
      <c r="E29" s="335"/>
      <c r="F29" s="369">
        <f>+'[3]3条支出'!S12</f>
        <v>87589</v>
      </c>
      <c r="G29" s="336"/>
      <c r="H29" s="335"/>
      <c r="I29" s="289">
        <f>G29-H29</f>
        <v>0</v>
      </c>
    </row>
    <row r="30" spans="1:9">
      <c r="A30" s="340"/>
      <c r="B30" s="339"/>
      <c r="C30" s="338" t="s">
        <v>693</v>
      </c>
      <c r="D30" s="337"/>
      <c r="E30" s="335"/>
      <c r="F30" s="369">
        <f>+'[3]3条支出'!S13</f>
        <v>90253429</v>
      </c>
      <c r="G30" s="336"/>
      <c r="H30" s="335"/>
      <c r="I30" s="289">
        <f>G30-H30</f>
        <v>0</v>
      </c>
    </row>
    <row r="31" spans="1:9">
      <c r="A31" s="340"/>
      <c r="B31" s="339"/>
      <c r="C31" s="338" t="s">
        <v>692</v>
      </c>
      <c r="D31" s="337"/>
      <c r="E31" s="335"/>
      <c r="F31" s="369">
        <f>+'[3]3条支出'!S14</f>
        <v>17678805</v>
      </c>
      <c r="G31" s="336"/>
      <c r="H31" s="335"/>
      <c r="I31" s="289">
        <f>G31-H31</f>
        <v>0</v>
      </c>
    </row>
    <row r="32" spans="1:9">
      <c r="A32" s="340"/>
      <c r="B32" s="339"/>
      <c r="C32" s="338" t="s">
        <v>691</v>
      </c>
      <c r="D32" s="337"/>
      <c r="E32" s="335"/>
      <c r="F32" s="369">
        <f>+'[3]3条支出'!S15</f>
        <v>9713984</v>
      </c>
      <c r="G32" s="336"/>
      <c r="H32" s="335"/>
      <c r="I32" s="289"/>
    </row>
    <row r="33" spans="1:9">
      <c r="A33" s="340"/>
      <c r="B33" s="339"/>
      <c r="C33" s="338" t="s">
        <v>690</v>
      </c>
      <c r="D33" s="337"/>
      <c r="E33" s="335"/>
      <c r="F33" s="369">
        <f>+'[3]3条支出'!S16</f>
        <v>22486229</v>
      </c>
      <c r="G33" s="336"/>
      <c r="H33" s="335"/>
      <c r="I33" s="289"/>
    </row>
    <row r="34" spans="1:9">
      <c r="A34" s="340"/>
      <c r="B34" s="339"/>
      <c r="C34" s="338" t="s">
        <v>689</v>
      </c>
      <c r="D34" s="337"/>
      <c r="E34" s="335"/>
      <c r="F34" s="369">
        <f>+'[3]3条支出'!S17</f>
        <v>6447001</v>
      </c>
      <c r="G34" s="336"/>
      <c r="H34" s="335"/>
      <c r="I34" s="289"/>
    </row>
    <row r="35" spans="1:9">
      <c r="A35" s="340"/>
      <c r="B35" s="339"/>
      <c r="C35" s="338" t="s">
        <v>688</v>
      </c>
      <c r="D35" s="337"/>
      <c r="E35" s="335"/>
      <c r="F35" s="369">
        <f>+'[3]3条支出'!S18</f>
        <v>0</v>
      </c>
      <c r="G35" s="336"/>
      <c r="H35" s="335"/>
      <c r="I35" s="289"/>
    </row>
    <row r="36" spans="1:9">
      <c r="A36" s="340"/>
      <c r="B36" s="339"/>
      <c r="C36" s="338" t="s">
        <v>687</v>
      </c>
      <c r="D36" s="337"/>
      <c r="E36" s="335"/>
      <c r="F36" s="369">
        <f>+'[3]3条支出'!S19</f>
        <v>0</v>
      </c>
      <c r="G36" s="336"/>
      <c r="H36" s="335"/>
      <c r="I36" s="289">
        <f>G36-H36</f>
        <v>0</v>
      </c>
    </row>
    <row r="37" spans="1:9">
      <c r="A37" s="340"/>
      <c r="B37" s="339"/>
      <c r="C37" s="347" t="s">
        <v>686</v>
      </c>
      <c r="D37" s="346"/>
      <c r="E37" s="343"/>
      <c r="F37" s="368">
        <f>+'[3]3条支出'!S20</f>
        <v>0</v>
      </c>
      <c r="G37" s="344"/>
      <c r="H37" s="343"/>
      <c r="I37" s="281">
        <f>G37-H37</f>
        <v>0</v>
      </c>
    </row>
    <row r="38" spans="1:9">
      <c r="A38" s="340"/>
      <c r="B38" s="342" t="s">
        <v>685</v>
      </c>
      <c r="C38" s="341"/>
      <c r="D38" s="337">
        <f t="shared" ref="D38:I38" si="7">SUM(D39:D42)</f>
        <v>0</v>
      </c>
      <c r="E38" s="335">
        <f t="shared" si="7"/>
        <v>0</v>
      </c>
      <c r="F38" s="295">
        <f t="shared" si="7"/>
        <v>6109254</v>
      </c>
      <c r="G38" s="336">
        <f t="shared" si="7"/>
        <v>0</v>
      </c>
      <c r="H38" s="335">
        <f t="shared" si="7"/>
        <v>0</v>
      </c>
      <c r="I38" s="289">
        <f t="shared" si="7"/>
        <v>0</v>
      </c>
    </row>
    <row r="39" spans="1:9">
      <c r="A39" s="340"/>
      <c r="B39" s="339"/>
      <c r="C39" s="338" t="s">
        <v>684</v>
      </c>
      <c r="D39" s="337"/>
      <c r="E39" s="335"/>
      <c r="F39" s="368">
        <f>+'[3]3条支出'!S23</f>
        <v>5619432</v>
      </c>
      <c r="G39" s="336"/>
      <c r="H39" s="335"/>
      <c r="I39" s="289">
        <f>G39-H39</f>
        <v>0</v>
      </c>
    </row>
    <row r="40" spans="1:9">
      <c r="A40" s="340"/>
      <c r="B40" s="339"/>
      <c r="C40" s="338" t="s">
        <v>683</v>
      </c>
      <c r="D40" s="337"/>
      <c r="E40" s="335"/>
      <c r="F40" s="295"/>
      <c r="G40" s="336"/>
      <c r="H40" s="335"/>
      <c r="I40" s="289">
        <f>G40-H40</f>
        <v>0</v>
      </c>
    </row>
    <row r="41" spans="1:9">
      <c r="A41" s="340"/>
      <c r="B41" s="339"/>
      <c r="C41" s="338" t="s">
        <v>682</v>
      </c>
      <c r="D41" s="337"/>
      <c r="E41" s="335"/>
      <c r="F41" s="369">
        <f>+'[3]3条支出'!S25</f>
        <v>0</v>
      </c>
      <c r="G41" s="336"/>
      <c r="H41" s="335"/>
      <c r="I41" s="289">
        <f>G41-H41</f>
        <v>0</v>
      </c>
    </row>
    <row r="42" spans="1:9">
      <c r="A42" s="340"/>
      <c r="B42" s="339"/>
      <c r="C42" s="347" t="s">
        <v>681</v>
      </c>
      <c r="D42" s="346"/>
      <c r="E42" s="343"/>
      <c r="F42" s="368">
        <f>+'[3]3条支出'!S24</f>
        <v>489822</v>
      </c>
      <c r="G42" s="344"/>
      <c r="H42" s="343"/>
      <c r="I42" s="281">
        <f>G42-H42</f>
        <v>0</v>
      </c>
    </row>
    <row r="43" spans="1:9">
      <c r="A43" s="340"/>
      <c r="B43" s="342" t="s">
        <v>680</v>
      </c>
      <c r="C43" s="341"/>
      <c r="D43" s="337">
        <f t="shared" ref="D43:I43" si="8">SUM(D44:D45)</f>
        <v>0</v>
      </c>
      <c r="E43" s="335">
        <f t="shared" si="8"/>
        <v>0</v>
      </c>
      <c r="F43" s="295">
        <f t="shared" si="8"/>
        <v>968444</v>
      </c>
      <c r="G43" s="336">
        <f t="shared" si="8"/>
        <v>0</v>
      </c>
      <c r="H43" s="335">
        <f t="shared" si="8"/>
        <v>0</v>
      </c>
      <c r="I43" s="289">
        <f t="shared" si="8"/>
        <v>0</v>
      </c>
    </row>
    <row r="44" spans="1:9">
      <c r="A44" s="340"/>
      <c r="B44" s="339"/>
      <c r="C44" s="338" t="s">
        <v>679</v>
      </c>
      <c r="D44" s="337"/>
      <c r="E44" s="335"/>
      <c r="F44" s="368">
        <f>+'[3]3条支出'!S28</f>
        <v>968444</v>
      </c>
      <c r="G44" s="336"/>
      <c r="H44" s="335"/>
      <c r="I44" s="289">
        <f>G44-H44</f>
        <v>0</v>
      </c>
    </row>
    <row r="45" spans="1:9">
      <c r="A45" s="340"/>
      <c r="B45" s="339"/>
      <c r="C45" s="338" t="s">
        <v>678</v>
      </c>
      <c r="D45" s="337"/>
      <c r="E45" s="335"/>
      <c r="F45" s="368">
        <f>+'[3]3条支出'!S29</f>
        <v>0</v>
      </c>
      <c r="G45" s="336"/>
      <c r="H45" s="335"/>
      <c r="I45" s="289">
        <f>G45-H45</f>
        <v>0</v>
      </c>
    </row>
    <row r="46" spans="1:9">
      <c r="A46" s="334"/>
      <c r="B46" s="333" t="s">
        <v>677</v>
      </c>
      <c r="C46" s="332"/>
      <c r="D46" s="331"/>
      <c r="E46" s="328"/>
      <c r="F46" s="367"/>
      <c r="G46" s="329"/>
      <c r="H46" s="328"/>
      <c r="I46" s="327">
        <f>G46-H46</f>
        <v>0</v>
      </c>
    </row>
    <row r="47" spans="1:9">
      <c r="A47" s="362" t="s">
        <v>676</v>
      </c>
      <c r="B47" s="361"/>
      <c r="C47" s="360"/>
      <c r="D47" s="358">
        <f t="shared" ref="D47:I47" si="9">D48+D51+D52+D53+D54+D59+D63+D65</f>
        <v>0</v>
      </c>
      <c r="E47" s="357">
        <f t="shared" si="9"/>
        <v>0</v>
      </c>
      <c r="F47" s="311">
        <f t="shared" si="9"/>
        <v>3608310</v>
      </c>
      <c r="G47" s="358">
        <f t="shared" si="9"/>
        <v>0</v>
      </c>
      <c r="H47" s="357">
        <f t="shared" si="9"/>
        <v>0</v>
      </c>
      <c r="I47" s="308">
        <f t="shared" si="9"/>
        <v>0</v>
      </c>
    </row>
    <row r="48" spans="1:9">
      <c r="A48" s="340"/>
      <c r="B48" s="356" t="s">
        <v>675</v>
      </c>
      <c r="C48" s="355"/>
      <c r="D48" s="354">
        <f t="shared" ref="D48:I48" si="10">SUM(D49:D50)</f>
        <v>0</v>
      </c>
      <c r="E48" s="351">
        <f t="shared" si="10"/>
        <v>0</v>
      </c>
      <c r="F48" s="353">
        <f t="shared" si="10"/>
        <v>0</v>
      </c>
      <c r="G48" s="352">
        <f t="shared" si="10"/>
        <v>0</v>
      </c>
      <c r="H48" s="351">
        <f t="shared" si="10"/>
        <v>0</v>
      </c>
      <c r="I48" s="350">
        <f t="shared" si="10"/>
        <v>0</v>
      </c>
    </row>
    <row r="49" spans="1:9">
      <c r="A49" s="340"/>
      <c r="B49" s="339"/>
      <c r="C49" s="338" t="s">
        <v>674</v>
      </c>
      <c r="D49" s="337"/>
      <c r="E49" s="335"/>
      <c r="F49" s="366">
        <f>+'[4]4条収入'!AB8</f>
        <v>0</v>
      </c>
      <c r="G49" s="336"/>
      <c r="H49" s="335"/>
      <c r="I49" s="289">
        <f>G49-H49</f>
        <v>0</v>
      </c>
    </row>
    <row r="50" spans="1:9">
      <c r="A50" s="340"/>
      <c r="B50" s="339"/>
      <c r="C50" s="347" t="s">
        <v>673</v>
      </c>
      <c r="D50" s="346"/>
      <c r="E50" s="343"/>
      <c r="F50" s="365">
        <f>+'[4]4条収入'!AB16</f>
        <v>0</v>
      </c>
      <c r="G50" s="344"/>
      <c r="H50" s="343"/>
      <c r="I50" s="281">
        <f>G50-H50</f>
        <v>0</v>
      </c>
    </row>
    <row r="51" spans="1:9">
      <c r="A51" s="340"/>
      <c r="B51" s="342" t="s">
        <v>672</v>
      </c>
      <c r="C51" s="341"/>
      <c r="D51" s="337"/>
      <c r="E51" s="335"/>
      <c r="F51" s="366">
        <f>+'[4]4条収入'!AB22</f>
        <v>0</v>
      </c>
      <c r="G51" s="336"/>
      <c r="H51" s="335"/>
      <c r="I51" s="289">
        <f>G51-H51</f>
        <v>0</v>
      </c>
    </row>
    <row r="52" spans="1:9">
      <c r="A52" s="340"/>
      <c r="B52" s="342" t="s">
        <v>634</v>
      </c>
      <c r="C52" s="341"/>
      <c r="D52" s="337"/>
      <c r="E52" s="335"/>
      <c r="F52" s="366">
        <f>+'[4]4条収入'!AB23</f>
        <v>0</v>
      </c>
      <c r="G52" s="336"/>
      <c r="H52" s="335"/>
      <c r="I52" s="289">
        <f>G52-H52</f>
        <v>0</v>
      </c>
    </row>
    <row r="53" spans="1:9">
      <c r="A53" s="340"/>
      <c r="B53" s="342" t="s">
        <v>671</v>
      </c>
      <c r="C53" s="341"/>
      <c r="D53" s="337"/>
      <c r="E53" s="335"/>
      <c r="F53" s="366">
        <f>+'[4]4条収入'!AB37</f>
        <v>2215735</v>
      </c>
      <c r="G53" s="336"/>
      <c r="H53" s="335"/>
      <c r="I53" s="289">
        <f>G53-H53</f>
        <v>0</v>
      </c>
    </row>
    <row r="54" spans="1:9">
      <c r="A54" s="340"/>
      <c r="B54" s="342" t="s">
        <v>670</v>
      </c>
      <c r="C54" s="341"/>
      <c r="D54" s="337">
        <f t="shared" ref="D54:I54" si="11">SUM(D55:D58)</f>
        <v>0</v>
      </c>
      <c r="E54" s="335">
        <f t="shared" si="11"/>
        <v>0</v>
      </c>
      <c r="F54" s="295">
        <f t="shared" si="11"/>
        <v>1392575</v>
      </c>
      <c r="G54" s="336">
        <f t="shared" si="11"/>
        <v>0</v>
      </c>
      <c r="H54" s="335">
        <f t="shared" si="11"/>
        <v>0</v>
      </c>
      <c r="I54" s="289">
        <f t="shared" si="11"/>
        <v>0</v>
      </c>
    </row>
    <row r="55" spans="1:9">
      <c r="A55" s="340"/>
      <c r="B55" s="339"/>
      <c r="C55" s="338" t="s">
        <v>632</v>
      </c>
      <c r="D55" s="337"/>
      <c r="E55" s="335"/>
      <c r="F55" s="366">
        <f>+'[4]4条収入'!AB43</f>
        <v>0</v>
      </c>
      <c r="G55" s="336"/>
      <c r="H55" s="335"/>
      <c r="I55" s="289">
        <f>G55-H55</f>
        <v>0</v>
      </c>
    </row>
    <row r="56" spans="1:9">
      <c r="A56" s="340"/>
      <c r="B56" s="339"/>
      <c r="C56" s="338" t="s">
        <v>669</v>
      </c>
      <c r="D56" s="337"/>
      <c r="E56" s="335"/>
      <c r="F56" s="366">
        <f>+'[4]4条収入'!AB45</f>
        <v>0</v>
      </c>
      <c r="G56" s="336"/>
      <c r="H56" s="335"/>
      <c r="I56" s="289"/>
    </row>
    <row r="57" spans="1:9">
      <c r="A57" s="340"/>
      <c r="B57" s="339"/>
      <c r="C57" s="338" t="s">
        <v>630</v>
      </c>
      <c r="D57" s="337"/>
      <c r="E57" s="335"/>
      <c r="F57" s="366">
        <f>+'[4]4条収入'!AB50</f>
        <v>1392575</v>
      </c>
      <c r="G57" s="336"/>
      <c r="H57" s="335"/>
      <c r="I57" s="289">
        <f>G57-H57</f>
        <v>0</v>
      </c>
    </row>
    <row r="58" spans="1:9">
      <c r="A58" s="340"/>
      <c r="B58" s="339"/>
      <c r="C58" s="347" t="s">
        <v>668</v>
      </c>
      <c r="D58" s="346"/>
      <c r="E58" s="343"/>
      <c r="F58" s="295"/>
      <c r="G58" s="344"/>
      <c r="H58" s="343"/>
      <c r="I58" s="281">
        <f>G58-H58</f>
        <v>0</v>
      </c>
    </row>
    <row r="59" spans="1:9">
      <c r="A59" s="340"/>
      <c r="B59" s="342" t="s">
        <v>667</v>
      </c>
      <c r="C59" s="341"/>
      <c r="D59" s="337">
        <f t="shared" ref="D59:I59" si="12">SUM(D60:D62)</f>
        <v>0</v>
      </c>
      <c r="E59" s="335">
        <f t="shared" si="12"/>
        <v>0</v>
      </c>
      <c r="F59" s="295">
        <f t="shared" si="12"/>
        <v>0</v>
      </c>
      <c r="G59" s="336">
        <f t="shared" si="12"/>
        <v>0</v>
      </c>
      <c r="H59" s="335">
        <f t="shared" si="12"/>
        <v>0</v>
      </c>
      <c r="I59" s="289">
        <f t="shared" si="12"/>
        <v>0</v>
      </c>
    </row>
    <row r="60" spans="1:9">
      <c r="A60" s="340"/>
      <c r="B60" s="339"/>
      <c r="C60" s="338" t="s">
        <v>666</v>
      </c>
      <c r="D60" s="337"/>
      <c r="E60" s="335"/>
      <c r="F60" s="366">
        <f>+'[4]4条収入'!AB56</f>
        <v>0</v>
      </c>
      <c r="G60" s="336"/>
      <c r="H60" s="335"/>
      <c r="I60" s="289">
        <f>G60-H60</f>
        <v>0</v>
      </c>
    </row>
    <row r="61" spans="1:9">
      <c r="A61" s="340"/>
      <c r="B61" s="339"/>
      <c r="C61" s="338" t="s">
        <v>665</v>
      </c>
      <c r="D61" s="337"/>
      <c r="E61" s="335"/>
      <c r="F61" s="366">
        <f>+'[4]4条収入'!AB58</f>
        <v>0</v>
      </c>
      <c r="G61" s="336"/>
      <c r="H61" s="335"/>
      <c r="I61" s="289">
        <f>G61-H61</f>
        <v>0</v>
      </c>
    </row>
    <row r="62" spans="1:9">
      <c r="A62" s="340"/>
      <c r="B62" s="339"/>
      <c r="C62" s="347" t="s">
        <v>664</v>
      </c>
      <c r="D62" s="346"/>
      <c r="E62" s="343"/>
      <c r="F62" s="366">
        <f>+'[4]4条収入'!AB71</f>
        <v>0</v>
      </c>
      <c r="G62" s="344"/>
      <c r="H62" s="343"/>
      <c r="I62" s="281">
        <f>G62-H62</f>
        <v>0</v>
      </c>
    </row>
    <row r="63" spans="1:9">
      <c r="A63" s="340"/>
      <c r="B63" s="342" t="s">
        <v>663</v>
      </c>
      <c r="C63" s="341"/>
      <c r="D63" s="337">
        <f t="shared" ref="D63:I63" si="13">D64</f>
        <v>0</v>
      </c>
      <c r="E63" s="335">
        <f t="shared" si="13"/>
        <v>0</v>
      </c>
      <c r="F63" s="295">
        <f t="shared" si="13"/>
        <v>0</v>
      </c>
      <c r="G63" s="336">
        <f t="shared" si="13"/>
        <v>0</v>
      </c>
      <c r="H63" s="335">
        <f t="shared" si="13"/>
        <v>0</v>
      </c>
      <c r="I63" s="289">
        <f t="shared" si="13"/>
        <v>0</v>
      </c>
    </row>
    <row r="64" spans="1:9">
      <c r="A64" s="340"/>
      <c r="B64" s="339"/>
      <c r="C64" s="347" t="s">
        <v>662</v>
      </c>
      <c r="D64" s="346"/>
      <c r="E64" s="343"/>
      <c r="F64" s="365">
        <f>+'[4]4条収入'!AB87</f>
        <v>0</v>
      </c>
      <c r="G64" s="344">
        <v>0</v>
      </c>
      <c r="H64" s="343">
        <v>0</v>
      </c>
      <c r="I64" s="281">
        <f>G64-H64</f>
        <v>0</v>
      </c>
    </row>
    <row r="65" spans="1:9">
      <c r="A65" s="340"/>
      <c r="B65" s="342" t="s">
        <v>661</v>
      </c>
      <c r="C65" s="341"/>
      <c r="D65" s="337">
        <f t="shared" ref="D65:I65" si="14">D66</f>
        <v>0</v>
      </c>
      <c r="E65" s="335">
        <f t="shared" si="14"/>
        <v>0</v>
      </c>
      <c r="F65" s="295">
        <f t="shared" si="14"/>
        <v>0</v>
      </c>
      <c r="G65" s="336">
        <f t="shared" si="14"/>
        <v>0</v>
      </c>
      <c r="H65" s="335">
        <f t="shared" si="14"/>
        <v>0</v>
      </c>
      <c r="I65" s="289">
        <f t="shared" si="14"/>
        <v>0</v>
      </c>
    </row>
    <row r="66" spans="1:9" ht="13.5" customHeight="1">
      <c r="A66" s="334"/>
      <c r="B66" s="364"/>
      <c r="C66" s="332" t="s">
        <v>660</v>
      </c>
      <c r="D66" s="331"/>
      <c r="E66" s="328"/>
      <c r="F66" s="363">
        <f>+'[4]4条収入'!AB89</f>
        <v>0</v>
      </c>
      <c r="G66" s="329">
        <v>0</v>
      </c>
      <c r="H66" s="328">
        <v>0</v>
      </c>
      <c r="I66" s="327">
        <f>G66-H66</f>
        <v>0</v>
      </c>
    </row>
    <row r="67" spans="1:9">
      <c r="A67" s="362" t="s">
        <v>659</v>
      </c>
      <c r="B67" s="361"/>
      <c r="C67" s="360"/>
      <c r="D67" s="359">
        <f t="shared" ref="D67:I67" si="15">D68+D77+D79+D82</f>
        <v>0</v>
      </c>
      <c r="E67" s="357">
        <f t="shared" si="15"/>
        <v>0</v>
      </c>
      <c r="F67" s="311">
        <f t="shared" si="15"/>
        <v>1479897187</v>
      </c>
      <c r="G67" s="358">
        <f t="shared" si="15"/>
        <v>0</v>
      </c>
      <c r="H67" s="357">
        <f t="shared" si="15"/>
        <v>0</v>
      </c>
      <c r="I67" s="308">
        <f t="shared" si="15"/>
        <v>0</v>
      </c>
    </row>
    <row r="68" spans="1:9">
      <c r="A68" s="340"/>
      <c r="B68" s="356" t="s">
        <v>658</v>
      </c>
      <c r="C68" s="355"/>
      <c r="D68" s="354">
        <f>SUM(D69:D75)</f>
        <v>0</v>
      </c>
      <c r="E68" s="351">
        <f>SUM(E69:E75)</f>
        <v>0</v>
      </c>
      <c r="F68" s="353">
        <f>SUM(F69:F76)</f>
        <v>1479897187</v>
      </c>
      <c r="G68" s="352">
        <f>SUM(G69:G75)</f>
        <v>0</v>
      </c>
      <c r="H68" s="351">
        <f>SUM(H69:H75)</f>
        <v>0</v>
      </c>
      <c r="I68" s="350">
        <f>SUM(I69:I75)</f>
        <v>0</v>
      </c>
    </row>
    <row r="69" spans="1:9">
      <c r="A69" s="340"/>
      <c r="B69" s="339"/>
      <c r="C69" s="338" t="s">
        <v>657</v>
      </c>
      <c r="D69" s="337"/>
      <c r="E69" s="335"/>
      <c r="F69" s="348">
        <f>+'[5]4条支出'!S6</f>
        <v>1356109400</v>
      </c>
      <c r="G69" s="336"/>
      <c r="H69" s="335"/>
      <c r="I69" s="289">
        <f t="shared" ref="I69:I75" si="16">G69-H69</f>
        <v>0</v>
      </c>
    </row>
    <row r="70" spans="1:9" ht="13.5" customHeight="1">
      <c r="A70" s="340"/>
      <c r="B70" s="339"/>
      <c r="C70" s="338" t="s">
        <v>656</v>
      </c>
      <c r="D70" s="337"/>
      <c r="E70" s="335"/>
      <c r="F70" s="348">
        <f>+'[5]4条支出'!S7</f>
        <v>543071</v>
      </c>
      <c r="G70" s="336"/>
      <c r="H70" s="335"/>
      <c r="I70" s="289">
        <f t="shared" si="16"/>
        <v>0</v>
      </c>
    </row>
    <row r="71" spans="1:9">
      <c r="A71" s="340"/>
      <c r="B71" s="339"/>
      <c r="C71" s="338" t="s">
        <v>655</v>
      </c>
      <c r="D71" s="337"/>
      <c r="E71" s="335"/>
      <c r="F71" s="348">
        <f>+'[5]4条支出'!S8</f>
        <v>47147259</v>
      </c>
      <c r="G71" s="336"/>
      <c r="H71" s="335"/>
      <c r="I71" s="289">
        <f t="shared" si="16"/>
        <v>0</v>
      </c>
    </row>
    <row r="72" spans="1:9">
      <c r="A72" s="340"/>
      <c r="B72" s="339"/>
      <c r="C72" s="338" t="s">
        <v>654</v>
      </c>
      <c r="D72" s="337"/>
      <c r="E72" s="335"/>
      <c r="F72" s="348">
        <f>+'[5]4条支出'!S9</f>
        <v>0</v>
      </c>
      <c r="G72" s="336"/>
      <c r="H72" s="335"/>
      <c r="I72" s="289">
        <f t="shared" si="16"/>
        <v>0</v>
      </c>
    </row>
    <row r="73" spans="1:9">
      <c r="A73" s="340"/>
      <c r="B73" s="339"/>
      <c r="C73" s="338" t="s">
        <v>653</v>
      </c>
      <c r="D73" s="337"/>
      <c r="E73" s="335"/>
      <c r="F73" s="348">
        <f>+'[5]4条支出'!S10</f>
        <v>11020779</v>
      </c>
      <c r="G73" s="336"/>
      <c r="H73" s="335"/>
      <c r="I73" s="289">
        <f t="shared" si="16"/>
        <v>0</v>
      </c>
    </row>
    <row r="74" spans="1:9">
      <c r="A74" s="340"/>
      <c r="B74" s="339"/>
      <c r="C74" s="338" t="s">
        <v>652</v>
      </c>
      <c r="D74" s="337"/>
      <c r="E74" s="335"/>
      <c r="F74" s="348">
        <f>+'[5]4条支出'!S11</f>
        <v>5379819</v>
      </c>
      <c r="G74" s="336"/>
      <c r="H74" s="335"/>
      <c r="I74" s="289">
        <f t="shared" si="16"/>
        <v>0</v>
      </c>
    </row>
    <row r="75" spans="1:9">
      <c r="A75" s="340"/>
      <c r="B75" s="339"/>
      <c r="C75" s="347" t="s">
        <v>651</v>
      </c>
      <c r="D75" s="346"/>
      <c r="E75" s="343"/>
      <c r="F75" s="348">
        <f>+'[5]4条支出'!S15</f>
        <v>0</v>
      </c>
      <c r="G75" s="344"/>
      <c r="H75" s="343"/>
      <c r="I75" s="281">
        <f t="shared" si="16"/>
        <v>0</v>
      </c>
    </row>
    <row r="76" spans="1:9">
      <c r="A76" s="340"/>
      <c r="B76" s="339"/>
      <c r="C76" s="349" t="s">
        <v>650</v>
      </c>
      <c r="D76" s="346"/>
      <c r="E76" s="343"/>
      <c r="F76" s="348">
        <f>+'[5]4条支出'!S16</f>
        <v>59696859</v>
      </c>
      <c r="G76" s="344"/>
      <c r="H76" s="343"/>
      <c r="I76" s="281"/>
    </row>
    <row r="77" spans="1:9" ht="13.5" customHeight="1">
      <c r="A77" s="340"/>
      <c r="B77" s="342" t="s">
        <v>649</v>
      </c>
      <c r="C77" s="341"/>
      <c r="D77" s="337">
        <f t="shared" ref="D77:I77" si="17">D78</f>
        <v>0</v>
      </c>
      <c r="E77" s="335">
        <f t="shared" si="17"/>
        <v>0</v>
      </c>
      <c r="F77" s="295">
        <f t="shared" si="17"/>
        <v>0</v>
      </c>
      <c r="G77" s="336">
        <f t="shared" si="17"/>
        <v>0</v>
      </c>
      <c r="H77" s="335">
        <f t="shared" si="17"/>
        <v>0</v>
      </c>
      <c r="I77" s="289">
        <f t="shared" si="17"/>
        <v>0</v>
      </c>
    </row>
    <row r="78" spans="1:9">
      <c r="A78" s="340"/>
      <c r="B78" s="339"/>
      <c r="C78" s="347" t="s">
        <v>648</v>
      </c>
      <c r="D78" s="346"/>
      <c r="E78" s="343"/>
      <c r="F78" s="345">
        <v>0</v>
      </c>
      <c r="G78" s="344"/>
      <c r="H78" s="343"/>
      <c r="I78" s="281">
        <f>G78-H78</f>
        <v>0</v>
      </c>
    </row>
    <row r="79" spans="1:9">
      <c r="A79" s="340"/>
      <c r="B79" s="342" t="s">
        <v>647</v>
      </c>
      <c r="C79" s="341"/>
      <c r="D79" s="337">
        <f t="shared" ref="D79:I79" si="18">SUM(D80:D81)</f>
        <v>0</v>
      </c>
      <c r="E79" s="335">
        <f t="shared" si="18"/>
        <v>0</v>
      </c>
      <c r="F79" s="295">
        <f t="shared" si="18"/>
        <v>0</v>
      </c>
      <c r="G79" s="336">
        <f t="shared" si="18"/>
        <v>0</v>
      </c>
      <c r="H79" s="335">
        <f t="shared" si="18"/>
        <v>0</v>
      </c>
      <c r="I79" s="289">
        <f t="shared" si="18"/>
        <v>0</v>
      </c>
    </row>
    <row r="80" spans="1:9">
      <c r="A80" s="340"/>
      <c r="B80" s="339"/>
      <c r="C80" s="338" t="s">
        <v>646</v>
      </c>
      <c r="D80" s="337"/>
      <c r="E80" s="335"/>
      <c r="F80" s="295">
        <v>0</v>
      </c>
      <c r="G80" s="336"/>
      <c r="H80" s="335"/>
      <c r="I80" s="289">
        <f>G80-H80</f>
        <v>0</v>
      </c>
    </row>
    <row r="81" spans="1:10">
      <c r="A81" s="340"/>
      <c r="B81" s="339"/>
      <c r="C81" s="338" t="s">
        <v>645</v>
      </c>
      <c r="D81" s="337"/>
      <c r="E81" s="335"/>
      <c r="F81" s="295">
        <v>0</v>
      </c>
      <c r="G81" s="336"/>
      <c r="H81" s="335"/>
      <c r="I81" s="289">
        <f>G81-H81</f>
        <v>0</v>
      </c>
    </row>
    <row r="82" spans="1:10">
      <c r="A82" s="334"/>
      <c r="B82" s="333" t="s">
        <v>644</v>
      </c>
      <c r="C82" s="332"/>
      <c r="D82" s="331"/>
      <c r="E82" s="328"/>
      <c r="F82" s="330">
        <v>0</v>
      </c>
      <c r="G82" s="329"/>
      <c r="H82" s="328"/>
      <c r="I82" s="327">
        <f>G82-H82</f>
        <v>0</v>
      </c>
    </row>
    <row r="83" spans="1:10">
      <c r="A83" s="326" t="s">
        <v>643</v>
      </c>
      <c r="B83" s="325"/>
      <c r="C83" s="324"/>
      <c r="D83" s="322"/>
      <c r="E83" s="321"/>
      <c r="F83" s="323">
        <f>F4+F47</f>
        <v>1888158024</v>
      </c>
      <c r="G83" s="322"/>
      <c r="H83" s="321"/>
      <c r="I83" s="320">
        <f>I4+I47</f>
        <v>0</v>
      </c>
    </row>
    <row r="84" spans="1:10">
      <c r="A84" s="319" t="s">
        <v>642</v>
      </c>
      <c r="B84" s="318"/>
      <c r="C84" s="317"/>
      <c r="D84" s="277"/>
      <c r="E84" s="274"/>
      <c r="F84" s="316">
        <f>F21+F67</f>
        <v>2307919386</v>
      </c>
      <c r="G84" s="277"/>
      <c r="H84" s="274"/>
      <c r="I84" s="273">
        <f>I21+I67</f>
        <v>0</v>
      </c>
    </row>
    <row r="85" spans="1:10">
      <c r="A85" s="315" t="s">
        <v>641</v>
      </c>
      <c r="B85" s="314"/>
      <c r="C85" s="313"/>
      <c r="D85" s="312"/>
      <c r="E85" s="309"/>
      <c r="F85" s="311">
        <f>F86+F92</f>
        <v>763300091</v>
      </c>
      <c r="G85" s="310"/>
      <c r="H85" s="309"/>
      <c r="I85" s="308">
        <f>I86+I92</f>
        <v>0</v>
      </c>
      <c r="J85" s="307">
        <f>F85-F86-F92</f>
        <v>0</v>
      </c>
    </row>
    <row r="86" spans="1:10">
      <c r="A86" s="288"/>
      <c r="B86" s="297" t="s">
        <v>640</v>
      </c>
      <c r="C86" s="296"/>
      <c r="D86" s="303"/>
      <c r="E86" s="304"/>
      <c r="F86" s="306">
        <f>SUM(F87:F91)</f>
        <v>210606912</v>
      </c>
      <c r="G86" s="305"/>
      <c r="H86" s="304"/>
      <c r="I86" s="299"/>
    </row>
    <row r="87" spans="1:10">
      <c r="A87" s="288"/>
      <c r="B87" s="287"/>
      <c r="C87" s="294" t="s">
        <v>639</v>
      </c>
      <c r="D87" s="303"/>
      <c r="E87" s="300"/>
      <c r="F87" s="302">
        <f>+消費税!Z119</f>
        <v>210253123</v>
      </c>
      <c r="G87" s="301"/>
      <c r="H87" s="300"/>
      <c r="I87" s="299"/>
      <c r="J87" s="298"/>
    </row>
    <row r="88" spans="1:10">
      <c r="A88" s="288"/>
      <c r="B88" s="287"/>
      <c r="C88" s="294" t="s">
        <v>638</v>
      </c>
      <c r="D88" s="303"/>
      <c r="E88" s="300"/>
      <c r="F88" s="302">
        <f>+消費税!Z122</f>
        <v>2233725</v>
      </c>
      <c r="G88" s="301"/>
      <c r="H88" s="300"/>
      <c r="I88" s="299"/>
      <c r="J88" s="298"/>
    </row>
    <row r="89" spans="1:10">
      <c r="A89" s="288"/>
      <c r="B89" s="287"/>
      <c r="C89" s="294" t="s">
        <v>637</v>
      </c>
      <c r="D89" s="303"/>
      <c r="E89" s="300"/>
      <c r="F89" s="302"/>
      <c r="G89" s="301"/>
      <c r="H89" s="300"/>
      <c r="I89" s="299"/>
      <c r="J89" s="298"/>
    </row>
    <row r="90" spans="1:10">
      <c r="A90" s="288"/>
      <c r="B90" s="287"/>
      <c r="C90" s="294" t="s">
        <v>1192</v>
      </c>
      <c r="D90" s="303"/>
      <c r="E90" s="300"/>
      <c r="F90" s="302">
        <f>消費税!Z123</f>
        <v>629</v>
      </c>
      <c r="G90" s="301"/>
      <c r="H90" s="300"/>
      <c r="I90" s="299"/>
      <c r="J90" s="298"/>
    </row>
    <row r="91" spans="1:10">
      <c r="A91" s="288"/>
      <c r="B91" s="287"/>
      <c r="C91" s="294" t="s">
        <v>636</v>
      </c>
      <c r="D91" s="303"/>
      <c r="E91" s="300"/>
      <c r="F91" s="302">
        <f>-消費税!Z125</f>
        <v>-1880565</v>
      </c>
      <c r="G91" s="301"/>
      <c r="H91" s="300"/>
      <c r="I91" s="299"/>
      <c r="J91" s="298"/>
    </row>
    <row r="92" spans="1:10">
      <c r="A92" s="288"/>
      <c r="B92" s="297" t="s">
        <v>635</v>
      </c>
      <c r="C92" s="296"/>
      <c r="D92" s="293"/>
      <c r="E92" s="290"/>
      <c r="F92" s="295">
        <f>SUM(F93:F97)</f>
        <v>552693179</v>
      </c>
      <c r="G92" s="291"/>
      <c r="H92" s="290"/>
      <c r="I92" s="289">
        <f>SUM(I93:I97)</f>
        <v>0</v>
      </c>
    </row>
    <row r="93" spans="1:10">
      <c r="A93" s="288"/>
      <c r="B93" s="287"/>
      <c r="C93" s="294" t="s">
        <v>634</v>
      </c>
      <c r="D93" s="293"/>
      <c r="E93" s="290"/>
      <c r="F93" s="292">
        <f>+'4条圧縮'!H19</f>
        <v>522413737</v>
      </c>
      <c r="G93" s="291"/>
      <c r="H93" s="290"/>
      <c r="I93" s="289"/>
    </row>
    <row r="94" spans="1:10">
      <c r="A94" s="288"/>
      <c r="B94" s="287"/>
      <c r="C94" s="294" t="s">
        <v>633</v>
      </c>
      <c r="D94" s="293"/>
      <c r="E94" s="290"/>
      <c r="F94" s="295">
        <v>0</v>
      </c>
      <c r="G94" s="291"/>
      <c r="H94" s="290"/>
      <c r="I94" s="289"/>
    </row>
    <row r="95" spans="1:10">
      <c r="A95" s="288"/>
      <c r="B95" s="287"/>
      <c r="C95" s="294" t="s">
        <v>632</v>
      </c>
      <c r="D95" s="293"/>
      <c r="E95" s="290"/>
      <c r="F95" s="292">
        <f>+'4条圧縮'!H20</f>
        <v>779531</v>
      </c>
      <c r="G95" s="291"/>
      <c r="H95" s="290"/>
      <c r="I95" s="289"/>
    </row>
    <row r="96" spans="1:10">
      <c r="A96" s="288"/>
      <c r="B96" s="287"/>
      <c r="C96" s="286" t="s">
        <v>631</v>
      </c>
      <c r="D96" s="285"/>
      <c r="E96" s="282"/>
      <c r="F96" s="284">
        <f>+'4条圧縮'!H21</f>
        <v>3138956</v>
      </c>
      <c r="G96" s="283"/>
      <c r="H96" s="282"/>
      <c r="I96" s="281"/>
    </row>
    <row r="97" spans="1:9">
      <c r="A97" s="280"/>
      <c r="B97" s="279"/>
      <c r="C97" s="278" t="s">
        <v>630</v>
      </c>
      <c r="D97" s="277"/>
      <c r="E97" s="274"/>
      <c r="F97" s="276">
        <f>+'4条圧縮'!H22</f>
        <v>26360955</v>
      </c>
      <c r="G97" s="275"/>
      <c r="H97" s="274"/>
      <c r="I97" s="273"/>
    </row>
    <row r="98" spans="1:9">
      <c r="A98" s="271" t="s">
        <v>629</v>
      </c>
      <c r="F98" s="272"/>
    </row>
  </sheetData>
  <mergeCells count="3">
    <mergeCell ref="A2:C3"/>
    <mergeCell ref="D2:F2"/>
    <mergeCell ref="G2:I2"/>
  </mergeCells>
  <phoneticPr fontId="4"/>
  <printOptions horizontalCentered="1"/>
  <pageMargins left="0.98425196850393704" right="0.59055118110236227" top="0.98425196850393704" bottom="0.78740157480314965" header="0.31496062992125984" footer="0.11811023622047245"/>
  <pageSetup paperSize="9" scale="95" orientation="portrait" verticalDpi="400" r:id="rId1"/>
  <headerFooter alignWithMargins="0">
    <oddHeader>&amp;C&amp;"ＭＳ Ｐゴシック,標準"&amp;14&amp;A</oddHeader>
    <oddFooter>&amp;L&amp;F　&amp;A&amp;R&amp;D　&amp;T</oddFooter>
  </headerFooter>
  <rowBreaks count="1" manualBreakCount="1">
    <brk id="46" max="8"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L16"/>
  <sheetViews>
    <sheetView zoomScale="80" zoomScaleNormal="80" workbookViewId="0"/>
  </sheetViews>
  <sheetFormatPr defaultRowHeight="13.5"/>
  <cols>
    <col min="1" max="1" width="3.625" style="271" customWidth="1"/>
    <col min="2" max="2" width="14.625" style="271" customWidth="1"/>
    <col min="3" max="4" width="15.625" style="271" customWidth="1"/>
    <col min="5" max="5" width="12.625" style="271" bestFit="1" customWidth="1"/>
    <col min="6" max="8" width="9" style="271"/>
    <col min="9" max="10" width="15" style="271" customWidth="1"/>
    <col min="11" max="11" width="9" style="271"/>
    <col min="12" max="12" width="13.75" style="271" bestFit="1" customWidth="1"/>
    <col min="13" max="254" width="9" style="271"/>
    <col min="255" max="255" width="3.625" style="271" customWidth="1"/>
    <col min="256" max="256" width="14.625" style="271" customWidth="1"/>
    <col min="257" max="258" width="15.625" style="271" customWidth="1"/>
    <col min="259" max="260" width="0" style="271" hidden="1" customWidth="1"/>
    <col min="261" max="261" width="12.625" style="271" bestFit="1" customWidth="1"/>
    <col min="262" max="264" width="9" style="271"/>
    <col min="265" max="266" width="15" style="271" customWidth="1"/>
    <col min="267" max="510" width="9" style="271"/>
    <col min="511" max="511" width="3.625" style="271" customWidth="1"/>
    <col min="512" max="512" width="14.625" style="271" customWidth="1"/>
    <col min="513" max="514" width="15.625" style="271" customWidth="1"/>
    <col min="515" max="516" width="0" style="271" hidden="1" customWidth="1"/>
    <col min="517" max="517" width="12.625" style="271" bestFit="1" customWidth="1"/>
    <col min="518" max="520" width="9" style="271"/>
    <col min="521" max="522" width="15" style="271" customWidth="1"/>
    <col min="523" max="766" width="9" style="271"/>
    <col min="767" max="767" width="3.625" style="271" customWidth="1"/>
    <col min="768" max="768" width="14.625" style="271" customWidth="1"/>
    <col min="769" max="770" width="15.625" style="271" customWidth="1"/>
    <col min="771" max="772" width="0" style="271" hidden="1" customWidth="1"/>
    <col min="773" max="773" width="12.625" style="271" bestFit="1" customWidth="1"/>
    <col min="774" max="776" width="9" style="271"/>
    <col min="777" max="778" width="15" style="271" customWidth="1"/>
    <col min="779" max="1022" width="9" style="271"/>
    <col min="1023" max="1023" width="3.625" style="271" customWidth="1"/>
    <col min="1024" max="1024" width="14.625" style="271" customWidth="1"/>
    <col min="1025" max="1026" width="15.625" style="271" customWidth="1"/>
    <col min="1027" max="1028" width="0" style="271" hidden="1" customWidth="1"/>
    <col min="1029" max="1029" width="12.625" style="271" bestFit="1" customWidth="1"/>
    <col min="1030" max="1032" width="9" style="271"/>
    <col min="1033" max="1034" width="15" style="271" customWidth="1"/>
    <col min="1035" max="1278" width="9" style="271"/>
    <col min="1279" max="1279" width="3.625" style="271" customWidth="1"/>
    <col min="1280" max="1280" width="14.625" style="271" customWidth="1"/>
    <col min="1281" max="1282" width="15.625" style="271" customWidth="1"/>
    <col min="1283" max="1284" width="0" style="271" hidden="1" customWidth="1"/>
    <col min="1285" max="1285" width="12.625" style="271" bestFit="1" customWidth="1"/>
    <col min="1286" max="1288" width="9" style="271"/>
    <col min="1289" max="1290" width="15" style="271" customWidth="1"/>
    <col min="1291" max="1534" width="9" style="271"/>
    <col min="1535" max="1535" width="3.625" style="271" customWidth="1"/>
    <col min="1536" max="1536" width="14.625" style="271" customWidth="1"/>
    <col min="1537" max="1538" width="15.625" style="271" customWidth="1"/>
    <col min="1539" max="1540" width="0" style="271" hidden="1" customWidth="1"/>
    <col min="1541" max="1541" width="12.625" style="271" bestFit="1" customWidth="1"/>
    <col min="1542" max="1544" width="9" style="271"/>
    <col min="1545" max="1546" width="15" style="271" customWidth="1"/>
    <col min="1547" max="1790" width="9" style="271"/>
    <col min="1791" max="1791" width="3.625" style="271" customWidth="1"/>
    <col min="1792" max="1792" width="14.625" style="271" customWidth="1"/>
    <col min="1793" max="1794" width="15.625" style="271" customWidth="1"/>
    <col min="1795" max="1796" width="0" style="271" hidden="1" customWidth="1"/>
    <col min="1797" max="1797" width="12.625" style="271" bestFit="1" customWidth="1"/>
    <col min="1798" max="1800" width="9" style="271"/>
    <col min="1801" max="1802" width="15" style="271" customWidth="1"/>
    <col min="1803" max="2046" width="9" style="271"/>
    <col min="2047" max="2047" width="3.625" style="271" customWidth="1"/>
    <col min="2048" max="2048" width="14.625" style="271" customWidth="1"/>
    <col min="2049" max="2050" width="15.625" style="271" customWidth="1"/>
    <col min="2051" max="2052" width="0" style="271" hidden="1" customWidth="1"/>
    <col min="2053" max="2053" width="12.625" style="271" bestFit="1" customWidth="1"/>
    <col min="2054" max="2056" width="9" style="271"/>
    <col min="2057" max="2058" width="15" style="271" customWidth="1"/>
    <col min="2059" max="2302" width="9" style="271"/>
    <col min="2303" max="2303" width="3.625" style="271" customWidth="1"/>
    <col min="2304" max="2304" width="14.625" style="271" customWidth="1"/>
    <col min="2305" max="2306" width="15.625" style="271" customWidth="1"/>
    <col min="2307" max="2308" width="0" style="271" hidden="1" customWidth="1"/>
    <col min="2309" max="2309" width="12.625" style="271" bestFit="1" customWidth="1"/>
    <col min="2310" max="2312" width="9" style="271"/>
    <col min="2313" max="2314" width="15" style="271" customWidth="1"/>
    <col min="2315" max="2558" width="9" style="271"/>
    <col min="2559" max="2559" width="3.625" style="271" customWidth="1"/>
    <col min="2560" max="2560" width="14.625" style="271" customWidth="1"/>
    <col min="2561" max="2562" width="15.625" style="271" customWidth="1"/>
    <col min="2563" max="2564" width="0" style="271" hidden="1" customWidth="1"/>
    <col min="2565" max="2565" width="12.625" style="271" bestFit="1" customWidth="1"/>
    <col min="2566" max="2568" width="9" style="271"/>
    <col min="2569" max="2570" width="15" style="271" customWidth="1"/>
    <col min="2571" max="2814" width="9" style="271"/>
    <col min="2815" max="2815" width="3.625" style="271" customWidth="1"/>
    <col min="2816" max="2816" width="14.625" style="271" customWidth="1"/>
    <col min="2817" max="2818" width="15.625" style="271" customWidth="1"/>
    <col min="2819" max="2820" width="0" style="271" hidden="1" customWidth="1"/>
    <col min="2821" max="2821" width="12.625" style="271" bestFit="1" customWidth="1"/>
    <col min="2822" max="2824" width="9" style="271"/>
    <col min="2825" max="2826" width="15" style="271" customWidth="1"/>
    <col min="2827" max="3070" width="9" style="271"/>
    <col min="3071" max="3071" width="3.625" style="271" customWidth="1"/>
    <col min="3072" max="3072" width="14.625" style="271" customWidth="1"/>
    <col min="3073" max="3074" width="15.625" style="271" customWidth="1"/>
    <col min="3075" max="3076" width="0" style="271" hidden="1" customWidth="1"/>
    <col min="3077" max="3077" width="12.625" style="271" bestFit="1" customWidth="1"/>
    <col min="3078" max="3080" width="9" style="271"/>
    <col min="3081" max="3082" width="15" style="271" customWidth="1"/>
    <col min="3083" max="3326" width="9" style="271"/>
    <col min="3327" max="3327" width="3.625" style="271" customWidth="1"/>
    <col min="3328" max="3328" width="14.625" style="271" customWidth="1"/>
    <col min="3329" max="3330" width="15.625" style="271" customWidth="1"/>
    <col min="3331" max="3332" width="0" style="271" hidden="1" customWidth="1"/>
    <col min="3333" max="3333" width="12.625" style="271" bestFit="1" customWidth="1"/>
    <col min="3334" max="3336" width="9" style="271"/>
    <col min="3337" max="3338" width="15" style="271" customWidth="1"/>
    <col min="3339" max="3582" width="9" style="271"/>
    <col min="3583" max="3583" width="3.625" style="271" customWidth="1"/>
    <col min="3584" max="3584" width="14.625" style="271" customWidth="1"/>
    <col min="3585" max="3586" width="15.625" style="271" customWidth="1"/>
    <col min="3587" max="3588" width="0" style="271" hidden="1" customWidth="1"/>
    <col min="3589" max="3589" width="12.625" style="271" bestFit="1" customWidth="1"/>
    <col min="3590" max="3592" width="9" style="271"/>
    <col min="3593" max="3594" width="15" style="271" customWidth="1"/>
    <col min="3595" max="3838" width="9" style="271"/>
    <col min="3839" max="3839" width="3.625" style="271" customWidth="1"/>
    <col min="3840" max="3840" width="14.625" style="271" customWidth="1"/>
    <col min="3841" max="3842" width="15.625" style="271" customWidth="1"/>
    <col min="3843" max="3844" width="0" style="271" hidden="1" customWidth="1"/>
    <col min="3845" max="3845" width="12.625" style="271" bestFit="1" customWidth="1"/>
    <col min="3846" max="3848" width="9" style="271"/>
    <col min="3849" max="3850" width="15" style="271" customWidth="1"/>
    <col min="3851" max="4094" width="9" style="271"/>
    <col min="4095" max="4095" width="3.625" style="271" customWidth="1"/>
    <col min="4096" max="4096" width="14.625" style="271" customWidth="1"/>
    <col min="4097" max="4098" width="15.625" style="271" customWidth="1"/>
    <col min="4099" max="4100" width="0" style="271" hidden="1" customWidth="1"/>
    <col min="4101" max="4101" width="12.625" style="271" bestFit="1" customWidth="1"/>
    <col min="4102" max="4104" width="9" style="271"/>
    <col min="4105" max="4106" width="15" style="271" customWidth="1"/>
    <col min="4107" max="4350" width="9" style="271"/>
    <col min="4351" max="4351" width="3.625" style="271" customWidth="1"/>
    <col min="4352" max="4352" width="14.625" style="271" customWidth="1"/>
    <col min="4353" max="4354" width="15.625" style="271" customWidth="1"/>
    <col min="4355" max="4356" width="0" style="271" hidden="1" customWidth="1"/>
    <col min="4357" max="4357" width="12.625" style="271" bestFit="1" customWidth="1"/>
    <col min="4358" max="4360" width="9" style="271"/>
    <col min="4361" max="4362" width="15" style="271" customWidth="1"/>
    <col min="4363" max="4606" width="9" style="271"/>
    <col min="4607" max="4607" width="3.625" style="271" customWidth="1"/>
    <col min="4608" max="4608" width="14.625" style="271" customWidth="1"/>
    <col min="4609" max="4610" width="15.625" style="271" customWidth="1"/>
    <col min="4611" max="4612" width="0" style="271" hidden="1" customWidth="1"/>
    <col min="4613" max="4613" width="12.625" style="271" bestFit="1" customWidth="1"/>
    <col min="4614" max="4616" width="9" style="271"/>
    <col min="4617" max="4618" width="15" style="271" customWidth="1"/>
    <col min="4619" max="4862" width="9" style="271"/>
    <col min="4863" max="4863" width="3.625" style="271" customWidth="1"/>
    <col min="4864" max="4864" width="14.625" style="271" customWidth="1"/>
    <col min="4865" max="4866" width="15.625" style="271" customWidth="1"/>
    <col min="4867" max="4868" width="0" style="271" hidden="1" customWidth="1"/>
    <col min="4869" max="4869" width="12.625" style="271" bestFit="1" customWidth="1"/>
    <col min="4870" max="4872" width="9" style="271"/>
    <col min="4873" max="4874" width="15" style="271" customWidth="1"/>
    <col min="4875" max="5118" width="9" style="271"/>
    <col min="5119" max="5119" width="3.625" style="271" customWidth="1"/>
    <col min="5120" max="5120" width="14.625" style="271" customWidth="1"/>
    <col min="5121" max="5122" width="15.625" style="271" customWidth="1"/>
    <col min="5123" max="5124" width="0" style="271" hidden="1" customWidth="1"/>
    <col min="5125" max="5125" width="12.625" style="271" bestFit="1" customWidth="1"/>
    <col min="5126" max="5128" width="9" style="271"/>
    <col min="5129" max="5130" width="15" style="271" customWidth="1"/>
    <col min="5131" max="5374" width="9" style="271"/>
    <col min="5375" max="5375" width="3.625" style="271" customWidth="1"/>
    <col min="5376" max="5376" width="14.625" style="271" customWidth="1"/>
    <col min="5377" max="5378" width="15.625" style="271" customWidth="1"/>
    <col min="5379" max="5380" width="0" style="271" hidden="1" customWidth="1"/>
    <col min="5381" max="5381" width="12.625" style="271" bestFit="1" customWidth="1"/>
    <col min="5382" max="5384" width="9" style="271"/>
    <col min="5385" max="5386" width="15" style="271" customWidth="1"/>
    <col min="5387" max="5630" width="9" style="271"/>
    <col min="5631" max="5631" width="3.625" style="271" customWidth="1"/>
    <col min="5632" max="5632" width="14.625" style="271" customWidth="1"/>
    <col min="5633" max="5634" width="15.625" style="271" customWidth="1"/>
    <col min="5635" max="5636" width="0" style="271" hidden="1" customWidth="1"/>
    <col min="5637" max="5637" width="12.625" style="271" bestFit="1" customWidth="1"/>
    <col min="5638" max="5640" width="9" style="271"/>
    <col min="5641" max="5642" width="15" style="271" customWidth="1"/>
    <col min="5643" max="5886" width="9" style="271"/>
    <col min="5887" max="5887" width="3.625" style="271" customWidth="1"/>
    <col min="5888" max="5888" width="14.625" style="271" customWidth="1"/>
    <col min="5889" max="5890" width="15.625" style="271" customWidth="1"/>
    <col min="5891" max="5892" width="0" style="271" hidden="1" customWidth="1"/>
    <col min="5893" max="5893" width="12.625" style="271" bestFit="1" customWidth="1"/>
    <col min="5894" max="5896" width="9" style="271"/>
    <col min="5897" max="5898" width="15" style="271" customWidth="1"/>
    <col min="5899" max="6142" width="9" style="271"/>
    <col min="6143" max="6143" width="3.625" style="271" customWidth="1"/>
    <col min="6144" max="6144" width="14.625" style="271" customWidth="1"/>
    <col min="6145" max="6146" width="15.625" style="271" customWidth="1"/>
    <col min="6147" max="6148" width="0" style="271" hidden="1" customWidth="1"/>
    <col min="6149" max="6149" width="12.625" style="271" bestFit="1" customWidth="1"/>
    <col min="6150" max="6152" width="9" style="271"/>
    <col min="6153" max="6154" width="15" style="271" customWidth="1"/>
    <col min="6155" max="6398" width="9" style="271"/>
    <col min="6399" max="6399" width="3.625" style="271" customWidth="1"/>
    <col min="6400" max="6400" width="14.625" style="271" customWidth="1"/>
    <col min="6401" max="6402" width="15.625" style="271" customWidth="1"/>
    <col min="6403" max="6404" width="0" style="271" hidden="1" customWidth="1"/>
    <col min="6405" max="6405" width="12.625" style="271" bestFit="1" customWidth="1"/>
    <col min="6406" max="6408" width="9" style="271"/>
    <col min="6409" max="6410" width="15" style="271" customWidth="1"/>
    <col min="6411" max="6654" width="9" style="271"/>
    <col min="6655" max="6655" width="3.625" style="271" customWidth="1"/>
    <col min="6656" max="6656" width="14.625" style="271" customWidth="1"/>
    <col min="6657" max="6658" width="15.625" style="271" customWidth="1"/>
    <col min="6659" max="6660" width="0" style="271" hidden="1" customWidth="1"/>
    <col min="6661" max="6661" width="12.625" style="271" bestFit="1" customWidth="1"/>
    <col min="6662" max="6664" width="9" style="271"/>
    <col min="6665" max="6666" width="15" style="271" customWidth="1"/>
    <col min="6667" max="6910" width="9" style="271"/>
    <col min="6911" max="6911" width="3.625" style="271" customWidth="1"/>
    <col min="6912" max="6912" width="14.625" style="271" customWidth="1"/>
    <col min="6913" max="6914" width="15.625" style="271" customWidth="1"/>
    <col min="6915" max="6916" width="0" style="271" hidden="1" customWidth="1"/>
    <col min="6917" max="6917" width="12.625" style="271" bestFit="1" customWidth="1"/>
    <col min="6918" max="6920" width="9" style="271"/>
    <col min="6921" max="6922" width="15" style="271" customWidth="1"/>
    <col min="6923" max="7166" width="9" style="271"/>
    <col min="7167" max="7167" width="3.625" style="271" customWidth="1"/>
    <col min="7168" max="7168" width="14.625" style="271" customWidth="1"/>
    <col min="7169" max="7170" width="15.625" style="271" customWidth="1"/>
    <col min="7171" max="7172" width="0" style="271" hidden="1" customWidth="1"/>
    <col min="7173" max="7173" width="12.625" style="271" bestFit="1" customWidth="1"/>
    <col min="7174" max="7176" width="9" style="271"/>
    <col min="7177" max="7178" width="15" style="271" customWidth="1"/>
    <col min="7179" max="7422" width="9" style="271"/>
    <col min="7423" max="7423" width="3.625" style="271" customWidth="1"/>
    <col min="7424" max="7424" width="14.625" style="271" customWidth="1"/>
    <col min="7425" max="7426" width="15.625" style="271" customWidth="1"/>
    <col min="7427" max="7428" width="0" style="271" hidden="1" customWidth="1"/>
    <col min="7429" max="7429" width="12.625" style="271" bestFit="1" customWidth="1"/>
    <col min="7430" max="7432" width="9" style="271"/>
    <col min="7433" max="7434" width="15" style="271" customWidth="1"/>
    <col min="7435" max="7678" width="9" style="271"/>
    <col min="7679" max="7679" width="3.625" style="271" customWidth="1"/>
    <col min="7680" max="7680" width="14.625" style="271" customWidth="1"/>
    <col min="7681" max="7682" width="15.625" style="271" customWidth="1"/>
    <col min="7683" max="7684" width="0" style="271" hidden="1" customWidth="1"/>
    <col min="7685" max="7685" width="12.625" style="271" bestFit="1" customWidth="1"/>
    <col min="7686" max="7688" width="9" style="271"/>
    <col min="7689" max="7690" width="15" style="271" customWidth="1"/>
    <col min="7691" max="7934" width="9" style="271"/>
    <col min="7935" max="7935" width="3.625" style="271" customWidth="1"/>
    <col min="7936" max="7936" width="14.625" style="271" customWidth="1"/>
    <col min="7937" max="7938" width="15.625" style="271" customWidth="1"/>
    <col min="7939" max="7940" width="0" style="271" hidden="1" customWidth="1"/>
    <col min="7941" max="7941" width="12.625" style="271" bestFit="1" customWidth="1"/>
    <col min="7942" max="7944" width="9" style="271"/>
    <col min="7945" max="7946" width="15" style="271" customWidth="1"/>
    <col min="7947" max="8190" width="9" style="271"/>
    <col min="8191" max="8191" width="3.625" style="271" customWidth="1"/>
    <col min="8192" max="8192" width="14.625" style="271" customWidth="1"/>
    <col min="8193" max="8194" width="15.625" style="271" customWidth="1"/>
    <col min="8195" max="8196" width="0" style="271" hidden="1" customWidth="1"/>
    <col min="8197" max="8197" width="12.625" style="271" bestFit="1" customWidth="1"/>
    <col min="8198" max="8200" width="9" style="271"/>
    <col min="8201" max="8202" width="15" style="271" customWidth="1"/>
    <col min="8203" max="8446" width="9" style="271"/>
    <col min="8447" max="8447" width="3.625" style="271" customWidth="1"/>
    <col min="8448" max="8448" width="14.625" style="271" customWidth="1"/>
    <col min="8449" max="8450" width="15.625" style="271" customWidth="1"/>
    <col min="8451" max="8452" width="0" style="271" hidden="1" customWidth="1"/>
    <col min="8453" max="8453" width="12.625" style="271" bestFit="1" customWidth="1"/>
    <col min="8454" max="8456" width="9" style="271"/>
    <col min="8457" max="8458" width="15" style="271" customWidth="1"/>
    <col min="8459" max="8702" width="9" style="271"/>
    <col min="8703" max="8703" width="3.625" style="271" customWidth="1"/>
    <col min="8704" max="8704" width="14.625" style="271" customWidth="1"/>
    <col min="8705" max="8706" width="15.625" style="271" customWidth="1"/>
    <col min="8707" max="8708" width="0" style="271" hidden="1" customWidth="1"/>
    <col min="8709" max="8709" width="12.625" style="271" bestFit="1" customWidth="1"/>
    <col min="8710" max="8712" width="9" style="271"/>
    <col min="8713" max="8714" width="15" style="271" customWidth="1"/>
    <col min="8715" max="8958" width="9" style="271"/>
    <col min="8959" max="8959" width="3.625" style="271" customWidth="1"/>
    <col min="8960" max="8960" width="14.625" style="271" customWidth="1"/>
    <col min="8961" max="8962" width="15.625" style="271" customWidth="1"/>
    <col min="8963" max="8964" width="0" style="271" hidden="1" customWidth="1"/>
    <col min="8965" max="8965" width="12.625" style="271" bestFit="1" customWidth="1"/>
    <col min="8966" max="8968" width="9" style="271"/>
    <col min="8969" max="8970" width="15" style="271" customWidth="1"/>
    <col min="8971" max="9214" width="9" style="271"/>
    <col min="9215" max="9215" width="3.625" style="271" customWidth="1"/>
    <col min="9216" max="9216" width="14.625" style="271" customWidth="1"/>
    <col min="9217" max="9218" width="15.625" style="271" customWidth="1"/>
    <col min="9219" max="9220" width="0" style="271" hidden="1" customWidth="1"/>
    <col min="9221" max="9221" width="12.625" style="271" bestFit="1" customWidth="1"/>
    <col min="9222" max="9224" width="9" style="271"/>
    <col min="9225" max="9226" width="15" style="271" customWidth="1"/>
    <col min="9227" max="9470" width="9" style="271"/>
    <col min="9471" max="9471" width="3.625" style="271" customWidth="1"/>
    <col min="9472" max="9472" width="14.625" style="271" customWidth="1"/>
    <col min="9473" max="9474" width="15.625" style="271" customWidth="1"/>
    <col min="9475" max="9476" width="0" style="271" hidden="1" customWidth="1"/>
    <col min="9477" max="9477" width="12.625" style="271" bestFit="1" customWidth="1"/>
    <col min="9478" max="9480" width="9" style="271"/>
    <col min="9481" max="9482" width="15" style="271" customWidth="1"/>
    <col min="9483" max="9726" width="9" style="271"/>
    <col min="9727" max="9727" width="3.625" style="271" customWidth="1"/>
    <col min="9728" max="9728" width="14.625" style="271" customWidth="1"/>
    <col min="9729" max="9730" width="15.625" style="271" customWidth="1"/>
    <col min="9731" max="9732" width="0" style="271" hidden="1" customWidth="1"/>
    <col min="9733" max="9733" width="12.625" style="271" bestFit="1" customWidth="1"/>
    <col min="9734" max="9736" width="9" style="271"/>
    <col min="9737" max="9738" width="15" style="271" customWidth="1"/>
    <col min="9739" max="9982" width="9" style="271"/>
    <col min="9983" max="9983" width="3.625" style="271" customWidth="1"/>
    <col min="9984" max="9984" width="14.625" style="271" customWidth="1"/>
    <col min="9985" max="9986" width="15.625" style="271" customWidth="1"/>
    <col min="9987" max="9988" width="0" style="271" hidden="1" customWidth="1"/>
    <col min="9989" max="9989" width="12.625" style="271" bestFit="1" customWidth="1"/>
    <col min="9990" max="9992" width="9" style="271"/>
    <col min="9993" max="9994" width="15" style="271" customWidth="1"/>
    <col min="9995" max="10238" width="9" style="271"/>
    <col min="10239" max="10239" width="3.625" style="271" customWidth="1"/>
    <col min="10240" max="10240" width="14.625" style="271" customWidth="1"/>
    <col min="10241" max="10242" width="15.625" style="271" customWidth="1"/>
    <col min="10243" max="10244" width="0" style="271" hidden="1" customWidth="1"/>
    <col min="10245" max="10245" width="12.625" style="271" bestFit="1" customWidth="1"/>
    <col min="10246" max="10248" width="9" style="271"/>
    <col min="10249" max="10250" width="15" style="271" customWidth="1"/>
    <col min="10251" max="10494" width="9" style="271"/>
    <col min="10495" max="10495" width="3.625" style="271" customWidth="1"/>
    <col min="10496" max="10496" width="14.625" style="271" customWidth="1"/>
    <col min="10497" max="10498" width="15.625" style="271" customWidth="1"/>
    <col min="10499" max="10500" width="0" style="271" hidden="1" customWidth="1"/>
    <col min="10501" max="10501" width="12.625" style="271" bestFit="1" customWidth="1"/>
    <col min="10502" max="10504" width="9" style="271"/>
    <col min="10505" max="10506" width="15" style="271" customWidth="1"/>
    <col min="10507" max="10750" width="9" style="271"/>
    <col min="10751" max="10751" width="3.625" style="271" customWidth="1"/>
    <col min="10752" max="10752" width="14.625" style="271" customWidth="1"/>
    <col min="10753" max="10754" width="15.625" style="271" customWidth="1"/>
    <col min="10755" max="10756" width="0" style="271" hidden="1" customWidth="1"/>
    <col min="10757" max="10757" width="12.625" style="271" bestFit="1" customWidth="1"/>
    <col min="10758" max="10760" width="9" style="271"/>
    <col min="10761" max="10762" width="15" style="271" customWidth="1"/>
    <col min="10763" max="11006" width="9" style="271"/>
    <col min="11007" max="11007" width="3.625" style="271" customWidth="1"/>
    <col min="11008" max="11008" width="14.625" style="271" customWidth="1"/>
    <col min="11009" max="11010" width="15.625" style="271" customWidth="1"/>
    <col min="11011" max="11012" width="0" style="271" hidden="1" customWidth="1"/>
    <col min="11013" max="11013" width="12.625" style="271" bestFit="1" customWidth="1"/>
    <col min="11014" max="11016" width="9" style="271"/>
    <col min="11017" max="11018" width="15" style="271" customWidth="1"/>
    <col min="11019" max="11262" width="9" style="271"/>
    <col min="11263" max="11263" width="3.625" style="271" customWidth="1"/>
    <col min="11264" max="11264" width="14.625" style="271" customWidth="1"/>
    <col min="11265" max="11266" width="15.625" style="271" customWidth="1"/>
    <col min="11267" max="11268" width="0" style="271" hidden="1" customWidth="1"/>
    <col min="11269" max="11269" width="12.625" style="271" bestFit="1" customWidth="1"/>
    <col min="11270" max="11272" width="9" style="271"/>
    <col min="11273" max="11274" width="15" style="271" customWidth="1"/>
    <col min="11275" max="11518" width="9" style="271"/>
    <col min="11519" max="11519" width="3.625" style="271" customWidth="1"/>
    <col min="11520" max="11520" width="14.625" style="271" customWidth="1"/>
    <col min="11521" max="11522" width="15.625" style="271" customWidth="1"/>
    <col min="11523" max="11524" width="0" style="271" hidden="1" customWidth="1"/>
    <col min="11525" max="11525" width="12.625" style="271" bestFit="1" customWidth="1"/>
    <col min="11526" max="11528" width="9" style="271"/>
    <col min="11529" max="11530" width="15" style="271" customWidth="1"/>
    <col min="11531" max="11774" width="9" style="271"/>
    <col min="11775" max="11775" width="3.625" style="271" customWidth="1"/>
    <col min="11776" max="11776" width="14.625" style="271" customWidth="1"/>
    <col min="11777" max="11778" width="15.625" style="271" customWidth="1"/>
    <col min="11779" max="11780" width="0" style="271" hidden="1" customWidth="1"/>
    <col min="11781" max="11781" width="12.625" style="271" bestFit="1" customWidth="1"/>
    <col min="11782" max="11784" width="9" style="271"/>
    <col min="11785" max="11786" width="15" style="271" customWidth="1"/>
    <col min="11787" max="12030" width="9" style="271"/>
    <col min="12031" max="12031" width="3.625" style="271" customWidth="1"/>
    <col min="12032" max="12032" width="14.625" style="271" customWidth="1"/>
    <col min="12033" max="12034" width="15.625" style="271" customWidth="1"/>
    <col min="12035" max="12036" width="0" style="271" hidden="1" customWidth="1"/>
    <col min="12037" max="12037" width="12.625" style="271" bestFit="1" customWidth="1"/>
    <col min="12038" max="12040" width="9" style="271"/>
    <col min="12041" max="12042" width="15" style="271" customWidth="1"/>
    <col min="12043" max="12286" width="9" style="271"/>
    <col min="12287" max="12287" width="3.625" style="271" customWidth="1"/>
    <col min="12288" max="12288" width="14.625" style="271" customWidth="1"/>
    <col min="12289" max="12290" width="15.625" style="271" customWidth="1"/>
    <col min="12291" max="12292" width="0" style="271" hidden="1" customWidth="1"/>
    <col min="12293" max="12293" width="12.625" style="271" bestFit="1" customWidth="1"/>
    <col min="12294" max="12296" width="9" style="271"/>
    <col min="12297" max="12298" width="15" style="271" customWidth="1"/>
    <col min="12299" max="12542" width="9" style="271"/>
    <col min="12543" max="12543" width="3.625" style="271" customWidth="1"/>
    <col min="12544" max="12544" width="14.625" style="271" customWidth="1"/>
    <col min="12545" max="12546" width="15.625" style="271" customWidth="1"/>
    <col min="12547" max="12548" width="0" style="271" hidden="1" customWidth="1"/>
    <col min="12549" max="12549" width="12.625" style="271" bestFit="1" customWidth="1"/>
    <col min="12550" max="12552" width="9" style="271"/>
    <col min="12553" max="12554" width="15" style="271" customWidth="1"/>
    <col min="12555" max="12798" width="9" style="271"/>
    <col min="12799" max="12799" width="3.625" style="271" customWidth="1"/>
    <col min="12800" max="12800" width="14.625" style="271" customWidth="1"/>
    <col min="12801" max="12802" width="15.625" style="271" customWidth="1"/>
    <col min="12803" max="12804" width="0" style="271" hidden="1" customWidth="1"/>
    <col min="12805" max="12805" width="12.625" style="271" bestFit="1" customWidth="1"/>
    <col min="12806" max="12808" width="9" style="271"/>
    <col min="12809" max="12810" width="15" style="271" customWidth="1"/>
    <col min="12811" max="13054" width="9" style="271"/>
    <col min="13055" max="13055" width="3.625" style="271" customWidth="1"/>
    <col min="13056" max="13056" width="14.625" style="271" customWidth="1"/>
    <col min="13057" max="13058" width="15.625" style="271" customWidth="1"/>
    <col min="13059" max="13060" width="0" style="271" hidden="1" customWidth="1"/>
    <col min="13061" max="13061" width="12.625" style="271" bestFit="1" customWidth="1"/>
    <col min="13062" max="13064" width="9" style="271"/>
    <col min="13065" max="13066" width="15" style="271" customWidth="1"/>
    <col min="13067" max="13310" width="9" style="271"/>
    <col min="13311" max="13311" width="3.625" style="271" customWidth="1"/>
    <col min="13312" max="13312" width="14.625" style="271" customWidth="1"/>
    <col min="13313" max="13314" width="15.625" style="271" customWidth="1"/>
    <col min="13315" max="13316" width="0" style="271" hidden="1" customWidth="1"/>
    <col min="13317" max="13317" width="12.625" style="271" bestFit="1" customWidth="1"/>
    <col min="13318" max="13320" width="9" style="271"/>
    <col min="13321" max="13322" width="15" style="271" customWidth="1"/>
    <col min="13323" max="13566" width="9" style="271"/>
    <col min="13567" max="13567" width="3.625" style="271" customWidth="1"/>
    <col min="13568" max="13568" width="14.625" style="271" customWidth="1"/>
    <col min="13569" max="13570" width="15.625" style="271" customWidth="1"/>
    <col min="13571" max="13572" width="0" style="271" hidden="1" customWidth="1"/>
    <col min="13573" max="13573" width="12.625" style="271" bestFit="1" customWidth="1"/>
    <col min="13574" max="13576" width="9" style="271"/>
    <col min="13577" max="13578" width="15" style="271" customWidth="1"/>
    <col min="13579" max="13822" width="9" style="271"/>
    <col min="13823" max="13823" width="3.625" style="271" customWidth="1"/>
    <col min="13824" max="13824" width="14.625" style="271" customWidth="1"/>
    <col min="13825" max="13826" width="15.625" style="271" customWidth="1"/>
    <col min="13827" max="13828" width="0" style="271" hidden="1" customWidth="1"/>
    <col min="13829" max="13829" width="12.625" style="271" bestFit="1" customWidth="1"/>
    <col min="13830" max="13832" width="9" style="271"/>
    <col min="13833" max="13834" width="15" style="271" customWidth="1"/>
    <col min="13835" max="14078" width="9" style="271"/>
    <col min="14079" max="14079" width="3.625" style="271" customWidth="1"/>
    <col min="14080" max="14080" width="14.625" style="271" customWidth="1"/>
    <col min="14081" max="14082" width="15.625" style="271" customWidth="1"/>
    <col min="14083" max="14084" width="0" style="271" hidden="1" customWidth="1"/>
    <col min="14085" max="14085" width="12.625" style="271" bestFit="1" customWidth="1"/>
    <col min="14086" max="14088" width="9" style="271"/>
    <col min="14089" max="14090" width="15" style="271" customWidth="1"/>
    <col min="14091" max="14334" width="9" style="271"/>
    <col min="14335" max="14335" width="3.625" style="271" customWidth="1"/>
    <col min="14336" max="14336" width="14.625" style="271" customWidth="1"/>
    <col min="14337" max="14338" width="15.625" style="271" customWidth="1"/>
    <col min="14339" max="14340" width="0" style="271" hidden="1" customWidth="1"/>
    <col min="14341" max="14341" width="12.625" style="271" bestFit="1" customWidth="1"/>
    <col min="14342" max="14344" width="9" style="271"/>
    <col min="14345" max="14346" width="15" style="271" customWidth="1"/>
    <col min="14347" max="14590" width="9" style="271"/>
    <col min="14591" max="14591" width="3.625" style="271" customWidth="1"/>
    <col min="14592" max="14592" width="14.625" style="271" customWidth="1"/>
    <col min="14593" max="14594" width="15.625" style="271" customWidth="1"/>
    <col min="14595" max="14596" width="0" style="271" hidden="1" customWidth="1"/>
    <col min="14597" max="14597" width="12.625" style="271" bestFit="1" customWidth="1"/>
    <col min="14598" max="14600" width="9" style="271"/>
    <col min="14601" max="14602" width="15" style="271" customWidth="1"/>
    <col min="14603" max="14846" width="9" style="271"/>
    <col min="14847" max="14847" width="3.625" style="271" customWidth="1"/>
    <col min="14848" max="14848" width="14.625" style="271" customWidth="1"/>
    <col min="14849" max="14850" width="15.625" style="271" customWidth="1"/>
    <col min="14851" max="14852" width="0" style="271" hidden="1" customWidth="1"/>
    <col min="14853" max="14853" width="12.625" style="271" bestFit="1" customWidth="1"/>
    <col min="14854" max="14856" width="9" style="271"/>
    <col min="14857" max="14858" width="15" style="271" customWidth="1"/>
    <col min="14859" max="15102" width="9" style="271"/>
    <col min="15103" max="15103" width="3.625" style="271" customWidth="1"/>
    <col min="15104" max="15104" width="14.625" style="271" customWidth="1"/>
    <col min="15105" max="15106" width="15.625" style="271" customWidth="1"/>
    <col min="15107" max="15108" width="0" style="271" hidden="1" customWidth="1"/>
    <col min="15109" max="15109" width="12.625" style="271" bestFit="1" customWidth="1"/>
    <col min="15110" max="15112" width="9" style="271"/>
    <col min="15113" max="15114" width="15" style="271" customWidth="1"/>
    <col min="15115" max="15358" width="9" style="271"/>
    <col min="15359" max="15359" width="3.625" style="271" customWidth="1"/>
    <col min="15360" max="15360" width="14.625" style="271" customWidth="1"/>
    <col min="15361" max="15362" width="15.625" style="271" customWidth="1"/>
    <col min="15363" max="15364" width="0" style="271" hidden="1" customWidth="1"/>
    <col min="15365" max="15365" width="12.625" style="271" bestFit="1" customWidth="1"/>
    <col min="15366" max="15368" width="9" style="271"/>
    <col min="15369" max="15370" width="15" style="271" customWidth="1"/>
    <col min="15371" max="15614" width="9" style="271"/>
    <col min="15615" max="15615" width="3.625" style="271" customWidth="1"/>
    <col min="15616" max="15616" width="14.625" style="271" customWidth="1"/>
    <col min="15617" max="15618" width="15.625" style="271" customWidth="1"/>
    <col min="15619" max="15620" width="0" style="271" hidden="1" customWidth="1"/>
    <col min="15621" max="15621" width="12.625" style="271" bestFit="1" customWidth="1"/>
    <col min="15622" max="15624" width="9" style="271"/>
    <col min="15625" max="15626" width="15" style="271" customWidth="1"/>
    <col min="15627" max="15870" width="9" style="271"/>
    <col min="15871" max="15871" width="3.625" style="271" customWidth="1"/>
    <col min="15872" max="15872" width="14.625" style="271" customWidth="1"/>
    <col min="15873" max="15874" width="15.625" style="271" customWidth="1"/>
    <col min="15875" max="15876" width="0" style="271" hidden="1" customWidth="1"/>
    <col min="15877" max="15877" width="12.625" style="271" bestFit="1" customWidth="1"/>
    <col min="15878" max="15880" width="9" style="271"/>
    <col min="15881" max="15882" width="15" style="271" customWidth="1"/>
    <col min="15883" max="16126" width="9" style="271"/>
    <col min="16127" max="16127" width="3.625" style="271" customWidth="1"/>
    <col min="16128" max="16128" width="14.625" style="271" customWidth="1"/>
    <col min="16129" max="16130" width="15.625" style="271" customWidth="1"/>
    <col min="16131" max="16132" width="0" style="271" hidden="1" customWidth="1"/>
    <col min="16133" max="16133" width="12.625" style="271" bestFit="1" customWidth="1"/>
    <col min="16134" max="16136" width="9" style="271"/>
    <col min="16137" max="16138" width="15" style="271" customWidth="1"/>
    <col min="16139" max="16384" width="9" style="271"/>
  </cols>
  <sheetData>
    <row r="1" spans="1:12">
      <c r="D1" s="383" t="s">
        <v>723</v>
      </c>
    </row>
    <row r="2" spans="1:12" ht="20.100000000000001" customHeight="1">
      <c r="A2" s="773" t="s">
        <v>732</v>
      </c>
      <c r="B2" s="774"/>
      <c r="C2" s="777" t="str">
        <f>(LEFT('[3]3条支出'!$D$1,7))</f>
        <v>令和５年度決算</v>
      </c>
      <c r="D2" s="778"/>
    </row>
    <row r="3" spans="1:12" ht="20.100000000000001" customHeight="1">
      <c r="A3" s="775"/>
      <c r="B3" s="776"/>
      <c r="C3" s="398" t="s">
        <v>731</v>
      </c>
      <c r="D3" s="397" t="s">
        <v>730</v>
      </c>
    </row>
    <row r="4" spans="1:12" ht="20.100000000000001" customHeight="1">
      <c r="A4" s="340" t="s">
        <v>729</v>
      </c>
      <c r="B4" s="396"/>
      <c r="C4" s="395">
        <f>仮受仮払!F83</f>
        <v>1888158024</v>
      </c>
      <c r="D4" s="394"/>
      <c r="I4" s="384"/>
      <c r="J4" s="384"/>
    </row>
    <row r="5" spans="1:12" ht="20.100000000000001" customHeight="1">
      <c r="A5" s="392" t="s">
        <v>728</v>
      </c>
      <c r="B5" s="341"/>
      <c r="C5" s="391"/>
      <c r="D5" s="393">
        <f>仮受仮払!F84</f>
        <v>2307919386</v>
      </c>
      <c r="I5" s="384"/>
      <c r="J5" s="384"/>
      <c r="L5" s="399"/>
    </row>
    <row r="6" spans="1:12" ht="20.100000000000001" customHeight="1">
      <c r="A6" s="392" t="s">
        <v>727</v>
      </c>
      <c r="B6" s="341"/>
      <c r="C6" s="391"/>
      <c r="D6" s="393">
        <f>+-仮受仮払!F91</f>
        <v>1880565</v>
      </c>
      <c r="I6" s="384"/>
      <c r="J6" s="384"/>
    </row>
    <row r="7" spans="1:12" ht="20.100000000000001" customHeight="1">
      <c r="A7" s="392" t="s">
        <v>681</v>
      </c>
      <c r="B7" s="341"/>
      <c r="C7" s="391">
        <f>+SUM(仮受仮払!F87:F90)</f>
        <v>212487477</v>
      </c>
      <c r="D7" s="389"/>
      <c r="I7" s="384"/>
      <c r="J7" s="384"/>
    </row>
    <row r="8" spans="1:12" ht="20.100000000000001" customHeight="1">
      <c r="A8" s="392" t="s">
        <v>726</v>
      </c>
      <c r="B8" s="341"/>
      <c r="C8" s="391">
        <f>SUM(C9:C13)</f>
        <v>552693179</v>
      </c>
      <c r="D8" s="389">
        <f>SUM(D9:D13)</f>
        <v>0</v>
      </c>
      <c r="E8" s="307">
        <f>C8-仮受仮払!F92</f>
        <v>0</v>
      </c>
      <c r="I8" s="384"/>
      <c r="J8" s="384"/>
    </row>
    <row r="9" spans="1:12" ht="20.100000000000001" customHeight="1">
      <c r="A9" s="340"/>
      <c r="B9" s="338" t="s">
        <v>634</v>
      </c>
      <c r="C9" s="390">
        <f>仮受仮払!F93</f>
        <v>522413737</v>
      </c>
      <c r="D9" s="389"/>
      <c r="I9" s="384"/>
      <c r="J9" s="384"/>
    </row>
    <row r="10" spans="1:12" ht="20.100000000000001" customHeight="1">
      <c r="A10" s="340"/>
      <c r="B10" s="338" t="s">
        <v>633</v>
      </c>
      <c r="C10" s="390">
        <f>仮受仮払!F94</f>
        <v>0</v>
      </c>
      <c r="D10" s="389"/>
      <c r="I10" s="384"/>
      <c r="J10" s="384"/>
    </row>
    <row r="11" spans="1:12" ht="20.100000000000001" customHeight="1">
      <c r="A11" s="340"/>
      <c r="B11" s="338" t="s">
        <v>632</v>
      </c>
      <c r="C11" s="390">
        <f>仮受仮払!F95</f>
        <v>779531</v>
      </c>
      <c r="D11" s="389"/>
      <c r="I11" s="384"/>
      <c r="J11" s="384"/>
    </row>
    <row r="12" spans="1:12" ht="20.100000000000001" customHeight="1">
      <c r="A12" s="340"/>
      <c r="B12" s="338" t="s">
        <v>631</v>
      </c>
      <c r="C12" s="390">
        <f>仮受仮払!F96</f>
        <v>3138956</v>
      </c>
      <c r="D12" s="389"/>
      <c r="I12" s="384"/>
      <c r="J12" s="384"/>
    </row>
    <row r="13" spans="1:12" ht="20.100000000000001" customHeight="1">
      <c r="A13" s="340"/>
      <c r="B13" s="338" t="s">
        <v>630</v>
      </c>
      <c r="C13" s="390">
        <f>仮受仮払!F97</f>
        <v>26360955</v>
      </c>
      <c r="D13" s="389"/>
      <c r="I13" s="384"/>
      <c r="J13" s="384"/>
    </row>
    <row r="14" spans="1:12" ht="20.100000000000001" customHeight="1">
      <c r="A14" s="388" t="s">
        <v>725</v>
      </c>
      <c r="B14" s="332"/>
      <c r="C14" s="387">
        <f>-(消費税!Z118+消費税!AF118)</f>
        <v>-343538729</v>
      </c>
      <c r="D14" s="386"/>
      <c r="I14" s="384"/>
      <c r="J14" s="384"/>
    </row>
    <row r="15" spans="1:12" ht="20.100000000000001" customHeight="1">
      <c r="A15" s="779" t="s">
        <v>724</v>
      </c>
      <c r="B15" s="780"/>
      <c r="C15" s="358">
        <f>C4+C5+C6+C7+C8+C14</f>
        <v>2309799951</v>
      </c>
      <c r="D15" s="385">
        <f>D4+D5+D6+D7+D8+D14</f>
        <v>2309799951</v>
      </c>
      <c r="I15" s="384"/>
      <c r="J15" s="384"/>
    </row>
    <row r="16" spans="1:12">
      <c r="C16" s="307">
        <f>D15-C15</f>
        <v>0</v>
      </c>
    </row>
  </sheetData>
  <mergeCells count="3">
    <mergeCell ref="A2:B3"/>
    <mergeCell ref="C2:D2"/>
    <mergeCell ref="A15:B15"/>
  </mergeCells>
  <phoneticPr fontId="4"/>
  <printOptions horizontalCentered="1"/>
  <pageMargins left="0.78740157480314965" right="0.39370078740157483" top="0.98425196850393704" bottom="0.98425196850393704" header="0.51181102362204722" footer="0.51181102362204722"/>
  <pageSetup paperSize="9" scale="125" orientation="portrait" verticalDpi="400" r:id="rId1"/>
  <headerFooter alignWithMargins="0">
    <oddHeader>&amp;C&amp;"ＭＳ Ｐゴシック,標準"&amp;14&amp;A</oddHeader>
    <oddFooter>&amp;L&amp;8&amp;F　&amp;A&amp;R&amp;8&amp;D　&amp;T</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K81"/>
  <sheetViews>
    <sheetView zoomScale="80" zoomScaleNormal="80" workbookViewId="0">
      <pane xSplit="4" ySplit="2" topLeftCell="E3" activePane="bottomRight" state="frozen"/>
      <selection activeCell="R64" sqref="R64"/>
      <selection pane="topRight" activeCell="R64" sqref="R64"/>
      <selection pane="bottomLeft" activeCell="R64" sqref="R64"/>
      <selection pane="bottomRight" activeCell="E3" sqref="E3"/>
    </sheetView>
  </sheetViews>
  <sheetFormatPr defaultRowHeight="13.5"/>
  <cols>
    <col min="1" max="1" width="4.625" style="271" customWidth="1"/>
    <col min="2" max="3" width="14.625" style="271" customWidth="1"/>
    <col min="4" max="4" width="1.25" style="271" customWidth="1"/>
    <col min="5" max="5" width="14.625" style="271" customWidth="1"/>
    <col min="6" max="9" width="15.625" style="271" customWidth="1"/>
    <col min="10" max="10" width="14.625" style="271" customWidth="1"/>
    <col min="11" max="11" width="13.375" style="271" customWidth="1"/>
    <col min="12" max="253" width="9" style="271"/>
    <col min="254" max="254" width="4.625" style="271" customWidth="1"/>
    <col min="255" max="256" width="14.625" style="271" customWidth="1"/>
    <col min="257" max="257" width="1.25" style="271" customWidth="1"/>
    <col min="258" max="258" width="14.625" style="271" customWidth="1"/>
    <col min="259" max="262" width="15.625" style="271" customWidth="1"/>
    <col min="263" max="263" width="14.625" style="271" customWidth="1"/>
    <col min="264" max="264" width="7.625" style="271" customWidth="1"/>
    <col min="265" max="266" width="16.375" style="271" customWidth="1"/>
    <col min="267" max="267" width="13.375" style="271" customWidth="1"/>
    <col min="268" max="509" width="9" style="271"/>
    <col min="510" max="510" width="4.625" style="271" customWidth="1"/>
    <col min="511" max="512" width="14.625" style="271" customWidth="1"/>
    <col min="513" max="513" width="1.25" style="271" customWidth="1"/>
    <col min="514" max="514" width="14.625" style="271" customWidth="1"/>
    <col min="515" max="518" width="15.625" style="271" customWidth="1"/>
    <col min="519" max="519" width="14.625" style="271" customWidth="1"/>
    <col min="520" max="520" width="7.625" style="271" customWidth="1"/>
    <col min="521" max="522" width="16.375" style="271" customWidth="1"/>
    <col min="523" max="523" width="13.375" style="271" customWidth="1"/>
    <col min="524" max="765" width="9" style="271"/>
    <col min="766" max="766" width="4.625" style="271" customWidth="1"/>
    <col min="767" max="768" width="14.625" style="271" customWidth="1"/>
    <col min="769" max="769" width="1.25" style="271" customWidth="1"/>
    <col min="770" max="770" width="14.625" style="271" customWidth="1"/>
    <col min="771" max="774" width="15.625" style="271" customWidth="1"/>
    <col min="775" max="775" width="14.625" style="271" customWidth="1"/>
    <col min="776" max="776" width="7.625" style="271" customWidth="1"/>
    <col min="777" max="778" width="16.375" style="271" customWidth="1"/>
    <col min="779" max="779" width="13.375" style="271" customWidth="1"/>
    <col min="780" max="1021" width="9" style="271"/>
    <col min="1022" max="1022" width="4.625" style="271" customWidth="1"/>
    <col min="1023" max="1024" width="14.625" style="271" customWidth="1"/>
    <col min="1025" max="1025" width="1.25" style="271" customWidth="1"/>
    <col min="1026" max="1026" width="14.625" style="271" customWidth="1"/>
    <col min="1027" max="1030" width="15.625" style="271" customWidth="1"/>
    <col min="1031" max="1031" width="14.625" style="271" customWidth="1"/>
    <col min="1032" max="1032" width="7.625" style="271" customWidth="1"/>
    <col min="1033" max="1034" width="16.375" style="271" customWidth="1"/>
    <col min="1035" max="1035" width="13.375" style="271" customWidth="1"/>
    <col min="1036" max="1277" width="9" style="271"/>
    <col min="1278" max="1278" width="4.625" style="271" customWidth="1"/>
    <col min="1279" max="1280" width="14.625" style="271" customWidth="1"/>
    <col min="1281" max="1281" width="1.25" style="271" customWidth="1"/>
    <col min="1282" max="1282" width="14.625" style="271" customWidth="1"/>
    <col min="1283" max="1286" width="15.625" style="271" customWidth="1"/>
    <col min="1287" max="1287" width="14.625" style="271" customWidth="1"/>
    <col min="1288" max="1288" width="7.625" style="271" customWidth="1"/>
    <col min="1289" max="1290" width="16.375" style="271" customWidth="1"/>
    <col min="1291" max="1291" width="13.375" style="271" customWidth="1"/>
    <col min="1292" max="1533" width="9" style="271"/>
    <col min="1534" max="1534" width="4.625" style="271" customWidth="1"/>
    <col min="1535" max="1536" width="14.625" style="271" customWidth="1"/>
    <col min="1537" max="1537" width="1.25" style="271" customWidth="1"/>
    <col min="1538" max="1538" width="14.625" style="271" customWidth="1"/>
    <col min="1539" max="1542" width="15.625" style="271" customWidth="1"/>
    <col min="1543" max="1543" width="14.625" style="271" customWidth="1"/>
    <col min="1544" max="1544" width="7.625" style="271" customWidth="1"/>
    <col min="1545" max="1546" width="16.375" style="271" customWidth="1"/>
    <col min="1547" max="1547" width="13.375" style="271" customWidth="1"/>
    <col min="1548" max="1789" width="9" style="271"/>
    <col min="1790" max="1790" width="4.625" style="271" customWidth="1"/>
    <col min="1791" max="1792" width="14.625" style="271" customWidth="1"/>
    <col min="1793" max="1793" width="1.25" style="271" customWidth="1"/>
    <col min="1794" max="1794" width="14.625" style="271" customWidth="1"/>
    <col min="1795" max="1798" width="15.625" style="271" customWidth="1"/>
    <col min="1799" max="1799" width="14.625" style="271" customWidth="1"/>
    <col min="1800" max="1800" width="7.625" style="271" customWidth="1"/>
    <col min="1801" max="1802" width="16.375" style="271" customWidth="1"/>
    <col min="1803" max="1803" width="13.375" style="271" customWidth="1"/>
    <col min="1804" max="2045" width="9" style="271"/>
    <col min="2046" max="2046" width="4.625" style="271" customWidth="1"/>
    <col min="2047" max="2048" width="14.625" style="271" customWidth="1"/>
    <col min="2049" max="2049" width="1.25" style="271" customWidth="1"/>
    <col min="2050" max="2050" width="14.625" style="271" customWidth="1"/>
    <col min="2051" max="2054" width="15.625" style="271" customWidth="1"/>
    <col min="2055" max="2055" width="14.625" style="271" customWidth="1"/>
    <col min="2056" max="2056" width="7.625" style="271" customWidth="1"/>
    <col min="2057" max="2058" width="16.375" style="271" customWidth="1"/>
    <col min="2059" max="2059" width="13.375" style="271" customWidth="1"/>
    <col min="2060" max="2301" width="9" style="271"/>
    <col min="2302" max="2302" width="4.625" style="271" customWidth="1"/>
    <col min="2303" max="2304" width="14.625" style="271" customWidth="1"/>
    <col min="2305" max="2305" width="1.25" style="271" customWidth="1"/>
    <col min="2306" max="2306" width="14.625" style="271" customWidth="1"/>
    <col min="2307" max="2310" width="15.625" style="271" customWidth="1"/>
    <col min="2311" max="2311" width="14.625" style="271" customWidth="1"/>
    <col min="2312" max="2312" width="7.625" style="271" customWidth="1"/>
    <col min="2313" max="2314" width="16.375" style="271" customWidth="1"/>
    <col min="2315" max="2315" width="13.375" style="271" customWidth="1"/>
    <col min="2316" max="2557" width="9" style="271"/>
    <col min="2558" max="2558" width="4.625" style="271" customWidth="1"/>
    <col min="2559" max="2560" width="14.625" style="271" customWidth="1"/>
    <col min="2561" max="2561" width="1.25" style="271" customWidth="1"/>
    <col min="2562" max="2562" width="14.625" style="271" customWidth="1"/>
    <col min="2563" max="2566" width="15.625" style="271" customWidth="1"/>
    <col min="2567" max="2567" width="14.625" style="271" customWidth="1"/>
    <col min="2568" max="2568" width="7.625" style="271" customWidth="1"/>
    <col min="2569" max="2570" width="16.375" style="271" customWidth="1"/>
    <col min="2571" max="2571" width="13.375" style="271" customWidth="1"/>
    <col min="2572" max="2813" width="9" style="271"/>
    <col min="2814" max="2814" width="4.625" style="271" customWidth="1"/>
    <col min="2815" max="2816" width="14.625" style="271" customWidth="1"/>
    <col min="2817" max="2817" width="1.25" style="271" customWidth="1"/>
    <col min="2818" max="2818" width="14.625" style="271" customWidth="1"/>
    <col min="2819" max="2822" width="15.625" style="271" customWidth="1"/>
    <col min="2823" max="2823" width="14.625" style="271" customWidth="1"/>
    <col min="2824" max="2824" width="7.625" style="271" customWidth="1"/>
    <col min="2825" max="2826" width="16.375" style="271" customWidth="1"/>
    <col min="2827" max="2827" width="13.375" style="271" customWidth="1"/>
    <col min="2828" max="3069" width="9" style="271"/>
    <col min="3070" max="3070" width="4.625" style="271" customWidth="1"/>
    <col min="3071" max="3072" width="14.625" style="271" customWidth="1"/>
    <col min="3073" max="3073" width="1.25" style="271" customWidth="1"/>
    <col min="3074" max="3074" width="14.625" style="271" customWidth="1"/>
    <col min="3075" max="3078" width="15.625" style="271" customWidth="1"/>
    <col min="3079" max="3079" width="14.625" style="271" customWidth="1"/>
    <col min="3080" max="3080" width="7.625" style="271" customWidth="1"/>
    <col min="3081" max="3082" width="16.375" style="271" customWidth="1"/>
    <col min="3083" max="3083" width="13.375" style="271" customWidth="1"/>
    <col min="3084" max="3325" width="9" style="271"/>
    <col min="3326" max="3326" width="4.625" style="271" customWidth="1"/>
    <col min="3327" max="3328" width="14.625" style="271" customWidth="1"/>
    <col min="3329" max="3329" width="1.25" style="271" customWidth="1"/>
    <col min="3330" max="3330" width="14.625" style="271" customWidth="1"/>
    <col min="3331" max="3334" width="15.625" style="271" customWidth="1"/>
    <col min="3335" max="3335" width="14.625" style="271" customWidth="1"/>
    <col min="3336" max="3336" width="7.625" style="271" customWidth="1"/>
    <col min="3337" max="3338" width="16.375" style="271" customWidth="1"/>
    <col min="3339" max="3339" width="13.375" style="271" customWidth="1"/>
    <col min="3340" max="3581" width="9" style="271"/>
    <col min="3582" max="3582" width="4.625" style="271" customWidth="1"/>
    <col min="3583" max="3584" width="14.625" style="271" customWidth="1"/>
    <col min="3585" max="3585" width="1.25" style="271" customWidth="1"/>
    <col min="3586" max="3586" width="14.625" style="271" customWidth="1"/>
    <col min="3587" max="3590" width="15.625" style="271" customWidth="1"/>
    <col min="3591" max="3591" width="14.625" style="271" customWidth="1"/>
    <col min="3592" max="3592" width="7.625" style="271" customWidth="1"/>
    <col min="3593" max="3594" width="16.375" style="271" customWidth="1"/>
    <col min="3595" max="3595" width="13.375" style="271" customWidth="1"/>
    <col min="3596" max="3837" width="9" style="271"/>
    <col min="3838" max="3838" width="4.625" style="271" customWidth="1"/>
    <col min="3839" max="3840" width="14.625" style="271" customWidth="1"/>
    <col min="3841" max="3841" width="1.25" style="271" customWidth="1"/>
    <col min="3842" max="3842" width="14.625" style="271" customWidth="1"/>
    <col min="3843" max="3846" width="15.625" style="271" customWidth="1"/>
    <col min="3847" max="3847" width="14.625" style="271" customWidth="1"/>
    <col min="3848" max="3848" width="7.625" style="271" customWidth="1"/>
    <col min="3849" max="3850" width="16.375" style="271" customWidth="1"/>
    <col min="3851" max="3851" width="13.375" style="271" customWidth="1"/>
    <col min="3852" max="4093" width="9" style="271"/>
    <col min="4094" max="4094" width="4.625" style="271" customWidth="1"/>
    <col min="4095" max="4096" width="14.625" style="271" customWidth="1"/>
    <col min="4097" max="4097" width="1.25" style="271" customWidth="1"/>
    <col min="4098" max="4098" width="14.625" style="271" customWidth="1"/>
    <col min="4099" max="4102" width="15.625" style="271" customWidth="1"/>
    <col min="4103" max="4103" width="14.625" style="271" customWidth="1"/>
    <col min="4104" max="4104" width="7.625" style="271" customWidth="1"/>
    <col min="4105" max="4106" width="16.375" style="271" customWidth="1"/>
    <col min="4107" max="4107" width="13.375" style="271" customWidth="1"/>
    <col min="4108" max="4349" width="9" style="271"/>
    <col min="4350" max="4350" width="4.625" style="271" customWidth="1"/>
    <col min="4351" max="4352" width="14.625" style="271" customWidth="1"/>
    <col min="4353" max="4353" width="1.25" style="271" customWidth="1"/>
    <col min="4354" max="4354" width="14.625" style="271" customWidth="1"/>
    <col min="4355" max="4358" width="15.625" style="271" customWidth="1"/>
    <col min="4359" max="4359" width="14.625" style="271" customWidth="1"/>
    <col min="4360" max="4360" width="7.625" style="271" customWidth="1"/>
    <col min="4361" max="4362" width="16.375" style="271" customWidth="1"/>
    <col min="4363" max="4363" width="13.375" style="271" customWidth="1"/>
    <col min="4364" max="4605" width="9" style="271"/>
    <col min="4606" max="4606" width="4.625" style="271" customWidth="1"/>
    <col min="4607" max="4608" width="14.625" style="271" customWidth="1"/>
    <col min="4609" max="4609" width="1.25" style="271" customWidth="1"/>
    <col min="4610" max="4610" width="14.625" style="271" customWidth="1"/>
    <col min="4611" max="4614" width="15.625" style="271" customWidth="1"/>
    <col min="4615" max="4615" width="14.625" style="271" customWidth="1"/>
    <col min="4616" max="4616" width="7.625" style="271" customWidth="1"/>
    <col min="4617" max="4618" width="16.375" style="271" customWidth="1"/>
    <col min="4619" max="4619" width="13.375" style="271" customWidth="1"/>
    <col min="4620" max="4861" width="9" style="271"/>
    <col min="4862" max="4862" width="4.625" style="271" customWidth="1"/>
    <col min="4863" max="4864" width="14.625" style="271" customWidth="1"/>
    <col min="4865" max="4865" width="1.25" style="271" customWidth="1"/>
    <col min="4866" max="4866" width="14.625" style="271" customWidth="1"/>
    <col min="4867" max="4870" width="15.625" style="271" customWidth="1"/>
    <col min="4871" max="4871" width="14.625" style="271" customWidth="1"/>
    <col min="4872" max="4872" width="7.625" style="271" customWidth="1"/>
    <col min="4873" max="4874" width="16.375" style="271" customWidth="1"/>
    <col min="4875" max="4875" width="13.375" style="271" customWidth="1"/>
    <col min="4876" max="5117" width="9" style="271"/>
    <col min="5118" max="5118" width="4.625" style="271" customWidth="1"/>
    <col min="5119" max="5120" width="14.625" style="271" customWidth="1"/>
    <col min="5121" max="5121" width="1.25" style="271" customWidth="1"/>
    <col min="5122" max="5122" width="14.625" style="271" customWidth="1"/>
    <col min="5123" max="5126" width="15.625" style="271" customWidth="1"/>
    <col min="5127" max="5127" width="14.625" style="271" customWidth="1"/>
    <col min="5128" max="5128" width="7.625" style="271" customWidth="1"/>
    <col min="5129" max="5130" width="16.375" style="271" customWidth="1"/>
    <col min="5131" max="5131" width="13.375" style="271" customWidth="1"/>
    <col min="5132" max="5373" width="9" style="271"/>
    <col min="5374" max="5374" width="4.625" style="271" customWidth="1"/>
    <col min="5375" max="5376" width="14.625" style="271" customWidth="1"/>
    <col min="5377" max="5377" width="1.25" style="271" customWidth="1"/>
    <col min="5378" max="5378" width="14.625" style="271" customWidth="1"/>
    <col min="5379" max="5382" width="15.625" style="271" customWidth="1"/>
    <col min="5383" max="5383" width="14.625" style="271" customWidth="1"/>
    <col min="5384" max="5384" width="7.625" style="271" customWidth="1"/>
    <col min="5385" max="5386" width="16.375" style="271" customWidth="1"/>
    <col min="5387" max="5387" width="13.375" style="271" customWidth="1"/>
    <col min="5388" max="5629" width="9" style="271"/>
    <col min="5630" max="5630" width="4.625" style="271" customWidth="1"/>
    <col min="5631" max="5632" width="14.625" style="271" customWidth="1"/>
    <col min="5633" max="5633" width="1.25" style="271" customWidth="1"/>
    <col min="5634" max="5634" width="14.625" style="271" customWidth="1"/>
    <col min="5635" max="5638" width="15.625" style="271" customWidth="1"/>
    <col min="5639" max="5639" width="14.625" style="271" customWidth="1"/>
    <col min="5640" max="5640" width="7.625" style="271" customWidth="1"/>
    <col min="5641" max="5642" width="16.375" style="271" customWidth="1"/>
    <col min="5643" max="5643" width="13.375" style="271" customWidth="1"/>
    <col min="5644" max="5885" width="9" style="271"/>
    <col min="5886" max="5886" width="4.625" style="271" customWidth="1"/>
    <col min="5887" max="5888" width="14.625" style="271" customWidth="1"/>
    <col min="5889" max="5889" width="1.25" style="271" customWidth="1"/>
    <col min="5890" max="5890" width="14.625" style="271" customWidth="1"/>
    <col min="5891" max="5894" width="15.625" style="271" customWidth="1"/>
    <col min="5895" max="5895" width="14.625" style="271" customWidth="1"/>
    <col min="5896" max="5896" width="7.625" style="271" customWidth="1"/>
    <col min="5897" max="5898" width="16.375" style="271" customWidth="1"/>
    <col min="5899" max="5899" width="13.375" style="271" customWidth="1"/>
    <col min="5900" max="6141" width="9" style="271"/>
    <col min="6142" max="6142" width="4.625" style="271" customWidth="1"/>
    <col min="6143" max="6144" width="14.625" style="271" customWidth="1"/>
    <col min="6145" max="6145" width="1.25" style="271" customWidth="1"/>
    <col min="6146" max="6146" width="14.625" style="271" customWidth="1"/>
    <col min="6147" max="6150" width="15.625" style="271" customWidth="1"/>
    <col min="6151" max="6151" width="14.625" style="271" customWidth="1"/>
    <col min="6152" max="6152" width="7.625" style="271" customWidth="1"/>
    <col min="6153" max="6154" width="16.375" style="271" customWidth="1"/>
    <col min="6155" max="6155" width="13.375" style="271" customWidth="1"/>
    <col min="6156" max="6397" width="9" style="271"/>
    <col min="6398" max="6398" width="4.625" style="271" customWidth="1"/>
    <col min="6399" max="6400" width="14.625" style="271" customWidth="1"/>
    <col min="6401" max="6401" width="1.25" style="271" customWidth="1"/>
    <col min="6402" max="6402" width="14.625" style="271" customWidth="1"/>
    <col min="6403" max="6406" width="15.625" style="271" customWidth="1"/>
    <col min="6407" max="6407" width="14.625" style="271" customWidth="1"/>
    <col min="6408" max="6408" width="7.625" style="271" customWidth="1"/>
    <col min="6409" max="6410" width="16.375" style="271" customWidth="1"/>
    <col min="6411" max="6411" width="13.375" style="271" customWidth="1"/>
    <col min="6412" max="6653" width="9" style="271"/>
    <col min="6654" max="6654" width="4.625" style="271" customWidth="1"/>
    <col min="6655" max="6656" width="14.625" style="271" customWidth="1"/>
    <col min="6657" max="6657" width="1.25" style="271" customWidth="1"/>
    <col min="6658" max="6658" width="14.625" style="271" customWidth="1"/>
    <col min="6659" max="6662" width="15.625" style="271" customWidth="1"/>
    <col min="6663" max="6663" width="14.625" style="271" customWidth="1"/>
    <col min="6664" max="6664" width="7.625" style="271" customWidth="1"/>
    <col min="6665" max="6666" width="16.375" style="271" customWidth="1"/>
    <col min="6667" max="6667" width="13.375" style="271" customWidth="1"/>
    <col min="6668" max="6909" width="9" style="271"/>
    <col min="6910" max="6910" width="4.625" style="271" customWidth="1"/>
    <col min="6911" max="6912" width="14.625" style="271" customWidth="1"/>
    <col min="6913" max="6913" width="1.25" style="271" customWidth="1"/>
    <col min="6914" max="6914" width="14.625" style="271" customWidth="1"/>
    <col min="6915" max="6918" width="15.625" style="271" customWidth="1"/>
    <col min="6919" max="6919" width="14.625" style="271" customWidth="1"/>
    <col min="6920" max="6920" width="7.625" style="271" customWidth="1"/>
    <col min="6921" max="6922" width="16.375" style="271" customWidth="1"/>
    <col min="6923" max="6923" width="13.375" style="271" customWidth="1"/>
    <col min="6924" max="7165" width="9" style="271"/>
    <col min="7166" max="7166" width="4.625" style="271" customWidth="1"/>
    <col min="7167" max="7168" width="14.625" style="271" customWidth="1"/>
    <col min="7169" max="7169" width="1.25" style="271" customWidth="1"/>
    <col min="7170" max="7170" width="14.625" style="271" customWidth="1"/>
    <col min="7171" max="7174" width="15.625" style="271" customWidth="1"/>
    <col min="7175" max="7175" width="14.625" style="271" customWidth="1"/>
    <col min="7176" max="7176" width="7.625" style="271" customWidth="1"/>
    <col min="7177" max="7178" width="16.375" style="271" customWidth="1"/>
    <col min="7179" max="7179" width="13.375" style="271" customWidth="1"/>
    <col min="7180" max="7421" width="9" style="271"/>
    <col min="7422" max="7422" width="4.625" style="271" customWidth="1"/>
    <col min="7423" max="7424" width="14.625" style="271" customWidth="1"/>
    <col min="7425" max="7425" width="1.25" style="271" customWidth="1"/>
    <col min="7426" max="7426" width="14.625" style="271" customWidth="1"/>
    <col min="7427" max="7430" width="15.625" style="271" customWidth="1"/>
    <col min="7431" max="7431" width="14.625" style="271" customWidth="1"/>
    <col min="7432" max="7432" width="7.625" style="271" customWidth="1"/>
    <col min="7433" max="7434" width="16.375" style="271" customWidth="1"/>
    <col min="7435" max="7435" width="13.375" style="271" customWidth="1"/>
    <col min="7436" max="7677" width="9" style="271"/>
    <col min="7678" max="7678" width="4.625" style="271" customWidth="1"/>
    <col min="7679" max="7680" width="14.625" style="271" customWidth="1"/>
    <col min="7681" max="7681" width="1.25" style="271" customWidth="1"/>
    <col min="7682" max="7682" width="14.625" style="271" customWidth="1"/>
    <col min="7683" max="7686" width="15.625" style="271" customWidth="1"/>
    <col min="7687" max="7687" width="14.625" style="271" customWidth="1"/>
    <col min="7688" max="7688" width="7.625" style="271" customWidth="1"/>
    <col min="7689" max="7690" width="16.375" style="271" customWidth="1"/>
    <col min="7691" max="7691" width="13.375" style="271" customWidth="1"/>
    <col min="7692" max="7933" width="9" style="271"/>
    <col min="7934" max="7934" width="4.625" style="271" customWidth="1"/>
    <col min="7935" max="7936" width="14.625" style="271" customWidth="1"/>
    <col min="7937" max="7937" width="1.25" style="271" customWidth="1"/>
    <col min="7938" max="7938" width="14.625" style="271" customWidth="1"/>
    <col min="7939" max="7942" width="15.625" style="271" customWidth="1"/>
    <col min="7943" max="7943" width="14.625" style="271" customWidth="1"/>
    <col min="7944" max="7944" width="7.625" style="271" customWidth="1"/>
    <col min="7945" max="7946" width="16.375" style="271" customWidth="1"/>
    <col min="7947" max="7947" width="13.375" style="271" customWidth="1"/>
    <col min="7948" max="8189" width="9" style="271"/>
    <col min="8190" max="8190" width="4.625" style="271" customWidth="1"/>
    <col min="8191" max="8192" width="14.625" style="271" customWidth="1"/>
    <col min="8193" max="8193" width="1.25" style="271" customWidth="1"/>
    <col min="8194" max="8194" width="14.625" style="271" customWidth="1"/>
    <col min="8195" max="8198" width="15.625" style="271" customWidth="1"/>
    <col min="8199" max="8199" width="14.625" style="271" customWidth="1"/>
    <col min="8200" max="8200" width="7.625" style="271" customWidth="1"/>
    <col min="8201" max="8202" width="16.375" style="271" customWidth="1"/>
    <col min="8203" max="8203" width="13.375" style="271" customWidth="1"/>
    <col min="8204" max="8445" width="9" style="271"/>
    <col min="8446" max="8446" width="4.625" style="271" customWidth="1"/>
    <col min="8447" max="8448" width="14.625" style="271" customWidth="1"/>
    <col min="8449" max="8449" width="1.25" style="271" customWidth="1"/>
    <col min="8450" max="8450" width="14.625" style="271" customWidth="1"/>
    <col min="8451" max="8454" width="15.625" style="271" customWidth="1"/>
    <col min="8455" max="8455" width="14.625" style="271" customWidth="1"/>
    <col min="8456" max="8456" width="7.625" style="271" customWidth="1"/>
    <col min="8457" max="8458" width="16.375" style="271" customWidth="1"/>
    <col min="8459" max="8459" width="13.375" style="271" customWidth="1"/>
    <col min="8460" max="8701" width="9" style="271"/>
    <col min="8702" max="8702" width="4.625" style="271" customWidth="1"/>
    <col min="8703" max="8704" width="14.625" style="271" customWidth="1"/>
    <col min="8705" max="8705" width="1.25" style="271" customWidth="1"/>
    <col min="8706" max="8706" width="14.625" style="271" customWidth="1"/>
    <col min="8707" max="8710" width="15.625" style="271" customWidth="1"/>
    <col min="8711" max="8711" width="14.625" style="271" customWidth="1"/>
    <col min="8712" max="8712" width="7.625" style="271" customWidth="1"/>
    <col min="8713" max="8714" width="16.375" style="271" customWidth="1"/>
    <col min="8715" max="8715" width="13.375" style="271" customWidth="1"/>
    <col min="8716" max="8957" width="9" style="271"/>
    <col min="8958" max="8958" width="4.625" style="271" customWidth="1"/>
    <col min="8959" max="8960" width="14.625" style="271" customWidth="1"/>
    <col min="8961" max="8961" width="1.25" style="271" customWidth="1"/>
    <col min="8962" max="8962" width="14.625" style="271" customWidth="1"/>
    <col min="8963" max="8966" width="15.625" style="271" customWidth="1"/>
    <col min="8967" max="8967" width="14.625" style="271" customWidth="1"/>
    <col min="8968" max="8968" width="7.625" style="271" customWidth="1"/>
    <col min="8969" max="8970" width="16.375" style="271" customWidth="1"/>
    <col min="8971" max="8971" width="13.375" style="271" customWidth="1"/>
    <col min="8972" max="9213" width="9" style="271"/>
    <col min="9214" max="9214" width="4.625" style="271" customWidth="1"/>
    <col min="9215" max="9216" width="14.625" style="271" customWidth="1"/>
    <col min="9217" max="9217" width="1.25" style="271" customWidth="1"/>
    <col min="9218" max="9218" width="14.625" style="271" customWidth="1"/>
    <col min="9219" max="9222" width="15.625" style="271" customWidth="1"/>
    <col min="9223" max="9223" width="14.625" style="271" customWidth="1"/>
    <col min="9224" max="9224" width="7.625" style="271" customWidth="1"/>
    <col min="9225" max="9226" width="16.375" style="271" customWidth="1"/>
    <col min="9227" max="9227" width="13.375" style="271" customWidth="1"/>
    <col min="9228" max="9469" width="9" style="271"/>
    <col min="9470" max="9470" width="4.625" style="271" customWidth="1"/>
    <col min="9471" max="9472" width="14.625" style="271" customWidth="1"/>
    <col min="9473" max="9473" width="1.25" style="271" customWidth="1"/>
    <col min="9474" max="9474" width="14.625" style="271" customWidth="1"/>
    <col min="9475" max="9478" width="15.625" style="271" customWidth="1"/>
    <col min="9479" max="9479" width="14.625" style="271" customWidth="1"/>
    <col min="9480" max="9480" width="7.625" style="271" customWidth="1"/>
    <col min="9481" max="9482" width="16.375" style="271" customWidth="1"/>
    <col min="9483" max="9483" width="13.375" style="271" customWidth="1"/>
    <col min="9484" max="9725" width="9" style="271"/>
    <col min="9726" max="9726" width="4.625" style="271" customWidth="1"/>
    <col min="9727" max="9728" width="14.625" style="271" customWidth="1"/>
    <col min="9729" max="9729" width="1.25" style="271" customWidth="1"/>
    <col min="9730" max="9730" width="14.625" style="271" customWidth="1"/>
    <col min="9731" max="9734" width="15.625" style="271" customWidth="1"/>
    <col min="9735" max="9735" width="14.625" style="271" customWidth="1"/>
    <col min="9736" max="9736" width="7.625" style="271" customWidth="1"/>
    <col min="9737" max="9738" width="16.375" style="271" customWidth="1"/>
    <col min="9739" max="9739" width="13.375" style="271" customWidth="1"/>
    <col min="9740" max="9981" width="9" style="271"/>
    <col min="9982" max="9982" width="4.625" style="271" customWidth="1"/>
    <col min="9983" max="9984" width="14.625" style="271" customWidth="1"/>
    <col min="9985" max="9985" width="1.25" style="271" customWidth="1"/>
    <col min="9986" max="9986" width="14.625" style="271" customWidth="1"/>
    <col min="9987" max="9990" width="15.625" style="271" customWidth="1"/>
    <col min="9991" max="9991" width="14.625" style="271" customWidth="1"/>
    <col min="9992" max="9992" width="7.625" style="271" customWidth="1"/>
    <col min="9993" max="9994" width="16.375" style="271" customWidth="1"/>
    <col min="9995" max="9995" width="13.375" style="271" customWidth="1"/>
    <col min="9996" max="10237" width="9" style="271"/>
    <col min="10238" max="10238" width="4.625" style="271" customWidth="1"/>
    <col min="10239" max="10240" width="14.625" style="271" customWidth="1"/>
    <col min="10241" max="10241" width="1.25" style="271" customWidth="1"/>
    <col min="10242" max="10242" width="14.625" style="271" customWidth="1"/>
    <col min="10243" max="10246" width="15.625" style="271" customWidth="1"/>
    <col min="10247" max="10247" width="14.625" style="271" customWidth="1"/>
    <col min="10248" max="10248" width="7.625" style="271" customWidth="1"/>
    <col min="10249" max="10250" width="16.375" style="271" customWidth="1"/>
    <col min="10251" max="10251" width="13.375" style="271" customWidth="1"/>
    <col min="10252" max="10493" width="9" style="271"/>
    <col min="10494" max="10494" width="4.625" style="271" customWidth="1"/>
    <col min="10495" max="10496" width="14.625" style="271" customWidth="1"/>
    <col min="10497" max="10497" width="1.25" style="271" customWidth="1"/>
    <col min="10498" max="10498" width="14.625" style="271" customWidth="1"/>
    <col min="10499" max="10502" width="15.625" style="271" customWidth="1"/>
    <col min="10503" max="10503" width="14.625" style="271" customWidth="1"/>
    <col min="10504" max="10504" width="7.625" style="271" customWidth="1"/>
    <col min="10505" max="10506" width="16.375" style="271" customWidth="1"/>
    <col min="10507" max="10507" width="13.375" style="271" customWidth="1"/>
    <col min="10508" max="10749" width="9" style="271"/>
    <col min="10750" max="10750" width="4.625" style="271" customWidth="1"/>
    <col min="10751" max="10752" width="14.625" style="271" customWidth="1"/>
    <col min="10753" max="10753" width="1.25" style="271" customWidth="1"/>
    <col min="10754" max="10754" width="14.625" style="271" customWidth="1"/>
    <col min="10755" max="10758" width="15.625" style="271" customWidth="1"/>
    <col min="10759" max="10759" width="14.625" style="271" customWidth="1"/>
    <col min="10760" max="10760" width="7.625" style="271" customWidth="1"/>
    <col min="10761" max="10762" width="16.375" style="271" customWidth="1"/>
    <col min="10763" max="10763" width="13.375" style="271" customWidth="1"/>
    <col min="10764" max="11005" width="9" style="271"/>
    <col min="11006" max="11006" width="4.625" style="271" customWidth="1"/>
    <col min="11007" max="11008" width="14.625" style="271" customWidth="1"/>
    <col min="11009" max="11009" width="1.25" style="271" customWidth="1"/>
    <col min="11010" max="11010" width="14.625" style="271" customWidth="1"/>
    <col min="11011" max="11014" width="15.625" style="271" customWidth="1"/>
    <col min="11015" max="11015" width="14.625" style="271" customWidth="1"/>
    <col min="11016" max="11016" width="7.625" style="271" customWidth="1"/>
    <col min="11017" max="11018" width="16.375" style="271" customWidth="1"/>
    <col min="11019" max="11019" width="13.375" style="271" customWidth="1"/>
    <col min="11020" max="11261" width="9" style="271"/>
    <col min="11262" max="11262" width="4.625" style="271" customWidth="1"/>
    <col min="11263" max="11264" width="14.625" style="271" customWidth="1"/>
    <col min="11265" max="11265" width="1.25" style="271" customWidth="1"/>
    <col min="11266" max="11266" width="14.625" style="271" customWidth="1"/>
    <col min="11267" max="11270" width="15.625" style="271" customWidth="1"/>
    <col min="11271" max="11271" width="14.625" style="271" customWidth="1"/>
    <col min="11272" max="11272" width="7.625" style="271" customWidth="1"/>
    <col min="11273" max="11274" width="16.375" style="271" customWidth="1"/>
    <col min="11275" max="11275" width="13.375" style="271" customWidth="1"/>
    <col min="11276" max="11517" width="9" style="271"/>
    <col min="11518" max="11518" width="4.625" style="271" customWidth="1"/>
    <col min="11519" max="11520" width="14.625" style="271" customWidth="1"/>
    <col min="11521" max="11521" width="1.25" style="271" customWidth="1"/>
    <col min="11522" max="11522" width="14.625" style="271" customWidth="1"/>
    <col min="11523" max="11526" width="15.625" style="271" customWidth="1"/>
    <col min="11527" max="11527" width="14.625" style="271" customWidth="1"/>
    <col min="11528" max="11528" width="7.625" style="271" customWidth="1"/>
    <col min="11529" max="11530" width="16.375" style="271" customWidth="1"/>
    <col min="11531" max="11531" width="13.375" style="271" customWidth="1"/>
    <col min="11532" max="11773" width="9" style="271"/>
    <col min="11774" max="11774" width="4.625" style="271" customWidth="1"/>
    <col min="11775" max="11776" width="14.625" style="271" customWidth="1"/>
    <col min="11777" max="11777" width="1.25" style="271" customWidth="1"/>
    <col min="11778" max="11778" width="14.625" style="271" customWidth="1"/>
    <col min="11779" max="11782" width="15.625" style="271" customWidth="1"/>
    <col min="11783" max="11783" width="14.625" style="271" customWidth="1"/>
    <col min="11784" max="11784" width="7.625" style="271" customWidth="1"/>
    <col min="11785" max="11786" width="16.375" style="271" customWidth="1"/>
    <col min="11787" max="11787" width="13.375" style="271" customWidth="1"/>
    <col min="11788" max="12029" width="9" style="271"/>
    <col min="12030" max="12030" width="4.625" style="271" customWidth="1"/>
    <col min="12031" max="12032" width="14.625" style="271" customWidth="1"/>
    <col min="12033" max="12033" width="1.25" style="271" customWidth="1"/>
    <col min="12034" max="12034" width="14.625" style="271" customWidth="1"/>
    <col min="12035" max="12038" width="15.625" style="271" customWidth="1"/>
    <col min="12039" max="12039" width="14.625" style="271" customWidth="1"/>
    <col min="12040" max="12040" width="7.625" style="271" customWidth="1"/>
    <col min="12041" max="12042" width="16.375" style="271" customWidth="1"/>
    <col min="12043" max="12043" width="13.375" style="271" customWidth="1"/>
    <col min="12044" max="12285" width="9" style="271"/>
    <col min="12286" max="12286" width="4.625" style="271" customWidth="1"/>
    <col min="12287" max="12288" width="14.625" style="271" customWidth="1"/>
    <col min="12289" max="12289" width="1.25" style="271" customWidth="1"/>
    <col min="12290" max="12290" width="14.625" style="271" customWidth="1"/>
    <col min="12291" max="12294" width="15.625" style="271" customWidth="1"/>
    <col min="12295" max="12295" width="14.625" style="271" customWidth="1"/>
    <col min="12296" max="12296" width="7.625" style="271" customWidth="1"/>
    <col min="12297" max="12298" width="16.375" style="271" customWidth="1"/>
    <col min="12299" max="12299" width="13.375" style="271" customWidth="1"/>
    <col min="12300" max="12541" width="9" style="271"/>
    <col min="12542" max="12542" width="4.625" style="271" customWidth="1"/>
    <col min="12543" max="12544" width="14.625" style="271" customWidth="1"/>
    <col min="12545" max="12545" width="1.25" style="271" customWidth="1"/>
    <col min="12546" max="12546" width="14.625" style="271" customWidth="1"/>
    <col min="12547" max="12550" width="15.625" style="271" customWidth="1"/>
    <col min="12551" max="12551" width="14.625" style="271" customWidth="1"/>
    <col min="12552" max="12552" width="7.625" style="271" customWidth="1"/>
    <col min="12553" max="12554" width="16.375" style="271" customWidth="1"/>
    <col min="12555" max="12555" width="13.375" style="271" customWidth="1"/>
    <col min="12556" max="12797" width="9" style="271"/>
    <col min="12798" max="12798" width="4.625" style="271" customWidth="1"/>
    <col min="12799" max="12800" width="14.625" style="271" customWidth="1"/>
    <col min="12801" max="12801" width="1.25" style="271" customWidth="1"/>
    <col min="12802" max="12802" width="14.625" style="271" customWidth="1"/>
    <col min="12803" max="12806" width="15.625" style="271" customWidth="1"/>
    <col min="12807" max="12807" width="14.625" style="271" customWidth="1"/>
    <col min="12808" max="12808" width="7.625" style="271" customWidth="1"/>
    <col min="12809" max="12810" width="16.375" style="271" customWidth="1"/>
    <col min="12811" max="12811" width="13.375" style="271" customWidth="1"/>
    <col min="12812" max="13053" width="9" style="271"/>
    <col min="13054" max="13054" width="4.625" style="271" customWidth="1"/>
    <col min="13055" max="13056" width="14.625" style="271" customWidth="1"/>
    <col min="13057" max="13057" width="1.25" style="271" customWidth="1"/>
    <col min="13058" max="13058" width="14.625" style="271" customWidth="1"/>
    <col min="13059" max="13062" width="15.625" style="271" customWidth="1"/>
    <col min="13063" max="13063" width="14.625" style="271" customWidth="1"/>
    <col min="13064" max="13064" width="7.625" style="271" customWidth="1"/>
    <col min="13065" max="13066" width="16.375" style="271" customWidth="1"/>
    <col min="13067" max="13067" width="13.375" style="271" customWidth="1"/>
    <col min="13068" max="13309" width="9" style="271"/>
    <col min="13310" max="13310" width="4.625" style="271" customWidth="1"/>
    <col min="13311" max="13312" width="14.625" style="271" customWidth="1"/>
    <col min="13313" max="13313" width="1.25" style="271" customWidth="1"/>
    <col min="13314" max="13314" width="14.625" style="271" customWidth="1"/>
    <col min="13315" max="13318" width="15.625" style="271" customWidth="1"/>
    <col min="13319" max="13319" width="14.625" style="271" customWidth="1"/>
    <col min="13320" max="13320" width="7.625" style="271" customWidth="1"/>
    <col min="13321" max="13322" width="16.375" style="271" customWidth="1"/>
    <col min="13323" max="13323" width="13.375" style="271" customWidth="1"/>
    <col min="13324" max="13565" width="9" style="271"/>
    <col min="13566" max="13566" width="4.625" style="271" customWidth="1"/>
    <col min="13567" max="13568" width="14.625" style="271" customWidth="1"/>
    <col min="13569" max="13569" width="1.25" style="271" customWidth="1"/>
    <col min="13570" max="13570" width="14.625" style="271" customWidth="1"/>
    <col min="13571" max="13574" width="15.625" style="271" customWidth="1"/>
    <col min="13575" max="13575" width="14.625" style="271" customWidth="1"/>
    <col min="13576" max="13576" width="7.625" style="271" customWidth="1"/>
    <col min="13577" max="13578" width="16.375" style="271" customWidth="1"/>
    <col min="13579" max="13579" width="13.375" style="271" customWidth="1"/>
    <col min="13580" max="13821" width="9" style="271"/>
    <col min="13822" max="13822" width="4.625" style="271" customWidth="1"/>
    <col min="13823" max="13824" width="14.625" style="271" customWidth="1"/>
    <col min="13825" max="13825" width="1.25" style="271" customWidth="1"/>
    <col min="13826" max="13826" width="14.625" style="271" customWidth="1"/>
    <col min="13827" max="13830" width="15.625" style="271" customWidth="1"/>
    <col min="13831" max="13831" width="14.625" style="271" customWidth="1"/>
    <col min="13832" max="13832" width="7.625" style="271" customWidth="1"/>
    <col min="13833" max="13834" width="16.375" style="271" customWidth="1"/>
    <col min="13835" max="13835" width="13.375" style="271" customWidth="1"/>
    <col min="13836" max="14077" width="9" style="271"/>
    <col min="14078" max="14078" width="4.625" style="271" customWidth="1"/>
    <col min="14079" max="14080" width="14.625" style="271" customWidth="1"/>
    <col min="14081" max="14081" width="1.25" style="271" customWidth="1"/>
    <col min="14082" max="14082" width="14.625" style="271" customWidth="1"/>
    <col min="14083" max="14086" width="15.625" style="271" customWidth="1"/>
    <col min="14087" max="14087" width="14.625" style="271" customWidth="1"/>
    <col min="14088" max="14088" width="7.625" style="271" customWidth="1"/>
    <col min="14089" max="14090" width="16.375" style="271" customWidth="1"/>
    <col min="14091" max="14091" width="13.375" style="271" customWidth="1"/>
    <col min="14092" max="14333" width="9" style="271"/>
    <col min="14334" max="14334" width="4.625" style="271" customWidth="1"/>
    <col min="14335" max="14336" width="14.625" style="271" customWidth="1"/>
    <col min="14337" max="14337" width="1.25" style="271" customWidth="1"/>
    <col min="14338" max="14338" width="14.625" style="271" customWidth="1"/>
    <col min="14339" max="14342" width="15.625" style="271" customWidth="1"/>
    <col min="14343" max="14343" width="14.625" style="271" customWidth="1"/>
    <col min="14344" max="14344" width="7.625" style="271" customWidth="1"/>
    <col min="14345" max="14346" width="16.375" style="271" customWidth="1"/>
    <col min="14347" max="14347" width="13.375" style="271" customWidth="1"/>
    <col min="14348" max="14589" width="9" style="271"/>
    <col min="14590" max="14590" width="4.625" style="271" customWidth="1"/>
    <col min="14591" max="14592" width="14.625" style="271" customWidth="1"/>
    <col min="14593" max="14593" width="1.25" style="271" customWidth="1"/>
    <col min="14594" max="14594" width="14.625" style="271" customWidth="1"/>
    <col min="14595" max="14598" width="15.625" style="271" customWidth="1"/>
    <col min="14599" max="14599" width="14.625" style="271" customWidth="1"/>
    <col min="14600" max="14600" width="7.625" style="271" customWidth="1"/>
    <col min="14601" max="14602" width="16.375" style="271" customWidth="1"/>
    <col min="14603" max="14603" width="13.375" style="271" customWidth="1"/>
    <col min="14604" max="14845" width="9" style="271"/>
    <col min="14846" max="14846" width="4.625" style="271" customWidth="1"/>
    <col min="14847" max="14848" width="14.625" style="271" customWidth="1"/>
    <col min="14849" max="14849" width="1.25" style="271" customWidth="1"/>
    <col min="14850" max="14850" width="14.625" style="271" customWidth="1"/>
    <col min="14851" max="14854" width="15.625" style="271" customWidth="1"/>
    <col min="14855" max="14855" width="14.625" style="271" customWidth="1"/>
    <col min="14856" max="14856" width="7.625" style="271" customWidth="1"/>
    <col min="14857" max="14858" width="16.375" style="271" customWidth="1"/>
    <col min="14859" max="14859" width="13.375" style="271" customWidth="1"/>
    <col min="14860" max="15101" width="9" style="271"/>
    <col min="15102" max="15102" width="4.625" style="271" customWidth="1"/>
    <col min="15103" max="15104" width="14.625" style="271" customWidth="1"/>
    <col min="15105" max="15105" width="1.25" style="271" customWidth="1"/>
    <col min="15106" max="15106" width="14.625" style="271" customWidth="1"/>
    <col min="15107" max="15110" width="15.625" style="271" customWidth="1"/>
    <col min="15111" max="15111" width="14.625" style="271" customWidth="1"/>
    <col min="15112" max="15112" width="7.625" style="271" customWidth="1"/>
    <col min="15113" max="15114" width="16.375" style="271" customWidth="1"/>
    <col min="15115" max="15115" width="13.375" style="271" customWidth="1"/>
    <col min="15116" max="15357" width="9" style="271"/>
    <col min="15358" max="15358" width="4.625" style="271" customWidth="1"/>
    <col min="15359" max="15360" width="14.625" style="271" customWidth="1"/>
    <col min="15361" max="15361" width="1.25" style="271" customWidth="1"/>
    <col min="15362" max="15362" width="14.625" style="271" customWidth="1"/>
    <col min="15363" max="15366" width="15.625" style="271" customWidth="1"/>
    <col min="15367" max="15367" width="14.625" style="271" customWidth="1"/>
    <col min="15368" max="15368" width="7.625" style="271" customWidth="1"/>
    <col min="15369" max="15370" width="16.375" style="271" customWidth="1"/>
    <col min="15371" max="15371" width="13.375" style="271" customWidth="1"/>
    <col min="15372" max="15613" width="9" style="271"/>
    <col min="15614" max="15614" width="4.625" style="271" customWidth="1"/>
    <col min="15615" max="15616" width="14.625" style="271" customWidth="1"/>
    <col min="15617" max="15617" width="1.25" style="271" customWidth="1"/>
    <col min="15618" max="15618" width="14.625" style="271" customWidth="1"/>
    <col min="15619" max="15622" width="15.625" style="271" customWidth="1"/>
    <col min="15623" max="15623" width="14.625" style="271" customWidth="1"/>
    <col min="15624" max="15624" width="7.625" style="271" customWidth="1"/>
    <col min="15625" max="15626" width="16.375" style="271" customWidth="1"/>
    <col min="15627" max="15627" width="13.375" style="271" customWidth="1"/>
    <col min="15628" max="15869" width="9" style="271"/>
    <col min="15870" max="15870" width="4.625" style="271" customWidth="1"/>
    <col min="15871" max="15872" width="14.625" style="271" customWidth="1"/>
    <col min="15873" max="15873" width="1.25" style="271" customWidth="1"/>
    <col min="15874" max="15874" width="14.625" style="271" customWidth="1"/>
    <col min="15875" max="15878" width="15.625" style="271" customWidth="1"/>
    <col min="15879" max="15879" width="14.625" style="271" customWidth="1"/>
    <col min="15880" max="15880" width="7.625" style="271" customWidth="1"/>
    <col min="15881" max="15882" width="16.375" style="271" customWidth="1"/>
    <col min="15883" max="15883" width="13.375" style="271" customWidth="1"/>
    <col min="15884" max="16125" width="9" style="271"/>
    <col min="16126" max="16126" width="4.625" style="271" customWidth="1"/>
    <col min="16127" max="16128" width="14.625" style="271" customWidth="1"/>
    <col min="16129" max="16129" width="1.25" style="271" customWidth="1"/>
    <col min="16130" max="16130" width="14.625" style="271" customWidth="1"/>
    <col min="16131" max="16134" width="15.625" style="271" customWidth="1"/>
    <col min="16135" max="16135" width="14.625" style="271" customWidth="1"/>
    <col min="16136" max="16136" width="7.625" style="271" customWidth="1"/>
    <col min="16137" max="16138" width="16.375" style="271" customWidth="1"/>
    <col min="16139" max="16139" width="13.375" style="271" customWidth="1"/>
    <col min="16140" max="16384" width="9" style="271"/>
  </cols>
  <sheetData>
    <row r="1" spans="1:11" ht="15" customHeight="1">
      <c r="A1" s="781" t="s">
        <v>721</v>
      </c>
      <c r="B1" s="782"/>
      <c r="C1" s="783"/>
      <c r="D1" s="402"/>
      <c r="E1" s="781" t="s">
        <v>762</v>
      </c>
      <c r="F1" s="782"/>
      <c r="G1" s="783"/>
      <c r="H1" s="781" t="s">
        <v>761</v>
      </c>
      <c r="I1" s="782"/>
      <c r="J1" s="783"/>
    </row>
    <row r="2" spans="1:11" ht="15" customHeight="1">
      <c r="A2" s="402"/>
      <c r="B2" s="402"/>
      <c r="C2" s="402"/>
      <c r="D2" s="402"/>
      <c r="E2" s="415" t="s">
        <v>758</v>
      </c>
      <c r="F2" s="415" t="s">
        <v>759</v>
      </c>
      <c r="G2" s="415" t="s">
        <v>760</v>
      </c>
      <c r="H2" s="415" t="s">
        <v>760</v>
      </c>
      <c r="I2" s="415" t="s">
        <v>759</v>
      </c>
      <c r="J2" s="415" t="s">
        <v>758</v>
      </c>
    </row>
    <row r="3" spans="1:11" ht="15" customHeight="1">
      <c r="A3" s="402" t="s">
        <v>757</v>
      </c>
      <c r="B3" s="402"/>
      <c r="C3" s="402"/>
      <c r="D3" s="402"/>
      <c r="E3" s="400">
        <f t="shared" ref="E3:E43" si="0">F3-I3</f>
        <v>0</v>
      </c>
      <c r="F3" s="400">
        <f t="shared" ref="F3:F39" si="1">+I3</f>
        <v>1884549714</v>
      </c>
      <c r="G3" s="401" t="s">
        <v>748</v>
      </c>
      <c r="H3" s="401" t="s">
        <v>747</v>
      </c>
      <c r="I3" s="413">
        <f>+仮受仮払!F4</f>
        <v>1884549714</v>
      </c>
      <c r="J3" s="400">
        <f t="shared" ref="J3:J40" si="2">I3-F3</f>
        <v>0</v>
      </c>
      <c r="K3" s="399"/>
    </row>
    <row r="4" spans="1:11" ht="15" customHeight="1">
      <c r="A4" s="402" t="s">
        <v>756</v>
      </c>
      <c r="B4" s="402"/>
      <c r="C4" s="402"/>
      <c r="D4" s="402"/>
      <c r="E4" s="400">
        <f t="shared" si="0"/>
        <v>0</v>
      </c>
      <c r="F4" s="400">
        <f t="shared" si="1"/>
        <v>3608310</v>
      </c>
      <c r="G4" s="401" t="s">
        <v>746</v>
      </c>
      <c r="H4" s="401" t="s">
        <v>747</v>
      </c>
      <c r="I4" s="413">
        <f>+仮受仮払!F47</f>
        <v>3608310</v>
      </c>
      <c r="J4" s="400">
        <f t="shared" si="2"/>
        <v>0</v>
      </c>
      <c r="K4" s="399"/>
    </row>
    <row r="5" spans="1:11" ht="15" customHeight="1">
      <c r="A5" s="402" t="s">
        <v>755</v>
      </c>
      <c r="B5" s="402"/>
      <c r="C5" s="402"/>
      <c r="D5" s="402"/>
      <c r="E5" s="400">
        <f t="shared" si="0"/>
        <v>0</v>
      </c>
      <c r="F5" s="400">
        <f t="shared" si="1"/>
        <v>47155349</v>
      </c>
      <c r="G5" s="401" t="s">
        <v>745</v>
      </c>
      <c r="H5" s="401" t="s">
        <v>744</v>
      </c>
      <c r="I5" s="413">
        <f>+仮受仮払!F23</f>
        <v>47155349</v>
      </c>
      <c r="J5" s="400">
        <f t="shared" si="2"/>
        <v>0</v>
      </c>
      <c r="K5" s="399"/>
    </row>
    <row r="6" spans="1:11" ht="15" customHeight="1">
      <c r="A6" s="402"/>
      <c r="B6" s="402"/>
      <c r="C6" s="402"/>
      <c r="D6" s="402"/>
      <c r="E6" s="400">
        <f t="shared" si="0"/>
        <v>0</v>
      </c>
      <c r="F6" s="400">
        <f t="shared" si="1"/>
        <v>1130574</v>
      </c>
      <c r="G6" s="401" t="s">
        <v>745</v>
      </c>
      <c r="H6" s="401" t="s">
        <v>698</v>
      </c>
      <c r="I6" s="413">
        <f>+仮受仮払!F24</f>
        <v>1130574</v>
      </c>
      <c r="J6" s="400">
        <f t="shared" si="2"/>
        <v>0</v>
      </c>
      <c r="K6" s="399"/>
    </row>
    <row r="7" spans="1:11" ht="15" customHeight="1">
      <c r="A7" s="402"/>
      <c r="B7" s="402"/>
      <c r="C7" s="402"/>
      <c r="D7" s="402"/>
      <c r="E7" s="400">
        <f t="shared" si="0"/>
        <v>0</v>
      </c>
      <c r="F7" s="400">
        <f t="shared" si="1"/>
        <v>104382258</v>
      </c>
      <c r="G7" s="401" t="s">
        <v>745</v>
      </c>
      <c r="H7" s="401" t="s">
        <v>697</v>
      </c>
      <c r="I7" s="413">
        <f>+仮受仮払!F25</f>
        <v>104382258</v>
      </c>
      <c r="J7" s="400">
        <f t="shared" si="2"/>
        <v>0</v>
      </c>
      <c r="K7" s="399"/>
    </row>
    <row r="8" spans="1:11" ht="15" customHeight="1">
      <c r="A8" s="402"/>
      <c r="B8" s="402"/>
      <c r="C8" s="402"/>
      <c r="D8" s="402"/>
      <c r="E8" s="400">
        <f t="shared" si="0"/>
        <v>0</v>
      </c>
      <c r="F8" s="400">
        <f t="shared" si="1"/>
        <v>519893786</v>
      </c>
      <c r="G8" s="401" t="s">
        <v>745</v>
      </c>
      <c r="H8" s="401" t="s">
        <v>696</v>
      </c>
      <c r="I8" s="413">
        <f>+仮受仮払!F26</f>
        <v>519893786</v>
      </c>
      <c r="J8" s="400">
        <f t="shared" si="2"/>
        <v>0</v>
      </c>
      <c r="K8" s="399"/>
    </row>
    <row r="9" spans="1:11" ht="15" customHeight="1">
      <c r="A9" s="402"/>
      <c r="B9" s="402"/>
      <c r="C9" s="402"/>
      <c r="D9" s="402"/>
      <c r="E9" s="400">
        <f t="shared" si="0"/>
        <v>0</v>
      </c>
      <c r="F9" s="400">
        <f t="shared" si="1"/>
        <v>0</v>
      </c>
      <c r="G9" s="401" t="s">
        <v>745</v>
      </c>
      <c r="H9" s="401" t="s">
        <v>695</v>
      </c>
      <c r="I9" s="413">
        <f>+仮受仮払!F27</f>
        <v>0</v>
      </c>
      <c r="J9" s="400">
        <f t="shared" si="2"/>
        <v>0</v>
      </c>
      <c r="K9" s="399"/>
    </row>
    <row r="10" spans="1:11" ht="15" customHeight="1">
      <c r="A10" s="402"/>
      <c r="B10" s="402"/>
      <c r="C10" s="402"/>
      <c r="D10" s="402"/>
      <c r="E10" s="400">
        <f t="shared" si="0"/>
        <v>0</v>
      </c>
      <c r="F10" s="400">
        <f t="shared" si="1"/>
        <v>1715497</v>
      </c>
      <c r="G10" s="401" t="s">
        <v>745</v>
      </c>
      <c r="H10" s="401" t="s">
        <v>694</v>
      </c>
      <c r="I10" s="413">
        <f>+仮受仮払!F28</f>
        <v>1715497</v>
      </c>
      <c r="J10" s="400">
        <f t="shared" si="2"/>
        <v>0</v>
      </c>
      <c r="K10" s="399"/>
    </row>
    <row r="11" spans="1:11" ht="15" customHeight="1">
      <c r="A11" s="402"/>
      <c r="B11" s="402"/>
      <c r="C11" s="402"/>
      <c r="D11" s="402"/>
      <c r="E11" s="400">
        <f t="shared" si="0"/>
        <v>0</v>
      </c>
      <c r="F11" s="400">
        <f t="shared" si="1"/>
        <v>87589</v>
      </c>
      <c r="G11" s="401" t="s">
        <v>745</v>
      </c>
      <c r="H11" s="406" t="s">
        <v>647</v>
      </c>
      <c r="I11" s="413">
        <f>+仮受仮払!F29</f>
        <v>87589</v>
      </c>
      <c r="J11" s="400">
        <f t="shared" si="2"/>
        <v>0</v>
      </c>
      <c r="K11" s="399"/>
    </row>
    <row r="12" spans="1:11" ht="15" customHeight="1">
      <c r="A12" s="402"/>
      <c r="B12" s="402"/>
      <c r="C12" s="402"/>
      <c r="D12" s="402"/>
      <c r="E12" s="400">
        <f t="shared" si="0"/>
        <v>0</v>
      </c>
      <c r="F12" s="400">
        <f t="shared" si="1"/>
        <v>90253429</v>
      </c>
      <c r="G12" s="401" t="s">
        <v>745</v>
      </c>
      <c r="H12" s="401" t="s">
        <v>693</v>
      </c>
      <c r="I12" s="413">
        <f>+仮受仮払!F30</f>
        <v>90253429</v>
      </c>
      <c r="J12" s="400">
        <f t="shared" si="2"/>
        <v>0</v>
      </c>
      <c r="K12" s="399"/>
    </row>
    <row r="13" spans="1:11" ht="15" customHeight="1">
      <c r="A13" s="402"/>
      <c r="B13" s="402"/>
      <c r="C13" s="402"/>
      <c r="D13" s="402"/>
      <c r="E13" s="400">
        <f t="shared" si="0"/>
        <v>0</v>
      </c>
      <c r="F13" s="400">
        <f t="shared" si="1"/>
        <v>17678805</v>
      </c>
      <c r="G13" s="401" t="s">
        <v>745</v>
      </c>
      <c r="H13" s="401" t="s">
        <v>692</v>
      </c>
      <c r="I13" s="413">
        <f>+仮受仮払!F31</f>
        <v>17678805</v>
      </c>
      <c r="J13" s="400">
        <f t="shared" si="2"/>
        <v>0</v>
      </c>
      <c r="K13" s="399"/>
    </row>
    <row r="14" spans="1:11" ht="15" customHeight="1">
      <c r="A14" s="402"/>
      <c r="B14" s="402"/>
      <c r="C14" s="402"/>
      <c r="D14" s="402"/>
      <c r="E14" s="400">
        <f t="shared" si="0"/>
        <v>0</v>
      </c>
      <c r="F14" s="400">
        <f t="shared" si="1"/>
        <v>9713984</v>
      </c>
      <c r="G14" s="401" t="s">
        <v>745</v>
      </c>
      <c r="H14" s="406" t="s">
        <v>743</v>
      </c>
      <c r="I14" s="413">
        <f>+仮受仮払!F32</f>
        <v>9713984</v>
      </c>
      <c r="J14" s="400">
        <f t="shared" si="2"/>
        <v>0</v>
      </c>
      <c r="K14" s="399"/>
    </row>
    <row r="15" spans="1:11" ht="15" customHeight="1">
      <c r="A15" s="402"/>
      <c r="B15" s="402"/>
      <c r="C15" s="402"/>
      <c r="D15" s="402"/>
      <c r="E15" s="400">
        <f t="shared" si="0"/>
        <v>0</v>
      </c>
      <c r="F15" s="400">
        <f t="shared" si="1"/>
        <v>22486229</v>
      </c>
      <c r="G15" s="401" t="s">
        <v>745</v>
      </c>
      <c r="H15" s="401" t="s">
        <v>742</v>
      </c>
      <c r="I15" s="413">
        <f>+仮受仮払!F33</f>
        <v>22486229</v>
      </c>
      <c r="J15" s="400">
        <f t="shared" si="2"/>
        <v>0</v>
      </c>
      <c r="K15" s="399"/>
    </row>
    <row r="16" spans="1:11" ht="15" customHeight="1">
      <c r="A16" s="402"/>
      <c r="B16" s="402"/>
      <c r="C16" s="402"/>
      <c r="D16" s="402"/>
      <c r="E16" s="400">
        <f t="shared" si="0"/>
        <v>0</v>
      </c>
      <c r="F16" s="400">
        <f t="shared" si="1"/>
        <v>6447001</v>
      </c>
      <c r="G16" s="401" t="s">
        <v>745</v>
      </c>
      <c r="H16" s="401" t="s">
        <v>689</v>
      </c>
      <c r="I16" s="413">
        <f>+仮受仮払!F34</f>
        <v>6447001</v>
      </c>
      <c r="J16" s="400">
        <f t="shared" si="2"/>
        <v>0</v>
      </c>
      <c r="K16" s="399"/>
    </row>
    <row r="17" spans="1:11" ht="15" customHeight="1">
      <c r="A17" s="402"/>
      <c r="B17" s="402"/>
      <c r="C17" s="402"/>
      <c r="D17" s="402"/>
      <c r="E17" s="400">
        <f t="shared" si="0"/>
        <v>0</v>
      </c>
      <c r="F17" s="400">
        <f t="shared" si="1"/>
        <v>0</v>
      </c>
      <c r="G17" s="401" t="s">
        <v>745</v>
      </c>
      <c r="H17" s="401" t="s">
        <v>688</v>
      </c>
      <c r="I17" s="413">
        <f>+仮受仮払!F35</f>
        <v>0</v>
      </c>
      <c r="J17" s="400">
        <f t="shared" si="2"/>
        <v>0</v>
      </c>
      <c r="K17" s="399"/>
    </row>
    <row r="18" spans="1:11" ht="15" customHeight="1">
      <c r="A18" s="402"/>
      <c r="B18" s="402"/>
      <c r="C18" s="402"/>
      <c r="D18" s="402"/>
      <c r="E18" s="400">
        <f t="shared" si="0"/>
        <v>0</v>
      </c>
      <c r="F18" s="400">
        <f t="shared" si="1"/>
        <v>0</v>
      </c>
      <c r="G18" s="401" t="s">
        <v>745</v>
      </c>
      <c r="H18" s="401" t="s">
        <v>741</v>
      </c>
      <c r="I18" s="413">
        <f>+仮受仮払!F37</f>
        <v>0</v>
      </c>
      <c r="J18" s="400">
        <f t="shared" si="2"/>
        <v>0</v>
      </c>
      <c r="K18" s="399"/>
    </row>
    <row r="19" spans="1:11" ht="15" customHeight="1">
      <c r="A19" s="402"/>
      <c r="B19" s="402"/>
      <c r="C19" s="402"/>
      <c r="D19" s="402"/>
      <c r="E19" s="400">
        <f t="shared" si="0"/>
        <v>0</v>
      </c>
      <c r="F19" s="400">
        <f t="shared" si="1"/>
        <v>6109254</v>
      </c>
      <c r="G19" s="401" t="s">
        <v>745</v>
      </c>
      <c r="H19" s="407" t="s">
        <v>740</v>
      </c>
      <c r="I19" s="413">
        <f>+仮受仮払!F38</f>
        <v>6109254</v>
      </c>
      <c r="J19" s="400">
        <f t="shared" si="2"/>
        <v>0</v>
      </c>
      <c r="K19" s="399"/>
    </row>
    <row r="20" spans="1:11" ht="15" customHeight="1">
      <c r="A20" s="402"/>
      <c r="B20" s="402"/>
      <c r="C20" s="402"/>
      <c r="D20" s="402"/>
      <c r="E20" s="400">
        <f t="shared" si="0"/>
        <v>0</v>
      </c>
      <c r="F20" s="400">
        <f t="shared" si="1"/>
        <v>968444</v>
      </c>
      <c r="G20" s="401" t="s">
        <v>745</v>
      </c>
      <c r="H20" s="406" t="s">
        <v>679</v>
      </c>
      <c r="I20" s="413">
        <f>+仮受仮払!F44</f>
        <v>968444</v>
      </c>
      <c r="J20" s="400">
        <f t="shared" si="2"/>
        <v>0</v>
      </c>
      <c r="K20" s="399"/>
    </row>
    <row r="21" spans="1:11" ht="15" customHeight="1">
      <c r="A21" s="402"/>
      <c r="B21" s="402"/>
      <c r="C21" s="402"/>
      <c r="D21" s="402"/>
      <c r="E21" s="400">
        <f t="shared" si="0"/>
        <v>0</v>
      </c>
      <c r="F21" s="400">
        <f t="shared" si="1"/>
        <v>0</v>
      </c>
      <c r="G21" s="401" t="s">
        <v>745</v>
      </c>
      <c r="H21" s="406" t="s">
        <v>739</v>
      </c>
      <c r="I21" s="413">
        <f>+仮受仮払!F45</f>
        <v>0</v>
      </c>
      <c r="J21" s="400">
        <f t="shared" si="2"/>
        <v>0</v>
      </c>
      <c r="K21" s="399"/>
    </row>
    <row r="22" spans="1:11" ht="15" customHeight="1">
      <c r="A22" s="402" t="s">
        <v>754</v>
      </c>
      <c r="B22" s="402"/>
      <c r="C22" s="402"/>
      <c r="D22" s="402"/>
      <c r="E22" s="400">
        <f t="shared" si="0"/>
        <v>0</v>
      </c>
      <c r="F22" s="400">
        <f t="shared" si="1"/>
        <v>1356109400</v>
      </c>
      <c r="G22" s="401" t="s">
        <v>745</v>
      </c>
      <c r="H22" s="406" t="s">
        <v>657</v>
      </c>
      <c r="I22" s="413">
        <f>+仮受仮払!F69</f>
        <v>1356109400</v>
      </c>
      <c r="J22" s="400">
        <f t="shared" si="2"/>
        <v>0</v>
      </c>
      <c r="K22" s="399"/>
    </row>
    <row r="23" spans="1:11" ht="15" customHeight="1">
      <c r="A23" s="402"/>
      <c r="B23" s="402"/>
      <c r="C23" s="402"/>
      <c r="D23" s="402"/>
      <c r="E23" s="400">
        <f t="shared" si="0"/>
        <v>0</v>
      </c>
      <c r="F23" s="400">
        <f t="shared" si="1"/>
        <v>543071</v>
      </c>
      <c r="G23" s="401" t="s">
        <v>745</v>
      </c>
      <c r="H23" s="406" t="s">
        <v>738</v>
      </c>
      <c r="I23" s="413">
        <f>+仮受仮払!F70</f>
        <v>543071</v>
      </c>
      <c r="J23" s="400">
        <f t="shared" si="2"/>
        <v>0</v>
      </c>
      <c r="K23" s="399"/>
    </row>
    <row r="24" spans="1:11" ht="15" customHeight="1">
      <c r="A24" s="402"/>
      <c r="B24" s="402"/>
      <c r="C24" s="402"/>
      <c r="D24" s="402"/>
      <c r="E24" s="400">
        <f t="shared" si="0"/>
        <v>0</v>
      </c>
      <c r="F24" s="400">
        <f t="shared" si="1"/>
        <v>47147259</v>
      </c>
      <c r="G24" s="401" t="s">
        <v>745</v>
      </c>
      <c r="H24" s="406" t="s">
        <v>655</v>
      </c>
      <c r="I24" s="413">
        <f>+仮受仮払!F71</f>
        <v>47147259</v>
      </c>
      <c r="J24" s="400">
        <f t="shared" si="2"/>
        <v>0</v>
      </c>
      <c r="K24" s="399"/>
    </row>
    <row r="25" spans="1:11" ht="15" customHeight="1">
      <c r="A25" s="402"/>
      <c r="B25" s="402"/>
      <c r="C25" s="402"/>
      <c r="D25" s="402"/>
      <c r="E25" s="400">
        <f t="shared" si="0"/>
        <v>0</v>
      </c>
      <c r="F25" s="400">
        <f t="shared" si="1"/>
        <v>0</v>
      </c>
      <c r="G25" s="401" t="s">
        <v>745</v>
      </c>
      <c r="H25" s="406" t="s">
        <v>737</v>
      </c>
      <c r="I25" s="413">
        <f>+仮受仮払!F72</f>
        <v>0</v>
      </c>
      <c r="J25" s="400">
        <f t="shared" si="2"/>
        <v>0</v>
      </c>
      <c r="K25" s="399"/>
    </row>
    <row r="26" spans="1:11" ht="15" customHeight="1">
      <c r="A26" s="402"/>
      <c r="B26" s="402"/>
      <c r="C26" s="402"/>
      <c r="D26" s="402"/>
      <c r="E26" s="400">
        <f t="shared" si="0"/>
        <v>0</v>
      </c>
      <c r="F26" s="400">
        <f t="shared" si="1"/>
        <v>11020779</v>
      </c>
      <c r="G26" s="401" t="s">
        <v>745</v>
      </c>
      <c r="H26" s="406" t="s">
        <v>653</v>
      </c>
      <c r="I26" s="413">
        <f>+仮受仮払!F73</f>
        <v>11020779</v>
      </c>
      <c r="J26" s="400">
        <f t="shared" si="2"/>
        <v>0</v>
      </c>
      <c r="K26" s="399"/>
    </row>
    <row r="27" spans="1:11" ht="15" customHeight="1">
      <c r="A27" s="402"/>
      <c r="B27" s="402"/>
      <c r="C27" s="402"/>
      <c r="D27" s="402"/>
      <c r="E27" s="400">
        <f t="shared" si="0"/>
        <v>0</v>
      </c>
      <c r="F27" s="400">
        <f t="shared" si="1"/>
        <v>5379819</v>
      </c>
      <c r="G27" s="401" t="s">
        <v>745</v>
      </c>
      <c r="H27" s="406" t="s">
        <v>652</v>
      </c>
      <c r="I27" s="413">
        <f>+仮受仮払!F74</f>
        <v>5379819</v>
      </c>
      <c r="J27" s="400">
        <f t="shared" si="2"/>
        <v>0</v>
      </c>
      <c r="K27" s="399"/>
    </row>
    <row r="28" spans="1:11" ht="15" customHeight="1">
      <c r="A28" s="402"/>
      <c r="B28" s="402"/>
      <c r="C28" s="402"/>
      <c r="D28" s="402"/>
      <c r="E28" s="400">
        <f t="shared" si="0"/>
        <v>0</v>
      </c>
      <c r="F28" s="400">
        <f t="shared" si="1"/>
        <v>59696859</v>
      </c>
      <c r="G28" s="401" t="s">
        <v>745</v>
      </c>
      <c r="H28" s="404" t="s">
        <v>650</v>
      </c>
      <c r="I28" s="413">
        <f>+仮受仮払!F76</f>
        <v>59696859</v>
      </c>
      <c r="J28" s="400">
        <f t="shared" si="2"/>
        <v>0</v>
      </c>
      <c r="K28" s="399"/>
    </row>
    <row r="29" spans="1:11" ht="15" customHeight="1">
      <c r="A29" s="402" t="s">
        <v>753</v>
      </c>
      <c r="B29" s="402"/>
      <c r="C29" s="402"/>
      <c r="D29" s="402"/>
      <c r="E29" s="400">
        <f t="shared" si="0"/>
        <v>0</v>
      </c>
      <c r="F29" s="400">
        <f t="shared" si="1"/>
        <v>1886277459</v>
      </c>
      <c r="G29" s="401" t="s">
        <v>747</v>
      </c>
      <c r="H29" s="401" t="s">
        <v>745</v>
      </c>
      <c r="I29" s="413">
        <f>F3+F4-F38</f>
        <v>1886277459</v>
      </c>
      <c r="J29" s="400">
        <f t="shared" si="2"/>
        <v>0</v>
      </c>
      <c r="K29" s="399"/>
    </row>
    <row r="30" spans="1:11" ht="15" customHeight="1">
      <c r="A30" s="402"/>
      <c r="B30" s="402"/>
      <c r="C30" s="402"/>
      <c r="D30" s="402"/>
      <c r="E30" s="400">
        <f t="shared" si="0"/>
        <v>0</v>
      </c>
      <c r="F30" s="405">
        <f t="shared" si="1"/>
        <v>-343538729</v>
      </c>
      <c r="G30" s="401" t="s">
        <v>707</v>
      </c>
      <c r="H30" s="401" t="s">
        <v>745</v>
      </c>
      <c r="I30" s="414">
        <f>精算表!C14</f>
        <v>-343538729</v>
      </c>
      <c r="J30" s="400">
        <f t="shared" si="2"/>
        <v>0</v>
      </c>
      <c r="K30" s="399"/>
    </row>
    <row r="31" spans="1:11" ht="15" customHeight="1">
      <c r="A31" s="409" t="s">
        <v>752</v>
      </c>
      <c r="B31" s="402"/>
      <c r="C31" s="402"/>
      <c r="D31" s="402"/>
      <c r="E31" s="400">
        <f t="shared" si="0"/>
        <v>0</v>
      </c>
      <c r="F31" s="400">
        <f t="shared" si="1"/>
        <v>552693179</v>
      </c>
      <c r="G31" s="404" t="s">
        <v>736</v>
      </c>
      <c r="H31" s="401" t="s">
        <v>745</v>
      </c>
      <c r="I31" s="413">
        <f>+仮受仮払!F92</f>
        <v>552693179</v>
      </c>
      <c r="J31" s="400">
        <f t="shared" si="2"/>
        <v>0</v>
      </c>
      <c r="K31" s="399"/>
    </row>
    <row r="32" spans="1:11" ht="15" customHeight="1">
      <c r="A32" s="409" t="s">
        <v>751</v>
      </c>
      <c r="B32" s="402"/>
      <c r="C32" s="402"/>
      <c r="D32" s="402"/>
      <c r="E32" s="400">
        <f t="shared" si="0"/>
        <v>0</v>
      </c>
      <c r="F32" s="400">
        <f t="shared" si="1"/>
        <v>522413737</v>
      </c>
      <c r="G32" s="401" t="s">
        <v>634</v>
      </c>
      <c r="H32" s="404" t="s">
        <v>736</v>
      </c>
      <c r="I32" s="413">
        <f>+仮受仮払!F93</f>
        <v>522413737</v>
      </c>
      <c r="J32" s="400">
        <f t="shared" si="2"/>
        <v>0</v>
      </c>
      <c r="K32" s="399"/>
    </row>
    <row r="33" spans="1:11" ht="15" customHeight="1">
      <c r="A33" s="409"/>
      <c r="B33" s="402"/>
      <c r="C33" s="402"/>
      <c r="D33" s="402"/>
      <c r="E33" s="400">
        <f t="shared" si="0"/>
        <v>0</v>
      </c>
      <c r="F33" s="400">
        <f t="shared" si="1"/>
        <v>0</v>
      </c>
      <c r="G33" s="401" t="s">
        <v>633</v>
      </c>
      <c r="H33" s="404" t="s">
        <v>736</v>
      </c>
      <c r="I33" s="413">
        <f>+仮受仮払!F94</f>
        <v>0</v>
      </c>
      <c r="J33" s="400">
        <f t="shared" si="2"/>
        <v>0</v>
      </c>
      <c r="K33" s="399"/>
    </row>
    <row r="34" spans="1:11" ht="15" customHeight="1">
      <c r="A34" s="409"/>
      <c r="B34" s="402"/>
      <c r="C34" s="402"/>
      <c r="D34" s="402"/>
      <c r="E34" s="400">
        <f t="shared" si="0"/>
        <v>0</v>
      </c>
      <c r="F34" s="400">
        <f t="shared" si="1"/>
        <v>0</v>
      </c>
      <c r="G34" s="403" t="s">
        <v>735</v>
      </c>
      <c r="H34" s="404" t="s">
        <v>736</v>
      </c>
      <c r="I34" s="400"/>
      <c r="J34" s="400">
        <f t="shared" si="2"/>
        <v>0</v>
      </c>
      <c r="K34" s="399"/>
    </row>
    <row r="35" spans="1:11" ht="15" customHeight="1">
      <c r="A35" s="402"/>
      <c r="B35" s="402"/>
      <c r="C35" s="402"/>
      <c r="D35" s="402"/>
      <c r="E35" s="400">
        <f t="shared" si="0"/>
        <v>0</v>
      </c>
      <c r="F35" s="400">
        <f t="shared" si="1"/>
        <v>779531</v>
      </c>
      <c r="G35" s="401" t="s">
        <v>632</v>
      </c>
      <c r="H35" s="404" t="s">
        <v>736</v>
      </c>
      <c r="I35" s="408">
        <f>+仮受仮払!F95</f>
        <v>779531</v>
      </c>
      <c r="J35" s="400">
        <f t="shared" si="2"/>
        <v>0</v>
      </c>
      <c r="K35" s="399"/>
    </row>
    <row r="36" spans="1:11" ht="15" customHeight="1">
      <c r="A36" s="402"/>
      <c r="B36" s="402"/>
      <c r="C36" s="402"/>
      <c r="D36" s="402"/>
      <c r="E36" s="400">
        <f t="shared" si="0"/>
        <v>0</v>
      </c>
      <c r="F36" s="400">
        <f t="shared" si="1"/>
        <v>3138956</v>
      </c>
      <c r="G36" s="401" t="s">
        <v>631</v>
      </c>
      <c r="H36" s="404" t="s">
        <v>736</v>
      </c>
      <c r="I36" s="408">
        <f>+仮受仮払!F96</f>
        <v>3138956</v>
      </c>
      <c r="J36" s="400">
        <f t="shared" si="2"/>
        <v>0</v>
      </c>
      <c r="K36" s="399"/>
    </row>
    <row r="37" spans="1:11" ht="15" customHeight="1">
      <c r="A37" s="402"/>
      <c r="B37" s="402"/>
      <c r="C37" s="402"/>
      <c r="D37" s="402"/>
      <c r="E37" s="400">
        <f t="shared" si="0"/>
        <v>0</v>
      </c>
      <c r="F37" s="400">
        <f t="shared" si="1"/>
        <v>26360955</v>
      </c>
      <c r="G37" s="401" t="s">
        <v>630</v>
      </c>
      <c r="H37" s="404" t="s">
        <v>736</v>
      </c>
      <c r="I37" s="408">
        <f>+仮受仮払!F97</f>
        <v>26360955</v>
      </c>
      <c r="J37" s="400">
        <f t="shared" si="2"/>
        <v>0</v>
      </c>
      <c r="K37" s="399"/>
    </row>
    <row r="38" spans="1:11" ht="15" customHeight="1">
      <c r="A38" s="412" t="s">
        <v>750</v>
      </c>
      <c r="B38" s="411"/>
      <c r="C38" s="411"/>
      <c r="D38" s="402"/>
      <c r="E38" s="400">
        <f t="shared" si="0"/>
        <v>0</v>
      </c>
      <c r="F38" s="400">
        <f t="shared" si="1"/>
        <v>1880565</v>
      </c>
      <c r="G38" s="410" t="s">
        <v>747</v>
      </c>
      <c r="H38" s="410" t="s">
        <v>734</v>
      </c>
      <c r="I38" s="408">
        <f>+-仮受仮払!F91</f>
        <v>1880565</v>
      </c>
      <c r="J38" s="400">
        <f t="shared" si="2"/>
        <v>0</v>
      </c>
      <c r="K38" s="399"/>
    </row>
    <row r="39" spans="1:11" ht="15" customHeight="1">
      <c r="A39" s="409" t="s">
        <v>749</v>
      </c>
      <c r="B39" s="402"/>
      <c r="C39" s="402"/>
      <c r="D39" s="402"/>
      <c r="E39" s="400">
        <f t="shared" si="0"/>
        <v>0</v>
      </c>
      <c r="F39" s="400">
        <f t="shared" si="1"/>
        <v>212487477</v>
      </c>
      <c r="G39" s="401" t="s">
        <v>681</v>
      </c>
      <c r="H39" s="401" t="s">
        <v>745</v>
      </c>
      <c r="I39" s="408">
        <f>+SUM(仮受仮払!F87:F90)</f>
        <v>212487477</v>
      </c>
      <c r="J39" s="400">
        <f t="shared" si="2"/>
        <v>0</v>
      </c>
      <c r="K39" s="399"/>
    </row>
    <row r="40" spans="1:11" ht="15" customHeight="1">
      <c r="A40" s="402"/>
      <c r="B40" s="402"/>
      <c r="C40" s="402"/>
      <c r="D40" s="402"/>
      <c r="E40" s="400">
        <f t="shared" si="0"/>
        <v>0</v>
      </c>
      <c r="F40" s="400">
        <f>SUM(F3:F39)</f>
        <v>7058570540</v>
      </c>
      <c r="G40" s="401" t="s">
        <v>733</v>
      </c>
      <c r="H40" s="401" t="s">
        <v>733</v>
      </c>
      <c r="I40" s="400">
        <f>SUM(I3:I39)</f>
        <v>7058570540</v>
      </c>
      <c r="J40" s="400">
        <f t="shared" si="2"/>
        <v>0</v>
      </c>
      <c r="K40" s="399"/>
    </row>
    <row r="41" spans="1:11" ht="15" customHeight="1">
      <c r="A41" s="402"/>
      <c r="B41" s="402"/>
      <c r="C41" s="402"/>
      <c r="D41" s="402"/>
      <c r="E41" s="400">
        <f t="shared" si="0"/>
        <v>1884549714</v>
      </c>
      <c r="F41" s="400">
        <f t="shared" ref="F41:F78" si="3">SUMIF($G$3:$G$39,G41,$F$3:$F$39)</f>
        <v>1884549714</v>
      </c>
      <c r="G41" s="401" t="s">
        <v>748</v>
      </c>
      <c r="H41" s="401" t="s">
        <v>748</v>
      </c>
      <c r="I41" s="400">
        <f t="shared" ref="I41:I78" si="4">SUMIF($H$3:$H$39,H41,$I$3:$I$39)</f>
        <v>0</v>
      </c>
      <c r="J41" s="400"/>
      <c r="K41" s="399"/>
    </row>
    <row r="42" spans="1:11" ht="15" customHeight="1">
      <c r="A42" s="402"/>
      <c r="B42" s="402"/>
      <c r="C42" s="402"/>
      <c r="D42" s="402"/>
      <c r="E42" s="400">
        <f t="shared" si="0"/>
        <v>0</v>
      </c>
      <c r="F42" s="400">
        <f t="shared" si="3"/>
        <v>1888158024</v>
      </c>
      <c r="G42" s="401" t="s">
        <v>747</v>
      </c>
      <c r="H42" s="401" t="s">
        <v>747</v>
      </c>
      <c r="I42" s="400">
        <f t="shared" si="4"/>
        <v>1888158024</v>
      </c>
      <c r="J42" s="400">
        <f>I42-F42</f>
        <v>0</v>
      </c>
      <c r="K42" s="399"/>
    </row>
    <row r="43" spans="1:11" ht="15" customHeight="1">
      <c r="A43" s="402"/>
      <c r="B43" s="402"/>
      <c r="C43" s="402"/>
      <c r="D43" s="402"/>
      <c r="E43" s="400">
        <f t="shared" si="0"/>
        <v>3608310</v>
      </c>
      <c r="F43" s="400">
        <f t="shared" si="3"/>
        <v>3608310</v>
      </c>
      <c r="G43" s="401" t="s">
        <v>746</v>
      </c>
      <c r="H43" s="401" t="s">
        <v>746</v>
      </c>
      <c r="I43" s="400">
        <f t="shared" si="4"/>
        <v>0</v>
      </c>
      <c r="J43" s="400"/>
      <c r="K43" s="399"/>
    </row>
    <row r="44" spans="1:11" ht="15" customHeight="1">
      <c r="A44" s="402"/>
      <c r="B44" s="402"/>
      <c r="C44" s="402"/>
      <c r="D44" s="402"/>
      <c r="E44" s="400"/>
      <c r="F44" s="400">
        <f t="shared" si="3"/>
        <v>2307919386</v>
      </c>
      <c r="G44" s="401" t="s">
        <v>745</v>
      </c>
      <c r="H44" s="401" t="s">
        <v>745</v>
      </c>
      <c r="I44" s="400">
        <f t="shared" si="4"/>
        <v>2307919386</v>
      </c>
      <c r="J44" s="400">
        <f t="shared" ref="J44:J68" si="5">I44-F44</f>
        <v>0</v>
      </c>
      <c r="K44" s="399"/>
    </row>
    <row r="45" spans="1:11" ht="15" customHeight="1">
      <c r="A45" s="402"/>
      <c r="B45" s="402"/>
      <c r="C45" s="402"/>
      <c r="D45" s="402"/>
      <c r="E45" s="400"/>
      <c r="F45" s="400">
        <f t="shared" si="3"/>
        <v>0</v>
      </c>
      <c r="G45" s="401" t="s">
        <v>744</v>
      </c>
      <c r="H45" s="401" t="s">
        <v>744</v>
      </c>
      <c r="I45" s="400">
        <f t="shared" si="4"/>
        <v>47155349</v>
      </c>
      <c r="J45" s="400">
        <f t="shared" si="5"/>
        <v>47155349</v>
      </c>
      <c r="K45" s="399"/>
    </row>
    <row r="46" spans="1:11" ht="15" customHeight="1">
      <c r="A46" s="402"/>
      <c r="B46" s="402"/>
      <c r="C46" s="402"/>
      <c r="D46" s="402"/>
      <c r="E46" s="400"/>
      <c r="F46" s="400">
        <f t="shared" si="3"/>
        <v>0</v>
      </c>
      <c r="G46" s="401" t="s">
        <v>698</v>
      </c>
      <c r="H46" s="401" t="s">
        <v>698</v>
      </c>
      <c r="I46" s="400">
        <f t="shared" si="4"/>
        <v>1130574</v>
      </c>
      <c r="J46" s="400">
        <f t="shared" si="5"/>
        <v>1130574</v>
      </c>
      <c r="K46" s="399"/>
    </row>
    <row r="47" spans="1:11" ht="15" customHeight="1">
      <c r="A47" s="402"/>
      <c r="B47" s="402"/>
      <c r="C47" s="402"/>
      <c r="D47" s="402"/>
      <c r="E47" s="400"/>
      <c r="F47" s="400">
        <f t="shared" si="3"/>
        <v>0</v>
      </c>
      <c r="G47" s="401" t="s">
        <v>697</v>
      </c>
      <c r="H47" s="401" t="s">
        <v>697</v>
      </c>
      <c r="I47" s="400">
        <f t="shared" si="4"/>
        <v>104382258</v>
      </c>
      <c r="J47" s="400">
        <f t="shared" si="5"/>
        <v>104382258</v>
      </c>
      <c r="K47" s="399"/>
    </row>
    <row r="48" spans="1:11" ht="15" customHeight="1">
      <c r="A48" s="402"/>
      <c r="B48" s="402"/>
      <c r="C48" s="402"/>
      <c r="D48" s="402"/>
      <c r="E48" s="400"/>
      <c r="F48" s="400">
        <f t="shared" si="3"/>
        <v>0</v>
      </c>
      <c r="G48" s="401" t="s">
        <v>696</v>
      </c>
      <c r="H48" s="401" t="s">
        <v>696</v>
      </c>
      <c r="I48" s="400">
        <f t="shared" si="4"/>
        <v>519893786</v>
      </c>
      <c r="J48" s="400">
        <f t="shared" si="5"/>
        <v>519893786</v>
      </c>
      <c r="K48" s="399"/>
    </row>
    <row r="49" spans="1:11" ht="15" customHeight="1">
      <c r="A49" s="402"/>
      <c r="B49" s="402"/>
      <c r="C49" s="402"/>
      <c r="D49" s="402"/>
      <c r="E49" s="400"/>
      <c r="F49" s="400">
        <f t="shared" si="3"/>
        <v>0</v>
      </c>
      <c r="G49" s="401" t="s">
        <v>695</v>
      </c>
      <c r="H49" s="401" t="s">
        <v>695</v>
      </c>
      <c r="I49" s="400">
        <f t="shared" si="4"/>
        <v>0</v>
      </c>
      <c r="J49" s="400">
        <f t="shared" si="5"/>
        <v>0</v>
      </c>
      <c r="K49" s="399"/>
    </row>
    <row r="50" spans="1:11" ht="15" customHeight="1">
      <c r="A50" s="402"/>
      <c r="B50" s="402"/>
      <c r="C50" s="402"/>
      <c r="D50" s="402"/>
      <c r="E50" s="400"/>
      <c r="F50" s="400">
        <f t="shared" si="3"/>
        <v>0</v>
      </c>
      <c r="G50" s="401" t="s">
        <v>694</v>
      </c>
      <c r="H50" s="401" t="s">
        <v>694</v>
      </c>
      <c r="I50" s="400">
        <f t="shared" si="4"/>
        <v>1715497</v>
      </c>
      <c r="J50" s="400">
        <f t="shared" si="5"/>
        <v>1715497</v>
      </c>
      <c r="K50" s="399"/>
    </row>
    <row r="51" spans="1:11" ht="15" customHeight="1">
      <c r="A51" s="402"/>
      <c r="B51" s="402"/>
      <c r="C51" s="402"/>
      <c r="D51" s="402"/>
      <c r="E51" s="400"/>
      <c r="F51" s="400">
        <f t="shared" si="3"/>
        <v>0</v>
      </c>
      <c r="G51" s="406" t="s">
        <v>647</v>
      </c>
      <c r="H51" s="406" t="s">
        <v>647</v>
      </c>
      <c r="I51" s="400">
        <f t="shared" si="4"/>
        <v>87589</v>
      </c>
      <c r="J51" s="400">
        <f t="shared" si="5"/>
        <v>87589</v>
      </c>
      <c r="K51" s="399"/>
    </row>
    <row r="52" spans="1:11" ht="15" customHeight="1">
      <c r="A52" s="402"/>
      <c r="B52" s="402"/>
      <c r="C52" s="402"/>
      <c r="D52" s="402"/>
      <c r="E52" s="400"/>
      <c r="F52" s="400">
        <f t="shared" si="3"/>
        <v>0</v>
      </c>
      <c r="G52" s="401" t="s">
        <v>693</v>
      </c>
      <c r="H52" s="401" t="s">
        <v>693</v>
      </c>
      <c r="I52" s="400">
        <f t="shared" si="4"/>
        <v>90253429</v>
      </c>
      <c r="J52" s="400">
        <f t="shared" si="5"/>
        <v>90253429</v>
      </c>
      <c r="K52" s="399"/>
    </row>
    <row r="53" spans="1:11" ht="15" customHeight="1">
      <c r="A53" s="402"/>
      <c r="B53" s="402"/>
      <c r="C53" s="402"/>
      <c r="D53" s="402"/>
      <c r="E53" s="400"/>
      <c r="F53" s="400">
        <f t="shared" si="3"/>
        <v>0</v>
      </c>
      <c r="G53" s="401" t="s">
        <v>692</v>
      </c>
      <c r="H53" s="401" t="s">
        <v>692</v>
      </c>
      <c r="I53" s="400">
        <f t="shared" si="4"/>
        <v>17678805</v>
      </c>
      <c r="J53" s="400">
        <f t="shared" si="5"/>
        <v>17678805</v>
      </c>
      <c r="K53" s="399"/>
    </row>
    <row r="54" spans="1:11" ht="15" customHeight="1">
      <c r="A54" s="402"/>
      <c r="B54" s="402"/>
      <c r="C54" s="402"/>
      <c r="D54" s="402"/>
      <c r="E54" s="400"/>
      <c r="F54" s="400">
        <f t="shared" si="3"/>
        <v>0</v>
      </c>
      <c r="G54" s="406" t="s">
        <v>743</v>
      </c>
      <c r="H54" s="406" t="s">
        <v>743</v>
      </c>
      <c r="I54" s="400">
        <f t="shared" si="4"/>
        <v>9713984</v>
      </c>
      <c r="J54" s="400">
        <f t="shared" si="5"/>
        <v>9713984</v>
      </c>
      <c r="K54" s="399"/>
    </row>
    <row r="55" spans="1:11" ht="15" customHeight="1">
      <c r="A55" s="402"/>
      <c r="B55" s="402"/>
      <c r="C55" s="402"/>
      <c r="D55" s="402"/>
      <c r="E55" s="400"/>
      <c r="F55" s="400">
        <f t="shared" si="3"/>
        <v>0</v>
      </c>
      <c r="G55" s="401" t="s">
        <v>742</v>
      </c>
      <c r="H55" s="401" t="s">
        <v>742</v>
      </c>
      <c r="I55" s="400">
        <f t="shared" si="4"/>
        <v>22486229</v>
      </c>
      <c r="J55" s="400">
        <f t="shared" si="5"/>
        <v>22486229</v>
      </c>
      <c r="K55" s="399"/>
    </row>
    <row r="56" spans="1:11" ht="15" customHeight="1">
      <c r="A56" s="402"/>
      <c r="B56" s="402"/>
      <c r="C56" s="402"/>
      <c r="D56" s="402"/>
      <c r="E56" s="400"/>
      <c r="F56" s="400">
        <f t="shared" si="3"/>
        <v>0</v>
      </c>
      <c r="G56" s="401" t="s">
        <v>689</v>
      </c>
      <c r="H56" s="401" t="s">
        <v>689</v>
      </c>
      <c r="I56" s="400">
        <f t="shared" si="4"/>
        <v>6447001</v>
      </c>
      <c r="J56" s="400">
        <f t="shared" si="5"/>
        <v>6447001</v>
      </c>
      <c r="K56" s="399"/>
    </row>
    <row r="57" spans="1:11" ht="15" customHeight="1">
      <c r="A57" s="402"/>
      <c r="B57" s="402"/>
      <c r="C57" s="402"/>
      <c r="D57" s="402"/>
      <c r="E57" s="400"/>
      <c r="F57" s="400">
        <f t="shared" si="3"/>
        <v>0</v>
      </c>
      <c r="G57" s="401" t="s">
        <v>688</v>
      </c>
      <c r="H57" s="401" t="s">
        <v>688</v>
      </c>
      <c r="I57" s="400">
        <f t="shared" si="4"/>
        <v>0</v>
      </c>
      <c r="J57" s="400">
        <f t="shared" si="5"/>
        <v>0</v>
      </c>
      <c r="K57" s="399"/>
    </row>
    <row r="58" spans="1:11" ht="15" customHeight="1">
      <c r="A58" s="402"/>
      <c r="B58" s="402"/>
      <c r="C58" s="402"/>
      <c r="D58" s="402"/>
      <c r="E58" s="400"/>
      <c r="F58" s="400">
        <f t="shared" si="3"/>
        <v>0</v>
      </c>
      <c r="G58" s="401" t="s">
        <v>741</v>
      </c>
      <c r="H58" s="401" t="s">
        <v>741</v>
      </c>
      <c r="I58" s="400">
        <f t="shared" si="4"/>
        <v>0</v>
      </c>
      <c r="J58" s="400">
        <f t="shared" si="5"/>
        <v>0</v>
      </c>
      <c r="K58" s="399"/>
    </row>
    <row r="59" spans="1:11" ht="15" customHeight="1">
      <c r="A59" s="402"/>
      <c r="B59" s="402"/>
      <c r="C59" s="402"/>
      <c r="D59" s="402"/>
      <c r="E59" s="400"/>
      <c r="F59" s="400">
        <f t="shared" si="3"/>
        <v>0</v>
      </c>
      <c r="G59" s="407" t="s">
        <v>740</v>
      </c>
      <c r="H59" s="407" t="s">
        <v>740</v>
      </c>
      <c r="I59" s="400">
        <f t="shared" si="4"/>
        <v>6109254</v>
      </c>
      <c r="J59" s="400">
        <f t="shared" si="5"/>
        <v>6109254</v>
      </c>
      <c r="K59" s="399"/>
    </row>
    <row r="60" spans="1:11" ht="15" customHeight="1">
      <c r="A60" s="402"/>
      <c r="B60" s="402"/>
      <c r="C60" s="402"/>
      <c r="D60" s="402"/>
      <c r="E60" s="400"/>
      <c r="F60" s="400">
        <f t="shared" si="3"/>
        <v>0</v>
      </c>
      <c r="G60" s="406" t="s">
        <v>679</v>
      </c>
      <c r="H60" s="406" t="s">
        <v>679</v>
      </c>
      <c r="I60" s="400">
        <f t="shared" si="4"/>
        <v>968444</v>
      </c>
      <c r="J60" s="400">
        <f t="shared" si="5"/>
        <v>968444</v>
      </c>
      <c r="K60" s="399"/>
    </row>
    <row r="61" spans="1:11" ht="15" customHeight="1">
      <c r="A61" s="402"/>
      <c r="B61" s="402"/>
      <c r="C61" s="402"/>
      <c r="D61" s="402"/>
      <c r="E61" s="400"/>
      <c r="F61" s="400">
        <f t="shared" si="3"/>
        <v>0</v>
      </c>
      <c r="G61" s="406" t="s">
        <v>739</v>
      </c>
      <c r="H61" s="406" t="s">
        <v>739</v>
      </c>
      <c r="I61" s="400">
        <f t="shared" si="4"/>
        <v>0</v>
      </c>
      <c r="J61" s="400">
        <f t="shared" si="5"/>
        <v>0</v>
      </c>
      <c r="K61" s="399"/>
    </row>
    <row r="62" spans="1:11" ht="15" customHeight="1">
      <c r="A62" s="402"/>
      <c r="B62" s="402"/>
      <c r="C62" s="402"/>
      <c r="D62" s="402"/>
      <c r="E62" s="400"/>
      <c r="F62" s="400">
        <f t="shared" si="3"/>
        <v>0</v>
      </c>
      <c r="G62" s="406" t="s">
        <v>657</v>
      </c>
      <c r="H62" s="406" t="s">
        <v>657</v>
      </c>
      <c r="I62" s="400">
        <f t="shared" si="4"/>
        <v>1356109400</v>
      </c>
      <c r="J62" s="400">
        <f t="shared" si="5"/>
        <v>1356109400</v>
      </c>
      <c r="K62" s="399"/>
    </row>
    <row r="63" spans="1:11" ht="15" customHeight="1">
      <c r="A63" s="402"/>
      <c r="B63" s="402"/>
      <c r="C63" s="402"/>
      <c r="D63" s="402"/>
      <c r="E63" s="400"/>
      <c r="F63" s="400">
        <f t="shared" si="3"/>
        <v>0</v>
      </c>
      <c r="G63" s="406" t="s">
        <v>738</v>
      </c>
      <c r="H63" s="406" t="s">
        <v>738</v>
      </c>
      <c r="I63" s="400">
        <f t="shared" si="4"/>
        <v>543071</v>
      </c>
      <c r="J63" s="400">
        <f t="shared" si="5"/>
        <v>543071</v>
      </c>
      <c r="K63" s="399"/>
    </row>
    <row r="64" spans="1:11" ht="15" customHeight="1">
      <c r="A64" s="402"/>
      <c r="B64" s="402"/>
      <c r="C64" s="402"/>
      <c r="D64" s="402"/>
      <c r="E64" s="400"/>
      <c r="F64" s="400">
        <f t="shared" si="3"/>
        <v>0</v>
      </c>
      <c r="G64" s="406" t="s">
        <v>655</v>
      </c>
      <c r="H64" s="406" t="s">
        <v>655</v>
      </c>
      <c r="I64" s="400">
        <f t="shared" si="4"/>
        <v>47147259</v>
      </c>
      <c r="J64" s="400">
        <f t="shared" si="5"/>
        <v>47147259</v>
      </c>
      <c r="K64" s="399"/>
    </row>
    <row r="65" spans="1:11" ht="15" customHeight="1">
      <c r="A65" s="402"/>
      <c r="B65" s="402"/>
      <c r="C65" s="402"/>
      <c r="D65" s="402"/>
      <c r="E65" s="400"/>
      <c r="F65" s="400">
        <f t="shared" si="3"/>
        <v>0</v>
      </c>
      <c r="G65" s="406" t="s">
        <v>737</v>
      </c>
      <c r="H65" s="406" t="s">
        <v>737</v>
      </c>
      <c r="I65" s="400">
        <f t="shared" si="4"/>
        <v>0</v>
      </c>
      <c r="J65" s="400">
        <f t="shared" si="5"/>
        <v>0</v>
      </c>
      <c r="K65" s="399"/>
    </row>
    <row r="66" spans="1:11" ht="15" customHeight="1">
      <c r="A66" s="402"/>
      <c r="B66" s="402"/>
      <c r="C66" s="402"/>
      <c r="D66" s="402"/>
      <c r="E66" s="400"/>
      <c r="F66" s="400">
        <f t="shared" si="3"/>
        <v>0</v>
      </c>
      <c r="G66" s="406" t="s">
        <v>653</v>
      </c>
      <c r="H66" s="406" t="s">
        <v>653</v>
      </c>
      <c r="I66" s="400">
        <f t="shared" si="4"/>
        <v>11020779</v>
      </c>
      <c r="J66" s="400">
        <f t="shared" si="5"/>
        <v>11020779</v>
      </c>
      <c r="K66" s="399"/>
    </row>
    <row r="67" spans="1:11" ht="15" customHeight="1">
      <c r="A67" s="402"/>
      <c r="B67" s="402"/>
      <c r="C67" s="402"/>
      <c r="D67" s="402"/>
      <c r="E67" s="400"/>
      <c r="F67" s="400">
        <f t="shared" si="3"/>
        <v>0</v>
      </c>
      <c r="G67" s="406" t="s">
        <v>652</v>
      </c>
      <c r="H67" s="406" t="s">
        <v>652</v>
      </c>
      <c r="I67" s="400">
        <f t="shared" si="4"/>
        <v>5379819</v>
      </c>
      <c r="J67" s="400">
        <f t="shared" si="5"/>
        <v>5379819</v>
      </c>
      <c r="K67" s="399"/>
    </row>
    <row r="68" spans="1:11" ht="15" customHeight="1">
      <c r="A68" s="402"/>
      <c r="B68" s="402"/>
      <c r="C68" s="402"/>
      <c r="D68" s="402"/>
      <c r="E68" s="400"/>
      <c r="F68" s="400">
        <f t="shared" si="3"/>
        <v>0</v>
      </c>
      <c r="G68" s="404" t="s">
        <v>650</v>
      </c>
      <c r="H68" s="404" t="s">
        <v>650</v>
      </c>
      <c r="I68" s="400">
        <f t="shared" si="4"/>
        <v>59696859</v>
      </c>
      <c r="J68" s="400">
        <f t="shared" si="5"/>
        <v>59696859</v>
      </c>
      <c r="K68" s="399"/>
    </row>
    <row r="69" spans="1:11" ht="15" customHeight="1">
      <c r="A69" s="402"/>
      <c r="B69" s="402"/>
      <c r="C69" s="402"/>
      <c r="D69" s="402"/>
      <c r="E69" s="405">
        <f t="shared" ref="E69:E76" si="6">F69-I69</f>
        <v>-343538729</v>
      </c>
      <c r="F69" s="405">
        <f t="shared" si="3"/>
        <v>-343538729</v>
      </c>
      <c r="G69" s="401" t="s">
        <v>707</v>
      </c>
      <c r="H69" s="401" t="s">
        <v>707</v>
      </c>
      <c r="I69" s="400">
        <f t="shared" si="4"/>
        <v>0</v>
      </c>
      <c r="J69" s="400"/>
      <c r="K69" s="399"/>
    </row>
    <row r="70" spans="1:11" ht="15" customHeight="1">
      <c r="A70" s="402"/>
      <c r="B70" s="402"/>
      <c r="C70" s="402"/>
      <c r="D70" s="402"/>
      <c r="E70" s="400">
        <f t="shared" si="6"/>
        <v>0</v>
      </c>
      <c r="F70" s="400">
        <f t="shared" si="3"/>
        <v>552693179</v>
      </c>
      <c r="G70" s="404" t="s">
        <v>736</v>
      </c>
      <c r="H70" s="404" t="s">
        <v>736</v>
      </c>
      <c r="I70" s="400">
        <f t="shared" si="4"/>
        <v>552693179</v>
      </c>
      <c r="J70" s="400"/>
      <c r="K70" s="399"/>
    </row>
    <row r="71" spans="1:11" ht="15" customHeight="1">
      <c r="A71" s="402"/>
      <c r="B71" s="402"/>
      <c r="C71" s="402"/>
      <c r="D71" s="402"/>
      <c r="E71" s="400">
        <f t="shared" si="6"/>
        <v>522413737</v>
      </c>
      <c r="F71" s="400">
        <f t="shared" si="3"/>
        <v>522413737</v>
      </c>
      <c r="G71" s="401" t="s">
        <v>634</v>
      </c>
      <c r="H71" s="401" t="s">
        <v>634</v>
      </c>
      <c r="I71" s="400">
        <f t="shared" si="4"/>
        <v>0</v>
      </c>
      <c r="J71" s="400"/>
      <c r="K71" s="399"/>
    </row>
    <row r="72" spans="1:11" ht="15" customHeight="1">
      <c r="A72" s="402"/>
      <c r="B72" s="402"/>
      <c r="C72" s="402"/>
      <c r="D72" s="402"/>
      <c r="E72" s="400">
        <f t="shared" si="6"/>
        <v>0</v>
      </c>
      <c r="F72" s="400">
        <f t="shared" si="3"/>
        <v>0</v>
      </c>
      <c r="G72" s="401" t="s">
        <v>633</v>
      </c>
      <c r="H72" s="401" t="s">
        <v>633</v>
      </c>
      <c r="I72" s="400">
        <f t="shared" si="4"/>
        <v>0</v>
      </c>
      <c r="J72" s="400"/>
      <c r="K72" s="399"/>
    </row>
    <row r="73" spans="1:11" ht="15" customHeight="1">
      <c r="A73" s="402"/>
      <c r="B73" s="402"/>
      <c r="C73" s="402"/>
      <c r="D73" s="402"/>
      <c r="E73" s="400">
        <f t="shared" si="6"/>
        <v>0</v>
      </c>
      <c r="F73" s="400">
        <f t="shared" si="3"/>
        <v>0</v>
      </c>
      <c r="G73" s="403" t="s">
        <v>735</v>
      </c>
      <c r="H73" s="403" t="s">
        <v>735</v>
      </c>
      <c r="I73" s="400">
        <f t="shared" si="4"/>
        <v>0</v>
      </c>
      <c r="J73" s="400"/>
      <c r="K73" s="399"/>
    </row>
    <row r="74" spans="1:11" ht="15" customHeight="1">
      <c r="A74" s="402"/>
      <c r="B74" s="402"/>
      <c r="C74" s="402"/>
      <c r="D74" s="402"/>
      <c r="E74" s="400">
        <f t="shared" si="6"/>
        <v>779531</v>
      </c>
      <c r="F74" s="400">
        <f t="shared" si="3"/>
        <v>779531</v>
      </c>
      <c r="G74" s="401" t="s">
        <v>632</v>
      </c>
      <c r="H74" s="401" t="s">
        <v>632</v>
      </c>
      <c r="I74" s="400">
        <f t="shared" si="4"/>
        <v>0</v>
      </c>
      <c r="J74" s="400"/>
      <c r="K74" s="399"/>
    </row>
    <row r="75" spans="1:11" ht="15" customHeight="1">
      <c r="A75" s="402"/>
      <c r="B75" s="402"/>
      <c r="C75" s="402"/>
      <c r="D75" s="402"/>
      <c r="E75" s="400">
        <f t="shared" si="6"/>
        <v>3138956</v>
      </c>
      <c r="F75" s="400">
        <f t="shared" si="3"/>
        <v>3138956</v>
      </c>
      <c r="G75" s="401" t="s">
        <v>631</v>
      </c>
      <c r="H75" s="401" t="s">
        <v>631</v>
      </c>
      <c r="I75" s="400">
        <f t="shared" si="4"/>
        <v>0</v>
      </c>
      <c r="J75" s="400"/>
      <c r="K75" s="399"/>
    </row>
    <row r="76" spans="1:11" ht="15" customHeight="1">
      <c r="A76" s="402"/>
      <c r="B76" s="402"/>
      <c r="C76" s="402"/>
      <c r="D76" s="402"/>
      <c r="E76" s="400">
        <f t="shared" si="6"/>
        <v>26360955</v>
      </c>
      <c r="F76" s="400">
        <f t="shared" si="3"/>
        <v>26360955</v>
      </c>
      <c r="G76" s="401" t="s">
        <v>630</v>
      </c>
      <c r="H76" s="401" t="s">
        <v>630</v>
      </c>
      <c r="I76" s="400">
        <f t="shared" si="4"/>
        <v>0</v>
      </c>
      <c r="J76" s="400"/>
      <c r="K76" s="399"/>
    </row>
    <row r="77" spans="1:11" ht="15" customHeight="1">
      <c r="A77" s="402"/>
      <c r="B77" s="402"/>
      <c r="C77" s="402"/>
      <c r="D77" s="402"/>
      <c r="E77" s="400"/>
      <c r="F77" s="400">
        <f t="shared" si="3"/>
        <v>0</v>
      </c>
      <c r="G77" s="401" t="s">
        <v>734</v>
      </c>
      <c r="H77" s="401" t="s">
        <v>734</v>
      </c>
      <c r="I77" s="400">
        <f t="shared" si="4"/>
        <v>1880565</v>
      </c>
      <c r="J77" s="400">
        <f>I77-F77</f>
        <v>1880565</v>
      </c>
      <c r="K77" s="399"/>
    </row>
    <row r="78" spans="1:11" ht="15" customHeight="1">
      <c r="A78" s="402"/>
      <c r="B78" s="402"/>
      <c r="C78" s="402"/>
      <c r="D78" s="402"/>
      <c r="E78" s="400">
        <f>F78-I78</f>
        <v>212487477</v>
      </c>
      <c r="F78" s="400">
        <f t="shared" si="3"/>
        <v>212487477</v>
      </c>
      <c r="G78" s="401" t="s">
        <v>681</v>
      </c>
      <c r="H78" s="401" t="s">
        <v>681</v>
      </c>
      <c r="I78" s="400">
        <f t="shared" si="4"/>
        <v>0</v>
      </c>
      <c r="J78" s="400"/>
      <c r="K78" s="399"/>
    </row>
    <row r="79" spans="1:11" ht="15" customHeight="1">
      <c r="A79" s="402"/>
      <c r="B79" s="402"/>
      <c r="C79" s="402"/>
      <c r="D79" s="402"/>
      <c r="E79" s="400">
        <f>SUM(E41:E78)</f>
        <v>2309799951</v>
      </c>
      <c r="F79" s="400">
        <f>SUM(F41:F78)</f>
        <v>7058570540</v>
      </c>
      <c r="G79" s="401" t="s">
        <v>733</v>
      </c>
      <c r="H79" s="401" t="s">
        <v>733</v>
      </c>
      <c r="I79" s="400">
        <f>SUM(I41:I78)</f>
        <v>7058570540</v>
      </c>
      <c r="J79" s="400">
        <f>SUM(J41:J78)</f>
        <v>2309799951</v>
      </c>
      <c r="K79" s="399"/>
    </row>
    <row r="80" spans="1:11">
      <c r="J80" s="399"/>
    </row>
    <row r="81" spans="10:10">
      <c r="J81" s="399"/>
    </row>
  </sheetData>
  <mergeCells count="3">
    <mergeCell ref="A1:C1"/>
    <mergeCell ref="E1:G1"/>
    <mergeCell ref="H1:J1"/>
  </mergeCells>
  <phoneticPr fontId="4"/>
  <printOptions horizontalCentered="1"/>
  <pageMargins left="0" right="0" top="0.59055118110236227" bottom="0.39370078740157483" header="0.31496062992125984" footer="0.11811023622047245"/>
  <pageSetup paperSize="9" scale="75" orientation="portrait" horizontalDpi="400" verticalDpi="400" r:id="rId1"/>
  <headerFooter alignWithMargins="0">
    <oddHeader>&amp;C&amp;"ＭＳ Ｐ明朝,太字 斜体"&amp;14　&amp;A</oddHeader>
    <oddFooter>&amp;L&amp;8&amp;F　&amp;A&amp;R&amp;8&amp;D　&amp;T</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13</vt:i4>
      </vt:variant>
    </vt:vector>
  </HeadingPairs>
  <TitlesOfParts>
    <vt:vector size="27" baseType="lpstr">
      <vt:lpstr>(申)3%</vt:lpstr>
      <vt:lpstr>(申)5%</vt:lpstr>
      <vt:lpstr>(申)8%</vt:lpstr>
      <vt:lpstr>(申)軽8%</vt:lpstr>
      <vt:lpstr>(申)10%</vt:lpstr>
      <vt:lpstr>(申)計</vt:lpstr>
      <vt:lpstr>消費税旧</vt:lpstr>
      <vt:lpstr>対価返還</vt:lpstr>
      <vt:lpstr>基礎数値</vt:lpstr>
      <vt:lpstr>消費税</vt:lpstr>
      <vt:lpstr>4条圧縮</vt:lpstr>
      <vt:lpstr>仮受仮払</vt:lpstr>
      <vt:lpstr>精算表</vt:lpstr>
      <vt:lpstr>振替表</vt:lpstr>
      <vt:lpstr>'(申)計'!Print_Area</vt:lpstr>
      <vt:lpstr>仮受仮払!Print_Area</vt:lpstr>
      <vt:lpstr>消費税!Print_Area</vt:lpstr>
      <vt:lpstr>振替表!Print_Area</vt:lpstr>
      <vt:lpstr>精算表!Print_Area</vt:lpstr>
      <vt:lpstr>対価返還!Print_Area</vt:lpstr>
      <vt:lpstr>'(申)10%'!Print_Titles</vt:lpstr>
      <vt:lpstr>'(申)3%'!Print_Titles</vt:lpstr>
      <vt:lpstr>'(申)5%'!Print_Titles</vt:lpstr>
      <vt:lpstr>'(申)8%'!Print_Titles</vt:lpstr>
      <vt:lpstr>'(申)計'!Print_Titles</vt:lpstr>
      <vt:lpstr>'(申)軽8%'!Print_Titles</vt:lpstr>
      <vt:lpstr>消費税!Print_Titles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広島市</dc:creator>
  <cp:lastModifiedBy>安達 謙介</cp:lastModifiedBy>
  <cp:lastPrinted>2024-05-20T08:12:49Z</cp:lastPrinted>
  <dcterms:created xsi:type="dcterms:W3CDTF">2018-01-17T23:56:49Z</dcterms:created>
  <dcterms:modified xsi:type="dcterms:W3CDTF">2024-06-19T07:43:08Z</dcterms:modified>
</cp:coreProperties>
</file>